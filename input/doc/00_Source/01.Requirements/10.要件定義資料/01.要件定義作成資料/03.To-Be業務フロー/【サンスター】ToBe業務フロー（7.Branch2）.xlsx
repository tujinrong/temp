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fileSharing readOnlyRecommended="1"/>
  <workbookPr updateLinks="never" codeName="ThisWorkbook"/>
  <mc:AlternateContent xmlns:mc="http://schemas.openxmlformats.org/markup-compatibility/2006">
    <mc:Choice Requires="x15">
      <x15ac:absPath xmlns:x15ac="http://schemas.microsoft.com/office/spreadsheetml/2010/11/ac" url="https://sunstarsuisse.sharepoint.com/sites/JP_668/Shared Documents/General/02_要件定義フェーズ/03_ToBe業務フロー/"/>
    </mc:Choice>
  </mc:AlternateContent>
  <xr:revisionPtr revIDLastSave="112" documentId="120_{4D224128-4078-449A-8135-9B7622E617CB}" xr6:coauthVersionLast="47" xr6:coauthVersionMax="47" xr10:uidLastSave="{F4097B9F-B14F-4EC0-9D9A-26EF4A38609D}"/>
  <bookViews>
    <workbookView xWindow="-108" yWindow="-108" windowWidth="23256" windowHeight="13896" tabRatio="871" activeTab="1" xr2:uid="{00000000-000D-0000-FFFF-FFFF00000000}"/>
  </bookViews>
  <sheets>
    <sheet name="表紙" sheetId="233" r:id="rId1"/>
    <sheet name="変更履歴" sheetId="234" r:id="rId2"/>
    <sheet name="凡例" sheetId="241" r:id="rId3"/>
    <sheet name="1.利益センタ・原価センタマスタ登録" sheetId="280" r:id="rId4"/>
    <sheet name="2.品目マスタ取込" sheetId="309" r:id="rId5"/>
    <sheet name="3.販売実績データ連携" sheetId="308" r:id="rId6"/>
  </sheets>
  <externalReferences>
    <externalReference r:id="rId7"/>
    <externalReference r:id="rId8"/>
  </externalReferences>
  <definedNames>
    <definedName name="_xlnm._FilterDatabase" hidden="1">'[1]１．InfoCube (YKCH0010)案１:１．InfoCube (YKCH0010) 案２'!$W$5:$W$5</definedName>
    <definedName name="_Key1" hidden="1">#REF!</definedName>
    <definedName name="_Order1" hidden="1">0</definedName>
    <definedName name="_Sort" hidden="1">#REF!</definedName>
    <definedName name="aaa" hidden="1">{"'その他費用'!$B$3:$J$22"}</definedName>
    <definedName name="AS2DocOpenMode" hidden="1">"AS2DocumentEdit"</definedName>
    <definedName name="asasa" hidden="1">{"'その他費用'!$B$3:$J$22"}</definedName>
    <definedName name="asasasa" hidden="1">{"'その他費用'!$B$3:$J$22"}</definedName>
    <definedName name="asg" hidden="1">{"'その他費用'!$B$3:$J$22"}</definedName>
    <definedName name="asgash" hidden="1">{"'その他費用'!$B$3:$J$22"}</definedName>
    <definedName name="asqqq" hidden="1">{"'その他費用'!$B$3:$J$22"}</definedName>
    <definedName name="cszxz" hidden="1">{"'その他費用'!$B$3:$J$22"}</definedName>
    <definedName name="dsds" hidden="1">{"'その他費用'!$B$3:$J$22"}</definedName>
    <definedName name="dwed" hidden="1">{"'その他費用'!$B$3:$J$22"}</definedName>
    <definedName name="fff" hidden="1">{"'その他費用'!$B$3:$J$22"}</definedName>
    <definedName name="FJKLJFSA" hidden="1">{"'その他費用'!$B$3:$J$22"}</definedName>
    <definedName name="FKDSAJLFA" hidden="1">{"'その他費用'!$B$3:$J$22"}</definedName>
    <definedName name="GGGG" hidden="1">{"'その他費用'!$B$3:$J$22"}</definedName>
    <definedName name="gre" hidden="1">{"'その他費用'!$B$3:$J$22"}</definedName>
    <definedName name="HTML_CodePage" hidden="1">932</definedName>
    <definedName name="HTML_Control" hidden="1">{"'その他費用'!$B$3:$J$22"}</definedName>
    <definedName name="HTML_Control1" hidden="1">{"'その他費用'!$B$3:$J$22"}</definedName>
    <definedName name="HTML_Description" hidden="1">""</definedName>
    <definedName name="HTML_Email" hidden="1">""</definedName>
    <definedName name="HTML_Header" hidden="1">"その他費用"</definedName>
    <definedName name="HTML_LastUpdate" hidden="1">"98/09/08"</definedName>
    <definedName name="HTML_LineAfter" hidden="1">FALSE</definedName>
    <definedName name="HTML_LineBefore" hidden="1">FALSE</definedName>
    <definedName name="HTML_Name" hidden="1">"情報システム製作所 情革ニ"</definedName>
    <definedName name="HTML_OBDlg2" hidden="1">TRUE</definedName>
    <definedName name="HTML_OBDlg4" hidden="1">TRUE</definedName>
    <definedName name="HTML_OS" hidden="1">0</definedName>
    <definedName name="HTML_PathFile" hidden="1">"C:\temp\MyHTML.htm"</definedName>
    <definedName name="HTML_Title" hidden="1">"980910S1"</definedName>
    <definedName name="isisi" hidden="1">{"'その他費用'!$B$3:$J$22"}</definedName>
    <definedName name="JFLKDSAJ" hidden="1">{"'その他費用'!$B$3:$J$22"}</definedName>
    <definedName name="SAPBEXrevision" hidden="1">1</definedName>
    <definedName name="SAPBEXsysID" hidden="1">"GVA"</definedName>
    <definedName name="SAPBEXwbID" hidden="1">"3LCAU7MCBU5FSHA8VTJRG75ZF"</definedName>
    <definedName name="sasa" hidden="1">{"'その他費用'!$B$3:$J$22"}</definedName>
    <definedName name="sss" hidden="1">{"'その他費用'!$B$3:$J$22"}</definedName>
    <definedName name="wws" hidden="1">{"'その他費用'!$B$3:$J$22"}</definedName>
    <definedName name="xsada" hidden="1">{"'その他費用'!$B$3:$J$22"}</definedName>
    <definedName name="xsaxa" hidden="1">{"'その他費用'!$B$3:$J$22"}</definedName>
    <definedName name="zx" hidden="1">{"'その他費用'!$B$3:$J$22"}</definedName>
    <definedName name="ZZZ" hidden="1">{"'その他費用'!$B$3:$J$22"}</definedName>
    <definedName name="あああ" hidden="1">{"'その他費用'!$B$3:$J$22"}</definedName>
    <definedName name="勘定コード登録" hidden="1">{"'その他費用'!$B$3:$J$22"}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" i="309" l="1"/>
  <c r="AQ2" i="309"/>
  <c r="AL2" i="309"/>
  <c r="V2" i="309"/>
  <c r="A6" i="308"/>
  <c r="AQ2" i="308"/>
  <c r="AL2" i="308"/>
  <c r="V2" i="308"/>
  <c r="F31" i="233"/>
  <c r="AT2" i="234" l="1"/>
  <c r="AT3" i="234" a="1"/>
  <c r="AT3" i="234" l="1"/>
  <c r="AL3" i="309" s="1"/>
  <c r="AL3" i="308" l="1"/>
  <c r="A6" i="280" l="1"/>
  <c r="V2" i="280"/>
  <c r="V2" i="241" l="1"/>
  <c r="W2" i="234" l="1"/>
  <c r="F2" i="234" l="1"/>
  <c r="F1" i="234"/>
  <c r="B24" i="233" a="1"/>
  <c r="B22" i="233"/>
  <c r="F1" i="309" l="1"/>
  <c r="F1" i="308"/>
  <c r="F2" i="309"/>
  <c r="F2" i="308"/>
  <c r="F1" i="280"/>
  <c r="F2" i="280"/>
  <c r="F1" i="241"/>
  <c r="F2" i="241"/>
  <c r="B24" i="233"/>
  <c r="BA2" i="234" l="1"/>
  <c r="BA3" i="234" a="1"/>
  <c r="AL2" i="280" l="1"/>
  <c r="AQ2" i="280"/>
  <c r="AL2" i="241"/>
  <c r="AQ2" i="241"/>
  <c r="BA3" i="234"/>
  <c r="AQ3" i="309" s="1"/>
  <c r="AQ3" i="308" l="1"/>
  <c r="AQ3" i="280"/>
  <c r="AL3" i="280"/>
  <c r="AQ3" i="241"/>
  <c r="AL3" i="24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<sst xmlns="http://schemas.openxmlformats.org/spreadsheetml/2006/main" count="208" uniqueCount="126">
  <si>
    <t>サンスター株式会社　御中</t>
    <phoneticPr fontId="5"/>
  </si>
  <si>
    <t>会計システム刷新プロジェクト（LIBRA）</t>
    <rPh sb="0" eb="2">
      <t>カイケイ</t>
    </rPh>
    <rPh sb="6" eb="8">
      <t>サッシン</t>
    </rPh>
    <phoneticPr fontId="5"/>
  </si>
  <si>
    <t>ToBe業務フロー（7.Branch2）</t>
    <rPh sb="4" eb="6">
      <t>ギョウム</t>
    </rPh>
    <phoneticPr fontId="4"/>
  </si>
  <si>
    <t>日本ビジネスシステムズ株式会社</t>
    <rPh sb="0" eb="2">
      <t>ニホン</t>
    </rPh>
    <rPh sb="11" eb="15">
      <t>カブシキガイシャ</t>
    </rPh>
    <phoneticPr fontId="5"/>
  </si>
  <si>
    <t>作成者</t>
    <rPh sb="0" eb="3">
      <t>サクセイシャ</t>
    </rPh>
    <phoneticPr fontId="5"/>
  </si>
  <si>
    <t>JBS承認者</t>
    <rPh sb="3" eb="6">
      <t>ショウニンシャ</t>
    </rPh>
    <phoneticPr fontId="5"/>
  </si>
  <si>
    <t>承認者</t>
    <rPh sb="0" eb="3">
      <t>ショウニンシャシャ</t>
    </rPh>
    <phoneticPr fontId="5"/>
  </si>
  <si>
    <t>JBS入井</t>
    <rPh sb="3" eb="5">
      <t>イリイ</t>
    </rPh>
    <phoneticPr fontId="4"/>
  </si>
  <si>
    <t>システム名</t>
    <rPh sb="4" eb="5">
      <t>メイ</t>
    </rPh>
    <phoneticPr fontId="12"/>
  </si>
  <si>
    <t>タイトル</t>
  </si>
  <si>
    <t>日付</t>
    <rPh sb="0" eb="2">
      <t>ヒヅケ</t>
    </rPh>
    <phoneticPr fontId="25"/>
  </si>
  <si>
    <t>更新者</t>
    <rPh sb="0" eb="2">
      <t>コウシン</t>
    </rPh>
    <rPh sb="2" eb="3">
      <t>シャ</t>
    </rPh>
    <phoneticPr fontId="12"/>
  </si>
  <si>
    <t>文書名</t>
    <rPh sb="0" eb="2">
      <t>ブンショ</t>
    </rPh>
    <rPh sb="2" eb="3">
      <t>メイ</t>
    </rPh>
    <phoneticPr fontId="12"/>
  </si>
  <si>
    <t>作成</t>
    <rPh sb="0" eb="2">
      <t>サクセイ</t>
    </rPh>
    <phoneticPr fontId="12"/>
  </si>
  <si>
    <t>更新</t>
    <rPh sb="0" eb="2">
      <t>コウシン</t>
    </rPh>
    <phoneticPr fontId="12"/>
  </si>
  <si>
    <t>変更年月日</t>
    <rPh sb="0" eb="2">
      <t>ヘンコウ</t>
    </rPh>
    <rPh sb="2" eb="5">
      <t>ネンガッピ</t>
    </rPh>
    <phoneticPr fontId="26"/>
  </si>
  <si>
    <t>変更箇所</t>
    <rPh sb="0" eb="2">
      <t>ヘンコウ</t>
    </rPh>
    <rPh sb="2" eb="4">
      <t>カショ</t>
    </rPh>
    <phoneticPr fontId="26"/>
  </si>
  <si>
    <t>変更内容</t>
    <rPh sb="0" eb="2">
      <t>ヘンコウ</t>
    </rPh>
    <rPh sb="2" eb="4">
      <t>ナイヨウ</t>
    </rPh>
    <phoneticPr fontId="26"/>
  </si>
  <si>
    <t>変更者</t>
    <rPh sb="0" eb="2">
      <t>ヘンコウ</t>
    </rPh>
    <rPh sb="2" eb="3">
      <t>シャ</t>
    </rPh>
    <phoneticPr fontId="26"/>
  </si>
  <si>
    <t>版数</t>
    <rPh sb="0" eb="1">
      <t>ハン</t>
    </rPh>
    <rPh sb="1" eb="2">
      <t>スウ</t>
    </rPh>
    <phoneticPr fontId="26"/>
  </si>
  <si>
    <t>新規作成</t>
    <rPh sb="0" eb="2">
      <t>シンキ</t>
    </rPh>
    <rPh sb="2" eb="4">
      <t>サクセイ</t>
    </rPh>
    <phoneticPr fontId="5"/>
  </si>
  <si>
    <t>新規作成</t>
    <rPh sb="0" eb="4">
      <t>シンキサクセイ</t>
    </rPh>
    <phoneticPr fontId="25"/>
  </si>
  <si>
    <t>JBS北井</t>
    <rPh sb="3" eb="5">
      <t>キタイ</t>
    </rPh>
    <phoneticPr fontId="5"/>
  </si>
  <si>
    <t>1.0</t>
    <phoneticPr fontId="4"/>
  </si>
  <si>
    <t>タイトル</t>
    <phoneticPr fontId="5"/>
  </si>
  <si>
    <t>凡例</t>
    <rPh sb="0" eb="2">
      <t>ハンレイ</t>
    </rPh>
    <phoneticPr fontId="12"/>
  </si>
  <si>
    <t>：</t>
    <phoneticPr fontId="4"/>
  </si>
  <si>
    <t>フローの開始</t>
    <rPh sb="4" eb="6">
      <t>カイシ</t>
    </rPh>
    <phoneticPr fontId="4"/>
  </si>
  <si>
    <t>フローの終了</t>
    <rPh sb="4" eb="6">
      <t>シュウリョウ</t>
    </rPh>
    <phoneticPr fontId="4"/>
  </si>
  <si>
    <t>システムを伴わない業務</t>
    <rPh sb="5" eb="6">
      <t>トモナ</t>
    </rPh>
    <rPh sb="9" eb="11">
      <t>ギョウム</t>
    </rPh>
    <phoneticPr fontId="4"/>
  </si>
  <si>
    <t>システム上での業務</t>
    <rPh sb="4" eb="5">
      <t>ジョウ</t>
    </rPh>
    <rPh sb="7" eb="9">
      <t>ギョウム</t>
    </rPh>
    <phoneticPr fontId="4"/>
  </si>
  <si>
    <t>帳票（システムで作成される帳票）</t>
    <rPh sb="0" eb="2">
      <t>チョウヒョウ</t>
    </rPh>
    <rPh sb="8" eb="10">
      <t>サクセイ</t>
    </rPh>
    <rPh sb="13" eb="15">
      <t>チョウヒョウ</t>
    </rPh>
    <phoneticPr fontId="4"/>
  </si>
  <si>
    <t>帳票（システム外で作成される帳票）</t>
    <rPh sb="0" eb="2">
      <t>チョウヒョウ</t>
    </rPh>
    <rPh sb="7" eb="8">
      <t>ガイ</t>
    </rPh>
    <rPh sb="9" eb="11">
      <t>サクセイ</t>
    </rPh>
    <rPh sb="14" eb="16">
      <t>チョウヒョウ</t>
    </rPh>
    <phoneticPr fontId="4"/>
  </si>
  <si>
    <t>業務の流れ</t>
    <rPh sb="0" eb="2">
      <t>ギョウム</t>
    </rPh>
    <rPh sb="3" eb="4">
      <t>ナガ</t>
    </rPh>
    <phoneticPr fontId="4"/>
  </si>
  <si>
    <t>システムへの連携</t>
    <rPh sb="6" eb="8">
      <t>レンケイ</t>
    </rPh>
    <phoneticPr fontId="4"/>
  </si>
  <si>
    <t>分岐</t>
    <rPh sb="0" eb="2">
      <t>ブンキ</t>
    </rPh>
    <phoneticPr fontId="4"/>
  </si>
  <si>
    <t>システム</t>
    <phoneticPr fontId="4"/>
  </si>
  <si>
    <t>フロー間の繋がりを示す</t>
    <rPh sb="3" eb="4">
      <t>カン</t>
    </rPh>
    <rPh sb="5" eb="6">
      <t>ツナ</t>
    </rPh>
    <rPh sb="9" eb="10">
      <t>シメ</t>
    </rPh>
    <phoneticPr fontId="4"/>
  </si>
  <si>
    <t>ファイル（CSVファイル等）</t>
    <rPh sb="12" eb="13">
      <t>トウ</t>
    </rPh>
    <phoneticPr fontId="4"/>
  </si>
  <si>
    <t>社内部署</t>
    <rPh sb="0" eb="2">
      <t>シャナイ</t>
    </rPh>
    <rPh sb="2" eb="4">
      <t>ブショ</t>
    </rPh>
    <phoneticPr fontId="4"/>
  </si>
  <si>
    <t>フローに登場する社内の部署を記載</t>
    <rPh sb="4" eb="6">
      <t>トウジョウ</t>
    </rPh>
    <rPh sb="8" eb="10">
      <t>シャナイ</t>
    </rPh>
    <rPh sb="11" eb="13">
      <t>ブショ</t>
    </rPh>
    <rPh sb="14" eb="16">
      <t>キサイ</t>
    </rPh>
    <phoneticPr fontId="4"/>
  </si>
  <si>
    <t>部署内の担当者が分かれる場合は以下の通りに分ける</t>
    <rPh sb="0" eb="2">
      <t>ブショ</t>
    </rPh>
    <rPh sb="2" eb="3">
      <t>ナイ</t>
    </rPh>
    <rPh sb="4" eb="7">
      <t>タントウシャ</t>
    </rPh>
    <rPh sb="8" eb="9">
      <t>ワ</t>
    </rPh>
    <rPh sb="12" eb="14">
      <t>バアイ</t>
    </rPh>
    <rPh sb="15" eb="17">
      <t>イカ</t>
    </rPh>
    <rPh sb="18" eb="19">
      <t>トオ</t>
    </rPh>
    <rPh sb="21" eb="22">
      <t>ワ</t>
    </rPh>
    <phoneticPr fontId="4"/>
  </si>
  <si>
    <t>担当者</t>
    <rPh sb="0" eb="3">
      <t>タントウシャ</t>
    </rPh>
    <phoneticPr fontId="4"/>
  </si>
  <si>
    <t>責任者</t>
    <rPh sb="0" eb="3">
      <t>セキニンシャ</t>
    </rPh>
    <phoneticPr fontId="4"/>
  </si>
  <si>
    <t>外部担当者</t>
    <rPh sb="0" eb="2">
      <t>ガイブ</t>
    </rPh>
    <rPh sb="2" eb="5">
      <t>タントウシャ</t>
    </rPh>
    <phoneticPr fontId="4"/>
  </si>
  <si>
    <t>フローに登場する社外担当者の部署を記載</t>
    <rPh sb="4" eb="6">
      <t>トウジョウ</t>
    </rPh>
    <rPh sb="8" eb="10">
      <t>シャガイ</t>
    </rPh>
    <rPh sb="10" eb="13">
      <t>タントウシャ</t>
    </rPh>
    <rPh sb="14" eb="16">
      <t>ブショ</t>
    </rPh>
    <rPh sb="17" eb="19">
      <t>キサイ</t>
    </rPh>
    <phoneticPr fontId="4"/>
  </si>
  <si>
    <t>例）得意先、仕入先</t>
    <rPh sb="0" eb="1">
      <t>レイ</t>
    </rPh>
    <rPh sb="2" eb="4">
      <t>トクイ</t>
    </rPh>
    <rPh sb="4" eb="5">
      <t>サキ</t>
    </rPh>
    <rPh sb="6" eb="9">
      <t>シイレサキ</t>
    </rPh>
    <phoneticPr fontId="4"/>
  </si>
  <si>
    <t>フロー上で実施されるシステムの機能を記載する列</t>
    <rPh sb="3" eb="4">
      <t>ジョウ</t>
    </rPh>
    <rPh sb="5" eb="7">
      <t>ジッシ</t>
    </rPh>
    <rPh sb="15" eb="17">
      <t>キノウ</t>
    </rPh>
    <rPh sb="18" eb="20">
      <t>キサイ</t>
    </rPh>
    <rPh sb="22" eb="23">
      <t>レツ</t>
    </rPh>
    <phoneticPr fontId="4"/>
  </si>
  <si>
    <t>XX</t>
    <phoneticPr fontId="4"/>
  </si>
  <si>
    <t>XXの部分にフローで登場するシステム名を記載</t>
    <rPh sb="3" eb="5">
      <t>ブブン</t>
    </rPh>
    <rPh sb="10" eb="12">
      <t>トウジョウ</t>
    </rPh>
    <rPh sb="18" eb="19">
      <t>メイ</t>
    </rPh>
    <rPh sb="20" eb="22">
      <t>キサイ</t>
    </rPh>
    <phoneticPr fontId="4"/>
  </si>
  <si>
    <t>例は以下の通り（JBSで導入するシステム外のものは「外部システム」で統一）</t>
    <rPh sb="0" eb="1">
      <t>レイ</t>
    </rPh>
    <rPh sb="2" eb="4">
      <t>イカ</t>
    </rPh>
    <rPh sb="5" eb="6">
      <t>トオ</t>
    </rPh>
    <rPh sb="12" eb="14">
      <t>ドウニュウ</t>
    </rPh>
    <rPh sb="20" eb="21">
      <t>ガイ</t>
    </rPh>
    <rPh sb="26" eb="28">
      <t>ガイブ</t>
    </rPh>
    <rPh sb="34" eb="36">
      <t>トウイツ</t>
    </rPh>
    <phoneticPr fontId="4"/>
  </si>
  <si>
    <t>FO</t>
    <phoneticPr fontId="4"/>
  </si>
  <si>
    <t>CE</t>
    <phoneticPr fontId="4"/>
  </si>
  <si>
    <t>外部システム</t>
    <rPh sb="0" eb="2">
      <t>ガイブ</t>
    </rPh>
    <phoneticPr fontId="4"/>
  </si>
  <si>
    <t>説明</t>
    <rPh sb="0" eb="2">
      <t>セツメイ</t>
    </rPh>
    <phoneticPr fontId="4"/>
  </si>
  <si>
    <t>フロー内容を説明する列</t>
    <rPh sb="3" eb="5">
      <t>ナイヨウ</t>
    </rPh>
    <rPh sb="6" eb="8">
      <t>セツメイ</t>
    </rPh>
    <rPh sb="10" eb="11">
      <t>レツ</t>
    </rPh>
    <phoneticPr fontId="4"/>
  </si>
  <si>
    <t>Gap
（Add-On）</t>
    <phoneticPr fontId="4"/>
  </si>
  <si>
    <t>フローに対してのGapを記載する列</t>
    <rPh sb="4" eb="5">
      <t>タイ</t>
    </rPh>
    <rPh sb="12" eb="14">
      <t>キサイ</t>
    </rPh>
    <rPh sb="16" eb="17">
      <t>レツ</t>
    </rPh>
    <phoneticPr fontId="4"/>
  </si>
  <si>
    <t>１．パターン１</t>
    <phoneticPr fontId="4"/>
  </si>
  <si>
    <t>フローのパターンごとに記載する</t>
    <rPh sb="11" eb="13">
      <t>キサイ</t>
    </rPh>
    <phoneticPr fontId="4"/>
  </si>
  <si>
    <t>得意先</t>
    <rPh sb="0" eb="3">
      <t>トクイサキ</t>
    </rPh>
    <phoneticPr fontId="4"/>
  </si>
  <si>
    <t>ITDX</t>
    <phoneticPr fontId="4"/>
  </si>
  <si>
    <t>サンスター
担当部署・
担当者</t>
  </si>
  <si>
    <t>サンスターコメント
(現状との違い、補足、その他気になること)</t>
    <rPh sb="11" eb="13">
      <t>ゲンジョウ</t>
    </rPh>
    <rPh sb="15" eb="16">
      <t>チガ</t>
    </rPh>
    <rPh sb="18" eb="20">
      <t>ホソク</t>
    </rPh>
    <rPh sb="23" eb="24">
      <t>タ</t>
    </rPh>
    <rPh sb="24" eb="25">
      <t>キ</t>
    </rPh>
    <phoneticPr fontId="4"/>
  </si>
  <si>
    <t>１．利益センタマスタ登録</t>
    <rPh sb="2" eb="4">
      <t>リエキ</t>
    </rPh>
    <rPh sb="10" eb="12">
      <t>トウロク</t>
    </rPh>
    <phoneticPr fontId="4"/>
  </si>
  <si>
    <t>１．利益センタマスタの登録</t>
    <rPh sb="2" eb="4">
      <t>リエキ</t>
    </rPh>
    <rPh sb="11" eb="13">
      <t>トウロク</t>
    </rPh>
    <phoneticPr fontId="4"/>
  </si>
  <si>
    <t>MDMにて利益センタマスタを登録する。</t>
    <rPh sb="5" eb="7">
      <t>リエキ</t>
    </rPh>
    <rPh sb="14" eb="16">
      <t>トウロク</t>
    </rPh>
    <phoneticPr fontId="4"/>
  </si>
  <si>
    <t>・機能領域</t>
    <rPh sb="1" eb="5">
      <t>キノウリョウイキ</t>
    </rPh>
    <phoneticPr fontId="4"/>
  </si>
  <si>
    <t>登録した各種分析値について、利用する法人・しない法人</t>
    <rPh sb="0" eb="2">
      <t>トウロク</t>
    </rPh>
    <rPh sb="4" eb="6">
      <t>カクシュ</t>
    </rPh>
    <rPh sb="6" eb="9">
      <t>ブンセキチ</t>
    </rPh>
    <rPh sb="14" eb="16">
      <t>リヨウ</t>
    </rPh>
    <rPh sb="18" eb="20">
      <t>ホウジン</t>
    </rPh>
    <rPh sb="24" eb="26">
      <t>ホウジン</t>
    </rPh>
    <phoneticPr fontId="4"/>
  </si>
  <si>
    <t>利益センタについて、関連する機能領域・事業領域を</t>
    <rPh sb="0" eb="2">
      <t>リエキ</t>
    </rPh>
    <rPh sb="10" eb="12">
      <t>カンレン</t>
    </rPh>
    <rPh sb="14" eb="18">
      <t>キノウリョウイキ</t>
    </rPh>
    <rPh sb="19" eb="23">
      <t>ジギョウリョウイキ</t>
    </rPh>
    <phoneticPr fontId="4"/>
  </si>
  <si>
    <t>設定する。</t>
    <rPh sb="0" eb="2">
      <t>セッテイ</t>
    </rPh>
    <phoneticPr fontId="4"/>
  </si>
  <si>
    <t>２．原価センタマスタ登録</t>
    <rPh sb="2" eb="4">
      <t>ゲンカ</t>
    </rPh>
    <rPh sb="10" eb="12">
      <t>トウロク</t>
    </rPh>
    <phoneticPr fontId="4"/>
  </si>
  <si>
    <t>※</t>
    <phoneticPr fontId="4"/>
  </si>
  <si>
    <t>本フローは、MDMからの取込について記載している</t>
    <rPh sb="0" eb="1">
      <t>ホン</t>
    </rPh>
    <rPh sb="12" eb="14">
      <t>トリコミ</t>
    </rPh>
    <rPh sb="18" eb="20">
      <t>キサイ</t>
    </rPh>
    <phoneticPr fontId="4"/>
  </si>
  <si>
    <t>利益センタは取込開始前に、手動にてFOに登録しておく</t>
    <rPh sb="0" eb="2">
      <t>リエキ</t>
    </rPh>
    <rPh sb="6" eb="8">
      <t>トリコミ</t>
    </rPh>
    <rPh sb="8" eb="10">
      <t>カイシ</t>
    </rPh>
    <rPh sb="10" eb="11">
      <t>マエ</t>
    </rPh>
    <rPh sb="13" eb="15">
      <t>シュドウ</t>
    </rPh>
    <rPh sb="20" eb="22">
      <t>トウロク</t>
    </rPh>
    <phoneticPr fontId="4"/>
  </si>
  <si>
    <t>１．原価センタマスタの登録</t>
    <rPh sb="2" eb="4">
      <t>ゲンカ</t>
    </rPh>
    <rPh sb="11" eb="13">
      <t>トウロク</t>
    </rPh>
    <phoneticPr fontId="4"/>
  </si>
  <si>
    <t>MDMにて原価センタマスタを登録する。</t>
    <rPh sb="5" eb="7">
      <t>ゲンカ</t>
    </rPh>
    <rPh sb="14" eb="16">
      <t>トウロク</t>
    </rPh>
    <phoneticPr fontId="4"/>
  </si>
  <si>
    <t>２．原価センタマスタの取込</t>
    <rPh sb="2" eb="4">
      <t>ゲンカ</t>
    </rPh>
    <rPh sb="11" eb="13">
      <t>トリコミ</t>
    </rPh>
    <phoneticPr fontId="4"/>
  </si>
  <si>
    <t>Gap</t>
    <phoneticPr fontId="4"/>
  </si>
  <si>
    <t>外部システムより、原価センタマスタを取り込む。</t>
    <rPh sb="0" eb="2">
      <t>ガイブ</t>
    </rPh>
    <rPh sb="9" eb="11">
      <t>ゲンカ</t>
    </rPh>
    <rPh sb="18" eb="19">
      <t>ト</t>
    </rPh>
    <rPh sb="20" eb="21">
      <t>コ</t>
    </rPh>
    <phoneticPr fontId="4"/>
  </si>
  <si>
    <t>取込機能が必要（IF）</t>
    <rPh sb="0" eb="2">
      <t>トリコミ</t>
    </rPh>
    <rPh sb="2" eb="4">
      <t>キノウ</t>
    </rPh>
    <rPh sb="5" eb="7">
      <t>ヒツヨウ</t>
    </rPh>
    <phoneticPr fontId="4"/>
  </si>
  <si>
    <t>MDMから連携</t>
    <rPh sb="5" eb="7">
      <t>レンケイ</t>
    </rPh>
    <phoneticPr fontId="4"/>
  </si>
  <si>
    <t>１．品目マスタ登録</t>
    <rPh sb="2" eb="4">
      <t>ヒンモク</t>
    </rPh>
    <rPh sb="7" eb="9">
      <t>トウロク</t>
    </rPh>
    <phoneticPr fontId="4"/>
  </si>
  <si>
    <t>１．品目マスタの登録</t>
    <rPh sb="2" eb="4">
      <t>ヒンモク</t>
    </rPh>
    <rPh sb="8" eb="10">
      <t>トウロク</t>
    </rPh>
    <phoneticPr fontId="4"/>
  </si>
  <si>
    <t>MDMにて品目マスタを登録する。</t>
    <rPh sb="5" eb="7">
      <t>ヒンモク</t>
    </rPh>
    <rPh sb="11" eb="13">
      <t>トウロク</t>
    </rPh>
    <phoneticPr fontId="4"/>
  </si>
  <si>
    <t>無</t>
    <rPh sb="0" eb="1">
      <t>ナシ</t>
    </rPh>
    <phoneticPr fontId="4"/>
  </si>
  <si>
    <t>単位マスタ登録有無</t>
    <rPh sb="0" eb="2">
      <t>タンイ</t>
    </rPh>
    <rPh sb="5" eb="7">
      <t>トウロク</t>
    </rPh>
    <rPh sb="7" eb="9">
      <t>ウム</t>
    </rPh>
    <phoneticPr fontId="4"/>
  </si>
  <si>
    <t>FOの単位マスタにMDMで登録されている単位の</t>
    <rPh sb="3" eb="5">
      <t>タンイ</t>
    </rPh>
    <rPh sb="13" eb="15">
      <t>トウロク</t>
    </rPh>
    <rPh sb="20" eb="22">
      <t>タンイ</t>
    </rPh>
    <phoneticPr fontId="4"/>
  </si>
  <si>
    <t>登録有無を確認する。</t>
    <rPh sb="0" eb="2">
      <t>トウロク</t>
    </rPh>
    <rPh sb="2" eb="4">
      <t>ウム</t>
    </rPh>
    <rPh sb="5" eb="7">
      <t>カクニン</t>
    </rPh>
    <phoneticPr fontId="4"/>
  </si>
  <si>
    <t>有</t>
    <rPh sb="0" eb="1">
      <t>アリ</t>
    </rPh>
    <phoneticPr fontId="4"/>
  </si>
  <si>
    <t>２．単位マスタの登録</t>
    <rPh sb="2" eb="4">
      <t>タンイ</t>
    </rPh>
    <rPh sb="8" eb="10">
      <t>トウロク</t>
    </rPh>
    <phoneticPr fontId="4"/>
  </si>
  <si>
    <t>FOにて単位マスタを登録する。</t>
    <rPh sb="4" eb="6">
      <t>タンイ</t>
    </rPh>
    <rPh sb="10" eb="12">
      <t>トウロク</t>
    </rPh>
    <phoneticPr fontId="4"/>
  </si>
  <si>
    <t>２．品目マスタ取込</t>
    <rPh sb="2" eb="4">
      <t>ヒンモク</t>
    </rPh>
    <rPh sb="7" eb="9">
      <t>トリコミ</t>
    </rPh>
    <phoneticPr fontId="4"/>
  </si>
  <si>
    <t>単位マスタは取込開始前に、手動にてFOに登録しておく</t>
    <rPh sb="0" eb="2">
      <t>タンイ</t>
    </rPh>
    <rPh sb="6" eb="8">
      <t>トリコミ</t>
    </rPh>
    <rPh sb="8" eb="10">
      <t>カイシ</t>
    </rPh>
    <rPh sb="10" eb="11">
      <t>マエ</t>
    </rPh>
    <rPh sb="13" eb="15">
      <t>シュドウ</t>
    </rPh>
    <rPh sb="20" eb="22">
      <t>トウロク</t>
    </rPh>
    <phoneticPr fontId="4"/>
  </si>
  <si>
    <t>１．品目マスタの取込</t>
    <rPh sb="2" eb="4">
      <t>ヒンモク</t>
    </rPh>
    <rPh sb="8" eb="10">
      <t>トリコミ</t>
    </rPh>
    <phoneticPr fontId="4"/>
  </si>
  <si>
    <t>外部システムより、品目マスタを取り込む</t>
    <rPh sb="0" eb="2">
      <t>ガイブ</t>
    </rPh>
    <rPh sb="9" eb="11">
      <t>ヒンモク</t>
    </rPh>
    <rPh sb="15" eb="16">
      <t>ト</t>
    </rPh>
    <rPh sb="17" eb="18">
      <t>コ</t>
    </rPh>
    <phoneticPr fontId="4"/>
  </si>
  <si>
    <t>１．販売実績データ取込</t>
    <rPh sb="2" eb="4">
      <t>ハンバイ</t>
    </rPh>
    <rPh sb="4" eb="6">
      <t>ジッセキ</t>
    </rPh>
    <rPh sb="9" eb="11">
      <t>トリコミ</t>
    </rPh>
    <phoneticPr fontId="4"/>
  </si>
  <si>
    <t>本フローは、mcframe、SEJホストで</t>
    <rPh sb="0" eb="1">
      <t>ホン</t>
    </rPh>
    <phoneticPr fontId="4"/>
  </si>
  <si>
    <t>売上計上されたデータをFOに取込する</t>
    <rPh sb="14" eb="16">
      <t>トリコミ</t>
    </rPh>
    <phoneticPr fontId="4"/>
  </si>
  <si>
    <t>１．売上対象伝票の確認</t>
    <rPh sb="2" eb="4">
      <t>ウリアゲ</t>
    </rPh>
    <rPh sb="4" eb="6">
      <t>タイショウ</t>
    </rPh>
    <rPh sb="6" eb="8">
      <t>デンピョウ</t>
    </rPh>
    <rPh sb="9" eb="11">
      <t>カクニン</t>
    </rPh>
    <phoneticPr fontId="4"/>
  </si>
  <si>
    <t>２．売上の計上</t>
    <rPh sb="2" eb="4">
      <t>ウリアゲ</t>
    </rPh>
    <rPh sb="5" eb="7">
      <t>ケイジョウ</t>
    </rPh>
    <phoneticPr fontId="4"/>
  </si>
  <si>
    <t>３．販売実績データの取込</t>
    <rPh sb="2" eb="4">
      <t>ハンバイ</t>
    </rPh>
    <rPh sb="4" eb="6">
      <t>ジッセキ</t>
    </rPh>
    <rPh sb="10" eb="12">
      <t>トリコミ</t>
    </rPh>
    <phoneticPr fontId="4"/>
  </si>
  <si>
    <t>外部システムより、売上実績データを取り込む</t>
    <rPh sb="0" eb="2">
      <t>ガイブ</t>
    </rPh>
    <rPh sb="9" eb="11">
      <t>ウリアゲ</t>
    </rPh>
    <rPh sb="11" eb="13">
      <t>ジッセキ</t>
    </rPh>
    <rPh sb="17" eb="18">
      <t>ト</t>
    </rPh>
    <rPh sb="19" eb="20">
      <t>コ</t>
    </rPh>
    <phoneticPr fontId="4"/>
  </si>
  <si>
    <t>SSJ：mcframeから連携</t>
    <rPh sb="13" eb="15">
      <t>レンケイ</t>
    </rPh>
    <phoneticPr fontId="4"/>
  </si>
  <si>
    <t>SEJ：SEJホスト（AS400）から連携</t>
    <rPh sb="19" eb="21">
      <t>レンケイ</t>
    </rPh>
    <phoneticPr fontId="4"/>
  </si>
  <si>
    <t>２．販売実績データ連携</t>
    <rPh sb="2" eb="4">
      <t>ハンバイ</t>
    </rPh>
    <rPh sb="4" eb="6">
      <t>ジッセキ</t>
    </rPh>
    <rPh sb="9" eb="11">
      <t>レンケイ</t>
    </rPh>
    <phoneticPr fontId="4"/>
  </si>
  <si>
    <t>本フローは、FOで登録された売上実績データを</t>
    <rPh sb="0" eb="1">
      <t>ホン</t>
    </rPh>
    <rPh sb="9" eb="11">
      <t>トウロク</t>
    </rPh>
    <rPh sb="14" eb="16">
      <t>ウリアゲ</t>
    </rPh>
    <rPh sb="16" eb="18">
      <t>ジッセキ</t>
    </rPh>
    <phoneticPr fontId="4"/>
  </si>
  <si>
    <t>i-PLATSへ連携する。</t>
    <rPh sb="8" eb="10">
      <t>レンケイ</t>
    </rPh>
    <phoneticPr fontId="4"/>
  </si>
  <si>
    <t>１．販売実績連携</t>
    <rPh sb="2" eb="4">
      <t>ハンバイ</t>
    </rPh>
    <rPh sb="4" eb="6">
      <t>ジッセキ</t>
    </rPh>
    <rPh sb="6" eb="8">
      <t>レンケイ</t>
    </rPh>
    <phoneticPr fontId="4"/>
  </si>
  <si>
    <t>売上実績データを外部システムへ連携する</t>
    <rPh sb="0" eb="2">
      <t>ウリアゲ</t>
    </rPh>
    <rPh sb="2" eb="4">
      <t>ジッセキ</t>
    </rPh>
    <rPh sb="8" eb="10">
      <t>ガイブ</t>
    </rPh>
    <rPh sb="15" eb="17">
      <t>レンケイ</t>
    </rPh>
    <phoneticPr fontId="4"/>
  </si>
  <si>
    <t>i-PLATS：FOから連携</t>
    <rPh sb="12" eb="14">
      <t>レンケイ</t>
    </rPh>
    <phoneticPr fontId="4"/>
  </si>
  <si>
    <t>4．使用法人の設定</t>
    <rPh sb="2" eb="4">
      <t>シヨウ</t>
    </rPh>
    <rPh sb="4" eb="6">
      <t>ホウジン</t>
    </rPh>
    <rPh sb="7" eb="9">
      <t>セッテイ</t>
    </rPh>
    <phoneticPr fontId="4"/>
  </si>
  <si>
    <t>5．関連分析コードの設定</t>
    <rPh sb="2" eb="4">
      <t>カンレン</t>
    </rPh>
    <rPh sb="4" eb="6">
      <t>ブンセキ</t>
    </rPh>
    <rPh sb="10" eb="12">
      <t>セッテイ</t>
    </rPh>
    <phoneticPr fontId="4"/>
  </si>
  <si>
    <t>２．利益センタの登録</t>
    <rPh sb="2" eb="4">
      <t>リエキ</t>
    </rPh>
    <rPh sb="8" eb="10">
      <t>トウロク</t>
    </rPh>
    <phoneticPr fontId="4"/>
  </si>
  <si>
    <t>シート：1.利益センタ・原価センタマスタ登録</t>
    <phoneticPr fontId="4"/>
  </si>
  <si>
    <t>MDMで登録した利益センタを作業単位に登録する。</t>
    <rPh sb="4" eb="6">
      <t>トウロク</t>
    </rPh>
    <rPh sb="8" eb="10">
      <t>リエキ</t>
    </rPh>
    <rPh sb="14" eb="18">
      <t>サギョウタンイ</t>
    </rPh>
    <rPh sb="19" eb="21">
      <t>トウロク</t>
    </rPh>
    <phoneticPr fontId="4"/>
  </si>
  <si>
    <t>３．機能領域・事業領域の登録</t>
    <rPh sb="2" eb="6">
      <t>キノウリョウイキ</t>
    </rPh>
    <rPh sb="7" eb="11">
      <t>ジギョウリョウイキ</t>
    </rPh>
    <rPh sb="12" eb="14">
      <t>トウロク</t>
    </rPh>
    <phoneticPr fontId="4"/>
  </si>
  <si>
    <t>MDMで登録した機能領域・事業領域を登録する。</t>
    <rPh sb="4" eb="6">
      <t>トウロク</t>
    </rPh>
    <rPh sb="8" eb="12">
      <t>キノウリョウイキ</t>
    </rPh>
    <rPh sb="13" eb="17">
      <t>ジギョウリョウイキ</t>
    </rPh>
    <rPh sb="18" eb="20">
      <t>トウロク</t>
    </rPh>
    <phoneticPr fontId="4"/>
  </si>
  <si>
    <t>JBS加藤</t>
    <rPh sb="3" eb="5">
      <t>カトウ</t>
    </rPh>
    <phoneticPr fontId="4"/>
  </si>
  <si>
    <t>1.1</t>
    <phoneticPr fontId="4"/>
  </si>
  <si>
    <t>※新規登録がなければスキップ</t>
    <rPh sb="1" eb="3">
      <t>シンキ</t>
    </rPh>
    <rPh sb="3" eb="5">
      <t>トウロク</t>
    </rPh>
    <phoneticPr fontId="4"/>
  </si>
  <si>
    <t>＜分析軸＞</t>
    <rPh sb="1" eb="3">
      <t>ブンセキ</t>
    </rPh>
    <rPh sb="3" eb="4">
      <t>ジク</t>
    </rPh>
    <phoneticPr fontId="4"/>
  </si>
  <si>
    <t>・利益センタ</t>
    <rPh sb="1" eb="3">
      <t>リエキ</t>
    </rPh>
    <phoneticPr fontId="4"/>
  </si>
  <si>
    <t>・事業領域</t>
    <rPh sb="1" eb="5">
      <t>ジギョウリョウイキ</t>
    </rPh>
    <phoneticPr fontId="4"/>
  </si>
  <si>
    <t>を設定する。（法人の上書きへの設定）</t>
    <rPh sb="1" eb="3">
      <t>セッテイ</t>
    </rPh>
    <rPh sb="7" eb="9">
      <t>ホウジン</t>
    </rPh>
    <rPh sb="10" eb="12">
      <t>ウワガ</t>
    </rPh>
    <rPh sb="15" eb="17">
      <t>セッテイ</t>
    </rPh>
    <phoneticPr fontId="4"/>
  </si>
  <si>
    <t>１．利益センタマスタ登録
　・作業単位の登録に機能領域・事業領域も含めて記載されていたため、別プロセスに変更
　・機能名修正　※FOメニューの機能名がわかるように修正</t>
    <rPh sb="15" eb="17">
      <t>サギョウ</t>
    </rPh>
    <rPh sb="17" eb="19">
      <t>タンイ</t>
    </rPh>
    <rPh sb="20" eb="22">
      <t>トウロク</t>
    </rPh>
    <rPh sb="23" eb="27">
      <t>キノウリョウイキ</t>
    </rPh>
    <rPh sb="28" eb="32">
      <t>ジギョウリョウイキ</t>
    </rPh>
    <rPh sb="33" eb="34">
      <t>フク</t>
    </rPh>
    <rPh sb="36" eb="38">
      <t>キサイ</t>
    </rPh>
    <rPh sb="46" eb="47">
      <t>ベツ</t>
    </rPh>
    <rPh sb="52" eb="54">
      <t>ヘンコウ</t>
    </rPh>
    <rPh sb="57" eb="60">
      <t>キノウメイ</t>
    </rPh>
    <rPh sb="60" eb="62">
      <t>シュウセイ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</si>
</sst>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/d;@"/>
  </numFmts>
  <fonts count="33" x14ac:knownFonts="1">
    <font>
      <sz val="10"/>
      <color theme="1"/>
      <name val="Meiryo UI"/>
      <family val="2"/>
      <charset val="128"/>
    </font>
    <font>
      <sz val="11"/>
      <color theme="1"/>
      <name val="Meiryo UI"/>
      <family val="2"/>
      <charset val="128"/>
      <scheme val="minor"/>
    </font>
    <font>
      <sz val="11"/>
      <color theme="1"/>
      <name val="Meiryo UI"/>
      <family val="2"/>
      <charset val="128"/>
      <scheme val="minor"/>
    </font>
    <font>
      <sz val="11"/>
      <color theme="1"/>
      <name val="Meiryo UI"/>
      <family val="2"/>
      <charset val="128"/>
      <scheme val="minor"/>
    </font>
    <font>
      <sz val="6"/>
      <name val="Meiryo UI"/>
      <family val="2"/>
      <charset val="128"/>
    </font>
    <font>
      <sz val="6"/>
      <name val="Meiryo UI"/>
      <family val="3"/>
      <charset val="128"/>
      <scheme val="minor"/>
    </font>
    <font>
      <sz val="10"/>
      <color theme="1"/>
      <name val="Meiryo UI"/>
      <family val="3"/>
      <charset val="128"/>
    </font>
    <font>
      <b/>
      <sz val="10"/>
      <color theme="0"/>
      <name val="Meiryo UI"/>
      <family val="3"/>
      <charset val="128"/>
    </font>
    <font>
      <sz val="10"/>
      <name val="Meiryo UI"/>
      <family val="3"/>
      <charset val="128"/>
    </font>
    <font>
      <sz val="18"/>
      <color theme="3"/>
      <name val="Meiryo UI"/>
      <family val="2"/>
      <charset val="128"/>
      <scheme val="major"/>
    </font>
    <font>
      <b/>
      <sz val="10"/>
      <color theme="0"/>
      <name val="Meiryo UI"/>
      <family val="2"/>
      <charset val="128"/>
    </font>
    <font>
      <b/>
      <u/>
      <sz val="10"/>
      <color theme="1"/>
      <name val="Meiryo UI"/>
      <family val="3"/>
      <charset val="128"/>
    </font>
    <font>
      <sz val="6"/>
      <name val="ＭＳ Ｐゴシック"/>
      <family val="3"/>
      <charset val="128"/>
    </font>
    <font>
      <sz val="10"/>
      <color theme="1"/>
      <name val="Meiryo UI"/>
      <family val="2"/>
      <charset val="128"/>
    </font>
    <font>
      <b/>
      <sz val="10"/>
      <name val="Meiryo UI"/>
      <family val="3"/>
      <charset val="128"/>
    </font>
    <font>
      <sz val="10"/>
      <name val="Arial"/>
      <family val="2"/>
      <charset val="238"/>
    </font>
    <font>
      <sz val="11"/>
      <color theme="1"/>
      <name val="Meiryo UI"/>
      <family val="2"/>
      <scheme val="minor"/>
    </font>
    <font>
      <sz val="11"/>
      <color theme="1"/>
      <name val="Meiryo UI"/>
      <family val="3"/>
      <charset val="128"/>
    </font>
    <font>
      <u/>
      <sz val="11"/>
      <color theme="1"/>
      <name val="Meiryo UI"/>
      <family val="3"/>
      <charset val="128"/>
    </font>
    <font>
      <sz val="18"/>
      <color theme="1"/>
      <name val="Meiryo UI"/>
      <family val="3"/>
      <charset val="128"/>
    </font>
    <font>
      <sz val="16"/>
      <color theme="1"/>
      <name val="Meiryo UI"/>
      <family val="3"/>
      <charset val="128"/>
    </font>
    <font>
      <sz val="20"/>
      <color theme="1"/>
      <name val="Meiryo UI"/>
      <family val="3"/>
      <charset val="128"/>
    </font>
    <font>
      <sz val="12"/>
      <color theme="1"/>
      <name val="Meiryo UI"/>
      <family val="3"/>
      <charset val="128"/>
    </font>
    <font>
      <sz val="10"/>
      <color theme="0"/>
      <name val="Meiryo UI"/>
      <family val="3"/>
      <charset val="128"/>
    </font>
    <font>
      <sz val="10"/>
      <color indexed="8"/>
      <name val="Meiryo UI"/>
      <family val="3"/>
      <charset val="128"/>
    </font>
    <font>
      <sz val="6"/>
      <name val="メイリオ"/>
      <family val="2"/>
      <charset val="128"/>
    </font>
    <font>
      <sz val="6"/>
      <name val="ＭＳ ゴシック"/>
      <family val="3"/>
      <charset val="128"/>
    </font>
    <font>
      <b/>
      <u/>
      <sz val="10"/>
      <name val="Meiryo UI"/>
      <family val="3"/>
      <charset val="128"/>
    </font>
    <font>
      <sz val="11"/>
      <name val="ＭＳ Ｐゴシック"/>
      <family val="3"/>
      <charset val="128"/>
    </font>
    <font>
      <sz val="11"/>
      <color theme="1"/>
      <name val="Arial"/>
      <family val="2"/>
      <charset val="128"/>
    </font>
    <font>
      <b/>
      <sz val="8"/>
      <name val="Meiryo UI"/>
      <family val="3"/>
      <charset val="128"/>
    </font>
    <font>
      <b/>
      <sz val="10"/>
      <color theme="1"/>
      <name val="Meiryo UI"/>
      <family val="3"/>
      <charset val="128"/>
    </font>
    <font>
      <b/>
      <sz val="10"/>
      <color rgb="FFFF0000"/>
      <name val="Meiryo UI"/>
      <family val="3"/>
      <charset val="128"/>
    </font>
  </fonts>
  <fills count="1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9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2F75B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EDB3"/>
        <bgColor indexed="64"/>
      </patternFill>
    </fill>
    <fill>
      <patternFill patternType="solid">
        <fgColor theme="4" tint="0.79998168889431442"/>
        <bgColor indexed="64"/>
      </patternFill>
    </fill>
  </fills>
  <borders count="62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theme="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theme="0" tint="-0.499984740745262"/>
      </right>
      <top style="medium">
        <color indexed="64"/>
      </top>
      <bottom style="medium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medium">
        <color indexed="64"/>
      </top>
      <bottom style="medium">
        <color indexed="64"/>
      </bottom>
      <diagonal/>
    </border>
    <border>
      <left style="thin">
        <color theme="0" tint="-0.499984740745262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theme="0" tint="-0.499984740745262"/>
      </right>
      <top style="medium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medium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indexed="64"/>
      </right>
      <top style="medium">
        <color indexed="64"/>
      </top>
      <bottom style="thin">
        <color theme="0" tint="-0.499984740745262"/>
      </bottom>
      <diagonal/>
    </border>
    <border>
      <left style="medium">
        <color indexed="64"/>
      </left>
      <right/>
      <top style="medium">
        <color indexed="64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medium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medium">
        <color indexed="64"/>
      </top>
      <bottom style="thin">
        <color theme="0" tint="-0.499984740745262"/>
      </bottom>
      <diagonal/>
    </border>
    <border>
      <left/>
      <right/>
      <top style="medium">
        <color indexed="64"/>
      </top>
      <bottom style="thin">
        <color theme="0" tint="-0.499984740745262"/>
      </bottom>
      <diagonal/>
    </border>
    <border>
      <left/>
      <right style="medium">
        <color indexed="64"/>
      </right>
      <top style="medium">
        <color indexed="64"/>
      </top>
      <bottom style="thin">
        <color theme="0" tint="-0.499984740745262"/>
      </bottom>
      <diagonal/>
    </border>
    <border>
      <left style="medium">
        <color indexed="64"/>
      </left>
      <right/>
      <top style="medium">
        <color indexed="64"/>
      </top>
      <bottom style="thin">
        <color theme="1" tint="0.499984740745262"/>
      </bottom>
      <diagonal/>
    </border>
    <border>
      <left/>
      <right/>
      <top style="medium">
        <color indexed="64"/>
      </top>
      <bottom style="thin">
        <color theme="1" tint="0.499984740745262"/>
      </bottom>
      <diagonal/>
    </border>
    <border>
      <left/>
      <right style="medium">
        <color indexed="64"/>
      </right>
      <top style="medium">
        <color indexed="64"/>
      </top>
      <bottom style="thin">
        <color theme="1" tint="0.499984740745262"/>
      </bottom>
      <diagonal/>
    </border>
    <border>
      <left style="medium">
        <color indexed="64"/>
      </left>
      <right style="thin">
        <color theme="0" tint="-0.499984740745262"/>
      </right>
      <top style="thin">
        <color theme="0" tint="-0.499984740745262"/>
      </top>
      <bottom style="medium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medium">
        <color indexed="64"/>
      </bottom>
      <diagonal/>
    </border>
    <border>
      <left style="thin">
        <color theme="0" tint="-0.499984740745262"/>
      </left>
      <right style="medium">
        <color indexed="64"/>
      </right>
      <top style="thin">
        <color theme="0" tint="-0.499984740745262"/>
      </top>
      <bottom style="medium">
        <color indexed="64"/>
      </bottom>
      <diagonal/>
    </border>
    <border>
      <left style="medium">
        <color indexed="64"/>
      </left>
      <right/>
      <top style="thin">
        <color theme="0" tint="-0.499984740745262"/>
      </top>
      <bottom style="medium">
        <color indexed="64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medium">
        <color indexed="64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medium">
        <color indexed="64"/>
      </bottom>
      <diagonal/>
    </border>
    <border>
      <left/>
      <right/>
      <top style="thin">
        <color theme="0" tint="-0.499984740745262"/>
      </top>
      <bottom style="medium">
        <color indexed="64"/>
      </bottom>
      <diagonal/>
    </border>
    <border>
      <left/>
      <right style="medium">
        <color indexed="64"/>
      </right>
      <top style="thin">
        <color theme="0" tint="-0.499984740745262"/>
      </top>
      <bottom style="medium">
        <color indexed="64"/>
      </bottom>
      <diagonal/>
    </border>
    <border>
      <left style="medium">
        <color indexed="64"/>
      </left>
      <right/>
      <top style="thin">
        <color theme="1" tint="0.499984740745262"/>
      </top>
      <bottom style="medium">
        <color indexed="64"/>
      </bottom>
      <diagonal/>
    </border>
    <border>
      <left/>
      <right/>
      <top style="thin">
        <color theme="1" tint="0.499984740745262"/>
      </top>
      <bottom style="medium">
        <color indexed="64"/>
      </bottom>
      <diagonal/>
    </border>
    <border>
      <left/>
      <right style="medium">
        <color indexed="64"/>
      </right>
      <top style="thin">
        <color theme="1" tint="0.499984740745262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/>
      <bottom style="thin">
        <color theme="0" tint="-0.499984740745262"/>
      </bottom>
      <diagonal/>
    </border>
    <border>
      <left style="medium">
        <color auto="1"/>
      </left>
      <right style="medium">
        <color auto="1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auto="1"/>
      </left>
      <right style="medium">
        <color auto="1"/>
      </right>
      <top style="thin">
        <color theme="0" tint="-0.499984740745262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3">
    <xf numFmtId="0" fontId="0" fillId="0" borderId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0" applyNumberFormat="0" applyBorder="0" applyProtection="0">
      <alignment horizontal="center" vertical="center"/>
    </xf>
    <xf numFmtId="0" fontId="10" fillId="4" borderId="0" applyNumberFormat="0" applyBorder="0" applyProtection="0">
      <alignment horizontal="center" vertical="center"/>
    </xf>
    <xf numFmtId="0" fontId="10" fillId="5" borderId="0" applyNumberFormat="0" applyBorder="0" applyProtection="0">
      <alignment horizontal="center" vertical="center"/>
    </xf>
    <xf numFmtId="0" fontId="10" fillId="6" borderId="0" applyNumberFormat="0" applyBorder="0" applyProtection="0">
      <alignment horizontal="center" vertical="center"/>
    </xf>
    <xf numFmtId="0" fontId="10" fillId="8" borderId="0" applyNumberFormat="0" applyBorder="0" applyProtection="0">
      <alignment horizontal="center" vertical="center"/>
    </xf>
    <xf numFmtId="0" fontId="10" fillId="7" borderId="0" applyNumberFormat="0" applyBorder="0" applyProtection="0">
      <alignment horizontal="center" vertical="center"/>
    </xf>
    <xf numFmtId="0" fontId="13" fillId="0" borderId="0">
      <alignment vertical="center"/>
    </xf>
    <xf numFmtId="0" fontId="15" fillId="0" borderId="0"/>
    <xf numFmtId="0" fontId="16" fillId="0" borderId="0"/>
    <xf numFmtId="0" fontId="13" fillId="0" borderId="0">
      <alignment vertical="center"/>
    </xf>
    <xf numFmtId="0" fontId="16" fillId="0" borderId="0"/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28" fillId="0" borderId="0">
      <alignment vertical="center"/>
    </xf>
    <xf numFmtId="0" fontId="29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</cellStyleXfs>
  <cellXfs count="230">
    <xf numFmtId="0" fontId="0" fillId="0" borderId="0" xfId="0">
      <alignment vertical="center"/>
    </xf>
    <xf numFmtId="0" fontId="17" fillId="0" borderId="0" xfId="10" applyFont="1"/>
    <xf numFmtId="0" fontId="18" fillId="0" borderId="0" xfId="10" applyFont="1"/>
    <xf numFmtId="0" fontId="19" fillId="0" borderId="0" xfId="10" applyFont="1"/>
    <xf numFmtId="0" fontId="19" fillId="0" borderId="4" xfId="10" applyFont="1" applyBorder="1"/>
    <xf numFmtId="0" fontId="6" fillId="0" borderId="0" xfId="11" applyFont="1" applyAlignment="1"/>
    <xf numFmtId="0" fontId="8" fillId="0" borderId="0" xfId="11" applyFont="1" applyAlignment="1"/>
    <xf numFmtId="0" fontId="6" fillId="0" borderId="6" xfId="11" applyFont="1" applyBorder="1" applyAlignment="1"/>
    <xf numFmtId="0" fontId="6" fillId="0" borderId="0" xfId="10" applyFont="1"/>
    <xf numFmtId="0" fontId="6" fillId="0" borderId="6" xfId="10" applyFont="1" applyBorder="1"/>
    <xf numFmtId="0" fontId="6" fillId="0" borderId="2" xfId="10" applyFont="1" applyBorder="1"/>
    <xf numFmtId="0" fontId="8" fillId="0" borderId="0" xfId="10" applyFont="1"/>
    <xf numFmtId="0" fontId="8" fillId="0" borderId="0" xfId="10" applyFont="1" applyAlignment="1">
      <alignment vertical="center"/>
    </xf>
    <xf numFmtId="0" fontId="8" fillId="0" borderId="1" xfId="10" applyFont="1" applyBorder="1"/>
    <xf numFmtId="0" fontId="6" fillId="0" borderId="1" xfId="10" applyFont="1" applyBorder="1"/>
    <xf numFmtId="0" fontId="6" fillId="0" borderId="3" xfId="10" applyFont="1" applyBorder="1"/>
    <xf numFmtId="0" fontId="11" fillId="0" borderId="0" xfId="10" applyFont="1"/>
    <xf numFmtId="0" fontId="8" fillId="0" borderId="0" xfId="0" applyFont="1">
      <alignment vertical="center"/>
    </xf>
    <xf numFmtId="0" fontId="0" fillId="0" borderId="1" xfId="0" applyBorder="1">
      <alignment vertical="center"/>
    </xf>
    <xf numFmtId="0" fontId="7" fillId="0" borderId="1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27" fillId="0" borderId="0" xfId="10" applyFont="1"/>
    <xf numFmtId="0" fontId="7" fillId="9" borderId="0" xfId="0" applyFont="1" applyFill="1" applyAlignment="1">
      <alignment horizontal="center" vertical="center"/>
    </xf>
    <xf numFmtId="0" fontId="6" fillId="0" borderId="43" xfId="10" applyFont="1" applyBorder="1"/>
    <xf numFmtId="0" fontId="14" fillId="0" borderId="43" xfId="10" applyFont="1" applyBorder="1" applyAlignment="1">
      <alignment vertical="center"/>
    </xf>
    <xf numFmtId="0" fontId="7" fillId="0" borderId="43" xfId="0" applyFont="1" applyBorder="1" applyAlignment="1">
      <alignment horizontal="left" vertical="center"/>
    </xf>
    <xf numFmtId="0" fontId="7" fillId="0" borderId="43" xfId="0" applyFont="1" applyBorder="1" applyAlignment="1">
      <alignment horizontal="center" vertical="center"/>
    </xf>
    <xf numFmtId="0" fontId="8" fillId="0" borderId="43" xfId="10" applyFont="1" applyBorder="1" applyAlignment="1">
      <alignment vertical="center"/>
    </xf>
    <xf numFmtId="0" fontId="0" fillId="0" borderId="43" xfId="0" applyBorder="1">
      <alignment vertical="center"/>
    </xf>
    <xf numFmtId="0" fontId="8" fillId="0" borderId="43" xfId="10" applyFont="1" applyBorder="1"/>
    <xf numFmtId="0" fontId="17" fillId="0" borderId="43" xfId="10" applyFont="1" applyBorder="1"/>
    <xf numFmtId="0" fontId="17" fillId="0" borderId="43" xfId="10" applyFont="1" applyBorder="1" applyAlignment="1">
      <alignment vertical="center"/>
    </xf>
    <xf numFmtId="0" fontId="8" fillId="0" borderId="43" xfId="0" applyFont="1" applyBorder="1">
      <alignment vertical="center"/>
    </xf>
    <xf numFmtId="0" fontId="23" fillId="10" borderId="45" xfId="12" applyFont="1" applyFill="1" applyBorder="1" applyAlignment="1">
      <alignment vertical="center"/>
    </xf>
    <xf numFmtId="0" fontId="23" fillId="10" borderId="48" xfId="12" applyFont="1" applyFill="1" applyBorder="1" applyAlignment="1">
      <alignment vertical="center"/>
    </xf>
    <xf numFmtId="0" fontId="7" fillId="9" borderId="45" xfId="0" applyFont="1" applyFill="1" applyBorder="1" applyAlignment="1">
      <alignment horizontal="left" vertical="center"/>
    </xf>
    <xf numFmtId="0" fontId="14" fillId="14" borderId="45" xfId="0" applyFont="1" applyFill="1" applyBorder="1">
      <alignment vertical="center"/>
    </xf>
    <xf numFmtId="0" fontId="14" fillId="14" borderId="48" xfId="0" applyFont="1" applyFill="1" applyBorder="1">
      <alignment vertical="center"/>
    </xf>
    <xf numFmtId="0" fontId="7" fillId="9" borderId="48" xfId="0" applyFont="1" applyFill="1" applyBorder="1" applyAlignment="1">
      <alignment horizontal="center" vertical="center"/>
    </xf>
    <xf numFmtId="0" fontId="7" fillId="0" borderId="49" xfId="0" applyFont="1" applyBorder="1" applyAlignment="1">
      <alignment horizontal="left" vertical="center"/>
    </xf>
    <xf numFmtId="0" fontId="7" fillId="0" borderId="46" xfId="0" applyFont="1" applyBorder="1" applyAlignment="1">
      <alignment horizontal="center" vertical="center"/>
    </xf>
    <xf numFmtId="0" fontId="7" fillId="0" borderId="47" xfId="0" applyFont="1" applyBorder="1" applyAlignment="1">
      <alignment horizontal="center" vertical="center"/>
    </xf>
    <xf numFmtId="0" fontId="7" fillId="0" borderId="49" xfId="0" applyFont="1" applyBorder="1" applyAlignment="1">
      <alignment horizontal="center" vertical="center"/>
    </xf>
    <xf numFmtId="0" fontId="8" fillId="0" borderId="49" xfId="0" applyFont="1" applyBorder="1">
      <alignment vertical="center"/>
    </xf>
    <xf numFmtId="0" fontId="8" fillId="0" borderId="46" xfId="0" applyFont="1" applyBorder="1">
      <alignment vertical="center"/>
    </xf>
    <xf numFmtId="0" fontId="6" fillId="0" borderId="51" xfId="10" applyFont="1" applyBorder="1"/>
    <xf numFmtId="0" fontId="23" fillId="10" borderId="50" xfId="12" applyFont="1" applyFill="1" applyBorder="1" applyAlignment="1">
      <alignment vertical="center"/>
    </xf>
    <xf numFmtId="0" fontId="7" fillId="9" borderId="50" xfId="0" applyFont="1" applyFill="1" applyBorder="1" applyAlignment="1">
      <alignment horizontal="center" vertical="center"/>
    </xf>
    <xf numFmtId="0" fontId="14" fillId="14" borderId="50" xfId="0" applyFont="1" applyFill="1" applyBorder="1">
      <alignment vertical="center"/>
    </xf>
    <xf numFmtId="0" fontId="8" fillId="0" borderId="54" xfId="10" applyFont="1" applyBorder="1"/>
    <xf numFmtId="0" fontId="8" fillId="0" borderId="55" xfId="10" applyFont="1" applyBorder="1"/>
    <xf numFmtId="0" fontId="8" fillId="0" borderId="56" xfId="10" applyFont="1" applyBorder="1"/>
    <xf numFmtId="0" fontId="8" fillId="0" borderId="57" xfId="10" applyFont="1" applyBorder="1"/>
    <xf numFmtId="0" fontId="8" fillId="0" borderId="58" xfId="10" applyFont="1" applyBorder="1"/>
    <xf numFmtId="0" fontId="6" fillId="0" borderId="57" xfId="10" applyFont="1" applyBorder="1"/>
    <xf numFmtId="0" fontId="6" fillId="0" borderId="58" xfId="10" applyFont="1" applyBorder="1"/>
    <xf numFmtId="0" fontId="6" fillId="0" borderId="59" xfId="10" applyFont="1" applyBorder="1"/>
    <xf numFmtId="0" fontId="6" fillId="0" borderId="60" xfId="10" applyFont="1" applyBorder="1"/>
    <xf numFmtId="0" fontId="6" fillId="0" borderId="61" xfId="10" applyFont="1" applyBorder="1"/>
    <xf numFmtId="0" fontId="31" fillId="0" borderId="43" xfId="10" applyFont="1" applyBorder="1"/>
    <xf numFmtId="0" fontId="17" fillId="0" borderId="43" xfId="12" applyFont="1" applyBorder="1" applyAlignment="1">
      <alignment vertical="center"/>
    </xf>
    <xf numFmtId="0" fontId="17" fillId="0" borderId="0" xfId="12" applyFont="1"/>
    <xf numFmtId="0" fontId="8" fillId="0" borderId="57" xfId="10" applyFont="1" applyBorder="1" applyAlignment="1">
      <alignment horizontal="left"/>
    </xf>
    <xf numFmtId="0" fontId="8" fillId="0" borderId="0" xfId="10" applyFont="1" applyAlignment="1">
      <alignment horizontal="left"/>
    </xf>
    <xf numFmtId="0" fontId="8" fillId="0" borderId="58" xfId="10" applyFont="1" applyBorder="1" applyAlignment="1">
      <alignment horizontal="left"/>
    </xf>
    <xf numFmtId="0" fontId="7" fillId="9" borderId="50" xfId="0" applyFont="1" applyFill="1" applyBorder="1">
      <alignment vertical="center"/>
    </xf>
    <xf numFmtId="0" fontId="6" fillId="0" borderId="0" xfId="10" applyFont="1" applyAlignment="1">
      <alignment horizontal="left"/>
    </xf>
    <xf numFmtId="0" fontId="8" fillId="0" borderId="43" xfId="0" applyFont="1" applyBorder="1" applyAlignment="1">
      <alignment horizontal="center" vertical="center"/>
    </xf>
    <xf numFmtId="0" fontId="27" fillId="0" borderId="0" xfId="0" applyFont="1">
      <alignment vertical="center"/>
    </xf>
    <xf numFmtId="0" fontId="8" fillId="0" borderId="0" xfId="0" applyFont="1" applyAlignment="1">
      <alignment horizontal="center" vertical="center"/>
    </xf>
    <xf numFmtId="0" fontId="7" fillId="12" borderId="45" xfId="0" applyFont="1" applyFill="1" applyBorder="1" applyAlignment="1">
      <alignment horizontal="left" vertical="center"/>
    </xf>
    <xf numFmtId="0" fontId="7" fillId="12" borderId="50" xfId="0" applyFont="1" applyFill="1" applyBorder="1" applyAlignment="1">
      <alignment horizontal="center" vertical="center"/>
    </xf>
    <xf numFmtId="0" fontId="7" fillId="12" borderId="48" xfId="0" applyFont="1" applyFill="1" applyBorder="1" applyAlignment="1">
      <alignment horizontal="center" vertical="center"/>
    </xf>
    <xf numFmtId="0" fontId="8" fillId="12" borderId="1" xfId="10" applyFont="1" applyFill="1" applyBorder="1"/>
    <xf numFmtId="0" fontId="8" fillId="12" borderId="0" xfId="10" applyFont="1" applyFill="1"/>
    <xf numFmtId="0" fontId="8" fillId="12" borderId="54" xfId="10" applyFont="1" applyFill="1" applyBorder="1"/>
    <xf numFmtId="0" fontId="8" fillId="12" borderId="55" xfId="10" applyFont="1" applyFill="1" applyBorder="1"/>
    <xf numFmtId="0" fontId="8" fillId="12" borderId="56" xfId="10" applyFont="1" applyFill="1" applyBorder="1"/>
    <xf numFmtId="0" fontId="6" fillId="12" borderId="43" xfId="10" applyFont="1" applyFill="1" applyBorder="1"/>
    <xf numFmtId="0" fontId="6" fillId="12" borderId="0" xfId="10" applyFont="1" applyFill="1"/>
    <xf numFmtId="0" fontId="6" fillId="12" borderId="1" xfId="10" applyFont="1" applyFill="1" applyBorder="1"/>
    <xf numFmtId="0" fontId="0" fillId="12" borderId="1" xfId="0" applyFill="1" applyBorder="1">
      <alignment vertical="center"/>
    </xf>
    <xf numFmtId="0" fontId="6" fillId="12" borderId="57" xfId="10" applyFont="1" applyFill="1" applyBorder="1"/>
    <xf numFmtId="0" fontId="6" fillId="12" borderId="58" xfId="10" applyFont="1" applyFill="1" applyBorder="1"/>
    <xf numFmtId="0" fontId="8" fillId="12" borderId="0" xfId="0" applyFont="1" applyFill="1">
      <alignment vertical="center"/>
    </xf>
    <xf numFmtId="0" fontId="31" fillId="12" borderId="43" xfId="10" applyFont="1" applyFill="1" applyBorder="1"/>
    <xf numFmtId="0" fontId="11" fillId="12" borderId="0" xfId="10" applyFont="1" applyFill="1"/>
    <xf numFmtId="0" fontId="32" fillId="12" borderId="0" xfId="10" applyFont="1" applyFill="1"/>
    <xf numFmtId="0" fontId="6" fillId="12" borderId="51" xfId="10" applyFont="1" applyFill="1" applyBorder="1"/>
    <xf numFmtId="0" fontId="6" fillId="12" borderId="2" xfId="10" applyFont="1" applyFill="1" applyBorder="1"/>
    <xf numFmtId="0" fontId="6" fillId="12" borderId="3" xfId="10" applyFont="1" applyFill="1" applyBorder="1"/>
    <xf numFmtId="0" fontId="6" fillId="12" borderId="59" xfId="10" applyFont="1" applyFill="1" applyBorder="1"/>
    <xf numFmtId="0" fontId="6" fillId="12" borderId="60" xfId="10" applyFont="1" applyFill="1" applyBorder="1"/>
    <xf numFmtId="0" fontId="6" fillId="12" borderId="61" xfId="10" applyFont="1" applyFill="1" applyBorder="1"/>
    <xf numFmtId="0" fontId="22" fillId="0" borderId="0" xfId="10" applyFont="1" applyAlignment="1">
      <alignment horizontal="center" vertical="center"/>
    </xf>
    <xf numFmtId="0" fontId="20" fillId="0" borderId="0" xfId="10" applyFont="1" applyAlignment="1">
      <alignment horizontal="center"/>
    </xf>
    <xf numFmtId="0" fontId="20" fillId="0" borderId="4" xfId="10" applyFont="1" applyBorder="1" applyAlignment="1">
      <alignment horizontal="center"/>
    </xf>
    <xf numFmtId="0" fontId="21" fillId="0" borderId="49" xfId="12" applyFont="1" applyBorder="1" applyAlignment="1">
      <alignment horizontal="center" vertical="center"/>
    </xf>
    <xf numFmtId="0" fontId="21" fillId="0" borderId="46" xfId="12" applyFont="1" applyBorder="1" applyAlignment="1">
      <alignment horizontal="center" vertical="center"/>
    </xf>
    <xf numFmtId="0" fontId="21" fillId="0" borderId="47" xfId="12" applyFont="1" applyBorder="1" applyAlignment="1">
      <alignment horizontal="center" vertical="center"/>
    </xf>
    <xf numFmtId="0" fontId="21" fillId="0" borderId="43" xfId="12" applyFont="1" applyBorder="1" applyAlignment="1">
      <alignment horizontal="center" vertical="center"/>
    </xf>
    <xf numFmtId="0" fontId="21" fillId="0" borderId="0" xfId="12" applyFont="1" applyAlignment="1">
      <alignment horizontal="center" vertical="center"/>
    </xf>
    <xf numFmtId="0" fontId="21" fillId="0" borderId="1" xfId="12" applyFont="1" applyBorder="1" applyAlignment="1">
      <alignment horizontal="center" vertical="center"/>
    </xf>
    <xf numFmtId="0" fontId="20" fillId="0" borderId="43" xfId="10" applyFont="1" applyBorder="1" applyAlignment="1">
      <alignment horizontal="center" vertical="center"/>
    </xf>
    <xf numFmtId="0" fontId="20" fillId="0" borderId="0" xfId="10" applyFont="1" applyAlignment="1">
      <alignment horizontal="center" vertical="center"/>
    </xf>
    <xf numFmtId="0" fontId="20" fillId="0" borderId="1" xfId="10" applyFont="1" applyBorder="1" applyAlignment="1">
      <alignment horizontal="center" vertical="center"/>
    </xf>
    <xf numFmtId="0" fontId="20" fillId="0" borderId="51" xfId="10" applyFont="1" applyBorder="1" applyAlignment="1">
      <alignment horizontal="center" vertical="center"/>
    </xf>
    <xf numFmtId="0" fontId="20" fillId="0" borderId="2" xfId="10" applyFont="1" applyBorder="1" applyAlignment="1">
      <alignment horizontal="center" vertical="center"/>
    </xf>
    <xf numFmtId="0" fontId="20" fillId="0" borderId="3" xfId="10" applyFont="1" applyBorder="1" applyAlignment="1">
      <alignment horizontal="center" vertical="center"/>
    </xf>
    <xf numFmtId="14" fontId="22" fillId="0" borderId="0" xfId="10" applyNumberFormat="1" applyFont="1" applyAlignment="1">
      <alignment horizontal="center" vertical="center"/>
    </xf>
    <xf numFmtId="0" fontId="17" fillId="0" borderId="49" xfId="12" applyFont="1" applyBorder="1" applyAlignment="1">
      <alignment horizontal="center" vertical="center" wrapText="1"/>
    </xf>
    <xf numFmtId="0" fontId="17" fillId="0" borderId="46" xfId="12" applyFont="1" applyBorder="1" applyAlignment="1">
      <alignment horizontal="center" vertical="center"/>
    </xf>
    <xf numFmtId="0" fontId="17" fillId="0" borderId="43" xfId="12" applyFont="1" applyBorder="1" applyAlignment="1">
      <alignment horizontal="center" vertical="center"/>
    </xf>
    <xf numFmtId="0" fontId="17" fillId="0" borderId="0" xfId="12" applyFont="1" applyAlignment="1">
      <alignment horizontal="center" vertical="center"/>
    </xf>
    <xf numFmtId="0" fontId="17" fillId="0" borderId="51" xfId="12" applyFont="1" applyBorder="1" applyAlignment="1">
      <alignment horizontal="center" vertical="center"/>
    </xf>
    <xf numFmtId="0" fontId="17" fillId="0" borderId="2" xfId="12" applyFont="1" applyBorder="1" applyAlignment="1">
      <alignment horizontal="center" vertical="center"/>
    </xf>
    <xf numFmtId="0" fontId="17" fillId="0" borderId="49" xfId="11" applyFont="1" applyBorder="1" applyAlignment="1">
      <alignment horizontal="center" vertical="center" wrapText="1"/>
    </xf>
    <xf numFmtId="0" fontId="17" fillId="0" borderId="46" xfId="11" applyFont="1" applyBorder="1" applyAlignment="1">
      <alignment horizontal="center" vertical="center"/>
    </xf>
    <xf numFmtId="0" fontId="17" fillId="0" borderId="47" xfId="11" applyFont="1" applyBorder="1" applyAlignment="1">
      <alignment horizontal="center" vertical="center"/>
    </xf>
    <xf numFmtId="0" fontId="17" fillId="0" borderId="43" xfId="11" applyFont="1" applyBorder="1" applyAlignment="1">
      <alignment horizontal="center" vertical="center"/>
    </xf>
    <xf numFmtId="0" fontId="17" fillId="0" borderId="0" xfId="11" applyFont="1" applyAlignment="1">
      <alignment horizontal="center" vertical="center"/>
    </xf>
    <xf numFmtId="0" fontId="17" fillId="0" borderId="1" xfId="11" applyFont="1" applyBorder="1" applyAlignment="1">
      <alignment horizontal="center" vertical="center"/>
    </xf>
    <xf numFmtId="0" fontId="17" fillId="0" borderId="51" xfId="11" applyFont="1" applyBorder="1" applyAlignment="1">
      <alignment horizontal="center" vertical="center"/>
    </xf>
    <xf numFmtId="0" fontId="17" fillId="0" borderId="2" xfId="11" applyFont="1" applyBorder="1" applyAlignment="1">
      <alignment horizontal="center" vertical="center"/>
    </xf>
    <xf numFmtId="0" fontId="17" fillId="0" borderId="3" xfId="11" applyFont="1" applyBorder="1" applyAlignment="1">
      <alignment horizontal="center" vertical="center"/>
    </xf>
    <xf numFmtId="0" fontId="17" fillId="0" borderId="49" xfId="10" applyFont="1" applyBorder="1" applyAlignment="1">
      <alignment horizontal="center" vertical="center" wrapText="1"/>
    </xf>
    <xf numFmtId="0" fontId="17" fillId="0" borderId="46" xfId="10" applyFont="1" applyBorder="1" applyAlignment="1">
      <alignment horizontal="center" vertical="center"/>
    </xf>
    <xf numFmtId="0" fontId="17" fillId="0" borderId="43" xfId="10" applyFont="1" applyBorder="1" applyAlignment="1">
      <alignment horizontal="center" vertical="center"/>
    </xf>
    <xf numFmtId="0" fontId="17" fillId="0" borderId="0" xfId="10" applyFont="1" applyAlignment="1">
      <alignment horizontal="center" vertical="center"/>
    </xf>
    <xf numFmtId="0" fontId="17" fillId="0" borderId="51" xfId="10" applyFont="1" applyBorder="1" applyAlignment="1">
      <alignment horizontal="center" vertical="center"/>
    </xf>
    <xf numFmtId="0" fontId="17" fillId="0" borderId="2" xfId="10" applyFont="1" applyBorder="1" applyAlignment="1">
      <alignment horizontal="center" vertical="center"/>
    </xf>
    <xf numFmtId="0" fontId="17" fillId="0" borderId="2" xfId="10" applyFont="1" applyBorder="1" applyAlignment="1">
      <alignment horizontal="center"/>
    </xf>
    <xf numFmtId="0" fontId="17" fillId="0" borderId="2" xfId="10" applyFont="1" applyBorder="1" applyAlignment="1">
      <alignment horizontal="center" wrapText="1"/>
    </xf>
    <xf numFmtId="0" fontId="17" fillId="2" borderId="2" xfId="10" applyFont="1" applyFill="1" applyBorder="1" applyAlignment="1">
      <alignment horizontal="center" wrapText="1"/>
    </xf>
    <xf numFmtId="0" fontId="17" fillId="2" borderId="2" xfId="10" applyFont="1" applyFill="1" applyBorder="1" applyAlignment="1">
      <alignment horizontal="center"/>
    </xf>
    <xf numFmtId="14" fontId="17" fillId="0" borderId="45" xfId="10" applyNumberFormat="1" applyFont="1" applyBorder="1" applyAlignment="1">
      <alignment horizontal="center"/>
    </xf>
    <xf numFmtId="14" fontId="17" fillId="0" borderId="50" xfId="10" applyNumberFormat="1" applyFont="1" applyBorder="1" applyAlignment="1">
      <alignment horizontal="center"/>
    </xf>
    <xf numFmtId="14" fontId="17" fillId="0" borderId="48" xfId="10" applyNumberFormat="1" applyFont="1" applyBorder="1" applyAlignment="1">
      <alignment horizontal="center"/>
    </xf>
    <xf numFmtId="0" fontId="23" fillId="10" borderId="14" xfId="12" applyFont="1" applyFill="1" applyBorder="1" applyAlignment="1">
      <alignment horizontal="center" vertical="center"/>
    </xf>
    <xf numFmtId="0" fontId="23" fillId="10" borderId="15" xfId="12" applyFont="1" applyFill="1" applyBorder="1" applyAlignment="1">
      <alignment horizontal="center" vertical="center"/>
    </xf>
    <xf numFmtId="0" fontId="23" fillId="10" borderId="16" xfId="12" applyFont="1" applyFill="1" applyBorder="1" applyAlignment="1">
      <alignment horizontal="center" vertical="center"/>
    </xf>
    <xf numFmtId="0" fontId="24" fillId="0" borderId="10" xfId="12" applyFont="1" applyBorder="1" applyAlignment="1">
      <alignment horizontal="left" vertical="center"/>
    </xf>
    <xf numFmtId="0" fontId="24" fillId="0" borderId="11" xfId="12" applyFont="1" applyBorder="1" applyAlignment="1">
      <alignment horizontal="left" vertical="center"/>
    </xf>
    <xf numFmtId="0" fontId="24" fillId="0" borderId="12" xfId="12" applyFont="1" applyBorder="1" applyAlignment="1">
      <alignment horizontal="left" vertical="center"/>
    </xf>
    <xf numFmtId="0" fontId="23" fillId="10" borderId="10" xfId="12" applyFont="1" applyFill="1" applyBorder="1" applyAlignment="1">
      <alignment horizontal="center" vertical="center"/>
    </xf>
    <xf numFmtId="0" fontId="23" fillId="10" borderId="11" xfId="12" applyFont="1" applyFill="1" applyBorder="1" applyAlignment="1">
      <alignment horizontal="center" vertical="center"/>
    </xf>
    <xf numFmtId="0" fontId="23" fillId="10" borderId="12" xfId="12" applyFont="1" applyFill="1" applyBorder="1" applyAlignment="1">
      <alignment horizontal="center" vertical="center"/>
    </xf>
    <xf numFmtId="0" fontId="23" fillId="10" borderId="17" xfId="12" applyFont="1" applyFill="1" applyBorder="1" applyAlignment="1">
      <alignment horizontal="center" vertical="center"/>
    </xf>
    <xf numFmtId="0" fontId="23" fillId="10" borderId="18" xfId="12" applyFont="1" applyFill="1" applyBorder="1" applyAlignment="1">
      <alignment horizontal="center" vertical="center"/>
    </xf>
    <xf numFmtId="0" fontId="23" fillId="10" borderId="19" xfId="12" applyFont="1" applyFill="1" applyBorder="1" applyAlignment="1">
      <alignment horizontal="center" vertical="center"/>
    </xf>
    <xf numFmtId="0" fontId="23" fillId="10" borderId="28" xfId="12" applyFont="1" applyFill="1" applyBorder="1" applyAlignment="1">
      <alignment horizontal="center" vertical="center"/>
    </xf>
    <xf numFmtId="0" fontId="23" fillId="10" borderId="29" xfId="12" applyFont="1" applyFill="1" applyBorder="1" applyAlignment="1">
      <alignment horizontal="center" vertical="center"/>
    </xf>
    <xf numFmtId="0" fontId="23" fillId="10" borderId="30" xfId="12" applyFont="1" applyFill="1" applyBorder="1" applyAlignment="1">
      <alignment horizontal="center" vertical="center"/>
    </xf>
    <xf numFmtId="0" fontId="24" fillId="0" borderId="5" xfId="12" applyFont="1" applyBorder="1" applyAlignment="1">
      <alignment horizontal="left" vertical="center"/>
    </xf>
    <xf numFmtId="0" fontId="24" fillId="0" borderId="6" xfId="12" applyFont="1" applyBorder="1" applyAlignment="1">
      <alignment horizontal="left" vertical="center"/>
    </xf>
    <xf numFmtId="0" fontId="24" fillId="0" borderId="8" xfId="12" applyFont="1" applyBorder="1" applyAlignment="1">
      <alignment horizontal="left" vertical="center"/>
    </xf>
    <xf numFmtId="0" fontId="24" fillId="0" borderId="9" xfId="12" applyFont="1" applyBorder="1" applyAlignment="1">
      <alignment horizontal="left" vertical="center"/>
    </xf>
    <xf numFmtId="0" fontId="24" fillId="0" borderId="7" xfId="12" applyFont="1" applyBorder="1" applyAlignment="1">
      <alignment horizontal="left" vertical="center"/>
    </xf>
    <xf numFmtId="0" fontId="24" fillId="0" borderId="13" xfId="12" applyFont="1" applyBorder="1" applyAlignment="1">
      <alignment horizontal="left" vertical="center"/>
    </xf>
    <xf numFmtId="0" fontId="24" fillId="2" borderId="5" xfId="12" applyFont="1" applyFill="1" applyBorder="1" applyAlignment="1">
      <alignment horizontal="center" vertical="center"/>
    </xf>
    <xf numFmtId="0" fontId="24" fillId="2" borderId="6" xfId="12" applyFont="1" applyFill="1" applyBorder="1" applyAlignment="1">
      <alignment horizontal="center" vertical="center"/>
    </xf>
    <xf numFmtId="0" fontId="24" fillId="2" borderId="8" xfId="12" applyFont="1" applyFill="1" applyBorder="1" applyAlignment="1">
      <alignment horizontal="center" vertical="center"/>
    </xf>
    <xf numFmtId="0" fontId="24" fillId="2" borderId="9" xfId="12" applyFont="1" applyFill="1" applyBorder="1" applyAlignment="1">
      <alignment horizontal="center" vertical="center"/>
    </xf>
    <xf numFmtId="0" fontId="24" fillId="2" borderId="7" xfId="12" applyFont="1" applyFill="1" applyBorder="1" applyAlignment="1">
      <alignment horizontal="center" vertical="center"/>
    </xf>
    <xf numFmtId="0" fontId="24" fillId="2" borderId="13" xfId="12" applyFont="1" applyFill="1" applyBorder="1" applyAlignment="1">
      <alignment horizontal="center" vertical="center"/>
    </xf>
    <xf numFmtId="0" fontId="24" fillId="2" borderId="20" xfId="12" applyFont="1" applyFill="1" applyBorder="1" applyAlignment="1">
      <alignment horizontal="center" vertical="center"/>
    </xf>
    <xf numFmtId="0" fontId="24" fillId="2" borderId="21" xfId="12" applyFont="1" applyFill="1" applyBorder="1" applyAlignment="1">
      <alignment horizontal="center" vertical="center"/>
    </xf>
    <xf numFmtId="176" fontId="8" fillId="2" borderId="22" xfId="12" applyNumberFormat="1" applyFont="1" applyFill="1" applyBorder="1" applyAlignment="1">
      <alignment horizontal="center" vertical="center"/>
    </xf>
    <xf numFmtId="176" fontId="8" fillId="2" borderId="23" xfId="12" applyNumberFormat="1" applyFont="1" applyFill="1" applyBorder="1" applyAlignment="1">
      <alignment horizontal="center" vertical="center"/>
    </xf>
    <xf numFmtId="176" fontId="8" fillId="2" borderId="24" xfId="12" applyNumberFormat="1" applyFont="1" applyFill="1" applyBorder="1" applyAlignment="1">
      <alignment horizontal="center" vertical="center"/>
    </xf>
    <xf numFmtId="0" fontId="8" fillId="2" borderId="25" xfId="12" applyFont="1" applyFill="1" applyBorder="1" applyAlignment="1">
      <alignment horizontal="center" vertical="center"/>
    </xf>
    <xf numFmtId="0" fontId="8" fillId="2" borderId="26" xfId="12" applyFont="1" applyFill="1" applyBorder="1" applyAlignment="1">
      <alignment horizontal="center" vertical="center"/>
    </xf>
    <xf numFmtId="0" fontId="8" fillId="2" borderId="27" xfId="12" applyFont="1" applyFill="1" applyBorder="1" applyAlignment="1">
      <alignment horizontal="center" vertical="center"/>
    </xf>
    <xf numFmtId="0" fontId="24" fillId="2" borderId="31" xfId="12" applyFont="1" applyFill="1" applyBorder="1" applyAlignment="1">
      <alignment horizontal="center" vertical="center"/>
    </xf>
    <xf numFmtId="0" fontId="24" fillId="2" borderId="32" xfId="12" applyFont="1" applyFill="1" applyBorder="1" applyAlignment="1">
      <alignment horizontal="center" vertical="center"/>
    </xf>
    <xf numFmtId="176" fontId="8" fillId="2" borderId="33" xfId="12" applyNumberFormat="1" applyFont="1" applyFill="1" applyBorder="1" applyAlignment="1">
      <alignment horizontal="center" vertical="center"/>
    </xf>
    <xf numFmtId="176" fontId="8" fillId="2" borderId="34" xfId="12" applyNumberFormat="1" applyFont="1" applyFill="1" applyBorder="1" applyAlignment="1">
      <alignment horizontal="center" vertical="center"/>
    </xf>
    <xf numFmtId="176" fontId="8" fillId="2" borderId="35" xfId="12" applyNumberFormat="1" applyFont="1" applyFill="1" applyBorder="1" applyAlignment="1">
      <alignment horizontal="center" vertical="center"/>
    </xf>
    <xf numFmtId="0" fontId="8" fillId="2" borderId="36" xfId="12" applyFont="1" applyFill="1" applyBorder="1" applyAlignment="1">
      <alignment horizontal="center" vertical="center"/>
    </xf>
    <xf numFmtId="0" fontId="8" fillId="2" borderId="37" xfId="12" applyFont="1" applyFill="1" applyBorder="1" applyAlignment="1">
      <alignment horizontal="center" vertical="center"/>
    </xf>
    <xf numFmtId="0" fontId="8" fillId="2" borderId="38" xfId="12" applyFont="1" applyFill="1" applyBorder="1" applyAlignment="1">
      <alignment horizontal="center" vertical="center"/>
    </xf>
    <xf numFmtId="0" fontId="23" fillId="10" borderId="39" xfId="12" applyFont="1" applyFill="1" applyBorder="1" applyAlignment="1">
      <alignment horizontal="center" vertical="center"/>
    </xf>
    <xf numFmtId="14" fontId="24" fillId="2" borderId="40" xfId="12" applyNumberFormat="1" applyFont="1" applyFill="1" applyBorder="1" applyAlignment="1">
      <alignment horizontal="left" vertical="top"/>
    </xf>
    <xf numFmtId="0" fontId="24" fillId="2" borderId="40" xfId="12" applyFont="1" applyFill="1" applyBorder="1" applyAlignment="1">
      <alignment horizontal="left" vertical="top"/>
    </xf>
    <xf numFmtId="0" fontId="24" fillId="2" borderId="40" xfId="12" applyFont="1" applyFill="1" applyBorder="1" applyAlignment="1">
      <alignment vertical="top"/>
    </xf>
    <xf numFmtId="0" fontId="24" fillId="2" borderId="40" xfId="12" applyFont="1" applyFill="1" applyBorder="1" applyAlignment="1">
      <alignment horizontal="center" vertical="top" wrapText="1"/>
    </xf>
    <xf numFmtId="49" fontId="24" fillId="2" borderId="40" xfId="12" applyNumberFormat="1" applyFont="1" applyFill="1" applyBorder="1" applyAlignment="1">
      <alignment horizontal="center" vertical="top"/>
    </xf>
    <xf numFmtId="49" fontId="24" fillId="2" borderId="40" xfId="12" quotePrefix="1" applyNumberFormat="1" applyFont="1" applyFill="1" applyBorder="1" applyAlignment="1">
      <alignment horizontal="center" vertical="top"/>
    </xf>
    <xf numFmtId="14" fontId="24" fillId="2" borderId="41" xfId="12" applyNumberFormat="1" applyFont="1" applyFill="1" applyBorder="1" applyAlignment="1">
      <alignment horizontal="left" vertical="top"/>
    </xf>
    <xf numFmtId="0" fontId="24" fillId="2" borderId="41" xfId="12" applyFont="1" applyFill="1" applyBorder="1" applyAlignment="1">
      <alignment horizontal="left" vertical="top"/>
    </xf>
    <xf numFmtId="0" fontId="24" fillId="2" borderId="41" xfId="12" applyFont="1" applyFill="1" applyBorder="1" applyAlignment="1">
      <alignment vertical="top" wrapText="1"/>
    </xf>
    <xf numFmtId="0" fontId="24" fillId="2" borderId="41" xfId="12" applyFont="1" applyFill="1" applyBorder="1" applyAlignment="1">
      <alignment vertical="top"/>
    </xf>
    <xf numFmtId="0" fontId="24" fillId="2" borderId="41" xfId="12" applyFont="1" applyFill="1" applyBorder="1" applyAlignment="1">
      <alignment horizontal="center" vertical="top" wrapText="1"/>
    </xf>
    <xf numFmtId="49" fontId="24" fillId="2" borderId="41" xfId="12" applyNumberFormat="1" applyFont="1" applyFill="1" applyBorder="1" applyAlignment="1">
      <alignment horizontal="center" vertical="top"/>
    </xf>
    <xf numFmtId="14" fontId="24" fillId="2" borderId="42" xfId="12" applyNumberFormat="1" applyFont="1" applyFill="1" applyBorder="1" applyAlignment="1">
      <alignment horizontal="left" vertical="top"/>
    </xf>
    <xf numFmtId="0" fontId="24" fillId="2" borderId="42" xfId="12" applyFont="1" applyFill="1" applyBorder="1" applyAlignment="1">
      <alignment horizontal="left" vertical="top"/>
    </xf>
    <xf numFmtId="0" fontId="24" fillId="2" borderId="42" xfId="12" applyFont="1" applyFill="1" applyBorder="1" applyAlignment="1">
      <alignment vertical="top"/>
    </xf>
    <xf numFmtId="0" fontId="24" fillId="2" borderId="42" xfId="12" applyFont="1" applyFill="1" applyBorder="1" applyAlignment="1">
      <alignment horizontal="center" vertical="top" wrapText="1"/>
    </xf>
    <xf numFmtId="49" fontId="24" fillId="2" borderId="42" xfId="12" applyNumberFormat="1" applyFont="1" applyFill="1" applyBorder="1" applyAlignment="1">
      <alignment horizontal="center" vertical="top"/>
    </xf>
    <xf numFmtId="0" fontId="14" fillId="12" borderId="44" xfId="0" applyFont="1" applyFill="1" applyBorder="1" applyAlignment="1">
      <alignment horizontal="center" vertical="center" wrapText="1"/>
    </xf>
    <xf numFmtId="0" fontId="14" fillId="12" borderId="44" xfId="0" applyFont="1" applyFill="1" applyBorder="1" applyAlignment="1">
      <alignment horizontal="center" vertical="center"/>
    </xf>
    <xf numFmtId="0" fontId="14" fillId="14" borderId="45" xfId="0" applyFont="1" applyFill="1" applyBorder="1" applyAlignment="1">
      <alignment horizontal="center" vertical="center"/>
    </xf>
    <xf numFmtId="0" fontId="14" fillId="14" borderId="50" xfId="0" applyFont="1" applyFill="1" applyBorder="1" applyAlignment="1">
      <alignment horizontal="center" vertical="center"/>
    </xf>
    <xf numFmtId="0" fontId="14" fillId="14" borderId="48" xfId="0" applyFont="1" applyFill="1" applyBorder="1" applyAlignment="1">
      <alignment horizontal="center" vertical="center"/>
    </xf>
    <xf numFmtId="0" fontId="14" fillId="13" borderId="49" xfId="0" applyFont="1" applyFill="1" applyBorder="1" applyAlignment="1">
      <alignment horizontal="center" vertical="center"/>
    </xf>
    <xf numFmtId="0" fontId="14" fillId="13" borderId="46" xfId="0" applyFont="1" applyFill="1" applyBorder="1" applyAlignment="1">
      <alignment horizontal="center" vertical="center"/>
    </xf>
    <xf numFmtId="0" fontId="14" fillId="13" borderId="47" xfId="0" applyFont="1" applyFill="1" applyBorder="1" applyAlignment="1">
      <alignment horizontal="center" vertical="center"/>
    </xf>
    <xf numFmtId="0" fontId="14" fillId="13" borderId="51" xfId="0" applyFont="1" applyFill="1" applyBorder="1" applyAlignment="1">
      <alignment horizontal="center" vertical="center"/>
    </xf>
    <xf numFmtId="0" fontId="14" fillId="13" borderId="2" xfId="0" applyFont="1" applyFill="1" applyBorder="1" applyAlignment="1">
      <alignment horizontal="center" vertical="center"/>
    </xf>
    <xf numFmtId="0" fontId="14" fillId="13" borderId="3" xfId="0" applyFont="1" applyFill="1" applyBorder="1" applyAlignment="1">
      <alignment horizontal="center" vertical="center"/>
    </xf>
    <xf numFmtId="0" fontId="14" fillId="11" borderId="45" xfId="0" applyFont="1" applyFill="1" applyBorder="1" applyAlignment="1">
      <alignment horizontal="center" vertical="center"/>
    </xf>
    <xf numFmtId="0" fontId="14" fillId="11" borderId="50" xfId="0" applyFont="1" applyFill="1" applyBorder="1" applyAlignment="1">
      <alignment horizontal="center" vertical="center"/>
    </xf>
    <xf numFmtId="0" fontId="14" fillId="11" borderId="48" xfId="0" applyFont="1" applyFill="1" applyBorder="1" applyAlignment="1">
      <alignment horizontal="center" vertical="center"/>
    </xf>
    <xf numFmtId="0" fontId="23" fillId="10" borderId="5" xfId="12" applyFont="1" applyFill="1" applyBorder="1" applyAlignment="1">
      <alignment horizontal="center" vertical="center"/>
    </xf>
    <xf numFmtId="0" fontId="23" fillId="10" borderId="6" xfId="12" applyFont="1" applyFill="1" applyBorder="1" applyAlignment="1">
      <alignment horizontal="center" vertical="center"/>
    </xf>
    <xf numFmtId="0" fontId="23" fillId="10" borderId="8" xfId="12" applyFont="1" applyFill="1" applyBorder="1" applyAlignment="1">
      <alignment horizontal="center" vertical="center"/>
    </xf>
    <xf numFmtId="0" fontId="23" fillId="10" borderId="9" xfId="12" applyFont="1" applyFill="1" applyBorder="1" applyAlignment="1">
      <alignment horizontal="center" vertical="center"/>
    </xf>
    <xf numFmtId="0" fontId="23" fillId="10" borderId="7" xfId="12" applyFont="1" applyFill="1" applyBorder="1" applyAlignment="1">
      <alignment horizontal="center" vertical="center"/>
    </xf>
    <xf numFmtId="0" fontId="23" fillId="10" borderId="13" xfId="12" applyFont="1" applyFill="1" applyBorder="1" applyAlignment="1">
      <alignment horizontal="center" vertical="center"/>
    </xf>
    <xf numFmtId="0" fontId="14" fillId="11" borderId="44" xfId="0" applyFont="1" applyFill="1" applyBorder="1" applyAlignment="1">
      <alignment horizontal="center" vertical="center" wrapText="1"/>
    </xf>
    <xf numFmtId="0" fontId="14" fillId="11" borderId="44" xfId="0" applyFont="1" applyFill="1" applyBorder="1" applyAlignment="1">
      <alignment horizontal="center" vertical="center"/>
    </xf>
    <xf numFmtId="0" fontId="8" fillId="0" borderId="57" xfId="10" applyFont="1" applyBorder="1" applyAlignment="1">
      <alignment horizontal="left"/>
    </xf>
    <xf numFmtId="0" fontId="8" fillId="0" borderId="0" xfId="10" applyFont="1" applyAlignment="1">
      <alignment horizontal="left"/>
    </xf>
    <xf numFmtId="0" fontId="8" fillId="0" borderId="58" xfId="10" applyFont="1" applyBorder="1" applyAlignment="1">
      <alignment horizontal="left"/>
    </xf>
    <xf numFmtId="0" fontId="30" fillId="15" borderId="52" xfId="10" applyFont="1" applyFill="1" applyBorder="1" applyAlignment="1">
      <alignment horizontal="center" wrapText="1"/>
    </xf>
    <xf numFmtId="0" fontId="30" fillId="15" borderId="52" xfId="10" applyFont="1" applyFill="1" applyBorder="1" applyAlignment="1">
      <alignment horizontal="center"/>
    </xf>
    <xf numFmtId="0" fontId="30" fillId="15" borderId="53" xfId="10" applyFont="1" applyFill="1" applyBorder="1" applyAlignment="1">
      <alignment horizontal="center"/>
    </xf>
    <xf numFmtId="0" fontId="14" fillId="15" borderId="52" xfId="10" applyFont="1" applyFill="1" applyBorder="1" applyAlignment="1">
      <alignment horizontal="center" wrapText="1"/>
    </xf>
    <xf numFmtId="0" fontId="14" fillId="15" borderId="52" xfId="10" applyFont="1" applyFill="1" applyBorder="1" applyAlignment="1">
      <alignment horizontal="center"/>
    </xf>
    <xf numFmtId="0" fontId="14" fillId="15" borderId="53" xfId="10" applyFont="1" applyFill="1" applyBorder="1" applyAlignment="1">
      <alignment horizontal="center"/>
    </xf>
  </cellXfs>
  <cellStyles count="23">
    <cellStyle name="アクセント 1" xfId="2" builtinId="29" customBuiltin="1"/>
    <cellStyle name="アクセント 2" xfId="3" builtinId="33" customBuiltin="1"/>
    <cellStyle name="アクセント 3" xfId="4" builtinId="37" customBuiltin="1"/>
    <cellStyle name="アクセント 4" xfId="5" builtinId="41" customBuiltin="1"/>
    <cellStyle name="アクセント 5" xfId="6" builtinId="45" customBuiltin="1"/>
    <cellStyle name="アクセント 6" xfId="7" builtinId="49" customBuiltin="1"/>
    <cellStyle name="タイトル" xfId="1" builtinId="15" hidden="1"/>
    <cellStyle name="桁区切り 2" xfId="14" xr:uid="{00000000-0005-0000-0000-000007000000}"/>
    <cellStyle name="桁区切り 2 2" xfId="21" xr:uid="{00000000-0005-0000-0000-000008000000}"/>
    <cellStyle name="標準" xfId="0" builtinId="0"/>
    <cellStyle name="標準 2" xfId="8" xr:uid="{00000000-0005-0000-0000-00000A000000}"/>
    <cellStyle name="標準 2 2" xfId="10" xr:uid="{00000000-0005-0000-0000-00000B000000}"/>
    <cellStyle name="標準 2 2 2" xfId="12" xr:uid="{00000000-0005-0000-0000-00000C000000}"/>
    <cellStyle name="標準 3" xfId="9" xr:uid="{00000000-0005-0000-0000-00000D000000}"/>
    <cellStyle name="標準 4" xfId="13" xr:uid="{00000000-0005-0000-0000-00000E000000}"/>
    <cellStyle name="標準 4 2" xfId="17" xr:uid="{00000000-0005-0000-0000-00000F000000}"/>
    <cellStyle name="標準 4 3" xfId="20" xr:uid="{00000000-0005-0000-0000-000010000000}"/>
    <cellStyle name="標準 5" xfId="16" xr:uid="{00000000-0005-0000-0000-000011000000}"/>
    <cellStyle name="標準 6" xfId="11" xr:uid="{00000000-0005-0000-0000-000012000000}"/>
    <cellStyle name="標準 7" xfId="18" xr:uid="{00000000-0005-0000-0000-000013000000}"/>
    <cellStyle name="標準 7 3" xfId="15" xr:uid="{00000000-0005-0000-0000-000014000000}"/>
    <cellStyle name="標準 7 3 2" xfId="19" xr:uid="{00000000-0005-0000-0000-000015000000}"/>
    <cellStyle name="標準 7 3 3" xfId="22" xr:uid="{00000000-0005-0000-0000-000016000000}"/>
  </cellStyles>
  <dxfs count="0"/>
  <tableStyles count="0" defaultTableStyle="TableStyleMedium2" defaultPivotStyle="PivotStyleLight16"/>
  <colors>
    <mruColors>
      <color rgb="FFFFFF00"/>
      <color rgb="FFFFCC66"/>
      <color rgb="FFC90DC0"/>
      <color rgb="FFFF9933"/>
      <color rgb="FF99FF99"/>
      <color rgb="FFFFEDB3"/>
      <color rgb="FFFFE389"/>
      <color rgb="FFFFFFB3"/>
      <color rgb="FF8FD377"/>
      <color rgb="FFC475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34925</xdr:colOff>
      <xdr:row>24</xdr:row>
      <xdr:rowOff>89834</xdr:rowOff>
    </xdr:from>
    <xdr:to>
      <xdr:col>5</xdr:col>
      <xdr:colOff>164375</xdr:colOff>
      <xdr:row>24</xdr:row>
      <xdr:rowOff>89834</xdr:rowOff>
    </xdr:to>
    <xdr:cxnSp macro="">
      <xdr:nvCxnSpPr>
        <xdr:cNvPr id="2" name="直線矢印コネクタ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CxnSpPr/>
      </xdr:nvCxnSpPr>
      <xdr:spPr>
        <a:xfrm>
          <a:off x="434975" y="4404659"/>
          <a:ext cx="729525" cy="0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190501</xdr:colOff>
      <xdr:row>18</xdr:row>
      <xdr:rowOff>63500</xdr:rowOff>
    </xdr:from>
    <xdr:to>
      <xdr:col>5</xdr:col>
      <xdr:colOff>88901</xdr:colOff>
      <xdr:row>20</xdr:row>
      <xdr:rowOff>87217</xdr:rowOff>
    </xdr:to>
    <xdr:grpSp>
      <xdr:nvGrpSpPr>
        <xdr:cNvPr id="3" name="グループ化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pSpPr>
          <a:grpSpLocks noChangeAspect="1"/>
        </xdr:cNvGrpSpPr>
      </xdr:nvGrpSpPr>
      <xdr:grpSpPr>
        <a:xfrm>
          <a:off x="396241" y="3332480"/>
          <a:ext cx="721360" cy="389477"/>
          <a:chOff x="2791278" y="18514786"/>
          <a:chExt cx="773793" cy="417285"/>
        </a:xfrm>
      </xdr:grpSpPr>
      <xdr:sp macro="" textlink="">
        <xdr:nvSpPr>
          <xdr:cNvPr id="4" name="フローチャート: 書類 3">
            <a:extLst>
              <a:ext uri="{FF2B5EF4-FFF2-40B4-BE49-F238E27FC236}">
                <a16:creationId xmlns:a16="http://schemas.microsoft.com/office/drawing/2014/main" id="{00000000-0008-0000-0200-000004000000}"/>
              </a:ext>
            </a:extLst>
          </xdr:cNvPr>
          <xdr:cNvSpPr/>
        </xdr:nvSpPr>
        <xdr:spPr>
          <a:xfrm>
            <a:off x="2878818" y="18545175"/>
            <a:ext cx="598714" cy="386896"/>
          </a:xfrm>
          <a:prstGeom prst="flowChartDocumen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5" name="正方形/長方形 4">
            <a:extLst>
              <a:ext uri="{FF2B5EF4-FFF2-40B4-BE49-F238E27FC236}">
                <a16:creationId xmlns:a16="http://schemas.microsoft.com/office/drawing/2014/main" id="{00000000-0008-0000-0200-000005000000}"/>
              </a:ext>
            </a:extLst>
          </xdr:cNvPr>
          <xdr:cNvSpPr/>
        </xdr:nvSpPr>
        <xdr:spPr>
          <a:xfrm>
            <a:off x="2791278" y="18514786"/>
            <a:ext cx="773793" cy="329746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900"/>
              <a:t>帳票名</a:t>
            </a:r>
          </a:p>
        </xdr:txBody>
      </xdr:sp>
    </xdr:grpSp>
    <xdr:clientData/>
  </xdr:twoCellAnchor>
  <xdr:twoCellAnchor>
    <xdr:from>
      <xdr:col>22</xdr:col>
      <xdr:colOff>133351</xdr:colOff>
      <xdr:row>18</xdr:row>
      <xdr:rowOff>53975</xdr:rowOff>
    </xdr:from>
    <xdr:to>
      <xdr:col>26</xdr:col>
      <xdr:colOff>18633</xdr:colOff>
      <xdr:row>20</xdr:row>
      <xdr:rowOff>76200</xdr:rowOff>
    </xdr:to>
    <xdr:grpSp>
      <xdr:nvGrpSpPr>
        <xdr:cNvPr id="6" name="グループ化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pSpPr>
          <a:grpSpLocks noChangeAspect="1"/>
        </xdr:cNvGrpSpPr>
      </xdr:nvGrpSpPr>
      <xdr:grpSpPr>
        <a:xfrm>
          <a:off x="4659631" y="3322955"/>
          <a:ext cx="708242" cy="387985"/>
          <a:chOff x="2791278" y="18514786"/>
          <a:chExt cx="773793" cy="417285"/>
        </a:xfrm>
      </xdr:grpSpPr>
      <xdr:sp macro="" textlink="">
        <xdr:nvSpPr>
          <xdr:cNvPr id="7" name="フローチャート: 書類 6">
            <a:extLst>
              <a:ext uri="{FF2B5EF4-FFF2-40B4-BE49-F238E27FC236}">
                <a16:creationId xmlns:a16="http://schemas.microsoft.com/office/drawing/2014/main" id="{00000000-0008-0000-0200-000007000000}"/>
              </a:ext>
            </a:extLst>
          </xdr:cNvPr>
          <xdr:cNvSpPr/>
        </xdr:nvSpPr>
        <xdr:spPr>
          <a:xfrm>
            <a:off x="2878818" y="18545175"/>
            <a:ext cx="598714" cy="386896"/>
          </a:xfrm>
          <a:prstGeom prst="flowChartDocument">
            <a:avLst/>
          </a:prstGeom>
          <a:solidFill>
            <a:schemeClr val="bg1"/>
          </a:solidFill>
          <a:ln>
            <a:solidFill>
              <a:schemeClr val="tx1"/>
            </a:solidFill>
            <a:prstDash val="dash"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8" name="正方形/長方形 7">
            <a:extLst>
              <a:ext uri="{FF2B5EF4-FFF2-40B4-BE49-F238E27FC236}">
                <a16:creationId xmlns:a16="http://schemas.microsoft.com/office/drawing/2014/main" id="{00000000-0008-0000-0200-000008000000}"/>
              </a:ext>
            </a:extLst>
          </xdr:cNvPr>
          <xdr:cNvSpPr/>
        </xdr:nvSpPr>
        <xdr:spPr>
          <a:xfrm>
            <a:off x="2791278" y="18514786"/>
            <a:ext cx="773793" cy="329746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900"/>
              <a:t>帳票名</a:t>
            </a:r>
          </a:p>
        </xdr:txBody>
      </xdr:sp>
    </xdr:grpSp>
    <xdr:clientData/>
  </xdr:twoCellAnchor>
  <xdr:twoCellAnchor>
    <xdr:from>
      <xdr:col>23</xdr:col>
      <xdr:colOff>3175</xdr:colOff>
      <xdr:row>27</xdr:row>
      <xdr:rowOff>149225</xdr:rowOff>
    </xdr:from>
    <xdr:to>
      <xdr:col>26</xdr:col>
      <xdr:colOff>101600</xdr:colOff>
      <xdr:row>31</xdr:row>
      <xdr:rowOff>61107</xdr:rowOff>
    </xdr:to>
    <xdr:grpSp>
      <xdr:nvGrpSpPr>
        <xdr:cNvPr id="9" name="グループ化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pSpPr/>
      </xdr:nvGrpSpPr>
      <xdr:grpSpPr>
        <a:xfrm>
          <a:off x="4735195" y="5064125"/>
          <a:ext cx="715645" cy="643402"/>
          <a:chOff x="7204075" y="2892425"/>
          <a:chExt cx="688975" cy="597682"/>
        </a:xfrm>
      </xdr:grpSpPr>
      <xdr:sp macro="" textlink="">
        <xdr:nvSpPr>
          <xdr:cNvPr id="10" name="フローチャート: 磁気ディスク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/>
        </xdr:nvSpPr>
        <xdr:spPr>
          <a:xfrm>
            <a:off x="7204075" y="2892425"/>
            <a:ext cx="676275" cy="536575"/>
          </a:xfrm>
          <a:prstGeom prst="flowChartMagneticDisk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800"/>
          </a:p>
        </xdr:txBody>
      </xdr:sp>
      <xdr:sp macro="" textlink="">
        <xdr:nvSpPr>
          <xdr:cNvPr id="11" name="正方形/長方形 10">
            <a:extLst>
              <a:ext uri="{FF2B5EF4-FFF2-40B4-BE49-F238E27FC236}">
                <a16:creationId xmlns:a16="http://schemas.microsoft.com/office/drawing/2014/main" id="{00000000-0008-0000-0200-00000B000000}"/>
              </a:ext>
            </a:extLst>
          </xdr:cNvPr>
          <xdr:cNvSpPr/>
        </xdr:nvSpPr>
        <xdr:spPr>
          <a:xfrm>
            <a:off x="7207250" y="2984500"/>
            <a:ext cx="685800" cy="505607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900"/>
              <a:t>システム</a:t>
            </a:r>
            <a:endParaRPr kumimoji="1" lang="en-US" altLang="ja-JP" sz="900"/>
          </a:p>
          <a:p>
            <a:pPr algn="ctr"/>
            <a:r>
              <a:rPr kumimoji="1" lang="ja-JP" altLang="en-US" sz="900"/>
              <a:t>機能名</a:t>
            </a:r>
          </a:p>
        </xdr:txBody>
      </xdr:sp>
    </xdr:grpSp>
    <xdr:clientData/>
  </xdr:twoCellAnchor>
  <xdr:twoCellAnchor>
    <xdr:from>
      <xdr:col>2</xdr:col>
      <xdr:colOff>12700</xdr:colOff>
      <xdr:row>8</xdr:row>
      <xdr:rowOff>139700</xdr:rowOff>
    </xdr:from>
    <xdr:to>
      <xdr:col>5</xdr:col>
      <xdr:colOff>113350</xdr:colOff>
      <xdr:row>10</xdr:row>
      <xdr:rowOff>57150</xdr:rowOff>
    </xdr:to>
    <xdr:sp macro="" textlink="">
      <xdr:nvSpPr>
        <xdr:cNvPr id="12" name="フローチャート: 端子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/>
      </xdr:nvSpPr>
      <xdr:spPr>
        <a:xfrm>
          <a:off x="412750" y="1558925"/>
          <a:ext cx="700725" cy="279400"/>
        </a:xfrm>
        <a:prstGeom prst="flowChartTermina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開始</a:t>
          </a:r>
        </a:p>
      </xdr:txBody>
    </xdr:sp>
    <xdr:clientData/>
  </xdr:twoCellAnchor>
  <xdr:twoCellAnchor>
    <xdr:from>
      <xdr:col>22</xdr:col>
      <xdr:colOff>120650</xdr:colOff>
      <xdr:row>8</xdr:row>
      <xdr:rowOff>133350</xdr:rowOff>
    </xdr:from>
    <xdr:to>
      <xdr:col>26</xdr:col>
      <xdr:colOff>25400</xdr:colOff>
      <xdr:row>10</xdr:row>
      <xdr:rowOff>50800</xdr:rowOff>
    </xdr:to>
    <xdr:sp macro="" textlink="">
      <xdr:nvSpPr>
        <xdr:cNvPr id="13" name="フローチャート: 端子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/>
      </xdr:nvSpPr>
      <xdr:spPr>
        <a:xfrm>
          <a:off x="4521200" y="1552575"/>
          <a:ext cx="704850" cy="279400"/>
        </a:xfrm>
        <a:prstGeom prst="flowChartTermina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終了</a:t>
          </a:r>
        </a:p>
      </xdr:txBody>
    </xdr:sp>
    <xdr:clientData/>
  </xdr:twoCellAnchor>
  <xdr:twoCellAnchor>
    <xdr:from>
      <xdr:col>22</xdr:col>
      <xdr:colOff>174625</xdr:colOff>
      <xdr:row>24</xdr:row>
      <xdr:rowOff>89834</xdr:rowOff>
    </xdr:from>
    <xdr:to>
      <xdr:col>26</xdr:col>
      <xdr:colOff>107225</xdr:colOff>
      <xdr:row>24</xdr:row>
      <xdr:rowOff>89834</xdr:rowOff>
    </xdr:to>
    <xdr:cxnSp macro="">
      <xdr:nvCxnSpPr>
        <xdr:cNvPr id="14" name="直線矢印コネクタ 13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CxnSpPr/>
      </xdr:nvCxnSpPr>
      <xdr:spPr>
        <a:xfrm>
          <a:off x="4575175" y="4404659"/>
          <a:ext cx="732700" cy="0"/>
        </a:xfrm>
        <a:prstGeom prst="straightConnector1">
          <a:avLst/>
        </a:prstGeom>
        <a:ln w="12700"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63500</xdr:colOff>
      <xdr:row>28</xdr:row>
      <xdr:rowOff>25400</xdr:rowOff>
    </xdr:from>
    <xdr:to>
      <xdr:col>6</xdr:col>
      <xdr:colOff>82550</xdr:colOff>
      <xdr:row>31</xdr:row>
      <xdr:rowOff>0</xdr:rowOff>
    </xdr:to>
    <xdr:grpSp>
      <xdr:nvGrpSpPr>
        <xdr:cNvPr id="15" name="グループ化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GrpSpPr/>
      </xdr:nvGrpSpPr>
      <xdr:grpSpPr>
        <a:xfrm>
          <a:off x="269240" y="5123180"/>
          <a:ext cx="1047750" cy="523240"/>
          <a:chOff x="285750" y="4845050"/>
          <a:chExt cx="1003300" cy="488950"/>
        </a:xfrm>
      </xdr:grpSpPr>
      <xdr:sp macro="" textlink="">
        <xdr:nvSpPr>
          <xdr:cNvPr id="16" name="フローチャート: 判断 15">
            <a:extLst>
              <a:ext uri="{FF2B5EF4-FFF2-40B4-BE49-F238E27FC236}">
                <a16:creationId xmlns:a16="http://schemas.microsoft.com/office/drawing/2014/main" id="{00000000-0008-0000-0200-000010000000}"/>
              </a:ext>
            </a:extLst>
          </xdr:cNvPr>
          <xdr:cNvSpPr/>
        </xdr:nvSpPr>
        <xdr:spPr>
          <a:xfrm>
            <a:off x="368300" y="4845050"/>
            <a:ext cx="844550" cy="488950"/>
          </a:xfrm>
          <a:prstGeom prst="flowChartDecision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7" name="正方形/長方形 48">
            <a:extLst>
              <a:ext uri="{FF2B5EF4-FFF2-40B4-BE49-F238E27FC236}">
                <a16:creationId xmlns:a16="http://schemas.microsoft.com/office/drawing/2014/main" id="{00000000-0008-0000-0200-000011000000}"/>
              </a:ext>
            </a:extLst>
          </xdr:cNvPr>
          <xdr:cNvSpPr/>
        </xdr:nvSpPr>
        <xdr:spPr>
          <a:xfrm>
            <a:off x="285750" y="4927600"/>
            <a:ext cx="1003300" cy="288528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900"/>
              <a:t>条件</a:t>
            </a:r>
          </a:p>
        </xdr:txBody>
      </xdr:sp>
    </xdr:grpSp>
    <xdr:clientData/>
  </xdr:twoCellAnchor>
  <xdr:twoCellAnchor>
    <xdr:from>
      <xdr:col>1</xdr:col>
      <xdr:colOff>12700</xdr:colOff>
      <xdr:row>13</xdr:row>
      <xdr:rowOff>25400</xdr:rowOff>
    </xdr:from>
    <xdr:to>
      <xdr:col>6</xdr:col>
      <xdr:colOff>114300</xdr:colOff>
      <xdr:row>15</xdr:row>
      <xdr:rowOff>158750</xdr:rowOff>
    </xdr:to>
    <xdr:grpSp>
      <xdr:nvGrpSpPr>
        <xdr:cNvPr id="18" name="グループ化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GrpSpPr/>
      </xdr:nvGrpSpPr>
      <xdr:grpSpPr>
        <a:xfrm>
          <a:off x="218440" y="2379980"/>
          <a:ext cx="1130300" cy="499110"/>
          <a:chOff x="1612900" y="2457450"/>
          <a:chExt cx="933032" cy="374650"/>
        </a:xfrm>
      </xdr:grpSpPr>
      <xdr:sp macro="" textlink="">
        <xdr:nvSpPr>
          <xdr:cNvPr id="19" name="フローチャート: 処理 18">
            <a:extLst>
              <a:ext uri="{FF2B5EF4-FFF2-40B4-BE49-F238E27FC236}">
                <a16:creationId xmlns:a16="http://schemas.microsoft.com/office/drawing/2014/main" id="{00000000-0008-0000-0200-000013000000}"/>
              </a:ext>
            </a:extLst>
          </xdr:cNvPr>
          <xdr:cNvSpPr/>
        </xdr:nvSpPr>
        <xdr:spPr>
          <a:xfrm>
            <a:off x="1682750" y="2457450"/>
            <a:ext cx="819150" cy="374650"/>
          </a:xfrm>
          <a:prstGeom prst="flowChartProcess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1100"/>
          </a:p>
        </xdr:txBody>
      </xdr:sp>
      <xdr:sp macro="" textlink="">
        <xdr:nvSpPr>
          <xdr:cNvPr id="20" name="正方形/長方形 48">
            <a:extLst>
              <a:ext uri="{FF2B5EF4-FFF2-40B4-BE49-F238E27FC236}">
                <a16:creationId xmlns:a16="http://schemas.microsoft.com/office/drawing/2014/main" id="{00000000-0008-0000-0200-000014000000}"/>
              </a:ext>
            </a:extLst>
          </xdr:cNvPr>
          <xdr:cNvSpPr/>
        </xdr:nvSpPr>
        <xdr:spPr>
          <a:xfrm>
            <a:off x="1612900" y="2489200"/>
            <a:ext cx="933032" cy="288528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900"/>
              <a:t>業務</a:t>
            </a:r>
            <a:endParaRPr kumimoji="1" lang="en-US" altLang="ja-JP" sz="900"/>
          </a:p>
        </xdr:txBody>
      </xdr:sp>
    </xdr:grpSp>
    <xdr:clientData/>
  </xdr:twoCellAnchor>
  <xdr:twoCellAnchor>
    <xdr:from>
      <xdr:col>21</xdr:col>
      <xdr:colOff>133350</xdr:colOff>
      <xdr:row>13</xdr:row>
      <xdr:rowOff>63500</xdr:rowOff>
    </xdr:from>
    <xdr:to>
      <xdr:col>27</xdr:col>
      <xdr:colOff>38100</xdr:colOff>
      <xdr:row>16</xdr:row>
      <xdr:rowOff>25400</xdr:rowOff>
    </xdr:to>
    <xdr:grpSp>
      <xdr:nvGrpSpPr>
        <xdr:cNvPr id="21" name="グループ化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GrpSpPr/>
      </xdr:nvGrpSpPr>
      <xdr:grpSpPr>
        <a:xfrm>
          <a:off x="4453890" y="2418080"/>
          <a:ext cx="1139190" cy="510540"/>
          <a:chOff x="1612900" y="2457450"/>
          <a:chExt cx="933032" cy="374650"/>
        </a:xfrm>
      </xdr:grpSpPr>
      <xdr:sp macro="" textlink="">
        <xdr:nvSpPr>
          <xdr:cNvPr id="22" name="フローチャート: 定義済み処理 21">
            <a:extLst>
              <a:ext uri="{FF2B5EF4-FFF2-40B4-BE49-F238E27FC236}">
                <a16:creationId xmlns:a16="http://schemas.microsoft.com/office/drawing/2014/main" id="{00000000-0008-0000-0200-000016000000}"/>
              </a:ext>
            </a:extLst>
          </xdr:cNvPr>
          <xdr:cNvSpPr/>
        </xdr:nvSpPr>
        <xdr:spPr>
          <a:xfrm>
            <a:off x="1682750" y="2457450"/>
            <a:ext cx="819150" cy="374650"/>
          </a:xfrm>
          <a:prstGeom prst="flowChartPredefinedProcess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1100"/>
          </a:p>
        </xdr:txBody>
      </xdr:sp>
      <xdr:sp macro="" textlink="">
        <xdr:nvSpPr>
          <xdr:cNvPr id="23" name="正方形/長方形 48">
            <a:extLst>
              <a:ext uri="{FF2B5EF4-FFF2-40B4-BE49-F238E27FC236}">
                <a16:creationId xmlns:a16="http://schemas.microsoft.com/office/drawing/2014/main" id="{00000000-0008-0000-0200-000017000000}"/>
              </a:ext>
            </a:extLst>
          </xdr:cNvPr>
          <xdr:cNvSpPr/>
        </xdr:nvSpPr>
        <xdr:spPr>
          <a:xfrm>
            <a:off x="1612900" y="2489200"/>
            <a:ext cx="933032" cy="288528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900"/>
              <a:t>業務</a:t>
            </a:r>
            <a:endParaRPr kumimoji="1" lang="en-US" altLang="ja-JP" sz="900"/>
          </a:p>
        </xdr:txBody>
      </xdr:sp>
    </xdr:grpSp>
    <xdr:clientData/>
  </xdr:twoCellAnchor>
  <xdr:twoCellAnchor>
    <xdr:from>
      <xdr:col>21</xdr:col>
      <xdr:colOff>171450</xdr:colOff>
      <xdr:row>33</xdr:row>
      <xdr:rowOff>53975</xdr:rowOff>
    </xdr:from>
    <xdr:to>
      <xdr:col>26</xdr:col>
      <xdr:colOff>190500</xdr:colOff>
      <xdr:row>35</xdr:row>
      <xdr:rowOff>136525</xdr:rowOff>
    </xdr:to>
    <xdr:grpSp>
      <xdr:nvGrpSpPr>
        <xdr:cNvPr id="24" name="グループ化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GrpSpPr/>
      </xdr:nvGrpSpPr>
      <xdr:grpSpPr>
        <a:xfrm>
          <a:off x="4491990" y="6066155"/>
          <a:ext cx="1047750" cy="448310"/>
          <a:chOff x="4305300" y="5730875"/>
          <a:chExt cx="1003300" cy="425450"/>
        </a:xfrm>
      </xdr:grpSpPr>
      <xdr:sp macro="" textlink="">
        <xdr:nvSpPr>
          <xdr:cNvPr id="25" name="AutoShape 49">
            <a:extLst>
              <a:ext uri="{FF2B5EF4-FFF2-40B4-BE49-F238E27FC236}">
                <a16:creationId xmlns:a16="http://schemas.microsoft.com/office/drawing/2014/main" id="{00000000-0008-0000-0200-000019000000}"/>
              </a:ext>
            </a:extLst>
          </xdr:cNvPr>
          <xdr:cNvSpPr>
            <a:spLocks noChangeArrowheads="1"/>
          </xdr:cNvSpPr>
        </xdr:nvSpPr>
        <xdr:spPr bwMode="gray">
          <a:xfrm>
            <a:off x="4410075" y="5730875"/>
            <a:ext cx="876300" cy="425450"/>
          </a:xfrm>
          <a:prstGeom prst="flowChartOnlineStorage">
            <a:avLst/>
          </a:prstGeom>
          <a:solidFill>
            <a:schemeClr val="bg1"/>
          </a:solidFill>
          <a:ln w="9525" algn="ctr">
            <a:solidFill>
              <a:schemeClr val="tx1"/>
            </a:solidFill>
            <a:miter lim="800000"/>
            <a:headEnd/>
            <a:tailEnd/>
          </a:ln>
          <a:effectLst/>
        </xdr:spPr>
        <xdr:txBody>
          <a:bodyPr wrap="square" anchor="ctr"/>
          <a:lstStyle>
            <a:defPPr>
              <a:defRPr lang="ja-JP"/>
            </a:defPPr>
            <a:lvl1pPr algn="ctr" rtl="0" fontAlgn="base">
              <a:spcBef>
                <a:spcPct val="0"/>
              </a:spcBef>
              <a:spcAft>
                <a:spcPct val="0"/>
              </a:spcAft>
              <a:defRPr kumimoji="1" kern="1200">
                <a:solidFill>
                  <a:schemeClr val="tx1"/>
                </a:solidFill>
                <a:latin typeface="MS UI Gothic" panose="020B0600070205080204" pitchFamily="50" charset="-128"/>
                <a:ea typeface="MS UI Gothic" panose="020B0600070205080204" pitchFamily="50" charset="-128"/>
                <a:cs typeface="+mn-cs"/>
              </a:defRPr>
            </a:lvl1pPr>
            <a:lvl2pPr marL="457200" algn="ctr" rtl="0" fontAlgn="base">
              <a:spcBef>
                <a:spcPct val="0"/>
              </a:spcBef>
              <a:spcAft>
                <a:spcPct val="0"/>
              </a:spcAft>
              <a:defRPr kumimoji="1" kern="1200">
                <a:solidFill>
                  <a:schemeClr val="tx1"/>
                </a:solidFill>
                <a:latin typeface="MS UI Gothic" panose="020B0600070205080204" pitchFamily="50" charset="-128"/>
                <a:ea typeface="MS UI Gothic" panose="020B0600070205080204" pitchFamily="50" charset="-128"/>
                <a:cs typeface="+mn-cs"/>
              </a:defRPr>
            </a:lvl2pPr>
            <a:lvl3pPr marL="914400" algn="ctr" rtl="0" fontAlgn="base">
              <a:spcBef>
                <a:spcPct val="0"/>
              </a:spcBef>
              <a:spcAft>
                <a:spcPct val="0"/>
              </a:spcAft>
              <a:defRPr kumimoji="1" kern="1200">
                <a:solidFill>
                  <a:schemeClr val="tx1"/>
                </a:solidFill>
                <a:latin typeface="MS UI Gothic" panose="020B0600070205080204" pitchFamily="50" charset="-128"/>
                <a:ea typeface="MS UI Gothic" panose="020B0600070205080204" pitchFamily="50" charset="-128"/>
                <a:cs typeface="+mn-cs"/>
              </a:defRPr>
            </a:lvl3pPr>
            <a:lvl4pPr marL="1371600" algn="ctr" rtl="0" fontAlgn="base">
              <a:spcBef>
                <a:spcPct val="0"/>
              </a:spcBef>
              <a:spcAft>
                <a:spcPct val="0"/>
              </a:spcAft>
              <a:defRPr kumimoji="1" kern="1200">
                <a:solidFill>
                  <a:schemeClr val="tx1"/>
                </a:solidFill>
                <a:latin typeface="MS UI Gothic" panose="020B0600070205080204" pitchFamily="50" charset="-128"/>
                <a:ea typeface="MS UI Gothic" panose="020B0600070205080204" pitchFamily="50" charset="-128"/>
                <a:cs typeface="+mn-cs"/>
              </a:defRPr>
            </a:lvl4pPr>
            <a:lvl5pPr marL="1828800" algn="ctr" rtl="0" fontAlgn="base">
              <a:spcBef>
                <a:spcPct val="0"/>
              </a:spcBef>
              <a:spcAft>
                <a:spcPct val="0"/>
              </a:spcAft>
              <a:defRPr kumimoji="1" kern="1200">
                <a:solidFill>
                  <a:schemeClr val="tx1"/>
                </a:solidFill>
                <a:latin typeface="MS UI Gothic" panose="020B0600070205080204" pitchFamily="50" charset="-128"/>
                <a:ea typeface="MS UI Gothic" panose="020B0600070205080204" pitchFamily="50" charset="-128"/>
                <a:cs typeface="+mn-cs"/>
              </a:defRPr>
            </a:lvl5pPr>
            <a:lvl6pPr marL="2286000" algn="l" defTabSz="914400" rtl="0" eaLnBrk="1" latinLnBrk="0" hangingPunct="1">
              <a:defRPr kumimoji="1" kern="1200">
                <a:solidFill>
                  <a:schemeClr val="tx1"/>
                </a:solidFill>
                <a:latin typeface="MS UI Gothic" panose="020B0600070205080204" pitchFamily="50" charset="-128"/>
                <a:ea typeface="MS UI Gothic" panose="020B0600070205080204" pitchFamily="50" charset="-128"/>
                <a:cs typeface="+mn-cs"/>
              </a:defRPr>
            </a:lvl6pPr>
            <a:lvl7pPr marL="2743200" algn="l" defTabSz="914400" rtl="0" eaLnBrk="1" latinLnBrk="0" hangingPunct="1">
              <a:defRPr kumimoji="1" kern="1200">
                <a:solidFill>
                  <a:schemeClr val="tx1"/>
                </a:solidFill>
                <a:latin typeface="MS UI Gothic" panose="020B0600070205080204" pitchFamily="50" charset="-128"/>
                <a:ea typeface="MS UI Gothic" panose="020B0600070205080204" pitchFamily="50" charset="-128"/>
                <a:cs typeface="+mn-cs"/>
              </a:defRPr>
            </a:lvl7pPr>
            <a:lvl8pPr marL="3200400" algn="l" defTabSz="914400" rtl="0" eaLnBrk="1" latinLnBrk="0" hangingPunct="1">
              <a:defRPr kumimoji="1" kern="1200">
                <a:solidFill>
                  <a:schemeClr val="tx1"/>
                </a:solidFill>
                <a:latin typeface="MS UI Gothic" panose="020B0600070205080204" pitchFamily="50" charset="-128"/>
                <a:ea typeface="MS UI Gothic" panose="020B0600070205080204" pitchFamily="50" charset="-128"/>
                <a:cs typeface="+mn-cs"/>
              </a:defRPr>
            </a:lvl8pPr>
            <a:lvl9pPr marL="3657600" algn="l" defTabSz="914400" rtl="0" eaLnBrk="1" latinLnBrk="0" hangingPunct="1">
              <a:defRPr kumimoji="1" kern="1200">
                <a:solidFill>
                  <a:schemeClr val="tx1"/>
                </a:solidFill>
                <a:latin typeface="MS UI Gothic" panose="020B0600070205080204" pitchFamily="50" charset="-128"/>
                <a:ea typeface="MS UI Gothic" panose="020B0600070205080204" pitchFamily="50" charset="-128"/>
                <a:cs typeface="+mn-cs"/>
              </a:defRPr>
            </a:lvl9pPr>
          </a:lstStyle>
          <a:p>
            <a:pPr marL="0" marR="0" lvl="0" indent="0" algn="ctr" defTabSz="914400" rtl="0" eaLnBrk="1" fontAlgn="base" latinLnBrk="0" hangingPunct="1">
              <a:lnSpc>
                <a:spcPct val="100000"/>
              </a:lnSpc>
              <a:spcBef>
                <a:spcPct val="0"/>
              </a:spcBef>
              <a:spcAft>
                <a:spcPct val="0"/>
              </a:spcAft>
              <a:buClrTx/>
              <a:buSzTx/>
              <a:buFontTx/>
              <a:buNone/>
              <a:tabLst/>
              <a:defRPr/>
            </a:pPr>
            <a:endParaRPr lang="ja-JP" altLang="ja-JP" sz="800">
              <a:effectLst/>
              <a:latin typeface="+mj-ea"/>
              <a:ea typeface="+mj-ea"/>
            </a:endParaRPr>
          </a:p>
        </xdr:txBody>
      </xdr:sp>
      <xdr:sp macro="" textlink="">
        <xdr:nvSpPr>
          <xdr:cNvPr id="26" name="正方形/長方形 48">
            <a:extLst>
              <a:ext uri="{FF2B5EF4-FFF2-40B4-BE49-F238E27FC236}">
                <a16:creationId xmlns:a16="http://schemas.microsoft.com/office/drawing/2014/main" id="{00000000-0008-0000-0200-00001A000000}"/>
              </a:ext>
            </a:extLst>
          </xdr:cNvPr>
          <xdr:cNvSpPr/>
        </xdr:nvSpPr>
        <xdr:spPr>
          <a:xfrm>
            <a:off x="4305300" y="5797550"/>
            <a:ext cx="1003300" cy="288528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900"/>
              <a:t>ファイル名</a:t>
            </a:r>
          </a:p>
        </xdr:txBody>
      </xdr:sp>
    </xdr:grpSp>
    <xdr:clientData/>
  </xdr:twoCellAnchor>
  <xdr:twoCellAnchor>
    <xdr:from>
      <xdr:col>1</xdr:col>
      <xdr:colOff>88900</xdr:colOff>
      <xdr:row>33</xdr:row>
      <xdr:rowOff>104775</xdr:rowOff>
    </xdr:from>
    <xdr:to>
      <xdr:col>6</xdr:col>
      <xdr:colOff>107950</xdr:colOff>
      <xdr:row>36</xdr:row>
      <xdr:rowOff>34925</xdr:rowOff>
    </xdr:to>
    <xdr:grpSp>
      <xdr:nvGrpSpPr>
        <xdr:cNvPr id="27" name="グループ化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GrpSpPr/>
      </xdr:nvGrpSpPr>
      <xdr:grpSpPr>
        <a:xfrm>
          <a:off x="294640" y="6116955"/>
          <a:ext cx="1047750" cy="478790"/>
          <a:chOff x="285750" y="5781675"/>
          <a:chExt cx="1003300" cy="444500"/>
        </a:xfrm>
      </xdr:grpSpPr>
      <xdr:sp macro="" textlink="">
        <xdr:nvSpPr>
          <xdr:cNvPr id="28" name="フローチャート: 他ページ結合子 27">
            <a:extLst>
              <a:ext uri="{FF2B5EF4-FFF2-40B4-BE49-F238E27FC236}">
                <a16:creationId xmlns:a16="http://schemas.microsoft.com/office/drawing/2014/main" id="{00000000-0008-0000-0200-00001C000000}"/>
              </a:ext>
            </a:extLst>
          </xdr:cNvPr>
          <xdr:cNvSpPr/>
        </xdr:nvSpPr>
        <xdr:spPr>
          <a:xfrm>
            <a:off x="492124" y="5781675"/>
            <a:ext cx="600075" cy="444500"/>
          </a:xfrm>
          <a:prstGeom prst="flowChartOffpageConnector">
            <a:avLst/>
          </a:prstGeom>
          <a:ln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800"/>
          </a:p>
        </xdr:txBody>
      </xdr:sp>
      <xdr:sp macro="" textlink="">
        <xdr:nvSpPr>
          <xdr:cNvPr id="29" name="正方形/長方形 48">
            <a:extLst>
              <a:ext uri="{FF2B5EF4-FFF2-40B4-BE49-F238E27FC236}">
                <a16:creationId xmlns:a16="http://schemas.microsoft.com/office/drawing/2014/main" id="{00000000-0008-0000-0200-00001D000000}"/>
              </a:ext>
            </a:extLst>
          </xdr:cNvPr>
          <xdr:cNvSpPr/>
        </xdr:nvSpPr>
        <xdr:spPr>
          <a:xfrm>
            <a:off x="285750" y="5816600"/>
            <a:ext cx="1003300" cy="288528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900"/>
              <a:t>フロー名</a:t>
            </a:r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90650</xdr:colOff>
      <xdr:row>58</xdr:row>
      <xdr:rowOff>58277</xdr:rowOff>
    </xdr:from>
    <xdr:to>
      <xdr:col>11</xdr:col>
      <xdr:colOff>101233</xdr:colOff>
      <xdr:row>60</xdr:row>
      <xdr:rowOff>105251</xdr:rowOff>
    </xdr:to>
    <xdr:cxnSp macro="">
      <xdr:nvCxnSpPr>
        <xdr:cNvPr id="4" name="直線矢印コネクタ 3">
          <a:extLst>
            <a:ext uri="{FF2B5EF4-FFF2-40B4-BE49-F238E27FC236}">
              <a16:creationId xmlns:a16="http://schemas.microsoft.com/office/drawing/2014/main" id="{B68533F4-7A6D-426B-A647-D98D23DB53A0}"/>
            </a:ext>
          </a:extLst>
        </xdr:cNvPr>
        <xdr:cNvCxnSpPr>
          <a:stCxn id="87" idx="2"/>
          <a:endCxn id="19" idx="0"/>
        </xdr:cNvCxnSpPr>
      </xdr:nvCxnSpPr>
      <xdr:spPr>
        <a:xfrm flipH="1">
          <a:off x="2448088" y="8856996"/>
          <a:ext cx="10583" cy="404161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133754</xdr:colOff>
      <xdr:row>72</xdr:row>
      <xdr:rowOff>110159</xdr:rowOff>
    </xdr:from>
    <xdr:to>
      <xdr:col>14</xdr:col>
      <xdr:colOff>92531</xdr:colOff>
      <xdr:row>75</xdr:row>
      <xdr:rowOff>156068</xdr:rowOff>
    </xdr:to>
    <xdr:grpSp>
      <xdr:nvGrpSpPr>
        <xdr:cNvPr id="9" name="グループ化 8">
          <a:extLst>
            <a:ext uri="{FF2B5EF4-FFF2-40B4-BE49-F238E27FC236}">
              <a16:creationId xmlns:a16="http://schemas.microsoft.com/office/drawing/2014/main" id="{9764D1B6-CC71-4D41-A238-4759F9715167}"/>
            </a:ext>
          </a:extLst>
        </xdr:cNvPr>
        <xdr:cNvGrpSpPr/>
      </xdr:nvGrpSpPr>
      <xdr:grpSpPr>
        <a:xfrm>
          <a:off x="1788383" y="13412502"/>
          <a:ext cx="1199748" cy="601080"/>
          <a:chOff x="1583832" y="2457449"/>
          <a:chExt cx="1007257" cy="385472"/>
        </a:xfrm>
      </xdr:grpSpPr>
      <xdr:sp macro="" textlink="">
        <xdr:nvSpPr>
          <xdr:cNvPr id="10" name="フローチャート: 定義済み処理 9">
            <a:extLst>
              <a:ext uri="{FF2B5EF4-FFF2-40B4-BE49-F238E27FC236}">
                <a16:creationId xmlns:a16="http://schemas.microsoft.com/office/drawing/2014/main" id="{AE415413-AB5C-47CE-9D61-589EE5BC1521}"/>
              </a:ext>
            </a:extLst>
          </xdr:cNvPr>
          <xdr:cNvSpPr/>
        </xdr:nvSpPr>
        <xdr:spPr>
          <a:xfrm>
            <a:off x="1682750" y="2457449"/>
            <a:ext cx="819150" cy="374650"/>
          </a:xfrm>
          <a:prstGeom prst="flowChartPredefinedProcess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1100"/>
          </a:p>
        </xdr:txBody>
      </xdr:sp>
      <xdr:sp macro="" textlink="">
        <xdr:nvSpPr>
          <xdr:cNvPr id="11" name="正方形/長方形 48">
            <a:extLst>
              <a:ext uri="{FF2B5EF4-FFF2-40B4-BE49-F238E27FC236}">
                <a16:creationId xmlns:a16="http://schemas.microsoft.com/office/drawing/2014/main" id="{42AC7177-BCB0-4440-A1D5-2E3183AC4DD0}"/>
              </a:ext>
            </a:extLst>
          </xdr:cNvPr>
          <xdr:cNvSpPr/>
        </xdr:nvSpPr>
        <xdr:spPr>
          <a:xfrm>
            <a:off x="1583832" y="2468098"/>
            <a:ext cx="1007257" cy="374823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900"/>
              <a:t>２．原価センタ</a:t>
            </a:r>
            <a:endParaRPr kumimoji="1" lang="en-US" altLang="ja-JP" sz="900"/>
          </a:p>
          <a:p>
            <a:pPr algn="ctr"/>
            <a:r>
              <a:rPr kumimoji="1" lang="ja-JP" altLang="en-US" sz="900"/>
              <a:t>マスタの取込</a:t>
            </a:r>
            <a:endParaRPr kumimoji="1" lang="en-US" altLang="ja-JP" sz="900"/>
          </a:p>
        </xdr:txBody>
      </xdr:sp>
    </xdr:grpSp>
    <xdr:clientData/>
  </xdr:twoCellAnchor>
  <xdr:twoCellAnchor>
    <xdr:from>
      <xdr:col>11</xdr:col>
      <xdr:colOff>119150</xdr:colOff>
      <xdr:row>75</xdr:row>
      <xdr:rowOff>139625</xdr:rowOff>
    </xdr:from>
    <xdr:to>
      <xdr:col>11</xdr:col>
      <xdr:colOff>120728</xdr:colOff>
      <xdr:row>80</xdr:row>
      <xdr:rowOff>106569</xdr:rowOff>
    </xdr:to>
    <xdr:cxnSp macro="">
      <xdr:nvCxnSpPr>
        <xdr:cNvPr id="16" name="直線矢印コネクタ 27">
          <a:extLst>
            <a:ext uri="{FF2B5EF4-FFF2-40B4-BE49-F238E27FC236}">
              <a16:creationId xmlns:a16="http://schemas.microsoft.com/office/drawing/2014/main" id="{6F2B4476-DD5E-4E38-8DB3-4D57589B323B}"/>
            </a:ext>
          </a:extLst>
        </xdr:cNvPr>
        <xdr:cNvCxnSpPr>
          <a:cxnSpLocks/>
          <a:stCxn id="10" idx="2"/>
          <a:endCxn id="32" idx="0"/>
        </xdr:cNvCxnSpPr>
      </xdr:nvCxnSpPr>
      <xdr:spPr>
        <a:xfrm>
          <a:off x="2461179" y="7165713"/>
          <a:ext cx="1578" cy="863415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120727</xdr:colOff>
      <xdr:row>12</xdr:row>
      <xdr:rowOff>179132</xdr:rowOff>
    </xdr:from>
    <xdr:to>
      <xdr:col>11</xdr:col>
      <xdr:colOff>122822</xdr:colOff>
      <xdr:row>16</xdr:row>
      <xdr:rowOff>92072</xdr:rowOff>
    </xdr:to>
    <xdr:cxnSp macro="">
      <xdr:nvCxnSpPr>
        <xdr:cNvPr id="17" name="直線矢印コネクタ 16">
          <a:extLst>
            <a:ext uri="{FF2B5EF4-FFF2-40B4-BE49-F238E27FC236}">
              <a16:creationId xmlns:a16="http://schemas.microsoft.com/office/drawing/2014/main" id="{B331B6A1-D1C5-4ED0-8E0F-930BA9F64F8F}"/>
            </a:ext>
          </a:extLst>
        </xdr:cNvPr>
        <xdr:cNvCxnSpPr>
          <a:cxnSpLocks/>
          <a:stCxn id="249" idx="2"/>
          <a:endCxn id="7" idx="0"/>
        </xdr:cNvCxnSpPr>
      </xdr:nvCxnSpPr>
      <xdr:spPr>
        <a:xfrm>
          <a:off x="2487409" y="2406861"/>
          <a:ext cx="2095" cy="648046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168088</xdr:colOff>
      <xdr:row>11</xdr:row>
      <xdr:rowOff>102757</xdr:rowOff>
    </xdr:from>
    <xdr:to>
      <xdr:col>13</xdr:col>
      <xdr:colOff>73366</xdr:colOff>
      <xdr:row>12</xdr:row>
      <xdr:rowOff>179132</xdr:rowOff>
    </xdr:to>
    <xdr:sp macro="" textlink="">
      <xdr:nvSpPr>
        <xdr:cNvPr id="249" name="フローチャート: 端子 248">
          <a:extLst>
            <a:ext uri="{FF2B5EF4-FFF2-40B4-BE49-F238E27FC236}">
              <a16:creationId xmlns:a16="http://schemas.microsoft.com/office/drawing/2014/main" id="{E81DF71A-3F3D-4A3F-BBEB-53F8DD34A1B6}"/>
            </a:ext>
          </a:extLst>
        </xdr:cNvPr>
        <xdr:cNvSpPr/>
      </xdr:nvSpPr>
      <xdr:spPr>
        <a:xfrm>
          <a:off x="2084294" y="2131022"/>
          <a:ext cx="756925" cy="244463"/>
        </a:xfrm>
        <a:prstGeom prst="flowChartTermina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開始</a:t>
          </a:r>
        </a:p>
      </xdr:txBody>
    </xdr:sp>
    <xdr:clientData/>
  </xdr:twoCellAnchor>
  <xdr:twoCellAnchor>
    <xdr:from>
      <xdr:col>16</xdr:col>
      <xdr:colOff>833</xdr:colOff>
      <xdr:row>77</xdr:row>
      <xdr:rowOff>6760</xdr:rowOff>
    </xdr:from>
    <xdr:to>
      <xdr:col>20</xdr:col>
      <xdr:colOff>212701</xdr:colOff>
      <xdr:row>81</xdr:row>
      <xdr:rowOff>7578</xdr:rowOff>
    </xdr:to>
    <xdr:grpSp>
      <xdr:nvGrpSpPr>
        <xdr:cNvPr id="12" name="グループ化 11">
          <a:extLst>
            <a:ext uri="{FF2B5EF4-FFF2-40B4-BE49-F238E27FC236}">
              <a16:creationId xmlns:a16="http://schemas.microsoft.com/office/drawing/2014/main" id="{66488BF7-F724-72EB-97B4-FFEB7A9F86D9}"/>
            </a:ext>
          </a:extLst>
        </xdr:cNvPr>
        <xdr:cNvGrpSpPr>
          <a:grpSpLocks noChangeAspect="1"/>
        </xdr:cNvGrpSpPr>
      </xdr:nvGrpSpPr>
      <xdr:grpSpPr>
        <a:xfrm>
          <a:off x="3310090" y="14234389"/>
          <a:ext cx="1031562" cy="741046"/>
          <a:chOff x="7112000" y="2892425"/>
          <a:chExt cx="873125" cy="584982"/>
        </a:xfrm>
      </xdr:grpSpPr>
      <xdr:sp macro="" textlink="">
        <xdr:nvSpPr>
          <xdr:cNvPr id="13" name="フローチャート: 磁気ディスク 12">
            <a:extLst>
              <a:ext uri="{FF2B5EF4-FFF2-40B4-BE49-F238E27FC236}">
                <a16:creationId xmlns:a16="http://schemas.microsoft.com/office/drawing/2014/main" id="{AD4719B0-263B-15C5-8A71-73EA6E0A5A95}"/>
              </a:ext>
            </a:extLst>
          </xdr:cNvPr>
          <xdr:cNvSpPr/>
        </xdr:nvSpPr>
        <xdr:spPr>
          <a:xfrm>
            <a:off x="7204075" y="2892425"/>
            <a:ext cx="676275" cy="536575"/>
          </a:xfrm>
          <a:prstGeom prst="flowChartMagneticDisk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800"/>
          </a:p>
        </xdr:txBody>
      </xdr:sp>
      <xdr:sp macro="" textlink="">
        <xdr:nvSpPr>
          <xdr:cNvPr id="14" name="正方形/長方形 13">
            <a:extLst>
              <a:ext uri="{FF2B5EF4-FFF2-40B4-BE49-F238E27FC236}">
                <a16:creationId xmlns:a16="http://schemas.microsoft.com/office/drawing/2014/main" id="{79D8FB55-AACD-59CE-61F1-025B19750B37}"/>
              </a:ext>
            </a:extLst>
          </xdr:cNvPr>
          <xdr:cNvSpPr/>
        </xdr:nvSpPr>
        <xdr:spPr>
          <a:xfrm>
            <a:off x="7112000" y="2971800"/>
            <a:ext cx="873125" cy="505607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900"/>
              <a:t>原価センタ</a:t>
            </a:r>
            <a:endParaRPr kumimoji="1" lang="en-US" altLang="ja-JP" sz="900"/>
          </a:p>
          <a:p>
            <a:pPr algn="ctr"/>
            <a:r>
              <a:rPr kumimoji="1" lang="ja-JP" altLang="en-US" sz="900"/>
              <a:t>マスタ</a:t>
            </a:r>
            <a:endParaRPr kumimoji="1" lang="en-US" altLang="ja-JP" sz="900"/>
          </a:p>
          <a:p>
            <a:pPr algn="ctr"/>
            <a:endParaRPr kumimoji="1" lang="en-US" altLang="ja-JP" sz="900"/>
          </a:p>
        </xdr:txBody>
      </xdr:sp>
    </xdr:grpSp>
    <xdr:clientData/>
  </xdr:twoCellAnchor>
  <xdr:twoCellAnchor>
    <xdr:from>
      <xdr:col>13</xdr:col>
      <xdr:colOff>199112</xdr:colOff>
      <xdr:row>67</xdr:row>
      <xdr:rowOff>110788</xdr:rowOff>
    </xdr:from>
    <xdr:to>
      <xdr:col>22</xdr:col>
      <xdr:colOff>132789</xdr:colOff>
      <xdr:row>74</xdr:row>
      <xdr:rowOff>34292</xdr:rowOff>
    </xdr:to>
    <xdr:cxnSp macro="">
      <xdr:nvCxnSpPr>
        <xdr:cNvPr id="15" name="コネクタ: カギ線 211">
          <a:extLst>
            <a:ext uri="{FF2B5EF4-FFF2-40B4-BE49-F238E27FC236}">
              <a16:creationId xmlns:a16="http://schemas.microsoft.com/office/drawing/2014/main" id="{CBAE973E-E4AA-0D2B-CFDD-EB6F425F977F}"/>
            </a:ext>
          </a:extLst>
        </xdr:cNvPr>
        <xdr:cNvCxnSpPr>
          <a:stCxn id="10" idx="3"/>
          <a:endCxn id="80" idx="1"/>
        </xdr:cNvCxnSpPr>
      </xdr:nvCxnSpPr>
      <xdr:spPr>
        <a:xfrm flipV="1">
          <a:off x="2966965" y="4996553"/>
          <a:ext cx="1849883" cy="988063"/>
        </a:xfrm>
        <a:prstGeom prst="bentConnector3">
          <a:avLst>
            <a:gd name="adj1" fmla="val 50000"/>
          </a:avLst>
        </a:prstGeom>
        <a:ln w="12700"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171898</xdr:colOff>
      <xdr:row>80</xdr:row>
      <xdr:rowOff>108474</xdr:rowOff>
    </xdr:from>
    <xdr:to>
      <xdr:col>13</xdr:col>
      <xdr:colOff>73366</xdr:colOff>
      <xdr:row>82</xdr:row>
      <xdr:rowOff>64</xdr:rowOff>
    </xdr:to>
    <xdr:sp macro="" textlink="">
      <xdr:nvSpPr>
        <xdr:cNvPr id="32" name="フローチャート: 端子 31">
          <a:extLst>
            <a:ext uri="{FF2B5EF4-FFF2-40B4-BE49-F238E27FC236}">
              <a16:creationId xmlns:a16="http://schemas.microsoft.com/office/drawing/2014/main" id="{710AC6EB-7B96-9E56-15CC-90FA62D20AE9}"/>
            </a:ext>
          </a:extLst>
        </xdr:cNvPr>
        <xdr:cNvSpPr/>
      </xdr:nvSpPr>
      <xdr:spPr>
        <a:xfrm>
          <a:off x="2088104" y="8031033"/>
          <a:ext cx="753115" cy="250178"/>
        </a:xfrm>
        <a:prstGeom prst="flowChartTermina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終了</a:t>
          </a:r>
        </a:p>
      </xdr:txBody>
    </xdr:sp>
    <xdr:clientData/>
  </xdr:twoCellAnchor>
  <xdr:twoCellAnchor>
    <xdr:from>
      <xdr:col>22</xdr:col>
      <xdr:colOff>187747</xdr:colOff>
      <xdr:row>60</xdr:row>
      <xdr:rowOff>25883</xdr:rowOff>
    </xdr:from>
    <xdr:to>
      <xdr:col>27</xdr:col>
      <xdr:colOff>173368</xdr:colOff>
      <xdr:row>64</xdr:row>
      <xdr:rowOff>132983</xdr:rowOff>
    </xdr:to>
    <xdr:grpSp>
      <xdr:nvGrpSpPr>
        <xdr:cNvPr id="72" name="グループ化 71">
          <a:extLst>
            <a:ext uri="{FF2B5EF4-FFF2-40B4-BE49-F238E27FC236}">
              <a16:creationId xmlns:a16="http://schemas.microsoft.com/office/drawing/2014/main" id="{69EB14B3-1D10-3783-667C-DD2AC5A267A1}"/>
            </a:ext>
          </a:extLst>
        </xdr:cNvPr>
        <xdr:cNvGrpSpPr>
          <a:grpSpLocks noChangeAspect="1"/>
        </xdr:cNvGrpSpPr>
      </xdr:nvGrpSpPr>
      <xdr:grpSpPr>
        <a:xfrm>
          <a:off x="4737976" y="11151083"/>
          <a:ext cx="1019763" cy="847329"/>
          <a:chOff x="7112000" y="2836278"/>
          <a:chExt cx="873125" cy="715195"/>
        </a:xfrm>
      </xdr:grpSpPr>
      <xdr:sp macro="" textlink="">
        <xdr:nvSpPr>
          <xdr:cNvPr id="73" name="フローチャート: 磁気ディスク 72">
            <a:extLst>
              <a:ext uri="{FF2B5EF4-FFF2-40B4-BE49-F238E27FC236}">
                <a16:creationId xmlns:a16="http://schemas.microsoft.com/office/drawing/2014/main" id="{DD424834-84EB-A7ED-CE54-B0198D1565B6}"/>
              </a:ext>
            </a:extLst>
          </xdr:cNvPr>
          <xdr:cNvSpPr/>
        </xdr:nvSpPr>
        <xdr:spPr>
          <a:xfrm>
            <a:off x="7204075" y="2892425"/>
            <a:ext cx="676275" cy="536575"/>
          </a:xfrm>
          <a:prstGeom prst="flowChartMagneticDisk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800"/>
          </a:p>
        </xdr:txBody>
      </xdr:sp>
      <xdr:sp macro="" textlink="">
        <xdr:nvSpPr>
          <xdr:cNvPr id="74" name="正方形/長方形 73">
            <a:extLst>
              <a:ext uri="{FF2B5EF4-FFF2-40B4-BE49-F238E27FC236}">
                <a16:creationId xmlns:a16="http://schemas.microsoft.com/office/drawing/2014/main" id="{C8B9FAFA-763F-0858-6510-FFF8D2C62349}"/>
              </a:ext>
            </a:extLst>
          </xdr:cNvPr>
          <xdr:cNvSpPr/>
        </xdr:nvSpPr>
        <xdr:spPr>
          <a:xfrm>
            <a:off x="7112000" y="2836278"/>
            <a:ext cx="873125" cy="71519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900"/>
              <a:t>MDM</a:t>
            </a:r>
          </a:p>
        </xdr:txBody>
      </xdr:sp>
    </xdr:grpSp>
    <xdr:clientData/>
  </xdr:twoCellAnchor>
  <xdr:twoCellAnchor>
    <xdr:from>
      <xdr:col>22</xdr:col>
      <xdr:colOff>128979</xdr:colOff>
      <xdr:row>66</xdr:row>
      <xdr:rowOff>60285</xdr:rowOff>
    </xdr:from>
    <xdr:to>
      <xdr:col>27</xdr:col>
      <xdr:colOff>135030</xdr:colOff>
      <xdr:row>68</xdr:row>
      <xdr:rowOff>172867</xdr:rowOff>
    </xdr:to>
    <xdr:grpSp>
      <xdr:nvGrpSpPr>
        <xdr:cNvPr id="78" name="グループ化 77">
          <a:extLst>
            <a:ext uri="{FF2B5EF4-FFF2-40B4-BE49-F238E27FC236}">
              <a16:creationId xmlns:a16="http://schemas.microsoft.com/office/drawing/2014/main" id="{FC48D9E7-14E9-4539-B583-5DD58D499B43}"/>
            </a:ext>
          </a:extLst>
        </xdr:cNvPr>
        <xdr:cNvGrpSpPr/>
      </xdr:nvGrpSpPr>
      <xdr:grpSpPr>
        <a:xfrm>
          <a:off x="4679208" y="12295828"/>
          <a:ext cx="1040193" cy="482696"/>
          <a:chOff x="4305300" y="5730875"/>
          <a:chExt cx="1003300" cy="425450"/>
        </a:xfrm>
      </xdr:grpSpPr>
      <xdr:sp macro="" textlink="">
        <xdr:nvSpPr>
          <xdr:cNvPr id="79" name="AutoShape 49">
            <a:extLst>
              <a:ext uri="{FF2B5EF4-FFF2-40B4-BE49-F238E27FC236}">
                <a16:creationId xmlns:a16="http://schemas.microsoft.com/office/drawing/2014/main" id="{D14C0B23-5717-7364-5DAD-6752F11B105F}"/>
              </a:ext>
            </a:extLst>
          </xdr:cNvPr>
          <xdr:cNvSpPr>
            <a:spLocks noChangeArrowheads="1"/>
          </xdr:cNvSpPr>
        </xdr:nvSpPr>
        <xdr:spPr bwMode="gray">
          <a:xfrm>
            <a:off x="4410075" y="5730875"/>
            <a:ext cx="876300" cy="425450"/>
          </a:xfrm>
          <a:prstGeom prst="flowChartOnlineStorage">
            <a:avLst/>
          </a:prstGeom>
          <a:solidFill>
            <a:schemeClr val="bg1"/>
          </a:solidFill>
          <a:ln w="9525" algn="ctr">
            <a:solidFill>
              <a:schemeClr val="tx1"/>
            </a:solidFill>
            <a:miter lim="800000"/>
            <a:headEnd/>
            <a:tailEnd/>
          </a:ln>
          <a:effectLst/>
        </xdr:spPr>
        <xdr:txBody>
          <a:bodyPr wrap="square" anchor="ctr"/>
          <a:lstStyle>
            <a:defPPr>
              <a:defRPr lang="ja-JP"/>
            </a:defPPr>
            <a:lvl1pPr algn="ctr" rtl="0" fontAlgn="base">
              <a:spcBef>
                <a:spcPct val="0"/>
              </a:spcBef>
              <a:spcAft>
                <a:spcPct val="0"/>
              </a:spcAft>
              <a:defRPr kumimoji="1" kern="1200">
                <a:solidFill>
                  <a:schemeClr val="tx1"/>
                </a:solidFill>
                <a:latin typeface="MS UI Gothic" panose="020B0600070205080204" pitchFamily="50" charset="-128"/>
                <a:ea typeface="MS UI Gothic" panose="020B0600070205080204" pitchFamily="50" charset="-128"/>
                <a:cs typeface="+mn-cs"/>
              </a:defRPr>
            </a:lvl1pPr>
            <a:lvl2pPr marL="457200" algn="ctr" rtl="0" fontAlgn="base">
              <a:spcBef>
                <a:spcPct val="0"/>
              </a:spcBef>
              <a:spcAft>
                <a:spcPct val="0"/>
              </a:spcAft>
              <a:defRPr kumimoji="1" kern="1200">
                <a:solidFill>
                  <a:schemeClr val="tx1"/>
                </a:solidFill>
                <a:latin typeface="MS UI Gothic" panose="020B0600070205080204" pitchFamily="50" charset="-128"/>
                <a:ea typeface="MS UI Gothic" panose="020B0600070205080204" pitchFamily="50" charset="-128"/>
                <a:cs typeface="+mn-cs"/>
              </a:defRPr>
            </a:lvl2pPr>
            <a:lvl3pPr marL="914400" algn="ctr" rtl="0" fontAlgn="base">
              <a:spcBef>
                <a:spcPct val="0"/>
              </a:spcBef>
              <a:spcAft>
                <a:spcPct val="0"/>
              </a:spcAft>
              <a:defRPr kumimoji="1" kern="1200">
                <a:solidFill>
                  <a:schemeClr val="tx1"/>
                </a:solidFill>
                <a:latin typeface="MS UI Gothic" panose="020B0600070205080204" pitchFamily="50" charset="-128"/>
                <a:ea typeface="MS UI Gothic" panose="020B0600070205080204" pitchFamily="50" charset="-128"/>
                <a:cs typeface="+mn-cs"/>
              </a:defRPr>
            </a:lvl3pPr>
            <a:lvl4pPr marL="1371600" algn="ctr" rtl="0" fontAlgn="base">
              <a:spcBef>
                <a:spcPct val="0"/>
              </a:spcBef>
              <a:spcAft>
                <a:spcPct val="0"/>
              </a:spcAft>
              <a:defRPr kumimoji="1" kern="1200">
                <a:solidFill>
                  <a:schemeClr val="tx1"/>
                </a:solidFill>
                <a:latin typeface="MS UI Gothic" panose="020B0600070205080204" pitchFamily="50" charset="-128"/>
                <a:ea typeface="MS UI Gothic" panose="020B0600070205080204" pitchFamily="50" charset="-128"/>
                <a:cs typeface="+mn-cs"/>
              </a:defRPr>
            </a:lvl4pPr>
            <a:lvl5pPr marL="1828800" algn="ctr" rtl="0" fontAlgn="base">
              <a:spcBef>
                <a:spcPct val="0"/>
              </a:spcBef>
              <a:spcAft>
                <a:spcPct val="0"/>
              </a:spcAft>
              <a:defRPr kumimoji="1" kern="1200">
                <a:solidFill>
                  <a:schemeClr val="tx1"/>
                </a:solidFill>
                <a:latin typeface="MS UI Gothic" panose="020B0600070205080204" pitchFamily="50" charset="-128"/>
                <a:ea typeface="MS UI Gothic" panose="020B0600070205080204" pitchFamily="50" charset="-128"/>
                <a:cs typeface="+mn-cs"/>
              </a:defRPr>
            </a:lvl5pPr>
            <a:lvl6pPr marL="2286000" algn="l" defTabSz="914400" rtl="0" eaLnBrk="1" latinLnBrk="0" hangingPunct="1">
              <a:defRPr kumimoji="1" kern="1200">
                <a:solidFill>
                  <a:schemeClr val="tx1"/>
                </a:solidFill>
                <a:latin typeface="MS UI Gothic" panose="020B0600070205080204" pitchFamily="50" charset="-128"/>
                <a:ea typeface="MS UI Gothic" panose="020B0600070205080204" pitchFamily="50" charset="-128"/>
                <a:cs typeface="+mn-cs"/>
              </a:defRPr>
            </a:lvl6pPr>
            <a:lvl7pPr marL="2743200" algn="l" defTabSz="914400" rtl="0" eaLnBrk="1" latinLnBrk="0" hangingPunct="1">
              <a:defRPr kumimoji="1" kern="1200">
                <a:solidFill>
                  <a:schemeClr val="tx1"/>
                </a:solidFill>
                <a:latin typeface="MS UI Gothic" panose="020B0600070205080204" pitchFamily="50" charset="-128"/>
                <a:ea typeface="MS UI Gothic" panose="020B0600070205080204" pitchFamily="50" charset="-128"/>
                <a:cs typeface="+mn-cs"/>
              </a:defRPr>
            </a:lvl7pPr>
            <a:lvl8pPr marL="3200400" algn="l" defTabSz="914400" rtl="0" eaLnBrk="1" latinLnBrk="0" hangingPunct="1">
              <a:defRPr kumimoji="1" kern="1200">
                <a:solidFill>
                  <a:schemeClr val="tx1"/>
                </a:solidFill>
                <a:latin typeface="MS UI Gothic" panose="020B0600070205080204" pitchFamily="50" charset="-128"/>
                <a:ea typeface="MS UI Gothic" panose="020B0600070205080204" pitchFamily="50" charset="-128"/>
                <a:cs typeface="+mn-cs"/>
              </a:defRPr>
            </a:lvl8pPr>
            <a:lvl9pPr marL="3657600" algn="l" defTabSz="914400" rtl="0" eaLnBrk="1" latinLnBrk="0" hangingPunct="1">
              <a:defRPr kumimoji="1" kern="1200">
                <a:solidFill>
                  <a:schemeClr val="tx1"/>
                </a:solidFill>
                <a:latin typeface="MS UI Gothic" panose="020B0600070205080204" pitchFamily="50" charset="-128"/>
                <a:ea typeface="MS UI Gothic" panose="020B0600070205080204" pitchFamily="50" charset="-128"/>
                <a:cs typeface="+mn-cs"/>
              </a:defRPr>
            </a:lvl9pPr>
          </a:lstStyle>
          <a:p>
            <a:pPr marL="0" marR="0" lvl="0" indent="0" algn="ctr" defTabSz="914400" rtl="0" eaLnBrk="1" fontAlgn="base" latinLnBrk="0" hangingPunct="1">
              <a:lnSpc>
                <a:spcPct val="100000"/>
              </a:lnSpc>
              <a:spcBef>
                <a:spcPct val="0"/>
              </a:spcBef>
              <a:spcAft>
                <a:spcPct val="0"/>
              </a:spcAft>
              <a:buClrTx/>
              <a:buSzTx/>
              <a:buFontTx/>
              <a:buNone/>
              <a:tabLst/>
              <a:defRPr/>
            </a:pPr>
            <a:endParaRPr lang="ja-JP" altLang="ja-JP" sz="800">
              <a:effectLst/>
              <a:latin typeface="+mj-ea"/>
              <a:ea typeface="+mj-ea"/>
            </a:endParaRPr>
          </a:p>
        </xdr:txBody>
      </xdr:sp>
      <xdr:sp macro="" textlink="">
        <xdr:nvSpPr>
          <xdr:cNvPr id="80" name="正方形/長方形 48">
            <a:extLst>
              <a:ext uri="{FF2B5EF4-FFF2-40B4-BE49-F238E27FC236}">
                <a16:creationId xmlns:a16="http://schemas.microsoft.com/office/drawing/2014/main" id="{9EC46680-8511-A805-6067-BDF23AF97D5D}"/>
              </a:ext>
            </a:extLst>
          </xdr:cNvPr>
          <xdr:cNvSpPr/>
        </xdr:nvSpPr>
        <xdr:spPr>
          <a:xfrm>
            <a:off x="4305300" y="5797550"/>
            <a:ext cx="1003300" cy="288528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900"/>
              <a:t>原価センタマスタ</a:t>
            </a:r>
          </a:p>
        </xdr:txBody>
      </xdr:sp>
    </xdr:grpSp>
    <xdr:clientData/>
  </xdr:twoCellAnchor>
  <xdr:twoCellAnchor>
    <xdr:from>
      <xdr:col>25</xdr:col>
      <xdr:colOff>66962</xdr:colOff>
      <xdr:row>64</xdr:row>
      <xdr:rowOff>132983</xdr:rowOff>
    </xdr:from>
    <xdr:to>
      <xdr:col>25</xdr:col>
      <xdr:colOff>69591</xdr:colOff>
      <xdr:row>66</xdr:row>
      <xdr:rowOff>60285</xdr:rowOff>
    </xdr:to>
    <xdr:cxnSp macro="">
      <xdr:nvCxnSpPr>
        <xdr:cNvPr id="81" name="コネクタ: カギ線 211">
          <a:extLst>
            <a:ext uri="{FF2B5EF4-FFF2-40B4-BE49-F238E27FC236}">
              <a16:creationId xmlns:a16="http://schemas.microsoft.com/office/drawing/2014/main" id="{1F0ADD65-EA95-218C-9243-A2F76BCE0D87}"/>
            </a:ext>
          </a:extLst>
        </xdr:cNvPr>
        <xdr:cNvCxnSpPr>
          <a:stCxn id="74" idx="2"/>
          <a:endCxn id="79" idx="0"/>
        </xdr:cNvCxnSpPr>
      </xdr:nvCxnSpPr>
      <xdr:spPr>
        <a:xfrm flipH="1">
          <a:off x="5426680" y="9999454"/>
          <a:ext cx="2629" cy="284490"/>
        </a:xfrm>
        <a:prstGeom prst="straightConnector1">
          <a:avLst/>
        </a:prstGeom>
        <a:ln w="12700"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212702</xdr:colOff>
      <xdr:row>68</xdr:row>
      <xdr:rowOff>169057</xdr:rowOff>
    </xdr:from>
    <xdr:to>
      <xdr:col>25</xdr:col>
      <xdr:colOff>69280</xdr:colOff>
      <xdr:row>79</xdr:row>
      <xdr:rowOff>55881</xdr:rowOff>
    </xdr:to>
    <xdr:cxnSp macro="">
      <xdr:nvCxnSpPr>
        <xdr:cNvPr id="146" name="コネクタ: カギ線 145">
          <a:extLst>
            <a:ext uri="{FF2B5EF4-FFF2-40B4-BE49-F238E27FC236}">
              <a16:creationId xmlns:a16="http://schemas.microsoft.com/office/drawing/2014/main" id="{DFC5447F-2E05-47F6-95B2-F6B0ADD90CE2}"/>
            </a:ext>
          </a:extLst>
        </xdr:cNvPr>
        <xdr:cNvCxnSpPr>
          <a:stCxn id="79" idx="2"/>
          <a:endCxn id="14" idx="3"/>
        </xdr:cNvCxnSpPr>
      </xdr:nvCxnSpPr>
      <xdr:spPr>
        <a:xfrm rot="5400000">
          <a:off x="4097226" y="5607827"/>
          <a:ext cx="1668559" cy="921137"/>
        </a:xfrm>
        <a:prstGeom prst="bentConnector2">
          <a:avLst/>
        </a:prstGeom>
        <a:ln w="12700"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143433</xdr:colOff>
      <xdr:row>16</xdr:row>
      <xdr:rowOff>75573</xdr:rowOff>
    </xdr:from>
    <xdr:to>
      <xdr:col>14</xdr:col>
      <xdr:colOff>102210</xdr:colOff>
      <xdr:row>19</xdr:row>
      <xdr:rowOff>121482</xdr:rowOff>
    </xdr:to>
    <xdr:grpSp>
      <xdr:nvGrpSpPr>
        <xdr:cNvPr id="5" name="グループ化 4">
          <a:extLst>
            <a:ext uri="{FF2B5EF4-FFF2-40B4-BE49-F238E27FC236}">
              <a16:creationId xmlns:a16="http://schemas.microsoft.com/office/drawing/2014/main" id="{456FC84E-E3F2-43C1-AB21-0D4E3D19FC46}"/>
            </a:ext>
          </a:extLst>
        </xdr:cNvPr>
        <xdr:cNvGrpSpPr/>
      </xdr:nvGrpSpPr>
      <xdr:grpSpPr>
        <a:xfrm>
          <a:off x="1798062" y="3058259"/>
          <a:ext cx="1199748" cy="601080"/>
          <a:chOff x="1583832" y="2457449"/>
          <a:chExt cx="1007257" cy="385472"/>
        </a:xfrm>
      </xdr:grpSpPr>
      <xdr:sp macro="" textlink="">
        <xdr:nvSpPr>
          <xdr:cNvPr id="6" name="フローチャート: 定義済み処理 5">
            <a:extLst>
              <a:ext uri="{FF2B5EF4-FFF2-40B4-BE49-F238E27FC236}">
                <a16:creationId xmlns:a16="http://schemas.microsoft.com/office/drawing/2014/main" id="{D28B83C7-8E5B-4090-72AD-2129CBCB5E51}"/>
              </a:ext>
            </a:extLst>
          </xdr:cNvPr>
          <xdr:cNvSpPr/>
        </xdr:nvSpPr>
        <xdr:spPr>
          <a:xfrm>
            <a:off x="1682750" y="2457449"/>
            <a:ext cx="819150" cy="374650"/>
          </a:xfrm>
          <a:prstGeom prst="flowChartPredefinedProcess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1100"/>
          </a:p>
        </xdr:txBody>
      </xdr:sp>
      <xdr:sp macro="" textlink="">
        <xdr:nvSpPr>
          <xdr:cNvPr id="7" name="正方形/長方形 48">
            <a:extLst>
              <a:ext uri="{FF2B5EF4-FFF2-40B4-BE49-F238E27FC236}">
                <a16:creationId xmlns:a16="http://schemas.microsoft.com/office/drawing/2014/main" id="{D70C9BAF-3DCC-A59B-DCC4-EDA0ABB277F7}"/>
              </a:ext>
            </a:extLst>
          </xdr:cNvPr>
          <xdr:cNvSpPr/>
        </xdr:nvSpPr>
        <xdr:spPr>
          <a:xfrm>
            <a:off x="1583832" y="2468098"/>
            <a:ext cx="1007257" cy="374823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overflow" horzOverflow="overflow" rtlCol="0" anchor="ctr"/>
          <a:lstStyle/>
          <a:p>
            <a:pPr algn="ctr"/>
            <a:r>
              <a:rPr kumimoji="1" lang="ja-JP" altLang="en-US" sz="900"/>
              <a:t>１．利益センタ</a:t>
            </a:r>
            <a:endParaRPr kumimoji="1" lang="en-US" altLang="ja-JP" sz="900"/>
          </a:p>
          <a:p>
            <a:pPr algn="ctr"/>
            <a:r>
              <a:rPr kumimoji="1" lang="ja-JP" altLang="en-US" sz="900"/>
              <a:t>マスタの登録</a:t>
            </a:r>
            <a:endParaRPr kumimoji="1" lang="en-US" altLang="ja-JP" sz="900"/>
          </a:p>
          <a:p>
            <a:pPr algn="ctr"/>
            <a:r>
              <a:rPr kumimoji="1" lang="ja-JP" altLang="en-US" sz="900"/>
              <a:t>（</a:t>
            </a:r>
            <a:r>
              <a:rPr kumimoji="1" lang="en-US" altLang="ja-JP" sz="900"/>
              <a:t>MDM</a:t>
            </a:r>
            <a:r>
              <a:rPr kumimoji="1" lang="ja-JP" altLang="en-US" sz="900"/>
              <a:t>）</a:t>
            </a:r>
            <a:endParaRPr kumimoji="1" lang="en-US" altLang="ja-JP" sz="900"/>
          </a:p>
        </xdr:txBody>
      </xdr:sp>
    </xdr:grpSp>
    <xdr:clientData/>
  </xdr:twoCellAnchor>
  <xdr:twoCellAnchor>
    <xdr:from>
      <xdr:col>13</xdr:col>
      <xdr:colOff>202671</xdr:colOff>
      <xdr:row>18</xdr:row>
      <xdr:rowOff>1991</xdr:rowOff>
    </xdr:from>
    <xdr:to>
      <xdr:col>22</xdr:col>
      <xdr:colOff>188259</xdr:colOff>
      <xdr:row>18</xdr:row>
      <xdr:rowOff>13078</xdr:rowOff>
    </xdr:to>
    <xdr:cxnSp macro="">
      <xdr:nvCxnSpPr>
        <xdr:cNvPr id="8" name="コネクタ: カギ線 211">
          <a:extLst>
            <a:ext uri="{FF2B5EF4-FFF2-40B4-BE49-F238E27FC236}">
              <a16:creationId xmlns:a16="http://schemas.microsoft.com/office/drawing/2014/main" id="{92BB06C5-5328-4AB1-9458-FACC2F08C12C}"/>
            </a:ext>
          </a:extLst>
        </xdr:cNvPr>
        <xdr:cNvCxnSpPr>
          <a:stCxn id="6" idx="3"/>
          <a:endCxn id="29" idx="1"/>
        </xdr:cNvCxnSpPr>
      </xdr:nvCxnSpPr>
      <xdr:spPr>
        <a:xfrm>
          <a:off x="2988734" y="3264304"/>
          <a:ext cx="1914400" cy="11087"/>
        </a:xfrm>
        <a:prstGeom prst="bentConnector3">
          <a:avLst>
            <a:gd name="adj1" fmla="val 50000"/>
          </a:avLst>
        </a:prstGeom>
        <a:ln w="12700"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188259</xdr:colOff>
      <xdr:row>15</xdr:row>
      <xdr:rowOff>141246</xdr:rowOff>
    </xdr:from>
    <xdr:to>
      <xdr:col>27</xdr:col>
      <xdr:colOff>170070</xdr:colOff>
      <xdr:row>20</xdr:row>
      <xdr:rowOff>67314</xdr:rowOff>
    </xdr:to>
    <xdr:grpSp>
      <xdr:nvGrpSpPr>
        <xdr:cNvPr id="27" name="グループ化 26">
          <a:extLst>
            <a:ext uri="{FF2B5EF4-FFF2-40B4-BE49-F238E27FC236}">
              <a16:creationId xmlns:a16="http://schemas.microsoft.com/office/drawing/2014/main" id="{DD27EBD2-7AB6-8694-8B11-78064C637432}"/>
            </a:ext>
          </a:extLst>
        </xdr:cNvPr>
        <xdr:cNvGrpSpPr>
          <a:grpSpLocks noChangeAspect="1"/>
        </xdr:cNvGrpSpPr>
      </xdr:nvGrpSpPr>
      <xdr:grpSpPr>
        <a:xfrm>
          <a:off x="4738488" y="2938875"/>
          <a:ext cx="1015953" cy="851353"/>
          <a:chOff x="7112000" y="2836278"/>
          <a:chExt cx="873125" cy="715195"/>
        </a:xfrm>
      </xdr:grpSpPr>
      <xdr:sp macro="" textlink="">
        <xdr:nvSpPr>
          <xdr:cNvPr id="28" name="フローチャート: 磁気ディスク 27">
            <a:extLst>
              <a:ext uri="{FF2B5EF4-FFF2-40B4-BE49-F238E27FC236}">
                <a16:creationId xmlns:a16="http://schemas.microsoft.com/office/drawing/2014/main" id="{93070435-9FF7-A2DB-ABCA-DE605D431D72}"/>
              </a:ext>
            </a:extLst>
          </xdr:cNvPr>
          <xdr:cNvSpPr/>
        </xdr:nvSpPr>
        <xdr:spPr>
          <a:xfrm>
            <a:off x="7204075" y="2892425"/>
            <a:ext cx="676275" cy="536575"/>
          </a:xfrm>
          <a:prstGeom prst="flowChartMagneticDisk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800"/>
          </a:p>
        </xdr:txBody>
      </xdr:sp>
      <xdr:sp macro="" textlink="">
        <xdr:nvSpPr>
          <xdr:cNvPr id="29" name="正方形/長方形 28">
            <a:extLst>
              <a:ext uri="{FF2B5EF4-FFF2-40B4-BE49-F238E27FC236}">
                <a16:creationId xmlns:a16="http://schemas.microsoft.com/office/drawing/2014/main" id="{0695ECDF-3967-CFDA-1D12-208BC503F9F3}"/>
              </a:ext>
            </a:extLst>
          </xdr:cNvPr>
          <xdr:cNvSpPr/>
        </xdr:nvSpPr>
        <xdr:spPr>
          <a:xfrm>
            <a:off x="7112000" y="2836278"/>
            <a:ext cx="873125" cy="71519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900"/>
              <a:t>MDM</a:t>
            </a:r>
          </a:p>
        </xdr:txBody>
      </xdr:sp>
    </xdr:grpSp>
    <xdr:clientData/>
  </xdr:twoCellAnchor>
  <xdr:twoCellAnchor>
    <xdr:from>
      <xdr:col>8</xdr:col>
      <xdr:colOff>138950</xdr:colOff>
      <xdr:row>26</xdr:row>
      <xdr:rowOff>57642</xdr:rowOff>
    </xdr:from>
    <xdr:to>
      <xdr:col>14</xdr:col>
      <xdr:colOff>97727</xdr:colOff>
      <xdr:row>29</xdr:row>
      <xdr:rowOff>119528</xdr:rowOff>
    </xdr:to>
    <xdr:grpSp>
      <xdr:nvGrpSpPr>
        <xdr:cNvPr id="35" name="グループ化 34">
          <a:extLst>
            <a:ext uri="{FF2B5EF4-FFF2-40B4-BE49-F238E27FC236}">
              <a16:creationId xmlns:a16="http://schemas.microsoft.com/office/drawing/2014/main" id="{A6D074E4-FBF7-E805-EE06-E4B292E7531F}"/>
            </a:ext>
          </a:extLst>
        </xdr:cNvPr>
        <xdr:cNvGrpSpPr/>
      </xdr:nvGrpSpPr>
      <xdr:grpSpPr>
        <a:xfrm>
          <a:off x="1793579" y="4890899"/>
          <a:ext cx="1199748" cy="617058"/>
          <a:chOff x="1583832" y="2457449"/>
          <a:chExt cx="1007257" cy="396442"/>
        </a:xfrm>
      </xdr:grpSpPr>
      <xdr:sp macro="" textlink="">
        <xdr:nvSpPr>
          <xdr:cNvPr id="36" name="フローチャート: 定義済み処理 35">
            <a:extLst>
              <a:ext uri="{FF2B5EF4-FFF2-40B4-BE49-F238E27FC236}">
                <a16:creationId xmlns:a16="http://schemas.microsoft.com/office/drawing/2014/main" id="{F1CD7B70-ECAE-F72B-08AB-88C7DC267D6A}"/>
              </a:ext>
            </a:extLst>
          </xdr:cNvPr>
          <xdr:cNvSpPr/>
        </xdr:nvSpPr>
        <xdr:spPr>
          <a:xfrm>
            <a:off x="1682750" y="2457449"/>
            <a:ext cx="819150" cy="374650"/>
          </a:xfrm>
          <a:prstGeom prst="flowChartPredefinedProcess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1100"/>
          </a:p>
        </xdr:txBody>
      </xdr:sp>
      <xdr:sp macro="" textlink="">
        <xdr:nvSpPr>
          <xdr:cNvPr id="37" name="正方形/長方形 48">
            <a:extLst>
              <a:ext uri="{FF2B5EF4-FFF2-40B4-BE49-F238E27FC236}">
                <a16:creationId xmlns:a16="http://schemas.microsoft.com/office/drawing/2014/main" id="{9161080E-3065-7A76-E5AA-7D88D50EE0CD}"/>
              </a:ext>
            </a:extLst>
          </xdr:cNvPr>
          <xdr:cNvSpPr/>
        </xdr:nvSpPr>
        <xdr:spPr>
          <a:xfrm>
            <a:off x="1583832" y="2468098"/>
            <a:ext cx="1007257" cy="385793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overflow" horzOverflow="overflow" rtlCol="0" anchor="ctr"/>
          <a:lstStyle/>
          <a:p>
            <a:pPr algn="ctr"/>
            <a:r>
              <a:rPr kumimoji="1" lang="ja-JP" altLang="en-US" sz="900"/>
              <a:t>２．利益センタ</a:t>
            </a:r>
            <a:endParaRPr kumimoji="1" lang="en-US" altLang="ja-JP" sz="900"/>
          </a:p>
          <a:p>
            <a:pPr algn="ctr"/>
            <a:r>
              <a:rPr kumimoji="1" lang="ja-JP" altLang="en-US" sz="900"/>
              <a:t>マスタの登録（</a:t>
            </a:r>
            <a:r>
              <a:rPr kumimoji="1" lang="en-US" altLang="ja-JP" sz="900"/>
              <a:t>FO</a:t>
            </a:r>
            <a:r>
              <a:rPr kumimoji="1" lang="ja-JP" altLang="en-US" sz="900"/>
              <a:t>）</a:t>
            </a:r>
            <a:endParaRPr kumimoji="1" lang="en-US" altLang="ja-JP" sz="900"/>
          </a:p>
        </xdr:txBody>
      </xdr:sp>
    </xdr:grpSp>
    <xdr:clientData/>
  </xdr:twoCellAnchor>
  <xdr:twoCellAnchor>
    <xdr:from>
      <xdr:col>16</xdr:col>
      <xdr:colOff>32211</xdr:colOff>
      <xdr:row>25</xdr:row>
      <xdr:rowOff>122299</xdr:rowOff>
    </xdr:from>
    <xdr:to>
      <xdr:col>21</xdr:col>
      <xdr:colOff>25116</xdr:colOff>
      <xdr:row>29</xdr:row>
      <xdr:rowOff>102160</xdr:rowOff>
    </xdr:to>
    <xdr:grpSp>
      <xdr:nvGrpSpPr>
        <xdr:cNvPr id="38" name="グループ化 37">
          <a:extLst>
            <a:ext uri="{FF2B5EF4-FFF2-40B4-BE49-F238E27FC236}">
              <a16:creationId xmlns:a16="http://schemas.microsoft.com/office/drawing/2014/main" id="{3D6E585D-2B12-50BB-C3CE-AD24433266A6}"/>
            </a:ext>
          </a:extLst>
        </xdr:cNvPr>
        <xdr:cNvGrpSpPr>
          <a:grpSpLocks noChangeAspect="1"/>
        </xdr:cNvGrpSpPr>
      </xdr:nvGrpSpPr>
      <xdr:grpSpPr>
        <a:xfrm>
          <a:off x="3341468" y="4770499"/>
          <a:ext cx="1027048" cy="720090"/>
          <a:chOff x="7112000" y="2892425"/>
          <a:chExt cx="873125" cy="584982"/>
        </a:xfrm>
      </xdr:grpSpPr>
      <xdr:sp macro="" textlink="">
        <xdr:nvSpPr>
          <xdr:cNvPr id="39" name="フローチャート: 磁気ディスク 38">
            <a:extLst>
              <a:ext uri="{FF2B5EF4-FFF2-40B4-BE49-F238E27FC236}">
                <a16:creationId xmlns:a16="http://schemas.microsoft.com/office/drawing/2014/main" id="{C2A6A522-0402-79F2-AC47-31DB5746512A}"/>
              </a:ext>
            </a:extLst>
          </xdr:cNvPr>
          <xdr:cNvSpPr/>
        </xdr:nvSpPr>
        <xdr:spPr>
          <a:xfrm>
            <a:off x="7204075" y="2892425"/>
            <a:ext cx="676275" cy="536575"/>
          </a:xfrm>
          <a:prstGeom prst="flowChartMagneticDisk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800"/>
          </a:p>
        </xdr:txBody>
      </xdr:sp>
      <xdr:sp macro="" textlink="">
        <xdr:nvSpPr>
          <xdr:cNvPr id="40" name="正方形/長方形 39">
            <a:extLst>
              <a:ext uri="{FF2B5EF4-FFF2-40B4-BE49-F238E27FC236}">
                <a16:creationId xmlns:a16="http://schemas.microsoft.com/office/drawing/2014/main" id="{8965D66B-4458-8272-A52E-1559FA3640B9}"/>
              </a:ext>
            </a:extLst>
          </xdr:cNvPr>
          <xdr:cNvSpPr/>
        </xdr:nvSpPr>
        <xdr:spPr>
          <a:xfrm>
            <a:off x="7112000" y="2971800"/>
            <a:ext cx="873125" cy="505607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900"/>
              <a:t>作業単位マスタ</a:t>
            </a:r>
            <a:endParaRPr kumimoji="1" lang="en-US" altLang="ja-JP" sz="900"/>
          </a:p>
        </xdr:txBody>
      </xdr:sp>
    </xdr:grpSp>
    <xdr:clientData/>
  </xdr:twoCellAnchor>
  <xdr:twoCellAnchor>
    <xdr:from>
      <xdr:col>13</xdr:col>
      <xdr:colOff>192419</xdr:colOff>
      <xdr:row>27</xdr:row>
      <xdr:rowOff>157492</xdr:rowOff>
    </xdr:from>
    <xdr:to>
      <xdr:col>16</xdr:col>
      <xdr:colOff>32211</xdr:colOff>
      <xdr:row>27</xdr:row>
      <xdr:rowOff>158629</xdr:rowOff>
    </xdr:to>
    <xdr:cxnSp macro="">
      <xdr:nvCxnSpPr>
        <xdr:cNvPr id="41" name="コネクタ: カギ線 211">
          <a:extLst>
            <a:ext uri="{FF2B5EF4-FFF2-40B4-BE49-F238E27FC236}">
              <a16:creationId xmlns:a16="http://schemas.microsoft.com/office/drawing/2014/main" id="{88B76981-3058-D203-48F6-EC6C10889D1A}"/>
            </a:ext>
          </a:extLst>
        </xdr:cNvPr>
        <xdr:cNvCxnSpPr>
          <a:stCxn id="36" idx="3"/>
          <a:endCxn id="40" idx="1"/>
        </xdr:cNvCxnSpPr>
      </xdr:nvCxnSpPr>
      <xdr:spPr>
        <a:xfrm flipV="1">
          <a:off x="2717478" y="4849021"/>
          <a:ext cx="422498" cy="1137"/>
        </a:xfrm>
        <a:prstGeom prst="bentConnector3">
          <a:avLst>
            <a:gd name="adj1" fmla="val 50000"/>
          </a:avLst>
        </a:prstGeom>
        <a:ln w="12700"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122822</xdr:colOff>
      <xdr:row>19</xdr:row>
      <xdr:rowOff>121482</xdr:rowOff>
    </xdr:from>
    <xdr:to>
      <xdr:col>11</xdr:col>
      <xdr:colOff>124375</xdr:colOff>
      <xdr:row>26</xdr:row>
      <xdr:rowOff>57643</xdr:rowOff>
    </xdr:to>
    <xdr:cxnSp macro="">
      <xdr:nvCxnSpPr>
        <xdr:cNvPr id="46" name="直線矢印コネクタ 45">
          <a:extLst>
            <a:ext uri="{FF2B5EF4-FFF2-40B4-BE49-F238E27FC236}">
              <a16:creationId xmlns:a16="http://schemas.microsoft.com/office/drawing/2014/main" id="{321174FA-1393-E504-B1F9-1DDB924D7889}"/>
            </a:ext>
          </a:extLst>
        </xdr:cNvPr>
        <xdr:cNvCxnSpPr>
          <a:cxnSpLocks/>
          <a:stCxn id="7" idx="2"/>
          <a:endCxn id="36" idx="0"/>
        </xdr:cNvCxnSpPr>
      </xdr:nvCxnSpPr>
      <xdr:spPr>
        <a:xfrm>
          <a:off x="2489504" y="3635647"/>
          <a:ext cx="1553" cy="1222596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127300</xdr:colOff>
      <xdr:row>40</xdr:row>
      <xdr:rowOff>171950</xdr:rowOff>
    </xdr:from>
    <xdr:to>
      <xdr:col>11</xdr:col>
      <xdr:colOff>128856</xdr:colOff>
      <xdr:row>46</xdr:row>
      <xdr:rowOff>74142</xdr:rowOff>
    </xdr:to>
    <xdr:cxnSp macro="">
      <xdr:nvCxnSpPr>
        <xdr:cNvPr id="51" name="直線矢印コネクタ 50">
          <a:extLst>
            <a:ext uri="{FF2B5EF4-FFF2-40B4-BE49-F238E27FC236}">
              <a16:creationId xmlns:a16="http://schemas.microsoft.com/office/drawing/2014/main" id="{1AE4F4F6-B800-59D3-A27F-313AF74FA58A}"/>
            </a:ext>
          </a:extLst>
        </xdr:cNvPr>
        <xdr:cNvCxnSpPr>
          <a:cxnSpLocks/>
          <a:stCxn id="55" idx="2"/>
          <a:endCxn id="66" idx="0"/>
        </xdr:cNvCxnSpPr>
      </xdr:nvCxnSpPr>
      <xdr:spPr>
        <a:xfrm flipH="1">
          <a:off x="2493982" y="6442762"/>
          <a:ext cx="1556" cy="453521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143431</xdr:colOff>
      <xdr:row>37</xdr:row>
      <xdr:rowOff>142808</xdr:rowOff>
    </xdr:from>
    <xdr:to>
      <xdr:col>14</xdr:col>
      <xdr:colOff>102208</xdr:colOff>
      <xdr:row>41</xdr:row>
      <xdr:rowOff>4941</xdr:rowOff>
    </xdr:to>
    <xdr:grpSp>
      <xdr:nvGrpSpPr>
        <xdr:cNvPr id="54" name="グループ化 53">
          <a:extLst>
            <a:ext uri="{FF2B5EF4-FFF2-40B4-BE49-F238E27FC236}">
              <a16:creationId xmlns:a16="http://schemas.microsoft.com/office/drawing/2014/main" id="{BAEC897D-2973-FA92-BC32-39916807AD9F}"/>
            </a:ext>
          </a:extLst>
        </xdr:cNvPr>
        <xdr:cNvGrpSpPr/>
      </xdr:nvGrpSpPr>
      <xdr:grpSpPr>
        <a:xfrm>
          <a:off x="1798060" y="7011694"/>
          <a:ext cx="1199748" cy="602361"/>
          <a:chOff x="1583832" y="2457449"/>
          <a:chExt cx="1007257" cy="385472"/>
        </a:xfrm>
      </xdr:grpSpPr>
      <xdr:sp macro="" textlink="">
        <xdr:nvSpPr>
          <xdr:cNvPr id="55" name="フローチャート: 定義済み処理 54">
            <a:extLst>
              <a:ext uri="{FF2B5EF4-FFF2-40B4-BE49-F238E27FC236}">
                <a16:creationId xmlns:a16="http://schemas.microsoft.com/office/drawing/2014/main" id="{988EB161-F873-6707-CB4B-004C4CC55F1E}"/>
              </a:ext>
            </a:extLst>
          </xdr:cNvPr>
          <xdr:cNvSpPr/>
        </xdr:nvSpPr>
        <xdr:spPr>
          <a:xfrm>
            <a:off x="1682750" y="2457449"/>
            <a:ext cx="819150" cy="374650"/>
          </a:xfrm>
          <a:prstGeom prst="flowChartPredefinedProcess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1100"/>
          </a:p>
        </xdr:txBody>
      </xdr:sp>
      <xdr:sp macro="" textlink="">
        <xdr:nvSpPr>
          <xdr:cNvPr id="56" name="正方形/長方形 48">
            <a:extLst>
              <a:ext uri="{FF2B5EF4-FFF2-40B4-BE49-F238E27FC236}">
                <a16:creationId xmlns:a16="http://schemas.microsoft.com/office/drawing/2014/main" id="{8542C48F-5DA3-C39D-5879-2EAF1B7DD072}"/>
              </a:ext>
            </a:extLst>
          </xdr:cNvPr>
          <xdr:cNvSpPr/>
        </xdr:nvSpPr>
        <xdr:spPr>
          <a:xfrm>
            <a:off x="1583832" y="2468098"/>
            <a:ext cx="1007257" cy="374823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900"/>
              <a:t>4</a:t>
            </a:r>
            <a:r>
              <a:rPr kumimoji="1" lang="ja-JP" altLang="en-US" sz="900"/>
              <a:t>．使用法人</a:t>
            </a:r>
            <a:endParaRPr kumimoji="1" lang="en-US" altLang="ja-JP" sz="900"/>
          </a:p>
          <a:p>
            <a:pPr algn="ctr"/>
            <a:r>
              <a:rPr kumimoji="1" lang="ja-JP" altLang="en-US" sz="900"/>
              <a:t>の設定</a:t>
            </a:r>
            <a:endParaRPr kumimoji="1" lang="en-US" altLang="ja-JP" sz="900"/>
          </a:p>
        </xdr:txBody>
      </xdr:sp>
    </xdr:grpSp>
    <xdr:clientData/>
  </xdr:twoCellAnchor>
  <xdr:twoCellAnchor>
    <xdr:from>
      <xdr:col>15</xdr:col>
      <xdr:colOff>179298</xdr:colOff>
      <xdr:row>37</xdr:row>
      <xdr:rowOff>104371</xdr:rowOff>
    </xdr:from>
    <xdr:to>
      <xdr:col>21</xdr:col>
      <xdr:colOff>44826</xdr:colOff>
      <xdr:row>41</xdr:row>
      <xdr:rowOff>84231</xdr:rowOff>
    </xdr:to>
    <xdr:grpSp>
      <xdr:nvGrpSpPr>
        <xdr:cNvPr id="58" name="グループ化 57">
          <a:extLst>
            <a:ext uri="{FF2B5EF4-FFF2-40B4-BE49-F238E27FC236}">
              <a16:creationId xmlns:a16="http://schemas.microsoft.com/office/drawing/2014/main" id="{14E7E447-53D6-C7B0-4578-F3A49AF9F005}"/>
            </a:ext>
          </a:extLst>
        </xdr:cNvPr>
        <xdr:cNvGrpSpPr>
          <a:grpSpLocks noChangeAspect="1"/>
        </xdr:cNvGrpSpPr>
      </xdr:nvGrpSpPr>
      <xdr:grpSpPr>
        <a:xfrm>
          <a:off x="3281727" y="6973257"/>
          <a:ext cx="1106499" cy="720088"/>
          <a:chOff x="7089596" y="2892425"/>
          <a:chExt cx="933676" cy="584982"/>
        </a:xfrm>
      </xdr:grpSpPr>
      <xdr:sp macro="" textlink="">
        <xdr:nvSpPr>
          <xdr:cNvPr id="59" name="フローチャート: 磁気ディスク 58">
            <a:extLst>
              <a:ext uri="{FF2B5EF4-FFF2-40B4-BE49-F238E27FC236}">
                <a16:creationId xmlns:a16="http://schemas.microsoft.com/office/drawing/2014/main" id="{5B5FA6B8-240D-63D0-A8A6-F91CC7EF8036}"/>
              </a:ext>
            </a:extLst>
          </xdr:cNvPr>
          <xdr:cNvSpPr/>
        </xdr:nvSpPr>
        <xdr:spPr>
          <a:xfrm>
            <a:off x="7204075" y="2892425"/>
            <a:ext cx="676275" cy="536575"/>
          </a:xfrm>
          <a:prstGeom prst="flowChartMagneticDisk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800"/>
          </a:p>
        </xdr:txBody>
      </xdr:sp>
      <xdr:sp macro="" textlink="">
        <xdr:nvSpPr>
          <xdr:cNvPr id="60" name="正方形/長方形 59">
            <a:extLst>
              <a:ext uri="{FF2B5EF4-FFF2-40B4-BE49-F238E27FC236}">
                <a16:creationId xmlns:a16="http://schemas.microsoft.com/office/drawing/2014/main" id="{56D67FCB-FB67-82CF-E996-EDBF37083CBC}"/>
              </a:ext>
            </a:extLst>
          </xdr:cNvPr>
          <xdr:cNvSpPr/>
        </xdr:nvSpPr>
        <xdr:spPr>
          <a:xfrm>
            <a:off x="7089596" y="2971800"/>
            <a:ext cx="933676" cy="505607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900"/>
              <a:t>財務分析コード</a:t>
            </a:r>
            <a:endParaRPr kumimoji="1" lang="en-US" altLang="ja-JP" sz="900"/>
          </a:p>
          <a:p>
            <a:pPr algn="ctr"/>
            <a:r>
              <a:rPr kumimoji="1" lang="ja-JP" altLang="en-US" sz="900"/>
              <a:t>（分析コード値）</a:t>
            </a:r>
            <a:endParaRPr kumimoji="1" lang="en-US" altLang="ja-JP" sz="900"/>
          </a:p>
        </xdr:txBody>
      </xdr:sp>
    </xdr:grpSp>
    <xdr:clientData/>
  </xdr:twoCellAnchor>
  <xdr:twoCellAnchor>
    <xdr:from>
      <xdr:col>13</xdr:col>
      <xdr:colOff>206705</xdr:colOff>
      <xdr:row>39</xdr:row>
      <xdr:rowOff>64720</xdr:rowOff>
    </xdr:from>
    <xdr:to>
      <xdr:col>16</xdr:col>
      <xdr:colOff>122494</xdr:colOff>
      <xdr:row>39</xdr:row>
      <xdr:rowOff>65491</xdr:rowOff>
    </xdr:to>
    <xdr:cxnSp macro="">
      <xdr:nvCxnSpPr>
        <xdr:cNvPr id="61" name="コネクタ: カギ線 211">
          <a:extLst>
            <a:ext uri="{FF2B5EF4-FFF2-40B4-BE49-F238E27FC236}">
              <a16:creationId xmlns:a16="http://schemas.microsoft.com/office/drawing/2014/main" id="{E3FDF3AC-4EE6-0B64-FB9B-A6FB0BEB20FD}"/>
            </a:ext>
          </a:extLst>
        </xdr:cNvPr>
        <xdr:cNvCxnSpPr>
          <a:stCxn id="55" idx="3"/>
          <a:endCxn id="59" idx="2"/>
        </xdr:cNvCxnSpPr>
      </xdr:nvCxnSpPr>
      <xdr:spPr>
        <a:xfrm flipV="1">
          <a:off x="3003693" y="6151755"/>
          <a:ext cx="561248" cy="771"/>
        </a:xfrm>
        <a:prstGeom prst="bentConnector3">
          <a:avLst>
            <a:gd name="adj1" fmla="val 50000"/>
          </a:avLst>
        </a:prstGeom>
        <a:ln w="12700"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147911</xdr:colOff>
      <xdr:row>46</xdr:row>
      <xdr:rowOff>57643</xdr:rowOff>
    </xdr:from>
    <xdr:to>
      <xdr:col>14</xdr:col>
      <xdr:colOff>106688</xdr:colOff>
      <xdr:row>49</xdr:row>
      <xdr:rowOff>103552</xdr:rowOff>
    </xdr:to>
    <xdr:grpSp>
      <xdr:nvGrpSpPr>
        <xdr:cNvPr id="64" name="グループ化 63">
          <a:extLst>
            <a:ext uri="{FF2B5EF4-FFF2-40B4-BE49-F238E27FC236}">
              <a16:creationId xmlns:a16="http://schemas.microsoft.com/office/drawing/2014/main" id="{23CA8292-0137-A88E-0BBC-28FBE4F299FC}"/>
            </a:ext>
          </a:extLst>
        </xdr:cNvPr>
        <xdr:cNvGrpSpPr/>
      </xdr:nvGrpSpPr>
      <xdr:grpSpPr>
        <a:xfrm>
          <a:off x="1802540" y="8592043"/>
          <a:ext cx="1199748" cy="601080"/>
          <a:chOff x="1583832" y="2457449"/>
          <a:chExt cx="1007257" cy="385472"/>
        </a:xfrm>
      </xdr:grpSpPr>
      <xdr:sp macro="" textlink="">
        <xdr:nvSpPr>
          <xdr:cNvPr id="65" name="フローチャート: 定義済み処理 64">
            <a:extLst>
              <a:ext uri="{FF2B5EF4-FFF2-40B4-BE49-F238E27FC236}">
                <a16:creationId xmlns:a16="http://schemas.microsoft.com/office/drawing/2014/main" id="{AA57C399-8791-447D-A608-B028890A0C79}"/>
              </a:ext>
            </a:extLst>
          </xdr:cNvPr>
          <xdr:cNvSpPr/>
        </xdr:nvSpPr>
        <xdr:spPr>
          <a:xfrm>
            <a:off x="1682750" y="2457449"/>
            <a:ext cx="819150" cy="374650"/>
          </a:xfrm>
          <a:prstGeom prst="flowChartPredefinedProcess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1100"/>
          </a:p>
        </xdr:txBody>
      </xdr:sp>
      <xdr:sp macro="" textlink="">
        <xdr:nvSpPr>
          <xdr:cNvPr id="66" name="正方形/長方形 48">
            <a:extLst>
              <a:ext uri="{FF2B5EF4-FFF2-40B4-BE49-F238E27FC236}">
                <a16:creationId xmlns:a16="http://schemas.microsoft.com/office/drawing/2014/main" id="{69EF06FE-2BAD-7F87-6340-715B9819892E}"/>
              </a:ext>
            </a:extLst>
          </xdr:cNvPr>
          <xdr:cNvSpPr/>
        </xdr:nvSpPr>
        <xdr:spPr>
          <a:xfrm>
            <a:off x="1583832" y="2468098"/>
            <a:ext cx="1007257" cy="374823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900"/>
              <a:t>5</a:t>
            </a:r>
            <a:r>
              <a:rPr kumimoji="1" lang="ja-JP" altLang="en-US" sz="900"/>
              <a:t>．関連分析</a:t>
            </a:r>
            <a:br>
              <a:rPr kumimoji="1" lang="en-US" altLang="ja-JP" sz="900"/>
            </a:br>
            <a:r>
              <a:rPr kumimoji="1" lang="ja-JP" altLang="en-US" sz="900"/>
              <a:t>コードの設定</a:t>
            </a:r>
            <a:endParaRPr kumimoji="1" lang="en-US" altLang="ja-JP" sz="900"/>
          </a:p>
        </xdr:txBody>
      </xdr:sp>
    </xdr:grpSp>
    <xdr:clientData/>
  </xdr:twoCellAnchor>
  <xdr:twoCellAnchor>
    <xdr:from>
      <xdr:col>15</xdr:col>
      <xdr:colOff>52292</xdr:colOff>
      <xdr:row>46</xdr:row>
      <xdr:rowOff>19206</xdr:rowOff>
    </xdr:from>
    <xdr:to>
      <xdr:col>21</xdr:col>
      <xdr:colOff>119530</xdr:colOff>
      <xdr:row>49</xdr:row>
      <xdr:rowOff>170142</xdr:rowOff>
    </xdr:to>
    <xdr:grpSp>
      <xdr:nvGrpSpPr>
        <xdr:cNvPr id="67" name="グループ化 66">
          <a:extLst>
            <a:ext uri="{FF2B5EF4-FFF2-40B4-BE49-F238E27FC236}">
              <a16:creationId xmlns:a16="http://schemas.microsoft.com/office/drawing/2014/main" id="{A8C85176-9C82-5C5C-8F81-6E4651190844}"/>
            </a:ext>
          </a:extLst>
        </xdr:cNvPr>
        <xdr:cNvGrpSpPr>
          <a:grpSpLocks noChangeAspect="1"/>
        </xdr:cNvGrpSpPr>
      </xdr:nvGrpSpPr>
      <xdr:grpSpPr>
        <a:xfrm>
          <a:off x="3154721" y="8553606"/>
          <a:ext cx="1308209" cy="706107"/>
          <a:chOff x="6986565" y="2892425"/>
          <a:chExt cx="1109050" cy="584982"/>
        </a:xfrm>
      </xdr:grpSpPr>
      <xdr:sp macro="" textlink="">
        <xdr:nvSpPr>
          <xdr:cNvPr id="68" name="フローチャート: 磁気ディスク 67">
            <a:extLst>
              <a:ext uri="{FF2B5EF4-FFF2-40B4-BE49-F238E27FC236}">
                <a16:creationId xmlns:a16="http://schemas.microsoft.com/office/drawing/2014/main" id="{89065886-3222-2383-8AB2-BDCD85F500A0}"/>
              </a:ext>
            </a:extLst>
          </xdr:cNvPr>
          <xdr:cNvSpPr/>
        </xdr:nvSpPr>
        <xdr:spPr>
          <a:xfrm>
            <a:off x="7204075" y="2892425"/>
            <a:ext cx="676275" cy="536575"/>
          </a:xfrm>
          <a:prstGeom prst="flowChartMagneticDisk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800"/>
          </a:p>
        </xdr:txBody>
      </xdr:sp>
      <xdr:sp macro="" textlink="">
        <xdr:nvSpPr>
          <xdr:cNvPr id="69" name="正方形/長方形 68">
            <a:extLst>
              <a:ext uri="{FF2B5EF4-FFF2-40B4-BE49-F238E27FC236}">
                <a16:creationId xmlns:a16="http://schemas.microsoft.com/office/drawing/2014/main" id="{160064FF-86A8-058C-4656-36515F5DA227}"/>
              </a:ext>
            </a:extLst>
          </xdr:cNvPr>
          <xdr:cNvSpPr/>
        </xdr:nvSpPr>
        <xdr:spPr>
          <a:xfrm>
            <a:off x="6986565" y="2971800"/>
            <a:ext cx="1109050" cy="505607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overflow" horzOverflow="overflow" rtlCol="0" anchor="ctr"/>
          <a:lstStyle/>
          <a:p>
            <a:pPr algn="ctr"/>
            <a:r>
              <a:rPr kumimoji="1" lang="ja-JP" altLang="en-US" sz="900"/>
              <a:t>財務分析コード</a:t>
            </a:r>
            <a:endParaRPr kumimoji="1" lang="en-US" altLang="ja-JP" sz="900"/>
          </a:p>
          <a:p>
            <a:pPr algn="ctr"/>
            <a:r>
              <a:rPr kumimoji="1" lang="ja-JP" altLang="en-US" sz="900"/>
              <a:t>（派生分析コード）</a:t>
            </a:r>
            <a:endParaRPr kumimoji="1" lang="en-US" altLang="ja-JP" sz="900"/>
          </a:p>
        </xdr:txBody>
      </xdr:sp>
    </xdr:grpSp>
    <xdr:clientData/>
  </xdr:twoCellAnchor>
  <xdr:twoCellAnchor>
    <xdr:from>
      <xdr:col>13</xdr:col>
      <xdr:colOff>192135</xdr:colOff>
      <xdr:row>47</xdr:row>
      <xdr:rowOff>163331</xdr:rowOff>
    </xdr:from>
    <xdr:to>
      <xdr:col>16</xdr:col>
      <xdr:colOff>95600</xdr:colOff>
      <xdr:row>47</xdr:row>
      <xdr:rowOff>164102</xdr:rowOff>
    </xdr:to>
    <xdr:cxnSp macro="">
      <xdr:nvCxnSpPr>
        <xdr:cNvPr id="70" name="コネクタ: カギ線 211">
          <a:extLst>
            <a:ext uri="{FF2B5EF4-FFF2-40B4-BE49-F238E27FC236}">
              <a16:creationId xmlns:a16="http://schemas.microsoft.com/office/drawing/2014/main" id="{6B83765C-1A1A-B850-52A4-AB1CF8B91F7E}"/>
            </a:ext>
          </a:extLst>
        </xdr:cNvPr>
        <xdr:cNvCxnSpPr>
          <a:stCxn id="65" idx="3"/>
          <a:endCxn id="68" idx="2"/>
        </xdr:cNvCxnSpPr>
      </xdr:nvCxnSpPr>
      <xdr:spPr>
        <a:xfrm flipV="1">
          <a:off x="3008173" y="7169249"/>
          <a:ext cx="529874" cy="771"/>
        </a:xfrm>
        <a:prstGeom prst="bentConnector3">
          <a:avLst>
            <a:gd name="adj1" fmla="val 50000"/>
          </a:avLst>
        </a:prstGeom>
        <a:ln w="12700"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120779</xdr:colOff>
      <xdr:row>29</xdr:row>
      <xdr:rowOff>87792</xdr:rowOff>
    </xdr:from>
    <xdr:to>
      <xdr:col>11</xdr:col>
      <xdr:colOff>123768</xdr:colOff>
      <xdr:row>32</xdr:row>
      <xdr:rowOff>15815</xdr:rowOff>
    </xdr:to>
    <xdr:cxnSp macro="">
      <xdr:nvCxnSpPr>
        <xdr:cNvPr id="76" name="直線矢印コネクタ 75">
          <a:extLst>
            <a:ext uri="{FF2B5EF4-FFF2-40B4-BE49-F238E27FC236}">
              <a16:creationId xmlns:a16="http://schemas.microsoft.com/office/drawing/2014/main" id="{5EE2D573-B699-7CF0-AC0E-C3FB26B41B66}"/>
            </a:ext>
          </a:extLst>
        </xdr:cNvPr>
        <xdr:cNvCxnSpPr>
          <a:cxnSpLocks/>
          <a:stCxn id="36" idx="2"/>
          <a:endCxn id="21" idx="0"/>
        </xdr:cNvCxnSpPr>
      </xdr:nvCxnSpPr>
      <xdr:spPr>
        <a:xfrm flipH="1">
          <a:off x="2257367" y="5122968"/>
          <a:ext cx="2989" cy="615318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125548</xdr:colOff>
      <xdr:row>49</xdr:row>
      <xdr:rowOff>103552</xdr:rowOff>
    </xdr:from>
    <xdr:to>
      <xdr:col>11</xdr:col>
      <xdr:colOff>127300</xdr:colOff>
      <xdr:row>52</xdr:row>
      <xdr:rowOff>45052</xdr:rowOff>
    </xdr:to>
    <xdr:cxnSp macro="">
      <xdr:nvCxnSpPr>
        <xdr:cNvPr id="83" name="直線矢印コネクタ 27">
          <a:extLst>
            <a:ext uri="{FF2B5EF4-FFF2-40B4-BE49-F238E27FC236}">
              <a16:creationId xmlns:a16="http://schemas.microsoft.com/office/drawing/2014/main" id="{2077A12C-FFCF-4BFE-8973-1B1AEE9CCBFC}"/>
            </a:ext>
          </a:extLst>
        </xdr:cNvPr>
        <xdr:cNvCxnSpPr>
          <a:cxnSpLocks/>
          <a:stCxn id="66" idx="2"/>
          <a:endCxn id="84" idx="0"/>
        </xdr:cNvCxnSpPr>
      </xdr:nvCxnSpPr>
      <xdr:spPr>
        <a:xfrm flipH="1">
          <a:off x="2492230" y="7477023"/>
          <a:ext cx="1752" cy="492829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174814</xdr:colOff>
      <xdr:row>52</xdr:row>
      <xdr:rowOff>45052</xdr:rowOff>
    </xdr:from>
    <xdr:to>
      <xdr:col>13</xdr:col>
      <xdr:colOff>76282</xdr:colOff>
      <xdr:row>53</xdr:row>
      <xdr:rowOff>120419</xdr:rowOff>
    </xdr:to>
    <xdr:sp macro="" textlink="">
      <xdr:nvSpPr>
        <xdr:cNvPr id="84" name="フローチャート: 端子 83">
          <a:extLst>
            <a:ext uri="{FF2B5EF4-FFF2-40B4-BE49-F238E27FC236}">
              <a16:creationId xmlns:a16="http://schemas.microsoft.com/office/drawing/2014/main" id="{63F25250-B6F4-425D-BE58-32F452FB8C82}"/>
            </a:ext>
          </a:extLst>
        </xdr:cNvPr>
        <xdr:cNvSpPr/>
      </xdr:nvSpPr>
      <xdr:spPr>
        <a:xfrm>
          <a:off x="2111190" y="7969852"/>
          <a:ext cx="762080" cy="259143"/>
        </a:xfrm>
        <a:prstGeom prst="flowChartTermina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終了</a:t>
          </a:r>
        </a:p>
      </xdr:txBody>
    </xdr:sp>
    <xdr:clientData/>
  </xdr:twoCellAnchor>
  <xdr:twoCellAnchor>
    <xdr:from>
      <xdr:col>9</xdr:col>
      <xdr:colOff>147641</xdr:colOff>
      <xdr:row>57</xdr:row>
      <xdr:rowOff>0</xdr:rowOff>
    </xdr:from>
    <xdr:to>
      <xdr:col>13</xdr:col>
      <xdr:colOff>52919</xdr:colOff>
      <xdr:row>58</xdr:row>
      <xdr:rowOff>62087</xdr:rowOff>
    </xdr:to>
    <xdr:sp macro="" textlink="">
      <xdr:nvSpPr>
        <xdr:cNvPr id="87" name="フローチャート: 端子 86">
          <a:extLst>
            <a:ext uri="{FF2B5EF4-FFF2-40B4-BE49-F238E27FC236}">
              <a16:creationId xmlns:a16="http://schemas.microsoft.com/office/drawing/2014/main" id="{C6A151C1-80B7-4C06-AF47-2C7E27A742CC}"/>
            </a:ext>
          </a:extLst>
        </xdr:cNvPr>
        <xdr:cNvSpPr/>
      </xdr:nvSpPr>
      <xdr:spPr>
        <a:xfrm>
          <a:off x="2076454" y="8715375"/>
          <a:ext cx="762528" cy="243062"/>
        </a:xfrm>
        <a:prstGeom prst="flowChartTermina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開始</a:t>
          </a:r>
        </a:p>
      </xdr:txBody>
    </xdr:sp>
    <xdr:clientData/>
  </xdr:twoCellAnchor>
  <xdr:twoCellAnchor>
    <xdr:from>
      <xdr:col>8</xdr:col>
      <xdr:colOff>107156</xdr:colOff>
      <xdr:row>60</xdr:row>
      <xdr:rowOff>107156</xdr:rowOff>
    </xdr:from>
    <xdr:to>
      <xdr:col>14</xdr:col>
      <xdr:colOff>65933</xdr:colOff>
      <xdr:row>63</xdr:row>
      <xdr:rowOff>160684</xdr:rowOff>
    </xdr:to>
    <xdr:grpSp>
      <xdr:nvGrpSpPr>
        <xdr:cNvPr id="18" name="グループ化 17">
          <a:extLst>
            <a:ext uri="{FF2B5EF4-FFF2-40B4-BE49-F238E27FC236}">
              <a16:creationId xmlns:a16="http://schemas.microsoft.com/office/drawing/2014/main" id="{264ED550-B74E-4C2B-BF4F-296EBAF8795D}"/>
            </a:ext>
          </a:extLst>
        </xdr:cNvPr>
        <xdr:cNvGrpSpPr/>
      </xdr:nvGrpSpPr>
      <xdr:grpSpPr>
        <a:xfrm>
          <a:off x="1761785" y="11232356"/>
          <a:ext cx="1199748" cy="608699"/>
          <a:chOff x="1583832" y="2457449"/>
          <a:chExt cx="1007257" cy="385472"/>
        </a:xfrm>
      </xdr:grpSpPr>
      <xdr:sp macro="" textlink="">
        <xdr:nvSpPr>
          <xdr:cNvPr id="19" name="フローチャート: 定義済み処理 18">
            <a:extLst>
              <a:ext uri="{FF2B5EF4-FFF2-40B4-BE49-F238E27FC236}">
                <a16:creationId xmlns:a16="http://schemas.microsoft.com/office/drawing/2014/main" id="{5D3EC8B8-ECB1-FCF1-A0EA-EDA8A92C03BC}"/>
              </a:ext>
            </a:extLst>
          </xdr:cNvPr>
          <xdr:cNvSpPr/>
        </xdr:nvSpPr>
        <xdr:spPr>
          <a:xfrm>
            <a:off x="1682750" y="2457449"/>
            <a:ext cx="819150" cy="374650"/>
          </a:xfrm>
          <a:prstGeom prst="flowChartPredefinedProcess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1100"/>
          </a:p>
        </xdr:txBody>
      </xdr:sp>
      <xdr:sp macro="" textlink="">
        <xdr:nvSpPr>
          <xdr:cNvPr id="20" name="正方形/長方形 48">
            <a:extLst>
              <a:ext uri="{FF2B5EF4-FFF2-40B4-BE49-F238E27FC236}">
                <a16:creationId xmlns:a16="http://schemas.microsoft.com/office/drawing/2014/main" id="{63D7FC2C-A9B6-B28D-746D-77B7A1A98061}"/>
              </a:ext>
            </a:extLst>
          </xdr:cNvPr>
          <xdr:cNvSpPr/>
        </xdr:nvSpPr>
        <xdr:spPr>
          <a:xfrm>
            <a:off x="1583832" y="2468098"/>
            <a:ext cx="1007257" cy="374823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900"/>
              <a:t>１．原価センタ</a:t>
            </a:r>
            <a:endParaRPr kumimoji="1" lang="en-US" altLang="ja-JP" sz="900"/>
          </a:p>
          <a:p>
            <a:pPr algn="ctr"/>
            <a:r>
              <a:rPr kumimoji="1" lang="ja-JP" altLang="en-US" sz="900"/>
              <a:t>マスタの登録</a:t>
            </a:r>
            <a:endParaRPr kumimoji="1" lang="en-US" altLang="ja-JP" sz="900"/>
          </a:p>
        </xdr:txBody>
      </xdr:sp>
    </xdr:grpSp>
    <xdr:clientData/>
  </xdr:twoCellAnchor>
  <xdr:twoCellAnchor>
    <xdr:from>
      <xdr:col>11</xdr:col>
      <xdr:colOff>90650</xdr:colOff>
      <xdr:row>63</xdr:row>
      <xdr:rowOff>145937</xdr:rowOff>
    </xdr:from>
    <xdr:to>
      <xdr:col>11</xdr:col>
      <xdr:colOff>113142</xdr:colOff>
      <xdr:row>72</xdr:row>
      <xdr:rowOff>124376</xdr:rowOff>
    </xdr:to>
    <xdr:cxnSp macro="">
      <xdr:nvCxnSpPr>
        <xdr:cNvPr id="26" name="直線矢印コネクタ 25">
          <a:extLst>
            <a:ext uri="{FF2B5EF4-FFF2-40B4-BE49-F238E27FC236}">
              <a16:creationId xmlns:a16="http://schemas.microsoft.com/office/drawing/2014/main" id="{1FE7FF56-E2BE-49B5-961A-56F5F032C053}"/>
            </a:ext>
          </a:extLst>
        </xdr:cNvPr>
        <xdr:cNvCxnSpPr>
          <a:stCxn id="19" idx="2"/>
          <a:endCxn id="11" idx="0"/>
        </xdr:cNvCxnSpPr>
      </xdr:nvCxnSpPr>
      <xdr:spPr>
        <a:xfrm>
          <a:off x="2448088" y="9837625"/>
          <a:ext cx="22492" cy="1561970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171940</xdr:colOff>
      <xdr:row>62</xdr:row>
      <xdr:rowOff>36297</xdr:rowOff>
    </xdr:from>
    <xdr:to>
      <xdr:col>23</xdr:col>
      <xdr:colOff>86422</xdr:colOff>
      <xdr:row>62</xdr:row>
      <xdr:rowOff>40654</xdr:rowOff>
    </xdr:to>
    <xdr:cxnSp macro="">
      <xdr:nvCxnSpPr>
        <xdr:cNvPr id="42" name="コネクタ: カギ線 211">
          <a:extLst>
            <a:ext uri="{FF2B5EF4-FFF2-40B4-BE49-F238E27FC236}">
              <a16:creationId xmlns:a16="http://schemas.microsoft.com/office/drawing/2014/main" id="{1784046C-6456-47C4-BC53-0D851DAC5E2A}"/>
            </a:ext>
          </a:extLst>
        </xdr:cNvPr>
        <xdr:cNvCxnSpPr>
          <a:stCxn id="19" idx="3"/>
          <a:endCxn id="73" idx="2"/>
        </xdr:cNvCxnSpPr>
      </xdr:nvCxnSpPr>
      <xdr:spPr>
        <a:xfrm>
          <a:off x="2954193" y="9549391"/>
          <a:ext cx="2059512" cy="4357"/>
        </a:xfrm>
        <a:prstGeom prst="bentConnector3">
          <a:avLst>
            <a:gd name="adj1" fmla="val 50000"/>
          </a:avLst>
        </a:prstGeom>
        <a:ln w="12700"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97118</xdr:colOff>
      <xdr:row>13</xdr:row>
      <xdr:rowOff>97119</xdr:rowOff>
    </xdr:from>
    <xdr:to>
      <xdr:col>50</xdr:col>
      <xdr:colOff>113665</xdr:colOff>
      <xdr:row>23</xdr:row>
      <xdr:rowOff>150677</xdr:rowOff>
    </xdr:to>
    <xdr:sp macro="" textlink="">
      <xdr:nvSpPr>
        <xdr:cNvPr id="49" name="正方形/長方形 48">
          <a:extLst>
            <a:ext uri="{FF2B5EF4-FFF2-40B4-BE49-F238E27FC236}">
              <a16:creationId xmlns:a16="http://schemas.microsoft.com/office/drawing/2014/main" id="{AFC690DC-88F8-4FB6-B64D-C57A5FED3C75}"/>
            </a:ext>
          </a:extLst>
        </xdr:cNvPr>
        <xdr:cNvSpPr/>
      </xdr:nvSpPr>
      <xdr:spPr>
        <a:xfrm>
          <a:off x="97118" y="2383119"/>
          <a:ext cx="9728312" cy="1771793"/>
        </a:xfrm>
        <a:prstGeom prst="rect">
          <a:avLst/>
        </a:prstGeom>
        <a:solidFill>
          <a:srgbClr val="99FF99">
            <a:alpha val="10196"/>
          </a:srgbClr>
        </a:solidFill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algn="l"/>
          <a:r>
            <a:rPr kumimoji="1" lang="ja-JP" altLang="en-US" sz="1800">
              <a:solidFill>
                <a:srgbClr val="FF0000"/>
              </a:solidFill>
            </a:rPr>
            <a:t>外部システムで実施</a:t>
          </a:r>
        </a:p>
      </xdr:txBody>
    </xdr:sp>
    <xdr:clientData/>
  </xdr:twoCellAnchor>
  <xdr:twoCellAnchor>
    <xdr:from>
      <xdr:col>1</xdr:col>
      <xdr:colOff>0</xdr:colOff>
      <xdr:row>60</xdr:row>
      <xdr:rowOff>0</xdr:rowOff>
    </xdr:from>
    <xdr:to>
      <xdr:col>50</xdr:col>
      <xdr:colOff>209905</xdr:colOff>
      <xdr:row>70</xdr:row>
      <xdr:rowOff>97681</xdr:rowOff>
    </xdr:to>
    <xdr:sp macro="" textlink="">
      <xdr:nvSpPr>
        <xdr:cNvPr id="53" name="正方形/長方形 52">
          <a:extLst>
            <a:ext uri="{FF2B5EF4-FFF2-40B4-BE49-F238E27FC236}">
              <a16:creationId xmlns:a16="http://schemas.microsoft.com/office/drawing/2014/main" id="{15BA48FC-3373-4A38-AAD3-2F5981060BC4}"/>
            </a:ext>
          </a:extLst>
        </xdr:cNvPr>
        <xdr:cNvSpPr/>
      </xdr:nvSpPr>
      <xdr:spPr>
        <a:xfrm>
          <a:off x="214313" y="9155906"/>
          <a:ext cx="10711217" cy="1871713"/>
        </a:xfrm>
        <a:prstGeom prst="rect">
          <a:avLst/>
        </a:prstGeom>
        <a:solidFill>
          <a:srgbClr val="99FF99">
            <a:alpha val="10196"/>
          </a:srgbClr>
        </a:solidFill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algn="l"/>
          <a:r>
            <a:rPr kumimoji="1" lang="ja-JP" altLang="en-US" sz="1800">
              <a:solidFill>
                <a:srgbClr val="FF0000"/>
              </a:solidFill>
            </a:rPr>
            <a:t>外部システムで実施</a:t>
          </a:r>
        </a:p>
      </xdr:txBody>
    </xdr:sp>
    <xdr:clientData/>
  </xdr:twoCellAnchor>
  <xdr:twoCellAnchor>
    <xdr:from>
      <xdr:col>8</xdr:col>
      <xdr:colOff>143431</xdr:colOff>
      <xdr:row>32</xdr:row>
      <xdr:rowOff>15818</xdr:rowOff>
    </xdr:from>
    <xdr:to>
      <xdr:col>14</xdr:col>
      <xdr:colOff>102208</xdr:colOff>
      <xdr:row>35</xdr:row>
      <xdr:rowOff>42301</xdr:rowOff>
    </xdr:to>
    <xdr:grpSp>
      <xdr:nvGrpSpPr>
        <xdr:cNvPr id="3" name="グループ化 2">
          <a:extLst>
            <a:ext uri="{FF2B5EF4-FFF2-40B4-BE49-F238E27FC236}">
              <a16:creationId xmlns:a16="http://schemas.microsoft.com/office/drawing/2014/main" id="{A32F859D-830A-4C1F-0091-81734911639D}"/>
            </a:ext>
          </a:extLst>
        </xdr:cNvPr>
        <xdr:cNvGrpSpPr/>
      </xdr:nvGrpSpPr>
      <xdr:grpSpPr>
        <a:xfrm>
          <a:off x="1798060" y="5959418"/>
          <a:ext cx="1199748" cy="581654"/>
          <a:chOff x="1644074" y="2494139"/>
          <a:chExt cx="1007257" cy="380229"/>
        </a:xfrm>
      </xdr:grpSpPr>
      <xdr:sp macro="" textlink="">
        <xdr:nvSpPr>
          <xdr:cNvPr id="21" name="フローチャート: 定義済み処理 20">
            <a:extLst>
              <a:ext uri="{FF2B5EF4-FFF2-40B4-BE49-F238E27FC236}">
                <a16:creationId xmlns:a16="http://schemas.microsoft.com/office/drawing/2014/main" id="{4C56C667-5D7E-021B-4371-489AE62D8402}"/>
              </a:ext>
            </a:extLst>
          </xdr:cNvPr>
          <xdr:cNvSpPr/>
        </xdr:nvSpPr>
        <xdr:spPr>
          <a:xfrm>
            <a:off x="1736298" y="2494139"/>
            <a:ext cx="819150" cy="374650"/>
          </a:xfrm>
          <a:prstGeom prst="flowChartPredefinedProcess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1100"/>
          </a:p>
        </xdr:txBody>
      </xdr:sp>
      <xdr:sp macro="" textlink="">
        <xdr:nvSpPr>
          <xdr:cNvPr id="22" name="正方形/長方形 48">
            <a:extLst>
              <a:ext uri="{FF2B5EF4-FFF2-40B4-BE49-F238E27FC236}">
                <a16:creationId xmlns:a16="http://schemas.microsoft.com/office/drawing/2014/main" id="{F1188FD3-F848-AB6D-77C5-F6687E7C67F7}"/>
              </a:ext>
            </a:extLst>
          </xdr:cNvPr>
          <xdr:cNvSpPr/>
        </xdr:nvSpPr>
        <xdr:spPr>
          <a:xfrm>
            <a:off x="1644074" y="2499545"/>
            <a:ext cx="1007257" cy="374823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900"/>
              <a:t>3</a:t>
            </a:r>
            <a:r>
              <a:rPr kumimoji="1" lang="ja-JP" altLang="en-US" sz="900"/>
              <a:t>．機能領域・事業領域の登録</a:t>
            </a:r>
            <a:endParaRPr kumimoji="1" lang="en-US" altLang="ja-JP" sz="900"/>
          </a:p>
        </xdr:txBody>
      </xdr:sp>
    </xdr:grpSp>
    <xdr:clientData/>
  </xdr:twoCellAnchor>
  <xdr:twoCellAnchor>
    <xdr:from>
      <xdr:col>15</xdr:col>
      <xdr:colOff>156888</xdr:colOff>
      <xdr:row>31</xdr:row>
      <xdr:rowOff>149197</xdr:rowOff>
    </xdr:from>
    <xdr:to>
      <xdr:col>21</xdr:col>
      <xdr:colOff>104589</xdr:colOff>
      <xdr:row>35</xdr:row>
      <xdr:rowOff>129057</xdr:rowOff>
    </xdr:to>
    <xdr:grpSp>
      <xdr:nvGrpSpPr>
        <xdr:cNvPr id="23" name="グループ化 22">
          <a:extLst>
            <a:ext uri="{FF2B5EF4-FFF2-40B4-BE49-F238E27FC236}">
              <a16:creationId xmlns:a16="http://schemas.microsoft.com/office/drawing/2014/main" id="{FBCC2EDE-B6EB-F47B-967C-242FE51A998C}"/>
            </a:ext>
          </a:extLst>
        </xdr:cNvPr>
        <xdr:cNvGrpSpPr>
          <a:grpSpLocks noChangeAspect="1"/>
        </xdr:cNvGrpSpPr>
      </xdr:nvGrpSpPr>
      <xdr:grpSpPr>
        <a:xfrm>
          <a:off x="3259317" y="5907740"/>
          <a:ext cx="1188672" cy="720088"/>
          <a:chOff x="7042237" y="2892425"/>
          <a:chExt cx="1008096" cy="584982"/>
        </a:xfrm>
      </xdr:grpSpPr>
      <xdr:sp macro="" textlink="">
        <xdr:nvSpPr>
          <xdr:cNvPr id="24" name="フローチャート: 磁気ディスク 23">
            <a:extLst>
              <a:ext uri="{FF2B5EF4-FFF2-40B4-BE49-F238E27FC236}">
                <a16:creationId xmlns:a16="http://schemas.microsoft.com/office/drawing/2014/main" id="{4BDB89DF-3073-ABCD-B811-07B16B1BD73B}"/>
              </a:ext>
            </a:extLst>
          </xdr:cNvPr>
          <xdr:cNvSpPr/>
        </xdr:nvSpPr>
        <xdr:spPr>
          <a:xfrm>
            <a:off x="7204075" y="2892425"/>
            <a:ext cx="676275" cy="536575"/>
          </a:xfrm>
          <a:prstGeom prst="flowChartMagneticDisk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800"/>
          </a:p>
        </xdr:txBody>
      </xdr:sp>
      <xdr:sp macro="" textlink="">
        <xdr:nvSpPr>
          <xdr:cNvPr id="25" name="正方形/長方形 24">
            <a:extLst>
              <a:ext uri="{FF2B5EF4-FFF2-40B4-BE49-F238E27FC236}">
                <a16:creationId xmlns:a16="http://schemas.microsoft.com/office/drawing/2014/main" id="{3E982841-E7F3-F2D7-324C-BAD14C71D805}"/>
              </a:ext>
            </a:extLst>
          </xdr:cNvPr>
          <xdr:cNvSpPr/>
        </xdr:nvSpPr>
        <xdr:spPr>
          <a:xfrm>
            <a:off x="7042237" y="2971800"/>
            <a:ext cx="1008096" cy="505607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900"/>
              <a:t>財務分析コード（分析コード値）</a:t>
            </a:r>
            <a:endParaRPr kumimoji="1" lang="en-US" altLang="ja-JP" sz="900"/>
          </a:p>
        </xdr:txBody>
      </xdr:sp>
    </xdr:grpSp>
    <xdr:clientData/>
  </xdr:twoCellAnchor>
  <xdr:twoCellAnchor>
    <xdr:from>
      <xdr:col>11</xdr:col>
      <xdr:colOff>120779</xdr:colOff>
      <xdr:row>35</xdr:row>
      <xdr:rowOff>34347</xdr:rowOff>
    </xdr:from>
    <xdr:to>
      <xdr:col>11</xdr:col>
      <xdr:colOff>122820</xdr:colOff>
      <xdr:row>37</xdr:row>
      <xdr:rowOff>157986</xdr:rowOff>
    </xdr:to>
    <xdr:cxnSp macro="">
      <xdr:nvCxnSpPr>
        <xdr:cNvPr id="31" name="直線矢印コネクタ 30">
          <a:extLst>
            <a:ext uri="{FF2B5EF4-FFF2-40B4-BE49-F238E27FC236}">
              <a16:creationId xmlns:a16="http://schemas.microsoft.com/office/drawing/2014/main" id="{37F8E452-F970-4E8C-8674-E4E8DB219751}"/>
            </a:ext>
          </a:extLst>
        </xdr:cNvPr>
        <xdr:cNvCxnSpPr>
          <a:cxnSpLocks/>
          <a:stCxn id="21" idx="2"/>
          <a:endCxn id="56" idx="0"/>
        </xdr:cNvCxnSpPr>
      </xdr:nvCxnSpPr>
      <xdr:spPr>
        <a:xfrm>
          <a:off x="2257367" y="6272288"/>
          <a:ext cx="2041" cy="639110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189430</xdr:colOff>
      <xdr:row>33</xdr:row>
      <xdr:rowOff>110993</xdr:rowOff>
    </xdr:from>
    <xdr:to>
      <xdr:col>16</xdr:col>
      <xdr:colOff>141345</xdr:colOff>
      <xdr:row>33</xdr:row>
      <xdr:rowOff>111524</xdr:rowOff>
    </xdr:to>
    <xdr:cxnSp macro="">
      <xdr:nvCxnSpPr>
        <xdr:cNvPr id="43" name="コネクタ: カギ線 211">
          <a:extLst>
            <a:ext uri="{FF2B5EF4-FFF2-40B4-BE49-F238E27FC236}">
              <a16:creationId xmlns:a16="http://schemas.microsoft.com/office/drawing/2014/main" id="{4C3916F9-AAB5-44F9-ADC7-D275014F83B4}"/>
            </a:ext>
          </a:extLst>
        </xdr:cNvPr>
        <xdr:cNvCxnSpPr>
          <a:stCxn id="21" idx="3"/>
          <a:endCxn id="24" idx="2"/>
        </xdr:cNvCxnSpPr>
      </xdr:nvCxnSpPr>
      <xdr:spPr>
        <a:xfrm>
          <a:off x="2714489" y="6005287"/>
          <a:ext cx="534621" cy="531"/>
        </a:xfrm>
        <a:prstGeom prst="bentConnector3">
          <a:avLst>
            <a:gd name="adj1" fmla="val 50000"/>
          </a:avLst>
        </a:prstGeom>
        <a:ln w="12700"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127115</xdr:colOff>
      <xdr:row>29</xdr:row>
      <xdr:rowOff>10587</xdr:rowOff>
    </xdr:from>
    <xdr:to>
      <xdr:col>11</xdr:col>
      <xdr:colOff>127573</xdr:colOff>
      <xdr:row>31</xdr:row>
      <xdr:rowOff>57936</xdr:rowOff>
    </xdr:to>
    <xdr:cxnSp macro="">
      <xdr:nvCxnSpPr>
        <xdr:cNvPr id="35" name="直線矢印コネクタ 34">
          <a:extLst>
            <a:ext uri="{FF2B5EF4-FFF2-40B4-BE49-F238E27FC236}">
              <a16:creationId xmlns:a16="http://schemas.microsoft.com/office/drawing/2014/main" id="{81B07484-FEE3-4400-B61D-51C129AD5029}"/>
            </a:ext>
          </a:extLst>
        </xdr:cNvPr>
        <xdr:cNvCxnSpPr>
          <a:stCxn id="41" idx="2"/>
          <a:endCxn id="84" idx="0"/>
        </xdr:cNvCxnSpPr>
      </xdr:nvCxnSpPr>
      <xdr:spPr>
        <a:xfrm flipH="1">
          <a:off x="2493797" y="5362516"/>
          <a:ext cx="458" cy="414902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133754</xdr:colOff>
      <xdr:row>51</xdr:row>
      <xdr:rowOff>106349</xdr:rowOff>
    </xdr:from>
    <xdr:to>
      <xdr:col>14</xdr:col>
      <xdr:colOff>92531</xdr:colOff>
      <xdr:row>54</xdr:row>
      <xdr:rowOff>156068</xdr:rowOff>
    </xdr:to>
    <xdr:grpSp>
      <xdr:nvGrpSpPr>
        <xdr:cNvPr id="36" name="グループ化 35">
          <a:extLst>
            <a:ext uri="{FF2B5EF4-FFF2-40B4-BE49-F238E27FC236}">
              <a16:creationId xmlns:a16="http://schemas.microsoft.com/office/drawing/2014/main" id="{87AF1AF8-AFD5-429C-982A-11EB124240D4}"/>
            </a:ext>
          </a:extLst>
        </xdr:cNvPr>
        <xdr:cNvGrpSpPr/>
      </xdr:nvGrpSpPr>
      <xdr:grpSpPr>
        <a:xfrm>
          <a:off x="1779674" y="9440849"/>
          <a:ext cx="1193217" cy="598359"/>
          <a:chOff x="1583832" y="2457449"/>
          <a:chExt cx="1007257" cy="385472"/>
        </a:xfrm>
      </xdr:grpSpPr>
      <xdr:sp macro="" textlink="">
        <xdr:nvSpPr>
          <xdr:cNvPr id="37" name="フローチャート: 定義済み処理 36">
            <a:extLst>
              <a:ext uri="{FF2B5EF4-FFF2-40B4-BE49-F238E27FC236}">
                <a16:creationId xmlns:a16="http://schemas.microsoft.com/office/drawing/2014/main" id="{C8ACA6F3-FC14-A36B-8196-249CC11D6D3A}"/>
              </a:ext>
            </a:extLst>
          </xdr:cNvPr>
          <xdr:cNvSpPr/>
        </xdr:nvSpPr>
        <xdr:spPr>
          <a:xfrm>
            <a:off x="1682750" y="2457449"/>
            <a:ext cx="819150" cy="374650"/>
          </a:xfrm>
          <a:prstGeom prst="flowChartPredefinedProcess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1100"/>
          </a:p>
        </xdr:txBody>
      </xdr:sp>
      <xdr:sp macro="" textlink="">
        <xdr:nvSpPr>
          <xdr:cNvPr id="38" name="正方形/長方形 48">
            <a:extLst>
              <a:ext uri="{FF2B5EF4-FFF2-40B4-BE49-F238E27FC236}">
                <a16:creationId xmlns:a16="http://schemas.microsoft.com/office/drawing/2014/main" id="{0E129D89-AE94-3E78-2E81-91C3A62C2A9F}"/>
              </a:ext>
            </a:extLst>
          </xdr:cNvPr>
          <xdr:cNvSpPr/>
        </xdr:nvSpPr>
        <xdr:spPr>
          <a:xfrm>
            <a:off x="1583832" y="2468098"/>
            <a:ext cx="1007257" cy="374823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900"/>
              <a:t>１．品目マスタ</a:t>
            </a:r>
            <a:endParaRPr kumimoji="1" lang="en-US" altLang="ja-JP" sz="900"/>
          </a:p>
          <a:p>
            <a:pPr algn="ctr"/>
            <a:r>
              <a:rPr kumimoji="1" lang="ja-JP" altLang="en-US" sz="900"/>
              <a:t>の取込</a:t>
            </a:r>
            <a:endParaRPr kumimoji="1" lang="en-US" altLang="ja-JP" sz="900"/>
          </a:p>
        </xdr:txBody>
      </xdr:sp>
    </xdr:grpSp>
    <xdr:clientData/>
  </xdr:twoCellAnchor>
  <xdr:twoCellAnchor>
    <xdr:from>
      <xdr:col>11</xdr:col>
      <xdr:colOff>119114</xdr:colOff>
      <xdr:row>54</xdr:row>
      <xdr:rowOff>139678</xdr:rowOff>
    </xdr:from>
    <xdr:to>
      <xdr:col>11</xdr:col>
      <xdr:colOff>120728</xdr:colOff>
      <xdr:row>59</xdr:row>
      <xdr:rowOff>98949</xdr:rowOff>
    </xdr:to>
    <xdr:cxnSp macro="">
      <xdr:nvCxnSpPr>
        <xdr:cNvPr id="39" name="直線矢印コネクタ 27">
          <a:extLst>
            <a:ext uri="{FF2B5EF4-FFF2-40B4-BE49-F238E27FC236}">
              <a16:creationId xmlns:a16="http://schemas.microsoft.com/office/drawing/2014/main" id="{8033BFE4-E28A-489D-BC8B-2596EDE650C7}"/>
            </a:ext>
          </a:extLst>
        </xdr:cNvPr>
        <xdr:cNvCxnSpPr>
          <a:cxnSpLocks/>
          <a:stCxn id="37" idx="2"/>
          <a:endCxn id="52" idx="0"/>
        </xdr:cNvCxnSpPr>
      </xdr:nvCxnSpPr>
      <xdr:spPr>
        <a:xfrm>
          <a:off x="2466074" y="14198578"/>
          <a:ext cx="1614" cy="873671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129684</xdr:colOff>
      <xdr:row>26</xdr:row>
      <xdr:rowOff>2520</xdr:rowOff>
    </xdr:from>
    <xdr:to>
      <xdr:col>14</xdr:col>
      <xdr:colOff>113227</xdr:colOff>
      <xdr:row>29</xdr:row>
      <xdr:rowOff>21140</xdr:rowOff>
    </xdr:to>
    <xdr:grpSp>
      <xdr:nvGrpSpPr>
        <xdr:cNvPr id="40" name="グループ化 39">
          <a:extLst>
            <a:ext uri="{FF2B5EF4-FFF2-40B4-BE49-F238E27FC236}">
              <a16:creationId xmlns:a16="http://schemas.microsoft.com/office/drawing/2014/main" id="{82192B63-BAC8-475A-A4D0-A0CAB5EF56BA}"/>
            </a:ext>
          </a:extLst>
        </xdr:cNvPr>
        <xdr:cNvGrpSpPr/>
      </xdr:nvGrpSpPr>
      <xdr:grpSpPr>
        <a:xfrm>
          <a:off x="1775604" y="4780260"/>
          <a:ext cx="1217983" cy="567260"/>
          <a:chOff x="1580728" y="2457449"/>
          <a:chExt cx="1013466" cy="381718"/>
        </a:xfrm>
      </xdr:grpSpPr>
      <xdr:sp macro="" textlink="">
        <xdr:nvSpPr>
          <xdr:cNvPr id="41" name="フローチャート: 定義済み処理 40">
            <a:extLst>
              <a:ext uri="{FF2B5EF4-FFF2-40B4-BE49-F238E27FC236}">
                <a16:creationId xmlns:a16="http://schemas.microsoft.com/office/drawing/2014/main" id="{8D5C74F8-DC5A-FEC4-1B1C-3015C553233E}"/>
              </a:ext>
            </a:extLst>
          </xdr:cNvPr>
          <xdr:cNvSpPr/>
        </xdr:nvSpPr>
        <xdr:spPr>
          <a:xfrm>
            <a:off x="1682750" y="2457449"/>
            <a:ext cx="819150" cy="374650"/>
          </a:xfrm>
          <a:prstGeom prst="flowChartPredefinedProcess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1100"/>
          </a:p>
        </xdr:txBody>
      </xdr:sp>
      <xdr:sp macro="" textlink="">
        <xdr:nvSpPr>
          <xdr:cNvPr id="42" name="正方形/長方形 48">
            <a:extLst>
              <a:ext uri="{FF2B5EF4-FFF2-40B4-BE49-F238E27FC236}">
                <a16:creationId xmlns:a16="http://schemas.microsoft.com/office/drawing/2014/main" id="{1CA8CB3D-1AB9-E581-72DE-7B96F0C2340F}"/>
              </a:ext>
            </a:extLst>
          </xdr:cNvPr>
          <xdr:cNvSpPr/>
        </xdr:nvSpPr>
        <xdr:spPr>
          <a:xfrm>
            <a:off x="1580728" y="2467992"/>
            <a:ext cx="1013466" cy="37117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900"/>
              <a:t>２．単位マスタ</a:t>
            </a:r>
            <a:endParaRPr kumimoji="1" lang="en-US" altLang="ja-JP" sz="900"/>
          </a:p>
          <a:p>
            <a:pPr algn="ctr"/>
            <a:r>
              <a:rPr kumimoji="1" lang="ja-JP" altLang="en-US" sz="900"/>
              <a:t>の登録</a:t>
            </a:r>
            <a:endParaRPr kumimoji="1" lang="en-US" altLang="ja-JP" sz="900"/>
          </a:p>
        </xdr:txBody>
      </xdr:sp>
    </xdr:grpSp>
    <xdr:clientData/>
  </xdr:twoCellAnchor>
  <xdr:twoCellAnchor>
    <xdr:from>
      <xdr:col>16</xdr:col>
      <xdr:colOff>833</xdr:colOff>
      <xdr:row>25</xdr:row>
      <xdr:rowOff>135739</xdr:rowOff>
    </xdr:from>
    <xdr:to>
      <xdr:col>21</xdr:col>
      <xdr:colOff>3151</xdr:colOff>
      <xdr:row>29</xdr:row>
      <xdr:rowOff>115600</xdr:rowOff>
    </xdr:to>
    <xdr:grpSp>
      <xdr:nvGrpSpPr>
        <xdr:cNvPr id="43" name="グループ化 42">
          <a:extLst>
            <a:ext uri="{FF2B5EF4-FFF2-40B4-BE49-F238E27FC236}">
              <a16:creationId xmlns:a16="http://schemas.microsoft.com/office/drawing/2014/main" id="{E708777C-40C0-4033-BD95-BFB77D490874}"/>
            </a:ext>
          </a:extLst>
        </xdr:cNvPr>
        <xdr:cNvGrpSpPr>
          <a:grpSpLocks noChangeAspect="1"/>
        </xdr:cNvGrpSpPr>
      </xdr:nvGrpSpPr>
      <xdr:grpSpPr>
        <a:xfrm>
          <a:off x="3292673" y="4730599"/>
          <a:ext cx="1031018" cy="711381"/>
          <a:chOff x="7112000" y="2892425"/>
          <a:chExt cx="873125" cy="584982"/>
        </a:xfrm>
      </xdr:grpSpPr>
      <xdr:sp macro="" textlink="">
        <xdr:nvSpPr>
          <xdr:cNvPr id="44" name="フローチャート: 磁気ディスク 43">
            <a:extLst>
              <a:ext uri="{FF2B5EF4-FFF2-40B4-BE49-F238E27FC236}">
                <a16:creationId xmlns:a16="http://schemas.microsoft.com/office/drawing/2014/main" id="{40A3BFFB-85B5-A549-C8E8-79463AD60557}"/>
              </a:ext>
            </a:extLst>
          </xdr:cNvPr>
          <xdr:cNvSpPr/>
        </xdr:nvSpPr>
        <xdr:spPr>
          <a:xfrm>
            <a:off x="7204075" y="2892425"/>
            <a:ext cx="676275" cy="536575"/>
          </a:xfrm>
          <a:prstGeom prst="flowChartMagneticDisk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800"/>
          </a:p>
        </xdr:txBody>
      </xdr:sp>
      <xdr:sp macro="" textlink="">
        <xdr:nvSpPr>
          <xdr:cNvPr id="45" name="正方形/長方形 44">
            <a:extLst>
              <a:ext uri="{FF2B5EF4-FFF2-40B4-BE49-F238E27FC236}">
                <a16:creationId xmlns:a16="http://schemas.microsoft.com/office/drawing/2014/main" id="{AD91BC9D-D8CC-0AA1-3BB5-6FFAA2E6B44B}"/>
              </a:ext>
            </a:extLst>
          </xdr:cNvPr>
          <xdr:cNvSpPr/>
        </xdr:nvSpPr>
        <xdr:spPr>
          <a:xfrm>
            <a:off x="7112000" y="2971800"/>
            <a:ext cx="873125" cy="505607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900"/>
              <a:t>単位マスタ</a:t>
            </a:r>
            <a:endParaRPr kumimoji="1" lang="en-US" altLang="ja-JP" sz="900"/>
          </a:p>
        </xdr:txBody>
      </xdr:sp>
    </xdr:grpSp>
    <xdr:clientData/>
  </xdr:twoCellAnchor>
  <xdr:twoCellAnchor>
    <xdr:from>
      <xdr:col>13</xdr:col>
      <xdr:colOff>206971</xdr:colOff>
      <xdr:row>27</xdr:row>
      <xdr:rowOff>92515</xdr:rowOff>
    </xdr:from>
    <xdr:to>
      <xdr:col>16</xdr:col>
      <xdr:colOff>112584</xdr:colOff>
      <xdr:row>27</xdr:row>
      <xdr:rowOff>93019</xdr:rowOff>
    </xdr:to>
    <xdr:cxnSp macro="">
      <xdr:nvCxnSpPr>
        <xdr:cNvPr id="46" name="コネクタ: カギ線 211">
          <a:extLst>
            <a:ext uri="{FF2B5EF4-FFF2-40B4-BE49-F238E27FC236}">
              <a16:creationId xmlns:a16="http://schemas.microsoft.com/office/drawing/2014/main" id="{927F0611-9F63-4A4D-95F8-B6ADFD0D9E97}"/>
            </a:ext>
          </a:extLst>
        </xdr:cNvPr>
        <xdr:cNvCxnSpPr>
          <a:stCxn id="41" idx="3"/>
          <a:endCxn id="44" idx="2"/>
        </xdr:cNvCxnSpPr>
      </xdr:nvCxnSpPr>
      <xdr:spPr>
        <a:xfrm>
          <a:off x="2980651" y="11057695"/>
          <a:ext cx="545693" cy="504"/>
        </a:xfrm>
        <a:prstGeom prst="straightConnector1">
          <a:avLst/>
        </a:prstGeom>
        <a:ln w="12700"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198790</xdr:colOff>
      <xdr:row>11</xdr:row>
      <xdr:rowOff>87741</xdr:rowOff>
    </xdr:from>
    <xdr:to>
      <xdr:col>13</xdr:col>
      <xdr:colOff>100258</xdr:colOff>
      <xdr:row>12</xdr:row>
      <xdr:rowOff>166021</xdr:rowOff>
    </xdr:to>
    <xdr:sp macro="" textlink="">
      <xdr:nvSpPr>
        <xdr:cNvPr id="47" name="フローチャート: 端子 46">
          <a:extLst>
            <a:ext uri="{FF2B5EF4-FFF2-40B4-BE49-F238E27FC236}">
              <a16:creationId xmlns:a16="http://schemas.microsoft.com/office/drawing/2014/main" id="{2B4BA34F-F0D7-4398-B177-5CA2E47F9E72}"/>
            </a:ext>
          </a:extLst>
        </xdr:cNvPr>
        <xdr:cNvSpPr/>
      </xdr:nvSpPr>
      <xdr:spPr>
        <a:xfrm>
          <a:off x="2135166" y="2149623"/>
          <a:ext cx="762080" cy="244127"/>
        </a:xfrm>
        <a:prstGeom prst="flowChartTermina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開始</a:t>
          </a:r>
        </a:p>
      </xdr:txBody>
    </xdr:sp>
    <xdr:clientData/>
  </xdr:twoCellAnchor>
  <xdr:twoCellAnchor>
    <xdr:from>
      <xdr:col>16</xdr:col>
      <xdr:colOff>833</xdr:colOff>
      <xdr:row>56</xdr:row>
      <xdr:rowOff>10570</xdr:rowOff>
    </xdr:from>
    <xdr:to>
      <xdr:col>21</xdr:col>
      <xdr:colOff>3151</xdr:colOff>
      <xdr:row>60</xdr:row>
      <xdr:rowOff>11388</xdr:rowOff>
    </xdr:to>
    <xdr:grpSp>
      <xdr:nvGrpSpPr>
        <xdr:cNvPr id="48" name="グループ化 47">
          <a:extLst>
            <a:ext uri="{FF2B5EF4-FFF2-40B4-BE49-F238E27FC236}">
              <a16:creationId xmlns:a16="http://schemas.microsoft.com/office/drawing/2014/main" id="{16052315-F43B-4069-9584-7709AEDB384A}"/>
            </a:ext>
          </a:extLst>
        </xdr:cNvPr>
        <xdr:cNvGrpSpPr>
          <a:grpSpLocks noChangeAspect="1"/>
        </xdr:cNvGrpSpPr>
      </xdr:nvGrpSpPr>
      <xdr:grpSpPr>
        <a:xfrm>
          <a:off x="3292673" y="10259470"/>
          <a:ext cx="1031018" cy="732338"/>
          <a:chOff x="7112000" y="2892425"/>
          <a:chExt cx="873125" cy="584982"/>
        </a:xfrm>
      </xdr:grpSpPr>
      <xdr:sp macro="" textlink="">
        <xdr:nvSpPr>
          <xdr:cNvPr id="49" name="フローチャート: 磁気ディスク 48">
            <a:extLst>
              <a:ext uri="{FF2B5EF4-FFF2-40B4-BE49-F238E27FC236}">
                <a16:creationId xmlns:a16="http://schemas.microsoft.com/office/drawing/2014/main" id="{D52BED3A-CD19-8197-B210-08E2C5E10D6C}"/>
              </a:ext>
            </a:extLst>
          </xdr:cNvPr>
          <xdr:cNvSpPr/>
        </xdr:nvSpPr>
        <xdr:spPr>
          <a:xfrm>
            <a:off x="7204075" y="2892425"/>
            <a:ext cx="676275" cy="536575"/>
          </a:xfrm>
          <a:prstGeom prst="flowChartMagneticDisk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800"/>
          </a:p>
        </xdr:txBody>
      </xdr:sp>
      <xdr:sp macro="" textlink="">
        <xdr:nvSpPr>
          <xdr:cNvPr id="50" name="正方形/長方形 49">
            <a:extLst>
              <a:ext uri="{FF2B5EF4-FFF2-40B4-BE49-F238E27FC236}">
                <a16:creationId xmlns:a16="http://schemas.microsoft.com/office/drawing/2014/main" id="{ED85E57E-3584-DE77-97A9-32CD5B0901D9}"/>
              </a:ext>
            </a:extLst>
          </xdr:cNvPr>
          <xdr:cNvSpPr/>
        </xdr:nvSpPr>
        <xdr:spPr>
          <a:xfrm>
            <a:off x="7112000" y="2971800"/>
            <a:ext cx="873125" cy="505607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900"/>
              <a:t>品目マスタ</a:t>
            </a:r>
            <a:endParaRPr kumimoji="1" lang="en-US" altLang="ja-JP" sz="900"/>
          </a:p>
          <a:p>
            <a:pPr algn="ctr"/>
            <a:endParaRPr kumimoji="1" lang="en-US" altLang="ja-JP" sz="900"/>
          </a:p>
        </xdr:txBody>
      </xdr:sp>
    </xdr:grpSp>
    <xdr:clientData/>
  </xdr:twoCellAnchor>
  <xdr:twoCellAnchor>
    <xdr:from>
      <xdr:col>13</xdr:col>
      <xdr:colOff>199112</xdr:colOff>
      <xdr:row>47</xdr:row>
      <xdr:rowOff>110788</xdr:rowOff>
    </xdr:from>
    <xdr:to>
      <xdr:col>22</xdr:col>
      <xdr:colOff>132789</xdr:colOff>
      <xdr:row>53</xdr:row>
      <xdr:rowOff>34292</xdr:rowOff>
    </xdr:to>
    <xdr:cxnSp macro="">
      <xdr:nvCxnSpPr>
        <xdr:cNvPr id="51" name="コネクタ: カギ線 211">
          <a:extLst>
            <a:ext uri="{FF2B5EF4-FFF2-40B4-BE49-F238E27FC236}">
              <a16:creationId xmlns:a16="http://schemas.microsoft.com/office/drawing/2014/main" id="{C7B72223-7299-4F0D-BDC9-9DF2B0FD1AE9}"/>
            </a:ext>
          </a:extLst>
        </xdr:cNvPr>
        <xdr:cNvCxnSpPr>
          <a:stCxn id="37" idx="3"/>
          <a:endCxn id="58" idx="1"/>
        </xdr:cNvCxnSpPr>
      </xdr:nvCxnSpPr>
      <xdr:spPr>
        <a:xfrm flipV="1">
          <a:off x="2972792" y="12904768"/>
          <a:ext cx="1853917" cy="1005544"/>
        </a:xfrm>
        <a:prstGeom prst="bentConnector3">
          <a:avLst>
            <a:gd name="adj1" fmla="val 50000"/>
          </a:avLst>
        </a:prstGeom>
        <a:ln w="12700"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171898</xdr:colOff>
      <xdr:row>59</xdr:row>
      <xdr:rowOff>102759</xdr:rowOff>
    </xdr:from>
    <xdr:to>
      <xdr:col>13</xdr:col>
      <xdr:colOff>73366</xdr:colOff>
      <xdr:row>60</xdr:row>
      <xdr:rowOff>169833</xdr:rowOff>
    </xdr:to>
    <xdr:sp macro="" textlink="">
      <xdr:nvSpPr>
        <xdr:cNvPr id="52" name="フローチャート: 端子 51">
          <a:extLst>
            <a:ext uri="{FF2B5EF4-FFF2-40B4-BE49-F238E27FC236}">
              <a16:creationId xmlns:a16="http://schemas.microsoft.com/office/drawing/2014/main" id="{95866FA5-D873-44A3-A2E8-F1C27856363A}"/>
            </a:ext>
          </a:extLst>
        </xdr:cNvPr>
        <xdr:cNvSpPr/>
      </xdr:nvSpPr>
      <xdr:spPr>
        <a:xfrm>
          <a:off x="2092138" y="15076059"/>
          <a:ext cx="754908" cy="249954"/>
        </a:xfrm>
        <a:prstGeom prst="flowChartTermina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終了</a:t>
          </a:r>
        </a:p>
      </xdr:txBody>
    </xdr:sp>
    <xdr:clientData/>
  </xdr:twoCellAnchor>
  <xdr:twoCellAnchor>
    <xdr:from>
      <xdr:col>22</xdr:col>
      <xdr:colOff>183264</xdr:colOff>
      <xdr:row>40</xdr:row>
      <xdr:rowOff>107240</xdr:rowOff>
    </xdr:from>
    <xdr:to>
      <xdr:col>27</xdr:col>
      <xdr:colOff>168885</xdr:colOff>
      <xdr:row>45</xdr:row>
      <xdr:rowOff>30030</xdr:rowOff>
    </xdr:to>
    <xdr:grpSp>
      <xdr:nvGrpSpPr>
        <xdr:cNvPr id="53" name="グループ化 52">
          <a:extLst>
            <a:ext uri="{FF2B5EF4-FFF2-40B4-BE49-F238E27FC236}">
              <a16:creationId xmlns:a16="http://schemas.microsoft.com/office/drawing/2014/main" id="{D0C8AABF-72D2-47AD-B9BC-F8B50A947441}"/>
            </a:ext>
          </a:extLst>
        </xdr:cNvPr>
        <xdr:cNvGrpSpPr>
          <a:grpSpLocks noChangeAspect="1"/>
        </xdr:cNvGrpSpPr>
      </xdr:nvGrpSpPr>
      <xdr:grpSpPr>
        <a:xfrm>
          <a:off x="4709544" y="7445300"/>
          <a:ext cx="1014321" cy="837190"/>
          <a:chOff x="7112000" y="2836278"/>
          <a:chExt cx="873125" cy="715195"/>
        </a:xfrm>
      </xdr:grpSpPr>
      <xdr:sp macro="" textlink="">
        <xdr:nvSpPr>
          <xdr:cNvPr id="54" name="フローチャート: 磁気ディスク 53">
            <a:extLst>
              <a:ext uri="{FF2B5EF4-FFF2-40B4-BE49-F238E27FC236}">
                <a16:creationId xmlns:a16="http://schemas.microsoft.com/office/drawing/2014/main" id="{EF980A82-D695-64E2-F029-4297FA6B762A}"/>
              </a:ext>
            </a:extLst>
          </xdr:cNvPr>
          <xdr:cNvSpPr/>
        </xdr:nvSpPr>
        <xdr:spPr>
          <a:xfrm>
            <a:off x="7204075" y="2892425"/>
            <a:ext cx="676275" cy="536575"/>
          </a:xfrm>
          <a:prstGeom prst="flowChartMagneticDisk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800"/>
          </a:p>
        </xdr:txBody>
      </xdr:sp>
      <xdr:sp macro="" textlink="">
        <xdr:nvSpPr>
          <xdr:cNvPr id="55" name="正方形/長方形 54">
            <a:extLst>
              <a:ext uri="{FF2B5EF4-FFF2-40B4-BE49-F238E27FC236}">
                <a16:creationId xmlns:a16="http://schemas.microsoft.com/office/drawing/2014/main" id="{748B25C7-F3D7-1834-5989-FB5BD52D688E}"/>
              </a:ext>
            </a:extLst>
          </xdr:cNvPr>
          <xdr:cNvSpPr/>
        </xdr:nvSpPr>
        <xdr:spPr>
          <a:xfrm>
            <a:off x="7112000" y="2836278"/>
            <a:ext cx="873125" cy="71519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900"/>
              <a:t>MDM</a:t>
            </a:r>
          </a:p>
          <a:p>
            <a:pPr algn="ctr"/>
            <a:r>
              <a:rPr kumimoji="1" lang="ja-JP" altLang="en-US" sz="900"/>
              <a:t>品目マスタ</a:t>
            </a:r>
            <a:endParaRPr kumimoji="1" lang="en-US" altLang="ja-JP" sz="900"/>
          </a:p>
          <a:p>
            <a:pPr algn="ctr"/>
            <a:endParaRPr kumimoji="1" lang="en-US" altLang="ja-JP" sz="900"/>
          </a:p>
        </xdr:txBody>
      </xdr:sp>
    </xdr:grpSp>
    <xdr:clientData/>
  </xdr:twoCellAnchor>
  <xdr:twoCellAnchor>
    <xdr:from>
      <xdr:col>22</xdr:col>
      <xdr:colOff>136599</xdr:colOff>
      <xdr:row>46</xdr:row>
      <xdr:rowOff>60285</xdr:rowOff>
    </xdr:from>
    <xdr:to>
      <xdr:col>27</xdr:col>
      <xdr:colOff>135030</xdr:colOff>
      <xdr:row>48</xdr:row>
      <xdr:rowOff>172867</xdr:rowOff>
    </xdr:to>
    <xdr:grpSp>
      <xdr:nvGrpSpPr>
        <xdr:cNvPr id="56" name="グループ化 55">
          <a:extLst>
            <a:ext uri="{FF2B5EF4-FFF2-40B4-BE49-F238E27FC236}">
              <a16:creationId xmlns:a16="http://schemas.microsoft.com/office/drawing/2014/main" id="{C1B18577-DDEB-4C22-947A-72E92B8CA047}"/>
            </a:ext>
          </a:extLst>
        </xdr:cNvPr>
        <xdr:cNvGrpSpPr/>
      </xdr:nvGrpSpPr>
      <xdr:grpSpPr>
        <a:xfrm>
          <a:off x="4662879" y="8495625"/>
          <a:ext cx="1027131" cy="478342"/>
          <a:chOff x="4305300" y="5730875"/>
          <a:chExt cx="1003300" cy="425450"/>
        </a:xfrm>
      </xdr:grpSpPr>
      <xdr:sp macro="" textlink="">
        <xdr:nvSpPr>
          <xdr:cNvPr id="57" name="AutoShape 49">
            <a:extLst>
              <a:ext uri="{FF2B5EF4-FFF2-40B4-BE49-F238E27FC236}">
                <a16:creationId xmlns:a16="http://schemas.microsoft.com/office/drawing/2014/main" id="{0BBEF4A8-A41A-B93F-6C38-4E39019C2A16}"/>
              </a:ext>
            </a:extLst>
          </xdr:cNvPr>
          <xdr:cNvSpPr>
            <a:spLocks noChangeArrowheads="1"/>
          </xdr:cNvSpPr>
        </xdr:nvSpPr>
        <xdr:spPr bwMode="gray">
          <a:xfrm>
            <a:off x="4410075" y="5730875"/>
            <a:ext cx="876300" cy="425450"/>
          </a:xfrm>
          <a:prstGeom prst="flowChartOnlineStorage">
            <a:avLst/>
          </a:prstGeom>
          <a:solidFill>
            <a:schemeClr val="bg1"/>
          </a:solidFill>
          <a:ln w="9525" algn="ctr">
            <a:solidFill>
              <a:schemeClr val="tx1"/>
            </a:solidFill>
            <a:miter lim="800000"/>
            <a:headEnd/>
            <a:tailEnd/>
          </a:ln>
          <a:effectLst/>
        </xdr:spPr>
        <xdr:txBody>
          <a:bodyPr wrap="square" anchor="ctr"/>
          <a:lstStyle>
            <a:defPPr>
              <a:defRPr lang="ja-JP"/>
            </a:defPPr>
            <a:lvl1pPr algn="ctr" rtl="0" fontAlgn="base">
              <a:spcBef>
                <a:spcPct val="0"/>
              </a:spcBef>
              <a:spcAft>
                <a:spcPct val="0"/>
              </a:spcAft>
              <a:defRPr kumimoji="1" kern="1200">
                <a:solidFill>
                  <a:schemeClr val="tx1"/>
                </a:solidFill>
                <a:latin typeface="MS UI Gothic" panose="020B0600070205080204" pitchFamily="50" charset="-128"/>
                <a:ea typeface="MS UI Gothic" panose="020B0600070205080204" pitchFamily="50" charset="-128"/>
                <a:cs typeface="+mn-cs"/>
              </a:defRPr>
            </a:lvl1pPr>
            <a:lvl2pPr marL="457200" algn="ctr" rtl="0" fontAlgn="base">
              <a:spcBef>
                <a:spcPct val="0"/>
              </a:spcBef>
              <a:spcAft>
                <a:spcPct val="0"/>
              </a:spcAft>
              <a:defRPr kumimoji="1" kern="1200">
                <a:solidFill>
                  <a:schemeClr val="tx1"/>
                </a:solidFill>
                <a:latin typeface="MS UI Gothic" panose="020B0600070205080204" pitchFamily="50" charset="-128"/>
                <a:ea typeface="MS UI Gothic" panose="020B0600070205080204" pitchFamily="50" charset="-128"/>
                <a:cs typeface="+mn-cs"/>
              </a:defRPr>
            </a:lvl2pPr>
            <a:lvl3pPr marL="914400" algn="ctr" rtl="0" fontAlgn="base">
              <a:spcBef>
                <a:spcPct val="0"/>
              </a:spcBef>
              <a:spcAft>
                <a:spcPct val="0"/>
              </a:spcAft>
              <a:defRPr kumimoji="1" kern="1200">
                <a:solidFill>
                  <a:schemeClr val="tx1"/>
                </a:solidFill>
                <a:latin typeface="MS UI Gothic" panose="020B0600070205080204" pitchFamily="50" charset="-128"/>
                <a:ea typeface="MS UI Gothic" panose="020B0600070205080204" pitchFamily="50" charset="-128"/>
                <a:cs typeface="+mn-cs"/>
              </a:defRPr>
            </a:lvl3pPr>
            <a:lvl4pPr marL="1371600" algn="ctr" rtl="0" fontAlgn="base">
              <a:spcBef>
                <a:spcPct val="0"/>
              </a:spcBef>
              <a:spcAft>
                <a:spcPct val="0"/>
              </a:spcAft>
              <a:defRPr kumimoji="1" kern="1200">
                <a:solidFill>
                  <a:schemeClr val="tx1"/>
                </a:solidFill>
                <a:latin typeface="MS UI Gothic" panose="020B0600070205080204" pitchFamily="50" charset="-128"/>
                <a:ea typeface="MS UI Gothic" panose="020B0600070205080204" pitchFamily="50" charset="-128"/>
                <a:cs typeface="+mn-cs"/>
              </a:defRPr>
            </a:lvl4pPr>
            <a:lvl5pPr marL="1828800" algn="ctr" rtl="0" fontAlgn="base">
              <a:spcBef>
                <a:spcPct val="0"/>
              </a:spcBef>
              <a:spcAft>
                <a:spcPct val="0"/>
              </a:spcAft>
              <a:defRPr kumimoji="1" kern="1200">
                <a:solidFill>
                  <a:schemeClr val="tx1"/>
                </a:solidFill>
                <a:latin typeface="MS UI Gothic" panose="020B0600070205080204" pitchFamily="50" charset="-128"/>
                <a:ea typeface="MS UI Gothic" panose="020B0600070205080204" pitchFamily="50" charset="-128"/>
                <a:cs typeface="+mn-cs"/>
              </a:defRPr>
            </a:lvl5pPr>
            <a:lvl6pPr marL="2286000" algn="l" defTabSz="914400" rtl="0" eaLnBrk="1" latinLnBrk="0" hangingPunct="1">
              <a:defRPr kumimoji="1" kern="1200">
                <a:solidFill>
                  <a:schemeClr val="tx1"/>
                </a:solidFill>
                <a:latin typeface="MS UI Gothic" panose="020B0600070205080204" pitchFamily="50" charset="-128"/>
                <a:ea typeface="MS UI Gothic" panose="020B0600070205080204" pitchFamily="50" charset="-128"/>
                <a:cs typeface="+mn-cs"/>
              </a:defRPr>
            </a:lvl6pPr>
            <a:lvl7pPr marL="2743200" algn="l" defTabSz="914400" rtl="0" eaLnBrk="1" latinLnBrk="0" hangingPunct="1">
              <a:defRPr kumimoji="1" kern="1200">
                <a:solidFill>
                  <a:schemeClr val="tx1"/>
                </a:solidFill>
                <a:latin typeface="MS UI Gothic" panose="020B0600070205080204" pitchFamily="50" charset="-128"/>
                <a:ea typeface="MS UI Gothic" panose="020B0600070205080204" pitchFamily="50" charset="-128"/>
                <a:cs typeface="+mn-cs"/>
              </a:defRPr>
            </a:lvl7pPr>
            <a:lvl8pPr marL="3200400" algn="l" defTabSz="914400" rtl="0" eaLnBrk="1" latinLnBrk="0" hangingPunct="1">
              <a:defRPr kumimoji="1" kern="1200">
                <a:solidFill>
                  <a:schemeClr val="tx1"/>
                </a:solidFill>
                <a:latin typeface="MS UI Gothic" panose="020B0600070205080204" pitchFamily="50" charset="-128"/>
                <a:ea typeface="MS UI Gothic" panose="020B0600070205080204" pitchFamily="50" charset="-128"/>
                <a:cs typeface="+mn-cs"/>
              </a:defRPr>
            </a:lvl8pPr>
            <a:lvl9pPr marL="3657600" algn="l" defTabSz="914400" rtl="0" eaLnBrk="1" latinLnBrk="0" hangingPunct="1">
              <a:defRPr kumimoji="1" kern="1200">
                <a:solidFill>
                  <a:schemeClr val="tx1"/>
                </a:solidFill>
                <a:latin typeface="MS UI Gothic" panose="020B0600070205080204" pitchFamily="50" charset="-128"/>
                <a:ea typeface="MS UI Gothic" panose="020B0600070205080204" pitchFamily="50" charset="-128"/>
                <a:cs typeface="+mn-cs"/>
              </a:defRPr>
            </a:lvl9pPr>
          </a:lstStyle>
          <a:p>
            <a:pPr marL="0" marR="0" lvl="0" indent="0" algn="ctr" defTabSz="914400" rtl="0" eaLnBrk="1" fontAlgn="base" latinLnBrk="0" hangingPunct="1">
              <a:lnSpc>
                <a:spcPct val="100000"/>
              </a:lnSpc>
              <a:spcBef>
                <a:spcPct val="0"/>
              </a:spcBef>
              <a:spcAft>
                <a:spcPct val="0"/>
              </a:spcAft>
              <a:buClrTx/>
              <a:buSzTx/>
              <a:buFontTx/>
              <a:buNone/>
              <a:tabLst/>
              <a:defRPr/>
            </a:pPr>
            <a:endParaRPr lang="ja-JP" altLang="ja-JP" sz="800">
              <a:effectLst/>
              <a:latin typeface="+mj-ea"/>
              <a:ea typeface="+mj-ea"/>
            </a:endParaRPr>
          </a:p>
        </xdr:txBody>
      </xdr:sp>
      <xdr:sp macro="" textlink="">
        <xdr:nvSpPr>
          <xdr:cNvPr id="58" name="正方形/長方形 48">
            <a:extLst>
              <a:ext uri="{FF2B5EF4-FFF2-40B4-BE49-F238E27FC236}">
                <a16:creationId xmlns:a16="http://schemas.microsoft.com/office/drawing/2014/main" id="{51F60A90-704A-BB4E-96C4-6459B6472D54}"/>
              </a:ext>
            </a:extLst>
          </xdr:cNvPr>
          <xdr:cNvSpPr/>
        </xdr:nvSpPr>
        <xdr:spPr>
          <a:xfrm>
            <a:off x="4305300" y="5797550"/>
            <a:ext cx="1003300" cy="288528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900"/>
              <a:t>品目マスタ</a:t>
            </a:r>
          </a:p>
        </xdr:txBody>
      </xdr:sp>
    </xdr:grpSp>
    <xdr:clientData/>
  </xdr:twoCellAnchor>
  <xdr:twoCellAnchor>
    <xdr:from>
      <xdr:col>25</xdr:col>
      <xdr:colOff>68498</xdr:colOff>
      <xdr:row>45</xdr:row>
      <xdr:rowOff>30030</xdr:rowOff>
    </xdr:from>
    <xdr:to>
      <xdr:col>25</xdr:col>
      <xdr:colOff>72430</xdr:colOff>
      <xdr:row>46</xdr:row>
      <xdr:rowOff>60285</xdr:rowOff>
    </xdr:to>
    <xdr:cxnSp macro="">
      <xdr:nvCxnSpPr>
        <xdr:cNvPr id="59" name="コネクタ: カギ線 211">
          <a:extLst>
            <a:ext uri="{FF2B5EF4-FFF2-40B4-BE49-F238E27FC236}">
              <a16:creationId xmlns:a16="http://schemas.microsoft.com/office/drawing/2014/main" id="{351A54B1-74BF-4826-98A5-053B9299C1FA}"/>
            </a:ext>
          </a:extLst>
        </xdr:cNvPr>
        <xdr:cNvCxnSpPr>
          <a:stCxn id="55" idx="2"/>
          <a:endCxn id="57" idx="0"/>
        </xdr:cNvCxnSpPr>
      </xdr:nvCxnSpPr>
      <xdr:spPr>
        <a:xfrm>
          <a:off x="5447322" y="8138606"/>
          <a:ext cx="3932" cy="214032"/>
        </a:xfrm>
        <a:prstGeom prst="straightConnector1">
          <a:avLst/>
        </a:prstGeom>
        <a:ln w="12700"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212702</xdr:colOff>
      <xdr:row>48</xdr:row>
      <xdr:rowOff>169057</xdr:rowOff>
    </xdr:from>
    <xdr:to>
      <xdr:col>25</xdr:col>
      <xdr:colOff>69280</xdr:colOff>
      <xdr:row>58</xdr:row>
      <xdr:rowOff>55881</xdr:rowOff>
    </xdr:to>
    <xdr:cxnSp macro="">
      <xdr:nvCxnSpPr>
        <xdr:cNvPr id="60" name="コネクタ: カギ線 59">
          <a:extLst>
            <a:ext uri="{FF2B5EF4-FFF2-40B4-BE49-F238E27FC236}">
              <a16:creationId xmlns:a16="http://schemas.microsoft.com/office/drawing/2014/main" id="{7440F7D8-A276-4549-8C52-43CF99AC1420}"/>
            </a:ext>
          </a:extLst>
        </xdr:cNvPr>
        <xdr:cNvCxnSpPr>
          <a:stCxn id="57" idx="2"/>
          <a:endCxn id="50" idx="3"/>
        </xdr:cNvCxnSpPr>
      </xdr:nvCxnSpPr>
      <xdr:spPr>
        <a:xfrm rot="5400000">
          <a:off x="4091399" y="13534420"/>
          <a:ext cx="1700384" cy="923378"/>
        </a:xfrm>
        <a:prstGeom prst="bentConnector2">
          <a:avLst/>
        </a:prstGeom>
        <a:ln w="12700"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213810</xdr:colOff>
      <xdr:row>40</xdr:row>
      <xdr:rowOff>12997</xdr:rowOff>
    </xdr:from>
    <xdr:to>
      <xdr:col>50</xdr:col>
      <xdr:colOff>213212</xdr:colOff>
      <xdr:row>50</xdr:row>
      <xdr:rowOff>48296</xdr:rowOff>
    </xdr:to>
    <xdr:sp macro="" textlink="">
      <xdr:nvSpPr>
        <xdr:cNvPr id="61" name="正方形/長方形 60">
          <a:extLst>
            <a:ext uri="{FF2B5EF4-FFF2-40B4-BE49-F238E27FC236}">
              <a16:creationId xmlns:a16="http://schemas.microsoft.com/office/drawing/2014/main" id="{6223CDD8-B417-449C-A538-378F07F445FA}"/>
            </a:ext>
          </a:extLst>
        </xdr:cNvPr>
        <xdr:cNvSpPr/>
      </xdr:nvSpPr>
      <xdr:spPr>
        <a:xfrm>
          <a:off x="213810" y="7202691"/>
          <a:ext cx="10757049" cy="1689287"/>
        </a:xfrm>
        <a:prstGeom prst="rect">
          <a:avLst/>
        </a:prstGeom>
        <a:solidFill>
          <a:srgbClr val="99FF99">
            <a:alpha val="10196"/>
          </a:srgbClr>
        </a:solidFill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algn="l"/>
          <a:r>
            <a:rPr kumimoji="1" lang="ja-JP" altLang="en-US" sz="1800">
              <a:solidFill>
                <a:srgbClr val="FF0000"/>
              </a:solidFill>
            </a:rPr>
            <a:t>外部システムで実施</a:t>
          </a:r>
        </a:p>
      </xdr:txBody>
    </xdr:sp>
    <xdr:clientData/>
  </xdr:twoCellAnchor>
  <xdr:twoCellAnchor>
    <xdr:from>
      <xdr:col>11</xdr:col>
      <xdr:colOff>149524</xdr:colOff>
      <xdr:row>12</xdr:row>
      <xdr:rowOff>166021</xdr:rowOff>
    </xdr:from>
    <xdr:to>
      <xdr:col>11</xdr:col>
      <xdr:colOff>152827</xdr:colOff>
      <xdr:row>15</xdr:row>
      <xdr:rowOff>63087</xdr:rowOff>
    </xdr:to>
    <xdr:cxnSp macro="">
      <xdr:nvCxnSpPr>
        <xdr:cNvPr id="62" name="直線矢印コネクタ 61">
          <a:extLst>
            <a:ext uri="{FF2B5EF4-FFF2-40B4-BE49-F238E27FC236}">
              <a16:creationId xmlns:a16="http://schemas.microsoft.com/office/drawing/2014/main" id="{5B584EDA-CB9D-4D9F-8DF8-9C4F70FBC34F}"/>
            </a:ext>
          </a:extLst>
        </xdr:cNvPr>
        <xdr:cNvCxnSpPr>
          <a:cxnSpLocks/>
          <a:stCxn id="47" idx="2"/>
          <a:endCxn id="72" idx="0"/>
        </xdr:cNvCxnSpPr>
      </xdr:nvCxnSpPr>
      <xdr:spPr>
        <a:xfrm>
          <a:off x="2516206" y="2393750"/>
          <a:ext cx="3303" cy="632172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35522</xdr:colOff>
      <xdr:row>20</xdr:row>
      <xdr:rowOff>168479</xdr:rowOff>
    </xdr:from>
    <xdr:to>
      <xdr:col>13</xdr:col>
      <xdr:colOff>206225</xdr:colOff>
      <xdr:row>23</xdr:row>
      <xdr:rowOff>168479</xdr:rowOff>
    </xdr:to>
    <xdr:grpSp>
      <xdr:nvGrpSpPr>
        <xdr:cNvPr id="63" name="グループ化 62">
          <a:extLst>
            <a:ext uri="{FF2B5EF4-FFF2-40B4-BE49-F238E27FC236}">
              <a16:creationId xmlns:a16="http://schemas.microsoft.com/office/drawing/2014/main" id="{5C2ECF49-8602-4C1D-A988-C8D201D86E5E}"/>
            </a:ext>
          </a:extLst>
        </xdr:cNvPr>
        <xdr:cNvGrpSpPr/>
      </xdr:nvGrpSpPr>
      <xdr:grpSpPr>
        <a:xfrm>
          <a:off x="1887182" y="3848939"/>
          <a:ext cx="993663" cy="548640"/>
          <a:chOff x="285750" y="4845050"/>
          <a:chExt cx="1003300" cy="535794"/>
        </a:xfrm>
      </xdr:grpSpPr>
      <xdr:sp macro="" textlink="">
        <xdr:nvSpPr>
          <xdr:cNvPr id="64" name="フローチャート: 判断 63">
            <a:extLst>
              <a:ext uri="{FF2B5EF4-FFF2-40B4-BE49-F238E27FC236}">
                <a16:creationId xmlns:a16="http://schemas.microsoft.com/office/drawing/2014/main" id="{82229490-E9C7-BE61-DAE7-ABC799EDDD65}"/>
              </a:ext>
            </a:extLst>
          </xdr:cNvPr>
          <xdr:cNvSpPr/>
        </xdr:nvSpPr>
        <xdr:spPr>
          <a:xfrm>
            <a:off x="368300" y="4845050"/>
            <a:ext cx="844550" cy="488950"/>
          </a:xfrm>
          <a:prstGeom prst="flowChartDecision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65" name="正方形/長方形 48">
            <a:extLst>
              <a:ext uri="{FF2B5EF4-FFF2-40B4-BE49-F238E27FC236}">
                <a16:creationId xmlns:a16="http://schemas.microsoft.com/office/drawing/2014/main" id="{7A364142-6CDA-39E9-3ABF-70DF580CB622}"/>
              </a:ext>
            </a:extLst>
          </xdr:cNvPr>
          <xdr:cNvSpPr/>
        </xdr:nvSpPr>
        <xdr:spPr>
          <a:xfrm>
            <a:off x="285750" y="4845050"/>
            <a:ext cx="1003300" cy="535794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900"/>
              <a:t>単位マスタ登録</a:t>
            </a:r>
            <a:endParaRPr kumimoji="1" lang="en-US" altLang="ja-JP" sz="900"/>
          </a:p>
          <a:p>
            <a:pPr algn="ctr"/>
            <a:r>
              <a:rPr kumimoji="1" lang="ja-JP" altLang="en-US" sz="900"/>
              <a:t>有無</a:t>
            </a:r>
          </a:p>
        </xdr:txBody>
      </xdr:sp>
    </xdr:grpSp>
    <xdr:clientData/>
  </xdr:twoCellAnchor>
  <xdr:twoCellAnchor>
    <xdr:from>
      <xdr:col>11</xdr:col>
      <xdr:colOff>121456</xdr:colOff>
      <xdr:row>23</xdr:row>
      <xdr:rowOff>121452</xdr:rowOff>
    </xdr:from>
    <xdr:to>
      <xdr:col>11</xdr:col>
      <xdr:colOff>124109</xdr:colOff>
      <xdr:row>26</xdr:row>
      <xdr:rowOff>17891</xdr:rowOff>
    </xdr:to>
    <xdr:cxnSp macro="">
      <xdr:nvCxnSpPr>
        <xdr:cNvPr id="66" name="直線矢印コネクタ 65">
          <a:extLst>
            <a:ext uri="{FF2B5EF4-FFF2-40B4-BE49-F238E27FC236}">
              <a16:creationId xmlns:a16="http://schemas.microsoft.com/office/drawing/2014/main" id="{BF4733CC-6502-4B5D-A797-343FBA38DBD3}"/>
            </a:ext>
          </a:extLst>
        </xdr:cNvPr>
        <xdr:cNvCxnSpPr>
          <a:cxnSpLocks/>
          <a:stCxn id="64" idx="2"/>
          <a:endCxn id="42" idx="0"/>
        </xdr:cNvCxnSpPr>
      </xdr:nvCxnSpPr>
      <xdr:spPr>
        <a:xfrm flipH="1">
          <a:off x="2468416" y="10355112"/>
          <a:ext cx="2653" cy="445079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35521</xdr:colOff>
      <xdr:row>22</xdr:row>
      <xdr:rowOff>77992</xdr:rowOff>
    </xdr:from>
    <xdr:to>
      <xdr:col>9</xdr:col>
      <xdr:colOff>176380</xdr:colOff>
      <xdr:row>32</xdr:row>
      <xdr:rowOff>986</xdr:rowOff>
    </xdr:to>
    <xdr:cxnSp macro="">
      <xdr:nvCxnSpPr>
        <xdr:cNvPr id="67" name="直線矢印コネクタ 156">
          <a:extLst>
            <a:ext uri="{FF2B5EF4-FFF2-40B4-BE49-F238E27FC236}">
              <a16:creationId xmlns:a16="http://schemas.microsoft.com/office/drawing/2014/main" id="{18965EE6-73CA-44BF-BE83-E805F56E983E}"/>
            </a:ext>
          </a:extLst>
        </xdr:cNvPr>
        <xdr:cNvCxnSpPr>
          <a:cxnSpLocks/>
          <a:stCxn id="65" idx="1"/>
          <a:endCxn id="84" idx="1"/>
        </xdr:cNvCxnSpPr>
      </xdr:nvCxnSpPr>
      <xdr:spPr>
        <a:xfrm rot="10800000" flipH="1" flipV="1">
          <a:off x="1878609" y="4088017"/>
          <a:ext cx="140859" cy="1732744"/>
        </a:xfrm>
        <a:prstGeom prst="bentConnector3">
          <a:avLst>
            <a:gd name="adj1" fmla="val -375296"/>
          </a:avLst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161055</xdr:colOff>
      <xdr:row>15</xdr:row>
      <xdr:rowOff>47345</xdr:rowOff>
    </xdr:from>
    <xdr:to>
      <xdr:col>14</xdr:col>
      <xdr:colOff>144598</xdr:colOff>
      <xdr:row>18</xdr:row>
      <xdr:rowOff>65964</xdr:rowOff>
    </xdr:to>
    <xdr:grpSp>
      <xdr:nvGrpSpPr>
        <xdr:cNvPr id="70" name="グループ化 69">
          <a:extLst>
            <a:ext uri="{FF2B5EF4-FFF2-40B4-BE49-F238E27FC236}">
              <a16:creationId xmlns:a16="http://schemas.microsoft.com/office/drawing/2014/main" id="{5D5B6ABA-2034-13E8-D556-622323ADC8E0}"/>
            </a:ext>
          </a:extLst>
        </xdr:cNvPr>
        <xdr:cNvGrpSpPr/>
      </xdr:nvGrpSpPr>
      <xdr:grpSpPr>
        <a:xfrm>
          <a:off x="1806975" y="2813405"/>
          <a:ext cx="1217983" cy="567259"/>
          <a:chOff x="1609240" y="2457449"/>
          <a:chExt cx="1013466" cy="381718"/>
        </a:xfrm>
      </xdr:grpSpPr>
      <xdr:sp macro="" textlink="">
        <xdr:nvSpPr>
          <xdr:cNvPr id="71" name="フローチャート: 定義済み処理 70">
            <a:extLst>
              <a:ext uri="{FF2B5EF4-FFF2-40B4-BE49-F238E27FC236}">
                <a16:creationId xmlns:a16="http://schemas.microsoft.com/office/drawing/2014/main" id="{11881123-3AEE-213D-169B-B683A8B4C3EC}"/>
              </a:ext>
            </a:extLst>
          </xdr:cNvPr>
          <xdr:cNvSpPr/>
        </xdr:nvSpPr>
        <xdr:spPr>
          <a:xfrm>
            <a:off x="1682750" y="2457449"/>
            <a:ext cx="819150" cy="374650"/>
          </a:xfrm>
          <a:prstGeom prst="flowChartPredefinedProcess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1100"/>
          </a:p>
        </xdr:txBody>
      </xdr:sp>
      <xdr:sp macro="" textlink="">
        <xdr:nvSpPr>
          <xdr:cNvPr id="72" name="正方形/長方形 48">
            <a:extLst>
              <a:ext uri="{FF2B5EF4-FFF2-40B4-BE49-F238E27FC236}">
                <a16:creationId xmlns:a16="http://schemas.microsoft.com/office/drawing/2014/main" id="{EFA58B69-AD1C-381D-E60C-CF29EC13584D}"/>
              </a:ext>
            </a:extLst>
          </xdr:cNvPr>
          <xdr:cNvSpPr/>
        </xdr:nvSpPr>
        <xdr:spPr>
          <a:xfrm>
            <a:off x="1609240" y="2467992"/>
            <a:ext cx="1013466" cy="37117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900"/>
              <a:t>１．品目マスタ</a:t>
            </a:r>
            <a:endParaRPr kumimoji="1" lang="en-US" altLang="ja-JP" sz="900"/>
          </a:p>
          <a:p>
            <a:pPr algn="ctr"/>
            <a:r>
              <a:rPr kumimoji="1" lang="ja-JP" altLang="en-US" sz="900"/>
              <a:t>の登録</a:t>
            </a:r>
            <a:endParaRPr kumimoji="1" lang="en-US" altLang="ja-JP" sz="900"/>
          </a:p>
        </xdr:txBody>
      </xdr:sp>
    </xdr:grpSp>
    <xdr:clientData/>
  </xdr:twoCellAnchor>
  <xdr:twoCellAnchor>
    <xdr:from>
      <xdr:col>13</xdr:col>
      <xdr:colOff>207835</xdr:colOff>
      <xdr:row>16</xdr:row>
      <xdr:rowOff>143267</xdr:rowOff>
    </xdr:from>
    <xdr:to>
      <xdr:col>23</xdr:col>
      <xdr:colOff>62110</xdr:colOff>
      <xdr:row>16</xdr:row>
      <xdr:rowOff>143903</xdr:rowOff>
    </xdr:to>
    <xdr:cxnSp macro="">
      <xdr:nvCxnSpPr>
        <xdr:cNvPr id="77" name="コネクタ: カギ線 211">
          <a:extLst>
            <a:ext uri="{FF2B5EF4-FFF2-40B4-BE49-F238E27FC236}">
              <a16:creationId xmlns:a16="http://schemas.microsoft.com/office/drawing/2014/main" id="{09B9DF21-34B8-062E-B05E-089B53B1C805}"/>
            </a:ext>
          </a:extLst>
        </xdr:cNvPr>
        <xdr:cNvCxnSpPr>
          <a:stCxn id="71" idx="3"/>
          <a:endCxn id="90" idx="2"/>
        </xdr:cNvCxnSpPr>
      </xdr:nvCxnSpPr>
      <xdr:spPr>
        <a:xfrm>
          <a:off x="3004823" y="3106102"/>
          <a:ext cx="2005805" cy="636"/>
        </a:xfrm>
        <a:prstGeom prst="straightConnector1">
          <a:avLst/>
        </a:prstGeom>
        <a:ln w="12700"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120874</xdr:colOff>
      <xdr:row>18</xdr:row>
      <xdr:rowOff>55411</xdr:rowOff>
    </xdr:from>
    <xdr:to>
      <xdr:col>11</xdr:col>
      <xdr:colOff>123090</xdr:colOff>
      <xdr:row>20</xdr:row>
      <xdr:rowOff>168479</xdr:rowOff>
    </xdr:to>
    <xdr:cxnSp macro="">
      <xdr:nvCxnSpPr>
        <xdr:cNvPr id="80" name="直線矢印コネクタ 79">
          <a:extLst>
            <a:ext uri="{FF2B5EF4-FFF2-40B4-BE49-F238E27FC236}">
              <a16:creationId xmlns:a16="http://schemas.microsoft.com/office/drawing/2014/main" id="{E4D0B30B-5622-5CA2-48AB-ACA5A2D99391}"/>
            </a:ext>
          </a:extLst>
        </xdr:cNvPr>
        <xdr:cNvCxnSpPr>
          <a:cxnSpLocks/>
          <a:stCxn id="71" idx="2"/>
          <a:endCxn id="65" idx="0"/>
        </xdr:cNvCxnSpPr>
      </xdr:nvCxnSpPr>
      <xdr:spPr>
        <a:xfrm flipH="1">
          <a:off x="2487556" y="3569576"/>
          <a:ext cx="2216" cy="1767056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176381</xdr:colOff>
      <xdr:row>31</xdr:row>
      <xdr:rowOff>57936</xdr:rowOff>
    </xdr:from>
    <xdr:to>
      <xdr:col>13</xdr:col>
      <xdr:colOff>77849</xdr:colOff>
      <xdr:row>32</xdr:row>
      <xdr:rowOff>125010</xdr:rowOff>
    </xdr:to>
    <xdr:sp macro="" textlink="">
      <xdr:nvSpPr>
        <xdr:cNvPr id="84" name="フローチャート: 端子 83">
          <a:extLst>
            <a:ext uri="{FF2B5EF4-FFF2-40B4-BE49-F238E27FC236}">
              <a16:creationId xmlns:a16="http://schemas.microsoft.com/office/drawing/2014/main" id="{9C7C7DDE-0C3C-FE74-9580-23BD0CCA6FC7}"/>
            </a:ext>
          </a:extLst>
        </xdr:cNvPr>
        <xdr:cNvSpPr/>
      </xdr:nvSpPr>
      <xdr:spPr>
        <a:xfrm>
          <a:off x="2112757" y="5777418"/>
          <a:ext cx="762080" cy="250851"/>
        </a:xfrm>
        <a:prstGeom prst="flowChartTermina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終了</a:t>
          </a:r>
        </a:p>
      </xdr:txBody>
    </xdr:sp>
    <xdr:clientData/>
  </xdr:twoCellAnchor>
  <xdr:twoCellAnchor>
    <xdr:from>
      <xdr:col>1</xdr:col>
      <xdr:colOff>3138</xdr:colOff>
      <xdr:row>13</xdr:row>
      <xdr:rowOff>178845</xdr:rowOff>
    </xdr:from>
    <xdr:to>
      <xdr:col>51</xdr:col>
      <xdr:colOff>2540</xdr:colOff>
      <xdr:row>19</xdr:row>
      <xdr:rowOff>44823</xdr:rowOff>
    </xdr:to>
    <xdr:sp macro="" textlink="">
      <xdr:nvSpPr>
        <xdr:cNvPr id="88" name="正方形/長方形 87">
          <a:extLst>
            <a:ext uri="{FF2B5EF4-FFF2-40B4-BE49-F238E27FC236}">
              <a16:creationId xmlns:a16="http://schemas.microsoft.com/office/drawing/2014/main" id="{C177AAB1-4E0C-9683-5160-19B314D730FA}"/>
            </a:ext>
          </a:extLst>
        </xdr:cNvPr>
        <xdr:cNvSpPr/>
      </xdr:nvSpPr>
      <xdr:spPr>
        <a:xfrm>
          <a:off x="218291" y="2590351"/>
          <a:ext cx="10757049" cy="968637"/>
        </a:xfrm>
        <a:prstGeom prst="rect">
          <a:avLst/>
        </a:prstGeom>
        <a:solidFill>
          <a:srgbClr val="99FF99">
            <a:alpha val="10196"/>
          </a:srgbClr>
        </a:solidFill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algn="l"/>
          <a:r>
            <a:rPr kumimoji="1" lang="ja-JP" altLang="en-US" sz="1800">
              <a:solidFill>
                <a:srgbClr val="FF0000"/>
              </a:solidFill>
            </a:rPr>
            <a:t>外部システムで実施</a:t>
          </a:r>
        </a:p>
      </xdr:txBody>
    </xdr:sp>
    <xdr:clientData/>
  </xdr:twoCellAnchor>
  <xdr:twoCellAnchor>
    <xdr:from>
      <xdr:col>22</xdr:col>
      <xdr:colOff>165335</xdr:colOff>
      <xdr:row>14</xdr:row>
      <xdr:rowOff>134128</xdr:rowOff>
    </xdr:from>
    <xdr:to>
      <xdr:col>27</xdr:col>
      <xdr:colOff>150956</xdr:colOff>
      <xdr:row>19</xdr:row>
      <xdr:rowOff>56918</xdr:rowOff>
    </xdr:to>
    <xdr:grpSp>
      <xdr:nvGrpSpPr>
        <xdr:cNvPr id="89" name="グループ化 88">
          <a:extLst>
            <a:ext uri="{FF2B5EF4-FFF2-40B4-BE49-F238E27FC236}">
              <a16:creationId xmlns:a16="http://schemas.microsoft.com/office/drawing/2014/main" id="{DA056EF0-6635-7285-FA65-FC8081125098}"/>
            </a:ext>
          </a:extLst>
        </xdr:cNvPr>
        <xdr:cNvGrpSpPr>
          <a:grpSpLocks noChangeAspect="1"/>
        </xdr:cNvGrpSpPr>
      </xdr:nvGrpSpPr>
      <xdr:grpSpPr>
        <a:xfrm>
          <a:off x="4691615" y="2717308"/>
          <a:ext cx="1014321" cy="837190"/>
          <a:chOff x="7112000" y="2840086"/>
          <a:chExt cx="873125" cy="715195"/>
        </a:xfrm>
      </xdr:grpSpPr>
      <xdr:sp macro="" textlink="">
        <xdr:nvSpPr>
          <xdr:cNvPr id="90" name="フローチャート: 磁気ディスク 89">
            <a:extLst>
              <a:ext uri="{FF2B5EF4-FFF2-40B4-BE49-F238E27FC236}">
                <a16:creationId xmlns:a16="http://schemas.microsoft.com/office/drawing/2014/main" id="{834EA282-80CA-ED06-4F4D-36D60D917929}"/>
              </a:ext>
            </a:extLst>
          </xdr:cNvPr>
          <xdr:cNvSpPr/>
        </xdr:nvSpPr>
        <xdr:spPr>
          <a:xfrm>
            <a:off x="7204075" y="2892425"/>
            <a:ext cx="676275" cy="536575"/>
          </a:xfrm>
          <a:prstGeom prst="flowChartMagneticDisk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800"/>
          </a:p>
        </xdr:txBody>
      </xdr:sp>
      <xdr:sp macro="" textlink="">
        <xdr:nvSpPr>
          <xdr:cNvPr id="91" name="正方形/長方形 90">
            <a:extLst>
              <a:ext uri="{FF2B5EF4-FFF2-40B4-BE49-F238E27FC236}">
                <a16:creationId xmlns:a16="http://schemas.microsoft.com/office/drawing/2014/main" id="{65051FCC-363D-9627-19B8-256E0AE62055}"/>
              </a:ext>
            </a:extLst>
          </xdr:cNvPr>
          <xdr:cNvSpPr/>
        </xdr:nvSpPr>
        <xdr:spPr>
          <a:xfrm>
            <a:off x="7112000" y="2840086"/>
            <a:ext cx="873125" cy="71519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900"/>
              <a:t>MDM</a:t>
            </a:r>
          </a:p>
        </xdr:txBody>
      </xdr:sp>
    </xdr:grpSp>
    <xdr:clientData/>
  </xdr:twoCellAnchor>
  <xdr:twoCellAnchor>
    <xdr:from>
      <xdr:col>9</xdr:col>
      <xdr:colOff>140519</xdr:colOff>
      <xdr:row>37</xdr:row>
      <xdr:rowOff>42917</xdr:rowOff>
    </xdr:from>
    <xdr:to>
      <xdr:col>13</xdr:col>
      <xdr:colOff>41987</xdr:colOff>
      <xdr:row>38</xdr:row>
      <xdr:rowOff>103267</xdr:rowOff>
    </xdr:to>
    <xdr:sp macro="" textlink="">
      <xdr:nvSpPr>
        <xdr:cNvPr id="93" name="フローチャート: 端子 92">
          <a:extLst>
            <a:ext uri="{FF2B5EF4-FFF2-40B4-BE49-F238E27FC236}">
              <a16:creationId xmlns:a16="http://schemas.microsoft.com/office/drawing/2014/main" id="{488FF5AD-13A4-DB51-4816-83CB9CBFF13B}"/>
            </a:ext>
          </a:extLst>
        </xdr:cNvPr>
        <xdr:cNvSpPr/>
      </xdr:nvSpPr>
      <xdr:spPr>
        <a:xfrm>
          <a:off x="2076895" y="6865058"/>
          <a:ext cx="762080" cy="244127"/>
        </a:xfrm>
        <a:prstGeom prst="flowChartTermina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開始</a:t>
          </a:r>
        </a:p>
      </xdr:txBody>
    </xdr:sp>
    <xdr:clientData/>
  </xdr:twoCellAnchor>
  <xdr:twoCellAnchor>
    <xdr:from>
      <xdr:col>11</xdr:col>
      <xdr:colOff>91253</xdr:colOff>
      <xdr:row>38</xdr:row>
      <xdr:rowOff>103267</xdr:rowOff>
    </xdr:from>
    <xdr:to>
      <xdr:col>11</xdr:col>
      <xdr:colOff>113143</xdr:colOff>
      <xdr:row>51</xdr:row>
      <xdr:rowOff>122954</xdr:rowOff>
    </xdr:to>
    <xdr:cxnSp macro="">
      <xdr:nvCxnSpPr>
        <xdr:cNvPr id="94" name="直線矢印コネクタ 93">
          <a:extLst>
            <a:ext uri="{FF2B5EF4-FFF2-40B4-BE49-F238E27FC236}">
              <a16:creationId xmlns:a16="http://schemas.microsoft.com/office/drawing/2014/main" id="{102219AD-F51B-B04B-89FE-DE06362940F7}"/>
            </a:ext>
          </a:extLst>
        </xdr:cNvPr>
        <xdr:cNvCxnSpPr>
          <a:cxnSpLocks/>
          <a:stCxn id="93" idx="2"/>
          <a:endCxn id="38" idx="0"/>
        </xdr:cNvCxnSpPr>
      </xdr:nvCxnSpPr>
      <xdr:spPr>
        <a:xfrm>
          <a:off x="2457935" y="7109185"/>
          <a:ext cx="21890" cy="2023298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155141</xdr:colOff>
      <xdr:row>19</xdr:row>
      <xdr:rowOff>37027</xdr:rowOff>
    </xdr:from>
    <xdr:to>
      <xdr:col>27</xdr:col>
      <xdr:colOff>194102</xdr:colOff>
      <xdr:row>23</xdr:row>
      <xdr:rowOff>49273</xdr:rowOff>
    </xdr:to>
    <xdr:grpSp>
      <xdr:nvGrpSpPr>
        <xdr:cNvPr id="2" name="グループ化 1">
          <a:extLst>
            <a:ext uri="{FF2B5EF4-FFF2-40B4-BE49-F238E27FC236}">
              <a16:creationId xmlns:a16="http://schemas.microsoft.com/office/drawing/2014/main" id="{F7F2603D-84D2-41EA-92CA-6C8156DEC1AA}"/>
            </a:ext>
          </a:extLst>
        </xdr:cNvPr>
        <xdr:cNvGrpSpPr>
          <a:grpSpLocks noChangeAspect="1"/>
        </xdr:cNvGrpSpPr>
      </xdr:nvGrpSpPr>
      <xdr:grpSpPr>
        <a:xfrm>
          <a:off x="4681421" y="3534607"/>
          <a:ext cx="1067661" cy="728526"/>
          <a:chOff x="7112000" y="2892425"/>
          <a:chExt cx="873125" cy="584982"/>
        </a:xfrm>
      </xdr:grpSpPr>
      <xdr:sp macro="" textlink="">
        <xdr:nvSpPr>
          <xdr:cNvPr id="3" name="フローチャート: 磁気ディスク 2">
            <a:extLst>
              <a:ext uri="{FF2B5EF4-FFF2-40B4-BE49-F238E27FC236}">
                <a16:creationId xmlns:a16="http://schemas.microsoft.com/office/drawing/2014/main" id="{7AD69ADF-B10A-C1C5-A991-C57E54C77788}"/>
              </a:ext>
            </a:extLst>
          </xdr:cNvPr>
          <xdr:cNvSpPr/>
        </xdr:nvSpPr>
        <xdr:spPr>
          <a:xfrm>
            <a:off x="7204075" y="2892425"/>
            <a:ext cx="676275" cy="536575"/>
          </a:xfrm>
          <a:prstGeom prst="flowChartMagneticDisk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800"/>
          </a:p>
        </xdr:txBody>
      </xdr:sp>
      <xdr:sp macro="" textlink="">
        <xdr:nvSpPr>
          <xdr:cNvPr id="4" name="正方形/長方形 3">
            <a:extLst>
              <a:ext uri="{FF2B5EF4-FFF2-40B4-BE49-F238E27FC236}">
                <a16:creationId xmlns:a16="http://schemas.microsoft.com/office/drawing/2014/main" id="{4345441C-6C89-2047-CDD1-A68B5B9A5EEE}"/>
              </a:ext>
            </a:extLst>
          </xdr:cNvPr>
          <xdr:cNvSpPr/>
        </xdr:nvSpPr>
        <xdr:spPr>
          <a:xfrm>
            <a:off x="7112000" y="2971800"/>
            <a:ext cx="873125" cy="505607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900"/>
              <a:t>SEJ</a:t>
            </a:r>
            <a:r>
              <a:rPr kumimoji="1" lang="ja-JP" altLang="en-US" sz="900"/>
              <a:t>ホスト</a:t>
            </a:r>
            <a:endParaRPr kumimoji="1" lang="en-US" altLang="ja-JP" sz="900"/>
          </a:p>
          <a:p>
            <a:pPr algn="ctr"/>
            <a:r>
              <a:rPr kumimoji="1" lang="ja-JP" altLang="en-US" sz="900"/>
              <a:t>（</a:t>
            </a:r>
            <a:r>
              <a:rPr kumimoji="1" lang="en-US" altLang="ja-JP" sz="900"/>
              <a:t>SEJ,</a:t>
            </a:r>
            <a:r>
              <a:rPr kumimoji="1" lang="ja-JP" altLang="en-US" sz="900"/>
              <a:t>売上）</a:t>
            </a:r>
            <a:endParaRPr kumimoji="1" lang="en-US" altLang="ja-JP" sz="900"/>
          </a:p>
        </xdr:txBody>
      </xdr:sp>
    </xdr:grpSp>
    <xdr:clientData/>
  </xdr:twoCellAnchor>
  <xdr:twoCellAnchor>
    <xdr:from>
      <xdr:col>11</xdr:col>
      <xdr:colOff>123969</xdr:colOff>
      <xdr:row>19</xdr:row>
      <xdr:rowOff>6993</xdr:rowOff>
    </xdr:from>
    <xdr:to>
      <xdr:col>11</xdr:col>
      <xdr:colOff>124006</xdr:colOff>
      <xdr:row>21</xdr:row>
      <xdr:rowOff>0</xdr:rowOff>
    </xdr:to>
    <xdr:cxnSp macro="">
      <xdr:nvCxnSpPr>
        <xdr:cNvPr id="13" name="直線矢印コネクタ 12">
          <a:extLst>
            <a:ext uri="{FF2B5EF4-FFF2-40B4-BE49-F238E27FC236}">
              <a16:creationId xmlns:a16="http://schemas.microsoft.com/office/drawing/2014/main" id="{55D5C284-64E9-4F2C-9218-655606AD7E10}"/>
            </a:ext>
          </a:extLst>
        </xdr:cNvPr>
        <xdr:cNvCxnSpPr>
          <a:stCxn id="21" idx="2"/>
          <a:endCxn id="16" idx="0"/>
        </xdr:cNvCxnSpPr>
      </xdr:nvCxnSpPr>
      <xdr:spPr>
        <a:xfrm>
          <a:off x="2470929" y="3504573"/>
          <a:ext cx="37" cy="343527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122101</xdr:colOff>
      <xdr:row>21</xdr:row>
      <xdr:rowOff>0</xdr:rowOff>
    </xdr:from>
    <xdr:to>
      <xdr:col>14</xdr:col>
      <xdr:colOff>113264</xdr:colOff>
      <xdr:row>24</xdr:row>
      <xdr:rowOff>0</xdr:rowOff>
    </xdr:to>
    <xdr:grpSp>
      <xdr:nvGrpSpPr>
        <xdr:cNvPr id="15" name="グループ化 14">
          <a:extLst>
            <a:ext uri="{FF2B5EF4-FFF2-40B4-BE49-F238E27FC236}">
              <a16:creationId xmlns:a16="http://schemas.microsoft.com/office/drawing/2014/main" id="{9DF3BBD9-EEC1-4D6F-8548-E8928CBB4AAF}"/>
            </a:ext>
          </a:extLst>
        </xdr:cNvPr>
        <xdr:cNvGrpSpPr/>
      </xdr:nvGrpSpPr>
      <xdr:grpSpPr>
        <a:xfrm>
          <a:off x="1768021" y="3848100"/>
          <a:ext cx="1225603" cy="548640"/>
          <a:chOff x="1580728" y="2457449"/>
          <a:chExt cx="1013466" cy="381718"/>
        </a:xfrm>
      </xdr:grpSpPr>
      <xdr:sp macro="" textlink="">
        <xdr:nvSpPr>
          <xdr:cNvPr id="16" name="フローチャート: 定義済み処理 15">
            <a:extLst>
              <a:ext uri="{FF2B5EF4-FFF2-40B4-BE49-F238E27FC236}">
                <a16:creationId xmlns:a16="http://schemas.microsoft.com/office/drawing/2014/main" id="{6436D3F2-02BF-A9BC-B06E-4CBBFEE9EB86}"/>
              </a:ext>
            </a:extLst>
          </xdr:cNvPr>
          <xdr:cNvSpPr/>
        </xdr:nvSpPr>
        <xdr:spPr>
          <a:xfrm>
            <a:off x="1682750" y="2457449"/>
            <a:ext cx="819150" cy="374650"/>
          </a:xfrm>
          <a:prstGeom prst="flowChartPredefinedProcess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1100"/>
          </a:p>
        </xdr:txBody>
      </xdr:sp>
      <xdr:sp macro="" textlink="">
        <xdr:nvSpPr>
          <xdr:cNvPr id="17" name="正方形/長方形 48">
            <a:extLst>
              <a:ext uri="{FF2B5EF4-FFF2-40B4-BE49-F238E27FC236}">
                <a16:creationId xmlns:a16="http://schemas.microsoft.com/office/drawing/2014/main" id="{B97CD487-661A-4CBF-552E-F3DBF4CF35A3}"/>
              </a:ext>
            </a:extLst>
          </xdr:cNvPr>
          <xdr:cNvSpPr/>
        </xdr:nvSpPr>
        <xdr:spPr>
          <a:xfrm>
            <a:off x="1580728" y="2467992"/>
            <a:ext cx="1013466" cy="37117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900"/>
              <a:t>２．売上の計上</a:t>
            </a:r>
            <a:endParaRPr kumimoji="1" lang="en-US" altLang="ja-JP" sz="900"/>
          </a:p>
        </xdr:txBody>
      </xdr:sp>
    </xdr:grpSp>
    <xdr:clientData/>
  </xdr:twoCellAnchor>
  <xdr:twoCellAnchor>
    <xdr:from>
      <xdr:col>11</xdr:col>
      <xdr:colOff>124715</xdr:colOff>
      <xdr:row>23</xdr:row>
      <xdr:rowOff>169334</xdr:rowOff>
    </xdr:from>
    <xdr:to>
      <xdr:col>11</xdr:col>
      <xdr:colOff>126984</xdr:colOff>
      <xdr:row>31</xdr:row>
      <xdr:rowOff>30208</xdr:rowOff>
    </xdr:to>
    <xdr:cxnSp macro="">
      <xdr:nvCxnSpPr>
        <xdr:cNvPr id="18" name="直線矢印コネクタ 27">
          <a:extLst>
            <a:ext uri="{FF2B5EF4-FFF2-40B4-BE49-F238E27FC236}">
              <a16:creationId xmlns:a16="http://schemas.microsoft.com/office/drawing/2014/main" id="{EA507F07-17FA-4AE3-827B-DED8319766C2}"/>
            </a:ext>
          </a:extLst>
        </xdr:cNvPr>
        <xdr:cNvCxnSpPr>
          <a:cxnSpLocks/>
          <a:stCxn id="16" idx="2"/>
          <a:endCxn id="158" idx="0"/>
        </xdr:cNvCxnSpPr>
      </xdr:nvCxnSpPr>
      <xdr:spPr>
        <a:xfrm>
          <a:off x="2466744" y="4326716"/>
          <a:ext cx="2269" cy="1474521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121044</xdr:colOff>
      <xdr:row>13</xdr:row>
      <xdr:rowOff>35361</xdr:rowOff>
    </xdr:from>
    <xdr:to>
      <xdr:col>11</xdr:col>
      <xdr:colOff>126889</xdr:colOff>
      <xdr:row>16</xdr:row>
      <xdr:rowOff>2520</xdr:rowOff>
    </xdr:to>
    <xdr:cxnSp macro="">
      <xdr:nvCxnSpPr>
        <xdr:cNvPr id="19" name="直線矢印コネクタ 18">
          <a:extLst>
            <a:ext uri="{FF2B5EF4-FFF2-40B4-BE49-F238E27FC236}">
              <a16:creationId xmlns:a16="http://schemas.microsoft.com/office/drawing/2014/main" id="{A45D3B27-F7FB-4C84-A0C9-D2CFE14A62C2}"/>
            </a:ext>
          </a:extLst>
        </xdr:cNvPr>
        <xdr:cNvCxnSpPr>
          <a:cxnSpLocks/>
          <a:stCxn id="139" idx="2"/>
          <a:endCxn id="21" idx="0"/>
        </xdr:cNvCxnSpPr>
      </xdr:nvCxnSpPr>
      <xdr:spPr>
        <a:xfrm>
          <a:off x="2466099" y="2435661"/>
          <a:ext cx="5845" cy="515799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122064</xdr:colOff>
      <xdr:row>16</xdr:row>
      <xdr:rowOff>2520</xdr:rowOff>
    </xdr:from>
    <xdr:to>
      <xdr:col>14</xdr:col>
      <xdr:colOff>113227</xdr:colOff>
      <xdr:row>19</xdr:row>
      <xdr:rowOff>17330</xdr:rowOff>
    </xdr:to>
    <xdr:grpSp>
      <xdr:nvGrpSpPr>
        <xdr:cNvPr id="20" name="グループ化 19">
          <a:extLst>
            <a:ext uri="{FF2B5EF4-FFF2-40B4-BE49-F238E27FC236}">
              <a16:creationId xmlns:a16="http://schemas.microsoft.com/office/drawing/2014/main" id="{A6EF84DF-71CA-4713-8DA3-52A8FFFE9D1A}"/>
            </a:ext>
          </a:extLst>
        </xdr:cNvPr>
        <xdr:cNvGrpSpPr/>
      </xdr:nvGrpSpPr>
      <xdr:grpSpPr>
        <a:xfrm>
          <a:off x="1767984" y="2951460"/>
          <a:ext cx="1225603" cy="563450"/>
          <a:chOff x="1580728" y="2457449"/>
          <a:chExt cx="1013466" cy="381718"/>
        </a:xfrm>
      </xdr:grpSpPr>
      <xdr:sp macro="" textlink="">
        <xdr:nvSpPr>
          <xdr:cNvPr id="21" name="フローチャート: 定義済み処理 20">
            <a:extLst>
              <a:ext uri="{FF2B5EF4-FFF2-40B4-BE49-F238E27FC236}">
                <a16:creationId xmlns:a16="http://schemas.microsoft.com/office/drawing/2014/main" id="{40763C05-F752-EE9D-D1AD-6BE2A018EB91}"/>
              </a:ext>
            </a:extLst>
          </xdr:cNvPr>
          <xdr:cNvSpPr/>
        </xdr:nvSpPr>
        <xdr:spPr>
          <a:xfrm>
            <a:off x="1682750" y="2457449"/>
            <a:ext cx="819150" cy="374650"/>
          </a:xfrm>
          <a:prstGeom prst="flowChartPredefinedProcess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1100"/>
          </a:p>
        </xdr:txBody>
      </xdr:sp>
      <xdr:sp macro="" textlink="">
        <xdr:nvSpPr>
          <xdr:cNvPr id="22" name="正方形/長方形 48">
            <a:extLst>
              <a:ext uri="{FF2B5EF4-FFF2-40B4-BE49-F238E27FC236}">
                <a16:creationId xmlns:a16="http://schemas.microsoft.com/office/drawing/2014/main" id="{55E56572-4FCA-C57D-1363-CB1D7BCC6876}"/>
              </a:ext>
            </a:extLst>
          </xdr:cNvPr>
          <xdr:cNvSpPr/>
        </xdr:nvSpPr>
        <xdr:spPr>
          <a:xfrm>
            <a:off x="1580728" y="2467992"/>
            <a:ext cx="1013466" cy="37117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900"/>
              <a:t>１．売上対象</a:t>
            </a:r>
            <a:endParaRPr kumimoji="1" lang="en-US" altLang="ja-JP" sz="900"/>
          </a:p>
          <a:p>
            <a:pPr algn="ctr"/>
            <a:r>
              <a:rPr kumimoji="1" lang="ja-JP" altLang="en-US" sz="900"/>
              <a:t>伝票の確認</a:t>
            </a:r>
            <a:endParaRPr kumimoji="1" lang="en-US" altLang="ja-JP" sz="900"/>
          </a:p>
        </xdr:txBody>
      </xdr:sp>
    </xdr:grpSp>
    <xdr:clientData/>
  </xdr:twoCellAnchor>
  <xdr:twoCellAnchor>
    <xdr:from>
      <xdr:col>22</xdr:col>
      <xdr:colOff>155141</xdr:colOff>
      <xdr:row>16</xdr:row>
      <xdr:rowOff>115234</xdr:rowOff>
    </xdr:from>
    <xdr:to>
      <xdr:col>27</xdr:col>
      <xdr:colOff>194102</xdr:colOff>
      <xdr:row>20</xdr:row>
      <xdr:rowOff>98905</xdr:rowOff>
    </xdr:to>
    <xdr:grpSp>
      <xdr:nvGrpSpPr>
        <xdr:cNvPr id="123" name="グループ化 122">
          <a:extLst>
            <a:ext uri="{FF2B5EF4-FFF2-40B4-BE49-F238E27FC236}">
              <a16:creationId xmlns:a16="http://schemas.microsoft.com/office/drawing/2014/main" id="{F81AD6F2-8DCD-4BEF-B1C8-CC1B6B03129A}"/>
            </a:ext>
          </a:extLst>
        </xdr:cNvPr>
        <xdr:cNvGrpSpPr>
          <a:grpSpLocks noChangeAspect="1"/>
        </xdr:cNvGrpSpPr>
      </xdr:nvGrpSpPr>
      <xdr:grpSpPr>
        <a:xfrm>
          <a:off x="4681421" y="3064174"/>
          <a:ext cx="1067661" cy="715191"/>
          <a:chOff x="7112000" y="2892425"/>
          <a:chExt cx="873125" cy="584982"/>
        </a:xfrm>
      </xdr:grpSpPr>
      <xdr:sp macro="" textlink="">
        <xdr:nvSpPr>
          <xdr:cNvPr id="124" name="フローチャート: 磁気ディスク 123">
            <a:extLst>
              <a:ext uri="{FF2B5EF4-FFF2-40B4-BE49-F238E27FC236}">
                <a16:creationId xmlns:a16="http://schemas.microsoft.com/office/drawing/2014/main" id="{FEAB727B-8C9A-F30D-2B58-086914FC4292}"/>
              </a:ext>
            </a:extLst>
          </xdr:cNvPr>
          <xdr:cNvSpPr/>
        </xdr:nvSpPr>
        <xdr:spPr>
          <a:xfrm>
            <a:off x="7204075" y="2892425"/>
            <a:ext cx="676275" cy="536575"/>
          </a:xfrm>
          <a:prstGeom prst="flowChartMagneticDisk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800"/>
          </a:p>
        </xdr:txBody>
      </xdr:sp>
      <xdr:sp macro="" textlink="">
        <xdr:nvSpPr>
          <xdr:cNvPr id="125" name="正方形/長方形 124">
            <a:extLst>
              <a:ext uri="{FF2B5EF4-FFF2-40B4-BE49-F238E27FC236}">
                <a16:creationId xmlns:a16="http://schemas.microsoft.com/office/drawing/2014/main" id="{E2E0C13F-32DD-3D76-A422-D86E0EFD699E}"/>
              </a:ext>
            </a:extLst>
          </xdr:cNvPr>
          <xdr:cNvSpPr/>
        </xdr:nvSpPr>
        <xdr:spPr>
          <a:xfrm>
            <a:off x="7112000" y="2971800"/>
            <a:ext cx="873125" cy="505607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900"/>
              <a:t>mcframe</a:t>
            </a:r>
          </a:p>
          <a:p>
            <a:pPr algn="ctr"/>
            <a:r>
              <a:rPr kumimoji="1" lang="ja-JP" altLang="en-US" sz="900"/>
              <a:t>（</a:t>
            </a:r>
            <a:r>
              <a:rPr kumimoji="1" lang="en-US" altLang="ja-JP" sz="900"/>
              <a:t>SSJ,</a:t>
            </a:r>
            <a:r>
              <a:rPr kumimoji="1" lang="ja-JP" altLang="en-US" sz="900"/>
              <a:t>売上）</a:t>
            </a:r>
            <a:endParaRPr kumimoji="1" lang="en-US" altLang="ja-JP" sz="900"/>
          </a:p>
        </xdr:txBody>
      </xdr:sp>
    </xdr:grpSp>
    <xdr:clientData/>
  </xdr:twoCellAnchor>
  <xdr:twoCellAnchor>
    <xdr:from>
      <xdr:col>14</xdr:col>
      <xdr:colOff>7937</xdr:colOff>
      <xdr:row>19</xdr:row>
      <xdr:rowOff>29883</xdr:rowOff>
    </xdr:from>
    <xdr:to>
      <xdr:col>23</xdr:col>
      <xdr:colOff>82176</xdr:colOff>
      <xdr:row>22</xdr:row>
      <xdr:rowOff>89644</xdr:rowOff>
    </xdr:to>
    <xdr:cxnSp macro="">
      <xdr:nvCxnSpPr>
        <xdr:cNvPr id="126" name="コネクタ: カギ線 125">
          <a:extLst>
            <a:ext uri="{FF2B5EF4-FFF2-40B4-BE49-F238E27FC236}">
              <a16:creationId xmlns:a16="http://schemas.microsoft.com/office/drawing/2014/main" id="{31BCF8D0-563A-46B1-A1CA-AE70D90F2665}"/>
            </a:ext>
          </a:extLst>
        </xdr:cNvPr>
        <xdr:cNvCxnSpPr>
          <a:stCxn id="16" idx="3"/>
        </xdr:cNvCxnSpPr>
      </xdr:nvCxnSpPr>
      <xdr:spPr>
        <a:xfrm flipV="1">
          <a:off x="2994977" y="3527463"/>
          <a:ext cx="1994479" cy="593161"/>
        </a:xfrm>
        <a:prstGeom prst="bentConnector3">
          <a:avLst>
            <a:gd name="adj1" fmla="val 50000"/>
          </a:avLst>
        </a:prstGeom>
        <a:ln w="12700"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61679</xdr:colOff>
      <xdr:row>18</xdr:row>
      <xdr:rowOff>76324</xdr:rowOff>
    </xdr:from>
    <xdr:to>
      <xdr:col>27</xdr:col>
      <xdr:colOff>143247</xdr:colOff>
      <xdr:row>26</xdr:row>
      <xdr:rowOff>216</xdr:rowOff>
    </xdr:to>
    <xdr:cxnSp macro="">
      <xdr:nvCxnSpPr>
        <xdr:cNvPr id="127" name="コネクタ: カギ線 126">
          <a:extLst>
            <a:ext uri="{FF2B5EF4-FFF2-40B4-BE49-F238E27FC236}">
              <a16:creationId xmlns:a16="http://schemas.microsoft.com/office/drawing/2014/main" id="{A9649EF2-553F-4CAE-9334-93D431DD9D7A}"/>
            </a:ext>
          </a:extLst>
        </xdr:cNvPr>
        <xdr:cNvCxnSpPr>
          <a:stCxn id="124" idx="4"/>
          <a:endCxn id="151" idx="3"/>
        </xdr:cNvCxnSpPr>
      </xdr:nvCxnSpPr>
      <xdr:spPr>
        <a:xfrm>
          <a:off x="5810297" y="3348442"/>
          <a:ext cx="81568" cy="1526333"/>
        </a:xfrm>
        <a:prstGeom prst="bentConnector3">
          <a:avLst>
            <a:gd name="adj1" fmla="val 380257"/>
          </a:avLst>
        </a:prstGeom>
        <a:ln w="12700"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7900</xdr:colOff>
      <xdr:row>17</xdr:row>
      <xdr:rowOff>90928</xdr:rowOff>
    </xdr:from>
    <xdr:to>
      <xdr:col>23</xdr:col>
      <xdr:colOff>67429</xdr:colOff>
      <xdr:row>18</xdr:row>
      <xdr:rowOff>79309</xdr:rowOff>
    </xdr:to>
    <xdr:cxnSp macro="">
      <xdr:nvCxnSpPr>
        <xdr:cNvPr id="128" name="コネクタ: カギ線 127">
          <a:extLst>
            <a:ext uri="{FF2B5EF4-FFF2-40B4-BE49-F238E27FC236}">
              <a16:creationId xmlns:a16="http://schemas.microsoft.com/office/drawing/2014/main" id="{B43792B4-DEAC-4F60-87D8-DBF943B27795}"/>
            </a:ext>
          </a:extLst>
        </xdr:cNvPr>
        <xdr:cNvCxnSpPr>
          <a:stCxn id="21" idx="3"/>
          <a:endCxn id="124" idx="2"/>
        </xdr:cNvCxnSpPr>
      </xdr:nvCxnSpPr>
      <xdr:spPr>
        <a:xfrm>
          <a:off x="2994940" y="3222748"/>
          <a:ext cx="1979769" cy="171261"/>
        </a:xfrm>
        <a:prstGeom prst="bentConnector3">
          <a:avLst>
            <a:gd name="adj1" fmla="val 50000"/>
          </a:avLst>
        </a:prstGeom>
        <a:ln w="12700"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171898</xdr:colOff>
      <xdr:row>11</xdr:row>
      <xdr:rowOff>130660</xdr:rowOff>
    </xdr:from>
    <xdr:to>
      <xdr:col>13</xdr:col>
      <xdr:colOff>73366</xdr:colOff>
      <xdr:row>13</xdr:row>
      <xdr:rowOff>35361</xdr:rowOff>
    </xdr:to>
    <xdr:sp macro="" textlink="">
      <xdr:nvSpPr>
        <xdr:cNvPr id="139" name="フローチャート: 端子 138">
          <a:extLst>
            <a:ext uri="{FF2B5EF4-FFF2-40B4-BE49-F238E27FC236}">
              <a16:creationId xmlns:a16="http://schemas.microsoft.com/office/drawing/2014/main" id="{93FB7E35-A778-4EF5-9004-911E77750918}"/>
            </a:ext>
          </a:extLst>
        </xdr:cNvPr>
        <xdr:cNvSpPr/>
      </xdr:nvSpPr>
      <xdr:spPr>
        <a:xfrm>
          <a:off x="2088104" y="2158925"/>
          <a:ext cx="753115" cy="252083"/>
        </a:xfrm>
        <a:prstGeom prst="flowChartTermina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開始</a:t>
          </a:r>
        </a:p>
      </xdr:txBody>
    </xdr:sp>
    <xdr:clientData/>
  </xdr:twoCellAnchor>
  <xdr:twoCellAnchor>
    <xdr:from>
      <xdr:col>1</xdr:col>
      <xdr:colOff>8254</xdr:colOff>
      <xdr:row>14</xdr:row>
      <xdr:rowOff>35524</xdr:rowOff>
    </xdr:from>
    <xdr:to>
      <xdr:col>51</xdr:col>
      <xdr:colOff>9525</xdr:colOff>
      <xdr:row>28</xdr:row>
      <xdr:rowOff>162374</xdr:rowOff>
    </xdr:to>
    <xdr:sp macro="" textlink="">
      <xdr:nvSpPr>
        <xdr:cNvPr id="140" name="正方形/長方形 139">
          <a:extLst>
            <a:ext uri="{FF2B5EF4-FFF2-40B4-BE49-F238E27FC236}">
              <a16:creationId xmlns:a16="http://schemas.microsoft.com/office/drawing/2014/main" id="{E378C87F-DF34-40C0-A53F-39CB0632E4AD}"/>
            </a:ext>
          </a:extLst>
        </xdr:cNvPr>
        <xdr:cNvSpPr/>
      </xdr:nvSpPr>
      <xdr:spPr>
        <a:xfrm>
          <a:off x="222567" y="2597749"/>
          <a:ext cx="10716896" cy="2646213"/>
        </a:xfrm>
        <a:prstGeom prst="rect">
          <a:avLst/>
        </a:prstGeom>
        <a:solidFill>
          <a:srgbClr val="99FF99">
            <a:alpha val="10196"/>
          </a:srgbClr>
        </a:solidFill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algn="l"/>
          <a:r>
            <a:rPr kumimoji="1" lang="ja-JP" altLang="en-US" sz="1800">
              <a:solidFill>
                <a:srgbClr val="FF0000"/>
              </a:solidFill>
            </a:rPr>
            <a:t>外部システムで実施</a:t>
          </a:r>
        </a:p>
      </xdr:txBody>
    </xdr:sp>
    <xdr:clientData/>
  </xdr:twoCellAnchor>
  <xdr:twoCellAnchor>
    <xdr:from>
      <xdr:col>15</xdr:col>
      <xdr:colOff>70969</xdr:colOff>
      <xdr:row>34</xdr:row>
      <xdr:rowOff>171749</xdr:rowOff>
    </xdr:from>
    <xdr:to>
      <xdr:col>20</xdr:col>
      <xdr:colOff>205439</xdr:colOff>
      <xdr:row>38</xdr:row>
      <xdr:rowOff>120175</xdr:rowOff>
    </xdr:to>
    <xdr:grpSp>
      <xdr:nvGrpSpPr>
        <xdr:cNvPr id="143" name="グループ化 142">
          <a:extLst>
            <a:ext uri="{FF2B5EF4-FFF2-40B4-BE49-F238E27FC236}">
              <a16:creationId xmlns:a16="http://schemas.microsoft.com/office/drawing/2014/main" id="{73D2BBBC-F38A-40FA-B033-E8D5F566602A}"/>
            </a:ext>
          </a:extLst>
        </xdr:cNvPr>
        <xdr:cNvGrpSpPr/>
      </xdr:nvGrpSpPr>
      <xdr:grpSpPr>
        <a:xfrm>
          <a:off x="3157069" y="6397289"/>
          <a:ext cx="1163170" cy="679946"/>
          <a:chOff x="7001303" y="2894662"/>
          <a:chExt cx="1048892" cy="595445"/>
        </a:xfrm>
      </xdr:grpSpPr>
      <xdr:sp macro="" textlink="">
        <xdr:nvSpPr>
          <xdr:cNvPr id="144" name="フローチャート: 磁気ディスク 143">
            <a:extLst>
              <a:ext uri="{FF2B5EF4-FFF2-40B4-BE49-F238E27FC236}">
                <a16:creationId xmlns:a16="http://schemas.microsoft.com/office/drawing/2014/main" id="{1761A0A7-9D7B-84D3-E6C4-8DA68167DD11}"/>
              </a:ext>
            </a:extLst>
          </xdr:cNvPr>
          <xdr:cNvSpPr/>
        </xdr:nvSpPr>
        <xdr:spPr>
          <a:xfrm>
            <a:off x="7206391" y="2894662"/>
            <a:ext cx="704013" cy="534567"/>
          </a:xfrm>
          <a:prstGeom prst="flowChartMagneticDisk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800"/>
          </a:p>
        </xdr:txBody>
      </xdr:sp>
      <xdr:sp macro="" textlink="">
        <xdr:nvSpPr>
          <xdr:cNvPr id="145" name="正方形/長方形 144">
            <a:extLst>
              <a:ext uri="{FF2B5EF4-FFF2-40B4-BE49-F238E27FC236}">
                <a16:creationId xmlns:a16="http://schemas.microsoft.com/office/drawing/2014/main" id="{0A0E4EBB-8321-1B09-4F99-AE63D8FF2577}"/>
              </a:ext>
            </a:extLst>
          </xdr:cNvPr>
          <xdr:cNvSpPr/>
        </xdr:nvSpPr>
        <xdr:spPr>
          <a:xfrm>
            <a:off x="7001303" y="2984500"/>
            <a:ext cx="1048892" cy="505607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900"/>
              <a:t>販売実績</a:t>
            </a:r>
          </a:p>
        </xdr:txBody>
      </xdr:sp>
    </xdr:grpSp>
    <xdr:clientData/>
  </xdr:twoCellAnchor>
  <xdr:twoCellAnchor>
    <xdr:from>
      <xdr:col>22</xdr:col>
      <xdr:colOff>156881</xdr:colOff>
      <xdr:row>24</xdr:row>
      <xdr:rowOff>145677</xdr:rowOff>
    </xdr:from>
    <xdr:to>
      <xdr:col>27</xdr:col>
      <xdr:colOff>145152</xdr:colOff>
      <xdr:row>27</xdr:row>
      <xdr:rowOff>39595</xdr:rowOff>
    </xdr:to>
    <xdr:grpSp>
      <xdr:nvGrpSpPr>
        <xdr:cNvPr id="149" name="グループ化 148">
          <a:extLst>
            <a:ext uri="{FF2B5EF4-FFF2-40B4-BE49-F238E27FC236}">
              <a16:creationId xmlns:a16="http://schemas.microsoft.com/office/drawing/2014/main" id="{FA5738DF-D08E-420F-8A38-DA7FB2C8216D}"/>
            </a:ext>
          </a:extLst>
        </xdr:cNvPr>
        <xdr:cNvGrpSpPr/>
      </xdr:nvGrpSpPr>
      <xdr:grpSpPr>
        <a:xfrm>
          <a:off x="4683161" y="4542417"/>
          <a:ext cx="1016971" cy="442558"/>
          <a:chOff x="4305300" y="5730875"/>
          <a:chExt cx="1003300" cy="425450"/>
        </a:xfrm>
      </xdr:grpSpPr>
      <xdr:sp macro="" textlink="">
        <xdr:nvSpPr>
          <xdr:cNvPr id="150" name="AutoShape 49">
            <a:extLst>
              <a:ext uri="{FF2B5EF4-FFF2-40B4-BE49-F238E27FC236}">
                <a16:creationId xmlns:a16="http://schemas.microsoft.com/office/drawing/2014/main" id="{02FE729C-8630-709D-B152-68DFB12C3C46}"/>
              </a:ext>
            </a:extLst>
          </xdr:cNvPr>
          <xdr:cNvSpPr>
            <a:spLocks noChangeArrowheads="1"/>
          </xdr:cNvSpPr>
        </xdr:nvSpPr>
        <xdr:spPr bwMode="gray">
          <a:xfrm>
            <a:off x="4410075" y="5730875"/>
            <a:ext cx="876300" cy="425450"/>
          </a:xfrm>
          <a:prstGeom prst="flowChartOnlineStorage">
            <a:avLst/>
          </a:prstGeom>
          <a:solidFill>
            <a:schemeClr val="bg1"/>
          </a:solidFill>
          <a:ln w="9525" algn="ctr">
            <a:solidFill>
              <a:schemeClr val="tx1"/>
            </a:solidFill>
            <a:miter lim="800000"/>
            <a:headEnd/>
            <a:tailEnd/>
          </a:ln>
          <a:effectLst/>
        </xdr:spPr>
        <xdr:txBody>
          <a:bodyPr wrap="square" anchor="ctr"/>
          <a:lstStyle>
            <a:defPPr>
              <a:defRPr lang="ja-JP"/>
            </a:defPPr>
            <a:lvl1pPr algn="ctr" rtl="0" fontAlgn="base">
              <a:spcBef>
                <a:spcPct val="0"/>
              </a:spcBef>
              <a:spcAft>
                <a:spcPct val="0"/>
              </a:spcAft>
              <a:defRPr kumimoji="1" kern="1200">
                <a:solidFill>
                  <a:schemeClr val="tx1"/>
                </a:solidFill>
                <a:latin typeface="MS UI Gothic" panose="020B0600070205080204" pitchFamily="50" charset="-128"/>
                <a:ea typeface="MS UI Gothic" panose="020B0600070205080204" pitchFamily="50" charset="-128"/>
                <a:cs typeface="+mn-cs"/>
              </a:defRPr>
            </a:lvl1pPr>
            <a:lvl2pPr marL="457200" algn="ctr" rtl="0" fontAlgn="base">
              <a:spcBef>
                <a:spcPct val="0"/>
              </a:spcBef>
              <a:spcAft>
                <a:spcPct val="0"/>
              </a:spcAft>
              <a:defRPr kumimoji="1" kern="1200">
                <a:solidFill>
                  <a:schemeClr val="tx1"/>
                </a:solidFill>
                <a:latin typeface="MS UI Gothic" panose="020B0600070205080204" pitchFamily="50" charset="-128"/>
                <a:ea typeface="MS UI Gothic" panose="020B0600070205080204" pitchFamily="50" charset="-128"/>
                <a:cs typeface="+mn-cs"/>
              </a:defRPr>
            </a:lvl2pPr>
            <a:lvl3pPr marL="914400" algn="ctr" rtl="0" fontAlgn="base">
              <a:spcBef>
                <a:spcPct val="0"/>
              </a:spcBef>
              <a:spcAft>
                <a:spcPct val="0"/>
              </a:spcAft>
              <a:defRPr kumimoji="1" kern="1200">
                <a:solidFill>
                  <a:schemeClr val="tx1"/>
                </a:solidFill>
                <a:latin typeface="MS UI Gothic" panose="020B0600070205080204" pitchFamily="50" charset="-128"/>
                <a:ea typeface="MS UI Gothic" panose="020B0600070205080204" pitchFamily="50" charset="-128"/>
                <a:cs typeface="+mn-cs"/>
              </a:defRPr>
            </a:lvl3pPr>
            <a:lvl4pPr marL="1371600" algn="ctr" rtl="0" fontAlgn="base">
              <a:spcBef>
                <a:spcPct val="0"/>
              </a:spcBef>
              <a:spcAft>
                <a:spcPct val="0"/>
              </a:spcAft>
              <a:defRPr kumimoji="1" kern="1200">
                <a:solidFill>
                  <a:schemeClr val="tx1"/>
                </a:solidFill>
                <a:latin typeface="MS UI Gothic" panose="020B0600070205080204" pitchFamily="50" charset="-128"/>
                <a:ea typeface="MS UI Gothic" panose="020B0600070205080204" pitchFamily="50" charset="-128"/>
                <a:cs typeface="+mn-cs"/>
              </a:defRPr>
            </a:lvl4pPr>
            <a:lvl5pPr marL="1828800" algn="ctr" rtl="0" fontAlgn="base">
              <a:spcBef>
                <a:spcPct val="0"/>
              </a:spcBef>
              <a:spcAft>
                <a:spcPct val="0"/>
              </a:spcAft>
              <a:defRPr kumimoji="1" kern="1200">
                <a:solidFill>
                  <a:schemeClr val="tx1"/>
                </a:solidFill>
                <a:latin typeface="MS UI Gothic" panose="020B0600070205080204" pitchFamily="50" charset="-128"/>
                <a:ea typeface="MS UI Gothic" panose="020B0600070205080204" pitchFamily="50" charset="-128"/>
                <a:cs typeface="+mn-cs"/>
              </a:defRPr>
            </a:lvl5pPr>
            <a:lvl6pPr marL="2286000" algn="l" defTabSz="914400" rtl="0" eaLnBrk="1" latinLnBrk="0" hangingPunct="1">
              <a:defRPr kumimoji="1" kern="1200">
                <a:solidFill>
                  <a:schemeClr val="tx1"/>
                </a:solidFill>
                <a:latin typeface="MS UI Gothic" panose="020B0600070205080204" pitchFamily="50" charset="-128"/>
                <a:ea typeface="MS UI Gothic" panose="020B0600070205080204" pitchFamily="50" charset="-128"/>
                <a:cs typeface="+mn-cs"/>
              </a:defRPr>
            </a:lvl6pPr>
            <a:lvl7pPr marL="2743200" algn="l" defTabSz="914400" rtl="0" eaLnBrk="1" latinLnBrk="0" hangingPunct="1">
              <a:defRPr kumimoji="1" kern="1200">
                <a:solidFill>
                  <a:schemeClr val="tx1"/>
                </a:solidFill>
                <a:latin typeface="MS UI Gothic" panose="020B0600070205080204" pitchFamily="50" charset="-128"/>
                <a:ea typeface="MS UI Gothic" panose="020B0600070205080204" pitchFamily="50" charset="-128"/>
                <a:cs typeface="+mn-cs"/>
              </a:defRPr>
            </a:lvl7pPr>
            <a:lvl8pPr marL="3200400" algn="l" defTabSz="914400" rtl="0" eaLnBrk="1" latinLnBrk="0" hangingPunct="1">
              <a:defRPr kumimoji="1" kern="1200">
                <a:solidFill>
                  <a:schemeClr val="tx1"/>
                </a:solidFill>
                <a:latin typeface="MS UI Gothic" panose="020B0600070205080204" pitchFamily="50" charset="-128"/>
                <a:ea typeface="MS UI Gothic" panose="020B0600070205080204" pitchFamily="50" charset="-128"/>
                <a:cs typeface="+mn-cs"/>
              </a:defRPr>
            </a:lvl8pPr>
            <a:lvl9pPr marL="3657600" algn="l" defTabSz="914400" rtl="0" eaLnBrk="1" latinLnBrk="0" hangingPunct="1">
              <a:defRPr kumimoji="1" kern="1200">
                <a:solidFill>
                  <a:schemeClr val="tx1"/>
                </a:solidFill>
                <a:latin typeface="MS UI Gothic" panose="020B0600070205080204" pitchFamily="50" charset="-128"/>
                <a:ea typeface="MS UI Gothic" panose="020B0600070205080204" pitchFamily="50" charset="-128"/>
                <a:cs typeface="+mn-cs"/>
              </a:defRPr>
            </a:lvl9pPr>
          </a:lstStyle>
          <a:p>
            <a:pPr marL="0" marR="0" lvl="0" indent="0" algn="ctr" defTabSz="914400" rtl="0" eaLnBrk="1" fontAlgn="base" latinLnBrk="0" hangingPunct="1">
              <a:lnSpc>
                <a:spcPct val="100000"/>
              </a:lnSpc>
              <a:spcBef>
                <a:spcPct val="0"/>
              </a:spcBef>
              <a:spcAft>
                <a:spcPct val="0"/>
              </a:spcAft>
              <a:buClrTx/>
              <a:buSzTx/>
              <a:buFontTx/>
              <a:buNone/>
              <a:tabLst/>
              <a:defRPr/>
            </a:pPr>
            <a:endParaRPr lang="ja-JP" altLang="ja-JP" sz="800">
              <a:effectLst/>
              <a:latin typeface="+mj-ea"/>
              <a:ea typeface="+mj-ea"/>
            </a:endParaRPr>
          </a:p>
        </xdr:txBody>
      </xdr:sp>
      <xdr:sp macro="" textlink="">
        <xdr:nvSpPr>
          <xdr:cNvPr id="151" name="正方形/長方形 48">
            <a:extLst>
              <a:ext uri="{FF2B5EF4-FFF2-40B4-BE49-F238E27FC236}">
                <a16:creationId xmlns:a16="http://schemas.microsoft.com/office/drawing/2014/main" id="{F8296B5B-258E-6A80-DB13-96803A6D5130}"/>
              </a:ext>
            </a:extLst>
          </xdr:cNvPr>
          <xdr:cNvSpPr/>
        </xdr:nvSpPr>
        <xdr:spPr>
          <a:xfrm>
            <a:off x="4305300" y="5797550"/>
            <a:ext cx="1003300" cy="288528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900"/>
              <a:t>売上実績データ</a:t>
            </a:r>
          </a:p>
        </xdr:txBody>
      </xdr:sp>
    </xdr:grpSp>
    <xdr:clientData/>
  </xdr:twoCellAnchor>
  <xdr:twoCellAnchor>
    <xdr:from>
      <xdr:col>27</xdr:col>
      <xdr:colOff>61679</xdr:colOff>
      <xdr:row>21</xdr:row>
      <xdr:rowOff>19911</xdr:rowOff>
    </xdr:from>
    <xdr:to>
      <xdr:col>27</xdr:col>
      <xdr:colOff>143247</xdr:colOff>
      <xdr:row>26</xdr:row>
      <xdr:rowOff>216</xdr:rowOff>
    </xdr:to>
    <xdr:cxnSp macro="">
      <xdr:nvCxnSpPr>
        <xdr:cNvPr id="153" name="コネクタ: カギ線 152">
          <a:extLst>
            <a:ext uri="{FF2B5EF4-FFF2-40B4-BE49-F238E27FC236}">
              <a16:creationId xmlns:a16="http://schemas.microsoft.com/office/drawing/2014/main" id="{BEE727DB-95AD-42D8-006C-89254482CF0D}"/>
            </a:ext>
          </a:extLst>
        </xdr:cNvPr>
        <xdr:cNvCxnSpPr>
          <a:stCxn id="3" idx="4"/>
          <a:endCxn id="151" idx="3"/>
        </xdr:cNvCxnSpPr>
      </xdr:nvCxnSpPr>
      <xdr:spPr>
        <a:xfrm>
          <a:off x="5810297" y="3818705"/>
          <a:ext cx="81568" cy="1056070"/>
        </a:xfrm>
        <a:prstGeom prst="bentConnector3">
          <a:avLst>
            <a:gd name="adj1" fmla="val 380257"/>
          </a:avLst>
        </a:prstGeom>
        <a:ln w="12700"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135212</xdr:colOff>
      <xdr:row>31</xdr:row>
      <xdr:rowOff>15241</xdr:rowOff>
    </xdr:from>
    <xdr:to>
      <xdr:col>14</xdr:col>
      <xdr:colOff>118755</xdr:colOff>
      <xdr:row>34</xdr:row>
      <xdr:rowOff>19234</xdr:rowOff>
    </xdr:to>
    <xdr:grpSp>
      <xdr:nvGrpSpPr>
        <xdr:cNvPr id="156" name="グループ化 155">
          <a:extLst>
            <a:ext uri="{FF2B5EF4-FFF2-40B4-BE49-F238E27FC236}">
              <a16:creationId xmlns:a16="http://schemas.microsoft.com/office/drawing/2014/main" id="{0659448C-3EFC-1690-B9C9-2FB520CEFDF4}"/>
            </a:ext>
          </a:extLst>
        </xdr:cNvPr>
        <xdr:cNvGrpSpPr/>
      </xdr:nvGrpSpPr>
      <xdr:grpSpPr>
        <a:xfrm>
          <a:off x="1781132" y="5692141"/>
          <a:ext cx="1217983" cy="552633"/>
          <a:chOff x="1580728" y="2457449"/>
          <a:chExt cx="1013466" cy="381718"/>
        </a:xfrm>
      </xdr:grpSpPr>
      <xdr:sp macro="" textlink="">
        <xdr:nvSpPr>
          <xdr:cNvPr id="157" name="フローチャート: 定義済み処理 156">
            <a:extLst>
              <a:ext uri="{FF2B5EF4-FFF2-40B4-BE49-F238E27FC236}">
                <a16:creationId xmlns:a16="http://schemas.microsoft.com/office/drawing/2014/main" id="{F2B4BA6E-9D51-AFED-0674-E5F6E38791BF}"/>
              </a:ext>
            </a:extLst>
          </xdr:cNvPr>
          <xdr:cNvSpPr/>
        </xdr:nvSpPr>
        <xdr:spPr>
          <a:xfrm>
            <a:off x="1682750" y="2457449"/>
            <a:ext cx="819150" cy="374650"/>
          </a:xfrm>
          <a:prstGeom prst="flowChartPredefinedProcess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1100"/>
          </a:p>
        </xdr:txBody>
      </xdr:sp>
      <xdr:sp macro="" textlink="">
        <xdr:nvSpPr>
          <xdr:cNvPr id="158" name="正方形/長方形 48">
            <a:extLst>
              <a:ext uri="{FF2B5EF4-FFF2-40B4-BE49-F238E27FC236}">
                <a16:creationId xmlns:a16="http://schemas.microsoft.com/office/drawing/2014/main" id="{63AFEDBB-9232-2781-52AC-2B0C7F5CD1A4}"/>
              </a:ext>
            </a:extLst>
          </xdr:cNvPr>
          <xdr:cNvSpPr/>
        </xdr:nvSpPr>
        <xdr:spPr>
          <a:xfrm>
            <a:off x="1580728" y="2467992"/>
            <a:ext cx="1013466" cy="37117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900"/>
              <a:t>３．販売実績</a:t>
            </a:r>
            <a:endParaRPr kumimoji="1" lang="en-US" altLang="ja-JP" sz="900"/>
          </a:p>
          <a:p>
            <a:pPr algn="ctr"/>
            <a:r>
              <a:rPr kumimoji="1" lang="ja-JP" altLang="en-US" sz="900"/>
              <a:t>データ取込</a:t>
            </a:r>
            <a:endParaRPr kumimoji="1" lang="en-US" altLang="ja-JP" sz="900"/>
          </a:p>
        </xdr:txBody>
      </xdr:sp>
    </xdr:grpSp>
    <xdr:clientData/>
  </xdr:twoCellAnchor>
  <xdr:twoCellAnchor>
    <xdr:from>
      <xdr:col>14</xdr:col>
      <xdr:colOff>118755</xdr:colOff>
      <xdr:row>26</xdr:row>
      <xdr:rowOff>216</xdr:rowOff>
    </xdr:from>
    <xdr:to>
      <xdr:col>22</xdr:col>
      <xdr:colOff>158786</xdr:colOff>
      <xdr:row>32</xdr:row>
      <xdr:rowOff>114368</xdr:rowOff>
    </xdr:to>
    <xdr:cxnSp macro="">
      <xdr:nvCxnSpPr>
        <xdr:cNvPr id="160" name="コネクタ: カギ線 211">
          <a:extLst>
            <a:ext uri="{FF2B5EF4-FFF2-40B4-BE49-F238E27FC236}">
              <a16:creationId xmlns:a16="http://schemas.microsoft.com/office/drawing/2014/main" id="{791D634F-CD6E-49DC-B869-41F0B41B17D7}"/>
            </a:ext>
          </a:extLst>
        </xdr:cNvPr>
        <xdr:cNvCxnSpPr>
          <a:stCxn id="158" idx="3"/>
          <a:endCxn id="151" idx="1"/>
        </xdr:cNvCxnSpPr>
      </xdr:nvCxnSpPr>
      <xdr:spPr>
        <a:xfrm flipV="1">
          <a:off x="3099520" y="4695481"/>
          <a:ext cx="1743325" cy="1369211"/>
        </a:xfrm>
        <a:prstGeom prst="bentConnector3">
          <a:avLst>
            <a:gd name="adj1" fmla="val 50000"/>
          </a:avLst>
        </a:prstGeom>
        <a:ln w="12700"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209249</xdr:colOff>
      <xdr:row>27</xdr:row>
      <xdr:rowOff>39595</xdr:rowOff>
    </xdr:from>
    <xdr:to>
      <xdr:col>25</xdr:col>
      <xdr:colOff>87718</xdr:colOff>
      <xdr:row>37</xdr:row>
      <xdr:rowOff>16358</xdr:rowOff>
    </xdr:to>
    <xdr:cxnSp macro="">
      <xdr:nvCxnSpPr>
        <xdr:cNvPr id="163" name="コネクタ: カギ線 162">
          <a:extLst>
            <a:ext uri="{FF2B5EF4-FFF2-40B4-BE49-F238E27FC236}">
              <a16:creationId xmlns:a16="http://schemas.microsoft.com/office/drawing/2014/main" id="{4A06ACB3-B62F-4E3E-8466-993CEBFD8961}"/>
            </a:ext>
          </a:extLst>
        </xdr:cNvPr>
        <xdr:cNvCxnSpPr>
          <a:stCxn id="150" idx="2"/>
          <a:endCxn id="145" idx="3"/>
        </xdr:cNvCxnSpPr>
      </xdr:nvCxnSpPr>
      <xdr:spPr>
        <a:xfrm rot="5400000">
          <a:off x="4143793" y="5417139"/>
          <a:ext cx="1590410" cy="943028"/>
        </a:xfrm>
        <a:prstGeom prst="bentConnector2">
          <a:avLst/>
        </a:prstGeom>
        <a:ln w="12700"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119776</xdr:colOff>
      <xdr:row>34</xdr:row>
      <xdr:rowOff>15424</xdr:rowOff>
    </xdr:from>
    <xdr:to>
      <xdr:col>11</xdr:col>
      <xdr:colOff>126032</xdr:colOff>
      <xdr:row>38</xdr:row>
      <xdr:rowOff>151954</xdr:rowOff>
    </xdr:to>
    <xdr:cxnSp macro="">
      <xdr:nvCxnSpPr>
        <xdr:cNvPr id="192" name="直線矢印コネクタ 27">
          <a:extLst>
            <a:ext uri="{FF2B5EF4-FFF2-40B4-BE49-F238E27FC236}">
              <a16:creationId xmlns:a16="http://schemas.microsoft.com/office/drawing/2014/main" id="{A3BA04B7-2547-4115-903C-9D26BFBE965C}"/>
            </a:ext>
          </a:extLst>
        </xdr:cNvPr>
        <xdr:cNvCxnSpPr>
          <a:cxnSpLocks/>
          <a:stCxn id="158" idx="2"/>
          <a:endCxn id="193" idx="0"/>
        </xdr:cNvCxnSpPr>
      </xdr:nvCxnSpPr>
      <xdr:spPr>
        <a:xfrm flipH="1">
          <a:off x="2461805" y="6145042"/>
          <a:ext cx="6256" cy="853706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166184</xdr:colOff>
      <xdr:row>38</xdr:row>
      <xdr:rowOff>151954</xdr:rowOff>
    </xdr:from>
    <xdr:to>
      <xdr:col>13</xdr:col>
      <xdr:colOff>71462</xdr:colOff>
      <xdr:row>40</xdr:row>
      <xdr:rowOff>54974</xdr:rowOff>
    </xdr:to>
    <xdr:sp macro="" textlink="">
      <xdr:nvSpPr>
        <xdr:cNvPr id="193" name="フローチャート: 端子 192">
          <a:extLst>
            <a:ext uri="{FF2B5EF4-FFF2-40B4-BE49-F238E27FC236}">
              <a16:creationId xmlns:a16="http://schemas.microsoft.com/office/drawing/2014/main" id="{545022C4-06E1-4326-AA69-E4B898C0FD8B}"/>
            </a:ext>
          </a:extLst>
        </xdr:cNvPr>
        <xdr:cNvSpPr/>
      </xdr:nvSpPr>
      <xdr:spPr>
        <a:xfrm>
          <a:off x="2082390" y="6998748"/>
          <a:ext cx="756925" cy="261608"/>
        </a:xfrm>
        <a:prstGeom prst="flowChartTermina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終了</a:t>
          </a:r>
        </a:p>
      </xdr:txBody>
    </xdr:sp>
    <xdr:clientData/>
  </xdr:twoCellAnchor>
  <xdr:twoCellAnchor>
    <xdr:from>
      <xdr:col>11</xdr:col>
      <xdr:colOff>44192</xdr:colOff>
      <xdr:row>45</xdr:row>
      <xdr:rowOff>154816</xdr:rowOff>
    </xdr:from>
    <xdr:to>
      <xdr:col>11</xdr:col>
      <xdr:colOff>44369</xdr:colOff>
      <xdr:row>48</xdr:row>
      <xdr:rowOff>129595</xdr:rowOff>
    </xdr:to>
    <xdr:cxnSp macro="">
      <xdr:nvCxnSpPr>
        <xdr:cNvPr id="196" name="直線矢印コネクタ 195">
          <a:extLst>
            <a:ext uri="{FF2B5EF4-FFF2-40B4-BE49-F238E27FC236}">
              <a16:creationId xmlns:a16="http://schemas.microsoft.com/office/drawing/2014/main" id="{B44337BB-30B6-8241-550D-E4265F34A5CD}"/>
            </a:ext>
          </a:extLst>
        </xdr:cNvPr>
        <xdr:cNvCxnSpPr>
          <a:cxnSpLocks/>
          <a:stCxn id="204" idx="2"/>
          <a:endCxn id="198" idx="0"/>
        </xdr:cNvCxnSpPr>
      </xdr:nvCxnSpPr>
      <xdr:spPr>
        <a:xfrm>
          <a:off x="2386221" y="8256669"/>
          <a:ext cx="177" cy="512661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39813</xdr:colOff>
      <xdr:row>48</xdr:row>
      <xdr:rowOff>129595</xdr:rowOff>
    </xdr:from>
    <xdr:to>
      <xdr:col>14</xdr:col>
      <xdr:colOff>36691</xdr:colOff>
      <xdr:row>51</xdr:row>
      <xdr:rowOff>144405</xdr:rowOff>
    </xdr:to>
    <xdr:grpSp>
      <xdr:nvGrpSpPr>
        <xdr:cNvPr id="197" name="グループ化 196">
          <a:extLst>
            <a:ext uri="{FF2B5EF4-FFF2-40B4-BE49-F238E27FC236}">
              <a16:creationId xmlns:a16="http://schemas.microsoft.com/office/drawing/2014/main" id="{E566D3EC-DC28-B945-04FC-03E5B55B2927}"/>
            </a:ext>
          </a:extLst>
        </xdr:cNvPr>
        <xdr:cNvGrpSpPr/>
      </xdr:nvGrpSpPr>
      <xdr:grpSpPr>
        <a:xfrm>
          <a:off x="1685733" y="8915455"/>
          <a:ext cx="1231318" cy="563450"/>
          <a:chOff x="1580728" y="2457449"/>
          <a:chExt cx="1013466" cy="381718"/>
        </a:xfrm>
      </xdr:grpSpPr>
      <xdr:sp macro="" textlink="">
        <xdr:nvSpPr>
          <xdr:cNvPr id="198" name="フローチャート: 定義済み処理 197">
            <a:extLst>
              <a:ext uri="{FF2B5EF4-FFF2-40B4-BE49-F238E27FC236}">
                <a16:creationId xmlns:a16="http://schemas.microsoft.com/office/drawing/2014/main" id="{CA1FFACC-F1FC-DBD5-DE2D-D4EFEC3CDDA7}"/>
              </a:ext>
            </a:extLst>
          </xdr:cNvPr>
          <xdr:cNvSpPr/>
        </xdr:nvSpPr>
        <xdr:spPr>
          <a:xfrm>
            <a:off x="1682750" y="2457449"/>
            <a:ext cx="819150" cy="374650"/>
          </a:xfrm>
          <a:prstGeom prst="flowChartPredefinedProcess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1100"/>
          </a:p>
        </xdr:txBody>
      </xdr:sp>
      <xdr:sp macro="" textlink="">
        <xdr:nvSpPr>
          <xdr:cNvPr id="199" name="正方形/長方形 48">
            <a:extLst>
              <a:ext uri="{FF2B5EF4-FFF2-40B4-BE49-F238E27FC236}">
                <a16:creationId xmlns:a16="http://schemas.microsoft.com/office/drawing/2014/main" id="{435AC3EC-59FA-F1F7-45A5-391925D476BD}"/>
              </a:ext>
            </a:extLst>
          </xdr:cNvPr>
          <xdr:cNvSpPr/>
        </xdr:nvSpPr>
        <xdr:spPr>
          <a:xfrm>
            <a:off x="1580728" y="2467992"/>
            <a:ext cx="1013466" cy="37117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900"/>
              <a:t>１．販売実績</a:t>
            </a:r>
            <a:endParaRPr kumimoji="1" lang="en-US" altLang="ja-JP" sz="900"/>
          </a:p>
          <a:p>
            <a:pPr algn="ctr"/>
            <a:r>
              <a:rPr kumimoji="1" lang="ja-JP" altLang="en-US" sz="900"/>
              <a:t>連携</a:t>
            </a:r>
            <a:endParaRPr kumimoji="1" lang="en-US" altLang="ja-JP" sz="900"/>
          </a:p>
        </xdr:txBody>
      </xdr:sp>
    </xdr:grpSp>
    <xdr:clientData/>
  </xdr:twoCellAnchor>
  <xdr:twoCellAnchor>
    <xdr:from>
      <xdr:col>22</xdr:col>
      <xdr:colOff>164665</xdr:colOff>
      <xdr:row>62</xdr:row>
      <xdr:rowOff>18192</xdr:rowOff>
    </xdr:from>
    <xdr:to>
      <xdr:col>27</xdr:col>
      <xdr:colOff>207436</xdr:colOff>
      <xdr:row>65</xdr:row>
      <xdr:rowOff>175443</xdr:rowOff>
    </xdr:to>
    <xdr:grpSp>
      <xdr:nvGrpSpPr>
        <xdr:cNvPr id="200" name="グループ化 199">
          <a:extLst>
            <a:ext uri="{FF2B5EF4-FFF2-40B4-BE49-F238E27FC236}">
              <a16:creationId xmlns:a16="http://schemas.microsoft.com/office/drawing/2014/main" id="{00493550-DF07-2F8C-9A31-C59FF6E2A1EE}"/>
            </a:ext>
          </a:extLst>
        </xdr:cNvPr>
        <xdr:cNvGrpSpPr>
          <a:grpSpLocks noChangeAspect="1"/>
        </xdr:cNvGrpSpPr>
      </xdr:nvGrpSpPr>
      <xdr:grpSpPr>
        <a:xfrm>
          <a:off x="4690945" y="11364372"/>
          <a:ext cx="1071471" cy="705891"/>
          <a:chOff x="7112000" y="2892425"/>
          <a:chExt cx="873125" cy="584982"/>
        </a:xfrm>
      </xdr:grpSpPr>
      <xdr:sp macro="" textlink="">
        <xdr:nvSpPr>
          <xdr:cNvPr id="201" name="フローチャート: 磁気ディスク 200">
            <a:extLst>
              <a:ext uri="{FF2B5EF4-FFF2-40B4-BE49-F238E27FC236}">
                <a16:creationId xmlns:a16="http://schemas.microsoft.com/office/drawing/2014/main" id="{20A806F8-67A1-FDDE-F25C-96712024CEFD}"/>
              </a:ext>
            </a:extLst>
          </xdr:cNvPr>
          <xdr:cNvSpPr/>
        </xdr:nvSpPr>
        <xdr:spPr>
          <a:xfrm>
            <a:off x="7204075" y="2892425"/>
            <a:ext cx="676275" cy="536575"/>
          </a:xfrm>
          <a:prstGeom prst="flowChartMagneticDisk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800"/>
          </a:p>
        </xdr:txBody>
      </xdr:sp>
      <xdr:sp macro="" textlink="">
        <xdr:nvSpPr>
          <xdr:cNvPr id="202" name="正方形/長方形 201">
            <a:extLst>
              <a:ext uri="{FF2B5EF4-FFF2-40B4-BE49-F238E27FC236}">
                <a16:creationId xmlns:a16="http://schemas.microsoft.com/office/drawing/2014/main" id="{5494296D-EBC6-350D-C232-FA5DC871AC30}"/>
              </a:ext>
            </a:extLst>
          </xdr:cNvPr>
          <xdr:cNvSpPr/>
        </xdr:nvSpPr>
        <xdr:spPr>
          <a:xfrm>
            <a:off x="7112000" y="2971800"/>
            <a:ext cx="873125" cy="505607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900"/>
              <a:t>i-PLATS</a:t>
            </a:r>
          </a:p>
          <a:p>
            <a:pPr algn="ctr"/>
            <a:r>
              <a:rPr kumimoji="1" lang="ja-JP" altLang="en-US" sz="900"/>
              <a:t>売上実績</a:t>
            </a:r>
            <a:endParaRPr kumimoji="1" lang="en-US" altLang="ja-JP" sz="900"/>
          </a:p>
        </xdr:txBody>
      </xdr:sp>
    </xdr:grpSp>
    <xdr:clientData/>
  </xdr:twoCellAnchor>
  <xdr:twoCellAnchor>
    <xdr:from>
      <xdr:col>13</xdr:col>
      <xdr:colOff>133551</xdr:colOff>
      <xdr:row>50</xdr:row>
      <xdr:rowOff>43241</xdr:rowOff>
    </xdr:from>
    <xdr:to>
      <xdr:col>18</xdr:col>
      <xdr:colOff>95529</xdr:colOff>
      <xdr:row>52</xdr:row>
      <xdr:rowOff>7247</xdr:rowOff>
    </xdr:to>
    <xdr:cxnSp macro="">
      <xdr:nvCxnSpPr>
        <xdr:cNvPr id="203" name="コネクタ: カギ線 202">
          <a:extLst>
            <a:ext uri="{FF2B5EF4-FFF2-40B4-BE49-F238E27FC236}">
              <a16:creationId xmlns:a16="http://schemas.microsoft.com/office/drawing/2014/main" id="{B2BF6777-6978-CA30-249A-F817096E6E14}"/>
            </a:ext>
          </a:extLst>
        </xdr:cNvPr>
        <xdr:cNvCxnSpPr>
          <a:stCxn id="198" idx="3"/>
          <a:endCxn id="206" idx="1"/>
        </xdr:cNvCxnSpPr>
      </xdr:nvCxnSpPr>
      <xdr:spPr>
        <a:xfrm>
          <a:off x="2901404" y="9041565"/>
          <a:ext cx="1026537" cy="322594"/>
        </a:xfrm>
        <a:prstGeom prst="bentConnector2">
          <a:avLst/>
        </a:prstGeom>
        <a:ln w="12700"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87742</xdr:colOff>
      <xdr:row>44</xdr:row>
      <xdr:rowOff>87742</xdr:rowOff>
    </xdr:from>
    <xdr:to>
      <xdr:col>12</xdr:col>
      <xdr:colOff>205932</xdr:colOff>
      <xdr:row>45</xdr:row>
      <xdr:rowOff>154816</xdr:rowOff>
    </xdr:to>
    <xdr:sp macro="" textlink="">
      <xdr:nvSpPr>
        <xdr:cNvPr id="204" name="フローチャート: 端子 203">
          <a:extLst>
            <a:ext uri="{FF2B5EF4-FFF2-40B4-BE49-F238E27FC236}">
              <a16:creationId xmlns:a16="http://schemas.microsoft.com/office/drawing/2014/main" id="{DBCEACC3-D43A-35B5-13B7-A287E4EAE24C}"/>
            </a:ext>
          </a:extLst>
        </xdr:cNvPr>
        <xdr:cNvSpPr/>
      </xdr:nvSpPr>
      <xdr:spPr>
        <a:xfrm>
          <a:off x="2003948" y="8010301"/>
          <a:ext cx="756925" cy="246368"/>
        </a:xfrm>
        <a:prstGeom prst="flowChartTermina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開始</a:t>
          </a:r>
        </a:p>
      </xdr:txBody>
    </xdr:sp>
    <xdr:clientData/>
  </xdr:twoCellAnchor>
  <xdr:twoCellAnchor>
    <xdr:from>
      <xdr:col>15</xdr:col>
      <xdr:colOff>93381</xdr:colOff>
      <xdr:row>52</xdr:row>
      <xdr:rowOff>7247</xdr:rowOff>
    </xdr:from>
    <xdr:to>
      <xdr:col>21</xdr:col>
      <xdr:colOff>22559</xdr:colOff>
      <xdr:row>55</xdr:row>
      <xdr:rowOff>140682</xdr:rowOff>
    </xdr:to>
    <xdr:grpSp>
      <xdr:nvGrpSpPr>
        <xdr:cNvPr id="205" name="グループ化 204">
          <a:extLst>
            <a:ext uri="{FF2B5EF4-FFF2-40B4-BE49-F238E27FC236}">
              <a16:creationId xmlns:a16="http://schemas.microsoft.com/office/drawing/2014/main" id="{CC9DD514-BE88-70BA-69E9-D9B76228A49D}"/>
            </a:ext>
          </a:extLst>
        </xdr:cNvPr>
        <xdr:cNvGrpSpPr/>
      </xdr:nvGrpSpPr>
      <xdr:grpSpPr>
        <a:xfrm>
          <a:off x="3179481" y="9524627"/>
          <a:ext cx="1163618" cy="682075"/>
          <a:chOff x="7001303" y="2894662"/>
          <a:chExt cx="1048892" cy="595445"/>
        </a:xfrm>
      </xdr:grpSpPr>
      <xdr:sp macro="" textlink="">
        <xdr:nvSpPr>
          <xdr:cNvPr id="206" name="フローチャート: 磁気ディスク 205">
            <a:extLst>
              <a:ext uri="{FF2B5EF4-FFF2-40B4-BE49-F238E27FC236}">
                <a16:creationId xmlns:a16="http://schemas.microsoft.com/office/drawing/2014/main" id="{2B52CAA3-01EE-9377-E727-8013DCB55CD5}"/>
              </a:ext>
            </a:extLst>
          </xdr:cNvPr>
          <xdr:cNvSpPr/>
        </xdr:nvSpPr>
        <xdr:spPr>
          <a:xfrm>
            <a:off x="7206391" y="2894662"/>
            <a:ext cx="704013" cy="534567"/>
          </a:xfrm>
          <a:prstGeom prst="flowChartMagneticDisk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800"/>
          </a:p>
        </xdr:txBody>
      </xdr:sp>
      <xdr:sp macro="" textlink="">
        <xdr:nvSpPr>
          <xdr:cNvPr id="207" name="正方形/長方形 206">
            <a:extLst>
              <a:ext uri="{FF2B5EF4-FFF2-40B4-BE49-F238E27FC236}">
                <a16:creationId xmlns:a16="http://schemas.microsoft.com/office/drawing/2014/main" id="{FB9D65D8-5EDE-1698-8A75-C9B04263DB80}"/>
              </a:ext>
            </a:extLst>
          </xdr:cNvPr>
          <xdr:cNvSpPr/>
        </xdr:nvSpPr>
        <xdr:spPr>
          <a:xfrm>
            <a:off x="7001303" y="2984500"/>
            <a:ext cx="1048892" cy="505607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900"/>
              <a:t>販売実績</a:t>
            </a:r>
          </a:p>
        </xdr:txBody>
      </xdr:sp>
    </xdr:grpSp>
    <xdr:clientData/>
  </xdr:twoCellAnchor>
  <xdr:twoCellAnchor>
    <xdr:from>
      <xdr:col>15</xdr:col>
      <xdr:colOff>171897</xdr:colOff>
      <xdr:row>57</xdr:row>
      <xdr:rowOff>53901</xdr:rowOff>
    </xdr:from>
    <xdr:to>
      <xdr:col>20</xdr:col>
      <xdr:colOff>152548</xdr:colOff>
      <xdr:row>59</xdr:row>
      <xdr:rowOff>134733</xdr:rowOff>
    </xdr:to>
    <xdr:grpSp>
      <xdr:nvGrpSpPr>
        <xdr:cNvPr id="208" name="グループ化 207">
          <a:extLst>
            <a:ext uri="{FF2B5EF4-FFF2-40B4-BE49-F238E27FC236}">
              <a16:creationId xmlns:a16="http://schemas.microsoft.com/office/drawing/2014/main" id="{7720B6DA-F95B-E779-31A9-27229C8C5EBC}"/>
            </a:ext>
          </a:extLst>
        </xdr:cNvPr>
        <xdr:cNvGrpSpPr/>
      </xdr:nvGrpSpPr>
      <xdr:grpSpPr>
        <a:xfrm>
          <a:off x="3257997" y="10485681"/>
          <a:ext cx="1009351" cy="446592"/>
          <a:chOff x="4305300" y="5730875"/>
          <a:chExt cx="1003300" cy="425450"/>
        </a:xfrm>
      </xdr:grpSpPr>
      <xdr:sp macro="" textlink="">
        <xdr:nvSpPr>
          <xdr:cNvPr id="209" name="AutoShape 49">
            <a:extLst>
              <a:ext uri="{FF2B5EF4-FFF2-40B4-BE49-F238E27FC236}">
                <a16:creationId xmlns:a16="http://schemas.microsoft.com/office/drawing/2014/main" id="{7EA0EB27-4BA8-574E-D2D9-C41057704DF9}"/>
              </a:ext>
            </a:extLst>
          </xdr:cNvPr>
          <xdr:cNvSpPr>
            <a:spLocks noChangeArrowheads="1"/>
          </xdr:cNvSpPr>
        </xdr:nvSpPr>
        <xdr:spPr bwMode="gray">
          <a:xfrm>
            <a:off x="4410075" y="5730875"/>
            <a:ext cx="876300" cy="425450"/>
          </a:xfrm>
          <a:prstGeom prst="flowChartOnlineStorage">
            <a:avLst/>
          </a:prstGeom>
          <a:solidFill>
            <a:schemeClr val="bg1"/>
          </a:solidFill>
          <a:ln w="9525" algn="ctr">
            <a:solidFill>
              <a:schemeClr val="tx1"/>
            </a:solidFill>
            <a:miter lim="800000"/>
            <a:headEnd/>
            <a:tailEnd/>
          </a:ln>
          <a:effectLst/>
        </xdr:spPr>
        <xdr:txBody>
          <a:bodyPr wrap="square" anchor="ctr"/>
          <a:lstStyle>
            <a:defPPr>
              <a:defRPr lang="ja-JP"/>
            </a:defPPr>
            <a:lvl1pPr algn="ctr" rtl="0" fontAlgn="base">
              <a:spcBef>
                <a:spcPct val="0"/>
              </a:spcBef>
              <a:spcAft>
                <a:spcPct val="0"/>
              </a:spcAft>
              <a:defRPr kumimoji="1" kern="1200">
                <a:solidFill>
                  <a:schemeClr val="tx1"/>
                </a:solidFill>
                <a:latin typeface="MS UI Gothic" panose="020B0600070205080204" pitchFamily="50" charset="-128"/>
                <a:ea typeface="MS UI Gothic" panose="020B0600070205080204" pitchFamily="50" charset="-128"/>
                <a:cs typeface="+mn-cs"/>
              </a:defRPr>
            </a:lvl1pPr>
            <a:lvl2pPr marL="457200" algn="ctr" rtl="0" fontAlgn="base">
              <a:spcBef>
                <a:spcPct val="0"/>
              </a:spcBef>
              <a:spcAft>
                <a:spcPct val="0"/>
              </a:spcAft>
              <a:defRPr kumimoji="1" kern="1200">
                <a:solidFill>
                  <a:schemeClr val="tx1"/>
                </a:solidFill>
                <a:latin typeface="MS UI Gothic" panose="020B0600070205080204" pitchFamily="50" charset="-128"/>
                <a:ea typeface="MS UI Gothic" panose="020B0600070205080204" pitchFamily="50" charset="-128"/>
                <a:cs typeface="+mn-cs"/>
              </a:defRPr>
            </a:lvl2pPr>
            <a:lvl3pPr marL="914400" algn="ctr" rtl="0" fontAlgn="base">
              <a:spcBef>
                <a:spcPct val="0"/>
              </a:spcBef>
              <a:spcAft>
                <a:spcPct val="0"/>
              </a:spcAft>
              <a:defRPr kumimoji="1" kern="1200">
                <a:solidFill>
                  <a:schemeClr val="tx1"/>
                </a:solidFill>
                <a:latin typeface="MS UI Gothic" panose="020B0600070205080204" pitchFamily="50" charset="-128"/>
                <a:ea typeface="MS UI Gothic" panose="020B0600070205080204" pitchFamily="50" charset="-128"/>
                <a:cs typeface="+mn-cs"/>
              </a:defRPr>
            </a:lvl3pPr>
            <a:lvl4pPr marL="1371600" algn="ctr" rtl="0" fontAlgn="base">
              <a:spcBef>
                <a:spcPct val="0"/>
              </a:spcBef>
              <a:spcAft>
                <a:spcPct val="0"/>
              </a:spcAft>
              <a:defRPr kumimoji="1" kern="1200">
                <a:solidFill>
                  <a:schemeClr val="tx1"/>
                </a:solidFill>
                <a:latin typeface="MS UI Gothic" panose="020B0600070205080204" pitchFamily="50" charset="-128"/>
                <a:ea typeface="MS UI Gothic" panose="020B0600070205080204" pitchFamily="50" charset="-128"/>
                <a:cs typeface="+mn-cs"/>
              </a:defRPr>
            </a:lvl4pPr>
            <a:lvl5pPr marL="1828800" algn="ctr" rtl="0" fontAlgn="base">
              <a:spcBef>
                <a:spcPct val="0"/>
              </a:spcBef>
              <a:spcAft>
                <a:spcPct val="0"/>
              </a:spcAft>
              <a:defRPr kumimoji="1" kern="1200">
                <a:solidFill>
                  <a:schemeClr val="tx1"/>
                </a:solidFill>
                <a:latin typeface="MS UI Gothic" panose="020B0600070205080204" pitchFamily="50" charset="-128"/>
                <a:ea typeface="MS UI Gothic" panose="020B0600070205080204" pitchFamily="50" charset="-128"/>
                <a:cs typeface="+mn-cs"/>
              </a:defRPr>
            </a:lvl5pPr>
            <a:lvl6pPr marL="2286000" algn="l" defTabSz="914400" rtl="0" eaLnBrk="1" latinLnBrk="0" hangingPunct="1">
              <a:defRPr kumimoji="1" kern="1200">
                <a:solidFill>
                  <a:schemeClr val="tx1"/>
                </a:solidFill>
                <a:latin typeface="MS UI Gothic" panose="020B0600070205080204" pitchFamily="50" charset="-128"/>
                <a:ea typeface="MS UI Gothic" panose="020B0600070205080204" pitchFamily="50" charset="-128"/>
                <a:cs typeface="+mn-cs"/>
              </a:defRPr>
            </a:lvl6pPr>
            <a:lvl7pPr marL="2743200" algn="l" defTabSz="914400" rtl="0" eaLnBrk="1" latinLnBrk="0" hangingPunct="1">
              <a:defRPr kumimoji="1" kern="1200">
                <a:solidFill>
                  <a:schemeClr val="tx1"/>
                </a:solidFill>
                <a:latin typeface="MS UI Gothic" panose="020B0600070205080204" pitchFamily="50" charset="-128"/>
                <a:ea typeface="MS UI Gothic" panose="020B0600070205080204" pitchFamily="50" charset="-128"/>
                <a:cs typeface="+mn-cs"/>
              </a:defRPr>
            </a:lvl7pPr>
            <a:lvl8pPr marL="3200400" algn="l" defTabSz="914400" rtl="0" eaLnBrk="1" latinLnBrk="0" hangingPunct="1">
              <a:defRPr kumimoji="1" kern="1200">
                <a:solidFill>
                  <a:schemeClr val="tx1"/>
                </a:solidFill>
                <a:latin typeface="MS UI Gothic" panose="020B0600070205080204" pitchFamily="50" charset="-128"/>
                <a:ea typeface="MS UI Gothic" panose="020B0600070205080204" pitchFamily="50" charset="-128"/>
                <a:cs typeface="+mn-cs"/>
              </a:defRPr>
            </a:lvl8pPr>
            <a:lvl9pPr marL="3657600" algn="l" defTabSz="914400" rtl="0" eaLnBrk="1" latinLnBrk="0" hangingPunct="1">
              <a:defRPr kumimoji="1" kern="1200">
                <a:solidFill>
                  <a:schemeClr val="tx1"/>
                </a:solidFill>
                <a:latin typeface="MS UI Gothic" panose="020B0600070205080204" pitchFamily="50" charset="-128"/>
                <a:ea typeface="MS UI Gothic" panose="020B0600070205080204" pitchFamily="50" charset="-128"/>
                <a:cs typeface="+mn-cs"/>
              </a:defRPr>
            </a:lvl9pPr>
          </a:lstStyle>
          <a:p>
            <a:pPr marL="0" marR="0" lvl="0" indent="0" algn="ctr" defTabSz="914400" rtl="0" eaLnBrk="1" fontAlgn="base" latinLnBrk="0" hangingPunct="1">
              <a:lnSpc>
                <a:spcPct val="100000"/>
              </a:lnSpc>
              <a:spcBef>
                <a:spcPct val="0"/>
              </a:spcBef>
              <a:spcAft>
                <a:spcPct val="0"/>
              </a:spcAft>
              <a:buClrTx/>
              <a:buSzTx/>
              <a:buFontTx/>
              <a:buNone/>
              <a:tabLst/>
              <a:defRPr/>
            </a:pPr>
            <a:endParaRPr lang="ja-JP" altLang="ja-JP" sz="800">
              <a:effectLst/>
              <a:latin typeface="+mj-ea"/>
              <a:ea typeface="+mj-ea"/>
            </a:endParaRPr>
          </a:p>
        </xdr:txBody>
      </xdr:sp>
      <xdr:sp macro="" textlink="">
        <xdr:nvSpPr>
          <xdr:cNvPr id="210" name="正方形/長方形 48">
            <a:extLst>
              <a:ext uri="{FF2B5EF4-FFF2-40B4-BE49-F238E27FC236}">
                <a16:creationId xmlns:a16="http://schemas.microsoft.com/office/drawing/2014/main" id="{957DCC30-2856-88C3-AF1D-8AD4ED4C56C0}"/>
              </a:ext>
            </a:extLst>
          </xdr:cNvPr>
          <xdr:cNvSpPr/>
        </xdr:nvSpPr>
        <xdr:spPr>
          <a:xfrm>
            <a:off x="4305300" y="5797550"/>
            <a:ext cx="1003300" cy="288528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900"/>
              <a:t>売上実績データ</a:t>
            </a:r>
          </a:p>
        </xdr:txBody>
      </xdr:sp>
    </xdr:grpSp>
    <xdr:clientData/>
  </xdr:twoCellAnchor>
  <xdr:twoCellAnchor>
    <xdr:from>
      <xdr:col>20</xdr:col>
      <xdr:colOff>152548</xdr:colOff>
      <xdr:row>58</xdr:row>
      <xdr:rowOff>92505</xdr:rowOff>
    </xdr:from>
    <xdr:to>
      <xdr:col>25</xdr:col>
      <xdr:colOff>75352</xdr:colOff>
      <xdr:row>62</xdr:row>
      <xdr:rowOff>22002</xdr:rowOff>
    </xdr:to>
    <xdr:cxnSp macro="">
      <xdr:nvCxnSpPr>
        <xdr:cNvPr id="211" name="コネクタ: カギ線 210">
          <a:extLst>
            <a:ext uri="{FF2B5EF4-FFF2-40B4-BE49-F238E27FC236}">
              <a16:creationId xmlns:a16="http://schemas.microsoft.com/office/drawing/2014/main" id="{C03561E3-86F0-2B3A-7889-76B626DBF0A7}"/>
            </a:ext>
          </a:extLst>
        </xdr:cNvPr>
        <xdr:cNvCxnSpPr>
          <a:stCxn id="210" idx="3"/>
          <a:endCxn id="201" idx="1"/>
        </xdr:cNvCxnSpPr>
      </xdr:nvCxnSpPr>
      <xdr:spPr>
        <a:xfrm>
          <a:off x="4410783" y="10525181"/>
          <a:ext cx="987363" cy="646674"/>
        </a:xfrm>
        <a:prstGeom prst="bentConnector2">
          <a:avLst/>
        </a:prstGeom>
        <a:ln w="12700"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95290</xdr:colOff>
      <xdr:row>55</xdr:row>
      <xdr:rowOff>68821</xdr:rowOff>
    </xdr:from>
    <xdr:to>
      <xdr:col>18</xdr:col>
      <xdr:colOff>98765</xdr:colOff>
      <xdr:row>57</xdr:row>
      <xdr:rowOff>53901</xdr:rowOff>
    </xdr:to>
    <xdr:cxnSp macro="">
      <xdr:nvCxnSpPr>
        <xdr:cNvPr id="214" name="コネクタ: カギ線 213">
          <a:extLst>
            <a:ext uri="{FF2B5EF4-FFF2-40B4-BE49-F238E27FC236}">
              <a16:creationId xmlns:a16="http://schemas.microsoft.com/office/drawing/2014/main" id="{455AFF13-BBCC-B011-1BE4-D9ACF47E2299}"/>
            </a:ext>
          </a:extLst>
        </xdr:cNvPr>
        <xdr:cNvCxnSpPr>
          <a:stCxn id="206" idx="3"/>
          <a:endCxn id="209" idx="0"/>
        </xdr:cNvCxnSpPr>
      </xdr:nvCxnSpPr>
      <xdr:spPr>
        <a:xfrm rot="16200000" flipH="1">
          <a:off x="3757606" y="10133711"/>
          <a:ext cx="343668" cy="3475"/>
        </a:xfrm>
        <a:prstGeom prst="bentConnector3">
          <a:avLst>
            <a:gd name="adj1" fmla="val 50000"/>
          </a:avLst>
        </a:prstGeom>
        <a:ln w="12700"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38253</xdr:colOff>
      <xdr:row>51</xdr:row>
      <xdr:rowOff>142500</xdr:rowOff>
    </xdr:from>
    <xdr:to>
      <xdr:col>11</xdr:col>
      <xdr:colOff>43240</xdr:colOff>
      <xdr:row>68</xdr:row>
      <xdr:rowOff>129767</xdr:rowOff>
    </xdr:to>
    <xdr:cxnSp macro="">
      <xdr:nvCxnSpPr>
        <xdr:cNvPr id="219" name="直線矢印コネクタ 27">
          <a:extLst>
            <a:ext uri="{FF2B5EF4-FFF2-40B4-BE49-F238E27FC236}">
              <a16:creationId xmlns:a16="http://schemas.microsoft.com/office/drawing/2014/main" id="{743180E5-0E74-64AE-DE7E-7F2BC1333AC6}"/>
            </a:ext>
          </a:extLst>
        </xdr:cNvPr>
        <xdr:cNvCxnSpPr>
          <a:cxnSpLocks/>
          <a:stCxn id="199" idx="2"/>
          <a:endCxn id="220" idx="0"/>
        </xdr:cNvCxnSpPr>
      </xdr:nvCxnSpPr>
      <xdr:spPr>
        <a:xfrm>
          <a:off x="2380282" y="9320118"/>
          <a:ext cx="4987" cy="2855973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85838</xdr:colOff>
      <xdr:row>68</xdr:row>
      <xdr:rowOff>125957</xdr:rowOff>
    </xdr:from>
    <xdr:to>
      <xdr:col>12</xdr:col>
      <xdr:colOff>207838</xdr:colOff>
      <xdr:row>70</xdr:row>
      <xdr:rowOff>17547</xdr:rowOff>
    </xdr:to>
    <xdr:sp macro="" textlink="">
      <xdr:nvSpPr>
        <xdr:cNvPr id="220" name="フローチャート: 端子 219">
          <a:extLst>
            <a:ext uri="{FF2B5EF4-FFF2-40B4-BE49-F238E27FC236}">
              <a16:creationId xmlns:a16="http://schemas.microsoft.com/office/drawing/2014/main" id="{6E54477A-4D72-E5DA-D8C1-73A7449FE558}"/>
            </a:ext>
          </a:extLst>
        </xdr:cNvPr>
        <xdr:cNvSpPr/>
      </xdr:nvSpPr>
      <xdr:spPr>
        <a:xfrm>
          <a:off x="2002044" y="12172281"/>
          <a:ext cx="760735" cy="250178"/>
        </a:xfrm>
        <a:prstGeom prst="flowChartTermina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終了</a:t>
          </a:r>
        </a:p>
      </xdr:txBody>
    </xdr:sp>
    <xdr:clientData/>
  </xdr:twoCellAnchor>
  <xdr:twoCellAnchor>
    <xdr:from>
      <xdr:col>1</xdr:col>
      <xdr:colOff>858</xdr:colOff>
      <xdr:row>56</xdr:row>
      <xdr:rowOff>7622</xdr:rowOff>
    </xdr:from>
    <xdr:to>
      <xdr:col>51</xdr:col>
      <xdr:colOff>4762</xdr:colOff>
      <xdr:row>67</xdr:row>
      <xdr:rowOff>11206</xdr:rowOff>
    </xdr:to>
    <xdr:sp macro="" textlink="">
      <xdr:nvSpPr>
        <xdr:cNvPr id="223" name="正方形/長方形 222">
          <a:extLst>
            <a:ext uri="{FF2B5EF4-FFF2-40B4-BE49-F238E27FC236}">
              <a16:creationId xmlns:a16="http://schemas.microsoft.com/office/drawing/2014/main" id="{226152D3-1077-A1B6-F99A-4D233C6AC82D}"/>
            </a:ext>
          </a:extLst>
        </xdr:cNvPr>
        <xdr:cNvSpPr/>
      </xdr:nvSpPr>
      <xdr:spPr>
        <a:xfrm>
          <a:off x="215171" y="10156510"/>
          <a:ext cx="10719529" cy="1813334"/>
        </a:xfrm>
        <a:prstGeom prst="rect">
          <a:avLst/>
        </a:prstGeom>
        <a:solidFill>
          <a:srgbClr val="99FF99">
            <a:alpha val="10196"/>
          </a:srgbClr>
        </a:solidFill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algn="l"/>
          <a:r>
            <a:rPr kumimoji="1" lang="ja-JP" altLang="en-US" sz="1800">
              <a:solidFill>
                <a:srgbClr val="FF0000"/>
              </a:solidFill>
            </a:rPr>
            <a:t>外部システムで実施</a:t>
          </a:r>
        </a:p>
      </xdr:txBody>
    </xdr:sp>
    <xdr:clientData/>
  </xdr:twoCellAnchor>
  <xdr:twoCellAnchor>
    <xdr:from>
      <xdr:col>2</xdr:col>
      <xdr:colOff>0</xdr:colOff>
      <xdr:row>43</xdr:row>
      <xdr:rowOff>174783</xdr:rowOff>
    </xdr:from>
    <xdr:to>
      <xdr:col>49</xdr:col>
      <xdr:colOff>214311</xdr:colOff>
      <xdr:row>71</xdr:row>
      <xdr:rowOff>0</xdr:rowOff>
    </xdr:to>
    <xdr:sp macro="" textlink="">
      <xdr:nvSpPr>
        <xdr:cNvPr id="5" name="正方形/長方形 4">
          <a:extLst>
            <a:ext uri="{FF2B5EF4-FFF2-40B4-BE49-F238E27FC236}">
              <a16:creationId xmlns:a16="http://schemas.microsoft.com/office/drawing/2014/main" id="{6226E5C0-C3C6-F850-6127-92DDC2FB2479}"/>
            </a:ext>
          </a:extLst>
        </xdr:cNvPr>
        <xdr:cNvSpPr/>
      </xdr:nvSpPr>
      <xdr:spPr>
        <a:xfrm>
          <a:off x="428625" y="7890033"/>
          <a:ext cx="10286999" cy="4825842"/>
        </a:xfrm>
        <a:prstGeom prst="rect">
          <a:avLst/>
        </a:prstGeom>
        <a:solidFill>
          <a:schemeClr val="bg1">
            <a:lumMod val="75000"/>
            <a:alpha val="70000"/>
          </a:schemeClr>
        </a:solidFill>
        <a:ln>
          <a:solidFill>
            <a:schemeClr val="bg1">
              <a:lumMod val="50000"/>
            </a:schemeClr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2000" b="1" kern="1200">
              <a:solidFill>
                <a:srgbClr val="002060"/>
              </a:solidFill>
            </a:rPr>
            <a:t>FO</a:t>
          </a:r>
          <a:r>
            <a:rPr kumimoji="1" lang="ja-JP" altLang="en-US" sz="2000" b="1" kern="1200">
              <a:solidFill>
                <a:srgbClr val="002060"/>
              </a:solidFill>
            </a:rPr>
            <a:t>から</a:t>
          </a:r>
          <a:r>
            <a:rPr kumimoji="1" lang="en-US" altLang="ja-JP" sz="2000" b="1" kern="1200">
              <a:solidFill>
                <a:srgbClr val="002060"/>
              </a:solidFill>
            </a:rPr>
            <a:t>i-PLATS</a:t>
          </a:r>
          <a:r>
            <a:rPr kumimoji="1" lang="ja-JP" altLang="en-US" sz="2000" b="1" kern="1200">
              <a:solidFill>
                <a:srgbClr val="002060"/>
              </a:solidFill>
            </a:rPr>
            <a:t>への販売実績データ連携は実施しない可能性があるため、グレーアウトする。</a:t>
          </a:r>
          <a:endParaRPr kumimoji="1" lang="en-US" altLang="ja-JP" sz="2000" b="1" kern="1200">
            <a:solidFill>
              <a:srgbClr val="002060"/>
            </a:solidFill>
          </a:endParaRPr>
        </a:p>
        <a:p>
          <a:pPr algn="ctr"/>
          <a:r>
            <a:rPr kumimoji="1" lang="ja-JP" altLang="en-US" sz="2000" b="1" kern="1200">
              <a:solidFill>
                <a:srgbClr val="002060"/>
              </a:solidFill>
            </a:rPr>
            <a:t>確定次第行ごと削除予定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ww1\D-&#12452;&#12531;&#12501;&#12521;\WINDOWS\Temporary%20Internet%20Files\Content.IE5\LLTWW692\file002(2)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jbsbpos1-my.sharepoint.com/personal/kitaim_jbs_com/Documents/&#12487;&#12473;&#12463;&#12488;&#12483;&#12503;/pc&#12304;&#12469;&#12531;&#12473;&#12479;&#12540;&#12305;ToBe&#26989;&#21209;&#19968;&#35239;.xlsx" TargetMode="External"/><Relationship Id="rId1" Type="http://schemas.openxmlformats.org/officeDocument/2006/relationships/externalLinkPath" Target="pc&#12304;&#12469;&#12531;&#12473;&#12479;&#12540;&#12305;ToBe&#26989;&#21209;&#19968;&#35239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１．InfoCube (YKCH0010)案１"/>
      <sheetName val="１．InfoCube (YKCH0010) 案２"/>
      <sheetName val="社員リスト"/>
      <sheetName val="リストマスタ"/>
      <sheetName val="テンプレ"/>
      <sheetName val="Sheet1"/>
      <sheetName val="型TB"/>
      <sheetName val="リスト"/>
      <sheetName val="リスト値補助シート"/>
      <sheetName val="List"/>
      <sheetName val="項目一覧(SAP版)"/>
      <sheetName val="Sheet2"/>
      <sheetName val="file002(2)"/>
      <sheetName val="複写ｼｰﾄ"/>
      <sheetName val="TJ6P002Z(チェック項目一覧)"/>
      <sheetName val="値リスト"/>
      <sheetName val="現行DB一覧2(CT)"/>
      <sheetName val="レポートレイアウト"/>
      <sheetName val="ＤＩＡＳ拡張ＰＪ　2013年"/>
      <sheetName val="予算シート確認"/>
      <sheetName val="原価要素"/>
      <sheetName val="Cover_Cheet"/>
      <sheetName val="WBS一覧"/>
      <sheetName val="各社別課金"/>
      <sheetName val="期首予算対比"/>
      <sheetName val="入力規則(リスト)"/>
      <sheetName val="Cover_Cheet (変更前)"/>
      <sheetName val="Cover_Cheet（変更後）"/>
      <sheetName val="領域マスタ"/>
      <sheetName val="Cover_Cheet（実績＋落ち着き）"/>
      <sheetName val="master"/>
      <sheetName val="参考)日付関連"/>
      <sheetName val="参照TBL)開発対象一覧"/>
      <sheetName val="マスタ"/>
      <sheetName val="表紙"/>
      <sheetName val="シナリオ"/>
      <sheetName val="シナリオ別進捗(代表6社以外)"/>
      <sheetName val="移動タイプ"/>
      <sheetName val="予算案"/>
      <sheetName val="リスト値"/>
      <sheetName val="SHT_HYOKA"/>
      <sheetName val="SHT_HANNBAI"/>
      <sheetName val="SHT_TUUKA"/>
      <sheetName val="SHT_TANI"/>
      <sheetName val="SHT_JYTRYU"/>
      <sheetName val="SHT_DENPYO"/>
      <sheetName val="選択リスト"/>
      <sheetName val="桁数チェック用"/>
      <sheetName val="単位選択値"/>
      <sheetName val="販売組織選択値"/>
      <sheetName val="受注理由選択値"/>
      <sheetName val="参考情報"/>
      <sheetName val="REF"/>
      <sheetName val="ePS不具合管理・変更管理"/>
      <sheetName val="（凡例）"/>
      <sheetName val="Sheet3"/>
      <sheetName val="プロパティ"/>
      <sheetName val="ms"/>
      <sheetName val="設定値シート"/>
      <sheetName val="イメージ"/>
      <sheetName val="work"/>
      <sheetName val="会社コード変換(編集)"/>
      <sheetName val="管理シート"/>
      <sheetName val="コード値リスト"/>
      <sheetName val="プロセス一覧"/>
      <sheetName val="項目マッピング(サンプル)"/>
      <sheetName val="Estimator Base"/>
      <sheetName val="設定シート"/>
      <sheetName val="ステータス"/>
      <sheetName val="Dic"/>
      <sheetName val="時間Track"/>
      <sheetName val="Team"/>
      <sheetName val="リスト (2)"/>
      <sheetName val="外部品目グループ"/>
      <sheetName val="研究室・設計室"/>
      <sheetName val="利益センタ"/>
      <sheetName val="機能設計書 （内容説明）"/>
      <sheetName val="リスト情報"/>
      <sheetName val="八月份CO号"/>
      <sheetName val="supplement"/>
      <sheetName val="Lov"/>
      <sheetName val="Pattern Definition"/>
      <sheetName val="コード値(コード順) "/>
      <sheetName val="コード値（標準）"/>
      <sheetName val="別紙（自動決済分割）"/>
      <sheetName val="UC0010"/>
      <sheetName val="もと"/>
      <sheetName val="リストデータ設定シート"/>
      <sheetName val="管理用"/>
      <sheetName val="属性一覧"/>
      <sheetName val="ステータス・進捗"/>
      <sheetName val="プルダウンリスト"/>
      <sheetName val="元ネタ"/>
      <sheetName val="XXXX"/>
      <sheetName val="0915"/>
      <sheetName val="0926"/>
      <sheetName val="0937"/>
      <sheetName val="0974"/>
      <sheetName val="0991"/>
      <sheetName val="0992"/>
      <sheetName val="１．InfoCube_(YKCH0010)案１"/>
      <sheetName val="１．InfoCube_(YKCH0010)_案２"/>
      <sheetName val="Cover_Cheet_(変更前)"/>
      <sheetName val="Status"/>
      <sheetName val="Delete Prohibition"/>
      <sheetName val="Config"/>
      <sheetName val="(Status Definition)"/>
      <sheetName val="記入方法"/>
      <sheetName val="コード表"/>
      <sheetName val="datalist"/>
      <sheetName val="粗利"/>
      <sheetName val="予約想定ﾚｰﾄ(USD)"/>
      <sheetName val="MAIN"/>
      <sheetName val="KENOGARD"/>
      <sheetName val="GRAFICOS"/>
      <sheetName val="SCC+VBC"/>
      <sheetName val="プラント情報"/>
      <sheetName val="예금명세"/>
      <sheetName val="Interface_List"/>
      <sheetName val="備考"/>
      <sheetName val="支払条件（仕入先）"/>
      <sheetName val="抜け"/>
      <sheetName val="BCP_状況"/>
      <sheetName val="OTSearchingReport1"/>
      <sheetName val="コンディション一覧(経理)"/>
      <sheetName val="プロンプト一覧"/>
      <sheetName val="#REF"/>
      <sheetName val="納品対象外 セレクトデータ"/>
      <sheetName val="サマリ"/>
      <sheetName val="ＩＰアドレス定義"/>
      <sheetName val="諸定義&amp;保守"/>
      <sheetName val="調査シート"/>
      <sheetName val="DATA"/>
      <sheetName val="項目一覧"/>
      <sheetName val="リスト（非表示）"/>
      <sheetName val="貼り付け用"/>
      <sheetName val="作業者→ロール"/>
      <sheetName val="内部マスタテーブル"/>
      <sheetName val="テーマ別"/>
      <sheetName val="区分"/>
      <sheetName val="☆管理項目定義"/>
      <sheetName val="Package"/>
      <sheetName val="Param"/>
      <sheetName val="ロール一覧"/>
      <sheetName val="リリース依頼書"/>
      <sheetName val="選択肢"/>
      <sheetName val="ＶＢＡ定義"/>
      <sheetName val="TBL"/>
      <sheetName val="入力リスト"/>
      <sheetName val="選択値"/>
      <sheetName val="指定可能値"/>
      <sheetName val="入力可能値"/>
      <sheetName val="選択可能値"/>
      <sheetName val="3.指定可能値"/>
      <sheetName val="データリスト"/>
      <sheetName val="コード値変換リスト(※編集不可)"/>
      <sheetName val="items"/>
      <sheetName val="件数集計"/>
      <sheetName val="件数"/>
      <sheetName val="Vali"/>
      <sheetName val="WORK引用"/>
      <sheetName val="リスト定義"/>
      <sheetName val="パラメータ"/>
      <sheetName val="パラメータ定義"/>
      <sheetName val="※システム管理台帳"/>
      <sheetName val="更新履歴"/>
      <sheetName val="その他マスタ"/>
      <sheetName val="資格・役職マスタ"/>
      <sheetName val="作業場所マスタ"/>
      <sheetName val="システム一覧"/>
      <sheetName val="資産クラス"/>
      <sheetName val="削除しない "/>
      <sheetName val="Ｇ名"/>
      <sheetName val="▼基礎データ＆集計シート"/>
      <sheetName val="□予推差・予実差（事業部（詳細））"/>
      <sheetName val="□リスト"/>
      <sheetName val="請求 支払日付偏差の決定規則"/>
      <sheetName val="請求サイクル(定期)"/>
      <sheetName val="新内部マスタテーブル"/>
      <sheetName val="原価要素マスタ"/>
      <sheetName val="2000"/>
      <sheetName val="2001"/>
      <sheetName val="凡例"/>
      <sheetName val="【編集禁止】MST"/>
      <sheetName val="Value"/>
      <sheetName val="【2】変更履歴"/>
      <sheetName val="Cover"/>
      <sheetName val="Change History"/>
      <sheetName val="UT-Core"/>
      <sheetName val="Test Scenario"/>
      <sheetName val="Execution Result(1-1)"/>
      <sheetName val="Execution Result(1-2)"/>
      <sheetName val="Execution Result(1-3)"/>
      <sheetName val="Execution Result(1-4)"/>
      <sheetName val="Execution Result(1-5)"/>
      <sheetName val="Execution Result(1-6)"/>
      <sheetName val="Execution Result(1-7)"/>
      <sheetName val="Execution Result(1-8-1)"/>
      <sheetName val="Execution Result(1-8-2)"/>
      <sheetName val="Execution Result(1-9)"/>
      <sheetName val="Execution Result(1-10)"/>
      <sheetName val="Execution Result(1-11)"/>
      <sheetName val="Execution Result(1-12-1)"/>
      <sheetName val="Execution Result(1-12-2)"/>
      <sheetName val="TechSpec"/>
      <sheetName val="定義"/>
      <sheetName val="407_408_409条件グループ234"/>
      <sheetName val="特定業種区分"/>
      <sheetName val="売上組織"/>
      <sheetName val="参照指標"/>
      <sheetName val="向先分類"/>
      <sheetName val="1084_顧客グループ"/>
      <sheetName val="設定"/>
      <sheetName val="Resource"/>
      <sheetName val="サイトコード・名"/>
      <sheetName val="課題管理表"/>
      <sheetName val="小数点の扱い"/>
      <sheetName val="計算方法補足"/>
      <sheetName val="課題集計"/>
      <sheetName val="Promotion"/>
      <sheetName val="Day master"/>
      <sheetName val="Pricing tool"/>
      <sheetName val="Category list"/>
      <sheetName val="list_old"/>
      <sheetName val="国コード"/>
      <sheetName val="（参考）仕入先支払条件_支払方法"/>
      <sheetName val="（参考）得意先支払条件_支払方法"/>
      <sheetName val="（参考）銀行コード"/>
      <sheetName val="（参照）連続番号&amp;支払期日シフトフラグ"/>
      <sheetName val="（参考）国コード"/>
      <sheetName val="Sheet4"/>
      <sheetName val=" 【補足】選択項目"/>
      <sheetName val="2.Pull-down List"/>
      <sheetName val="Pull-down List"/>
      <sheetName val="役職マスタ"/>
      <sheetName val="SAP user request_開発検証SAPユーザー申請書"/>
      <sheetName val="Selection_value"/>
      <sheetName val="保管場所リスト"/>
      <sheetName val="Document Type"/>
      <sheetName val="Acc code"/>
      <sheetName val="Tax Code"/>
      <sheetName val="Proft Ctr"/>
      <sheetName val="Cost Ctr"/>
      <sheetName val="１．InfoCube_(YKCH0010)案１1"/>
      <sheetName val="１．InfoCube_(YKCH0010)_案２1"/>
      <sheetName val="Cover_Cheet_(変更前)1"/>
      <sheetName val="Estimator_Base"/>
      <sheetName val="リスト_(2)"/>
      <sheetName val="機能設計書_（内容説明）"/>
      <sheetName val="Pattern_Definition"/>
      <sheetName val="コード値(コード順)_"/>
      <sheetName val="Delete_Prohibition"/>
      <sheetName val="(Status_Definition)"/>
      <sheetName val="納品対象外_セレクトデータ"/>
      <sheetName val="3_指定可能値"/>
      <sheetName val="削除しない_"/>
      <sheetName val="請求_支払日付偏差の決定規則"/>
      <sheetName val="Change_History"/>
      <sheetName val="Test_Scenario"/>
      <sheetName val="Execution_Result(1-1)"/>
      <sheetName val="Execution_Result(1-2)"/>
      <sheetName val="Execution_Result(1-3)"/>
      <sheetName val="Execution_Result(1-4)"/>
      <sheetName val="Execution_Result(1-5)"/>
      <sheetName val="Execution_Result(1-6)"/>
      <sheetName val="Execution_Result(1-7)"/>
      <sheetName val="Execution_Result(1-8-1)"/>
      <sheetName val="Execution_Result(1-8-2)"/>
      <sheetName val="Execution_Result(1-9)"/>
      <sheetName val="Execution_Result(1-10)"/>
      <sheetName val="Execution_Result(1-11)"/>
      <sheetName val="Execution_Result(1-12-1)"/>
      <sheetName val="Execution_Result(1-12-2)"/>
      <sheetName val="Day_master"/>
      <sheetName val="Pricing_tool"/>
      <sheetName val="Category_list"/>
      <sheetName val="_【補足】選択項目"/>
      <sheetName val="2_Pull-down_List"/>
      <sheetName val="Pull-down_List"/>
      <sheetName val="SAP_user_request_開発検証SAPユーザー申請書"/>
      <sheetName val="入力規則"/>
      <sheetName val="削除しない"/>
      <sheetName val="参考"/>
      <sheetName val="金額フル桁得意先"/>
      <sheetName val="99.リスト（印字不要）"/>
      <sheetName val="リスト（印字不要）"/>
      <sheetName val="記載ルール"/>
      <sheetName val="項目説明"/>
      <sheetName val="system"/>
      <sheetName val="ﾘｽﾄ"/>
      <sheetName val="変換表v1.03"/>
      <sheetName val="リスト値（販物）"/>
      <sheetName val="01．整備手順"/>
      <sheetName val="リスト・ステータス"/>
      <sheetName val="_list"/>
      <sheetName val="伝票タイプリスト（経理メンテ）"/>
      <sheetName val="通貨リスト（経理メンテ）"/>
      <sheetName val="源泉徴収ＣＤリスト（経理メンテ）"/>
      <sheetName val="支払条件、支払方法リスト"/>
      <sheetName val="税リスト（経理メンテ）"/>
      <sheetName val="利益センタ・原価センタリスト（経理メンテ）"/>
      <sheetName val="cgtap90"/>
      <sheetName val="改訂履歴"/>
      <sheetName val="条件タイプ(産エネ)"/>
      <sheetName val="createdb1"/>
      <sheetName val="（ヘッダ）"/>
      <sheetName val="エビデンス (5回目)"/>
      <sheetName val="COVER PAGE"/>
      <sheetName val="Test Condition Description"/>
      <sheetName val="Doc History"/>
      <sheetName val="Source (0件)"/>
      <sheetName val="Result (0件)"/>
      <sheetName val="Source (1件)"/>
      <sheetName val="Target (1件)_ヘッダー"/>
      <sheetName val="Target (1件)_データ"/>
      <sheetName val="Result (1件)"/>
      <sheetName val="Source (複数件)"/>
      <sheetName val="Target (複数件)_ヘッダー"/>
      <sheetName val="Target (複数件)_データ"/>
      <sheetName val="Result (複数件)"/>
      <sheetName val="Source (複数件2)"/>
      <sheetName val="Target (複数件2)_ヘッダー"/>
      <sheetName val="Target (複数件2)_データ"/>
      <sheetName val="Result (複数件2)"/>
      <sheetName val="Source (バリデーション)"/>
      <sheetName val="Result (バリデーション)"/>
      <sheetName val="Data Type Format"/>
      <sheetName val="MTT Change History"/>
      <sheetName val="SingleByte"/>
      <sheetName val="DoubleByte"/>
      <sheetName val="DCONFIG"/>
      <sheetName val="SETUP_HIDDEN"/>
      <sheetName val="変更履歴"/>
      <sheetName val="テストシナリオ"/>
      <sheetName val="シナリオ共通テストデータ"/>
      <sheetName val="参考(現行データからの抽出SQL)"/>
      <sheetName val="実行結果(シナリオID-1)"/>
      <sheetName val="実行結果(シナリオID-2"/>
      <sheetName val="実行結果(シナリオID-3)"/>
      <sheetName val="実行結果(シナリオID-4)"/>
      <sheetName val="UT-Tech"/>
      <sheetName val="テストコンディション"/>
      <sheetName val="実行結果"/>
      <sheetName val="History"/>
      <sheetName val="実行結果(1)"/>
      <sheetName val="実行結果(2),(9)"/>
      <sheetName val="実行結果(3),(7)"/>
      <sheetName val="実行結果(4)"/>
      <sheetName val="実行結果(5)"/>
      <sheetName val="実行結果(6)"/>
      <sheetName val="実行結果(8),(10),(11)"/>
      <sheetName val="テストコンディション (2)"/>
      <sheetName val="実行結果(2)"/>
      <sheetName val="実行結果(3)"/>
      <sheetName val="2004上"/>
      <sheetName val="SCE"/>
      <sheetName val="2016損益予算最終版"/>
      <sheetName val="実行結果(ADRC)"/>
      <sheetName val="実行結果(VBSN)"/>
      <sheetName val="一覧"/>
      <sheetName val="実行結果(未完了)"/>
      <sheetName val="SIR10942パターン一覧"/>
      <sheetName val="Revision History"/>
      <sheetName val="Function Description"/>
      <sheetName val="Selection Screen Specifications"/>
      <sheetName val="Selection Screen(Belize)"/>
      <sheetName val="InputOutput file (Flat)"/>
      <sheetName val="InputOutput file (multi)"/>
      <sheetName val="App Log"/>
      <sheetName val="Appendix(Fixed Value)"/>
      <sheetName val="Appendix(xxxx)"/>
      <sheetName val="Legend"/>
      <sheetName val="settings"/>
      <sheetName val="delta"/>
      <sheetName val="Mapping Definition"/>
      <sheetName val="Appendix(エラーの出力)"/>
      <sheetName val="Observations"/>
      <sheetName val="Selection Screen"/>
      <sheetName val="Mapping Definition(ZPPT1008)"/>
      <sheetName val="Mapping Definition(LCSUS)"/>
      <sheetName val="API Specification"/>
      <sheetName val="IDOC Specifiction"/>
      <sheetName val="Appendix(IF target period)"/>
      <sheetName val="プルダウン用"/>
      <sheetName val="フラグ"/>
      <sheetName val="担当者マスタ"/>
      <sheetName val="選択項目"/>
      <sheetName val="List(非表示)"/>
      <sheetName val="CoMPASS支払条件リスト"/>
      <sheetName val="List Value"/>
      <sheetName val="リスト内容"/>
      <sheetName val="めも"/>
      <sheetName val="ＷＯＲＫ"/>
      <sheetName val="サービス（大）"/>
      <sheetName val="課金先"/>
      <sheetName val="プロジェクト（BI用）マスタ"/>
      <sheetName val="ソリューションマスタ"/>
      <sheetName val="来週並行配信"/>
      <sheetName val="来週並行配信終了"/>
      <sheetName val="来週業務切替"/>
      <sheetName val="ボトラー全体"/>
      <sheetName val="AC情報管理表"/>
      <sheetName val="共配センターマスタ（共通）"/>
      <sheetName val="チェック表"/>
      <sheetName val="CCEJ_0808"/>
      <sheetName val="部門一覧"/>
      <sheetName val="参照"/>
      <sheetName val="組織ロール"/>
      <sheetName val="00-11-アクションタイプ"/>
      <sheetName val="データ入力一覧"/>
      <sheetName val=""/>
      <sheetName val="データ入力規則"/>
      <sheetName val="入力項目"/>
      <sheetName val="MKPF(4.6C)"/>
      <sheetName val="実行結果(7)"/>
      <sheetName val="実行結果(8)"/>
      <sheetName val="実行結果(9)"/>
      <sheetName val="テストコンディション "/>
      <sheetName val="テスト実行結果 1"/>
      <sheetName val="テスト実行結果 2"/>
      <sheetName val="テスト実行結果 3"/>
      <sheetName val="テスト実行結果 4"/>
      <sheetName val="テスト実行結果 5"/>
      <sheetName val="テスト実行結果 6"/>
      <sheetName val="実行結果_1"/>
      <sheetName val="実行結果_2"/>
      <sheetName val="実行結果 (3)"/>
      <sheetName val="実行結果_3"/>
      <sheetName val="実行結果_4"/>
      <sheetName val="実行結果_5"/>
      <sheetName val="実行結果_6"/>
      <sheetName val="実行結果_7"/>
      <sheetName val="01_システム機能要件"/>
      <sheetName val="02_システム関連図・IO関連図・処理フロー・画面フロー"/>
      <sheetName val="03_機能詳細説明"/>
      <sheetName val="04_画面レイアウト(選択画面)"/>
      <sheetName val="09_IF項目定義(納入明細)"/>
      <sheetName val="09_IF項目定義(諸掛明細) "/>
      <sheetName val="補足資料_【旧昭シ】参照番号"/>
      <sheetName val="補足資料_【Day2後】参照番号"/>
      <sheetName val="【記載例】01_システム機能要件"/>
      <sheetName val="【記載例（新製造基地）】01_システム機能要件"/>
      <sheetName val="【記載例】03_機能詳細説明"/>
      <sheetName val="【記載例】04_画面レイアウト(Dynpro)"/>
      <sheetName val="04_画面レイアウト (2)"/>
      <sheetName val="【記載例】05_レポート・帳票レイアウト(画面)"/>
      <sheetName val="【記載例】05_レポート・帳票レイアウト（紙)"/>
      <sheetName val="【記載例】06_帳票定義（横）"/>
      <sheetName val="07_コールトランザクション (2)"/>
      <sheetName val="【記載例】09_IF項目定義"/>
      <sheetName val="補足_記入シート"/>
      <sheetName val="フォーマット管理"/>
      <sheetName val="集計"/>
      <sheetName val="システム機能一覧"/>
      <sheetName val="標準工数定義"/>
      <sheetName val="補足(マスタ)"/>
      <sheetName val="total-mirroring"/>
      <sheetName val="Deta"/>
      <sheetName val="期末提出"/>
      <sheetName val="拠点&amp;工程コード案"/>
      <sheetName val="集計表.XLS"/>
      <sheetName val="①得意先マスタ（一般）整備台帳"/>
      <sheetName val="TOTAL0501"/>
      <sheetName val="１．InfoCube_(YKCH0010)案１2"/>
      <sheetName val="１．InfoCube_(YKCH0010)_案２2"/>
      <sheetName val="リスト_(2)1"/>
      <sheetName val="Estimator_Base1"/>
      <sheetName val="機能設計書_（内容説明）1"/>
      <sheetName val="Pattern_Definition1"/>
      <sheetName val="コード値(コード順)_1"/>
      <sheetName val="(Status_Definition)1"/>
      <sheetName val="納品対象外_セレクトデータ1"/>
      <sheetName val="3_指定可能値1"/>
      <sheetName val="MKPF(4_6C)"/>
      <sheetName val="Cover_Cheet_(変更前)2"/>
      <sheetName val="Change_History1"/>
      <sheetName val="Test_Scenario1"/>
      <sheetName val="Execution_Result(1-1)1"/>
      <sheetName val="Execution_Result(1-2)1"/>
      <sheetName val="Execution_Result(1-3)1"/>
      <sheetName val="Execution_Result(1-4)1"/>
      <sheetName val="Execution_Result(1-5)1"/>
      <sheetName val="Execution_Result(1-6)1"/>
      <sheetName val="Execution_Result(1-7)1"/>
      <sheetName val="Execution_Result(1-8-1)1"/>
      <sheetName val="Execution_Result(1-8-2)1"/>
      <sheetName val="Execution_Result(1-9)1"/>
      <sheetName val="Execution_Result(1-10)1"/>
      <sheetName val="Execution_Result(1-11)1"/>
      <sheetName val="Execution_Result(1-12-1)1"/>
      <sheetName val="Execution_Result(1-12-2)1"/>
      <sheetName val="Delete_Prohibition1"/>
      <sheetName val="テストコンディション_"/>
      <sheetName val="テスト実行結果_1"/>
      <sheetName val="テスト実行結果_2"/>
      <sheetName val="テスト実行結果_3"/>
      <sheetName val="テスト実行結果_4"/>
      <sheetName val="テスト実行結果_5"/>
      <sheetName val="テスト実行結果_6"/>
      <sheetName val="実行結果_(3)"/>
      <sheetName val="09_IF項目定義(諸掛明細)_"/>
      <sheetName val="04_画面レイアウト_(2)"/>
      <sheetName val="07_コールトランザクション_(2)"/>
      <sheetName val="変換表v1_03"/>
      <sheetName val="エビデンス_(5回目)"/>
      <sheetName val="COVER_PAGE"/>
      <sheetName val="Test_Condition_Description"/>
      <sheetName val="Doc_History"/>
      <sheetName val="Source_(0件)"/>
      <sheetName val="Result_(0件)"/>
      <sheetName val="Source_(1件)"/>
      <sheetName val="Target_(1件)_ヘッダー"/>
      <sheetName val="Target_(1件)_データ"/>
      <sheetName val="Result_(1件)"/>
      <sheetName val="Source_(複数件)"/>
      <sheetName val="Target_(複数件)_ヘッダー"/>
      <sheetName val="Target_(複数件)_データ"/>
      <sheetName val="Result_(複数件)"/>
      <sheetName val="Source_(複数件2)"/>
      <sheetName val="Target_(複数件2)_ヘッダー"/>
      <sheetName val="Target_(複数件2)_データ"/>
      <sheetName val="Result_(複数件2)"/>
      <sheetName val="Source_(バリデーション)"/>
      <sheetName val="Result_(バリデーション)"/>
      <sheetName val="Data_Type_Format"/>
      <sheetName val="MTT_Change_History"/>
      <sheetName val="Revision_History"/>
      <sheetName val="Function_Description"/>
      <sheetName val="Selection_Screen_Specifications"/>
      <sheetName val="Selection_Screen(Belize)"/>
      <sheetName val="InputOutput_file_(Flat)"/>
      <sheetName val="InputOutput_file_(multi)"/>
      <sheetName val="App_Log"/>
      <sheetName val="Appendix(Fixed_Value)"/>
      <sheetName val="テストコンディション_(2)"/>
      <sheetName val="製品分類"/>
      <sheetName val="移行手順"/>
      <sheetName val="項目マッピング"/>
      <sheetName val="Sheet5"/>
      <sheetName val="参考資料【コード値一覧】"/>
      <sheetName val="参考資料【管理項目】"/>
      <sheetName val="データ投入手順"/>
      <sheetName val="제조원가"/>
      <sheetName val="マスター"/>
      <sheetName val="종이 시험성적서"/>
      <sheetName val="統制勘定コード"/>
      <sheetName val="F4"/>
      <sheetName val="（仮）役割分担表"/>
      <sheetName val="輸入品品名ｺｰﾄﾞ"/>
      <sheetName val="リスト参照値"/>
      <sheetName val="中カテゴリ"/>
      <sheetName val="Mapping_Definition"/>
      <sheetName val="Selection_Screen"/>
      <sheetName val="Mapping_Definition(ZPPT1008)"/>
      <sheetName val="Mapping_Definition(LCSUS)"/>
      <sheetName val="API_Specification"/>
      <sheetName val="IDOC_Specifiction"/>
      <sheetName val="Appendix(IF_target_period)"/>
      <sheetName val="List_Value"/>
      <sheetName val="定数"/>
      <sheetName val="課題ToDo一覧"/>
      <sheetName val="RequestID_List"/>
      <sheetName val="JANコード生成ツール"/>
      <sheetName val="種別サマリ"/>
      <sheetName val="依頼科目入力フォーマット"/>
      <sheetName val="難易度表"/>
      <sheetName val="タイムチャート"/>
      <sheetName val="案件一覧"/>
      <sheetName val="全体状況（本番）"/>
      <sheetName val="(リスト用)システム一覧"/>
      <sheetName val="ZMMT1073(2シート)+1073"/>
      <sheetName val="リストテンプレシート"/>
      <sheetName val="step1-3 給与項目洗い出し&amp;仮マッピング"/>
      <sheetName val="PLANT LIST"/>
      <sheetName val="区分値"/>
      <sheetName val="承認票"/>
      <sheetName val="使用する勘定一覧"/>
      <sheetName val="menu"/>
      <sheetName val="コード表 購買組織"/>
      <sheetName val="コード表 仕入先"/>
      <sheetName val="約定"/>
      <sheetName val="営業所・営業グループ"/>
      <sheetName val="PR"/>
      <sheetName val="サブシステム一覧 (2)"/>
      <sheetName val="勘定コード"/>
      <sheetName val="原価･利益センタ"/>
      <sheetName val="code"/>
      <sheetName val="得意先リスト"/>
      <sheetName val="表示項目 ﾘｽﾄ２"/>
      <sheetName val="りすと"/>
      <sheetName val="営業所マスタ"/>
      <sheetName val="３．事業本部"/>
      <sheetName val="６．業務内容（第二階層）"/>
      <sheetName val="５．事業領域（第一階層）"/>
      <sheetName val="４．事業セグメント（事業区分）"/>
      <sheetName val="２．事業所（個社管理単位）"/>
      <sheetName val="リスト（表紙）"/>
      <sheetName val="MST"/>
      <sheetName val="Reference Do not touch"/>
      <sheetName val="ステータスList"/>
      <sheetName val="プルダウンメニューリスト"/>
      <sheetName val="table_data"/>
      <sheetName val="品目分類"/>
      <sheetName val="案1(44%)"/>
      <sheetName val="ステータスレポート"/>
      <sheetName val="参照）中計戦略一覧"/>
      <sheetName val="コード"/>
      <sheetName val="SAPUI5 Specification"/>
      <sheetName val="１．InfoCube_(YKCH0010)案１3"/>
      <sheetName val="１．InfoCube_(YKCH0010)_案２3"/>
      <sheetName val="Estimator_Base2"/>
      <sheetName val="リスト_(2)2"/>
      <sheetName val="機能設計書_（内容説明）2"/>
      <sheetName val="Pattern_Definition2"/>
      <sheetName val="コード値(コード順)_2"/>
      <sheetName val="(Status_Definition)2"/>
      <sheetName val="納品対象外_セレクトデータ2"/>
      <sheetName val="3_指定可能値2"/>
      <sheetName val="Cover_Cheet_(変更前)3"/>
      <sheetName val="Change_History2"/>
      <sheetName val="Test_Scenario2"/>
      <sheetName val="Execution_Result(1-1)2"/>
      <sheetName val="Execution_Result(1-2)2"/>
      <sheetName val="Execution_Result(1-3)2"/>
      <sheetName val="Execution_Result(1-4)2"/>
      <sheetName val="Execution_Result(1-5)2"/>
      <sheetName val="Execution_Result(1-6)2"/>
      <sheetName val="Execution_Result(1-7)2"/>
      <sheetName val="Execution_Result(1-8-1)2"/>
      <sheetName val="Execution_Result(1-8-2)2"/>
      <sheetName val="Execution_Result(1-9)2"/>
      <sheetName val="Execution_Result(1-10)2"/>
      <sheetName val="Execution_Result(1-11)2"/>
      <sheetName val="Execution_Result(1-12-1)2"/>
      <sheetName val="Execution_Result(1-12-2)2"/>
      <sheetName val="Delete_Prohibition2"/>
      <sheetName val="Day_master1"/>
      <sheetName val="Pricing_tool1"/>
      <sheetName val="Category_list1"/>
      <sheetName val="変換表v1_031"/>
      <sheetName val="テストコンディション_(2)1"/>
      <sheetName val="エビデンス_(5回目)1"/>
      <sheetName val="COVER_PAGE1"/>
      <sheetName val="Test_Condition_Description1"/>
      <sheetName val="Doc_History1"/>
      <sheetName val="Source_(0件)1"/>
      <sheetName val="Result_(0件)1"/>
      <sheetName val="Source_(1件)1"/>
      <sheetName val="Target_(1件)_ヘッダー1"/>
      <sheetName val="Target_(1件)_データ1"/>
      <sheetName val="Result_(1件)1"/>
      <sheetName val="Source_(複数件)1"/>
      <sheetName val="Target_(複数件)_ヘッダー1"/>
      <sheetName val="Target_(複数件)_データ1"/>
      <sheetName val="Result_(複数件)1"/>
      <sheetName val="Source_(複数件2)1"/>
      <sheetName val="Target_(複数件2)_ヘッダー1"/>
      <sheetName val="Target_(複数件2)_データ1"/>
      <sheetName val="Result_(複数件2)1"/>
      <sheetName val="Source_(バリデーション)1"/>
      <sheetName val="Result_(バリデーション)1"/>
      <sheetName val="Data_Type_Format1"/>
      <sheetName val="MTT_Change_History1"/>
      <sheetName val="Revision_History1"/>
      <sheetName val="Function_Description1"/>
      <sheetName val="Selection_Screen_Specification1"/>
      <sheetName val="Selection_Screen(Belize)1"/>
      <sheetName val="InputOutput_file_(Flat)1"/>
      <sheetName val="InputOutput_file_(multi)1"/>
      <sheetName val="App_Log1"/>
      <sheetName val="Appendix(Fixed_Value)1"/>
      <sheetName val="List_Value1"/>
      <sheetName val="Mapping_Definition1"/>
      <sheetName val="Selection_Screen1"/>
      <sheetName val="Mapping_Definition(ZPPT1008)1"/>
      <sheetName val="Mapping_Definition(LCSUS)1"/>
      <sheetName val="API_Specification1"/>
      <sheetName val="IDOC_Specifiction1"/>
      <sheetName val="Appendix(IF_target_period)1"/>
      <sheetName val="MKPF(4_6C)1"/>
      <sheetName val="テストコンディション_1"/>
      <sheetName val="テスト実行結果_11"/>
      <sheetName val="テスト実行結果_21"/>
      <sheetName val="テスト実行結果_31"/>
      <sheetName val="テスト実行結果_41"/>
      <sheetName val="テスト実行結果_51"/>
      <sheetName val="テスト実行結果_61"/>
      <sheetName val="実行結果_(3)1"/>
      <sheetName val="09_IF項目定義(諸掛明細)_1"/>
      <sheetName val="04_画面レイアウト_(2)1"/>
      <sheetName val="07_コールトランザクション_(2)1"/>
      <sheetName val="集計表_XLS"/>
      <sheetName val="종이_시험성적서"/>
      <sheetName val="送金目的"/>
      <sheetName val="T予実"/>
      <sheetName val="リストボックス"/>
      <sheetName val="勤務体系"/>
      <sheetName val="概略設計書表紙"/>
      <sheetName val="テーブル"/>
      <sheetName val="区分入力リスト"/>
      <sheetName val="危険物区分"/>
      <sheetName val="Table"/>
      <sheetName val="データ"/>
      <sheetName val="（基礎情報）"/>
      <sheetName val="リスト(削除しないでください)"/>
      <sheetName val="進捗状況"/>
      <sheetName val="【アプリ保守チーム】本番機登録データ送付シート"/>
      <sheetName val="マスタ登録依頼申請書"/>
      <sheetName val="17.9.21"/>
      <sheetName val="20.6.30"/>
      <sheetName val="【記入例マスタ登録依頼申請書"/>
      <sheetName val="ZIFTZ1"/>
      <sheetName val="List_Common"/>
      <sheetName val="??InfoCube (YKCH0010)??"/>
      <sheetName val="??InfoCube (YKCH0010) ??"/>
      <sheetName val="????"/>
      <sheetName val="?????"/>
      <sheetName val="???"/>
      <sheetName val="申請書"/>
      <sheetName val="取引先機能（得意先）"/>
      <sheetName val="都道府県市区町村リスト"/>
      <sheetName val="銀行情報"/>
      <sheetName val="宛先一覧"/>
      <sheetName val="リスト(※削除禁止)"/>
      <sheetName val="月部別"/>
      <sheetName val="１．InfoCube_(YKCH0010)案１4"/>
      <sheetName val="１．InfoCube_(YKCH0010)_案２4"/>
      <sheetName val="Estimator_Base3"/>
      <sheetName val="リスト_(2)3"/>
      <sheetName val="機能設計書_（内容説明）3"/>
      <sheetName val="Pattern_Definition3"/>
      <sheetName val="コード値(コード順)_3"/>
      <sheetName val="(Status_Definition)3"/>
      <sheetName val="納品対象外_セレクトデータ3"/>
      <sheetName val="3_指定可能値3"/>
      <sheetName val="Cover_Cheet_(変更前)4"/>
      <sheetName val="Change_History3"/>
      <sheetName val="Test_Scenario3"/>
      <sheetName val="Execution_Result(1-1)3"/>
      <sheetName val="Execution_Result(1-2)3"/>
      <sheetName val="Execution_Result(1-3)3"/>
      <sheetName val="Execution_Result(1-4)3"/>
      <sheetName val="Execution_Result(1-5)3"/>
      <sheetName val="Execution_Result(1-6)3"/>
      <sheetName val="Execution_Result(1-7)3"/>
      <sheetName val="Execution_Result(1-8-1)3"/>
      <sheetName val="Execution_Result(1-8-2)3"/>
      <sheetName val="Execution_Result(1-9)3"/>
      <sheetName val="Execution_Result(1-10)3"/>
      <sheetName val="Execution_Result(1-11)3"/>
      <sheetName val="Execution_Result(1-12-1)3"/>
      <sheetName val="Execution_Result(1-12-2)3"/>
      <sheetName val="Delete_Prohibition3"/>
      <sheetName val="Day_master2"/>
      <sheetName val="Pricing_tool2"/>
      <sheetName val="Category_list2"/>
      <sheetName val="変換表v1_032"/>
      <sheetName val="テストコンディション_(2)2"/>
      <sheetName val="エビデンス_(5回目)2"/>
      <sheetName val="COVER_PAGE2"/>
      <sheetName val="Test_Condition_Description2"/>
      <sheetName val="Doc_History2"/>
      <sheetName val="Source_(0件)2"/>
      <sheetName val="Result_(0件)2"/>
      <sheetName val="Source_(1件)2"/>
      <sheetName val="Target_(1件)_ヘッダー2"/>
      <sheetName val="Target_(1件)_データ2"/>
      <sheetName val="Result_(1件)2"/>
      <sheetName val="Source_(複数件)2"/>
      <sheetName val="Target_(複数件)_ヘッダー2"/>
      <sheetName val="Target_(複数件)_データ2"/>
      <sheetName val="Result_(複数件)2"/>
      <sheetName val="Source_(複数件2)2"/>
      <sheetName val="Target_(複数件2)_ヘッダー2"/>
      <sheetName val="Target_(複数件2)_データ2"/>
      <sheetName val="Result_(複数件2)2"/>
      <sheetName val="Source_(バリデーション)2"/>
      <sheetName val="Result_(バリデーション)2"/>
      <sheetName val="Data_Type_Format2"/>
      <sheetName val="MTT_Change_History2"/>
      <sheetName val="Revision_History2"/>
      <sheetName val="Function_Description2"/>
      <sheetName val="Selection_Screen_Specification2"/>
      <sheetName val="Selection_Screen(Belize)2"/>
      <sheetName val="InputOutput_file_(Flat)2"/>
      <sheetName val="InputOutput_file_(multi)2"/>
      <sheetName val="App_Log2"/>
      <sheetName val="Appendix(Fixed_Value)2"/>
      <sheetName val="List_Value2"/>
      <sheetName val="Mapping_Definition2"/>
      <sheetName val="Selection_Screen2"/>
      <sheetName val="Mapping_Definition(ZPPT1008)2"/>
      <sheetName val="Mapping_Definition(LCSUS)2"/>
      <sheetName val="API_Specification2"/>
      <sheetName val="IDOC_Specifiction2"/>
      <sheetName val="Appendix(IF_target_period)2"/>
      <sheetName val="テストコンディション_2"/>
      <sheetName val="テスト実行結果_12"/>
      <sheetName val="テスト実行結果_22"/>
      <sheetName val="テスト実行結果_32"/>
      <sheetName val="テスト実行結果_42"/>
      <sheetName val="テスト実行結果_52"/>
      <sheetName val="テスト実行結果_62"/>
      <sheetName val="実行結果_(3)2"/>
      <sheetName val="集計表_XLS1"/>
      <sheetName val="MKPF(4_6C)2"/>
      <sheetName val="09_IF項目定義(諸掛明細)_2"/>
      <sheetName val="04_画面レイアウト_(2)2"/>
      <sheetName val="07_コールトランザクション_(2)2"/>
      <sheetName val="종이_시험성적서1"/>
      <sheetName val="削除しない_1"/>
      <sheetName val="99_リスト（印字不要）"/>
      <sheetName val="PLANT_LIST"/>
      <sheetName val="コード表_購買組織"/>
      <sheetName val="コード表_仕入先"/>
      <sheetName val="サブシステム一覧_(2)"/>
      <sheetName val="表示項目_ﾘｽﾄ２"/>
      <sheetName val="step1-3_給与項目洗い出し&amp;仮マッピング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/>
      <sheetData sheetId="35"/>
      <sheetData sheetId="36" refreshError="1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/>
      <sheetData sheetId="136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 refreshError="1"/>
      <sheetData sheetId="281" refreshError="1"/>
      <sheetData sheetId="282" refreshError="1"/>
      <sheetData sheetId="283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/>
      <sheetData sheetId="302"/>
      <sheetData sheetId="303" refreshError="1"/>
      <sheetData sheetId="304" refreshError="1"/>
      <sheetData sheetId="305" refreshError="1"/>
      <sheetData sheetId="306" refreshError="1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 refreshError="1"/>
      <sheetData sheetId="355" refreshError="1"/>
      <sheetData sheetId="356" refreshError="1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/>
      <sheetData sheetId="398"/>
      <sheetData sheetId="399"/>
      <sheetData sheetId="400"/>
      <sheetData sheetId="401"/>
      <sheetData sheetId="402"/>
      <sheetData sheetId="403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 refreshError="1"/>
      <sheetData sheetId="536"/>
      <sheetData sheetId="537"/>
      <sheetData sheetId="538"/>
      <sheetData sheetId="539"/>
      <sheetData sheetId="540"/>
      <sheetData sheetId="54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 refreshError="1"/>
      <sheetData sheetId="560"/>
      <sheetData sheetId="561" refreshError="1"/>
      <sheetData sheetId="562"/>
      <sheetData sheetId="563" refreshError="1"/>
      <sheetData sheetId="564"/>
      <sheetData sheetId="565" refreshError="1"/>
      <sheetData sheetId="566"/>
      <sheetData sheetId="567"/>
      <sheetData sheetId="568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/>
      <sheetData sheetId="707"/>
      <sheetData sheetId="708"/>
      <sheetData sheetId="709"/>
      <sheetData sheetId="710"/>
      <sheetData sheetId="71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表紙"/>
      <sheetName val="変更履歴"/>
      <sheetName val="Branch2"/>
    </sheetNames>
    <sheetDataSet>
      <sheetData sheetId="0" refreshError="1"/>
      <sheetData sheetId="1">
        <row r="2">
          <cell r="BA2" t="str">
            <v>JBS北井</v>
          </cell>
        </row>
      </sheetData>
      <sheetData sheetId="2" refreshError="1"/>
    </sheetDataSet>
  </externalBook>
</externalLink>
</file>

<file path=xl/theme/theme1.xml><?xml version="1.0" encoding="utf-8"?>
<a:theme xmlns:a="http://schemas.openxmlformats.org/drawingml/2006/main" name="JBSテンプレートテーマ_Excel">
  <a:themeElements>
    <a:clrScheme name="青">
      <a:dk1>
        <a:sysClr val="windowText" lastClr="000000"/>
      </a:dk1>
      <a:lt1>
        <a:sysClr val="window" lastClr="FFFFFF"/>
      </a:lt1>
      <a:dk2>
        <a:srgbClr val="17406D"/>
      </a:dk2>
      <a:lt2>
        <a:srgbClr val="DBEFF9"/>
      </a:lt2>
      <a:accent1>
        <a:srgbClr val="0F6FC6"/>
      </a:accent1>
      <a:accent2>
        <a:srgbClr val="009DD9"/>
      </a:accent2>
      <a:accent3>
        <a:srgbClr val="0BD0D9"/>
      </a:accent3>
      <a:accent4>
        <a:srgbClr val="10CF9B"/>
      </a:accent4>
      <a:accent5>
        <a:srgbClr val="7CCA62"/>
      </a:accent5>
      <a:accent6>
        <a:srgbClr val="A5C249"/>
      </a:accent6>
      <a:hlink>
        <a:srgbClr val="F49100"/>
      </a:hlink>
      <a:folHlink>
        <a:srgbClr val="85DFD0"/>
      </a:folHlink>
    </a:clrScheme>
    <a:fontScheme name="JBSテンプレート_Excel">
      <a:majorFont>
        <a:latin typeface="Meiryo UI"/>
        <a:ea typeface="Meiryo UI"/>
        <a:cs typeface=""/>
      </a:majorFont>
      <a:minorFont>
        <a:latin typeface="Meiryo UI"/>
        <a:ea typeface="Meiryo UI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a:style>
    </a:spDef>
    <a:lnDef>
      <a:spPr>
        <a:ln w="12700">
          <a:tailEnd type="triangle"/>
        </a:ln>
      </a:spPr>
      <a:bodyPr/>
      <a:lstStyle/>
      <a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AE35"/>
  <sheetViews>
    <sheetView showGridLines="0" zoomScaleNormal="100" workbookViewId="0"/>
  </sheetViews>
  <sheetFormatPr defaultColWidth="2.453125" defaultRowHeight="15" x14ac:dyDescent="0.3"/>
  <cols>
    <col min="1" max="16384" width="2.453125" style="1"/>
  </cols>
  <sheetData>
    <row r="2" spans="1:31" x14ac:dyDescent="0.3"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spans="1:31" x14ac:dyDescent="0.3">
      <c r="B3" s="2" t="s">
        <v>0</v>
      </c>
    </row>
    <row r="4" spans="1:31" ht="15.75" customHeight="1" x14ac:dyDescent="0.45">
      <c r="A4" s="3"/>
      <c r="B4" s="3"/>
      <c r="C4" s="3"/>
      <c r="D4" s="3"/>
      <c r="E4" s="3"/>
      <c r="F4" s="3"/>
      <c r="G4" s="3"/>
      <c r="H4" s="3"/>
      <c r="I4" s="3"/>
      <c r="J4" s="95"/>
      <c r="K4" s="95"/>
      <c r="L4" s="95"/>
    </row>
    <row r="5" spans="1:31" ht="15.75" customHeight="1" x14ac:dyDescent="0.45">
      <c r="A5" s="4"/>
      <c r="B5" s="4"/>
      <c r="C5" s="4"/>
      <c r="D5" s="4"/>
      <c r="E5" s="4"/>
      <c r="F5" s="4"/>
      <c r="G5" s="4"/>
      <c r="H5" s="4"/>
      <c r="I5" s="4"/>
      <c r="J5" s="96"/>
      <c r="K5" s="96"/>
      <c r="L5" s="96"/>
    </row>
    <row r="10" spans="1:31" ht="15" customHeight="1" x14ac:dyDescent="0.3">
      <c r="B10" s="97" t="s">
        <v>1</v>
      </c>
      <c r="C10" s="98"/>
      <c r="D10" s="98"/>
      <c r="E10" s="98"/>
      <c r="F10" s="98"/>
      <c r="G10" s="98"/>
      <c r="H10" s="98"/>
      <c r="I10" s="98"/>
      <c r="J10" s="98"/>
      <c r="K10" s="98"/>
      <c r="L10" s="98"/>
      <c r="M10" s="98"/>
      <c r="N10" s="98"/>
      <c r="O10" s="98"/>
      <c r="P10" s="98"/>
      <c r="Q10" s="98"/>
      <c r="R10" s="98"/>
      <c r="S10" s="98"/>
      <c r="T10" s="98"/>
      <c r="U10" s="98"/>
      <c r="V10" s="98"/>
      <c r="W10" s="98"/>
      <c r="X10" s="98"/>
      <c r="Y10" s="98"/>
      <c r="Z10" s="98"/>
      <c r="AA10" s="98"/>
      <c r="AB10" s="98"/>
      <c r="AC10" s="98"/>
      <c r="AD10" s="98"/>
      <c r="AE10" s="99"/>
    </row>
    <row r="11" spans="1:31" ht="15" customHeight="1" x14ac:dyDescent="0.3">
      <c r="B11" s="100"/>
      <c r="C11" s="101"/>
      <c r="D11" s="101"/>
      <c r="E11" s="101"/>
      <c r="F11" s="101"/>
      <c r="G11" s="101"/>
      <c r="H11" s="101"/>
      <c r="I11" s="101"/>
      <c r="J11" s="101"/>
      <c r="K11" s="101"/>
      <c r="L11" s="101"/>
      <c r="M11" s="101"/>
      <c r="N11" s="101"/>
      <c r="O11" s="101"/>
      <c r="P11" s="101"/>
      <c r="Q11" s="101"/>
      <c r="R11" s="101"/>
      <c r="S11" s="101"/>
      <c r="T11" s="101"/>
      <c r="U11" s="101"/>
      <c r="V11" s="101"/>
      <c r="W11" s="101"/>
      <c r="X11" s="101"/>
      <c r="Y11" s="101"/>
      <c r="Z11" s="101"/>
      <c r="AA11" s="101"/>
      <c r="AB11" s="101"/>
      <c r="AC11" s="101"/>
      <c r="AD11" s="101"/>
      <c r="AE11" s="102"/>
    </row>
    <row r="12" spans="1:31" ht="15" customHeight="1" x14ac:dyDescent="0.3">
      <c r="B12" s="100"/>
      <c r="C12" s="101"/>
      <c r="D12" s="101"/>
      <c r="E12" s="101"/>
      <c r="F12" s="101"/>
      <c r="G12" s="101"/>
      <c r="H12" s="101"/>
      <c r="I12" s="101"/>
      <c r="J12" s="101"/>
      <c r="K12" s="101"/>
      <c r="L12" s="101"/>
      <c r="M12" s="101"/>
      <c r="N12" s="101"/>
      <c r="O12" s="101"/>
      <c r="P12" s="101"/>
      <c r="Q12" s="101"/>
      <c r="R12" s="101"/>
      <c r="S12" s="101"/>
      <c r="T12" s="101"/>
      <c r="U12" s="101"/>
      <c r="V12" s="101"/>
      <c r="W12" s="101"/>
      <c r="X12" s="101"/>
      <c r="Y12" s="101"/>
      <c r="Z12" s="101"/>
      <c r="AA12" s="101"/>
      <c r="AB12" s="101"/>
      <c r="AC12" s="101"/>
      <c r="AD12" s="101"/>
      <c r="AE12" s="102"/>
    </row>
    <row r="13" spans="1:31" ht="15" customHeight="1" x14ac:dyDescent="0.3">
      <c r="B13" s="100"/>
      <c r="C13" s="101"/>
      <c r="D13" s="101"/>
      <c r="E13" s="101"/>
      <c r="F13" s="101"/>
      <c r="G13" s="101"/>
      <c r="H13" s="101"/>
      <c r="I13" s="101"/>
      <c r="J13" s="101"/>
      <c r="K13" s="101"/>
      <c r="L13" s="101"/>
      <c r="M13" s="101"/>
      <c r="N13" s="101"/>
      <c r="O13" s="101"/>
      <c r="P13" s="101"/>
      <c r="Q13" s="101"/>
      <c r="R13" s="101"/>
      <c r="S13" s="101"/>
      <c r="T13" s="101"/>
      <c r="U13" s="101"/>
      <c r="V13" s="101"/>
      <c r="W13" s="101"/>
      <c r="X13" s="101"/>
      <c r="Y13" s="101"/>
      <c r="Z13" s="101"/>
      <c r="AA13" s="101"/>
      <c r="AB13" s="101"/>
      <c r="AC13" s="101"/>
      <c r="AD13" s="101"/>
      <c r="AE13" s="102"/>
    </row>
    <row r="14" spans="1:31" x14ac:dyDescent="0.3">
      <c r="B14" s="103" t="s">
        <v>2</v>
      </c>
      <c r="C14" s="104"/>
      <c r="D14" s="104"/>
      <c r="E14" s="104"/>
      <c r="F14" s="104"/>
      <c r="G14" s="104"/>
      <c r="H14" s="104"/>
      <c r="I14" s="104"/>
      <c r="J14" s="104"/>
      <c r="K14" s="104"/>
      <c r="L14" s="104"/>
      <c r="M14" s="104"/>
      <c r="N14" s="104"/>
      <c r="O14" s="104"/>
      <c r="P14" s="104"/>
      <c r="Q14" s="104"/>
      <c r="R14" s="104"/>
      <c r="S14" s="104"/>
      <c r="T14" s="104"/>
      <c r="U14" s="104"/>
      <c r="V14" s="104"/>
      <c r="W14" s="104"/>
      <c r="X14" s="104"/>
      <c r="Y14" s="104"/>
      <c r="Z14" s="104"/>
      <c r="AA14" s="104"/>
      <c r="AB14" s="104"/>
      <c r="AC14" s="104"/>
      <c r="AD14" s="104"/>
      <c r="AE14" s="105"/>
    </row>
    <row r="15" spans="1:31" x14ac:dyDescent="0.3">
      <c r="B15" s="103"/>
      <c r="C15" s="104"/>
      <c r="D15" s="104"/>
      <c r="E15" s="104"/>
      <c r="F15" s="104"/>
      <c r="G15" s="104"/>
      <c r="H15" s="104"/>
      <c r="I15" s="104"/>
      <c r="J15" s="104"/>
      <c r="K15" s="104"/>
      <c r="L15" s="104"/>
      <c r="M15" s="104"/>
      <c r="N15" s="104"/>
      <c r="O15" s="104"/>
      <c r="P15" s="104"/>
      <c r="Q15" s="104"/>
      <c r="R15" s="104"/>
      <c r="S15" s="104"/>
      <c r="T15" s="104"/>
      <c r="U15" s="104"/>
      <c r="V15" s="104"/>
      <c r="W15" s="104"/>
      <c r="X15" s="104"/>
      <c r="Y15" s="104"/>
      <c r="Z15" s="104"/>
      <c r="AA15" s="104"/>
      <c r="AB15" s="104"/>
      <c r="AC15" s="104"/>
      <c r="AD15" s="104"/>
      <c r="AE15" s="105"/>
    </row>
    <row r="16" spans="1:31" x14ac:dyDescent="0.3">
      <c r="B16" s="106"/>
      <c r="C16" s="107"/>
      <c r="D16" s="107"/>
      <c r="E16" s="107"/>
      <c r="F16" s="107"/>
      <c r="G16" s="107"/>
      <c r="H16" s="107"/>
      <c r="I16" s="107"/>
      <c r="J16" s="107"/>
      <c r="K16" s="107"/>
      <c r="L16" s="107"/>
      <c r="M16" s="107"/>
      <c r="N16" s="107"/>
      <c r="O16" s="107"/>
      <c r="P16" s="107"/>
      <c r="Q16" s="107"/>
      <c r="R16" s="107"/>
      <c r="S16" s="107"/>
      <c r="T16" s="107"/>
      <c r="U16" s="107"/>
      <c r="V16" s="107"/>
      <c r="W16" s="107"/>
      <c r="X16" s="107"/>
      <c r="Y16" s="107"/>
      <c r="Z16" s="107"/>
      <c r="AA16" s="107"/>
      <c r="AB16" s="107"/>
      <c r="AC16" s="107"/>
      <c r="AD16" s="107"/>
      <c r="AE16" s="108"/>
    </row>
    <row r="22" spans="2:31" x14ac:dyDescent="0.3">
      <c r="B22" s="94" t="str">
        <f ca="1">"第"&amp;IF(COUNTA(変更履歴!BE5:BH10000)=1,"",INDIRECT("変更履歴!BE"&amp;COUNTA(変更履歴!BE5:BH10000)+4))&amp;"版"</f>
        <v>第1.1版</v>
      </c>
      <c r="C22" s="94"/>
      <c r="D22" s="94"/>
      <c r="E22" s="94"/>
      <c r="F22" s="94"/>
      <c r="G22" s="94"/>
      <c r="H22" s="94"/>
      <c r="I22" s="94"/>
      <c r="J22" s="94"/>
      <c r="K22" s="94"/>
      <c r="L22" s="94"/>
      <c r="M22" s="94"/>
      <c r="N22" s="94"/>
      <c r="O22" s="94"/>
      <c r="P22" s="94"/>
      <c r="Q22" s="94"/>
      <c r="R22" s="94"/>
      <c r="S22" s="94"/>
      <c r="T22" s="94"/>
      <c r="U22" s="94"/>
      <c r="V22" s="94"/>
      <c r="W22" s="94"/>
      <c r="X22" s="94"/>
      <c r="Y22" s="94"/>
      <c r="Z22" s="94"/>
      <c r="AA22" s="94"/>
      <c r="AB22" s="94"/>
      <c r="AC22" s="94"/>
      <c r="AD22" s="94"/>
      <c r="AE22" s="94"/>
    </row>
    <row r="23" spans="2:31" x14ac:dyDescent="0.3">
      <c r="B23" s="94"/>
      <c r="C23" s="94"/>
      <c r="D23" s="94"/>
      <c r="E23" s="94"/>
      <c r="F23" s="94"/>
      <c r="G23" s="94"/>
      <c r="H23" s="94"/>
      <c r="I23" s="94"/>
      <c r="J23" s="94"/>
      <c r="K23" s="94"/>
      <c r="L23" s="94"/>
      <c r="M23" s="94"/>
      <c r="N23" s="94"/>
      <c r="O23" s="94"/>
      <c r="P23" s="94"/>
      <c r="Q23" s="94"/>
      <c r="R23" s="94"/>
      <c r="S23" s="94"/>
      <c r="T23" s="94"/>
      <c r="U23" s="94"/>
      <c r="V23" s="94"/>
      <c r="W23" s="94"/>
      <c r="X23" s="94"/>
      <c r="Y23" s="94"/>
      <c r="Z23" s="94"/>
      <c r="AA23" s="94"/>
      <c r="AB23" s="94"/>
      <c r="AC23" s="94"/>
      <c r="AD23" s="94"/>
      <c r="AE23" s="94"/>
    </row>
    <row r="24" spans="2:31" x14ac:dyDescent="0.3">
      <c r="B24" s="109" cm="1">
        <f t="array" aca="1" ref="B24" ca="1">IF(OR(COUNTA(変更履歴!A:E)=3),"",INDIRECT("変更履歴!A"&amp;COUNTA(変更履歴!A:E)+2))</f>
        <v>45846</v>
      </c>
      <c r="C24" s="109"/>
      <c r="D24" s="109"/>
      <c r="E24" s="109"/>
      <c r="F24" s="109"/>
      <c r="G24" s="109"/>
      <c r="H24" s="109"/>
      <c r="I24" s="109"/>
      <c r="J24" s="109"/>
      <c r="K24" s="109"/>
      <c r="L24" s="109"/>
      <c r="M24" s="109"/>
      <c r="N24" s="109"/>
      <c r="O24" s="109"/>
      <c r="P24" s="109"/>
      <c r="Q24" s="109"/>
      <c r="R24" s="109"/>
      <c r="S24" s="109"/>
      <c r="T24" s="109"/>
      <c r="U24" s="109"/>
      <c r="V24" s="109"/>
      <c r="W24" s="109"/>
      <c r="X24" s="109"/>
      <c r="Y24" s="109"/>
      <c r="Z24" s="109"/>
      <c r="AA24" s="109"/>
      <c r="AB24" s="109"/>
      <c r="AC24" s="109"/>
      <c r="AD24" s="109"/>
      <c r="AE24" s="109"/>
    </row>
    <row r="25" spans="2:31" x14ac:dyDescent="0.3">
      <c r="B25" s="109"/>
      <c r="C25" s="109"/>
      <c r="D25" s="109"/>
      <c r="E25" s="109"/>
      <c r="F25" s="109"/>
      <c r="G25" s="109"/>
      <c r="H25" s="109"/>
      <c r="I25" s="109"/>
      <c r="J25" s="109"/>
      <c r="K25" s="109"/>
      <c r="L25" s="109"/>
      <c r="M25" s="109"/>
      <c r="N25" s="109"/>
      <c r="O25" s="109"/>
      <c r="P25" s="109"/>
      <c r="Q25" s="109"/>
      <c r="R25" s="109"/>
      <c r="S25" s="109"/>
      <c r="T25" s="109"/>
      <c r="U25" s="109"/>
      <c r="V25" s="109"/>
      <c r="W25" s="109"/>
      <c r="X25" s="109"/>
      <c r="Y25" s="109"/>
      <c r="Z25" s="109"/>
      <c r="AA25" s="109"/>
      <c r="AB25" s="109"/>
      <c r="AC25" s="109"/>
      <c r="AD25" s="109"/>
      <c r="AE25" s="109"/>
    </row>
    <row r="26" spans="2:31" x14ac:dyDescent="0.3">
      <c r="B26" s="94" t="s">
        <v>3</v>
      </c>
      <c r="C26" s="94"/>
      <c r="D26" s="94"/>
      <c r="E26" s="94"/>
      <c r="F26" s="94"/>
      <c r="G26" s="94"/>
      <c r="H26" s="94"/>
      <c r="I26" s="94"/>
      <c r="J26" s="94"/>
      <c r="K26" s="94"/>
      <c r="L26" s="94"/>
      <c r="M26" s="94"/>
      <c r="N26" s="94"/>
      <c r="O26" s="94"/>
      <c r="P26" s="94"/>
      <c r="Q26" s="94"/>
      <c r="R26" s="94"/>
      <c r="S26" s="94"/>
      <c r="T26" s="94"/>
      <c r="U26" s="94"/>
      <c r="V26" s="94"/>
      <c r="W26" s="94"/>
      <c r="X26" s="94"/>
      <c r="Y26" s="94"/>
      <c r="Z26" s="94"/>
      <c r="AA26" s="94"/>
      <c r="AB26" s="94"/>
      <c r="AC26" s="94"/>
      <c r="AD26" s="94"/>
      <c r="AE26" s="94"/>
    </row>
    <row r="27" spans="2:31" x14ac:dyDescent="0.3">
      <c r="B27" s="94"/>
      <c r="C27" s="94"/>
      <c r="D27" s="94"/>
      <c r="E27" s="94"/>
      <c r="F27" s="94"/>
      <c r="G27" s="94"/>
      <c r="H27" s="94"/>
      <c r="I27" s="94"/>
      <c r="J27" s="94"/>
      <c r="K27" s="94"/>
      <c r="L27" s="94"/>
      <c r="M27" s="94"/>
      <c r="N27" s="94"/>
      <c r="O27" s="94"/>
      <c r="P27" s="94"/>
      <c r="Q27" s="94"/>
      <c r="R27" s="94"/>
      <c r="S27" s="94"/>
      <c r="T27" s="94"/>
      <c r="U27" s="94"/>
      <c r="V27" s="94"/>
      <c r="W27" s="94"/>
      <c r="X27" s="94"/>
      <c r="Y27" s="94"/>
      <c r="Z27" s="94"/>
      <c r="AA27" s="94"/>
      <c r="AB27" s="94"/>
      <c r="AC27" s="94"/>
      <c r="AD27" s="94"/>
      <c r="AE27" s="94"/>
    </row>
    <row r="29" spans="2:31" x14ac:dyDescent="0.3">
      <c r="F29" s="131" t="s">
        <v>4</v>
      </c>
      <c r="G29" s="131"/>
      <c r="H29" s="131"/>
      <c r="I29" s="131"/>
      <c r="J29" s="131"/>
      <c r="K29" s="131"/>
      <c r="O29" s="132" t="s">
        <v>5</v>
      </c>
      <c r="P29" s="131"/>
      <c r="Q29" s="131"/>
      <c r="R29" s="131"/>
      <c r="V29" s="133" t="s">
        <v>6</v>
      </c>
      <c r="W29" s="134"/>
      <c r="X29" s="134"/>
      <c r="Y29" s="134"/>
      <c r="Z29" s="134"/>
      <c r="AA29" s="134"/>
    </row>
    <row r="30" spans="2:31" x14ac:dyDescent="0.3">
      <c r="F30" s="135">
        <v>45650</v>
      </c>
      <c r="G30" s="136"/>
      <c r="H30" s="136"/>
      <c r="I30" s="136"/>
      <c r="J30" s="136"/>
      <c r="K30" s="136"/>
      <c r="L30" s="30"/>
      <c r="N30" s="135">
        <v>45650</v>
      </c>
      <c r="O30" s="136"/>
      <c r="P30" s="136"/>
      <c r="Q30" s="136"/>
      <c r="R30" s="136"/>
      <c r="S30" s="137"/>
      <c r="V30" s="135"/>
      <c r="W30" s="136"/>
      <c r="X30" s="136"/>
      <c r="Y30" s="136"/>
      <c r="Z30" s="136"/>
      <c r="AA30" s="136"/>
      <c r="AB30" s="30"/>
    </row>
    <row r="31" spans="2:31" ht="15.75" customHeight="1" x14ac:dyDescent="0.3">
      <c r="F31" s="110" t="str">
        <f>[2]変更履歴!BA2</f>
        <v>JBS北井</v>
      </c>
      <c r="G31" s="111"/>
      <c r="H31" s="111"/>
      <c r="I31" s="111"/>
      <c r="J31" s="111"/>
      <c r="K31" s="111"/>
      <c r="L31" s="60"/>
      <c r="M31" s="61"/>
      <c r="N31" s="116" t="s">
        <v>7</v>
      </c>
      <c r="O31" s="117"/>
      <c r="P31" s="117"/>
      <c r="Q31" s="117"/>
      <c r="R31" s="117"/>
      <c r="S31" s="118"/>
      <c r="V31" s="125"/>
      <c r="W31" s="126"/>
      <c r="X31" s="126"/>
      <c r="Y31" s="126"/>
      <c r="Z31" s="126"/>
      <c r="AA31" s="126"/>
      <c r="AB31" s="31"/>
    </row>
    <row r="32" spans="2:31" x14ac:dyDescent="0.3">
      <c r="F32" s="112"/>
      <c r="G32" s="113"/>
      <c r="H32" s="113"/>
      <c r="I32" s="113"/>
      <c r="J32" s="113"/>
      <c r="K32" s="113"/>
      <c r="L32" s="60"/>
      <c r="M32" s="61"/>
      <c r="N32" s="119"/>
      <c r="O32" s="120"/>
      <c r="P32" s="120"/>
      <c r="Q32" s="120"/>
      <c r="R32" s="120"/>
      <c r="S32" s="121"/>
      <c r="V32" s="127"/>
      <c r="W32" s="128"/>
      <c r="X32" s="128"/>
      <c r="Y32" s="128"/>
      <c r="Z32" s="128"/>
      <c r="AA32" s="128"/>
      <c r="AB32" s="31"/>
    </row>
    <row r="33" spans="6:28" x14ac:dyDescent="0.3">
      <c r="F33" s="112"/>
      <c r="G33" s="113"/>
      <c r="H33" s="113"/>
      <c r="I33" s="113"/>
      <c r="J33" s="113"/>
      <c r="K33" s="113"/>
      <c r="L33" s="60"/>
      <c r="M33" s="61"/>
      <c r="N33" s="119"/>
      <c r="O33" s="120"/>
      <c r="P33" s="120"/>
      <c r="Q33" s="120"/>
      <c r="R33" s="120"/>
      <c r="S33" s="121"/>
      <c r="V33" s="127"/>
      <c r="W33" s="128"/>
      <c r="X33" s="128"/>
      <c r="Y33" s="128"/>
      <c r="Z33" s="128"/>
      <c r="AA33" s="128"/>
      <c r="AB33" s="31"/>
    </row>
    <row r="34" spans="6:28" x14ac:dyDescent="0.3">
      <c r="F34" s="112"/>
      <c r="G34" s="113"/>
      <c r="H34" s="113"/>
      <c r="I34" s="113"/>
      <c r="J34" s="113"/>
      <c r="K34" s="113"/>
      <c r="L34" s="60"/>
      <c r="M34" s="61"/>
      <c r="N34" s="119"/>
      <c r="O34" s="120"/>
      <c r="P34" s="120"/>
      <c r="Q34" s="120"/>
      <c r="R34" s="120"/>
      <c r="S34" s="121"/>
      <c r="V34" s="127"/>
      <c r="W34" s="128"/>
      <c r="X34" s="128"/>
      <c r="Y34" s="128"/>
      <c r="Z34" s="128"/>
      <c r="AA34" s="128"/>
      <c r="AB34" s="31"/>
    </row>
    <row r="35" spans="6:28" x14ac:dyDescent="0.3">
      <c r="F35" s="114"/>
      <c r="G35" s="115"/>
      <c r="H35" s="115"/>
      <c r="I35" s="115"/>
      <c r="J35" s="115"/>
      <c r="K35" s="115"/>
      <c r="L35" s="60"/>
      <c r="M35" s="61"/>
      <c r="N35" s="122"/>
      <c r="O35" s="123"/>
      <c r="P35" s="123"/>
      <c r="Q35" s="123"/>
      <c r="R35" s="123"/>
      <c r="S35" s="124"/>
      <c r="V35" s="129"/>
      <c r="W35" s="130"/>
      <c r="X35" s="130"/>
      <c r="Y35" s="130"/>
      <c r="Z35" s="130"/>
      <c r="AA35" s="130"/>
      <c r="AB35" s="31"/>
    </row>
  </sheetData>
  <mergeCells count="15">
    <mergeCell ref="F31:K35"/>
    <mergeCell ref="N31:S35"/>
    <mergeCell ref="V31:AA35"/>
    <mergeCell ref="F29:K29"/>
    <mergeCell ref="O29:R29"/>
    <mergeCell ref="V29:AA29"/>
    <mergeCell ref="F30:K30"/>
    <mergeCell ref="N30:S30"/>
    <mergeCell ref="V30:AA30"/>
    <mergeCell ref="B26:AE27"/>
    <mergeCell ref="J4:L5"/>
    <mergeCell ref="B10:AE13"/>
    <mergeCell ref="B14:AE16"/>
    <mergeCell ref="B22:AE23"/>
    <mergeCell ref="B24:AE25"/>
  </mergeCells>
  <phoneticPr fontId="4"/>
  <printOptions horizontalCentered="1"/>
  <pageMargins left="0.23622047244094491" right="0.23622047244094491" top="0.74803149606299213" bottom="0.74803149606299213" header="0.31496062992125984" footer="0.31496062992125984"/>
  <pageSetup paperSize="9" scale="8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O22"/>
  <sheetViews>
    <sheetView showGridLines="0" tabSelected="1" zoomScaleNormal="100" workbookViewId="0">
      <pane ySplit="5" topLeftCell="A6" activePane="bottomLeft" state="frozen"/>
      <selection pane="bottomLeft" activeCell="A6" sqref="A6:E6"/>
    </sheetView>
  </sheetViews>
  <sheetFormatPr defaultColWidth="2.453125" defaultRowHeight="15" customHeight="1" x14ac:dyDescent="0.3"/>
  <cols>
    <col min="1" max="16384" width="2.453125" style="5"/>
  </cols>
  <sheetData>
    <row r="1" spans="1:67" s="6" customFormat="1" ht="14.1" customHeight="1" thickBot="1" x14ac:dyDescent="0.35">
      <c r="A1" s="138" t="s">
        <v>8</v>
      </c>
      <c r="B1" s="139"/>
      <c r="C1" s="139"/>
      <c r="D1" s="139"/>
      <c r="E1" s="140"/>
      <c r="F1" s="141" t="str">
        <f>表紙!B10</f>
        <v>会計システム刷新プロジェクト（LIBRA）</v>
      </c>
      <c r="G1" s="142"/>
      <c r="H1" s="142"/>
      <c r="I1" s="142"/>
      <c r="J1" s="142"/>
      <c r="K1" s="142"/>
      <c r="L1" s="142"/>
      <c r="M1" s="142"/>
      <c r="N1" s="142"/>
      <c r="O1" s="142"/>
      <c r="P1" s="142"/>
      <c r="Q1" s="142"/>
      <c r="R1" s="142"/>
      <c r="S1" s="142"/>
      <c r="T1" s="142"/>
      <c r="U1" s="142"/>
      <c r="V1" s="143"/>
      <c r="W1" s="144" t="s">
        <v>9</v>
      </c>
      <c r="X1" s="145"/>
      <c r="Y1" s="145"/>
      <c r="Z1" s="145"/>
      <c r="AA1" s="145"/>
      <c r="AB1" s="145"/>
      <c r="AC1" s="145"/>
      <c r="AD1" s="145"/>
      <c r="AE1" s="145"/>
      <c r="AF1" s="145"/>
      <c r="AG1" s="145"/>
      <c r="AH1" s="145"/>
      <c r="AI1" s="145"/>
      <c r="AJ1" s="145"/>
      <c r="AK1" s="145"/>
      <c r="AL1" s="145"/>
      <c r="AM1" s="145"/>
      <c r="AN1" s="145"/>
      <c r="AO1" s="145"/>
      <c r="AP1" s="145"/>
      <c r="AQ1" s="146"/>
      <c r="AR1" s="144" t="s">
        <v>10</v>
      </c>
      <c r="AS1" s="145"/>
      <c r="AT1" s="145"/>
      <c r="AU1" s="145"/>
      <c r="AV1" s="145"/>
      <c r="AW1" s="145"/>
      <c r="AX1" s="145"/>
      <c r="AY1" s="145"/>
      <c r="AZ1" s="146"/>
      <c r="BA1" s="144" t="s">
        <v>11</v>
      </c>
      <c r="BB1" s="145"/>
      <c r="BC1" s="145"/>
      <c r="BD1" s="145"/>
      <c r="BE1" s="145"/>
      <c r="BF1" s="145"/>
      <c r="BG1" s="145"/>
      <c r="BH1" s="146"/>
      <c r="BI1" s="5"/>
      <c r="BJ1" s="5"/>
      <c r="BK1" s="5"/>
      <c r="BL1" s="5"/>
      <c r="BM1" s="5"/>
      <c r="BN1" s="5"/>
      <c r="BO1" s="5"/>
    </row>
    <row r="2" spans="1:67" s="6" customFormat="1" ht="14.1" customHeight="1" x14ac:dyDescent="0.3">
      <c r="A2" s="147" t="s">
        <v>12</v>
      </c>
      <c r="B2" s="148"/>
      <c r="C2" s="148"/>
      <c r="D2" s="148"/>
      <c r="E2" s="149"/>
      <c r="F2" s="153" t="str">
        <f>表紙!B14</f>
        <v>ToBe業務フロー（7.Branch2）</v>
      </c>
      <c r="G2" s="154"/>
      <c r="H2" s="154"/>
      <c r="I2" s="154"/>
      <c r="J2" s="154"/>
      <c r="K2" s="154"/>
      <c r="L2" s="154"/>
      <c r="M2" s="154"/>
      <c r="N2" s="154"/>
      <c r="O2" s="154"/>
      <c r="P2" s="154"/>
      <c r="Q2" s="154"/>
      <c r="R2" s="154"/>
      <c r="S2" s="154"/>
      <c r="T2" s="154"/>
      <c r="U2" s="154"/>
      <c r="V2" s="155"/>
      <c r="W2" s="159" t="str">
        <f ca="1">MID(CELL("filename",$A$1),FIND("]",CELL("filename",$A$1))+1,31)</f>
        <v>変更履歴</v>
      </c>
      <c r="X2" s="160"/>
      <c r="Y2" s="160"/>
      <c r="Z2" s="160"/>
      <c r="AA2" s="160"/>
      <c r="AB2" s="160"/>
      <c r="AC2" s="160"/>
      <c r="AD2" s="160"/>
      <c r="AE2" s="160"/>
      <c r="AF2" s="160"/>
      <c r="AG2" s="160"/>
      <c r="AH2" s="160"/>
      <c r="AI2" s="160"/>
      <c r="AJ2" s="160"/>
      <c r="AK2" s="160"/>
      <c r="AL2" s="160"/>
      <c r="AM2" s="160"/>
      <c r="AN2" s="160"/>
      <c r="AO2" s="160"/>
      <c r="AP2" s="160"/>
      <c r="AQ2" s="161"/>
      <c r="AR2" s="165" t="s">
        <v>13</v>
      </c>
      <c r="AS2" s="166"/>
      <c r="AT2" s="167">
        <f>A6</f>
        <v>45650</v>
      </c>
      <c r="AU2" s="168"/>
      <c r="AV2" s="168"/>
      <c r="AW2" s="168"/>
      <c r="AX2" s="168"/>
      <c r="AY2" s="168"/>
      <c r="AZ2" s="169"/>
      <c r="BA2" s="170" t="str">
        <f>AZ6</f>
        <v>JBS北井</v>
      </c>
      <c r="BB2" s="171"/>
      <c r="BC2" s="171"/>
      <c r="BD2" s="171"/>
      <c r="BE2" s="171"/>
      <c r="BF2" s="171"/>
      <c r="BG2" s="171"/>
      <c r="BH2" s="172"/>
      <c r="BI2" s="5"/>
      <c r="BJ2" s="5"/>
      <c r="BK2" s="5"/>
      <c r="BL2" s="5"/>
      <c r="BM2" s="5"/>
      <c r="BN2" s="5"/>
      <c r="BO2" s="5"/>
    </row>
    <row r="3" spans="1:67" s="6" customFormat="1" ht="14.1" customHeight="1" thickBot="1" x14ac:dyDescent="0.35">
      <c r="A3" s="150"/>
      <c r="B3" s="151"/>
      <c r="C3" s="151"/>
      <c r="D3" s="151"/>
      <c r="E3" s="152"/>
      <c r="F3" s="156"/>
      <c r="G3" s="157"/>
      <c r="H3" s="157"/>
      <c r="I3" s="157"/>
      <c r="J3" s="157"/>
      <c r="K3" s="157"/>
      <c r="L3" s="157"/>
      <c r="M3" s="157"/>
      <c r="N3" s="157"/>
      <c r="O3" s="157"/>
      <c r="P3" s="157"/>
      <c r="Q3" s="157"/>
      <c r="R3" s="157"/>
      <c r="S3" s="157"/>
      <c r="T3" s="157"/>
      <c r="U3" s="157"/>
      <c r="V3" s="158"/>
      <c r="W3" s="162"/>
      <c r="X3" s="163"/>
      <c r="Y3" s="163"/>
      <c r="Z3" s="163"/>
      <c r="AA3" s="163"/>
      <c r="AB3" s="163"/>
      <c r="AC3" s="163"/>
      <c r="AD3" s="163"/>
      <c r="AE3" s="163"/>
      <c r="AF3" s="163"/>
      <c r="AG3" s="163"/>
      <c r="AH3" s="163"/>
      <c r="AI3" s="163"/>
      <c r="AJ3" s="163"/>
      <c r="AK3" s="163"/>
      <c r="AL3" s="163"/>
      <c r="AM3" s="163"/>
      <c r="AN3" s="163"/>
      <c r="AO3" s="163"/>
      <c r="AP3" s="163"/>
      <c r="AQ3" s="164"/>
      <c r="AR3" s="173" t="s">
        <v>14</v>
      </c>
      <c r="AS3" s="174"/>
      <c r="AT3" s="175" cm="1">
        <f t="array" aca="1" ref="AT3" ca="1">IF(OR(COUNTA(A:E)=3),"",INDIRECT("A"&amp;COUNTA(A:E)+2))</f>
        <v>45846</v>
      </c>
      <c r="AU3" s="176"/>
      <c r="AV3" s="176"/>
      <c r="AW3" s="176"/>
      <c r="AX3" s="176"/>
      <c r="AY3" s="176"/>
      <c r="AZ3" s="177"/>
      <c r="BA3" s="178" t="str" cm="1">
        <f t="array" aca="1" ref="BA3" ca="1">IF(COUNTA(AZ5:BD100000)=1,"",INDIRECT("変更履歴!AZ"&amp;COUNTA(AZ5:BD100000)+4))</f>
        <v>JBS加藤</v>
      </c>
      <c r="BB3" s="179"/>
      <c r="BC3" s="179"/>
      <c r="BD3" s="179"/>
      <c r="BE3" s="179"/>
      <c r="BF3" s="179"/>
      <c r="BG3" s="179"/>
      <c r="BH3" s="180"/>
      <c r="BI3" s="5"/>
      <c r="BJ3" s="5"/>
      <c r="BK3" s="5"/>
      <c r="BL3" s="5"/>
      <c r="BM3" s="5"/>
      <c r="BN3" s="5"/>
      <c r="BO3" s="5"/>
    </row>
    <row r="4" spans="1:67" ht="15" customHeight="1" thickBot="1" x14ac:dyDescent="0.3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  <c r="BG4" s="7"/>
      <c r="BH4" s="7"/>
    </row>
    <row r="5" spans="1:67" ht="15" customHeight="1" thickBot="1" x14ac:dyDescent="0.35">
      <c r="A5" s="181" t="s">
        <v>15</v>
      </c>
      <c r="B5" s="181"/>
      <c r="C5" s="181"/>
      <c r="D5" s="181"/>
      <c r="E5" s="181"/>
      <c r="F5" s="181" t="s">
        <v>16</v>
      </c>
      <c r="G5" s="181"/>
      <c r="H5" s="181"/>
      <c r="I5" s="181"/>
      <c r="J5" s="181"/>
      <c r="K5" s="181"/>
      <c r="L5" s="181"/>
      <c r="M5" s="181"/>
      <c r="N5" s="181"/>
      <c r="O5" s="181"/>
      <c r="P5" s="181"/>
      <c r="Q5" s="181"/>
      <c r="R5" s="181"/>
      <c r="S5" s="181"/>
      <c r="T5" s="181" t="s">
        <v>17</v>
      </c>
      <c r="U5" s="181"/>
      <c r="V5" s="181"/>
      <c r="W5" s="181"/>
      <c r="X5" s="181"/>
      <c r="Y5" s="181"/>
      <c r="Z5" s="181"/>
      <c r="AA5" s="181"/>
      <c r="AB5" s="181"/>
      <c r="AC5" s="181"/>
      <c r="AD5" s="181"/>
      <c r="AE5" s="181"/>
      <c r="AF5" s="181"/>
      <c r="AG5" s="181"/>
      <c r="AH5" s="181"/>
      <c r="AI5" s="181"/>
      <c r="AJ5" s="181"/>
      <c r="AK5" s="181"/>
      <c r="AL5" s="181"/>
      <c r="AM5" s="181"/>
      <c r="AN5" s="181"/>
      <c r="AO5" s="181"/>
      <c r="AP5" s="181"/>
      <c r="AQ5" s="181"/>
      <c r="AR5" s="181"/>
      <c r="AS5" s="181"/>
      <c r="AT5" s="181"/>
      <c r="AU5" s="181"/>
      <c r="AV5" s="181"/>
      <c r="AW5" s="181"/>
      <c r="AX5" s="181"/>
      <c r="AY5" s="181"/>
      <c r="AZ5" s="181" t="s">
        <v>18</v>
      </c>
      <c r="BA5" s="181"/>
      <c r="BB5" s="181"/>
      <c r="BC5" s="181"/>
      <c r="BD5" s="181"/>
      <c r="BE5" s="181" t="s">
        <v>19</v>
      </c>
      <c r="BF5" s="181"/>
      <c r="BG5" s="181"/>
      <c r="BH5" s="181"/>
    </row>
    <row r="6" spans="1:67" ht="15" customHeight="1" x14ac:dyDescent="0.3">
      <c r="A6" s="182">
        <v>45650</v>
      </c>
      <c r="B6" s="182"/>
      <c r="C6" s="182"/>
      <c r="D6" s="182"/>
      <c r="E6" s="182"/>
      <c r="F6" s="183" t="s">
        <v>20</v>
      </c>
      <c r="G6" s="183"/>
      <c r="H6" s="183"/>
      <c r="I6" s="183"/>
      <c r="J6" s="183"/>
      <c r="K6" s="183"/>
      <c r="L6" s="183"/>
      <c r="M6" s="183"/>
      <c r="N6" s="183"/>
      <c r="O6" s="183"/>
      <c r="P6" s="183"/>
      <c r="Q6" s="183"/>
      <c r="R6" s="183"/>
      <c r="S6" s="183"/>
      <c r="T6" s="184" t="s">
        <v>21</v>
      </c>
      <c r="U6" s="184"/>
      <c r="V6" s="184"/>
      <c r="W6" s="184"/>
      <c r="X6" s="184"/>
      <c r="Y6" s="184"/>
      <c r="Z6" s="184"/>
      <c r="AA6" s="184"/>
      <c r="AB6" s="184"/>
      <c r="AC6" s="184"/>
      <c r="AD6" s="184"/>
      <c r="AE6" s="184"/>
      <c r="AF6" s="184"/>
      <c r="AG6" s="184"/>
      <c r="AH6" s="184"/>
      <c r="AI6" s="184"/>
      <c r="AJ6" s="184"/>
      <c r="AK6" s="184"/>
      <c r="AL6" s="184"/>
      <c r="AM6" s="184"/>
      <c r="AN6" s="184"/>
      <c r="AO6" s="184"/>
      <c r="AP6" s="184"/>
      <c r="AQ6" s="184"/>
      <c r="AR6" s="184"/>
      <c r="AS6" s="184"/>
      <c r="AT6" s="184"/>
      <c r="AU6" s="184"/>
      <c r="AV6" s="184"/>
      <c r="AW6" s="184"/>
      <c r="AX6" s="184"/>
      <c r="AY6" s="184"/>
      <c r="AZ6" s="185" t="s">
        <v>22</v>
      </c>
      <c r="BA6" s="185"/>
      <c r="BB6" s="185"/>
      <c r="BC6" s="185"/>
      <c r="BD6" s="185"/>
      <c r="BE6" s="186" t="s">
        <v>23</v>
      </c>
      <c r="BF6" s="187"/>
      <c r="BG6" s="187"/>
      <c r="BH6" s="187"/>
    </row>
    <row r="7" spans="1:67" ht="42.45" customHeight="1" x14ac:dyDescent="0.3">
      <c r="A7" s="188">
        <v>45846</v>
      </c>
      <c r="B7" s="188"/>
      <c r="C7" s="188"/>
      <c r="D7" s="188"/>
      <c r="E7" s="188"/>
      <c r="F7" s="189" t="s">
        <v>114</v>
      </c>
      <c r="G7" s="189"/>
      <c r="H7" s="189"/>
      <c r="I7" s="189"/>
      <c r="J7" s="189"/>
      <c r="K7" s="189"/>
      <c r="L7" s="189"/>
      <c r="M7" s="189"/>
      <c r="N7" s="189"/>
      <c r="O7" s="189"/>
      <c r="P7" s="189"/>
      <c r="Q7" s="189"/>
      <c r="R7" s="189"/>
      <c r="S7" s="189"/>
      <c r="T7" s="190" t="s">
        <v>125</v>
      </c>
      <c r="U7" s="191"/>
      <c r="V7" s="191"/>
      <c r="W7" s="191"/>
      <c r="X7" s="191"/>
      <c r="Y7" s="191"/>
      <c r="Z7" s="191"/>
      <c r="AA7" s="191"/>
      <c r="AB7" s="191"/>
      <c r="AC7" s="191"/>
      <c r="AD7" s="191"/>
      <c r="AE7" s="191"/>
      <c r="AF7" s="191"/>
      <c r="AG7" s="191"/>
      <c r="AH7" s="191"/>
      <c r="AI7" s="191"/>
      <c r="AJ7" s="191"/>
      <c r="AK7" s="191"/>
      <c r="AL7" s="191"/>
      <c r="AM7" s="191"/>
      <c r="AN7" s="191"/>
      <c r="AO7" s="191"/>
      <c r="AP7" s="191"/>
      <c r="AQ7" s="191"/>
      <c r="AR7" s="191"/>
      <c r="AS7" s="191"/>
      <c r="AT7" s="191"/>
      <c r="AU7" s="191"/>
      <c r="AV7" s="191"/>
      <c r="AW7" s="191"/>
      <c r="AX7" s="191"/>
      <c r="AY7" s="191"/>
      <c r="AZ7" s="192" t="s">
        <v>118</v>
      </c>
      <c r="BA7" s="192"/>
      <c r="BB7" s="192"/>
      <c r="BC7" s="192"/>
      <c r="BD7" s="192"/>
      <c r="BE7" s="193" t="s">
        <v>119</v>
      </c>
      <c r="BF7" s="193"/>
      <c r="BG7" s="193"/>
      <c r="BH7" s="193"/>
    </row>
    <row r="8" spans="1:67" ht="15" customHeight="1" x14ac:dyDescent="0.3">
      <c r="A8" s="188"/>
      <c r="B8" s="188"/>
      <c r="C8" s="188"/>
      <c r="D8" s="188"/>
      <c r="E8" s="188"/>
      <c r="F8" s="189"/>
      <c r="G8" s="189"/>
      <c r="H8" s="189"/>
      <c r="I8" s="189"/>
      <c r="J8" s="189"/>
      <c r="K8" s="189"/>
      <c r="L8" s="189"/>
      <c r="M8" s="189"/>
      <c r="N8" s="189"/>
      <c r="O8" s="189"/>
      <c r="P8" s="189"/>
      <c r="Q8" s="189"/>
      <c r="R8" s="189"/>
      <c r="S8" s="189"/>
      <c r="T8" s="191"/>
      <c r="U8" s="191"/>
      <c r="V8" s="191"/>
      <c r="W8" s="191"/>
      <c r="X8" s="191"/>
      <c r="Y8" s="191"/>
      <c r="Z8" s="191"/>
      <c r="AA8" s="191"/>
      <c r="AB8" s="191"/>
      <c r="AC8" s="191"/>
      <c r="AD8" s="191"/>
      <c r="AE8" s="191"/>
      <c r="AF8" s="191"/>
      <c r="AG8" s="191"/>
      <c r="AH8" s="191"/>
      <c r="AI8" s="191"/>
      <c r="AJ8" s="191"/>
      <c r="AK8" s="191"/>
      <c r="AL8" s="191"/>
      <c r="AM8" s="191"/>
      <c r="AN8" s="191"/>
      <c r="AO8" s="191"/>
      <c r="AP8" s="191"/>
      <c r="AQ8" s="191"/>
      <c r="AR8" s="191"/>
      <c r="AS8" s="191"/>
      <c r="AT8" s="191"/>
      <c r="AU8" s="191"/>
      <c r="AV8" s="191"/>
      <c r="AW8" s="191"/>
      <c r="AX8" s="191"/>
      <c r="AY8" s="191"/>
      <c r="AZ8" s="192"/>
      <c r="BA8" s="192"/>
      <c r="BB8" s="192"/>
      <c r="BC8" s="192"/>
      <c r="BD8" s="192"/>
      <c r="BE8" s="193"/>
      <c r="BF8" s="193"/>
      <c r="BG8" s="193"/>
      <c r="BH8" s="193"/>
    </row>
    <row r="9" spans="1:67" ht="15" customHeight="1" x14ac:dyDescent="0.3">
      <c r="A9" s="188"/>
      <c r="B9" s="188"/>
      <c r="C9" s="188"/>
      <c r="D9" s="188"/>
      <c r="E9" s="188"/>
      <c r="F9" s="189"/>
      <c r="G9" s="189"/>
      <c r="H9" s="189"/>
      <c r="I9" s="189"/>
      <c r="J9" s="189"/>
      <c r="K9" s="189"/>
      <c r="L9" s="189"/>
      <c r="M9" s="189"/>
      <c r="N9" s="189"/>
      <c r="O9" s="189"/>
      <c r="P9" s="189"/>
      <c r="Q9" s="189"/>
      <c r="R9" s="189"/>
      <c r="S9" s="189"/>
      <c r="T9" s="191"/>
      <c r="U9" s="191"/>
      <c r="V9" s="191"/>
      <c r="W9" s="191"/>
      <c r="X9" s="191"/>
      <c r="Y9" s="191"/>
      <c r="Z9" s="191"/>
      <c r="AA9" s="191"/>
      <c r="AB9" s="191"/>
      <c r="AC9" s="191"/>
      <c r="AD9" s="191"/>
      <c r="AE9" s="191"/>
      <c r="AF9" s="191"/>
      <c r="AG9" s="191"/>
      <c r="AH9" s="191"/>
      <c r="AI9" s="191"/>
      <c r="AJ9" s="191"/>
      <c r="AK9" s="191"/>
      <c r="AL9" s="191"/>
      <c r="AM9" s="191"/>
      <c r="AN9" s="191"/>
      <c r="AO9" s="191"/>
      <c r="AP9" s="191"/>
      <c r="AQ9" s="191"/>
      <c r="AR9" s="191"/>
      <c r="AS9" s="191"/>
      <c r="AT9" s="191"/>
      <c r="AU9" s="191"/>
      <c r="AV9" s="191"/>
      <c r="AW9" s="191"/>
      <c r="AX9" s="191"/>
      <c r="AY9" s="191"/>
      <c r="AZ9" s="192"/>
      <c r="BA9" s="192"/>
      <c r="BB9" s="192"/>
      <c r="BC9" s="192"/>
      <c r="BD9" s="192"/>
      <c r="BE9" s="193"/>
      <c r="BF9" s="193"/>
      <c r="BG9" s="193"/>
      <c r="BH9" s="193"/>
    </row>
    <row r="10" spans="1:67" ht="15" customHeight="1" x14ac:dyDescent="0.3">
      <c r="A10" s="188"/>
      <c r="B10" s="188"/>
      <c r="C10" s="188"/>
      <c r="D10" s="188"/>
      <c r="E10" s="188"/>
      <c r="F10" s="189"/>
      <c r="G10" s="189"/>
      <c r="H10" s="189"/>
      <c r="I10" s="189"/>
      <c r="J10" s="189"/>
      <c r="K10" s="189"/>
      <c r="L10" s="189"/>
      <c r="M10" s="189"/>
      <c r="N10" s="189"/>
      <c r="O10" s="189"/>
      <c r="P10" s="189"/>
      <c r="Q10" s="189"/>
      <c r="R10" s="189"/>
      <c r="S10" s="189"/>
      <c r="T10" s="191"/>
      <c r="U10" s="191"/>
      <c r="V10" s="191"/>
      <c r="W10" s="191"/>
      <c r="X10" s="191"/>
      <c r="Y10" s="191"/>
      <c r="Z10" s="191"/>
      <c r="AA10" s="191"/>
      <c r="AB10" s="191"/>
      <c r="AC10" s="191"/>
      <c r="AD10" s="191"/>
      <c r="AE10" s="191"/>
      <c r="AF10" s="191"/>
      <c r="AG10" s="191"/>
      <c r="AH10" s="191"/>
      <c r="AI10" s="191"/>
      <c r="AJ10" s="191"/>
      <c r="AK10" s="191"/>
      <c r="AL10" s="191"/>
      <c r="AM10" s="191"/>
      <c r="AN10" s="191"/>
      <c r="AO10" s="191"/>
      <c r="AP10" s="191"/>
      <c r="AQ10" s="191"/>
      <c r="AR10" s="191"/>
      <c r="AS10" s="191"/>
      <c r="AT10" s="191"/>
      <c r="AU10" s="191"/>
      <c r="AV10" s="191"/>
      <c r="AW10" s="191"/>
      <c r="AX10" s="191"/>
      <c r="AY10" s="191"/>
      <c r="AZ10" s="192"/>
      <c r="BA10" s="192"/>
      <c r="BB10" s="192"/>
      <c r="BC10" s="192"/>
      <c r="BD10" s="192"/>
      <c r="BE10" s="193"/>
      <c r="BF10" s="193"/>
      <c r="BG10" s="193"/>
      <c r="BH10" s="193"/>
    </row>
    <row r="11" spans="1:67" ht="15" customHeight="1" x14ac:dyDescent="0.3">
      <c r="A11" s="188"/>
      <c r="B11" s="188"/>
      <c r="C11" s="188"/>
      <c r="D11" s="188"/>
      <c r="E11" s="188"/>
      <c r="F11" s="189"/>
      <c r="G11" s="189"/>
      <c r="H11" s="189"/>
      <c r="I11" s="189"/>
      <c r="J11" s="189"/>
      <c r="K11" s="189"/>
      <c r="L11" s="189"/>
      <c r="M11" s="189"/>
      <c r="N11" s="189"/>
      <c r="O11" s="189"/>
      <c r="P11" s="189"/>
      <c r="Q11" s="189"/>
      <c r="R11" s="189"/>
      <c r="S11" s="189"/>
      <c r="T11" s="191"/>
      <c r="U11" s="191"/>
      <c r="V11" s="191"/>
      <c r="W11" s="191"/>
      <c r="X11" s="191"/>
      <c r="Y11" s="191"/>
      <c r="Z11" s="191"/>
      <c r="AA11" s="191"/>
      <c r="AB11" s="191"/>
      <c r="AC11" s="191"/>
      <c r="AD11" s="191"/>
      <c r="AE11" s="191"/>
      <c r="AF11" s="191"/>
      <c r="AG11" s="191"/>
      <c r="AH11" s="191"/>
      <c r="AI11" s="191"/>
      <c r="AJ11" s="191"/>
      <c r="AK11" s="191"/>
      <c r="AL11" s="191"/>
      <c r="AM11" s="191"/>
      <c r="AN11" s="191"/>
      <c r="AO11" s="191"/>
      <c r="AP11" s="191"/>
      <c r="AQ11" s="191"/>
      <c r="AR11" s="191"/>
      <c r="AS11" s="191"/>
      <c r="AT11" s="191"/>
      <c r="AU11" s="191"/>
      <c r="AV11" s="191"/>
      <c r="AW11" s="191"/>
      <c r="AX11" s="191"/>
      <c r="AY11" s="191"/>
      <c r="AZ11" s="192"/>
      <c r="BA11" s="192"/>
      <c r="BB11" s="192"/>
      <c r="BC11" s="192"/>
      <c r="BD11" s="192"/>
      <c r="BE11" s="193"/>
      <c r="BF11" s="193"/>
      <c r="BG11" s="193"/>
      <c r="BH11" s="193"/>
    </row>
    <row r="12" spans="1:67" ht="15" customHeight="1" x14ac:dyDescent="0.3">
      <c r="A12" s="188"/>
      <c r="B12" s="188"/>
      <c r="C12" s="188"/>
      <c r="D12" s="188"/>
      <c r="E12" s="188"/>
      <c r="F12" s="189"/>
      <c r="G12" s="189"/>
      <c r="H12" s="189"/>
      <c r="I12" s="189"/>
      <c r="J12" s="189"/>
      <c r="K12" s="189"/>
      <c r="L12" s="189"/>
      <c r="M12" s="189"/>
      <c r="N12" s="189"/>
      <c r="O12" s="189"/>
      <c r="P12" s="189"/>
      <c r="Q12" s="189"/>
      <c r="R12" s="189"/>
      <c r="S12" s="189"/>
      <c r="T12" s="191"/>
      <c r="U12" s="191"/>
      <c r="V12" s="191"/>
      <c r="W12" s="191"/>
      <c r="X12" s="191"/>
      <c r="Y12" s="191"/>
      <c r="Z12" s="191"/>
      <c r="AA12" s="191"/>
      <c r="AB12" s="191"/>
      <c r="AC12" s="191"/>
      <c r="AD12" s="191"/>
      <c r="AE12" s="191"/>
      <c r="AF12" s="191"/>
      <c r="AG12" s="191"/>
      <c r="AH12" s="191"/>
      <c r="AI12" s="191"/>
      <c r="AJ12" s="191"/>
      <c r="AK12" s="191"/>
      <c r="AL12" s="191"/>
      <c r="AM12" s="191"/>
      <c r="AN12" s="191"/>
      <c r="AO12" s="191"/>
      <c r="AP12" s="191"/>
      <c r="AQ12" s="191"/>
      <c r="AR12" s="191"/>
      <c r="AS12" s="191"/>
      <c r="AT12" s="191"/>
      <c r="AU12" s="191"/>
      <c r="AV12" s="191"/>
      <c r="AW12" s="191"/>
      <c r="AX12" s="191"/>
      <c r="AY12" s="191"/>
      <c r="AZ12" s="192"/>
      <c r="BA12" s="192"/>
      <c r="BB12" s="192"/>
      <c r="BC12" s="192"/>
      <c r="BD12" s="192"/>
      <c r="BE12" s="193"/>
      <c r="BF12" s="193"/>
      <c r="BG12" s="193"/>
      <c r="BH12" s="193"/>
    </row>
    <row r="13" spans="1:67" ht="15" customHeight="1" x14ac:dyDescent="0.3">
      <c r="A13" s="188"/>
      <c r="B13" s="188"/>
      <c r="C13" s="188"/>
      <c r="D13" s="188"/>
      <c r="E13" s="188"/>
      <c r="F13" s="189"/>
      <c r="G13" s="189"/>
      <c r="H13" s="189"/>
      <c r="I13" s="189"/>
      <c r="J13" s="189"/>
      <c r="K13" s="189"/>
      <c r="L13" s="189"/>
      <c r="M13" s="189"/>
      <c r="N13" s="189"/>
      <c r="O13" s="189"/>
      <c r="P13" s="189"/>
      <c r="Q13" s="189"/>
      <c r="R13" s="189"/>
      <c r="S13" s="189"/>
      <c r="T13" s="191"/>
      <c r="U13" s="191"/>
      <c r="V13" s="191"/>
      <c r="W13" s="191"/>
      <c r="X13" s="191"/>
      <c r="Y13" s="191"/>
      <c r="Z13" s="191"/>
      <c r="AA13" s="191"/>
      <c r="AB13" s="191"/>
      <c r="AC13" s="191"/>
      <c r="AD13" s="191"/>
      <c r="AE13" s="191"/>
      <c r="AF13" s="191"/>
      <c r="AG13" s="191"/>
      <c r="AH13" s="191"/>
      <c r="AI13" s="191"/>
      <c r="AJ13" s="191"/>
      <c r="AK13" s="191"/>
      <c r="AL13" s="191"/>
      <c r="AM13" s="191"/>
      <c r="AN13" s="191"/>
      <c r="AO13" s="191"/>
      <c r="AP13" s="191"/>
      <c r="AQ13" s="191"/>
      <c r="AR13" s="191"/>
      <c r="AS13" s="191"/>
      <c r="AT13" s="191"/>
      <c r="AU13" s="191"/>
      <c r="AV13" s="191"/>
      <c r="AW13" s="191"/>
      <c r="AX13" s="191"/>
      <c r="AY13" s="191"/>
      <c r="AZ13" s="192"/>
      <c r="BA13" s="192"/>
      <c r="BB13" s="192"/>
      <c r="BC13" s="192"/>
      <c r="BD13" s="192"/>
      <c r="BE13" s="193"/>
      <c r="BF13" s="193"/>
      <c r="BG13" s="193"/>
      <c r="BH13" s="193"/>
    </row>
    <row r="14" spans="1:67" ht="15" customHeight="1" x14ac:dyDescent="0.3">
      <c r="A14" s="188"/>
      <c r="B14" s="188"/>
      <c r="C14" s="188"/>
      <c r="D14" s="188"/>
      <c r="E14" s="188"/>
      <c r="F14" s="189"/>
      <c r="G14" s="189"/>
      <c r="H14" s="189"/>
      <c r="I14" s="189"/>
      <c r="J14" s="189"/>
      <c r="K14" s="189"/>
      <c r="L14" s="189"/>
      <c r="M14" s="189"/>
      <c r="N14" s="189"/>
      <c r="O14" s="189"/>
      <c r="P14" s="189"/>
      <c r="Q14" s="189"/>
      <c r="R14" s="189"/>
      <c r="S14" s="189"/>
      <c r="T14" s="191"/>
      <c r="U14" s="191"/>
      <c r="V14" s="191"/>
      <c r="W14" s="191"/>
      <c r="X14" s="191"/>
      <c r="Y14" s="191"/>
      <c r="Z14" s="191"/>
      <c r="AA14" s="191"/>
      <c r="AB14" s="191"/>
      <c r="AC14" s="191"/>
      <c r="AD14" s="191"/>
      <c r="AE14" s="191"/>
      <c r="AF14" s="191"/>
      <c r="AG14" s="191"/>
      <c r="AH14" s="191"/>
      <c r="AI14" s="191"/>
      <c r="AJ14" s="191"/>
      <c r="AK14" s="191"/>
      <c r="AL14" s="191"/>
      <c r="AM14" s="191"/>
      <c r="AN14" s="191"/>
      <c r="AO14" s="191"/>
      <c r="AP14" s="191"/>
      <c r="AQ14" s="191"/>
      <c r="AR14" s="191"/>
      <c r="AS14" s="191"/>
      <c r="AT14" s="191"/>
      <c r="AU14" s="191"/>
      <c r="AV14" s="191"/>
      <c r="AW14" s="191"/>
      <c r="AX14" s="191"/>
      <c r="AY14" s="191"/>
      <c r="AZ14" s="192"/>
      <c r="BA14" s="192"/>
      <c r="BB14" s="192"/>
      <c r="BC14" s="192"/>
      <c r="BD14" s="192"/>
      <c r="BE14" s="193"/>
      <c r="BF14" s="193"/>
      <c r="BG14" s="193"/>
      <c r="BH14" s="193"/>
    </row>
    <row r="15" spans="1:67" ht="15" customHeight="1" x14ac:dyDescent="0.3">
      <c r="A15" s="188"/>
      <c r="B15" s="188"/>
      <c r="C15" s="188"/>
      <c r="D15" s="188"/>
      <c r="E15" s="188"/>
      <c r="F15" s="189"/>
      <c r="G15" s="189"/>
      <c r="H15" s="189"/>
      <c r="I15" s="189"/>
      <c r="J15" s="189"/>
      <c r="K15" s="189"/>
      <c r="L15" s="189"/>
      <c r="M15" s="189"/>
      <c r="N15" s="189"/>
      <c r="O15" s="189"/>
      <c r="P15" s="189"/>
      <c r="Q15" s="189"/>
      <c r="R15" s="189"/>
      <c r="S15" s="189"/>
      <c r="T15" s="191"/>
      <c r="U15" s="191"/>
      <c r="V15" s="191"/>
      <c r="W15" s="191"/>
      <c r="X15" s="191"/>
      <c r="Y15" s="191"/>
      <c r="Z15" s="191"/>
      <c r="AA15" s="191"/>
      <c r="AB15" s="191"/>
      <c r="AC15" s="191"/>
      <c r="AD15" s="191"/>
      <c r="AE15" s="191"/>
      <c r="AF15" s="191"/>
      <c r="AG15" s="191"/>
      <c r="AH15" s="191"/>
      <c r="AI15" s="191"/>
      <c r="AJ15" s="191"/>
      <c r="AK15" s="191"/>
      <c r="AL15" s="191"/>
      <c r="AM15" s="191"/>
      <c r="AN15" s="191"/>
      <c r="AO15" s="191"/>
      <c r="AP15" s="191"/>
      <c r="AQ15" s="191"/>
      <c r="AR15" s="191"/>
      <c r="AS15" s="191"/>
      <c r="AT15" s="191"/>
      <c r="AU15" s="191"/>
      <c r="AV15" s="191"/>
      <c r="AW15" s="191"/>
      <c r="AX15" s="191"/>
      <c r="AY15" s="191"/>
      <c r="AZ15" s="192"/>
      <c r="BA15" s="192"/>
      <c r="BB15" s="192"/>
      <c r="BC15" s="192"/>
      <c r="BD15" s="192"/>
      <c r="BE15" s="193"/>
      <c r="BF15" s="193"/>
      <c r="BG15" s="193"/>
      <c r="BH15" s="193"/>
    </row>
    <row r="16" spans="1:67" ht="15" customHeight="1" x14ac:dyDescent="0.3">
      <c r="A16" s="188"/>
      <c r="B16" s="188"/>
      <c r="C16" s="188"/>
      <c r="D16" s="188"/>
      <c r="E16" s="188"/>
      <c r="F16" s="189"/>
      <c r="G16" s="189"/>
      <c r="H16" s="189"/>
      <c r="I16" s="189"/>
      <c r="J16" s="189"/>
      <c r="K16" s="189"/>
      <c r="L16" s="189"/>
      <c r="M16" s="189"/>
      <c r="N16" s="189"/>
      <c r="O16" s="189"/>
      <c r="P16" s="189"/>
      <c r="Q16" s="189"/>
      <c r="R16" s="189"/>
      <c r="S16" s="189"/>
      <c r="T16" s="191"/>
      <c r="U16" s="191"/>
      <c r="V16" s="191"/>
      <c r="W16" s="191"/>
      <c r="X16" s="191"/>
      <c r="Y16" s="191"/>
      <c r="Z16" s="191"/>
      <c r="AA16" s="191"/>
      <c r="AB16" s="191"/>
      <c r="AC16" s="191"/>
      <c r="AD16" s="191"/>
      <c r="AE16" s="191"/>
      <c r="AF16" s="191"/>
      <c r="AG16" s="191"/>
      <c r="AH16" s="191"/>
      <c r="AI16" s="191"/>
      <c r="AJ16" s="191"/>
      <c r="AK16" s="191"/>
      <c r="AL16" s="191"/>
      <c r="AM16" s="191"/>
      <c r="AN16" s="191"/>
      <c r="AO16" s="191"/>
      <c r="AP16" s="191"/>
      <c r="AQ16" s="191"/>
      <c r="AR16" s="191"/>
      <c r="AS16" s="191"/>
      <c r="AT16" s="191"/>
      <c r="AU16" s="191"/>
      <c r="AV16" s="191"/>
      <c r="AW16" s="191"/>
      <c r="AX16" s="191"/>
      <c r="AY16" s="191"/>
      <c r="AZ16" s="192"/>
      <c r="BA16" s="192"/>
      <c r="BB16" s="192"/>
      <c r="BC16" s="192"/>
      <c r="BD16" s="192"/>
      <c r="BE16" s="193"/>
      <c r="BF16" s="193"/>
      <c r="BG16" s="193"/>
      <c r="BH16" s="193"/>
    </row>
    <row r="17" spans="1:60" ht="15" customHeight="1" x14ac:dyDescent="0.3">
      <c r="A17" s="188"/>
      <c r="B17" s="188"/>
      <c r="C17" s="188"/>
      <c r="D17" s="188"/>
      <c r="E17" s="188"/>
      <c r="F17" s="189"/>
      <c r="G17" s="189"/>
      <c r="H17" s="189"/>
      <c r="I17" s="189"/>
      <c r="J17" s="189"/>
      <c r="K17" s="189"/>
      <c r="L17" s="189"/>
      <c r="M17" s="189"/>
      <c r="N17" s="189"/>
      <c r="O17" s="189"/>
      <c r="P17" s="189"/>
      <c r="Q17" s="189"/>
      <c r="R17" s="189"/>
      <c r="S17" s="189"/>
      <c r="T17" s="191"/>
      <c r="U17" s="191"/>
      <c r="V17" s="191"/>
      <c r="W17" s="191"/>
      <c r="X17" s="191"/>
      <c r="Y17" s="191"/>
      <c r="Z17" s="191"/>
      <c r="AA17" s="191"/>
      <c r="AB17" s="191"/>
      <c r="AC17" s="191"/>
      <c r="AD17" s="191"/>
      <c r="AE17" s="191"/>
      <c r="AF17" s="191"/>
      <c r="AG17" s="191"/>
      <c r="AH17" s="191"/>
      <c r="AI17" s="191"/>
      <c r="AJ17" s="191"/>
      <c r="AK17" s="191"/>
      <c r="AL17" s="191"/>
      <c r="AM17" s="191"/>
      <c r="AN17" s="191"/>
      <c r="AO17" s="191"/>
      <c r="AP17" s="191"/>
      <c r="AQ17" s="191"/>
      <c r="AR17" s="191"/>
      <c r="AS17" s="191"/>
      <c r="AT17" s="191"/>
      <c r="AU17" s="191"/>
      <c r="AV17" s="191"/>
      <c r="AW17" s="191"/>
      <c r="AX17" s="191"/>
      <c r="AY17" s="191"/>
      <c r="AZ17" s="192"/>
      <c r="BA17" s="192"/>
      <c r="BB17" s="192"/>
      <c r="BC17" s="192"/>
      <c r="BD17" s="192"/>
      <c r="BE17" s="193"/>
      <c r="BF17" s="193"/>
      <c r="BG17" s="193"/>
      <c r="BH17" s="193"/>
    </row>
    <row r="18" spans="1:60" ht="15" customHeight="1" x14ac:dyDescent="0.3">
      <c r="A18" s="188"/>
      <c r="B18" s="188"/>
      <c r="C18" s="188"/>
      <c r="D18" s="188"/>
      <c r="E18" s="188"/>
      <c r="F18" s="189"/>
      <c r="G18" s="189"/>
      <c r="H18" s="189"/>
      <c r="I18" s="189"/>
      <c r="J18" s="189"/>
      <c r="K18" s="189"/>
      <c r="L18" s="189"/>
      <c r="M18" s="189"/>
      <c r="N18" s="189"/>
      <c r="O18" s="189"/>
      <c r="P18" s="189"/>
      <c r="Q18" s="189"/>
      <c r="R18" s="189"/>
      <c r="S18" s="189"/>
      <c r="T18" s="191"/>
      <c r="U18" s="191"/>
      <c r="V18" s="191"/>
      <c r="W18" s="191"/>
      <c r="X18" s="191"/>
      <c r="Y18" s="191"/>
      <c r="Z18" s="191"/>
      <c r="AA18" s="191"/>
      <c r="AB18" s="191"/>
      <c r="AC18" s="191"/>
      <c r="AD18" s="191"/>
      <c r="AE18" s="191"/>
      <c r="AF18" s="191"/>
      <c r="AG18" s="191"/>
      <c r="AH18" s="191"/>
      <c r="AI18" s="191"/>
      <c r="AJ18" s="191"/>
      <c r="AK18" s="191"/>
      <c r="AL18" s="191"/>
      <c r="AM18" s="191"/>
      <c r="AN18" s="191"/>
      <c r="AO18" s="191"/>
      <c r="AP18" s="191"/>
      <c r="AQ18" s="191"/>
      <c r="AR18" s="191"/>
      <c r="AS18" s="191"/>
      <c r="AT18" s="191"/>
      <c r="AU18" s="191"/>
      <c r="AV18" s="191"/>
      <c r="AW18" s="191"/>
      <c r="AX18" s="191"/>
      <c r="AY18" s="191"/>
      <c r="AZ18" s="192"/>
      <c r="BA18" s="192"/>
      <c r="BB18" s="192"/>
      <c r="BC18" s="192"/>
      <c r="BD18" s="192"/>
      <c r="BE18" s="193"/>
      <c r="BF18" s="193"/>
      <c r="BG18" s="193"/>
      <c r="BH18" s="193"/>
    </row>
    <row r="19" spans="1:60" ht="15" customHeight="1" x14ac:dyDescent="0.3">
      <c r="A19" s="188"/>
      <c r="B19" s="188"/>
      <c r="C19" s="188"/>
      <c r="D19" s="188"/>
      <c r="E19" s="188"/>
      <c r="F19" s="189"/>
      <c r="G19" s="189"/>
      <c r="H19" s="189"/>
      <c r="I19" s="189"/>
      <c r="J19" s="189"/>
      <c r="K19" s="189"/>
      <c r="L19" s="189"/>
      <c r="M19" s="189"/>
      <c r="N19" s="189"/>
      <c r="O19" s="189"/>
      <c r="P19" s="189"/>
      <c r="Q19" s="189"/>
      <c r="R19" s="189"/>
      <c r="S19" s="189"/>
      <c r="T19" s="191"/>
      <c r="U19" s="191"/>
      <c r="V19" s="191"/>
      <c r="W19" s="191"/>
      <c r="X19" s="191"/>
      <c r="Y19" s="191"/>
      <c r="Z19" s="191"/>
      <c r="AA19" s="191"/>
      <c r="AB19" s="191"/>
      <c r="AC19" s="191"/>
      <c r="AD19" s="191"/>
      <c r="AE19" s="191"/>
      <c r="AF19" s="191"/>
      <c r="AG19" s="191"/>
      <c r="AH19" s="191"/>
      <c r="AI19" s="191"/>
      <c r="AJ19" s="191"/>
      <c r="AK19" s="191"/>
      <c r="AL19" s="191"/>
      <c r="AM19" s="191"/>
      <c r="AN19" s="191"/>
      <c r="AO19" s="191"/>
      <c r="AP19" s="191"/>
      <c r="AQ19" s="191"/>
      <c r="AR19" s="191"/>
      <c r="AS19" s="191"/>
      <c r="AT19" s="191"/>
      <c r="AU19" s="191"/>
      <c r="AV19" s="191"/>
      <c r="AW19" s="191"/>
      <c r="AX19" s="191"/>
      <c r="AY19" s="191"/>
      <c r="AZ19" s="192"/>
      <c r="BA19" s="192"/>
      <c r="BB19" s="192"/>
      <c r="BC19" s="192"/>
      <c r="BD19" s="192"/>
      <c r="BE19" s="193"/>
      <c r="BF19" s="193"/>
      <c r="BG19" s="193"/>
      <c r="BH19" s="193"/>
    </row>
    <row r="20" spans="1:60" ht="15" customHeight="1" x14ac:dyDescent="0.3">
      <c r="A20" s="188"/>
      <c r="B20" s="188"/>
      <c r="C20" s="188"/>
      <c r="D20" s="188"/>
      <c r="E20" s="188"/>
      <c r="F20" s="189"/>
      <c r="G20" s="189"/>
      <c r="H20" s="189"/>
      <c r="I20" s="189"/>
      <c r="J20" s="189"/>
      <c r="K20" s="189"/>
      <c r="L20" s="189"/>
      <c r="M20" s="189"/>
      <c r="N20" s="189"/>
      <c r="O20" s="189"/>
      <c r="P20" s="189"/>
      <c r="Q20" s="189"/>
      <c r="R20" s="189"/>
      <c r="S20" s="189"/>
      <c r="T20" s="191"/>
      <c r="U20" s="191"/>
      <c r="V20" s="191"/>
      <c r="W20" s="191"/>
      <c r="X20" s="191"/>
      <c r="Y20" s="191"/>
      <c r="Z20" s="191"/>
      <c r="AA20" s="191"/>
      <c r="AB20" s="191"/>
      <c r="AC20" s="191"/>
      <c r="AD20" s="191"/>
      <c r="AE20" s="191"/>
      <c r="AF20" s="191"/>
      <c r="AG20" s="191"/>
      <c r="AH20" s="191"/>
      <c r="AI20" s="191"/>
      <c r="AJ20" s="191"/>
      <c r="AK20" s="191"/>
      <c r="AL20" s="191"/>
      <c r="AM20" s="191"/>
      <c r="AN20" s="191"/>
      <c r="AO20" s="191"/>
      <c r="AP20" s="191"/>
      <c r="AQ20" s="191"/>
      <c r="AR20" s="191"/>
      <c r="AS20" s="191"/>
      <c r="AT20" s="191"/>
      <c r="AU20" s="191"/>
      <c r="AV20" s="191"/>
      <c r="AW20" s="191"/>
      <c r="AX20" s="191"/>
      <c r="AY20" s="191"/>
      <c r="AZ20" s="192"/>
      <c r="BA20" s="192"/>
      <c r="BB20" s="192"/>
      <c r="BC20" s="192"/>
      <c r="BD20" s="192"/>
      <c r="BE20" s="193"/>
      <c r="BF20" s="193"/>
      <c r="BG20" s="193"/>
      <c r="BH20" s="193"/>
    </row>
    <row r="21" spans="1:60" ht="15" customHeight="1" x14ac:dyDescent="0.3">
      <c r="A21" s="188"/>
      <c r="B21" s="188"/>
      <c r="C21" s="188"/>
      <c r="D21" s="188"/>
      <c r="E21" s="188"/>
      <c r="F21" s="189"/>
      <c r="G21" s="189"/>
      <c r="H21" s="189"/>
      <c r="I21" s="189"/>
      <c r="J21" s="189"/>
      <c r="K21" s="189"/>
      <c r="L21" s="189"/>
      <c r="M21" s="189"/>
      <c r="N21" s="189"/>
      <c r="O21" s="189"/>
      <c r="P21" s="189"/>
      <c r="Q21" s="189"/>
      <c r="R21" s="189"/>
      <c r="S21" s="189"/>
      <c r="T21" s="191"/>
      <c r="U21" s="191"/>
      <c r="V21" s="191"/>
      <c r="W21" s="191"/>
      <c r="X21" s="191"/>
      <c r="Y21" s="191"/>
      <c r="Z21" s="191"/>
      <c r="AA21" s="191"/>
      <c r="AB21" s="191"/>
      <c r="AC21" s="191"/>
      <c r="AD21" s="191"/>
      <c r="AE21" s="191"/>
      <c r="AF21" s="191"/>
      <c r="AG21" s="191"/>
      <c r="AH21" s="191"/>
      <c r="AI21" s="191"/>
      <c r="AJ21" s="191"/>
      <c r="AK21" s="191"/>
      <c r="AL21" s="191"/>
      <c r="AM21" s="191"/>
      <c r="AN21" s="191"/>
      <c r="AO21" s="191"/>
      <c r="AP21" s="191"/>
      <c r="AQ21" s="191"/>
      <c r="AR21" s="191"/>
      <c r="AS21" s="191"/>
      <c r="AT21" s="191"/>
      <c r="AU21" s="191"/>
      <c r="AV21" s="191"/>
      <c r="AW21" s="191"/>
      <c r="AX21" s="191"/>
      <c r="AY21" s="191"/>
      <c r="AZ21" s="192"/>
      <c r="BA21" s="192"/>
      <c r="BB21" s="192"/>
      <c r="BC21" s="192"/>
      <c r="BD21" s="192"/>
      <c r="BE21" s="193"/>
      <c r="BF21" s="193"/>
      <c r="BG21" s="193"/>
      <c r="BH21" s="193"/>
    </row>
    <row r="22" spans="1:60" ht="15" customHeight="1" thickBot="1" x14ac:dyDescent="0.35">
      <c r="A22" s="194"/>
      <c r="B22" s="194"/>
      <c r="C22" s="194"/>
      <c r="D22" s="194"/>
      <c r="E22" s="194"/>
      <c r="F22" s="195"/>
      <c r="G22" s="195"/>
      <c r="H22" s="195"/>
      <c r="I22" s="195"/>
      <c r="J22" s="195"/>
      <c r="K22" s="195"/>
      <c r="L22" s="195"/>
      <c r="M22" s="195"/>
      <c r="N22" s="195"/>
      <c r="O22" s="195"/>
      <c r="P22" s="195"/>
      <c r="Q22" s="195"/>
      <c r="R22" s="195"/>
      <c r="S22" s="195"/>
      <c r="T22" s="196"/>
      <c r="U22" s="196"/>
      <c r="V22" s="196"/>
      <c r="W22" s="196"/>
      <c r="X22" s="196"/>
      <c r="Y22" s="196"/>
      <c r="Z22" s="196"/>
      <c r="AA22" s="196"/>
      <c r="AB22" s="196"/>
      <c r="AC22" s="196"/>
      <c r="AD22" s="196"/>
      <c r="AE22" s="196"/>
      <c r="AF22" s="196"/>
      <c r="AG22" s="196"/>
      <c r="AH22" s="196"/>
      <c r="AI22" s="196"/>
      <c r="AJ22" s="196"/>
      <c r="AK22" s="196"/>
      <c r="AL22" s="196"/>
      <c r="AM22" s="196"/>
      <c r="AN22" s="196"/>
      <c r="AO22" s="196"/>
      <c r="AP22" s="196"/>
      <c r="AQ22" s="196"/>
      <c r="AR22" s="196"/>
      <c r="AS22" s="196"/>
      <c r="AT22" s="196"/>
      <c r="AU22" s="196"/>
      <c r="AV22" s="196"/>
      <c r="AW22" s="196"/>
      <c r="AX22" s="196"/>
      <c r="AY22" s="196"/>
      <c r="AZ22" s="197"/>
      <c r="BA22" s="197"/>
      <c r="BB22" s="197"/>
      <c r="BC22" s="197"/>
      <c r="BD22" s="197"/>
      <c r="BE22" s="198"/>
      <c r="BF22" s="198"/>
      <c r="BG22" s="198"/>
      <c r="BH22" s="198"/>
    </row>
  </sheetData>
  <mergeCells count="104">
    <mergeCell ref="A19:E19"/>
    <mergeCell ref="F19:S19"/>
    <mergeCell ref="T19:AY19"/>
    <mergeCell ref="AZ19:BD19"/>
    <mergeCell ref="BE19:BH19"/>
    <mergeCell ref="A22:E22"/>
    <mergeCell ref="F22:S22"/>
    <mergeCell ref="T22:AY22"/>
    <mergeCell ref="AZ22:BD22"/>
    <mergeCell ref="BE22:BH22"/>
    <mergeCell ref="A20:E20"/>
    <mergeCell ref="F20:S20"/>
    <mergeCell ref="T20:AY20"/>
    <mergeCell ref="AZ20:BD20"/>
    <mergeCell ref="BE20:BH20"/>
    <mergeCell ref="A21:E21"/>
    <mergeCell ref="F21:S21"/>
    <mergeCell ref="T21:AY21"/>
    <mergeCell ref="AZ21:BD21"/>
    <mergeCell ref="BE21:BH21"/>
    <mergeCell ref="A17:E17"/>
    <mergeCell ref="F17:S17"/>
    <mergeCell ref="T17:AY17"/>
    <mergeCell ref="AZ17:BD17"/>
    <mergeCell ref="BE17:BH17"/>
    <mergeCell ref="A18:E18"/>
    <mergeCell ref="F18:S18"/>
    <mergeCell ref="T18:AY18"/>
    <mergeCell ref="AZ18:BD18"/>
    <mergeCell ref="BE18:BH18"/>
    <mergeCell ref="A15:E15"/>
    <mergeCell ref="F15:S15"/>
    <mergeCell ref="T15:AY15"/>
    <mergeCell ref="AZ15:BD15"/>
    <mergeCell ref="BE15:BH15"/>
    <mergeCell ref="A16:E16"/>
    <mergeCell ref="F16:S16"/>
    <mergeCell ref="T16:AY16"/>
    <mergeCell ref="AZ16:BD16"/>
    <mergeCell ref="BE16:BH16"/>
    <mergeCell ref="A13:E13"/>
    <mergeCell ref="F13:S13"/>
    <mergeCell ref="T13:AY13"/>
    <mergeCell ref="AZ13:BD13"/>
    <mergeCell ref="BE13:BH13"/>
    <mergeCell ref="A14:E14"/>
    <mergeCell ref="F14:S14"/>
    <mergeCell ref="T14:AY14"/>
    <mergeCell ref="AZ14:BD14"/>
    <mergeCell ref="BE14:BH14"/>
    <mergeCell ref="A11:E11"/>
    <mergeCell ref="F11:S11"/>
    <mergeCell ref="T11:AY11"/>
    <mergeCell ref="AZ11:BD11"/>
    <mergeCell ref="BE11:BH11"/>
    <mergeCell ref="A12:E12"/>
    <mergeCell ref="F12:S12"/>
    <mergeCell ref="T12:AY12"/>
    <mergeCell ref="AZ12:BD12"/>
    <mergeCell ref="BE12:BH12"/>
    <mergeCell ref="A9:E9"/>
    <mergeCell ref="F9:S9"/>
    <mergeCell ref="T9:AY9"/>
    <mergeCell ref="AZ9:BD9"/>
    <mergeCell ref="BE9:BH9"/>
    <mergeCell ref="A10:E10"/>
    <mergeCell ref="F10:S10"/>
    <mergeCell ref="T10:AY10"/>
    <mergeCell ref="AZ10:BD10"/>
    <mergeCell ref="BE10:BH10"/>
    <mergeCell ref="A7:E7"/>
    <mergeCell ref="F7:S7"/>
    <mergeCell ref="T7:AY7"/>
    <mergeCell ref="AZ7:BD7"/>
    <mergeCell ref="BE7:BH7"/>
    <mergeCell ref="A8:E8"/>
    <mergeCell ref="F8:S8"/>
    <mergeCell ref="T8:AY8"/>
    <mergeCell ref="AZ8:BD8"/>
    <mergeCell ref="BE8:BH8"/>
    <mergeCell ref="A5:E5"/>
    <mergeCell ref="F5:S5"/>
    <mergeCell ref="T5:AY5"/>
    <mergeCell ref="AZ5:BD5"/>
    <mergeCell ref="BE5:BH5"/>
    <mergeCell ref="A6:E6"/>
    <mergeCell ref="F6:S6"/>
    <mergeCell ref="T6:AY6"/>
    <mergeCell ref="AZ6:BD6"/>
    <mergeCell ref="BE6:BH6"/>
    <mergeCell ref="A1:E1"/>
    <mergeCell ref="F1:V1"/>
    <mergeCell ref="W1:AQ1"/>
    <mergeCell ref="AR1:AZ1"/>
    <mergeCell ref="BA1:BH1"/>
    <mergeCell ref="A2:E3"/>
    <mergeCell ref="F2:V3"/>
    <mergeCell ref="W2:AQ3"/>
    <mergeCell ref="AR2:AS2"/>
    <mergeCell ref="AT2:AZ2"/>
    <mergeCell ref="BA2:BH2"/>
    <mergeCell ref="AR3:AS3"/>
    <mergeCell ref="AT3:AZ3"/>
    <mergeCell ref="BA3:BH3"/>
  </mergeCells>
  <phoneticPr fontId="4"/>
  <printOptions horizontalCentered="1"/>
  <pageMargins left="0.23622047244094491" right="0.23622047244094491" top="0.74803149606299213" bottom="0.74803149606299213" header="0.31496062992125984" footer="0.31496062992125984"/>
  <pageSetup paperSize="9" scale="85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BA72"/>
  <sheetViews>
    <sheetView showGridLines="0" zoomScaleNormal="100" workbookViewId="0">
      <selection sqref="A1:E1"/>
    </sheetView>
  </sheetViews>
  <sheetFormatPr defaultColWidth="2.453125" defaultRowHeight="14.4" x14ac:dyDescent="0.3"/>
  <cols>
    <col min="1" max="5" width="2.453125" style="8"/>
    <col min="6" max="10" width="2.453125" style="8" customWidth="1"/>
    <col min="11" max="49" width="2.453125" style="8"/>
    <col min="50" max="50" width="2.453125" style="8" customWidth="1"/>
    <col min="51" max="16384" width="2.453125" style="8"/>
  </cols>
  <sheetData>
    <row r="1" spans="1:48" ht="14.1" customHeight="1" thickBot="1" x14ac:dyDescent="0.35">
      <c r="A1" s="144" t="s">
        <v>8</v>
      </c>
      <c r="B1" s="145"/>
      <c r="C1" s="145"/>
      <c r="D1" s="145"/>
      <c r="E1" s="146"/>
      <c r="F1" s="141" t="str">
        <f>変更履歴!F1</f>
        <v>会計システム刷新プロジェクト（LIBRA）</v>
      </c>
      <c r="G1" s="142"/>
      <c r="H1" s="142"/>
      <c r="I1" s="142"/>
      <c r="J1" s="142"/>
      <c r="K1" s="142"/>
      <c r="L1" s="142"/>
      <c r="M1" s="142"/>
      <c r="N1" s="142"/>
      <c r="O1" s="142"/>
      <c r="P1" s="142"/>
      <c r="Q1" s="142"/>
      <c r="R1" s="142"/>
      <c r="S1" s="142"/>
      <c r="T1" s="142"/>
      <c r="U1" s="143"/>
      <c r="V1" s="144" t="s">
        <v>24</v>
      </c>
      <c r="W1" s="145"/>
      <c r="X1" s="145"/>
      <c r="Y1" s="145"/>
      <c r="Z1" s="145"/>
      <c r="AA1" s="145"/>
      <c r="AB1" s="145"/>
      <c r="AC1" s="145"/>
      <c r="AD1" s="145"/>
      <c r="AE1" s="145"/>
      <c r="AF1" s="145"/>
      <c r="AG1" s="145"/>
      <c r="AH1" s="145"/>
      <c r="AI1" s="146"/>
      <c r="AJ1" s="144" t="s">
        <v>10</v>
      </c>
      <c r="AK1" s="145"/>
      <c r="AL1" s="145"/>
      <c r="AM1" s="145"/>
      <c r="AN1" s="145"/>
      <c r="AO1" s="145"/>
      <c r="AP1" s="146"/>
      <c r="AQ1" s="144" t="s">
        <v>11</v>
      </c>
      <c r="AR1" s="145"/>
      <c r="AS1" s="145"/>
      <c r="AT1" s="145"/>
      <c r="AU1" s="145"/>
      <c r="AV1" s="146"/>
    </row>
    <row r="2" spans="1:48" ht="14.1" customHeight="1" x14ac:dyDescent="0.3">
      <c r="A2" s="213" t="s">
        <v>12</v>
      </c>
      <c r="B2" s="214"/>
      <c r="C2" s="214"/>
      <c r="D2" s="214"/>
      <c r="E2" s="215"/>
      <c r="F2" s="153" t="str">
        <f>変更履歴!F2</f>
        <v>ToBe業務フロー（7.Branch2）</v>
      </c>
      <c r="G2" s="154"/>
      <c r="H2" s="154"/>
      <c r="I2" s="154"/>
      <c r="J2" s="154"/>
      <c r="K2" s="154"/>
      <c r="L2" s="154"/>
      <c r="M2" s="154"/>
      <c r="N2" s="154"/>
      <c r="O2" s="154"/>
      <c r="P2" s="154"/>
      <c r="Q2" s="154"/>
      <c r="R2" s="154"/>
      <c r="S2" s="154"/>
      <c r="T2" s="154"/>
      <c r="U2" s="155"/>
      <c r="V2" s="153" t="str">
        <f ca="1">MID(CELL("filename",$A$1),FIND("]",CELL("filename",$A$1))+1,31)</f>
        <v>凡例</v>
      </c>
      <c r="W2" s="154"/>
      <c r="X2" s="154"/>
      <c r="Y2" s="154"/>
      <c r="Z2" s="154"/>
      <c r="AA2" s="154"/>
      <c r="AB2" s="154"/>
      <c r="AC2" s="154"/>
      <c r="AD2" s="154"/>
      <c r="AE2" s="154"/>
      <c r="AF2" s="154"/>
      <c r="AG2" s="154"/>
      <c r="AH2" s="154"/>
      <c r="AI2" s="155"/>
      <c r="AJ2" s="165" t="s">
        <v>13</v>
      </c>
      <c r="AK2" s="166"/>
      <c r="AL2" s="167">
        <f>変更履歴!AT2</f>
        <v>45650</v>
      </c>
      <c r="AM2" s="168"/>
      <c r="AN2" s="168"/>
      <c r="AO2" s="168"/>
      <c r="AP2" s="169"/>
      <c r="AQ2" s="170" t="str">
        <f>変更履歴!BA2</f>
        <v>JBS北井</v>
      </c>
      <c r="AR2" s="171"/>
      <c r="AS2" s="171"/>
      <c r="AT2" s="171"/>
      <c r="AU2" s="171"/>
      <c r="AV2" s="172"/>
    </row>
    <row r="3" spans="1:48" ht="14.1" customHeight="1" thickBot="1" x14ac:dyDescent="0.35">
      <c r="A3" s="216"/>
      <c r="B3" s="217"/>
      <c r="C3" s="217"/>
      <c r="D3" s="217"/>
      <c r="E3" s="218"/>
      <c r="F3" s="156"/>
      <c r="G3" s="157"/>
      <c r="H3" s="157"/>
      <c r="I3" s="157"/>
      <c r="J3" s="157"/>
      <c r="K3" s="157"/>
      <c r="L3" s="157"/>
      <c r="M3" s="157"/>
      <c r="N3" s="157"/>
      <c r="O3" s="157"/>
      <c r="P3" s="157"/>
      <c r="Q3" s="157"/>
      <c r="R3" s="157"/>
      <c r="S3" s="157"/>
      <c r="T3" s="157"/>
      <c r="U3" s="158"/>
      <c r="V3" s="156"/>
      <c r="W3" s="157"/>
      <c r="X3" s="157"/>
      <c r="Y3" s="157"/>
      <c r="Z3" s="157"/>
      <c r="AA3" s="157"/>
      <c r="AB3" s="157"/>
      <c r="AC3" s="157"/>
      <c r="AD3" s="157"/>
      <c r="AE3" s="157"/>
      <c r="AF3" s="157"/>
      <c r="AG3" s="157"/>
      <c r="AH3" s="157"/>
      <c r="AI3" s="158"/>
      <c r="AJ3" s="173" t="s">
        <v>14</v>
      </c>
      <c r="AK3" s="174"/>
      <c r="AL3" s="175">
        <f ca="1">変更履歴!AT3</f>
        <v>45846</v>
      </c>
      <c r="AM3" s="176"/>
      <c r="AN3" s="176"/>
      <c r="AO3" s="176"/>
      <c r="AP3" s="177"/>
      <c r="AQ3" s="178" t="str">
        <f ca="1">変更履歴!BA3</f>
        <v>JBS加藤</v>
      </c>
      <c r="AR3" s="179"/>
      <c r="AS3" s="179"/>
      <c r="AT3" s="179"/>
      <c r="AU3" s="179"/>
      <c r="AV3" s="180"/>
    </row>
    <row r="4" spans="1:48" x14ac:dyDescent="0.3">
      <c r="A4" s="23"/>
      <c r="AV4" s="9"/>
    </row>
    <row r="5" spans="1:48" x14ac:dyDescent="0.3">
      <c r="A5" s="45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</row>
    <row r="6" spans="1:48" s="11" customFormat="1" x14ac:dyDescent="0.3">
      <c r="A6" s="33" t="s">
        <v>25</v>
      </c>
      <c r="B6" s="46"/>
      <c r="C6" s="46"/>
      <c r="D6" s="46"/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  <c r="AA6" s="46"/>
      <c r="AB6" s="46"/>
      <c r="AC6" s="46"/>
      <c r="AD6" s="46"/>
      <c r="AE6" s="46"/>
      <c r="AF6" s="46"/>
      <c r="AG6" s="46"/>
      <c r="AH6" s="46"/>
      <c r="AI6" s="46"/>
      <c r="AJ6" s="46"/>
      <c r="AK6" s="46"/>
      <c r="AL6" s="46"/>
      <c r="AM6" s="46"/>
      <c r="AN6" s="46"/>
      <c r="AO6" s="46"/>
      <c r="AP6" s="46"/>
      <c r="AQ6" s="46"/>
      <c r="AR6" s="46"/>
      <c r="AS6" s="46"/>
      <c r="AT6" s="46"/>
      <c r="AU6" s="46"/>
      <c r="AV6" s="34"/>
    </row>
    <row r="7" spans="1:48" s="11" customFormat="1" x14ac:dyDescent="0.3">
      <c r="A7" s="24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V7" s="13"/>
    </row>
    <row r="8" spans="1:48" s="11" customFormat="1" x14ac:dyDescent="0.3">
      <c r="A8" s="24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V8" s="13"/>
    </row>
    <row r="9" spans="1:48" s="11" customFormat="1" x14ac:dyDescent="0.3">
      <c r="A9" s="24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V9" s="13"/>
    </row>
    <row r="10" spans="1:48" s="11" customFormat="1" x14ac:dyDescent="0.3">
      <c r="A10" s="24"/>
      <c r="B10" s="12"/>
      <c r="C10" s="12"/>
      <c r="D10" s="12"/>
      <c r="E10" s="12"/>
      <c r="F10" s="12"/>
      <c r="H10" t="s">
        <v>26</v>
      </c>
      <c r="I10" t="s">
        <v>27</v>
      </c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C10" t="s">
        <v>26</v>
      </c>
      <c r="AD10" t="s">
        <v>28</v>
      </c>
      <c r="AV10" s="13"/>
    </row>
    <row r="11" spans="1:48" s="11" customFormat="1" x14ac:dyDescent="0.3">
      <c r="A11" s="24"/>
      <c r="B11" s="12"/>
      <c r="C11" s="12"/>
      <c r="D11" s="12"/>
      <c r="E11" s="12"/>
      <c r="F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C11" s="12"/>
      <c r="AV11" s="13"/>
    </row>
    <row r="12" spans="1:48" s="11" customFormat="1" x14ac:dyDescent="0.3">
      <c r="A12" s="24"/>
      <c r="B12" s="12"/>
      <c r="C12" s="12"/>
      <c r="D12" s="12"/>
      <c r="E12" s="12"/>
      <c r="F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C12" s="12"/>
      <c r="AV12" s="13"/>
    </row>
    <row r="13" spans="1:48" s="11" customFormat="1" x14ac:dyDescent="0.3">
      <c r="A13" s="24"/>
      <c r="B13" s="12"/>
      <c r="C13" s="12"/>
      <c r="D13" s="12"/>
      <c r="E13" s="12"/>
      <c r="F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C13" s="12"/>
      <c r="AV13" s="13"/>
    </row>
    <row r="14" spans="1:48" s="11" customFormat="1" x14ac:dyDescent="0.3">
      <c r="A14" s="24"/>
      <c r="B14" s="12"/>
      <c r="C14" s="12"/>
      <c r="D14" s="12"/>
      <c r="E14" s="12"/>
      <c r="F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V14" s="13"/>
    </row>
    <row r="15" spans="1:48" s="11" customFormat="1" x14ac:dyDescent="0.3">
      <c r="A15" s="24"/>
      <c r="B15" s="12"/>
      <c r="C15" s="12"/>
      <c r="D15" s="12"/>
      <c r="E15" s="12"/>
      <c r="F15" s="12"/>
      <c r="H15" t="s">
        <v>26</v>
      </c>
      <c r="I15" t="s">
        <v>29</v>
      </c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/>
      <c r="AC15" t="s">
        <v>26</v>
      </c>
      <c r="AD15" t="s">
        <v>30</v>
      </c>
      <c r="AV15" s="13"/>
    </row>
    <row r="16" spans="1:48" s="11" customFormat="1" x14ac:dyDescent="0.3">
      <c r="A16" s="24"/>
      <c r="B16" s="12"/>
      <c r="C16" s="12"/>
      <c r="D16" s="12"/>
      <c r="E16" s="12"/>
      <c r="F16" s="12"/>
      <c r="H16" s="12"/>
      <c r="I16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/>
      <c r="AV16" s="13"/>
    </row>
    <row r="17" spans="1:48" s="11" customFormat="1" x14ac:dyDescent="0.3">
      <c r="A17" s="24"/>
      <c r="B17" s="12"/>
      <c r="C17" s="12"/>
      <c r="D17" s="12"/>
      <c r="E17" s="12"/>
      <c r="F17" s="12"/>
      <c r="H17" s="12"/>
      <c r="I17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/>
      <c r="AC17"/>
      <c r="AV17" s="13"/>
    </row>
    <row r="18" spans="1:48" s="11" customFormat="1" x14ac:dyDescent="0.3">
      <c r="A18" s="24"/>
      <c r="B18" s="12"/>
      <c r="C18" s="12"/>
      <c r="D18" s="12"/>
      <c r="E18" s="12"/>
      <c r="F18" s="12"/>
      <c r="H18" s="12"/>
      <c r="I18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V18" s="13"/>
    </row>
    <row r="19" spans="1:48" s="11" customFormat="1" x14ac:dyDescent="0.3">
      <c r="A19" s="24"/>
      <c r="B19" s="12"/>
      <c r="C19" s="12"/>
      <c r="D19" s="12"/>
      <c r="E19" s="12"/>
      <c r="F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/>
      <c r="AV19" s="13"/>
    </row>
    <row r="20" spans="1:48" s="11" customFormat="1" x14ac:dyDescent="0.3">
      <c r="A20" s="24"/>
      <c r="C20" s="12"/>
      <c r="D20" s="12"/>
      <c r="E20" s="12"/>
      <c r="F20" s="12"/>
      <c r="H20" t="s">
        <v>26</v>
      </c>
      <c r="I20" t="s">
        <v>31</v>
      </c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/>
      <c r="AC20" t="s">
        <v>26</v>
      </c>
      <c r="AD20" t="s">
        <v>32</v>
      </c>
      <c r="AV20" s="13"/>
    </row>
    <row r="21" spans="1:48" s="11" customFormat="1" x14ac:dyDescent="0.3">
      <c r="A21" s="24"/>
      <c r="B21" s="12"/>
      <c r="C21" s="12"/>
      <c r="D21" s="12"/>
      <c r="E21" s="12"/>
      <c r="F21" s="12"/>
      <c r="H21" s="12"/>
      <c r="I21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/>
      <c r="AC21"/>
      <c r="AV21" s="13"/>
    </row>
    <row r="22" spans="1:48" s="11" customFormat="1" x14ac:dyDescent="0.3">
      <c r="A22" s="24"/>
      <c r="B22" s="12"/>
      <c r="C22" s="12"/>
      <c r="D22" s="12"/>
      <c r="E22" s="12"/>
      <c r="F22" s="12"/>
      <c r="H22" s="12"/>
      <c r="I2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V22" s="13"/>
    </row>
    <row r="23" spans="1:48" s="11" customFormat="1" x14ac:dyDescent="0.3">
      <c r="A23" s="24"/>
      <c r="B23" s="12"/>
      <c r="C23" s="12"/>
      <c r="D23" s="12"/>
      <c r="E23" s="12"/>
      <c r="F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/>
      <c r="AC23"/>
      <c r="AV23" s="13"/>
    </row>
    <row r="24" spans="1:48" s="11" customFormat="1" x14ac:dyDescent="0.3">
      <c r="A24" s="24"/>
      <c r="B24" s="12"/>
      <c r="C24" s="12"/>
      <c r="D24" s="12"/>
      <c r="E24" s="12"/>
      <c r="F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/>
      <c r="AV24" s="13"/>
    </row>
    <row r="25" spans="1:48" s="11" customFormat="1" x14ac:dyDescent="0.3">
      <c r="A25" s="24"/>
      <c r="B25" s="12"/>
      <c r="C25" s="12"/>
      <c r="D25" s="12"/>
      <c r="E25" s="12"/>
      <c r="F25" s="12"/>
      <c r="H25" t="s">
        <v>26</v>
      </c>
      <c r="I25" t="s">
        <v>33</v>
      </c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C25" s="11" t="s">
        <v>26</v>
      </c>
      <c r="AD25" s="11" t="s">
        <v>34</v>
      </c>
      <c r="AV25" s="13"/>
    </row>
    <row r="26" spans="1:48" s="11" customFormat="1" x14ac:dyDescent="0.3">
      <c r="A26" s="24"/>
      <c r="B26" s="12"/>
      <c r="C26" s="12"/>
      <c r="D26" s="12"/>
      <c r="E26" s="12"/>
      <c r="F26" s="12"/>
      <c r="H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/>
      <c r="AC26"/>
      <c r="AV26" s="13"/>
    </row>
    <row r="27" spans="1:48" s="11" customFormat="1" x14ac:dyDescent="0.3">
      <c r="A27" s="24"/>
      <c r="B27" s="12"/>
      <c r="C27" s="12"/>
      <c r="D27" s="12"/>
      <c r="E27" s="12"/>
      <c r="F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/>
      <c r="AC27"/>
      <c r="AV27" s="13"/>
    </row>
    <row r="28" spans="1:48" s="11" customFormat="1" x14ac:dyDescent="0.3">
      <c r="A28" s="24"/>
      <c r="B28" s="12"/>
      <c r="C28" s="12"/>
      <c r="D28" s="12"/>
      <c r="E28" s="12"/>
      <c r="F28" s="12"/>
      <c r="H28" s="12"/>
      <c r="I28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V28" s="13"/>
    </row>
    <row r="29" spans="1:48" s="11" customFormat="1" x14ac:dyDescent="0.3">
      <c r="A29" s="24"/>
      <c r="B29" s="12"/>
      <c r="C29" s="12"/>
      <c r="D29" s="12"/>
      <c r="E29" s="12"/>
      <c r="F29" s="12"/>
      <c r="H29" s="12"/>
      <c r="I29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V29" s="13"/>
    </row>
    <row r="30" spans="1:48" s="11" customFormat="1" x14ac:dyDescent="0.3">
      <c r="A30" s="24"/>
      <c r="C30" s="12"/>
      <c r="D30" s="12"/>
      <c r="E30" s="12"/>
      <c r="F30" s="12"/>
      <c r="H30" t="s">
        <v>26</v>
      </c>
      <c r="I30" t="s">
        <v>35</v>
      </c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/>
      <c r="AC30" t="s">
        <v>26</v>
      </c>
      <c r="AD30" t="s">
        <v>36</v>
      </c>
      <c r="AV30" s="13"/>
    </row>
    <row r="31" spans="1:48" s="11" customFormat="1" x14ac:dyDescent="0.3">
      <c r="A31" s="24"/>
      <c r="C31" s="12"/>
      <c r="D31" s="12"/>
      <c r="E31" s="12"/>
      <c r="F31" s="12"/>
      <c r="H31" s="12"/>
      <c r="I31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/>
      <c r="AC31"/>
      <c r="AV31" s="13"/>
    </row>
    <row r="32" spans="1:48" x14ac:dyDescent="0.3">
      <c r="A32" s="23"/>
      <c r="I32"/>
      <c r="AA32"/>
      <c r="AC32"/>
      <c r="AV32" s="14"/>
    </row>
    <row r="33" spans="1:53" x14ac:dyDescent="0.3">
      <c r="A33" s="23"/>
      <c r="AA33"/>
      <c r="AC33"/>
      <c r="AV33" s="14"/>
    </row>
    <row r="34" spans="1:53" x14ac:dyDescent="0.3">
      <c r="A34" s="23"/>
      <c r="AC34"/>
      <c r="AD34"/>
      <c r="AV34" s="14"/>
    </row>
    <row r="35" spans="1:53" x14ac:dyDescent="0.3">
      <c r="A35" s="23"/>
      <c r="H35" t="s">
        <v>26</v>
      </c>
      <c r="I35" t="s">
        <v>37</v>
      </c>
      <c r="AA35"/>
      <c r="AC35" t="s">
        <v>26</v>
      </c>
      <c r="AD35" t="s">
        <v>38</v>
      </c>
      <c r="AV35" s="14"/>
    </row>
    <row r="36" spans="1:53" x14ac:dyDescent="0.3">
      <c r="A36" s="23"/>
      <c r="AA36"/>
      <c r="AC36"/>
      <c r="AV36" s="14"/>
    </row>
    <row r="37" spans="1:53" x14ac:dyDescent="0.3">
      <c r="A37" s="23"/>
      <c r="AA37"/>
      <c r="AC37"/>
      <c r="AV37" s="14"/>
    </row>
    <row r="38" spans="1:53" x14ac:dyDescent="0.3">
      <c r="A38" s="23"/>
      <c r="AA38"/>
      <c r="AC38"/>
      <c r="AV38" s="14"/>
    </row>
    <row r="39" spans="1:53" x14ac:dyDescent="0.3">
      <c r="A39" s="45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0"/>
      <c r="AO39" s="10"/>
      <c r="AP39" s="10"/>
      <c r="AQ39" s="10"/>
      <c r="AR39" s="10"/>
      <c r="AS39" s="10"/>
      <c r="AT39" s="10"/>
      <c r="AU39" s="10"/>
      <c r="AV39" s="15"/>
    </row>
    <row r="40" spans="1:53" s="11" customFormat="1" x14ac:dyDescent="0.3">
      <c r="A40" s="33" t="s">
        <v>25</v>
      </c>
      <c r="B40" s="46"/>
      <c r="C40" s="46"/>
      <c r="D40" s="46"/>
      <c r="E40" s="46"/>
      <c r="F40" s="46"/>
      <c r="G40" s="46"/>
      <c r="H40" s="46"/>
      <c r="I40" s="46"/>
      <c r="J40" s="46"/>
      <c r="K40" s="46"/>
      <c r="L40" s="46"/>
      <c r="M40" s="46"/>
      <c r="N40" s="46"/>
      <c r="O40" s="46"/>
      <c r="P40" s="46"/>
      <c r="Q40" s="46"/>
      <c r="R40" s="46"/>
      <c r="S40" s="46"/>
      <c r="T40" s="46"/>
      <c r="U40" s="46"/>
      <c r="V40" s="46"/>
      <c r="W40" s="46"/>
      <c r="X40" s="46"/>
      <c r="Y40" s="46"/>
      <c r="Z40" s="46"/>
      <c r="AA40" s="46"/>
      <c r="AB40" s="46"/>
      <c r="AC40" s="46"/>
      <c r="AD40" s="46"/>
      <c r="AE40" s="46"/>
      <c r="AF40" s="46"/>
      <c r="AG40" s="46"/>
      <c r="AH40" s="46"/>
      <c r="AI40" s="46"/>
      <c r="AJ40" s="46"/>
      <c r="AK40" s="46"/>
      <c r="AL40" s="46"/>
      <c r="AM40" s="46"/>
      <c r="AN40" s="46"/>
      <c r="AO40" s="46"/>
      <c r="AP40" s="46"/>
      <c r="AQ40" s="46"/>
      <c r="AR40" s="46"/>
      <c r="AS40" s="46"/>
      <c r="AT40" s="46"/>
      <c r="AU40" s="46"/>
      <c r="AV40" s="34"/>
    </row>
    <row r="41" spans="1:53" x14ac:dyDescent="0.3">
      <c r="A41" s="23"/>
      <c r="AV41" s="14"/>
    </row>
    <row r="42" spans="1:53" x14ac:dyDescent="0.3">
      <c r="A42" s="23"/>
      <c r="AV42" s="14"/>
      <c r="AY42" s="11"/>
      <c r="AZ42" s="11"/>
      <c r="BA42" s="11"/>
    </row>
    <row r="43" spans="1:53" x14ac:dyDescent="0.3">
      <c r="A43" s="23"/>
      <c r="B43" s="219" t="s">
        <v>39</v>
      </c>
      <c r="C43" s="220"/>
      <c r="D43" s="220"/>
      <c r="E43" s="220"/>
      <c r="F43" s="220"/>
      <c r="G43" s="220"/>
      <c r="H43" s="220"/>
      <c r="J43" s="8" t="s">
        <v>26</v>
      </c>
      <c r="K43" s="8" t="s">
        <v>40</v>
      </c>
      <c r="AV43" s="14"/>
      <c r="AY43" s="11"/>
      <c r="AZ43" s="11"/>
      <c r="BA43" s="11"/>
    </row>
    <row r="44" spans="1:53" x14ac:dyDescent="0.3">
      <c r="A44" s="23"/>
      <c r="B44" s="220"/>
      <c r="C44" s="220"/>
      <c r="D44" s="220"/>
      <c r="E44" s="220"/>
      <c r="F44" s="220"/>
      <c r="G44" s="220"/>
      <c r="H44" s="220"/>
      <c r="K44" s="8" t="s">
        <v>41</v>
      </c>
      <c r="AV44" s="14"/>
    </row>
    <row r="45" spans="1:53" x14ac:dyDescent="0.3">
      <c r="A45" s="23"/>
      <c r="AV45" s="14"/>
    </row>
    <row r="46" spans="1:53" x14ac:dyDescent="0.3">
      <c r="A46" s="23"/>
      <c r="B46" s="210" t="s">
        <v>39</v>
      </c>
      <c r="C46" s="211"/>
      <c r="D46" s="211"/>
      <c r="E46" s="211"/>
      <c r="F46" s="211"/>
      <c r="G46" s="211"/>
      <c r="H46" s="211"/>
      <c r="I46" s="211"/>
      <c r="J46" s="211"/>
      <c r="K46" s="211"/>
      <c r="L46" s="211"/>
      <c r="M46" s="211"/>
      <c r="N46" s="211"/>
      <c r="O46" s="212"/>
      <c r="AV46" s="14"/>
    </row>
    <row r="47" spans="1:53" x14ac:dyDescent="0.3">
      <c r="A47" s="23"/>
      <c r="B47" s="210" t="s">
        <v>42</v>
      </c>
      <c r="C47" s="211"/>
      <c r="D47" s="211"/>
      <c r="E47" s="211"/>
      <c r="F47" s="211"/>
      <c r="G47" s="211"/>
      <c r="H47" s="212"/>
      <c r="I47" s="210" t="s">
        <v>43</v>
      </c>
      <c r="J47" s="211"/>
      <c r="K47" s="211"/>
      <c r="L47" s="211"/>
      <c r="M47" s="211"/>
      <c r="N47" s="211"/>
      <c r="O47" s="212"/>
      <c r="AV47" s="14"/>
    </row>
    <row r="48" spans="1:53" x14ac:dyDescent="0.3">
      <c r="A48" s="23"/>
      <c r="AV48" s="14"/>
    </row>
    <row r="49" spans="1:48" x14ac:dyDescent="0.3">
      <c r="A49" s="23"/>
      <c r="AV49" s="14"/>
    </row>
    <row r="50" spans="1:48" x14ac:dyDescent="0.3">
      <c r="A50" s="23"/>
      <c r="B50" s="204" t="s">
        <v>44</v>
      </c>
      <c r="C50" s="205"/>
      <c r="D50" s="205"/>
      <c r="E50" s="205"/>
      <c r="F50" s="205"/>
      <c r="G50" s="205"/>
      <c r="H50" s="206"/>
      <c r="J50" s="8" t="s">
        <v>26</v>
      </c>
      <c r="K50" s="8" t="s">
        <v>45</v>
      </c>
      <c r="AV50" s="14"/>
    </row>
    <row r="51" spans="1:48" x14ac:dyDescent="0.3">
      <c r="A51" s="23"/>
      <c r="B51" s="207"/>
      <c r="C51" s="208"/>
      <c r="D51" s="208"/>
      <c r="E51" s="208"/>
      <c r="F51" s="208"/>
      <c r="G51" s="208"/>
      <c r="H51" s="209"/>
      <c r="K51" s="8" t="s">
        <v>46</v>
      </c>
      <c r="AV51" s="14"/>
    </row>
    <row r="52" spans="1:48" x14ac:dyDescent="0.3">
      <c r="A52" s="23"/>
      <c r="AV52" s="14"/>
    </row>
    <row r="53" spans="1:48" x14ac:dyDescent="0.3">
      <c r="A53" s="23"/>
      <c r="AV53" s="14"/>
    </row>
    <row r="54" spans="1:48" x14ac:dyDescent="0.3">
      <c r="A54" s="23"/>
      <c r="B54" s="201" t="s">
        <v>36</v>
      </c>
      <c r="C54" s="202"/>
      <c r="D54" s="202"/>
      <c r="E54" s="202"/>
      <c r="F54" s="202"/>
      <c r="G54" s="202"/>
      <c r="H54" s="203"/>
      <c r="J54" s="8" t="s">
        <v>26</v>
      </c>
      <c r="K54" s="8" t="s">
        <v>47</v>
      </c>
      <c r="AV54" s="14"/>
    </row>
    <row r="55" spans="1:48" x14ac:dyDescent="0.3">
      <c r="A55" s="23"/>
      <c r="B55" s="201" t="s">
        <v>48</v>
      </c>
      <c r="C55" s="202"/>
      <c r="D55" s="202"/>
      <c r="E55" s="202"/>
      <c r="F55" s="202"/>
      <c r="G55" s="202"/>
      <c r="H55" s="203"/>
      <c r="K55" s="8" t="s">
        <v>49</v>
      </c>
      <c r="AV55" s="14"/>
    </row>
    <row r="56" spans="1:48" x14ac:dyDescent="0.3">
      <c r="A56" s="23"/>
      <c r="K56" s="8" t="s">
        <v>50</v>
      </c>
      <c r="AV56" s="14"/>
    </row>
    <row r="57" spans="1:48" x14ac:dyDescent="0.3">
      <c r="A57" s="23"/>
      <c r="AV57" s="14"/>
    </row>
    <row r="58" spans="1:48" x14ac:dyDescent="0.3">
      <c r="A58" s="23"/>
      <c r="B58" s="201" t="s">
        <v>36</v>
      </c>
      <c r="C58" s="202"/>
      <c r="D58" s="202"/>
      <c r="E58" s="202"/>
      <c r="F58" s="202"/>
      <c r="G58" s="202"/>
      <c r="H58" s="202"/>
      <c r="I58" s="202"/>
      <c r="J58" s="202"/>
      <c r="K58" s="202"/>
      <c r="L58" s="202"/>
      <c r="M58" s="202"/>
      <c r="N58" s="202"/>
      <c r="O58" s="202"/>
      <c r="P58" s="202"/>
      <c r="Q58" s="202"/>
      <c r="R58" s="202"/>
      <c r="S58" s="202"/>
      <c r="T58" s="202"/>
      <c r="U58" s="202"/>
      <c r="V58" s="203"/>
      <c r="AV58" s="14"/>
    </row>
    <row r="59" spans="1:48" x14ac:dyDescent="0.3">
      <c r="A59" s="23"/>
      <c r="B59" s="201" t="s">
        <v>51</v>
      </c>
      <c r="C59" s="202"/>
      <c r="D59" s="202"/>
      <c r="E59" s="202"/>
      <c r="F59" s="202"/>
      <c r="G59" s="202"/>
      <c r="H59" s="203"/>
      <c r="I59" s="201" t="s">
        <v>52</v>
      </c>
      <c r="J59" s="202"/>
      <c r="K59" s="202"/>
      <c r="L59" s="202"/>
      <c r="M59" s="202"/>
      <c r="N59" s="202"/>
      <c r="O59" s="203"/>
      <c r="P59" s="201" t="s">
        <v>53</v>
      </c>
      <c r="Q59" s="202"/>
      <c r="R59" s="202"/>
      <c r="S59" s="202"/>
      <c r="T59" s="202"/>
      <c r="U59" s="202"/>
      <c r="V59" s="203"/>
      <c r="AV59" s="14"/>
    </row>
    <row r="60" spans="1:48" x14ac:dyDescent="0.3">
      <c r="A60" s="23"/>
      <c r="AV60" s="14"/>
    </row>
    <row r="61" spans="1:48" x14ac:dyDescent="0.3">
      <c r="A61" s="23"/>
      <c r="AV61" s="14"/>
    </row>
    <row r="62" spans="1:48" x14ac:dyDescent="0.3">
      <c r="A62" s="23"/>
      <c r="B62" s="200" t="s">
        <v>54</v>
      </c>
      <c r="C62" s="200"/>
      <c r="D62" s="200"/>
      <c r="E62" s="200"/>
      <c r="F62" s="200"/>
      <c r="G62" s="200"/>
      <c r="H62" s="200"/>
      <c r="I62" s="200"/>
      <c r="J62" s="200"/>
      <c r="K62" s="200"/>
      <c r="L62" s="200"/>
      <c r="M62" s="200"/>
      <c r="N62" s="200"/>
      <c r="O62" s="200"/>
      <c r="P62" s="200"/>
      <c r="Q62" s="200"/>
      <c r="S62" s="8" t="s">
        <v>26</v>
      </c>
      <c r="T62" s="8" t="s">
        <v>55</v>
      </c>
      <c r="AV62" s="14"/>
    </row>
    <row r="63" spans="1:48" x14ac:dyDescent="0.3">
      <c r="A63" s="23"/>
      <c r="B63" s="200"/>
      <c r="C63" s="200"/>
      <c r="D63" s="200"/>
      <c r="E63" s="200"/>
      <c r="F63" s="200"/>
      <c r="G63" s="200"/>
      <c r="H63" s="200"/>
      <c r="I63" s="200"/>
      <c r="J63" s="200"/>
      <c r="K63" s="200"/>
      <c r="L63" s="200"/>
      <c r="M63" s="200"/>
      <c r="N63" s="200"/>
      <c r="O63" s="200"/>
      <c r="P63" s="200"/>
      <c r="Q63" s="200"/>
      <c r="AV63" s="14"/>
    </row>
    <row r="64" spans="1:48" x14ac:dyDescent="0.3">
      <c r="A64" s="23"/>
      <c r="AV64" s="14"/>
    </row>
    <row r="65" spans="1:48" x14ac:dyDescent="0.3">
      <c r="A65" s="23"/>
      <c r="AV65" s="14"/>
    </row>
    <row r="66" spans="1:48" x14ac:dyDescent="0.3">
      <c r="A66" s="23"/>
      <c r="B66" s="199" t="s">
        <v>56</v>
      </c>
      <c r="C66" s="200"/>
      <c r="D66" s="200"/>
      <c r="E66" s="200"/>
      <c r="F66" s="200"/>
      <c r="J66" s="8" t="s">
        <v>26</v>
      </c>
      <c r="K66" s="8" t="s">
        <v>57</v>
      </c>
      <c r="AV66" s="14"/>
    </row>
    <row r="67" spans="1:48" x14ac:dyDescent="0.3">
      <c r="A67" s="23"/>
      <c r="B67" s="200"/>
      <c r="C67" s="200"/>
      <c r="D67" s="200"/>
      <c r="E67" s="200"/>
      <c r="F67" s="200"/>
      <c r="AV67" s="14"/>
    </row>
    <row r="68" spans="1:48" x14ac:dyDescent="0.3">
      <c r="A68" s="23"/>
      <c r="AV68" s="14"/>
    </row>
    <row r="69" spans="1:48" x14ac:dyDescent="0.3">
      <c r="A69" s="23"/>
      <c r="AV69" s="14"/>
    </row>
    <row r="70" spans="1:48" x14ac:dyDescent="0.3">
      <c r="A70" s="23"/>
      <c r="B70" s="35" t="s">
        <v>58</v>
      </c>
      <c r="C70" s="47"/>
      <c r="D70" s="47"/>
      <c r="E70" s="47"/>
      <c r="F70" s="47"/>
      <c r="G70" s="47"/>
      <c r="H70" s="47"/>
      <c r="I70" s="47"/>
      <c r="J70" s="47"/>
      <c r="K70" s="47"/>
      <c r="L70" s="47"/>
      <c r="M70" s="47"/>
      <c r="N70" s="47"/>
      <c r="O70" s="47"/>
      <c r="P70" s="47"/>
      <c r="Q70" s="47"/>
      <c r="R70" s="47"/>
      <c r="S70" s="47"/>
      <c r="T70" s="47"/>
      <c r="U70" s="47"/>
      <c r="V70" s="47"/>
      <c r="W70" s="47"/>
      <c r="X70" s="47"/>
      <c r="Y70" s="47"/>
      <c r="Z70" s="47"/>
      <c r="AA70" s="47"/>
      <c r="AB70" s="47"/>
      <c r="AC70" s="47"/>
      <c r="AD70" s="47"/>
      <c r="AE70" s="47"/>
      <c r="AF70" s="47"/>
      <c r="AG70" s="47"/>
      <c r="AI70" s="8" t="s">
        <v>26</v>
      </c>
      <c r="AJ70" s="8" t="s">
        <v>59</v>
      </c>
      <c r="AV70" s="14"/>
    </row>
    <row r="71" spans="1:48" x14ac:dyDescent="0.3">
      <c r="A71" s="23"/>
      <c r="AV71" s="14"/>
    </row>
    <row r="72" spans="1:48" x14ac:dyDescent="0.3">
      <c r="A72" s="45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  <c r="AL72" s="10"/>
      <c r="AM72" s="10"/>
      <c r="AN72" s="10"/>
      <c r="AO72" s="10"/>
      <c r="AP72" s="10"/>
      <c r="AQ72" s="10"/>
      <c r="AR72" s="10"/>
      <c r="AS72" s="10"/>
      <c r="AT72" s="10"/>
      <c r="AU72" s="10"/>
      <c r="AV72" s="15"/>
    </row>
  </sheetData>
  <mergeCells count="27">
    <mergeCell ref="V1:AI1"/>
    <mergeCell ref="AJ1:AP1"/>
    <mergeCell ref="AQ1:AV1"/>
    <mergeCell ref="B47:H47"/>
    <mergeCell ref="I47:O47"/>
    <mergeCell ref="V2:AI3"/>
    <mergeCell ref="AJ2:AK2"/>
    <mergeCell ref="AQ2:AV2"/>
    <mergeCell ref="AJ3:AK3"/>
    <mergeCell ref="AL3:AP3"/>
    <mergeCell ref="AQ3:AV3"/>
    <mergeCell ref="AL2:AP2"/>
    <mergeCell ref="B50:H51"/>
    <mergeCell ref="B54:H54"/>
    <mergeCell ref="A1:E1"/>
    <mergeCell ref="F1:U1"/>
    <mergeCell ref="B46:O46"/>
    <mergeCell ref="A2:E3"/>
    <mergeCell ref="F2:U3"/>
    <mergeCell ref="B43:H44"/>
    <mergeCell ref="B66:F67"/>
    <mergeCell ref="B55:H55"/>
    <mergeCell ref="B59:H59"/>
    <mergeCell ref="I59:O59"/>
    <mergeCell ref="P59:V59"/>
    <mergeCell ref="B62:Q63"/>
    <mergeCell ref="B58:V58"/>
  </mergeCells>
  <phoneticPr fontId="4"/>
  <pageMargins left="0.7" right="0.7" top="0.75" bottom="0.75" header="0.3" footer="0.3"/>
  <pageSetup paperSize="9" scale="69" fitToHeight="0" orientation="portrait" verticalDpi="12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pageSetUpPr autoPageBreaks="0"/>
  </sheetPr>
  <dimension ref="A1:BQ85"/>
  <sheetViews>
    <sheetView showGridLines="0" zoomScale="70" zoomScaleNormal="70" workbookViewId="0">
      <pane ySplit="9" topLeftCell="A10" activePane="bottomLeft" state="frozen"/>
      <selection activeCell="AC49" sqref="AC49"/>
      <selection pane="bottomLeft" activeCell="BU37" sqref="BU37"/>
    </sheetView>
  </sheetViews>
  <sheetFormatPr defaultColWidth="2.453125" defaultRowHeight="14.4" x14ac:dyDescent="0.3"/>
  <cols>
    <col min="1" max="5" width="2.453125" style="8"/>
    <col min="6" max="10" width="2.453125" style="8" customWidth="1"/>
    <col min="11" max="16384" width="2.453125" style="8"/>
  </cols>
  <sheetData>
    <row r="1" spans="1:69" ht="15" thickBot="1" x14ac:dyDescent="0.35">
      <c r="A1" s="144" t="s">
        <v>8</v>
      </c>
      <c r="B1" s="145"/>
      <c r="C1" s="145"/>
      <c r="D1" s="145"/>
      <c r="E1" s="146"/>
      <c r="F1" s="141" t="str">
        <f>変更履歴!F1</f>
        <v>会計システム刷新プロジェクト（LIBRA）</v>
      </c>
      <c r="G1" s="142"/>
      <c r="H1" s="142"/>
      <c r="I1" s="142"/>
      <c r="J1" s="142"/>
      <c r="K1" s="142"/>
      <c r="L1" s="142"/>
      <c r="M1" s="142"/>
      <c r="N1" s="142"/>
      <c r="O1" s="142"/>
      <c r="P1" s="142"/>
      <c r="Q1" s="142"/>
      <c r="R1" s="142"/>
      <c r="S1" s="142"/>
      <c r="T1" s="142"/>
      <c r="U1" s="143"/>
      <c r="V1" s="144" t="s">
        <v>24</v>
      </c>
      <c r="W1" s="145"/>
      <c r="X1" s="145"/>
      <c r="Y1" s="145"/>
      <c r="Z1" s="145"/>
      <c r="AA1" s="145"/>
      <c r="AB1" s="145"/>
      <c r="AC1" s="145"/>
      <c r="AD1" s="145"/>
      <c r="AE1" s="145"/>
      <c r="AF1" s="145"/>
      <c r="AG1" s="145"/>
      <c r="AH1" s="145"/>
      <c r="AI1" s="146"/>
      <c r="AJ1" s="144" t="s">
        <v>10</v>
      </c>
      <c r="AK1" s="145"/>
      <c r="AL1" s="145"/>
      <c r="AM1" s="145"/>
      <c r="AN1" s="145"/>
      <c r="AO1" s="145"/>
      <c r="AP1" s="146"/>
      <c r="AQ1" s="144" t="s">
        <v>11</v>
      </c>
      <c r="AR1" s="145"/>
      <c r="AS1" s="145"/>
      <c r="AT1" s="145"/>
      <c r="AU1" s="145"/>
      <c r="AV1" s="146"/>
    </row>
    <row r="2" spans="1:69" x14ac:dyDescent="0.3">
      <c r="A2" s="213" t="s">
        <v>12</v>
      </c>
      <c r="B2" s="214"/>
      <c r="C2" s="214"/>
      <c r="D2" s="214"/>
      <c r="E2" s="215"/>
      <c r="F2" s="153" t="str">
        <f>変更履歴!F2</f>
        <v>ToBe業務フロー（7.Branch2）</v>
      </c>
      <c r="G2" s="154"/>
      <c r="H2" s="154"/>
      <c r="I2" s="154"/>
      <c r="J2" s="154"/>
      <c r="K2" s="154"/>
      <c r="L2" s="154"/>
      <c r="M2" s="154"/>
      <c r="N2" s="154"/>
      <c r="O2" s="154"/>
      <c r="P2" s="154"/>
      <c r="Q2" s="154"/>
      <c r="R2" s="154"/>
      <c r="S2" s="154"/>
      <c r="T2" s="154"/>
      <c r="U2" s="155"/>
      <c r="V2" s="153" t="str">
        <f ca="1">MID(CELL("filename",$A$1),FIND("]",CELL("filename",$A$1))+1,31)</f>
        <v>1.利益センタ・原価センタマスタ登録</v>
      </c>
      <c r="W2" s="154"/>
      <c r="X2" s="154"/>
      <c r="Y2" s="154"/>
      <c r="Z2" s="154"/>
      <c r="AA2" s="154"/>
      <c r="AB2" s="154"/>
      <c r="AC2" s="154"/>
      <c r="AD2" s="154"/>
      <c r="AE2" s="154"/>
      <c r="AF2" s="154"/>
      <c r="AG2" s="154"/>
      <c r="AH2" s="154"/>
      <c r="AI2" s="155"/>
      <c r="AJ2" s="165" t="s">
        <v>13</v>
      </c>
      <c r="AK2" s="166"/>
      <c r="AL2" s="167">
        <f>変更履歴!AT2</f>
        <v>45650</v>
      </c>
      <c r="AM2" s="168"/>
      <c r="AN2" s="168"/>
      <c r="AO2" s="168"/>
      <c r="AP2" s="169"/>
      <c r="AQ2" s="170" t="str">
        <f>変更履歴!BA2</f>
        <v>JBS北井</v>
      </c>
      <c r="AR2" s="171"/>
      <c r="AS2" s="171"/>
      <c r="AT2" s="171"/>
      <c r="AU2" s="171"/>
      <c r="AV2" s="172"/>
    </row>
    <row r="3" spans="1:69" ht="15" thickBot="1" x14ac:dyDescent="0.35">
      <c r="A3" s="216"/>
      <c r="B3" s="217"/>
      <c r="C3" s="217"/>
      <c r="D3" s="217"/>
      <c r="E3" s="218"/>
      <c r="F3" s="156"/>
      <c r="G3" s="157"/>
      <c r="H3" s="157"/>
      <c r="I3" s="157"/>
      <c r="J3" s="157"/>
      <c r="K3" s="157"/>
      <c r="L3" s="157"/>
      <c r="M3" s="157"/>
      <c r="N3" s="157"/>
      <c r="O3" s="157"/>
      <c r="P3" s="157"/>
      <c r="Q3" s="157"/>
      <c r="R3" s="157"/>
      <c r="S3" s="157"/>
      <c r="T3" s="157"/>
      <c r="U3" s="158"/>
      <c r="V3" s="156"/>
      <c r="W3" s="157"/>
      <c r="X3" s="157"/>
      <c r="Y3" s="157"/>
      <c r="Z3" s="157"/>
      <c r="AA3" s="157"/>
      <c r="AB3" s="157"/>
      <c r="AC3" s="157"/>
      <c r="AD3" s="157"/>
      <c r="AE3" s="157"/>
      <c r="AF3" s="157"/>
      <c r="AG3" s="157"/>
      <c r="AH3" s="157"/>
      <c r="AI3" s="158"/>
      <c r="AJ3" s="173" t="s">
        <v>14</v>
      </c>
      <c r="AK3" s="174"/>
      <c r="AL3" s="175">
        <f ca="1">変更履歴!AT3</f>
        <v>45846</v>
      </c>
      <c r="AM3" s="176"/>
      <c r="AN3" s="176"/>
      <c r="AO3" s="176"/>
      <c r="AP3" s="177"/>
      <c r="AQ3" s="178" t="str">
        <f ca="1">変更履歴!BA3</f>
        <v>JBS加藤</v>
      </c>
      <c r="AR3" s="179"/>
      <c r="AS3" s="179"/>
      <c r="AT3" s="179"/>
      <c r="AU3" s="179"/>
      <c r="AV3" s="180"/>
    </row>
    <row r="5" spans="1:69" x14ac:dyDescent="0.3">
      <c r="A5" s="45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</row>
    <row r="6" spans="1:69" s="11" customFormat="1" x14ac:dyDescent="0.3">
      <c r="A6" s="33" t="str">
        <f ca="1">RIGHT(CELL("filename",A1),LEN(CELL("filename",A1))-FIND("]",CELL("filename",A1)))</f>
        <v>1.利益センタ・原価センタマスタ登録</v>
      </c>
      <c r="B6" s="46"/>
      <c r="C6" s="46"/>
      <c r="D6" s="46"/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  <c r="AA6" s="46"/>
      <c r="AB6" s="46"/>
      <c r="AC6" s="46"/>
      <c r="AD6" s="46"/>
      <c r="AE6" s="46"/>
      <c r="AF6" s="46"/>
      <c r="AG6" s="46"/>
      <c r="AH6" s="46"/>
      <c r="AI6" s="46"/>
      <c r="AJ6" s="46"/>
      <c r="AK6" s="46"/>
      <c r="AL6" s="46"/>
      <c r="AM6" s="46"/>
      <c r="AN6" s="46"/>
      <c r="AO6" s="46"/>
      <c r="AP6" s="46"/>
      <c r="AQ6" s="46"/>
      <c r="AR6" s="46"/>
      <c r="AS6" s="46"/>
      <c r="AT6" s="46"/>
      <c r="AU6" s="46"/>
      <c r="AV6" s="46"/>
      <c r="AW6" s="46"/>
      <c r="AX6" s="46"/>
      <c r="AY6" s="46"/>
      <c r="AZ6" s="34"/>
    </row>
    <row r="7" spans="1:69" s="11" customFormat="1" x14ac:dyDescent="0.3">
      <c r="A7" s="24"/>
      <c r="B7" s="12"/>
      <c r="C7" s="12"/>
      <c r="D7" s="12"/>
      <c r="E7" s="12"/>
      <c r="F7" s="12"/>
      <c r="G7" s="12"/>
      <c r="H7" s="12"/>
      <c r="AZ7" s="13"/>
    </row>
    <row r="8" spans="1:69" s="11" customFormat="1" x14ac:dyDescent="0.3">
      <c r="A8" s="24"/>
      <c r="B8" s="204" t="s">
        <v>60</v>
      </c>
      <c r="C8" s="205"/>
      <c r="D8" s="205"/>
      <c r="E8" s="205"/>
      <c r="F8" s="205"/>
      <c r="G8" s="205"/>
      <c r="H8" s="206"/>
      <c r="I8" s="220" t="s">
        <v>61</v>
      </c>
      <c r="J8" s="220"/>
      <c r="K8" s="220"/>
      <c r="L8" s="220"/>
      <c r="M8" s="220"/>
      <c r="N8" s="220"/>
      <c r="O8" s="220"/>
      <c r="P8" s="36" t="s">
        <v>36</v>
      </c>
      <c r="Q8" s="48"/>
      <c r="R8" s="48"/>
      <c r="S8" s="48"/>
      <c r="T8" s="48"/>
      <c r="U8" s="48"/>
      <c r="V8" s="48"/>
      <c r="W8" s="48"/>
      <c r="X8" s="48"/>
      <c r="Y8" s="48"/>
      <c r="Z8" s="48"/>
      <c r="AA8" s="48"/>
      <c r="AB8" s="48"/>
      <c r="AC8" s="37"/>
      <c r="AD8" s="200" t="s">
        <v>54</v>
      </c>
      <c r="AE8" s="200"/>
      <c r="AF8" s="200"/>
      <c r="AG8" s="200"/>
      <c r="AH8" s="200"/>
      <c r="AI8" s="200"/>
      <c r="AJ8" s="200"/>
      <c r="AK8" s="200"/>
      <c r="AL8" s="200"/>
      <c r="AM8" s="200"/>
      <c r="AN8" s="200"/>
      <c r="AO8" s="200"/>
      <c r="AP8" s="200"/>
      <c r="AQ8" s="200"/>
      <c r="AR8" s="200"/>
      <c r="AS8" s="200"/>
      <c r="AT8" s="199" t="s">
        <v>56</v>
      </c>
      <c r="AU8" s="200"/>
      <c r="AV8" s="200"/>
      <c r="AW8" s="200"/>
      <c r="AX8" s="200"/>
      <c r="AY8" s="200"/>
      <c r="AZ8" s="13"/>
      <c r="BB8" s="224" t="s">
        <v>62</v>
      </c>
      <c r="BC8" s="225"/>
      <c r="BD8" s="225"/>
      <c r="BE8" s="225"/>
      <c r="BF8" s="227" t="s">
        <v>63</v>
      </c>
      <c r="BG8" s="228"/>
      <c r="BH8" s="228"/>
      <c r="BI8" s="228"/>
      <c r="BJ8" s="228"/>
      <c r="BK8" s="228"/>
      <c r="BL8" s="228"/>
      <c r="BM8" s="228"/>
      <c r="BN8" s="228"/>
      <c r="BO8" s="228"/>
      <c r="BP8" s="228"/>
      <c r="BQ8" s="228"/>
    </row>
    <row r="9" spans="1:69" s="11" customFormat="1" ht="16.5" customHeight="1" x14ac:dyDescent="0.3">
      <c r="A9" s="24"/>
      <c r="B9" s="207"/>
      <c r="C9" s="208"/>
      <c r="D9" s="208"/>
      <c r="E9" s="208"/>
      <c r="F9" s="208"/>
      <c r="G9" s="208"/>
      <c r="H9" s="209"/>
      <c r="I9" s="220"/>
      <c r="J9" s="220"/>
      <c r="K9" s="220"/>
      <c r="L9" s="220"/>
      <c r="M9" s="220"/>
      <c r="N9" s="220"/>
      <c r="O9" s="220"/>
      <c r="P9" s="201" t="s">
        <v>51</v>
      </c>
      <c r="Q9" s="202"/>
      <c r="R9" s="202"/>
      <c r="S9" s="202"/>
      <c r="T9" s="202"/>
      <c r="U9" s="202"/>
      <c r="V9" s="203"/>
      <c r="W9" s="201" t="s">
        <v>53</v>
      </c>
      <c r="X9" s="202"/>
      <c r="Y9" s="202"/>
      <c r="Z9" s="202"/>
      <c r="AA9" s="202"/>
      <c r="AB9" s="202"/>
      <c r="AC9" s="203"/>
      <c r="AD9" s="200"/>
      <c r="AE9" s="200"/>
      <c r="AF9" s="200"/>
      <c r="AG9" s="200"/>
      <c r="AH9" s="200"/>
      <c r="AI9" s="200"/>
      <c r="AJ9" s="200"/>
      <c r="AK9" s="200"/>
      <c r="AL9" s="200"/>
      <c r="AM9" s="200"/>
      <c r="AN9" s="200"/>
      <c r="AO9" s="200"/>
      <c r="AP9" s="200"/>
      <c r="AQ9" s="200"/>
      <c r="AR9" s="200"/>
      <c r="AS9" s="200"/>
      <c r="AT9" s="200"/>
      <c r="AU9" s="200"/>
      <c r="AV9" s="200"/>
      <c r="AW9" s="200"/>
      <c r="AX9" s="200"/>
      <c r="AY9" s="200"/>
      <c r="AZ9" s="13"/>
      <c r="BB9" s="226"/>
      <c r="BC9" s="226"/>
      <c r="BD9" s="226"/>
      <c r="BE9" s="226"/>
      <c r="BF9" s="229"/>
      <c r="BG9" s="229"/>
      <c r="BH9" s="229"/>
      <c r="BI9" s="229"/>
      <c r="BJ9" s="229"/>
      <c r="BK9" s="229"/>
      <c r="BL9" s="229"/>
      <c r="BM9" s="229"/>
      <c r="BN9" s="229"/>
      <c r="BO9" s="229"/>
      <c r="BP9" s="229"/>
      <c r="BQ9" s="229"/>
    </row>
    <row r="10" spans="1:69" s="11" customFormat="1" x14ac:dyDescent="0.3">
      <c r="A10" s="24"/>
      <c r="B10" s="35" t="s">
        <v>64</v>
      </c>
      <c r="C10" s="47"/>
      <c r="D10" s="47"/>
      <c r="E10" s="47"/>
      <c r="F10" s="47"/>
      <c r="G10" s="47"/>
      <c r="H10" s="47"/>
      <c r="I10" s="47"/>
      <c r="J10" s="47"/>
      <c r="K10" s="47"/>
      <c r="L10" s="47"/>
      <c r="M10" s="47"/>
      <c r="N10" s="47"/>
      <c r="O10" s="47"/>
      <c r="P10" s="47"/>
      <c r="Q10" s="47"/>
      <c r="R10" s="47"/>
      <c r="S10" s="47"/>
      <c r="T10" s="47"/>
      <c r="U10" s="47"/>
      <c r="V10" s="47"/>
      <c r="W10" s="22"/>
      <c r="X10" s="22"/>
      <c r="Y10" s="22"/>
      <c r="Z10" s="22"/>
      <c r="AA10" s="22"/>
      <c r="AB10" s="22"/>
      <c r="AC10" s="22"/>
      <c r="AD10" s="47"/>
      <c r="AE10" s="47"/>
      <c r="AF10" s="47"/>
      <c r="AG10" s="47"/>
      <c r="AH10" s="47"/>
      <c r="AI10" s="47"/>
      <c r="AJ10" s="47"/>
      <c r="AK10" s="47"/>
      <c r="AL10" s="47"/>
      <c r="AM10" s="47"/>
      <c r="AN10" s="47"/>
      <c r="AO10" s="47"/>
      <c r="AP10" s="47"/>
      <c r="AQ10" s="47"/>
      <c r="AR10" s="47"/>
      <c r="AS10" s="47"/>
      <c r="AT10" s="47"/>
      <c r="AU10" s="47"/>
      <c r="AV10" s="47"/>
      <c r="AW10" s="47"/>
      <c r="AX10" s="47"/>
      <c r="AY10" s="38"/>
      <c r="AZ10" s="13"/>
      <c r="BB10" s="49"/>
      <c r="BC10" s="50"/>
      <c r="BD10" s="50"/>
      <c r="BE10" s="50"/>
      <c r="BF10" s="49"/>
      <c r="BG10" s="50"/>
      <c r="BH10" s="50"/>
      <c r="BI10" s="50"/>
      <c r="BJ10" s="50"/>
      <c r="BK10" s="50"/>
      <c r="BL10" s="50"/>
      <c r="BM10" s="50"/>
      <c r="BN10" s="50"/>
      <c r="BO10" s="50"/>
      <c r="BP10" s="50"/>
      <c r="BQ10" s="51"/>
    </row>
    <row r="11" spans="1:69" s="11" customFormat="1" x14ac:dyDescent="0.3">
      <c r="A11" s="24"/>
      <c r="B11" s="39"/>
      <c r="C11" s="40"/>
      <c r="D11" s="40"/>
      <c r="E11" s="40"/>
      <c r="F11" s="40"/>
      <c r="G11" s="40"/>
      <c r="H11" s="41"/>
      <c r="I11" s="42"/>
      <c r="J11" s="40"/>
      <c r="K11" s="40"/>
      <c r="L11" s="40"/>
      <c r="M11" s="40"/>
      <c r="N11" s="40"/>
      <c r="O11" s="41"/>
      <c r="P11" s="40"/>
      <c r="Q11" s="40"/>
      <c r="R11" s="40"/>
      <c r="S11" s="40"/>
      <c r="T11" s="40"/>
      <c r="U11" s="40"/>
      <c r="V11" s="41"/>
      <c r="W11" s="42"/>
      <c r="X11" s="40"/>
      <c r="Y11" s="40"/>
      <c r="Z11" s="40"/>
      <c r="AA11" s="40"/>
      <c r="AB11" s="40"/>
      <c r="AC11" s="41"/>
      <c r="AD11" s="43"/>
      <c r="AE11" s="44"/>
      <c r="AF11" s="44"/>
      <c r="AG11" s="44"/>
      <c r="AH11" s="44"/>
      <c r="AI11" s="44"/>
      <c r="AJ11" s="44"/>
      <c r="AK11" s="44"/>
      <c r="AL11" s="44"/>
      <c r="AM11" s="44"/>
      <c r="AN11" s="44"/>
      <c r="AO11" s="44"/>
      <c r="AP11" s="44"/>
      <c r="AQ11" s="44"/>
      <c r="AR11" s="44"/>
      <c r="AS11" s="44"/>
      <c r="AT11" s="42"/>
      <c r="AU11" s="40"/>
      <c r="AV11" s="40"/>
      <c r="AW11" s="40"/>
      <c r="AX11" s="40"/>
      <c r="AY11" s="41"/>
      <c r="AZ11" s="13"/>
      <c r="BB11" s="52"/>
      <c r="BF11" s="52"/>
      <c r="BQ11" s="53"/>
    </row>
    <row r="12" spans="1:69" s="11" customFormat="1" ht="13.5" customHeight="1" x14ac:dyDescent="0.3">
      <c r="A12" s="24"/>
      <c r="B12" s="25"/>
      <c r="C12" s="20"/>
      <c r="D12" s="20"/>
      <c r="E12" s="20"/>
      <c r="F12" s="20"/>
      <c r="G12" s="20"/>
      <c r="H12" s="19"/>
      <c r="I12" s="26"/>
      <c r="J12" s="20"/>
      <c r="K12" s="20"/>
      <c r="L12" s="20"/>
      <c r="M12" s="20"/>
      <c r="N12" s="20"/>
      <c r="O12" s="19"/>
      <c r="P12" s="20"/>
      <c r="Q12" s="20"/>
      <c r="R12" s="20"/>
      <c r="S12" s="20"/>
      <c r="T12" s="20"/>
      <c r="U12" s="20"/>
      <c r="V12" s="19"/>
      <c r="W12" s="26"/>
      <c r="X12" s="20"/>
      <c r="Y12" s="20"/>
      <c r="Z12" s="20"/>
      <c r="AA12" s="20"/>
      <c r="AB12" s="20"/>
      <c r="AC12" s="19"/>
      <c r="AD12" s="32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26"/>
      <c r="AU12" s="20"/>
      <c r="AV12" s="20"/>
      <c r="AW12" s="20"/>
      <c r="AX12" s="20"/>
      <c r="AY12" s="19"/>
      <c r="AZ12" s="13"/>
      <c r="BB12" s="52"/>
      <c r="BF12" s="221"/>
      <c r="BG12" s="222"/>
      <c r="BH12" s="222"/>
      <c r="BI12" s="222"/>
      <c r="BJ12" s="222"/>
      <c r="BK12" s="222"/>
      <c r="BL12" s="222"/>
      <c r="BM12" s="222"/>
      <c r="BN12" s="222"/>
      <c r="BO12" s="222"/>
      <c r="BP12" s="222"/>
      <c r="BQ12" s="223"/>
    </row>
    <row r="13" spans="1:69" s="11" customFormat="1" x14ac:dyDescent="0.3">
      <c r="A13" s="24"/>
      <c r="B13" s="25"/>
      <c r="C13" s="20"/>
      <c r="D13" s="20"/>
      <c r="E13" s="20"/>
      <c r="F13" s="20"/>
      <c r="G13" s="20"/>
      <c r="H13" s="19"/>
      <c r="I13" s="26"/>
      <c r="J13" s="20"/>
      <c r="K13" s="20"/>
      <c r="L13" s="20"/>
      <c r="M13" s="20"/>
      <c r="N13" s="20"/>
      <c r="O13" s="19"/>
      <c r="P13" s="20"/>
      <c r="Q13" s="20"/>
      <c r="R13" s="20"/>
      <c r="S13" s="20"/>
      <c r="T13" s="20"/>
      <c r="U13" s="20"/>
      <c r="V13" s="19"/>
      <c r="W13" s="26"/>
      <c r="X13" s="20"/>
      <c r="Y13" s="20"/>
      <c r="Z13" s="20"/>
      <c r="AA13" s="20"/>
      <c r="AB13" s="20"/>
      <c r="AC13" s="19"/>
      <c r="AD13" s="32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26"/>
      <c r="AU13" s="20"/>
      <c r="AV13" s="20"/>
      <c r="AW13" s="20"/>
      <c r="AX13" s="20"/>
      <c r="AY13" s="19"/>
      <c r="AZ13" s="13"/>
      <c r="BB13" s="52"/>
      <c r="BF13" s="221"/>
      <c r="BG13" s="222"/>
      <c r="BH13" s="222"/>
      <c r="BI13" s="222"/>
      <c r="BJ13" s="222"/>
      <c r="BK13" s="222"/>
      <c r="BL13" s="222"/>
      <c r="BM13" s="222"/>
      <c r="BN13" s="222"/>
      <c r="BO13" s="222"/>
      <c r="BP13" s="222"/>
      <c r="BQ13" s="223"/>
    </row>
    <row r="14" spans="1:69" s="11" customFormat="1" x14ac:dyDescent="0.3">
      <c r="A14" s="24"/>
      <c r="B14" s="25"/>
      <c r="C14" s="20"/>
      <c r="D14" s="20"/>
      <c r="E14" s="20"/>
      <c r="F14" s="20"/>
      <c r="G14" s="20"/>
      <c r="H14" s="19"/>
      <c r="I14" s="26"/>
      <c r="J14" s="20"/>
      <c r="K14" s="20"/>
      <c r="L14" s="20"/>
      <c r="M14" s="20"/>
      <c r="N14" s="20"/>
      <c r="O14" s="19"/>
      <c r="P14" s="20"/>
      <c r="Q14" s="20"/>
      <c r="R14" s="20"/>
      <c r="S14" s="20"/>
      <c r="T14" s="20"/>
      <c r="U14" s="20"/>
      <c r="V14" s="19"/>
      <c r="W14" s="26"/>
      <c r="X14" s="20"/>
      <c r="Y14" s="20"/>
      <c r="Z14" s="20"/>
      <c r="AA14" s="20"/>
      <c r="AB14" s="20"/>
      <c r="AC14" s="19"/>
      <c r="AD14" s="32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26"/>
      <c r="AU14" s="20"/>
      <c r="AV14" s="20"/>
      <c r="AW14" s="20"/>
      <c r="AX14" s="20"/>
      <c r="AY14" s="19"/>
      <c r="AZ14" s="13"/>
      <c r="BB14" s="52"/>
      <c r="BF14" s="52"/>
      <c r="BQ14" s="53"/>
    </row>
    <row r="15" spans="1:69" s="11" customFormat="1" x14ac:dyDescent="0.3">
      <c r="A15" s="24"/>
      <c r="B15" s="25"/>
      <c r="C15" s="20"/>
      <c r="D15" s="20"/>
      <c r="E15" s="20"/>
      <c r="F15" s="20"/>
      <c r="G15" s="20"/>
      <c r="H15" s="19"/>
      <c r="I15" s="26"/>
      <c r="J15" s="20"/>
      <c r="K15" s="20"/>
      <c r="L15" s="20"/>
      <c r="M15" s="20"/>
      <c r="N15" s="20"/>
      <c r="O15" s="19"/>
      <c r="P15" s="20"/>
      <c r="Q15" s="20"/>
      <c r="R15" s="20"/>
      <c r="S15" s="20"/>
      <c r="T15" s="20"/>
      <c r="U15" s="20"/>
      <c r="V15" s="19"/>
      <c r="W15" s="26"/>
      <c r="X15" s="20"/>
      <c r="Y15" s="20"/>
      <c r="Z15" s="20"/>
      <c r="AA15" s="20"/>
      <c r="AB15" s="20"/>
      <c r="AC15" s="19"/>
      <c r="AD15" s="32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26"/>
      <c r="AU15" s="20"/>
      <c r="AV15" s="20"/>
      <c r="AW15" s="20"/>
      <c r="AX15" s="20"/>
      <c r="AY15" s="19"/>
      <c r="AZ15" s="13"/>
      <c r="BB15" s="52"/>
      <c r="BF15" s="52"/>
      <c r="BQ15" s="53"/>
    </row>
    <row r="16" spans="1:69" s="11" customFormat="1" x14ac:dyDescent="0.3">
      <c r="A16" s="24"/>
      <c r="B16" s="25"/>
      <c r="C16" s="20"/>
      <c r="D16" s="20"/>
      <c r="E16" s="20"/>
      <c r="F16" s="20"/>
      <c r="G16" s="20"/>
      <c r="H16" s="19"/>
      <c r="I16" s="26"/>
      <c r="J16" s="20"/>
      <c r="K16" s="20"/>
      <c r="L16" s="20"/>
      <c r="M16" s="20"/>
      <c r="N16" s="20"/>
      <c r="O16" s="19"/>
      <c r="P16" s="20"/>
      <c r="Q16" s="20"/>
      <c r="R16" s="20"/>
      <c r="S16" s="20"/>
      <c r="T16" s="20"/>
      <c r="U16" s="20"/>
      <c r="V16" s="19"/>
      <c r="W16" s="26"/>
      <c r="X16" s="20"/>
      <c r="Y16" s="20"/>
      <c r="Z16" s="20"/>
      <c r="AA16" s="20"/>
      <c r="AB16" s="20"/>
      <c r="AC16" s="19"/>
      <c r="AD16" s="32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26"/>
      <c r="AU16" s="20"/>
      <c r="AV16" s="20"/>
      <c r="AW16" s="20"/>
      <c r="AX16" s="20"/>
      <c r="AY16" s="19"/>
      <c r="AZ16" s="13"/>
      <c r="BB16" s="52"/>
      <c r="BF16" s="52"/>
      <c r="BQ16" s="53"/>
    </row>
    <row r="17" spans="1:69" s="11" customFormat="1" x14ac:dyDescent="0.3">
      <c r="A17" s="24"/>
      <c r="B17" s="25"/>
      <c r="C17" s="20"/>
      <c r="D17" s="20"/>
      <c r="E17" s="20"/>
      <c r="F17" s="20"/>
      <c r="G17" s="20"/>
      <c r="H17" s="19"/>
      <c r="I17" s="26"/>
      <c r="J17" s="20"/>
      <c r="K17" s="20"/>
      <c r="L17" s="20"/>
      <c r="M17" s="20"/>
      <c r="N17" s="20"/>
      <c r="O17" s="19"/>
      <c r="P17" s="20"/>
      <c r="Q17" s="20"/>
      <c r="R17" s="20"/>
      <c r="S17" s="20"/>
      <c r="T17" s="20"/>
      <c r="U17" s="20"/>
      <c r="V17" s="19"/>
      <c r="W17" s="26"/>
      <c r="X17" s="20"/>
      <c r="Y17" s="20"/>
      <c r="Z17" s="20"/>
      <c r="AA17" s="20"/>
      <c r="AB17" s="20"/>
      <c r="AC17" s="19"/>
      <c r="AD17" s="32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26"/>
      <c r="AU17" s="20"/>
      <c r="AV17" s="20"/>
      <c r="AW17" s="20"/>
      <c r="AX17" s="20"/>
      <c r="AY17" s="19"/>
      <c r="AZ17" s="13"/>
      <c r="BB17" s="52"/>
      <c r="BF17" s="52"/>
      <c r="BQ17" s="53"/>
    </row>
    <row r="18" spans="1:69" s="11" customFormat="1" x14ac:dyDescent="0.3">
      <c r="A18" s="24"/>
      <c r="B18" s="25"/>
      <c r="C18" s="20"/>
      <c r="D18" s="20"/>
      <c r="E18" s="20"/>
      <c r="F18" s="20"/>
      <c r="G18" s="20"/>
      <c r="H18" s="19"/>
      <c r="I18" s="26"/>
      <c r="J18" s="20"/>
      <c r="K18" s="20"/>
      <c r="L18" s="20"/>
      <c r="M18" s="20"/>
      <c r="N18" s="20"/>
      <c r="O18" s="19"/>
      <c r="P18" s="20"/>
      <c r="Q18" s="20"/>
      <c r="R18" s="20"/>
      <c r="S18" s="20"/>
      <c r="T18" s="20"/>
      <c r="U18" s="20"/>
      <c r="V18" s="19"/>
      <c r="W18" s="26"/>
      <c r="X18" s="20"/>
      <c r="Y18" s="20"/>
      <c r="Z18" s="20"/>
      <c r="AA18" s="20"/>
      <c r="AB18" s="20"/>
      <c r="AC18" s="19"/>
      <c r="AD18" s="32"/>
      <c r="AE18" s="68" t="s">
        <v>65</v>
      </c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26"/>
      <c r="AU18" s="20"/>
      <c r="AV18" s="20"/>
      <c r="AW18" s="20"/>
      <c r="AX18" s="20"/>
      <c r="AY18" s="19"/>
      <c r="AZ18" s="13"/>
      <c r="BB18" s="52"/>
      <c r="BF18" s="52"/>
      <c r="BQ18" s="53"/>
    </row>
    <row r="19" spans="1:69" s="11" customFormat="1" x14ac:dyDescent="0.3">
      <c r="A19" s="24"/>
      <c r="B19" s="25"/>
      <c r="C19" s="20"/>
      <c r="D19" s="20"/>
      <c r="E19" s="20"/>
      <c r="F19" s="20"/>
      <c r="G19" s="20"/>
      <c r="H19" s="19"/>
      <c r="I19" s="26"/>
      <c r="J19" s="20"/>
      <c r="K19" s="20"/>
      <c r="L19" s="20"/>
      <c r="M19" s="20"/>
      <c r="N19" s="20"/>
      <c r="O19" s="19"/>
      <c r="P19" s="20"/>
      <c r="Q19" s="20"/>
      <c r="R19" s="20"/>
      <c r="S19" s="20"/>
      <c r="T19" s="20"/>
      <c r="U19" s="20"/>
      <c r="V19" s="19"/>
      <c r="W19" s="26"/>
      <c r="X19" s="20"/>
      <c r="Y19" s="20"/>
      <c r="Z19" s="20"/>
      <c r="AA19" s="20"/>
      <c r="AB19" s="20"/>
      <c r="AC19" s="19"/>
      <c r="AD19" s="32"/>
      <c r="AE19" s="17"/>
      <c r="AF19" s="17" t="s">
        <v>66</v>
      </c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/>
      <c r="AS19" s="17"/>
      <c r="AT19" s="26"/>
      <c r="AU19" s="20"/>
      <c r="AV19" s="20"/>
      <c r="AW19" s="20"/>
      <c r="AX19" s="20"/>
      <c r="AY19" s="19"/>
      <c r="AZ19" s="13"/>
      <c r="BB19" s="52"/>
      <c r="BF19" s="52"/>
      <c r="BQ19" s="53"/>
    </row>
    <row r="20" spans="1:69" s="11" customFormat="1" x14ac:dyDescent="0.3">
      <c r="A20" s="24"/>
      <c r="B20" s="25"/>
      <c r="C20" s="20"/>
      <c r="D20" s="20"/>
      <c r="E20" s="20"/>
      <c r="F20" s="20"/>
      <c r="G20" s="20"/>
      <c r="H20" s="19"/>
      <c r="I20" s="26"/>
      <c r="J20" s="20"/>
      <c r="K20" s="20"/>
      <c r="L20" s="20"/>
      <c r="M20" s="20"/>
      <c r="N20" s="20"/>
      <c r="O20" s="19"/>
      <c r="P20" s="20"/>
      <c r="Q20" s="20"/>
      <c r="R20" s="20"/>
      <c r="S20" s="20"/>
      <c r="T20" s="20"/>
      <c r="U20" s="20"/>
      <c r="V20" s="19"/>
      <c r="W20" s="26"/>
      <c r="X20" s="20"/>
      <c r="Y20" s="20"/>
      <c r="Z20" s="20"/>
      <c r="AA20" s="20"/>
      <c r="AB20" s="20"/>
      <c r="AC20" s="19"/>
      <c r="AD20" s="32"/>
      <c r="AE20" s="17"/>
      <c r="AF20" s="17"/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17"/>
      <c r="AR20" s="17"/>
      <c r="AS20" s="17"/>
      <c r="AT20" s="26"/>
      <c r="AU20" s="20"/>
      <c r="AV20" s="20"/>
      <c r="AW20" s="20"/>
      <c r="AX20" s="20"/>
      <c r="AY20" s="19"/>
      <c r="AZ20" s="13"/>
      <c r="BB20" s="52"/>
      <c r="BF20" s="52"/>
      <c r="BQ20" s="53"/>
    </row>
    <row r="21" spans="1:69" s="11" customFormat="1" x14ac:dyDescent="0.3">
      <c r="A21" s="24"/>
      <c r="B21" s="25"/>
      <c r="C21" s="20"/>
      <c r="D21" s="20"/>
      <c r="E21" s="20"/>
      <c r="F21" s="20"/>
      <c r="G21" s="20"/>
      <c r="H21" s="19"/>
      <c r="I21" s="26"/>
      <c r="J21" s="20"/>
      <c r="K21" s="20"/>
      <c r="L21" s="20"/>
      <c r="M21" s="20"/>
      <c r="N21" s="20"/>
      <c r="O21" s="19"/>
      <c r="P21" s="20"/>
      <c r="Q21" s="20"/>
      <c r="R21" s="20"/>
      <c r="S21" s="20"/>
      <c r="T21" s="20"/>
      <c r="U21" s="20"/>
      <c r="V21" s="19"/>
      <c r="W21" s="26"/>
      <c r="X21" s="20"/>
      <c r="Y21" s="20"/>
      <c r="Z21" s="20"/>
      <c r="AA21" s="20"/>
      <c r="AB21" s="20"/>
      <c r="AC21" s="19"/>
      <c r="AD21" s="32"/>
      <c r="AE21" s="17"/>
      <c r="AF21" s="17"/>
      <c r="AG21" s="17"/>
      <c r="AH21" s="17"/>
      <c r="AI21" s="17"/>
      <c r="AJ21" s="17"/>
      <c r="AK21" s="17"/>
      <c r="AL21" s="17"/>
      <c r="AM21" s="17"/>
      <c r="AN21" s="17"/>
      <c r="AO21" s="17"/>
      <c r="AP21" s="17"/>
      <c r="AQ21" s="17"/>
      <c r="AR21" s="17"/>
      <c r="AS21" s="17"/>
      <c r="AT21" s="26"/>
      <c r="AU21" s="20"/>
      <c r="AV21" s="20"/>
      <c r="AW21" s="20"/>
      <c r="AX21" s="20"/>
      <c r="AY21" s="19"/>
      <c r="AZ21" s="13"/>
      <c r="BB21" s="52"/>
      <c r="BF21" s="52"/>
      <c r="BQ21" s="53"/>
    </row>
    <row r="22" spans="1:69" s="11" customFormat="1" x14ac:dyDescent="0.3">
      <c r="A22" s="24"/>
      <c r="B22" s="25"/>
      <c r="C22" s="20"/>
      <c r="D22" s="20"/>
      <c r="E22" s="20"/>
      <c r="F22" s="20"/>
      <c r="G22" s="20"/>
      <c r="H22" s="19"/>
      <c r="I22" s="26"/>
      <c r="J22" s="20"/>
      <c r="K22" s="20"/>
      <c r="L22" s="20"/>
      <c r="M22" s="20"/>
      <c r="N22" s="20"/>
      <c r="O22" s="19"/>
      <c r="P22" s="20"/>
      <c r="Q22" s="20"/>
      <c r="R22" s="20"/>
      <c r="S22" s="20"/>
      <c r="T22" s="20"/>
      <c r="U22" s="20"/>
      <c r="V22" s="19"/>
      <c r="W22" s="26"/>
      <c r="X22" s="20"/>
      <c r="Y22" s="20"/>
      <c r="Z22" s="20"/>
      <c r="AA22" s="20"/>
      <c r="AB22" s="20"/>
      <c r="AC22" s="19"/>
      <c r="AD22" s="32"/>
      <c r="AE22" s="17"/>
      <c r="AF22" s="17"/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17"/>
      <c r="AS22" s="17"/>
      <c r="AT22" s="26"/>
      <c r="AU22" s="20"/>
      <c r="AV22" s="20"/>
      <c r="AW22" s="20"/>
      <c r="AX22" s="20"/>
      <c r="AY22" s="19"/>
      <c r="AZ22" s="13"/>
      <c r="BB22" s="52"/>
      <c r="BF22" s="52"/>
      <c r="BQ22" s="53"/>
    </row>
    <row r="23" spans="1:69" s="11" customFormat="1" x14ac:dyDescent="0.3">
      <c r="A23" s="24"/>
      <c r="B23" s="25"/>
      <c r="C23" s="20"/>
      <c r="D23" s="20"/>
      <c r="E23" s="20"/>
      <c r="F23" s="20"/>
      <c r="G23" s="20"/>
      <c r="H23" s="19"/>
      <c r="I23" s="26"/>
      <c r="J23" s="20"/>
      <c r="K23" s="20"/>
      <c r="L23" s="20"/>
      <c r="M23" s="20"/>
      <c r="N23" s="20"/>
      <c r="O23" s="19"/>
      <c r="P23" s="20"/>
      <c r="Q23" s="20"/>
      <c r="R23" s="20"/>
      <c r="S23" s="20"/>
      <c r="T23" s="20"/>
      <c r="U23" s="20"/>
      <c r="V23" s="19"/>
      <c r="W23" s="26"/>
      <c r="X23" s="20"/>
      <c r="Y23" s="20"/>
      <c r="Z23" s="20"/>
      <c r="AA23" s="20"/>
      <c r="AB23" s="20"/>
      <c r="AC23" s="19"/>
      <c r="AD23" s="32"/>
      <c r="AE23" s="17"/>
      <c r="AF23" s="17"/>
      <c r="AG23" s="17"/>
      <c r="AH23" s="17"/>
      <c r="AI23" s="17"/>
      <c r="AJ23" s="17"/>
      <c r="AK23" s="17"/>
      <c r="AL23" s="17"/>
      <c r="AM23" s="17"/>
      <c r="AN23" s="17"/>
      <c r="AO23" s="17"/>
      <c r="AP23" s="17"/>
      <c r="AQ23" s="17"/>
      <c r="AR23" s="17"/>
      <c r="AS23" s="17"/>
      <c r="AT23" s="26"/>
      <c r="AU23" s="20"/>
      <c r="AV23" s="20"/>
      <c r="AW23" s="20"/>
      <c r="AX23" s="20"/>
      <c r="AY23" s="19"/>
      <c r="AZ23" s="13"/>
      <c r="BB23" s="52"/>
      <c r="BF23" s="52"/>
      <c r="BQ23" s="53"/>
    </row>
    <row r="24" spans="1:69" s="11" customFormat="1" x14ac:dyDescent="0.3">
      <c r="A24" s="24"/>
      <c r="B24" s="25"/>
      <c r="C24" s="20"/>
      <c r="D24" s="20"/>
      <c r="E24" s="20"/>
      <c r="F24" s="20"/>
      <c r="G24" s="20"/>
      <c r="H24" s="19"/>
      <c r="I24" s="26"/>
      <c r="J24" s="20"/>
      <c r="K24" s="20"/>
      <c r="L24" s="20"/>
      <c r="M24" s="20"/>
      <c r="N24" s="20"/>
      <c r="O24" s="19"/>
      <c r="P24" s="20"/>
      <c r="Q24" s="20"/>
      <c r="R24" s="20"/>
      <c r="S24" s="20"/>
      <c r="T24" s="20"/>
      <c r="U24" s="20"/>
      <c r="V24" s="19"/>
      <c r="W24" s="26"/>
      <c r="X24" s="20"/>
      <c r="Y24" s="20"/>
      <c r="Z24" s="20"/>
      <c r="AA24" s="20"/>
      <c r="AB24" s="20"/>
      <c r="AC24" s="19"/>
      <c r="AD24" s="32"/>
      <c r="AE24" s="17"/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  <c r="AT24" s="26"/>
      <c r="AU24" s="20"/>
      <c r="AV24" s="20"/>
      <c r="AW24" s="20"/>
      <c r="AX24" s="20"/>
      <c r="AY24" s="19"/>
      <c r="AZ24" s="13"/>
      <c r="BB24" s="52"/>
      <c r="BF24" s="52"/>
      <c r="BQ24" s="53"/>
    </row>
    <row r="25" spans="1:69" s="11" customFormat="1" x14ac:dyDescent="0.3">
      <c r="A25" s="24"/>
      <c r="B25" s="25"/>
      <c r="C25" s="20"/>
      <c r="D25" s="20"/>
      <c r="E25" s="20"/>
      <c r="F25" s="20"/>
      <c r="G25" s="20"/>
      <c r="H25" s="19"/>
      <c r="I25" s="26"/>
      <c r="J25" s="20"/>
      <c r="K25" s="20"/>
      <c r="L25" s="20"/>
      <c r="M25" s="20"/>
      <c r="N25" s="20"/>
      <c r="O25" s="19"/>
      <c r="P25" s="20"/>
      <c r="Q25" s="20"/>
      <c r="R25" s="20"/>
      <c r="S25" s="20"/>
      <c r="T25" s="20"/>
      <c r="U25" s="20"/>
      <c r="V25" s="19"/>
      <c r="W25" s="26"/>
      <c r="X25" s="20"/>
      <c r="Y25" s="20"/>
      <c r="Z25" s="20"/>
      <c r="AA25" s="20"/>
      <c r="AB25" s="20"/>
      <c r="AC25" s="19"/>
      <c r="AD25" s="32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/>
      <c r="AR25" s="17"/>
      <c r="AS25" s="17"/>
      <c r="AT25" s="26"/>
      <c r="AU25" s="20"/>
      <c r="AV25" s="20"/>
      <c r="AW25" s="20"/>
      <c r="AX25" s="20"/>
      <c r="AY25" s="19"/>
      <c r="AZ25" s="13"/>
      <c r="BB25" s="52"/>
      <c r="BF25" s="52"/>
      <c r="BQ25" s="53"/>
    </row>
    <row r="26" spans="1:69" s="11" customFormat="1" x14ac:dyDescent="0.3">
      <c r="A26" s="24"/>
      <c r="B26" s="25"/>
      <c r="C26" s="20"/>
      <c r="D26" s="20"/>
      <c r="E26" s="20"/>
      <c r="F26" s="20"/>
      <c r="G26" s="20"/>
      <c r="H26" s="19"/>
      <c r="I26" s="26"/>
      <c r="J26" s="20"/>
      <c r="K26" s="20"/>
      <c r="L26" s="20"/>
      <c r="M26" s="20"/>
      <c r="N26" s="20"/>
      <c r="O26" s="19"/>
      <c r="P26" s="20"/>
      <c r="Q26" s="20"/>
      <c r="R26" s="20"/>
      <c r="S26" s="20"/>
      <c r="T26" s="20"/>
      <c r="U26" s="20"/>
      <c r="V26" s="19"/>
      <c r="W26" s="26"/>
      <c r="X26" s="20"/>
      <c r="Y26" s="20"/>
      <c r="Z26" s="20"/>
      <c r="AA26" s="20"/>
      <c r="AB26" s="20"/>
      <c r="AC26" s="19"/>
      <c r="AD26" s="32"/>
      <c r="AE26" s="17"/>
      <c r="AF26" s="17"/>
      <c r="AG26" s="17"/>
      <c r="AH26" s="17"/>
      <c r="AI26" s="17"/>
      <c r="AJ26" s="17"/>
      <c r="AK26" s="17"/>
      <c r="AL26" s="17"/>
      <c r="AM26" s="17"/>
      <c r="AN26" s="17"/>
      <c r="AO26" s="17"/>
      <c r="AP26" s="17"/>
      <c r="AQ26" s="17"/>
      <c r="AR26" s="17"/>
      <c r="AS26" s="17"/>
      <c r="AT26" s="26"/>
      <c r="AU26" s="20"/>
      <c r="AV26" s="20"/>
      <c r="AW26" s="20"/>
      <c r="AX26" s="20"/>
      <c r="AY26" s="19"/>
      <c r="AZ26" s="13"/>
      <c r="BB26" s="52"/>
      <c r="BF26" s="52"/>
      <c r="BQ26" s="53"/>
    </row>
    <row r="27" spans="1:69" s="11" customFormat="1" x14ac:dyDescent="0.3">
      <c r="A27" s="24"/>
      <c r="B27" s="25"/>
      <c r="C27" s="20"/>
      <c r="D27" s="20"/>
      <c r="E27" s="20"/>
      <c r="F27" s="20"/>
      <c r="G27" s="20"/>
      <c r="H27" s="19"/>
      <c r="I27" s="26"/>
      <c r="J27" s="20"/>
      <c r="K27" s="20"/>
      <c r="L27" s="20"/>
      <c r="M27" s="20"/>
      <c r="N27" s="20"/>
      <c r="O27" s="19"/>
      <c r="P27" s="20"/>
      <c r="Q27" s="20"/>
      <c r="R27" s="20"/>
      <c r="S27" s="20"/>
      <c r="T27" s="20"/>
      <c r="U27" s="20"/>
      <c r="V27" s="19"/>
      <c r="W27" s="26"/>
      <c r="X27" s="20"/>
      <c r="Y27" s="20"/>
      <c r="Z27" s="20"/>
      <c r="AA27" s="20"/>
      <c r="AB27" s="20"/>
      <c r="AC27" s="19"/>
      <c r="AD27" s="32"/>
      <c r="AE27" s="68" t="s">
        <v>113</v>
      </c>
      <c r="AF27" s="17"/>
      <c r="AG27" s="17"/>
      <c r="AH27" s="17"/>
      <c r="AI27" s="17"/>
      <c r="AJ27" s="17"/>
      <c r="AK27" s="17"/>
      <c r="AL27" s="17"/>
      <c r="AM27" s="17"/>
      <c r="AN27" s="17"/>
      <c r="AO27" s="17"/>
      <c r="AP27" s="17"/>
      <c r="AQ27" s="17"/>
      <c r="AR27" s="17"/>
      <c r="AS27" s="17"/>
      <c r="AT27" s="26"/>
      <c r="AU27" s="20"/>
      <c r="AV27" s="20"/>
      <c r="AW27" s="20"/>
      <c r="AX27" s="20"/>
      <c r="AY27" s="19"/>
      <c r="AZ27" s="13"/>
      <c r="BB27" s="52"/>
      <c r="BF27" s="52"/>
      <c r="BQ27" s="53"/>
    </row>
    <row r="28" spans="1:69" s="11" customFormat="1" x14ac:dyDescent="0.3">
      <c r="A28" s="24"/>
      <c r="B28" s="25"/>
      <c r="C28" s="20"/>
      <c r="D28" s="20"/>
      <c r="E28" s="20"/>
      <c r="F28" s="20"/>
      <c r="G28" s="20"/>
      <c r="H28" s="19"/>
      <c r="I28" s="26"/>
      <c r="J28" s="20"/>
      <c r="K28" s="20"/>
      <c r="L28" s="20"/>
      <c r="M28" s="20"/>
      <c r="N28" s="20"/>
      <c r="O28" s="19"/>
      <c r="P28" s="20"/>
      <c r="Q28" s="20"/>
      <c r="R28" s="20"/>
      <c r="S28" s="20"/>
      <c r="T28" s="20"/>
      <c r="U28" s="20"/>
      <c r="V28" s="19"/>
      <c r="W28" s="26"/>
      <c r="X28" s="20"/>
      <c r="Y28" s="20"/>
      <c r="Z28" s="20"/>
      <c r="AA28" s="20"/>
      <c r="AB28" s="20"/>
      <c r="AC28" s="19"/>
      <c r="AD28" s="32"/>
      <c r="AE28" s="17"/>
      <c r="AF28" s="17" t="s">
        <v>115</v>
      </c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26"/>
      <c r="AU28" s="20"/>
      <c r="AV28" s="20"/>
      <c r="AW28" s="20"/>
      <c r="AX28" s="20"/>
      <c r="AY28" s="19"/>
      <c r="AZ28" s="13"/>
      <c r="BB28" s="52"/>
      <c r="BF28" s="52"/>
      <c r="BQ28" s="53"/>
    </row>
    <row r="29" spans="1:69" s="11" customFormat="1" x14ac:dyDescent="0.3">
      <c r="A29" s="24"/>
      <c r="B29" s="25"/>
      <c r="C29" s="20"/>
      <c r="D29" s="20"/>
      <c r="E29" s="20"/>
      <c r="F29" s="20"/>
      <c r="G29" s="20"/>
      <c r="H29" s="19"/>
      <c r="I29" s="26"/>
      <c r="J29" s="20"/>
      <c r="K29" s="20"/>
      <c r="L29" s="20"/>
      <c r="M29" s="20"/>
      <c r="N29" s="20"/>
      <c r="O29" s="19"/>
      <c r="P29" s="20"/>
      <c r="Q29" s="20"/>
      <c r="R29" s="20"/>
      <c r="S29" s="20"/>
      <c r="T29" s="20"/>
      <c r="U29" s="20"/>
      <c r="V29" s="19"/>
      <c r="W29" s="26"/>
      <c r="X29" s="20"/>
      <c r="Y29" s="20"/>
      <c r="Z29" s="20"/>
      <c r="AA29" s="20"/>
      <c r="AB29" s="20"/>
      <c r="AC29" s="19"/>
      <c r="AD29" s="32"/>
      <c r="AE29" s="17"/>
      <c r="AF29" s="17"/>
      <c r="AG29" s="17"/>
      <c r="AH29" s="17"/>
      <c r="AI29" s="17"/>
      <c r="AJ29" s="17"/>
      <c r="AK29" s="17"/>
      <c r="AL29" s="17"/>
      <c r="AM29" s="17"/>
      <c r="AN29" s="17"/>
      <c r="AO29" s="17"/>
      <c r="AP29" s="17"/>
      <c r="AQ29" s="17"/>
      <c r="AR29" s="17"/>
      <c r="AS29" s="17"/>
      <c r="AT29" s="26"/>
      <c r="AU29" s="20"/>
      <c r="AV29" s="20"/>
      <c r="AW29" s="20"/>
      <c r="AX29" s="20"/>
      <c r="AY29" s="19"/>
      <c r="AZ29" s="13"/>
      <c r="BB29" s="52"/>
      <c r="BF29" s="52"/>
      <c r="BQ29" s="53"/>
    </row>
    <row r="30" spans="1:69" s="11" customFormat="1" x14ac:dyDescent="0.3">
      <c r="A30" s="24"/>
      <c r="B30" s="25"/>
      <c r="C30" s="20"/>
      <c r="D30" s="20"/>
      <c r="E30" s="20"/>
      <c r="F30" s="20"/>
      <c r="G30" s="20"/>
      <c r="H30" s="19"/>
      <c r="I30" s="26"/>
      <c r="J30" s="20"/>
      <c r="K30" s="20"/>
      <c r="L30" s="20"/>
      <c r="M30" s="20"/>
      <c r="N30" s="20"/>
      <c r="O30" s="19"/>
      <c r="P30" s="20"/>
      <c r="Q30" s="20"/>
      <c r="R30" s="20"/>
      <c r="S30" s="20"/>
      <c r="T30" s="20"/>
      <c r="U30" s="20"/>
      <c r="V30" s="19"/>
      <c r="W30" s="26"/>
      <c r="X30" s="20"/>
      <c r="Y30" s="20"/>
      <c r="Z30" s="20"/>
      <c r="AA30" s="20"/>
      <c r="AB30" s="20"/>
      <c r="AC30" s="19"/>
      <c r="AD30" s="32"/>
      <c r="AE30" s="17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7"/>
      <c r="AT30" s="26"/>
      <c r="AU30" s="20"/>
      <c r="AV30" s="20"/>
      <c r="AW30" s="20"/>
      <c r="AX30" s="20"/>
      <c r="AY30" s="19"/>
      <c r="AZ30" s="13"/>
      <c r="BB30" s="52"/>
      <c r="BF30" s="52"/>
      <c r="BQ30" s="53"/>
    </row>
    <row r="31" spans="1:69" s="11" customFormat="1" x14ac:dyDescent="0.3">
      <c r="A31" s="24"/>
      <c r="B31" s="25"/>
      <c r="C31" s="20"/>
      <c r="D31" s="20"/>
      <c r="E31" s="20"/>
      <c r="F31" s="20"/>
      <c r="G31" s="20"/>
      <c r="H31" s="19"/>
      <c r="I31" s="26"/>
      <c r="J31" s="20"/>
      <c r="K31" s="20"/>
      <c r="L31" s="20"/>
      <c r="M31" s="20"/>
      <c r="N31" s="20"/>
      <c r="O31" s="19"/>
      <c r="P31" s="20"/>
      <c r="Q31" s="20"/>
      <c r="R31" s="20"/>
      <c r="S31" s="20"/>
      <c r="T31" s="20"/>
      <c r="U31" s="20"/>
      <c r="V31" s="19"/>
      <c r="W31" s="26"/>
      <c r="X31" s="20"/>
      <c r="Y31" s="20"/>
      <c r="Z31" s="20"/>
      <c r="AA31" s="20"/>
      <c r="AB31" s="20"/>
      <c r="AC31" s="19"/>
      <c r="AD31" s="32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26"/>
      <c r="AU31" s="20"/>
      <c r="AV31" s="20"/>
      <c r="AW31" s="20"/>
      <c r="AX31" s="20"/>
      <c r="AY31" s="19"/>
      <c r="AZ31" s="13"/>
      <c r="BB31" s="52"/>
      <c r="BF31" s="52"/>
      <c r="BQ31" s="53"/>
    </row>
    <row r="32" spans="1:69" s="11" customFormat="1" x14ac:dyDescent="0.3">
      <c r="A32" s="24"/>
      <c r="B32" s="25"/>
      <c r="C32" s="20"/>
      <c r="D32" s="20"/>
      <c r="E32" s="20"/>
      <c r="F32" s="20"/>
      <c r="G32" s="20"/>
      <c r="H32" s="19"/>
      <c r="I32" s="26"/>
      <c r="J32" s="20"/>
      <c r="K32" s="20"/>
      <c r="L32" s="20"/>
      <c r="M32" s="20"/>
      <c r="N32" s="20"/>
      <c r="O32" s="19"/>
      <c r="P32" s="20"/>
      <c r="Q32" s="20"/>
      <c r="R32" s="20"/>
      <c r="S32" s="20"/>
      <c r="T32" s="20"/>
      <c r="U32" s="20"/>
      <c r="V32" s="19"/>
      <c r="W32" s="26"/>
      <c r="X32" s="20"/>
      <c r="Y32" s="20"/>
      <c r="Z32" s="20"/>
      <c r="AA32" s="20"/>
      <c r="AB32" s="20"/>
      <c r="AC32" s="19"/>
      <c r="AD32" s="32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26"/>
      <c r="AU32" s="20"/>
      <c r="AV32" s="20"/>
      <c r="AW32" s="20"/>
      <c r="AX32" s="20"/>
      <c r="AY32" s="19"/>
      <c r="AZ32" s="13"/>
      <c r="BB32" s="52"/>
      <c r="BF32" s="52"/>
      <c r="BQ32" s="53"/>
    </row>
    <row r="33" spans="1:69" s="11" customFormat="1" x14ac:dyDescent="0.3">
      <c r="A33" s="24"/>
      <c r="B33" s="25"/>
      <c r="C33" s="20"/>
      <c r="D33" s="20"/>
      <c r="E33" s="20"/>
      <c r="F33" s="20"/>
      <c r="G33" s="20"/>
      <c r="H33" s="19"/>
      <c r="I33" s="26"/>
      <c r="J33" s="20"/>
      <c r="K33" s="20"/>
      <c r="L33" s="20"/>
      <c r="M33" s="20"/>
      <c r="N33" s="20"/>
      <c r="O33" s="19"/>
      <c r="P33" s="20"/>
      <c r="Q33" s="20"/>
      <c r="R33" s="20"/>
      <c r="S33" s="20"/>
      <c r="T33" s="20"/>
      <c r="U33" s="20"/>
      <c r="V33" s="19"/>
      <c r="W33" s="26"/>
      <c r="X33" s="20"/>
      <c r="Y33" s="20"/>
      <c r="Z33" s="20"/>
      <c r="AA33" s="20"/>
      <c r="AB33" s="20"/>
      <c r="AC33" s="19"/>
      <c r="AD33" s="32"/>
      <c r="AE33" s="68" t="s">
        <v>116</v>
      </c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  <c r="AS33" s="17"/>
      <c r="AT33" s="26"/>
      <c r="AU33" s="20"/>
      <c r="AV33" s="20"/>
      <c r="AW33" s="20"/>
      <c r="AX33" s="20"/>
      <c r="AY33" s="19"/>
      <c r="AZ33" s="13"/>
      <c r="BB33" s="52"/>
      <c r="BF33" s="52"/>
      <c r="BQ33" s="53"/>
    </row>
    <row r="34" spans="1:69" s="11" customFormat="1" x14ac:dyDescent="0.3">
      <c r="A34" s="24"/>
      <c r="B34" s="25"/>
      <c r="C34" s="20"/>
      <c r="D34" s="20"/>
      <c r="E34" s="20"/>
      <c r="F34" s="20"/>
      <c r="G34" s="20"/>
      <c r="H34" s="19"/>
      <c r="I34" s="26"/>
      <c r="J34" s="20"/>
      <c r="K34" s="20"/>
      <c r="L34" s="20"/>
      <c r="M34" s="20"/>
      <c r="N34" s="20"/>
      <c r="O34" s="19"/>
      <c r="P34" s="20"/>
      <c r="Q34" s="20"/>
      <c r="R34" s="20"/>
      <c r="S34" s="20"/>
      <c r="T34" s="20"/>
      <c r="U34" s="20"/>
      <c r="V34" s="19"/>
      <c r="W34" s="26"/>
      <c r="X34" s="20"/>
      <c r="Y34" s="20"/>
      <c r="Z34" s="20"/>
      <c r="AA34" s="20"/>
      <c r="AB34" s="20"/>
      <c r="AC34" s="19"/>
      <c r="AD34" s="32"/>
      <c r="AE34" s="17"/>
      <c r="AF34" s="17" t="s">
        <v>117</v>
      </c>
      <c r="AG34" s="17"/>
      <c r="AH34" s="17"/>
      <c r="AI34" s="17"/>
      <c r="AJ34" s="17"/>
      <c r="AK34" s="17"/>
      <c r="AL34" s="17"/>
      <c r="AM34" s="17"/>
      <c r="AN34" s="17"/>
      <c r="AO34" s="17"/>
      <c r="AP34" s="17"/>
      <c r="AQ34" s="17"/>
      <c r="AR34" s="17"/>
      <c r="AS34" s="17"/>
      <c r="AT34" s="26"/>
      <c r="AU34" s="20"/>
      <c r="AV34" s="20"/>
      <c r="AW34" s="20"/>
      <c r="AX34" s="20"/>
      <c r="AY34" s="19"/>
      <c r="AZ34" s="13"/>
      <c r="BB34" s="52"/>
      <c r="BF34" s="52"/>
      <c r="BQ34" s="53"/>
    </row>
    <row r="35" spans="1:69" s="11" customFormat="1" x14ac:dyDescent="0.3">
      <c r="A35" s="24"/>
      <c r="B35" s="25"/>
      <c r="C35" s="20"/>
      <c r="D35" s="20"/>
      <c r="E35" s="20"/>
      <c r="F35" s="20"/>
      <c r="G35" s="20"/>
      <c r="H35" s="19"/>
      <c r="I35" s="26"/>
      <c r="J35" s="20"/>
      <c r="K35" s="20"/>
      <c r="L35" s="20"/>
      <c r="M35" s="20"/>
      <c r="N35" s="20"/>
      <c r="O35" s="19"/>
      <c r="P35" s="20"/>
      <c r="Q35" s="20"/>
      <c r="R35" s="20"/>
      <c r="S35" s="20"/>
      <c r="T35" s="20"/>
      <c r="U35" s="20"/>
      <c r="V35" s="19"/>
      <c r="W35" s="26"/>
      <c r="X35" s="20"/>
      <c r="Y35" s="20"/>
      <c r="Z35" s="20"/>
      <c r="AA35" s="20"/>
      <c r="AB35" s="20"/>
      <c r="AC35" s="19"/>
      <c r="AD35" s="32"/>
      <c r="AE35" s="17"/>
      <c r="AF35" s="17" t="s">
        <v>120</v>
      </c>
      <c r="AG35" s="17"/>
      <c r="AH35" s="17"/>
      <c r="AI35" s="17"/>
      <c r="AJ35" s="17"/>
      <c r="AK35" s="17"/>
      <c r="AL35" s="17"/>
      <c r="AM35" s="17"/>
      <c r="AN35" s="17"/>
      <c r="AO35" s="17"/>
      <c r="AP35" s="17"/>
      <c r="AQ35" s="17"/>
      <c r="AR35" s="17"/>
      <c r="AS35" s="17"/>
      <c r="AT35" s="26"/>
      <c r="AU35" s="20"/>
      <c r="AV35" s="20"/>
      <c r="AW35" s="20"/>
      <c r="AX35" s="20"/>
      <c r="AY35" s="19"/>
      <c r="AZ35" s="13"/>
      <c r="BB35" s="52"/>
      <c r="BF35" s="52"/>
      <c r="BQ35" s="53"/>
    </row>
    <row r="36" spans="1:69" s="11" customFormat="1" x14ac:dyDescent="0.3">
      <c r="A36" s="24"/>
      <c r="B36" s="25"/>
      <c r="C36" s="20"/>
      <c r="D36" s="20"/>
      <c r="E36" s="20"/>
      <c r="F36" s="20"/>
      <c r="G36" s="20"/>
      <c r="H36" s="19"/>
      <c r="I36" s="26"/>
      <c r="J36" s="20"/>
      <c r="K36" s="20"/>
      <c r="L36" s="20"/>
      <c r="M36" s="20"/>
      <c r="N36" s="20"/>
      <c r="O36" s="19"/>
      <c r="P36" s="20"/>
      <c r="Q36" s="20"/>
      <c r="R36" s="20"/>
      <c r="S36" s="20"/>
      <c r="T36" s="20"/>
      <c r="U36" s="20"/>
      <c r="V36" s="19"/>
      <c r="W36" s="26"/>
      <c r="X36" s="20"/>
      <c r="Y36" s="20"/>
      <c r="Z36" s="20"/>
      <c r="AA36" s="20"/>
      <c r="AB36" s="20"/>
      <c r="AC36" s="19"/>
      <c r="AD36" s="32"/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26"/>
      <c r="AU36" s="20"/>
      <c r="AV36" s="20"/>
      <c r="AW36" s="20"/>
      <c r="AX36" s="20"/>
      <c r="AY36" s="19"/>
      <c r="AZ36" s="13"/>
      <c r="BB36" s="52"/>
      <c r="BF36" s="52"/>
      <c r="BQ36" s="53"/>
    </row>
    <row r="37" spans="1:69" s="11" customFormat="1" x14ac:dyDescent="0.3">
      <c r="A37" s="24"/>
      <c r="B37" s="25"/>
      <c r="C37" s="20"/>
      <c r="D37" s="20"/>
      <c r="E37" s="20"/>
      <c r="F37" s="20"/>
      <c r="G37" s="20"/>
      <c r="H37" s="19"/>
      <c r="I37" s="26"/>
      <c r="J37" s="20"/>
      <c r="K37" s="20"/>
      <c r="L37" s="20"/>
      <c r="M37" s="20"/>
      <c r="N37" s="20"/>
      <c r="O37" s="19"/>
      <c r="P37" s="20"/>
      <c r="Q37" s="20"/>
      <c r="R37" s="20"/>
      <c r="S37" s="20"/>
      <c r="T37" s="20"/>
      <c r="U37" s="20"/>
      <c r="V37" s="19"/>
      <c r="W37" s="26"/>
      <c r="X37" s="20"/>
      <c r="Y37" s="20"/>
      <c r="Z37" s="20"/>
      <c r="AA37" s="20"/>
      <c r="AB37" s="20"/>
      <c r="AC37" s="19"/>
      <c r="AD37" s="32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26"/>
      <c r="AU37" s="20"/>
      <c r="AV37" s="20"/>
      <c r="AW37" s="20"/>
      <c r="AX37" s="20"/>
      <c r="AY37" s="19"/>
      <c r="AZ37" s="13"/>
      <c r="BB37" s="52"/>
      <c r="BF37" s="52"/>
      <c r="BQ37" s="53"/>
    </row>
    <row r="38" spans="1:69" s="11" customFormat="1" x14ac:dyDescent="0.3">
      <c r="A38" s="24"/>
      <c r="B38" s="25"/>
      <c r="C38" s="20"/>
      <c r="D38" s="20"/>
      <c r="E38" s="20"/>
      <c r="F38" s="20"/>
      <c r="G38" s="20"/>
      <c r="H38" s="19"/>
      <c r="I38" s="26"/>
      <c r="J38" s="20"/>
      <c r="K38" s="20"/>
      <c r="L38" s="20"/>
      <c r="M38" s="20"/>
      <c r="N38" s="20"/>
      <c r="O38" s="19"/>
      <c r="P38" s="20"/>
      <c r="Q38" s="20"/>
      <c r="R38" s="20"/>
      <c r="S38" s="20"/>
      <c r="T38" s="20"/>
      <c r="U38" s="20"/>
      <c r="V38" s="19"/>
      <c r="W38" s="26"/>
      <c r="X38" s="20"/>
      <c r="Y38" s="20"/>
      <c r="Z38" s="20"/>
      <c r="AA38" s="20"/>
      <c r="AB38" s="20"/>
      <c r="AC38" s="19"/>
      <c r="AD38" s="32"/>
      <c r="AE38" s="17"/>
      <c r="AF38" s="17"/>
      <c r="AG38" s="17"/>
      <c r="AH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26"/>
      <c r="AU38" s="20"/>
      <c r="AV38" s="20"/>
      <c r="AW38" s="20"/>
      <c r="AX38" s="20"/>
      <c r="AY38" s="19"/>
      <c r="AZ38" s="13"/>
      <c r="BB38" s="52"/>
      <c r="BF38" s="52"/>
      <c r="BQ38" s="53"/>
    </row>
    <row r="39" spans="1:69" s="11" customFormat="1" x14ac:dyDescent="0.3">
      <c r="A39" s="24"/>
      <c r="B39" s="25"/>
      <c r="C39" s="20"/>
      <c r="D39" s="20"/>
      <c r="E39" s="20"/>
      <c r="F39" s="20"/>
      <c r="G39" s="20"/>
      <c r="H39" s="19"/>
      <c r="I39" s="26"/>
      <c r="J39" s="20"/>
      <c r="K39" s="20"/>
      <c r="L39" s="20"/>
      <c r="M39" s="20"/>
      <c r="N39" s="20"/>
      <c r="O39" s="19"/>
      <c r="P39" s="20"/>
      <c r="Q39" s="20"/>
      <c r="R39" s="20"/>
      <c r="S39" s="20"/>
      <c r="T39" s="20"/>
      <c r="U39" s="20"/>
      <c r="V39" s="19"/>
      <c r="W39" s="26"/>
      <c r="X39" s="20"/>
      <c r="Y39" s="20"/>
      <c r="Z39" s="20"/>
      <c r="AA39" s="20"/>
      <c r="AB39" s="20"/>
      <c r="AC39" s="19"/>
      <c r="AD39" s="32"/>
      <c r="AE39" s="68" t="s">
        <v>111</v>
      </c>
      <c r="AF39" s="17"/>
      <c r="AG39" s="17"/>
      <c r="AH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26"/>
      <c r="AU39" s="20"/>
      <c r="AV39" s="20"/>
      <c r="AW39" s="20"/>
      <c r="AX39" s="20"/>
      <c r="AY39" s="19"/>
      <c r="AZ39" s="13"/>
      <c r="BB39" s="52"/>
      <c r="BF39" s="52"/>
      <c r="BQ39" s="53"/>
    </row>
    <row r="40" spans="1:69" s="11" customFormat="1" x14ac:dyDescent="0.3">
      <c r="A40" s="24"/>
      <c r="B40" s="25"/>
      <c r="C40" s="20"/>
      <c r="D40" s="20"/>
      <c r="E40" s="20"/>
      <c r="F40" s="20"/>
      <c r="G40" s="20"/>
      <c r="H40" s="19"/>
      <c r="I40" s="26"/>
      <c r="J40" s="20"/>
      <c r="K40" s="20"/>
      <c r="L40" s="20"/>
      <c r="M40" s="20"/>
      <c r="N40" s="20"/>
      <c r="O40" s="19"/>
      <c r="P40" s="20"/>
      <c r="Q40" s="20"/>
      <c r="R40" s="20"/>
      <c r="S40" s="20"/>
      <c r="T40" s="20"/>
      <c r="U40" s="20"/>
      <c r="V40" s="19"/>
      <c r="W40" s="26"/>
      <c r="X40" s="20"/>
      <c r="Y40" s="20"/>
      <c r="Z40" s="20"/>
      <c r="AA40" s="20"/>
      <c r="AB40" s="20"/>
      <c r="AC40" s="19"/>
      <c r="AD40" s="32"/>
      <c r="AE40" s="17"/>
      <c r="AF40" s="11" t="s">
        <v>68</v>
      </c>
      <c r="AG40" s="17"/>
      <c r="AH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26"/>
      <c r="AU40" s="20"/>
      <c r="AV40" s="20"/>
      <c r="AW40" s="20"/>
      <c r="AX40" s="20"/>
      <c r="AY40" s="19"/>
      <c r="AZ40" s="13"/>
      <c r="BB40" s="52"/>
      <c r="BF40" s="52"/>
      <c r="BQ40" s="53"/>
    </row>
    <row r="41" spans="1:69" s="11" customFormat="1" x14ac:dyDescent="0.3">
      <c r="A41" s="24"/>
      <c r="B41" s="25"/>
      <c r="C41" s="20"/>
      <c r="D41" s="20"/>
      <c r="E41" s="20"/>
      <c r="F41" s="20"/>
      <c r="G41" s="20"/>
      <c r="H41" s="19"/>
      <c r="I41" s="26"/>
      <c r="J41" s="20"/>
      <c r="K41" s="20"/>
      <c r="L41" s="20"/>
      <c r="M41" s="20"/>
      <c r="N41" s="20"/>
      <c r="O41" s="19"/>
      <c r="P41" s="20"/>
      <c r="Q41" s="20"/>
      <c r="R41" s="20"/>
      <c r="S41" s="20"/>
      <c r="T41" s="20"/>
      <c r="U41" s="20"/>
      <c r="V41" s="19"/>
      <c r="W41" s="26"/>
      <c r="X41" s="20"/>
      <c r="Y41" s="20"/>
      <c r="Z41" s="20"/>
      <c r="AA41" s="20"/>
      <c r="AB41" s="20"/>
      <c r="AC41" s="19"/>
      <c r="AD41" s="32"/>
      <c r="AE41" s="17"/>
      <c r="AF41" s="17" t="s">
        <v>124</v>
      </c>
      <c r="AG41" s="17"/>
      <c r="AH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26"/>
      <c r="AU41" s="20"/>
      <c r="AV41" s="20"/>
      <c r="AW41" s="20"/>
      <c r="AX41" s="20"/>
      <c r="AY41" s="19"/>
      <c r="AZ41" s="13"/>
      <c r="BB41" s="52"/>
      <c r="BF41" s="52"/>
      <c r="BQ41" s="53"/>
    </row>
    <row r="42" spans="1:69" s="11" customFormat="1" x14ac:dyDescent="0.3">
      <c r="A42" s="24"/>
      <c r="B42" s="25"/>
      <c r="C42" s="20"/>
      <c r="D42" s="20"/>
      <c r="E42" s="20"/>
      <c r="F42" s="20"/>
      <c r="G42" s="20"/>
      <c r="H42" s="19"/>
      <c r="I42" s="26"/>
      <c r="J42" s="20"/>
      <c r="K42" s="20"/>
      <c r="L42" s="20"/>
      <c r="M42" s="20"/>
      <c r="N42" s="20"/>
      <c r="O42" s="19"/>
      <c r="P42" s="20"/>
      <c r="Q42" s="20"/>
      <c r="R42" s="20"/>
      <c r="S42" s="20"/>
      <c r="T42" s="20"/>
      <c r="U42" s="20"/>
      <c r="V42" s="19"/>
      <c r="W42" s="26"/>
      <c r="X42" s="20"/>
      <c r="Y42" s="20"/>
      <c r="Z42" s="20"/>
      <c r="AA42" s="20"/>
      <c r="AB42" s="20"/>
      <c r="AC42" s="19"/>
      <c r="AD42" s="32"/>
      <c r="AE42" s="17"/>
      <c r="AF42" s="17" t="s">
        <v>121</v>
      </c>
      <c r="AG42" s="17"/>
      <c r="AH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26"/>
      <c r="AU42" s="20"/>
      <c r="AV42" s="20"/>
      <c r="AW42" s="20"/>
      <c r="AX42" s="20"/>
      <c r="AY42" s="19"/>
      <c r="AZ42" s="13"/>
      <c r="BB42" s="52"/>
      <c r="BF42" s="52"/>
      <c r="BQ42" s="53"/>
    </row>
    <row r="43" spans="1:69" s="11" customFormat="1" x14ac:dyDescent="0.3">
      <c r="A43" s="24"/>
      <c r="B43" s="25"/>
      <c r="C43" s="20"/>
      <c r="D43" s="20"/>
      <c r="E43" s="20"/>
      <c r="F43" s="20"/>
      <c r="G43" s="20"/>
      <c r="H43" s="19"/>
      <c r="I43" s="26"/>
      <c r="J43" s="20"/>
      <c r="K43" s="20"/>
      <c r="L43" s="20"/>
      <c r="M43" s="20"/>
      <c r="N43" s="20"/>
      <c r="O43" s="19"/>
      <c r="P43" s="20"/>
      <c r="Q43" s="20"/>
      <c r="R43" s="20"/>
      <c r="S43" s="20"/>
      <c r="T43" s="20"/>
      <c r="U43" s="20"/>
      <c r="V43" s="19"/>
      <c r="W43" s="26"/>
      <c r="X43" s="20"/>
      <c r="Y43" s="20"/>
      <c r="Z43" s="20"/>
      <c r="AA43" s="20"/>
      <c r="AB43" s="20"/>
      <c r="AC43" s="19"/>
      <c r="AD43" s="32"/>
      <c r="AE43" s="17"/>
      <c r="AF43" s="17"/>
      <c r="AG43" s="17" t="s">
        <v>122</v>
      </c>
      <c r="AH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26"/>
      <c r="AU43" s="20"/>
      <c r="AV43" s="20"/>
      <c r="AW43" s="20"/>
      <c r="AX43" s="20"/>
      <c r="AY43" s="19"/>
      <c r="AZ43" s="13"/>
      <c r="BB43" s="52"/>
      <c r="BF43" s="52"/>
      <c r="BQ43" s="53"/>
    </row>
    <row r="44" spans="1:69" s="11" customFormat="1" x14ac:dyDescent="0.3">
      <c r="A44" s="24"/>
      <c r="B44" s="25"/>
      <c r="C44" s="20"/>
      <c r="D44" s="20"/>
      <c r="E44" s="20"/>
      <c r="F44" s="20"/>
      <c r="G44" s="20"/>
      <c r="H44" s="19"/>
      <c r="I44" s="26"/>
      <c r="J44" s="20"/>
      <c r="K44" s="20"/>
      <c r="L44" s="20"/>
      <c r="M44" s="20"/>
      <c r="N44" s="20"/>
      <c r="O44" s="19"/>
      <c r="P44" s="20"/>
      <c r="Q44" s="20"/>
      <c r="R44" s="20"/>
      <c r="S44" s="20"/>
      <c r="T44" s="20"/>
      <c r="U44" s="20"/>
      <c r="V44" s="19"/>
      <c r="W44" s="26"/>
      <c r="X44" s="20"/>
      <c r="Y44" s="20"/>
      <c r="Z44" s="20"/>
      <c r="AA44" s="20"/>
      <c r="AB44" s="20"/>
      <c r="AC44" s="19"/>
      <c r="AD44" s="32"/>
      <c r="AE44" s="17"/>
      <c r="AF44" s="17"/>
      <c r="AG44" s="17" t="s">
        <v>67</v>
      </c>
      <c r="AH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26"/>
      <c r="AU44" s="20"/>
      <c r="AV44" s="20"/>
      <c r="AW44" s="20"/>
      <c r="AX44" s="20"/>
      <c r="AY44" s="19"/>
      <c r="AZ44" s="13"/>
      <c r="BB44" s="52"/>
      <c r="BF44" s="52"/>
      <c r="BQ44" s="53"/>
    </row>
    <row r="45" spans="1:69" s="11" customFormat="1" x14ac:dyDescent="0.3">
      <c r="A45" s="24"/>
      <c r="B45" s="25"/>
      <c r="C45" s="20"/>
      <c r="D45" s="20"/>
      <c r="E45" s="20"/>
      <c r="F45" s="20"/>
      <c r="G45" s="20"/>
      <c r="H45" s="19"/>
      <c r="I45" s="26"/>
      <c r="J45" s="20"/>
      <c r="K45" s="20"/>
      <c r="L45" s="20"/>
      <c r="M45" s="20"/>
      <c r="N45" s="20"/>
      <c r="O45" s="19"/>
      <c r="P45" s="20"/>
      <c r="Q45" s="20"/>
      <c r="R45" s="20"/>
      <c r="S45" s="20"/>
      <c r="T45" s="20"/>
      <c r="U45" s="20"/>
      <c r="V45" s="19"/>
      <c r="W45" s="26"/>
      <c r="X45" s="20"/>
      <c r="Y45" s="20"/>
      <c r="Z45" s="20"/>
      <c r="AA45" s="20"/>
      <c r="AB45" s="20"/>
      <c r="AC45" s="19"/>
      <c r="AD45" s="32"/>
      <c r="AE45" s="17"/>
      <c r="AF45" s="17"/>
      <c r="AG45" s="17" t="s">
        <v>123</v>
      </c>
      <c r="AH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26"/>
      <c r="AU45" s="20"/>
      <c r="AV45" s="20"/>
      <c r="AW45" s="20"/>
      <c r="AX45" s="20"/>
      <c r="AY45" s="19"/>
      <c r="AZ45" s="13"/>
      <c r="BB45" s="52"/>
      <c r="BF45" s="52"/>
      <c r="BQ45" s="53"/>
    </row>
    <row r="46" spans="1:69" s="11" customFormat="1" x14ac:dyDescent="0.3">
      <c r="A46" s="24"/>
      <c r="B46" s="25"/>
      <c r="C46" s="20"/>
      <c r="D46" s="20"/>
      <c r="E46" s="20"/>
      <c r="F46" s="20"/>
      <c r="G46" s="20"/>
      <c r="H46" s="19"/>
      <c r="I46" s="26"/>
      <c r="J46" s="20"/>
      <c r="K46" s="20"/>
      <c r="L46" s="20"/>
      <c r="M46" s="20"/>
      <c r="N46" s="20"/>
      <c r="O46" s="19"/>
      <c r="P46" s="20"/>
      <c r="Q46" s="20"/>
      <c r="R46" s="20"/>
      <c r="S46" s="20"/>
      <c r="T46" s="20"/>
      <c r="U46" s="20"/>
      <c r="V46" s="19"/>
      <c r="W46" s="26"/>
      <c r="X46" s="20"/>
      <c r="Y46" s="20"/>
      <c r="Z46" s="20"/>
      <c r="AA46" s="20"/>
      <c r="AB46" s="20"/>
      <c r="AC46" s="19"/>
      <c r="AD46" s="32"/>
      <c r="AE46" s="17"/>
      <c r="AF46" s="17"/>
      <c r="AG46" s="17"/>
      <c r="AH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26"/>
      <c r="AU46" s="20"/>
      <c r="AV46" s="20"/>
      <c r="AW46" s="20"/>
      <c r="AX46" s="20"/>
      <c r="AY46" s="19"/>
      <c r="AZ46" s="13"/>
      <c r="BB46" s="52"/>
      <c r="BF46" s="52"/>
      <c r="BQ46" s="53"/>
    </row>
    <row r="47" spans="1:69" s="11" customFormat="1" x14ac:dyDescent="0.3">
      <c r="A47" s="24"/>
      <c r="B47" s="25"/>
      <c r="C47" s="20"/>
      <c r="D47" s="20"/>
      <c r="E47" s="20"/>
      <c r="F47" s="20"/>
      <c r="G47" s="20"/>
      <c r="H47" s="19"/>
      <c r="I47" s="26"/>
      <c r="J47" s="20"/>
      <c r="K47" s="20"/>
      <c r="L47" s="20"/>
      <c r="M47" s="20"/>
      <c r="N47" s="20"/>
      <c r="O47" s="19"/>
      <c r="P47" s="20"/>
      <c r="Q47" s="20"/>
      <c r="R47" s="20"/>
      <c r="S47" s="20"/>
      <c r="T47" s="20"/>
      <c r="U47" s="20"/>
      <c r="V47" s="19"/>
      <c r="W47" s="26"/>
      <c r="X47" s="20"/>
      <c r="Y47" s="20"/>
      <c r="Z47" s="20"/>
      <c r="AA47" s="20"/>
      <c r="AB47" s="20"/>
      <c r="AC47" s="19"/>
      <c r="AD47" s="32"/>
      <c r="AE47" s="68" t="s">
        <v>112</v>
      </c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26"/>
      <c r="AU47" s="20"/>
      <c r="AV47" s="20"/>
      <c r="AW47" s="20"/>
      <c r="AX47" s="20"/>
      <c r="AY47" s="19"/>
      <c r="AZ47" s="13"/>
      <c r="BB47" s="52"/>
      <c r="BF47" s="52"/>
      <c r="BQ47" s="53"/>
    </row>
    <row r="48" spans="1:69" s="11" customFormat="1" x14ac:dyDescent="0.3">
      <c r="A48" s="24"/>
      <c r="B48" s="25"/>
      <c r="C48" s="20"/>
      <c r="D48" s="20"/>
      <c r="E48" s="20"/>
      <c r="F48" s="20"/>
      <c r="G48" s="20"/>
      <c r="H48" s="19"/>
      <c r="I48" s="26"/>
      <c r="J48" s="20"/>
      <c r="K48" s="20"/>
      <c r="L48" s="20"/>
      <c r="M48" s="20"/>
      <c r="N48" s="20"/>
      <c r="O48" s="19"/>
      <c r="P48" s="20"/>
      <c r="Q48" s="20"/>
      <c r="R48" s="20"/>
      <c r="S48" s="20"/>
      <c r="T48" s="20"/>
      <c r="U48" s="20"/>
      <c r="V48" s="19"/>
      <c r="W48" s="26"/>
      <c r="X48" s="20"/>
      <c r="Y48" s="20"/>
      <c r="Z48" s="20"/>
      <c r="AA48" s="20"/>
      <c r="AB48" s="20"/>
      <c r="AC48" s="19"/>
      <c r="AD48" s="32"/>
      <c r="AE48" s="17"/>
      <c r="AF48" s="11" t="s">
        <v>69</v>
      </c>
      <c r="AG48" s="17"/>
      <c r="AH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26"/>
      <c r="AU48" s="20"/>
      <c r="AV48" s="20"/>
      <c r="AW48" s="20"/>
      <c r="AX48" s="20"/>
      <c r="AY48" s="19"/>
      <c r="AZ48" s="13"/>
      <c r="BB48" s="52"/>
      <c r="BF48" s="52"/>
      <c r="BQ48" s="53"/>
    </row>
    <row r="49" spans="1:69" s="11" customFormat="1" x14ac:dyDescent="0.3">
      <c r="A49" s="24"/>
      <c r="B49" s="25"/>
      <c r="C49" s="20"/>
      <c r="D49" s="20"/>
      <c r="E49" s="20"/>
      <c r="F49" s="20"/>
      <c r="G49" s="20"/>
      <c r="H49" s="19"/>
      <c r="I49" s="26"/>
      <c r="J49" s="20"/>
      <c r="K49" s="20"/>
      <c r="L49" s="20"/>
      <c r="M49" s="20"/>
      <c r="N49" s="20"/>
      <c r="O49" s="19"/>
      <c r="P49" s="20"/>
      <c r="Q49" s="20"/>
      <c r="R49" s="20"/>
      <c r="S49" s="20"/>
      <c r="T49" s="20"/>
      <c r="U49" s="20"/>
      <c r="V49" s="19"/>
      <c r="W49" s="26"/>
      <c r="X49" s="20"/>
      <c r="Y49" s="20"/>
      <c r="Z49" s="20"/>
      <c r="AA49" s="20"/>
      <c r="AB49" s="20"/>
      <c r="AC49" s="19"/>
      <c r="AD49" s="32"/>
      <c r="AE49" s="17"/>
      <c r="AF49" s="17" t="s">
        <v>70</v>
      </c>
      <c r="AG49" s="17"/>
      <c r="AH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26"/>
      <c r="AU49" s="20"/>
      <c r="AV49" s="20"/>
      <c r="AW49" s="20"/>
      <c r="AX49" s="20"/>
      <c r="AY49" s="19"/>
      <c r="AZ49" s="13"/>
      <c r="BB49" s="52"/>
      <c r="BF49" s="52"/>
      <c r="BQ49" s="53"/>
    </row>
    <row r="50" spans="1:69" s="11" customFormat="1" x14ac:dyDescent="0.3">
      <c r="A50" s="24"/>
      <c r="B50" s="25"/>
      <c r="C50" s="20"/>
      <c r="D50" s="20"/>
      <c r="E50" s="20"/>
      <c r="F50" s="20"/>
      <c r="G50" s="20"/>
      <c r="H50" s="19"/>
      <c r="I50" s="26"/>
      <c r="J50" s="20"/>
      <c r="K50" s="20"/>
      <c r="L50" s="20"/>
      <c r="M50" s="20"/>
      <c r="N50" s="20"/>
      <c r="O50" s="19"/>
      <c r="P50" s="20"/>
      <c r="Q50" s="20"/>
      <c r="R50" s="20"/>
      <c r="S50" s="20"/>
      <c r="T50" s="20"/>
      <c r="U50" s="20"/>
      <c r="V50" s="19"/>
      <c r="W50" s="26"/>
      <c r="X50" s="20"/>
      <c r="Y50" s="20"/>
      <c r="Z50" s="20"/>
      <c r="AA50" s="20"/>
      <c r="AB50" s="20"/>
      <c r="AC50" s="19"/>
      <c r="AD50" s="32"/>
      <c r="AE50" s="17"/>
      <c r="AF50" s="17"/>
      <c r="AG50" s="17"/>
      <c r="AH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26"/>
      <c r="AU50" s="20"/>
      <c r="AV50" s="20"/>
      <c r="AW50" s="20"/>
      <c r="AX50" s="20"/>
      <c r="AY50" s="19"/>
      <c r="AZ50" s="13"/>
      <c r="BB50" s="52"/>
      <c r="BF50" s="52"/>
      <c r="BQ50" s="53"/>
    </row>
    <row r="51" spans="1:69" s="11" customFormat="1" x14ac:dyDescent="0.3">
      <c r="A51" s="24"/>
      <c r="B51" s="25"/>
      <c r="C51" s="20"/>
      <c r="D51" s="20"/>
      <c r="E51" s="20"/>
      <c r="F51" s="20"/>
      <c r="G51" s="20"/>
      <c r="H51" s="19"/>
      <c r="I51" s="67"/>
      <c r="J51" s="20"/>
      <c r="K51" s="20"/>
      <c r="L51" s="20"/>
      <c r="M51" s="20"/>
      <c r="N51" s="20"/>
      <c r="O51" s="19"/>
      <c r="P51" s="20"/>
      <c r="Q51" s="20"/>
      <c r="R51" s="20"/>
      <c r="S51" s="20"/>
      <c r="T51" s="20"/>
      <c r="U51" s="20"/>
      <c r="V51" s="19"/>
      <c r="W51" s="26"/>
      <c r="X51" s="20"/>
      <c r="Y51" s="20"/>
      <c r="Z51" s="20"/>
      <c r="AA51" s="20"/>
      <c r="AB51" s="20"/>
      <c r="AC51" s="19"/>
      <c r="AD51" s="32"/>
      <c r="AE51" s="68"/>
      <c r="AF51" s="17"/>
      <c r="AG51" s="17"/>
      <c r="AH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26"/>
      <c r="AU51" s="20"/>
      <c r="AV51" s="20"/>
      <c r="AW51" s="20"/>
      <c r="AX51" s="20"/>
      <c r="AY51" s="19"/>
      <c r="AZ51" s="13"/>
      <c r="BB51" s="52"/>
      <c r="BF51" s="52"/>
      <c r="BQ51" s="53"/>
    </row>
    <row r="52" spans="1:69" s="11" customFormat="1" x14ac:dyDescent="0.3">
      <c r="A52" s="24"/>
      <c r="B52" s="25"/>
      <c r="C52" s="20"/>
      <c r="D52" s="20"/>
      <c r="E52" s="20"/>
      <c r="F52" s="20"/>
      <c r="G52" s="20"/>
      <c r="H52" s="19"/>
      <c r="I52" s="26"/>
      <c r="J52" s="20"/>
      <c r="K52" s="20"/>
      <c r="L52" s="20"/>
      <c r="M52" s="20"/>
      <c r="N52" s="20"/>
      <c r="O52" s="19"/>
      <c r="P52" s="20"/>
      <c r="Q52" s="20"/>
      <c r="R52" s="20"/>
      <c r="S52" s="20"/>
      <c r="T52" s="20"/>
      <c r="U52" s="20"/>
      <c r="V52" s="19"/>
      <c r="W52" s="26"/>
      <c r="X52" s="20"/>
      <c r="Y52" s="20"/>
      <c r="Z52" s="20"/>
      <c r="AA52" s="20"/>
      <c r="AB52" s="20"/>
      <c r="AC52" s="19"/>
      <c r="AD52" s="32"/>
      <c r="AE52" s="17"/>
      <c r="AF52" s="17"/>
      <c r="AG52" s="17"/>
      <c r="AH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  <c r="AT52" s="26"/>
      <c r="AU52" s="20"/>
      <c r="AV52" s="20"/>
      <c r="AW52" s="20"/>
      <c r="AX52" s="20"/>
      <c r="AY52" s="19"/>
      <c r="AZ52" s="13"/>
      <c r="BB52" s="52"/>
      <c r="BF52" s="52"/>
      <c r="BQ52" s="53"/>
    </row>
    <row r="53" spans="1:69" s="11" customFormat="1" x14ac:dyDescent="0.3">
      <c r="A53" s="24"/>
      <c r="B53" s="25"/>
      <c r="C53" s="20"/>
      <c r="D53" s="20"/>
      <c r="E53" s="20"/>
      <c r="F53" s="20"/>
      <c r="G53" s="20"/>
      <c r="H53" s="19"/>
      <c r="I53" s="26"/>
      <c r="J53" s="20"/>
      <c r="K53" s="20"/>
      <c r="L53" s="20"/>
      <c r="M53" s="20"/>
      <c r="N53" s="20"/>
      <c r="O53" s="19"/>
      <c r="P53" s="20"/>
      <c r="Q53" s="20"/>
      <c r="R53" s="20"/>
      <c r="S53" s="20"/>
      <c r="T53" s="20"/>
      <c r="U53" s="20"/>
      <c r="V53" s="19"/>
      <c r="W53" s="26"/>
      <c r="X53" s="20"/>
      <c r="Y53" s="20"/>
      <c r="Z53" s="20"/>
      <c r="AA53" s="20"/>
      <c r="AB53" s="20"/>
      <c r="AC53" s="19"/>
      <c r="AD53" s="32"/>
      <c r="AE53" s="17"/>
      <c r="AF53" s="17"/>
      <c r="AG53" s="17"/>
      <c r="AH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/>
      <c r="AS53" s="17"/>
      <c r="AT53" s="26"/>
      <c r="AU53" s="20"/>
      <c r="AV53" s="20"/>
      <c r="AW53" s="20"/>
      <c r="AX53" s="20"/>
      <c r="AY53" s="19"/>
      <c r="AZ53" s="13"/>
      <c r="BB53" s="52"/>
      <c r="BF53" s="52"/>
      <c r="BQ53" s="53"/>
    </row>
    <row r="54" spans="1:69" s="11" customFormat="1" x14ac:dyDescent="0.3">
      <c r="A54" s="24"/>
      <c r="B54" s="25"/>
      <c r="C54" s="20"/>
      <c r="D54" s="20"/>
      <c r="E54" s="20"/>
      <c r="F54" s="20"/>
      <c r="G54" s="20"/>
      <c r="H54" s="19"/>
      <c r="I54" s="26"/>
      <c r="J54" s="20"/>
      <c r="K54" s="69"/>
      <c r="L54" s="20"/>
      <c r="M54" s="20"/>
      <c r="N54" s="20"/>
      <c r="O54" s="19"/>
      <c r="P54" s="20"/>
      <c r="Q54" s="20"/>
      <c r="R54" s="20"/>
      <c r="S54" s="20"/>
      <c r="T54" s="20"/>
      <c r="U54" s="20"/>
      <c r="V54" s="19"/>
      <c r="W54" s="26"/>
      <c r="X54" s="20"/>
      <c r="Y54" s="20"/>
      <c r="Z54" s="20"/>
      <c r="AA54" s="20"/>
      <c r="AB54" s="20"/>
      <c r="AC54" s="19"/>
      <c r="AD54" s="32"/>
      <c r="AE54" s="17"/>
      <c r="AF54" s="17"/>
      <c r="AG54" s="17"/>
      <c r="AH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/>
      <c r="AS54" s="17"/>
      <c r="AT54" s="26"/>
      <c r="AU54" s="20"/>
      <c r="AV54" s="20"/>
      <c r="AW54" s="20"/>
      <c r="AX54" s="20"/>
      <c r="AY54" s="19"/>
      <c r="AZ54" s="13"/>
      <c r="BB54" s="52"/>
      <c r="BF54" s="52"/>
      <c r="BQ54" s="53"/>
    </row>
    <row r="55" spans="1:69" s="11" customFormat="1" x14ac:dyDescent="0.3">
      <c r="A55" s="24"/>
      <c r="B55" s="25"/>
      <c r="C55" s="20"/>
      <c r="D55" s="20"/>
      <c r="E55" s="20"/>
      <c r="F55" s="20"/>
      <c r="G55" s="20"/>
      <c r="H55" s="19"/>
      <c r="I55" s="26"/>
      <c r="J55" s="20"/>
      <c r="K55" s="20"/>
      <c r="L55" s="20"/>
      <c r="M55" s="20"/>
      <c r="N55" s="20"/>
      <c r="O55" s="19"/>
      <c r="P55" s="20"/>
      <c r="Q55" s="20"/>
      <c r="R55" s="20"/>
      <c r="S55" s="20"/>
      <c r="T55" s="20"/>
      <c r="U55" s="20"/>
      <c r="V55" s="19"/>
      <c r="W55" s="28"/>
      <c r="X55"/>
      <c r="Y55"/>
      <c r="Z55"/>
      <c r="AA55"/>
      <c r="AB55"/>
      <c r="AC55" s="18"/>
      <c r="AD55" s="32"/>
      <c r="AE55" s="17"/>
      <c r="AF55" s="17"/>
      <c r="AG55" s="17"/>
      <c r="AH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26"/>
      <c r="AU55" s="20"/>
      <c r="AV55" s="20"/>
      <c r="AW55" s="20"/>
      <c r="AX55" s="20"/>
      <c r="AY55" s="19"/>
      <c r="AZ55" s="13"/>
      <c r="BB55" s="52"/>
      <c r="BF55" s="52"/>
      <c r="BQ55" s="53"/>
    </row>
    <row r="56" spans="1:69" s="11" customFormat="1" x14ac:dyDescent="0.3">
      <c r="A56" s="24"/>
      <c r="B56" s="35" t="s">
        <v>71</v>
      </c>
      <c r="C56" s="47"/>
      <c r="D56" s="47"/>
      <c r="E56" s="47"/>
      <c r="F56" s="47"/>
      <c r="G56" s="47"/>
      <c r="H56" s="47"/>
      <c r="I56" s="47"/>
      <c r="J56" s="47"/>
      <c r="K56" s="47"/>
      <c r="L56" s="47"/>
      <c r="M56" s="47"/>
      <c r="N56" s="47"/>
      <c r="O56" s="47"/>
      <c r="P56" s="47"/>
      <c r="Q56" s="47"/>
      <c r="R56" s="47"/>
      <c r="S56" s="47"/>
      <c r="T56" s="47"/>
      <c r="U56" s="47"/>
      <c r="V56" s="47"/>
      <c r="W56" s="22"/>
      <c r="X56" s="22"/>
      <c r="Y56" s="22"/>
      <c r="Z56" s="22"/>
      <c r="AA56" s="22"/>
      <c r="AB56" s="22"/>
      <c r="AC56" s="22"/>
      <c r="AD56" s="47"/>
      <c r="AE56" s="47"/>
      <c r="AF56" s="47"/>
      <c r="AG56" s="47"/>
      <c r="AH56" s="47"/>
      <c r="AI56" s="47"/>
      <c r="AJ56" s="47"/>
      <c r="AK56" s="47"/>
      <c r="AL56" s="47"/>
      <c r="AM56" s="47"/>
      <c r="AN56" s="47"/>
      <c r="AO56" s="47"/>
      <c r="AP56" s="47"/>
      <c r="AQ56" s="47"/>
      <c r="AR56" s="47"/>
      <c r="AS56" s="47"/>
      <c r="AT56" s="47"/>
      <c r="AU56" s="47"/>
      <c r="AV56" s="47"/>
      <c r="AW56" s="47"/>
      <c r="AX56" s="47"/>
      <c r="AY56" s="38"/>
      <c r="AZ56" s="13"/>
      <c r="BB56" s="49"/>
      <c r="BC56" s="50"/>
      <c r="BD56" s="50"/>
      <c r="BE56" s="50"/>
      <c r="BF56" s="49"/>
      <c r="BG56" s="50"/>
      <c r="BH56" s="50"/>
      <c r="BI56" s="50"/>
      <c r="BJ56" s="50"/>
      <c r="BK56" s="50"/>
      <c r="BL56" s="50"/>
      <c r="BM56" s="50"/>
      <c r="BN56" s="50"/>
      <c r="BO56" s="50"/>
      <c r="BP56" s="50"/>
      <c r="BQ56" s="51"/>
    </row>
    <row r="57" spans="1:69" s="11" customFormat="1" x14ac:dyDescent="0.3">
      <c r="A57" s="24"/>
      <c r="B57" s="25"/>
      <c r="C57" s="20"/>
      <c r="D57" s="20"/>
      <c r="E57" s="20"/>
      <c r="F57" s="20"/>
      <c r="G57" s="20"/>
      <c r="H57" s="19"/>
      <c r="I57" s="26"/>
      <c r="J57" s="20"/>
      <c r="K57" s="20"/>
      <c r="L57" s="20"/>
      <c r="M57" s="20"/>
      <c r="N57" s="20"/>
      <c r="O57" s="19"/>
      <c r="P57" s="20"/>
      <c r="Q57" s="20"/>
      <c r="R57" s="20"/>
      <c r="S57" s="20"/>
      <c r="T57" s="20"/>
      <c r="U57" s="20"/>
      <c r="V57" s="19"/>
      <c r="W57" s="23"/>
      <c r="X57" s="8"/>
      <c r="Y57" s="8"/>
      <c r="Z57" s="8"/>
      <c r="AA57" s="8"/>
      <c r="AB57" s="8"/>
      <c r="AC57" s="14"/>
      <c r="AD57" s="32"/>
      <c r="AF57" s="17"/>
      <c r="AG57" s="17"/>
      <c r="AH57" s="17"/>
      <c r="AI57" s="17"/>
      <c r="AJ57" s="17"/>
      <c r="AK57" s="17"/>
      <c r="AL57" s="17"/>
      <c r="AM57" s="17"/>
      <c r="AN57" s="17"/>
      <c r="AO57" s="17"/>
      <c r="AP57" s="17"/>
      <c r="AQ57" s="17"/>
      <c r="AR57" s="17"/>
      <c r="AS57" s="17"/>
      <c r="AT57" s="26"/>
      <c r="AU57" s="20"/>
      <c r="AV57" s="20"/>
      <c r="AW57" s="20"/>
      <c r="AX57" s="20"/>
      <c r="AY57" s="19"/>
      <c r="AZ57" s="14"/>
      <c r="BB57" s="52"/>
      <c r="BF57" s="52"/>
      <c r="BQ57" s="53"/>
    </row>
    <row r="58" spans="1:69" s="11" customFormat="1" x14ac:dyDescent="0.3">
      <c r="A58" s="24"/>
      <c r="B58" s="25"/>
      <c r="C58" s="20"/>
      <c r="D58" s="20"/>
      <c r="E58" s="20"/>
      <c r="F58" s="20"/>
      <c r="G58" s="20"/>
      <c r="H58" s="19"/>
      <c r="I58" s="26"/>
      <c r="J58" s="20"/>
      <c r="K58" s="20"/>
      <c r="L58" s="20"/>
      <c r="M58" s="20"/>
      <c r="N58" s="20"/>
      <c r="O58" s="19"/>
      <c r="P58" s="20"/>
      <c r="Q58" s="20"/>
      <c r="R58" s="20"/>
      <c r="S58" s="20"/>
      <c r="T58" s="20"/>
      <c r="U58" s="20"/>
      <c r="V58" s="19"/>
      <c r="W58" s="23"/>
      <c r="X58" s="8"/>
      <c r="Y58" s="8"/>
      <c r="Z58" s="8"/>
      <c r="AA58" s="8"/>
      <c r="AB58" s="8"/>
      <c r="AC58" s="14"/>
      <c r="AD58" s="32"/>
      <c r="AE58" s="17" t="s">
        <v>72</v>
      </c>
      <c r="AF58" s="17" t="s">
        <v>73</v>
      </c>
      <c r="AG58" s="17"/>
      <c r="AH58" s="17"/>
      <c r="AI58" s="17"/>
      <c r="AJ58" s="17"/>
      <c r="AK58" s="17"/>
      <c r="AL58" s="17"/>
      <c r="AM58" s="17"/>
      <c r="AN58" s="17"/>
      <c r="AO58" s="17"/>
      <c r="AP58" s="17"/>
      <c r="AQ58" s="17"/>
      <c r="AR58" s="17"/>
      <c r="AS58" s="17"/>
      <c r="AT58" s="26"/>
      <c r="AU58" s="20"/>
      <c r="AV58" s="20"/>
      <c r="AW58" s="20"/>
      <c r="AX58" s="20"/>
      <c r="AY58" s="19"/>
      <c r="AZ58" s="14"/>
      <c r="BB58" s="52"/>
      <c r="BF58" s="52"/>
      <c r="BQ58" s="53"/>
    </row>
    <row r="59" spans="1:69" s="11" customFormat="1" x14ac:dyDescent="0.3">
      <c r="A59" s="24"/>
      <c r="B59" s="25"/>
      <c r="C59" s="20"/>
      <c r="D59" s="20"/>
      <c r="E59" s="20"/>
      <c r="F59" s="20"/>
      <c r="G59" s="20"/>
      <c r="H59" s="19"/>
      <c r="I59" s="26"/>
      <c r="J59" s="20"/>
      <c r="K59" s="20"/>
      <c r="L59" s="20"/>
      <c r="M59" s="20"/>
      <c r="N59" s="20"/>
      <c r="O59" s="19"/>
      <c r="P59" s="20"/>
      <c r="Q59" s="20"/>
      <c r="R59" s="20"/>
      <c r="S59" s="20"/>
      <c r="T59" s="20"/>
      <c r="U59" s="20"/>
      <c r="V59" s="19"/>
      <c r="W59" s="23"/>
      <c r="X59" s="8"/>
      <c r="Y59" s="8"/>
      <c r="Z59" s="8"/>
      <c r="AA59" s="8"/>
      <c r="AB59" s="8"/>
      <c r="AC59" s="14"/>
      <c r="AD59" s="32"/>
      <c r="AE59" s="17"/>
      <c r="AF59" s="17" t="s">
        <v>74</v>
      </c>
      <c r="AG59" s="17"/>
      <c r="AH59" s="17"/>
      <c r="AI59" s="17"/>
      <c r="AJ59" s="17"/>
      <c r="AK59" s="17"/>
      <c r="AL59" s="17"/>
      <c r="AM59" s="17"/>
      <c r="AN59" s="17"/>
      <c r="AO59" s="17"/>
      <c r="AP59" s="17"/>
      <c r="AQ59" s="17"/>
      <c r="AR59" s="17"/>
      <c r="AS59" s="17"/>
      <c r="AT59" s="26"/>
      <c r="AU59" s="20"/>
      <c r="AV59" s="20"/>
      <c r="AW59" s="20"/>
      <c r="AX59" s="20"/>
      <c r="AY59" s="19"/>
      <c r="AZ59" s="14"/>
      <c r="BB59" s="52"/>
      <c r="BF59" s="52"/>
      <c r="BQ59" s="53"/>
    </row>
    <row r="60" spans="1:69" s="11" customFormat="1" x14ac:dyDescent="0.3">
      <c r="A60" s="24"/>
      <c r="B60" s="25"/>
      <c r="C60" s="20"/>
      <c r="D60" s="20"/>
      <c r="E60" s="20"/>
      <c r="F60" s="20"/>
      <c r="G60" s="20"/>
      <c r="H60" s="19"/>
      <c r="I60" s="26"/>
      <c r="J60" s="20"/>
      <c r="K60" s="20"/>
      <c r="L60" s="20"/>
      <c r="M60" s="20"/>
      <c r="N60" s="20"/>
      <c r="O60" s="19"/>
      <c r="P60" s="20"/>
      <c r="Q60" s="20"/>
      <c r="R60" s="20"/>
      <c r="S60" s="20"/>
      <c r="T60" s="20"/>
      <c r="U60" s="20"/>
      <c r="V60" s="19"/>
      <c r="W60" s="23"/>
      <c r="X60" s="8"/>
      <c r="Y60" s="8"/>
      <c r="Z60" s="8"/>
      <c r="AA60" s="8"/>
      <c r="AB60" s="8"/>
      <c r="AC60" s="14"/>
      <c r="AD60" s="32"/>
      <c r="AE60" s="17"/>
      <c r="AG60" s="17"/>
      <c r="AH60" s="17"/>
      <c r="AI60" s="17"/>
      <c r="AJ60" s="17"/>
      <c r="AK60" s="17"/>
      <c r="AL60" s="17"/>
      <c r="AM60" s="17"/>
      <c r="AN60" s="17"/>
      <c r="AO60" s="17"/>
      <c r="AP60" s="17"/>
      <c r="AQ60" s="17"/>
      <c r="AR60" s="17"/>
      <c r="AS60" s="17"/>
      <c r="AT60" s="26"/>
      <c r="AU60" s="20"/>
      <c r="AV60" s="20"/>
      <c r="AW60" s="20"/>
      <c r="AX60" s="20"/>
      <c r="AY60" s="19"/>
      <c r="AZ60" s="14"/>
      <c r="BB60" s="52"/>
      <c r="BF60" s="52"/>
      <c r="BQ60" s="53"/>
    </row>
    <row r="61" spans="1:69" s="11" customFormat="1" x14ac:dyDescent="0.3">
      <c r="A61" s="24"/>
      <c r="B61" s="25"/>
      <c r="C61" s="20"/>
      <c r="D61" s="20"/>
      <c r="E61" s="20"/>
      <c r="F61" s="20"/>
      <c r="G61" s="20"/>
      <c r="H61" s="19"/>
      <c r="I61" s="26"/>
      <c r="J61" s="20"/>
      <c r="K61" s="20"/>
      <c r="L61" s="20"/>
      <c r="M61" s="20"/>
      <c r="N61" s="20"/>
      <c r="O61" s="19"/>
      <c r="P61" s="20"/>
      <c r="Q61" s="20"/>
      <c r="R61" s="20"/>
      <c r="S61" s="20"/>
      <c r="T61" s="20"/>
      <c r="U61" s="20"/>
      <c r="V61" s="19"/>
      <c r="W61" s="23"/>
      <c r="X61" s="8"/>
      <c r="Y61" s="8"/>
      <c r="Z61" s="8"/>
      <c r="AA61" s="8"/>
      <c r="AB61" s="8"/>
      <c r="AC61" s="14"/>
      <c r="AD61" s="32"/>
      <c r="AE61" s="17"/>
      <c r="AG61" s="17"/>
      <c r="AH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  <c r="AT61" s="26"/>
      <c r="AU61" s="20"/>
      <c r="AV61" s="20"/>
      <c r="AW61" s="20"/>
      <c r="AX61" s="20"/>
      <c r="AY61" s="19"/>
      <c r="AZ61" s="14"/>
      <c r="BB61" s="52"/>
      <c r="BF61" s="52"/>
      <c r="BQ61" s="53"/>
    </row>
    <row r="62" spans="1:69" s="11" customFormat="1" x14ac:dyDescent="0.3">
      <c r="A62" s="24"/>
      <c r="B62" s="25"/>
      <c r="C62" s="20"/>
      <c r="D62" s="20"/>
      <c r="E62" s="20"/>
      <c r="F62" s="20"/>
      <c r="G62" s="20"/>
      <c r="H62" s="19"/>
      <c r="I62" s="26"/>
      <c r="J62" s="20"/>
      <c r="K62" s="20"/>
      <c r="L62" s="20"/>
      <c r="M62" s="20"/>
      <c r="N62" s="20"/>
      <c r="O62" s="19"/>
      <c r="P62" s="20"/>
      <c r="Q62" s="20"/>
      <c r="R62" s="20"/>
      <c r="S62" s="20"/>
      <c r="T62" s="20"/>
      <c r="U62" s="20"/>
      <c r="V62" s="19"/>
      <c r="W62" s="23"/>
      <c r="X62" s="8"/>
      <c r="Y62" s="8"/>
      <c r="Z62" s="8"/>
      <c r="AA62" s="8"/>
      <c r="AB62" s="8"/>
      <c r="AC62" s="14"/>
      <c r="AD62" s="32"/>
      <c r="AE62" s="68" t="s">
        <v>75</v>
      </c>
      <c r="AF62" s="17"/>
      <c r="AG62" s="17"/>
      <c r="AH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26"/>
      <c r="AU62" s="20"/>
      <c r="AV62" s="20"/>
      <c r="AW62" s="20"/>
      <c r="AX62" s="20"/>
      <c r="AY62" s="19"/>
      <c r="AZ62" s="14"/>
      <c r="BB62" s="52"/>
      <c r="BF62" s="52"/>
      <c r="BQ62" s="53"/>
    </row>
    <row r="63" spans="1:69" s="11" customFormat="1" x14ac:dyDescent="0.3">
      <c r="A63" s="24"/>
      <c r="B63" s="25"/>
      <c r="C63" s="20"/>
      <c r="D63" s="20"/>
      <c r="E63" s="20"/>
      <c r="F63" s="20"/>
      <c r="G63" s="20"/>
      <c r="H63" s="19"/>
      <c r="I63" s="26"/>
      <c r="J63" s="20"/>
      <c r="K63" s="20"/>
      <c r="L63" s="20"/>
      <c r="M63" s="20"/>
      <c r="N63" s="20"/>
      <c r="O63" s="19"/>
      <c r="P63" s="20"/>
      <c r="Q63" s="20"/>
      <c r="R63" s="20"/>
      <c r="S63" s="20"/>
      <c r="T63" s="20"/>
      <c r="U63" s="20"/>
      <c r="V63" s="19"/>
      <c r="W63" s="23"/>
      <c r="X63" s="8"/>
      <c r="Y63" s="8"/>
      <c r="Z63" s="8"/>
      <c r="AA63" s="8"/>
      <c r="AB63" s="8"/>
      <c r="AC63" s="14"/>
      <c r="AD63" s="32"/>
      <c r="AE63" s="17"/>
      <c r="AF63" s="17" t="s">
        <v>76</v>
      </c>
      <c r="AG63" s="17"/>
      <c r="AH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26"/>
      <c r="AU63" s="20"/>
      <c r="AV63" s="20"/>
      <c r="AW63" s="20"/>
      <c r="AX63" s="20"/>
      <c r="AY63" s="19"/>
      <c r="AZ63" s="14"/>
      <c r="BB63" s="52"/>
      <c r="BF63" s="52"/>
      <c r="BQ63" s="53"/>
    </row>
    <row r="64" spans="1:69" s="11" customFormat="1" x14ac:dyDescent="0.3">
      <c r="A64" s="24"/>
      <c r="B64" s="25"/>
      <c r="C64" s="20"/>
      <c r="D64" s="20"/>
      <c r="E64" s="20"/>
      <c r="F64" s="20"/>
      <c r="G64" s="20"/>
      <c r="H64" s="19"/>
      <c r="I64" s="26"/>
      <c r="J64" s="20"/>
      <c r="K64" s="20"/>
      <c r="L64" s="20"/>
      <c r="M64" s="20"/>
      <c r="N64" s="20"/>
      <c r="O64" s="19"/>
      <c r="P64" s="20"/>
      <c r="Q64" s="20"/>
      <c r="R64" s="20"/>
      <c r="S64" s="20"/>
      <c r="T64" s="20"/>
      <c r="U64" s="20"/>
      <c r="V64" s="19"/>
      <c r="W64" s="23"/>
      <c r="X64" s="8"/>
      <c r="Y64" s="8"/>
      <c r="Z64" s="8"/>
      <c r="AA64" s="8"/>
      <c r="AB64" s="8"/>
      <c r="AC64" s="14"/>
      <c r="AD64" s="32"/>
      <c r="AE64" s="17"/>
      <c r="AG64" s="17"/>
      <c r="AH64" s="17"/>
      <c r="AI64" s="17"/>
      <c r="AJ64" s="17"/>
      <c r="AK64" s="17"/>
      <c r="AL64" s="17"/>
      <c r="AM64" s="17"/>
      <c r="AN64" s="17"/>
      <c r="AO64" s="17"/>
      <c r="AP64" s="17"/>
      <c r="AQ64" s="17"/>
      <c r="AR64" s="17"/>
      <c r="AS64" s="17"/>
      <c r="AT64" s="26"/>
      <c r="AU64" s="20"/>
      <c r="AV64" s="20"/>
      <c r="AW64" s="20"/>
      <c r="AX64" s="20"/>
      <c r="AY64" s="19"/>
      <c r="AZ64" s="14"/>
      <c r="BB64" s="52"/>
      <c r="BF64" s="52"/>
      <c r="BQ64" s="53"/>
    </row>
    <row r="65" spans="1:69" s="11" customFormat="1" x14ac:dyDescent="0.3">
      <c r="A65" s="24"/>
      <c r="B65" s="25"/>
      <c r="C65" s="20"/>
      <c r="D65" s="20"/>
      <c r="E65" s="20"/>
      <c r="F65" s="20"/>
      <c r="G65" s="20"/>
      <c r="H65" s="19"/>
      <c r="I65" s="26"/>
      <c r="J65" s="20"/>
      <c r="K65" s="20"/>
      <c r="L65" s="20"/>
      <c r="M65" s="20"/>
      <c r="N65" s="20"/>
      <c r="O65" s="19"/>
      <c r="P65" s="20"/>
      <c r="Q65" s="20"/>
      <c r="R65" s="20"/>
      <c r="S65" s="20"/>
      <c r="T65" s="20"/>
      <c r="U65" s="20"/>
      <c r="V65" s="19"/>
      <c r="W65" s="23"/>
      <c r="X65" s="8"/>
      <c r="Y65" s="8"/>
      <c r="Z65" s="8"/>
      <c r="AA65" s="8"/>
      <c r="AB65" s="8"/>
      <c r="AC65" s="14"/>
      <c r="AD65" s="32"/>
      <c r="AE65" s="17"/>
      <c r="AG65" s="17"/>
      <c r="AH65" s="17"/>
      <c r="AI65" s="17"/>
      <c r="AJ65" s="17"/>
      <c r="AK65" s="17"/>
      <c r="AL65" s="17"/>
      <c r="AM65" s="17"/>
      <c r="AN65" s="17"/>
      <c r="AO65" s="17"/>
      <c r="AP65" s="17"/>
      <c r="AQ65" s="17"/>
      <c r="AR65" s="17"/>
      <c r="AS65" s="17"/>
      <c r="AT65" s="26"/>
      <c r="AU65" s="20"/>
      <c r="AV65" s="20"/>
      <c r="AW65" s="20"/>
      <c r="AX65" s="20"/>
      <c r="AY65" s="19"/>
      <c r="AZ65" s="14"/>
      <c r="BB65" s="52"/>
      <c r="BF65" s="52"/>
      <c r="BQ65" s="53"/>
    </row>
    <row r="66" spans="1:69" s="11" customFormat="1" x14ac:dyDescent="0.3">
      <c r="A66" s="24"/>
      <c r="B66" s="25"/>
      <c r="C66" s="20"/>
      <c r="D66" s="20"/>
      <c r="E66" s="20"/>
      <c r="F66" s="20"/>
      <c r="G66" s="20"/>
      <c r="H66" s="19"/>
      <c r="I66" s="26"/>
      <c r="J66" s="20"/>
      <c r="K66" s="20"/>
      <c r="L66" s="20"/>
      <c r="M66" s="20"/>
      <c r="N66" s="20"/>
      <c r="O66" s="19"/>
      <c r="P66" s="20"/>
      <c r="Q66" s="20"/>
      <c r="R66" s="20"/>
      <c r="S66" s="20"/>
      <c r="T66" s="20"/>
      <c r="U66" s="20"/>
      <c r="V66" s="19"/>
      <c r="W66" s="23"/>
      <c r="X66" s="8"/>
      <c r="Y66" s="8"/>
      <c r="Z66" s="8"/>
      <c r="AA66" s="8"/>
      <c r="AB66" s="8"/>
      <c r="AC66" s="14"/>
      <c r="AD66" s="32"/>
      <c r="AE66" s="17"/>
      <c r="AG66" s="17"/>
      <c r="AH66" s="17"/>
      <c r="AI66" s="17"/>
      <c r="AJ66" s="17"/>
      <c r="AK66" s="17"/>
      <c r="AL66" s="17"/>
      <c r="AM66" s="17"/>
      <c r="AN66" s="17"/>
      <c r="AO66" s="17"/>
      <c r="AP66" s="17"/>
      <c r="AQ66" s="17"/>
      <c r="AR66" s="17"/>
      <c r="AS66" s="17"/>
      <c r="AT66" s="26"/>
      <c r="AU66" s="20"/>
      <c r="AV66" s="20"/>
      <c r="AW66" s="20"/>
      <c r="AX66" s="20"/>
      <c r="AY66" s="19"/>
      <c r="AZ66" s="14"/>
      <c r="BB66" s="52"/>
      <c r="BF66" s="52"/>
      <c r="BQ66" s="53"/>
    </row>
    <row r="67" spans="1:69" s="11" customFormat="1" x14ac:dyDescent="0.3">
      <c r="A67" s="24"/>
      <c r="B67" s="25"/>
      <c r="C67" s="20"/>
      <c r="D67" s="20"/>
      <c r="E67" s="20"/>
      <c r="F67" s="20"/>
      <c r="G67" s="20"/>
      <c r="H67" s="19"/>
      <c r="I67" s="26"/>
      <c r="J67" s="20"/>
      <c r="K67" s="20"/>
      <c r="L67" s="20"/>
      <c r="M67" s="20"/>
      <c r="N67" s="20"/>
      <c r="O67" s="19"/>
      <c r="P67" s="20"/>
      <c r="Q67" s="20"/>
      <c r="R67" s="20"/>
      <c r="S67" s="20"/>
      <c r="T67" s="20"/>
      <c r="U67" s="20"/>
      <c r="V67" s="19"/>
      <c r="W67" s="23"/>
      <c r="X67" s="8"/>
      <c r="Y67" s="8"/>
      <c r="Z67" s="8"/>
      <c r="AA67" s="8"/>
      <c r="AB67" s="8"/>
      <c r="AC67" s="14"/>
      <c r="AD67" s="32"/>
      <c r="AE67" s="17"/>
      <c r="AG67" s="17"/>
      <c r="AH67" s="17"/>
      <c r="AI67" s="17"/>
      <c r="AJ67" s="17"/>
      <c r="AK67" s="17"/>
      <c r="AL67" s="17"/>
      <c r="AM67" s="17"/>
      <c r="AN67" s="17"/>
      <c r="AO67" s="17"/>
      <c r="AP67" s="17"/>
      <c r="AQ67" s="17"/>
      <c r="AR67" s="17"/>
      <c r="AS67" s="17"/>
      <c r="AT67" s="26"/>
      <c r="AU67" s="20"/>
      <c r="AV67" s="20"/>
      <c r="AW67" s="20"/>
      <c r="AX67" s="20"/>
      <c r="AY67" s="19"/>
      <c r="AZ67" s="14"/>
      <c r="BB67" s="52"/>
      <c r="BF67" s="52"/>
      <c r="BQ67" s="53"/>
    </row>
    <row r="68" spans="1:69" s="11" customFormat="1" x14ac:dyDescent="0.3">
      <c r="A68" s="24"/>
      <c r="B68" s="25"/>
      <c r="C68" s="20"/>
      <c r="D68" s="20"/>
      <c r="E68" s="20"/>
      <c r="F68" s="20"/>
      <c r="G68" s="20"/>
      <c r="H68" s="19"/>
      <c r="I68" s="26"/>
      <c r="J68" s="20"/>
      <c r="K68" s="20"/>
      <c r="L68" s="20"/>
      <c r="M68" s="20"/>
      <c r="N68" s="20"/>
      <c r="O68" s="19"/>
      <c r="P68" s="20"/>
      <c r="Q68" s="20"/>
      <c r="R68" s="20"/>
      <c r="S68" s="20"/>
      <c r="T68" s="20"/>
      <c r="U68" s="20"/>
      <c r="V68" s="19"/>
      <c r="W68" s="23"/>
      <c r="X68" s="8"/>
      <c r="Y68" s="8"/>
      <c r="Z68" s="8"/>
      <c r="AA68" s="8"/>
      <c r="AB68" s="8"/>
      <c r="AC68" s="14"/>
      <c r="AD68" s="32"/>
      <c r="AE68" s="17"/>
      <c r="AG68" s="17"/>
      <c r="AH68" s="17"/>
      <c r="AI68" s="17"/>
      <c r="AJ68" s="17"/>
      <c r="AK68" s="17"/>
      <c r="AL68" s="17"/>
      <c r="AM68" s="17"/>
      <c r="AN68" s="17"/>
      <c r="AO68" s="17"/>
      <c r="AP68" s="17"/>
      <c r="AQ68" s="17"/>
      <c r="AR68" s="17"/>
      <c r="AS68" s="17"/>
      <c r="AT68" s="26"/>
      <c r="AU68" s="20"/>
      <c r="AV68" s="20"/>
      <c r="AW68" s="20"/>
      <c r="AX68" s="20"/>
      <c r="AY68" s="19"/>
      <c r="AZ68" s="14"/>
      <c r="BB68" s="52"/>
      <c r="BF68" s="52"/>
      <c r="BQ68" s="53"/>
    </row>
    <row r="69" spans="1:69" s="11" customFormat="1" x14ac:dyDescent="0.3">
      <c r="A69" s="24"/>
      <c r="B69" s="25"/>
      <c r="C69" s="20"/>
      <c r="D69" s="20"/>
      <c r="E69" s="20"/>
      <c r="F69" s="20"/>
      <c r="G69" s="20"/>
      <c r="H69" s="19"/>
      <c r="I69" s="26"/>
      <c r="J69" s="20"/>
      <c r="K69" s="20"/>
      <c r="L69" s="20"/>
      <c r="M69" s="20"/>
      <c r="N69" s="20"/>
      <c r="O69" s="19"/>
      <c r="P69" s="20"/>
      <c r="Q69" s="20"/>
      <c r="R69" s="20"/>
      <c r="S69" s="20"/>
      <c r="T69" s="20"/>
      <c r="U69" s="20"/>
      <c r="V69" s="19"/>
      <c r="W69" s="23"/>
      <c r="X69" s="8"/>
      <c r="Y69" s="8"/>
      <c r="Z69" s="8"/>
      <c r="AA69" s="8"/>
      <c r="AB69" s="8"/>
      <c r="AC69" s="14"/>
      <c r="AD69" s="32"/>
      <c r="AE69" s="17"/>
      <c r="AG69" s="17"/>
      <c r="AH69" s="17"/>
      <c r="AI69" s="17"/>
      <c r="AJ69" s="17"/>
      <c r="AK69" s="17"/>
      <c r="AL69" s="17"/>
      <c r="AM69" s="17"/>
      <c r="AN69" s="17"/>
      <c r="AO69" s="17"/>
      <c r="AP69" s="17"/>
      <c r="AQ69" s="17"/>
      <c r="AR69" s="17"/>
      <c r="AS69" s="17"/>
      <c r="AT69" s="26"/>
      <c r="AU69" s="20"/>
      <c r="AV69" s="20"/>
      <c r="AW69" s="20"/>
      <c r="AX69" s="20"/>
      <c r="AY69" s="19"/>
      <c r="AZ69" s="14"/>
      <c r="BB69" s="52"/>
      <c r="BF69" s="52"/>
      <c r="BQ69" s="53"/>
    </row>
    <row r="70" spans="1:69" s="11" customFormat="1" ht="13.5" customHeight="1" x14ac:dyDescent="0.3">
      <c r="A70" s="24"/>
      <c r="B70" s="27"/>
      <c r="C70" s="12"/>
      <c r="D70" s="12"/>
      <c r="E70" s="12"/>
      <c r="F70" s="12"/>
      <c r="G70" s="12"/>
      <c r="H70" s="18"/>
      <c r="I70" s="28"/>
      <c r="J70"/>
      <c r="K70"/>
      <c r="L70"/>
      <c r="M70"/>
      <c r="N70"/>
      <c r="O70" s="18"/>
      <c r="P70"/>
      <c r="Q70"/>
      <c r="R70"/>
      <c r="S70"/>
      <c r="T70"/>
      <c r="U70"/>
      <c r="V70" s="18"/>
      <c r="W70" s="23"/>
      <c r="X70" s="8"/>
      <c r="Y70" s="8"/>
      <c r="Z70" s="8"/>
      <c r="AA70" s="8"/>
      <c r="AB70" s="8"/>
      <c r="AC70" s="14"/>
      <c r="AD70" s="29"/>
      <c r="AT70" s="29"/>
      <c r="AY70" s="13"/>
      <c r="AZ70" s="14"/>
      <c r="BB70" s="52"/>
      <c r="BF70" s="52"/>
      <c r="BQ70" s="53"/>
    </row>
    <row r="71" spans="1:69" s="11" customFormat="1" ht="13.5" customHeight="1" x14ac:dyDescent="0.3">
      <c r="A71" s="24"/>
      <c r="B71" s="27"/>
      <c r="C71" s="12"/>
      <c r="D71" s="12"/>
      <c r="E71" s="12"/>
      <c r="F71" s="12"/>
      <c r="G71" s="12"/>
      <c r="H71" s="18"/>
      <c r="I71" s="28"/>
      <c r="J71"/>
      <c r="K71"/>
      <c r="L71"/>
      <c r="M71"/>
      <c r="N71"/>
      <c r="O71" s="18"/>
      <c r="P71"/>
      <c r="Q71"/>
      <c r="R71"/>
      <c r="S71"/>
      <c r="T71"/>
      <c r="U71"/>
      <c r="V71" s="18"/>
      <c r="W71" s="23"/>
      <c r="X71" s="8"/>
      <c r="Y71" s="8"/>
      <c r="Z71" s="8"/>
      <c r="AA71" s="8"/>
      <c r="AB71" s="8"/>
      <c r="AC71" s="14"/>
      <c r="AT71" s="29"/>
      <c r="AY71" s="13"/>
      <c r="AZ71" s="14"/>
      <c r="BB71" s="52"/>
      <c r="BF71" s="52"/>
      <c r="BQ71" s="53"/>
    </row>
    <row r="72" spans="1:69" s="11" customFormat="1" x14ac:dyDescent="0.3">
      <c r="A72" s="24"/>
      <c r="B72" s="27"/>
      <c r="C72" s="12"/>
      <c r="D72" s="12"/>
      <c r="E72" s="12"/>
      <c r="F72" s="12"/>
      <c r="G72" s="12"/>
      <c r="H72" s="18"/>
      <c r="I72" s="29"/>
      <c r="O72" s="13"/>
      <c r="V72" s="18"/>
      <c r="W72" s="23"/>
      <c r="X72" s="8"/>
      <c r="Y72" s="8"/>
      <c r="Z72" s="8"/>
      <c r="AA72" s="8"/>
      <c r="AB72" s="8"/>
      <c r="AC72" s="14"/>
      <c r="AE72" s="16"/>
      <c r="AT72" s="59"/>
      <c r="AY72" s="13"/>
      <c r="AZ72" s="14"/>
      <c r="BB72" s="52"/>
      <c r="BF72" s="52"/>
      <c r="BQ72" s="53"/>
    </row>
    <row r="73" spans="1:69" x14ac:dyDescent="0.3">
      <c r="A73" s="23"/>
      <c r="B73" s="23"/>
      <c r="H73" s="14"/>
      <c r="I73" s="23"/>
      <c r="O73" s="14"/>
      <c r="V73" s="18"/>
      <c r="W73" s="23"/>
      <c r="AC73" s="14"/>
      <c r="AD73" s="11"/>
      <c r="AE73" s="16" t="s">
        <v>77</v>
      </c>
      <c r="AF73" s="11"/>
      <c r="AG73" s="11"/>
      <c r="AH73" s="11"/>
      <c r="AI73" s="11"/>
      <c r="AJ73" s="11"/>
      <c r="AK73" s="11"/>
      <c r="AL73" s="11"/>
      <c r="AM73" s="11"/>
      <c r="AN73" s="11"/>
      <c r="AO73" s="11"/>
      <c r="AP73" s="11"/>
      <c r="AQ73" s="11"/>
      <c r="AR73" s="11"/>
      <c r="AS73" s="11"/>
      <c r="AT73" s="59" t="s">
        <v>78</v>
      </c>
      <c r="AU73" s="11"/>
      <c r="AV73" s="11"/>
      <c r="AY73" s="14"/>
      <c r="AZ73" s="14"/>
      <c r="BB73" s="54"/>
      <c r="BF73" s="54"/>
      <c r="BQ73" s="55"/>
    </row>
    <row r="74" spans="1:69" x14ac:dyDescent="0.3">
      <c r="A74" s="23"/>
      <c r="B74" s="23"/>
      <c r="H74" s="14"/>
      <c r="I74" s="23"/>
      <c r="O74" s="14"/>
      <c r="V74" s="18"/>
      <c r="W74" s="23"/>
      <c r="AC74" s="14"/>
      <c r="AD74" s="29"/>
      <c r="AE74" s="11"/>
      <c r="AF74" s="11" t="s">
        <v>79</v>
      </c>
      <c r="AN74" s="11"/>
      <c r="AO74" s="11"/>
      <c r="AP74" s="11"/>
      <c r="AQ74" s="11"/>
      <c r="AR74" s="11"/>
      <c r="AS74" s="11"/>
      <c r="AT74" s="23" t="s">
        <v>80</v>
      </c>
      <c r="AY74" s="14"/>
      <c r="AZ74" s="14"/>
      <c r="BB74" s="54"/>
      <c r="BF74" s="54"/>
      <c r="BQ74" s="55"/>
    </row>
    <row r="75" spans="1:69" x14ac:dyDescent="0.3">
      <c r="A75" s="23"/>
      <c r="B75" s="23"/>
      <c r="H75" s="14"/>
      <c r="I75" s="23"/>
      <c r="O75" s="14"/>
      <c r="V75" s="18"/>
      <c r="W75" s="23"/>
      <c r="AC75" s="14"/>
      <c r="AD75" s="29"/>
      <c r="AG75" s="8" t="s">
        <v>81</v>
      </c>
      <c r="AN75" s="11"/>
      <c r="AS75" s="11"/>
      <c r="AT75" s="23"/>
      <c r="AY75" s="14"/>
      <c r="AZ75" s="14"/>
      <c r="BB75" s="54"/>
      <c r="BF75" s="54"/>
      <c r="BQ75" s="55"/>
    </row>
    <row r="76" spans="1:69" x14ac:dyDescent="0.3">
      <c r="A76" s="23"/>
      <c r="B76" s="23"/>
      <c r="H76" s="14"/>
      <c r="I76" s="23"/>
      <c r="O76" s="14"/>
      <c r="V76" s="18"/>
      <c r="W76" s="23"/>
      <c r="AC76" s="14"/>
      <c r="AD76" s="29"/>
      <c r="AN76" s="11"/>
      <c r="AS76" s="11"/>
      <c r="AT76" s="23"/>
      <c r="AY76" s="14"/>
      <c r="AZ76" s="14"/>
      <c r="BB76" s="54"/>
      <c r="BF76" s="54"/>
      <c r="BQ76" s="55"/>
    </row>
    <row r="77" spans="1:69" x14ac:dyDescent="0.3">
      <c r="A77" s="23"/>
      <c r="B77" s="23"/>
      <c r="H77" s="14"/>
      <c r="I77" s="23"/>
      <c r="O77" s="14"/>
      <c r="V77" s="18"/>
      <c r="W77" s="23"/>
      <c r="AC77" s="14"/>
      <c r="AD77" s="29"/>
      <c r="AN77" s="11"/>
      <c r="AS77" s="11"/>
      <c r="AT77" s="23"/>
      <c r="AY77" s="14"/>
      <c r="AZ77" s="14"/>
      <c r="BB77" s="54"/>
      <c r="BF77" s="54"/>
      <c r="BQ77" s="55"/>
    </row>
    <row r="78" spans="1:69" x14ac:dyDescent="0.3">
      <c r="A78" s="23"/>
      <c r="B78" s="23"/>
      <c r="H78" s="14"/>
      <c r="I78" s="23"/>
      <c r="O78" s="14"/>
      <c r="V78" s="18"/>
      <c r="W78" s="23"/>
      <c r="AC78" s="14"/>
      <c r="AD78" s="23"/>
      <c r="AN78" s="11"/>
      <c r="AT78" s="23"/>
      <c r="AY78" s="14"/>
      <c r="AZ78" s="14"/>
      <c r="BB78" s="54"/>
      <c r="BF78" s="54"/>
      <c r="BQ78" s="55"/>
    </row>
    <row r="79" spans="1:69" x14ac:dyDescent="0.3">
      <c r="A79" s="23"/>
      <c r="B79" s="23"/>
      <c r="H79" s="14"/>
      <c r="I79" s="23"/>
      <c r="O79" s="14"/>
      <c r="V79" s="18"/>
      <c r="W79" s="23"/>
      <c r="AC79" s="14"/>
      <c r="AD79" s="23"/>
      <c r="AN79" s="11"/>
      <c r="AT79" s="23"/>
      <c r="AY79" s="14"/>
      <c r="AZ79" s="14"/>
      <c r="BB79" s="54"/>
      <c r="BF79" s="54"/>
      <c r="BQ79" s="55"/>
    </row>
    <row r="80" spans="1:69" x14ac:dyDescent="0.3">
      <c r="A80" s="23"/>
      <c r="B80" s="23"/>
      <c r="H80" s="14"/>
      <c r="I80" s="23"/>
      <c r="O80" s="14"/>
      <c r="V80" s="18"/>
      <c r="W80" s="23"/>
      <c r="AC80" s="14"/>
      <c r="AD80" s="23"/>
      <c r="AN80" s="11"/>
      <c r="AT80" s="23"/>
      <c r="AY80" s="14"/>
      <c r="AZ80" s="14"/>
      <c r="BB80" s="54"/>
      <c r="BF80" s="54"/>
      <c r="BQ80" s="55"/>
    </row>
    <row r="81" spans="1:69" x14ac:dyDescent="0.3">
      <c r="A81" s="23"/>
      <c r="B81" s="23"/>
      <c r="H81" s="14"/>
      <c r="I81" s="23"/>
      <c r="O81" s="14"/>
      <c r="V81" s="18"/>
      <c r="W81" s="23"/>
      <c r="AC81" s="14"/>
      <c r="AD81" s="23"/>
      <c r="AN81" s="11"/>
      <c r="AT81" s="23"/>
      <c r="AY81" s="14"/>
      <c r="AZ81" s="14"/>
      <c r="BB81" s="54"/>
      <c r="BF81" s="54"/>
      <c r="BQ81" s="55"/>
    </row>
    <row r="82" spans="1:69" x14ac:dyDescent="0.3">
      <c r="A82" s="23"/>
      <c r="B82" s="23"/>
      <c r="H82" s="14"/>
      <c r="I82" s="23"/>
      <c r="O82" s="14"/>
      <c r="V82" s="18"/>
      <c r="W82" s="23"/>
      <c r="AC82" s="14"/>
      <c r="AD82" s="23"/>
      <c r="AN82" s="11"/>
      <c r="AT82" s="23"/>
      <c r="AY82" s="14"/>
      <c r="AZ82" s="14"/>
      <c r="BB82" s="54"/>
      <c r="BF82" s="54"/>
      <c r="BQ82" s="55"/>
    </row>
    <row r="83" spans="1:69" x14ac:dyDescent="0.3">
      <c r="A83" s="23"/>
      <c r="B83" s="45"/>
      <c r="C83" s="10"/>
      <c r="D83" s="10"/>
      <c r="E83" s="10"/>
      <c r="F83" s="10"/>
      <c r="G83" s="10"/>
      <c r="H83" s="15"/>
      <c r="I83" s="45"/>
      <c r="J83" s="10"/>
      <c r="K83" s="10"/>
      <c r="L83" s="10"/>
      <c r="M83" s="10"/>
      <c r="N83" s="10"/>
      <c r="O83" s="15"/>
      <c r="P83" s="45"/>
      <c r="Q83" s="10"/>
      <c r="R83" s="10"/>
      <c r="S83" s="10"/>
      <c r="T83" s="10"/>
      <c r="U83" s="10"/>
      <c r="V83" s="10"/>
      <c r="W83" s="45"/>
      <c r="X83" s="10"/>
      <c r="Y83" s="10"/>
      <c r="Z83" s="10"/>
      <c r="AA83" s="10"/>
      <c r="AB83" s="10"/>
      <c r="AC83" s="10"/>
      <c r="AD83" s="45"/>
      <c r="AE83" s="10"/>
      <c r="AF83" s="10"/>
      <c r="AG83" s="10"/>
      <c r="AH83" s="10"/>
      <c r="AI83" s="10"/>
      <c r="AJ83" s="10"/>
      <c r="AK83" s="10"/>
      <c r="AL83" s="10"/>
      <c r="AM83" s="10"/>
      <c r="AN83" s="10"/>
      <c r="AO83" s="10"/>
      <c r="AP83" s="10"/>
      <c r="AQ83" s="10"/>
      <c r="AR83" s="10"/>
      <c r="AS83" s="10"/>
      <c r="AT83" s="45"/>
      <c r="AU83" s="10"/>
      <c r="AV83" s="10"/>
      <c r="AW83" s="10"/>
      <c r="AX83" s="10"/>
      <c r="AY83" s="15"/>
      <c r="AZ83" s="14"/>
      <c r="BB83" s="56"/>
      <c r="BC83" s="57"/>
      <c r="BD83" s="57"/>
      <c r="BE83" s="57"/>
      <c r="BF83" s="56"/>
      <c r="BG83" s="57"/>
      <c r="BH83" s="57"/>
      <c r="BI83" s="57"/>
      <c r="BJ83" s="57"/>
      <c r="BK83" s="57"/>
      <c r="BL83" s="57"/>
      <c r="BM83" s="57"/>
      <c r="BN83" s="57"/>
      <c r="BO83" s="57"/>
      <c r="BP83" s="57"/>
      <c r="BQ83" s="58"/>
    </row>
    <row r="84" spans="1:69" x14ac:dyDescent="0.3">
      <c r="A84" s="23"/>
      <c r="AZ84" s="14"/>
    </row>
    <row r="85" spans="1:69" x14ac:dyDescent="0.3">
      <c r="A85" s="45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10"/>
      <c r="AJ85" s="10"/>
      <c r="AK85" s="10"/>
      <c r="AL85" s="10"/>
      <c r="AM85" s="10"/>
      <c r="AN85" s="10"/>
      <c r="AO85" s="10"/>
      <c r="AP85" s="10"/>
      <c r="AQ85" s="10"/>
      <c r="AR85" s="10"/>
      <c r="AS85" s="10"/>
      <c r="AT85" s="10"/>
      <c r="AU85" s="10"/>
      <c r="AV85" s="10"/>
      <c r="AW85" s="10"/>
      <c r="AX85" s="10"/>
      <c r="AY85" s="10"/>
      <c r="AZ85" s="15"/>
    </row>
  </sheetData>
  <mergeCells count="24">
    <mergeCell ref="BF13:BQ13"/>
    <mergeCell ref="AQ2:AV2"/>
    <mergeCell ref="AJ3:AK3"/>
    <mergeCell ref="AL3:AP3"/>
    <mergeCell ref="AQ3:AV3"/>
    <mergeCell ref="BB8:BE9"/>
    <mergeCell ref="BF8:BQ9"/>
    <mergeCell ref="BF12:BQ12"/>
    <mergeCell ref="B8:H9"/>
    <mergeCell ref="I8:O9"/>
    <mergeCell ref="AD8:AS9"/>
    <mergeCell ref="AT8:AY9"/>
    <mergeCell ref="A1:E1"/>
    <mergeCell ref="F1:U1"/>
    <mergeCell ref="V1:AI1"/>
    <mergeCell ref="AJ1:AP1"/>
    <mergeCell ref="AQ1:AV1"/>
    <mergeCell ref="A2:E3"/>
    <mergeCell ref="F2:U3"/>
    <mergeCell ref="V2:AI3"/>
    <mergeCell ref="AJ2:AK2"/>
    <mergeCell ref="AL2:AP2"/>
    <mergeCell ref="P9:V9"/>
    <mergeCell ref="W9:AC9"/>
  </mergeCells>
  <phoneticPr fontId="4"/>
  <pageMargins left="0.7" right="0.7" top="0.75" bottom="0.75" header="0.3" footer="0.3"/>
  <pageSetup paperSize="9" scale="69" fitToHeight="0" orientation="portrait" verticalDpi="1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35EBC7-ABA4-41A4-803C-B7810699631A}">
  <sheetPr>
    <pageSetUpPr autoPageBreaks="0"/>
  </sheetPr>
  <dimension ref="A1:BQ64"/>
  <sheetViews>
    <sheetView showGridLines="0" zoomScaleNormal="100" workbookViewId="0">
      <pane ySplit="9" topLeftCell="A37" activePane="bottomLeft" state="frozen"/>
      <selection activeCell="AC49" sqref="AC49"/>
      <selection pane="bottomLeft" activeCell="AF31" sqref="AF31"/>
    </sheetView>
  </sheetViews>
  <sheetFormatPr defaultColWidth="2.453125" defaultRowHeight="14.4" x14ac:dyDescent="0.3"/>
  <cols>
    <col min="1" max="5" width="2.453125" style="8"/>
    <col min="6" max="10" width="2.453125" style="8" customWidth="1"/>
    <col min="11" max="16384" width="2.453125" style="8"/>
  </cols>
  <sheetData>
    <row r="1" spans="1:69" ht="15" thickBot="1" x14ac:dyDescent="0.35">
      <c r="A1" s="144" t="s">
        <v>8</v>
      </c>
      <c r="B1" s="145"/>
      <c r="C1" s="145"/>
      <c r="D1" s="145"/>
      <c r="E1" s="146"/>
      <c r="F1" s="141" t="str">
        <f>変更履歴!F1</f>
        <v>会計システム刷新プロジェクト（LIBRA）</v>
      </c>
      <c r="G1" s="142"/>
      <c r="H1" s="142"/>
      <c r="I1" s="142"/>
      <c r="J1" s="142"/>
      <c r="K1" s="142"/>
      <c r="L1" s="142"/>
      <c r="M1" s="142"/>
      <c r="N1" s="142"/>
      <c r="O1" s="142"/>
      <c r="P1" s="142"/>
      <c r="Q1" s="142"/>
      <c r="R1" s="142"/>
      <c r="S1" s="142"/>
      <c r="T1" s="142"/>
      <c r="U1" s="143"/>
      <c r="V1" s="144" t="s">
        <v>24</v>
      </c>
      <c r="W1" s="145"/>
      <c r="X1" s="145"/>
      <c r="Y1" s="145"/>
      <c r="Z1" s="145"/>
      <c r="AA1" s="145"/>
      <c r="AB1" s="145"/>
      <c r="AC1" s="145"/>
      <c r="AD1" s="145"/>
      <c r="AE1" s="145"/>
      <c r="AF1" s="145"/>
      <c r="AG1" s="145"/>
      <c r="AH1" s="145"/>
      <c r="AI1" s="146"/>
      <c r="AJ1" s="144" t="s">
        <v>10</v>
      </c>
      <c r="AK1" s="145"/>
      <c r="AL1" s="145"/>
      <c r="AM1" s="145"/>
      <c r="AN1" s="145"/>
      <c r="AO1" s="145"/>
      <c r="AP1" s="146"/>
      <c r="AQ1" s="144" t="s">
        <v>11</v>
      </c>
      <c r="AR1" s="145"/>
      <c r="AS1" s="145"/>
      <c r="AT1" s="145"/>
      <c r="AU1" s="145"/>
      <c r="AV1" s="146"/>
    </row>
    <row r="2" spans="1:69" x14ac:dyDescent="0.3">
      <c r="A2" s="213" t="s">
        <v>12</v>
      </c>
      <c r="B2" s="214"/>
      <c r="C2" s="214"/>
      <c r="D2" s="214"/>
      <c r="E2" s="215"/>
      <c r="F2" s="153" t="str">
        <f>変更履歴!F2</f>
        <v>ToBe業務フロー（7.Branch2）</v>
      </c>
      <c r="G2" s="154"/>
      <c r="H2" s="154"/>
      <c r="I2" s="154"/>
      <c r="J2" s="154"/>
      <c r="K2" s="154"/>
      <c r="L2" s="154"/>
      <c r="M2" s="154"/>
      <c r="N2" s="154"/>
      <c r="O2" s="154"/>
      <c r="P2" s="154"/>
      <c r="Q2" s="154"/>
      <c r="R2" s="154"/>
      <c r="S2" s="154"/>
      <c r="T2" s="154"/>
      <c r="U2" s="155"/>
      <c r="V2" s="153" t="str">
        <f ca="1">MID(CELL("filename",$A$1),FIND("]",CELL("filename",$A$1))+1,31)</f>
        <v>2.品目マスタ取込</v>
      </c>
      <c r="W2" s="154"/>
      <c r="X2" s="154"/>
      <c r="Y2" s="154"/>
      <c r="Z2" s="154"/>
      <c r="AA2" s="154"/>
      <c r="AB2" s="154"/>
      <c r="AC2" s="154"/>
      <c r="AD2" s="154"/>
      <c r="AE2" s="154"/>
      <c r="AF2" s="154"/>
      <c r="AG2" s="154"/>
      <c r="AH2" s="154"/>
      <c r="AI2" s="155"/>
      <c r="AJ2" s="165" t="s">
        <v>13</v>
      </c>
      <c r="AK2" s="166"/>
      <c r="AL2" s="167">
        <f>変更履歴!AT2</f>
        <v>45650</v>
      </c>
      <c r="AM2" s="168"/>
      <c r="AN2" s="168"/>
      <c r="AO2" s="168"/>
      <c r="AP2" s="169"/>
      <c r="AQ2" s="170" t="str">
        <f>変更履歴!BA2</f>
        <v>JBS北井</v>
      </c>
      <c r="AR2" s="171"/>
      <c r="AS2" s="171"/>
      <c r="AT2" s="171"/>
      <c r="AU2" s="171"/>
      <c r="AV2" s="172"/>
    </row>
    <row r="3" spans="1:69" ht="15" thickBot="1" x14ac:dyDescent="0.35">
      <c r="A3" s="216"/>
      <c r="B3" s="217"/>
      <c r="C3" s="217"/>
      <c r="D3" s="217"/>
      <c r="E3" s="218"/>
      <c r="F3" s="156"/>
      <c r="G3" s="157"/>
      <c r="H3" s="157"/>
      <c r="I3" s="157"/>
      <c r="J3" s="157"/>
      <c r="K3" s="157"/>
      <c r="L3" s="157"/>
      <c r="M3" s="157"/>
      <c r="N3" s="157"/>
      <c r="O3" s="157"/>
      <c r="P3" s="157"/>
      <c r="Q3" s="157"/>
      <c r="R3" s="157"/>
      <c r="S3" s="157"/>
      <c r="T3" s="157"/>
      <c r="U3" s="158"/>
      <c r="V3" s="156"/>
      <c r="W3" s="157"/>
      <c r="X3" s="157"/>
      <c r="Y3" s="157"/>
      <c r="Z3" s="157"/>
      <c r="AA3" s="157"/>
      <c r="AB3" s="157"/>
      <c r="AC3" s="157"/>
      <c r="AD3" s="157"/>
      <c r="AE3" s="157"/>
      <c r="AF3" s="157"/>
      <c r="AG3" s="157"/>
      <c r="AH3" s="157"/>
      <c r="AI3" s="158"/>
      <c r="AJ3" s="173" t="s">
        <v>14</v>
      </c>
      <c r="AK3" s="174"/>
      <c r="AL3" s="175">
        <f ca="1">変更履歴!AT3</f>
        <v>45846</v>
      </c>
      <c r="AM3" s="176"/>
      <c r="AN3" s="176"/>
      <c r="AO3" s="176"/>
      <c r="AP3" s="177"/>
      <c r="AQ3" s="178" t="str">
        <f ca="1">変更履歴!BA3</f>
        <v>JBS加藤</v>
      </c>
      <c r="AR3" s="179"/>
      <c r="AS3" s="179"/>
      <c r="AT3" s="179"/>
      <c r="AU3" s="179"/>
      <c r="AV3" s="180"/>
    </row>
    <row r="5" spans="1:69" x14ac:dyDescent="0.3">
      <c r="A5" s="45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</row>
    <row r="6" spans="1:69" s="11" customFormat="1" x14ac:dyDescent="0.3">
      <c r="A6" s="33" t="str">
        <f ca="1">RIGHT(CELL("filename",A1),LEN(CELL("filename",A1))-FIND("]",CELL("filename",A1)))</f>
        <v>2.品目マスタ取込</v>
      </c>
      <c r="B6" s="46"/>
      <c r="C6" s="46"/>
      <c r="D6" s="46"/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  <c r="AA6" s="46"/>
      <c r="AB6" s="46"/>
      <c r="AC6" s="46"/>
      <c r="AD6" s="46"/>
      <c r="AE6" s="46"/>
      <c r="AF6" s="46"/>
      <c r="AG6" s="46"/>
      <c r="AH6" s="46"/>
      <c r="AI6" s="46"/>
      <c r="AJ6" s="46"/>
      <c r="AK6" s="46"/>
      <c r="AL6" s="46"/>
      <c r="AM6" s="46"/>
      <c r="AN6" s="46"/>
      <c r="AO6" s="46"/>
      <c r="AP6" s="46"/>
      <c r="AQ6" s="46"/>
      <c r="AR6" s="46"/>
      <c r="AS6" s="46"/>
      <c r="AT6" s="46"/>
      <c r="AU6" s="46"/>
      <c r="AV6" s="46"/>
      <c r="AW6" s="46"/>
      <c r="AX6" s="46"/>
      <c r="AY6" s="46"/>
      <c r="AZ6" s="34"/>
    </row>
    <row r="7" spans="1:69" s="11" customFormat="1" x14ac:dyDescent="0.3">
      <c r="A7" s="24"/>
      <c r="B7" s="12"/>
      <c r="C7" s="12"/>
      <c r="D7" s="12"/>
      <c r="E7" s="12"/>
      <c r="F7" s="12"/>
      <c r="G7" s="12"/>
      <c r="H7" s="12"/>
      <c r="AZ7" s="13"/>
    </row>
    <row r="8" spans="1:69" s="11" customFormat="1" x14ac:dyDescent="0.3">
      <c r="A8" s="24"/>
      <c r="B8" s="204" t="s">
        <v>60</v>
      </c>
      <c r="C8" s="205"/>
      <c r="D8" s="205"/>
      <c r="E8" s="205"/>
      <c r="F8" s="205"/>
      <c r="G8" s="205"/>
      <c r="H8" s="206"/>
      <c r="I8" s="220" t="s">
        <v>61</v>
      </c>
      <c r="J8" s="220"/>
      <c r="K8" s="220"/>
      <c r="L8" s="220"/>
      <c r="M8" s="220"/>
      <c r="N8" s="220"/>
      <c r="O8" s="220"/>
      <c r="P8" s="36" t="s">
        <v>36</v>
      </c>
      <c r="Q8" s="48"/>
      <c r="R8" s="48"/>
      <c r="S8" s="48"/>
      <c r="T8" s="48"/>
      <c r="U8" s="48"/>
      <c r="V8" s="48"/>
      <c r="W8" s="48"/>
      <c r="X8" s="48"/>
      <c r="Y8" s="48"/>
      <c r="Z8" s="48"/>
      <c r="AA8" s="48"/>
      <c r="AB8" s="48"/>
      <c r="AC8" s="37"/>
      <c r="AD8" s="200" t="s">
        <v>54</v>
      </c>
      <c r="AE8" s="200"/>
      <c r="AF8" s="200"/>
      <c r="AG8" s="200"/>
      <c r="AH8" s="200"/>
      <c r="AI8" s="200"/>
      <c r="AJ8" s="200"/>
      <c r="AK8" s="200"/>
      <c r="AL8" s="200"/>
      <c r="AM8" s="200"/>
      <c r="AN8" s="200"/>
      <c r="AO8" s="200"/>
      <c r="AP8" s="200"/>
      <c r="AQ8" s="200"/>
      <c r="AR8" s="200"/>
      <c r="AS8" s="200"/>
      <c r="AT8" s="199" t="s">
        <v>56</v>
      </c>
      <c r="AU8" s="200"/>
      <c r="AV8" s="200"/>
      <c r="AW8" s="200"/>
      <c r="AX8" s="200"/>
      <c r="AY8" s="200"/>
      <c r="AZ8" s="13"/>
      <c r="BB8" s="224" t="s">
        <v>62</v>
      </c>
      <c r="BC8" s="225"/>
      <c r="BD8" s="225"/>
      <c r="BE8" s="225"/>
      <c r="BF8" s="227" t="s">
        <v>63</v>
      </c>
      <c r="BG8" s="228"/>
      <c r="BH8" s="228"/>
      <c r="BI8" s="228"/>
      <c r="BJ8" s="228"/>
      <c r="BK8" s="228"/>
      <c r="BL8" s="228"/>
      <c r="BM8" s="228"/>
      <c r="BN8" s="228"/>
      <c r="BO8" s="228"/>
      <c r="BP8" s="228"/>
      <c r="BQ8" s="228"/>
    </row>
    <row r="9" spans="1:69" s="11" customFormat="1" ht="16.5" customHeight="1" x14ac:dyDescent="0.3">
      <c r="A9" s="24"/>
      <c r="B9" s="207"/>
      <c r="C9" s="208"/>
      <c r="D9" s="208"/>
      <c r="E9" s="208"/>
      <c r="F9" s="208"/>
      <c r="G9" s="208"/>
      <c r="H9" s="209"/>
      <c r="I9" s="220"/>
      <c r="J9" s="220"/>
      <c r="K9" s="220"/>
      <c r="L9" s="220"/>
      <c r="M9" s="220"/>
      <c r="N9" s="220"/>
      <c r="O9" s="220"/>
      <c r="P9" s="201" t="s">
        <v>51</v>
      </c>
      <c r="Q9" s="202"/>
      <c r="R9" s="202"/>
      <c r="S9" s="202"/>
      <c r="T9" s="202"/>
      <c r="U9" s="202"/>
      <c r="V9" s="203"/>
      <c r="W9" s="201" t="s">
        <v>53</v>
      </c>
      <c r="X9" s="202"/>
      <c r="Y9" s="202"/>
      <c r="Z9" s="202"/>
      <c r="AA9" s="202"/>
      <c r="AB9" s="202"/>
      <c r="AC9" s="203"/>
      <c r="AD9" s="200"/>
      <c r="AE9" s="200"/>
      <c r="AF9" s="200"/>
      <c r="AG9" s="200"/>
      <c r="AH9" s="200"/>
      <c r="AI9" s="200"/>
      <c r="AJ9" s="200"/>
      <c r="AK9" s="200"/>
      <c r="AL9" s="200"/>
      <c r="AM9" s="200"/>
      <c r="AN9" s="200"/>
      <c r="AO9" s="200"/>
      <c r="AP9" s="200"/>
      <c r="AQ9" s="200"/>
      <c r="AR9" s="200"/>
      <c r="AS9" s="200"/>
      <c r="AT9" s="200"/>
      <c r="AU9" s="200"/>
      <c r="AV9" s="200"/>
      <c r="AW9" s="200"/>
      <c r="AX9" s="200"/>
      <c r="AY9" s="200"/>
      <c r="AZ9" s="13"/>
      <c r="BB9" s="226"/>
      <c r="BC9" s="226"/>
      <c r="BD9" s="226"/>
      <c r="BE9" s="226"/>
      <c r="BF9" s="229"/>
      <c r="BG9" s="229"/>
      <c r="BH9" s="229"/>
      <c r="BI9" s="229"/>
      <c r="BJ9" s="229"/>
      <c r="BK9" s="229"/>
      <c r="BL9" s="229"/>
      <c r="BM9" s="229"/>
      <c r="BN9" s="229"/>
      <c r="BO9" s="229"/>
      <c r="BP9" s="229"/>
      <c r="BQ9" s="229"/>
    </row>
    <row r="10" spans="1:69" s="11" customFormat="1" x14ac:dyDescent="0.3">
      <c r="A10" s="24"/>
      <c r="B10" s="35" t="s">
        <v>82</v>
      </c>
      <c r="C10" s="65"/>
      <c r="D10" s="47"/>
      <c r="E10" s="47"/>
      <c r="F10" s="47"/>
      <c r="G10" s="47"/>
      <c r="H10" s="47"/>
      <c r="I10" s="47"/>
      <c r="J10" s="47"/>
      <c r="K10" s="47"/>
      <c r="L10" s="47"/>
      <c r="M10" s="47"/>
      <c r="N10" s="47"/>
      <c r="O10" s="47"/>
      <c r="P10" s="47"/>
      <c r="Q10" s="47"/>
      <c r="R10" s="47"/>
      <c r="S10" s="47"/>
      <c r="T10" s="47"/>
      <c r="U10" s="47"/>
      <c r="V10" s="47"/>
      <c r="W10" s="22"/>
      <c r="X10" s="22"/>
      <c r="Y10" s="22"/>
      <c r="Z10" s="22"/>
      <c r="AA10" s="22"/>
      <c r="AB10" s="22"/>
      <c r="AC10" s="22"/>
      <c r="AD10" s="47"/>
      <c r="AE10" s="47"/>
      <c r="AF10" s="47"/>
      <c r="AG10" s="47"/>
      <c r="AH10" s="47"/>
      <c r="AI10" s="47"/>
      <c r="AJ10" s="47"/>
      <c r="AK10" s="47"/>
      <c r="AL10" s="47"/>
      <c r="AM10" s="47"/>
      <c r="AN10" s="47"/>
      <c r="AO10" s="47"/>
      <c r="AP10" s="47"/>
      <c r="AQ10" s="47"/>
      <c r="AR10" s="47"/>
      <c r="AS10" s="47"/>
      <c r="AT10" s="47"/>
      <c r="AU10" s="47"/>
      <c r="AV10" s="47"/>
      <c r="AW10" s="47"/>
      <c r="AX10" s="47"/>
      <c r="AY10" s="38"/>
      <c r="AZ10" s="13"/>
      <c r="BB10" s="49"/>
      <c r="BC10" s="50"/>
      <c r="BD10" s="50"/>
      <c r="BE10" s="50"/>
      <c r="BF10" s="49"/>
      <c r="BG10" s="50"/>
      <c r="BH10" s="50"/>
      <c r="BI10" s="50"/>
      <c r="BJ10" s="50"/>
      <c r="BK10" s="50"/>
      <c r="BL10" s="50"/>
      <c r="BM10" s="50"/>
      <c r="BN10" s="50"/>
      <c r="BO10" s="50"/>
      <c r="BP10" s="50"/>
      <c r="BQ10" s="51"/>
    </row>
    <row r="11" spans="1:69" s="11" customFormat="1" x14ac:dyDescent="0.3">
      <c r="A11" s="24"/>
      <c r="B11" s="39"/>
      <c r="C11" s="40"/>
      <c r="D11" s="40"/>
      <c r="E11" s="40"/>
      <c r="F11" s="40"/>
      <c r="G11" s="40"/>
      <c r="H11" s="41"/>
      <c r="I11" s="42"/>
      <c r="J11" s="40"/>
      <c r="K11" s="40"/>
      <c r="L11" s="40"/>
      <c r="M11" s="40"/>
      <c r="N11" s="40"/>
      <c r="O11" s="41"/>
      <c r="P11" s="40"/>
      <c r="Q11" s="40"/>
      <c r="R11" s="40"/>
      <c r="S11" s="40"/>
      <c r="T11" s="40"/>
      <c r="U11" s="40"/>
      <c r="V11" s="41"/>
      <c r="W11" s="42"/>
      <c r="X11" s="40"/>
      <c r="Y11" s="40"/>
      <c r="Z11" s="40"/>
      <c r="AA11" s="40"/>
      <c r="AB11" s="40"/>
      <c r="AC11" s="41"/>
      <c r="AD11" s="43"/>
      <c r="AE11" s="44"/>
      <c r="AF11" s="44"/>
      <c r="AG11" s="44"/>
      <c r="AH11" s="44"/>
      <c r="AI11" s="44"/>
      <c r="AJ11" s="44"/>
      <c r="AK11" s="44"/>
      <c r="AL11" s="44"/>
      <c r="AM11" s="44"/>
      <c r="AN11" s="44"/>
      <c r="AO11" s="44"/>
      <c r="AP11" s="44"/>
      <c r="AQ11" s="44"/>
      <c r="AR11" s="44"/>
      <c r="AS11" s="44"/>
      <c r="AT11" s="42"/>
      <c r="AU11" s="40"/>
      <c r="AV11" s="40"/>
      <c r="AW11" s="40"/>
      <c r="AX11" s="40"/>
      <c r="AY11" s="41"/>
      <c r="AZ11" s="13"/>
      <c r="BB11" s="52"/>
      <c r="BF11" s="52"/>
      <c r="BQ11" s="53"/>
    </row>
    <row r="12" spans="1:69" s="11" customFormat="1" ht="13.5" customHeight="1" x14ac:dyDescent="0.3">
      <c r="A12" s="24"/>
      <c r="B12" s="25"/>
      <c r="C12" s="20"/>
      <c r="D12" s="20"/>
      <c r="E12" s="20"/>
      <c r="F12" s="20"/>
      <c r="G12" s="20"/>
      <c r="H12" s="19"/>
      <c r="I12" s="26"/>
      <c r="J12" s="20"/>
      <c r="K12" s="20"/>
      <c r="L12" s="20"/>
      <c r="M12" s="20"/>
      <c r="N12" s="20"/>
      <c r="O12" s="19"/>
      <c r="P12" s="20"/>
      <c r="Q12" s="20"/>
      <c r="R12" s="20"/>
      <c r="S12" s="20"/>
      <c r="T12" s="20"/>
      <c r="U12" s="20"/>
      <c r="V12" s="19"/>
      <c r="W12" s="26"/>
      <c r="X12" s="20"/>
      <c r="Y12" s="20"/>
      <c r="Z12" s="20"/>
      <c r="AA12" s="20"/>
      <c r="AB12" s="20"/>
      <c r="AC12" s="19"/>
      <c r="AD12" s="32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26"/>
      <c r="AU12" s="20"/>
      <c r="AV12" s="20"/>
      <c r="AW12" s="20"/>
      <c r="AX12" s="20"/>
      <c r="AY12" s="19"/>
      <c r="AZ12" s="13"/>
      <c r="BB12" s="52"/>
      <c r="BF12" s="221"/>
      <c r="BG12" s="222"/>
      <c r="BH12" s="222"/>
      <c r="BI12" s="222"/>
      <c r="BJ12" s="222"/>
      <c r="BK12" s="222"/>
      <c r="BL12" s="222"/>
      <c r="BM12" s="222"/>
      <c r="BN12" s="222"/>
      <c r="BO12" s="222"/>
      <c r="BP12" s="222"/>
      <c r="BQ12" s="223"/>
    </row>
    <row r="13" spans="1:69" s="11" customFormat="1" x14ac:dyDescent="0.3">
      <c r="A13" s="24"/>
      <c r="B13" s="25"/>
      <c r="C13" s="20"/>
      <c r="D13" s="20"/>
      <c r="E13" s="20"/>
      <c r="F13" s="20"/>
      <c r="G13" s="20"/>
      <c r="H13" s="19"/>
      <c r="I13" s="26"/>
      <c r="J13" s="20"/>
      <c r="K13" s="20"/>
      <c r="L13" s="20"/>
      <c r="M13" s="20"/>
      <c r="N13" s="20"/>
      <c r="O13" s="19"/>
      <c r="P13" s="20"/>
      <c r="Q13" s="20"/>
      <c r="R13" s="20"/>
      <c r="S13" s="20"/>
      <c r="T13" s="20"/>
      <c r="U13" s="20"/>
      <c r="V13" s="19"/>
      <c r="W13" s="26"/>
      <c r="X13" s="20"/>
      <c r="Y13" s="20"/>
      <c r="Z13" s="20"/>
      <c r="AA13" s="20"/>
      <c r="AB13" s="20"/>
      <c r="AC13" s="19"/>
      <c r="AD13" s="32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26"/>
      <c r="AU13" s="20"/>
      <c r="AV13" s="20"/>
      <c r="AW13" s="20"/>
      <c r="AX13" s="20"/>
      <c r="AY13" s="19"/>
      <c r="AZ13" s="13"/>
      <c r="BB13" s="52"/>
      <c r="BF13" s="221"/>
      <c r="BG13" s="222"/>
      <c r="BH13" s="222"/>
      <c r="BI13" s="222"/>
      <c r="BJ13" s="222"/>
      <c r="BK13" s="222"/>
      <c r="BL13" s="222"/>
      <c r="BM13" s="222"/>
      <c r="BN13" s="222"/>
      <c r="BO13" s="222"/>
      <c r="BP13" s="222"/>
      <c r="BQ13" s="223"/>
    </row>
    <row r="14" spans="1:69" s="11" customFormat="1" x14ac:dyDescent="0.3">
      <c r="A14" s="24"/>
      <c r="B14" s="25"/>
      <c r="C14" s="20"/>
      <c r="D14" s="20"/>
      <c r="E14" s="20"/>
      <c r="F14" s="20"/>
      <c r="G14" s="20"/>
      <c r="H14" s="19"/>
      <c r="I14" s="26"/>
      <c r="J14" s="20"/>
      <c r="K14" s="20"/>
      <c r="L14" s="20"/>
      <c r="M14" s="20"/>
      <c r="N14" s="20"/>
      <c r="O14" s="19"/>
      <c r="P14" s="20"/>
      <c r="Q14" s="20"/>
      <c r="R14" s="20"/>
      <c r="S14" s="20"/>
      <c r="T14" s="20"/>
      <c r="U14" s="20"/>
      <c r="V14" s="19"/>
      <c r="W14" s="26"/>
      <c r="X14" s="20"/>
      <c r="Y14" s="20"/>
      <c r="Z14" s="20"/>
      <c r="AA14" s="20"/>
      <c r="AB14" s="20"/>
      <c r="AC14" s="19"/>
      <c r="AD14" s="32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26"/>
      <c r="AU14" s="20"/>
      <c r="AV14" s="20"/>
      <c r="AW14" s="20"/>
      <c r="AX14" s="20"/>
      <c r="AY14" s="19"/>
      <c r="AZ14" s="13"/>
      <c r="BB14" s="52"/>
      <c r="BF14" s="62"/>
      <c r="BG14" s="63"/>
      <c r="BH14" s="63"/>
      <c r="BI14" s="63"/>
      <c r="BJ14" s="63"/>
      <c r="BK14" s="63"/>
      <c r="BL14" s="63"/>
      <c r="BM14" s="63"/>
      <c r="BN14" s="63"/>
      <c r="BO14" s="63"/>
      <c r="BP14" s="63"/>
      <c r="BQ14" s="64"/>
    </row>
    <row r="15" spans="1:69" s="11" customFormat="1" x14ac:dyDescent="0.3">
      <c r="A15" s="24"/>
      <c r="B15" s="25"/>
      <c r="C15" s="20"/>
      <c r="D15" s="20"/>
      <c r="E15" s="20"/>
      <c r="F15" s="20"/>
      <c r="G15" s="20"/>
      <c r="H15" s="19"/>
      <c r="I15" s="26"/>
      <c r="J15" s="20"/>
      <c r="K15" s="20"/>
      <c r="L15" s="20"/>
      <c r="M15" s="20"/>
      <c r="N15" s="20"/>
      <c r="O15" s="19"/>
      <c r="P15" s="20"/>
      <c r="Q15" s="20"/>
      <c r="R15" s="20"/>
      <c r="S15" s="20"/>
      <c r="T15" s="20"/>
      <c r="U15" s="20"/>
      <c r="V15" s="19"/>
      <c r="W15" s="26"/>
      <c r="X15" s="20"/>
      <c r="Y15" s="20"/>
      <c r="Z15" s="20"/>
      <c r="AA15" s="20"/>
      <c r="AB15" s="20"/>
      <c r="AC15" s="19"/>
      <c r="AD15" s="32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26"/>
      <c r="AU15" s="20"/>
      <c r="AV15" s="20"/>
      <c r="AW15" s="20"/>
      <c r="AX15" s="20"/>
      <c r="AY15" s="19"/>
      <c r="AZ15" s="13"/>
      <c r="BB15" s="52"/>
      <c r="BF15" s="62"/>
      <c r="BG15" s="63"/>
      <c r="BH15" s="63"/>
      <c r="BI15" s="63"/>
      <c r="BJ15" s="63"/>
      <c r="BK15" s="63"/>
      <c r="BL15" s="63"/>
      <c r="BM15" s="63"/>
      <c r="BN15" s="63"/>
      <c r="BO15" s="63"/>
      <c r="BP15" s="63"/>
      <c r="BQ15" s="64"/>
    </row>
    <row r="16" spans="1:69" s="11" customFormat="1" x14ac:dyDescent="0.3">
      <c r="A16" s="24"/>
      <c r="B16" s="25"/>
      <c r="C16" s="20"/>
      <c r="D16" s="20"/>
      <c r="E16" s="20"/>
      <c r="F16" s="20"/>
      <c r="G16" s="20"/>
      <c r="H16" s="19"/>
      <c r="I16" s="26"/>
      <c r="J16" s="20"/>
      <c r="K16" s="20"/>
      <c r="L16" s="20"/>
      <c r="M16" s="20"/>
      <c r="N16" s="20"/>
      <c r="O16" s="19"/>
      <c r="P16" s="20"/>
      <c r="Q16" s="20"/>
      <c r="R16" s="20"/>
      <c r="S16" s="20"/>
      <c r="T16" s="20"/>
      <c r="U16" s="20"/>
      <c r="V16" s="19"/>
      <c r="W16" s="26"/>
      <c r="X16" s="20"/>
      <c r="Y16" s="20"/>
      <c r="Z16" s="20"/>
      <c r="AA16" s="20"/>
      <c r="AB16" s="20"/>
      <c r="AC16" s="19"/>
      <c r="AD16" s="32"/>
      <c r="AE16" s="21" t="s">
        <v>83</v>
      </c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26"/>
      <c r="AU16" s="20"/>
      <c r="AV16" s="20"/>
      <c r="AW16" s="20"/>
      <c r="AX16" s="20"/>
      <c r="AY16" s="19"/>
      <c r="AZ16" s="13"/>
      <c r="BB16" s="52"/>
      <c r="BF16" s="62"/>
      <c r="BG16" s="63"/>
      <c r="BH16" s="63"/>
      <c r="BI16" s="63"/>
      <c r="BJ16" s="63"/>
      <c r="BK16" s="63"/>
      <c r="BL16" s="63"/>
      <c r="BM16" s="63"/>
      <c r="BN16" s="63"/>
      <c r="BO16" s="63"/>
      <c r="BP16" s="63"/>
      <c r="BQ16" s="64"/>
    </row>
    <row r="17" spans="1:69" s="11" customFormat="1" x14ac:dyDescent="0.3">
      <c r="A17" s="24"/>
      <c r="B17" s="25"/>
      <c r="C17" s="20"/>
      <c r="D17" s="20"/>
      <c r="E17" s="20"/>
      <c r="F17" s="20"/>
      <c r="G17" s="20"/>
      <c r="H17" s="19"/>
      <c r="I17" s="26"/>
      <c r="J17" s="20"/>
      <c r="K17" s="20"/>
      <c r="L17" s="20"/>
      <c r="M17" s="20"/>
      <c r="N17" s="20"/>
      <c r="O17" s="19"/>
      <c r="P17" s="20"/>
      <c r="Q17" s="20"/>
      <c r="R17" s="20"/>
      <c r="S17" s="20"/>
      <c r="T17" s="20"/>
      <c r="U17" s="20"/>
      <c r="V17" s="19"/>
      <c r="W17" s="26"/>
      <c r="X17" s="20"/>
      <c r="Y17" s="20"/>
      <c r="Z17" s="20"/>
      <c r="AA17" s="20"/>
      <c r="AB17" s="20"/>
      <c r="AC17" s="19"/>
      <c r="AD17" s="32"/>
      <c r="AE17" s="17"/>
      <c r="AF17" s="17" t="s">
        <v>84</v>
      </c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26"/>
      <c r="AU17" s="20"/>
      <c r="AV17" s="20"/>
      <c r="AW17" s="20"/>
      <c r="AX17" s="20"/>
      <c r="AY17" s="19"/>
      <c r="AZ17" s="13"/>
      <c r="BB17" s="52"/>
      <c r="BF17" s="62"/>
      <c r="BG17" s="63"/>
      <c r="BH17" s="63"/>
      <c r="BI17" s="63"/>
      <c r="BJ17" s="63"/>
      <c r="BK17" s="63"/>
      <c r="BL17" s="63"/>
      <c r="BM17" s="63"/>
      <c r="BN17" s="63"/>
      <c r="BO17" s="63"/>
      <c r="BP17" s="63"/>
      <c r="BQ17" s="64"/>
    </row>
    <row r="18" spans="1:69" s="11" customFormat="1" x14ac:dyDescent="0.3">
      <c r="A18" s="24"/>
      <c r="B18" s="25"/>
      <c r="C18" s="20"/>
      <c r="D18" s="20"/>
      <c r="E18" s="20"/>
      <c r="F18" s="20"/>
      <c r="G18" s="20"/>
      <c r="H18" s="19"/>
      <c r="I18" s="26"/>
      <c r="J18" s="20"/>
      <c r="K18" s="20"/>
      <c r="L18" s="20"/>
      <c r="M18" s="20"/>
      <c r="N18" s="20"/>
      <c r="O18" s="19"/>
      <c r="P18" s="20"/>
      <c r="Q18" s="20"/>
      <c r="R18" s="20"/>
      <c r="S18" s="20"/>
      <c r="T18" s="20"/>
      <c r="U18" s="20"/>
      <c r="V18" s="19"/>
      <c r="W18" s="26"/>
      <c r="X18" s="20"/>
      <c r="Y18" s="20"/>
      <c r="Z18" s="20"/>
      <c r="AA18" s="20"/>
      <c r="AB18" s="20"/>
      <c r="AC18" s="19"/>
      <c r="AD18" s="32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26"/>
      <c r="AU18" s="20"/>
      <c r="AV18" s="20"/>
      <c r="AW18" s="20"/>
      <c r="AX18" s="20"/>
      <c r="AY18" s="19"/>
      <c r="AZ18" s="13"/>
      <c r="BB18" s="52"/>
      <c r="BF18" s="62"/>
      <c r="BG18" s="63"/>
      <c r="BH18" s="63"/>
      <c r="BI18" s="63"/>
      <c r="BJ18" s="63"/>
      <c r="BK18" s="63"/>
      <c r="BL18" s="63"/>
      <c r="BM18" s="63"/>
      <c r="BN18" s="63"/>
      <c r="BO18" s="63"/>
      <c r="BP18" s="63"/>
      <c r="BQ18" s="64"/>
    </row>
    <row r="19" spans="1:69" s="11" customFormat="1" x14ac:dyDescent="0.3">
      <c r="A19" s="24"/>
      <c r="B19" s="25"/>
      <c r="C19" s="20"/>
      <c r="D19" s="20"/>
      <c r="E19" s="20"/>
      <c r="F19" s="20"/>
      <c r="G19" s="20"/>
      <c r="H19" s="19"/>
      <c r="I19" s="26"/>
      <c r="J19" s="20"/>
      <c r="K19" s="20"/>
      <c r="L19" s="20"/>
      <c r="M19" s="20"/>
      <c r="N19" s="20"/>
      <c r="O19" s="19"/>
      <c r="P19" s="20"/>
      <c r="Q19" s="20"/>
      <c r="R19" s="20"/>
      <c r="S19" s="20"/>
      <c r="T19" s="20"/>
      <c r="U19" s="20"/>
      <c r="V19" s="19"/>
      <c r="W19" s="26"/>
      <c r="X19" s="20"/>
      <c r="Y19" s="20"/>
      <c r="Z19" s="20"/>
      <c r="AA19" s="20"/>
      <c r="AB19" s="20"/>
      <c r="AC19" s="19"/>
      <c r="AD19" s="32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/>
      <c r="AS19" s="17"/>
      <c r="AT19" s="26"/>
      <c r="AU19" s="20"/>
      <c r="AV19" s="20"/>
      <c r="AW19" s="20"/>
      <c r="AX19" s="20"/>
      <c r="AY19" s="19"/>
      <c r="AZ19" s="13"/>
      <c r="BB19" s="52"/>
      <c r="BF19" s="62"/>
      <c r="BG19" s="63"/>
      <c r="BH19" s="63"/>
      <c r="BI19" s="63"/>
      <c r="BJ19" s="63"/>
      <c r="BK19" s="63"/>
      <c r="BL19" s="63"/>
      <c r="BM19" s="63"/>
      <c r="BN19" s="63"/>
      <c r="BO19" s="63"/>
      <c r="BP19" s="63"/>
      <c r="BQ19" s="64"/>
    </row>
    <row r="20" spans="1:69" s="11" customFormat="1" x14ac:dyDescent="0.3">
      <c r="A20" s="24"/>
      <c r="B20" s="25"/>
      <c r="C20" s="20"/>
      <c r="D20" s="20"/>
      <c r="E20" s="20"/>
      <c r="F20" s="20"/>
      <c r="G20" s="20"/>
      <c r="H20" s="19"/>
      <c r="I20" s="26"/>
      <c r="J20" s="20"/>
      <c r="K20" s="20"/>
      <c r="L20" s="20"/>
      <c r="M20" s="20"/>
      <c r="N20" s="20"/>
      <c r="O20" s="19"/>
      <c r="P20" s="20"/>
      <c r="Q20" s="20"/>
      <c r="R20" s="20"/>
      <c r="S20" s="20"/>
      <c r="T20" s="20"/>
      <c r="U20" s="20"/>
      <c r="V20" s="19"/>
      <c r="W20" s="26"/>
      <c r="X20" s="20"/>
      <c r="Y20" s="20"/>
      <c r="Z20" s="20"/>
      <c r="AA20" s="20"/>
      <c r="AB20" s="20"/>
      <c r="AC20" s="19"/>
      <c r="AD20" s="32"/>
      <c r="AE20" s="17"/>
      <c r="AF20" s="17"/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17"/>
      <c r="AR20" s="17"/>
      <c r="AS20" s="17"/>
      <c r="AT20" s="26"/>
      <c r="AU20" s="20"/>
      <c r="AV20" s="20"/>
      <c r="AW20" s="20"/>
      <c r="AX20" s="20"/>
      <c r="AY20" s="19"/>
      <c r="AZ20" s="13"/>
      <c r="BB20" s="52"/>
      <c r="BF20" s="62"/>
      <c r="BG20" s="63"/>
      <c r="BH20" s="63"/>
      <c r="BI20" s="63"/>
      <c r="BJ20" s="63"/>
      <c r="BK20" s="63"/>
      <c r="BL20" s="63"/>
      <c r="BM20" s="63"/>
      <c r="BN20" s="63"/>
      <c r="BO20" s="63"/>
      <c r="BP20" s="63"/>
      <c r="BQ20" s="64"/>
    </row>
    <row r="21" spans="1:69" s="11" customFormat="1" x14ac:dyDescent="0.3">
      <c r="A21" s="24"/>
      <c r="B21" s="25"/>
      <c r="C21" s="20"/>
      <c r="D21" s="20"/>
      <c r="E21" s="20"/>
      <c r="F21" s="20"/>
      <c r="G21" s="20"/>
      <c r="H21" s="19"/>
      <c r="I21" s="26"/>
      <c r="J21" s="20"/>
      <c r="K21" s="20"/>
      <c r="L21" s="20"/>
      <c r="M21" s="20"/>
      <c r="N21" s="20"/>
      <c r="O21" s="19"/>
      <c r="P21" s="20"/>
      <c r="Q21" s="20"/>
      <c r="R21" s="20"/>
      <c r="S21" s="20"/>
      <c r="T21" s="20"/>
      <c r="U21" s="20"/>
      <c r="V21" s="19"/>
      <c r="W21" s="26"/>
      <c r="X21" s="20"/>
      <c r="Y21" s="20"/>
      <c r="Z21" s="20"/>
      <c r="AA21" s="20"/>
      <c r="AB21" s="20"/>
      <c r="AC21" s="19"/>
      <c r="AD21" s="32"/>
      <c r="AE21" s="17"/>
      <c r="AF21" s="17"/>
      <c r="AG21" s="17"/>
      <c r="AH21" s="17"/>
      <c r="AI21" s="17"/>
      <c r="AJ21" s="17"/>
      <c r="AK21" s="17"/>
      <c r="AL21" s="17"/>
      <c r="AM21" s="17"/>
      <c r="AN21" s="17"/>
      <c r="AO21" s="17"/>
      <c r="AP21" s="17"/>
      <c r="AQ21" s="17"/>
      <c r="AR21" s="17"/>
      <c r="AS21" s="17"/>
      <c r="AT21" s="26"/>
      <c r="AU21" s="20"/>
      <c r="AV21" s="20"/>
      <c r="AW21" s="20"/>
      <c r="AX21" s="20"/>
      <c r="AY21" s="19"/>
      <c r="AZ21" s="13"/>
      <c r="BB21" s="52"/>
      <c r="BF21" s="62"/>
      <c r="BG21" s="63"/>
      <c r="BH21" s="63"/>
      <c r="BI21" s="63"/>
      <c r="BJ21" s="63"/>
      <c r="BK21" s="63"/>
      <c r="BL21" s="63"/>
      <c r="BM21" s="63"/>
      <c r="BN21" s="63"/>
      <c r="BO21" s="63"/>
      <c r="BP21" s="63"/>
      <c r="BQ21" s="64"/>
    </row>
    <row r="22" spans="1:69" s="11" customFormat="1" x14ac:dyDescent="0.3">
      <c r="A22" s="24"/>
      <c r="B22" s="25"/>
      <c r="C22" s="20"/>
      <c r="D22" s="20"/>
      <c r="E22" s="20"/>
      <c r="F22" s="20"/>
      <c r="G22" s="20"/>
      <c r="H22" s="19"/>
      <c r="I22" s="67" t="s">
        <v>85</v>
      </c>
      <c r="J22" s="20"/>
      <c r="K22" s="20"/>
      <c r="L22" s="20"/>
      <c r="M22" s="20"/>
      <c r="N22" s="20"/>
      <c r="O22" s="19"/>
      <c r="P22" s="20"/>
      <c r="Q22" s="20"/>
      <c r="R22" s="20"/>
      <c r="S22" s="20"/>
      <c r="T22" s="20"/>
      <c r="U22" s="20"/>
      <c r="V22" s="19"/>
      <c r="W22" s="26"/>
      <c r="X22" s="20"/>
      <c r="Y22" s="20"/>
      <c r="Z22" s="20"/>
      <c r="AA22" s="20"/>
      <c r="AB22" s="20"/>
      <c r="AC22" s="19"/>
      <c r="AD22" s="32"/>
      <c r="AE22" s="68" t="s">
        <v>86</v>
      </c>
      <c r="AF22" s="17"/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17"/>
      <c r="AS22" s="17"/>
      <c r="AT22" s="26"/>
      <c r="AU22" s="20"/>
      <c r="AV22" s="20"/>
      <c r="AW22" s="20"/>
      <c r="AX22" s="20"/>
      <c r="AY22" s="19"/>
      <c r="AZ22" s="13"/>
      <c r="BB22" s="52"/>
      <c r="BF22" s="62"/>
      <c r="BG22" s="63"/>
      <c r="BH22" s="63"/>
      <c r="BI22" s="63"/>
      <c r="BJ22" s="63"/>
      <c r="BK22" s="63"/>
      <c r="BL22" s="63"/>
      <c r="BM22" s="63"/>
      <c r="BN22" s="63"/>
      <c r="BO22" s="63"/>
      <c r="BP22" s="63"/>
      <c r="BQ22" s="64"/>
    </row>
    <row r="23" spans="1:69" s="11" customFormat="1" x14ac:dyDescent="0.3">
      <c r="A23" s="24"/>
      <c r="B23" s="25"/>
      <c r="C23" s="20"/>
      <c r="D23" s="20"/>
      <c r="E23" s="20"/>
      <c r="F23" s="20"/>
      <c r="G23" s="20"/>
      <c r="H23" s="19"/>
      <c r="I23" s="26"/>
      <c r="J23" s="20"/>
      <c r="K23" s="20"/>
      <c r="L23" s="20"/>
      <c r="M23" s="20"/>
      <c r="N23" s="20"/>
      <c r="O23" s="19"/>
      <c r="P23" s="20"/>
      <c r="Q23" s="20"/>
      <c r="R23" s="20"/>
      <c r="S23" s="20"/>
      <c r="T23" s="20"/>
      <c r="U23" s="20"/>
      <c r="V23" s="19"/>
      <c r="W23" s="26"/>
      <c r="X23" s="20"/>
      <c r="Y23" s="20"/>
      <c r="Z23" s="20"/>
      <c r="AA23" s="20"/>
      <c r="AB23" s="20"/>
      <c r="AC23" s="19"/>
      <c r="AD23" s="32"/>
      <c r="AE23" s="17"/>
      <c r="AF23" s="17" t="s">
        <v>87</v>
      </c>
      <c r="AG23" s="17"/>
      <c r="AH23" s="17"/>
      <c r="AI23" s="17"/>
      <c r="AJ23" s="17"/>
      <c r="AK23" s="17"/>
      <c r="AL23" s="17"/>
      <c r="AM23" s="17"/>
      <c r="AN23" s="17"/>
      <c r="AO23" s="17"/>
      <c r="AP23" s="17"/>
      <c r="AQ23" s="17"/>
      <c r="AR23" s="17"/>
      <c r="AS23" s="17"/>
      <c r="AT23" s="26"/>
      <c r="AU23" s="20"/>
      <c r="AV23" s="20"/>
      <c r="AW23" s="20"/>
      <c r="AX23" s="20"/>
      <c r="AY23" s="19"/>
      <c r="AZ23" s="13"/>
      <c r="BB23" s="52"/>
      <c r="BF23" s="62"/>
      <c r="BG23" s="63"/>
      <c r="BH23" s="63"/>
      <c r="BI23" s="63"/>
      <c r="BJ23" s="63"/>
      <c r="BK23" s="63"/>
      <c r="BL23" s="63"/>
      <c r="BM23" s="63"/>
      <c r="BN23" s="63"/>
      <c r="BO23" s="63"/>
      <c r="BP23" s="63"/>
      <c r="BQ23" s="64"/>
    </row>
    <row r="24" spans="1:69" s="11" customFormat="1" x14ac:dyDescent="0.3">
      <c r="A24" s="24"/>
      <c r="B24" s="25"/>
      <c r="C24" s="20"/>
      <c r="D24" s="20"/>
      <c r="E24" s="20"/>
      <c r="F24" s="20"/>
      <c r="G24" s="20"/>
      <c r="H24" s="19"/>
      <c r="I24" s="26"/>
      <c r="J24" s="20"/>
      <c r="K24" s="20"/>
      <c r="L24" s="20"/>
      <c r="M24" s="20"/>
      <c r="N24" s="20"/>
      <c r="O24" s="19"/>
      <c r="P24" s="20"/>
      <c r="Q24" s="20"/>
      <c r="R24" s="20"/>
      <c r="S24" s="20"/>
      <c r="T24" s="20"/>
      <c r="U24" s="20"/>
      <c r="V24" s="19"/>
      <c r="W24" s="26"/>
      <c r="X24" s="20"/>
      <c r="Y24" s="20"/>
      <c r="Z24" s="20"/>
      <c r="AA24" s="20"/>
      <c r="AB24" s="20"/>
      <c r="AC24" s="19"/>
      <c r="AD24" s="32"/>
      <c r="AE24" s="17"/>
      <c r="AF24" s="17" t="s">
        <v>88</v>
      </c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  <c r="AT24" s="26"/>
      <c r="AU24" s="20"/>
      <c r="AV24" s="20"/>
      <c r="AW24" s="20"/>
      <c r="AX24" s="20"/>
      <c r="AY24" s="19"/>
      <c r="AZ24" s="13"/>
      <c r="BB24" s="52"/>
      <c r="BF24" s="62"/>
      <c r="BG24" s="63"/>
      <c r="BH24" s="63"/>
      <c r="BI24" s="63"/>
      <c r="BJ24" s="63"/>
      <c r="BK24" s="63"/>
      <c r="BL24" s="63"/>
      <c r="BM24" s="63"/>
      <c r="BN24" s="63"/>
      <c r="BO24" s="63"/>
      <c r="BP24" s="63"/>
      <c r="BQ24" s="64"/>
    </row>
    <row r="25" spans="1:69" s="11" customFormat="1" x14ac:dyDescent="0.3">
      <c r="A25" s="24"/>
      <c r="B25" s="25"/>
      <c r="C25" s="20"/>
      <c r="D25" s="20"/>
      <c r="E25" s="20"/>
      <c r="F25" s="20"/>
      <c r="G25" s="20"/>
      <c r="H25" s="19"/>
      <c r="I25" s="26"/>
      <c r="J25" s="20"/>
      <c r="K25" s="69" t="s">
        <v>89</v>
      </c>
      <c r="L25" s="20"/>
      <c r="M25" s="20"/>
      <c r="N25" s="20"/>
      <c r="O25" s="19"/>
      <c r="P25" s="20"/>
      <c r="Q25" s="20"/>
      <c r="R25" s="20"/>
      <c r="S25" s="20"/>
      <c r="T25" s="20"/>
      <c r="U25" s="20"/>
      <c r="V25" s="19"/>
      <c r="W25" s="26"/>
      <c r="X25" s="20"/>
      <c r="Y25" s="20"/>
      <c r="Z25" s="20"/>
      <c r="AA25" s="20"/>
      <c r="AB25" s="20"/>
      <c r="AC25" s="19"/>
      <c r="AD25" s="32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/>
      <c r="AR25" s="17"/>
      <c r="AS25" s="17"/>
      <c r="AT25" s="26"/>
      <c r="AU25" s="20"/>
      <c r="AV25" s="20"/>
      <c r="AW25" s="20"/>
      <c r="AX25" s="20"/>
      <c r="AY25" s="19"/>
      <c r="AZ25" s="13"/>
      <c r="BB25" s="52"/>
      <c r="BF25" s="62"/>
      <c r="BG25" s="63"/>
      <c r="BH25" s="63"/>
      <c r="BI25" s="63"/>
      <c r="BJ25" s="63"/>
      <c r="BK25" s="63"/>
      <c r="BL25" s="63"/>
      <c r="BM25" s="63"/>
      <c r="BN25" s="63"/>
      <c r="BO25" s="63"/>
      <c r="BP25" s="63"/>
      <c r="BQ25" s="64"/>
    </row>
    <row r="26" spans="1:69" s="11" customFormat="1" x14ac:dyDescent="0.3">
      <c r="A26" s="24"/>
      <c r="B26" s="25"/>
      <c r="C26" s="20"/>
      <c r="D26" s="20"/>
      <c r="E26" s="20"/>
      <c r="F26" s="20"/>
      <c r="G26" s="20"/>
      <c r="H26" s="19"/>
      <c r="I26" s="26"/>
      <c r="J26" s="20"/>
      <c r="K26" s="20"/>
      <c r="L26" s="20"/>
      <c r="M26" s="20"/>
      <c r="N26" s="20"/>
      <c r="O26" s="19"/>
      <c r="P26" s="20"/>
      <c r="Q26" s="20"/>
      <c r="R26" s="20"/>
      <c r="S26" s="20"/>
      <c r="T26" s="20"/>
      <c r="U26" s="20"/>
      <c r="V26" s="19"/>
      <c r="W26" s="28"/>
      <c r="X26"/>
      <c r="Y26"/>
      <c r="Z26"/>
      <c r="AA26"/>
      <c r="AB26"/>
      <c r="AC26" s="18"/>
      <c r="AD26" s="32"/>
      <c r="AE26" s="17"/>
      <c r="AF26" s="17"/>
      <c r="AG26" s="17"/>
      <c r="AH26" s="17"/>
      <c r="AI26" s="17"/>
      <c r="AJ26" s="17"/>
      <c r="AK26" s="17"/>
      <c r="AL26" s="17"/>
      <c r="AM26" s="17"/>
      <c r="AN26" s="17"/>
      <c r="AO26" s="17"/>
      <c r="AP26" s="17"/>
      <c r="AQ26" s="17"/>
      <c r="AR26" s="17"/>
      <c r="AS26" s="17"/>
      <c r="AT26" s="26"/>
      <c r="AU26" s="20"/>
      <c r="AV26" s="20"/>
      <c r="AW26" s="20"/>
      <c r="AX26" s="20"/>
      <c r="AY26" s="19"/>
      <c r="AZ26" s="13"/>
      <c r="BB26" s="52"/>
      <c r="BF26" s="52"/>
      <c r="BQ26" s="53"/>
    </row>
    <row r="27" spans="1:69" s="11" customFormat="1" x14ac:dyDescent="0.3">
      <c r="A27" s="24"/>
      <c r="B27" s="25"/>
      <c r="C27" s="20"/>
      <c r="D27" s="20"/>
      <c r="E27" s="20"/>
      <c r="F27" s="20"/>
      <c r="G27" s="20"/>
      <c r="H27" s="19"/>
      <c r="I27" s="26"/>
      <c r="J27" s="20"/>
      <c r="K27" s="20"/>
      <c r="L27" s="20"/>
      <c r="M27" s="20"/>
      <c r="N27" s="20"/>
      <c r="O27" s="19"/>
      <c r="P27" s="20"/>
      <c r="Q27" s="20"/>
      <c r="R27" s="20"/>
      <c r="S27" s="20"/>
      <c r="T27" s="20"/>
      <c r="U27" s="20"/>
      <c r="V27" s="19"/>
      <c r="W27" s="29"/>
      <c r="AC27" s="13"/>
      <c r="AD27" s="32"/>
      <c r="AE27" s="21" t="s">
        <v>90</v>
      </c>
      <c r="AF27" s="17"/>
      <c r="AG27" s="17"/>
      <c r="AH27" s="17"/>
      <c r="AI27" s="17"/>
      <c r="AJ27" s="17"/>
      <c r="AK27" s="17"/>
      <c r="AL27" s="17"/>
      <c r="AM27" s="17"/>
      <c r="AN27" s="17"/>
      <c r="AO27" s="17"/>
      <c r="AP27" s="17"/>
      <c r="AQ27" s="17"/>
      <c r="AR27" s="17"/>
      <c r="AS27" s="17"/>
      <c r="AT27" s="26"/>
      <c r="AU27" s="20"/>
      <c r="AV27" s="20"/>
      <c r="AW27" s="20"/>
      <c r="AX27" s="20"/>
      <c r="AY27" s="19"/>
      <c r="AZ27" s="13"/>
      <c r="BB27" s="52"/>
      <c r="BF27" s="52"/>
      <c r="BQ27" s="53"/>
    </row>
    <row r="28" spans="1:69" s="11" customFormat="1" x14ac:dyDescent="0.3">
      <c r="A28" s="24"/>
      <c r="B28" s="25"/>
      <c r="C28" s="20"/>
      <c r="D28" s="20"/>
      <c r="E28" s="20"/>
      <c r="F28" s="20"/>
      <c r="G28" s="20"/>
      <c r="H28" s="19"/>
      <c r="I28" s="26"/>
      <c r="J28" s="20"/>
      <c r="K28" s="20"/>
      <c r="L28" s="20"/>
      <c r="M28" s="20"/>
      <c r="N28" s="20"/>
      <c r="O28" s="19"/>
      <c r="P28" s="20"/>
      <c r="Q28" s="20"/>
      <c r="R28" s="20"/>
      <c r="S28" s="20"/>
      <c r="T28" s="20"/>
      <c r="U28" s="20"/>
      <c r="V28" s="19"/>
      <c r="W28" s="23"/>
      <c r="X28" s="8"/>
      <c r="Y28" s="8"/>
      <c r="Z28" s="8"/>
      <c r="AA28" s="8"/>
      <c r="AB28" s="8"/>
      <c r="AC28" s="14"/>
      <c r="AD28" s="32"/>
      <c r="AF28" s="17" t="s">
        <v>91</v>
      </c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26"/>
      <c r="AU28" s="20"/>
      <c r="AV28" s="20"/>
      <c r="AW28" s="20"/>
      <c r="AX28" s="20"/>
      <c r="AY28" s="19"/>
      <c r="AZ28" s="14"/>
      <c r="BB28" s="52"/>
      <c r="BF28" s="52"/>
      <c r="BQ28" s="53"/>
    </row>
    <row r="29" spans="1:69" s="11" customFormat="1" x14ac:dyDescent="0.3">
      <c r="A29" s="24"/>
      <c r="B29" s="25"/>
      <c r="C29" s="20"/>
      <c r="D29" s="20"/>
      <c r="E29" s="20"/>
      <c r="F29" s="20"/>
      <c r="G29" s="20"/>
      <c r="H29" s="19"/>
      <c r="I29" s="26"/>
      <c r="J29" s="20"/>
      <c r="K29" s="20"/>
      <c r="L29" s="20"/>
      <c r="M29" s="20"/>
      <c r="N29" s="20"/>
      <c r="O29" s="19"/>
      <c r="P29" s="20"/>
      <c r="Q29" s="20"/>
      <c r="R29" s="20"/>
      <c r="S29" s="20"/>
      <c r="T29" s="20"/>
      <c r="U29" s="20"/>
      <c r="V29" s="19"/>
      <c r="W29" s="23"/>
      <c r="X29" s="8"/>
      <c r="Y29" s="8"/>
      <c r="Z29" s="8"/>
      <c r="AA29" s="8"/>
      <c r="AB29" s="8"/>
      <c r="AC29" s="14"/>
      <c r="AD29" s="32"/>
      <c r="AF29" s="17"/>
      <c r="AG29" s="17"/>
      <c r="AH29" s="17"/>
      <c r="AI29" s="17"/>
      <c r="AJ29" s="17"/>
      <c r="AK29" s="17"/>
      <c r="AL29" s="17"/>
      <c r="AM29" s="17"/>
      <c r="AN29" s="17"/>
      <c r="AO29" s="17"/>
      <c r="AP29" s="17"/>
      <c r="AQ29" s="17"/>
      <c r="AR29" s="17"/>
      <c r="AS29" s="17"/>
      <c r="AT29" s="26"/>
      <c r="AU29" s="20"/>
      <c r="AV29" s="20"/>
      <c r="AW29" s="20"/>
      <c r="AX29" s="20"/>
      <c r="AY29" s="19"/>
      <c r="AZ29" s="14"/>
      <c r="BB29" s="52"/>
      <c r="BF29" s="52"/>
      <c r="BQ29" s="53"/>
    </row>
    <row r="30" spans="1:69" s="11" customFormat="1" x14ac:dyDescent="0.3">
      <c r="A30" s="24"/>
      <c r="B30" s="25"/>
      <c r="C30" s="20"/>
      <c r="D30" s="20"/>
      <c r="E30" s="20"/>
      <c r="F30" s="20"/>
      <c r="G30" s="20"/>
      <c r="H30" s="19"/>
      <c r="I30" s="26"/>
      <c r="J30" s="20"/>
      <c r="K30" s="20"/>
      <c r="L30" s="20"/>
      <c r="M30" s="20"/>
      <c r="N30" s="20"/>
      <c r="O30" s="19"/>
      <c r="P30" s="20"/>
      <c r="Q30" s="20"/>
      <c r="R30" s="20"/>
      <c r="S30" s="20"/>
      <c r="T30" s="20"/>
      <c r="U30" s="20"/>
      <c r="V30" s="19"/>
      <c r="W30" s="23"/>
      <c r="X30" s="8"/>
      <c r="Y30" s="8"/>
      <c r="Z30" s="8"/>
      <c r="AA30" s="8"/>
      <c r="AB30" s="8"/>
      <c r="AC30" s="14"/>
      <c r="AD30" s="32"/>
      <c r="AE30" s="17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7"/>
      <c r="AT30" s="26"/>
      <c r="AU30" s="20"/>
      <c r="AV30" s="20"/>
      <c r="AW30" s="20"/>
      <c r="AX30" s="20"/>
      <c r="AY30" s="19"/>
      <c r="AZ30" s="14"/>
      <c r="BB30" s="52"/>
      <c r="BF30" s="52"/>
      <c r="BQ30" s="53"/>
    </row>
    <row r="31" spans="1:69" s="11" customFormat="1" x14ac:dyDescent="0.3">
      <c r="A31" s="24"/>
      <c r="B31" s="25"/>
      <c r="C31" s="20"/>
      <c r="D31" s="20"/>
      <c r="E31" s="20"/>
      <c r="F31" s="20"/>
      <c r="G31" s="20"/>
      <c r="H31" s="19"/>
      <c r="I31" s="26"/>
      <c r="J31" s="20"/>
      <c r="K31" s="20"/>
      <c r="L31" s="20"/>
      <c r="M31" s="20"/>
      <c r="N31" s="20"/>
      <c r="O31" s="19"/>
      <c r="P31" s="20"/>
      <c r="Q31" s="20"/>
      <c r="R31" s="20"/>
      <c r="S31" s="20"/>
      <c r="T31" s="20"/>
      <c r="U31" s="20"/>
      <c r="V31" s="19"/>
      <c r="W31" s="23"/>
      <c r="X31" s="8"/>
      <c r="Y31" s="8"/>
      <c r="Z31" s="8"/>
      <c r="AA31" s="8"/>
      <c r="AB31" s="8"/>
      <c r="AC31" s="14"/>
      <c r="AD31" s="32"/>
      <c r="AE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26"/>
      <c r="AU31" s="20"/>
      <c r="AV31" s="20"/>
      <c r="AW31" s="20"/>
      <c r="AX31" s="20"/>
      <c r="AY31" s="19"/>
      <c r="AZ31" s="14"/>
      <c r="BB31" s="52"/>
      <c r="BF31" s="52"/>
      <c r="BQ31" s="53"/>
    </row>
    <row r="32" spans="1:69" s="11" customFormat="1" x14ac:dyDescent="0.3">
      <c r="A32" s="24"/>
      <c r="B32" s="25"/>
      <c r="C32" s="20"/>
      <c r="D32" s="20"/>
      <c r="E32" s="20"/>
      <c r="F32" s="20"/>
      <c r="G32" s="20"/>
      <c r="H32" s="19"/>
      <c r="I32" s="26"/>
      <c r="J32" s="20"/>
      <c r="K32" s="20"/>
      <c r="L32" s="20"/>
      <c r="M32" s="20"/>
      <c r="N32" s="20"/>
      <c r="O32" s="19"/>
      <c r="P32" s="20"/>
      <c r="Q32" s="20"/>
      <c r="R32" s="20"/>
      <c r="S32" s="20"/>
      <c r="T32" s="20"/>
      <c r="U32" s="20"/>
      <c r="V32" s="19"/>
      <c r="W32" s="23"/>
      <c r="X32" s="8"/>
      <c r="Y32" s="8"/>
      <c r="Z32" s="8"/>
      <c r="AA32" s="8"/>
      <c r="AB32" s="8"/>
      <c r="AC32" s="14"/>
      <c r="AD32" s="32"/>
      <c r="AE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26"/>
      <c r="AU32" s="20"/>
      <c r="AV32" s="20"/>
      <c r="AW32" s="20"/>
      <c r="AX32" s="20"/>
      <c r="AY32" s="19"/>
      <c r="AZ32" s="14"/>
      <c r="BB32" s="52"/>
      <c r="BF32" s="52"/>
      <c r="BQ32" s="53"/>
    </row>
    <row r="33" spans="1:69" s="11" customFormat="1" x14ac:dyDescent="0.3">
      <c r="A33" s="24"/>
      <c r="B33" s="25"/>
      <c r="C33" s="20"/>
      <c r="D33" s="20"/>
      <c r="E33" s="20"/>
      <c r="F33" s="20"/>
      <c r="G33" s="20"/>
      <c r="H33" s="19"/>
      <c r="I33" s="26"/>
      <c r="J33" s="20"/>
      <c r="K33" s="20"/>
      <c r="L33" s="20"/>
      <c r="M33" s="20"/>
      <c r="N33" s="20"/>
      <c r="O33" s="19"/>
      <c r="P33" s="20"/>
      <c r="Q33" s="20"/>
      <c r="R33" s="20"/>
      <c r="S33" s="20"/>
      <c r="T33" s="20"/>
      <c r="U33" s="20"/>
      <c r="V33" s="19"/>
      <c r="W33" s="23"/>
      <c r="X33" s="8"/>
      <c r="Y33" s="8"/>
      <c r="Z33" s="8"/>
      <c r="AA33" s="8"/>
      <c r="AB33" s="8"/>
      <c r="AC33" s="14"/>
      <c r="AD33" s="32"/>
      <c r="AE33" s="17"/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  <c r="AS33" s="17"/>
      <c r="AT33" s="26"/>
      <c r="AU33" s="20"/>
      <c r="AV33" s="20"/>
      <c r="AW33" s="20"/>
      <c r="AX33" s="20"/>
      <c r="AY33" s="19"/>
      <c r="AZ33" s="14"/>
      <c r="BB33" s="52"/>
      <c r="BF33" s="52"/>
      <c r="BQ33" s="53"/>
    </row>
    <row r="34" spans="1:69" s="11" customFormat="1" x14ac:dyDescent="0.3">
      <c r="A34" s="24"/>
      <c r="B34" s="25"/>
      <c r="C34" s="20"/>
      <c r="D34" s="20"/>
      <c r="E34" s="20"/>
      <c r="F34" s="20"/>
      <c r="G34" s="20"/>
      <c r="H34" s="19"/>
      <c r="I34" s="26"/>
      <c r="J34" s="20"/>
      <c r="K34" s="20"/>
      <c r="L34" s="20"/>
      <c r="M34" s="20"/>
      <c r="N34" s="20"/>
      <c r="O34" s="19"/>
      <c r="P34" s="20"/>
      <c r="Q34" s="20"/>
      <c r="R34" s="20"/>
      <c r="S34" s="20"/>
      <c r="T34" s="20"/>
      <c r="U34" s="20"/>
      <c r="V34" s="19"/>
      <c r="W34" s="23"/>
      <c r="X34" s="8"/>
      <c r="Y34" s="8"/>
      <c r="Z34" s="8"/>
      <c r="AA34" s="8"/>
      <c r="AB34" s="8"/>
      <c r="AC34" s="14"/>
      <c r="AD34" s="32"/>
      <c r="AE34" s="17"/>
      <c r="AG34" s="17"/>
      <c r="AH34" s="17"/>
      <c r="AI34" s="17"/>
      <c r="AJ34" s="17"/>
      <c r="AK34" s="17"/>
      <c r="AL34" s="17"/>
      <c r="AM34" s="17"/>
      <c r="AN34" s="17"/>
      <c r="AO34" s="17"/>
      <c r="AP34" s="17"/>
      <c r="AQ34" s="17"/>
      <c r="AR34" s="17"/>
      <c r="AS34" s="17"/>
      <c r="AT34" s="26"/>
      <c r="AU34" s="20"/>
      <c r="AV34" s="20"/>
      <c r="AW34" s="20"/>
      <c r="AX34" s="20"/>
      <c r="AY34" s="19"/>
      <c r="AZ34" s="14"/>
      <c r="BB34" s="52"/>
      <c r="BF34" s="52"/>
      <c r="BQ34" s="53"/>
    </row>
    <row r="35" spans="1:69" s="11" customFormat="1" x14ac:dyDescent="0.3">
      <c r="A35" s="24"/>
      <c r="B35" s="25"/>
      <c r="C35" s="20"/>
      <c r="D35" s="20"/>
      <c r="E35" s="20"/>
      <c r="F35" s="20"/>
      <c r="G35" s="20"/>
      <c r="H35" s="19"/>
      <c r="I35" s="26"/>
      <c r="J35" s="20"/>
      <c r="K35" s="20"/>
      <c r="L35" s="20"/>
      <c r="M35" s="20"/>
      <c r="N35" s="20"/>
      <c r="O35" s="19"/>
      <c r="P35" s="20"/>
      <c r="Q35" s="20"/>
      <c r="R35" s="20"/>
      <c r="S35" s="20"/>
      <c r="T35" s="20"/>
      <c r="U35" s="20"/>
      <c r="V35" s="19"/>
      <c r="W35" s="23"/>
      <c r="X35" s="8"/>
      <c r="Y35" s="8"/>
      <c r="Z35" s="8"/>
      <c r="AA35" s="8"/>
      <c r="AB35" s="8"/>
      <c r="AC35" s="14"/>
      <c r="AD35" s="32"/>
      <c r="AE35" s="17"/>
      <c r="AG35" s="17"/>
      <c r="AH35" s="17"/>
      <c r="AI35" s="17"/>
      <c r="AJ35" s="17"/>
      <c r="AK35" s="17"/>
      <c r="AL35" s="17"/>
      <c r="AM35" s="17"/>
      <c r="AN35" s="17"/>
      <c r="AO35" s="17"/>
      <c r="AP35" s="17"/>
      <c r="AQ35" s="17"/>
      <c r="AR35" s="17"/>
      <c r="AS35" s="17"/>
      <c r="AT35" s="26"/>
      <c r="AU35" s="20"/>
      <c r="AV35" s="20"/>
      <c r="AW35" s="20"/>
      <c r="AX35" s="20"/>
      <c r="AY35" s="19"/>
      <c r="AZ35" s="14"/>
      <c r="BB35" s="52"/>
      <c r="BF35" s="52"/>
      <c r="BQ35" s="53"/>
    </row>
    <row r="36" spans="1:69" s="11" customFormat="1" x14ac:dyDescent="0.3">
      <c r="A36" s="24"/>
      <c r="B36" s="35" t="s">
        <v>92</v>
      </c>
      <c r="C36" s="65"/>
      <c r="D36" s="47"/>
      <c r="E36" s="47"/>
      <c r="F36" s="47"/>
      <c r="G36" s="47"/>
      <c r="H36" s="47"/>
      <c r="I36" s="47"/>
      <c r="J36" s="47"/>
      <c r="K36" s="47"/>
      <c r="L36" s="47"/>
      <c r="M36" s="47"/>
      <c r="N36" s="47"/>
      <c r="O36" s="47"/>
      <c r="P36" s="47"/>
      <c r="Q36" s="47"/>
      <c r="R36" s="47"/>
      <c r="S36" s="47"/>
      <c r="T36" s="47"/>
      <c r="U36" s="47"/>
      <c r="V36" s="47"/>
      <c r="W36" s="22"/>
      <c r="X36" s="22"/>
      <c r="Y36" s="22"/>
      <c r="Z36" s="22"/>
      <c r="AA36" s="22"/>
      <c r="AB36" s="22"/>
      <c r="AC36" s="22"/>
      <c r="AD36" s="47"/>
      <c r="AE36" s="47"/>
      <c r="AF36" s="47"/>
      <c r="AG36" s="47"/>
      <c r="AH36" s="47"/>
      <c r="AI36" s="47"/>
      <c r="AJ36" s="47"/>
      <c r="AK36" s="47"/>
      <c r="AL36" s="47"/>
      <c r="AM36" s="47"/>
      <c r="AN36" s="47"/>
      <c r="AO36" s="47"/>
      <c r="AP36" s="47"/>
      <c r="AQ36" s="47"/>
      <c r="AR36" s="47"/>
      <c r="AS36" s="47"/>
      <c r="AT36" s="47"/>
      <c r="AU36" s="47"/>
      <c r="AV36" s="47"/>
      <c r="AW36" s="47"/>
      <c r="AX36" s="47"/>
      <c r="AY36" s="38"/>
      <c r="AZ36" s="13"/>
      <c r="BB36" s="49"/>
      <c r="BC36" s="50"/>
      <c r="BD36" s="50"/>
      <c r="BE36" s="50"/>
      <c r="BF36" s="49"/>
      <c r="BG36" s="50"/>
      <c r="BH36" s="50"/>
      <c r="BI36" s="50"/>
      <c r="BJ36" s="50"/>
      <c r="BK36" s="50"/>
      <c r="BL36" s="50"/>
      <c r="BM36" s="50"/>
      <c r="BN36" s="50"/>
      <c r="BO36" s="50"/>
      <c r="BP36" s="50"/>
      <c r="BQ36" s="51"/>
    </row>
    <row r="37" spans="1:69" s="11" customFormat="1" x14ac:dyDescent="0.3">
      <c r="A37" s="24"/>
      <c r="B37" s="25"/>
      <c r="C37" s="20"/>
      <c r="D37" s="20"/>
      <c r="E37" s="20"/>
      <c r="F37" s="20"/>
      <c r="G37" s="20"/>
      <c r="H37" s="19"/>
      <c r="I37" s="26"/>
      <c r="J37" s="20"/>
      <c r="K37" s="20"/>
      <c r="L37" s="20"/>
      <c r="M37" s="20"/>
      <c r="N37" s="20"/>
      <c r="O37" s="19"/>
      <c r="P37" s="20"/>
      <c r="Q37" s="20"/>
      <c r="R37" s="20"/>
      <c r="S37" s="20"/>
      <c r="T37" s="20"/>
      <c r="U37" s="20"/>
      <c r="V37" s="19"/>
      <c r="W37" s="23"/>
      <c r="X37" s="8"/>
      <c r="Y37" s="8"/>
      <c r="Z37" s="8"/>
      <c r="AA37" s="8"/>
      <c r="AB37" s="8"/>
      <c r="AC37" s="14"/>
      <c r="AD37" s="32"/>
      <c r="AE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26"/>
      <c r="AU37" s="20"/>
      <c r="AV37" s="20"/>
      <c r="AW37" s="20"/>
      <c r="AX37" s="20"/>
      <c r="AY37" s="19"/>
      <c r="AZ37" s="14"/>
      <c r="BB37" s="52"/>
      <c r="BF37" s="52"/>
      <c r="BQ37" s="53"/>
    </row>
    <row r="38" spans="1:69" s="11" customFormat="1" x14ac:dyDescent="0.3">
      <c r="A38" s="24"/>
      <c r="B38" s="25"/>
      <c r="C38" s="20"/>
      <c r="D38" s="20"/>
      <c r="E38" s="20"/>
      <c r="F38" s="20"/>
      <c r="G38" s="20"/>
      <c r="H38" s="19"/>
      <c r="I38" s="26"/>
      <c r="J38" s="20"/>
      <c r="K38" s="20"/>
      <c r="L38" s="20"/>
      <c r="M38" s="20"/>
      <c r="N38" s="20"/>
      <c r="O38" s="19"/>
      <c r="P38" s="20"/>
      <c r="Q38" s="20"/>
      <c r="R38" s="20"/>
      <c r="S38" s="20"/>
      <c r="T38" s="20"/>
      <c r="U38" s="20"/>
      <c r="V38" s="19"/>
      <c r="W38" s="23"/>
      <c r="X38" s="8"/>
      <c r="Y38" s="8"/>
      <c r="Z38" s="8"/>
      <c r="AA38" s="8"/>
      <c r="AB38" s="8"/>
      <c r="AC38" s="14"/>
      <c r="AD38" s="32"/>
      <c r="AE38" s="17" t="s">
        <v>72</v>
      </c>
      <c r="AF38" s="17" t="s">
        <v>73</v>
      </c>
      <c r="AG38" s="17"/>
      <c r="AH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26"/>
      <c r="AU38" s="20"/>
      <c r="AV38" s="20"/>
      <c r="AW38" s="20"/>
      <c r="AX38" s="20"/>
      <c r="AY38" s="19"/>
      <c r="AZ38" s="14"/>
      <c r="BB38" s="52"/>
      <c r="BF38" s="52"/>
      <c r="BQ38" s="53"/>
    </row>
    <row r="39" spans="1:69" s="11" customFormat="1" x14ac:dyDescent="0.3">
      <c r="A39" s="24"/>
      <c r="B39" s="25"/>
      <c r="C39" s="20"/>
      <c r="D39" s="20"/>
      <c r="E39" s="20"/>
      <c r="F39" s="20"/>
      <c r="G39" s="20"/>
      <c r="H39" s="19"/>
      <c r="I39" s="26"/>
      <c r="J39" s="20"/>
      <c r="K39" s="20"/>
      <c r="L39" s="20"/>
      <c r="M39" s="20"/>
      <c r="N39" s="20"/>
      <c r="O39" s="19"/>
      <c r="P39" s="20"/>
      <c r="Q39" s="20"/>
      <c r="R39" s="20"/>
      <c r="S39" s="20"/>
      <c r="T39" s="20"/>
      <c r="U39" s="20"/>
      <c r="V39" s="19"/>
      <c r="W39" s="23"/>
      <c r="X39" s="8"/>
      <c r="Y39" s="8"/>
      <c r="Z39" s="8"/>
      <c r="AA39" s="8"/>
      <c r="AB39" s="8"/>
      <c r="AC39" s="14"/>
      <c r="AD39" s="32"/>
      <c r="AE39" s="17"/>
      <c r="AF39" s="17" t="s">
        <v>93</v>
      </c>
      <c r="AG39" s="17"/>
      <c r="AH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26"/>
      <c r="AU39" s="20"/>
      <c r="AV39" s="20"/>
      <c r="AW39" s="20"/>
      <c r="AX39" s="20"/>
      <c r="AY39" s="19"/>
      <c r="AZ39" s="14"/>
      <c r="BB39" s="52"/>
      <c r="BF39" s="52"/>
      <c r="BQ39" s="53"/>
    </row>
    <row r="40" spans="1:69" s="11" customFormat="1" x14ac:dyDescent="0.3">
      <c r="A40" s="24"/>
      <c r="B40" s="25"/>
      <c r="C40" s="20"/>
      <c r="D40" s="20"/>
      <c r="E40" s="20"/>
      <c r="F40" s="20"/>
      <c r="G40" s="20"/>
      <c r="H40" s="19"/>
      <c r="I40" s="26"/>
      <c r="J40" s="20"/>
      <c r="K40" s="20"/>
      <c r="L40" s="20"/>
      <c r="M40" s="20"/>
      <c r="N40" s="20"/>
      <c r="O40" s="19"/>
      <c r="P40" s="20"/>
      <c r="Q40" s="20"/>
      <c r="R40" s="20"/>
      <c r="S40" s="20"/>
      <c r="T40" s="20"/>
      <c r="U40" s="20"/>
      <c r="V40" s="19"/>
      <c r="W40" s="23"/>
      <c r="X40" s="8"/>
      <c r="Y40" s="8"/>
      <c r="Z40" s="8"/>
      <c r="AA40" s="8"/>
      <c r="AB40" s="8"/>
      <c r="AC40" s="14"/>
      <c r="AD40" s="32"/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26"/>
      <c r="AU40" s="20"/>
      <c r="AV40" s="20"/>
      <c r="AW40" s="20"/>
      <c r="AX40" s="20"/>
      <c r="AY40" s="19"/>
      <c r="AZ40" s="14"/>
      <c r="BB40" s="52"/>
      <c r="BF40" s="52"/>
      <c r="BQ40" s="53"/>
    </row>
    <row r="41" spans="1:69" s="11" customFormat="1" x14ac:dyDescent="0.3">
      <c r="A41" s="24"/>
      <c r="B41" s="25"/>
      <c r="C41" s="20"/>
      <c r="D41" s="20"/>
      <c r="E41" s="20"/>
      <c r="F41" s="20"/>
      <c r="G41" s="20"/>
      <c r="H41" s="19"/>
      <c r="I41" s="26"/>
      <c r="J41" s="20"/>
      <c r="K41" s="20"/>
      <c r="L41" s="20"/>
      <c r="M41" s="20"/>
      <c r="N41" s="20"/>
      <c r="O41" s="19"/>
      <c r="P41" s="20"/>
      <c r="Q41" s="20"/>
      <c r="R41" s="20"/>
      <c r="S41" s="20"/>
      <c r="T41" s="20"/>
      <c r="U41" s="20"/>
      <c r="V41" s="19"/>
      <c r="W41" s="23"/>
      <c r="X41" s="8"/>
      <c r="Y41" s="8"/>
      <c r="Z41" s="8"/>
      <c r="AA41" s="8"/>
      <c r="AB41" s="8"/>
      <c r="AC41" s="14"/>
      <c r="AD41" s="32"/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26"/>
      <c r="AU41" s="20"/>
      <c r="AV41" s="20"/>
      <c r="AW41" s="20"/>
      <c r="AX41" s="20"/>
      <c r="AY41" s="19"/>
      <c r="AZ41" s="14"/>
      <c r="BB41" s="52"/>
      <c r="BF41" s="52"/>
      <c r="BQ41" s="53"/>
    </row>
    <row r="42" spans="1:69" s="11" customFormat="1" x14ac:dyDescent="0.3">
      <c r="A42" s="24"/>
      <c r="B42" s="25"/>
      <c r="C42" s="20"/>
      <c r="D42" s="20"/>
      <c r="E42" s="20"/>
      <c r="F42" s="20"/>
      <c r="G42" s="20"/>
      <c r="H42" s="19"/>
      <c r="I42" s="26"/>
      <c r="J42" s="20"/>
      <c r="K42" s="20"/>
      <c r="L42" s="20"/>
      <c r="M42" s="20"/>
      <c r="N42" s="20"/>
      <c r="O42" s="19"/>
      <c r="P42" s="20"/>
      <c r="Q42" s="20"/>
      <c r="R42" s="20"/>
      <c r="S42" s="20"/>
      <c r="T42" s="20"/>
      <c r="U42" s="20"/>
      <c r="V42" s="19"/>
      <c r="W42" s="23"/>
      <c r="X42" s="8"/>
      <c r="Y42" s="8"/>
      <c r="Z42" s="8"/>
      <c r="AA42" s="8"/>
      <c r="AB42" s="8"/>
      <c r="AC42" s="14"/>
      <c r="AD42" s="32"/>
      <c r="AE42" s="17"/>
      <c r="AG42" s="17"/>
      <c r="AH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26"/>
      <c r="AU42" s="20"/>
      <c r="AV42" s="20"/>
      <c r="AW42" s="20"/>
      <c r="AX42" s="20"/>
      <c r="AY42" s="19"/>
      <c r="AZ42" s="14"/>
      <c r="BB42" s="52"/>
      <c r="BF42" s="52"/>
      <c r="BQ42" s="53"/>
    </row>
    <row r="43" spans="1:69" s="11" customFormat="1" x14ac:dyDescent="0.3">
      <c r="A43" s="24"/>
      <c r="B43" s="25"/>
      <c r="C43" s="20"/>
      <c r="D43" s="20"/>
      <c r="E43" s="20"/>
      <c r="F43" s="20"/>
      <c r="G43" s="20"/>
      <c r="H43" s="19"/>
      <c r="I43" s="26"/>
      <c r="J43" s="20"/>
      <c r="K43" s="20"/>
      <c r="L43" s="20"/>
      <c r="M43" s="20"/>
      <c r="N43" s="20"/>
      <c r="O43" s="19"/>
      <c r="P43" s="20"/>
      <c r="Q43" s="20"/>
      <c r="R43" s="20"/>
      <c r="S43" s="20"/>
      <c r="T43" s="20"/>
      <c r="U43" s="20"/>
      <c r="V43" s="19"/>
      <c r="W43" s="23"/>
      <c r="X43" s="8"/>
      <c r="Y43" s="8"/>
      <c r="Z43" s="8"/>
      <c r="AA43" s="8"/>
      <c r="AB43" s="8"/>
      <c r="AC43" s="14"/>
      <c r="AD43" s="32"/>
      <c r="AE43" s="17"/>
      <c r="AG43" s="17"/>
      <c r="AH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26"/>
      <c r="AU43" s="20"/>
      <c r="AV43" s="20"/>
      <c r="AW43" s="20"/>
      <c r="AX43" s="20"/>
      <c r="AY43" s="19"/>
      <c r="AZ43" s="14"/>
      <c r="BB43" s="52"/>
      <c r="BF43" s="52"/>
      <c r="BQ43" s="53"/>
    </row>
    <row r="44" spans="1:69" s="11" customFormat="1" x14ac:dyDescent="0.3">
      <c r="A44" s="24"/>
      <c r="B44" s="25"/>
      <c r="C44" s="20"/>
      <c r="D44" s="20"/>
      <c r="E44" s="20"/>
      <c r="F44" s="20"/>
      <c r="G44" s="20"/>
      <c r="H44" s="19"/>
      <c r="I44" s="26"/>
      <c r="J44" s="20"/>
      <c r="K44" s="20"/>
      <c r="L44" s="20"/>
      <c r="M44" s="20"/>
      <c r="N44" s="20"/>
      <c r="O44" s="19"/>
      <c r="P44" s="20"/>
      <c r="Q44" s="20"/>
      <c r="R44" s="20"/>
      <c r="S44" s="20"/>
      <c r="T44" s="20"/>
      <c r="U44" s="20"/>
      <c r="V44" s="19"/>
      <c r="W44" s="23"/>
      <c r="X44" s="8"/>
      <c r="Y44" s="8"/>
      <c r="Z44" s="8"/>
      <c r="AA44" s="8"/>
      <c r="AB44" s="8"/>
      <c r="AC44" s="14"/>
      <c r="AD44" s="32"/>
      <c r="AE44" s="17"/>
      <c r="AG44" s="17"/>
      <c r="AH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26"/>
      <c r="AU44" s="20"/>
      <c r="AV44" s="20"/>
      <c r="AW44" s="20"/>
      <c r="AX44" s="20"/>
      <c r="AY44" s="19"/>
      <c r="AZ44" s="14"/>
      <c r="BB44" s="52"/>
      <c r="BF44" s="52"/>
      <c r="BQ44" s="53"/>
    </row>
    <row r="45" spans="1:69" s="11" customFormat="1" x14ac:dyDescent="0.3">
      <c r="A45" s="24"/>
      <c r="B45" s="25"/>
      <c r="C45" s="20"/>
      <c r="D45" s="20"/>
      <c r="E45" s="20"/>
      <c r="F45" s="20"/>
      <c r="G45" s="20"/>
      <c r="H45" s="19"/>
      <c r="I45" s="26"/>
      <c r="J45" s="20"/>
      <c r="K45" s="20"/>
      <c r="L45" s="20"/>
      <c r="M45" s="20"/>
      <c r="N45" s="20"/>
      <c r="O45" s="19"/>
      <c r="P45" s="20"/>
      <c r="Q45" s="20"/>
      <c r="R45" s="20"/>
      <c r="S45" s="20"/>
      <c r="T45" s="20"/>
      <c r="U45" s="20"/>
      <c r="V45" s="19"/>
      <c r="W45" s="23"/>
      <c r="X45" s="8"/>
      <c r="Y45" s="8"/>
      <c r="Z45" s="8"/>
      <c r="AA45" s="8"/>
      <c r="AB45" s="8"/>
      <c r="AC45" s="14"/>
      <c r="AD45" s="32"/>
      <c r="AE45" s="17"/>
      <c r="AG45" s="17"/>
      <c r="AH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26"/>
      <c r="AU45" s="20"/>
      <c r="AV45" s="20"/>
      <c r="AW45" s="20"/>
      <c r="AX45" s="20"/>
      <c r="AY45" s="19"/>
      <c r="AZ45" s="14"/>
      <c r="BB45" s="52"/>
      <c r="BF45" s="52"/>
      <c r="BQ45" s="53"/>
    </row>
    <row r="46" spans="1:69" s="11" customFormat="1" x14ac:dyDescent="0.3">
      <c r="A46" s="24"/>
      <c r="B46" s="25"/>
      <c r="C46" s="20"/>
      <c r="D46" s="20"/>
      <c r="E46" s="20"/>
      <c r="F46" s="20"/>
      <c r="G46" s="20"/>
      <c r="H46" s="19"/>
      <c r="I46" s="26"/>
      <c r="J46" s="20"/>
      <c r="K46" s="20"/>
      <c r="L46" s="20"/>
      <c r="M46" s="20"/>
      <c r="N46" s="20"/>
      <c r="O46" s="19"/>
      <c r="P46" s="20"/>
      <c r="Q46" s="20"/>
      <c r="R46" s="20"/>
      <c r="S46" s="20"/>
      <c r="T46" s="20"/>
      <c r="U46" s="20"/>
      <c r="V46" s="19"/>
      <c r="W46" s="23"/>
      <c r="X46" s="8"/>
      <c r="Y46" s="8"/>
      <c r="Z46" s="8"/>
      <c r="AA46" s="8"/>
      <c r="AB46" s="8"/>
      <c r="AC46" s="14"/>
      <c r="AD46" s="32"/>
      <c r="AE46" s="17"/>
      <c r="AG46" s="17"/>
      <c r="AH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26"/>
      <c r="AU46" s="20"/>
      <c r="AV46" s="20"/>
      <c r="AW46" s="20"/>
      <c r="AX46" s="20"/>
      <c r="AY46" s="19"/>
      <c r="AZ46" s="14"/>
      <c r="BB46" s="52"/>
      <c r="BF46" s="52"/>
      <c r="BQ46" s="53"/>
    </row>
    <row r="47" spans="1:69" s="11" customFormat="1" x14ac:dyDescent="0.3">
      <c r="A47" s="24"/>
      <c r="B47" s="25"/>
      <c r="C47" s="20"/>
      <c r="D47" s="20"/>
      <c r="E47" s="20"/>
      <c r="F47" s="20"/>
      <c r="G47" s="20"/>
      <c r="H47" s="19"/>
      <c r="I47" s="26"/>
      <c r="J47" s="20"/>
      <c r="K47" s="20"/>
      <c r="L47" s="20"/>
      <c r="M47" s="20"/>
      <c r="N47" s="20"/>
      <c r="O47" s="19"/>
      <c r="P47" s="20"/>
      <c r="Q47" s="20"/>
      <c r="R47" s="20"/>
      <c r="S47" s="20"/>
      <c r="T47" s="20"/>
      <c r="U47" s="20"/>
      <c r="V47" s="19"/>
      <c r="W47" s="23"/>
      <c r="X47" s="8"/>
      <c r="Y47" s="8"/>
      <c r="Z47" s="8"/>
      <c r="AA47" s="8"/>
      <c r="AB47" s="8"/>
      <c r="AC47" s="14"/>
      <c r="AD47" s="32"/>
      <c r="AE47" s="17"/>
      <c r="AG47" s="17"/>
      <c r="AH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26"/>
      <c r="AU47" s="20"/>
      <c r="AV47" s="20"/>
      <c r="AW47" s="20"/>
      <c r="AX47" s="20"/>
      <c r="AY47" s="19"/>
      <c r="AZ47" s="14"/>
      <c r="BB47" s="52"/>
      <c r="BF47" s="52"/>
      <c r="BQ47" s="53"/>
    </row>
    <row r="48" spans="1:69" s="11" customFormat="1" x14ac:dyDescent="0.3">
      <c r="A48" s="24"/>
      <c r="B48" s="25"/>
      <c r="C48" s="20"/>
      <c r="D48" s="20"/>
      <c r="E48" s="20"/>
      <c r="F48" s="20"/>
      <c r="G48" s="20"/>
      <c r="H48" s="19"/>
      <c r="I48" s="26"/>
      <c r="J48" s="20"/>
      <c r="K48" s="20"/>
      <c r="L48" s="20"/>
      <c r="M48" s="20"/>
      <c r="N48" s="20"/>
      <c r="O48" s="19"/>
      <c r="P48" s="20"/>
      <c r="Q48" s="20"/>
      <c r="R48" s="20"/>
      <c r="S48" s="20"/>
      <c r="T48" s="20"/>
      <c r="U48" s="20"/>
      <c r="V48" s="19"/>
      <c r="W48" s="23"/>
      <c r="X48" s="8"/>
      <c r="Y48" s="8"/>
      <c r="Z48" s="8"/>
      <c r="AA48" s="8"/>
      <c r="AB48" s="8"/>
      <c r="AC48" s="14"/>
      <c r="AD48" s="32"/>
      <c r="AE48" s="17"/>
      <c r="AG48" s="17"/>
      <c r="AH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26"/>
      <c r="AU48" s="20"/>
      <c r="AV48" s="20"/>
      <c r="AW48" s="20"/>
      <c r="AX48" s="20"/>
      <c r="AY48" s="19"/>
      <c r="AZ48" s="14"/>
      <c r="BB48" s="52"/>
      <c r="BF48" s="52"/>
      <c r="BQ48" s="53"/>
    </row>
    <row r="49" spans="1:69" s="11" customFormat="1" x14ac:dyDescent="0.3">
      <c r="A49" s="24"/>
      <c r="B49" s="25"/>
      <c r="C49" s="20"/>
      <c r="D49" s="20"/>
      <c r="E49" s="20"/>
      <c r="F49" s="20"/>
      <c r="G49" s="20"/>
      <c r="H49" s="19"/>
      <c r="I49" s="26"/>
      <c r="J49" s="20"/>
      <c r="K49" s="20"/>
      <c r="L49" s="20"/>
      <c r="M49" s="20"/>
      <c r="N49" s="20"/>
      <c r="O49" s="19"/>
      <c r="P49" s="20"/>
      <c r="Q49" s="20"/>
      <c r="R49" s="20"/>
      <c r="S49" s="20"/>
      <c r="T49" s="20"/>
      <c r="U49" s="20"/>
      <c r="V49" s="19"/>
      <c r="W49" s="23"/>
      <c r="X49" s="8"/>
      <c r="Y49" s="8"/>
      <c r="Z49" s="8"/>
      <c r="AA49" s="8"/>
      <c r="AB49" s="8"/>
      <c r="AC49" s="14"/>
      <c r="AD49" s="32"/>
      <c r="AE49" s="17"/>
      <c r="AG49" s="17"/>
      <c r="AH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26"/>
      <c r="AU49" s="20"/>
      <c r="AV49" s="20"/>
      <c r="AW49" s="20"/>
      <c r="AX49" s="20"/>
      <c r="AY49" s="19"/>
      <c r="AZ49" s="14"/>
      <c r="BB49" s="52"/>
      <c r="BF49" s="52"/>
      <c r="BQ49" s="53"/>
    </row>
    <row r="50" spans="1:69" s="11" customFormat="1" x14ac:dyDescent="0.3">
      <c r="A50" s="24"/>
      <c r="B50" s="25"/>
      <c r="C50" s="20"/>
      <c r="D50" s="20"/>
      <c r="E50" s="20"/>
      <c r="F50" s="20"/>
      <c r="G50" s="20"/>
      <c r="H50" s="19"/>
      <c r="I50" s="26"/>
      <c r="J50" s="20"/>
      <c r="K50" s="20"/>
      <c r="L50" s="20"/>
      <c r="M50" s="20"/>
      <c r="N50" s="20"/>
      <c r="O50" s="19"/>
      <c r="P50" s="20"/>
      <c r="Q50" s="20"/>
      <c r="R50" s="20"/>
      <c r="S50" s="20"/>
      <c r="T50" s="20"/>
      <c r="U50" s="20"/>
      <c r="V50" s="19"/>
      <c r="W50" s="23"/>
      <c r="X50" s="8"/>
      <c r="Y50" s="8"/>
      <c r="Z50" s="8"/>
      <c r="AA50" s="8"/>
      <c r="AB50" s="8"/>
      <c r="AC50" s="14"/>
      <c r="AD50" s="32"/>
      <c r="AE50" s="17"/>
      <c r="AG50" s="17"/>
      <c r="AH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26"/>
      <c r="AU50" s="20"/>
      <c r="AV50" s="20"/>
      <c r="AW50" s="20"/>
      <c r="AX50" s="20"/>
      <c r="AY50" s="19"/>
      <c r="AZ50" s="14"/>
      <c r="BB50" s="52"/>
      <c r="BF50" s="52"/>
      <c r="BQ50" s="53"/>
    </row>
    <row r="51" spans="1:69" s="11" customFormat="1" ht="13.5" customHeight="1" x14ac:dyDescent="0.3">
      <c r="A51" s="24"/>
      <c r="B51" s="27"/>
      <c r="C51" s="12"/>
      <c r="D51" s="12"/>
      <c r="E51" s="12"/>
      <c r="F51" s="12"/>
      <c r="G51" s="12"/>
      <c r="H51" s="18"/>
      <c r="I51" s="28"/>
      <c r="J51"/>
      <c r="K51"/>
      <c r="L51"/>
      <c r="M51"/>
      <c r="N51"/>
      <c r="O51" s="18"/>
      <c r="P51"/>
      <c r="Q51"/>
      <c r="R51"/>
      <c r="S51"/>
      <c r="T51"/>
      <c r="U51"/>
      <c r="V51" s="18"/>
      <c r="W51" s="23"/>
      <c r="X51" s="8"/>
      <c r="Y51" s="8"/>
      <c r="Z51" s="8"/>
      <c r="AA51" s="8"/>
      <c r="AB51" s="8"/>
      <c r="AC51" s="14"/>
      <c r="AD51" s="29"/>
      <c r="AT51" s="29"/>
      <c r="AY51" s="13"/>
      <c r="AZ51" s="14"/>
      <c r="BB51" s="52"/>
      <c r="BF51" s="52"/>
      <c r="BQ51" s="53"/>
    </row>
    <row r="52" spans="1:69" x14ac:dyDescent="0.3">
      <c r="A52" s="23"/>
      <c r="B52" s="23"/>
      <c r="H52" s="14"/>
      <c r="I52" s="23"/>
      <c r="O52" s="14"/>
      <c r="V52" s="18"/>
      <c r="W52" s="23"/>
      <c r="AC52" s="14"/>
      <c r="AD52" s="29"/>
      <c r="AE52" s="16"/>
      <c r="AF52" s="11"/>
      <c r="AG52" s="11"/>
      <c r="AH52" s="11"/>
      <c r="AI52" s="11"/>
      <c r="AJ52" s="11"/>
      <c r="AK52" s="11"/>
      <c r="AL52" s="11"/>
      <c r="AM52" s="11"/>
      <c r="AN52" s="11"/>
      <c r="AO52" s="11"/>
      <c r="AP52" s="11"/>
      <c r="AQ52" s="11"/>
      <c r="AR52" s="11"/>
      <c r="AS52" s="11"/>
      <c r="AT52" s="59"/>
      <c r="AU52" s="11"/>
      <c r="AV52" s="11"/>
      <c r="AW52" s="11"/>
      <c r="AX52" s="11"/>
      <c r="AY52" s="13"/>
      <c r="AZ52" s="14"/>
      <c r="BB52" s="54"/>
      <c r="BF52" s="54"/>
      <c r="BQ52" s="55"/>
    </row>
    <row r="53" spans="1:69" x14ac:dyDescent="0.3">
      <c r="A53" s="23"/>
      <c r="B53" s="23"/>
      <c r="H53" s="14"/>
      <c r="I53" s="23"/>
      <c r="O53" s="14"/>
      <c r="V53" s="18"/>
      <c r="W53" s="23"/>
      <c r="AC53" s="14"/>
      <c r="AD53" s="29"/>
      <c r="AE53" s="16" t="s">
        <v>94</v>
      </c>
      <c r="AF53" s="11"/>
      <c r="AG53" s="11"/>
      <c r="AH53" s="11"/>
      <c r="AI53" s="11"/>
      <c r="AJ53" s="11"/>
      <c r="AK53" s="11"/>
      <c r="AL53" s="11"/>
      <c r="AM53" s="11"/>
      <c r="AN53" s="11"/>
      <c r="AO53" s="11"/>
      <c r="AP53" s="11"/>
      <c r="AQ53" s="11"/>
      <c r="AR53" s="11"/>
      <c r="AS53" s="11"/>
      <c r="AT53" s="59" t="s">
        <v>78</v>
      </c>
      <c r="AY53" s="14"/>
      <c r="AZ53" s="14"/>
      <c r="BB53" s="54"/>
      <c r="BF53" s="54"/>
      <c r="BQ53" s="55"/>
    </row>
    <row r="54" spans="1:69" x14ac:dyDescent="0.3">
      <c r="A54" s="23"/>
      <c r="B54" s="23"/>
      <c r="H54" s="14"/>
      <c r="I54" s="23"/>
      <c r="O54" s="14"/>
      <c r="V54" s="18"/>
      <c r="W54" s="23"/>
      <c r="AC54" s="14"/>
      <c r="AD54" s="29"/>
      <c r="AE54" s="11"/>
      <c r="AF54" s="11" t="s">
        <v>95</v>
      </c>
      <c r="AN54" s="11"/>
      <c r="AO54" s="11"/>
      <c r="AP54" s="11"/>
      <c r="AQ54" s="11"/>
      <c r="AR54" s="11"/>
      <c r="AS54" s="11"/>
      <c r="AT54" s="23" t="s">
        <v>80</v>
      </c>
      <c r="AY54" s="14"/>
      <c r="AZ54" s="14"/>
      <c r="BB54" s="54"/>
      <c r="BF54" s="54"/>
      <c r="BQ54" s="55"/>
    </row>
    <row r="55" spans="1:69" x14ac:dyDescent="0.3">
      <c r="A55" s="23"/>
      <c r="B55" s="23"/>
      <c r="H55" s="14"/>
      <c r="I55" s="23"/>
      <c r="O55" s="14"/>
      <c r="V55" s="18"/>
      <c r="W55" s="23"/>
      <c r="AC55" s="14"/>
      <c r="AD55" s="29"/>
      <c r="AG55" s="8" t="s">
        <v>81</v>
      </c>
      <c r="AN55" s="11"/>
      <c r="AS55" s="11"/>
      <c r="AT55" s="23"/>
      <c r="AY55" s="14"/>
      <c r="AZ55" s="14"/>
      <c r="BB55" s="54"/>
      <c r="BF55" s="54"/>
      <c r="BQ55" s="55"/>
    </row>
    <row r="56" spans="1:69" x14ac:dyDescent="0.3">
      <c r="A56" s="23"/>
      <c r="B56" s="23"/>
      <c r="H56" s="14"/>
      <c r="I56" s="23"/>
      <c r="O56" s="14"/>
      <c r="V56" s="18"/>
      <c r="W56" s="23"/>
      <c r="AC56" s="14"/>
      <c r="AD56" s="29"/>
      <c r="AN56" s="11"/>
      <c r="AS56" s="11"/>
      <c r="AT56" s="23"/>
      <c r="AY56" s="14"/>
      <c r="AZ56" s="14"/>
      <c r="BB56" s="54"/>
      <c r="BF56" s="54"/>
      <c r="BQ56" s="55"/>
    </row>
    <row r="57" spans="1:69" x14ac:dyDescent="0.3">
      <c r="A57" s="23"/>
      <c r="B57" s="23"/>
      <c r="H57" s="14"/>
      <c r="I57" s="23"/>
      <c r="O57" s="14"/>
      <c r="V57" s="18"/>
      <c r="W57" s="23"/>
      <c r="AC57" s="14"/>
      <c r="AD57" s="23"/>
      <c r="AN57" s="11"/>
      <c r="AS57" s="11"/>
      <c r="AT57" s="23"/>
      <c r="AY57" s="14"/>
      <c r="AZ57" s="14"/>
      <c r="BB57" s="54"/>
      <c r="BF57" s="54"/>
      <c r="BQ57" s="55"/>
    </row>
    <row r="58" spans="1:69" x14ac:dyDescent="0.3">
      <c r="A58" s="23"/>
      <c r="B58" s="23"/>
      <c r="H58" s="14"/>
      <c r="I58" s="23"/>
      <c r="O58" s="14"/>
      <c r="V58" s="18"/>
      <c r="W58" s="23"/>
      <c r="AC58" s="14"/>
      <c r="AD58" s="23"/>
      <c r="AN58" s="11"/>
      <c r="AT58" s="23"/>
      <c r="AY58" s="14"/>
      <c r="AZ58" s="14"/>
      <c r="BB58" s="54"/>
      <c r="BF58" s="54"/>
      <c r="BQ58" s="55"/>
    </row>
    <row r="59" spans="1:69" x14ac:dyDescent="0.3">
      <c r="A59" s="23"/>
      <c r="B59" s="23"/>
      <c r="H59" s="14"/>
      <c r="I59" s="23"/>
      <c r="O59" s="14"/>
      <c r="V59" s="18"/>
      <c r="W59" s="23"/>
      <c r="AC59" s="14"/>
      <c r="AD59" s="23"/>
      <c r="AN59" s="11"/>
      <c r="AT59" s="23"/>
      <c r="AY59" s="14"/>
      <c r="AZ59" s="14"/>
      <c r="BB59" s="54"/>
      <c r="BF59" s="54"/>
      <c r="BQ59" s="55"/>
    </row>
    <row r="60" spans="1:69" x14ac:dyDescent="0.3">
      <c r="A60" s="23"/>
      <c r="B60" s="23"/>
      <c r="H60" s="14"/>
      <c r="I60" s="23"/>
      <c r="O60" s="14"/>
      <c r="V60" s="18"/>
      <c r="W60" s="23"/>
      <c r="AC60" s="14"/>
      <c r="AD60" s="23"/>
      <c r="AN60" s="11"/>
      <c r="AT60" s="23"/>
      <c r="AY60" s="14"/>
      <c r="AZ60" s="14"/>
      <c r="BB60" s="54"/>
      <c r="BF60" s="54"/>
      <c r="BQ60" s="55"/>
    </row>
    <row r="61" spans="1:69" x14ac:dyDescent="0.3">
      <c r="A61" s="23"/>
      <c r="B61" s="23"/>
      <c r="H61" s="14"/>
      <c r="I61" s="23"/>
      <c r="O61" s="14"/>
      <c r="V61" s="18"/>
      <c r="W61" s="23"/>
      <c r="AC61" s="14"/>
      <c r="AD61" s="23"/>
      <c r="AN61" s="11"/>
      <c r="AT61" s="23"/>
      <c r="AY61" s="14"/>
      <c r="AZ61" s="14"/>
      <c r="BB61" s="54"/>
      <c r="BF61" s="54"/>
      <c r="BQ61" s="55"/>
    </row>
    <row r="62" spans="1:69" x14ac:dyDescent="0.3">
      <c r="A62" s="23"/>
      <c r="B62" s="45"/>
      <c r="C62" s="10"/>
      <c r="D62" s="10"/>
      <c r="E62" s="10"/>
      <c r="F62" s="10"/>
      <c r="G62" s="10"/>
      <c r="H62" s="15"/>
      <c r="I62" s="45"/>
      <c r="J62" s="10"/>
      <c r="K62" s="10"/>
      <c r="L62" s="10"/>
      <c r="M62" s="10"/>
      <c r="N62" s="10"/>
      <c r="O62" s="15"/>
      <c r="P62" s="45"/>
      <c r="Q62" s="10"/>
      <c r="R62" s="10"/>
      <c r="S62" s="10"/>
      <c r="T62" s="10"/>
      <c r="U62" s="10"/>
      <c r="V62" s="10"/>
      <c r="W62" s="45"/>
      <c r="X62" s="10"/>
      <c r="Y62" s="10"/>
      <c r="Z62" s="10"/>
      <c r="AA62" s="10"/>
      <c r="AB62" s="10"/>
      <c r="AC62" s="10"/>
      <c r="AD62" s="45"/>
      <c r="AE62" s="10"/>
      <c r="AF62" s="10"/>
      <c r="AG62" s="10"/>
      <c r="AH62" s="10"/>
      <c r="AI62" s="10"/>
      <c r="AJ62" s="10"/>
      <c r="AK62" s="10"/>
      <c r="AL62" s="10"/>
      <c r="AM62" s="10"/>
      <c r="AN62" s="10"/>
      <c r="AO62" s="10"/>
      <c r="AP62" s="10"/>
      <c r="AQ62" s="10"/>
      <c r="AR62" s="10"/>
      <c r="AS62" s="10"/>
      <c r="AT62" s="45"/>
      <c r="AU62" s="10"/>
      <c r="AV62" s="10"/>
      <c r="AW62" s="10"/>
      <c r="AX62" s="10"/>
      <c r="AY62" s="15"/>
      <c r="AZ62" s="14"/>
      <c r="BB62" s="56"/>
      <c r="BC62" s="57"/>
      <c r="BD62" s="57"/>
      <c r="BE62" s="57"/>
      <c r="BF62" s="56"/>
      <c r="BG62" s="57"/>
      <c r="BH62" s="57"/>
      <c r="BI62" s="57"/>
      <c r="BJ62" s="57"/>
      <c r="BK62" s="57"/>
      <c r="BL62" s="57"/>
      <c r="BM62" s="57"/>
      <c r="BN62" s="57"/>
      <c r="BO62" s="57"/>
      <c r="BP62" s="57"/>
      <c r="BQ62" s="58"/>
    </row>
    <row r="63" spans="1:69" x14ac:dyDescent="0.3">
      <c r="A63" s="23"/>
      <c r="AZ63" s="14"/>
    </row>
    <row r="64" spans="1:69" x14ac:dyDescent="0.3">
      <c r="A64" s="45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/>
      <c r="AK64" s="10"/>
      <c r="AL64" s="10"/>
      <c r="AM64" s="10"/>
      <c r="AN64" s="10"/>
      <c r="AO64" s="10"/>
      <c r="AP64" s="10"/>
      <c r="AQ64" s="10"/>
      <c r="AR64" s="10"/>
      <c r="AS64" s="10"/>
      <c r="AT64" s="10"/>
      <c r="AU64" s="10"/>
      <c r="AV64" s="10"/>
      <c r="AW64" s="10"/>
      <c r="AX64" s="10"/>
      <c r="AY64" s="10"/>
      <c r="AZ64" s="15"/>
    </row>
  </sheetData>
  <mergeCells count="24">
    <mergeCell ref="BF12:BQ12"/>
    <mergeCell ref="BF13:BQ13"/>
    <mergeCell ref="BB8:BE9"/>
    <mergeCell ref="BF8:BQ9"/>
    <mergeCell ref="P9:V9"/>
    <mergeCell ref="W9:AC9"/>
    <mergeCell ref="AQ2:AV2"/>
    <mergeCell ref="AJ3:AK3"/>
    <mergeCell ref="AL3:AP3"/>
    <mergeCell ref="AQ3:AV3"/>
    <mergeCell ref="B8:H9"/>
    <mergeCell ref="I8:O9"/>
    <mergeCell ref="AD8:AS9"/>
    <mergeCell ref="AT8:AY9"/>
    <mergeCell ref="A2:E3"/>
    <mergeCell ref="F2:U3"/>
    <mergeCell ref="V2:AI3"/>
    <mergeCell ref="AJ2:AK2"/>
    <mergeCell ref="AL2:AP2"/>
    <mergeCell ref="A1:E1"/>
    <mergeCell ref="F1:U1"/>
    <mergeCell ref="V1:AI1"/>
    <mergeCell ref="AJ1:AP1"/>
    <mergeCell ref="AQ1:AV1"/>
  </mergeCells>
  <phoneticPr fontId="4"/>
  <pageMargins left="0.7" right="0.7" top="0.75" bottom="0.75" header="0.3" footer="0.3"/>
  <pageSetup paperSize="9" scale="69" fitToHeight="0" orientation="portrait" verticalDpi="120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573713-5768-4F1C-96B8-898CF2BE6F3D}">
  <sheetPr>
    <pageSetUpPr autoPageBreaks="0"/>
  </sheetPr>
  <dimension ref="A1:BQ74"/>
  <sheetViews>
    <sheetView showGridLines="0" zoomScaleNormal="100" workbookViewId="0">
      <pane ySplit="9" topLeftCell="A46" activePane="bottomLeft" state="frozen"/>
      <selection activeCell="AC49" sqref="AC49"/>
      <selection pane="bottomLeft" activeCell="A10" sqref="A10"/>
    </sheetView>
  </sheetViews>
  <sheetFormatPr defaultColWidth="2.453125" defaultRowHeight="14.4" x14ac:dyDescent="0.3"/>
  <cols>
    <col min="1" max="5" width="2.453125" style="8"/>
    <col min="6" max="10" width="2.453125" style="8" customWidth="1"/>
    <col min="11" max="16384" width="2.453125" style="8"/>
  </cols>
  <sheetData>
    <row r="1" spans="1:69" ht="15" thickBot="1" x14ac:dyDescent="0.35">
      <c r="A1" s="144" t="s">
        <v>8</v>
      </c>
      <c r="B1" s="145"/>
      <c r="C1" s="145"/>
      <c r="D1" s="145"/>
      <c r="E1" s="146"/>
      <c r="F1" s="141" t="str">
        <f>変更履歴!F1</f>
        <v>会計システム刷新プロジェクト（LIBRA）</v>
      </c>
      <c r="G1" s="142"/>
      <c r="H1" s="142"/>
      <c r="I1" s="142"/>
      <c r="J1" s="142"/>
      <c r="K1" s="142"/>
      <c r="L1" s="142"/>
      <c r="M1" s="142"/>
      <c r="N1" s="142"/>
      <c r="O1" s="142"/>
      <c r="P1" s="142"/>
      <c r="Q1" s="142"/>
      <c r="R1" s="142"/>
      <c r="S1" s="142"/>
      <c r="T1" s="142"/>
      <c r="U1" s="143"/>
      <c r="V1" s="144" t="s">
        <v>24</v>
      </c>
      <c r="W1" s="145"/>
      <c r="X1" s="145"/>
      <c r="Y1" s="145"/>
      <c r="Z1" s="145"/>
      <c r="AA1" s="145"/>
      <c r="AB1" s="145"/>
      <c r="AC1" s="145"/>
      <c r="AD1" s="145"/>
      <c r="AE1" s="145"/>
      <c r="AF1" s="145"/>
      <c r="AG1" s="145"/>
      <c r="AH1" s="145"/>
      <c r="AI1" s="146"/>
      <c r="AJ1" s="144" t="s">
        <v>10</v>
      </c>
      <c r="AK1" s="145"/>
      <c r="AL1" s="145"/>
      <c r="AM1" s="145"/>
      <c r="AN1" s="145"/>
      <c r="AO1" s="145"/>
      <c r="AP1" s="146"/>
      <c r="AQ1" s="144" t="s">
        <v>11</v>
      </c>
      <c r="AR1" s="145"/>
      <c r="AS1" s="145"/>
      <c r="AT1" s="145"/>
      <c r="AU1" s="145"/>
      <c r="AV1" s="146"/>
    </row>
    <row r="2" spans="1:69" x14ac:dyDescent="0.3">
      <c r="A2" s="213" t="s">
        <v>12</v>
      </c>
      <c r="B2" s="214"/>
      <c r="C2" s="214"/>
      <c r="D2" s="214"/>
      <c r="E2" s="215"/>
      <c r="F2" s="153" t="str">
        <f>変更履歴!F2</f>
        <v>ToBe業務フロー（7.Branch2）</v>
      </c>
      <c r="G2" s="154"/>
      <c r="H2" s="154"/>
      <c r="I2" s="154"/>
      <c r="J2" s="154"/>
      <c r="K2" s="154"/>
      <c r="L2" s="154"/>
      <c r="M2" s="154"/>
      <c r="N2" s="154"/>
      <c r="O2" s="154"/>
      <c r="P2" s="154"/>
      <c r="Q2" s="154"/>
      <c r="R2" s="154"/>
      <c r="S2" s="154"/>
      <c r="T2" s="154"/>
      <c r="U2" s="155"/>
      <c r="V2" s="153" t="str">
        <f ca="1">MID(CELL("filename",$A$1),FIND("]",CELL("filename",$A$1))+1,31)</f>
        <v>3.販売実績データ連携</v>
      </c>
      <c r="W2" s="154"/>
      <c r="X2" s="154"/>
      <c r="Y2" s="154"/>
      <c r="Z2" s="154"/>
      <c r="AA2" s="154"/>
      <c r="AB2" s="154"/>
      <c r="AC2" s="154"/>
      <c r="AD2" s="154"/>
      <c r="AE2" s="154"/>
      <c r="AF2" s="154"/>
      <c r="AG2" s="154"/>
      <c r="AH2" s="154"/>
      <c r="AI2" s="155"/>
      <c r="AJ2" s="165" t="s">
        <v>13</v>
      </c>
      <c r="AK2" s="166"/>
      <c r="AL2" s="167">
        <f>変更履歴!AT2</f>
        <v>45650</v>
      </c>
      <c r="AM2" s="168"/>
      <c r="AN2" s="168"/>
      <c r="AO2" s="168"/>
      <c r="AP2" s="169"/>
      <c r="AQ2" s="170" t="str">
        <f>変更履歴!BA2</f>
        <v>JBS北井</v>
      </c>
      <c r="AR2" s="171"/>
      <c r="AS2" s="171"/>
      <c r="AT2" s="171"/>
      <c r="AU2" s="171"/>
      <c r="AV2" s="172"/>
    </row>
    <row r="3" spans="1:69" ht="15" thickBot="1" x14ac:dyDescent="0.35">
      <c r="A3" s="216"/>
      <c r="B3" s="217"/>
      <c r="C3" s="217"/>
      <c r="D3" s="217"/>
      <c r="E3" s="218"/>
      <c r="F3" s="156"/>
      <c r="G3" s="157"/>
      <c r="H3" s="157"/>
      <c r="I3" s="157"/>
      <c r="J3" s="157"/>
      <c r="K3" s="157"/>
      <c r="L3" s="157"/>
      <c r="M3" s="157"/>
      <c r="N3" s="157"/>
      <c r="O3" s="157"/>
      <c r="P3" s="157"/>
      <c r="Q3" s="157"/>
      <c r="R3" s="157"/>
      <c r="S3" s="157"/>
      <c r="T3" s="157"/>
      <c r="U3" s="158"/>
      <c r="V3" s="156"/>
      <c r="W3" s="157"/>
      <c r="X3" s="157"/>
      <c r="Y3" s="157"/>
      <c r="Z3" s="157"/>
      <c r="AA3" s="157"/>
      <c r="AB3" s="157"/>
      <c r="AC3" s="157"/>
      <c r="AD3" s="157"/>
      <c r="AE3" s="157"/>
      <c r="AF3" s="157"/>
      <c r="AG3" s="157"/>
      <c r="AH3" s="157"/>
      <c r="AI3" s="158"/>
      <c r="AJ3" s="173" t="s">
        <v>14</v>
      </c>
      <c r="AK3" s="174"/>
      <c r="AL3" s="175">
        <f ca="1">変更履歴!AT3</f>
        <v>45846</v>
      </c>
      <c r="AM3" s="176"/>
      <c r="AN3" s="176"/>
      <c r="AO3" s="176"/>
      <c r="AP3" s="177"/>
      <c r="AQ3" s="178" t="str">
        <f ca="1">変更履歴!BA3</f>
        <v>JBS加藤</v>
      </c>
      <c r="AR3" s="179"/>
      <c r="AS3" s="179"/>
      <c r="AT3" s="179"/>
      <c r="AU3" s="179"/>
      <c r="AV3" s="180"/>
    </row>
    <row r="5" spans="1:69" x14ac:dyDescent="0.3">
      <c r="A5" s="45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</row>
    <row r="6" spans="1:69" s="11" customFormat="1" x14ac:dyDescent="0.3">
      <c r="A6" s="33" t="str">
        <f ca="1">RIGHT(CELL("filename",A1),LEN(CELL("filename",A1))-FIND("]",CELL("filename",A1)))</f>
        <v>3.販売実績データ連携</v>
      </c>
      <c r="B6" s="46"/>
      <c r="C6" s="46"/>
      <c r="D6" s="46"/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  <c r="AA6" s="46"/>
      <c r="AB6" s="46"/>
      <c r="AC6" s="46"/>
      <c r="AD6" s="46"/>
      <c r="AE6" s="46"/>
      <c r="AF6" s="46"/>
      <c r="AG6" s="46"/>
      <c r="AH6" s="46"/>
      <c r="AI6" s="46"/>
      <c r="AJ6" s="46"/>
      <c r="AK6" s="46"/>
      <c r="AL6" s="46"/>
      <c r="AM6" s="46"/>
      <c r="AN6" s="46"/>
      <c r="AO6" s="46"/>
      <c r="AP6" s="46"/>
      <c r="AQ6" s="46"/>
      <c r="AR6" s="46"/>
      <c r="AS6" s="46"/>
      <c r="AT6" s="46"/>
      <c r="AU6" s="46"/>
      <c r="AV6" s="46"/>
      <c r="AW6" s="46"/>
      <c r="AX6" s="46"/>
      <c r="AY6" s="46"/>
      <c r="AZ6" s="34"/>
    </row>
    <row r="7" spans="1:69" s="11" customFormat="1" x14ac:dyDescent="0.3">
      <c r="A7" s="24"/>
      <c r="B7" s="12"/>
      <c r="C7" s="12"/>
      <c r="D7" s="12"/>
      <c r="E7" s="12"/>
      <c r="F7" s="12"/>
      <c r="G7" s="12"/>
      <c r="H7" s="12"/>
      <c r="AZ7" s="13"/>
    </row>
    <row r="8" spans="1:69" s="11" customFormat="1" x14ac:dyDescent="0.3">
      <c r="A8" s="24"/>
      <c r="B8" s="204" t="s">
        <v>60</v>
      </c>
      <c r="C8" s="205"/>
      <c r="D8" s="205"/>
      <c r="E8" s="205"/>
      <c r="F8" s="205"/>
      <c r="G8" s="205"/>
      <c r="H8" s="206"/>
      <c r="I8" s="220" t="s">
        <v>61</v>
      </c>
      <c r="J8" s="220"/>
      <c r="K8" s="220"/>
      <c r="L8" s="220"/>
      <c r="M8" s="220"/>
      <c r="N8" s="220"/>
      <c r="O8" s="220"/>
      <c r="P8" s="36" t="s">
        <v>36</v>
      </c>
      <c r="Q8" s="48"/>
      <c r="R8" s="48"/>
      <c r="S8" s="48"/>
      <c r="T8" s="48"/>
      <c r="U8" s="48"/>
      <c r="V8" s="48"/>
      <c r="W8" s="48"/>
      <c r="X8" s="48"/>
      <c r="Y8" s="48"/>
      <c r="Z8" s="48"/>
      <c r="AA8" s="48"/>
      <c r="AB8" s="48"/>
      <c r="AC8" s="37"/>
      <c r="AD8" s="200" t="s">
        <v>54</v>
      </c>
      <c r="AE8" s="200"/>
      <c r="AF8" s="200"/>
      <c r="AG8" s="200"/>
      <c r="AH8" s="200"/>
      <c r="AI8" s="200"/>
      <c r="AJ8" s="200"/>
      <c r="AK8" s="200"/>
      <c r="AL8" s="200"/>
      <c r="AM8" s="200"/>
      <c r="AN8" s="200"/>
      <c r="AO8" s="200"/>
      <c r="AP8" s="200"/>
      <c r="AQ8" s="200"/>
      <c r="AR8" s="200"/>
      <c r="AS8" s="200"/>
      <c r="AT8" s="199" t="s">
        <v>56</v>
      </c>
      <c r="AU8" s="200"/>
      <c r="AV8" s="200"/>
      <c r="AW8" s="200"/>
      <c r="AX8" s="200"/>
      <c r="AY8" s="200"/>
      <c r="AZ8" s="13"/>
      <c r="BB8" s="224" t="s">
        <v>62</v>
      </c>
      <c r="BC8" s="225"/>
      <c r="BD8" s="225"/>
      <c r="BE8" s="225"/>
      <c r="BF8" s="227" t="s">
        <v>63</v>
      </c>
      <c r="BG8" s="228"/>
      <c r="BH8" s="228"/>
      <c r="BI8" s="228"/>
      <c r="BJ8" s="228"/>
      <c r="BK8" s="228"/>
      <c r="BL8" s="228"/>
      <c r="BM8" s="228"/>
      <c r="BN8" s="228"/>
      <c r="BO8" s="228"/>
      <c r="BP8" s="228"/>
      <c r="BQ8" s="228"/>
    </row>
    <row r="9" spans="1:69" s="11" customFormat="1" ht="16.5" customHeight="1" x14ac:dyDescent="0.3">
      <c r="A9" s="24"/>
      <c r="B9" s="207"/>
      <c r="C9" s="208"/>
      <c r="D9" s="208"/>
      <c r="E9" s="208"/>
      <c r="F9" s="208"/>
      <c r="G9" s="208"/>
      <c r="H9" s="209"/>
      <c r="I9" s="220"/>
      <c r="J9" s="220"/>
      <c r="K9" s="220"/>
      <c r="L9" s="220"/>
      <c r="M9" s="220"/>
      <c r="N9" s="220"/>
      <c r="O9" s="220"/>
      <c r="P9" s="201" t="s">
        <v>51</v>
      </c>
      <c r="Q9" s="202"/>
      <c r="R9" s="202"/>
      <c r="S9" s="202"/>
      <c r="T9" s="202"/>
      <c r="U9" s="202"/>
      <c r="V9" s="203"/>
      <c r="W9" s="201" t="s">
        <v>53</v>
      </c>
      <c r="X9" s="202"/>
      <c r="Y9" s="202"/>
      <c r="Z9" s="202"/>
      <c r="AA9" s="202"/>
      <c r="AB9" s="202"/>
      <c r="AC9" s="203"/>
      <c r="AD9" s="200"/>
      <c r="AE9" s="200"/>
      <c r="AF9" s="200"/>
      <c r="AG9" s="200"/>
      <c r="AH9" s="200"/>
      <c r="AI9" s="200"/>
      <c r="AJ9" s="200"/>
      <c r="AK9" s="200"/>
      <c r="AL9" s="200"/>
      <c r="AM9" s="200"/>
      <c r="AN9" s="200"/>
      <c r="AO9" s="200"/>
      <c r="AP9" s="200"/>
      <c r="AQ9" s="200"/>
      <c r="AR9" s="200"/>
      <c r="AS9" s="200"/>
      <c r="AT9" s="200"/>
      <c r="AU9" s="200"/>
      <c r="AV9" s="200"/>
      <c r="AW9" s="200"/>
      <c r="AX9" s="200"/>
      <c r="AY9" s="200"/>
      <c r="AZ9" s="13"/>
      <c r="BB9" s="226"/>
      <c r="BC9" s="226"/>
      <c r="BD9" s="226"/>
      <c r="BE9" s="226"/>
      <c r="BF9" s="229"/>
      <c r="BG9" s="229"/>
      <c r="BH9" s="229"/>
      <c r="BI9" s="229"/>
      <c r="BJ9" s="229"/>
      <c r="BK9" s="229"/>
      <c r="BL9" s="229"/>
      <c r="BM9" s="229"/>
      <c r="BN9" s="229"/>
      <c r="BO9" s="229"/>
      <c r="BP9" s="229"/>
      <c r="BQ9" s="229"/>
    </row>
    <row r="10" spans="1:69" s="11" customFormat="1" x14ac:dyDescent="0.3">
      <c r="A10" s="24"/>
      <c r="B10" s="35" t="s">
        <v>96</v>
      </c>
      <c r="C10" s="47"/>
      <c r="D10" s="47"/>
      <c r="E10" s="47"/>
      <c r="F10" s="47"/>
      <c r="G10" s="47"/>
      <c r="H10" s="47"/>
      <c r="I10" s="47"/>
      <c r="J10" s="47"/>
      <c r="K10" s="47"/>
      <c r="L10" s="47"/>
      <c r="M10" s="47"/>
      <c r="N10" s="47"/>
      <c r="O10" s="47"/>
      <c r="P10" s="47"/>
      <c r="Q10" s="47"/>
      <c r="R10" s="47"/>
      <c r="S10" s="47"/>
      <c r="T10" s="47"/>
      <c r="U10" s="47"/>
      <c r="V10" s="47"/>
      <c r="W10" s="22"/>
      <c r="X10" s="22"/>
      <c r="Y10" s="22"/>
      <c r="Z10" s="22"/>
      <c r="AA10" s="22"/>
      <c r="AB10" s="22"/>
      <c r="AC10" s="22"/>
      <c r="AD10" s="47"/>
      <c r="AE10" s="47"/>
      <c r="AF10" s="47"/>
      <c r="AG10" s="47"/>
      <c r="AH10" s="47"/>
      <c r="AI10" s="47"/>
      <c r="AJ10" s="47"/>
      <c r="AK10" s="47"/>
      <c r="AL10" s="47"/>
      <c r="AM10" s="47"/>
      <c r="AN10" s="47"/>
      <c r="AO10" s="47"/>
      <c r="AP10" s="47"/>
      <c r="AQ10" s="47"/>
      <c r="AR10" s="47"/>
      <c r="AS10" s="47"/>
      <c r="AT10" s="47"/>
      <c r="AU10" s="47"/>
      <c r="AV10" s="47"/>
      <c r="AW10" s="47"/>
      <c r="AX10" s="47"/>
      <c r="AY10" s="38"/>
      <c r="AZ10" s="13"/>
      <c r="BB10" s="49"/>
      <c r="BC10" s="50"/>
      <c r="BD10" s="50"/>
      <c r="BE10" s="50"/>
      <c r="BF10" s="49"/>
      <c r="BG10" s="50"/>
      <c r="BH10" s="50"/>
      <c r="BI10" s="50"/>
      <c r="BJ10" s="50"/>
      <c r="BK10" s="50"/>
      <c r="BL10" s="50"/>
      <c r="BM10" s="50"/>
      <c r="BN10" s="50"/>
      <c r="BO10" s="50"/>
      <c r="BP10" s="50"/>
      <c r="BQ10" s="51"/>
    </row>
    <row r="11" spans="1:69" s="11" customFormat="1" x14ac:dyDescent="0.3">
      <c r="A11" s="24"/>
      <c r="B11" s="39"/>
      <c r="C11" s="40"/>
      <c r="D11" s="40"/>
      <c r="E11" s="40"/>
      <c r="F11" s="40"/>
      <c r="G11" s="40"/>
      <c r="H11" s="41"/>
      <c r="I11" s="42"/>
      <c r="J11" s="40"/>
      <c r="K11" s="40"/>
      <c r="L11" s="40"/>
      <c r="M11" s="40"/>
      <c r="N11" s="40"/>
      <c r="O11" s="41"/>
      <c r="P11" s="40"/>
      <c r="Q11" s="40"/>
      <c r="R11" s="40"/>
      <c r="S11" s="40"/>
      <c r="T11" s="40"/>
      <c r="U11" s="40"/>
      <c r="V11" s="41"/>
      <c r="W11" s="42"/>
      <c r="X11" s="40"/>
      <c r="Y11" s="40"/>
      <c r="Z11" s="40"/>
      <c r="AA11" s="40"/>
      <c r="AB11" s="40"/>
      <c r="AC11" s="41"/>
      <c r="AD11" s="43"/>
      <c r="AE11" s="44"/>
      <c r="AF11" s="44"/>
      <c r="AG11" s="44"/>
      <c r="AH11" s="44"/>
      <c r="AI11" s="44"/>
      <c r="AJ11" s="44"/>
      <c r="AK11" s="44"/>
      <c r="AL11" s="44"/>
      <c r="AM11" s="44"/>
      <c r="AN11" s="44"/>
      <c r="AO11" s="44"/>
      <c r="AP11" s="44"/>
      <c r="AQ11" s="44"/>
      <c r="AR11" s="44"/>
      <c r="AS11" s="44"/>
      <c r="AT11" s="42"/>
      <c r="AU11" s="40"/>
      <c r="AV11" s="40"/>
      <c r="AW11" s="40"/>
      <c r="AX11" s="40"/>
      <c r="AY11" s="41"/>
      <c r="AZ11" s="13"/>
      <c r="BB11" s="52"/>
      <c r="BF11" s="52"/>
      <c r="BQ11" s="53"/>
    </row>
    <row r="12" spans="1:69" s="11" customFormat="1" ht="13.5" customHeight="1" x14ac:dyDescent="0.3">
      <c r="A12" s="24"/>
      <c r="B12" s="25"/>
      <c r="C12" s="20"/>
      <c r="D12" s="20"/>
      <c r="E12" s="20"/>
      <c r="F12" s="20"/>
      <c r="G12" s="20"/>
      <c r="H12" s="19"/>
      <c r="I12" s="26"/>
      <c r="J12" s="20"/>
      <c r="K12" s="20"/>
      <c r="L12" s="20"/>
      <c r="M12" s="20"/>
      <c r="N12" s="20"/>
      <c r="O12" s="19"/>
      <c r="P12" s="20"/>
      <c r="Q12" s="20"/>
      <c r="R12" s="20"/>
      <c r="S12" s="20"/>
      <c r="T12" s="20"/>
      <c r="U12" s="20"/>
      <c r="V12" s="19"/>
      <c r="W12" s="26"/>
      <c r="X12" s="20"/>
      <c r="Y12" s="20"/>
      <c r="Z12" s="20"/>
      <c r="AA12" s="20"/>
      <c r="AB12" s="20"/>
      <c r="AC12" s="19"/>
      <c r="AD12" s="32"/>
      <c r="AE12" s="17" t="s">
        <v>72</v>
      </c>
      <c r="AF12" s="17" t="s">
        <v>97</v>
      </c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26"/>
      <c r="AU12" s="20"/>
      <c r="AV12" s="20"/>
      <c r="AW12" s="20"/>
      <c r="AX12" s="20"/>
      <c r="AY12" s="19"/>
      <c r="AZ12" s="13"/>
      <c r="BB12" s="52"/>
      <c r="BF12" s="221"/>
      <c r="BG12" s="222"/>
      <c r="BH12" s="222"/>
      <c r="BI12" s="222"/>
      <c r="BJ12" s="222"/>
      <c r="BK12" s="222"/>
      <c r="BL12" s="222"/>
      <c r="BM12" s="222"/>
      <c r="BN12" s="222"/>
      <c r="BO12" s="222"/>
      <c r="BP12" s="222"/>
      <c r="BQ12" s="223"/>
    </row>
    <row r="13" spans="1:69" s="11" customFormat="1" x14ac:dyDescent="0.3">
      <c r="A13" s="24"/>
      <c r="B13" s="25"/>
      <c r="C13" s="20"/>
      <c r="D13" s="20"/>
      <c r="E13" s="20"/>
      <c r="F13" s="20"/>
      <c r="G13" s="20"/>
      <c r="H13" s="19"/>
      <c r="I13" s="26"/>
      <c r="J13" s="20"/>
      <c r="K13" s="20"/>
      <c r="L13" s="20"/>
      <c r="M13" s="20"/>
      <c r="N13" s="20"/>
      <c r="O13" s="19"/>
      <c r="P13" s="20"/>
      <c r="Q13" s="20"/>
      <c r="R13" s="20"/>
      <c r="S13" s="20"/>
      <c r="T13" s="20"/>
      <c r="U13" s="20"/>
      <c r="V13" s="19"/>
      <c r="W13" s="26"/>
      <c r="X13" s="20"/>
      <c r="Y13" s="20"/>
      <c r="Z13" s="20"/>
      <c r="AA13" s="20"/>
      <c r="AB13" s="20"/>
      <c r="AC13" s="19"/>
      <c r="AD13" s="32"/>
      <c r="AE13" s="17"/>
      <c r="AF13" s="17" t="s">
        <v>98</v>
      </c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26"/>
      <c r="AU13" s="20"/>
      <c r="AV13" s="20"/>
      <c r="AW13" s="20"/>
      <c r="AX13" s="20"/>
      <c r="AY13" s="19"/>
      <c r="AZ13" s="13"/>
      <c r="BB13" s="52"/>
      <c r="BF13" s="221"/>
      <c r="BG13" s="222"/>
      <c r="BH13" s="222"/>
      <c r="BI13" s="222"/>
      <c r="BJ13" s="222"/>
      <c r="BK13" s="222"/>
      <c r="BL13" s="222"/>
      <c r="BM13" s="222"/>
      <c r="BN13" s="222"/>
      <c r="BO13" s="222"/>
      <c r="BP13" s="222"/>
      <c r="BQ13" s="223"/>
    </row>
    <row r="14" spans="1:69" s="11" customFormat="1" x14ac:dyDescent="0.3">
      <c r="A14" s="24"/>
      <c r="B14" s="25"/>
      <c r="C14" s="20"/>
      <c r="D14" s="20"/>
      <c r="E14" s="20"/>
      <c r="F14" s="20"/>
      <c r="G14" s="20"/>
      <c r="H14" s="19"/>
      <c r="I14" s="26"/>
      <c r="J14" s="20"/>
      <c r="K14" s="20"/>
      <c r="L14" s="20"/>
      <c r="M14" s="20"/>
      <c r="N14" s="20"/>
      <c r="O14" s="19"/>
      <c r="P14" s="20"/>
      <c r="Q14" s="20"/>
      <c r="R14" s="20"/>
      <c r="S14" s="20"/>
      <c r="T14" s="20"/>
      <c r="U14" s="20"/>
      <c r="V14" s="19"/>
      <c r="W14" s="26"/>
      <c r="X14" s="20"/>
      <c r="Y14" s="20"/>
      <c r="Z14" s="20"/>
      <c r="AA14" s="20"/>
      <c r="AB14" s="20"/>
      <c r="AC14" s="19"/>
      <c r="AD14" s="32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26"/>
      <c r="AU14" s="20"/>
      <c r="AV14" s="20"/>
      <c r="AW14" s="20"/>
      <c r="AX14" s="20"/>
      <c r="AY14" s="19"/>
      <c r="AZ14" s="13"/>
      <c r="BB14" s="52"/>
      <c r="BF14" s="52"/>
      <c r="BQ14" s="53"/>
    </row>
    <row r="15" spans="1:69" s="11" customFormat="1" x14ac:dyDescent="0.3">
      <c r="A15" s="24"/>
      <c r="B15" s="25"/>
      <c r="C15" s="20"/>
      <c r="D15" s="20"/>
      <c r="E15" s="20"/>
      <c r="F15" s="20"/>
      <c r="G15" s="20"/>
      <c r="H15" s="19"/>
      <c r="I15" s="26"/>
      <c r="J15" s="20"/>
      <c r="K15" s="20"/>
      <c r="L15" s="20"/>
      <c r="M15" s="20"/>
      <c r="N15" s="20"/>
      <c r="O15" s="19"/>
      <c r="P15" s="20"/>
      <c r="Q15" s="20"/>
      <c r="R15" s="20"/>
      <c r="S15" s="20"/>
      <c r="T15" s="20"/>
      <c r="U15" s="20"/>
      <c r="V15" s="19"/>
      <c r="W15" s="26"/>
      <c r="X15" s="20"/>
      <c r="Y15" s="20"/>
      <c r="Z15" s="20"/>
      <c r="AA15" s="20"/>
      <c r="AB15" s="20"/>
      <c r="AC15" s="19"/>
      <c r="AD15" s="32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26"/>
      <c r="AU15" s="20"/>
      <c r="AV15" s="20"/>
      <c r="AW15" s="20"/>
      <c r="AX15" s="20"/>
      <c r="AY15" s="19"/>
      <c r="AZ15" s="13"/>
      <c r="BB15" s="52"/>
      <c r="BF15" s="52"/>
      <c r="BQ15" s="53"/>
    </row>
    <row r="16" spans="1:69" s="11" customFormat="1" x14ac:dyDescent="0.3">
      <c r="A16" s="24"/>
      <c r="B16" s="25"/>
      <c r="C16" s="20"/>
      <c r="D16" s="20"/>
      <c r="E16" s="20"/>
      <c r="F16" s="20"/>
      <c r="G16" s="20"/>
      <c r="H16" s="19"/>
      <c r="I16" s="26"/>
      <c r="J16" s="20"/>
      <c r="K16" s="20"/>
      <c r="L16" s="20"/>
      <c r="M16" s="20"/>
      <c r="N16" s="20"/>
      <c r="O16" s="19"/>
      <c r="P16" s="20"/>
      <c r="Q16" s="20"/>
      <c r="R16" s="20"/>
      <c r="S16" s="20"/>
      <c r="T16" s="20"/>
      <c r="U16" s="20"/>
      <c r="V16" s="19"/>
      <c r="W16" s="28"/>
      <c r="X16"/>
      <c r="Y16"/>
      <c r="Z16"/>
      <c r="AA16"/>
      <c r="AB16"/>
      <c r="AC16" s="18"/>
      <c r="AD16" s="32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26"/>
      <c r="AU16" s="20"/>
      <c r="AV16" s="20"/>
      <c r="AW16" s="20"/>
      <c r="AX16" s="20"/>
      <c r="AY16" s="19"/>
      <c r="AZ16" s="13"/>
      <c r="BB16" s="52"/>
      <c r="BF16" s="52"/>
      <c r="BQ16" s="53"/>
    </row>
    <row r="17" spans="1:69" s="11" customFormat="1" x14ac:dyDescent="0.3">
      <c r="A17" s="24"/>
      <c r="B17" s="25"/>
      <c r="C17" s="20"/>
      <c r="D17" s="20"/>
      <c r="E17" s="20"/>
      <c r="F17" s="20"/>
      <c r="G17" s="20"/>
      <c r="H17" s="19"/>
      <c r="I17" s="26"/>
      <c r="J17" s="20"/>
      <c r="K17" s="20"/>
      <c r="L17" s="20"/>
      <c r="M17" s="20"/>
      <c r="N17" s="20"/>
      <c r="O17" s="19"/>
      <c r="P17" s="20"/>
      <c r="Q17" s="20"/>
      <c r="R17" s="20"/>
      <c r="S17" s="20"/>
      <c r="T17" s="20"/>
      <c r="U17" s="20"/>
      <c r="V17" s="19"/>
      <c r="W17" s="29"/>
      <c r="AC17" s="13"/>
      <c r="AD17" s="32"/>
      <c r="AE17" s="21" t="s">
        <v>99</v>
      </c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26"/>
      <c r="AU17" s="20"/>
      <c r="AV17" s="20"/>
      <c r="AW17" s="20"/>
      <c r="AX17" s="20"/>
      <c r="AY17" s="19"/>
      <c r="AZ17" s="13"/>
      <c r="BB17" s="52"/>
      <c r="BF17" s="52"/>
      <c r="BQ17" s="53"/>
    </row>
    <row r="18" spans="1:69" s="11" customFormat="1" x14ac:dyDescent="0.3">
      <c r="A18" s="24"/>
      <c r="B18" s="25"/>
      <c r="C18" s="20"/>
      <c r="D18" s="20"/>
      <c r="E18" s="20"/>
      <c r="F18" s="20"/>
      <c r="G18" s="20"/>
      <c r="H18" s="19"/>
      <c r="I18" s="26"/>
      <c r="J18" s="20"/>
      <c r="K18" s="20"/>
      <c r="L18" s="20"/>
      <c r="M18" s="20"/>
      <c r="N18" s="20"/>
      <c r="O18" s="19"/>
      <c r="P18" s="20"/>
      <c r="Q18" s="20"/>
      <c r="R18" s="20"/>
      <c r="S18" s="20"/>
      <c r="T18" s="20"/>
      <c r="U18" s="20"/>
      <c r="V18" s="19"/>
      <c r="W18" s="23"/>
      <c r="X18" s="8"/>
      <c r="Y18" s="8"/>
      <c r="Z18" s="8"/>
      <c r="AA18" s="8"/>
      <c r="AB18" s="8"/>
      <c r="AC18" s="14"/>
      <c r="AD18" s="32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26"/>
      <c r="AU18" s="20"/>
      <c r="AV18" s="20"/>
      <c r="AW18" s="20"/>
      <c r="AX18" s="20"/>
      <c r="AY18" s="19"/>
      <c r="AZ18" s="14"/>
      <c r="BB18" s="52"/>
      <c r="BF18" s="52"/>
      <c r="BQ18" s="53"/>
    </row>
    <row r="19" spans="1:69" s="11" customFormat="1" x14ac:dyDescent="0.3">
      <c r="A19" s="24"/>
      <c r="B19" s="25"/>
      <c r="C19" s="20"/>
      <c r="D19" s="20"/>
      <c r="E19" s="20"/>
      <c r="F19" s="20"/>
      <c r="G19" s="20"/>
      <c r="H19" s="19"/>
      <c r="I19" s="26"/>
      <c r="J19" s="20"/>
      <c r="K19" s="20"/>
      <c r="L19" s="20"/>
      <c r="M19" s="20"/>
      <c r="N19" s="20"/>
      <c r="O19" s="19"/>
      <c r="P19" s="20"/>
      <c r="Q19" s="20"/>
      <c r="R19" s="20"/>
      <c r="S19" s="20"/>
      <c r="T19" s="20"/>
      <c r="U19" s="20"/>
      <c r="V19" s="19"/>
      <c r="W19" s="23"/>
      <c r="X19" s="8"/>
      <c r="Y19" s="8"/>
      <c r="Z19" s="8"/>
      <c r="AA19" s="8"/>
      <c r="AB19" s="8"/>
      <c r="AC19" s="14"/>
      <c r="AD19" s="32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/>
      <c r="AS19" s="17"/>
      <c r="AT19" s="26"/>
      <c r="AU19" s="20"/>
      <c r="AV19" s="20"/>
      <c r="AW19" s="20"/>
      <c r="AX19" s="20"/>
      <c r="AY19" s="19"/>
      <c r="AZ19" s="14"/>
      <c r="BB19" s="52"/>
      <c r="BF19" s="52"/>
      <c r="BQ19" s="53"/>
    </row>
    <row r="20" spans="1:69" s="11" customFormat="1" x14ac:dyDescent="0.3">
      <c r="A20" s="24"/>
      <c r="B20" s="25"/>
      <c r="C20" s="20"/>
      <c r="D20" s="20"/>
      <c r="E20" s="20"/>
      <c r="F20" s="20"/>
      <c r="G20" s="20"/>
      <c r="H20" s="19"/>
      <c r="I20" s="26"/>
      <c r="J20" s="20"/>
      <c r="K20" s="20"/>
      <c r="L20" s="20"/>
      <c r="M20" s="20"/>
      <c r="N20" s="20"/>
      <c r="O20" s="19"/>
      <c r="P20" s="20"/>
      <c r="Q20" s="20"/>
      <c r="R20" s="20"/>
      <c r="S20" s="20"/>
      <c r="T20" s="20"/>
      <c r="U20" s="20"/>
      <c r="V20" s="19"/>
      <c r="W20" s="23"/>
      <c r="X20" s="8"/>
      <c r="Y20" s="8"/>
      <c r="Z20" s="8"/>
      <c r="AA20" s="8"/>
      <c r="AB20" s="8"/>
      <c r="AC20" s="14"/>
      <c r="AD20" s="32"/>
      <c r="AE20" s="17"/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17"/>
      <c r="AR20" s="17"/>
      <c r="AS20" s="17"/>
      <c r="AT20" s="26"/>
      <c r="AU20" s="20"/>
      <c r="AV20" s="20"/>
      <c r="AW20" s="20"/>
      <c r="AX20" s="20"/>
      <c r="AY20" s="19"/>
      <c r="AZ20" s="14"/>
      <c r="BB20" s="52"/>
      <c r="BF20" s="52"/>
      <c r="BQ20" s="53"/>
    </row>
    <row r="21" spans="1:69" s="11" customFormat="1" ht="13.5" customHeight="1" x14ac:dyDescent="0.3">
      <c r="A21" s="24"/>
      <c r="B21" s="27"/>
      <c r="C21" s="12"/>
      <c r="D21" s="12"/>
      <c r="E21" s="12"/>
      <c r="F21" s="12"/>
      <c r="G21" s="12"/>
      <c r="H21" s="18"/>
      <c r="I21" s="28"/>
      <c r="J21"/>
      <c r="K21"/>
      <c r="L21"/>
      <c r="M21"/>
      <c r="N21"/>
      <c r="O21" s="18"/>
      <c r="P21"/>
      <c r="Q21"/>
      <c r="R21"/>
      <c r="S21"/>
      <c r="T21"/>
      <c r="U21"/>
      <c r="V21" s="18"/>
      <c r="W21" s="23"/>
      <c r="X21" s="8"/>
      <c r="Y21" s="8"/>
      <c r="Z21" s="8"/>
      <c r="AA21" s="8"/>
      <c r="AB21" s="8"/>
      <c r="AC21" s="14"/>
      <c r="AD21" s="29"/>
      <c r="AT21" s="29"/>
      <c r="AY21" s="13"/>
      <c r="AZ21" s="14"/>
      <c r="BB21" s="52"/>
      <c r="BF21" s="52"/>
      <c r="BQ21" s="53"/>
    </row>
    <row r="22" spans="1:69" s="11" customFormat="1" x14ac:dyDescent="0.3">
      <c r="A22" s="24"/>
      <c r="B22" s="27"/>
      <c r="C22" s="12"/>
      <c r="D22" s="12"/>
      <c r="E22" s="12"/>
      <c r="F22" s="12"/>
      <c r="G22" s="12"/>
      <c r="H22" s="18"/>
      <c r="I22" s="29"/>
      <c r="O22" s="13"/>
      <c r="V22" s="18"/>
      <c r="W22" s="23"/>
      <c r="X22" s="8"/>
      <c r="Y22" s="8"/>
      <c r="Z22" s="8"/>
      <c r="AA22" s="8"/>
      <c r="AB22" s="8"/>
      <c r="AC22" s="14"/>
      <c r="AE22" s="16" t="s">
        <v>100</v>
      </c>
      <c r="AT22" s="29"/>
      <c r="AY22" s="13"/>
      <c r="AZ22" s="14"/>
      <c r="BB22" s="52"/>
      <c r="BF22" s="52"/>
      <c r="BQ22" s="53"/>
    </row>
    <row r="23" spans="1:69" x14ac:dyDescent="0.3">
      <c r="A23" s="23"/>
      <c r="B23" s="23"/>
      <c r="H23" s="14"/>
      <c r="I23" s="23"/>
      <c r="O23" s="14"/>
      <c r="V23" s="18"/>
      <c r="W23" s="23"/>
      <c r="AC23" s="14"/>
      <c r="AD23" s="29"/>
      <c r="AE23" s="11"/>
      <c r="AN23" s="11"/>
      <c r="AO23" s="11"/>
      <c r="AP23" s="11"/>
      <c r="AQ23" s="11"/>
      <c r="AR23" s="11"/>
      <c r="AS23" s="11"/>
      <c r="AT23" s="23"/>
      <c r="AY23" s="14"/>
      <c r="AZ23" s="14"/>
      <c r="BB23" s="54"/>
      <c r="BF23" s="54"/>
      <c r="BQ23" s="55"/>
    </row>
    <row r="24" spans="1:69" x14ac:dyDescent="0.3">
      <c r="A24" s="23"/>
      <c r="B24" s="23"/>
      <c r="H24" s="14"/>
      <c r="I24" s="23"/>
      <c r="O24" s="14"/>
      <c r="V24" s="18"/>
      <c r="W24" s="23"/>
      <c r="AC24" s="14"/>
      <c r="AD24" s="29"/>
      <c r="AN24" s="11"/>
      <c r="AS24" s="11"/>
      <c r="AT24" s="23"/>
      <c r="AY24" s="14"/>
      <c r="AZ24" s="14"/>
      <c r="BB24" s="54"/>
      <c r="BF24" s="54"/>
      <c r="BQ24" s="55"/>
    </row>
    <row r="25" spans="1:69" x14ac:dyDescent="0.3">
      <c r="A25" s="23"/>
      <c r="B25" s="23"/>
      <c r="H25" s="14"/>
      <c r="I25" s="23"/>
      <c r="O25" s="14"/>
      <c r="V25" s="18"/>
      <c r="W25" s="23"/>
      <c r="AC25" s="14"/>
      <c r="AD25" s="29"/>
      <c r="AN25" s="11"/>
      <c r="AS25" s="11"/>
      <c r="AT25" s="23"/>
      <c r="AY25" s="14"/>
      <c r="AZ25" s="14"/>
      <c r="BB25" s="54"/>
      <c r="BF25" s="54"/>
      <c r="BQ25" s="55"/>
    </row>
    <row r="26" spans="1:69" x14ac:dyDescent="0.3">
      <c r="A26" s="23"/>
      <c r="B26" s="23"/>
      <c r="H26" s="14"/>
      <c r="I26" s="23"/>
      <c r="O26" s="14"/>
      <c r="V26" s="18"/>
      <c r="W26" s="23"/>
      <c r="AC26" s="14"/>
      <c r="AD26" s="29"/>
      <c r="AN26" s="11"/>
      <c r="AS26" s="11"/>
      <c r="AT26" s="23"/>
      <c r="AY26" s="14"/>
      <c r="AZ26" s="14"/>
      <c r="BB26" s="54"/>
      <c r="BF26" s="54"/>
      <c r="BQ26" s="55"/>
    </row>
    <row r="27" spans="1:69" x14ac:dyDescent="0.3">
      <c r="A27" s="23"/>
      <c r="B27" s="23"/>
      <c r="H27" s="14"/>
      <c r="I27" s="23"/>
      <c r="O27" s="14"/>
      <c r="V27" s="18"/>
      <c r="W27" s="23"/>
      <c r="AC27" s="14"/>
      <c r="AD27" s="23"/>
      <c r="AN27" s="11"/>
      <c r="AT27" s="23"/>
      <c r="AY27" s="14"/>
      <c r="AZ27" s="14"/>
      <c r="BB27" s="54"/>
      <c r="BF27" s="54"/>
      <c r="BQ27" s="55"/>
    </row>
    <row r="28" spans="1:69" x14ac:dyDescent="0.3">
      <c r="A28" s="23"/>
      <c r="B28" s="23"/>
      <c r="H28" s="14"/>
      <c r="I28" s="23"/>
      <c r="O28" s="14"/>
      <c r="V28" s="18"/>
      <c r="W28" s="23"/>
      <c r="AC28" s="14"/>
      <c r="AD28" s="23"/>
      <c r="AN28" s="11"/>
      <c r="AT28" s="23"/>
      <c r="AY28" s="14"/>
      <c r="AZ28" s="14"/>
      <c r="BB28" s="54"/>
      <c r="BF28" s="54"/>
      <c r="BQ28" s="55"/>
    </row>
    <row r="29" spans="1:69" x14ac:dyDescent="0.3">
      <c r="A29" s="23"/>
      <c r="B29" s="23"/>
      <c r="H29" s="14"/>
      <c r="I29" s="23"/>
      <c r="O29" s="14"/>
      <c r="V29" s="18"/>
      <c r="W29" s="23"/>
      <c r="AC29" s="14"/>
      <c r="AD29" s="23"/>
      <c r="AN29" s="11"/>
      <c r="AT29" s="23"/>
      <c r="AY29" s="14"/>
      <c r="AZ29" s="14"/>
      <c r="BB29" s="54"/>
      <c r="BF29" s="54"/>
      <c r="BQ29" s="55"/>
    </row>
    <row r="30" spans="1:69" x14ac:dyDescent="0.3">
      <c r="A30" s="23"/>
      <c r="B30" s="23"/>
      <c r="H30" s="14"/>
      <c r="I30" s="23"/>
      <c r="O30" s="14"/>
      <c r="V30" s="18"/>
      <c r="W30" s="23"/>
      <c r="AC30" s="14"/>
      <c r="AD30" s="23"/>
      <c r="AN30" s="11"/>
      <c r="AT30" s="23"/>
      <c r="AY30" s="14"/>
      <c r="AZ30" s="14"/>
      <c r="BB30" s="54"/>
      <c r="BF30" s="54"/>
      <c r="BQ30" s="55"/>
    </row>
    <row r="31" spans="1:69" x14ac:dyDescent="0.3">
      <c r="A31" s="23"/>
      <c r="B31" s="23"/>
      <c r="H31" s="14"/>
      <c r="I31" s="23"/>
      <c r="O31" s="14"/>
      <c r="V31" s="18"/>
      <c r="W31" s="23"/>
      <c r="AC31" s="14"/>
      <c r="AD31" s="23"/>
      <c r="AN31" s="11"/>
      <c r="AT31" s="23"/>
      <c r="AY31" s="14"/>
      <c r="AZ31" s="14"/>
      <c r="BB31" s="54"/>
      <c r="BF31" s="54"/>
      <c r="BQ31" s="55"/>
    </row>
    <row r="32" spans="1:69" x14ac:dyDescent="0.3">
      <c r="A32" s="23"/>
      <c r="B32" s="23"/>
      <c r="H32" s="14"/>
      <c r="I32" s="23"/>
      <c r="O32" s="14"/>
      <c r="V32" s="18"/>
      <c r="W32" s="23"/>
      <c r="AC32" s="14"/>
      <c r="AD32" s="11"/>
      <c r="AE32" s="16" t="s">
        <v>101</v>
      </c>
      <c r="AF32" s="11"/>
      <c r="AG32" s="11"/>
      <c r="AH32" s="11"/>
      <c r="AI32" s="11"/>
      <c r="AJ32" s="11"/>
      <c r="AK32" s="11"/>
      <c r="AL32" s="11"/>
      <c r="AM32" s="11"/>
      <c r="AN32" s="11"/>
      <c r="AO32" s="11"/>
      <c r="AP32" s="11"/>
      <c r="AQ32" s="11"/>
      <c r="AR32" s="11"/>
      <c r="AS32" s="11"/>
      <c r="AT32" s="59" t="s">
        <v>78</v>
      </c>
      <c r="AU32" s="11"/>
      <c r="AV32" s="11"/>
      <c r="AW32" s="11"/>
      <c r="AX32" s="11"/>
      <c r="AY32" s="13"/>
      <c r="AZ32" s="14"/>
      <c r="BB32" s="54"/>
      <c r="BF32" s="54"/>
      <c r="BQ32" s="55"/>
    </row>
    <row r="33" spans="1:69" x14ac:dyDescent="0.3">
      <c r="A33" s="23"/>
      <c r="B33" s="23"/>
      <c r="H33" s="14"/>
      <c r="I33" s="23"/>
      <c r="O33" s="14"/>
      <c r="V33" s="18"/>
      <c r="W33" s="23"/>
      <c r="AC33" s="14"/>
      <c r="AD33" s="29"/>
      <c r="AE33" s="11"/>
      <c r="AN33" s="11"/>
      <c r="AO33" s="11"/>
      <c r="AP33" s="11"/>
      <c r="AQ33" s="11"/>
      <c r="AR33" s="11"/>
      <c r="AS33" s="11"/>
      <c r="AT33" s="23" t="s">
        <v>80</v>
      </c>
      <c r="AY33" s="14"/>
      <c r="AZ33" s="14"/>
      <c r="BB33" s="54"/>
      <c r="BF33" s="54"/>
      <c r="BQ33" s="55"/>
    </row>
    <row r="34" spans="1:69" x14ac:dyDescent="0.3">
      <c r="A34" s="23"/>
      <c r="B34" s="23"/>
      <c r="H34" s="14"/>
      <c r="I34" s="23"/>
      <c r="O34" s="14"/>
      <c r="V34" s="18"/>
      <c r="W34" s="23"/>
      <c r="AC34" s="14"/>
      <c r="AD34" s="29"/>
      <c r="AF34" s="11" t="s">
        <v>102</v>
      </c>
      <c r="AG34" s="11"/>
      <c r="AH34" s="11"/>
      <c r="AN34" s="11"/>
      <c r="AS34" s="11"/>
      <c r="AT34" s="23"/>
      <c r="AY34" s="14"/>
      <c r="AZ34" s="14"/>
      <c r="BB34" s="54"/>
      <c r="BF34" s="54"/>
      <c r="BQ34" s="55"/>
    </row>
    <row r="35" spans="1:69" x14ac:dyDescent="0.3">
      <c r="A35" s="23"/>
      <c r="B35" s="23"/>
      <c r="H35" s="14"/>
      <c r="I35" s="23"/>
      <c r="O35" s="14"/>
      <c r="V35" s="18"/>
      <c r="W35" s="23"/>
      <c r="AC35" s="14"/>
      <c r="AD35" s="23"/>
      <c r="AG35" s="8" t="s">
        <v>103</v>
      </c>
      <c r="AN35" s="11"/>
      <c r="AT35" s="23"/>
      <c r="AY35" s="14"/>
      <c r="AZ35" s="14"/>
      <c r="BB35" s="54"/>
      <c r="BF35" s="54"/>
      <c r="BQ35" s="55"/>
    </row>
    <row r="36" spans="1:69" x14ac:dyDescent="0.3">
      <c r="A36" s="23"/>
      <c r="B36" s="23"/>
      <c r="H36" s="14"/>
      <c r="I36" s="23"/>
      <c r="O36" s="14"/>
      <c r="V36" s="18"/>
      <c r="W36" s="23"/>
      <c r="AC36" s="14"/>
      <c r="AD36" s="23"/>
      <c r="AG36" s="8" t="s">
        <v>104</v>
      </c>
      <c r="AN36" s="11"/>
      <c r="AT36" s="23"/>
      <c r="AY36" s="14"/>
      <c r="AZ36" s="14"/>
      <c r="BB36" s="54"/>
      <c r="BF36" s="54"/>
      <c r="BQ36" s="55"/>
    </row>
    <row r="37" spans="1:69" x14ac:dyDescent="0.3">
      <c r="A37" s="23"/>
      <c r="B37" s="23"/>
      <c r="H37" s="14"/>
      <c r="I37" s="23"/>
      <c r="O37" s="14"/>
      <c r="V37" s="18"/>
      <c r="W37" s="23"/>
      <c r="AC37" s="14"/>
      <c r="AD37" s="23"/>
      <c r="AN37" s="11"/>
      <c r="AT37" s="23"/>
      <c r="AY37" s="14"/>
      <c r="AZ37" s="14"/>
      <c r="BB37" s="54"/>
      <c r="BF37" s="54"/>
      <c r="BQ37" s="55"/>
    </row>
    <row r="38" spans="1:69" x14ac:dyDescent="0.3">
      <c r="A38" s="23"/>
      <c r="B38" s="23"/>
      <c r="H38" s="14"/>
      <c r="I38" s="23"/>
      <c r="O38" s="14"/>
      <c r="V38" s="18"/>
      <c r="W38" s="23"/>
      <c r="AC38" s="14"/>
      <c r="AD38" s="23"/>
      <c r="AN38" s="11"/>
      <c r="AT38" s="23"/>
      <c r="AV38" s="66"/>
      <c r="AY38" s="14"/>
      <c r="AZ38" s="14"/>
      <c r="BB38" s="54"/>
      <c r="BF38" s="54"/>
      <c r="BQ38" s="55"/>
    </row>
    <row r="39" spans="1:69" x14ac:dyDescent="0.3">
      <c r="A39" s="23"/>
      <c r="B39" s="23"/>
      <c r="H39" s="14"/>
      <c r="I39" s="23"/>
      <c r="O39" s="14"/>
      <c r="V39" s="18"/>
      <c r="W39" s="23"/>
      <c r="AC39" s="14"/>
      <c r="AD39" s="23"/>
      <c r="AN39" s="11"/>
      <c r="AT39" s="23"/>
      <c r="AY39" s="14"/>
      <c r="AZ39" s="14"/>
      <c r="BB39" s="54"/>
      <c r="BF39" s="54"/>
      <c r="BQ39" s="55"/>
    </row>
    <row r="40" spans="1:69" x14ac:dyDescent="0.3">
      <c r="A40" s="23"/>
      <c r="B40" s="23"/>
      <c r="H40" s="14"/>
      <c r="I40" s="23"/>
      <c r="O40" s="14"/>
      <c r="V40" s="18"/>
      <c r="W40" s="23"/>
      <c r="AC40" s="14"/>
      <c r="AD40" s="23"/>
      <c r="AN40" s="11"/>
      <c r="AT40" s="23"/>
      <c r="AY40" s="14"/>
      <c r="AZ40" s="14"/>
      <c r="BB40" s="54"/>
      <c r="BF40" s="54"/>
      <c r="BQ40" s="55"/>
    </row>
    <row r="41" spans="1:69" x14ac:dyDescent="0.3">
      <c r="A41" s="23"/>
      <c r="B41" s="23"/>
      <c r="H41" s="14"/>
      <c r="I41" s="23"/>
      <c r="O41" s="14"/>
      <c r="V41" s="18"/>
      <c r="W41" s="23"/>
      <c r="AC41" s="14"/>
      <c r="AD41" s="23"/>
      <c r="AN41" s="11"/>
      <c r="AT41" s="23"/>
      <c r="AY41" s="14"/>
      <c r="AZ41" s="14"/>
      <c r="BB41" s="54"/>
      <c r="BF41" s="54"/>
      <c r="BQ41" s="55"/>
    </row>
    <row r="42" spans="1:69" x14ac:dyDescent="0.3">
      <c r="A42" s="23"/>
      <c r="B42" s="23"/>
      <c r="H42" s="14"/>
      <c r="I42" s="23"/>
      <c r="O42" s="14"/>
      <c r="V42" s="18"/>
      <c r="W42" s="45"/>
      <c r="X42" s="10"/>
      <c r="Y42" s="10"/>
      <c r="Z42" s="10"/>
      <c r="AA42" s="10"/>
      <c r="AB42" s="10"/>
      <c r="AC42" s="15"/>
      <c r="AD42" s="23"/>
      <c r="AN42" s="11"/>
      <c r="AT42" s="23"/>
      <c r="AY42" s="14"/>
      <c r="AZ42" s="14"/>
      <c r="BB42" s="54"/>
      <c r="BF42" s="54"/>
      <c r="BQ42" s="55"/>
    </row>
    <row r="43" spans="1:69" s="11" customFormat="1" x14ac:dyDescent="0.3">
      <c r="A43" s="24"/>
      <c r="B43" s="70" t="s">
        <v>105</v>
      </c>
      <c r="C43" s="71"/>
      <c r="D43" s="71"/>
      <c r="E43" s="71"/>
      <c r="F43" s="71"/>
      <c r="G43" s="71"/>
      <c r="H43" s="71"/>
      <c r="I43" s="71"/>
      <c r="J43" s="71"/>
      <c r="K43" s="71"/>
      <c r="L43" s="71"/>
      <c r="M43" s="71"/>
      <c r="N43" s="71"/>
      <c r="O43" s="71"/>
      <c r="P43" s="71"/>
      <c r="Q43" s="71"/>
      <c r="R43" s="71"/>
      <c r="S43" s="71"/>
      <c r="T43" s="71"/>
      <c r="U43" s="71"/>
      <c r="V43" s="71"/>
      <c r="W43" s="71"/>
      <c r="X43" s="71"/>
      <c r="Y43" s="71"/>
      <c r="Z43" s="71"/>
      <c r="AA43" s="71"/>
      <c r="AB43" s="71"/>
      <c r="AC43" s="71"/>
      <c r="AD43" s="71"/>
      <c r="AE43" s="71"/>
      <c r="AF43" s="71"/>
      <c r="AG43" s="71"/>
      <c r="AH43" s="71"/>
      <c r="AI43" s="71"/>
      <c r="AJ43" s="71"/>
      <c r="AK43" s="71"/>
      <c r="AL43" s="71"/>
      <c r="AM43" s="71"/>
      <c r="AN43" s="71"/>
      <c r="AO43" s="71"/>
      <c r="AP43" s="71"/>
      <c r="AQ43" s="71"/>
      <c r="AR43" s="71"/>
      <c r="AS43" s="71"/>
      <c r="AT43" s="71"/>
      <c r="AU43" s="71"/>
      <c r="AV43" s="71"/>
      <c r="AW43" s="71"/>
      <c r="AX43" s="71"/>
      <c r="AY43" s="72"/>
      <c r="AZ43" s="73"/>
      <c r="BA43" s="74"/>
      <c r="BB43" s="75"/>
      <c r="BC43" s="76"/>
      <c r="BD43" s="76"/>
      <c r="BE43" s="76"/>
      <c r="BF43" s="75"/>
      <c r="BG43" s="76"/>
      <c r="BH43" s="76"/>
      <c r="BI43" s="76"/>
      <c r="BJ43" s="76"/>
      <c r="BK43" s="76"/>
      <c r="BL43" s="76"/>
      <c r="BM43" s="76"/>
      <c r="BN43" s="76"/>
      <c r="BO43" s="76"/>
      <c r="BP43" s="76"/>
      <c r="BQ43" s="77"/>
    </row>
    <row r="44" spans="1:69" x14ac:dyDescent="0.3">
      <c r="A44" s="23"/>
      <c r="B44" s="78"/>
      <c r="C44" s="79"/>
      <c r="D44" s="79"/>
      <c r="E44" s="79"/>
      <c r="F44" s="79"/>
      <c r="G44" s="79"/>
      <c r="H44" s="80"/>
      <c r="I44" s="78"/>
      <c r="J44" s="79"/>
      <c r="K44" s="79"/>
      <c r="L44" s="79"/>
      <c r="M44" s="79"/>
      <c r="N44" s="79"/>
      <c r="O44" s="80"/>
      <c r="P44" s="79"/>
      <c r="Q44" s="79"/>
      <c r="R44" s="79"/>
      <c r="S44" s="79"/>
      <c r="T44" s="79"/>
      <c r="U44" s="79"/>
      <c r="V44" s="81"/>
      <c r="W44" s="78"/>
      <c r="X44" s="79"/>
      <c r="Y44" s="79"/>
      <c r="Z44" s="79"/>
      <c r="AA44" s="79"/>
      <c r="AB44" s="79"/>
      <c r="AC44" s="80"/>
      <c r="AD44" s="78"/>
      <c r="AE44" s="79"/>
      <c r="AF44" s="79"/>
      <c r="AG44" s="79"/>
      <c r="AH44" s="79"/>
      <c r="AI44" s="79"/>
      <c r="AJ44" s="79"/>
      <c r="AK44" s="79"/>
      <c r="AL44" s="79"/>
      <c r="AM44" s="79"/>
      <c r="AN44" s="74"/>
      <c r="AO44" s="79"/>
      <c r="AP44" s="79"/>
      <c r="AQ44" s="79"/>
      <c r="AR44" s="79"/>
      <c r="AS44" s="79"/>
      <c r="AT44" s="78"/>
      <c r="AU44" s="79"/>
      <c r="AV44" s="79"/>
      <c r="AW44" s="79"/>
      <c r="AX44" s="79"/>
      <c r="AY44" s="80"/>
      <c r="AZ44" s="80"/>
      <c r="BA44" s="79"/>
      <c r="BB44" s="82"/>
      <c r="BC44" s="79"/>
      <c r="BD44" s="79"/>
      <c r="BE44" s="79"/>
      <c r="BF44" s="82"/>
      <c r="BG44" s="79"/>
      <c r="BH44" s="79"/>
      <c r="BI44" s="79"/>
      <c r="BJ44" s="79"/>
      <c r="BK44" s="79"/>
      <c r="BL44" s="79"/>
      <c r="BM44" s="79"/>
      <c r="BN44" s="79"/>
      <c r="BO44" s="79"/>
      <c r="BP44" s="79"/>
      <c r="BQ44" s="83"/>
    </row>
    <row r="45" spans="1:69" x14ac:dyDescent="0.3">
      <c r="A45" s="23"/>
      <c r="B45" s="78"/>
      <c r="C45" s="79"/>
      <c r="D45" s="79"/>
      <c r="E45" s="79"/>
      <c r="F45" s="79"/>
      <c r="G45" s="79"/>
      <c r="H45" s="80"/>
      <c r="I45" s="78"/>
      <c r="J45" s="79"/>
      <c r="K45" s="79"/>
      <c r="L45" s="79"/>
      <c r="M45" s="79"/>
      <c r="N45" s="79"/>
      <c r="O45" s="80"/>
      <c r="P45" s="79"/>
      <c r="Q45" s="79"/>
      <c r="R45" s="79"/>
      <c r="S45" s="79"/>
      <c r="T45" s="79"/>
      <c r="U45" s="79"/>
      <c r="V45" s="81"/>
      <c r="W45" s="78"/>
      <c r="X45" s="79"/>
      <c r="Y45" s="79"/>
      <c r="Z45" s="79"/>
      <c r="AA45" s="79"/>
      <c r="AB45" s="79"/>
      <c r="AC45" s="80"/>
      <c r="AD45" s="78"/>
      <c r="AE45" s="84" t="s">
        <v>72</v>
      </c>
      <c r="AF45" s="84" t="s">
        <v>106</v>
      </c>
      <c r="AG45" s="79"/>
      <c r="AH45" s="79"/>
      <c r="AI45" s="79"/>
      <c r="AJ45" s="79"/>
      <c r="AK45" s="79"/>
      <c r="AL45" s="79"/>
      <c r="AM45" s="79"/>
      <c r="AN45" s="74"/>
      <c r="AO45" s="79"/>
      <c r="AP45" s="79"/>
      <c r="AQ45" s="79"/>
      <c r="AR45" s="79"/>
      <c r="AS45" s="79"/>
      <c r="AT45" s="78"/>
      <c r="AU45" s="79"/>
      <c r="AV45" s="79"/>
      <c r="AW45" s="79"/>
      <c r="AX45" s="79"/>
      <c r="AY45" s="80"/>
      <c r="AZ45" s="80"/>
      <c r="BA45" s="79"/>
      <c r="BB45" s="82"/>
      <c r="BC45" s="79"/>
      <c r="BD45" s="79"/>
      <c r="BE45" s="79"/>
      <c r="BF45" s="82"/>
      <c r="BG45" s="79"/>
      <c r="BH45" s="79"/>
      <c r="BI45" s="79"/>
      <c r="BJ45" s="79"/>
      <c r="BK45" s="79"/>
      <c r="BL45" s="79"/>
      <c r="BM45" s="79"/>
      <c r="BN45" s="79"/>
      <c r="BO45" s="79"/>
      <c r="BP45" s="79"/>
      <c r="BQ45" s="83"/>
    </row>
    <row r="46" spans="1:69" x14ac:dyDescent="0.3">
      <c r="A46" s="23"/>
      <c r="B46" s="78"/>
      <c r="C46" s="79"/>
      <c r="D46" s="79"/>
      <c r="E46" s="79"/>
      <c r="F46" s="79"/>
      <c r="G46" s="79"/>
      <c r="H46" s="80"/>
      <c r="I46" s="78"/>
      <c r="J46" s="79"/>
      <c r="K46" s="79"/>
      <c r="L46" s="79"/>
      <c r="M46" s="79"/>
      <c r="N46" s="79"/>
      <c r="O46" s="80"/>
      <c r="P46" s="79"/>
      <c r="Q46" s="79"/>
      <c r="R46" s="79"/>
      <c r="S46" s="79"/>
      <c r="T46" s="79"/>
      <c r="U46" s="79"/>
      <c r="V46" s="81"/>
      <c r="W46" s="78"/>
      <c r="X46" s="79"/>
      <c r="Y46" s="79"/>
      <c r="Z46" s="79"/>
      <c r="AA46" s="79"/>
      <c r="AB46" s="79"/>
      <c r="AC46" s="80"/>
      <c r="AD46" s="78"/>
      <c r="AE46" s="84"/>
      <c r="AF46" s="84" t="s">
        <v>107</v>
      </c>
      <c r="AG46" s="79"/>
      <c r="AH46" s="79"/>
      <c r="AI46" s="79"/>
      <c r="AJ46" s="79"/>
      <c r="AK46" s="79"/>
      <c r="AL46" s="79"/>
      <c r="AM46" s="79"/>
      <c r="AN46" s="74"/>
      <c r="AO46" s="79"/>
      <c r="AP46" s="79"/>
      <c r="AQ46" s="79"/>
      <c r="AR46" s="79"/>
      <c r="AS46" s="79"/>
      <c r="AT46" s="78"/>
      <c r="AU46" s="79"/>
      <c r="AV46" s="79"/>
      <c r="AW46" s="79"/>
      <c r="AX46" s="79"/>
      <c r="AY46" s="80"/>
      <c r="AZ46" s="80"/>
      <c r="BA46" s="79"/>
      <c r="BB46" s="82"/>
      <c r="BC46" s="79"/>
      <c r="BD46" s="79"/>
      <c r="BE46" s="79"/>
      <c r="BF46" s="82"/>
      <c r="BG46" s="79"/>
      <c r="BH46" s="79"/>
      <c r="BI46" s="79"/>
      <c r="BJ46" s="79"/>
      <c r="BK46" s="79"/>
      <c r="BL46" s="79"/>
      <c r="BM46" s="79"/>
      <c r="BN46" s="79"/>
      <c r="BO46" s="79"/>
      <c r="BP46" s="79"/>
      <c r="BQ46" s="83"/>
    </row>
    <row r="47" spans="1:69" x14ac:dyDescent="0.3">
      <c r="A47" s="23"/>
      <c r="B47" s="78"/>
      <c r="C47" s="79"/>
      <c r="D47" s="79"/>
      <c r="E47" s="79"/>
      <c r="F47" s="79"/>
      <c r="G47" s="79"/>
      <c r="H47" s="80"/>
      <c r="I47" s="78"/>
      <c r="J47" s="79"/>
      <c r="K47" s="79"/>
      <c r="L47" s="79"/>
      <c r="M47" s="79"/>
      <c r="N47" s="79"/>
      <c r="O47" s="80"/>
      <c r="P47" s="79"/>
      <c r="Q47" s="79"/>
      <c r="R47" s="79"/>
      <c r="S47" s="79"/>
      <c r="T47" s="79"/>
      <c r="U47" s="79"/>
      <c r="V47" s="81"/>
      <c r="W47" s="78"/>
      <c r="X47" s="79"/>
      <c r="Y47" s="79"/>
      <c r="Z47" s="79"/>
      <c r="AA47" s="79"/>
      <c r="AB47" s="79"/>
      <c r="AC47" s="80"/>
      <c r="AD47" s="78"/>
      <c r="AE47" s="79"/>
      <c r="AF47" s="79"/>
      <c r="AG47" s="79"/>
      <c r="AH47" s="79"/>
      <c r="AI47" s="79"/>
      <c r="AJ47" s="79"/>
      <c r="AK47" s="79"/>
      <c r="AL47" s="79"/>
      <c r="AM47" s="79"/>
      <c r="AN47" s="74"/>
      <c r="AO47" s="79"/>
      <c r="AP47" s="79"/>
      <c r="AQ47" s="79"/>
      <c r="AR47" s="79"/>
      <c r="AS47" s="79"/>
      <c r="AT47" s="78"/>
      <c r="AU47" s="79"/>
      <c r="AV47" s="79"/>
      <c r="AW47" s="79"/>
      <c r="AX47" s="79"/>
      <c r="AY47" s="80"/>
      <c r="AZ47" s="80"/>
      <c r="BA47" s="79"/>
      <c r="BB47" s="82"/>
      <c r="BC47" s="79"/>
      <c r="BD47" s="79"/>
      <c r="BE47" s="79"/>
      <c r="BF47" s="82"/>
      <c r="BG47" s="79"/>
      <c r="BH47" s="79"/>
      <c r="BI47" s="79"/>
      <c r="BJ47" s="79"/>
      <c r="BK47" s="79"/>
      <c r="BL47" s="79"/>
      <c r="BM47" s="79"/>
      <c r="BN47" s="79"/>
      <c r="BO47" s="79"/>
      <c r="BP47" s="79"/>
      <c r="BQ47" s="83"/>
    </row>
    <row r="48" spans="1:69" x14ac:dyDescent="0.3">
      <c r="A48" s="23"/>
      <c r="B48" s="78"/>
      <c r="C48" s="79"/>
      <c r="D48" s="79"/>
      <c r="E48" s="79"/>
      <c r="F48" s="79"/>
      <c r="G48" s="79"/>
      <c r="H48" s="80"/>
      <c r="I48" s="78"/>
      <c r="J48" s="79"/>
      <c r="K48" s="79"/>
      <c r="L48" s="79"/>
      <c r="M48" s="79"/>
      <c r="N48" s="79"/>
      <c r="O48" s="80"/>
      <c r="P48" s="79"/>
      <c r="Q48" s="79"/>
      <c r="R48" s="79"/>
      <c r="S48" s="79"/>
      <c r="T48" s="79"/>
      <c r="U48" s="79"/>
      <c r="V48" s="81"/>
      <c r="W48" s="78"/>
      <c r="X48" s="79"/>
      <c r="Y48" s="79"/>
      <c r="Z48" s="79"/>
      <c r="AA48" s="79"/>
      <c r="AB48" s="79"/>
      <c r="AC48" s="80"/>
      <c r="AD48" s="78"/>
      <c r="AE48" s="79"/>
      <c r="AF48" s="79"/>
      <c r="AG48" s="79"/>
      <c r="AH48" s="79"/>
      <c r="AI48" s="79"/>
      <c r="AJ48" s="79"/>
      <c r="AK48" s="79"/>
      <c r="AL48" s="79"/>
      <c r="AM48" s="79"/>
      <c r="AN48" s="74"/>
      <c r="AO48" s="79"/>
      <c r="AP48" s="79"/>
      <c r="AQ48" s="79"/>
      <c r="AR48" s="79"/>
      <c r="AS48" s="79"/>
      <c r="AT48" s="85"/>
      <c r="AU48" s="79"/>
      <c r="AV48" s="79"/>
      <c r="AW48" s="79"/>
      <c r="AX48" s="79"/>
      <c r="AY48" s="80"/>
      <c r="AZ48" s="80"/>
      <c r="BA48" s="79"/>
      <c r="BB48" s="82"/>
      <c r="BC48" s="79"/>
      <c r="BD48" s="79"/>
      <c r="BE48" s="79"/>
      <c r="BF48" s="82"/>
      <c r="BG48" s="79"/>
      <c r="BH48" s="79"/>
      <c r="BI48" s="79"/>
      <c r="BJ48" s="79"/>
      <c r="BK48" s="79"/>
      <c r="BL48" s="79"/>
      <c r="BM48" s="79"/>
      <c r="BN48" s="79"/>
      <c r="BO48" s="79"/>
      <c r="BP48" s="79"/>
      <c r="BQ48" s="83"/>
    </row>
    <row r="49" spans="1:69" x14ac:dyDescent="0.3">
      <c r="A49" s="23"/>
      <c r="B49" s="78"/>
      <c r="C49" s="79"/>
      <c r="D49" s="79"/>
      <c r="E49" s="79"/>
      <c r="F49" s="79"/>
      <c r="G49" s="79"/>
      <c r="H49" s="80"/>
      <c r="I49" s="78"/>
      <c r="J49" s="79"/>
      <c r="K49" s="79"/>
      <c r="L49" s="79"/>
      <c r="M49" s="79"/>
      <c r="N49" s="79"/>
      <c r="O49" s="80"/>
      <c r="P49" s="79"/>
      <c r="Q49" s="79"/>
      <c r="R49" s="79"/>
      <c r="S49" s="79"/>
      <c r="T49" s="79"/>
      <c r="U49" s="79"/>
      <c r="V49" s="81"/>
      <c r="W49" s="78"/>
      <c r="X49" s="79"/>
      <c r="Y49" s="79"/>
      <c r="Z49" s="79"/>
      <c r="AA49" s="79"/>
      <c r="AB49" s="79"/>
      <c r="AC49" s="80"/>
      <c r="AD49" s="78"/>
      <c r="AE49" s="79"/>
      <c r="AF49" s="79"/>
      <c r="AG49" s="79"/>
      <c r="AH49" s="79"/>
      <c r="AI49" s="79"/>
      <c r="AJ49" s="79"/>
      <c r="AK49" s="79"/>
      <c r="AL49" s="79"/>
      <c r="AM49" s="79"/>
      <c r="AN49" s="74"/>
      <c r="AO49" s="79"/>
      <c r="AP49" s="79"/>
      <c r="AQ49" s="79"/>
      <c r="AR49" s="79"/>
      <c r="AS49" s="79"/>
      <c r="AT49" s="78"/>
      <c r="AU49" s="79"/>
      <c r="AV49" s="79"/>
      <c r="AW49" s="79"/>
      <c r="AX49" s="79"/>
      <c r="AY49" s="80"/>
      <c r="AZ49" s="80"/>
      <c r="BA49" s="79"/>
      <c r="BB49" s="82"/>
      <c r="BC49" s="79"/>
      <c r="BD49" s="79"/>
      <c r="BE49" s="79"/>
      <c r="BF49" s="82"/>
      <c r="BG49" s="79"/>
      <c r="BH49" s="79"/>
      <c r="BI49" s="79"/>
      <c r="BJ49" s="79"/>
      <c r="BK49" s="79"/>
      <c r="BL49" s="79"/>
      <c r="BM49" s="79"/>
      <c r="BN49" s="79"/>
      <c r="BO49" s="79"/>
      <c r="BP49" s="79"/>
      <c r="BQ49" s="83"/>
    </row>
    <row r="50" spans="1:69" x14ac:dyDescent="0.3">
      <c r="A50" s="23"/>
      <c r="B50" s="78"/>
      <c r="C50" s="79"/>
      <c r="D50" s="79"/>
      <c r="E50" s="79"/>
      <c r="F50" s="79"/>
      <c r="G50" s="79"/>
      <c r="H50" s="80"/>
      <c r="I50" s="78"/>
      <c r="J50" s="79"/>
      <c r="K50" s="79"/>
      <c r="L50" s="79"/>
      <c r="M50" s="79"/>
      <c r="N50" s="79"/>
      <c r="O50" s="80"/>
      <c r="P50" s="79"/>
      <c r="Q50" s="79"/>
      <c r="R50" s="79"/>
      <c r="S50" s="79"/>
      <c r="T50" s="79"/>
      <c r="U50" s="79"/>
      <c r="V50" s="81"/>
      <c r="W50" s="78"/>
      <c r="X50" s="79"/>
      <c r="Y50" s="79"/>
      <c r="Z50" s="79"/>
      <c r="AA50" s="79"/>
      <c r="AB50" s="79"/>
      <c r="AC50" s="80"/>
      <c r="AD50" s="78"/>
      <c r="AE50" s="86" t="s">
        <v>108</v>
      </c>
      <c r="AF50" s="74"/>
      <c r="AG50" s="74"/>
      <c r="AH50" s="79"/>
      <c r="AI50" s="79"/>
      <c r="AJ50" s="79"/>
      <c r="AK50" s="79"/>
      <c r="AL50" s="79"/>
      <c r="AM50" s="79"/>
      <c r="AN50" s="74"/>
      <c r="AO50" s="79"/>
      <c r="AP50" s="79"/>
      <c r="AQ50" s="79"/>
      <c r="AR50" s="79"/>
      <c r="AS50" s="79"/>
      <c r="AT50" s="85" t="s">
        <v>78</v>
      </c>
      <c r="AU50" s="79"/>
      <c r="AV50" s="79"/>
      <c r="AW50" s="79"/>
      <c r="AX50" s="79"/>
      <c r="AY50" s="80"/>
      <c r="AZ50" s="80"/>
      <c r="BA50" s="79"/>
      <c r="BB50" s="82"/>
      <c r="BC50" s="79"/>
      <c r="BD50" s="79"/>
      <c r="BE50" s="79"/>
      <c r="BF50" s="82"/>
      <c r="BG50" s="79"/>
      <c r="BH50" s="79"/>
      <c r="BI50" s="79"/>
      <c r="BJ50" s="79"/>
      <c r="BK50" s="79"/>
      <c r="BL50" s="79"/>
      <c r="BM50" s="79"/>
      <c r="BN50" s="79"/>
      <c r="BO50" s="79"/>
      <c r="BP50" s="79"/>
      <c r="BQ50" s="83"/>
    </row>
    <row r="51" spans="1:69" x14ac:dyDescent="0.3">
      <c r="A51" s="23"/>
      <c r="B51" s="78"/>
      <c r="C51" s="79"/>
      <c r="D51" s="79"/>
      <c r="E51" s="79"/>
      <c r="F51" s="79"/>
      <c r="G51" s="79"/>
      <c r="H51" s="80"/>
      <c r="I51" s="78"/>
      <c r="J51" s="79"/>
      <c r="K51" s="79"/>
      <c r="L51" s="79"/>
      <c r="M51" s="79"/>
      <c r="N51" s="79"/>
      <c r="O51" s="80"/>
      <c r="P51" s="79"/>
      <c r="Q51" s="79"/>
      <c r="R51" s="79"/>
      <c r="S51" s="79"/>
      <c r="T51" s="79"/>
      <c r="U51" s="79"/>
      <c r="V51" s="81"/>
      <c r="W51" s="78"/>
      <c r="X51" s="79"/>
      <c r="Y51" s="79"/>
      <c r="Z51" s="79"/>
      <c r="AA51" s="79"/>
      <c r="AB51" s="79"/>
      <c r="AC51" s="80"/>
      <c r="AD51" s="78"/>
      <c r="AE51" s="74"/>
      <c r="AF51" s="79"/>
      <c r="AG51" s="79"/>
      <c r="AH51" s="79"/>
      <c r="AI51" s="79"/>
      <c r="AJ51" s="79"/>
      <c r="AK51" s="79"/>
      <c r="AL51" s="79"/>
      <c r="AM51" s="79"/>
      <c r="AN51" s="74"/>
      <c r="AO51" s="79"/>
      <c r="AP51" s="79"/>
      <c r="AQ51" s="79"/>
      <c r="AR51" s="79"/>
      <c r="AS51" s="79"/>
      <c r="AT51" s="78" t="s">
        <v>80</v>
      </c>
      <c r="AU51" s="79"/>
      <c r="AV51" s="79"/>
      <c r="AW51" s="79"/>
      <c r="AX51" s="79"/>
      <c r="AY51" s="80"/>
      <c r="AZ51" s="80"/>
      <c r="BA51" s="79"/>
      <c r="BB51" s="82"/>
      <c r="BC51" s="79"/>
      <c r="BD51" s="79"/>
      <c r="BE51" s="79"/>
      <c r="BF51" s="82"/>
      <c r="BG51" s="79"/>
      <c r="BH51" s="79"/>
      <c r="BI51" s="79"/>
      <c r="BJ51" s="79"/>
      <c r="BK51" s="79"/>
      <c r="BL51" s="79"/>
      <c r="BM51" s="79"/>
      <c r="BN51" s="79"/>
      <c r="BO51" s="79"/>
      <c r="BP51" s="79"/>
      <c r="BQ51" s="83"/>
    </row>
    <row r="52" spans="1:69" x14ac:dyDescent="0.3">
      <c r="A52" s="23"/>
      <c r="B52" s="78"/>
      <c r="C52" s="79"/>
      <c r="D52" s="79"/>
      <c r="E52" s="79"/>
      <c r="F52" s="79"/>
      <c r="G52" s="79"/>
      <c r="H52" s="80"/>
      <c r="I52" s="78"/>
      <c r="J52" s="79"/>
      <c r="K52" s="79"/>
      <c r="L52" s="79"/>
      <c r="M52" s="79"/>
      <c r="N52" s="79"/>
      <c r="O52" s="80"/>
      <c r="P52" s="79"/>
      <c r="Q52" s="79"/>
      <c r="R52" s="79"/>
      <c r="S52" s="79"/>
      <c r="T52" s="79"/>
      <c r="U52" s="79"/>
      <c r="V52" s="81"/>
      <c r="W52" s="78"/>
      <c r="X52" s="79"/>
      <c r="Y52" s="79"/>
      <c r="Z52" s="79"/>
      <c r="AA52" s="79"/>
      <c r="AB52" s="79"/>
      <c r="AC52" s="80"/>
      <c r="AD52" s="78"/>
      <c r="AE52" s="79"/>
      <c r="AF52" s="74" t="s">
        <v>109</v>
      </c>
      <c r="AG52" s="74"/>
      <c r="AH52" s="79"/>
      <c r="AI52" s="79"/>
      <c r="AJ52" s="79"/>
      <c r="AK52" s="79"/>
      <c r="AL52" s="79"/>
      <c r="AM52" s="79"/>
      <c r="AN52" s="74"/>
      <c r="AO52" s="79"/>
      <c r="AP52" s="79"/>
      <c r="AQ52" s="79"/>
      <c r="AR52" s="79"/>
      <c r="AS52" s="79"/>
      <c r="AT52" s="78"/>
      <c r="AU52" s="79"/>
      <c r="AV52" s="79"/>
      <c r="AW52" s="79"/>
      <c r="AX52" s="79"/>
      <c r="AY52" s="80"/>
      <c r="AZ52" s="80"/>
      <c r="BA52" s="79"/>
      <c r="BB52" s="82"/>
      <c r="BC52" s="79"/>
      <c r="BD52" s="79"/>
      <c r="BE52" s="79"/>
      <c r="BF52" s="82"/>
      <c r="BG52" s="79"/>
      <c r="BH52" s="79"/>
      <c r="BI52" s="79"/>
      <c r="BJ52" s="79"/>
      <c r="BK52" s="79"/>
      <c r="BL52" s="79"/>
      <c r="BM52" s="79"/>
      <c r="BN52" s="79"/>
      <c r="BO52" s="79"/>
      <c r="BP52" s="79"/>
      <c r="BQ52" s="83"/>
    </row>
    <row r="53" spans="1:69" x14ac:dyDescent="0.3">
      <c r="A53" s="23"/>
      <c r="B53" s="78"/>
      <c r="C53" s="79"/>
      <c r="D53" s="79"/>
      <c r="E53" s="79"/>
      <c r="F53" s="79"/>
      <c r="G53" s="79"/>
      <c r="H53" s="80"/>
      <c r="I53" s="78"/>
      <c r="J53" s="79"/>
      <c r="K53" s="79"/>
      <c r="L53" s="79"/>
      <c r="M53" s="79"/>
      <c r="N53" s="79"/>
      <c r="O53" s="80"/>
      <c r="P53" s="79"/>
      <c r="Q53" s="79"/>
      <c r="R53" s="79"/>
      <c r="S53" s="79"/>
      <c r="T53" s="79"/>
      <c r="U53" s="79"/>
      <c r="V53" s="81"/>
      <c r="W53" s="78"/>
      <c r="X53" s="79"/>
      <c r="Y53" s="79"/>
      <c r="Z53" s="79"/>
      <c r="AA53" s="79"/>
      <c r="AB53" s="79"/>
      <c r="AC53" s="80"/>
      <c r="AD53" s="78"/>
      <c r="AE53" s="79"/>
      <c r="AF53" s="79"/>
      <c r="AG53" s="79" t="s">
        <v>110</v>
      </c>
      <c r="AH53" s="74"/>
      <c r="AI53" s="79"/>
      <c r="AJ53" s="79"/>
      <c r="AK53" s="79"/>
      <c r="AL53" s="79"/>
      <c r="AM53" s="79"/>
      <c r="AN53" s="74"/>
      <c r="AO53" s="79"/>
      <c r="AP53" s="79"/>
      <c r="AQ53" s="79"/>
      <c r="AR53" s="79"/>
      <c r="AS53" s="79"/>
      <c r="AT53" s="78"/>
      <c r="AU53" s="79"/>
      <c r="AV53" s="79"/>
      <c r="AW53" s="79"/>
      <c r="AX53" s="79"/>
      <c r="AY53" s="80"/>
      <c r="AZ53" s="80"/>
      <c r="BA53" s="79"/>
      <c r="BB53" s="82"/>
      <c r="BC53" s="79"/>
      <c r="BD53" s="79"/>
      <c r="BE53" s="79"/>
      <c r="BF53" s="82"/>
      <c r="BG53" s="79"/>
      <c r="BH53" s="79"/>
      <c r="BI53" s="79"/>
      <c r="BJ53" s="79"/>
      <c r="BK53" s="79"/>
      <c r="BL53" s="79"/>
      <c r="BM53" s="79"/>
      <c r="BN53" s="79"/>
      <c r="BO53" s="79"/>
      <c r="BP53" s="79"/>
      <c r="BQ53" s="83"/>
    </row>
    <row r="54" spans="1:69" x14ac:dyDescent="0.3">
      <c r="A54" s="23"/>
      <c r="B54" s="78"/>
      <c r="C54" s="79"/>
      <c r="D54" s="79"/>
      <c r="E54" s="79"/>
      <c r="F54" s="79"/>
      <c r="G54" s="79"/>
      <c r="H54" s="80"/>
      <c r="I54" s="78"/>
      <c r="J54" s="79"/>
      <c r="K54" s="79"/>
      <c r="L54" s="79"/>
      <c r="M54" s="79"/>
      <c r="N54" s="79"/>
      <c r="O54" s="80"/>
      <c r="P54" s="79"/>
      <c r="Q54" s="79"/>
      <c r="R54" s="79"/>
      <c r="S54" s="79"/>
      <c r="T54" s="79"/>
      <c r="U54" s="79"/>
      <c r="V54" s="81"/>
      <c r="W54" s="78"/>
      <c r="X54" s="79"/>
      <c r="Y54" s="79"/>
      <c r="Z54" s="79"/>
      <c r="AA54" s="79"/>
      <c r="AB54" s="79"/>
      <c r="AC54" s="80"/>
      <c r="AD54" s="78"/>
      <c r="AE54" s="74"/>
      <c r="AF54" s="79"/>
      <c r="AG54" s="79"/>
      <c r="AH54" s="79"/>
      <c r="AI54" s="79"/>
      <c r="AJ54" s="79"/>
      <c r="AK54" s="79"/>
      <c r="AL54" s="79"/>
      <c r="AM54" s="79"/>
      <c r="AN54" s="74"/>
      <c r="AO54" s="79"/>
      <c r="AP54" s="79"/>
      <c r="AQ54" s="79"/>
      <c r="AR54" s="79"/>
      <c r="AS54" s="79"/>
      <c r="AT54" s="78"/>
      <c r="AU54" s="79"/>
      <c r="AV54" s="79"/>
      <c r="AW54" s="79"/>
      <c r="AX54" s="79"/>
      <c r="AY54" s="80"/>
      <c r="AZ54" s="80"/>
      <c r="BA54" s="79"/>
      <c r="BB54" s="82"/>
      <c r="BC54" s="79"/>
      <c r="BD54" s="79"/>
      <c r="BE54" s="79"/>
      <c r="BF54" s="82"/>
      <c r="BG54" s="79"/>
      <c r="BH54" s="79"/>
      <c r="BI54" s="79"/>
      <c r="BJ54" s="79"/>
      <c r="BK54" s="79"/>
      <c r="BL54" s="79"/>
      <c r="BM54" s="79"/>
      <c r="BN54" s="79"/>
      <c r="BO54" s="79"/>
      <c r="BP54" s="79"/>
      <c r="BQ54" s="83"/>
    </row>
    <row r="55" spans="1:69" x14ac:dyDescent="0.3">
      <c r="A55" s="23"/>
      <c r="B55" s="78"/>
      <c r="C55" s="79"/>
      <c r="D55" s="79"/>
      <c r="E55" s="79"/>
      <c r="F55" s="79"/>
      <c r="G55" s="79"/>
      <c r="H55" s="80"/>
      <c r="I55" s="78"/>
      <c r="J55" s="79"/>
      <c r="K55" s="79"/>
      <c r="L55" s="79"/>
      <c r="M55" s="79"/>
      <c r="N55" s="79"/>
      <c r="O55" s="80"/>
      <c r="P55" s="79"/>
      <c r="Q55" s="79"/>
      <c r="R55" s="79"/>
      <c r="S55" s="79"/>
      <c r="T55" s="79"/>
      <c r="U55" s="79"/>
      <c r="V55" s="81"/>
      <c r="W55" s="78"/>
      <c r="X55" s="79"/>
      <c r="Y55" s="79"/>
      <c r="Z55" s="79"/>
      <c r="AA55" s="79"/>
      <c r="AB55" s="79"/>
      <c r="AC55" s="80"/>
      <c r="AD55" s="78"/>
      <c r="AE55" s="87"/>
      <c r="AF55" s="87"/>
      <c r="AG55" s="87"/>
      <c r="AH55" s="79"/>
      <c r="AI55" s="79"/>
      <c r="AJ55" s="79"/>
      <c r="AK55" s="79"/>
      <c r="AL55" s="79"/>
      <c r="AM55" s="79"/>
      <c r="AN55" s="74"/>
      <c r="AO55" s="79"/>
      <c r="AP55" s="79"/>
      <c r="AQ55" s="79"/>
      <c r="AR55" s="79"/>
      <c r="AS55" s="79"/>
      <c r="AT55" s="78"/>
      <c r="AU55" s="79"/>
      <c r="AV55" s="79"/>
      <c r="AW55" s="79"/>
      <c r="AX55" s="79"/>
      <c r="AY55" s="80"/>
      <c r="AZ55" s="80"/>
      <c r="BA55" s="79"/>
      <c r="BB55" s="82"/>
      <c r="BC55" s="79"/>
      <c r="BD55" s="79"/>
      <c r="BE55" s="79"/>
      <c r="BF55" s="82"/>
      <c r="BG55" s="79"/>
      <c r="BH55" s="79"/>
      <c r="BI55" s="79"/>
      <c r="BJ55" s="79"/>
      <c r="BK55" s="79"/>
      <c r="BL55" s="79"/>
      <c r="BM55" s="79"/>
      <c r="BN55" s="79"/>
      <c r="BO55" s="79"/>
      <c r="BP55" s="79"/>
      <c r="BQ55" s="83"/>
    </row>
    <row r="56" spans="1:69" x14ac:dyDescent="0.3">
      <c r="A56" s="23"/>
      <c r="B56" s="78"/>
      <c r="C56" s="79"/>
      <c r="D56" s="79"/>
      <c r="E56" s="79"/>
      <c r="F56" s="79"/>
      <c r="G56" s="79"/>
      <c r="H56" s="80"/>
      <c r="I56" s="78"/>
      <c r="J56" s="79"/>
      <c r="K56" s="79"/>
      <c r="L56" s="79"/>
      <c r="M56" s="79"/>
      <c r="N56" s="79"/>
      <c r="O56" s="80"/>
      <c r="P56" s="79"/>
      <c r="Q56" s="79"/>
      <c r="R56" s="79"/>
      <c r="S56" s="79"/>
      <c r="T56" s="79"/>
      <c r="U56" s="79"/>
      <c r="V56" s="81"/>
      <c r="W56" s="78"/>
      <c r="X56" s="79"/>
      <c r="Y56" s="79"/>
      <c r="Z56" s="79"/>
      <c r="AA56" s="79"/>
      <c r="AB56" s="79"/>
      <c r="AC56" s="80"/>
      <c r="AD56" s="78"/>
      <c r="AE56" s="87"/>
      <c r="AF56" s="87"/>
      <c r="AG56" s="87"/>
      <c r="AH56" s="79"/>
      <c r="AI56" s="79"/>
      <c r="AJ56" s="79"/>
      <c r="AK56" s="79"/>
      <c r="AL56" s="79"/>
      <c r="AM56" s="79"/>
      <c r="AN56" s="74"/>
      <c r="AO56" s="79"/>
      <c r="AP56" s="79"/>
      <c r="AQ56" s="79"/>
      <c r="AR56" s="79"/>
      <c r="AS56" s="79"/>
      <c r="AT56" s="78"/>
      <c r="AU56" s="79"/>
      <c r="AV56" s="79"/>
      <c r="AW56" s="79"/>
      <c r="AX56" s="79"/>
      <c r="AY56" s="80"/>
      <c r="AZ56" s="80"/>
      <c r="BA56" s="79"/>
      <c r="BB56" s="82"/>
      <c r="BC56" s="79"/>
      <c r="BD56" s="79"/>
      <c r="BE56" s="79"/>
      <c r="BF56" s="82"/>
      <c r="BG56" s="79"/>
      <c r="BH56" s="79"/>
      <c r="BI56" s="79"/>
      <c r="BJ56" s="79"/>
      <c r="BK56" s="79"/>
      <c r="BL56" s="79"/>
      <c r="BM56" s="79"/>
      <c r="BN56" s="79"/>
      <c r="BO56" s="79"/>
      <c r="BP56" s="79"/>
      <c r="BQ56" s="83"/>
    </row>
    <row r="57" spans="1:69" x14ac:dyDescent="0.3">
      <c r="A57" s="23"/>
      <c r="B57" s="78"/>
      <c r="C57" s="79"/>
      <c r="D57" s="79"/>
      <c r="E57" s="79"/>
      <c r="F57" s="79"/>
      <c r="G57" s="79"/>
      <c r="H57" s="80"/>
      <c r="I57" s="78"/>
      <c r="J57" s="79"/>
      <c r="K57" s="79"/>
      <c r="L57" s="79"/>
      <c r="M57" s="79"/>
      <c r="N57" s="79"/>
      <c r="O57" s="80"/>
      <c r="P57" s="79"/>
      <c r="Q57" s="79"/>
      <c r="R57" s="79"/>
      <c r="S57" s="79"/>
      <c r="T57" s="79"/>
      <c r="U57" s="79"/>
      <c r="V57" s="81"/>
      <c r="W57" s="78"/>
      <c r="X57" s="79"/>
      <c r="Y57" s="79"/>
      <c r="Z57" s="79"/>
      <c r="AA57" s="79"/>
      <c r="AB57" s="79"/>
      <c r="AC57" s="80"/>
      <c r="AD57" s="78"/>
      <c r="AE57" s="74"/>
      <c r="AF57" s="79"/>
      <c r="AG57" s="79"/>
      <c r="AH57" s="79"/>
      <c r="AI57" s="79"/>
      <c r="AJ57" s="79"/>
      <c r="AK57" s="79"/>
      <c r="AL57" s="79"/>
      <c r="AM57" s="79"/>
      <c r="AN57" s="74"/>
      <c r="AO57" s="79"/>
      <c r="AP57" s="79"/>
      <c r="AQ57" s="79"/>
      <c r="AR57" s="79"/>
      <c r="AS57" s="79"/>
      <c r="AT57" s="78"/>
      <c r="AU57" s="79"/>
      <c r="AV57" s="79"/>
      <c r="AW57" s="79"/>
      <c r="AX57" s="79"/>
      <c r="AY57" s="80"/>
      <c r="AZ57" s="80"/>
      <c r="BA57" s="79"/>
      <c r="BB57" s="82"/>
      <c r="BC57" s="79"/>
      <c r="BD57" s="79"/>
      <c r="BE57" s="79"/>
      <c r="BF57" s="82"/>
      <c r="BG57" s="79"/>
      <c r="BH57" s="79"/>
      <c r="BI57" s="79"/>
      <c r="BJ57" s="79"/>
      <c r="BK57" s="79"/>
      <c r="BL57" s="79"/>
      <c r="BM57" s="79"/>
      <c r="BN57" s="79"/>
      <c r="BO57" s="79"/>
      <c r="BP57" s="79"/>
      <c r="BQ57" s="83"/>
    </row>
    <row r="58" spans="1:69" x14ac:dyDescent="0.3">
      <c r="A58" s="23"/>
      <c r="B58" s="78"/>
      <c r="C58" s="79"/>
      <c r="D58" s="79"/>
      <c r="E58" s="79"/>
      <c r="F58" s="79"/>
      <c r="G58" s="79"/>
      <c r="H58" s="80"/>
      <c r="I58" s="78"/>
      <c r="J58" s="79"/>
      <c r="K58" s="79"/>
      <c r="L58" s="79"/>
      <c r="M58" s="79"/>
      <c r="N58" s="79"/>
      <c r="O58" s="80"/>
      <c r="P58" s="79"/>
      <c r="Q58" s="79"/>
      <c r="R58" s="79"/>
      <c r="S58" s="79"/>
      <c r="T58" s="79"/>
      <c r="U58" s="79"/>
      <c r="V58" s="81"/>
      <c r="W58" s="78"/>
      <c r="X58" s="79"/>
      <c r="Y58" s="79"/>
      <c r="Z58" s="79"/>
      <c r="AA58" s="79"/>
      <c r="AB58" s="79"/>
      <c r="AC58" s="80"/>
      <c r="AD58" s="78"/>
      <c r="AE58" s="74"/>
      <c r="AF58" s="79"/>
      <c r="AG58" s="79"/>
      <c r="AH58" s="79"/>
      <c r="AI58" s="79"/>
      <c r="AJ58" s="79"/>
      <c r="AK58" s="79"/>
      <c r="AL58" s="79"/>
      <c r="AM58" s="79"/>
      <c r="AN58" s="79"/>
      <c r="AO58" s="79"/>
      <c r="AP58" s="79"/>
      <c r="AQ58" s="79"/>
      <c r="AR58" s="79"/>
      <c r="AS58" s="79"/>
      <c r="AT58" s="78"/>
      <c r="AU58" s="79"/>
      <c r="AV58" s="79"/>
      <c r="AW58" s="79"/>
      <c r="AX58" s="79"/>
      <c r="AY58" s="80"/>
      <c r="AZ58" s="80"/>
      <c r="BA58" s="79"/>
      <c r="BB58" s="82"/>
      <c r="BC58" s="79"/>
      <c r="BD58" s="79"/>
      <c r="BE58" s="79"/>
      <c r="BF58" s="82"/>
      <c r="BG58" s="79"/>
      <c r="BH58" s="79"/>
      <c r="BI58" s="79"/>
      <c r="BJ58" s="79"/>
      <c r="BK58" s="79"/>
      <c r="BL58" s="79"/>
      <c r="BM58" s="79"/>
      <c r="BN58" s="79"/>
      <c r="BO58" s="79"/>
      <c r="BP58" s="79"/>
      <c r="BQ58" s="83"/>
    </row>
    <row r="59" spans="1:69" x14ac:dyDescent="0.3">
      <c r="A59" s="23"/>
      <c r="B59" s="78"/>
      <c r="C59" s="79"/>
      <c r="D59" s="79"/>
      <c r="E59" s="79"/>
      <c r="F59" s="79"/>
      <c r="G59" s="79"/>
      <c r="H59" s="80"/>
      <c r="I59" s="78"/>
      <c r="J59" s="79"/>
      <c r="K59" s="79"/>
      <c r="L59" s="79"/>
      <c r="M59" s="79"/>
      <c r="N59" s="79"/>
      <c r="O59" s="80"/>
      <c r="P59" s="79"/>
      <c r="Q59" s="79"/>
      <c r="R59" s="79"/>
      <c r="S59" s="79"/>
      <c r="T59" s="79"/>
      <c r="U59" s="79"/>
      <c r="V59" s="81"/>
      <c r="W59" s="78"/>
      <c r="X59" s="79"/>
      <c r="Y59" s="79"/>
      <c r="Z59" s="79"/>
      <c r="AA59" s="79"/>
      <c r="AB59" s="79"/>
      <c r="AC59" s="80"/>
      <c r="AD59" s="78"/>
      <c r="AE59" s="74"/>
      <c r="AF59" s="79"/>
      <c r="AG59" s="79"/>
      <c r="AH59" s="79"/>
      <c r="AI59" s="79"/>
      <c r="AJ59" s="79"/>
      <c r="AK59" s="79"/>
      <c r="AL59" s="79"/>
      <c r="AM59" s="79"/>
      <c r="AN59" s="79"/>
      <c r="AO59" s="79"/>
      <c r="AP59" s="79"/>
      <c r="AQ59" s="79"/>
      <c r="AR59" s="79"/>
      <c r="AS59" s="79"/>
      <c r="AT59" s="78"/>
      <c r="AU59" s="79"/>
      <c r="AV59" s="79"/>
      <c r="AW59" s="79"/>
      <c r="AX59" s="79"/>
      <c r="AY59" s="80"/>
      <c r="AZ59" s="80"/>
      <c r="BA59" s="79"/>
      <c r="BB59" s="82"/>
      <c r="BC59" s="79"/>
      <c r="BD59" s="79"/>
      <c r="BE59" s="79"/>
      <c r="BF59" s="82"/>
      <c r="BG59" s="79"/>
      <c r="BH59" s="79"/>
      <c r="BI59" s="79"/>
      <c r="BJ59" s="79"/>
      <c r="BK59" s="79"/>
      <c r="BL59" s="79"/>
      <c r="BM59" s="79"/>
      <c r="BN59" s="79"/>
      <c r="BO59" s="79"/>
      <c r="BP59" s="79"/>
      <c r="BQ59" s="83"/>
    </row>
    <row r="60" spans="1:69" x14ac:dyDescent="0.3">
      <c r="A60" s="23"/>
      <c r="B60" s="78"/>
      <c r="C60" s="79"/>
      <c r="D60" s="79"/>
      <c r="E60" s="79"/>
      <c r="F60" s="79"/>
      <c r="G60" s="79"/>
      <c r="H60" s="80"/>
      <c r="I60" s="78"/>
      <c r="J60" s="79"/>
      <c r="K60" s="79"/>
      <c r="L60" s="79"/>
      <c r="M60" s="79"/>
      <c r="N60" s="79"/>
      <c r="O60" s="80"/>
      <c r="P60" s="79"/>
      <c r="Q60" s="79"/>
      <c r="R60" s="79"/>
      <c r="S60" s="79"/>
      <c r="T60" s="79"/>
      <c r="U60" s="79"/>
      <c r="V60" s="81"/>
      <c r="W60" s="78"/>
      <c r="X60" s="79"/>
      <c r="Y60" s="79"/>
      <c r="Z60" s="79"/>
      <c r="AA60" s="79"/>
      <c r="AB60" s="79"/>
      <c r="AC60" s="80"/>
      <c r="AD60" s="78"/>
      <c r="AE60" s="74"/>
      <c r="AF60" s="79"/>
      <c r="AG60" s="79"/>
      <c r="AH60" s="79"/>
      <c r="AI60" s="79"/>
      <c r="AJ60" s="79"/>
      <c r="AK60" s="79"/>
      <c r="AL60" s="79"/>
      <c r="AM60" s="79"/>
      <c r="AN60" s="79"/>
      <c r="AO60" s="79"/>
      <c r="AP60" s="79"/>
      <c r="AQ60" s="79"/>
      <c r="AR60" s="79"/>
      <c r="AS60" s="79"/>
      <c r="AT60" s="78"/>
      <c r="AU60" s="79"/>
      <c r="AV60" s="79"/>
      <c r="AW60" s="79"/>
      <c r="AX60" s="79"/>
      <c r="AY60" s="80"/>
      <c r="AZ60" s="80"/>
      <c r="BA60" s="79"/>
      <c r="BB60" s="82"/>
      <c r="BC60" s="79"/>
      <c r="BD60" s="79"/>
      <c r="BE60" s="79"/>
      <c r="BF60" s="82"/>
      <c r="BG60" s="79"/>
      <c r="BH60" s="79"/>
      <c r="BI60" s="79"/>
      <c r="BJ60" s="79"/>
      <c r="BK60" s="79"/>
      <c r="BL60" s="79"/>
      <c r="BM60" s="79"/>
      <c r="BN60" s="79"/>
      <c r="BO60" s="79"/>
      <c r="BP60" s="79"/>
      <c r="BQ60" s="83"/>
    </row>
    <row r="61" spans="1:69" x14ac:dyDescent="0.3">
      <c r="A61" s="23"/>
      <c r="B61" s="78"/>
      <c r="C61" s="79"/>
      <c r="D61" s="79"/>
      <c r="E61" s="79"/>
      <c r="F61" s="79"/>
      <c r="G61" s="79"/>
      <c r="H61" s="80"/>
      <c r="I61" s="78"/>
      <c r="J61" s="79"/>
      <c r="K61" s="79"/>
      <c r="L61" s="79"/>
      <c r="M61" s="79"/>
      <c r="N61" s="79"/>
      <c r="O61" s="80"/>
      <c r="P61" s="79"/>
      <c r="Q61" s="79"/>
      <c r="R61" s="79"/>
      <c r="S61" s="79"/>
      <c r="T61" s="79"/>
      <c r="U61" s="79"/>
      <c r="V61" s="81"/>
      <c r="W61" s="78"/>
      <c r="X61" s="79"/>
      <c r="Y61" s="79"/>
      <c r="Z61" s="79"/>
      <c r="AA61" s="79"/>
      <c r="AB61" s="79"/>
      <c r="AC61" s="80"/>
      <c r="AD61" s="78"/>
      <c r="AE61" s="74"/>
      <c r="AF61" s="79"/>
      <c r="AG61" s="79"/>
      <c r="AH61" s="79"/>
      <c r="AI61" s="79"/>
      <c r="AJ61" s="79"/>
      <c r="AK61" s="79"/>
      <c r="AL61" s="79"/>
      <c r="AM61" s="79"/>
      <c r="AN61" s="79"/>
      <c r="AO61" s="79"/>
      <c r="AP61" s="79"/>
      <c r="AQ61" s="79"/>
      <c r="AR61" s="79"/>
      <c r="AS61" s="79"/>
      <c r="AT61" s="78"/>
      <c r="AU61" s="79"/>
      <c r="AV61" s="79"/>
      <c r="AW61" s="79"/>
      <c r="AX61" s="79"/>
      <c r="AY61" s="80"/>
      <c r="AZ61" s="80"/>
      <c r="BA61" s="79"/>
      <c r="BB61" s="82"/>
      <c r="BC61" s="79"/>
      <c r="BD61" s="79"/>
      <c r="BE61" s="79"/>
      <c r="BF61" s="82"/>
      <c r="BG61" s="79"/>
      <c r="BH61" s="79"/>
      <c r="BI61" s="79"/>
      <c r="BJ61" s="79"/>
      <c r="BK61" s="79"/>
      <c r="BL61" s="79"/>
      <c r="BM61" s="79"/>
      <c r="BN61" s="79"/>
      <c r="BO61" s="79"/>
      <c r="BP61" s="79"/>
      <c r="BQ61" s="83"/>
    </row>
    <row r="62" spans="1:69" x14ac:dyDescent="0.3">
      <c r="A62" s="23"/>
      <c r="B62" s="78"/>
      <c r="C62" s="79"/>
      <c r="D62" s="79"/>
      <c r="E62" s="79"/>
      <c r="F62" s="79"/>
      <c r="G62" s="79"/>
      <c r="H62" s="80"/>
      <c r="I62" s="78"/>
      <c r="J62" s="79"/>
      <c r="K62" s="79"/>
      <c r="L62" s="79"/>
      <c r="M62" s="79"/>
      <c r="N62" s="79"/>
      <c r="O62" s="80"/>
      <c r="P62" s="79"/>
      <c r="Q62" s="79"/>
      <c r="R62" s="79"/>
      <c r="S62" s="79"/>
      <c r="T62" s="79"/>
      <c r="U62" s="79"/>
      <c r="V62" s="81"/>
      <c r="W62" s="78"/>
      <c r="X62" s="79"/>
      <c r="Y62" s="79"/>
      <c r="Z62" s="79"/>
      <c r="AA62" s="79"/>
      <c r="AB62" s="79"/>
      <c r="AC62" s="80"/>
      <c r="AD62" s="78"/>
      <c r="AE62" s="74"/>
      <c r="AF62" s="79"/>
      <c r="AG62" s="79"/>
      <c r="AH62" s="79"/>
      <c r="AI62" s="79"/>
      <c r="AJ62" s="79"/>
      <c r="AK62" s="79"/>
      <c r="AL62" s="79"/>
      <c r="AM62" s="79"/>
      <c r="AN62" s="79"/>
      <c r="AO62" s="79"/>
      <c r="AP62" s="79"/>
      <c r="AQ62" s="79"/>
      <c r="AR62" s="79"/>
      <c r="AS62" s="79"/>
      <c r="AT62" s="78"/>
      <c r="AU62" s="79"/>
      <c r="AV62" s="79"/>
      <c r="AW62" s="79"/>
      <c r="AX62" s="79"/>
      <c r="AY62" s="80"/>
      <c r="AZ62" s="80"/>
      <c r="BA62" s="79"/>
      <c r="BB62" s="82"/>
      <c r="BC62" s="79"/>
      <c r="BD62" s="79"/>
      <c r="BE62" s="79"/>
      <c r="BF62" s="82"/>
      <c r="BG62" s="79"/>
      <c r="BH62" s="79"/>
      <c r="BI62" s="79"/>
      <c r="BJ62" s="79"/>
      <c r="BK62" s="79"/>
      <c r="BL62" s="79"/>
      <c r="BM62" s="79"/>
      <c r="BN62" s="79"/>
      <c r="BO62" s="79"/>
      <c r="BP62" s="79"/>
      <c r="BQ62" s="83"/>
    </row>
    <row r="63" spans="1:69" x14ac:dyDescent="0.3">
      <c r="A63" s="23"/>
      <c r="B63" s="78"/>
      <c r="C63" s="79"/>
      <c r="D63" s="79"/>
      <c r="E63" s="79"/>
      <c r="F63" s="79"/>
      <c r="G63" s="79"/>
      <c r="H63" s="80"/>
      <c r="I63" s="78"/>
      <c r="J63" s="79"/>
      <c r="K63" s="79"/>
      <c r="L63" s="79"/>
      <c r="M63" s="79"/>
      <c r="N63" s="79"/>
      <c r="O63" s="80"/>
      <c r="P63" s="79"/>
      <c r="Q63" s="79"/>
      <c r="R63" s="79"/>
      <c r="S63" s="79"/>
      <c r="T63" s="79"/>
      <c r="U63" s="79"/>
      <c r="V63" s="81"/>
      <c r="W63" s="78"/>
      <c r="X63" s="79"/>
      <c r="Y63" s="79"/>
      <c r="Z63" s="79"/>
      <c r="AA63" s="79"/>
      <c r="AB63" s="79"/>
      <c r="AC63" s="80"/>
      <c r="AD63" s="78"/>
      <c r="AE63" s="74"/>
      <c r="AF63" s="79"/>
      <c r="AG63" s="79"/>
      <c r="AH63" s="79"/>
      <c r="AI63" s="79"/>
      <c r="AJ63" s="79"/>
      <c r="AK63" s="79"/>
      <c r="AL63" s="79"/>
      <c r="AM63" s="79"/>
      <c r="AN63" s="79"/>
      <c r="AO63" s="79"/>
      <c r="AP63" s="79"/>
      <c r="AQ63" s="79"/>
      <c r="AR63" s="79"/>
      <c r="AS63" s="79"/>
      <c r="AT63" s="78"/>
      <c r="AU63" s="79"/>
      <c r="AV63" s="79"/>
      <c r="AW63" s="79"/>
      <c r="AX63" s="79"/>
      <c r="AY63" s="80"/>
      <c r="AZ63" s="80"/>
      <c r="BA63" s="79"/>
      <c r="BB63" s="82"/>
      <c r="BC63" s="79"/>
      <c r="BD63" s="79"/>
      <c r="BE63" s="79"/>
      <c r="BF63" s="82"/>
      <c r="BG63" s="79"/>
      <c r="BH63" s="79"/>
      <c r="BI63" s="79"/>
      <c r="BJ63" s="79"/>
      <c r="BK63" s="79"/>
      <c r="BL63" s="79"/>
      <c r="BM63" s="79"/>
      <c r="BN63" s="79"/>
      <c r="BO63" s="79"/>
      <c r="BP63" s="79"/>
      <c r="BQ63" s="83"/>
    </row>
    <row r="64" spans="1:69" x14ac:dyDescent="0.3">
      <c r="A64" s="23"/>
      <c r="B64" s="78"/>
      <c r="C64" s="79"/>
      <c r="D64" s="79"/>
      <c r="E64" s="79"/>
      <c r="F64" s="79"/>
      <c r="G64" s="79"/>
      <c r="H64" s="80"/>
      <c r="I64" s="78"/>
      <c r="J64" s="79"/>
      <c r="K64" s="79"/>
      <c r="L64" s="79"/>
      <c r="M64" s="79"/>
      <c r="N64" s="79"/>
      <c r="O64" s="80"/>
      <c r="P64" s="79"/>
      <c r="Q64" s="79"/>
      <c r="R64" s="79"/>
      <c r="S64" s="79"/>
      <c r="T64" s="79"/>
      <c r="U64" s="79"/>
      <c r="V64" s="81"/>
      <c r="W64" s="78"/>
      <c r="X64" s="79"/>
      <c r="Y64" s="79"/>
      <c r="Z64" s="79"/>
      <c r="AA64" s="79"/>
      <c r="AB64" s="79"/>
      <c r="AC64" s="80"/>
      <c r="AD64" s="78"/>
      <c r="AE64" s="74"/>
      <c r="AF64" s="79"/>
      <c r="AG64" s="79"/>
      <c r="AH64" s="79"/>
      <c r="AI64" s="79"/>
      <c r="AJ64" s="79"/>
      <c r="AK64" s="79"/>
      <c r="AL64" s="79"/>
      <c r="AM64" s="79"/>
      <c r="AN64" s="74"/>
      <c r="AO64" s="79"/>
      <c r="AP64" s="79"/>
      <c r="AQ64" s="79"/>
      <c r="AR64" s="79"/>
      <c r="AS64" s="79"/>
      <c r="AT64" s="78"/>
      <c r="AU64" s="79"/>
      <c r="AV64" s="79"/>
      <c r="AW64" s="79"/>
      <c r="AX64" s="79"/>
      <c r="AY64" s="80"/>
      <c r="AZ64" s="80"/>
      <c r="BA64" s="79"/>
      <c r="BB64" s="82"/>
      <c r="BC64" s="79"/>
      <c r="BD64" s="79"/>
      <c r="BE64" s="79"/>
      <c r="BF64" s="82"/>
      <c r="BG64" s="79"/>
      <c r="BH64" s="79"/>
      <c r="BI64" s="79"/>
      <c r="BJ64" s="79"/>
      <c r="BK64" s="79"/>
      <c r="BL64" s="79"/>
      <c r="BM64" s="79"/>
      <c r="BN64" s="79"/>
      <c r="BO64" s="79"/>
      <c r="BP64" s="79"/>
      <c r="BQ64" s="83"/>
    </row>
    <row r="65" spans="1:69" x14ac:dyDescent="0.3">
      <c r="A65" s="23"/>
      <c r="B65" s="78"/>
      <c r="C65" s="79"/>
      <c r="D65" s="79"/>
      <c r="E65" s="79"/>
      <c r="F65" s="79"/>
      <c r="G65" s="79"/>
      <c r="H65" s="80"/>
      <c r="I65" s="78"/>
      <c r="J65" s="79"/>
      <c r="K65" s="79"/>
      <c r="L65" s="79"/>
      <c r="M65" s="79"/>
      <c r="N65" s="79"/>
      <c r="O65" s="80"/>
      <c r="P65" s="79"/>
      <c r="Q65" s="79"/>
      <c r="R65" s="79"/>
      <c r="S65" s="79"/>
      <c r="T65" s="79"/>
      <c r="U65" s="79"/>
      <c r="V65" s="81"/>
      <c r="W65" s="78"/>
      <c r="X65" s="79"/>
      <c r="Y65" s="79"/>
      <c r="Z65" s="79"/>
      <c r="AA65" s="79"/>
      <c r="AB65" s="79"/>
      <c r="AC65" s="80"/>
      <c r="AD65" s="78"/>
      <c r="AE65" s="74"/>
      <c r="AF65" s="74"/>
      <c r="AG65" s="74"/>
      <c r="AH65" s="74"/>
      <c r="AI65" s="74"/>
      <c r="AJ65" s="74"/>
      <c r="AK65" s="74"/>
      <c r="AL65" s="74"/>
      <c r="AM65" s="74"/>
      <c r="AN65" s="74"/>
      <c r="AO65" s="79"/>
      <c r="AP65" s="79"/>
      <c r="AQ65" s="79"/>
      <c r="AR65" s="79"/>
      <c r="AS65" s="79"/>
      <c r="AT65" s="78"/>
      <c r="AU65" s="79"/>
      <c r="AV65" s="79"/>
      <c r="AW65" s="79"/>
      <c r="AX65" s="79"/>
      <c r="AY65" s="80"/>
      <c r="AZ65" s="80"/>
      <c r="BA65" s="79"/>
      <c r="BB65" s="82"/>
      <c r="BC65" s="79"/>
      <c r="BD65" s="79"/>
      <c r="BE65" s="79"/>
      <c r="BF65" s="82"/>
      <c r="BG65" s="79"/>
      <c r="BH65" s="79"/>
      <c r="BI65" s="79"/>
      <c r="BJ65" s="79"/>
      <c r="BK65" s="79"/>
      <c r="BL65" s="79"/>
      <c r="BM65" s="79"/>
      <c r="BN65" s="79"/>
      <c r="BO65" s="79"/>
      <c r="BP65" s="79"/>
      <c r="BQ65" s="83"/>
    </row>
    <row r="66" spans="1:69" x14ac:dyDescent="0.3">
      <c r="A66" s="23"/>
      <c r="B66" s="78"/>
      <c r="C66" s="79"/>
      <c r="D66" s="79"/>
      <c r="E66" s="79"/>
      <c r="F66" s="79"/>
      <c r="G66" s="79"/>
      <c r="H66" s="80"/>
      <c r="I66" s="78"/>
      <c r="J66" s="79"/>
      <c r="K66" s="79"/>
      <c r="L66" s="79"/>
      <c r="M66" s="79"/>
      <c r="N66" s="79"/>
      <c r="O66" s="80"/>
      <c r="P66" s="79"/>
      <c r="Q66" s="79"/>
      <c r="R66" s="79"/>
      <c r="S66" s="79"/>
      <c r="T66" s="79"/>
      <c r="U66" s="79"/>
      <c r="V66" s="81"/>
      <c r="W66" s="78"/>
      <c r="X66" s="79"/>
      <c r="Y66" s="79"/>
      <c r="Z66" s="79"/>
      <c r="AA66" s="79"/>
      <c r="AB66" s="79"/>
      <c r="AC66" s="80"/>
      <c r="AD66" s="78"/>
      <c r="AE66" s="74"/>
      <c r="AF66" s="74"/>
      <c r="AG66" s="74"/>
      <c r="AH66" s="74"/>
      <c r="AI66" s="74"/>
      <c r="AJ66" s="74"/>
      <c r="AK66" s="74"/>
      <c r="AL66" s="74"/>
      <c r="AM66" s="74"/>
      <c r="AN66" s="74"/>
      <c r="AO66" s="79"/>
      <c r="AP66" s="79"/>
      <c r="AQ66" s="79"/>
      <c r="AR66" s="79"/>
      <c r="AS66" s="79"/>
      <c r="AT66" s="78"/>
      <c r="AU66" s="79"/>
      <c r="AV66" s="79"/>
      <c r="AW66" s="79"/>
      <c r="AX66" s="79"/>
      <c r="AY66" s="80"/>
      <c r="AZ66" s="80"/>
      <c r="BA66" s="79"/>
      <c r="BB66" s="82"/>
      <c r="BC66" s="79"/>
      <c r="BD66" s="79"/>
      <c r="BE66" s="79"/>
      <c r="BF66" s="82"/>
      <c r="BG66" s="79"/>
      <c r="BH66" s="79"/>
      <c r="BI66" s="79"/>
      <c r="BJ66" s="79"/>
      <c r="BK66" s="79"/>
      <c r="BL66" s="79"/>
      <c r="BM66" s="79"/>
      <c r="BN66" s="79"/>
      <c r="BO66" s="79"/>
      <c r="BP66" s="79"/>
      <c r="BQ66" s="83"/>
    </row>
    <row r="67" spans="1:69" x14ac:dyDescent="0.3">
      <c r="A67" s="23"/>
      <c r="B67" s="78"/>
      <c r="C67" s="79"/>
      <c r="D67" s="79"/>
      <c r="E67" s="79"/>
      <c r="F67" s="79"/>
      <c r="G67" s="79"/>
      <c r="H67" s="80"/>
      <c r="I67" s="78"/>
      <c r="J67" s="79"/>
      <c r="K67" s="79"/>
      <c r="L67" s="79"/>
      <c r="M67" s="79"/>
      <c r="N67" s="79"/>
      <c r="O67" s="80"/>
      <c r="P67" s="79"/>
      <c r="Q67" s="79"/>
      <c r="R67" s="79"/>
      <c r="S67" s="79"/>
      <c r="T67" s="79"/>
      <c r="U67" s="79"/>
      <c r="V67" s="81"/>
      <c r="W67" s="78"/>
      <c r="X67" s="79"/>
      <c r="Y67" s="79"/>
      <c r="Z67" s="79"/>
      <c r="AA67" s="79"/>
      <c r="AB67" s="79"/>
      <c r="AC67" s="80"/>
      <c r="AD67" s="78"/>
      <c r="AE67" s="74"/>
      <c r="AF67" s="74"/>
      <c r="AG67" s="74"/>
      <c r="AH67" s="74"/>
      <c r="AI67" s="74"/>
      <c r="AJ67" s="74"/>
      <c r="AK67" s="74"/>
      <c r="AL67" s="74"/>
      <c r="AM67" s="74"/>
      <c r="AN67" s="74"/>
      <c r="AO67" s="79"/>
      <c r="AP67" s="79"/>
      <c r="AQ67" s="79"/>
      <c r="AR67" s="79"/>
      <c r="AS67" s="79"/>
      <c r="AT67" s="78"/>
      <c r="AU67" s="79"/>
      <c r="AV67" s="79"/>
      <c r="AW67" s="79"/>
      <c r="AX67" s="79"/>
      <c r="AY67" s="80"/>
      <c r="AZ67" s="80"/>
      <c r="BA67" s="79"/>
      <c r="BB67" s="82"/>
      <c r="BC67" s="79"/>
      <c r="BD67" s="79"/>
      <c r="BE67" s="79"/>
      <c r="BF67" s="82"/>
      <c r="BG67" s="79"/>
      <c r="BH67" s="79"/>
      <c r="BI67" s="79"/>
      <c r="BJ67" s="79"/>
      <c r="BK67" s="79"/>
      <c r="BL67" s="79"/>
      <c r="BM67" s="79"/>
      <c r="BN67" s="79"/>
      <c r="BO67" s="79"/>
      <c r="BP67" s="79"/>
      <c r="BQ67" s="83"/>
    </row>
    <row r="68" spans="1:69" x14ac:dyDescent="0.3">
      <c r="A68" s="23"/>
      <c r="B68" s="78"/>
      <c r="C68" s="79"/>
      <c r="D68" s="79"/>
      <c r="E68" s="79"/>
      <c r="F68" s="79"/>
      <c r="G68" s="79"/>
      <c r="H68" s="80"/>
      <c r="I68" s="78"/>
      <c r="J68" s="79"/>
      <c r="K68" s="79"/>
      <c r="L68" s="79"/>
      <c r="M68" s="79"/>
      <c r="N68" s="79"/>
      <c r="O68" s="80"/>
      <c r="P68" s="79"/>
      <c r="Q68" s="79"/>
      <c r="R68" s="79"/>
      <c r="S68" s="79"/>
      <c r="T68" s="79"/>
      <c r="U68" s="79"/>
      <c r="V68" s="81"/>
      <c r="W68" s="78"/>
      <c r="X68" s="79"/>
      <c r="Y68" s="79"/>
      <c r="Z68" s="79"/>
      <c r="AA68" s="79"/>
      <c r="AB68" s="79"/>
      <c r="AC68" s="80"/>
      <c r="AD68" s="78"/>
      <c r="AE68" s="74"/>
      <c r="AF68" s="74"/>
      <c r="AG68" s="74"/>
      <c r="AH68" s="74"/>
      <c r="AI68" s="74"/>
      <c r="AJ68" s="74"/>
      <c r="AK68" s="74"/>
      <c r="AL68" s="74"/>
      <c r="AM68" s="74"/>
      <c r="AN68" s="74"/>
      <c r="AO68" s="79"/>
      <c r="AP68" s="79"/>
      <c r="AQ68" s="79"/>
      <c r="AR68" s="79"/>
      <c r="AS68" s="79"/>
      <c r="AT68" s="78"/>
      <c r="AU68" s="79"/>
      <c r="AV68" s="79"/>
      <c r="AW68" s="79"/>
      <c r="AX68" s="79"/>
      <c r="AY68" s="80"/>
      <c r="AZ68" s="80"/>
      <c r="BA68" s="79"/>
      <c r="BB68" s="82"/>
      <c r="BC68" s="79"/>
      <c r="BD68" s="79"/>
      <c r="BE68" s="79"/>
      <c r="BF68" s="82"/>
      <c r="BG68" s="79"/>
      <c r="BH68" s="79"/>
      <c r="BI68" s="79"/>
      <c r="BJ68" s="79"/>
      <c r="BK68" s="79"/>
      <c r="BL68" s="79"/>
      <c r="BM68" s="79"/>
      <c r="BN68" s="79"/>
      <c r="BO68" s="79"/>
      <c r="BP68" s="79"/>
      <c r="BQ68" s="83"/>
    </row>
    <row r="69" spans="1:69" x14ac:dyDescent="0.3">
      <c r="A69" s="23"/>
      <c r="B69" s="78"/>
      <c r="C69" s="79"/>
      <c r="D69" s="79"/>
      <c r="E69" s="79"/>
      <c r="F69" s="79"/>
      <c r="G69" s="79"/>
      <c r="H69" s="80"/>
      <c r="I69" s="78"/>
      <c r="J69" s="79"/>
      <c r="K69" s="79"/>
      <c r="L69" s="79"/>
      <c r="M69" s="79"/>
      <c r="N69" s="79"/>
      <c r="O69" s="80"/>
      <c r="P69" s="79"/>
      <c r="Q69" s="79"/>
      <c r="R69" s="79"/>
      <c r="S69" s="79"/>
      <c r="T69" s="79"/>
      <c r="U69" s="79"/>
      <c r="V69" s="81"/>
      <c r="W69" s="78"/>
      <c r="X69" s="79"/>
      <c r="Y69" s="79"/>
      <c r="Z69" s="79"/>
      <c r="AA69" s="79"/>
      <c r="AB69" s="79"/>
      <c r="AC69" s="80"/>
      <c r="AD69" s="78"/>
      <c r="AE69" s="74"/>
      <c r="AF69" s="74"/>
      <c r="AG69" s="74"/>
      <c r="AH69" s="74"/>
      <c r="AI69" s="74"/>
      <c r="AJ69" s="74"/>
      <c r="AK69" s="74"/>
      <c r="AL69" s="74"/>
      <c r="AM69" s="74"/>
      <c r="AN69" s="74"/>
      <c r="AO69" s="79"/>
      <c r="AP69" s="79"/>
      <c r="AQ69" s="79"/>
      <c r="AR69" s="79"/>
      <c r="AS69" s="79"/>
      <c r="AT69" s="78"/>
      <c r="AU69" s="79"/>
      <c r="AV69" s="79"/>
      <c r="AW69" s="79"/>
      <c r="AX69" s="79"/>
      <c r="AY69" s="80"/>
      <c r="AZ69" s="80"/>
      <c r="BA69" s="79"/>
      <c r="BB69" s="82"/>
      <c r="BC69" s="79"/>
      <c r="BD69" s="79"/>
      <c r="BE69" s="79"/>
      <c r="BF69" s="82"/>
      <c r="BG69" s="79"/>
      <c r="BH69" s="79"/>
      <c r="BI69" s="79"/>
      <c r="BJ69" s="79"/>
      <c r="BK69" s="79"/>
      <c r="BL69" s="79"/>
      <c r="BM69" s="79"/>
      <c r="BN69" s="79"/>
      <c r="BO69" s="79"/>
      <c r="BP69" s="79"/>
      <c r="BQ69" s="83"/>
    </row>
    <row r="70" spans="1:69" x14ac:dyDescent="0.3">
      <c r="A70" s="23"/>
      <c r="B70" s="78"/>
      <c r="C70" s="79"/>
      <c r="D70" s="79"/>
      <c r="E70" s="79"/>
      <c r="F70" s="79"/>
      <c r="G70" s="79"/>
      <c r="H70" s="80"/>
      <c r="I70" s="78"/>
      <c r="J70" s="79"/>
      <c r="K70" s="79"/>
      <c r="L70" s="79"/>
      <c r="M70" s="79"/>
      <c r="N70" s="79"/>
      <c r="O70" s="80"/>
      <c r="P70" s="79"/>
      <c r="Q70" s="79"/>
      <c r="R70" s="79"/>
      <c r="S70" s="79"/>
      <c r="T70" s="79"/>
      <c r="U70" s="79"/>
      <c r="V70" s="81"/>
      <c r="W70" s="78"/>
      <c r="X70" s="79"/>
      <c r="Y70" s="79"/>
      <c r="Z70" s="79"/>
      <c r="AA70" s="79"/>
      <c r="AB70" s="79"/>
      <c r="AC70" s="80"/>
      <c r="AD70" s="78"/>
      <c r="AE70" s="74"/>
      <c r="AF70" s="74"/>
      <c r="AG70" s="74"/>
      <c r="AH70" s="74"/>
      <c r="AI70" s="74"/>
      <c r="AJ70" s="74"/>
      <c r="AK70" s="74"/>
      <c r="AL70" s="74"/>
      <c r="AM70" s="74"/>
      <c r="AN70" s="74"/>
      <c r="AO70" s="79"/>
      <c r="AP70" s="79"/>
      <c r="AQ70" s="79"/>
      <c r="AR70" s="79"/>
      <c r="AS70" s="79"/>
      <c r="AT70" s="78"/>
      <c r="AU70" s="79"/>
      <c r="AV70" s="79"/>
      <c r="AW70" s="79"/>
      <c r="AX70" s="79"/>
      <c r="AY70" s="80"/>
      <c r="AZ70" s="80"/>
      <c r="BA70" s="79"/>
      <c r="BB70" s="82"/>
      <c r="BC70" s="79"/>
      <c r="BD70" s="79"/>
      <c r="BE70" s="79"/>
      <c r="BF70" s="82"/>
      <c r="BG70" s="79"/>
      <c r="BH70" s="79"/>
      <c r="BI70" s="79"/>
      <c r="BJ70" s="79"/>
      <c r="BK70" s="79"/>
      <c r="BL70" s="79"/>
      <c r="BM70" s="79"/>
      <c r="BN70" s="79"/>
      <c r="BO70" s="79"/>
      <c r="BP70" s="79"/>
      <c r="BQ70" s="83"/>
    </row>
    <row r="71" spans="1:69" x14ac:dyDescent="0.3">
      <c r="A71" s="23"/>
      <c r="B71" s="78"/>
      <c r="C71" s="79"/>
      <c r="D71" s="79"/>
      <c r="E71" s="79"/>
      <c r="F71" s="79"/>
      <c r="G71" s="79"/>
      <c r="H71" s="80"/>
      <c r="I71" s="78"/>
      <c r="J71" s="79"/>
      <c r="K71" s="79"/>
      <c r="L71" s="79"/>
      <c r="M71" s="79"/>
      <c r="N71" s="79"/>
      <c r="O71" s="80"/>
      <c r="P71" s="79"/>
      <c r="Q71" s="79"/>
      <c r="R71" s="79"/>
      <c r="S71" s="79"/>
      <c r="T71" s="79"/>
      <c r="U71" s="79"/>
      <c r="V71" s="81"/>
      <c r="W71" s="78"/>
      <c r="X71" s="79"/>
      <c r="Y71" s="79"/>
      <c r="Z71" s="79"/>
      <c r="AA71" s="79"/>
      <c r="AB71" s="79"/>
      <c r="AC71" s="80"/>
      <c r="AD71" s="78"/>
      <c r="AE71" s="79"/>
      <c r="AF71" s="79"/>
      <c r="AG71" s="79"/>
      <c r="AH71" s="79"/>
      <c r="AI71" s="79"/>
      <c r="AJ71" s="79"/>
      <c r="AK71" s="79"/>
      <c r="AL71" s="79"/>
      <c r="AM71" s="79"/>
      <c r="AN71" s="79"/>
      <c r="AO71" s="79"/>
      <c r="AP71" s="79"/>
      <c r="AQ71" s="79"/>
      <c r="AR71" s="79"/>
      <c r="AS71" s="79"/>
      <c r="AT71" s="78"/>
      <c r="AU71" s="79"/>
      <c r="AV71" s="79"/>
      <c r="AW71" s="79"/>
      <c r="AX71" s="79"/>
      <c r="AY71" s="80"/>
      <c r="AZ71" s="80"/>
      <c r="BA71" s="79"/>
      <c r="BB71" s="82"/>
      <c r="BC71" s="79"/>
      <c r="BD71" s="79"/>
      <c r="BE71" s="79"/>
      <c r="BF71" s="82"/>
      <c r="BG71" s="79"/>
      <c r="BH71" s="79"/>
      <c r="BI71" s="79"/>
      <c r="BJ71" s="79"/>
      <c r="BK71" s="79"/>
      <c r="BL71" s="79"/>
      <c r="BM71" s="79"/>
      <c r="BN71" s="79"/>
      <c r="BO71" s="79"/>
      <c r="BP71" s="79"/>
      <c r="BQ71" s="83"/>
    </row>
    <row r="72" spans="1:69" x14ac:dyDescent="0.3">
      <c r="A72" s="23"/>
      <c r="B72" s="88"/>
      <c r="C72" s="89"/>
      <c r="D72" s="89"/>
      <c r="E72" s="89"/>
      <c r="F72" s="89"/>
      <c r="G72" s="89"/>
      <c r="H72" s="90"/>
      <c r="I72" s="88"/>
      <c r="J72" s="89"/>
      <c r="K72" s="89"/>
      <c r="L72" s="89"/>
      <c r="M72" s="89"/>
      <c r="N72" s="89"/>
      <c r="O72" s="90"/>
      <c r="P72" s="88"/>
      <c r="Q72" s="89"/>
      <c r="R72" s="89"/>
      <c r="S72" s="89"/>
      <c r="T72" s="89"/>
      <c r="U72" s="89"/>
      <c r="V72" s="89"/>
      <c r="W72" s="88"/>
      <c r="X72" s="89"/>
      <c r="Y72" s="89"/>
      <c r="Z72" s="89"/>
      <c r="AA72" s="89"/>
      <c r="AB72" s="89"/>
      <c r="AC72" s="89"/>
      <c r="AD72" s="88"/>
      <c r="AE72" s="89"/>
      <c r="AF72" s="89"/>
      <c r="AG72" s="89"/>
      <c r="AH72" s="89"/>
      <c r="AI72" s="89"/>
      <c r="AJ72" s="89"/>
      <c r="AK72" s="89"/>
      <c r="AL72" s="89"/>
      <c r="AM72" s="89"/>
      <c r="AN72" s="89"/>
      <c r="AO72" s="89"/>
      <c r="AP72" s="89"/>
      <c r="AQ72" s="89"/>
      <c r="AR72" s="89"/>
      <c r="AS72" s="89"/>
      <c r="AT72" s="88"/>
      <c r="AU72" s="89"/>
      <c r="AV72" s="89"/>
      <c r="AW72" s="89"/>
      <c r="AX72" s="89"/>
      <c r="AY72" s="90"/>
      <c r="AZ72" s="80"/>
      <c r="BA72" s="79"/>
      <c r="BB72" s="91"/>
      <c r="BC72" s="92"/>
      <c r="BD72" s="92"/>
      <c r="BE72" s="92"/>
      <c r="BF72" s="91"/>
      <c r="BG72" s="92"/>
      <c r="BH72" s="92"/>
      <c r="BI72" s="92"/>
      <c r="BJ72" s="92"/>
      <c r="BK72" s="92"/>
      <c r="BL72" s="92"/>
      <c r="BM72" s="92"/>
      <c r="BN72" s="92"/>
      <c r="BO72" s="92"/>
      <c r="BP72" s="92"/>
      <c r="BQ72" s="93"/>
    </row>
    <row r="73" spans="1:69" x14ac:dyDescent="0.3">
      <c r="A73" s="23"/>
      <c r="AZ73" s="14"/>
    </row>
    <row r="74" spans="1:69" x14ac:dyDescent="0.3">
      <c r="A74" s="45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  <c r="AL74" s="10"/>
      <c r="AM74" s="10"/>
      <c r="AN74" s="10"/>
      <c r="AO74" s="10"/>
      <c r="AP74" s="10"/>
      <c r="AQ74" s="10"/>
      <c r="AR74" s="10"/>
      <c r="AS74" s="10"/>
      <c r="AT74" s="10"/>
      <c r="AU74" s="10"/>
      <c r="AV74" s="10"/>
      <c r="AW74" s="10"/>
      <c r="AX74" s="10"/>
      <c r="AY74" s="10"/>
      <c r="AZ74" s="15"/>
    </row>
  </sheetData>
  <mergeCells count="24">
    <mergeCell ref="B8:H9"/>
    <mergeCell ref="I8:O9"/>
    <mergeCell ref="AD8:AS9"/>
    <mergeCell ref="AT8:AY9"/>
    <mergeCell ref="A1:E1"/>
    <mergeCell ref="F1:U1"/>
    <mergeCell ref="V1:AI1"/>
    <mergeCell ref="AJ1:AP1"/>
    <mergeCell ref="AQ1:AV1"/>
    <mergeCell ref="A2:E3"/>
    <mergeCell ref="F2:U3"/>
    <mergeCell ref="V2:AI3"/>
    <mergeCell ref="AJ2:AK2"/>
    <mergeCell ref="AL2:AP2"/>
    <mergeCell ref="P9:V9"/>
    <mergeCell ref="W9:AC9"/>
    <mergeCell ref="BF13:BQ13"/>
    <mergeCell ref="AQ2:AV2"/>
    <mergeCell ref="AJ3:AK3"/>
    <mergeCell ref="AL3:AP3"/>
    <mergeCell ref="AQ3:AV3"/>
    <mergeCell ref="BB8:BE9"/>
    <mergeCell ref="BF8:BQ9"/>
    <mergeCell ref="BF12:BQ12"/>
  </mergeCells>
  <phoneticPr fontId="4"/>
  <pageMargins left="0.7" right="0.7" top="0.75" bottom="0.75" header="0.3" footer="0.3"/>
  <pageSetup paperSize="9" scale="69" fitToHeight="0" orientation="portrait" verticalDpi="120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27D8DE12D48B47B0D44EEF0BC44240" ma:contentTypeVersion="3" ma:contentTypeDescription="Create a new document." ma:contentTypeScope="" ma:versionID="16c51bd49fd1e4ed1770dd35df481b43">
  <xsd:schema xmlns:xsd="http://www.w3.org/2001/XMLSchema" xmlns:xs="http://www.w3.org/2001/XMLSchema" xmlns:p="http://schemas.microsoft.com/office/2006/metadata/properties" xmlns:ns2="cfe21c4c-392e-4d25-9e26-4c8da30b5bfc" targetNamespace="http://schemas.microsoft.com/office/2006/metadata/properties" ma:root="true" ma:fieldsID="153b58a2c46f1fad70237535d3299674" ns2:_="">
    <xsd:import namespace="cfe21c4c-392e-4d25-9e26-4c8da30b5bf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e21c4c-392e-4d25-9e26-4c8da30b5bf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FA8C942-3B47-4776-8BDA-17699C52656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6FDB5C3-D349-435B-9E05-3D72C0959360}"/>
</file>

<file path=customXml/itemProps3.xml><?xml version="1.0" encoding="utf-8"?>
<ds:datastoreItem xmlns:ds="http://schemas.openxmlformats.org/officeDocument/2006/customXml" ds:itemID="{88E5C748-0E82-465F-AAE2-69FF9B02017C}">
  <ds:schemaRefs>
    <ds:schemaRef ds:uri="http://schemas.openxmlformats.org/package/2006/metadata/core-properties"/>
    <ds:schemaRef ds:uri="http://www.w3.org/XML/1998/namespace"/>
    <ds:schemaRef ds:uri="http://schemas.microsoft.com/office/infopath/2007/PartnerControls"/>
    <ds:schemaRef ds:uri="http://purl.org/dc/terms/"/>
    <ds:schemaRef ds:uri="http://purl.org/dc/dcmitype/"/>
    <ds:schemaRef ds:uri="http://schemas.microsoft.com/office/2006/documentManagement/types"/>
    <ds:schemaRef ds:uri="http://purl.org/dc/elements/1.1/"/>
    <ds:schemaRef ds:uri="5bd2875c-1d77-4e59-90f4-883ca6a86c01"/>
    <ds:schemaRef ds:uri="0e104af9-8863-48b3-a0f9-b99702920d19"/>
    <ds:schemaRef ds:uri="http://schemas.microsoft.com/office/2006/metadata/properties"/>
  </ds:schemaRefs>
</ds:datastoreItem>
</file>

<file path=docMetadata/LabelInfo.xml><?xml version="1.0" encoding="utf-8"?>
<clbl:labelList xmlns:clbl="http://schemas.microsoft.com/office/2020/mipLabelMetadata">
  <clbl:label id="{c19c5025-2d5a-4151-b81a-f8ad855b3a14}" enabled="0" method="" siteId="{c19c5025-2d5a-4151-b81a-f8ad855b3a1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表紙</vt:lpstr>
      <vt:lpstr>変更履歴</vt:lpstr>
      <vt:lpstr>凡例</vt:lpstr>
      <vt:lpstr>1.利益センタ・原価センタマスタ登録</vt:lpstr>
      <vt:lpstr>2.品目マスタ取込</vt:lpstr>
      <vt:lpstr>3.販売実績データ連携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Ida, Mizuho</cp:lastModifiedBy>
  <cp:revision/>
  <dcterms:created xsi:type="dcterms:W3CDTF">2018-11-08T07:18:29Z</dcterms:created>
  <dcterms:modified xsi:type="dcterms:W3CDTF">2026-05-08T08:27:36Z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0x0101002927D8DE12D48B47B0D44EEF0BC44240</vt:lpwstr>
  </property>
  <property fmtid="{D5CDD505-2E9C-101B-9397-08002B2CF9AE}" pid="3" name="MediaServiceImageTags">
    <vt:lpwstr/>
  </property>
</Properties>
</file>