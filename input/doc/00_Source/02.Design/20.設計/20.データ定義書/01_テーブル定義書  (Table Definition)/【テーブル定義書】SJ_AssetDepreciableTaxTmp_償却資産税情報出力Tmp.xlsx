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3.データ定義書 (Table Definition)/01_テーブル定義書  (Table Definition)/"/>
    </mc:Choice>
  </mc:AlternateContent>
  <xr:revisionPtr revIDLastSave="538" documentId="13_ncr:1_{4A296147-C0F9-4DA7-978E-0CD65D48BC00}" xr6:coauthVersionLast="47" xr6:coauthVersionMax="47" xr10:uidLastSave="{E0B0D596-CB82-457E-B5F4-64DE4FD3744D}"/>
  <bookViews>
    <workbookView xWindow="2400" yWindow="-16320" windowWidth="29040" windowHeight="15720" xr2:uid="{00000000-000D-0000-FFFF-FFFF00000000}"/>
  </bookViews>
  <sheets>
    <sheet name="変更履歴" sheetId="9" r:id="rId1"/>
    <sheet name="テーブル定義" sheetId="5" r:id="rId2"/>
    <sheet name="その他定義" sheetId="6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0">変更履歴!aaaaaa</definedName>
    <definedName name="aaaaaa">[0]!aaaaaa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テーブル定義!$A$1:$M$18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0">変更履歴!SubMakeSQL</definedName>
    <definedName name="SubMakeSQL">[0]!SubMakeSQL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0">変更履歴!ｚｚｚｚ</definedName>
    <definedName name="ｚｚｚｚ">[0]!ｚｚｚｚ</definedName>
    <definedName name="あ" localSheetId="0">#REF!</definedName>
    <definedName name="あ">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" i="9" l="1"/>
  <c r="B8" i="5"/>
  <c r="B9" i="5"/>
  <c r="B10" i="5"/>
  <c r="B14" i="5"/>
  <c r="H3" i="5" l="1"/>
  <c r="AT2" i="9"/>
  <c r="H2" i="5" s="1"/>
  <c r="BA3" i="9"/>
  <c r="AT3" i="9" a="1"/>
  <c r="M3" i="5" l="1"/>
  <c r="AT3" i="9"/>
  <c r="M2" i="5" s="1"/>
  <c r="B11" i="5" l="1"/>
  <c r="B17" i="5"/>
  <c r="B16" i="5"/>
  <c r="B15" i="5"/>
  <c r="B12" i="5"/>
  <c r="B1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<sst xmlns="http://schemas.openxmlformats.org/spreadsheetml/2006/main" count="154" uniqueCount="102">
  <si>
    <t>システム名</t>
    <rPh sb="4" eb="5">
      <t>メイ</t>
    </rPh>
    <phoneticPr fontId="5"/>
  </si>
  <si>
    <t>Dynamics365 for Finance and Operations</t>
    <phoneticPr fontId="2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</si>
  <si>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</si>
  <si>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</si>
  <si>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</si>
  <si>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</si>
  <si>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</si>
  <si>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</si>
  <si>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</si>
  <si>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</si>
  <si>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</si>
  <si>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</si>
  <si>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</si>
  <si>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</si>
  <si>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新規作成</t>
    <rPh sb="0" eb="4">
      <t>シンキサクセイ</t>
    </rPh>
    <phoneticPr fontId="2"/>
  </si>
  <si>
    <t>1.0</t>
    <phoneticPr fontId="2"/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</si>
  <si>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</si>
  <si>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</si>
  <si>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</si>
  <si>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</si>
  <si>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会計システム刷新プロジェクト（LIBRA）</t>
    <phoneticPr fontId="2"/>
  </si>
  <si>
    <t>テーブル定義書</t>
    <rPh sb="4" eb="7">
      <t>テイギショ</t>
    </rPh>
    <phoneticPr fontId="5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</si>
  <si>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</si>
  <si>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</si>
  <si>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</si>
  <si>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</si>
  <si>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</si>
  <si>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</si>
  <si>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</si>
  <si>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</si>
  <si>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-</t>
    <phoneticPr fontId="2"/>
  </si>
  <si>
    <t>TempDB</t>
    <phoneticPr fontId="2"/>
  </si>
  <si>
    <t>アドオン</t>
    <phoneticPr fontId="2"/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</si>
  <si>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</si>
  <si>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</si>
  <si>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</si>
  <si>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</si>
  <si>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</si>
  <si>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</si>
  <si>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</si>
  <si>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</si>
  <si>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String</t>
  </si>
  <si>
    <t>NO</t>
  </si>
  <si>
    <t>固定資産番号</t>
    <rPh sb="4" eb="6">
      <t>バンゴウ</t>
    </rPh>
    <phoneticPr fontId="2"/>
  </si>
  <si>
    <t>AssetId</t>
    <phoneticPr fontId="2"/>
  </si>
  <si>
    <t>AssetId</t>
  </si>
  <si>
    <t>固定資産名前</t>
    <rPh sb="0" eb="2">
      <t>コテイ</t>
    </rPh>
    <rPh sb="2" eb="4">
      <t>シサン</t>
    </rPh>
    <rPh sb="4" eb="6">
      <t>ナマエ</t>
    </rPh>
    <phoneticPr fontId="2"/>
  </si>
  <si>
    <t>AssetName</t>
  </si>
  <si>
    <t>Enum</t>
    <phoneticPr fontId="2"/>
  </si>
  <si>
    <t>取得日付</t>
    <rPh sb="0" eb="4">
      <t>シュトクヒヅケ</t>
    </rPh>
    <phoneticPr fontId="2"/>
  </si>
  <si>
    <t>AcquisitionDate</t>
  </si>
  <si>
    <t>Date</t>
  </si>
  <si>
    <t>AssetAcquisitionDate</t>
  </si>
  <si>
    <t>Real</t>
  </si>
  <si>
    <t>耐用年数</t>
  </si>
  <si>
    <t>ServiceLife</t>
  </si>
  <si>
    <t>AssetServiceLife</t>
  </si>
  <si>
    <t>String</t>
    <phoneticPr fontId="2"/>
  </si>
  <si>
    <t>AssetAcquisitionPrice</t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</si>
  <si>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</si>
  <si>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</si>
  <si>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</si>
  <si>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</si>
  <si>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</si>
  <si>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</si>
  <si>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</si>
  <si>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</si>
  <si>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</si>
  <si>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</si>
  <si>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</si>
  <si>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</si>
  <si>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</si>
  <si>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</si>
  <si>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</si>
  <si>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</si>
  <si>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</si>
  <si>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</si>
  <si>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</si>
  <si>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</si>
  <si>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</si>
  <si>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</si>
  <si>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</si>
  <si>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</si>
  <si>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JBS石岡</t>
    <rPh sb="3" eb="5">
      <t>イシオカ</t>
    </rPh>
    <phoneticPr fontId="3"/>
  </si>
  <si>
    <t>償却資産税情報出力Tmp</t>
    <rPh sb="0" eb="5">
      <t>ショウキャクシサンゼイ</t>
    </rPh>
    <rPh sb="5" eb="7">
      <t>ジョウホウ</t>
    </rPh>
    <rPh sb="7" eb="9">
      <t>シュツリョク</t>
    </rPh>
    <phoneticPr fontId="2"/>
  </si>
  <si>
    <t>SJ_AssetDepreciableTaxTmp</t>
    <phoneticPr fontId="2"/>
  </si>
  <si>
    <t>償却資産税情報出力Tmp</t>
    <rPh sb="0" eb="9">
      <t>ショウキャクシサンゼイジョウホウシュツリョク</t>
    </rPh>
    <phoneticPr fontId="2"/>
  </si>
  <si>
    <t>IncOrDecCategory</t>
  </si>
  <si>
    <t>増減区分</t>
    <rPh sb="0" eb="4">
      <t>ゾウゲンクブン</t>
    </rPh>
    <phoneticPr fontId="2"/>
  </si>
  <si>
    <t>Integer</t>
    <phoneticPr fontId="2"/>
  </si>
  <si>
    <t>数量</t>
    <rPh sb="0" eb="2">
      <t>スウリョウ</t>
    </rPh>
    <phoneticPr fontId="2"/>
  </si>
  <si>
    <t>AssetQuantity</t>
  </si>
  <si>
    <t>Quantity</t>
    <phoneticPr fontId="2"/>
  </si>
  <si>
    <t>取得価額</t>
    <rPh sb="0" eb="2">
      <t>シュトク</t>
    </rPh>
    <rPh sb="2" eb="4">
      <t>カガク</t>
    </rPh>
    <phoneticPr fontId="2"/>
  </si>
  <si>
    <t>AcquisitionPrice</t>
    <phoneticPr fontId="2"/>
  </si>
  <si>
    <t>AssetAcquisitionMethodId</t>
  </si>
  <si>
    <t>AcquisitionMethod</t>
    <phoneticPr fontId="2"/>
  </si>
  <si>
    <t>取得方法</t>
    <rPh sb="0" eb="2">
      <t>シュトク</t>
    </rPh>
    <rPh sb="2" eb="4">
      <t>ホウホウ</t>
    </rPh>
    <phoneticPr fontId="2"/>
  </si>
  <si>
    <t>DepreciationProfile</t>
    <phoneticPr fontId="2"/>
  </si>
  <si>
    <t>減価償却プロファイル</t>
    <rPh sb="0" eb="2">
      <t>ゲンカ</t>
    </rPh>
    <rPh sb="2" eb="4">
      <t>ショウキャク</t>
    </rPh>
    <phoneticPr fontId="2"/>
  </si>
  <si>
    <t>主要タイプ</t>
    <rPh sb="0" eb="2">
      <t>シュヨウ</t>
    </rPh>
    <phoneticPr fontId="2"/>
  </si>
  <si>
    <t>AssetType_JP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</si>
</sst>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5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sz val="9"/>
      <name val="Meiryo UI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5" fillId="0" borderId="0"/>
  </cellStyleXfs>
  <cellXfs count="141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49" fontId="8" fillId="0" borderId="3" xfId="2" quotePrefix="1" applyNumberFormat="1" applyFont="1" applyBorder="1" applyAlignment="1">
      <alignment horizontal="left" vertical="center"/>
    </xf>
    <xf numFmtId="0" fontId="23" fillId="0" borderId="38" xfId="0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0" fontId="23" fillId="0" borderId="37" xfId="0" applyFont="1" applyBorder="1"/>
    <xf numFmtId="0" fontId="24" fillId="0" borderId="3" xfId="7" applyFont="1" applyBorder="1" applyAlignment="1">
      <alignment vertical="top"/>
    </xf>
    <xf numFmtId="0" fontId="23" fillId="0" borderId="37" xfId="0" applyFont="1" applyBorder="1" applyAlignment="1">
      <alignment horizontal="left"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 wrapText="1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9" fillId="3" borderId="3" xfId="2" applyFont="1" applyFill="1" applyBorder="1" applyAlignment="1">
      <alignment horizontal="left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3" xfId="2" applyFont="1" applyBorder="1" applyAlignment="1">
      <alignment horizontal="left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2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0" fontId="10" fillId="0" borderId="2" xfId="3" applyFont="1" applyBorder="1" applyAlignment="1">
      <alignment horizontal="center"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10" fillId="0" borderId="3" xfId="3" applyFont="1" applyBorder="1" applyAlignment="1">
      <alignment horizontal="center"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2" fillId="3" borderId="4" xfId="3" applyFont="1" applyFill="1" applyBorder="1" applyAlignment="1">
      <alignment vertical="center"/>
    </xf>
    <xf numFmtId="0" fontId="23" fillId="0" borderId="37" xfId="0" applyNumberFormat="1" applyFont="1" applyBorder="1"/>
    <xf numFmtId="0" fontId="10" fillId="0" borderId="37" xfId="0" applyNumberFormat="1" applyFont="1" applyBorder="1"/>
    <xf numFmtId="0" fontId="8" fillId="0" borderId="3" xfId="2" applyNumberFormat="1" applyFont="1" applyBorder="1" applyAlignment="1">
      <alignment horizontal="right" vertical="center"/>
    </xf>
  </cellXfs>
  <cellStyles count="8">
    <cellStyle name="標準" xfId="0" builtinId="0"/>
    <cellStyle name="標準 2" xfId="2" xr:uid="{7B5B8620-8D9A-4231-A5B6-4A01EA93306A}"/>
    <cellStyle name="標準 2 2" xfId="4" xr:uid="{CD08377E-8BA4-43D5-9D67-923A941C42ED}"/>
    <cellStyle name="標準 2 2 2" xfId="7" xr:uid="{AB97D187-26B9-4F83-989B-5CC95397F039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3" t="str">
            <v>I/O</v>
          </cell>
          <cell r="H3" t="str">
            <v>テーブル</v>
          </cell>
          <cell r="I3" t="str">
            <v>Class</v>
          </cell>
          <cell r="K3" t="str">
            <v>必須</v>
          </cell>
          <cell r="L3" t="str">
            <v>ヘッダー</v>
          </cell>
        </row>
        <row r="4">
          <cell r="B4" t="str">
            <v>I</v>
          </cell>
          <cell r="H4" t="str">
            <v>ビュー</v>
          </cell>
          <cell r="I4" t="str">
            <v>Form Class</v>
          </cell>
          <cell r="K4" t="str">
            <v>顧客マスタ</v>
          </cell>
          <cell r="L4" t="str">
            <v>明細行</v>
          </cell>
        </row>
        <row r="5">
          <cell r="B5" t="str">
            <v>O</v>
          </cell>
          <cell r="I5" t="str">
            <v>Table Class</v>
          </cell>
          <cell r="K5" t="str">
            <v>製品マスタ</v>
          </cell>
          <cell r="L5" t="str">
            <v>ヘッダー/明細行</v>
          </cell>
        </row>
        <row r="6">
          <cell r="I6" t="str">
            <v>Macro</v>
          </cell>
          <cell r="K6" t="str">
            <v>ユーザ入力</v>
          </cell>
        </row>
        <row r="7">
          <cell r="K7" t="str">
            <v>自動入力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tabSelected="1" zoomScaleNormal="100" workbookViewId="0">
      <selection sqref="A1:E1"/>
    </sheetView>
  </sheetViews>
  <sheetFormatPr defaultColWidth="2.5" defaultRowHeight="15" customHeight="1"/>
  <cols>
    <col min="1" max="16384" width="2.5" style="12"/>
  </cols>
  <sheetData>
    <row r="1" spans="1:68" s="13" customFormat="1" ht="15" customHeight="1" thickBot="1">
      <c r="A1" s="28" t="s">
        <v>0</v>
      </c>
      <c r="B1" s="29"/>
      <c r="C1" s="29"/>
      <c r="D1" s="29"/>
      <c r="E1" s="30"/>
      <c r="F1" s="31" t="s">
        <v>1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3"/>
      <c r="W1" s="34" t="s">
        <v>2</v>
      </c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6"/>
      <c r="AR1" s="34" t="s">
        <v>3</v>
      </c>
      <c r="AS1" s="35"/>
      <c r="AT1" s="35"/>
      <c r="AU1" s="35"/>
      <c r="AV1" s="35"/>
      <c r="AW1" s="35"/>
      <c r="AX1" s="35"/>
      <c r="AY1" s="35"/>
      <c r="AZ1" s="36"/>
      <c r="BA1" s="34" t="s">
        <v>4</v>
      </c>
      <c r="BB1" s="35"/>
      <c r="BC1" s="35"/>
      <c r="BD1" s="35"/>
      <c r="BE1" s="35"/>
      <c r="BF1" s="35"/>
      <c r="BG1" s="35"/>
      <c r="BH1" s="35"/>
      <c r="BI1" s="36"/>
      <c r="BJ1" s="12"/>
      <c r="BK1" s="12"/>
      <c r="BL1" s="12"/>
      <c r="BM1" s="12"/>
      <c r="BN1" s="12"/>
      <c r="BO1" s="12"/>
      <c r="BP1" s="12"/>
    </row>
    <row r="2" spans="1:68" s="13" customFormat="1" ht="15" customHeight="1">
      <c r="A2" s="37" t="s">
        <v>5</v>
      </c>
      <c r="B2" s="38"/>
      <c r="C2" s="38"/>
      <c r="D2" s="38"/>
      <c r="E2" s="39"/>
      <c r="F2" s="43" t="s">
        <v>84</v>
      </c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5"/>
      <c r="W2" s="49" t="s">
        <v>6</v>
      </c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1"/>
      <c r="AR2" s="55" t="s">
        <v>7</v>
      </c>
      <c r="AS2" s="56"/>
      <c r="AT2" s="57">
        <f>A6</f>
        <v>45812</v>
      </c>
      <c r="AU2" s="58"/>
      <c r="AV2" s="58"/>
      <c r="AW2" s="58"/>
      <c r="AX2" s="58"/>
      <c r="AY2" s="58"/>
      <c r="AZ2" s="59"/>
      <c r="BA2" s="60" t="str">
        <f>AZ6</f>
        <v>JBS石岡</v>
      </c>
      <c r="BB2" s="61"/>
      <c r="BC2" s="61"/>
      <c r="BD2" s="61"/>
      <c r="BE2" s="61"/>
      <c r="BF2" s="61"/>
      <c r="BG2" s="61"/>
      <c r="BH2" s="61"/>
      <c r="BI2" s="62"/>
      <c r="BJ2" s="12"/>
      <c r="BK2" s="12"/>
      <c r="BL2" s="12"/>
      <c r="BM2" s="12"/>
      <c r="BN2" s="12"/>
      <c r="BO2" s="12"/>
      <c r="BP2" s="12"/>
    </row>
    <row r="3" spans="1:68" s="13" customFormat="1" ht="15" customHeight="1" thickBot="1">
      <c r="A3" s="40"/>
      <c r="B3" s="41"/>
      <c r="C3" s="41"/>
      <c r="D3" s="41"/>
      <c r="E3" s="42"/>
      <c r="F3" s="46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8"/>
      <c r="W3" s="52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4"/>
      <c r="AR3" s="63" t="s">
        <v>8</v>
      </c>
      <c r="AS3" s="64"/>
      <c r="AT3" s="65" cm="1">
        <f t="array" aca="1" ref="AT3" ca="1">IF(OR(COUNTA(A:E)=3),"",INDIRECT("A"&amp;COUNTA(A:E)+2))</f>
        <v>45812</v>
      </c>
      <c r="AU3" s="66"/>
      <c r="AV3" s="66"/>
      <c r="AW3" s="66"/>
      <c r="AX3" s="66"/>
      <c r="AY3" s="66"/>
      <c r="AZ3" s="67"/>
      <c r="BA3" s="68" t="str">
        <f ca="1">IF(COUNTA(AZ5:BD100000)=1,"",INDIRECT("変更履歴!AZ"&amp;COUNTA(AZ5:BD100000)+4))</f>
        <v>JBS石岡</v>
      </c>
      <c r="BB3" s="69"/>
      <c r="BC3" s="69"/>
      <c r="BD3" s="69"/>
      <c r="BE3" s="69"/>
      <c r="BF3" s="69"/>
      <c r="BG3" s="69"/>
      <c r="BH3" s="69"/>
      <c r="BI3" s="70"/>
      <c r="BJ3" s="12"/>
      <c r="BK3" s="12"/>
      <c r="BL3" s="12"/>
      <c r="BM3" s="12"/>
      <c r="BN3" s="12"/>
      <c r="BO3" s="12"/>
      <c r="BP3" s="12"/>
    </row>
    <row r="4" spans="1:68" ht="15" customHeight="1" thickBo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</row>
    <row r="5" spans="1:68" s="15" customFormat="1" ht="15" customHeight="1" thickBot="1">
      <c r="A5" s="71" t="s">
        <v>9</v>
      </c>
      <c r="B5" s="71"/>
      <c r="C5" s="71"/>
      <c r="D5" s="71"/>
      <c r="E5" s="71"/>
      <c r="F5" s="71" t="s">
        <v>10</v>
      </c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 t="s">
        <v>11</v>
      </c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 t="s">
        <v>12</v>
      </c>
      <c r="BA5" s="71"/>
      <c r="BB5" s="71"/>
      <c r="BC5" s="71"/>
      <c r="BD5" s="71"/>
      <c r="BE5" s="71" t="s">
        <v>13</v>
      </c>
      <c r="BF5" s="71"/>
      <c r="BG5" s="71"/>
      <c r="BH5" s="71"/>
      <c r="BI5" s="71"/>
    </row>
    <row r="6" spans="1:68" ht="13.5">
      <c r="A6" s="72">
        <v>45812</v>
      </c>
      <c r="B6" s="72"/>
      <c r="C6" s="72"/>
      <c r="D6" s="72"/>
      <c r="E6" s="72"/>
      <c r="F6" s="73" t="s">
        <v>14</v>
      </c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4" t="s">
        <v>14</v>
      </c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5" t="s">
        <v>83</v>
      </c>
      <c r="BA6" s="75"/>
      <c r="BB6" s="75"/>
      <c r="BC6" s="75"/>
      <c r="BD6" s="75"/>
      <c r="BE6" s="76" t="s">
        <v>15</v>
      </c>
      <c r="BF6" s="77"/>
      <c r="BG6" s="77"/>
      <c r="BH6" s="77"/>
      <c r="BI6" s="77"/>
    </row>
    <row r="7" spans="1:68" ht="13.5">
      <c r="A7" s="78"/>
      <c r="B7" s="78"/>
      <c r="C7" s="78"/>
      <c r="D7" s="78"/>
      <c r="E7" s="78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80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2"/>
      <c r="BA7" s="82"/>
      <c r="BB7" s="82"/>
      <c r="BC7" s="82"/>
      <c r="BD7" s="82"/>
      <c r="BE7" s="83"/>
      <c r="BF7" s="83"/>
      <c r="BG7" s="83"/>
      <c r="BH7" s="83"/>
      <c r="BI7" s="83"/>
    </row>
    <row r="8" spans="1:68" ht="13.5">
      <c r="A8" s="78"/>
      <c r="B8" s="78"/>
      <c r="C8" s="78"/>
      <c r="D8" s="78"/>
      <c r="E8" s="78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80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2"/>
      <c r="BA8" s="82"/>
      <c r="BB8" s="82"/>
      <c r="BC8" s="82"/>
      <c r="BD8" s="82"/>
      <c r="BE8" s="83"/>
      <c r="BF8" s="83"/>
      <c r="BG8" s="83"/>
      <c r="BH8" s="83"/>
      <c r="BI8" s="83"/>
    </row>
    <row r="9" spans="1:68" ht="13.5">
      <c r="A9" s="78"/>
      <c r="B9" s="78"/>
      <c r="C9" s="78"/>
      <c r="D9" s="78"/>
      <c r="E9" s="7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80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2"/>
      <c r="BA9" s="82"/>
      <c r="BB9" s="82"/>
      <c r="BC9" s="82"/>
      <c r="BD9" s="82"/>
      <c r="BE9" s="83"/>
      <c r="BF9" s="83"/>
      <c r="BG9" s="83"/>
      <c r="BH9" s="83"/>
      <c r="BI9" s="83"/>
    </row>
    <row r="10" spans="1:68" ht="15" customHeight="1">
      <c r="A10" s="78"/>
      <c r="B10" s="78"/>
      <c r="C10" s="78"/>
      <c r="D10" s="78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2"/>
      <c r="BA10" s="82"/>
      <c r="BB10" s="82"/>
      <c r="BC10" s="82"/>
      <c r="BD10" s="82"/>
      <c r="BE10" s="83"/>
      <c r="BF10" s="83"/>
      <c r="BG10" s="83"/>
      <c r="BH10" s="83"/>
      <c r="BI10" s="83"/>
    </row>
    <row r="11" spans="1:68" ht="15" customHeight="1">
      <c r="A11" s="78"/>
      <c r="B11" s="78"/>
      <c r="C11" s="78"/>
      <c r="D11" s="78"/>
      <c r="E11" s="78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2"/>
      <c r="BA11" s="82"/>
      <c r="BB11" s="82"/>
      <c r="BC11" s="82"/>
      <c r="BD11" s="82"/>
      <c r="BE11" s="83"/>
      <c r="BF11" s="83"/>
      <c r="BG11" s="83"/>
      <c r="BH11" s="83"/>
      <c r="BI11" s="83"/>
    </row>
    <row r="12" spans="1:68" ht="15" customHeight="1">
      <c r="A12" s="78"/>
      <c r="B12" s="78"/>
      <c r="C12" s="78"/>
      <c r="D12" s="78"/>
      <c r="E12" s="78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2"/>
      <c r="BA12" s="82"/>
      <c r="BB12" s="82"/>
      <c r="BC12" s="82"/>
      <c r="BD12" s="82"/>
      <c r="BE12" s="83"/>
      <c r="BF12" s="83"/>
      <c r="BG12" s="83"/>
      <c r="BH12" s="83"/>
      <c r="BI12" s="83"/>
    </row>
    <row r="13" spans="1:68" ht="15" customHeight="1">
      <c r="A13" s="78"/>
      <c r="B13" s="78"/>
      <c r="C13" s="78"/>
      <c r="D13" s="78"/>
      <c r="E13" s="78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2"/>
      <c r="BA13" s="82"/>
      <c r="BB13" s="82"/>
      <c r="BC13" s="82"/>
      <c r="BD13" s="82"/>
      <c r="BE13" s="83"/>
      <c r="BF13" s="83"/>
      <c r="BG13" s="83"/>
      <c r="BH13" s="83"/>
      <c r="BI13" s="83"/>
    </row>
    <row r="14" spans="1:68" ht="15" customHeight="1">
      <c r="A14" s="78"/>
      <c r="B14" s="78"/>
      <c r="C14" s="78"/>
      <c r="D14" s="78"/>
      <c r="E14" s="78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2"/>
      <c r="BA14" s="82"/>
      <c r="BB14" s="82"/>
      <c r="BC14" s="82"/>
      <c r="BD14" s="82"/>
      <c r="BE14" s="83"/>
      <c r="BF14" s="83"/>
      <c r="BG14" s="83"/>
      <c r="BH14" s="83"/>
      <c r="BI14" s="83"/>
    </row>
    <row r="15" spans="1:68" ht="15" customHeight="1">
      <c r="A15" s="78"/>
      <c r="B15" s="78"/>
      <c r="C15" s="78"/>
      <c r="D15" s="78"/>
      <c r="E15" s="78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2"/>
      <c r="BA15" s="82"/>
      <c r="BB15" s="82"/>
      <c r="BC15" s="82"/>
      <c r="BD15" s="82"/>
      <c r="BE15" s="83"/>
      <c r="BF15" s="83"/>
      <c r="BG15" s="83"/>
      <c r="BH15" s="83"/>
      <c r="BI15" s="83"/>
    </row>
    <row r="16" spans="1:68" ht="15" customHeight="1">
      <c r="A16" s="78"/>
      <c r="B16" s="78"/>
      <c r="C16" s="78"/>
      <c r="D16" s="78"/>
      <c r="E16" s="78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2"/>
      <c r="BA16" s="82"/>
      <c r="BB16" s="82"/>
      <c r="BC16" s="82"/>
      <c r="BD16" s="82"/>
      <c r="BE16" s="83"/>
      <c r="BF16" s="83"/>
      <c r="BG16" s="83"/>
      <c r="BH16" s="83"/>
      <c r="BI16" s="83"/>
    </row>
    <row r="17" spans="1:61" ht="15" customHeight="1">
      <c r="A17" s="78"/>
      <c r="B17" s="78"/>
      <c r="C17" s="78"/>
      <c r="D17" s="78"/>
      <c r="E17" s="78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2"/>
      <c r="BA17" s="82"/>
      <c r="BB17" s="82"/>
      <c r="BC17" s="82"/>
      <c r="BD17" s="82"/>
      <c r="BE17" s="83"/>
      <c r="BF17" s="83"/>
      <c r="BG17" s="83"/>
      <c r="BH17" s="83"/>
      <c r="BI17" s="83"/>
    </row>
    <row r="18" spans="1:61" ht="15" customHeight="1">
      <c r="A18" s="78"/>
      <c r="B18" s="78"/>
      <c r="C18" s="78"/>
      <c r="D18" s="78"/>
      <c r="E18" s="78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2"/>
      <c r="BA18" s="82"/>
      <c r="BB18" s="82"/>
      <c r="BC18" s="82"/>
      <c r="BD18" s="82"/>
      <c r="BE18" s="83"/>
      <c r="BF18" s="83"/>
      <c r="BG18" s="83"/>
      <c r="BH18" s="83"/>
      <c r="BI18" s="83"/>
    </row>
    <row r="19" spans="1:61" ht="15" customHeight="1">
      <c r="A19" s="78"/>
      <c r="B19" s="78"/>
      <c r="C19" s="78"/>
      <c r="D19" s="78"/>
      <c r="E19" s="78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2"/>
      <c r="BA19" s="82"/>
      <c r="BB19" s="82"/>
      <c r="BC19" s="82"/>
      <c r="BD19" s="82"/>
      <c r="BE19" s="83"/>
      <c r="BF19" s="83"/>
      <c r="BG19" s="83"/>
      <c r="BH19" s="83"/>
      <c r="BI19" s="83"/>
    </row>
    <row r="20" spans="1:61" ht="15" customHeight="1">
      <c r="A20" s="78"/>
      <c r="B20" s="78"/>
      <c r="C20" s="78"/>
      <c r="D20" s="78"/>
      <c r="E20" s="78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2"/>
      <c r="BA20" s="82"/>
      <c r="BB20" s="82"/>
      <c r="BC20" s="82"/>
      <c r="BD20" s="82"/>
      <c r="BE20" s="83"/>
      <c r="BF20" s="83"/>
      <c r="BG20" s="83"/>
      <c r="BH20" s="83"/>
      <c r="BI20" s="83"/>
    </row>
    <row r="21" spans="1:61" ht="15" customHeight="1">
      <c r="A21" s="78"/>
      <c r="B21" s="78"/>
      <c r="C21" s="78"/>
      <c r="D21" s="78"/>
      <c r="E21" s="78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2"/>
      <c r="BA21" s="82"/>
      <c r="BB21" s="82"/>
      <c r="BC21" s="82"/>
      <c r="BD21" s="82"/>
      <c r="BE21" s="83"/>
      <c r="BF21" s="83"/>
      <c r="BG21" s="83"/>
      <c r="BH21" s="83"/>
      <c r="BI21" s="83"/>
    </row>
    <row r="22" spans="1:61" ht="15" customHeight="1" thickBot="1">
      <c r="A22" s="84"/>
      <c r="B22" s="84"/>
      <c r="C22" s="84"/>
      <c r="D22" s="84"/>
      <c r="E22" s="84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7"/>
      <c r="BA22" s="87"/>
      <c r="BB22" s="87"/>
      <c r="BC22" s="87"/>
      <c r="BD22" s="87"/>
      <c r="BE22" s="88"/>
      <c r="BF22" s="88"/>
      <c r="BG22" s="88"/>
      <c r="BH22" s="88"/>
      <c r="BI22" s="88"/>
    </row>
  </sheetData>
  <mergeCells count="104"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17"/>
  <sheetViews>
    <sheetView showGridLines="0" zoomScaleNormal="100" zoomScaleSheetLayoutView="89" workbookViewId="0"/>
  </sheetViews>
  <sheetFormatPr defaultColWidth="9" defaultRowHeight="12.5"/>
  <cols>
    <col min="1" max="1" width="0.83203125" style="16" customWidth="1"/>
    <col min="2" max="2" width="3.75" style="16" bestFit="1" customWidth="1"/>
    <col min="3" max="3" width="18.58203125" style="16" customWidth="1"/>
    <col min="4" max="4" width="14.08203125" style="16" bestFit="1" customWidth="1"/>
    <col min="5" max="5" width="28.25" style="16" customWidth="1"/>
    <col min="6" max="6" width="9.75" style="16" customWidth="1"/>
    <col min="7" max="7" width="22.33203125" style="16" customWidth="1"/>
    <col min="8" max="8" width="8.75" style="16" customWidth="1"/>
    <col min="9" max="10" width="5.5" style="16" customWidth="1"/>
    <col min="11" max="11" width="2.58203125" style="16" customWidth="1"/>
    <col min="12" max="12" width="17" style="16" customWidth="1"/>
    <col min="13" max="13" width="23.25" style="16" customWidth="1"/>
    <col min="14" max="14" width="0.83203125" style="16" customWidth="1"/>
    <col min="15" max="16384" width="9" style="16"/>
  </cols>
  <sheetData>
    <row r="1" spans="2:13" ht="5.15" customHeight="1"/>
    <row r="2" spans="2:13">
      <c r="B2" s="92" t="s">
        <v>16</v>
      </c>
      <c r="C2" s="92"/>
      <c r="D2" s="92"/>
      <c r="E2" s="92" t="s">
        <v>17</v>
      </c>
      <c r="F2" s="92"/>
      <c r="G2" s="17" t="s">
        <v>18</v>
      </c>
      <c r="H2" s="93">
        <f>変更履歴!AT2</f>
        <v>45812</v>
      </c>
      <c r="I2" s="94"/>
      <c r="J2" s="94"/>
      <c r="K2" s="95"/>
      <c r="L2" s="7" t="s">
        <v>19</v>
      </c>
      <c r="M2" s="3">
        <f ca="1">変更履歴!AT3</f>
        <v>45812</v>
      </c>
    </row>
    <row r="3" spans="2:13">
      <c r="B3" s="96" t="s">
        <v>20</v>
      </c>
      <c r="C3" s="96"/>
      <c r="D3" s="96"/>
      <c r="E3" s="96" t="s">
        <v>21</v>
      </c>
      <c r="F3" s="96"/>
      <c r="G3" s="17" t="s">
        <v>22</v>
      </c>
      <c r="H3" s="97" t="str">
        <f>変更履歴!BA2</f>
        <v>JBS石岡</v>
      </c>
      <c r="I3" s="98"/>
      <c r="J3" s="98"/>
      <c r="K3" s="99"/>
      <c r="L3" s="7" t="s">
        <v>23</v>
      </c>
      <c r="M3" s="2" t="str">
        <f ca="1">変更履歴!BA3</f>
        <v>JBS石岡</v>
      </c>
    </row>
    <row r="4" spans="2:13">
      <c r="B4" s="92" t="s">
        <v>24</v>
      </c>
      <c r="C4" s="92"/>
      <c r="D4" s="6" t="s">
        <v>25</v>
      </c>
      <c r="E4" s="100" t="s">
        <v>26</v>
      </c>
      <c r="F4" s="101"/>
      <c r="G4" s="17" t="s">
        <v>27</v>
      </c>
      <c r="H4" s="102" t="s">
        <v>28</v>
      </c>
      <c r="I4" s="103"/>
      <c r="J4" s="103"/>
      <c r="K4" s="104"/>
      <c r="L4" s="17" t="s">
        <v>29</v>
      </c>
      <c r="M4" s="8"/>
    </row>
    <row r="5" spans="2:13">
      <c r="B5" s="96" t="s">
        <v>86</v>
      </c>
      <c r="C5" s="96"/>
      <c r="D5" s="22" t="s">
        <v>30</v>
      </c>
      <c r="E5" s="89" t="s">
        <v>85</v>
      </c>
      <c r="F5" s="91"/>
      <c r="G5" s="18" t="s">
        <v>31</v>
      </c>
      <c r="H5" s="105"/>
      <c r="I5" s="106"/>
      <c r="J5" s="106"/>
      <c r="K5" s="107"/>
      <c r="L5" s="18" t="s">
        <v>32</v>
      </c>
      <c r="M5" s="19"/>
    </row>
    <row r="6" spans="2:13" ht="5.15" customHeight="1"/>
    <row r="7" spans="2:13" ht="13" thickBot="1">
      <c r="B7" s="5" t="s">
        <v>33</v>
      </c>
      <c r="C7" s="5" t="s">
        <v>34</v>
      </c>
      <c r="D7" s="5" t="s">
        <v>25</v>
      </c>
      <c r="E7" s="5" t="s">
        <v>35</v>
      </c>
      <c r="F7" s="5" t="s">
        <v>36</v>
      </c>
      <c r="G7" s="5" t="s">
        <v>37</v>
      </c>
      <c r="H7" s="5" t="s">
        <v>38</v>
      </c>
      <c r="I7" s="5" t="s">
        <v>39</v>
      </c>
      <c r="J7" s="5" t="s">
        <v>40</v>
      </c>
      <c r="K7" s="108"/>
      <c r="L7" s="108"/>
      <c r="M7" s="109"/>
    </row>
    <row r="8" spans="2:13">
      <c r="B8" s="2">
        <f t="shared" ref="B8:B17" si="0">ROW()-7</f>
        <v>1</v>
      </c>
      <c r="C8" s="23" t="s">
        <v>88</v>
      </c>
      <c r="D8" s="1" t="s">
        <v>30</v>
      </c>
      <c r="E8" s="25" t="s">
        <v>87</v>
      </c>
      <c r="F8" s="25" t="s">
        <v>89</v>
      </c>
      <c r="G8" s="25" t="s">
        <v>30</v>
      </c>
      <c r="H8" s="138" t="s">
        <v>30</v>
      </c>
      <c r="I8" s="2" t="s">
        <v>42</v>
      </c>
      <c r="J8" s="2" t="s">
        <v>42</v>
      </c>
      <c r="K8" s="89"/>
      <c r="L8" s="90"/>
      <c r="M8" s="91"/>
    </row>
    <row r="9" spans="2:13">
      <c r="B9" s="2">
        <f t="shared" si="0"/>
        <v>2</v>
      </c>
      <c r="C9" s="24" t="s">
        <v>43</v>
      </c>
      <c r="D9" s="1" t="s">
        <v>30</v>
      </c>
      <c r="E9" s="25" t="s">
        <v>44</v>
      </c>
      <c r="F9" s="25" t="s">
        <v>41</v>
      </c>
      <c r="G9" s="25" t="s">
        <v>45</v>
      </c>
      <c r="H9" s="138">
        <v>20</v>
      </c>
      <c r="I9" s="2" t="s">
        <v>42</v>
      </c>
      <c r="J9" s="2" t="s">
        <v>42</v>
      </c>
      <c r="K9" s="89"/>
      <c r="L9" s="90"/>
      <c r="M9" s="91"/>
    </row>
    <row r="10" spans="2:13">
      <c r="B10" s="2">
        <f t="shared" si="0"/>
        <v>3</v>
      </c>
      <c r="C10" s="24" t="s">
        <v>46</v>
      </c>
      <c r="D10" s="1" t="s">
        <v>30</v>
      </c>
      <c r="E10" s="25" t="s">
        <v>47</v>
      </c>
      <c r="F10" s="25" t="s">
        <v>41</v>
      </c>
      <c r="G10" s="25" t="s">
        <v>47</v>
      </c>
      <c r="H10" s="138">
        <v>150</v>
      </c>
      <c r="I10" s="2" t="s">
        <v>42</v>
      </c>
      <c r="J10" s="2" t="s">
        <v>42</v>
      </c>
      <c r="K10" s="89"/>
      <c r="L10" s="90"/>
      <c r="M10" s="91"/>
    </row>
    <row r="11" spans="2:13">
      <c r="B11" s="2">
        <f t="shared" si="0"/>
        <v>4</v>
      </c>
      <c r="C11" s="20" t="s">
        <v>100</v>
      </c>
      <c r="D11" s="1" t="s">
        <v>30</v>
      </c>
      <c r="E11" s="1" t="s">
        <v>101</v>
      </c>
      <c r="F11" s="21" t="s">
        <v>48</v>
      </c>
      <c r="G11" s="1" t="s">
        <v>101</v>
      </c>
      <c r="H11" s="138" t="s">
        <v>30</v>
      </c>
      <c r="I11" s="2" t="s">
        <v>42</v>
      </c>
      <c r="J11" s="2" t="s">
        <v>42</v>
      </c>
      <c r="K11" s="89"/>
      <c r="L11" s="90"/>
      <c r="M11" s="91"/>
    </row>
    <row r="12" spans="2:13">
      <c r="B12" s="2">
        <f t="shared" si="0"/>
        <v>5</v>
      </c>
      <c r="C12" s="1" t="s">
        <v>90</v>
      </c>
      <c r="D12" s="1" t="s">
        <v>30</v>
      </c>
      <c r="E12" s="20" t="s">
        <v>92</v>
      </c>
      <c r="F12" s="25" t="s">
        <v>53</v>
      </c>
      <c r="G12" s="20" t="s">
        <v>91</v>
      </c>
      <c r="H12" s="138" t="s">
        <v>30</v>
      </c>
      <c r="I12" s="2" t="s">
        <v>42</v>
      </c>
      <c r="J12" s="2" t="s">
        <v>42</v>
      </c>
      <c r="K12" s="89"/>
      <c r="L12" s="90"/>
      <c r="M12" s="91"/>
    </row>
    <row r="13" spans="2:13">
      <c r="B13" s="2">
        <f t="shared" si="0"/>
        <v>6</v>
      </c>
      <c r="C13" s="26" t="s">
        <v>54</v>
      </c>
      <c r="D13" s="1" t="s">
        <v>30</v>
      </c>
      <c r="E13" s="25" t="s">
        <v>55</v>
      </c>
      <c r="F13" s="25" t="s">
        <v>53</v>
      </c>
      <c r="G13" s="25" t="s">
        <v>56</v>
      </c>
      <c r="H13" s="138" t="s">
        <v>30</v>
      </c>
      <c r="I13" s="2" t="s">
        <v>42</v>
      </c>
      <c r="J13" s="2" t="s">
        <v>42</v>
      </c>
      <c r="K13" s="89"/>
      <c r="L13" s="90"/>
      <c r="M13" s="91"/>
    </row>
    <row r="14" spans="2:13" ht="12.65" customHeight="1">
      <c r="B14" s="2">
        <f t="shared" si="0"/>
        <v>7</v>
      </c>
      <c r="C14" s="24" t="s">
        <v>49</v>
      </c>
      <c r="D14" s="1" t="s">
        <v>30</v>
      </c>
      <c r="E14" s="27" t="s">
        <v>50</v>
      </c>
      <c r="F14" s="25" t="s">
        <v>51</v>
      </c>
      <c r="G14" s="25" t="s">
        <v>52</v>
      </c>
      <c r="H14" s="138" t="s">
        <v>30</v>
      </c>
      <c r="I14" s="2" t="s">
        <v>42</v>
      </c>
      <c r="J14" s="2" t="s">
        <v>42</v>
      </c>
      <c r="K14" s="89"/>
      <c r="L14" s="90"/>
      <c r="M14" s="91"/>
    </row>
    <row r="15" spans="2:13">
      <c r="B15" s="2">
        <f t="shared" si="0"/>
        <v>8</v>
      </c>
      <c r="C15" s="1" t="s">
        <v>93</v>
      </c>
      <c r="D15" s="1" t="s">
        <v>30</v>
      </c>
      <c r="E15" s="20" t="s">
        <v>94</v>
      </c>
      <c r="F15" s="25" t="s">
        <v>53</v>
      </c>
      <c r="G15" s="20" t="s">
        <v>58</v>
      </c>
      <c r="H15" s="138" t="s">
        <v>30</v>
      </c>
      <c r="I15" s="2" t="s">
        <v>42</v>
      </c>
      <c r="J15" s="2" t="s">
        <v>42</v>
      </c>
      <c r="K15" s="89"/>
      <c r="L15" s="90"/>
      <c r="M15" s="91"/>
    </row>
    <row r="16" spans="2:13">
      <c r="B16" s="2">
        <f t="shared" si="0"/>
        <v>9</v>
      </c>
      <c r="C16" s="20" t="s">
        <v>97</v>
      </c>
      <c r="D16" s="1" t="s">
        <v>30</v>
      </c>
      <c r="E16" s="1" t="s">
        <v>96</v>
      </c>
      <c r="F16" s="21" t="s">
        <v>57</v>
      </c>
      <c r="G16" s="1" t="s">
        <v>95</v>
      </c>
      <c r="H16" s="139">
        <v>20</v>
      </c>
      <c r="I16" s="2" t="s">
        <v>42</v>
      </c>
      <c r="J16" s="2" t="s">
        <v>42</v>
      </c>
      <c r="K16" s="89"/>
      <c r="L16" s="90"/>
      <c r="M16" s="91"/>
    </row>
    <row r="17" spans="2:13">
      <c r="B17" s="2">
        <f t="shared" si="0"/>
        <v>10</v>
      </c>
      <c r="C17" s="20" t="s">
        <v>99</v>
      </c>
      <c r="D17" s="1" t="s">
        <v>30</v>
      </c>
      <c r="E17" s="1" t="s">
        <v>98</v>
      </c>
      <c r="F17" s="21" t="s">
        <v>57</v>
      </c>
      <c r="G17" s="1" t="s">
        <v>30</v>
      </c>
      <c r="H17" s="140">
        <v>10</v>
      </c>
      <c r="I17" s="2" t="s">
        <v>42</v>
      </c>
      <c r="J17" s="2" t="s">
        <v>42</v>
      </c>
      <c r="K17" s="89"/>
      <c r="L17" s="90"/>
      <c r="M17" s="91"/>
    </row>
  </sheetData>
  <mergeCells count="23">
    <mergeCell ref="K7:M7"/>
    <mergeCell ref="B4:C4"/>
    <mergeCell ref="E4:F4"/>
    <mergeCell ref="H4:K4"/>
    <mergeCell ref="B5:C5"/>
    <mergeCell ref="E5:F5"/>
    <mergeCell ref="H5:K5"/>
    <mergeCell ref="B2:D2"/>
    <mergeCell ref="E2:F2"/>
    <mergeCell ref="H2:K2"/>
    <mergeCell ref="B3:D3"/>
    <mergeCell ref="E3:F3"/>
    <mergeCell ref="H3:K3"/>
    <mergeCell ref="K8:M8"/>
    <mergeCell ref="K9:M9"/>
    <mergeCell ref="K10:M10"/>
    <mergeCell ref="K14:M14"/>
    <mergeCell ref="K13:M13"/>
    <mergeCell ref="K17:M17"/>
    <mergeCell ref="K11:M11"/>
    <mergeCell ref="K16:M16"/>
    <mergeCell ref="K12:M12"/>
    <mergeCell ref="K15:M15"/>
  </mergeCells>
  <phoneticPr fontId="2"/>
  <dataValidations disablePrompts="1" count="1">
    <dataValidation type="list" allowBlank="1" showInputMessage="1" showErrorMessage="1" sqref="I17:J17 I8:J16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="90" zoomScaleNormal="90" zoomScaleSheetLayoutView="100" workbookViewId="0">
      <selection sqref="A1:BG1"/>
    </sheetView>
  </sheetViews>
  <sheetFormatPr defaultColWidth="2.58203125" defaultRowHeight="16.5" customHeight="1"/>
  <cols>
    <col min="1" max="12" width="2.58203125" style="4"/>
    <col min="13" max="17" width="3.33203125" style="4" customWidth="1"/>
    <col min="18" max="22" width="2.58203125" style="4"/>
    <col min="23" max="27" width="3.58203125" style="4" customWidth="1"/>
    <col min="28" max="16384" width="2.58203125" style="4"/>
  </cols>
  <sheetData>
    <row r="1" spans="1:59" ht="11.25" customHeight="1">
      <c r="A1" s="127" t="s">
        <v>59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37"/>
    </row>
    <row r="2" spans="1:59" ht="11.25" customHeight="1">
      <c r="A2" s="129" t="s">
        <v>33</v>
      </c>
      <c r="B2" s="130"/>
      <c r="C2" s="129" t="s">
        <v>60</v>
      </c>
      <c r="D2" s="131"/>
      <c r="E2" s="131"/>
      <c r="F2" s="131"/>
      <c r="G2" s="131"/>
      <c r="H2" s="131"/>
      <c r="I2" s="131"/>
      <c r="J2" s="131"/>
      <c r="K2" s="131"/>
      <c r="L2" s="130"/>
      <c r="M2" s="129" t="s">
        <v>61</v>
      </c>
      <c r="N2" s="131"/>
      <c r="O2" s="131"/>
      <c r="P2" s="130"/>
      <c r="Q2" s="129" t="s">
        <v>62</v>
      </c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1"/>
      <c r="AZ2" s="131"/>
      <c r="BA2" s="130"/>
      <c r="BB2" s="129" t="s">
        <v>63</v>
      </c>
      <c r="BC2" s="131"/>
      <c r="BD2" s="131"/>
      <c r="BE2" s="131"/>
      <c r="BF2" s="131"/>
      <c r="BG2" s="130"/>
    </row>
    <row r="3" spans="1:59" ht="11.25" customHeight="1">
      <c r="A3" s="118">
        <v>1</v>
      </c>
      <c r="B3" s="119"/>
      <c r="C3" s="120"/>
      <c r="D3" s="121"/>
      <c r="E3" s="121"/>
      <c r="F3" s="121"/>
      <c r="G3" s="121"/>
      <c r="H3" s="121"/>
      <c r="I3" s="121"/>
      <c r="J3" s="121"/>
      <c r="K3" s="121"/>
      <c r="L3" s="122"/>
      <c r="M3" s="134"/>
      <c r="N3" s="135"/>
      <c r="O3" s="135"/>
      <c r="P3" s="136"/>
      <c r="Q3" s="120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2"/>
      <c r="BB3" s="120"/>
      <c r="BC3" s="121"/>
      <c r="BD3" s="121"/>
      <c r="BE3" s="121"/>
      <c r="BF3" s="121"/>
      <c r="BG3" s="122"/>
    </row>
    <row r="4" spans="1:59" ht="11.25" customHeight="1">
      <c r="A4" s="118">
        <v>2</v>
      </c>
      <c r="B4" s="119"/>
      <c r="C4" s="120"/>
      <c r="D4" s="121"/>
      <c r="E4" s="121"/>
      <c r="F4" s="121"/>
      <c r="G4" s="121"/>
      <c r="H4" s="121"/>
      <c r="I4" s="121"/>
      <c r="J4" s="121"/>
      <c r="K4" s="121"/>
      <c r="L4" s="122"/>
      <c r="M4" s="134"/>
      <c r="N4" s="135"/>
      <c r="O4" s="135"/>
      <c r="P4" s="136"/>
      <c r="Q4" s="120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2"/>
      <c r="BB4" s="120"/>
      <c r="BC4" s="121"/>
      <c r="BD4" s="121"/>
      <c r="BE4" s="121"/>
      <c r="BF4" s="121"/>
      <c r="BG4" s="122"/>
    </row>
    <row r="5" spans="1:59" ht="11.25" customHeight="1">
      <c r="A5" s="118">
        <v>3</v>
      </c>
      <c r="B5" s="119"/>
      <c r="C5" s="120"/>
      <c r="D5" s="121"/>
      <c r="E5" s="121"/>
      <c r="F5" s="121"/>
      <c r="G5" s="121"/>
      <c r="H5" s="121"/>
      <c r="I5" s="121"/>
      <c r="J5" s="121"/>
      <c r="K5" s="121"/>
      <c r="L5" s="122"/>
      <c r="M5" s="134"/>
      <c r="N5" s="135"/>
      <c r="O5" s="135"/>
      <c r="P5" s="136"/>
      <c r="Q5" s="120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2"/>
      <c r="BB5" s="120"/>
      <c r="BC5" s="121"/>
      <c r="BD5" s="121"/>
      <c r="BE5" s="121"/>
      <c r="BF5" s="121"/>
      <c r="BG5" s="122"/>
    </row>
    <row r="6" spans="1:59" ht="11.25" customHeight="1">
      <c r="A6" s="118">
        <v>4</v>
      </c>
      <c r="B6" s="119"/>
      <c r="C6" s="120"/>
      <c r="D6" s="121"/>
      <c r="E6" s="121"/>
      <c r="F6" s="121"/>
      <c r="G6" s="121"/>
      <c r="H6" s="121"/>
      <c r="I6" s="121"/>
      <c r="J6" s="121"/>
      <c r="K6" s="121"/>
      <c r="L6" s="122"/>
      <c r="M6" s="134"/>
      <c r="N6" s="135"/>
      <c r="O6" s="135"/>
      <c r="P6" s="136"/>
      <c r="Q6" s="120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2"/>
      <c r="BB6" s="120"/>
      <c r="BC6" s="121"/>
      <c r="BD6" s="121"/>
      <c r="BE6" s="121"/>
      <c r="BF6" s="121"/>
      <c r="BG6" s="122"/>
    </row>
    <row r="7" spans="1:59" ht="11.25" customHeight="1">
      <c r="A7" s="118">
        <v>5</v>
      </c>
      <c r="B7" s="119"/>
      <c r="C7" s="120"/>
      <c r="D7" s="121"/>
      <c r="E7" s="121"/>
      <c r="F7" s="121"/>
      <c r="G7" s="121"/>
      <c r="H7" s="121"/>
      <c r="I7" s="121"/>
      <c r="J7" s="121"/>
      <c r="K7" s="121"/>
      <c r="L7" s="122"/>
      <c r="M7" s="134"/>
      <c r="N7" s="135"/>
      <c r="O7" s="135"/>
      <c r="P7" s="136"/>
      <c r="Q7" s="120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2"/>
      <c r="BB7" s="120"/>
      <c r="BC7" s="121"/>
      <c r="BD7" s="121"/>
      <c r="BE7" s="121"/>
      <c r="BF7" s="121"/>
      <c r="BG7" s="122"/>
    </row>
    <row r="8" spans="1:59" ht="11.25" customHeight="1">
      <c r="A8" s="127" t="s">
        <v>64</v>
      </c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8"/>
      <c r="AZ8" s="128"/>
      <c r="BA8" s="128"/>
      <c r="BB8" s="128"/>
      <c r="BC8" s="128"/>
      <c r="BD8" s="128"/>
      <c r="BE8" s="128"/>
      <c r="BF8" s="128"/>
      <c r="BG8" s="128"/>
    </row>
    <row r="9" spans="1:59" ht="11.25" customHeight="1">
      <c r="A9" s="129" t="s">
        <v>33</v>
      </c>
      <c r="B9" s="130"/>
      <c r="C9" s="129" t="s">
        <v>65</v>
      </c>
      <c r="D9" s="131"/>
      <c r="E9" s="131"/>
      <c r="F9" s="131"/>
      <c r="G9" s="131"/>
      <c r="H9" s="131"/>
      <c r="I9" s="131"/>
      <c r="J9" s="131"/>
      <c r="K9" s="131"/>
      <c r="L9" s="130"/>
      <c r="M9" s="129" t="s">
        <v>66</v>
      </c>
      <c r="N9" s="131"/>
      <c r="O9" s="130"/>
      <c r="P9" s="129" t="s">
        <v>62</v>
      </c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1"/>
      <c r="AO9" s="131"/>
      <c r="AP9" s="130"/>
      <c r="AQ9" s="129" t="s">
        <v>63</v>
      </c>
      <c r="AR9" s="131"/>
      <c r="AS9" s="131"/>
      <c r="AT9" s="131"/>
      <c r="AU9" s="131"/>
      <c r="AV9" s="131"/>
      <c r="AW9" s="131"/>
      <c r="AX9" s="131"/>
      <c r="AY9" s="131"/>
      <c r="AZ9" s="131"/>
      <c r="BA9" s="131"/>
      <c r="BB9" s="131"/>
      <c r="BC9" s="131"/>
      <c r="BD9" s="131"/>
      <c r="BE9" s="131"/>
      <c r="BF9" s="131"/>
      <c r="BG9" s="130"/>
    </row>
    <row r="10" spans="1:59" ht="11.25" customHeight="1">
      <c r="A10" s="118">
        <v>1</v>
      </c>
      <c r="B10" s="119"/>
      <c r="C10" s="120"/>
      <c r="D10" s="121"/>
      <c r="E10" s="121"/>
      <c r="F10" s="121"/>
      <c r="G10" s="121"/>
      <c r="H10" s="121"/>
      <c r="I10" s="121"/>
      <c r="J10" s="121"/>
      <c r="K10" s="121"/>
      <c r="L10" s="122"/>
      <c r="M10" s="133"/>
      <c r="N10" s="133"/>
      <c r="O10" s="133"/>
      <c r="P10" s="120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2"/>
      <c r="AQ10" s="120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2"/>
    </row>
    <row r="11" spans="1:59" ht="11.25" customHeight="1">
      <c r="A11" s="118">
        <v>2</v>
      </c>
      <c r="B11" s="119"/>
      <c r="C11" s="120"/>
      <c r="D11" s="121"/>
      <c r="E11" s="121"/>
      <c r="F11" s="121"/>
      <c r="G11" s="121"/>
      <c r="H11" s="121"/>
      <c r="I11" s="121"/>
      <c r="J11" s="121"/>
      <c r="K11" s="121"/>
      <c r="L11" s="122"/>
      <c r="M11" s="133"/>
      <c r="N11" s="133"/>
      <c r="O11" s="133"/>
      <c r="P11" s="120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2"/>
      <c r="AQ11" s="120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2"/>
    </row>
    <row r="12" spans="1:59" ht="11.25" customHeight="1">
      <c r="A12" s="118">
        <v>3</v>
      </c>
      <c r="B12" s="119"/>
      <c r="C12" s="120"/>
      <c r="D12" s="121"/>
      <c r="E12" s="121"/>
      <c r="F12" s="121"/>
      <c r="G12" s="121"/>
      <c r="H12" s="121"/>
      <c r="I12" s="121"/>
      <c r="J12" s="121"/>
      <c r="K12" s="121"/>
      <c r="L12" s="122"/>
      <c r="M12" s="133"/>
      <c r="N12" s="133"/>
      <c r="O12" s="133"/>
      <c r="P12" s="120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2"/>
      <c r="AQ12" s="120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2"/>
    </row>
    <row r="13" spans="1:59" ht="11.25" customHeight="1">
      <c r="A13" s="118">
        <v>4</v>
      </c>
      <c r="B13" s="119"/>
      <c r="C13" s="120"/>
      <c r="D13" s="121"/>
      <c r="E13" s="121"/>
      <c r="F13" s="121"/>
      <c r="G13" s="121"/>
      <c r="H13" s="121"/>
      <c r="I13" s="121"/>
      <c r="J13" s="121"/>
      <c r="K13" s="121"/>
      <c r="L13" s="122"/>
      <c r="M13" s="133"/>
      <c r="N13" s="133"/>
      <c r="O13" s="133"/>
      <c r="P13" s="120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2"/>
      <c r="AQ13" s="120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2"/>
    </row>
    <row r="14" spans="1:59" ht="11.25" customHeight="1">
      <c r="A14" s="118">
        <v>5</v>
      </c>
      <c r="B14" s="119"/>
      <c r="C14" s="120"/>
      <c r="D14" s="121"/>
      <c r="E14" s="121"/>
      <c r="F14" s="121"/>
      <c r="G14" s="121"/>
      <c r="H14" s="121"/>
      <c r="I14" s="121"/>
      <c r="J14" s="121"/>
      <c r="K14" s="121"/>
      <c r="L14" s="122"/>
      <c r="M14" s="133"/>
      <c r="N14" s="133"/>
      <c r="O14" s="133"/>
      <c r="P14" s="120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2"/>
      <c r="AQ14" s="120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2"/>
    </row>
    <row r="15" spans="1:59" ht="11.25" customHeight="1">
      <c r="A15" s="127" t="s">
        <v>67</v>
      </c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8"/>
      <c r="AK15" s="128"/>
      <c r="AL15" s="128"/>
      <c r="AM15" s="128"/>
      <c r="AN15" s="12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</row>
    <row r="16" spans="1:59" ht="11.25" customHeight="1">
      <c r="A16" s="129" t="s">
        <v>33</v>
      </c>
      <c r="B16" s="130"/>
      <c r="C16" s="129" t="s">
        <v>68</v>
      </c>
      <c r="D16" s="131"/>
      <c r="E16" s="131"/>
      <c r="F16" s="131"/>
      <c r="G16" s="131"/>
      <c r="H16" s="131"/>
      <c r="I16" s="131"/>
      <c r="J16" s="131"/>
      <c r="K16" s="131"/>
      <c r="L16" s="130"/>
      <c r="M16" s="129" t="s">
        <v>69</v>
      </c>
      <c r="N16" s="131"/>
      <c r="O16" s="131"/>
      <c r="P16" s="131"/>
      <c r="Q16" s="130"/>
      <c r="R16" s="129" t="s">
        <v>70</v>
      </c>
      <c r="S16" s="131"/>
      <c r="T16" s="131"/>
      <c r="U16" s="131"/>
      <c r="V16" s="130"/>
      <c r="W16" s="129" t="s">
        <v>71</v>
      </c>
      <c r="X16" s="131"/>
      <c r="Y16" s="131"/>
      <c r="Z16" s="131"/>
      <c r="AA16" s="130"/>
      <c r="AB16" s="129" t="s">
        <v>72</v>
      </c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  <c r="AM16" s="131"/>
      <c r="AN16" s="131"/>
      <c r="AO16" s="131"/>
      <c r="AP16" s="131"/>
      <c r="AQ16" s="131"/>
      <c r="AR16" s="131"/>
      <c r="AS16" s="131"/>
      <c r="AT16" s="131"/>
      <c r="AU16" s="131"/>
      <c r="AV16" s="131"/>
      <c r="AW16" s="131"/>
      <c r="AX16" s="131"/>
      <c r="AY16" s="131"/>
      <c r="AZ16" s="131"/>
      <c r="BA16" s="131"/>
      <c r="BB16" s="131"/>
      <c r="BC16" s="131"/>
      <c r="BD16" s="131"/>
      <c r="BE16" s="131"/>
      <c r="BF16" s="131"/>
      <c r="BG16" s="130"/>
    </row>
    <row r="17" spans="1:59" ht="11.25" customHeight="1">
      <c r="A17" s="118">
        <v>1</v>
      </c>
      <c r="B17" s="119"/>
      <c r="C17" s="120"/>
      <c r="D17" s="121"/>
      <c r="E17" s="121"/>
      <c r="F17" s="121"/>
      <c r="G17" s="121"/>
      <c r="H17" s="121"/>
      <c r="I17" s="121"/>
      <c r="J17" s="121"/>
      <c r="K17" s="121"/>
      <c r="L17" s="122"/>
      <c r="M17" s="118"/>
      <c r="N17" s="123"/>
      <c r="O17" s="123"/>
      <c r="P17" s="123"/>
      <c r="Q17" s="119"/>
      <c r="R17" s="118"/>
      <c r="S17" s="123"/>
      <c r="T17" s="123"/>
      <c r="U17" s="123"/>
      <c r="V17" s="119"/>
      <c r="W17" s="118"/>
      <c r="X17" s="123"/>
      <c r="Y17" s="123"/>
      <c r="Z17" s="123"/>
      <c r="AA17" s="119"/>
      <c r="AB17" s="120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2"/>
    </row>
    <row r="18" spans="1:59" ht="11.25" customHeight="1">
      <c r="A18" s="118">
        <v>2</v>
      </c>
      <c r="B18" s="119"/>
      <c r="C18" s="120"/>
      <c r="D18" s="121"/>
      <c r="E18" s="121"/>
      <c r="F18" s="121"/>
      <c r="G18" s="121"/>
      <c r="H18" s="121"/>
      <c r="I18" s="121"/>
      <c r="J18" s="121"/>
      <c r="K18" s="121"/>
      <c r="L18" s="122"/>
      <c r="M18" s="118"/>
      <c r="N18" s="123"/>
      <c r="O18" s="123"/>
      <c r="P18" s="123"/>
      <c r="Q18" s="119"/>
      <c r="R18" s="118"/>
      <c r="S18" s="123"/>
      <c r="T18" s="123"/>
      <c r="U18" s="123"/>
      <c r="V18" s="119"/>
      <c r="W18" s="118"/>
      <c r="X18" s="123"/>
      <c r="Y18" s="123"/>
      <c r="Z18" s="123"/>
      <c r="AA18" s="119"/>
      <c r="AB18" s="120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2"/>
    </row>
    <row r="19" spans="1:59" ht="11.25" customHeight="1">
      <c r="A19" s="118">
        <v>3</v>
      </c>
      <c r="B19" s="119"/>
      <c r="C19" s="120"/>
      <c r="D19" s="121"/>
      <c r="E19" s="121"/>
      <c r="F19" s="121"/>
      <c r="G19" s="121"/>
      <c r="H19" s="121"/>
      <c r="I19" s="121"/>
      <c r="J19" s="121"/>
      <c r="K19" s="121"/>
      <c r="L19" s="122"/>
      <c r="M19" s="118"/>
      <c r="N19" s="123"/>
      <c r="O19" s="123"/>
      <c r="P19" s="123"/>
      <c r="Q19" s="119"/>
      <c r="R19" s="118"/>
      <c r="S19" s="123"/>
      <c r="T19" s="123"/>
      <c r="U19" s="123"/>
      <c r="V19" s="119"/>
      <c r="W19" s="118"/>
      <c r="X19" s="123"/>
      <c r="Y19" s="123"/>
      <c r="Z19" s="123"/>
      <c r="AA19" s="119"/>
      <c r="AB19" s="132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2"/>
    </row>
    <row r="20" spans="1:59" ht="11.25" customHeight="1">
      <c r="A20" s="127" t="s">
        <v>73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8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</row>
    <row r="21" spans="1:59" ht="11.25" customHeight="1">
      <c r="A21" s="129" t="s">
        <v>33</v>
      </c>
      <c r="B21" s="130"/>
      <c r="C21" s="129" t="s">
        <v>74</v>
      </c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0"/>
      <c r="R21" s="129" t="s">
        <v>75</v>
      </c>
      <c r="S21" s="131"/>
      <c r="T21" s="131"/>
      <c r="U21" s="131"/>
      <c r="V21" s="131"/>
      <c r="W21" s="131"/>
      <c r="X21" s="131"/>
      <c r="Y21" s="131"/>
      <c r="Z21" s="131"/>
      <c r="AA21" s="130"/>
      <c r="AB21" s="129" t="s">
        <v>76</v>
      </c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  <c r="AO21" s="131"/>
      <c r="AP21" s="131"/>
      <c r="AQ21" s="131"/>
      <c r="AR21" s="131"/>
      <c r="AS21" s="131"/>
      <c r="AT21" s="131"/>
      <c r="AU21" s="131"/>
      <c r="AV21" s="131"/>
      <c r="AW21" s="131"/>
      <c r="AX21" s="131"/>
      <c r="AY21" s="131"/>
      <c r="AZ21" s="131"/>
      <c r="BA21" s="130"/>
      <c r="BB21" s="129" t="s">
        <v>63</v>
      </c>
      <c r="BC21" s="131"/>
      <c r="BD21" s="131"/>
      <c r="BE21" s="131"/>
      <c r="BF21" s="131"/>
      <c r="BG21" s="130"/>
    </row>
    <row r="22" spans="1:59" ht="11.25" customHeight="1">
      <c r="A22" s="118">
        <v>1</v>
      </c>
      <c r="B22" s="119"/>
      <c r="C22" s="120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2"/>
      <c r="R22" s="118"/>
      <c r="S22" s="123"/>
      <c r="T22" s="123"/>
      <c r="U22" s="123"/>
      <c r="V22" s="123"/>
      <c r="W22" s="123"/>
      <c r="X22" s="123"/>
      <c r="Y22" s="123"/>
      <c r="Z22" s="123"/>
      <c r="AA22" s="119"/>
      <c r="AB22" s="120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2"/>
      <c r="BB22" s="120"/>
      <c r="BC22" s="121"/>
      <c r="BD22" s="121"/>
      <c r="BE22" s="121"/>
      <c r="BF22" s="121"/>
      <c r="BG22" s="122"/>
    </row>
    <row r="23" spans="1:59" ht="11.25" customHeight="1">
      <c r="A23" s="118">
        <v>2</v>
      </c>
      <c r="B23" s="119"/>
      <c r="C23" s="120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2"/>
      <c r="R23" s="118"/>
      <c r="S23" s="123"/>
      <c r="T23" s="123"/>
      <c r="U23" s="123"/>
      <c r="V23" s="123"/>
      <c r="W23" s="123"/>
      <c r="X23" s="123"/>
      <c r="Y23" s="123"/>
      <c r="Z23" s="123"/>
      <c r="AA23" s="119"/>
      <c r="AB23" s="120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2"/>
      <c r="BB23" s="120"/>
      <c r="BC23" s="121"/>
      <c r="BD23" s="121"/>
      <c r="BE23" s="121"/>
      <c r="BF23" s="121"/>
      <c r="BG23" s="122"/>
    </row>
    <row r="24" spans="1:59" ht="11.25" customHeight="1">
      <c r="A24" s="118">
        <v>3</v>
      </c>
      <c r="B24" s="119"/>
      <c r="C24" s="120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2"/>
      <c r="R24" s="118"/>
      <c r="S24" s="123"/>
      <c r="T24" s="123"/>
      <c r="U24" s="123"/>
      <c r="V24" s="123"/>
      <c r="W24" s="123"/>
      <c r="X24" s="123"/>
      <c r="Y24" s="123"/>
      <c r="Z24" s="123"/>
      <c r="AA24" s="119"/>
      <c r="AB24" s="120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2"/>
      <c r="BB24" s="120"/>
      <c r="BC24" s="121"/>
      <c r="BD24" s="121"/>
      <c r="BE24" s="121"/>
      <c r="BF24" s="121"/>
      <c r="BG24" s="122"/>
    </row>
    <row r="25" spans="1:59" ht="11.25" customHeight="1">
      <c r="A25" s="124" t="s">
        <v>77</v>
      </c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6"/>
    </row>
    <row r="26" spans="1:59" ht="11.25" customHeight="1">
      <c r="A26" s="115" t="s">
        <v>78</v>
      </c>
      <c r="B26" s="116"/>
      <c r="C26" s="115" t="s">
        <v>79</v>
      </c>
      <c r="D26" s="117"/>
      <c r="E26" s="117"/>
      <c r="F26" s="117"/>
      <c r="G26" s="117"/>
      <c r="H26" s="117"/>
      <c r="I26" s="117"/>
      <c r="J26" s="117"/>
      <c r="K26" s="117"/>
      <c r="L26" s="116"/>
      <c r="M26" s="115" t="s">
        <v>80</v>
      </c>
      <c r="N26" s="117"/>
      <c r="O26" s="117"/>
      <c r="P26" s="117"/>
      <c r="Q26" s="117"/>
      <c r="R26" s="117"/>
      <c r="S26" s="117"/>
      <c r="T26" s="116"/>
      <c r="U26" s="115" t="s">
        <v>81</v>
      </c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6"/>
      <c r="AK26" s="115" t="s">
        <v>82</v>
      </c>
      <c r="AL26" s="117"/>
      <c r="AM26" s="117"/>
      <c r="AN26" s="117"/>
      <c r="AO26" s="117"/>
      <c r="AP26" s="117"/>
      <c r="AQ26" s="117"/>
      <c r="AR26" s="117"/>
      <c r="AS26" s="117"/>
      <c r="AT26" s="117"/>
      <c r="AU26" s="117"/>
      <c r="AV26" s="117"/>
      <c r="AW26" s="117"/>
      <c r="AX26" s="117"/>
      <c r="AY26" s="117"/>
      <c r="AZ26" s="117"/>
      <c r="BA26" s="117"/>
      <c r="BB26" s="117"/>
      <c r="BC26" s="117"/>
      <c r="BD26" s="117"/>
      <c r="BE26" s="117"/>
      <c r="BF26" s="117"/>
      <c r="BG26" s="117"/>
    </row>
    <row r="27" spans="1:59" ht="11.25" customHeight="1">
      <c r="A27" s="110">
        <v>1</v>
      </c>
      <c r="B27" s="111"/>
      <c r="C27" s="112"/>
      <c r="D27" s="113"/>
      <c r="E27" s="113"/>
      <c r="F27" s="113"/>
      <c r="G27" s="113"/>
      <c r="H27" s="113"/>
      <c r="I27" s="113"/>
      <c r="J27" s="113"/>
      <c r="K27" s="113"/>
      <c r="L27" s="114"/>
      <c r="M27" s="112"/>
      <c r="N27" s="113"/>
      <c r="O27" s="113"/>
      <c r="P27" s="113"/>
      <c r="Q27" s="113"/>
      <c r="R27" s="113"/>
      <c r="S27" s="113"/>
      <c r="T27" s="114"/>
      <c r="U27" s="112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4"/>
      <c r="AK27" s="9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1"/>
    </row>
    <row r="28" spans="1:59" ht="11.25" customHeight="1">
      <c r="A28" s="110">
        <v>2</v>
      </c>
      <c r="B28" s="111"/>
      <c r="C28" s="112"/>
      <c r="D28" s="113"/>
      <c r="E28" s="113"/>
      <c r="F28" s="113"/>
      <c r="G28" s="113"/>
      <c r="H28" s="113"/>
      <c r="I28" s="113"/>
      <c r="J28" s="113"/>
      <c r="K28" s="113"/>
      <c r="L28" s="114"/>
      <c r="M28" s="112"/>
      <c r="N28" s="113"/>
      <c r="O28" s="113"/>
      <c r="P28" s="113"/>
      <c r="Q28" s="113"/>
      <c r="R28" s="113"/>
      <c r="S28" s="113"/>
      <c r="T28" s="114"/>
      <c r="U28" s="112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4"/>
      <c r="AK28" s="9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1"/>
    </row>
    <row r="29" spans="1:59" ht="11.25" customHeight="1">
      <c r="A29" s="110">
        <v>3</v>
      </c>
      <c r="B29" s="111"/>
      <c r="C29" s="112"/>
      <c r="D29" s="113"/>
      <c r="E29" s="113"/>
      <c r="F29" s="113"/>
      <c r="G29" s="113"/>
      <c r="H29" s="113"/>
      <c r="I29" s="113"/>
      <c r="J29" s="113"/>
      <c r="K29" s="113"/>
      <c r="L29" s="114"/>
      <c r="M29" s="112"/>
      <c r="N29" s="113"/>
      <c r="O29" s="113"/>
      <c r="P29" s="113"/>
      <c r="Q29" s="113"/>
      <c r="R29" s="113"/>
      <c r="S29" s="113"/>
      <c r="T29" s="114"/>
      <c r="U29" s="112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4"/>
      <c r="AK29" s="9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1"/>
    </row>
  </sheetData>
  <mergeCells count="126"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</mergeCells>
  <phoneticPr fontId="2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D90A09-F9C1-4822-8BFB-245A099C4C80}">
  <ds:schemaRefs>
    <ds:schemaRef ds:uri="http://purl.org/dc/elements/1.1/"/>
    <ds:schemaRef ds:uri="11a06735-eb40-4925-8cde-3ab8c03b2281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337c9669-7545-402d-a50a-1c173d0fc4c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8B04147-13D8-416D-B565-740D2F0396E9}"/>
</file>

<file path=customXml/itemProps3.xml><?xml version="1.0" encoding="utf-8"?>
<ds:datastoreItem xmlns:ds="http://schemas.openxmlformats.org/officeDocument/2006/customXml" ds:itemID="{18CC339F-D4B1-434B-8CC0-0954F0CFB9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変更履歴</vt:lpstr>
      <vt:lpstr>テーブル定義</vt:lpstr>
      <vt:lpstr>その他定義</vt:lpstr>
      <vt:lpstr>その他定義!Print_Area</vt:lpstr>
      <vt:lpstr>テーブル定義!Print_Area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Ishioka, Takumi</cp:lastModifiedBy>
  <cp:revision/>
  <dcterms:created xsi:type="dcterms:W3CDTF">2015-06-05T18:19:34Z</dcterms:created>
  <dcterms:modified xsi:type="dcterms:W3CDTF">2025-06-04T04:57:55Z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