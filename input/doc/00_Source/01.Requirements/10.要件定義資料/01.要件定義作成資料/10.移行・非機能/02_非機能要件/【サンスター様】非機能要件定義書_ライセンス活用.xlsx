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jbsbpos1.sharepoint.com/sites/msteams_358ee9/Shared Documents/General/01_LIBRA/04_要件定義/09_移行・非機能要件/非機能要件/"/>
    </mc:Choice>
  </mc:AlternateContent>
  <xr:revisionPtr revIDLastSave="149" documentId="13_ncr:1_{61CDFE8C-74C3-4EC6-BF6C-D5AD53668C12}" xr6:coauthVersionLast="47" xr6:coauthVersionMax="47" xr10:uidLastSave="{8F876DDF-0A39-426D-A988-896CC8B613B6}"/>
  <bookViews>
    <workbookView xWindow="28680" yWindow="-120" windowWidth="29040" windowHeight="16440" xr2:uid="{1B2EF8B0-33B7-483C-BAA5-327DC2C56A29}"/>
  </bookViews>
  <sheets>
    <sheet name="表紙" sheetId="4" r:id="rId1"/>
    <sheet name="変更履歴" sheetId="7" r:id="rId2"/>
    <sheet name="ライセンス活用"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A1">[1]承認票!$J$2</definedName>
    <definedName name="__f05">#REF!</definedName>
    <definedName name="_1印">[2]社員リスト!#REF!</definedName>
    <definedName name="_A1">[1]承認票!$J$2</definedName>
    <definedName name="_DAT1">[3]基本数量単位!#REF!</definedName>
    <definedName name="_DAT2">[3]基本数量単位!#REF!</definedName>
    <definedName name="_DAT4">[3]基本数量単位!#REF!</definedName>
    <definedName name="_DAT5">[3]基本数量単位!#REF!</definedName>
    <definedName name="_f05">#REF!</definedName>
    <definedName name="_Fill" localSheetId="1" hidden="1">#REF!</definedName>
    <definedName name="_Fill" hidden="1">#REF!</definedName>
    <definedName name="_Order1" hidden="1">255</definedName>
    <definedName name="_Order2" hidden="1">255</definedName>
    <definedName name="_Regression_X" hidden="1">#REF!</definedName>
    <definedName name="A">#REF!</definedName>
    <definedName name="aaa">#REF!</definedName>
    <definedName name="aaaaaaaaaaaaaaaaaaaaa">'[4]#REF'!$B$33:$CM$33</definedName>
    <definedName name="aaaaaaaaaaaaaaaaaaaaaaa">'[4]#REF'!$B$34:$CM$34</definedName>
    <definedName name="aaaaaaaaaaaaaaaaaaaaaaaaaaaaaaaa">'[4]#REF'!$B$28:$CM$28</definedName>
    <definedName name="Accounts_for_automatic_transac">#REF!</definedName>
    <definedName name="Address_books">#REF!</definedName>
    <definedName name="adf" hidden="1">#REF!</definedName>
    <definedName name="AS2DocOpenMode" hidden="1">"AS2DocumentEdit"</definedName>
    <definedName name="AX" hidden="1">#REF!</definedName>
    <definedName name="AZ" hidden="1">#REF!</definedName>
    <definedName name="B">#REF!</definedName>
    <definedName name="Balance_control_accounts">#REF!</definedName>
    <definedName name="BASE">#REF!</definedName>
    <definedName name="BASE2">#REF!</definedName>
    <definedName name="BaselineName">'[4]#REF'!$A$31</definedName>
    <definedName name="bbb" hidden="1">#REF!</definedName>
    <definedName name="BPR_POINT">#REF!</definedName>
    <definedName name="Calendar">#REF!</definedName>
    <definedName name="CName">'[4]#REF'!$A$63</definedName>
    <definedName name="Consolidation_groups_and_accou">#REF!</definedName>
    <definedName name="Counties">#REF!</definedName>
    <definedName name="Default_descriptions">#REF!</definedName>
    <definedName name="Dimension_parameters">#REF!</definedName>
    <definedName name="Districts_V2">#REF!</definedName>
    <definedName name="DS_KEYS">#REF!</definedName>
    <definedName name="DS_NM">#REF!</definedName>
    <definedName name="E">#REF!</definedName>
    <definedName name="EUPName">'[4]#REF'!$A$124</definedName>
    <definedName name="f">#REF!</definedName>
    <definedName name="f_01">'[4]#REF'!$B$9:$CM$9</definedName>
    <definedName name="f_02">'[4]#REF'!$B$10:$CM$10</definedName>
    <definedName name="f_03">'[4]#REF'!$B$11:$CM$11</definedName>
    <definedName name="f_04">'[4]#REF'!$B$12:$CM$12</definedName>
    <definedName name="f_05">'[4]#REF'!$B$13:$CM$13</definedName>
    <definedName name="f_06">'[4]#REF'!$B$14:$CM$14</definedName>
    <definedName name="f_07">'[4]#REF'!$B$15:$CM$15</definedName>
    <definedName name="f_08">'[4]#REF'!$B$16:$CM$16</definedName>
    <definedName name="f_09">'[4]#REF'!$B$17:$CM$17</definedName>
    <definedName name="f_10">'[4]#REF'!$B$18:$CM$18</definedName>
    <definedName name="f_11">'[4]#REF'!$B$19:$CM$19</definedName>
    <definedName name="f_12">'[4]#REF'!$B$20:$CM$20</definedName>
    <definedName name="f_13">'[4]#REF'!$B$21:$CM$21</definedName>
    <definedName name="f_14">'[4]#REF'!$B$22:$CM$22</definedName>
    <definedName name="f_15">'[4]#REF'!$B$23:$CM$23</definedName>
    <definedName name="f_16">'[4]#REF'!$B$24:$CM$24</definedName>
    <definedName name="f_17">'[4]#REF'!$B$25:$CM$25</definedName>
    <definedName name="f_18">'[4]#REF'!$B$26:$CM$26</definedName>
    <definedName name="f_19">'[4]#REF'!$B$27:$CM$27</definedName>
    <definedName name="f_20">'[4]#REF'!$B$28:$CM$28</definedName>
    <definedName name="f_21">'[4]#REF'!$B$29:$CM$29</definedName>
    <definedName name="f_22">'[4]#REF'!$B$30:$CM$30</definedName>
    <definedName name="f_23">'[4]#REF'!$B$31:$CM$31</definedName>
    <definedName name="f_24">'[4]#REF'!$B$32:$CM$32</definedName>
    <definedName name="f_25">'[4]#REF'!$B$33:$CM$33</definedName>
    <definedName name="f_26">'[4]#REF'!$B$34:$CM$34</definedName>
    <definedName name="f_27">'[4]#REF'!$B$35:$CM$35</definedName>
    <definedName name="f_28">'[4]#REF'!$B$36:$CM$36</definedName>
    <definedName name="f_29">'[4]#REF'!$B$37:$CM$37</definedName>
    <definedName name="f_30">'[4]#REF'!$B$38:$CM$38</definedName>
    <definedName name="f_31">'[4]#REF'!$B$39:$CM$39</definedName>
    <definedName name="f_32">'[4]#REF'!$B$40:$CM$40</definedName>
    <definedName name="f_33">'[4]#REF'!$B$41:$CM$41</definedName>
    <definedName name="f_34">'[4]#REF'!$B$42:$CM$42</definedName>
    <definedName name="f_35">'[4]#REF'!$B$43:$CM$43</definedName>
    <definedName name="f_36">'[4]#REF'!$B$44:$CM$44</definedName>
    <definedName name="f_37">'[4]#REF'!$B$45:$CM$45</definedName>
    <definedName name="f_38">'[4]#REF'!$B$46:$CM$46</definedName>
    <definedName name="f_39">'[4]#REF'!$B$47:$CM$47</definedName>
    <definedName name="f_40">'[4]#REF'!$B$48:$CM$48</definedName>
    <definedName name="f_bucode">'[4]#REF'!$K$5:$R$5</definedName>
    <definedName name="f_buname">'[4]#REF'!$T$5:$BG$5</definedName>
    <definedName name="f_date">'[4]#REF'!#REF!</definedName>
    <definedName name="f_formid">'[4]#REF'!$M$4:$X$4</definedName>
    <definedName name="f_formname">'[4]#REF'!$AX$4:$CM$4</definedName>
    <definedName name="f_page">'[4]#REF'!#REF!</definedName>
    <definedName name="Financial_dimension_sets">#REF!</definedName>
    <definedName name="Financial_dimension_value_lega">#REF!</definedName>
    <definedName name="Financial_dimension_value_tran">#REF!</definedName>
    <definedName name="Financial_dimension_values">[5]財務分析コード!#REF!</definedName>
    <definedName name="Financial_reasons">#REF!</definedName>
    <definedName name="g">#REF!</definedName>
    <definedName name="Global_address_book_V2">#REF!</definedName>
    <definedName name="ＧＷメッセージ一覧" hidden="1">#REF!</definedName>
    <definedName name="h">[6]処理機能記述!#REF!</definedName>
    <definedName name="HTML_CodePage" hidden="1">932</definedName>
    <definedName name="HTML_Control" localSheetId="1"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1"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#REF!</definedName>
    <definedName name="IName">'[4]#REF'!$A$94</definedName>
    <definedName name="io">[7]マスタ!$A$3:$A$5</definedName>
    <definedName name="Job1Name">'[4]#REF'!$A$146</definedName>
    <definedName name="Job2Name">'[4]#REF'!$A$161</definedName>
    <definedName name="Journal_descriptions">#REF!</definedName>
    <definedName name="ｋ" hidden="1">#REF!</definedName>
    <definedName name="KEYS">#REF!</definedName>
    <definedName name="L">#REF!</definedName>
    <definedName name="Ledger_account_alias">#REF!</definedName>
    <definedName name="Ledger_allocation_basis">#REF!</definedName>
    <definedName name="Ledger_allocation_basis_source">#REF!</definedName>
    <definedName name="Ledger_allocation_rule">#REF!</definedName>
    <definedName name="Ledger_allocation_rule_destina">#REF!</definedName>
    <definedName name="Ledger_allocation_rule_source">#REF!</definedName>
    <definedName name="Legal_entities">#REF!</definedName>
    <definedName name="Main_account">#REF!</definedName>
    <definedName name="Main_account_legal_entity_over">#REF!</definedName>
    <definedName name="Man_No">"エディット 16"</definedName>
    <definedName name="MasterListName">'[4]#REF'!$A$2</definedName>
    <definedName name="NAMES">#REF!</definedName>
    <definedName name="NEC_KEYS">#REF!</definedName>
    <definedName name="Operating_unit">#REF!</definedName>
    <definedName name="Organization_email_template">#REF!</definedName>
    <definedName name="Organization_email_template_me">#REF!</definedName>
    <definedName name="Organization_hierarchy_purpose">#REF!</definedName>
    <definedName name="Organization_hierarchy_type">#REF!</definedName>
    <definedName name="Organization_hierarchy_V2___pu">#REF!</definedName>
    <definedName name="ｐ" hidden="1">#REF!</definedName>
    <definedName name="Party_contacts">#REF!</definedName>
    <definedName name="Party_postal_address_V2">#REF!</definedName>
    <definedName name="Party_relationships">#REF!</definedName>
    <definedName name="Password">"エディット 19"</definedName>
    <definedName name="RANK1">#REF!</definedName>
    <definedName name="RANK2">#REF!</definedName>
    <definedName name="RANK3">#REF!</definedName>
    <definedName name="RANK4">#REF!</definedName>
    <definedName name="_xlnm.Recorder">'[4]#REF'!$A$1:$A$65536</definedName>
    <definedName name="Relationship_types">#REF!</definedName>
    <definedName name="s" hidden="1">{"'Sheet1'!$B$5:$H$34"}</definedName>
    <definedName name="SAPToolbarName">'[4]#REF'!$A$211</definedName>
    <definedName name="Security_user_role_association">#REF!</definedName>
    <definedName name="sheetprint">[8]!sheetprint</definedName>
    <definedName name="ｓｓｓｓ">[9]承認票!$J$2</definedName>
    <definedName name="STNMTBL">#REF!</definedName>
    <definedName name="ＳＴＳ">[4]ﾘｽﾄ!$A$1:$A$3</definedName>
    <definedName name="SYMBOL">#REF!</definedName>
    <definedName name="t" hidden="1">{"'Sheet1'!$B$5:$H$34"}</definedName>
    <definedName name="tbl">'[4]#REF'!$A$2:$A$38</definedName>
    <definedName name="TBL_KEYS">#REF!</definedName>
    <definedName name="TBL_KEYS2">#REF!</definedName>
    <definedName name="Team_types">#REF!</definedName>
    <definedName name="Teams_V2">#REF!</definedName>
    <definedName name="test">'[4]#REF'!$B$10:$CM$10</definedName>
    <definedName name="test1">'[4]#REF'!$B$7</definedName>
    <definedName name="test2">'[4]#REF'!$B$11:$CM$11</definedName>
    <definedName name="User_groups">#REF!</definedName>
    <definedName name="User_information">#REF!</definedName>
    <definedName name="User_to_person_relationship">#REF!</definedName>
    <definedName name="VV" hidden="1">#REF!</definedName>
    <definedName name="ｗ" hidden="1">{"'Sheet1'!$B$5:$H$34"}</definedName>
    <definedName name="work" hidden="1">#REF!</definedName>
    <definedName name="Workflow_organization_paramete">#REF!</definedName>
    <definedName name="Working_times">#REF!</definedName>
    <definedName name="ＷＷＷ">[10]承認票!$J$2</definedName>
    <definedName name="xxxx">'[4]#REF'!$B$20:$CM$20</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'[4]#REF'!$B$11:$CM$11</definedName>
    <definedName name="あ４２０">[4]処理機能記述!#REF!</definedName>
    <definedName name="あ４５０">[4]処理機能記述!#REF!</definedName>
    <definedName name="あ５００">#REF!</definedName>
    <definedName name="あああ" localSheetId="1" hidden="1">#REF!</definedName>
    <definedName name="あああ" hidden="1">#REF!</definedName>
    <definedName name="ああああああ">[2]社員リスト!#REF!</definedName>
    <definedName name="アカウントコード">[11]マスタ!$AD$5:$AD$7</definedName>
    <definedName name="い">#REF!</definedName>
    <definedName name="いいい">'[4]#REF'!$B$9:$CM$9</definedName>
    <definedName name="う" hidden="1">#REF!</definedName>
    <definedName name="ええ" hidden="1">{"'Sheet1'!$B$5:$H$34"}</definedName>
    <definedName name="えええ" localSheetId="1" hidden="1">{"'9.項目'!$B$5:$AW$60"}</definedName>
    <definedName name="えええ" hidden="1">{"'9.項目'!$B$5:$AW$60"}</definedName>
    <definedName name="お" hidden="1">{"'Sheet1'!$B$5:$H$34"}</definedName>
    <definedName name="オブジェクト一覧">[7]マスタ!$H$3:$H$20</definedName>
    <definedName name="カテゴリ階層タイプ">[12]マスタ!$AT$213:$AT$223</definedName>
    <definedName name="カレンダータイプ">[11]マスタ!$I$27:$I$29</definedName>
    <definedName name="クラス属性">[13]マスタ!$I$3:$I$6</definedName>
    <definedName name="グループ">#REF!</definedName>
    <definedName name="サンプル" hidden="1">#REF!</definedName>
    <definedName name="シリアル番号のキャプチャ">[11]マスタ!$AC$27:$AC$29</definedName>
    <definedName name="スコープ">[11]マスタ!$H$99:$H$105</definedName>
    <definedName name="ステータス">#REF!</definedName>
    <definedName name="タスクドキュメント１" hidden="1">#REF!</definedName>
    <definedName name="ダッシュボードの会社の画像タイプ">[11]マスタ!$G$6:$G$9</definedName>
    <definedName name="チーム名">#REF!</definedName>
    <definedName name="チェックボックス">[14]マスタ!$B$10:$B$11</definedName>
    <definedName name="データクラス">[15]リストBOX定義!$B$21:$B$23</definedName>
    <definedName name="テーブル種別">[7]マスタ!$G$3:$G$4</definedName>
    <definedName name="はいいいえ">[11]マスタ!$B$5:$B$6</definedName>
    <definedName name="パターン">[16]!パターン</definedName>
    <definedName name="フェーズ">#REF!</definedName>
    <definedName name="フォント">[16]!フォント</definedName>
    <definedName name="リピートボタン_Click">[8]!リピートボタン_Click</definedName>
    <definedName name="レポートタイプ">[17]マスタ!$K$6:$K$8</definedName>
    <definedName name="レポートのレイアウト">[11]マスタ!$B$189:$B$201</definedName>
    <definedName name="ロール名">#REF!</definedName>
    <definedName name="安藤" hidden="1">#REF!</definedName>
    <definedName name="為替換算タイプ">[11]マスタ!$U$5:$U$8</definedName>
    <definedName name="印刷">[11]マスタ!$G$189:$G$190</definedName>
    <definedName name="印刷1">#REF!</definedName>
    <definedName name="印刷2">[11]マスタ!$P$189:$P$191</definedName>
    <definedName name="印刷タイトル">#REF!</definedName>
    <definedName name="印刷用">[18]レポートレイアウト!#REF!</definedName>
    <definedName name="印刷領域">#REF!</definedName>
    <definedName name="引当とマーキングの削除">[11]マスタ!$BA$27:$BA$29</definedName>
    <definedName name="演算子">[17]マスタ!$R$5:$R$14</definedName>
    <definedName name="横位置">[7]マスタ!$C$3:$C$6</definedName>
    <definedName name="課題タイプ">#REF!</definedName>
    <definedName name="画面名表示">[8]!画面名表示</definedName>
    <definedName name="開始・終了">[17]マスタ!$C$237:$C$238</definedName>
    <definedName name="外部サブルーチン作成日">"1999/6/17"</definedName>
    <definedName name="勘定タイプ">[11]マスタ!$E$27:$E$32</definedName>
    <definedName name="勘定科目">#REF!</definedName>
    <definedName name="監視カテゴリ">[19]マスタ!$B$393:$B$405</definedName>
    <definedName name="間隔の単位">[11]マスタ!$E$189:$E$191</definedName>
    <definedName name="関連" hidden="1">#REF!</definedName>
    <definedName name="関連表" hidden="1">#REF!</definedName>
    <definedName name="丸めのフォーム">[11]マスタ!$B$204:$B$207</definedName>
    <definedName name="丸め方法">[11]マスタ!$Y$5:$Y$7</definedName>
    <definedName name="基準金額">[11]マスタ!$J$189:$J$194</definedName>
    <definedName name="既定の説明">[17]マスタ!$H$237:$H$351</definedName>
    <definedName name="期間">[11]マスタ!$AN$223:$AN$226</definedName>
    <definedName name="期間タイプ">[17]マスタ!$B$237:$B$244</definedName>
    <definedName name="期日の更新">[11]マスタ!$AG$5:$AG$7</definedName>
    <definedName name="緊急度">#REF!</definedName>
    <definedName name="銀行トランザクションタイプ">[11]マスタ!$Z$99:$Z$101</definedName>
    <definedName name="銀行口座のステータス">[11]マスタ!$AA$99:$AA$101</definedName>
    <definedName name="銀行支店コードタイプ">[11]マスタ!$X$99:$X$106</definedName>
    <definedName name="罫線">[16]!罫線</definedName>
    <definedName name="計算方法">[11]マスタ!$L$189:$L$190</definedName>
    <definedName name="月②">#REF!</definedName>
    <definedName name="検証">[11]マスタ!$O$6:$O$9</definedName>
    <definedName name="原材料ピッキング後の払出ステータス">[11]マスタ!$AY$27:$AY$28</definedName>
    <definedName name="高さ">[16]!高さ</definedName>
    <definedName name="国・地域のタイプ">[11]マスタ!$G$196:$G$199</definedName>
    <definedName name="再表示_行">[16]!再表示_行</definedName>
    <definedName name="再表示_列">[16]!再表示_列</definedName>
    <definedName name="在庫モデル">[11]マスタ!$AL$27:$AL$33</definedName>
    <definedName name="作成日">DATE(2000,3,21)</definedName>
    <definedName name="仕訳帳タイプ">[11]マスタ!$B$27:$B$72</definedName>
    <definedName name="仕様書" hidden="1">#REF!</definedName>
    <definedName name="支払ステータス">[11]マスタ!$AO$223:$AO$227</definedName>
    <definedName name="支払タイプ">[11]マスタ!$AP$223:$AP$227</definedName>
    <definedName name="支払方法">[11]マスタ!$AF$5:$AF$11</definedName>
    <definedName name="支払方法_勘定タイプ">[11]マスタ!$AQ$223:$AQ$228</definedName>
    <definedName name="自動">[16]!自動</definedName>
    <definedName name="借方貸方">[17]マスタ!$L$6:$L$7</definedName>
    <definedName name="主勘定タイプ">[11]マスタ!$J$6:$J$15</definedName>
    <definedName name="主勘定タイプ2">[17]マスタ!$AB$5:$AB$11</definedName>
    <definedName name="手形のタイプ">[11]マスタ!$AR$223:$AR$227</definedName>
    <definedName name="週">[19]マスタ!$C$393:$C$398</definedName>
    <definedName name="週月">[11]マスタ!$AI$5:$AI$6</definedName>
    <definedName name="縦位置">[7]マスタ!$D$3:$D$6</definedName>
    <definedName name="重要度">#REF!</definedName>
    <definedName name="出力先">[11]マスタ!$H$6:$H$7</definedName>
    <definedName name="書式">[7]マスタ!$B$3:$B$5</definedName>
    <definedName name="商品一覧">[20]商品一覧!$A$1:$C$10</definedName>
    <definedName name="承認済仕入先チェックメソッド">[11]マスタ!$AN$27:$AN$29</definedName>
    <definedName name="消費税の検証">[14]マスタ!$K$42:$K$45</definedName>
    <definedName name="消費税丸めルール">[11]マスタ!$N$189:$N$190</definedName>
    <definedName name="消費税提示方法">[14]マスタ!$J$42:$J$44</definedName>
    <definedName name="場所">[17]マスタ!$S$5</definedName>
    <definedName name="新しい伝票">[11]マスタ!$D$27:$D$29</definedName>
    <definedName name="制御情報更新">[8]!制御情報更新</definedName>
    <definedName name="性別">#REF!</definedName>
    <definedName name="性別1">[11]マスタ!$Z$5:$Z$6</definedName>
    <definedName name="精算表に残高を転送するフィールド">[17]マスタ!$M$6:$M$8</definedName>
    <definedName name="税タイプ">[11]マスタ!$V$210:$V$212</definedName>
    <definedName name="折り返して全体を表示する">[7]マスタ!$E$3:$E$4</definedName>
    <definedName name="選択">#REF!</definedName>
    <definedName name="選択・販売注文">#REF!</definedName>
    <definedName name="選択可能値">[11]マスタ!$C$37:$C$43</definedName>
    <definedName name="選択範囲">[16]!選択範囲</definedName>
    <definedName name="組織タイプ">#REF!</definedName>
    <definedName name="倉庫タイプ">[11]マスタ!$AX$27:$AX$29</definedName>
    <definedName name="倉庫目的">[11]マスタ!$AZ$27:$AZ$44</definedName>
    <definedName name="束原" hidden="1">#REF!</definedName>
    <definedName name="単位">[11]マスタ!$W$5:$W$7</definedName>
    <definedName name="調整単位">[17]マスタ!$D$237:$D$240</definedName>
    <definedName name="定期的なアイテムのパターン">[19]マスタ!$D$393:$D$399</definedName>
    <definedName name="店舗DF_KEYS">#REF!</definedName>
    <definedName name="転記タイプ">[17]マスタ!$F$237:$F$389</definedName>
    <definedName name="都道府県">[11]マスタ!$P$210:$P$305</definedName>
    <definedName name="導入時期う" hidden="1">#REF!</definedName>
    <definedName name="廃棄コード・アクション">#REF!</definedName>
    <definedName name="配置">[16]!配置</definedName>
    <definedName name="発生元">[11]マスタ!$H$189:$H$193</definedName>
    <definedName name="番号">[21]型TB!#REF!</definedName>
    <definedName name="番号順序参照">[11]マスタ!$H$134</definedName>
    <definedName name="非表示_行">[16]!非表示_行</definedName>
    <definedName name="非表示_列">[16]!非表示_列</definedName>
    <definedName name="標準幅">[16]!標準幅</definedName>
    <definedName name="表示形式">[16]!表示形式</definedName>
    <definedName name="品質管理用のレポート">#REF!</definedName>
    <definedName name="品質管理用レポートの制限">#REF!</definedName>
    <definedName name="品目コード">[11]マスタ!$AM$5:$AM$8</definedName>
    <definedName name="品目関係">[11]マスタ!$K$78:$K$80</definedName>
    <definedName name="品目消費税レポートタイプ">[11]マスタ!$S$189:$S$192</definedName>
    <definedName name="品目販売引当">[11]マスタ!$AM$27:$AM$30</definedName>
    <definedName name="普通休日日数">IF('[4]#REF'!#REF!="日勤（Ａ）",52,45)</definedName>
    <definedName name="幅">[16]!幅</definedName>
    <definedName name="物流DF_KEYS">#REF!</definedName>
    <definedName name="分析コード形式タイプ">[17]マスタ!$BA$5:$BA$8</definedName>
    <definedName name="分析コード形式タイプ2">[22]マスタ!$BA$5:$BA$8</definedName>
    <definedName name="変更">IF([4]勤務体系!#REF!="日勤（Ａ）",52,45)</definedName>
    <definedName name="変更分">IF([4]勤務体系!#REF!="日勤（Ａ）",52,45)</definedName>
    <definedName name="目的">[11]マスタ!$D$6:$D$23</definedName>
    <definedName name="曜日">[11]マスタ!$AJ$5:$AJ$11</definedName>
    <definedName name="領域">[11]マスタ!$F$99:$F$164:'[11]マスタ'!$F$120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 i="7" l="1"/>
  <c r="AV2" i="7"/>
  <c r="G3" i="6"/>
  <c r="G2" i="6"/>
  <c r="AV3" i="7" a="1"/>
  <c r="BB3" i="7" a="1"/>
  <c r="BB3" i="7" l="1"/>
  <c r="AV3"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<sst xmlns="http://schemas.openxmlformats.org/spreadsheetml/2006/main" count="61" uniqueCount="56">
  <si>
    <t>サンスター株式会社　御中</t>
    <rPh sb="5" eb="9">
      <t>カブシキカイシャ</t>
    </rPh>
    <rPh sb="10" eb="12">
      <t>オンチュウ</t>
    </rPh>
    <phoneticPr fontId="7"/>
  </si>
  <si>
    <t>会計システム刷新プロジェクト</t>
    <phoneticPr fontId="5"/>
  </si>
  <si>
    <t>非機能要件定義書_ライセンス活用</t>
    <rPh sb="0" eb="8">
      <t>ヒキノウヨウケンテイギショ</t>
    </rPh>
    <rPh sb="14" eb="16">
      <t>カツヨウ</t>
    </rPh>
    <phoneticPr fontId="7"/>
  </si>
  <si>
    <t>日本ビジネスシステムズ株式会社</t>
    <rPh sb="0" eb="2">
      <t>ニホン</t>
    </rPh>
    <phoneticPr fontId="5"/>
  </si>
  <si>
    <t>システム名</t>
    <rPh sb="4" eb="5">
      <t>メイ</t>
    </rPh>
    <phoneticPr fontId="5"/>
  </si>
  <si>
    <t>章</t>
  </si>
  <si>
    <t>日付</t>
    <rPh sb="0" eb="2">
      <t>ヒヅケ</t>
    </rPh>
    <phoneticPr fontId="7"/>
  </si>
  <si>
    <t>更新者</t>
    <rPh sb="0" eb="2">
      <t>コウシン</t>
    </rPh>
    <rPh sb="2" eb="3">
      <t>シャ</t>
    </rPh>
    <phoneticPr fontId="5"/>
  </si>
  <si>
    <t>文書名</t>
    <rPh sb="0" eb="2">
      <t>ブンショ</t>
    </rPh>
    <rPh sb="2" eb="3">
      <t>メイ</t>
    </rPh>
    <phoneticPr fontId="5"/>
  </si>
  <si>
    <t>ライセンス活用</t>
    <rPh sb="5" eb="7">
      <t>カツヨウ</t>
    </rPh>
    <phoneticPr fontId="1"/>
  </si>
  <si>
    <t>作成</t>
    <rPh sb="0" eb="2">
      <t>サクセイ</t>
    </rPh>
    <phoneticPr fontId="5"/>
  </si>
  <si>
    <t>更新</t>
    <rPh sb="0" eb="2">
      <t>コウシン</t>
    </rPh>
    <phoneticPr fontId="5"/>
  </si>
  <si>
    <t>■</t>
  </si>
  <si>
    <t>使用想定のライセンス</t>
    <rPh sb="0" eb="2">
      <t>シヨウ</t>
    </rPh>
    <rPh sb="2" eb="4">
      <t>ソウテイ</t>
    </rPh>
    <phoneticPr fontId="1"/>
  </si>
  <si>
    <t>本プロジェクトで用いるライセンスで使用可能となるプロダクトは以下を想定している。</t>
    <rPh sb="0" eb="1">
      <t>ホン</t>
    </rPh>
    <rPh sb="8" eb="9">
      <t>モチ</t>
    </rPh>
    <rPh sb="17" eb="21">
      <t>シヨウカノウ</t>
    </rPh>
    <rPh sb="30" eb="32">
      <t>イカ</t>
    </rPh>
    <rPh sb="33" eb="35">
      <t>ソウテイ</t>
    </rPh>
    <phoneticPr fontId="1"/>
  </si>
  <si>
    <t>ライセンス</t>
    <phoneticPr fontId="1"/>
  </si>
  <si>
    <t>使用数量</t>
    <rPh sb="0" eb="2">
      <t>シヨウ</t>
    </rPh>
    <rPh sb="2" eb="4">
      <t>スウリョウ</t>
    </rPh>
    <phoneticPr fontId="1"/>
  </si>
  <si>
    <t>備考</t>
    <rPh sb="0" eb="2">
      <t>ビコウ</t>
    </rPh>
    <phoneticPr fontId="1"/>
  </si>
  <si>
    <t>Dynamics 365 Finance</t>
    <phoneticPr fontId="1"/>
  </si>
  <si>
    <t>会計領域に関するライセンス</t>
    <rPh sb="0" eb="2">
      <t>カイケイ</t>
    </rPh>
    <rPh sb="2" eb="4">
      <t>リョウイキ</t>
    </rPh>
    <rPh sb="5" eb="6">
      <t>カン</t>
    </rPh>
    <phoneticPr fontId="1"/>
  </si>
  <si>
    <t>Dynamics 365 Project Operations</t>
    <phoneticPr fontId="1"/>
  </si>
  <si>
    <t>使用しない</t>
    <rPh sb="0" eb="2">
      <t>シヨウ</t>
    </rPh>
    <phoneticPr fontId="1"/>
  </si>
  <si>
    <t>プロジェクト会計に関するライセンス</t>
    <rPh sb="6" eb="8">
      <t>カイケイ</t>
    </rPh>
    <rPh sb="9" eb="10">
      <t>カン</t>
    </rPh>
    <phoneticPr fontId="1"/>
  </si>
  <si>
    <t>Dynamics 365 Supply Chain Management</t>
    <phoneticPr fontId="1"/>
  </si>
  <si>
    <t>販購買及び生産管理に関するライセンス</t>
    <rPh sb="0" eb="3">
      <t>ハンコウバイ</t>
    </rPh>
    <rPh sb="3" eb="4">
      <t>オヨ</t>
    </rPh>
    <rPh sb="5" eb="7">
      <t>セイサン</t>
    </rPh>
    <rPh sb="7" eb="9">
      <t>カンリ</t>
    </rPh>
    <rPh sb="10" eb="11">
      <t>カン</t>
    </rPh>
    <phoneticPr fontId="1"/>
  </si>
  <si>
    <t>Team Members</t>
    <phoneticPr fontId="1"/>
  </si>
  <si>
    <t>照会または承認処理するのみのユーザー用ライセンス。(データの登録更新はできない）</t>
    <rPh sb="0" eb="2">
      <t>ショウカイ</t>
    </rPh>
    <rPh sb="5" eb="7">
      <t>ショウニン</t>
    </rPh>
    <rPh sb="7" eb="9">
      <t>ショリ</t>
    </rPh>
    <rPh sb="18" eb="19">
      <t>ヨウ</t>
    </rPh>
    <rPh sb="30" eb="32">
      <t>トウロク</t>
    </rPh>
    <rPh sb="32" eb="34">
      <t>コウシン</t>
    </rPh>
    <phoneticPr fontId="1"/>
  </si>
  <si>
    <t>Operations - Order Lines</t>
    <phoneticPr fontId="1"/>
  </si>
  <si>
    <t>84 ※</t>
    <phoneticPr fontId="1"/>
  </si>
  <si>
    <t>データ連携に関するライセンス。各月の通信料（トランザクション数）毎に課金される。</t>
    <rPh sb="3" eb="5">
      <t>レンケイ</t>
    </rPh>
    <rPh sb="6" eb="7">
      <t>カン</t>
    </rPh>
    <rPh sb="15" eb="17">
      <t>カクツキ</t>
    </rPh>
    <rPh sb="18" eb="20">
      <t>ツウシン</t>
    </rPh>
    <rPh sb="20" eb="21">
      <t>リョウ</t>
    </rPh>
    <rPh sb="30" eb="31">
      <t>スウ</t>
    </rPh>
    <rPh sb="32" eb="33">
      <t>ゴト</t>
    </rPh>
    <rPh sb="34" eb="36">
      <t>カキン</t>
    </rPh>
    <phoneticPr fontId="1"/>
  </si>
  <si>
    <t>※RFPに記述されていた年間明細数「7百万」の値を元に年間使用数量を「7×12カ月＝84」と見積りした。</t>
    <rPh sb="5" eb="7">
      <t>キジュツ</t>
    </rPh>
    <rPh sb="23" eb="24">
      <t>アタイ</t>
    </rPh>
    <rPh sb="25" eb="26">
      <t>モト</t>
    </rPh>
    <rPh sb="27" eb="29">
      <t>ネンカン</t>
    </rPh>
    <rPh sb="29" eb="31">
      <t>シヨウ</t>
    </rPh>
    <rPh sb="31" eb="33">
      <t>スウリョウ</t>
    </rPh>
    <rPh sb="40" eb="41">
      <t>ゲツ</t>
    </rPh>
    <rPh sb="46" eb="48">
      <t>ミツモリ</t>
    </rPh>
    <phoneticPr fontId="1"/>
  </si>
  <si>
    <t>設計書</t>
    <rPh sb="0" eb="3">
      <t>セッケイショ</t>
    </rPh>
    <phoneticPr fontId="5"/>
  </si>
  <si>
    <t>システム名</t>
    <rPh sb="4" eb="5">
      <t>メイ</t>
    </rPh>
    <phoneticPr fontId="19"/>
  </si>
  <si>
    <t>機能分類</t>
    <rPh sb="0" eb="2">
      <t>キノウ</t>
    </rPh>
    <rPh sb="2" eb="4">
      <t>ブンルイ</t>
    </rPh>
    <phoneticPr fontId="5"/>
  </si>
  <si>
    <t>説明</t>
    <rPh sb="0" eb="2">
      <t>セツメイ</t>
    </rPh>
    <phoneticPr fontId="5"/>
  </si>
  <si>
    <t>Dynamics365 for Finance and Operations</t>
  </si>
  <si>
    <t>非機能</t>
    <rPh sb="0" eb="3">
      <t>ヒキノウ</t>
    </rPh>
    <phoneticPr fontId="19"/>
  </si>
  <si>
    <t>システム運用</t>
    <rPh sb="3" eb="5">
      <t>ウンヨウ</t>
    </rPh>
    <phoneticPr fontId="1"/>
  </si>
  <si>
    <t>（表紙同様値）</t>
  </si>
  <si>
    <t>変更年月日</t>
    <rPh sb="0" eb="2">
      <t>ヘンコウ</t>
    </rPh>
    <rPh sb="2" eb="5">
      <t>ネンガッピ</t>
    </rPh>
    <phoneticPr fontId="26"/>
  </si>
  <si>
    <t>変更箇所</t>
    <rPh sb="0" eb="2">
      <t>ヘンコウ</t>
    </rPh>
    <rPh sb="2" eb="4">
      <t>カショ</t>
    </rPh>
    <phoneticPr fontId="26"/>
  </si>
  <si>
    <t>変更内容</t>
    <rPh sb="0" eb="2">
      <t>ヘンコウ</t>
    </rPh>
    <rPh sb="2" eb="4">
      <t>ナイヨウ</t>
    </rPh>
    <phoneticPr fontId="26"/>
  </si>
  <si>
    <t>変更者</t>
    <rPh sb="0" eb="2">
      <t>ヘンコウ</t>
    </rPh>
    <rPh sb="2" eb="3">
      <t>シャ</t>
    </rPh>
    <phoneticPr fontId="26"/>
  </si>
  <si>
    <t>版数</t>
    <rPh sb="0" eb="1">
      <t>ハン</t>
    </rPh>
    <rPh sb="1" eb="2">
      <t>スウ</t>
    </rPh>
    <phoneticPr fontId="26"/>
  </si>
  <si>
    <t>新規作成</t>
    <rPh sb="0" eb="2">
      <t>シンキ</t>
    </rPh>
    <rPh sb="2" eb="4">
      <t>サクセイ</t>
    </rPh>
    <phoneticPr fontId="19"/>
  </si>
  <si>
    <t>新規作成</t>
    <rPh sb="0" eb="4">
      <t>シンキサクセイ</t>
    </rPh>
    <phoneticPr fontId="7"/>
  </si>
  <si>
    <t>JBS加藤</t>
    <rPh sb="3" eb="5">
      <t>カトウ</t>
    </rPh>
    <phoneticPr fontId="19"/>
  </si>
  <si>
    <t>1.0</t>
    <phoneticPr fontId="19"/>
  </si>
  <si>
    <t>Branch2要件追加</t>
    <rPh sb="7" eb="9">
      <t>ヨウケン</t>
    </rPh>
    <rPh sb="9" eb="11">
      <t>ツイカ</t>
    </rPh>
    <phoneticPr fontId="1"/>
  </si>
  <si>
    <t>JBS北井</t>
    <rPh sb="3" eb="5">
      <t>キタイ</t>
    </rPh>
    <phoneticPr fontId="1"/>
  </si>
  <si>
    <t>1.1</t>
    <phoneticPr fontId="1"/>
  </si>
  <si>
    <t>第1.１版</t>
    <rPh sb="0" eb="1">
      <t>ダイ</t>
    </rPh>
    <rPh sb="4" eb="5">
      <t>ハン</t>
    </rPh>
    <phoneticPr fontId="5"/>
  </si>
  <si>
    <t>ライセンス活用（使用想定のライセンス）</t>
    <rPh sb="5" eb="7">
      <t>カツヨウ</t>
    </rPh>
    <phoneticPr fontId="1"/>
  </si>
  <si>
    <t>？</t>
    <phoneticPr fontId="1"/>
  </si>
  <si>
    <t>2024/12/6 Branch2要件に伴いSCM、Teamを追記</t>
    <rPh sb="17" eb="19">
      <t>ヨウケン</t>
    </rPh>
    <rPh sb="20" eb="21">
      <t>トモナ</t>
    </rPh>
    <rPh sb="31" eb="33">
      <t>ツイキ</t>
    </rPh>
    <phoneticPr fontId="1"/>
  </si>
  <si>
    <t>JBS加藤</t>
    <rPh sb="3" eb="5">
      <t>カトウ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</si>
</sst>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3">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9"/>
      <color indexed="8"/>
      <name val="メイリオ"/>
      <family val="3"/>
      <charset val="128"/>
    </font>
    <font>
      <sz val="6"/>
      <name val="ＭＳ Ｐゴシック"/>
      <family val="3"/>
      <charset val="128"/>
    </font>
    <font>
      <sz val="9"/>
      <name val="メイリオ"/>
      <family val="3"/>
      <charset val="128"/>
    </font>
    <font>
      <sz val="6"/>
      <name val="メイリオ"/>
      <family val="2"/>
      <charset val="128"/>
    </font>
    <font>
      <sz val="9"/>
      <color theme="1"/>
      <name val="メイリオ"/>
      <family val="3"/>
      <charset val="128"/>
    </font>
    <font>
      <sz val="11"/>
      <color theme="1"/>
      <name val="メイリオ"/>
      <family val="3"/>
      <charset val="128"/>
    </font>
    <font>
      <sz val="10"/>
      <name val="メイリオ"/>
      <family val="3"/>
      <charset val="128"/>
    </font>
    <font>
      <sz val="14"/>
      <name val="メイリオ"/>
      <family val="3"/>
      <charset val="128"/>
    </font>
    <font>
      <b/>
      <sz val="20"/>
      <name val="メイリオ"/>
      <family val="3"/>
      <charset val="128"/>
    </font>
    <font>
      <b/>
      <sz val="18"/>
      <name val="メイリオ"/>
      <family val="3"/>
      <charset val="128"/>
    </font>
    <font>
      <b/>
      <sz val="16"/>
      <name val="メイリオ"/>
      <family val="3"/>
      <charset val="128"/>
    </font>
    <font>
      <sz val="11"/>
      <name val="メイリオ"/>
      <family val="3"/>
      <charset val="128"/>
    </font>
    <font>
      <sz val="11"/>
      <name val="Meiryo UI"/>
      <family val="3"/>
      <charset val="128"/>
    </font>
    <font>
      <sz val="11"/>
      <color theme="1"/>
      <name val="Meiryo UI"/>
      <family val="2"/>
      <scheme val="minor"/>
    </font>
    <font>
      <sz val="10"/>
      <color theme="0"/>
      <name val="Meiryo UI"/>
      <family val="3"/>
      <charset val="128"/>
    </font>
    <font>
      <sz val="6"/>
      <name val="Meiryo UI"/>
      <family val="3"/>
      <charset val="128"/>
      <scheme val="minor"/>
    </font>
    <font>
      <sz val="11"/>
      <color theme="1"/>
      <name val="Meiryo UI"/>
      <family val="3"/>
      <charset val="128"/>
    </font>
    <font>
      <sz val="10"/>
      <name val="Meiryo UI"/>
      <family val="3"/>
      <charset val="128"/>
    </font>
    <font>
      <sz val="10"/>
      <color indexed="8"/>
      <name val="Meiryo UI"/>
      <family val="3"/>
      <charset val="128"/>
    </font>
    <font>
      <sz val="10"/>
      <color theme="1"/>
      <name val="Meiryo UI"/>
      <family val="3"/>
      <charset val="128"/>
    </font>
    <font>
      <sz val="9"/>
      <color rgb="FFFFFFFF"/>
      <name val="Meiryo UI"/>
      <family val="3"/>
      <charset val="128"/>
    </font>
    <font>
      <b/>
      <sz val="10"/>
      <color theme="0"/>
      <name val="Meiryo UI"/>
      <family val="3"/>
      <charset val="128"/>
    </font>
    <font>
      <sz val="6"/>
      <name val="ＭＳ ゴシック"/>
      <family val="3"/>
      <charset val="128"/>
    </font>
    <font>
      <b/>
      <sz val="10"/>
      <color theme="1"/>
      <name val="Meiryo UI"/>
      <family val="3"/>
      <charset val="128"/>
    </font>
    <font>
      <sz val="9"/>
      <color indexed="8"/>
      <name val="Meiryo UI"/>
      <family val="3"/>
      <charset val="128"/>
    </font>
    <font>
      <sz val="9"/>
      <name val="Meiryo UI"/>
      <family val="3"/>
      <charset val="128"/>
    </font>
    <font>
      <sz val="11"/>
      <color rgb="FFFF0000"/>
      <name val="Meiryo UI"/>
      <family val="2"/>
      <charset val="128"/>
      <scheme val="minor"/>
    </font>
    <font>
      <sz val="11"/>
      <color rgb="FFFF0000"/>
      <name val="Meiryo UI"/>
      <family val="3"/>
      <charset val="128"/>
      <scheme val="minor"/>
    </font>
    <font>
      <sz val="11"/>
      <color rgb="FFFF0000"/>
      <name val="Meiryo UI"/>
      <family val="3"/>
      <charset val="128"/>
    </font>
  </fonts>
  <fills count="7">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39997558519241921"/>
        <bgColor indexed="64"/>
      </patternFill>
    </fill>
    <fill>
      <patternFill patternType="solid">
        <fgColor theme="4" tint="-0.249977111117893"/>
        <bgColor indexed="64"/>
      </patternFill>
    </fill>
  </fills>
  <borders count="5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top style="medium">
        <color indexed="64"/>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s>
  <cellStyleXfs count="4">
    <xf numFmtId="0" fontId="0" fillId="0" borderId="0">
      <alignment vertical="center"/>
    </xf>
    <xf numFmtId="0" fontId="3" fillId="0" borderId="0">
      <alignment vertical="center"/>
    </xf>
    <xf numFmtId="0" fontId="2" fillId="0" borderId="0">
      <alignment vertical="center"/>
    </xf>
    <xf numFmtId="0" fontId="17" fillId="0" borderId="0"/>
  </cellStyleXfs>
  <cellXfs count="179">
    <xf numFmtId="0" fontId="0" fillId="0" borderId="0" xfId="0">
      <alignment vertical="center"/>
    </xf>
    <xf numFmtId="0" fontId="9" fillId="4" borderId="0" xfId="2" applyFont="1" applyFill="1">
      <alignment vertical="center"/>
    </xf>
    <xf numFmtId="0" fontId="8" fillId="4" borderId="0" xfId="1" applyFont="1" applyFill="1">
      <alignment vertical="center"/>
    </xf>
    <xf numFmtId="0" fontId="10" fillId="4" borderId="11" xfId="1" applyFont="1" applyFill="1" applyBorder="1">
      <alignment vertical="center"/>
    </xf>
    <xf numFmtId="0" fontId="10" fillId="4" borderId="12" xfId="1" applyFont="1" applyFill="1" applyBorder="1">
      <alignment vertical="center"/>
    </xf>
    <xf numFmtId="0" fontId="10" fillId="4" borderId="13" xfId="1" applyFont="1" applyFill="1" applyBorder="1">
      <alignment vertical="center"/>
    </xf>
    <xf numFmtId="0" fontId="10" fillId="4" borderId="14" xfId="1" applyFont="1" applyFill="1" applyBorder="1">
      <alignment vertical="center"/>
    </xf>
    <xf numFmtId="0" fontId="10" fillId="4" borderId="0" xfId="1" applyFont="1" applyFill="1">
      <alignment vertical="center"/>
    </xf>
    <xf numFmtId="0" fontId="11" fillId="4" borderId="0" xfId="1" applyFont="1" applyFill="1">
      <alignment vertical="center"/>
    </xf>
    <xf numFmtId="0" fontId="10" fillId="4" borderId="15" xfId="1" applyFont="1" applyFill="1" applyBorder="1">
      <alignment vertical="center"/>
    </xf>
    <xf numFmtId="0" fontId="13" fillId="4" borderId="0" xfId="1" applyFont="1" applyFill="1">
      <alignment vertical="center"/>
    </xf>
    <xf numFmtId="0" fontId="15" fillId="4" borderId="0" xfId="1" applyFont="1" applyFill="1" applyAlignment="1"/>
    <xf numFmtId="0" fontId="15" fillId="4" borderId="14" xfId="1" applyFont="1" applyFill="1" applyBorder="1" applyAlignment="1"/>
    <xf numFmtId="0" fontId="10" fillId="4" borderId="0" xfId="1" applyFont="1" applyFill="1" applyAlignment="1">
      <alignment horizontal="center" vertical="center"/>
    </xf>
    <xf numFmtId="0" fontId="10" fillId="4" borderId="0" xfId="1" applyFont="1" applyFill="1" applyAlignment="1">
      <alignment horizontal="center" vertical="center" wrapText="1"/>
    </xf>
    <xf numFmtId="0" fontId="10" fillId="4" borderId="16" xfId="1" applyFont="1" applyFill="1" applyBorder="1">
      <alignment vertical="center"/>
    </xf>
    <xf numFmtId="0" fontId="10" fillId="4" borderId="17" xfId="1" applyFont="1" applyFill="1" applyBorder="1">
      <alignment vertical="center"/>
    </xf>
    <xf numFmtId="0" fontId="10" fillId="4" borderId="17" xfId="1" applyFont="1" applyFill="1" applyBorder="1" applyAlignment="1">
      <alignment horizontal="center" vertical="center"/>
    </xf>
    <xf numFmtId="0" fontId="10" fillId="4" borderId="17" xfId="1" applyFont="1" applyFill="1" applyBorder="1" applyAlignment="1">
      <alignment vertical="center" wrapText="1"/>
    </xf>
    <xf numFmtId="0" fontId="15" fillId="4" borderId="17" xfId="1" applyFont="1" applyFill="1" applyBorder="1">
      <alignment vertical="center"/>
    </xf>
    <xf numFmtId="0" fontId="10" fillId="4" borderId="18" xfId="1" applyFont="1" applyFill="1" applyBorder="1">
      <alignment vertical="center"/>
    </xf>
    <xf numFmtId="0" fontId="0" fillId="0" borderId="17" xfId="0" applyBorder="1">
      <alignment vertical="center"/>
    </xf>
    <xf numFmtId="0" fontId="0" fillId="0" borderId="0" xfId="0" applyAlignment="1">
      <alignment horizontal="center" vertical="center"/>
    </xf>
    <xf numFmtId="0" fontId="0" fillId="0" borderId="21" xfId="0" applyBorder="1">
      <alignment vertical="center"/>
    </xf>
    <xf numFmtId="0" fontId="0" fillId="0" borderId="19" xfId="0" applyBorder="1">
      <alignment vertical="center"/>
    </xf>
    <xf numFmtId="0" fontId="0" fillId="0" borderId="20" xfId="0" applyBorder="1">
      <alignment vertical="center"/>
    </xf>
    <xf numFmtId="0" fontId="0" fillId="5" borderId="21" xfId="0" applyFill="1" applyBorder="1">
      <alignment vertical="center"/>
    </xf>
    <xf numFmtId="0" fontId="0" fillId="5" borderId="19" xfId="0" applyFill="1" applyBorder="1">
      <alignment vertical="center"/>
    </xf>
    <xf numFmtId="0" fontId="0" fillId="5" borderId="20" xfId="0" applyFill="1" applyBorder="1">
      <alignment vertical="center"/>
    </xf>
    <xf numFmtId="0" fontId="20" fillId="0" borderId="0" xfId="3" applyFont="1" applyAlignment="1">
      <alignment vertical="center"/>
    </xf>
    <xf numFmtId="0" fontId="21" fillId="0" borderId="0" xfId="3" applyFont="1" applyAlignment="1">
      <alignment vertical="center"/>
    </xf>
    <xf numFmtId="0" fontId="23" fillId="0" borderId="12" xfId="3" applyFont="1" applyBorder="1" applyAlignment="1">
      <alignment vertical="center"/>
    </xf>
    <xf numFmtId="0" fontId="24" fillId="0" borderId="0" xfId="3" applyFont="1" applyAlignment="1">
      <alignment vertical="center"/>
    </xf>
    <xf numFmtId="0" fontId="23" fillId="0" borderId="0" xfId="3" applyFont="1" applyAlignment="1">
      <alignment vertical="center"/>
    </xf>
    <xf numFmtId="0" fontId="27" fillId="0" borderId="0" xfId="3" applyFont="1" applyAlignment="1">
      <alignment vertical="center"/>
    </xf>
    <xf numFmtId="0" fontId="32" fillId="0" borderId="0" xfId="0" applyFont="1">
      <alignment vertical="center"/>
    </xf>
    <xf numFmtId="0" fontId="14" fillId="4" borderId="14" xfId="1" applyFont="1" applyFill="1" applyBorder="1" applyAlignment="1">
      <alignment horizontal="center" vertical="center"/>
    </xf>
    <xf numFmtId="0" fontId="14" fillId="4" borderId="0" xfId="1" applyFont="1" applyFill="1" applyAlignment="1">
      <alignment horizontal="center" vertical="center"/>
    </xf>
    <xf numFmtId="0" fontId="14" fillId="4" borderId="15" xfId="1" applyFont="1" applyFill="1" applyBorder="1" applyAlignment="1">
      <alignment horizontal="center" vertical="center"/>
    </xf>
    <xf numFmtId="0" fontId="12" fillId="4" borderId="11" xfId="1" applyFont="1" applyFill="1" applyBorder="1" applyAlignment="1">
      <alignment horizontal="center" vertical="center" wrapText="1"/>
    </xf>
    <xf numFmtId="0" fontId="12" fillId="4" borderId="12" xfId="1" applyFont="1" applyFill="1" applyBorder="1" applyAlignment="1">
      <alignment horizontal="center" vertical="center" wrapText="1"/>
    </xf>
    <xf numFmtId="0" fontId="12" fillId="4" borderId="13" xfId="1" applyFont="1" applyFill="1" applyBorder="1" applyAlignment="1">
      <alignment horizontal="center" vertical="center" wrapText="1"/>
    </xf>
    <xf numFmtId="0" fontId="12" fillId="4" borderId="14" xfId="1" applyFont="1" applyFill="1" applyBorder="1" applyAlignment="1">
      <alignment horizontal="center" vertical="center" wrapText="1"/>
    </xf>
    <xf numFmtId="0" fontId="12" fillId="4" borderId="0" xfId="1" applyFont="1" applyFill="1" applyAlignment="1">
      <alignment horizontal="center" vertical="center" wrapText="1"/>
    </xf>
    <xf numFmtId="0" fontId="12" fillId="4" borderId="15" xfId="1" applyFont="1" applyFill="1" applyBorder="1" applyAlignment="1">
      <alignment horizontal="center" vertical="center" wrapText="1"/>
    </xf>
    <xf numFmtId="0" fontId="12" fillId="4" borderId="14" xfId="1" applyFont="1" applyFill="1" applyBorder="1" applyAlignment="1">
      <alignment horizontal="center" vertical="center"/>
    </xf>
    <xf numFmtId="0" fontId="12" fillId="4" borderId="0" xfId="1" applyFont="1" applyFill="1" applyAlignment="1">
      <alignment horizontal="center" vertical="center"/>
    </xf>
    <xf numFmtId="0" fontId="12" fillId="4" borderId="15" xfId="1" applyFont="1" applyFill="1" applyBorder="1" applyAlignment="1">
      <alignment horizontal="center" vertical="center"/>
    </xf>
    <xf numFmtId="0" fontId="12" fillId="4" borderId="16" xfId="1" applyFont="1" applyFill="1" applyBorder="1" applyAlignment="1">
      <alignment horizontal="center" vertical="center"/>
    </xf>
    <xf numFmtId="0" fontId="12" fillId="4" borderId="17" xfId="1" applyFont="1" applyFill="1" applyBorder="1" applyAlignment="1">
      <alignment horizontal="center" vertical="center"/>
    </xf>
    <xf numFmtId="0" fontId="12" fillId="4" borderId="18" xfId="1" applyFont="1" applyFill="1" applyBorder="1" applyAlignment="1">
      <alignment horizontal="center" vertical="center"/>
    </xf>
    <xf numFmtId="0" fontId="14" fillId="4" borderId="14" xfId="1" applyFont="1" applyFill="1" applyBorder="1" applyAlignment="1">
      <alignment horizontal="center"/>
    </xf>
    <xf numFmtId="0" fontId="14" fillId="4" borderId="0" xfId="1" applyFont="1" applyFill="1" applyAlignment="1">
      <alignment horizontal="center"/>
    </xf>
    <xf numFmtId="0" fontId="14" fillId="4" borderId="15" xfId="1" applyFont="1" applyFill="1" applyBorder="1" applyAlignment="1">
      <alignment horizontal="center"/>
    </xf>
    <xf numFmtId="14" fontId="14" fillId="4" borderId="14" xfId="1" applyNumberFormat="1" applyFont="1" applyFill="1" applyBorder="1" applyAlignment="1">
      <alignment horizontal="center" vertical="center"/>
    </xf>
    <xf numFmtId="14" fontId="28" fillId="4" borderId="39" xfId="1" applyNumberFormat="1" applyFont="1" applyFill="1" applyBorder="1" applyAlignment="1">
      <alignment horizontal="left" vertical="center"/>
    </xf>
    <xf numFmtId="14" fontId="28" fillId="4" borderId="40" xfId="1" applyNumberFormat="1" applyFont="1" applyFill="1" applyBorder="1" applyAlignment="1">
      <alignment horizontal="left" vertical="center"/>
    </xf>
    <xf numFmtId="14" fontId="28" fillId="4" borderId="53" xfId="1" applyNumberFormat="1" applyFont="1" applyFill="1" applyBorder="1" applyAlignment="1">
      <alignment horizontal="left" vertical="center"/>
    </xf>
    <xf numFmtId="0" fontId="28" fillId="4" borderId="39" xfId="1" applyFont="1" applyFill="1" applyBorder="1" applyAlignment="1">
      <alignment horizontal="left" vertical="center"/>
    </xf>
    <xf numFmtId="0" fontId="28" fillId="4" borderId="40" xfId="1" applyFont="1" applyFill="1" applyBorder="1" applyAlignment="1">
      <alignment horizontal="left" vertical="center"/>
    </xf>
    <xf numFmtId="0" fontId="28" fillId="4" borderId="41" xfId="1" applyFont="1" applyFill="1" applyBorder="1" applyAlignment="1">
      <alignment horizontal="left" vertical="center"/>
    </xf>
    <xf numFmtId="0" fontId="28" fillId="4" borderId="54" xfId="1" applyFont="1" applyFill="1" applyBorder="1">
      <alignment vertical="center"/>
    </xf>
    <xf numFmtId="0" fontId="28" fillId="4" borderId="39" xfId="1" applyFont="1" applyFill="1" applyBorder="1" applyAlignment="1">
      <alignment horizontal="center" vertical="center" wrapText="1"/>
    </xf>
    <xf numFmtId="0" fontId="28" fillId="4" borderId="40" xfId="1" applyFont="1" applyFill="1" applyBorder="1" applyAlignment="1">
      <alignment horizontal="center" vertical="center" wrapText="1"/>
    </xf>
    <xf numFmtId="0" fontId="28" fillId="4" borderId="41" xfId="1" applyFont="1" applyFill="1" applyBorder="1" applyAlignment="1">
      <alignment horizontal="center" vertical="center" wrapText="1"/>
    </xf>
    <xf numFmtId="49" fontId="28" fillId="4" borderId="55" xfId="1" applyNumberFormat="1" applyFont="1" applyFill="1" applyBorder="1" applyAlignment="1">
      <alignment horizontal="center" vertical="center"/>
    </xf>
    <xf numFmtId="49" fontId="28" fillId="4" borderId="40" xfId="1" applyNumberFormat="1" applyFont="1" applyFill="1" applyBorder="1" applyAlignment="1">
      <alignment horizontal="center" vertical="center"/>
    </xf>
    <xf numFmtId="49" fontId="28" fillId="4" borderId="41" xfId="1" applyNumberFormat="1" applyFont="1" applyFill="1" applyBorder="1" applyAlignment="1">
      <alignment horizontal="center" vertical="center"/>
    </xf>
    <xf numFmtId="14" fontId="28" fillId="4" borderId="51" xfId="1" applyNumberFormat="1" applyFont="1" applyFill="1" applyBorder="1" applyAlignment="1">
      <alignment horizontal="left" vertical="center"/>
    </xf>
    <xf numFmtId="14" fontId="28" fillId="4" borderId="1" xfId="1" applyNumberFormat="1" applyFont="1" applyFill="1" applyBorder="1" applyAlignment="1">
      <alignment horizontal="left" vertical="center"/>
    </xf>
    <xf numFmtId="14" fontId="28" fillId="4" borderId="2" xfId="1" applyNumberFormat="1" applyFont="1" applyFill="1" applyBorder="1" applyAlignment="1">
      <alignment horizontal="left" vertical="center"/>
    </xf>
    <xf numFmtId="0" fontId="28" fillId="4" borderId="51" xfId="1" applyFont="1" applyFill="1" applyBorder="1" applyAlignment="1">
      <alignment horizontal="left" vertical="center"/>
    </xf>
    <xf numFmtId="0" fontId="28" fillId="4" borderId="1" xfId="1" applyFont="1" applyFill="1" applyBorder="1" applyAlignment="1">
      <alignment horizontal="left" vertical="center"/>
    </xf>
    <xf numFmtId="0" fontId="28" fillId="4" borderId="52" xfId="1" applyFont="1" applyFill="1" applyBorder="1" applyAlignment="1">
      <alignment horizontal="left" vertical="center"/>
    </xf>
    <xf numFmtId="0" fontId="28" fillId="4" borderId="3" xfId="1" applyFont="1" applyFill="1" applyBorder="1" applyAlignment="1">
      <alignment vertical="center" wrapText="1"/>
    </xf>
    <xf numFmtId="0" fontId="28" fillId="4" borderId="3" xfId="1" applyFont="1" applyFill="1" applyBorder="1">
      <alignment vertical="center"/>
    </xf>
    <xf numFmtId="0" fontId="28" fillId="4" borderId="51" xfId="1" applyFont="1" applyFill="1" applyBorder="1" applyAlignment="1">
      <alignment horizontal="center" vertical="center" wrapText="1"/>
    </xf>
    <xf numFmtId="0" fontId="28" fillId="4" borderId="1" xfId="1" applyFont="1" applyFill="1" applyBorder="1" applyAlignment="1">
      <alignment horizontal="center" vertical="center" wrapText="1"/>
    </xf>
    <xf numFmtId="0" fontId="28" fillId="4" borderId="52" xfId="1" applyFont="1" applyFill="1" applyBorder="1" applyAlignment="1">
      <alignment horizontal="center" vertical="center" wrapText="1"/>
    </xf>
    <xf numFmtId="49" fontId="28" fillId="4" borderId="4" xfId="1" applyNumberFormat="1" applyFont="1" applyFill="1" applyBorder="1" applyAlignment="1">
      <alignment horizontal="center" vertical="center"/>
    </xf>
    <xf numFmtId="49" fontId="28" fillId="4" borderId="1" xfId="1" applyNumberFormat="1" applyFont="1" applyFill="1" applyBorder="1" applyAlignment="1">
      <alignment horizontal="center" vertical="center"/>
    </xf>
    <xf numFmtId="49" fontId="28" fillId="4" borderId="52" xfId="1" applyNumberFormat="1" applyFont="1" applyFill="1" applyBorder="1" applyAlignment="1">
      <alignment horizontal="center" vertical="center"/>
    </xf>
    <xf numFmtId="0" fontId="29" fillId="4" borderId="3" xfId="1" applyFont="1" applyFill="1" applyBorder="1" applyAlignment="1">
      <alignment vertical="center" wrapText="1"/>
    </xf>
    <xf numFmtId="0" fontId="29" fillId="4" borderId="3" xfId="1" applyFont="1" applyFill="1" applyBorder="1">
      <alignment vertical="center"/>
    </xf>
    <xf numFmtId="14" fontId="28" fillId="4" borderId="47" xfId="1" applyNumberFormat="1" applyFont="1" applyFill="1" applyBorder="1" applyAlignment="1">
      <alignment horizontal="left" vertical="center"/>
    </xf>
    <xf numFmtId="14" fontId="28" fillId="4" borderId="48" xfId="1" applyNumberFormat="1" applyFont="1" applyFill="1" applyBorder="1" applyAlignment="1">
      <alignment horizontal="left" vertical="center"/>
    </xf>
    <xf numFmtId="14" fontId="28" fillId="4" borderId="8" xfId="1" applyNumberFormat="1" applyFont="1" applyFill="1" applyBorder="1" applyAlignment="1">
      <alignment horizontal="left" vertical="center"/>
    </xf>
    <xf numFmtId="0" fontId="28" fillId="4" borderId="47" xfId="1" applyFont="1" applyFill="1" applyBorder="1" applyAlignment="1">
      <alignment horizontal="left" vertical="center"/>
    </xf>
    <xf numFmtId="0" fontId="28" fillId="4" borderId="9" xfId="1" applyFont="1" applyFill="1" applyBorder="1" applyAlignment="1">
      <alignment horizontal="left" vertical="center"/>
    </xf>
    <xf numFmtId="0" fontId="28" fillId="4" borderId="49" xfId="1" applyFont="1" applyFill="1" applyBorder="1" applyAlignment="1">
      <alignment horizontal="left" vertical="center"/>
    </xf>
    <xf numFmtId="0" fontId="28" fillId="4" borderId="9" xfId="1" applyFont="1" applyFill="1" applyBorder="1">
      <alignment vertical="center"/>
    </xf>
    <xf numFmtId="0" fontId="28" fillId="4" borderId="47" xfId="1" applyFont="1" applyFill="1" applyBorder="1" applyAlignment="1">
      <alignment horizontal="center" vertical="center" wrapText="1"/>
    </xf>
    <xf numFmtId="0" fontId="28" fillId="4" borderId="48" xfId="1" applyFont="1" applyFill="1" applyBorder="1" applyAlignment="1">
      <alignment horizontal="center" vertical="center" wrapText="1"/>
    </xf>
    <xf numFmtId="0" fontId="28" fillId="4" borderId="50" xfId="1" applyFont="1" applyFill="1" applyBorder="1" applyAlignment="1">
      <alignment horizontal="center" vertical="center" wrapText="1"/>
    </xf>
    <xf numFmtId="49" fontId="28" fillId="4" borderId="10" xfId="1" applyNumberFormat="1" applyFont="1" applyFill="1" applyBorder="1" applyAlignment="1">
      <alignment horizontal="center" vertical="center"/>
    </xf>
    <xf numFmtId="49" fontId="28" fillId="4" borderId="48" xfId="1" applyNumberFormat="1" applyFont="1" applyFill="1" applyBorder="1" applyAlignment="1">
      <alignment horizontal="center" vertical="center"/>
    </xf>
    <xf numFmtId="49" fontId="28" fillId="4" borderId="50" xfId="1" applyNumberFormat="1" applyFont="1" applyFill="1" applyBorder="1" applyAlignment="1">
      <alignment horizontal="center" vertical="center"/>
    </xf>
    <xf numFmtId="0" fontId="28" fillId="4" borderId="51" xfId="1" applyFont="1" applyFill="1" applyBorder="1" applyAlignment="1">
      <alignment horizontal="left" vertical="center" wrapText="1"/>
    </xf>
    <xf numFmtId="176" fontId="21" fillId="4" borderId="33" xfId="1" applyNumberFormat="1" applyFont="1" applyFill="1" applyBorder="1" applyAlignment="1">
      <alignment horizontal="center" vertical="center"/>
    </xf>
    <xf numFmtId="176" fontId="21" fillId="4" borderId="34" xfId="1" applyNumberFormat="1" applyFont="1" applyFill="1" applyBorder="1" applyAlignment="1">
      <alignment horizontal="center" vertical="center"/>
    </xf>
    <xf numFmtId="0" fontId="21" fillId="4" borderId="35" xfId="1" applyFont="1" applyFill="1" applyBorder="1" applyAlignment="1">
      <alignment horizontal="center" vertical="center"/>
    </xf>
    <xf numFmtId="0" fontId="21" fillId="4" borderId="36" xfId="1" applyFont="1" applyFill="1" applyBorder="1" applyAlignment="1">
      <alignment horizontal="center" vertical="center"/>
    </xf>
    <xf numFmtId="0" fontId="21" fillId="4" borderId="37" xfId="1" applyFont="1" applyFill="1" applyBorder="1" applyAlignment="1">
      <alignment horizontal="center" vertical="center"/>
    </xf>
    <xf numFmtId="0" fontId="21" fillId="4" borderId="38" xfId="1" applyFont="1" applyFill="1" applyBorder="1" applyAlignment="1">
      <alignment horizontal="center" vertical="center"/>
    </xf>
    <xf numFmtId="0" fontId="22" fillId="4" borderId="39" xfId="1" applyFont="1" applyFill="1" applyBorder="1" applyAlignment="1">
      <alignment horizontal="center" vertical="center"/>
    </xf>
    <xf numFmtId="0" fontId="22" fillId="4" borderId="40" xfId="1" applyFont="1" applyFill="1" applyBorder="1" applyAlignment="1">
      <alignment horizontal="center" vertical="center"/>
    </xf>
    <xf numFmtId="176" fontId="21" fillId="4" borderId="40" xfId="1" applyNumberFormat="1" applyFont="1" applyFill="1" applyBorder="1" applyAlignment="1">
      <alignment horizontal="center" vertical="center"/>
    </xf>
    <xf numFmtId="176" fontId="21" fillId="4" borderId="41" xfId="1" applyNumberFormat="1" applyFont="1" applyFill="1" applyBorder="1" applyAlignment="1">
      <alignment horizontal="center" vertical="center"/>
    </xf>
    <xf numFmtId="0" fontId="21" fillId="4" borderId="42" xfId="1" applyFont="1" applyFill="1" applyBorder="1" applyAlignment="1">
      <alignment horizontal="center" vertical="center"/>
    </xf>
    <xf numFmtId="0" fontId="21" fillId="4" borderId="43" xfId="1" applyFont="1" applyFill="1" applyBorder="1" applyAlignment="1">
      <alignment horizontal="center" vertical="center"/>
    </xf>
    <xf numFmtId="0" fontId="21" fillId="4" borderId="44" xfId="1" applyFont="1" applyFill="1" applyBorder="1" applyAlignment="1">
      <alignment horizontal="center" vertical="center"/>
    </xf>
    <xf numFmtId="0" fontId="21" fillId="4" borderId="45" xfId="1" applyFont="1" applyFill="1" applyBorder="1" applyAlignment="1">
      <alignment horizontal="center" vertical="center"/>
    </xf>
    <xf numFmtId="0" fontId="25" fillId="6" borderId="28" xfId="1" applyFont="1" applyFill="1" applyBorder="1" applyAlignment="1">
      <alignment horizontal="center" vertical="center"/>
    </xf>
    <xf numFmtId="0" fontId="25" fillId="6" borderId="30" xfId="1" applyFont="1" applyFill="1" applyBorder="1" applyAlignment="1">
      <alignment horizontal="center" vertical="center"/>
    </xf>
    <xf numFmtId="0" fontId="25" fillId="6" borderId="46" xfId="1" applyFont="1" applyFill="1" applyBorder="1" applyAlignment="1">
      <alignment horizontal="center" vertical="center"/>
    </xf>
    <xf numFmtId="0" fontId="25" fillId="6" borderId="22" xfId="1" applyFont="1" applyFill="1" applyBorder="1" applyAlignment="1">
      <alignment horizontal="center" vertical="center"/>
    </xf>
    <xf numFmtId="0" fontId="25" fillId="6" borderId="23" xfId="1" applyFont="1" applyFill="1" applyBorder="1" applyAlignment="1">
      <alignment horizontal="center" vertical="center"/>
    </xf>
    <xf numFmtId="0" fontId="25" fillId="6" borderId="24" xfId="1" applyFont="1" applyFill="1" applyBorder="1" applyAlignment="1">
      <alignment horizontal="center" vertical="center"/>
    </xf>
    <xf numFmtId="0" fontId="25" fillId="6" borderId="31" xfId="1" applyFont="1" applyFill="1" applyBorder="1" applyAlignment="1">
      <alignment horizontal="center" vertical="center"/>
    </xf>
    <xf numFmtId="0" fontId="25" fillId="6" borderId="29" xfId="1" applyFont="1" applyFill="1" applyBorder="1" applyAlignment="1">
      <alignment horizontal="center" vertical="center"/>
    </xf>
    <xf numFmtId="0" fontId="18" fillId="6" borderId="11" xfId="3" applyFont="1" applyFill="1" applyBorder="1" applyAlignment="1">
      <alignment horizontal="center" vertical="center" wrapText="1"/>
    </xf>
    <xf numFmtId="0" fontId="18" fillId="6" borderId="12" xfId="3" applyFont="1" applyFill="1" applyBorder="1" applyAlignment="1">
      <alignment horizontal="center" vertical="center" wrapText="1"/>
    </xf>
    <xf numFmtId="0" fontId="18" fillId="6" borderId="13" xfId="3" applyFont="1" applyFill="1" applyBorder="1" applyAlignment="1">
      <alignment horizontal="center" vertical="center" wrapText="1"/>
    </xf>
    <xf numFmtId="0" fontId="18" fillId="6" borderId="14" xfId="3" applyFont="1" applyFill="1" applyBorder="1" applyAlignment="1">
      <alignment horizontal="center" vertical="center" wrapText="1"/>
    </xf>
    <xf numFmtId="0" fontId="18" fillId="6" borderId="0" xfId="3" applyFont="1" applyFill="1" applyAlignment="1">
      <alignment horizontal="center" vertical="center" wrapText="1"/>
    </xf>
    <xf numFmtId="0" fontId="18" fillId="6" borderId="15" xfId="3" applyFont="1" applyFill="1" applyBorder="1" applyAlignment="1">
      <alignment horizontal="center" vertical="center" wrapText="1"/>
    </xf>
    <xf numFmtId="0" fontId="18" fillId="6" borderId="16" xfId="3" applyFont="1" applyFill="1" applyBorder="1" applyAlignment="1">
      <alignment horizontal="center" vertical="center" wrapText="1"/>
    </xf>
    <xf numFmtId="0" fontId="18" fillId="6" borderId="17" xfId="3" applyFont="1" applyFill="1" applyBorder="1" applyAlignment="1">
      <alignment horizontal="center" vertical="center" wrapText="1"/>
    </xf>
    <xf numFmtId="0" fontId="18" fillId="6" borderId="18" xfId="3" applyFont="1" applyFill="1" applyBorder="1" applyAlignment="1">
      <alignment horizontal="center" vertical="center" wrapText="1"/>
    </xf>
    <xf numFmtId="0" fontId="18" fillId="6" borderId="22" xfId="3" applyFont="1" applyFill="1" applyBorder="1" applyAlignment="1">
      <alignment horizontal="center" vertical="center"/>
    </xf>
    <xf numFmtId="0" fontId="18" fillId="6" borderId="23" xfId="3" applyFont="1" applyFill="1" applyBorder="1" applyAlignment="1">
      <alignment horizontal="center" vertical="center"/>
    </xf>
    <xf numFmtId="0" fontId="18" fillId="6" borderId="24" xfId="3" applyFont="1" applyFill="1" applyBorder="1" applyAlignment="1">
      <alignment horizontal="center" vertical="center"/>
    </xf>
    <xf numFmtId="0" fontId="18" fillId="6" borderId="11" xfId="3" applyFont="1" applyFill="1" applyBorder="1" applyAlignment="1">
      <alignment horizontal="center" vertical="center"/>
    </xf>
    <xf numFmtId="0" fontId="18" fillId="6" borderId="12" xfId="3" applyFont="1" applyFill="1" applyBorder="1" applyAlignment="1">
      <alignment horizontal="center" vertical="center"/>
    </xf>
    <xf numFmtId="0" fontId="18" fillId="6" borderId="13" xfId="3" applyFont="1" applyFill="1" applyBorder="1" applyAlignment="1">
      <alignment horizontal="center" vertical="center"/>
    </xf>
    <xf numFmtId="0" fontId="18" fillId="6" borderId="25" xfId="1" applyFont="1" applyFill="1" applyBorder="1" applyAlignment="1">
      <alignment horizontal="center" vertical="center"/>
    </xf>
    <xf numFmtId="0" fontId="18" fillId="6" borderId="26" xfId="1" applyFont="1" applyFill="1" applyBorder="1" applyAlignment="1">
      <alignment horizontal="center" vertical="center"/>
    </xf>
    <xf numFmtId="0" fontId="18" fillId="6" borderId="27" xfId="1" applyFont="1" applyFill="1" applyBorder="1" applyAlignment="1">
      <alignment horizontal="center" vertical="center"/>
    </xf>
    <xf numFmtId="0" fontId="18" fillId="6" borderId="28" xfId="1" applyFont="1" applyFill="1" applyBorder="1" applyAlignment="1">
      <alignment horizontal="center" vertical="center"/>
    </xf>
    <xf numFmtId="0" fontId="18" fillId="6" borderId="29" xfId="1" applyFont="1" applyFill="1" applyBorder="1" applyAlignment="1">
      <alignment horizontal="center" vertical="center"/>
    </xf>
    <xf numFmtId="0" fontId="18" fillId="6" borderId="30" xfId="1" applyFont="1" applyFill="1" applyBorder="1" applyAlignment="1">
      <alignment horizontal="center" vertical="center"/>
    </xf>
    <xf numFmtId="0" fontId="18" fillId="6" borderId="31" xfId="1" applyFont="1" applyFill="1" applyBorder="1" applyAlignment="1">
      <alignment horizontal="center" vertical="center"/>
    </xf>
    <xf numFmtId="0" fontId="21" fillId="0" borderId="11" xfId="3" applyFont="1" applyBorder="1" applyAlignment="1">
      <alignment horizontal="center" vertical="center" wrapText="1"/>
    </xf>
    <xf numFmtId="0" fontId="21" fillId="0" borderId="12" xfId="3" applyFont="1" applyBorder="1" applyAlignment="1">
      <alignment horizontal="center" vertical="center" wrapText="1"/>
    </xf>
    <xf numFmtId="0" fontId="21" fillId="0" borderId="13" xfId="3" applyFont="1" applyBorder="1" applyAlignment="1">
      <alignment horizontal="center" vertical="center" wrapText="1"/>
    </xf>
    <xf numFmtId="0" fontId="21" fillId="0" borderId="16" xfId="3" applyFont="1" applyBorder="1" applyAlignment="1">
      <alignment horizontal="center" vertical="center" wrapText="1"/>
    </xf>
    <xf numFmtId="0" fontId="21" fillId="0" borderId="17" xfId="3" applyFont="1" applyBorder="1" applyAlignment="1">
      <alignment horizontal="center" vertical="center" wrapText="1"/>
    </xf>
    <xf numFmtId="0" fontId="21" fillId="0" borderId="18" xfId="3" applyFont="1" applyBorder="1" applyAlignment="1">
      <alignment horizontal="center" vertical="center" wrapText="1"/>
    </xf>
    <xf numFmtId="0" fontId="21" fillId="0" borderId="11" xfId="3" quotePrefix="1" applyFont="1" applyBorder="1" applyAlignment="1">
      <alignment horizontal="center" vertical="center" wrapText="1"/>
    </xf>
    <xf numFmtId="0" fontId="21" fillId="0" borderId="12" xfId="3" quotePrefix="1" applyFont="1" applyBorder="1" applyAlignment="1">
      <alignment horizontal="center" vertical="center" wrapText="1"/>
    </xf>
    <xf numFmtId="0" fontId="21" fillId="0" borderId="13" xfId="3" quotePrefix="1" applyFont="1" applyBorder="1" applyAlignment="1">
      <alignment horizontal="center" vertical="center" wrapText="1"/>
    </xf>
    <xf numFmtId="0" fontId="21" fillId="0" borderId="16" xfId="3" quotePrefix="1" applyFont="1" applyBorder="1" applyAlignment="1">
      <alignment horizontal="center" vertical="center" wrapText="1"/>
    </xf>
    <xf numFmtId="0" fontId="21" fillId="0" borderId="17" xfId="3" quotePrefix="1" applyFont="1" applyBorder="1" applyAlignment="1">
      <alignment horizontal="center" vertical="center" wrapText="1"/>
    </xf>
    <xf numFmtId="0" fontId="21" fillId="0" borderId="18" xfId="3" quotePrefix="1" applyFont="1" applyBorder="1" applyAlignment="1">
      <alignment horizontal="center" vertical="center" wrapText="1"/>
    </xf>
    <xf numFmtId="0" fontId="22" fillId="4" borderId="32" xfId="1" applyFont="1" applyFill="1" applyBorder="1" applyAlignment="1">
      <alignment horizontal="center" vertical="center"/>
    </xf>
    <xf numFmtId="0" fontId="22" fillId="4" borderId="33" xfId="1" applyFont="1" applyFill="1" applyBorder="1" applyAlignment="1">
      <alignment horizontal="center" vertical="center"/>
    </xf>
    <xf numFmtId="0" fontId="16" fillId="4" borderId="1" xfId="1" applyFont="1" applyFill="1" applyBorder="1" applyAlignment="1">
      <alignment horizontal="left" vertical="center"/>
    </xf>
    <xf numFmtId="0" fontId="4" fillId="2" borderId="1" xfId="1" applyFont="1" applyFill="1" applyBorder="1" applyAlignment="1">
      <alignment horizontal="center" vertical="center"/>
    </xf>
    <xf numFmtId="176" fontId="16" fillId="4" borderId="1" xfId="1" applyNumberFormat="1" applyFont="1" applyFill="1" applyBorder="1" applyAlignment="1">
      <alignment horizontal="center" vertical="center"/>
    </xf>
    <xf numFmtId="0" fontId="4" fillId="3" borderId="1" xfId="1" applyFont="1" applyFill="1" applyBorder="1" applyAlignment="1">
      <alignment horizontal="left" vertical="center"/>
    </xf>
    <xf numFmtId="0" fontId="4" fillId="2" borderId="2"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4" xfId="1" applyFont="1" applyFill="1" applyBorder="1" applyAlignment="1">
      <alignment horizontal="center" vertical="center"/>
    </xf>
    <xf numFmtId="0" fontId="6" fillId="2" borderId="1" xfId="1" applyFont="1" applyFill="1" applyBorder="1" applyAlignment="1">
      <alignment horizontal="center" vertical="center"/>
    </xf>
    <xf numFmtId="0" fontId="8" fillId="3" borderId="1" xfId="1" applyFont="1" applyFill="1" applyBorder="1" applyAlignment="1">
      <alignment horizontal="left" vertical="center"/>
    </xf>
    <xf numFmtId="0" fontId="4"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xf numFmtId="0" fontId="4" fillId="3" borderId="8" xfId="1" applyFont="1" applyFill="1" applyBorder="1" applyAlignment="1">
      <alignment horizontal="center" vertical="center"/>
    </xf>
    <xf numFmtId="0" fontId="4" fillId="3" borderId="9" xfId="1" applyFont="1" applyFill="1" applyBorder="1" applyAlignment="1">
      <alignment horizontal="center" vertical="center"/>
    </xf>
    <xf numFmtId="0" fontId="4" fillId="3" borderId="10" xfId="1" applyFont="1" applyFill="1"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30" fillId="0" borderId="21" xfId="0" applyFont="1" applyBorder="1" applyAlignment="1">
      <alignment horizontal="center" vertical="center"/>
    </xf>
    <xf numFmtId="0" fontId="31" fillId="0" borderId="19" xfId="0" applyFont="1" applyBorder="1" applyAlignment="1">
      <alignment horizontal="center" vertical="center"/>
    </xf>
    <xf numFmtId="0" fontId="31" fillId="0" borderId="20"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cellXfs>
  <cellStyles count="4">
    <cellStyle name="標準" xfId="0" builtinId="0"/>
    <cellStyle name="標準 2" xfId="1" xr:uid="{F29E9F88-122F-43CC-B810-1C5395248D63}"/>
    <cellStyle name="標準 3" xfId="2" xr:uid="{AD6AB97D-814B-4704-B324-70FD0E76C8C9}"/>
    <cellStyle name="標準 4" xfId="3" xr:uid="{5F4EA81F-773C-4562-A692-12A8BB51DC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6.240\erpdev1\DOCUME~1\GS012\LOCALS~1\Temp\notes966155\M-001R0_1(&#12510;&#12523;&#12481;&#22312;&#24235;&#36578;&#36865;).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5.134.1\public\Documents%20and%20Settings\46167\&#12487;&#12473;&#12463;&#12488;&#12483;&#12503;\&#20241;&#26085;&#23550;&#24540;\RD_FI_2008(&#27161;&#28310;&#12452;&#12531;&#12479;&#12540;&#12501;&#12455;&#12540;&#12473;)\&#12501;&#12449;&#12452;&#12523;&#12524;&#12452;&#12450;&#12454;&#12488;(&#27161;&#28310;&#12452;&#12531;&#12479;&#12540;&#12501;&#12455;&#12540;&#1247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pnt01\public\Documents%20and%20Settings\h-kagawa\&#12487;&#12473;&#12463;&#12488;&#12483;&#12503;\&#12469;&#12531;&#12473;&#12479;&#12540;\&#26481;&#26144;&#12398;&#12469;&#12531;&#12503;&#12523;\&#65297;-&#9312;%20&#22770;&#19978;&#12539;&#22770;&#25499;&#37329;&#35336;&#19978;&#12398;&#21462;&#36796;&#12415;\Book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msteams_358ee9/Shared%20Documents/General/04_&#35201;&#20214;&#23450;&#32681;/02_&#12467;&#12531;&#12475;&#12503;&#12488;&#12488;&#12524;&#12540;&#12491;&#12531;&#12464;/01_&#29872;&#22659;&#27083;&#31689;/01.JBS&#29872;&#22659;/&#12304;&#12469;&#12531;&#12473;&#12479;&#12540;&#27096;&#12305;&#20107;&#21069;&#12498;&#12450;&#12522;&#12531;&#12464;&#12471;&#12540;&#1248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00207\D\Documents%20and%20Settings\moriuchi\My%20Documents\&#25216;&#34899;&#36039;&#26009;\&#12450;&#12489;&#12458;&#12531;&#38283;&#30330;\&#38306;&#38651;&#65289;&#22806;&#37096;&#35373;&#35336;&#12502;&#12521;&#12531;&#12463;&#12501;&#12457;&#12540;&#12512;&#65288;IPO).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jbsbpos1.sharepoint.com/sites/msteams_358ee9/Shared%20Documents/General/01_LIBRA/05_&#35373;&#35336;/02_&#22522;&#26412;&#35373;&#35336;&#26360;/2.&#12362;&#23458;&#27096;&#12524;&#12499;&#12517;&#12540;&#24453;&#12385;/FO-001_&#35373;&#35336;&#26360;_&#20250;&#35336;&#20253;&#31080;&#24773;&#22577;&#21462;&#36796;.xlsx" TargetMode="External"/><Relationship Id="rId1" Type="http://schemas.openxmlformats.org/officeDocument/2006/relationships/externalLinkPath" Target="/sites/msteams_358ee9/Shared%20Documents/General/01_LIBRA/05_&#35373;&#35336;/02_&#22522;&#26412;&#35373;&#35336;&#26360;/2.&#12362;&#23458;&#27096;&#12524;&#12499;&#12517;&#12540;&#24453;&#12385;/FO-001_&#35373;&#35336;&#26360;_&#20250;&#35336;&#20253;&#31080;&#24773;&#22577;&#21462;&#3679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pnt01\Public\Documents%20and%20Settings\sfujita\&#12487;&#12473;&#12463;&#12488;&#12483;&#12503;\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21.16.240\erpdev1\My%20Documents\GYB&#36039;&#26009;\IF&#35201;&#20214;&#23450;&#32681;\&#35201;&#20214;&#23450;&#32681;&#26360;\M-001R0_1(&#12510;&#12523;&#12481;&#22312;&#24235;&#36578;&#3686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5.134.1\public\Documents%20and%20Settings\y-mino\&#12487;&#12473;&#12463;&#12488;&#12483;&#12503;\GS%20YUASA\&#12503;&#12525;&#12472;&#12455;&#12463;&#12488;&#36039;&#26009;\50&#38283;&#30330;\03_IMM-0040_&#30330;&#27880;&#20837;&#24235;&#12539;&#33258;&#21205;&#22770;&#19978;&#20966;&#29702;\10&#35201;&#20214;&#23450;&#32681;&#26360;\sample\M-001R0_1(&#12510;&#12523;&#12481;&#22312;&#24235;&#36578;&#3686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12469;&#12531;&#12503;&#12523;&#12305;FO&#12467;&#12531;&#12501;&#12451;&#12464;&#23450;&#32681;&#26360;_00_&#27861;&#20154;&#20316;&#2510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11.&#35069;&#21697;&#24773;&#22577;&#31649;&#297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moiwa/Downloads/&#12304;&#30011;&#38754;&#12501;&#12457;&#12540;&#12510;&#12483;&#12488;&#12305;XX-X-XX_&#35373;&#35336;&#26360;_&#65308;&#27231;&#33021;&#21517;&#31216;&#65310;%20(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03.&#19968;&#33324;&#20250;&#3533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25.134.8\share\Documents%20and%20Settings\User\&#12487;&#12473;&#12463;&#12488;&#12483;&#12503;\&#20316;&#26989;&#20013;&#35373;&#35336;&#26360;\&#12486;&#12540;&#12502;&#12523;&#23450;&#32681;&#26360;\ZKMETMT0012_&#12486;&#12540;&#12502;&#12523;&#12539;&#27083;&#36896;&#20849;&#29992;&#23450;&#32681;&#26360;&#65288;&#12481;&#12515;&#12540;&#12472;&#12501;&#12449;&#12452;&#12523;&#6528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ystem-sv2\7d2\PROJECT\UTL\OLD\Y_MAINX.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PSTC&#12305;FO&#12467;&#12531;&#12501;&#12451;&#12464;&#23450;&#32681;&#26360;_2.&#12471;&#12473;&#12486;&#12512;&#31649;&#2970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ssui117\AERP\120.&#12481;&#12540;&#12512;\120-01.&#20849;&#36890;\&#26032;&#27770;&#31639;&#12503;&#12525;&#12475;&#12473;&#38306;&#36899;\&#25972;&#29702;&#29992;&#65420;&#65387;&#65433;&#65408;&#65438;\&#65404;&#65405;&#65411;&#65425;\&#65418;&#65439;&#65407;&#65402;&#65437;&#30740;&#20462;\Excel&#23455;&#36341;\(&#23436;&#25104;)&#35211;&#31309;&#26360;.xlt"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jal25f\tmp\@temp\3-1&amp;2&amp;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yamadah/OneDrive/&#26085;&#26412;&#12499;&#12472;&#12493;&#12473;&#12471;&#12473;&#12486;&#12512;&#12474;&#26666;&#24335;&#20250;&#31038;/Guest-NXPJ%20-%20General/10.&#35201;&#20214;&#23450;&#32681;&#12501;&#12455;&#12540;&#12474;/12.&#12497;&#12521;&#12513;&#12540;&#12479;&#35373;&#23450;/&#12467;&#12531;&#12501;&#12451;&#12464;&#23450;&#32681;&#26360;/NEX/&#12304;&#32173;&#26032;Project&#12305;FO&#12467;&#12531;&#12501;&#12451;&#12464;&#23450;&#32681;&#26360;-NEX_1.&#19968;&#33324;&#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社員リスト"/>
      <sheetName val="TABLE"/>
    </sheetNames>
    <sheetDataSet>
      <sheetData sheetId="0"/>
      <sheetData sheetId="1" refreshError="1">
        <row r="2">
          <cell r="J2">
            <v>36462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表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TABLE"/>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COMMON"/>
      <sheetName val="(ﾍｯﾀﾞ)"/>
      <sheetName val="kna1"/>
      <sheetName val="knb1"/>
      <sheetName val="テストデータ記述2"/>
      <sheetName val="Employee Info"/>
      <sheetName val="Product and Service Catalog"/>
      <sheetName val="品目DB"/>
      <sheetName val="#REF"/>
      <sheetName val="レポートレイアウト"/>
      <sheetName val="ドキュメント一覧・変更履歴"/>
      <sheetName val="日付ﾃｰﾌﾞﾙ"/>
      <sheetName val="ÐõXg"/>
      <sheetName val="１．InfoCube (YKCH0010) 案２"/>
      <sheetName val="１．InfoCube (YKCH0010)案１"/>
      <sheetName val="工数Worksheet"/>
      <sheetName val="Program List"/>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画面フロー"/>
      <sheetName val="画面定義"/>
      <sheetName val="文書履歴"/>
      <sheetName val="表紙 "/>
      <sheetName val="_REF"/>
      <sheetName val="問い合わせ票"/>
      <sheetName val="問い合わせ票 (中文)"/>
      <sheetName val="trans_at"/>
      <sheetName val="画面項目¨ｱｲﾃﾑｵｰﾀﾞ)"/>
      <sheetName val="画面項目(癸手先ｵｰﾀﾞ)"/>
      <sheetName val=""/>
      <sheetName val="問い合わせ票 (中ꀫ룇"/>
      <sheetName val="1.選択条件画面レイアウꀫ"/>
      <sheetName val="入力定義書 (ZBSEGꀫ"/>
      <sheetName val="n_x0000_f_x0000_o_x0000_"/>
      <sheetName val=" ⠀夀䬀䌀䠀　　㄀　⤀ 䠀ቨ៿Ā１．InfoCube (YKC"/>
      <sheetName val="緪集 (一覧出力CSV)"/>
      <sheetName val="DV02-A01_表紙"/>
      <sheetName val="DV02-A02ドキュメント一覧・変更履歴"/>
      <sheetName val="DV02-A03基本仕様"/>
      <sheetName val="DV02-A05処理概要"/>
      <sheetName val="DV02-A06設計詳細"/>
      <sheetName val="A07処理内容補足説明書（検索条件説明書）"/>
      <sheetName val="3-3-1.データチェック(存在チェッƯ3)"/>
      <sheetName val="n?f?o?"/>
      <sheetName val="+表紙!$AA$20社員リスト"/>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Employee_Info1"/>
      <sheetName val="Product_and_Service_Catalog1"/>
      <sheetName val="別紙用_(2)1"/>
      <sheetName val="UT_(指定条件検索)1"/>
      <sheetName val="UT_(発注人略称)1"/>
      <sheetName val="UT_(ｱｲﾃﾑNo)1"/>
      <sheetName val="UT_(ｱｲﾃﾑｵｰﾀﾞ)1"/>
      <sheetName val="UT_(相手先ｵｰﾀﾞ)1"/>
      <sheetName val="UT_(納入船積表示)1"/>
      <sheetName val="ﾌﾛｰ_1"/>
      <sheetName val="入力ﾁｪｯｸ_(指定条件検索)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BIBL01"/>
      <sheetName val="転記キー"/>
      <sheetName val="税コード"/>
      <sheetName val="ﾜﾝﾀｲﾑ"/>
      <sheetName val="JGR"/>
      <sheetName val="支払方法"/>
      <sheetName val="基本数量単位"/>
      <sheetName val="ｻﾝﾌﾟﾙ伝票"/>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票"/>
      <sheetName val="部門"/>
      <sheetName val="原価センター"/>
      <sheetName val="勘定科目表 "/>
      <sheetName val="財務分析コード"/>
      <sheetName val="銀行口座"/>
      <sheetName val="顧客"/>
      <sheetName val="仕入先"/>
      <sheetName val="消費税"/>
      <sheetName val="固定資産"/>
      <sheetName val="プロジェクト"/>
      <sheetName val="支払条件"/>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設計確認書"/>
      <sheetName val="処理概要"/>
      <sheetName val="処理機能記述"/>
      <sheetName val="別紙(IPO)"/>
      <sheetName val="別紙①"/>
      <sheetName val="別紙&lt;1&gt;"/>
      <sheetName val="画面遷移図"/>
      <sheetName val="画面レイアウト"/>
      <sheetName val="画面機能定義"/>
      <sheetName val="画面項目定義"/>
      <sheetName val="帳票レイアウト"/>
      <sheetName val="帳票項目定義"/>
      <sheetName val="Q草稿"/>
      <sheetName val="メモ"/>
      <sheetName val="HR_0001AP"/>
      <sheetName val="HR_0002Dragle"/>
      <sheetName val="HR_0003EDI"/>
      <sheetName val="IFID_R3-Outbound"/>
      <sheetName val="HR_0004社員原簿"/>
      <sheetName val="HR_0005源泉"/>
      <sheetName val="HR_0005源泉(高木氏改修分)"/>
      <sheetName val="源泉の修正レイアウト"/>
      <sheetName val="HR_0006昇給"/>
      <sheetName val="HR_0006 040709"/>
      <sheetName val="HR_0006昇給画面レイアウト図"/>
      <sheetName val="承認票"/>
      <sheetName val="社員リスト"/>
      <sheetName val="勤務体系"/>
      <sheetName val="TABLE"/>
      <sheetName val="基本情報"/>
      <sheetName val="function"/>
      <sheetName val="JOBINFOD"/>
      <sheetName val="JOBINFOR"/>
      <sheetName val="SD_FUNCTION"/>
      <sheetName val="SD_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変更履歴"/>
      <sheetName val="処理概要"/>
      <sheetName val="テーブル一覧"/>
      <sheetName val="DFD"/>
      <sheetName val="イベント説明"/>
      <sheetName val="画面レイアウト "/>
      <sheetName val="画面項目説明"/>
      <sheetName val="帳票レイアウト"/>
      <sheetName val="帳票出力仕様"/>
      <sheetName val="ファイルレイアウト"/>
      <sheetName val="テーブル出力仕様(会計伝票情報取込ログ)"/>
      <sheetName val="補足説明（機能関連図）"/>
      <sheetName val="補足説明（データ区分一覧）"/>
      <sheetName val="補足説明（消費税計算）"/>
      <sheetName val="レビュー指摘事項"/>
      <sheetName val="オブジェクト一覧"/>
      <sheetName val="プログラムフロー図"/>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A3" t="str">
            <v>I/O</v>
          </cell>
          <cell r="B3" t="str">
            <v>テキスト</v>
          </cell>
          <cell r="C3" t="str">
            <v>標準</v>
          </cell>
          <cell r="D3" t="str">
            <v>標準</v>
          </cell>
          <cell r="E3" t="str">
            <v>〇</v>
          </cell>
          <cell r="G3" t="str">
            <v>テーブル</v>
          </cell>
          <cell r="H3" t="str">
            <v>Class</v>
          </cell>
        </row>
        <row r="4">
          <cell r="A4" t="str">
            <v>I</v>
          </cell>
          <cell r="B4" t="str">
            <v>日付</v>
          </cell>
          <cell r="C4" t="str">
            <v>中央詰</v>
          </cell>
          <cell r="D4" t="str">
            <v>中央詰</v>
          </cell>
          <cell r="E4" t="str">
            <v>ー</v>
          </cell>
          <cell r="G4" t="str">
            <v>ビュー</v>
          </cell>
          <cell r="H4" t="str">
            <v>Form Class</v>
          </cell>
        </row>
        <row r="5">
          <cell r="A5" t="str">
            <v>O</v>
          </cell>
          <cell r="B5" t="str">
            <v>数値</v>
          </cell>
          <cell r="C5" t="str">
            <v>左詰</v>
          </cell>
          <cell r="D5" t="str">
            <v>上詰</v>
          </cell>
          <cell r="H5" t="str">
            <v>Table Class</v>
          </cell>
        </row>
        <row r="6">
          <cell r="C6" t="str">
            <v>右詰</v>
          </cell>
          <cell r="D6" t="str">
            <v>下詰</v>
          </cell>
          <cell r="H6" t="str">
            <v>Macro</v>
          </cell>
        </row>
        <row r="7">
          <cell r="H7" t="str">
            <v>Enum</v>
          </cell>
        </row>
        <row r="8">
          <cell r="H8" t="str">
            <v>EDT</v>
          </cell>
        </row>
        <row r="9">
          <cell r="H9" t="str">
            <v>Queries</v>
          </cell>
        </row>
        <row r="10">
          <cell r="H10" t="str">
            <v>Data Entities</v>
          </cell>
        </row>
        <row r="11">
          <cell r="H11" t="str">
            <v>Maps</v>
          </cell>
        </row>
        <row r="12">
          <cell r="H12" t="str">
            <v>Forms</v>
          </cell>
        </row>
        <row r="13">
          <cell r="H13" t="str">
            <v>Menus</v>
          </cell>
        </row>
        <row r="14">
          <cell r="H14" t="str">
            <v>Menu Items(Display)</v>
          </cell>
        </row>
        <row r="15">
          <cell r="H15" t="str">
            <v>Menu Items(Output)</v>
          </cell>
        </row>
        <row r="16">
          <cell r="H16" t="str">
            <v>Menu Items(Action)</v>
          </cell>
        </row>
        <row r="17">
          <cell r="H17" t="str">
            <v>Repoters</v>
          </cell>
        </row>
        <row r="18">
          <cell r="H18" t="str">
            <v>Security Roles</v>
          </cell>
        </row>
        <row r="19">
          <cell r="H19" t="str">
            <v>Security Duties</v>
          </cell>
        </row>
        <row r="20">
          <cell r="H20" t="str">
            <v>Security Policies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 val="確認書"/>
      <sheetName val="変更履歴"/>
      <sheetName val="処理機能概要"/>
      <sheetName val="画面遷移図"/>
      <sheetName val="画面レイアウト"/>
      <sheetName val="画面機能定義"/>
      <sheetName val="画面項目定義"/>
      <sheetName val="帳票レイアウト"/>
      <sheetName val="帳票項目定義"/>
      <sheetName val="テーブル項目編集定義"/>
      <sheetName val="ファイル項目定義"/>
      <sheetName val="ＢＩ要領定義"/>
      <sheetName val="BAPI編集要領"/>
      <sheetName val="メッセージ一覧"/>
      <sheetName val="補足説明"/>
      <sheetName val="TABLE"/>
      <sheetName val="障害検出率"/>
      <sheetName val="型TB"/>
      <sheetName val="Sheet1"/>
      <sheetName val="Sheet2"/>
      <sheetName val="Sheet3"/>
    </sheetNames>
    <definedNames>
      <definedName name="sheetprint"/>
      <definedName name="リピートボタン_Click"/>
      <definedName name="画面名表示"/>
      <definedName name="制御情報更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M-001R0_1(マルチ在庫転送)"/>
      <sheetName val="Sheet3"/>
      <sheetName val="処理機能記述"/>
    </sheetNames>
    <sheetDataSet>
      <sheetData sheetId="0"/>
      <sheetData sheetId="1" refreshError="1">
        <row r="2">
          <cell r="J2">
            <v>36462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処理機能記述"/>
      <sheetName val="ﾘｽﾄ"/>
      <sheetName val="調査シート"/>
      <sheetName val="データ"/>
      <sheetName val="MstIT"/>
    </sheetNames>
    <sheetDataSet>
      <sheetData sheetId="0"/>
      <sheetData sheetId="1" refreshError="1">
        <row r="2">
          <cell r="J2">
            <v>36462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システムパラメータ"/>
      <sheetName val="法人"/>
      <sheetName val="法人-設定値"/>
      <sheetName val="法人-番号順序 "/>
      <sheetName val="会計カレンダー"/>
      <sheetName val="会計カレンダー-設定値"/>
      <sheetName val="元帳カレンダー"/>
      <sheetName val="元帳カレンダー-設定値"/>
      <sheetName val="勘定科目表"/>
      <sheetName val="通貨-設定値"/>
      <sheetName val="勘定科目表-設定値"/>
      <sheetName val="通貨"/>
      <sheetName val="元帳"/>
      <sheetName val="元帳-勘定構造"/>
      <sheetName val="財務分析コード"/>
      <sheetName val="財務分析コード-設定値"/>
      <sheetName val="財務分析コード値"/>
      <sheetName val="財務分析コード値-設定値"/>
      <sheetName val="財務分析コードセット"/>
      <sheetName val="財務分析コードセット-設定値"/>
      <sheetName val="勘定構造のコンフィギュレーション"/>
      <sheetName val="勘定構造のコンフィギュレーション-設定値"/>
      <sheetName val="元帳転記グループ"/>
      <sheetName val="元帳転記グループ-設定値"/>
      <sheetName val="消費税所轄官庁"/>
      <sheetName val="消費税所轄官庁-設定値"/>
      <sheetName val="消費税決済期間"/>
      <sheetName val="消費税決済期間-設定値"/>
      <sheetName val="消費税決済期間_間隔-設定値"/>
      <sheetName val="消費税コード"/>
      <sheetName val="消費税コード-設定値"/>
      <sheetName val="消費税コードの値-設定値 "/>
      <sheetName val="消費税グループ"/>
      <sheetName val="消費税グループ-設定値"/>
      <sheetName val="消費税グループ_設定-設定値"/>
      <sheetName val="品目消費税グループ"/>
      <sheetName val="品目消費税グループ-設定値"/>
      <sheetName val="主勘定"/>
      <sheetName val="主勘定-設定値"/>
      <sheetName val="主勘定（法人の上書き）-設定値"/>
      <sheetName val="主勘定（既定の財務分析コード）-設定値"/>
      <sheetName val="主勘定（消費税）-設定値"/>
      <sheetName val="番号順序"/>
      <sheetName val="番号順序-設定値"/>
      <sheetName val="仕訳帳名"/>
      <sheetName val="仕訳帳名-設定値"/>
      <sheetName val="銀行口座"/>
      <sheetName val=" 銀行口座-設定値"/>
      <sheetName val="銀行グループ"/>
      <sheetName val="銀行グループ-設定値"/>
      <sheetName val="顧客グループ"/>
      <sheetName val="顧客グループ-設定値"/>
      <sheetName val="顧客転記プロファイル"/>
      <sheetName val="顧客転記プロファイル-設定値"/>
      <sheetName val="顧客転記プロファイル_設定-設定値"/>
      <sheetName val="支払方法_売掛"/>
      <sheetName val="支払方法_売掛-設定値"/>
      <sheetName val="支払期日"/>
      <sheetName val="支払期日-設定値"/>
      <sheetName val="支払条件"/>
      <sheetName val="支払条件-設定値"/>
      <sheetName val="仕入先グループ"/>
      <sheetName val="仕入先グループ-設定値"/>
      <sheetName val="仕入先転記プロファイル"/>
      <sheetName val="仕入先転記プロファイル-設定値"/>
      <sheetName val="仕入先転記プロファイル_設定-設定値"/>
      <sheetName val="支払方法_買掛"/>
      <sheetName val="支払方法_買掛-設定値"/>
      <sheetName val="住所の設定"/>
      <sheetName val="住所の形式-設定値"/>
      <sheetName val="都道府県-設定値"/>
      <sheetName val="サイト"/>
      <sheetName val="サイト-設定値"/>
      <sheetName val="倉庫"/>
      <sheetName val="倉庫-設定値"/>
      <sheetName val="品目グループ"/>
      <sheetName val="品目グループ-設定値"/>
      <sheetName val="品目グループの転記"/>
      <sheetName val="品目グループの転記-設定値"/>
      <sheetName val="品目モデルグループ"/>
      <sheetName val="品目モデルグループ-設定値"/>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追跡番号グループ"/>
      <sheetName val="追跡番号グループ-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5">
          <cell r="B5" t="str">
            <v>はい</v>
          </cell>
          <cell r="U5" t="str">
            <v>加重平均</v>
          </cell>
          <cell r="W5" t="str">
            <v>日数</v>
          </cell>
          <cell r="Y5" t="str">
            <v>標準</v>
          </cell>
          <cell r="Z5" t="str">
            <v>男性</v>
          </cell>
          <cell r="AD5" t="str">
            <v>テーブル</v>
          </cell>
          <cell r="AF5" t="str">
            <v>正味</v>
          </cell>
          <cell r="AG5" t="str">
            <v>更新なし</v>
          </cell>
          <cell r="AI5" t="str">
            <v>週</v>
          </cell>
          <cell r="AJ5" t="str">
            <v>月曜</v>
          </cell>
          <cell r="AM5" t="str">
            <v>テーブル</v>
          </cell>
        </row>
        <row r="6">
          <cell r="B6" t="str">
            <v>いいえ</v>
          </cell>
          <cell r="D6" t="str">
            <v>業務</v>
          </cell>
          <cell r="G6" t="str">
            <v>既定</v>
          </cell>
          <cell r="H6" t="str">
            <v>画面</v>
          </cell>
          <cell r="J6" t="str">
            <v>損益</v>
          </cell>
          <cell r="O6" t="str">
            <v>オプション</v>
          </cell>
          <cell r="U6" t="str">
            <v>平均</v>
          </cell>
          <cell r="W6" t="str">
            <v>月</v>
          </cell>
          <cell r="Y6" t="str">
            <v>切り捨て</v>
          </cell>
          <cell r="Z6" t="str">
            <v>女性</v>
          </cell>
          <cell r="AD6" t="str">
            <v>グループ</v>
          </cell>
          <cell r="AF6" t="str">
            <v>当月</v>
          </cell>
          <cell r="AG6" t="str">
            <v>翌営業日</v>
          </cell>
          <cell r="AI6" t="str">
            <v>月</v>
          </cell>
          <cell r="AJ6" t="str">
            <v>火曜</v>
          </cell>
          <cell r="AM6" t="str">
            <v>グループ</v>
          </cell>
        </row>
        <row r="7">
          <cell r="D7" t="str">
            <v>委託販売</v>
          </cell>
          <cell r="G7" t="str">
            <v>なし</v>
          </cell>
          <cell r="H7" t="str">
            <v>PDFファイル</v>
          </cell>
          <cell r="J7" t="str">
            <v>収益</v>
          </cell>
          <cell r="O7" t="str">
            <v>必須</v>
          </cell>
          <cell r="U7" t="str">
            <v>現在</v>
          </cell>
          <cell r="W7" t="str">
            <v>年</v>
          </cell>
          <cell r="Y7" t="str">
            <v>切り上げ</v>
          </cell>
          <cell r="AD7" t="str">
            <v>すべて</v>
          </cell>
          <cell r="AF7" t="str">
            <v>当四半期</v>
          </cell>
          <cell r="AG7" t="str">
            <v>前の営業日</v>
          </cell>
          <cell r="AJ7" t="str">
            <v>水曜</v>
          </cell>
          <cell r="AM7" t="str">
            <v>すべて</v>
          </cell>
        </row>
        <row r="8">
          <cell r="D8" t="str">
            <v>配送</v>
          </cell>
          <cell r="G8" t="str">
            <v>バナー</v>
          </cell>
          <cell r="J8" t="str">
            <v>経費</v>
          </cell>
          <cell r="O8" t="str">
            <v>1つの有効なオプションを指定</v>
          </cell>
          <cell r="U8" t="str">
            <v>トランザクション日付</v>
          </cell>
          <cell r="AF8" t="str">
            <v>今年度</v>
          </cell>
          <cell r="AJ8" t="str">
            <v>木曜</v>
          </cell>
          <cell r="AM8" t="str">
            <v>カテゴリ</v>
          </cell>
        </row>
        <row r="9">
          <cell r="D9" t="str">
            <v>固定資産</v>
          </cell>
          <cell r="G9" t="str">
            <v>ロゴ</v>
          </cell>
          <cell r="J9" t="str">
            <v>貸借対照表</v>
          </cell>
          <cell r="O9" t="str">
            <v>複数の有効なオプションを指定</v>
          </cell>
          <cell r="AF9" t="str">
            <v>今週</v>
          </cell>
          <cell r="AJ9" t="str">
            <v>金曜</v>
          </cell>
        </row>
        <row r="10">
          <cell r="D10" t="str">
            <v>本社</v>
          </cell>
          <cell r="J10" t="str">
            <v>資産</v>
          </cell>
          <cell r="AF10" t="str">
            <v>代金引換払い</v>
          </cell>
          <cell r="AJ10" t="str">
            <v>土曜</v>
          </cell>
        </row>
        <row r="11">
          <cell r="D11" t="str">
            <v>ホーム</v>
          </cell>
          <cell r="J11" t="str">
            <v>負債</v>
          </cell>
          <cell r="AF11" t="str">
            <v>締日</v>
          </cell>
          <cell r="AJ11" t="str">
            <v>日曜</v>
          </cell>
        </row>
        <row r="12">
          <cell r="D12" t="str">
            <v>請求書</v>
          </cell>
          <cell r="J12" t="str">
            <v>株主資本</v>
          </cell>
        </row>
        <row r="13">
          <cell r="D13" t="str">
            <v>船荷</v>
          </cell>
          <cell r="J13" t="str">
            <v>合計</v>
          </cell>
        </row>
        <row r="14">
          <cell r="D14" t="str">
            <v>その他</v>
          </cell>
          <cell r="J14" t="str">
            <v>レポート</v>
          </cell>
        </row>
        <row r="15">
          <cell r="D15" t="str">
            <v>支払</v>
          </cell>
          <cell r="J15" t="str">
            <v>共通</v>
          </cell>
        </row>
        <row r="16">
          <cell r="D16" t="str">
            <v>実際の場所</v>
          </cell>
        </row>
        <row r="17">
          <cell r="D17" t="str">
            <v>採用</v>
          </cell>
        </row>
        <row r="18">
          <cell r="D18" t="str">
            <v>送金先</v>
          </cell>
        </row>
        <row r="19">
          <cell r="D19" t="str">
            <v>サービス</v>
          </cell>
        </row>
        <row r="20">
          <cell r="D20" t="str">
            <v>安定した組織</v>
          </cell>
        </row>
        <row r="21">
          <cell r="D21" t="str">
            <v>ステートメント</v>
          </cell>
        </row>
        <row r="22">
          <cell r="D22" t="str">
            <v>SWIFT</v>
          </cell>
        </row>
        <row r="23">
          <cell r="D23" t="str">
            <v>船降</v>
          </cell>
        </row>
        <row r="27">
          <cell r="B27" t="str">
            <v>Accounts receivable - bad debts reserve</v>
          </cell>
          <cell r="D27" t="str">
            <v>残高との関連</v>
          </cell>
          <cell r="E27" t="str">
            <v>元帳</v>
          </cell>
          <cell r="I27" t="str">
            <v>オープン</v>
          </cell>
          <cell r="AC27" t="str">
            <v>なし</v>
          </cell>
          <cell r="AL27" t="str">
            <v>FIFO</v>
          </cell>
          <cell r="AM27" t="str">
            <v>既定</v>
          </cell>
          <cell r="AN27" t="str">
            <v>確認なし</v>
          </cell>
          <cell r="AX27" t="str">
            <v>既定</v>
          </cell>
          <cell r="AY27" t="str">
            <v>ピッキング済</v>
          </cell>
          <cell r="AZ27" t="str">
            <v>業務</v>
          </cell>
          <cell r="BA27" t="str">
            <v>なし</v>
          </cell>
        </row>
        <row r="28">
          <cell r="B28" t="str">
            <v>Amount difference</v>
          </cell>
          <cell r="D28" t="str">
            <v>手動</v>
          </cell>
          <cell r="E28" t="str">
            <v>顧客</v>
          </cell>
          <cell r="I28" t="str">
            <v>開始</v>
          </cell>
          <cell r="AC28" t="str">
            <v>ピッキング</v>
          </cell>
          <cell r="AL28" t="str">
            <v>LIFO</v>
          </cell>
          <cell r="AM28" t="str">
            <v>自動</v>
          </cell>
          <cell r="AN28" t="str">
            <v>警告のみ</v>
          </cell>
          <cell r="AX28" t="str">
            <v>検査</v>
          </cell>
          <cell r="AY28" t="str">
            <v>引当現物</v>
          </cell>
          <cell r="AZ28" t="str">
            <v>委託販売</v>
          </cell>
          <cell r="BA28" t="str">
            <v>引当</v>
          </cell>
        </row>
        <row r="29">
          <cell r="B29" t="str">
            <v>Assessed tax</v>
          </cell>
          <cell r="D29" t="str">
            <v>１つの伝票番号のみ</v>
          </cell>
          <cell r="E29" t="str">
            <v>仕入先</v>
          </cell>
          <cell r="I29" t="str">
            <v>終了</v>
          </cell>
          <cell r="AC29" t="str">
            <v>梱包</v>
          </cell>
          <cell r="AL29" t="str">
            <v>LIFO日付</v>
          </cell>
          <cell r="AM29" t="str">
            <v>展開</v>
          </cell>
          <cell r="AN29" t="str">
            <v>不許可</v>
          </cell>
          <cell r="AX29" t="str">
            <v>通貨</v>
          </cell>
          <cell r="AZ29" t="str">
            <v>配送</v>
          </cell>
          <cell r="BA29" t="str">
            <v>マーキングと引当</v>
          </cell>
        </row>
        <row r="30">
          <cell r="B30" t="str">
            <v>Cash</v>
          </cell>
          <cell r="E30" t="str">
            <v>プロジェクト</v>
          </cell>
          <cell r="AL30" t="str">
            <v>加重平均</v>
          </cell>
          <cell r="AM30" t="str">
            <v>手動</v>
          </cell>
          <cell r="AZ30" t="str">
            <v>固定資産</v>
          </cell>
        </row>
        <row r="31">
          <cell r="B31" t="str">
            <v>Deferrals</v>
          </cell>
          <cell r="E31" t="str">
            <v>固定資産</v>
          </cell>
          <cell r="AL31" t="str">
            <v>加重平均の日付</v>
          </cell>
          <cell r="AZ31" t="str">
            <v>本社</v>
          </cell>
        </row>
        <row r="32">
          <cell r="B32" t="str">
            <v>Exch. adjustment</v>
          </cell>
          <cell r="E32" t="str">
            <v>銀行</v>
          </cell>
          <cell r="AL32" t="str">
            <v>標準原価</v>
          </cell>
          <cell r="AZ32" t="str">
            <v>ホーム</v>
          </cell>
        </row>
        <row r="33">
          <cell r="B33" t="str">
            <v>Fixed assets transaction</v>
          </cell>
          <cell r="AL33" t="str">
            <v>移動平均</v>
          </cell>
          <cell r="AZ33" t="str">
            <v>請求書</v>
          </cell>
        </row>
        <row r="34">
          <cell r="B34" t="str">
            <v>General tax adjust/benefit/incentive</v>
          </cell>
          <cell r="AZ34" t="str">
            <v>船荷</v>
          </cell>
        </row>
        <row r="35">
          <cell r="B35" t="str">
            <v>Land tax</v>
          </cell>
          <cell r="AZ35" t="str">
            <v>その他</v>
          </cell>
        </row>
        <row r="36">
          <cell r="B36" t="str">
            <v>Tax cost price</v>
          </cell>
          <cell r="AZ36" t="str">
            <v>支払</v>
          </cell>
        </row>
        <row r="37">
          <cell r="B37" t="str">
            <v>Tax differences</v>
          </cell>
          <cell r="C37" t="str">
            <v>アクセスレベル</v>
          </cell>
          <cell r="AZ37" t="str">
            <v>実際の場所</v>
          </cell>
        </row>
        <row r="38">
          <cell r="B38" t="str">
            <v>Transactions of FA budgets</v>
          </cell>
          <cell r="C38" t="str">
            <v>&lt;すべて&gt;</v>
          </cell>
          <cell r="AZ38" t="str">
            <v>採用</v>
          </cell>
        </row>
        <row r="39">
          <cell r="B39" t="str">
            <v>Transport tax</v>
          </cell>
          <cell r="C39" t="str">
            <v>&lt;なし&gt;</v>
          </cell>
          <cell r="AZ39" t="str">
            <v>送金先</v>
          </cell>
        </row>
        <row r="40">
          <cell r="B40" t="str">
            <v>なし</v>
          </cell>
          <cell r="C40" t="str">
            <v>Approvers</v>
          </cell>
          <cell r="AZ40" t="str">
            <v>サービス</v>
          </cell>
        </row>
        <row r="41">
          <cell r="B41" t="str">
            <v>プロジェクト - 経費</v>
          </cell>
          <cell r="C41" t="str">
            <v>Originator</v>
          </cell>
          <cell r="AZ41" t="str">
            <v>安定した組織</v>
          </cell>
        </row>
        <row r="42">
          <cell r="B42" t="str">
            <v>レポート通貨の調整</v>
          </cell>
          <cell r="C42" t="str">
            <v>OverBudget</v>
          </cell>
          <cell r="AZ42" t="str">
            <v>ステートメント</v>
          </cell>
        </row>
        <row r="43">
          <cell r="B43" t="str">
            <v>予算</v>
          </cell>
          <cell r="C43" t="str">
            <v>文字列（ユーザ定義）</v>
          </cell>
          <cell r="AZ43" t="str">
            <v>SWIFT</v>
          </cell>
        </row>
        <row r="44">
          <cell r="B44" t="str">
            <v>仕入先の銀行送金為替</v>
          </cell>
          <cell r="AZ44" t="str">
            <v>船降</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78">
          <cell r="K78" t="str">
            <v>テーブル</v>
          </cell>
        </row>
        <row r="79">
          <cell r="K79" t="str">
            <v>グループ</v>
          </cell>
        </row>
        <row r="80">
          <cell r="K80" t="str">
            <v>すべて</v>
          </cell>
        </row>
        <row r="99">
          <cell r="F99" t="str">
            <v>小売り用店舗在庫パラメーター</v>
          </cell>
          <cell r="H99" t="str">
            <v>共有</v>
          </cell>
          <cell r="X99" t="str">
            <v>なし</v>
          </cell>
          <cell r="Z99" t="str">
            <v>普通預金口座</v>
          </cell>
          <cell r="AA99" t="str">
            <v>すべてのトランザクションに対してアクティブ</v>
          </cell>
        </row>
        <row r="100">
          <cell r="F100" t="str">
            <v>工順</v>
          </cell>
          <cell r="H100" t="str">
            <v>会社</v>
          </cell>
          <cell r="X100" t="str">
            <v>AT</v>
          </cell>
          <cell r="Z100" t="str">
            <v>当座預金口座</v>
          </cell>
          <cell r="AA100" t="str">
            <v>新規トランザクションに対して非アクティブ</v>
          </cell>
        </row>
        <row r="101">
          <cell r="F101" t="str">
            <v>旅費交通費</v>
          </cell>
          <cell r="H101" t="str">
            <v>法人</v>
          </cell>
          <cell r="X101" t="str">
            <v>BL</v>
          </cell>
          <cell r="Z101" t="str">
            <v>その他の勘定</v>
          </cell>
          <cell r="AA101" t="str">
            <v>すべてのトランザクションに対して非アクティブ</v>
          </cell>
        </row>
        <row r="102">
          <cell r="F102" t="str">
            <v>時刻と出金</v>
          </cell>
          <cell r="H102" t="str">
            <v>作業単位</v>
          </cell>
          <cell r="X102" t="str">
            <v>CC</v>
          </cell>
        </row>
        <row r="103">
          <cell r="F103" t="str">
            <v>注文処理</v>
          </cell>
          <cell r="H103" t="str">
            <v>会社および会計カレンダー期間</v>
          </cell>
          <cell r="X103" t="str">
            <v>CP</v>
          </cell>
        </row>
        <row r="104">
          <cell r="F104" t="str">
            <v>消費税支払</v>
          </cell>
          <cell r="H104" t="str">
            <v>法人および会計カレンダー期間</v>
          </cell>
          <cell r="X104" t="str">
            <v>CH</v>
          </cell>
        </row>
        <row r="105">
          <cell r="F105" t="str">
            <v>生産</v>
          </cell>
          <cell r="H105" t="str">
            <v>作業単位のタイプ</v>
          </cell>
          <cell r="X105" t="str">
            <v>FW</v>
          </cell>
        </row>
        <row r="106">
          <cell r="F106" t="str">
            <v>生産管理</v>
          </cell>
          <cell r="X106" t="str">
            <v>SC</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cell r="H134" t="str">
            <v>仕訳帳</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189">
          <cell r="B189" t="str">
            <v>既定</v>
          </cell>
          <cell r="E189" t="str">
            <v>日数</v>
          </cell>
          <cell r="G189" t="str">
            <v>コードの印刷</v>
          </cell>
          <cell r="H189" t="str">
            <v>正味金額の割合</v>
          </cell>
          <cell r="J189" t="str">
            <v>ラインごとの正味金額</v>
          </cell>
          <cell r="L189" t="str">
            <v>合計額</v>
          </cell>
          <cell r="N189" t="str">
            <v>消費税コード</v>
          </cell>
          <cell r="P189" t="str">
            <v>消費税コード</v>
          </cell>
          <cell r="S189" t="str">
            <v>ー</v>
          </cell>
        </row>
        <row r="190">
          <cell r="B190" t="str">
            <v>ノルウェー語のレポートのレイアウト</v>
          </cell>
          <cell r="E190" t="str">
            <v>月</v>
          </cell>
          <cell r="G190" t="str">
            <v>消費税率</v>
          </cell>
          <cell r="H190" t="str">
            <v>総額の割合</v>
          </cell>
          <cell r="J190" t="str">
            <v>単位ごとの正味金額</v>
          </cell>
          <cell r="L190" t="str">
            <v>間隔</v>
          </cell>
          <cell r="N190" t="str">
            <v>消費税コードの組み合わせ</v>
          </cell>
          <cell r="P190" t="str">
            <v>消費税グループ</v>
          </cell>
          <cell r="S190" t="str">
            <v>品目</v>
          </cell>
        </row>
        <row r="191">
          <cell r="B191" t="str">
            <v>英語ののレポートのレイアウト</v>
          </cell>
          <cell r="E191" t="str">
            <v>年</v>
          </cell>
          <cell r="H191" t="str">
            <v>消費税率</v>
          </cell>
          <cell r="J191" t="str">
            <v>請求書残高ごとの正味金額</v>
          </cell>
          <cell r="P191" t="str">
            <v>詳細がありません</v>
          </cell>
          <cell r="S191" t="str">
            <v>サービス</v>
          </cell>
        </row>
        <row r="192">
          <cell r="B192" t="str">
            <v>スウェーデン語のレポートのレイアウト</v>
          </cell>
          <cell r="H192" t="str">
            <v>単位ごとの金額</v>
          </cell>
          <cell r="J192" t="str">
            <v>ラインごとの総額</v>
          </cell>
          <cell r="S192" t="str">
            <v>投資</v>
          </cell>
        </row>
        <row r="193">
          <cell r="B193" t="str">
            <v>ドイツ語のレポートのレイアウト</v>
          </cell>
          <cell r="H193" t="str">
            <v>計算済み正味金額の割合</v>
          </cell>
          <cell r="J193" t="str">
            <v>単位ごとの総額</v>
          </cell>
        </row>
        <row r="194">
          <cell r="B194" t="str">
            <v>オーストラリア語のレポートのレイアウト</v>
          </cell>
          <cell r="J194" t="str">
            <v>請求合計には他の消費税金額が含まれています</v>
          </cell>
        </row>
        <row r="195">
          <cell r="B195" t="str">
            <v>オランダ語のレポートのレイアウト</v>
          </cell>
        </row>
        <row r="196">
          <cell r="B196" t="str">
            <v>米国のレポートのレイアウト</v>
          </cell>
          <cell r="G196" t="str">
            <v>国内</v>
          </cell>
        </row>
        <row r="197">
          <cell r="B197" t="str">
            <v>イタリアのレポートのレイアウト</v>
          </cell>
          <cell r="G197" t="str">
            <v>EU</v>
          </cell>
        </row>
        <row r="198">
          <cell r="B198" t="str">
            <v>ベルギー レポートのレイアウト</v>
          </cell>
          <cell r="G198" t="str">
            <v>EFTA</v>
          </cell>
        </row>
        <row r="199">
          <cell r="B199" t="str">
            <v>シンガポールの報告書レイアウト</v>
          </cell>
          <cell r="G199" t="str">
            <v>第三国/地域</v>
          </cell>
        </row>
        <row r="200">
          <cell r="B200" t="str">
            <v>日本の報告書レイアウト</v>
          </cell>
        </row>
        <row r="201">
          <cell r="B201" t="str">
            <v>フィンランド のレポートのレイアウト</v>
          </cell>
        </row>
        <row r="204">
          <cell r="B204" t="str">
            <v>標準</v>
          </cell>
        </row>
        <row r="205">
          <cell r="B205" t="str">
            <v>切り捨て</v>
          </cell>
        </row>
        <row r="206">
          <cell r="B206" t="str">
            <v>切り上げ</v>
          </cell>
        </row>
        <row r="207">
          <cell r="B207" t="str">
            <v>自社の利益</v>
          </cell>
        </row>
        <row r="210">
          <cell r="P210" t="str">
            <v>北海道</v>
          </cell>
          <cell r="V210" t="str">
            <v>標準</v>
          </cell>
        </row>
        <row r="211">
          <cell r="P211" t="str">
            <v>青森県</v>
          </cell>
          <cell r="V211" t="str">
            <v>軽減税率</v>
          </cell>
        </row>
        <row r="212">
          <cell r="P212" t="str">
            <v>岩手県</v>
          </cell>
          <cell r="V212" t="str">
            <v>その他</v>
          </cell>
        </row>
        <row r="213">
          <cell r="P213" t="str">
            <v>宮城県</v>
          </cell>
        </row>
        <row r="214">
          <cell r="P214" t="str">
            <v>秋田県</v>
          </cell>
        </row>
        <row r="215">
          <cell r="P215" t="str">
            <v>山形県</v>
          </cell>
        </row>
        <row r="216">
          <cell r="P216" t="str">
            <v>福島県</v>
          </cell>
        </row>
        <row r="217">
          <cell r="P217" t="str">
            <v>茨城県</v>
          </cell>
        </row>
        <row r="218">
          <cell r="P218" t="str">
            <v>栃木県</v>
          </cell>
        </row>
        <row r="219">
          <cell r="P219" t="str">
            <v>群馬県</v>
          </cell>
        </row>
        <row r="220">
          <cell r="P220" t="str">
            <v>埼玉県</v>
          </cell>
        </row>
        <row r="221">
          <cell r="P221" t="str">
            <v>千葉県</v>
          </cell>
        </row>
        <row r="222">
          <cell r="P222" t="str">
            <v>東京都</v>
          </cell>
        </row>
        <row r="223">
          <cell r="P223" t="str">
            <v>神奈川県</v>
          </cell>
          <cell r="AN223" t="str">
            <v>請求書</v>
          </cell>
          <cell r="AO223" t="str">
            <v>なし</v>
          </cell>
          <cell r="AP223" t="str">
            <v>その他</v>
          </cell>
          <cell r="AQ223" t="str">
            <v>元帳</v>
          </cell>
          <cell r="AR223" t="str">
            <v>手形なし</v>
          </cell>
        </row>
        <row r="224">
          <cell r="P224" t="str">
            <v>新潟県</v>
          </cell>
          <cell r="AN224" t="str">
            <v>日付</v>
          </cell>
          <cell r="AO224" t="str">
            <v>送信済</v>
          </cell>
          <cell r="AP224" t="str">
            <v>電子支払</v>
          </cell>
          <cell r="AQ224" t="str">
            <v>顧客</v>
          </cell>
          <cell r="AR224" t="str">
            <v>引受なしの手形</v>
          </cell>
        </row>
        <row r="225">
          <cell r="P225" t="str">
            <v>富山県</v>
          </cell>
          <cell r="AN225" t="str">
            <v>週</v>
          </cell>
          <cell r="AO225" t="str">
            <v>受取済</v>
          </cell>
          <cell r="AP225" t="str">
            <v>小切手</v>
          </cell>
          <cell r="AQ225" t="str">
            <v>仕入先</v>
          </cell>
          <cell r="AR225" t="str">
            <v>引受手形</v>
          </cell>
        </row>
        <row r="226">
          <cell r="P226" t="str">
            <v>石川県</v>
          </cell>
          <cell r="AN226" t="str">
            <v>合計</v>
          </cell>
          <cell r="AO226" t="str">
            <v>承認済</v>
          </cell>
          <cell r="AP226" t="str">
            <v>受取手形</v>
          </cell>
          <cell r="AQ226" t="str">
            <v>プロジェクト</v>
          </cell>
          <cell r="AR226" t="str">
            <v>支払手形</v>
          </cell>
        </row>
        <row r="227">
          <cell r="P227" t="str">
            <v>福井県</v>
          </cell>
          <cell r="AO227" t="str">
            <v>否認済</v>
          </cell>
          <cell r="AP227" t="str">
            <v>Credit card</v>
          </cell>
          <cell r="AQ227" t="str">
            <v>固定資産</v>
          </cell>
          <cell r="AR227" t="str">
            <v>銀行引受受取手形</v>
          </cell>
        </row>
        <row r="228">
          <cell r="P228" t="str">
            <v>山梨県</v>
          </cell>
          <cell r="AQ228" t="str">
            <v>銀行</v>
          </cell>
        </row>
        <row r="229">
          <cell r="P229" t="str">
            <v>長野県</v>
          </cell>
        </row>
        <row r="230">
          <cell r="P230" t="str">
            <v>岐阜県</v>
          </cell>
        </row>
        <row r="231">
          <cell r="P231" t="str">
            <v>静岡県</v>
          </cell>
        </row>
        <row r="232">
          <cell r="P232" t="str">
            <v>愛知県</v>
          </cell>
        </row>
        <row r="233">
          <cell r="P233" t="str">
            <v>三重県</v>
          </cell>
        </row>
        <row r="234">
          <cell r="P234" t="str">
            <v>滋賀県</v>
          </cell>
        </row>
        <row r="235">
          <cell r="P235" t="str">
            <v>京都府</v>
          </cell>
        </row>
        <row r="236">
          <cell r="P236" t="str">
            <v>大阪府</v>
          </cell>
        </row>
        <row r="237">
          <cell r="P237" t="str">
            <v>兵庫県</v>
          </cell>
        </row>
        <row r="238">
          <cell r="P238" t="str">
            <v>奈良県</v>
          </cell>
        </row>
        <row r="239">
          <cell r="P239" t="str">
            <v>和歌山県</v>
          </cell>
        </row>
        <row r="240">
          <cell r="P240" t="str">
            <v>鳥取県</v>
          </cell>
        </row>
        <row r="241">
          <cell r="P241" t="str">
            <v>島根県</v>
          </cell>
        </row>
        <row r="242">
          <cell r="P242" t="str">
            <v>岡山県</v>
          </cell>
        </row>
        <row r="243">
          <cell r="P243" t="str">
            <v>広島県</v>
          </cell>
        </row>
        <row r="244">
          <cell r="P244" t="str">
            <v>山口県</v>
          </cell>
        </row>
        <row r="245">
          <cell r="P245" t="str">
            <v>徳島県</v>
          </cell>
        </row>
        <row r="246">
          <cell r="P246" t="str">
            <v>香川県</v>
          </cell>
        </row>
        <row r="247">
          <cell r="P247" t="str">
            <v>愛媛県</v>
          </cell>
        </row>
        <row r="248">
          <cell r="P248" t="str">
            <v>高知県</v>
          </cell>
        </row>
        <row r="249">
          <cell r="P249" t="str">
            <v>福岡県</v>
          </cell>
        </row>
        <row r="250">
          <cell r="P250" t="str">
            <v>佐賀県</v>
          </cell>
        </row>
        <row r="251">
          <cell r="P251" t="str">
            <v>長崎県</v>
          </cell>
        </row>
        <row r="252">
          <cell r="P252" t="str">
            <v>熊本県</v>
          </cell>
        </row>
        <row r="253">
          <cell r="P253" t="str">
            <v>大分県</v>
          </cell>
        </row>
        <row r="254">
          <cell r="P254" t="str">
            <v>宮崎県</v>
          </cell>
        </row>
        <row r="255">
          <cell r="P255" t="str">
            <v>鹿児島県</v>
          </cell>
        </row>
        <row r="256">
          <cell r="P256" t="str">
            <v>沖縄県</v>
          </cell>
        </row>
        <row r="257">
          <cell r="P257" t="str">
            <v>全国</v>
          </cell>
        </row>
        <row r="258">
          <cell r="P258" t="str">
            <v>北海道</v>
          </cell>
        </row>
        <row r="259">
          <cell r="P259" t="str">
            <v>青森県</v>
          </cell>
        </row>
        <row r="260">
          <cell r="P260" t="str">
            <v>岩手県</v>
          </cell>
        </row>
        <row r="261">
          <cell r="P261" t="str">
            <v>宮城県</v>
          </cell>
        </row>
        <row r="262">
          <cell r="P262" t="str">
            <v>秋田県</v>
          </cell>
        </row>
        <row r="263">
          <cell r="P263" t="str">
            <v>山形県</v>
          </cell>
        </row>
        <row r="264">
          <cell r="P264" t="str">
            <v>福島県</v>
          </cell>
        </row>
        <row r="265">
          <cell r="P265" t="str">
            <v>茨城県</v>
          </cell>
        </row>
        <row r="266">
          <cell r="P266" t="str">
            <v>栃木県</v>
          </cell>
        </row>
        <row r="267">
          <cell r="P267" t="str">
            <v>群馬県</v>
          </cell>
        </row>
        <row r="268">
          <cell r="P268" t="str">
            <v>埼玉県</v>
          </cell>
        </row>
        <row r="269">
          <cell r="P269" t="str">
            <v>千葉県</v>
          </cell>
        </row>
        <row r="270">
          <cell r="P270" t="str">
            <v>東京都</v>
          </cell>
        </row>
        <row r="271">
          <cell r="P271" t="str">
            <v>神奈川県</v>
          </cell>
        </row>
        <row r="272">
          <cell r="P272" t="str">
            <v>新潟県</v>
          </cell>
        </row>
        <row r="273">
          <cell r="P273" t="str">
            <v>富山県</v>
          </cell>
        </row>
        <row r="274">
          <cell r="P274" t="str">
            <v>石川県</v>
          </cell>
        </row>
        <row r="275">
          <cell r="P275" t="str">
            <v>福井県</v>
          </cell>
        </row>
        <row r="276">
          <cell r="P276" t="str">
            <v>山梨県</v>
          </cell>
        </row>
        <row r="277">
          <cell r="P277" t="str">
            <v>長野県</v>
          </cell>
        </row>
        <row r="278">
          <cell r="P278" t="str">
            <v>岐阜県</v>
          </cell>
        </row>
        <row r="279">
          <cell r="P279" t="str">
            <v>静岡県</v>
          </cell>
        </row>
        <row r="280">
          <cell r="P280" t="str">
            <v>愛知県</v>
          </cell>
        </row>
        <row r="281">
          <cell r="P281" t="str">
            <v>三重県</v>
          </cell>
        </row>
        <row r="282">
          <cell r="P282" t="str">
            <v>滋賀県</v>
          </cell>
        </row>
        <row r="283">
          <cell r="P283" t="str">
            <v>京都府</v>
          </cell>
        </row>
        <row r="284">
          <cell r="P284" t="str">
            <v>大阪府</v>
          </cell>
        </row>
        <row r="285">
          <cell r="P285" t="str">
            <v>兵庫県</v>
          </cell>
        </row>
        <row r="286">
          <cell r="P286" t="str">
            <v>奈良県</v>
          </cell>
        </row>
        <row r="287">
          <cell r="P287" t="str">
            <v>和歌山県</v>
          </cell>
        </row>
        <row r="288">
          <cell r="P288" t="str">
            <v>鳥取県</v>
          </cell>
        </row>
        <row r="289">
          <cell r="P289" t="str">
            <v>島根県</v>
          </cell>
        </row>
        <row r="290">
          <cell r="P290" t="str">
            <v>岡山県</v>
          </cell>
        </row>
        <row r="291">
          <cell r="P291" t="str">
            <v>広島県</v>
          </cell>
        </row>
        <row r="292">
          <cell r="P292" t="str">
            <v>山口県</v>
          </cell>
        </row>
        <row r="293">
          <cell r="P293" t="str">
            <v>徳島県</v>
          </cell>
        </row>
        <row r="294">
          <cell r="P294" t="str">
            <v>香川県</v>
          </cell>
        </row>
        <row r="295">
          <cell r="P295" t="str">
            <v>愛媛県</v>
          </cell>
        </row>
        <row r="296">
          <cell r="P296" t="str">
            <v>高知県</v>
          </cell>
        </row>
        <row r="297">
          <cell r="P297" t="str">
            <v>福岡県</v>
          </cell>
        </row>
        <row r="298">
          <cell r="P298" t="str">
            <v>佐賀県</v>
          </cell>
        </row>
        <row r="299">
          <cell r="P299" t="str">
            <v>長崎県</v>
          </cell>
        </row>
        <row r="300">
          <cell r="P300" t="str">
            <v>熊本県</v>
          </cell>
        </row>
        <row r="301">
          <cell r="P301" t="str">
            <v>大分県</v>
          </cell>
        </row>
        <row r="302">
          <cell r="P302" t="str">
            <v>宮崎県</v>
          </cell>
        </row>
        <row r="303">
          <cell r="P303" t="str">
            <v>鹿児島県</v>
          </cell>
        </row>
        <row r="304">
          <cell r="P304" t="str">
            <v>沖縄県</v>
          </cell>
        </row>
        <row r="305">
          <cell r="P305" t="str">
            <v>ー</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製品情報管理パラメータ―"/>
      <sheetName val="製品情報管理パラメータ―-番号順序"/>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カテゴリ階層 "/>
      <sheetName val="カテゴリ階層 -設定値"/>
      <sheetName val="カテゴリ階層ロールのアソシエーション "/>
      <sheetName val="カテゴリ階層ロールのアソシエーション  -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13">
          <cell r="AT213" t="str">
            <v>調達カテゴリ階層</v>
          </cell>
        </row>
        <row r="214">
          <cell r="AT214" t="str">
            <v>販売カテゴリ階層</v>
          </cell>
        </row>
        <row r="215">
          <cell r="AT215" t="str">
            <v>コマース製品階層</v>
          </cell>
        </row>
        <row r="216">
          <cell r="AT216" t="str">
            <v>商品コード階層</v>
          </cell>
        </row>
        <row r="217">
          <cell r="AT217" t="str">
            <v>派生財務分析階層</v>
          </cell>
        </row>
        <row r="218">
          <cell r="AT218" t="str">
            <v>補助小売階層</v>
          </cell>
        </row>
        <row r="219">
          <cell r="AT219" t="str">
            <v>小売仕入先製品階層</v>
          </cell>
        </row>
        <row r="220">
          <cell r="AT220" t="str">
            <v>小売チャネルナビゲーション階層</v>
          </cell>
        </row>
        <row r="221">
          <cell r="AT221" t="str">
            <v>Packing material hierarchy</v>
          </cell>
        </row>
        <row r="222">
          <cell r="AT222" t="str">
            <v>Common Data Service</v>
          </cell>
        </row>
        <row r="223">
          <cell r="AT223" t="str">
            <v>原価管理階層</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処理概要"/>
      <sheetName val="テーブル一覧"/>
      <sheetName val="DFD"/>
      <sheetName val="イベント説明"/>
      <sheetName val="画面レイアウト"/>
      <sheetName val="画面項目説明"/>
      <sheetName val="テーブル出力項目"/>
      <sheetName val="補足説明"/>
      <sheetName val="オブジェクト一覧"/>
      <sheetName val="プログラムフロー図"/>
      <sheetName val="マスタ"/>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I/O</v>
          </cell>
          <cell r="I3" t="str">
            <v>Class</v>
          </cell>
        </row>
        <row r="4">
          <cell r="I4" t="str">
            <v>Form Class</v>
          </cell>
        </row>
        <row r="5">
          <cell r="I5" t="str">
            <v>Table Class</v>
          </cell>
        </row>
        <row r="6">
          <cell r="I6" t="str">
            <v>Macro</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一般会計パラメータ"/>
      <sheetName val="一般会計パラメータ-設定値"/>
      <sheetName val="一般会計パラメータ-番号順序"/>
      <sheetName val="会計カレンダー"/>
      <sheetName val="会計カレンダー-設定値"/>
      <sheetName val="元帳カレンダー"/>
      <sheetName val="元帳カレンダー-設定値"/>
      <sheetName val="勘定科目表"/>
      <sheetName val="勘定科目表-設定値"/>
      <sheetName val="通貨"/>
      <sheetName val="通貨-設定値"/>
      <sheetName val="元帳"/>
      <sheetName val="元帳-勘定構造"/>
      <sheetName val="主勘定"/>
      <sheetName val="主勘定-設定値"/>
      <sheetName val="主勘定（法人の上書き）-設定値"/>
      <sheetName val="主勘定（既定の財務分析コード）-設定値"/>
      <sheetName val="主勘定（消費税）-設定値"/>
      <sheetName val="財務分析コード"/>
      <sheetName val="財務分析コード-設定値"/>
      <sheetName val="勘定構造のコンフィギュレーション"/>
      <sheetName val="勘定構造のコンフィギュレーション-設定値"/>
      <sheetName val="仕訳帳名"/>
      <sheetName val="仕訳帳名-設定値"/>
      <sheetName val="財務分析コードセット"/>
      <sheetName val="財務分析コードセット-設定値"/>
      <sheetName val="既定の説明"/>
      <sheetName val="既定の説明-設定値"/>
      <sheetName val="アプリケーション統合用の財務分析コードの構成"/>
      <sheetName val="アプリケーション統合用の財務分析コード-設定値"/>
      <sheetName val="仕訳帳の説明"/>
      <sheetName val="仕訳帳の説明-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B5" t="str">
            <v>はい</v>
          </cell>
        </row>
        <row r="10">
          <cell r="B10" t="str">
            <v>チェック有</v>
          </cell>
        </row>
        <row r="11">
          <cell r="B11" t="str">
            <v>チェック無</v>
          </cell>
        </row>
        <row r="42">
          <cell r="J42" t="str">
            <v>売上</v>
          </cell>
          <cell r="K42" t="str">
            <v>オプション</v>
          </cell>
        </row>
        <row r="43">
          <cell r="J43" t="str">
            <v>購買</v>
          </cell>
          <cell r="K43" t="str">
            <v>必須</v>
          </cell>
        </row>
        <row r="44">
          <cell r="J44" t="str">
            <v>ー</v>
          </cell>
          <cell r="K44" t="str">
            <v>１つの有効なオプションを指定</v>
          </cell>
        </row>
        <row r="45">
          <cell r="K45" t="str">
            <v>複数の有効なオプションを指定</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マット"/>
      <sheetName val="リストBOX定義"/>
      <sheetName val="商品一覧"/>
      <sheetName val="T"/>
      <sheetName val="承認票"/>
      <sheetName val="【Header】"/>
    </sheetNames>
    <sheetDataSet>
      <sheetData sheetId="0" refreshError="1"/>
      <sheetData sheetId="1" refreshError="1">
        <row r="21">
          <cell r="B21" t="str">
            <v>USER: ユーザデータクラス</v>
          </cell>
        </row>
        <row r="22">
          <cell r="B22" t="str">
            <v>USER1: ユーザデータクラス</v>
          </cell>
        </row>
        <row r="23">
          <cell r="B23" t="str">
            <v>-</v>
          </cell>
        </row>
      </sheetData>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_MAINX"/>
      <sheetName val="リストBOX定義"/>
      <sheetName val="承認票"/>
      <sheetName val="TABLE"/>
      <sheetName val="障害管理票"/>
      <sheetName val="#REF"/>
      <sheetName val="型TB"/>
    </sheetNames>
    <definedNames>
      <definedName name="パターン"/>
      <definedName name="フォント"/>
      <definedName name="罫線"/>
      <definedName name="高さ"/>
      <definedName name="再表示_行"/>
      <definedName name="再表示_列"/>
      <definedName name="自動"/>
      <definedName name="選択範囲"/>
      <definedName name="配置"/>
      <definedName name="非表示_行"/>
      <definedName name="非表示_列"/>
      <definedName name="標準幅"/>
      <definedName name="表示形式"/>
      <definedName name="幅"/>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ﾍｯﾀﾞ"/>
      <sheetName val="001"/>
      <sheetName val="002"/>
      <sheetName val="表紙"/>
      <sheetName val="TABLE"/>
      <sheetName val="確認書"/>
      <sheetName val="機能 (3)"/>
      <sheetName val="機能"/>
      <sheetName val="機能 (2)"/>
      <sheetName val="遷移図"/>
      <sheetName val="IPO"/>
      <sheetName val="画面レ"/>
      <sheetName val="画面項目"/>
      <sheetName val="帳票ﾚA4"/>
      <sheetName val="帳票項目"/>
      <sheetName val="ﾃﾞｰﾀ構造図(ﾄﾘｶﾞｰ)"/>
      <sheetName val="ﾃﾞｰﾀ項目(ﾄﾘｶﾞｰ)"/>
      <sheetName val="ﾃﾞｰﾀ構造図(搬入場所)"/>
      <sheetName val="ﾃﾞｰﾀ項目(搬入場所)"/>
      <sheetName val="別紙①"/>
      <sheetName val="別紙②"/>
      <sheetName val="概要処理ﾌﾛｰ (ZJPMM078)"/>
      <sheetName val="概要処理ﾌﾛｰ (ZJPMM079)"/>
      <sheetName val="R3関連補足(ZJPMM079)"/>
      <sheetName val="概要処理ﾌﾛｰ(ZJPMM080)"/>
      <sheetName val="R3関連補足(ZJPMM080)"/>
      <sheetName val="概要処理ﾌﾛｰ (ZJPMM081) "/>
      <sheetName val="概要処理ﾌﾛｰ (ZJPMM083)"/>
      <sheetName val="概要処理ﾌﾛｰ(ZJPMM084)"/>
      <sheetName val="R3関連補足(ZJPMM084)"/>
      <sheetName val="概要処理ﾌﾛｰ(ZJPMM085)"/>
      <sheetName val="R3関連補足(ZJPMM085)"/>
      <sheetName val="概要処理ﾌﾛｰZJPMM086)"/>
      <sheetName val="概要処理ﾌﾛｰ（ZJPMM137）"/>
      <sheetName val="概要処理ﾌﾛｰ（ZJPMM137） (2)"/>
      <sheetName val="概要処理ﾌﾛｰ（ZJPMM138）"/>
      <sheetName val="概要処理ﾌﾛｰ (ZJPOMM033)"/>
      <sheetName val="R3関連画面（ZJPOMM033）"/>
      <sheetName val="概要処理ﾌﾛｰ (ZJPOMM034)"/>
      <sheetName val="R3関連画面（ZJPOMM034） "/>
      <sheetName val="概要処理ﾌﾛｰ (ZJPOMM035)"/>
      <sheetName val="概要処理ﾌﾛｰ  (ZJPOMM036)"/>
      <sheetName val="概要処理ﾌﾛｰ (ZJPOMM037)"/>
      <sheetName val="概要処理ﾌﾛｰ（ZJPOMM038）"/>
      <sheetName val="R3関連画面（ZJPOMM038）"/>
      <sheetName val="概要処理ﾌﾛｰ（ZJPOMM039）"/>
      <sheetName val="R3関連画面（ZJPOMM039)"/>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画面遷移"/>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UT"/>
      <sheetName val="UTﾊﾟﾀｰﾝ"/>
      <sheetName val="入力ﾁｪｯｸ"/>
      <sheetName val="画面機能"/>
      <sheetName val="文書履歴"/>
      <sheetName val="画面フロー"/>
      <sheetName val="入出力定義"/>
      <sheetName val="エラー処理定義"/>
      <sheetName val="メッセージ一覧"/>
      <sheetName val="権限制御定義"/>
      <sheetName val="画面定義"/>
      <sheetName val="画面レイアウト"/>
      <sheetName val="補足事項"/>
      <sheetName val="補足事項区分"/>
      <sheetName val="kna1"/>
      <sheetName val="knb1"/>
      <sheetName val="テストデータ記述2"/>
      <sheetName val="Sheet1"/>
      <sheetName val="Sheet2"/>
      <sheetName val="Sheet3"/>
      <sheetName val="販売"/>
      <sheetName val="物流"/>
      <sheetName val="購買"/>
      <sheetName val="生産1"/>
      <sheetName val="生産2"/>
      <sheetName val="テスト仕様書"/>
      <sheetName val="棚卸資産記入帳実績明細テーブル"/>
      <sheetName val="預け預り品記入帳実績明細テーブル"/>
      <sheetName val="【最新】テストコンディションシート"/>
      <sheetName val="参考1"/>
      <sheetName val="テスト対象機能一覧（参照用）"/>
      <sheetName val="テスト対象プロセス一覧（参照用）"/>
      <sheetName val="【旧】テストコンディションシート"/>
      <sheetName val="F00_機能表紙"/>
      <sheetName val="F02_基本仕様"/>
      <sheetName val="F03_アドオン機能詳細"/>
      <sheetName val="F06_画面・帳票遷移"/>
      <sheetName val="F07_帳票レイアウト(000)"/>
      <sheetName val="F07_帳票レイアウト(001-1)"/>
      <sheetName val="F08_帳票項目定義(001-1)"/>
      <sheetName val="F13_補足説明"/>
      <sheetName val="F16_汎用モジュール定義"/>
      <sheetName val="表紙  "/>
      <sheetName val="承認票"/>
      <sheetName val="単体ﾃｽﾄ定義書"/>
      <sheetName val="ヘッダー"/>
      <sheetName val="TìÆvæ"/>
      <sheetName val="|[gCAEg"/>
      <sheetName val="統合決定表"/>
      <sheetName val="‚TŒŽì‹ÆŒv‰æ"/>
      <sheetName val="ƒŒƒ|[ƒgƒŒƒCƒAƒEƒg"/>
      <sheetName val="捺印用表紙"/>
      <sheetName val="改訂履歴"/>
      <sheetName val="作成物管理表"/>
      <sheetName val="機能概要"/>
      <sheetName val="機能補足"/>
      <sheetName val="画面項目定義"/>
      <sheetName val="帳票レイアウト(132)"/>
      <sheetName val="SVF・RM帳票出力定義"/>
      <sheetName val="帳票レイアウト"/>
      <sheetName val="帳票項目定義"/>
      <sheetName val="処理記述"/>
      <sheetName val="補足説明"/>
      <sheetName val="翻訳"/>
      <sheetName val="ヘッダ"/>
      <sheetName val="job一覧"/>
      <sheetName val="原紙"/>
      <sheetName val="SHOT(001)"/>
      <sheetName val="SHOT(002)"/>
      <sheetName val="SHOT(003)"/>
      <sheetName val="SHOT(004)"/>
      <sheetName val="SHOT(005)"/>
      <sheetName val="SHOT(006)"/>
      <sheetName val="SHOT(007)"/>
      <sheetName val="SHOT(008)"/>
      <sheetName val="SHOT(009)"/>
      <sheetName val="SHOT(010)"/>
      <sheetName val="SHOT(011)"/>
      <sheetName val="SHOT(012)"/>
      <sheetName val="SHOT(013)"/>
      <sheetName val="SHOT(014)"/>
      <sheetName val="SHOT(015)"/>
      <sheetName val="SHOT(016)"/>
      <sheetName val="SHOT(017)"/>
      <sheetName val="SHOT(018)"/>
      <sheetName val="SHOT(019)"/>
      <sheetName val="SHOT(020)"/>
      <sheetName val="SHOT(021)"/>
      <sheetName val="SHOT(022)"/>
      <sheetName val="SHOT(023)"/>
      <sheetName val="SHOT(024)"/>
      <sheetName val="SHOT(025)"/>
      <sheetName val="SHOT(026)"/>
      <sheetName val="SHOT(027)"/>
      <sheetName val="SHOT(028)"/>
      <sheetName val="SHOT(029)"/>
      <sheetName val="SHOT(030)"/>
      <sheetName val="SHOT(031)"/>
      <sheetName val="SHOT(032)"/>
      <sheetName val="SHOT(033)"/>
      <sheetName val="SHOT(034)"/>
      <sheetName val="SHOT(035)"/>
      <sheetName val="ヘッダ (2)"/>
      <sheetName val="SHOT(036)"/>
      <sheetName val="SHOT(037)"/>
      <sheetName val="SHOT(038)"/>
      <sheetName val="SHOT(039)"/>
      <sheetName val="SHOT(040)"/>
      <sheetName val="SHOT(041)"/>
      <sheetName val="SHOT(042)"/>
      <sheetName val="SHOT(043)"/>
      <sheetName val="SHOT(044)"/>
      <sheetName val="SHOT(45)"/>
      <sheetName val="SHOT(046)"/>
      <sheetName val="SHOT(047)"/>
      <sheetName val="SHOT(048)"/>
      <sheetName val="SHOT(049)"/>
      <sheetName val="SHOT(050-1)"/>
      <sheetName val="SHOT(050-2)"/>
      <sheetName val="SHOT(050-3)"/>
      <sheetName val="SHOT(051)"/>
      <sheetName val="SHOT(052)"/>
      <sheetName val="ヘッダ (3)"/>
      <sheetName val="SHOT(053)"/>
      <sheetName val="SHOT(054)"/>
      <sheetName val="SHOT(055)"/>
      <sheetName val="SHOT(056)"/>
      <sheetName val="SHOT(057)"/>
      <sheetName val="SHOT(058)"/>
      <sheetName val="ヘッダ (4)"/>
      <sheetName val="必要トランザクション一覧"/>
      <sheetName val="3_ステージング機能定義書（処理概要）"/>
      <sheetName val="4_ステージング機能定義書（処理フロー）"/>
      <sheetName val="6_ステージング機能定義書（項目対比表）"/>
      <sheetName val="cdhdr.einkbeleg.2005.12.12.aa"/>
      <sheetName val="CDPOS.1"/>
      <sheetName val="Sheet4"/>
      <sheetName val="ekpo"/>
      <sheetName val="エビデンス(単一価格データ)"/>
      <sheetName val="内部機能定義"/>
      <sheetName val="IPOﾀﾞｲｱｸﾞﾗﾑ"/>
      <sheetName val="（ﾍｯﾀﾞ）"/>
      <sheetName val="(20021209退避)内部機能定義"/>
      <sheetName val="(20021209退避)IPOﾀﾞｲｱｸﾞﾗﾑ"/>
      <sheetName val="画面定義 (2)"/>
      <sheetName val="画面レイアウト (2)"/>
      <sheetName val="改版履歴"/>
      <sheetName val="データ項目一覧"/>
      <sheetName val="ネーミング"/>
      <sheetName val="コントロール"/>
      <sheetName val="リストデータ設定シート"/>
      <sheetName val="設計書表紙"/>
      <sheetName val="ドキュメント一覧"/>
      <sheetName val="基本仕様"/>
      <sheetName val="機能詳細"/>
      <sheetName val="ファイル編集要領"/>
      <sheetName val="内部構造編集要領"/>
      <sheetName val="帳票項目定義（ヘッダ部）"/>
      <sheetName val="総括表 "/>
      <sheetName val="表紙 "/>
      <sheetName val="更新履歴"/>
      <sheetName val="共通定義"/>
      <sheetName val="ﾕｰｻﾞEXIT(1)"/>
      <sheetName val="(ﾍｯﾀﾞ)"/>
      <sheetName val="(概要)"/>
      <sheetName val="(ﾕｰｻﾞ文書)"/>
      <sheetName val="(ｷｰﾜｰﾄﾞ)"/>
      <sheetName val="(その他)"/>
      <sheetName val="~0056583"/>
      <sheetName val="社員リスト"/>
      <sheetName val="|_gCAEg"/>
      <sheetName val="ƒŒƒ|_ƒgƒŒƒCƒAƒEƒg"/>
      <sheetName val="レポートレイアウ⃈"/>
      <sheetName val="現行"/>
      <sheetName val="改善案"/>
      <sheetName val="画面"/>
      <sheetName val="TSBFTPF"/>
      <sheetName val="開始送信"/>
      <sheetName val="終了送信"/>
      <sheetName val="停止送信"/>
      <sheetName val="終了取得"/>
      <sheetName val="処理概要"/>
      <sheetName val="処理詳細"/>
      <sheetName val="項目移送"/>
      <sheetName val="貨物保険料対象条件マスタ"/>
      <sheetName val="リスト値"/>
      <sheetName val="調査シート"/>
      <sheetName val=""/>
      <sheetName val="処理機能記述"/>
      <sheetName val="マスタ"/>
      <sheetName val="テーブル"/>
      <sheetName val="ﾏｽﾀｰ(Z82)"/>
      <sheetName val="型TB"/>
      <sheetName val="T"/>
      <sheetName val="勤務体系"/>
      <sheetName val="リストBOX定義"/>
      <sheetName val="リスト"/>
      <sheetName val="【参考】パラメータ設定値"/>
      <sheetName val="1.2.list"/>
      <sheetName val="コード定義"/>
      <sheetName val="見積テーブル"/>
      <sheetName val="帳票レイアウト（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v1"/>
      <sheetName val="コンフィグ設定一覧"/>
      <sheetName val="1.1　法人-番号順序（NEX）"/>
      <sheetName val="システムパラメータ"/>
      <sheetName val="ユーザーグループ"/>
      <sheetName val="ユーザーグループ-設定値"/>
      <sheetName val="電子メールパラメーター"/>
      <sheetName val="電子メールパラメーター-設定値"/>
      <sheetName val="システムの電子メールテンプレート"/>
      <sheetName val="システムの電子メールテンプレート-設定値"/>
      <sheetName val="電子メールディストリビュータバッチ"/>
      <sheetName val="電子メールディストリビュータバッチ-設定値"/>
      <sheetName val="AADアプリケーション"/>
      <sheetName val="AADアプリケーション-設定値"/>
      <sheetName val="機能管理"/>
      <sheetName val="ワークフロー IF コンフィグ"/>
      <sheetName val="B2B 招待状のコンフィギュレーション"/>
      <sheetName val="外部ロール"/>
      <sheetName val="外部ロール-設定値 "/>
      <sheetName val="ユーザーワークフロー"/>
      <sheetName val="ユーザーワークフロー-設定値 "/>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sheetName val="商品一覧"/>
      <sheetName val="承認票"/>
      <sheetName val="(完成)見積書"/>
      <sheetName val="自動・手動総メッセージ_20001124修正版"/>
      <sheetName val="銀行補助と使用管理単位の紐つけ(fabs)"/>
    </sheetNames>
    <sheetDataSet>
      <sheetData sheetId="0"/>
      <sheetData sheetId="1" refreshError="1">
        <row r="1">
          <cell r="A1" t="str">
            <v>商品ｺｰﾄﾞ</v>
          </cell>
          <cell r="B1" t="str">
            <v>商品名</v>
          </cell>
          <cell r="C1" t="str">
            <v>単価</v>
          </cell>
        </row>
        <row r="2">
          <cell r="A2">
            <v>1</v>
          </cell>
          <cell r="B2" t="str">
            <v>プラスワンメーカー</v>
          </cell>
          <cell r="C2">
            <v>25000</v>
          </cell>
        </row>
        <row r="3">
          <cell r="A3">
            <v>2</v>
          </cell>
          <cell r="B3" t="str">
            <v>プラスワンメーカー95</v>
          </cell>
          <cell r="C3">
            <v>28000</v>
          </cell>
        </row>
        <row r="4">
          <cell r="A4">
            <v>3</v>
          </cell>
          <cell r="B4" t="str">
            <v>プラスワンメーカー with CD</v>
          </cell>
          <cell r="C4">
            <v>35000</v>
          </cell>
        </row>
        <row r="5">
          <cell r="A5">
            <v>1001</v>
          </cell>
          <cell r="B5" t="str">
            <v>サウンドケーブル</v>
          </cell>
          <cell r="C5">
            <v>2000</v>
          </cell>
        </row>
        <row r="6">
          <cell r="A6">
            <v>1002</v>
          </cell>
          <cell r="B6" t="str">
            <v>ACアダプタ</v>
          </cell>
          <cell r="C6">
            <v>1500</v>
          </cell>
        </row>
        <row r="7">
          <cell r="A7">
            <v>1003</v>
          </cell>
        </row>
      </sheetData>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コンフィグ設定一覧"/>
      <sheetName val="1.1　法人"/>
      <sheetName val="1.1 法人-変更履歴"/>
      <sheetName val="1.1　法人-設定値"/>
      <sheetName val="1.1　法人-番号順序（MEDC）"/>
      <sheetName val="1.1　法人-設定値NEX"/>
      <sheetName val="1.1　法人-住所"/>
      <sheetName val="1.1　法人-連絡先情報"/>
      <sheetName val="1.1　法人-番号順序（NEX）"/>
      <sheetName val="1.2　一般会計パラメータ"/>
      <sheetName val="1.2 一般会計パラメータ変更履歴 "/>
      <sheetName val="1.2　一般会計パラメータ-番号順序"/>
      <sheetName val="1.3　元帳"/>
      <sheetName val="1.3　元帳‐変更履歴"/>
      <sheetName val="1.3　元帳-勘定構造"/>
      <sheetName val="1.4　会計カレンダー"/>
      <sheetName val="1.4　会計カレンダー‐変更履歴 "/>
      <sheetName val="1.4　会計カレンダー-設定値"/>
      <sheetName val="1.5　通貨"/>
      <sheetName val="1.5　通貨‐変更履歴  "/>
      <sheetName val="1.5　通貨-設定値"/>
      <sheetName val="1.6　勘定科目表"/>
      <sheetName val="1.6　勘定科目表‐変更履歴  "/>
      <sheetName val="1.6　勘定科目表-設定値"/>
      <sheetName val="1.7　勘定構造のコンフィギュレーション"/>
      <sheetName val="1.7　勘定構造のコンフィギュレーション-変更履歴  "/>
      <sheetName val="1.7　勘定構造のコンフィギュレーション-設定値"/>
      <sheetName val="1.8　主勘定カテゴリ"/>
      <sheetName val="1.8　主勘定カテゴリ-変更履歴  "/>
      <sheetName val="1.8　主勘定カテゴリ-設定値"/>
      <sheetName val="1.9 財務分析コード"/>
      <sheetName val="1.9 財務分析コード-変更履歴  "/>
      <sheetName val="1.9 財務分析コード-設定値"/>
      <sheetName val="1.10 財務分析コード値"/>
      <sheetName val="1.10 財務分析コード値-変更履歴   "/>
      <sheetName val="1.10 財務分析コード値-設定値"/>
      <sheetName val="1.10 財務分析コード値（法人の上書き）-設定値"/>
      <sheetName val="1.11 財務分析コード（主勘定）"/>
      <sheetName val="1.11 財務分析コード（主勘定）-変更履歴    "/>
      <sheetName val="1.11 財務分析コード（主勘定）-設定値"/>
      <sheetName val="1.12 元帳カレンダー"/>
      <sheetName val="1.12 元帳カレンダー-変更履歴 "/>
      <sheetName val="1.12 元帳カレンダー-設定値"/>
      <sheetName val="1.13 仕訳帳名"/>
      <sheetName val="1.13 仕訳帳名-変更履歴  "/>
      <sheetName val="1.13 仕訳帳名-設定値"/>
      <sheetName val="1.14 通貨の再評価勘定"/>
      <sheetName val="1.14 通貨の再評価勘定-設定値-変更履歴  "/>
      <sheetName val="1.14 通貨の再評価勘定-設定値"/>
      <sheetName val="1.15 通貨の為替レート"/>
      <sheetName val="1.15 通貨の為替レート-変更履歴 "/>
      <sheetName val="1.15 通貨の為替レート-設定値"/>
      <sheetName val="1.16 為替レートタイプ "/>
      <sheetName val="1.16 為替レートタイプ -変更履歴 "/>
      <sheetName val="1.16 為替レートタイプ-設定値"/>
      <sheetName val="1.17 外貨再評価"/>
      <sheetName val="1.17 外貨再評価 -変更履歴 "/>
      <sheetName val="1.18 日付範囲"/>
      <sheetName val="1.18 日付範囲 -変更履歴"/>
      <sheetName val="1.18 日付範囲-設定値"/>
      <sheetName val="1.19 財務分析コードセット"/>
      <sheetName val="1.19 財務分析コードセット-変更履歴  "/>
      <sheetName val="1.19 財務分析コードセット-設定値"/>
      <sheetName val="1.20 自動トランザクションの勘定"/>
      <sheetName val="1.20 自動トランザクションの勘定-変更履歴"/>
      <sheetName val="1.20 自動トランザクションの勘定-設定値"/>
      <sheetName val="1.21 既定の説明"/>
      <sheetName val="1.21 既定の説明-変更履歴   "/>
      <sheetName val="1.21 既定の説明-設定値"/>
      <sheetName val="1.22 アプリケーション統合用の財務分析コードの構成"/>
      <sheetName val="1.22 アプリケーション統合用の財務-変更履歴   "/>
      <sheetName val="1.22 アプリケーション統合用の財務分析コード-設定値"/>
      <sheetName val="1.23　主勘定"/>
      <sheetName val="1.23　主勘定-変更履歴"/>
      <sheetName val="1.23　主勘定-設定値"/>
      <sheetName val="1.23　主勘定（法人の上書き）-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ow r="5">
          <cell r="B5" t="str">
            <v>はい</v>
          </cell>
          <cell r="BA5" t="str">
            <v>既定の分析コード形式</v>
          </cell>
        </row>
        <row r="6">
          <cell r="BA6" t="str">
            <v>勘定分析コード形式</v>
          </cell>
        </row>
        <row r="7">
          <cell r="BA7" t="str">
            <v>予算登録分析コード形式</v>
          </cell>
        </row>
        <row r="8">
          <cell r="BA8" t="str">
            <v>予算計画分析コード形式</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tabSelected="1" zoomScale="60" zoomScaleNormal="60" workbookViewId="0"/>
  </sheetViews>
  <sheetFormatPr defaultColWidth="2.1796875" defaultRowHeight="15"/>
  <cols>
    <col min="1" max="16384" width="2.1796875" style="2"/>
  </cols>
  <sheetData>
    <row r="1" spans="2:81" ht="18" thickBot="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2:81" ht="16.2">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5"/>
    </row>
    <row r="3" spans="2:81" ht="21.6">
      <c r="B3" s="6"/>
      <c r="C3" s="7"/>
      <c r="D3" s="8" t="s">
        <v>0</v>
      </c>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9"/>
    </row>
    <row r="4" spans="2:81" ht="16.2">
      <c r="B4" s="6"/>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9"/>
    </row>
    <row r="5" spans="2:81" ht="16.8" thickBot="1">
      <c r="B5" s="6"/>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9"/>
    </row>
    <row r="6" spans="2:81" ht="16.2">
      <c r="B6" s="6"/>
      <c r="C6" s="7"/>
      <c r="D6" s="7"/>
      <c r="E6" s="7"/>
      <c r="F6" s="7"/>
      <c r="G6" s="7"/>
      <c r="H6" s="7"/>
      <c r="I6" s="7"/>
      <c r="J6" s="7"/>
      <c r="K6" s="7"/>
      <c r="L6" s="7"/>
      <c r="M6" s="7"/>
      <c r="N6" s="7"/>
      <c r="O6" s="7"/>
      <c r="P6" s="7"/>
      <c r="Q6" s="7"/>
      <c r="R6" s="7"/>
      <c r="S6" s="7"/>
      <c r="T6" s="7"/>
      <c r="U6" s="7"/>
      <c r="V6" s="39" t="s">
        <v>1</v>
      </c>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1"/>
      <c r="BL6" s="7"/>
      <c r="BM6" s="7"/>
      <c r="BN6" s="7"/>
      <c r="BO6" s="7"/>
      <c r="BP6" s="7"/>
      <c r="BQ6" s="7"/>
      <c r="BR6" s="7"/>
      <c r="BS6" s="7"/>
      <c r="BT6" s="7"/>
      <c r="BU6" s="7"/>
      <c r="BV6" s="7"/>
      <c r="BW6" s="7"/>
      <c r="BX6" s="7"/>
      <c r="BY6" s="7"/>
      <c r="BZ6" s="7"/>
      <c r="CA6" s="7"/>
      <c r="CB6" s="7"/>
      <c r="CC6" s="9"/>
    </row>
    <row r="7" spans="2:81" ht="16.2">
      <c r="B7" s="6"/>
      <c r="C7" s="7"/>
      <c r="D7" s="7"/>
      <c r="E7" s="7"/>
      <c r="F7" s="7"/>
      <c r="G7" s="7"/>
      <c r="H7" s="7"/>
      <c r="I7" s="7"/>
      <c r="J7" s="7"/>
      <c r="K7" s="7"/>
      <c r="L7" s="7"/>
      <c r="M7" s="7"/>
      <c r="N7" s="7"/>
      <c r="O7" s="7"/>
      <c r="P7" s="7"/>
      <c r="Q7" s="7"/>
      <c r="R7" s="7"/>
      <c r="S7" s="7"/>
      <c r="T7" s="7"/>
      <c r="U7" s="7"/>
      <c r="V7" s="42"/>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4"/>
      <c r="BL7" s="7"/>
      <c r="BM7" s="7"/>
      <c r="BN7" s="7"/>
      <c r="BO7" s="7"/>
      <c r="BP7" s="7"/>
      <c r="BQ7" s="7"/>
      <c r="BR7" s="7"/>
      <c r="BS7" s="7"/>
      <c r="BT7" s="7"/>
      <c r="BU7" s="7"/>
      <c r="BV7" s="7"/>
      <c r="BW7" s="7"/>
      <c r="BX7" s="7"/>
      <c r="BY7" s="7"/>
      <c r="BZ7" s="7"/>
      <c r="CA7" s="7"/>
      <c r="CB7" s="7"/>
      <c r="CC7" s="9"/>
    </row>
    <row r="8" spans="2:81" ht="16.2">
      <c r="B8" s="6"/>
      <c r="C8" s="7"/>
      <c r="D8" s="7"/>
      <c r="E8" s="7"/>
      <c r="F8" s="7"/>
      <c r="G8" s="7"/>
      <c r="H8" s="7"/>
      <c r="I8" s="7"/>
      <c r="J8" s="7"/>
      <c r="K8" s="7"/>
      <c r="L8" s="7"/>
      <c r="M8" s="7"/>
      <c r="N8" s="7"/>
      <c r="O8" s="7"/>
      <c r="P8" s="7"/>
      <c r="Q8" s="7"/>
      <c r="R8" s="7"/>
      <c r="S8" s="7"/>
      <c r="T8" s="7"/>
      <c r="U8" s="7"/>
      <c r="V8" s="42"/>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4"/>
      <c r="BL8" s="7"/>
      <c r="BM8" s="7"/>
      <c r="BN8" s="7"/>
      <c r="BO8" s="7"/>
      <c r="BP8" s="7"/>
      <c r="BQ8" s="7"/>
      <c r="BR8" s="7"/>
      <c r="BS8" s="7"/>
      <c r="BT8" s="7"/>
      <c r="BU8" s="7"/>
      <c r="BV8" s="7"/>
      <c r="BW8" s="7"/>
      <c r="BX8" s="7"/>
      <c r="BY8" s="7"/>
      <c r="BZ8" s="7"/>
      <c r="CA8" s="7"/>
      <c r="CB8" s="7"/>
      <c r="CC8" s="9"/>
    </row>
    <row r="9" spans="2:81" ht="16.2">
      <c r="B9" s="6"/>
      <c r="C9" s="7"/>
      <c r="D9" s="7"/>
      <c r="E9" s="7"/>
      <c r="F9" s="7"/>
      <c r="G9" s="7"/>
      <c r="H9" s="7"/>
      <c r="I9" s="7"/>
      <c r="J9" s="7"/>
      <c r="K9" s="7"/>
      <c r="L9" s="7"/>
      <c r="M9" s="7"/>
      <c r="N9" s="7"/>
      <c r="O9" s="7"/>
      <c r="P9" s="7"/>
      <c r="Q9" s="7"/>
      <c r="R9" s="7"/>
      <c r="S9" s="7"/>
      <c r="T9" s="7"/>
      <c r="U9" s="7"/>
      <c r="V9" s="42"/>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4"/>
      <c r="BL9" s="7"/>
      <c r="BM9" s="7"/>
      <c r="BN9" s="7"/>
      <c r="BO9" s="7"/>
      <c r="BP9" s="7"/>
      <c r="BQ9" s="7"/>
      <c r="BR9" s="7"/>
      <c r="BS9" s="7"/>
      <c r="BT9" s="7"/>
      <c r="BU9" s="7"/>
      <c r="BV9" s="7"/>
      <c r="BW9" s="7"/>
      <c r="BX9" s="7"/>
      <c r="BY9" s="7"/>
      <c r="BZ9" s="7"/>
      <c r="CA9" s="7"/>
      <c r="CB9" s="7"/>
      <c r="CC9" s="9"/>
    </row>
    <row r="10" spans="2:81" ht="16.2">
      <c r="B10" s="6"/>
      <c r="C10" s="7"/>
      <c r="D10" s="7"/>
      <c r="E10" s="7"/>
      <c r="F10" s="7"/>
      <c r="G10" s="7"/>
      <c r="H10" s="7"/>
      <c r="I10" s="7"/>
      <c r="J10" s="7"/>
      <c r="K10" s="7"/>
      <c r="L10" s="7"/>
      <c r="M10" s="7"/>
      <c r="N10" s="7"/>
      <c r="O10" s="7"/>
      <c r="P10" s="7"/>
      <c r="Q10" s="7"/>
      <c r="R10" s="7"/>
      <c r="S10" s="7"/>
      <c r="T10" s="7"/>
      <c r="U10" s="7"/>
      <c r="V10" s="45" t="s">
        <v>2</v>
      </c>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7"/>
      <c r="BL10" s="7"/>
      <c r="BM10" s="7"/>
      <c r="BN10" s="7"/>
      <c r="BO10" s="7"/>
      <c r="BP10" s="7"/>
      <c r="BQ10" s="7"/>
      <c r="BR10" s="7"/>
      <c r="BS10" s="7"/>
      <c r="BT10" s="7"/>
      <c r="BU10" s="7"/>
      <c r="BV10" s="7"/>
      <c r="BW10" s="7"/>
      <c r="BX10" s="7"/>
      <c r="BY10" s="7"/>
      <c r="BZ10" s="7"/>
      <c r="CA10" s="7"/>
      <c r="CB10" s="7"/>
      <c r="CC10" s="9"/>
    </row>
    <row r="11" spans="2:81" ht="16.2">
      <c r="B11" s="6"/>
      <c r="C11" s="7"/>
      <c r="D11" s="7"/>
      <c r="E11" s="7"/>
      <c r="F11" s="7"/>
      <c r="G11" s="7"/>
      <c r="H11" s="7"/>
      <c r="I11" s="7"/>
      <c r="J11" s="7"/>
      <c r="K11" s="7"/>
      <c r="L11" s="7"/>
      <c r="M11" s="7"/>
      <c r="N11" s="7"/>
      <c r="O11" s="7"/>
      <c r="P11" s="7"/>
      <c r="Q11" s="7"/>
      <c r="R11" s="7"/>
      <c r="S11" s="7"/>
      <c r="T11" s="7"/>
      <c r="U11" s="7"/>
      <c r="V11" s="45"/>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7"/>
      <c r="BL11" s="7"/>
      <c r="BM11" s="7"/>
      <c r="BN11" s="7"/>
      <c r="BO11" s="7"/>
      <c r="BP11" s="7"/>
      <c r="BQ11" s="7"/>
      <c r="BR11" s="7"/>
      <c r="BS11" s="7"/>
      <c r="BT11" s="7"/>
      <c r="BU11" s="7"/>
      <c r="BV11" s="7"/>
      <c r="BW11" s="7"/>
      <c r="BX11" s="7"/>
      <c r="BY11" s="7"/>
      <c r="BZ11" s="7"/>
      <c r="CA11" s="7"/>
      <c r="CB11" s="7"/>
      <c r="CC11" s="9"/>
    </row>
    <row r="12" spans="2:81" ht="16.8" thickBot="1">
      <c r="B12" s="6"/>
      <c r="C12" s="7"/>
      <c r="D12" s="7"/>
      <c r="E12" s="7"/>
      <c r="F12" s="7"/>
      <c r="G12" s="7"/>
      <c r="H12" s="7"/>
      <c r="I12" s="7"/>
      <c r="J12" s="7"/>
      <c r="K12" s="7"/>
      <c r="L12" s="7"/>
      <c r="M12" s="7"/>
      <c r="N12" s="7"/>
      <c r="O12" s="7"/>
      <c r="P12" s="7"/>
      <c r="Q12" s="7"/>
      <c r="R12" s="7"/>
      <c r="S12" s="7"/>
      <c r="T12" s="7"/>
      <c r="U12" s="7"/>
      <c r="V12" s="48"/>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50"/>
      <c r="BL12" s="7"/>
      <c r="BM12" s="7"/>
      <c r="BN12" s="7"/>
      <c r="BO12" s="7"/>
      <c r="BP12" s="7"/>
      <c r="BQ12" s="7"/>
      <c r="BR12" s="7"/>
      <c r="BS12" s="7"/>
      <c r="BT12" s="7"/>
      <c r="BU12" s="7"/>
      <c r="BV12" s="7"/>
      <c r="BW12" s="7"/>
      <c r="BX12" s="7"/>
      <c r="BY12" s="7"/>
      <c r="BZ12" s="7"/>
      <c r="CA12" s="7"/>
      <c r="CB12" s="7"/>
      <c r="CC12" s="9"/>
    </row>
    <row r="13" spans="2:81" ht="16.2">
      <c r="B13" s="6"/>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9"/>
    </row>
    <row r="14" spans="2:81" ht="28.8">
      <c r="B14" s="6"/>
      <c r="C14" s="7"/>
      <c r="D14" s="7"/>
      <c r="E14" s="7"/>
      <c r="F14" s="7"/>
      <c r="G14" s="7"/>
      <c r="H14" s="7"/>
      <c r="I14" s="7"/>
      <c r="J14" s="7"/>
      <c r="K14" s="7"/>
      <c r="L14" s="7"/>
      <c r="M14" s="7"/>
      <c r="N14" s="7"/>
      <c r="O14" s="7"/>
      <c r="P14" s="7"/>
      <c r="Q14" s="7"/>
      <c r="R14" s="7"/>
      <c r="S14" s="7"/>
      <c r="T14" s="7"/>
      <c r="U14" s="7"/>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7"/>
      <c r="BM14" s="7"/>
      <c r="BN14" s="7"/>
      <c r="BO14" s="7"/>
      <c r="BP14" s="7"/>
      <c r="BQ14" s="7"/>
      <c r="BR14" s="7"/>
      <c r="BS14" s="7"/>
      <c r="BT14" s="7"/>
      <c r="BU14" s="7"/>
      <c r="BV14" s="7"/>
      <c r="BW14" s="7"/>
      <c r="BX14" s="7"/>
      <c r="BY14" s="7"/>
      <c r="BZ14" s="7"/>
      <c r="CA14" s="7"/>
      <c r="CB14" s="7"/>
      <c r="CC14" s="9"/>
    </row>
    <row r="15" spans="2:81" ht="28.8">
      <c r="B15" s="6"/>
      <c r="C15" s="7"/>
      <c r="D15" s="7"/>
      <c r="E15" s="7"/>
      <c r="F15" s="7"/>
      <c r="G15" s="7"/>
      <c r="H15" s="7"/>
      <c r="I15" s="7"/>
      <c r="J15" s="7"/>
      <c r="K15" s="7"/>
      <c r="L15" s="7"/>
      <c r="M15" s="7"/>
      <c r="N15" s="7"/>
      <c r="O15" s="7"/>
      <c r="P15" s="7"/>
      <c r="Q15" s="7"/>
      <c r="R15" s="7"/>
      <c r="S15" s="7"/>
      <c r="T15" s="7"/>
      <c r="U15" s="7"/>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7"/>
      <c r="BM15" s="7"/>
      <c r="BN15" s="7"/>
      <c r="BO15" s="7"/>
      <c r="BP15" s="7"/>
      <c r="BQ15" s="7"/>
      <c r="BR15" s="7"/>
      <c r="BS15" s="7"/>
      <c r="BT15" s="7"/>
      <c r="BU15" s="7"/>
      <c r="BV15" s="7"/>
      <c r="BW15" s="7"/>
      <c r="BX15" s="7"/>
      <c r="BY15" s="7"/>
      <c r="BZ15" s="7"/>
      <c r="CA15" s="7"/>
      <c r="CB15" s="7"/>
      <c r="CC15" s="9"/>
    </row>
    <row r="16" spans="2:81" ht="16.2">
      <c r="B16" s="6"/>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9"/>
    </row>
    <row r="17" spans="2:81" ht="26.4">
      <c r="B17" s="51" t="s">
        <v>51</v>
      </c>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3"/>
    </row>
    <row r="18" spans="2:81" ht="17.399999999999999">
      <c r="B18" s="6"/>
      <c r="C18" s="7"/>
      <c r="D18" s="7"/>
      <c r="E18" s="7"/>
      <c r="F18" s="11"/>
      <c r="G18" s="11"/>
      <c r="H18" s="11"/>
      <c r="I18" s="11"/>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9"/>
    </row>
    <row r="19" spans="2:81" ht="26.4">
      <c r="B19" s="54">
        <v>45632</v>
      </c>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8"/>
    </row>
    <row r="20" spans="2:81" ht="17.399999999999999">
      <c r="B20" s="6"/>
      <c r="C20" s="7"/>
      <c r="D20" s="7"/>
      <c r="E20" s="7"/>
      <c r="F20" s="11"/>
      <c r="G20" s="11"/>
      <c r="H20" s="11"/>
      <c r="I20" s="11"/>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9"/>
    </row>
    <row r="21" spans="2:81" ht="26.4">
      <c r="B21" s="36" t="s">
        <v>3</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8"/>
    </row>
    <row r="22" spans="2:81" ht="17.399999999999999">
      <c r="B22" s="6"/>
      <c r="C22" s="7"/>
      <c r="D22" s="7"/>
      <c r="E22" s="7"/>
      <c r="F22" s="11"/>
      <c r="G22" s="11"/>
      <c r="H22" s="11"/>
      <c r="I22" s="11"/>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9"/>
    </row>
    <row r="23" spans="2:81" ht="26.4">
      <c r="B23" s="36"/>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8"/>
    </row>
    <row r="24" spans="2:81" ht="17.399999999999999">
      <c r="B24" s="6"/>
      <c r="C24" s="7"/>
      <c r="D24" s="7"/>
      <c r="E24" s="7"/>
      <c r="F24" s="11"/>
      <c r="G24" s="11"/>
      <c r="H24" s="11"/>
      <c r="I24" s="11"/>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9"/>
    </row>
    <row r="25" spans="2:81" ht="17.399999999999999">
      <c r="B25" s="12"/>
      <c r="C25" s="11"/>
      <c r="D25" s="11"/>
      <c r="E25" s="11"/>
      <c r="F25" s="11"/>
      <c r="G25" s="11"/>
      <c r="H25" s="11"/>
      <c r="I25" s="11"/>
      <c r="J25" s="11"/>
      <c r="K25" s="11"/>
      <c r="L25" s="11"/>
      <c r="M25" s="11"/>
      <c r="N25" s="11"/>
      <c r="O25" s="11"/>
      <c r="P25" s="11"/>
      <c r="Q25" s="11"/>
      <c r="R25" s="11"/>
      <c r="S25" s="11"/>
      <c r="T25" s="11"/>
      <c r="U25" s="11"/>
      <c r="V25" s="11"/>
      <c r="W25" s="11"/>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9"/>
    </row>
    <row r="26" spans="2:81" ht="17.399999999999999">
      <c r="B26" s="12"/>
      <c r="C26" s="11"/>
      <c r="D26" s="11"/>
      <c r="E26" s="11"/>
      <c r="F26" s="11"/>
      <c r="G26" s="11"/>
      <c r="H26" s="11"/>
      <c r="I26" s="11"/>
      <c r="J26" s="11"/>
      <c r="K26" s="11"/>
      <c r="L26" s="11"/>
      <c r="M26" s="11"/>
      <c r="N26" s="11"/>
      <c r="O26" s="11"/>
      <c r="P26" s="11"/>
      <c r="Q26" s="11"/>
      <c r="R26" s="11"/>
      <c r="S26" s="11"/>
      <c r="T26" s="11"/>
      <c r="U26" s="11"/>
      <c r="V26" s="11"/>
      <c r="W26" s="11"/>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9"/>
    </row>
    <row r="27" spans="2:81" ht="17.399999999999999">
      <c r="B27" s="12"/>
      <c r="C27" s="11"/>
      <c r="D27" s="11"/>
      <c r="E27" s="11"/>
      <c r="F27" s="11"/>
      <c r="G27" s="11"/>
      <c r="H27" s="11"/>
      <c r="I27" s="11"/>
      <c r="J27" s="11"/>
      <c r="K27" s="11"/>
      <c r="L27" s="11"/>
      <c r="M27" s="11"/>
      <c r="N27" s="11"/>
      <c r="O27" s="11"/>
      <c r="P27" s="11"/>
      <c r="Q27" s="11"/>
      <c r="R27" s="11"/>
      <c r="S27" s="11"/>
      <c r="T27" s="11"/>
      <c r="U27" s="11"/>
      <c r="V27" s="11"/>
      <c r="W27" s="11"/>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9"/>
    </row>
    <row r="28" spans="2:81" ht="17.399999999999999">
      <c r="B28" s="12"/>
      <c r="C28" s="11"/>
      <c r="D28" s="11"/>
      <c r="E28" s="11"/>
      <c r="F28" s="11"/>
      <c r="G28" s="11"/>
      <c r="H28" s="11"/>
      <c r="I28" s="11"/>
      <c r="J28" s="11"/>
      <c r="K28" s="11"/>
      <c r="L28" s="11"/>
      <c r="M28" s="11"/>
      <c r="N28" s="11"/>
      <c r="O28" s="11"/>
      <c r="P28" s="11"/>
      <c r="Q28" s="11"/>
      <c r="R28" s="11"/>
      <c r="S28" s="11"/>
      <c r="T28" s="11"/>
      <c r="U28" s="11"/>
      <c r="V28" s="11"/>
      <c r="W28" s="11"/>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9"/>
    </row>
    <row r="29" spans="2:81" ht="17.399999999999999">
      <c r="B29" s="12"/>
      <c r="C29" s="11"/>
      <c r="D29" s="11"/>
      <c r="E29" s="11"/>
      <c r="F29" s="11"/>
      <c r="G29" s="11"/>
      <c r="H29" s="11"/>
      <c r="I29" s="11"/>
      <c r="J29" s="11"/>
      <c r="K29" s="11"/>
      <c r="L29" s="11"/>
      <c r="M29" s="11"/>
      <c r="N29" s="11"/>
      <c r="O29" s="11"/>
      <c r="P29" s="11"/>
      <c r="Q29" s="11"/>
      <c r="R29" s="11"/>
      <c r="S29" s="11"/>
      <c r="T29" s="11"/>
      <c r="U29" s="11"/>
      <c r="V29" s="11"/>
      <c r="W29" s="11"/>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9"/>
    </row>
    <row r="30" spans="2:81" ht="17.399999999999999">
      <c r="B30" s="12"/>
      <c r="C30" s="11"/>
      <c r="D30" s="11"/>
      <c r="E30" s="11"/>
      <c r="F30" s="11"/>
      <c r="G30" s="11"/>
      <c r="H30" s="11"/>
      <c r="I30" s="11"/>
      <c r="J30" s="11"/>
      <c r="K30" s="11"/>
      <c r="L30" s="11"/>
      <c r="M30" s="11"/>
      <c r="N30" s="11"/>
      <c r="O30" s="11"/>
      <c r="P30" s="11"/>
      <c r="Q30" s="11"/>
      <c r="R30" s="11"/>
      <c r="S30" s="11"/>
      <c r="T30" s="11"/>
      <c r="U30" s="11"/>
      <c r="V30" s="11"/>
      <c r="W30" s="11"/>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9"/>
    </row>
    <row r="31" spans="2:81" ht="17.399999999999999">
      <c r="B31" s="12"/>
      <c r="C31" s="11"/>
      <c r="D31" s="11"/>
      <c r="E31" s="11"/>
      <c r="F31" s="11"/>
      <c r="G31" s="11"/>
      <c r="H31" s="11"/>
      <c r="I31" s="11"/>
      <c r="J31" s="11"/>
      <c r="K31" s="11"/>
      <c r="L31" s="11"/>
      <c r="M31" s="11"/>
      <c r="N31" s="11"/>
      <c r="O31" s="11"/>
      <c r="P31" s="11"/>
      <c r="Q31" s="11"/>
      <c r="R31" s="11"/>
      <c r="S31" s="11"/>
      <c r="T31" s="11"/>
      <c r="U31" s="11"/>
      <c r="V31" s="11"/>
      <c r="W31" s="11"/>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9"/>
    </row>
    <row r="32" spans="2:81" ht="17.399999999999999">
      <c r="B32" s="12"/>
      <c r="C32" s="11"/>
      <c r="D32" s="11"/>
      <c r="E32" s="11"/>
      <c r="F32" s="11"/>
      <c r="G32" s="11"/>
      <c r="H32" s="11"/>
      <c r="I32" s="11"/>
      <c r="J32" s="11"/>
      <c r="K32" s="11"/>
      <c r="L32" s="11"/>
      <c r="M32" s="11"/>
      <c r="N32" s="11"/>
      <c r="O32" s="11"/>
      <c r="P32" s="11"/>
      <c r="Q32" s="11"/>
      <c r="R32" s="11"/>
      <c r="S32" s="11"/>
      <c r="T32" s="11"/>
      <c r="U32" s="11"/>
      <c r="V32" s="11"/>
      <c r="W32" s="11"/>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9"/>
    </row>
    <row r="33" spans="2:81" ht="17.399999999999999">
      <c r="B33" s="12"/>
      <c r="C33" s="11"/>
      <c r="D33" s="11"/>
      <c r="E33" s="11"/>
      <c r="F33" s="11"/>
      <c r="G33" s="11"/>
      <c r="H33" s="11"/>
      <c r="I33" s="11"/>
      <c r="J33" s="11"/>
      <c r="K33" s="11"/>
      <c r="L33" s="11"/>
      <c r="M33" s="11"/>
      <c r="N33" s="11"/>
      <c r="O33" s="11"/>
      <c r="P33" s="11"/>
      <c r="Q33" s="11"/>
      <c r="R33" s="11"/>
      <c r="S33" s="11"/>
      <c r="T33" s="11"/>
      <c r="U33" s="11"/>
      <c r="V33" s="11"/>
      <c r="W33" s="11"/>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9"/>
    </row>
    <row r="34" spans="2:81" ht="17.399999999999999">
      <c r="B34" s="12"/>
      <c r="C34" s="11"/>
      <c r="D34" s="11"/>
      <c r="E34" s="11"/>
      <c r="F34" s="11"/>
      <c r="G34" s="11"/>
      <c r="H34" s="11"/>
      <c r="I34" s="11"/>
      <c r="J34" s="11"/>
      <c r="K34" s="11"/>
      <c r="L34" s="11"/>
      <c r="M34" s="11"/>
      <c r="N34" s="11"/>
      <c r="O34" s="11"/>
      <c r="P34" s="11"/>
      <c r="Q34" s="11"/>
      <c r="R34" s="11"/>
      <c r="S34" s="11"/>
      <c r="T34" s="11"/>
      <c r="U34" s="11"/>
      <c r="V34" s="11"/>
      <c r="W34" s="11"/>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9"/>
    </row>
    <row r="35" spans="2:81" ht="16.2">
      <c r="B35" s="6"/>
      <c r="C35" s="7"/>
      <c r="D35" s="7"/>
      <c r="E35" s="7"/>
      <c r="F35" s="13"/>
      <c r="G35" s="13"/>
      <c r="H35" s="13"/>
      <c r="I35" s="13"/>
      <c r="J35" s="13"/>
      <c r="K35" s="13"/>
      <c r="L35" s="13"/>
      <c r="M35" s="13"/>
      <c r="N35" s="13"/>
      <c r="O35" s="13"/>
      <c r="P35" s="13"/>
      <c r="Q35" s="13"/>
      <c r="R35" s="13"/>
      <c r="S35" s="13"/>
      <c r="T35" s="13"/>
      <c r="U35" s="13"/>
      <c r="V35" s="13"/>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7"/>
      <c r="BL35" s="7"/>
      <c r="BM35" s="7"/>
      <c r="BN35" s="7"/>
      <c r="BO35" s="7"/>
      <c r="BP35" s="7"/>
      <c r="BQ35" s="7"/>
      <c r="BR35" s="7"/>
      <c r="BS35" s="7"/>
      <c r="BT35" s="7"/>
      <c r="BU35" s="7"/>
      <c r="BV35" s="7"/>
      <c r="BW35" s="7"/>
      <c r="BX35" s="7"/>
      <c r="BY35" s="7"/>
      <c r="BZ35" s="7"/>
      <c r="CA35" s="7"/>
      <c r="CB35" s="7"/>
      <c r="CC35" s="9"/>
    </row>
    <row r="36" spans="2:81" ht="18" thickBot="1">
      <c r="B36" s="15"/>
      <c r="C36" s="16"/>
      <c r="D36" s="16"/>
      <c r="E36" s="16"/>
      <c r="F36" s="17"/>
      <c r="G36" s="17"/>
      <c r="H36" s="17"/>
      <c r="I36" s="17"/>
      <c r="J36" s="17"/>
      <c r="K36" s="17"/>
      <c r="L36" s="17"/>
      <c r="M36" s="17"/>
      <c r="N36" s="17"/>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9"/>
      <c r="AR36" s="19"/>
      <c r="AS36" s="19"/>
      <c r="AT36" s="19"/>
      <c r="AU36" s="19"/>
      <c r="AV36" s="19"/>
      <c r="AW36" s="19"/>
      <c r="AX36" s="19"/>
      <c r="AY36" s="19"/>
      <c r="AZ36" s="19"/>
      <c r="BA36" s="19"/>
      <c r="BB36" s="19"/>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20"/>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A8D8D-EAAB-47C1-959B-BBBC4FB772D1}">
  <dimension ref="A1:BP40"/>
  <sheetViews>
    <sheetView showGridLines="0" zoomScale="80" zoomScaleNormal="80" workbookViewId="0">
      <pane ySplit="5" topLeftCell="A6" activePane="bottomLeft" state="frozen"/>
      <selection pane="bottomLeft" activeCell="F8" sqref="F8:S8"/>
    </sheetView>
  </sheetViews>
  <sheetFormatPr defaultColWidth="2.1796875" defaultRowHeight="15" customHeight="1"/>
  <cols>
    <col min="1" max="47" width="2.1796875" style="33"/>
    <col min="48" max="48" width="2.1796875" style="33" customWidth="1"/>
    <col min="49" max="16384" width="2.1796875" style="33"/>
  </cols>
  <sheetData>
    <row r="1" spans="1:68" s="30" customFormat="1" ht="15" customHeight="1" thickBot="1">
      <c r="A1" s="120" t="s">
        <v>31</v>
      </c>
      <c r="B1" s="121"/>
      <c r="C1" s="121"/>
      <c r="D1" s="121"/>
      <c r="E1" s="122"/>
      <c r="F1" s="129" t="s">
        <v>32</v>
      </c>
      <c r="G1" s="130"/>
      <c r="H1" s="130"/>
      <c r="I1" s="130"/>
      <c r="J1" s="130"/>
      <c r="K1" s="130"/>
      <c r="L1" s="130"/>
      <c r="M1" s="130"/>
      <c r="N1" s="130"/>
      <c r="O1" s="130"/>
      <c r="P1" s="131"/>
      <c r="Q1" s="132" t="s">
        <v>33</v>
      </c>
      <c r="R1" s="133"/>
      <c r="S1" s="133"/>
      <c r="T1" s="133"/>
      <c r="U1" s="133"/>
      <c r="V1" s="134"/>
      <c r="W1" s="129" t="s">
        <v>34</v>
      </c>
      <c r="X1" s="130"/>
      <c r="Y1" s="130"/>
      <c r="Z1" s="130"/>
      <c r="AA1" s="130"/>
      <c r="AB1" s="130"/>
      <c r="AC1" s="130"/>
      <c r="AD1" s="130"/>
      <c r="AE1" s="130"/>
      <c r="AF1" s="130"/>
      <c r="AG1" s="130"/>
      <c r="AH1" s="130"/>
      <c r="AI1" s="130"/>
      <c r="AJ1" s="130"/>
      <c r="AK1" s="130"/>
      <c r="AL1" s="130"/>
      <c r="AM1" s="130"/>
      <c r="AN1" s="130"/>
      <c r="AO1" s="130"/>
      <c r="AP1" s="130"/>
      <c r="AQ1" s="130"/>
      <c r="AR1" s="130"/>
      <c r="AS1" s="131"/>
      <c r="AT1" s="135" t="s">
        <v>6</v>
      </c>
      <c r="AU1" s="136"/>
      <c r="AV1" s="136"/>
      <c r="AW1" s="136"/>
      <c r="AX1" s="136"/>
      <c r="AY1" s="136"/>
      <c r="AZ1" s="136"/>
      <c r="BA1" s="137"/>
      <c r="BB1" s="138" t="s">
        <v>7</v>
      </c>
      <c r="BC1" s="139"/>
      <c r="BD1" s="140"/>
      <c r="BE1" s="140"/>
      <c r="BF1" s="140"/>
      <c r="BG1" s="140"/>
      <c r="BH1" s="140"/>
      <c r="BI1" s="141"/>
      <c r="BJ1" s="29"/>
      <c r="BK1" s="29"/>
      <c r="BL1" s="29"/>
      <c r="BM1" s="29"/>
      <c r="BN1" s="29"/>
      <c r="BO1" s="29"/>
      <c r="BP1" s="29"/>
    </row>
    <row r="2" spans="1:68" s="30" customFormat="1" ht="15" customHeight="1">
      <c r="A2" s="123"/>
      <c r="B2" s="124"/>
      <c r="C2" s="124"/>
      <c r="D2" s="124"/>
      <c r="E2" s="125"/>
      <c r="F2" s="142" t="s">
        <v>35</v>
      </c>
      <c r="G2" s="143"/>
      <c r="H2" s="143"/>
      <c r="I2" s="143"/>
      <c r="J2" s="143"/>
      <c r="K2" s="143"/>
      <c r="L2" s="143"/>
      <c r="M2" s="143"/>
      <c r="N2" s="143"/>
      <c r="O2" s="143"/>
      <c r="P2" s="144"/>
      <c r="Q2" s="142" t="s">
        <v>36</v>
      </c>
      <c r="R2" s="143"/>
      <c r="S2" s="143"/>
      <c r="T2" s="143"/>
      <c r="U2" s="143"/>
      <c r="V2" s="144"/>
      <c r="W2" s="148" t="s">
        <v>37</v>
      </c>
      <c r="X2" s="149"/>
      <c r="Y2" s="149"/>
      <c r="Z2" s="149"/>
      <c r="AA2" s="149"/>
      <c r="AB2" s="149"/>
      <c r="AC2" s="149"/>
      <c r="AD2" s="149"/>
      <c r="AE2" s="149"/>
      <c r="AF2" s="149"/>
      <c r="AG2" s="149"/>
      <c r="AH2" s="149"/>
      <c r="AI2" s="149"/>
      <c r="AJ2" s="149"/>
      <c r="AK2" s="149"/>
      <c r="AL2" s="149"/>
      <c r="AM2" s="149"/>
      <c r="AN2" s="149"/>
      <c r="AO2" s="149"/>
      <c r="AP2" s="149"/>
      <c r="AQ2" s="149"/>
      <c r="AR2" s="149"/>
      <c r="AS2" s="150"/>
      <c r="AT2" s="154" t="s">
        <v>10</v>
      </c>
      <c r="AU2" s="155"/>
      <c r="AV2" s="98">
        <f>A6</f>
        <v>45435</v>
      </c>
      <c r="AW2" s="98"/>
      <c r="AX2" s="98"/>
      <c r="AY2" s="98"/>
      <c r="AZ2" s="98"/>
      <c r="BA2" s="99"/>
      <c r="BB2" s="100" t="str">
        <f>AZ6</f>
        <v>JBS加藤</v>
      </c>
      <c r="BC2" s="101"/>
      <c r="BD2" s="102"/>
      <c r="BE2" s="102"/>
      <c r="BF2" s="102"/>
      <c r="BG2" s="102"/>
      <c r="BH2" s="102"/>
      <c r="BI2" s="103"/>
      <c r="BJ2" s="29"/>
      <c r="BK2" s="29"/>
      <c r="BL2" s="29"/>
      <c r="BM2" s="29"/>
      <c r="BN2" s="29"/>
      <c r="BO2" s="29"/>
      <c r="BP2" s="29"/>
    </row>
    <row r="3" spans="1:68" s="30" customFormat="1" ht="15" customHeight="1" thickBot="1">
      <c r="A3" s="126"/>
      <c r="B3" s="127"/>
      <c r="C3" s="127"/>
      <c r="D3" s="127"/>
      <c r="E3" s="128"/>
      <c r="F3" s="145"/>
      <c r="G3" s="146"/>
      <c r="H3" s="146"/>
      <c r="I3" s="146"/>
      <c r="J3" s="146"/>
      <c r="K3" s="146"/>
      <c r="L3" s="146"/>
      <c r="M3" s="146"/>
      <c r="N3" s="146"/>
      <c r="O3" s="146"/>
      <c r="P3" s="147"/>
      <c r="Q3" s="145"/>
      <c r="R3" s="146"/>
      <c r="S3" s="146"/>
      <c r="T3" s="146"/>
      <c r="U3" s="146"/>
      <c r="V3" s="147"/>
      <c r="W3" s="151"/>
      <c r="X3" s="152"/>
      <c r="Y3" s="152"/>
      <c r="Z3" s="152"/>
      <c r="AA3" s="152"/>
      <c r="AB3" s="152"/>
      <c r="AC3" s="152"/>
      <c r="AD3" s="152"/>
      <c r="AE3" s="152"/>
      <c r="AF3" s="152"/>
      <c r="AG3" s="152"/>
      <c r="AH3" s="152"/>
      <c r="AI3" s="152"/>
      <c r="AJ3" s="152"/>
      <c r="AK3" s="152"/>
      <c r="AL3" s="152"/>
      <c r="AM3" s="152"/>
      <c r="AN3" s="152"/>
      <c r="AO3" s="152"/>
      <c r="AP3" s="152"/>
      <c r="AQ3" s="152"/>
      <c r="AR3" s="152"/>
      <c r="AS3" s="153"/>
      <c r="AT3" s="104" t="s">
        <v>11</v>
      </c>
      <c r="AU3" s="105"/>
      <c r="AV3" s="106" cm="1">
        <f t="array" aca="1" ref="AV3" ca="1">IF(OR(COUNTA(A:E)=2),"",INDIRECT("A"&amp;COUNTA(A:E)+3))</f>
        <v>45632</v>
      </c>
      <c r="AW3" s="106"/>
      <c r="AX3" s="106"/>
      <c r="AY3" s="106"/>
      <c r="AZ3" s="106"/>
      <c r="BA3" s="107"/>
      <c r="BB3" s="108" t="str" cm="1">
        <f t="array" aca="1" ref="BB3" ca="1">IF(COUNTA(AZ5:BE100018)=1,"",INDIRECT("AZ"&amp;COUNTA(AZ5:BE100018)+4))</f>
        <v>JBS北井</v>
      </c>
      <c r="BC3" s="109"/>
      <c r="BD3" s="110"/>
      <c r="BE3" s="110"/>
      <c r="BF3" s="110"/>
      <c r="BG3" s="110"/>
      <c r="BH3" s="110"/>
      <c r="BI3" s="111"/>
      <c r="BJ3" s="29"/>
      <c r="BK3" s="29"/>
      <c r="BL3" s="29"/>
      <c r="BM3" s="29"/>
      <c r="BN3" s="29"/>
      <c r="BO3" s="29"/>
      <c r="BP3" s="29"/>
    </row>
    <row r="4" spans="1:68" ht="15" customHeight="1" thickBot="1">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2" t="s">
        <v>38</v>
      </c>
      <c r="AX4" s="31"/>
      <c r="AY4" s="31"/>
      <c r="AZ4" s="31"/>
      <c r="BA4" s="31"/>
      <c r="BB4" s="31"/>
      <c r="BC4" s="31"/>
      <c r="BD4" s="31"/>
      <c r="BE4" s="31"/>
      <c r="BF4" s="31"/>
      <c r="BG4" s="31"/>
      <c r="BH4" s="31"/>
      <c r="BI4" s="31"/>
    </row>
    <row r="5" spans="1:68" s="34" customFormat="1" ht="15" customHeight="1" thickBot="1">
      <c r="A5" s="112" t="s">
        <v>39</v>
      </c>
      <c r="B5" s="113"/>
      <c r="C5" s="113"/>
      <c r="D5" s="113"/>
      <c r="E5" s="114"/>
      <c r="F5" s="115" t="s">
        <v>40</v>
      </c>
      <c r="G5" s="116"/>
      <c r="H5" s="116"/>
      <c r="I5" s="116"/>
      <c r="J5" s="116"/>
      <c r="K5" s="116"/>
      <c r="L5" s="116"/>
      <c r="M5" s="116"/>
      <c r="N5" s="116"/>
      <c r="O5" s="116"/>
      <c r="P5" s="116"/>
      <c r="Q5" s="116"/>
      <c r="R5" s="116"/>
      <c r="S5" s="117"/>
      <c r="T5" s="116" t="s">
        <v>41</v>
      </c>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2" t="s">
        <v>42</v>
      </c>
      <c r="BA5" s="113"/>
      <c r="BB5" s="113"/>
      <c r="BC5" s="113"/>
      <c r="BD5" s="113"/>
      <c r="BE5" s="118"/>
      <c r="BF5" s="119" t="s">
        <v>43</v>
      </c>
      <c r="BG5" s="119"/>
      <c r="BH5" s="113"/>
      <c r="BI5" s="118"/>
    </row>
    <row r="6" spans="1:68" ht="15" customHeight="1">
      <c r="A6" s="84">
        <v>45435</v>
      </c>
      <c r="B6" s="85"/>
      <c r="C6" s="85"/>
      <c r="D6" s="85"/>
      <c r="E6" s="86"/>
      <c r="F6" s="87" t="s">
        <v>44</v>
      </c>
      <c r="G6" s="88"/>
      <c r="H6" s="88"/>
      <c r="I6" s="88"/>
      <c r="J6" s="88"/>
      <c r="K6" s="88"/>
      <c r="L6" s="88"/>
      <c r="M6" s="88"/>
      <c r="N6" s="88"/>
      <c r="O6" s="88"/>
      <c r="P6" s="88"/>
      <c r="Q6" s="88"/>
      <c r="R6" s="88"/>
      <c r="S6" s="89"/>
      <c r="T6" s="90" t="s">
        <v>45</v>
      </c>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1" t="s">
        <v>46</v>
      </c>
      <c r="BA6" s="92"/>
      <c r="BB6" s="92"/>
      <c r="BC6" s="92"/>
      <c r="BD6" s="92"/>
      <c r="BE6" s="93"/>
      <c r="BF6" s="94" t="s">
        <v>47</v>
      </c>
      <c r="BG6" s="94"/>
      <c r="BH6" s="95"/>
      <c r="BI6" s="96"/>
    </row>
    <row r="7" spans="1:68" ht="14.4">
      <c r="A7" s="68">
        <v>45632</v>
      </c>
      <c r="B7" s="69"/>
      <c r="C7" s="69"/>
      <c r="D7" s="69"/>
      <c r="E7" s="70"/>
      <c r="F7" s="97" t="s">
        <v>52</v>
      </c>
      <c r="G7" s="72"/>
      <c r="H7" s="72"/>
      <c r="I7" s="72"/>
      <c r="J7" s="72"/>
      <c r="K7" s="72"/>
      <c r="L7" s="72"/>
      <c r="M7" s="72"/>
      <c r="N7" s="72"/>
      <c r="O7" s="72"/>
      <c r="P7" s="72"/>
      <c r="Q7" s="72"/>
      <c r="R7" s="72"/>
      <c r="S7" s="73"/>
      <c r="T7" s="82" t="s">
        <v>48</v>
      </c>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76" t="s">
        <v>49</v>
      </c>
      <c r="BA7" s="77"/>
      <c r="BB7" s="77"/>
      <c r="BC7" s="77"/>
      <c r="BD7" s="77"/>
      <c r="BE7" s="78"/>
      <c r="BF7" s="79" t="s">
        <v>50</v>
      </c>
      <c r="BG7" s="79"/>
      <c r="BH7" s="80"/>
      <c r="BI7" s="81"/>
    </row>
    <row r="8" spans="1:68" ht="14.4">
      <c r="A8" s="68"/>
      <c r="B8" s="69"/>
      <c r="C8" s="69"/>
      <c r="D8" s="69"/>
      <c r="E8" s="70"/>
      <c r="F8" s="71"/>
      <c r="G8" s="72"/>
      <c r="H8" s="72"/>
      <c r="I8" s="72"/>
      <c r="J8" s="72"/>
      <c r="K8" s="72"/>
      <c r="L8" s="72"/>
      <c r="M8" s="72"/>
      <c r="N8" s="72"/>
      <c r="O8" s="72"/>
      <c r="P8" s="72"/>
      <c r="Q8" s="72"/>
      <c r="R8" s="72"/>
      <c r="S8" s="73"/>
      <c r="T8" s="82"/>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76"/>
      <c r="BA8" s="77"/>
      <c r="BB8" s="77"/>
      <c r="BC8" s="77"/>
      <c r="BD8" s="77"/>
      <c r="BE8" s="78"/>
      <c r="BF8" s="79"/>
      <c r="BG8" s="79"/>
      <c r="BH8" s="80"/>
      <c r="BI8" s="81"/>
    </row>
    <row r="9" spans="1:68" ht="14.4">
      <c r="A9" s="68"/>
      <c r="B9" s="69"/>
      <c r="C9" s="69"/>
      <c r="D9" s="69"/>
      <c r="E9" s="70"/>
      <c r="F9" s="71"/>
      <c r="G9" s="72"/>
      <c r="H9" s="72"/>
      <c r="I9" s="72"/>
      <c r="J9" s="72"/>
      <c r="K9" s="72"/>
      <c r="L9" s="72"/>
      <c r="M9" s="72"/>
      <c r="N9" s="72"/>
      <c r="O9" s="72"/>
      <c r="P9" s="72"/>
      <c r="Q9" s="72"/>
      <c r="R9" s="72"/>
      <c r="S9" s="73"/>
      <c r="T9" s="74"/>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6"/>
      <c r="BA9" s="77"/>
      <c r="BB9" s="77"/>
      <c r="BC9" s="77"/>
      <c r="BD9" s="77"/>
      <c r="BE9" s="78"/>
      <c r="BF9" s="79"/>
      <c r="BG9" s="79"/>
      <c r="BH9" s="80"/>
      <c r="BI9" s="81"/>
    </row>
    <row r="10" spans="1:68" ht="14.4">
      <c r="A10" s="68"/>
      <c r="B10" s="69"/>
      <c r="C10" s="69"/>
      <c r="D10" s="69"/>
      <c r="E10" s="70"/>
      <c r="F10" s="71"/>
      <c r="G10" s="72"/>
      <c r="H10" s="72"/>
      <c r="I10" s="72"/>
      <c r="J10" s="72"/>
      <c r="K10" s="72"/>
      <c r="L10" s="72"/>
      <c r="M10" s="72"/>
      <c r="N10" s="72"/>
      <c r="O10" s="72"/>
      <c r="P10" s="72"/>
      <c r="Q10" s="72"/>
      <c r="R10" s="72"/>
      <c r="S10" s="73"/>
      <c r="T10" s="74"/>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6"/>
      <c r="BA10" s="77"/>
      <c r="BB10" s="77"/>
      <c r="BC10" s="77"/>
      <c r="BD10" s="77"/>
      <c r="BE10" s="78"/>
      <c r="BF10" s="79"/>
      <c r="BG10" s="79"/>
      <c r="BH10" s="80"/>
      <c r="BI10" s="81"/>
    </row>
    <row r="11" spans="1:68" ht="14.4">
      <c r="A11" s="68"/>
      <c r="B11" s="69"/>
      <c r="C11" s="69"/>
      <c r="D11" s="69"/>
      <c r="E11" s="70"/>
      <c r="F11" s="71"/>
      <c r="G11" s="72"/>
      <c r="H11" s="72"/>
      <c r="I11" s="72"/>
      <c r="J11" s="72"/>
      <c r="K11" s="72"/>
      <c r="L11" s="72"/>
      <c r="M11" s="72"/>
      <c r="N11" s="72"/>
      <c r="O11" s="72"/>
      <c r="P11" s="72"/>
      <c r="Q11" s="72"/>
      <c r="R11" s="72"/>
      <c r="S11" s="73"/>
      <c r="T11" s="74"/>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6"/>
      <c r="BA11" s="77"/>
      <c r="BB11" s="77"/>
      <c r="BC11" s="77"/>
      <c r="BD11" s="77"/>
      <c r="BE11" s="78"/>
      <c r="BF11" s="79"/>
      <c r="BG11" s="79"/>
      <c r="BH11" s="80"/>
      <c r="BI11" s="81"/>
    </row>
    <row r="12" spans="1:68" ht="15" customHeight="1">
      <c r="A12" s="68"/>
      <c r="B12" s="69"/>
      <c r="C12" s="69"/>
      <c r="D12" s="69"/>
      <c r="E12" s="70"/>
      <c r="F12" s="71"/>
      <c r="G12" s="72"/>
      <c r="H12" s="72"/>
      <c r="I12" s="72"/>
      <c r="J12" s="72"/>
      <c r="K12" s="72"/>
      <c r="L12" s="72"/>
      <c r="M12" s="72"/>
      <c r="N12" s="72"/>
      <c r="O12" s="72"/>
      <c r="P12" s="72"/>
      <c r="Q12" s="72"/>
      <c r="R12" s="72"/>
      <c r="S12" s="73"/>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6"/>
      <c r="BA12" s="77"/>
      <c r="BB12" s="77"/>
      <c r="BC12" s="77"/>
      <c r="BD12" s="77"/>
      <c r="BE12" s="78"/>
      <c r="BF12" s="79"/>
      <c r="BG12" s="79"/>
      <c r="BH12" s="80"/>
      <c r="BI12" s="81"/>
    </row>
    <row r="13" spans="1:68" ht="14.4">
      <c r="A13" s="68"/>
      <c r="B13" s="69"/>
      <c r="C13" s="69"/>
      <c r="D13" s="69"/>
      <c r="E13" s="70"/>
      <c r="F13" s="71"/>
      <c r="G13" s="72"/>
      <c r="H13" s="72"/>
      <c r="I13" s="72"/>
      <c r="J13" s="72"/>
      <c r="K13" s="72"/>
      <c r="L13" s="72"/>
      <c r="M13" s="72"/>
      <c r="N13" s="72"/>
      <c r="O13" s="72"/>
      <c r="P13" s="72"/>
      <c r="Q13" s="72"/>
      <c r="R13" s="72"/>
      <c r="S13" s="73"/>
      <c r="T13" s="74"/>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6"/>
      <c r="BA13" s="77"/>
      <c r="BB13" s="77"/>
      <c r="BC13" s="77"/>
      <c r="BD13" s="77"/>
      <c r="BE13" s="78"/>
      <c r="BF13" s="79"/>
      <c r="BG13" s="79"/>
      <c r="BH13" s="80"/>
      <c r="BI13" s="81"/>
    </row>
    <row r="14" spans="1:68" ht="14.4">
      <c r="A14" s="68"/>
      <c r="B14" s="69"/>
      <c r="C14" s="69"/>
      <c r="D14" s="69"/>
      <c r="E14" s="70"/>
      <c r="F14" s="71"/>
      <c r="G14" s="72"/>
      <c r="H14" s="72"/>
      <c r="I14" s="72"/>
      <c r="J14" s="72"/>
      <c r="K14" s="72"/>
      <c r="L14" s="72"/>
      <c r="M14" s="72"/>
      <c r="N14" s="72"/>
      <c r="O14" s="72"/>
      <c r="P14" s="72"/>
      <c r="Q14" s="72"/>
      <c r="R14" s="72"/>
      <c r="S14" s="73"/>
      <c r="T14" s="74"/>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6"/>
      <c r="BA14" s="77"/>
      <c r="BB14" s="77"/>
      <c r="BC14" s="77"/>
      <c r="BD14" s="77"/>
      <c r="BE14" s="78"/>
      <c r="BF14" s="79"/>
      <c r="BG14" s="79"/>
      <c r="BH14" s="80"/>
      <c r="BI14" s="81"/>
    </row>
    <row r="15" spans="1:68" ht="14.4">
      <c r="A15" s="68"/>
      <c r="B15" s="69"/>
      <c r="C15" s="69"/>
      <c r="D15" s="69"/>
      <c r="E15" s="70"/>
      <c r="F15" s="71"/>
      <c r="G15" s="72"/>
      <c r="H15" s="72"/>
      <c r="I15" s="72"/>
      <c r="J15" s="72"/>
      <c r="K15" s="72"/>
      <c r="L15" s="72"/>
      <c r="M15" s="72"/>
      <c r="N15" s="72"/>
      <c r="O15" s="72"/>
      <c r="P15" s="72"/>
      <c r="Q15" s="72"/>
      <c r="R15" s="72"/>
      <c r="S15" s="73"/>
      <c r="T15" s="74"/>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6"/>
      <c r="BA15" s="77"/>
      <c r="BB15" s="77"/>
      <c r="BC15" s="77"/>
      <c r="BD15" s="77"/>
      <c r="BE15" s="78"/>
      <c r="BF15" s="79"/>
      <c r="BG15" s="79"/>
      <c r="BH15" s="80"/>
      <c r="BI15" s="81"/>
    </row>
    <row r="16" spans="1:68" ht="14.4">
      <c r="A16" s="68"/>
      <c r="B16" s="69"/>
      <c r="C16" s="69"/>
      <c r="D16" s="69"/>
      <c r="E16" s="70"/>
      <c r="F16" s="71"/>
      <c r="G16" s="72"/>
      <c r="H16" s="72"/>
      <c r="I16" s="72"/>
      <c r="J16" s="72"/>
      <c r="K16" s="72"/>
      <c r="L16" s="72"/>
      <c r="M16" s="72"/>
      <c r="N16" s="72"/>
      <c r="O16" s="72"/>
      <c r="P16" s="72"/>
      <c r="Q16" s="72"/>
      <c r="R16" s="72"/>
      <c r="S16" s="73"/>
      <c r="T16" s="74"/>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6"/>
      <c r="BA16" s="77"/>
      <c r="BB16" s="77"/>
      <c r="BC16" s="77"/>
      <c r="BD16" s="77"/>
      <c r="BE16" s="78"/>
      <c r="BF16" s="79"/>
      <c r="BG16" s="79"/>
      <c r="BH16" s="80"/>
      <c r="BI16" s="81"/>
    </row>
    <row r="17" spans="1:61" ht="14.4">
      <c r="A17" s="68"/>
      <c r="B17" s="69"/>
      <c r="C17" s="69"/>
      <c r="D17" s="69"/>
      <c r="E17" s="70"/>
      <c r="F17" s="71"/>
      <c r="G17" s="72"/>
      <c r="H17" s="72"/>
      <c r="I17" s="72"/>
      <c r="J17" s="72"/>
      <c r="K17" s="72"/>
      <c r="L17" s="72"/>
      <c r="M17" s="72"/>
      <c r="N17" s="72"/>
      <c r="O17" s="72"/>
      <c r="P17" s="72"/>
      <c r="Q17" s="72"/>
      <c r="R17" s="72"/>
      <c r="S17" s="73"/>
      <c r="T17" s="74"/>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6"/>
      <c r="BA17" s="77"/>
      <c r="BB17" s="77"/>
      <c r="BC17" s="77"/>
      <c r="BD17" s="77"/>
      <c r="BE17" s="78"/>
      <c r="BF17" s="79"/>
      <c r="BG17" s="79"/>
      <c r="BH17" s="80"/>
      <c r="BI17" s="81"/>
    </row>
    <row r="18" spans="1:61" ht="14.4">
      <c r="A18" s="68"/>
      <c r="B18" s="69"/>
      <c r="C18" s="69"/>
      <c r="D18" s="69"/>
      <c r="E18" s="70"/>
      <c r="F18" s="71"/>
      <c r="G18" s="72"/>
      <c r="H18" s="72"/>
      <c r="I18" s="72"/>
      <c r="J18" s="72"/>
      <c r="K18" s="72"/>
      <c r="L18" s="72"/>
      <c r="M18" s="72"/>
      <c r="N18" s="72"/>
      <c r="O18" s="72"/>
      <c r="P18" s="72"/>
      <c r="Q18" s="72"/>
      <c r="R18" s="72"/>
      <c r="S18" s="73"/>
      <c r="T18" s="74"/>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6"/>
      <c r="BA18" s="77"/>
      <c r="BB18" s="77"/>
      <c r="BC18" s="77"/>
      <c r="BD18" s="77"/>
      <c r="BE18" s="78"/>
      <c r="BF18" s="79"/>
      <c r="BG18" s="79"/>
      <c r="BH18" s="80"/>
      <c r="BI18" s="81"/>
    </row>
    <row r="19" spans="1:61" ht="14.4">
      <c r="A19" s="68"/>
      <c r="B19" s="69"/>
      <c r="C19" s="69"/>
      <c r="D19" s="69"/>
      <c r="E19" s="70"/>
      <c r="F19" s="71"/>
      <c r="G19" s="72"/>
      <c r="H19" s="72"/>
      <c r="I19" s="72"/>
      <c r="J19" s="72"/>
      <c r="K19" s="72"/>
      <c r="L19" s="72"/>
      <c r="M19" s="72"/>
      <c r="N19" s="72"/>
      <c r="O19" s="72"/>
      <c r="P19" s="72"/>
      <c r="Q19" s="72"/>
      <c r="R19" s="72"/>
      <c r="S19" s="73"/>
      <c r="T19" s="74"/>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6"/>
      <c r="BA19" s="77"/>
      <c r="BB19" s="77"/>
      <c r="BC19" s="77"/>
      <c r="BD19" s="77"/>
      <c r="BE19" s="78"/>
      <c r="BF19" s="79"/>
      <c r="BG19" s="79"/>
      <c r="BH19" s="80"/>
      <c r="BI19" s="81"/>
    </row>
    <row r="20" spans="1:61" ht="14.4">
      <c r="A20" s="68"/>
      <c r="B20" s="69"/>
      <c r="C20" s="69"/>
      <c r="D20" s="69"/>
      <c r="E20" s="70"/>
      <c r="F20" s="71"/>
      <c r="G20" s="72"/>
      <c r="H20" s="72"/>
      <c r="I20" s="72"/>
      <c r="J20" s="72"/>
      <c r="K20" s="72"/>
      <c r="L20" s="72"/>
      <c r="M20" s="72"/>
      <c r="N20" s="72"/>
      <c r="O20" s="72"/>
      <c r="P20" s="72"/>
      <c r="Q20" s="72"/>
      <c r="R20" s="72"/>
      <c r="S20" s="73"/>
      <c r="T20" s="74"/>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6"/>
      <c r="BA20" s="77"/>
      <c r="BB20" s="77"/>
      <c r="BC20" s="77"/>
      <c r="BD20" s="77"/>
      <c r="BE20" s="78"/>
      <c r="BF20" s="79"/>
      <c r="BG20" s="79"/>
      <c r="BH20" s="80"/>
      <c r="BI20" s="81"/>
    </row>
    <row r="21" spans="1:61" ht="14.4">
      <c r="A21" s="68"/>
      <c r="B21" s="69"/>
      <c r="C21" s="69"/>
      <c r="D21" s="69"/>
      <c r="E21" s="70"/>
      <c r="F21" s="71"/>
      <c r="G21" s="72"/>
      <c r="H21" s="72"/>
      <c r="I21" s="72"/>
      <c r="J21" s="72"/>
      <c r="K21" s="72"/>
      <c r="L21" s="72"/>
      <c r="M21" s="72"/>
      <c r="N21" s="72"/>
      <c r="O21" s="72"/>
      <c r="P21" s="72"/>
      <c r="Q21" s="72"/>
      <c r="R21" s="72"/>
      <c r="S21" s="73"/>
      <c r="T21" s="74"/>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6"/>
      <c r="BA21" s="77"/>
      <c r="BB21" s="77"/>
      <c r="BC21" s="77"/>
      <c r="BD21" s="77"/>
      <c r="BE21" s="78"/>
      <c r="BF21" s="79"/>
      <c r="BG21" s="79"/>
      <c r="BH21" s="80"/>
      <c r="BI21" s="81"/>
    </row>
    <row r="22" spans="1:61" ht="14.4">
      <c r="A22" s="68"/>
      <c r="B22" s="69"/>
      <c r="C22" s="69"/>
      <c r="D22" s="69"/>
      <c r="E22" s="70"/>
      <c r="F22" s="71"/>
      <c r="G22" s="72"/>
      <c r="H22" s="72"/>
      <c r="I22" s="72"/>
      <c r="J22" s="72"/>
      <c r="K22" s="72"/>
      <c r="L22" s="72"/>
      <c r="M22" s="72"/>
      <c r="N22" s="72"/>
      <c r="O22" s="72"/>
      <c r="P22" s="72"/>
      <c r="Q22" s="72"/>
      <c r="R22" s="72"/>
      <c r="S22" s="73"/>
      <c r="T22" s="74"/>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6"/>
      <c r="BA22" s="77"/>
      <c r="BB22" s="77"/>
      <c r="BC22" s="77"/>
      <c r="BD22" s="77"/>
      <c r="BE22" s="78"/>
      <c r="BF22" s="79"/>
      <c r="BG22" s="79"/>
      <c r="BH22" s="80"/>
      <c r="BI22" s="81"/>
    </row>
    <row r="23" spans="1:61" ht="14.4">
      <c r="A23" s="68"/>
      <c r="B23" s="69"/>
      <c r="C23" s="69"/>
      <c r="D23" s="69"/>
      <c r="E23" s="70"/>
      <c r="F23" s="71"/>
      <c r="G23" s="72"/>
      <c r="H23" s="72"/>
      <c r="I23" s="72"/>
      <c r="J23" s="72"/>
      <c r="K23" s="72"/>
      <c r="L23" s="72"/>
      <c r="M23" s="72"/>
      <c r="N23" s="72"/>
      <c r="O23" s="72"/>
      <c r="P23" s="72"/>
      <c r="Q23" s="72"/>
      <c r="R23" s="72"/>
      <c r="S23" s="73"/>
      <c r="T23" s="74"/>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6"/>
      <c r="BA23" s="77"/>
      <c r="BB23" s="77"/>
      <c r="BC23" s="77"/>
      <c r="BD23" s="77"/>
      <c r="BE23" s="78"/>
      <c r="BF23" s="79"/>
      <c r="BG23" s="79"/>
      <c r="BH23" s="80"/>
      <c r="BI23" s="81"/>
    </row>
    <row r="24" spans="1:61" ht="14.4">
      <c r="A24" s="68"/>
      <c r="B24" s="69"/>
      <c r="C24" s="69"/>
      <c r="D24" s="69"/>
      <c r="E24" s="70"/>
      <c r="F24" s="71"/>
      <c r="G24" s="72"/>
      <c r="H24" s="72"/>
      <c r="I24" s="72"/>
      <c r="J24" s="72"/>
      <c r="K24" s="72"/>
      <c r="L24" s="72"/>
      <c r="M24" s="72"/>
      <c r="N24" s="72"/>
      <c r="O24" s="72"/>
      <c r="P24" s="72"/>
      <c r="Q24" s="72"/>
      <c r="R24" s="72"/>
      <c r="S24" s="73"/>
      <c r="T24" s="74"/>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6"/>
      <c r="BA24" s="77"/>
      <c r="BB24" s="77"/>
      <c r="BC24" s="77"/>
      <c r="BD24" s="77"/>
      <c r="BE24" s="78"/>
      <c r="BF24" s="79"/>
      <c r="BG24" s="79"/>
      <c r="BH24" s="80"/>
      <c r="BI24" s="81"/>
    </row>
    <row r="25" spans="1:61" ht="14.4">
      <c r="A25" s="68"/>
      <c r="B25" s="69"/>
      <c r="C25" s="69"/>
      <c r="D25" s="69"/>
      <c r="E25" s="70"/>
      <c r="F25" s="71"/>
      <c r="G25" s="72"/>
      <c r="H25" s="72"/>
      <c r="I25" s="72"/>
      <c r="J25" s="72"/>
      <c r="K25" s="72"/>
      <c r="L25" s="72"/>
      <c r="M25" s="72"/>
      <c r="N25" s="72"/>
      <c r="O25" s="72"/>
      <c r="P25" s="72"/>
      <c r="Q25" s="72"/>
      <c r="R25" s="72"/>
      <c r="S25" s="73"/>
      <c r="T25" s="74"/>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6"/>
      <c r="BA25" s="77"/>
      <c r="BB25" s="77"/>
      <c r="BC25" s="77"/>
      <c r="BD25" s="77"/>
      <c r="BE25" s="78"/>
      <c r="BF25" s="79"/>
      <c r="BG25" s="79"/>
      <c r="BH25" s="80"/>
      <c r="BI25" s="81"/>
    </row>
    <row r="26" spans="1:61" ht="14.4">
      <c r="A26" s="68"/>
      <c r="B26" s="69"/>
      <c r="C26" s="69"/>
      <c r="D26" s="69"/>
      <c r="E26" s="70"/>
      <c r="F26" s="71"/>
      <c r="G26" s="72"/>
      <c r="H26" s="72"/>
      <c r="I26" s="72"/>
      <c r="J26" s="72"/>
      <c r="K26" s="72"/>
      <c r="L26" s="72"/>
      <c r="M26" s="72"/>
      <c r="N26" s="72"/>
      <c r="O26" s="72"/>
      <c r="P26" s="72"/>
      <c r="Q26" s="72"/>
      <c r="R26" s="72"/>
      <c r="S26" s="73"/>
      <c r="T26" s="74"/>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6"/>
      <c r="BA26" s="77"/>
      <c r="BB26" s="77"/>
      <c r="BC26" s="77"/>
      <c r="BD26" s="77"/>
      <c r="BE26" s="78"/>
      <c r="BF26" s="79"/>
      <c r="BG26" s="79"/>
      <c r="BH26" s="80"/>
      <c r="BI26" s="81"/>
    </row>
    <row r="27" spans="1:61" ht="14.4">
      <c r="A27" s="68"/>
      <c r="B27" s="69"/>
      <c r="C27" s="69"/>
      <c r="D27" s="69"/>
      <c r="E27" s="70"/>
      <c r="F27" s="71"/>
      <c r="G27" s="72"/>
      <c r="H27" s="72"/>
      <c r="I27" s="72"/>
      <c r="J27" s="72"/>
      <c r="K27" s="72"/>
      <c r="L27" s="72"/>
      <c r="M27" s="72"/>
      <c r="N27" s="72"/>
      <c r="O27" s="72"/>
      <c r="P27" s="72"/>
      <c r="Q27" s="72"/>
      <c r="R27" s="72"/>
      <c r="S27" s="73"/>
      <c r="T27" s="74"/>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6"/>
      <c r="BA27" s="77"/>
      <c r="BB27" s="77"/>
      <c r="BC27" s="77"/>
      <c r="BD27" s="77"/>
      <c r="BE27" s="78"/>
      <c r="BF27" s="79"/>
      <c r="BG27" s="79"/>
      <c r="BH27" s="80"/>
      <c r="BI27" s="81"/>
    </row>
    <row r="28" spans="1:61" ht="14.4">
      <c r="A28" s="68"/>
      <c r="B28" s="69"/>
      <c r="C28" s="69"/>
      <c r="D28" s="69"/>
      <c r="E28" s="70"/>
      <c r="F28" s="71"/>
      <c r="G28" s="72"/>
      <c r="H28" s="72"/>
      <c r="I28" s="72"/>
      <c r="J28" s="72"/>
      <c r="K28" s="72"/>
      <c r="L28" s="72"/>
      <c r="M28" s="72"/>
      <c r="N28" s="72"/>
      <c r="O28" s="72"/>
      <c r="P28" s="72"/>
      <c r="Q28" s="72"/>
      <c r="R28" s="72"/>
      <c r="S28" s="73"/>
      <c r="T28" s="74"/>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6"/>
      <c r="BA28" s="77"/>
      <c r="BB28" s="77"/>
      <c r="BC28" s="77"/>
      <c r="BD28" s="77"/>
      <c r="BE28" s="78"/>
      <c r="BF28" s="79"/>
      <c r="BG28" s="79"/>
      <c r="BH28" s="80"/>
      <c r="BI28" s="81"/>
    </row>
    <row r="29" spans="1:61" ht="14.4">
      <c r="A29" s="68"/>
      <c r="B29" s="69"/>
      <c r="C29" s="69"/>
      <c r="D29" s="69"/>
      <c r="E29" s="70"/>
      <c r="F29" s="71"/>
      <c r="G29" s="72"/>
      <c r="H29" s="72"/>
      <c r="I29" s="72"/>
      <c r="J29" s="72"/>
      <c r="K29" s="72"/>
      <c r="L29" s="72"/>
      <c r="M29" s="72"/>
      <c r="N29" s="72"/>
      <c r="O29" s="72"/>
      <c r="P29" s="72"/>
      <c r="Q29" s="72"/>
      <c r="R29" s="72"/>
      <c r="S29" s="73"/>
      <c r="T29" s="74"/>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6"/>
      <c r="BA29" s="77"/>
      <c r="BB29" s="77"/>
      <c r="BC29" s="77"/>
      <c r="BD29" s="77"/>
      <c r="BE29" s="78"/>
      <c r="BF29" s="79"/>
      <c r="BG29" s="79"/>
      <c r="BH29" s="80"/>
      <c r="BI29" s="81"/>
    </row>
    <row r="30" spans="1:61" ht="14.4">
      <c r="A30" s="68"/>
      <c r="B30" s="69"/>
      <c r="C30" s="69"/>
      <c r="D30" s="69"/>
      <c r="E30" s="70"/>
      <c r="F30" s="71"/>
      <c r="G30" s="72"/>
      <c r="H30" s="72"/>
      <c r="I30" s="72"/>
      <c r="J30" s="72"/>
      <c r="K30" s="72"/>
      <c r="L30" s="72"/>
      <c r="M30" s="72"/>
      <c r="N30" s="72"/>
      <c r="O30" s="72"/>
      <c r="P30" s="72"/>
      <c r="Q30" s="72"/>
      <c r="R30" s="72"/>
      <c r="S30" s="73"/>
      <c r="T30" s="74"/>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6"/>
      <c r="BA30" s="77"/>
      <c r="BB30" s="77"/>
      <c r="BC30" s="77"/>
      <c r="BD30" s="77"/>
      <c r="BE30" s="78"/>
      <c r="BF30" s="79"/>
      <c r="BG30" s="79"/>
      <c r="BH30" s="80"/>
      <c r="BI30" s="81"/>
    </row>
    <row r="31" spans="1:61" ht="14.4">
      <c r="A31" s="68"/>
      <c r="B31" s="69"/>
      <c r="C31" s="69"/>
      <c r="D31" s="69"/>
      <c r="E31" s="70"/>
      <c r="F31" s="71"/>
      <c r="G31" s="72"/>
      <c r="H31" s="72"/>
      <c r="I31" s="72"/>
      <c r="J31" s="72"/>
      <c r="K31" s="72"/>
      <c r="L31" s="72"/>
      <c r="M31" s="72"/>
      <c r="N31" s="72"/>
      <c r="O31" s="72"/>
      <c r="P31" s="72"/>
      <c r="Q31" s="72"/>
      <c r="R31" s="72"/>
      <c r="S31" s="73"/>
      <c r="T31" s="74"/>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6"/>
      <c r="BA31" s="77"/>
      <c r="BB31" s="77"/>
      <c r="BC31" s="77"/>
      <c r="BD31" s="77"/>
      <c r="BE31" s="78"/>
      <c r="BF31" s="79"/>
      <c r="BG31" s="79"/>
      <c r="BH31" s="80"/>
      <c r="BI31" s="81"/>
    </row>
    <row r="32" spans="1:61" ht="14.4">
      <c r="A32" s="68"/>
      <c r="B32" s="69"/>
      <c r="C32" s="69"/>
      <c r="D32" s="69"/>
      <c r="E32" s="70"/>
      <c r="F32" s="71"/>
      <c r="G32" s="72"/>
      <c r="H32" s="72"/>
      <c r="I32" s="72"/>
      <c r="J32" s="72"/>
      <c r="K32" s="72"/>
      <c r="L32" s="72"/>
      <c r="M32" s="72"/>
      <c r="N32" s="72"/>
      <c r="O32" s="72"/>
      <c r="P32" s="72"/>
      <c r="Q32" s="72"/>
      <c r="R32" s="72"/>
      <c r="S32" s="73"/>
      <c r="T32" s="74"/>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6"/>
      <c r="BA32" s="77"/>
      <c r="BB32" s="77"/>
      <c r="BC32" s="77"/>
      <c r="BD32" s="77"/>
      <c r="BE32" s="78"/>
      <c r="BF32" s="79"/>
      <c r="BG32" s="79"/>
      <c r="BH32" s="80"/>
      <c r="BI32" s="81"/>
    </row>
    <row r="33" spans="1:61" ht="14.4">
      <c r="A33" s="68"/>
      <c r="B33" s="69"/>
      <c r="C33" s="69"/>
      <c r="D33" s="69"/>
      <c r="E33" s="70"/>
      <c r="F33" s="71"/>
      <c r="G33" s="72"/>
      <c r="H33" s="72"/>
      <c r="I33" s="72"/>
      <c r="J33" s="72"/>
      <c r="K33" s="72"/>
      <c r="L33" s="72"/>
      <c r="M33" s="72"/>
      <c r="N33" s="72"/>
      <c r="O33" s="72"/>
      <c r="P33" s="72"/>
      <c r="Q33" s="72"/>
      <c r="R33" s="72"/>
      <c r="S33" s="73"/>
      <c r="T33" s="74"/>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6"/>
      <c r="BA33" s="77"/>
      <c r="BB33" s="77"/>
      <c r="BC33" s="77"/>
      <c r="BD33" s="77"/>
      <c r="BE33" s="78"/>
      <c r="BF33" s="79"/>
      <c r="BG33" s="79"/>
      <c r="BH33" s="80"/>
      <c r="BI33" s="81"/>
    </row>
    <row r="34" spans="1:61" ht="14.4">
      <c r="A34" s="68"/>
      <c r="B34" s="69"/>
      <c r="C34" s="69"/>
      <c r="D34" s="69"/>
      <c r="E34" s="70"/>
      <c r="F34" s="71"/>
      <c r="G34" s="72"/>
      <c r="H34" s="72"/>
      <c r="I34" s="72"/>
      <c r="J34" s="72"/>
      <c r="K34" s="72"/>
      <c r="L34" s="72"/>
      <c r="M34" s="72"/>
      <c r="N34" s="72"/>
      <c r="O34" s="72"/>
      <c r="P34" s="72"/>
      <c r="Q34" s="72"/>
      <c r="R34" s="72"/>
      <c r="S34" s="73"/>
      <c r="T34" s="74"/>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6"/>
      <c r="BA34" s="77"/>
      <c r="BB34" s="77"/>
      <c r="BC34" s="77"/>
      <c r="BD34" s="77"/>
      <c r="BE34" s="78"/>
      <c r="BF34" s="79"/>
      <c r="BG34" s="79"/>
      <c r="BH34" s="80"/>
      <c r="BI34" s="81"/>
    </row>
    <row r="35" spans="1:61" ht="14.4">
      <c r="A35" s="68"/>
      <c r="B35" s="69"/>
      <c r="C35" s="69"/>
      <c r="D35" s="69"/>
      <c r="E35" s="70"/>
      <c r="F35" s="71"/>
      <c r="G35" s="72"/>
      <c r="H35" s="72"/>
      <c r="I35" s="72"/>
      <c r="J35" s="72"/>
      <c r="K35" s="72"/>
      <c r="L35" s="72"/>
      <c r="M35" s="72"/>
      <c r="N35" s="72"/>
      <c r="O35" s="72"/>
      <c r="P35" s="72"/>
      <c r="Q35" s="72"/>
      <c r="R35" s="72"/>
      <c r="S35" s="73"/>
      <c r="T35" s="74"/>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6"/>
      <c r="BA35" s="77"/>
      <c r="BB35" s="77"/>
      <c r="BC35" s="77"/>
      <c r="BD35" s="77"/>
      <c r="BE35" s="78"/>
      <c r="BF35" s="79"/>
      <c r="BG35" s="79"/>
      <c r="BH35" s="80"/>
      <c r="BI35" s="81"/>
    </row>
    <row r="36" spans="1:61" ht="14.4">
      <c r="A36" s="68"/>
      <c r="B36" s="69"/>
      <c r="C36" s="69"/>
      <c r="D36" s="69"/>
      <c r="E36" s="70"/>
      <c r="F36" s="71"/>
      <c r="G36" s="72"/>
      <c r="H36" s="72"/>
      <c r="I36" s="72"/>
      <c r="J36" s="72"/>
      <c r="K36" s="72"/>
      <c r="L36" s="72"/>
      <c r="M36" s="72"/>
      <c r="N36" s="72"/>
      <c r="O36" s="72"/>
      <c r="P36" s="72"/>
      <c r="Q36" s="72"/>
      <c r="R36" s="72"/>
      <c r="S36" s="73"/>
      <c r="T36" s="74"/>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6"/>
      <c r="BA36" s="77"/>
      <c r="BB36" s="77"/>
      <c r="BC36" s="77"/>
      <c r="BD36" s="77"/>
      <c r="BE36" s="78"/>
      <c r="BF36" s="79"/>
      <c r="BG36" s="79"/>
      <c r="BH36" s="80"/>
      <c r="BI36" s="81"/>
    </row>
    <row r="37" spans="1:61" ht="14.4">
      <c r="A37" s="68"/>
      <c r="B37" s="69"/>
      <c r="C37" s="69"/>
      <c r="D37" s="69"/>
      <c r="E37" s="70"/>
      <c r="F37" s="71"/>
      <c r="G37" s="72"/>
      <c r="H37" s="72"/>
      <c r="I37" s="72"/>
      <c r="J37" s="72"/>
      <c r="K37" s="72"/>
      <c r="L37" s="72"/>
      <c r="M37" s="72"/>
      <c r="N37" s="72"/>
      <c r="O37" s="72"/>
      <c r="P37" s="72"/>
      <c r="Q37" s="72"/>
      <c r="R37" s="72"/>
      <c r="S37" s="73"/>
      <c r="T37" s="74"/>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6"/>
      <c r="BA37" s="77"/>
      <c r="BB37" s="77"/>
      <c r="BC37" s="77"/>
      <c r="BD37" s="77"/>
      <c r="BE37" s="78"/>
      <c r="BF37" s="79"/>
      <c r="BG37" s="79"/>
      <c r="BH37" s="80"/>
      <c r="BI37" s="81"/>
    </row>
    <row r="38" spans="1:61" ht="14.4">
      <c r="A38" s="68"/>
      <c r="B38" s="69"/>
      <c r="C38" s="69"/>
      <c r="D38" s="69"/>
      <c r="E38" s="70"/>
      <c r="F38" s="71"/>
      <c r="G38" s="72"/>
      <c r="H38" s="72"/>
      <c r="I38" s="72"/>
      <c r="J38" s="72"/>
      <c r="K38" s="72"/>
      <c r="L38" s="72"/>
      <c r="M38" s="72"/>
      <c r="N38" s="72"/>
      <c r="O38" s="72"/>
      <c r="P38" s="72"/>
      <c r="Q38" s="72"/>
      <c r="R38" s="72"/>
      <c r="S38" s="73"/>
      <c r="T38" s="74"/>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6"/>
      <c r="BA38" s="77"/>
      <c r="BB38" s="77"/>
      <c r="BC38" s="77"/>
      <c r="BD38" s="77"/>
      <c r="BE38" s="78"/>
      <c r="BF38" s="79"/>
      <c r="BG38" s="79"/>
      <c r="BH38" s="80"/>
      <c r="BI38" s="81"/>
    </row>
    <row r="39" spans="1:61" ht="15" customHeight="1">
      <c r="A39" s="68"/>
      <c r="B39" s="69"/>
      <c r="C39" s="69"/>
      <c r="D39" s="69"/>
      <c r="E39" s="70"/>
      <c r="F39" s="71"/>
      <c r="G39" s="72"/>
      <c r="H39" s="72"/>
      <c r="I39" s="72"/>
      <c r="J39" s="72"/>
      <c r="K39" s="72"/>
      <c r="L39" s="72"/>
      <c r="M39" s="72"/>
      <c r="N39" s="72"/>
      <c r="O39" s="72"/>
      <c r="P39" s="72"/>
      <c r="Q39" s="72"/>
      <c r="R39" s="72"/>
      <c r="S39" s="73"/>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6"/>
      <c r="BA39" s="77"/>
      <c r="BB39" s="77"/>
      <c r="BC39" s="77"/>
      <c r="BD39" s="77"/>
      <c r="BE39" s="78"/>
      <c r="BF39" s="79"/>
      <c r="BG39" s="79"/>
      <c r="BH39" s="80"/>
      <c r="BI39" s="81"/>
    </row>
    <row r="40" spans="1:61" ht="15" customHeight="1" thickBot="1">
      <c r="A40" s="55"/>
      <c r="B40" s="56"/>
      <c r="C40" s="56"/>
      <c r="D40" s="56"/>
      <c r="E40" s="57"/>
      <c r="F40" s="58"/>
      <c r="G40" s="59"/>
      <c r="H40" s="59"/>
      <c r="I40" s="59"/>
      <c r="J40" s="59"/>
      <c r="K40" s="59"/>
      <c r="L40" s="59"/>
      <c r="M40" s="59"/>
      <c r="N40" s="59"/>
      <c r="O40" s="59"/>
      <c r="P40" s="59"/>
      <c r="Q40" s="59"/>
      <c r="R40" s="59"/>
      <c r="S40" s="60"/>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1"/>
      <c r="AS40" s="61"/>
      <c r="AT40" s="61"/>
      <c r="AU40" s="61"/>
      <c r="AV40" s="61"/>
      <c r="AW40" s="61"/>
      <c r="AX40" s="61"/>
      <c r="AY40" s="61"/>
      <c r="AZ40" s="62"/>
      <c r="BA40" s="63"/>
      <c r="BB40" s="63"/>
      <c r="BC40" s="63"/>
      <c r="BD40" s="63"/>
      <c r="BE40" s="64"/>
      <c r="BF40" s="65"/>
      <c r="BG40" s="65"/>
      <c r="BH40" s="66"/>
      <c r="BI40" s="67"/>
    </row>
  </sheetData>
  <mergeCells count="195">
    <mergeCell ref="AV2:BA2"/>
    <mergeCell ref="BB2:BI2"/>
    <mergeCell ref="AT3:AU3"/>
    <mergeCell ref="AV3:BA3"/>
    <mergeCell ref="BB3:BI3"/>
    <mergeCell ref="A5:E5"/>
    <mergeCell ref="F5:S5"/>
    <mergeCell ref="T5:AY5"/>
    <mergeCell ref="AZ5:BE5"/>
    <mergeCell ref="BF5:BI5"/>
    <mergeCell ref="A1:E3"/>
    <mergeCell ref="F1:P1"/>
    <mergeCell ref="Q1:V1"/>
    <mergeCell ref="W1:AS1"/>
    <mergeCell ref="AT1:BA1"/>
    <mergeCell ref="BB1:BI1"/>
    <mergeCell ref="F2:P3"/>
    <mergeCell ref="Q2:V3"/>
    <mergeCell ref="W2:AS3"/>
    <mergeCell ref="AT2:AU2"/>
    <mergeCell ref="A6:E6"/>
    <mergeCell ref="F6:S6"/>
    <mergeCell ref="T6:AY6"/>
    <mergeCell ref="AZ6:BE6"/>
    <mergeCell ref="BF6:BI6"/>
    <mergeCell ref="A7:E7"/>
    <mergeCell ref="F7:S7"/>
    <mergeCell ref="T7:AY7"/>
    <mergeCell ref="AZ7:BE7"/>
    <mergeCell ref="BF7:BI7"/>
    <mergeCell ref="A8:E8"/>
    <mergeCell ref="F8:S8"/>
    <mergeCell ref="T8:AY8"/>
    <mergeCell ref="AZ8:BE8"/>
    <mergeCell ref="BF8:BI8"/>
    <mergeCell ref="A9:E9"/>
    <mergeCell ref="F9:S9"/>
    <mergeCell ref="T9:AY9"/>
    <mergeCell ref="AZ9:BE9"/>
    <mergeCell ref="BF9:BI9"/>
    <mergeCell ref="A10:E10"/>
    <mergeCell ref="F10:S10"/>
    <mergeCell ref="T10:AY10"/>
    <mergeCell ref="AZ10:BE10"/>
    <mergeCell ref="BF10:BI10"/>
    <mergeCell ref="A11:E11"/>
    <mergeCell ref="F11:S11"/>
    <mergeCell ref="T11:AY11"/>
    <mergeCell ref="AZ11:BE11"/>
    <mergeCell ref="BF11:BI11"/>
    <mergeCell ref="A12:E12"/>
    <mergeCell ref="F12:S12"/>
    <mergeCell ref="T12:AY12"/>
    <mergeCell ref="AZ12:BE12"/>
    <mergeCell ref="BF12:BI12"/>
    <mergeCell ref="A13:E13"/>
    <mergeCell ref="F13:S13"/>
    <mergeCell ref="T13:AY13"/>
    <mergeCell ref="AZ13:BE13"/>
    <mergeCell ref="BF13:BI13"/>
    <mergeCell ref="A14:E14"/>
    <mergeCell ref="F14:S14"/>
    <mergeCell ref="T14:AY14"/>
    <mergeCell ref="AZ14:BE14"/>
    <mergeCell ref="BF14:BI14"/>
    <mergeCell ref="A15:E15"/>
    <mergeCell ref="F15:S15"/>
    <mergeCell ref="T15:AY15"/>
    <mergeCell ref="AZ15:BE15"/>
    <mergeCell ref="BF15:BI15"/>
    <mergeCell ref="A16:E16"/>
    <mergeCell ref="F16:S16"/>
    <mergeCell ref="T16:AY16"/>
    <mergeCell ref="AZ16:BE16"/>
    <mergeCell ref="BF16:BI16"/>
    <mergeCell ref="A17:E17"/>
    <mergeCell ref="F17:S17"/>
    <mergeCell ref="T17:AY17"/>
    <mergeCell ref="AZ17:BE17"/>
    <mergeCell ref="BF17:BI17"/>
    <mergeCell ref="A18:E18"/>
    <mergeCell ref="F18:S18"/>
    <mergeCell ref="T18:AY18"/>
    <mergeCell ref="AZ18:BE18"/>
    <mergeCell ref="BF18:BI18"/>
    <mergeCell ref="A19:E19"/>
    <mergeCell ref="F19:S19"/>
    <mergeCell ref="T19:AY19"/>
    <mergeCell ref="AZ19:BE19"/>
    <mergeCell ref="BF19:BI19"/>
    <mergeCell ref="A20:E20"/>
    <mergeCell ref="F20:S20"/>
    <mergeCell ref="T20:AY20"/>
    <mergeCell ref="AZ20:BE20"/>
    <mergeCell ref="BF20:BI20"/>
    <mergeCell ref="A21:E21"/>
    <mergeCell ref="F21:S21"/>
    <mergeCell ref="T21:AY21"/>
    <mergeCell ref="AZ21:BE21"/>
    <mergeCell ref="BF21:BI21"/>
    <mergeCell ref="A22:E22"/>
    <mergeCell ref="F22:S22"/>
    <mergeCell ref="T22:AY22"/>
    <mergeCell ref="AZ22:BE22"/>
    <mergeCell ref="BF22:BI22"/>
    <mergeCell ref="A23:E23"/>
    <mergeCell ref="F23:S23"/>
    <mergeCell ref="T23:AY23"/>
    <mergeCell ref="AZ23:BE23"/>
    <mergeCell ref="BF23:BI23"/>
    <mergeCell ref="A24:E24"/>
    <mergeCell ref="F24:S24"/>
    <mergeCell ref="T24:AY24"/>
    <mergeCell ref="AZ24:BE24"/>
    <mergeCell ref="BF24:BI24"/>
    <mergeCell ref="A25:E25"/>
    <mergeCell ref="F25:S25"/>
    <mergeCell ref="T25:AY25"/>
    <mergeCell ref="AZ25:BE25"/>
    <mergeCell ref="BF25:BI25"/>
    <mergeCell ref="A26:E26"/>
    <mergeCell ref="F26:S26"/>
    <mergeCell ref="T26:AY26"/>
    <mergeCell ref="AZ26:BE26"/>
    <mergeCell ref="BF26:BI26"/>
    <mergeCell ref="A27:E27"/>
    <mergeCell ref="F27:S27"/>
    <mergeCell ref="T27:AY27"/>
    <mergeCell ref="AZ27:BE27"/>
    <mergeCell ref="BF27:BI27"/>
    <mergeCell ref="A28:E28"/>
    <mergeCell ref="F28:S28"/>
    <mergeCell ref="T28:AY28"/>
    <mergeCell ref="AZ28:BE28"/>
    <mergeCell ref="BF28:BI28"/>
    <mergeCell ref="A29:E29"/>
    <mergeCell ref="F29:S29"/>
    <mergeCell ref="T29:AY29"/>
    <mergeCell ref="AZ29:BE29"/>
    <mergeCell ref="BF29:BI29"/>
    <mergeCell ref="A30:E30"/>
    <mergeCell ref="F30:S30"/>
    <mergeCell ref="T30:AY30"/>
    <mergeCell ref="AZ30:BE30"/>
    <mergeCell ref="BF30:BI30"/>
    <mergeCell ref="A31:E31"/>
    <mergeCell ref="F31:S31"/>
    <mergeCell ref="T31:AY31"/>
    <mergeCell ref="AZ31:BE31"/>
    <mergeCell ref="BF31:BI31"/>
    <mergeCell ref="A32:E32"/>
    <mergeCell ref="F32:S32"/>
    <mergeCell ref="T32:AY32"/>
    <mergeCell ref="AZ32:BE32"/>
    <mergeCell ref="BF32:BI32"/>
    <mergeCell ref="A33:E33"/>
    <mergeCell ref="F33:S33"/>
    <mergeCell ref="T33:AY33"/>
    <mergeCell ref="AZ33:BE33"/>
    <mergeCell ref="BF33:BI33"/>
    <mergeCell ref="A34:E34"/>
    <mergeCell ref="F34:S34"/>
    <mergeCell ref="T34:AY34"/>
    <mergeCell ref="AZ34:BE34"/>
    <mergeCell ref="BF34:BI34"/>
    <mergeCell ref="A35:E35"/>
    <mergeCell ref="F35:S35"/>
    <mergeCell ref="T35:AY35"/>
    <mergeCell ref="AZ35:BE35"/>
    <mergeCell ref="BF35:BI35"/>
    <mergeCell ref="A36:E36"/>
    <mergeCell ref="F36:S36"/>
    <mergeCell ref="T36:AY36"/>
    <mergeCell ref="AZ36:BE36"/>
    <mergeCell ref="BF36:BI36"/>
    <mergeCell ref="A37:E37"/>
    <mergeCell ref="F37:S37"/>
    <mergeCell ref="T37:AY37"/>
    <mergeCell ref="AZ37:BE37"/>
    <mergeCell ref="BF37:BI37"/>
    <mergeCell ref="A40:E40"/>
    <mergeCell ref="F40:S40"/>
    <mergeCell ref="T40:AY40"/>
    <mergeCell ref="AZ40:BE40"/>
    <mergeCell ref="BF40:BI40"/>
    <mergeCell ref="A38:E38"/>
    <mergeCell ref="F38:S38"/>
    <mergeCell ref="T38:AY38"/>
    <mergeCell ref="AZ38:BE38"/>
    <mergeCell ref="BF38:BI38"/>
    <mergeCell ref="A39:E39"/>
    <mergeCell ref="F39:S39"/>
    <mergeCell ref="T39:AY39"/>
    <mergeCell ref="AZ39:BE39"/>
    <mergeCell ref="BF39:BI39"/>
  </mergeCells>
  <phoneticPr fontId="1"/>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2DDC-30B7-41FE-8400-75AC68183F70}">
  <dimension ref="B2:BG17"/>
  <sheetViews>
    <sheetView showGridLines="0" zoomScale="80" zoomScaleNormal="80" workbookViewId="0">
      <selection activeCell="Y19" sqref="Y19"/>
    </sheetView>
  </sheetViews>
  <sheetFormatPr defaultColWidth="2.1796875" defaultRowHeight="15.6" customHeight="1"/>
  <sheetData>
    <row r="2" spans="2:59" ht="15.6" customHeight="1">
      <c r="B2" s="157" t="s">
        <v>4</v>
      </c>
      <c r="C2" s="157"/>
      <c r="D2" s="157"/>
      <c r="E2" s="157"/>
      <c r="F2" s="157"/>
      <c r="G2" s="159" t="str">
        <f>表紙!V6</f>
        <v>会計システム刷新プロジェクト</v>
      </c>
      <c r="H2" s="159"/>
      <c r="I2" s="159"/>
      <c r="J2" s="159"/>
      <c r="K2" s="159"/>
      <c r="L2" s="159"/>
      <c r="M2" s="159"/>
      <c r="N2" s="159"/>
      <c r="O2" s="159"/>
      <c r="P2" s="159"/>
      <c r="Q2" s="159"/>
      <c r="R2" s="159"/>
      <c r="S2" s="159"/>
      <c r="T2" s="159"/>
      <c r="U2" s="160" t="s">
        <v>5</v>
      </c>
      <c r="V2" s="161"/>
      <c r="W2" s="161"/>
      <c r="X2" s="161"/>
      <c r="Y2" s="161"/>
      <c r="Z2" s="161"/>
      <c r="AA2" s="161"/>
      <c r="AB2" s="161"/>
      <c r="AC2" s="161"/>
      <c r="AD2" s="161"/>
      <c r="AE2" s="161"/>
      <c r="AF2" s="161"/>
      <c r="AG2" s="161"/>
      <c r="AH2" s="161"/>
      <c r="AI2" s="161"/>
      <c r="AJ2" s="161"/>
      <c r="AK2" s="161"/>
      <c r="AL2" s="161"/>
      <c r="AM2" s="161"/>
      <c r="AN2" s="161"/>
      <c r="AO2" s="161"/>
      <c r="AP2" s="161"/>
      <c r="AQ2" s="161"/>
      <c r="AR2" s="162"/>
      <c r="AS2" s="163" t="s">
        <v>6</v>
      </c>
      <c r="AT2" s="163"/>
      <c r="AU2" s="163"/>
      <c r="AV2" s="163"/>
      <c r="AW2" s="163"/>
      <c r="AX2" s="163"/>
      <c r="AY2" s="163"/>
      <c r="AZ2" s="163"/>
      <c r="BA2" s="163" t="s">
        <v>7</v>
      </c>
      <c r="BB2" s="163"/>
      <c r="BC2" s="163"/>
      <c r="BD2" s="163"/>
      <c r="BE2" s="163"/>
      <c r="BF2" s="163"/>
      <c r="BG2" s="163"/>
    </row>
    <row r="3" spans="2:59" ht="15.6" customHeight="1">
      <c r="B3" s="157" t="s">
        <v>8</v>
      </c>
      <c r="C3" s="157"/>
      <c r="D3" s="157"/>
      <c r="E3" s="157"/>
      <c r="F3" s="157"/>
      <c r="G3" s="159" t="str">
        <f>表紙!V10</f>
        <v>非機能要件定義書_ライセンス活用</v>
      </c>
      <c r="H3" s="159"/>
      <c r="I3" s="159"/>
      <c r="J3" s="159"/>
      <c r="K3" s="159"/>
      <c r="L3" s="159"/>
      <c r="M3" s="159"/>
      <c r="N3" s="159"/>
      <c r="O3" s="159"/>
      <c r="P3" s="159"/>
      <c r="Q3" s="159"/>
      <c r="R3" s="159"/>
      <c r="S3" s="159"/>
      <c r="T3" s="159"/>
      <c r="U3" s="165" t="s">
        <v>9</v>
      </c>
      <c r="V3" s="166"/>
      <c r="W3" s="166"/>
      <c r="X3" s="166"/>
      <c r="Y3" s="166"/>
      <c r="Z3" s="166"/>
      <c r="AA3" s="166"/>
      <c r="AB3" s="166"/>
      <c r="AC3" s="166"/>
      <c r="AD3" s="166"/>
      <c r="AE3" s="166"/>
      <c r="AF3" s="166"/>
      <c r="AG3" s="166"/>
      <c r="AH3" s="166"/>
      <c r="AI3" s="166"/>
      <c r="AJ3" s="166"/>
      <c r="AK3" s="166"/>
      <c r="AL3" s="166"/>
      <c r="AM3" s="166"/>
      <c r="AN3" s="166"/>
      <c r="AO3" s="166"/>
      <c r="AP3" s="166"/>
      <c r="AQ3" s="166"/>
      <c r="AR3" s="167"/>
      <c r="AS3" s="157" t="s">
        <v>10</v>
      </c>
      <c r="AT3" s="157"/>
      <c r="AU3" s="158">
        <v>45435</v>
      </c>
      <c r="AV3" s="158"/>
      <c r="AW3" s="158"/>
      <c r="AX3" s="158"/>
      <c r="AY3" s="158"/>
      <c r="AZ3" s="158"/>
      <c r="BA3" s="156" t="s">
        <v>55</v>
      </c>
      <c r="BB3" s="156"/>
      <c r="BC3" s="156"/>
      <c r="BD3" s="156"/>
      <c r="BE3" s="156"/>
      <c r="BF3" s="156"/>
      <c r="BG3" s="156"/>
    </row>
    <row r="4" spans="2:59" ht="15.6" customHeight="1">
      <c r="B4" s="157"/>
      <c r="C4" s="157"/>
      <c r="D4" s="157"/>
      <c r="E4" s="157"/>
      <c r="F4" s="157"/>
      <c r="G4" s="164"/>
      <c r="H4" s="164"/>
      <c r="I4" s="164"/>
      <c r="J4" s="164"/>
      <c r="K4" s="164"/>
      <c r="L4" s="164"/>
      <c r="M4" s="164"/>
      <c r="N4" s="164"/>
      <c r="O4" s="164"/>
      <c r="P4" s="164"/>
      <c r="Q4" s="164"/>
      <c r="R4" s="164"/>
      <c r="S4" s="164"/>
      <c r="T4" s="164"/>
      <c r="U4" s="168"/>
      <c r="V4" s="169"/>
      <c r="W4" s="169"/>
      <c r="X4" s="169"/>
      <c r="Y4" s="169"/>
      <c r="Z4" s="169"/>
      <c r="AA4" s="169"/>
      <c r="AB4" s="169"/>
      <c r="AC4" s="169"/>
      <c r="AD4" s="169"/>
      <c r="AE4" s="169"/>
      <c r="AF4" s="169"/>
      <c r="AG4" s="169"/>
      <c r="AH4" s="169"/>
      <c r="AI4" s="169"/>
      <c r="AJ4" s="169"/>
      <c r="AK4" s="169"/>
      <c r="AL4" s="169"/>
      <c r="AM4" s="169"/>
      <c r="AN4" s="169"/>
      <c r="AO4" s="169"/>
      <c r="AP4" s="169"/>
      <c r="AQ4" s="169"/>
      <c r="AR4" s="170"/>
      <c r="AS4" s="157" t="s">
        <v>11</v>
      </c>
      <c r="AT4" s="157"/>
      <c r="AU4" s="158">
        <v>45632</v>
      </c>
      <c r="AV4" s="158"/>
      <c r="AW4" s="158"/>
      <c r="AX4" s="158"/>
      <c r="AY4" s="158"/>
      <c r="AZ4" s="158"/>
      <c r="BA4" s="156" t="s">
        <v>49</v>
      </c>
      <c r="BB4" s="156"/>
      <c r="BC4" s="156"/>
      <c r="BD4" s="156"/>
      <c r="BE4" s="156"/>
      <c r="BF4" s="156"/>
      <c r="BG4" s="156"/>
    </row>
    <row r="6" spans="2:59" ht="15.6" customHeight="1" thickBot="1">
      <c r="B6" s="21" t="s">
        <v>12</v>
      </c>
      <c r="C6" s="21" t="s">
        <v>13</v>
      </c>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row>
    <row r="8" spans="2:59" ht="15.6" customHeight="1">
      <c r="C8" t="s">
        <v>14</v>
      </c>
      <c r="AL8" s="35" t="s">
        <v>54</v>
      </c>
    </row>
    <row r="10" spans="2:59" ht="15.6" customHeight="1">
      <c r="D10" s="26" t="s">
        <v>15</v>
      </c>
      <c r="E10" s="27"/>
      <c r="F10" s="27"/>
      <c r="G10" s="27"/>
      <c r="H10" s="27"/>
      <c r="I10" s="27"/>
      <c r="J10" s="27"/>
      <c r="K10" s="27"/>
      <c r="L10" s="27"/>
      <c r="M10" s="27"/>
      <c r="N10" s="27"/>
      <c r="O10" s="27"/>
      <c r="P10" s="27"/>
      <c r="Q10" s="27"/>
      <c r="R10" s="27"/>
      <c r="S10" s="27"/>
      <c r="T10" s="27"/>
      <c r="U10" s="28"/>
      <c r="V10" s="26" t="s">
        <v>16</v>
      </c>
      <c r="W10" s="27"/>
      <c r="X10" s="27"/>
      <c r="Y10" s="27"/>
      <c r="Z10" s="28"/>
      <c r="AA10" s="26" t="s">
        <v>17</v>
      </c>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8"/>
    </row>
    <row r="11" spans="2:59" ht="15.6" customHeight="1">
      <c r="D11" s="23" t="s">
        <v>18</v>
      </c>
      <c r="E11" s="24"/>
      <c r="F11" s="24"/>
      <c r="G11" s="24"/>
      <c r="H11" s="24"/>
      <c r="I11" s="24"/>
      <c r="J11" s="24"/>
      <c r="K11" s="24"/>
      <c r="L11" s="24"/>
      <c r="M11" s="24"/>
      <c r="N11" s="24"/>
      <c r="O11" s="24"/>
      <c r="P11" s="24"/>
      <c r="Q11" s="24"/>
      <c r="R11" s="24"/>
      <c r="S11" s="24"/>
      <c r="T11" s="24"/>
      <c r="U11" s="25"/>
      <c r="V11" s="171">
        <v>160</v>
      </c>
      <c r="W11" s="172"/>
      <c r="X11" s="172"/>
      <c r="Y11" s="172"/>
      <c r="Z11" s="173"/>
      <c r="AA11" s="23" t="s">
        <v>19</v>
      </c>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5"/>
    </row>
    <row r="12" spans="2:59" ht="15.6" customHeight="1">
      <c r="D12" s="23" t="s">
        <v>20</v>
      </c>
      <c r="E12" s="24"/>
      <c r="F12" s="24"/>
      <c r="G12" s="24"/>
      <c r="H12" s="24"/>
      <c r="I12" s="24"/>
      <c r="J12" s="24"/>
      <c r="K12" s="24"/>
      <c r="L12" s="24"/>
      <c r="M12" s="24"/>
      <c r="N12" s="24"/>
      <c r="O12" s="24"/>
      <c r="P12" s="24"/>
      <c r="Q12" s="24"/>
      <c r="R12" s="24"/>
      <c r="S12" s="24"/>
      <c r="T12" s="24"/>
      <c r="U12" s="25"/>
      <c r="V12" s="171" t="s">
        <v>21</v>
      </c>
      <c r="W12" s="172"/>
      <c r="X12" s="172"/>
      <c r="Y12" s="172"/>
      <c r="Z12" s="25"/>
      <c r="AA12" s="23" t="s">
        <v>22</v>
      </c>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5"/>
    </row>
    <row r="13" spans="2:59" ht="15.6" customHeight="1">
      <c r="D13" s="23" t="s">
        <v>23</v>
      </c>
      <c r="E13" s="24"/>
      <c r="F13" s="24"/>
      <c r="G13" s="24"/>
      <c r="H13" s="24"/>
      <c r="I13" s="24"/>
      <c r="J13" s="24"/>
      <c r="K13" s="24"/>
      <c r="L13" s="24"/>
      <c r="M13" s="24"/>
      <c r="N13" s="24"/>
      <c r="O13" s="24"/>
      <c r="P13" s="24"/>
      <c r="Q13" s="24"/>
      <c r="R13" s="24"/>
      <c r="S13" s="24"/>
      <c r="T13" s="24"/>
      <c r="U13" s="25"/>
      <c r="V13" s="174">
        <v>5</v>
      </c>
      <c r="W13" s="177"/>
      <c r="X13" s="177"/>
      <c r="Y13" s="177"/>
      <c r="Z13" s="178"/>
      <c r="AA13" s="23" t="s">
        <v>24</v>
      </c>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5"/>
    </row>
    <row r="14" spans="2:59" ht="15.6" customHeight="1">
      <c r="D14" s="23" t="s">
        <v>25</v>
      </c>
      <c r="E14" s="24"/>
      <c r="F14" s="24"/>
      <c r="G14" s="24"/>
      <c r="H14" s="24"/>
      <c r="I14" s="24"/>
      <c r="J14" s="24"/>
      <c r="K14" s="24"/>
      <c r="L14" s="24"/>
      <c r="M14" s="24"/>
      <c r="N14" s="24"/>
      <c r="O14" s="24"/>
      <c r="P14" s="24"/>
      <c r="Q14" s="24"/>
      <c r="R14" s="24"/>
      <c r="S14" s="24"/>
      <c r="T14" s="24"/>
      <c r="U14" s="25"/>
      <c r="V14" s="174" t="s">
        <v>53</v>
      </c>
      <c r="W14" s="175"/>
      <c r="X14" s="175"/>
      <c r="Y14" s="175"/>
      <c r="Z14" s="176"/>
      <c r="AA14" s="23" t="s">
        <v>26</v>
      </c>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5"/>
    </row>
    <row r="15" spans="2:59" ht="15.6" customHeight="1">
      <c r="D15" s="23" t="s">
        <v>27</v>
      </c>
      <c r="E15" s="24"/>
      <c r="F15" s="24"/>
      <c r="G15" s="24"/>
      <c r="H15" s="24"/>
      <c r="I15" s="24"/>
      <c r="J15" s="24"/>
      <c r="K15" s="24"/>
      <c r="L15" s="24"/>
      <c r="M15" s="24"/>
      <c r="N15" s="24"/>
      <c r="O15" s="24"/>
      <c r="P15" s="24"/>
      <c r="Q15" s="24"/>
      <c r="R15" s="24"/>
      <c r="S15" s="24"/>
      <c r="T15" s="24"/>
      <c r="U15" s="25"/>
      <c r="V15" s="171" t="s">
        <v>28</v>
      </c>
      <c r="W15" s="172"/>
      <c r="X15" s="172"/>
      <c r="Y15" s="172"/>
      <c r="Z15" s="173"/>
      <c r="AA15" s="23" t="s">
        <v>29</v>
      </c>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5"/>
    </row>
    <row r="16" spans="2:59" ht="15.6" customHeight="1">
      <c r="V16" s="22"/>
      <c r="W16" s="22"/>
      <c r="X16" s="22"/>
      <c r="Y16" s="22"/>
    </row>
    <row r="17" spans="4:4" ht="15.6" customHeight="1">
      <c r="D17" t="s">
        <v>30</v>
      </c>
    </row>
  </sheetData>
  <mergeCells count="19">
    <mergeCell ref="V12:Y12"/>
    <mergeCell ref="V15:Z15"/>
    <mergeCell ref="V11:Z11"/>
    <mergeCell ref="V14:Z14"/>
    <mergeCell ref="V13:Z13"/>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F8AB63-A882-4622-A19E-29D381C37E28}">
  <ds:schemaRefs>
    <ds:schemaRef ds:uri="http://www.w3.org/XML/1998/namespace"/>
    <ds:schemaRef ds:uri="http://schemas.microsoft.com/office/infopath/2007/PartnerControls"/>
    <ds:schemaRef ds:uri="http://schemas.microsoft.com/office/2006/documentManagement/types"/>
    <ds:schemaRef ds:uri="5bd2875c-1d77-4e59-90f4-883ca6a86c01"/>
    <ds:schemaRef ds:uri="http://purl.org/dc/elements/1.1/"/>
    <ds:schemaRef ds:uri="http://purl.org/dc/dcmitype/"/>
    <ds:schemaRef ds:uri="http://purl.org/dc/terms/"/>
    <ds:schemaRef ds:uri="http://schemas.openxmlformats.org/package/2006/metadata/core-properties"/>
    <ds:schemaRef ds:uri="0e104af9-8863-48b3-a0f9-b99702920d19"/>
    <ds:schemaRef ds:uri="http://schemas.microsoft.com/office/2006/metadata/properties"/>
  </ds:schemaRefs>
</ds:datastoreItem>
</file>

<file path=customXml/itemProps2.xml><?xml version="1.0" encoding="utf-8"?>
<ds:datastoreItem xmlns:ds="http://schemas.openxmlformats.org/officeDocument/2006/customXml" ds:itemID="{FEA3184D-3458-4F55-9FCB-89C9F2C8D673}"/>
</file>

<file path=customXml/itemProps3.xml><?xml version="1.0" encoding="utf-8"?>
<ds:datastoreItem xmlns:ds="http://schemas.openxmlformats.org/officeDocument/2006/customXml" ds:itemID="{BECF80AE-E5DD-4679-A652-3022527F07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変更履歴</vt:lpstr>
      <vt:lpstr>ライセンス活用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Kitai, Makoto</cp:lastModifiedBy>
  <cp:revision/>
  <dcterms:created xsi:type="dcterms:W3CDTF">2023-08-15T05:52:02Z</dcterms:created>
  <dcterms:modified xsi:type="dcterms:W3CDTF">2024-12-20T02:34:54Z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ies>
</file>