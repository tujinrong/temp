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1_テーブル定義書  (Table Definition)/"/>
    </mc:Choice>
  </mc:AlternateContent>
  <xr:revisionPtr revIDLastSave="15" documentId="13_ncr:1_{71FDED98-284F-4554-ACFA-1EE9D9D20877}" xr6:coauthVersionLast="47" xr6:coauthVersionMax="47" xr10:uidLastSave="{B439AD71-A89E-4CF4-82E2-B0DCFBEAED27}"/>
  <bookViews>
    <workbookView xWindow="-11700" yWindow="-16320" windowWidth="29040" windowHeight="15720" activeTab="1" xr2:uid="{00000000-000D-0000-FFFF-FFFF00000000}"/>
  </bookViews>
  <sheets>
    <sheet name="変更履歴" sheetId="9" r:id="rId1"/>
    <sheet name="テーブル定義" sheetId="5" r:id="rId2"/>
    <sheet name="その他定義" sheetId="6" r:id="rId3"/>
  </sheet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#REF!</definedName>
    <definedName name="_Fill" hidden="1">#REF!</definedName>
    <definedName name="\a">#N/A</definedName>
    <definedName name="\c">#N/A</definedName>
    <definedName name="\d">#N/A</definedName>
    <definedName name="①">#REF!</definedName>
    <definedName name="②">#REF!</definedName>
    <definedName name="③">#REF!</definedName>
    <definedName name="④">#REF!</definedName>
    <definedName name="⑤">#REF!</definedName>
    <definedName name="⑥">#REF!</definedName>
    <definedName name="⑦">#REF!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0">変更履歴!aaaaaa</definedName>
    <definedName name="aaaaaa">[0]!aaaaaa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#REF!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テーブル定義!$A$1:$M$52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#REF!</definedName>
    <definedName name="Q3InfraAct">#REF!</definedName>
    <definedName name="QQQQ" localSheetId="0">#REF!</definedName>
    <definedName name="QQQQ">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0">変更履歴!SubMakeSQL</definedName>
    <definedName name="SubMakeSQL">[0]!SubMakeSQL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0">変更履歴!ｚｚｚｚ</definedName>
    <definedName name="ｚｚｚｚ">[0]!ｚｚｚｚ</definedName>
    <definedName name="あ" localSheetId="0">#REF!</definedName>
    <definedName name="あ">#REF!</definedName>
    <definedName name="あああ" localSheetId="0" hidden="1">#REF!</definedName>
    <definedName name="あああ" hidden="1">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#REF!</definedName>
    <definedName name="えええ" localSheetId="2" hidden="1">{"'9.項目'!$B$5:$AW$60"}</definedName>
    <definedName name="えええ" localSheetId="1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#REF!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#REF!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#REF!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#REF!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#REF!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#REF!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5" l="1"/>
  <c r="AT2" i="9"/>
  <c r="F2" i="9" a="1"/>
  <c r="F2" i="9" s="1"/>
  <c r="B23" i="5" l="1"/>
  <c r="B22" i="5"/>
  <c r="B21" i="5"/>
  <c r="B20" i="5"/>
  <c r="B19" i="5"/>
  <c r="B8" i="5"/>
  <c r="B9" i="5"/>
  <c r="B10" i="5"/>
  <c r="B11" i="5"/>
  <c r="B12" i="5"/>
  <c r="B13" i="5"/>
  <c r="B14" i="5"/>
  <c r="B15" i="5"/>
  <c r="B16" i="5"/>
  <c r="B18" i="5"/>
  <c r="B24" i="5"/>
  <c r="BA2" i="9" l="1"/>
  <c r="H3" i="5" s="1"/>
  <c r="BA3" i="9"/>
  <c r="AT3" i="9" a="1"/>
  <c r="M3" i="5" l="1"/>
  <c r="AT3" i="9"/>
  <c r="B51" i="5" l="1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00000000-0006-0000-01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00000000-0006-0000-01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00000000-0006-0000-01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00000000-0006-0000-0100-000005000000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00000000-0006-0000-01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00000000-0006-0000-01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00000000-0006-0000-01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00000000-0006-0000-01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00000000-0006-0000-01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00000000-0006-0000-0100-00000B000000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00000000-0006-0000-01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<sst xmlns="http://schemas.openxmlformats.org/spreadsheetml/2006/main" count="221" uniqueCount="155">
  <si>
    <t>システム名</t>
    <rPh sb="4" eb="5">
      <t>メイ</t>
    </rPh>
    <phoneticPr fontId="6"/>
  </si>
  <si>
    <t>タイトル</t>
  </si>
  <si>
    <t>日付</t>
    <rPh sb="0" eb="2">
      <t>ヒヅケ</t>
    </rPh>
    <phoneticPr fontId="17"/>
  </si>
  <si>
    <t>更新者</t>
    <rPh sb="0" eb="2">
      <t>コウシン</t>
    </rPh>
    <rPh sb="2" eb="3">
      <t>シャ</t>
    </rPh>
    <phoneticPr fontId="6"/>
  </si>
  <si>
    <t>文書名</t>
    <rPh sb="0" eb="2">
      <t>ブンショ</t>
    </rPh>
    <rPh sb="2" eb="3">
      <t>メイ</t>
    </rPh>
    <phoneticPr fontId="6"/>
  </si>
  <si>
    <t>変更履歴</t>
    <rPh sb="0" eb="4">
      <t>ヘンコウリレキ</t>
    </rPh>
    <phoneticPr fontId="19"/>
  </si>
  <si>
    <t>作成</t>
    <rPh sb="0" eb="2">
      <t>サクセイ</t>
    </rPh>
    <phoneticPr fontId="6"/>
  </si>
  <si>
    <t>更新</t>
    <rPh sb="0" eb="2">
      <t>コウシン</t>
    </rPh>
    <phoneticPr fontId="6"/>
  </si>
  <si>
    <t>変更年月日</t>
    <rPh sb="0" eb="2">
      <t>ヘンコウ</t>
    </rPh>
    <rPh sb="2" eb="5">
      <t>ネンガッピ</t>
    </rPh>
    <phoneticPr fontId="21"/>
  </si>
  <si>
    <t>変更箇所</t>
    <rPh sb="0" eb="2">
      <t>ヘンコウ</t>
    </rPh>
    <rPh sb="2" eb="4">
      <t>カショ</t>
    </rPh>
    <phoneticPr fontId="21"/>
  </si>
  <si>
    <t>変更内容</t>
    <rPh sb="0" eb="2">
      <t>ヘンコウ</t>
    </rPh>
    <rPh sb="2" eb="4">
      <t>ナイヨウ</t>
    </rPh>
    <phoneticPr fontId="21"/>
  </si>
  <si>
    <t>変更者</t>
    <rPh sb="0" eb="2">
      <t>ヘンコウ</t>
    </rPh>
    <rPh sb="2" eb="3">
      <t>シャ</t>
    </rPh>
    <phoneticPr fontId="21"/>
  </si>
  <si>
    <t>版数</t>
    <rPh sb="0" eb="1">
      <t>ハン</t>
    </rPh>
    <rPh sb="1" eb="2">
      <t>スウ</t>
    </rPh>
    <phoneticPr fontId="21"/>
  </si>
  <si>
    <t>プロジェクト名</t>
    <rPh sb="6" eb="7">
      <t>メイ</t>
    </rPh>
    <phoneticPr fontId="6"/>
  </si>
  <si>
    <t>区分</t>
    <rPh sb="0" eb="2">
      <t>クブン</t>
    </rPh>
    <phoneticPr fontId="6"/>
  </si>
  <si>
    <t>作成日時</t>
    <rPh sb="0" eb="2">
      <t>サクセイ</t>
    </rPh>
    <rPh sb="2" eb="4">
      <t>ニチジ</t>
    </rPh>
    <phoneticPr fontId="3"/>
  </si>
  <si>
    <t>変更日時</t>
    <rPh sb="0" eb="2">
      <t>ヘンコウ</t>
    </rPh>
    <rPh sb="2" eb="4">
      <t>ニチジ</t>
    </rPh>
    <phoneticPr fontId="3"/>
  </si>
  <si>
    <t>作成者</t>
    <rPh sb="0" eb="2">
      <t>サクセイ</t>
    </rPh>
    <rPh sb="2" eb="3">
      <t>シャ</t>
    </rPh>
    <phoneticPr fontId="3"/>
  </si>
  <si>
    <t>変更者</t>
    <rPh sb="0" eb="3">
      <t>ヘンコウシャ</t>
    </rPh>
    <phoneticPr fontId="3"/>
  </si>
  <si>
    <t>ﾃｰﾌﾞﾙ名(論理)</t>
    <rPh sb="5" eb="6">
      <t>メイ</t>
    </rPh>
    <rPh sb="7" eb="9">
      <t>ロンリ</t>
    </rPh>
    <phoneticPr fontId="6"/>
  </si>
  <si>
    <t>ラベルID</t>
    <phoneticPr fontId="6"/>
  </si>
  <si>
    <t>ﾃｰﾌﾞﾙ名(物理)</t>
    <rPh sb="5" eb="6">
      <t>メイ</t>
    </rPh>
    <rPh sb="7" eb="9">
      <t>ブツリ</t>
    </rPh>
    <phoneticPr fontId="6"/>
  </si>
  <si>
    <t>テーブルタイプ</t>
    <phoneticPr fontId="6"/>
  </si>
  <si>
    <t>テーブル種別</t>
    <rPh sb="4" eb="6">
      <t>シュベツ</t>
    </rPh>
    <phoneticPr fontId="6"/>
  </si>
  <si>
    <t>開発区分</t>
    <rPh sb="0" eb="2">
      <t>カイハツ</t>
    </rPh>
    <rPh sb="2" eb="4">
      <t>クブン</t>
    </rPh>
    <phoneticPr fontId="6"/>
  </si>
  <si>
    <t>#</t>
    <phoneticPr fontId="6"/>
  </si>
  <si>
    <t>列名(論理)</t>
    <rPh sb="0" eb="1">
      <t>レツ</t>
    </rPh>
    <rPh sb="1" eb="2">
      <t>メイ</t>
    </rPh>
    <rPh sb="3" eb="5">
      <t>ロンリ</t>
    </rPh>
    <phoneticPr fontId="6"/>
  </si>
  <si>
    <t>列名(物理)</t>
    <rPh sb="0" eb="1">
      <t>レツ</t>
    </rPh>
    <rPh sb="1" eb="2">
      <t>メイ</t>
    </rPh>
    <rPh sb="3" eb="5">
      <t>ブツリ</t>
    </rPh>
    <phoneticPr fontId="6"/>
  </si>
  <si>
    <t>型</t>
    <rPh sb="0" eb="1">
      <t>カタ</t>
    </rPh>
    <phoneticPr fontId="6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</si>
  <si>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6"/>
  </si>
  <si>
    <t>桁数</t>
    <rPh sb="0" eb="2">
      <t>ケタスウ</t>
    </rPh>
    <phoneticPr fontId="6"/>
  </si>
  <si>
    <t>PK</t>
    <phoneticPr fontId="6"/>
  </si>
  <si>
    <t>必須</t>
    <rPh sb="0" eb="2">
      <t>ヒッス</t>
    </rPh>
    <phoneticPr fontId="6"/>
  </si>
  <si>
    <t>【フィールドグループ】</t>
    <phoneticPr fontId="6"/>
  </si>
  <si>
    <t>グループ名</t>
    <rPh sb="4" eb="5">
      <t>メイ</t>
    </rPh>
    <phoneticPr fontId="6"/>
  </si>
  <si>
    <t>ラベル</t>
    <phoneticPr fontId="6"/>
  </si>
  <si>
    <t>フィールド</t>
    <phoneticPr fontId="6"/>
  </si>
  <si>
    <t>その他プロパティ</t>
    <rPh sb="2" eb="3">
      <t>タ</t>
    </rPh>
    <phoneticPr fontId="6"/>
  </si>
  <si>
    <t>【インデックス】</t>
    <phoneticPr fontId="6"/>
  </si>
  <si>
    <t>インデックス名</t>
    <rPh sb="6" eb="7">
      <t>メイ</t>
    </rPh>
    <phoneticPr fontId="6"/>
  </si>
  <si>
    <t>重複許可</t>
    <rPh sb="0" eb="2">
      <t>ジュウフク</t>
    </rPh>
    <rPh sb="2" eb="4">
      <t>キョカ</t>
    </rPh>
    <phoneticPr fontId="6"/>
  </si>
  <si>
    <t>【リレーション】</t>
    <phoneticPr fontId="6"/>
  </si>
  <si>
    <t>リレーション名(テーブル名)</t>
    <rPh sb="6" eb="7">
      <t>メイ</t>
    </rPh>
    <rPh sb="12" eb="13">
      <t>メイ</t>
    </rPh>
    <phoneticPr fontId="6"/>
  </si>
  <si>
    <t>リレーションタイプ</t>
    <phoneticPr fontId="6"/>
  </si>
  <si>
    <t>基数</t>
    <rPh sb="0" eb="2">
      <t>キスウ</t>
    </rPh>
    <phoneticPr fontId="6"/>
  </si>
  <si>
    <t>関連テーブル基数</t>
    <rPh sb="0" eb="2">
      <t>カンレン</t>
    </rPh>
    <rPh sb="6" eb="8">
      <t>キスウ</t>
    </rPh>
    <phoneticPr fontId="6"/>
  </si>
  <si>
    <t>リレーション内容</t>
    <rPh sb="6" eb="8">
      <t>ナイヨウ</t>
    </rPh>
    <phoneticPr fontId="6"/>
  </si>
  <si>
    <t>【Deleteアクション】</t>
    <phoneticPr fontId="6"/>
  </si>
  <si>
    <t>テーブル</t>
    <phoneticPr fontId="6"/>
  </si>
  <si>
    <t>デリートアクション</t>
    <phoneticPr fontId="6"/>
  </si>
  <si>
    <t>リレーション名</t>
    <rPh sb="6" eb="7">
      <t>メイ</t>
    </rPh>
    <phoneticPr fontId="6"/>
  </si>
  <si>
    <t>【メソッド】</t>
    <phoneticPr fontId="6"/>
  </si>
  <si>
    <t>No</t>
    <phoneticPr fontId="6"/>
  </si>
  <si>
    <t>メソッド名</t>
    <rPh sb="4" eb="5">
      <t>メイ</t>
    </rPh>
    <phoneticPr fontId="6"/>
  </si>
  <si>
    <t>戻り値(型)</t>
    <rPh sb="0" eb="1">
      <t>モド</t>
    </rPh>
    <rPh sb="2" eb="3">
      <t>チ</t>
    </rPh>
    <rPh sb="4" eb="5">
      <t>カタ</t>
    </rPh>
    <phoneticPr fontId="6"/>
  </si>
  <si>
    <t>引数(型)</t>
    <rPh sb="0" eb="2">
      <t>ヒキスウ</t>
    </rPh>
    <rPh sb="3" eb="4">
      <t>カタ</t>
    </rPh>
    <phoneticPr fontId="6"/>
  </si>
  <si>
    <t>処理概要</t>
    <rPh sb="0" eb="2">
      <t>ショリ</t>
    </rPh>
    <rPh sb="2" eb="4">
      <t>ガイヨウ</t>
    </rPh>
    <phoneticPr fontId="6"/>
  </si>
  <si>
    <t>Dynamics365 for Finance and Operations</t>
    <phoneticPr fontId="3"/>
  </si>
  <si>
    <t>新規作成</t>
    <rPh sb="0" eb="4">
      <t>シンキサクセイ</t>
    </rPh>
    <phoneticPr fontId="3"/>
  </si>
  <si>
    <t>1.0</t>
    <phoneticPr fontId="3"/>
  </si>
  <si>
    <t>テーブル定義書</t>
    <rPh sb="4" eb="7">
      <t>テイギショ</t>
    </rPh>
    <phoneticPr fontId="6"/>
  </si>
  <si>
    <t>アドオン</t>
    <phoneticPr fontId="3"/>
  </si>
  <si>
    <t>String</t>
    <phoneticPr fontId="3"/>
  </si>
  <si>
    <t>NO</t>
  </si>
  <si>
    <t>Real</t>
    <phoneticPr fontId="3"/>
  </si>
  <si>
    <t>TempDB</t>
    <phoneticPr fontId="3"/>
  </si>
  <si>
    <t>WorkSheet</t>
    <phoneticPr fontId="3"/>
  </si>
  <si>
    <t>Yes</t>
  </si>
  <si>
    <t>Date</t>
    <phoneticPr fontId="3"/>
  </si>
  <si>
    <t>SJ_PlatsAllocationTransferTmp</t>
  </si>
  <si>
    <t>配賦直課データ連携Tmp</t>
  </si>
  <si>
    <t>SJ00675</t>
  </si>
  <si>
    <t>配賦直課データ連携</t>
  </si>
  <si>
    <t>JBS高</t>
  </si>
  <si>
    <t>SJ_PlatsAllocationTransferIdx</t>
  </si>
  <si>
    <t>FiscalYear</t>
  </si>
  <si>
    <t>Month</t>
  </si>
  <si>
    <t>AccountingDate</t>
  </si>
  <si>
    <t>DocumentDate</t>
  </si>
  <si>
    <t>SubledgerVoucher</t>
  </si>
  <si>
    <t>IsCredit</t>
  </si>
  <si>
    <t>AccountingCurrencyAmount</t>
  </si>
  <si>
    <t>FunctionalArea</t>
  </si>
  <si>
    <t>BusinessArea</t>
  </si>
  <si>
    <t>Department</t>
  </si>
  <si>
    <t>AccountNum</t>
  </si>
  <si>
    <t>GroupCompanyCode</t>
  </si>
  <si>
    <t>TransactionCurrencyCode</t>
  </si>
  <si>
    <t>UpdateDateTime</t>
  </si>
  <si>
    <t>Currency</t>
  </si>
  <si>
    <t>TransactionCurrencyAmount</t>
  </si>
  <si>
    <t>Enum</t>
  </si>
  <si>
    <t>UTCDateTime</t>
  </si>
  <si>
    <t>SJ_FiscalYear</t>
  </si>
  <si>
    <t>４</t>
  </si>
  <si>
    <t>FiscalPeriodMonth</t>
  </si>
  <si>
    <t>SJ_TransDate</t>
  </si>
  <si>
    <t>SJ_DocumentDate</t>
  </si>
  <si>
    <t>SJ_SubledgerVoucher</t>
  </si>
  <si>
    <t>-</t>
  </si>
  <si>
    <t>20</t>
  </si>
  <si>
    <t>NoYes</t>
  </si>
  <si>
    <t>SJ_AmountMSTDebCred</t>
  </si>
  <si>
    <t>6</t>
  </si>
  <si>
    <t>SJ_FunctionalArea</t>
  </si>
  <si>
    <t>2</t>
  </si>
  <si>
    <t>SJ_BusinessArea</t>
  </si>
  <si>
    <t>SJ_Department</t>
  </si>
  <si>
    <t>SJ_Account</t>
  </si>
  <si>
    <t>SJ_DimensionValue</t>
  </si>
  <si>
    <t>SJ_CurrencyCode</t>
  </si>
  <si>
    <t>3</t>
  </si>
  <si>
    <t>SJ_ExecutionDateTime</t>
  </si>
  <si>
    <t>SJ_BudgetPlanCurrencyAmount</t>
  </si>
  <si>
    <t>SJ05060</t>
  </si>
  <si>
    <t>SJ00482</t>
  </si>
  <si>
    <t>SJ00483</t>
  </si>
  <si>
    <t>SYS12371</t>
  </si>
  <si>
    <t>SJ00350</t>
  </si>
  <si>
    <t>SJ00489</t>
  </si>
  <si>
    <t>SJ00408</t>
  </si>
  <si>
    <t>SJ05037</t>
  </si>
  <si>
    <t>SJ00262</t>
  </si>
  <si>
    <t>SJ00487</t>
  </si>
  <si>
    <t>SJ00402</t>
  </si>
  <si>
    <t>SYS7572</t>
  </si>
  <si>
    <t>SJ00191</t>
  </si>
  <si>
    <t>SJ00648</t>
  </si>
  <si>
    <t>会計期間</t>
  </si>
  <si>
    <t>金額</t>
  </si>
  <si>
    <t>FiscalYear,Month,DocumentDate,SubledgerVoucher,AccountNum,UpdateDateTime</t>
  </si>
  <si>
    <t>機能領域</t>
  </si>
  <si>
    <t>会計年度</t>
  </si>
  <si>
    <t>文書日付</t>
  </si>
  <si>
    <t>貸方</t>
  </si>
  <si>
    <t>標準通貨金額</t>
  </si>
  <si>
    <t>事業領域</t>
  </si>
  <si>
    <t>利益センタ</t>
  </si>
  <si>
    <t>主勘定</t>
  </si>
  <si>
    <t>通貨</t>
  </si>
  <si>
    <t>更新日時</t>
  </si>
  <si>
    <t>SJ00489</t>
    <phoneticPr fontId="3"/>
  </si>
  <si>
    <t>10</t>
    <phoneticPr fontId="3"/>
  </si>
  <si>
    <t>30</t>
    <phoneticPr fontId="3"/>
  </si>
  <si>
    <t>伝票番号</t>
    <phoneticPr fontId="3"/>
  </si>
  <si>
    <t>日付</t>
    <phoneticPr fontId="3"/>
  </si>
  <si>
    <t>テーブル定義</t>
    <rPh sb="4" eb="6">
      <t>テイギ</t>
    </rPh>
    <phoneticPr fontId="3"/>
  </si>
  <si>
    <t>原価センタ(CostCenter)　追加</t>
    <rPh sb="0" eb="2">
      <t>ゲンカ</t>
    </rPh>
    <rPh sb="18" eb="20">
      <t>ツイカ</t>
    </rPh>
    <phoneticPr fontId="3"/>
  </si>
  <si>
    <t>JBS石岡</t>
    <rPh sb="3" eb="5">
      <t>イシオカ</t>
    </rPh>
    <phoneticPr fontId="3"/>
  </si>
  <si>
    <t>1.1</t>
    <phoneticPr fontId="3"/>
  </si>
  <si>
    <t>原価センタ</t>
    <rPh sb="0" eb="2">
      <t>ゲンカ</t>
    </rPh>
    <phoneticPr fontId="3"/>
  </si>
  <si>
    <t>CostCenter</t>
    <phoneticPr fontId="3"/>
  </si>
  <si>
    <t>SJ_CostCenter</t>
    <phoneticPr fontId="3"/>
  </si>
  <si>
    <t>SJ00381</t>
    <phoneticPr fontId="3"/>
  </si>
  <si>
    <t>グループ会社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</si>
</sst>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9"/>
      <color rgb="FFFF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</borders>
  <cellStyleXfs count="10">
    <xf numFmtId="0" fontId="0" fillId="0" borderId="0"/>
    <xf numFmtId="0" fontId="2" fillId="0" borderId="0">
      <alignment vertical="center"/>
    </xf>
    <xf numFmtId="0" fontId="7" fillId="0" borderId="0">
      <alignment vertical="center"/>
    </xf>
    <xf numFmtId="0" fontId="5" fillId="0" borderId="0"/>
    <xf numFmtId="0" fontId="16" fillId="0" borderId="0"/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6" fillId="0" borderId="0"/>
  </cellStyleXfs>
  <cellXfs count="138">
    <xf numFmtId="0" fontId="0" fillId="0" borderId="0" xfId="0"/>
    <xf numFmtId="49" fontId="9" fillId="0" borderId="3" xfId="2" applyNumberFormat="1" applyFont="1" applyBorder="1" applyAlignment="1">
      <alignment horizontal="left" vertical="center"/>
    </xf>
    <xf numFmtId="0" fontId="9" fillId="0" borderId="3" xfId="2" applyFont="1" applyBorder="1" applyAlignment="1">
      <alignment horizontal="center" vertical="center"/>
    </xf>
    <xf numFmtId="49" fontId="9" fillId="0" borderId="3" xfId="2" applyNumberFormat="1" applyFont="1" applyBorder="1" applyAlignment="1">
      <alignment horizontal="right" vertical="center"/>
    </xf>
    <xf numFmtId="49" fontId="9" fillId="0" borderId="3" xfId="2" applyNumberFormat="1" applyFont="1" applyBorder="1" applyAlignment="1">
      <alignment horizontal="center" vertical="center"/>
    </xf>
    <xf numFmtId="176" fontId="9" fillId="0" borderId="3" xfId="2" applyNumberFormat="1" applyFont="1" applyBorder="1" applyAlignment="1">
      <alignment horizontal="center" vertical="center"/>
    </xf>
    <xf numFmtId="0" fontId="11" fillId="0" borderId="0" xfId="3" applyFont="1" applyAlignment="1">
      <alignment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left" vertical="center"/>
    </xf>
    <xf numFmtId="0" fontId="10" fillId="3" borderId="1" xfId="2" applyFont="1" applyFill="1" applyBorder="1">
      <alignment vertical="center"/>
    </xf>
    <xf numFmtId="0" fontId="10" fillId="3" borderId="4" xfId="2" applyFont="1" applyFill="1" applyBorder="1">
      <alignment vertical="center"/>
    </xf>
    <xf numFmtId="0" fontId="14" fillId="0" borderId="1" xfId="2" applyFont="1" applyBorder="1">
      <alignment vertical="center"/>
    </xf>
    <xf numFmtId="0" fontId="14" fillId="0" borderId="2" xfId="2" applyFont="1" applyBorder="1">
      <alignment vertical="center"/>
    </xf>
    <xf numFmtId="0" fontId="14" fillId="0" borderId="4" xfId="2" applyFont="1" applyBorder="1">
      <alignment vertical="center"/>
    </xf>
    <xf numFmtId="0" fontId="15" fillId="0" borderId="0" xfId="5" applyFont="1">
      <alignment vertical="center"/>
    </xf>
    <xf numFmtId="0" fontId="14" fillId="0" borderId="0" xfId="5" applyFont="1">
      <alignment vertical="center"/>
    </xf>
    <xf numFmtId="0" fontId="15" fillId="0" borderId="6" xfId="5" applyFont="1" applyBorder="1">
      <alignment vertical="center"/>
    </xf>
    <xf numFmtId="0" fontId="23" fillId="0" borderId="0" xfId="5" applyFont="1">
      <alignment vertical="center"/>
    </xf>
    <xf numFmtId="0" fontId="9" fillId="0" borderId="0" xfId="2" applyFont="1">
      <alignment vertical="center"/>
    </xf>
    <xf numFmtId="0" fontId="10" fillId="3" borderId="3" xfId="2" applyFont="1" applyFill="1" applyBorder="1">
      <alignment vertical="center"/>
    </xf>
    <xf numFmtId="0" fontId="12" fillId="0" borderId="3" xfId="2" applyFont="1" applyBorder="1">
      <alignment vertical="center"/>
    </xf>
    <xf numFmtId="0" fontId="12" fillId="0" borderId="4" xfId="2" applyFont="1" applyBorder="1">
      <alignment vertical="center"/>
    </xf>
    <xf numFmtId="49" fontId="9" fillId="0" borderId="3" xfId="2" applyNumberFormat="1" applyFont="1" applyBorder="1">
      <alignment vertical="center"/>
    </xf>
    <xf numFmtId="49" fontId="11" fillId="0" borderId="3" xfId="2" applyNumberFormat="1" applyFont="1" applyBorder="1">
      <alignment vertical="center"/>
    </xf>
    <xf numFmtId="14" fontId="9" fillId="2" borderId="35" xfId="4" applyNumberFormat="1" applyFont="1" applyFill="1" applyBorder="1" applyAlignment="1">
      <alignment horizontal="left" vertical="center"/>
    </xf>
    <xf numFmtId="0" fontId="9" fillId="2" borderId="35" xfId="4" applyFont="1" applyFill="1" applyBorder="1" applyAlignment="1">
      <alignment horizontal="left" vertical="center"/>
    </xf>
    <xf numFmtId="0" fontId="9" fillId="2" borderId="35" xfId="4" applyFont="1" applyFill="1" applyBorder="1" applyAlignment="1">
      <alignment vertical="center"/>
    </xf>
    <xf numFmtId="0" fontId="9" fillId="2" borderId="35" xfId="4" applyFont="1" applyFill="1" applyBorder="1" applyAlignment="1">
      <alignment horizontal="center" vertical="center" wrapText="1"/>
    </xf>
    <xf numFmtId="49" fontId="9" fillId="2" borderId="35" xfId="4" applyNumberFormat="1" applyFont="1" applyFill="1" applyBorder="1" applyAlignment="1">
      <alignment horizontal="center" vertical="center"/>
    </xf>
    <xf numFmtId="14" fontId="9" fillId="2" borderId="36" xfId="4" applyNumberFormat="1" applyFont="1" applyFill="1" applyBorder="1" applyAlignment="1">
      <alignment horizontal="left" vertical="center"/>
    </xf>
    <xf numFmtId="0" fontId="9" fillId="2" borderId="36" xfId="4" applyFont="1" applyFill="1" applyBorder="1" applyAlignment="1">
      <alignment horizontal="left" vertical="center"/>
    </xf>
    <xf numFmtId="0" fontId="9" fillId="2" borderId="36" xfId="4" applyFont="1" applyFill="1" applyBorder="1" applyAlignment="1">
      <alignment vertical="center"/>
    </xf>
    <xf numFmtId="0" fontId="9" fillId="2" borderId="36" xfId="4" applyFont="1" applyFill="1" applyBorder="1" applyAlignment="1">
      <alignment horizontal="center" vertical="center" wrapText="1"/>
    </xf>
    <xf numFmtId="49" fontId="9" fillId="2" borderId="36" xfId="4" applyNumberFormat="1" applyFont="1" applyFill="1" applyBorder="1" applyAlignment="1">
      <alignment horizontal="center" vertical="center"/>
    </xf>
    <xf numFmtId="0" fontId="9" fillId="2" borderId="35" xfId="4" applyFont="1" applyFill="1" applyBorder="1" applyAlignment="1">
      <alignment vertical="center" wrapText="1"/>
    </xf>
    <xf numFmtId="0" fontId="13" fillId="4" borderId="33" xfId="4" applyFont="1" applyFill="1" applyBorder="1" applyAlignment="1">
      <alignment horizontal="center" vertical="center"/>
    </xf>
    <xf numFmtId="14" fontId="9" fillId="2" borderId="34" xfId="4" applyNumberFormat="1" applyFont="1" applyFill="1" applyBorder="1" applyAlignment="1">
      <alignment horizontal="left" vertical="center"/>
    </xf>
    <xf numFmtId="0" fontId="9" fillId="2" borderId="34" xfId="4" applyFont="1" applyFill="1" applyBorder="1" applyAlignment="1">
      <alignment horizontal="left" vertical="center"/>
    </xf>
    <xf numFmtId="0" fontId="9" fillId="2" borderId="34" xfId="4" applyFont="1" applyFill="1" applyBorder="1" applyAlignment="1">
      <alignment vertical="center"/>
    </xf>
    <xf numFmtId="0" fontId="9" fillId="2" borderId="34" xfId="4" applyFont="1" applyFill="1" applyBorder="1" applyAlignment="1">
      <alignment horizontal="center" vertical="center" wrapText="1"/>
    </xf>
    <xf numFmtId="49" fontId="9" fillId="2" borderId="34" xfId="4" applyNumberFormat="1" applyFont="1" applyFill="1" applyBorder="1" applyAlignment="1">
      <alignment horizontal="center" vertical="center"/>
    </xf>
    <xf numFmtId="49" fontId="9" fillId="2" borderId="34" xfId="4" quotePrefix="1" applyNumberFormat="1" applyFont="1" applyFill="1" applyBorder="1" applyAlignment="1">
      <alignment horizontal="center" vertical="center"/>
    </xf>
    <xf numFmtId="0" fontId="20" fillId="4" borderId="14" xfId="4" applyFont="1" applyFill="1" applyBorder="1" applyAlignment="1">
      <alignment horizontal="center" vertical="center"/>
    </xf>
    <xf numFmtId="0" fontId="20" fillId="4" borderId="15" xfId="4" applyFont="1" applyFill="1" applyBorder="1" applyAlignment="1">
      <alignment horizontal="center" vertical="center"/>
    </xf>
    <xf numFmtId="0" fontId="20" fillId="4" borderId="16" xfId="4" applyFont="1" applyFill="1" applyBorder="1" applyAlignment="1">
      <alignment horizontal="center" vertical="center"/>
    </xf>
    <xf numFmtId="0" fontId="22" fillId="0" borderId="8" xfId="4" applyFont="1" applyBorder="1" applyAlignment="1">
      <alignment horizontal="left" vertical="center"/>
    </xf>
    <xf numFmtId="0" fontId="22" fillId="0" borderId="9" xfId="4" applyFont="1" applyBorder="1" applyAlignment="1">
      <alignment horizontal="left" vertical="center"/>
    </xf>
    <xf numFmtId="0" fontId="22" fillId="0" borderId="10" xfId="4" applyFont="1" applyBorder="1" applyAlignment="1">
      <alignment horizontal="left" vertical="center"/>
    </xf>
    <xf numFmtId="0" fontId="20" fillId="4" borderId="8" xfId="4" applyFont="1" applyFill="1" applyBorder="1" applyAlignment="1">
      <alignment horizontal="center" vertical="center"/>
    </xf>
    <xf numFmtId="0" fontId="20" fillId="4" borderId="9" xfId="4" applyFont="1" applyFill="1" applyBorder="1" applyAlignment="1">
      <alignment horizontal="center" vertical="center"/>
    </xf>
    <xf numFmtId="0" fontId="20" fillId="4" borderId="10" xfId="4" applyFont="1" applyFill="1" applyBorder="1" applyAlignment="1">
      <alignment horizontal="center" vertical="center"/>
    </xf>
    <xf numFmtId="0" fontId="20" fillId="4" borderId="17" xfId="4" applyFont="1" applyFill="1" applyBorder="1" applyAlignment="1">
      <alignment horizontal="center" vertical="center"/>
    </xf>
    <xf numFmtId="0" fontId="20" fillId="4" borderId="18" xfId="4" applyFont="1" applyFill="1" applyBorder="1" applyAlignment="1">
      <alignment horizontal="center" vertical="center"/>
    </xf>
    <xf numFmtId="0" fontId="20" fillId="4" borderId="19" xfId="4" applyFont="1" applyFill="1" applyBorder="1" applyAlignment="1">
      <alignment horizontal="center" vertical="center"/>
    </xf>
    <xf numFmtId="0" fontId="20" fillId="4" borderId="25" xfId="4" applyFont="1" applyFill="1" applyBorder="1" applyAlignment="1">
      <alignment horizontal="center" vertical="center"/>
    </xf>
    <xf numFmtId="0" fontId="20" fillId="4" borderId="26" xfId="4" applyFont="1" applyFill="1" applyBorder="1" applyAlignment="1">
      <alignment horizontal="center" vertical="center"/>
    </xf>
    <xf numFmtId="0" fontId="20" fillId="4" borderId="27" xfId="4" applyFont="1" applyFill="1" applyBorder="1" applyAlignment="1">
      <alignment horizontal="center" vertical="center"/>
    </xf>
    <xf numFmtId="0" fontId="22" fillId="0" borderId="5" xfId="4" applyFont="1" applyBorder="1" applyAlignment="1">
      <alignment horizontal="left" vertical="center"/>
    </xf>
    <xf numFmtId="0" fontId="22" fillId="0" borderId="6" xfId="4" applyFont="1" applyBorder="1" applyAlignment="1">
      <alignment horizontal="left" vertical="center"/>
    </xf>
    <xf numFmtId="0" fontId="22" fillId="0" borderId="7" xfId="4" applyFont="1" applyBorder="1" applyAlignment="1">
      <alignment horizontal="left" vertical="center"/>
    </xf>
    <xf numFmtId="0" fontId="22" fillId="0" borderId="11" xfId="4" applyFont="1" applyBorder="1" applyAlignment="1">
      <alignment horizontal="left" vertical="center"/>
    </xf>
    <xf numFmtId="0" fontId="22" fillId="0" borderId="12" xfId="4" applyFont="1" applyBorder="1" applyAlignment="1">
      <alignment horizontal="left" vertical="center"/>
    </xf>
    <xf numFmtId="0" fontId="22" fillId="0" borderId="13" xfId="4" applyFont="1" applyBorder="1" applyAlignment="1">
      <alignment horizontal="left" vertical="center"/>
    </xf>
    <xf numFmtId="0" fontId="9" fillId="2" borderId="5" xfId="4" applyFont="1" applyFill="1" applyBorder="1" applyAlignment="1">
      <alignment horizontal="center" vertical="center"/>
    </xf>
    <xf numFmtId="0" fontId="9" fillId="2" borderId="6" xfId="4" applyFont="1" applyFill="1" applyBorder="1" applyAlignment="1">
      <alignment horizontal="center" vertical="center"/>
    </xf>
    <xf numFmtId="0" fontId="9" fillId="2" borderId="7" xfId="4" applyFont="1" applyFill="1" applyBorder="1" applyAlignment="1">
      <alignment horizontal="center" vertical="center"/>
    </xf>
    <xf numFmtId="0" fontId="9" fillId="2" borderId="11" xfId="4" applyFont="1" applyFill="1" applyBorder="1" applyAlignment="1">
      <alignment horizontal="center" vertical="center"/>
    </xf>
    <xf numFmtId="0" fontId="9" fillId="2" borderId="12" xfId="4" applyFont="1" applyFill="1" applyBorder="1" applyAlignment="1">
      <alignment horizontal="center" vertical="center"/>
    </xf>
    <xf numFmtId="0" fontId="9" fillId="2" borderId="13" xfId="4" applyFont="1" applyFill="1" applyBorder="1" applyAlignment="1">
      <alignment horizontal="center" vertical="center"/>
    </xf>
    <xf numFmtId="0" fontId="9" fillId="2" borderId="20" xfId="4" applyFont="1" applyFill="1" applyBorder="1" applyAlignment="1">
      <alignment horizontal="center" vertical="center"/>
    </xf>
    <xf numFmtId="0" fontId="9" fillId="2" borderId="21" xfId="4" applyFont="1" applyFill="1" applyBorder="1" applyAlignment="1">
      <alignment horizontal="center" vertical="center"/>
    </xf>
    <xf numFmtId="177" fontId="11" fillId="2" borderId="22" xfId="4" applyNumberFormat="1" applyFont="1" applyFill="1" applyBorder="1" applyAlignment="1">
      <alignment horizontal="center" vertical="center"/>
    </xf>
    <xf numFmtId="177" fontId="11" fillId="2" borderId="23" xfId="4" applyNumberFormat="1" applyFont="1" applyFill="1" applyBorder="1" applyAlignment="1">
      <alignment horizontal="center" vertical="center"/>
    </xf>
    <xf numFmtId="177" fontId="11" fillId="2" borderId="24" xfId="4" applyNumberFormat="1" applyFont="1" applyFill="1" applyBorder="1" applyAlignment="1">
      <alignment horizontal="center" vertical="center"/>
    </xf>
    <xf numFmtId="0" fontId="11" fillId="2" borderId="20" xfId="4" applyFont="1" applyFill="1" applyBorder="1" applyAlignment="1">
      <alignment horizontal="center" vertical="center"/>
    </xf>
    <xf numFmtId="0" fontId="11" fillId="2" borderId="23" xfId="4" applyFont="1" applyFill="1" applyBorder="1" applyAlignment="1">
      <alignment horizontal="center" vertical="center"/>
    </xf>
    <xf numFmtId="0" fontId="11" fillId="2" borderId="24" xfId="4" applyFont="1" applyFill="1" applyBorder="1" applyAlignment="1">
      <alignment horizontal="center" vertical="center"/>
    </xf>
    <xf numFmtId="0" fontId="9" fillId="2" borderId="28" xfId="4" applyFont="1" applyFill="1" applyBorder="1" applyAlignment="1">
      <alignment horizontal="center" vertical="center"/>
    </xf>
    <xf numFmtId="0" fontId="9" fillId="2" borderId="29" xfId="4" applyFont="1" applyFill="1" applyBorder="1" applyAlignment="1">
      <alignment horizontal="center" vertical="center"/>
    </xf>
    <xf numFmtId="177" fontId="11" fillId="2" borderId="30" xfId="4" applyNumberFormat="1" applyFont="1" applyFill="1" applyBorder="1" applyAlignment="1">
      <alignment horizontal="center" vertical="center"/>
    </xf>
    <xf numFmtId="177" fontId="11" fillId="2" borderId="31" xfId="4" applyNumberFormat="1" applyFont="1" applyFill="1" applyBorder="1" applyAlignment="1">
      <alignment horizontal="center" vertical="center"/>
    </xf>
    <xf numFmtId="177" fontId="11" fillId="2" borderId="32" xfId="4" applyNumberFormat="1" applyFont="1" applyFill="1" applyBorder="1" applyAlignment="1">
      <alignment horizontal="center" vertical="center"/>
    </xf>
    <xf numFmtId="0" fontId="11" fillId="2" borderId="28" xfId="4" applyFont="1" applyFill="1" applyBorder="1" applyAlignment="1">
      <alignment horizontal="center" vertical="center"/>
    </xf>
    <xf numFmtId="0" fontId="11" fillId="2" borderId="31" xfId="4" applyFont="1" applyFill="1" applyBorder="1" applyAlignment="1">
      <alignment horizontal="center" vertical="center"/>
    </xf>
    <xf numFmtId="0" fontId="11" fillId="2" borderId="32" xfId="4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left" vertical="center"/>
    </xf>
    <xf numFmtId="176" fontId="11" fillId="0" borderId="1" xfId="2" applyNumberFormat="1" applyFont="1" applyBorder="1" applyAlignment="1">
      <alignment horizontal="center" vertical="center"/>
    </xf>
    <xf numFmtId="176" fontId="11" fillId="0" borderId="2" xfId="2" applyNumberFormat="1" applyFont="1" applyBorder="1" applyAlignment="1">
      <alignment horizontal="center" vertical="center"/>
    </xf>
    <xf numFmtId="176" fontId="11" fillId="0" borderId="4" xfId="2" applyNumberFormat="1" applyFont="1" applyBorder="1" applyAlignment="1">
      <alignment horizontal="center" vertical="center"/>
    </xf>
    <xf numFmtId="0" fontId="9" fillId="0" borderId="3" xfId="2" applyFont="1" applyBorder="1" applyAlignment="1">
      <alignment horizontal="left" vertical="center"/>
    </xf>
    <xf numFmtId="0" fontId="9" fillId="0" borderId="1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10" fillId="3" borderId="1" xfId="2" applyFont="1" applyFill="1" applyBorder="1" applyAlignment="1">
      <alignment horizontal="left" vertical="center"/>
    </xf>
    <xf numFmtId="0" fontId="10" fillId="3" borderId="4" xfId="2" applyFont="1" applyFill="1" applyBorder="1" applyAlignment="1">
      <alignment horizontal="left" vertical="center"/>
    </xf>
    <xf numFmtId="0" fontId="10" fillId="3" borderId="1" xfId="2" applyFont="1" applyFill="1" applyBorder="1">
      <alignment vertical="center"/>
    </xf>
    <xf numFmtId="0" fontId="10" fillId="3" borderId="2" xfId="2" applyFont="1" applyFill="1" applyBorder="1">
      <alignment vertical="center"/>
    </xf>
    <xf numFmtId="0" fontId="10" fillId="3" borderId="4" xfId="2" applyFont="1" applyFill="1" applyBorder="1">
      <alignment vertical="center"/>
    </xf>
    <xf numFmtId="0" fontId="9" fillId="0" borderId="1" xfId="2" applyFont="1" applyBorder="1" applyAlignment="1">
      <alignment horizontal="left" vertical="center"/>
    </xf>
    <xf numFmtId="0" fontId="9" fillId="0" borderId="4" xfId="2" applyFont="1" applyBorder="1" applyAlignment="1">
      <alignment horizontal="left" vertical="center"/>
    </xf>
    <xf numFmtId="0" fontId="12" fillId="0" borderId="1" xfId="2" applyFont="1" applyBorder="1" applyAlignment="1">
      <alignment horizontal="left" vertical="center"/>
    </xf>
    <xf numFmtId="0" fontId="12" fillId="0" borderId="2" xfId="2" applyFont="1" applyBorder="1" applyAlignment="1">
      <alignment horizontal="left" vertical="center"/>
    </xf>
    <xf numFmtId="0" fontId="12" fillId="0" borderId="4" xfId="2" applyFont="1" applyBorder="1" applyAlignment="1">
      <alignment horizontal="left" vertical="center"/>
    </xf>
    <xf numFmtId="0" fontId="9" fillId="0" borderId="2" xfId="2" applyFont="1" applyBorder="1" applyAlignment="1">
      <alignment horizontal="left" vertical="center"/>
    </xf>
    <xf numFmtId="0" fontId="13" fillId="3" borderId="1" xfId="3" applyFont="1" applyFill="1" applyBorder="1" applyAlignment="1">
      <alignment vertical="center"/>
    </xf>
    <xf numFmtId="0" fontId="13" fillId="3" borderId="2" xfId="3" applyFont="1" applyFill="1" applyBorder="1" applyAlignment="1">
      <alignment vertical="center"/>
    </xf>
    <xf numFmtId="0" fontId="13" fillId="3" borderId="4" xfId="3" applyFont="1" applyFill="1" applyBorder="1" applyAlignment="1">
      <alignment vertical="center"/>
    </xf>
    <xf numFmtId="0" fontId="13" fillId="3" borderId="1" xfId="3" applyFont="1" applyFill="1" applyBorder="1" applyAlignment="1">
      <alignment horizontal="center" vertical="center"/>
    </xf>
    <xf numFmtId="0" fontId="13" fillId="3" borderId="4" xfId="3" applyFont="1" applyFill="1" applyBorder="1" applyAlignment="1">
      <alignment horizontal="center" vertical="center"/>
    </xf>
    <xf numFmtId="0" fontId="13" fillId="3" borderId="2" xfId="3" applyFont="1" applyFill="1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11" fillId="0" borderId="4" xfId="3" applyFont="1" applyBorder="1" applyAlignment="1">
      <alignment horizontal="center" vertical="center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4" xfId="3" applyFont="1" applyBorder="1" applyAlignment="1">
      <alignment vertical="center"/>
    </xf>
    <xf numFmtId="49" fontId="11" fillId="0" borderId="1" xfId="3" applyNumberFormat="1" applyFont="1" applyBorder="1" applyAlignment="1">
      <alignment horizontal="center" vertical="center"/>
    </xf>
    <xf numFmtId="49" fontId="11" fillId="0" borderId="2" xfId="3" applyNumberFormat="1" applyFont="1" applyBorder="1" applyAlignment="1">
      <alignment horizontal="center" vertical="center"/>
    </xf>
    <xf numFmtId="49" fontId="11" fillId="0" borderId="4" xfId="3" applyNumberFormat="1" applyFont="1" applyBorder="1" applyAlignment="1">
      <alignment horizontal="center" vertical="center"/>
    </xf>
    <xf numFmtId="0" fontId="11" fillId="0" borderId="3" xfId="3" applyFont="1" applyBorder="1" applyAlignment="1">
      <alignment horizontal="center" vertical="center"/>
    </xf>
    <xf numFmtId="0" fontId="11" fillId="0" borderId="2" xfId="3" applyFont="1" applyBorder="1" applyAlignment="1">
      <alignment horizontal="center" vertical="center"/>
    </xf>
    <xf numFmtId="0" fontId="11" fillId="0" borderId="1" xfId="3" applyFont="1" applyBorder="1" applyAlignment="1">
      <alignment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4" fillId="0" borderId="1" xfId="2" applyFont="1" applyBorder="1">
      <alignment vertical="center"/>
    </xf>
    <xf numFmtId="0" fontId="14" fillId="0" borderId="2" xfId="2" applyFont="1" applyBorder="1">
      <alignment vertical="center"/>
    </xf>
    <xf numFmtId="0" fontId="14" fillId="0" borderId="4" xfId="2" applyFont="1" applyBorder="1">
      <alignment vertical="center"/>
    </xf>
    <xf numFmtId="0" fontId="10" fillId="3" borderId="1" xfId="2" applyFont="1" applyFill="1" applyBorder="1" applyAlignment="1">
      <alignment horizontal="left" vertical="center" wrapText="1"/>
    </xf>
    <xf numFmtId="0" fontId="10" fillId="3" borderId="2" xfId="2" applyFont="1" applyFill="1" applyBorder="1" applyAlignment="1">
      <alignment horizontal="left" vertical="center" wrapText="1"/>
    </xf>
    <xf numFmtId="0" fontId="10" fillId="3" borderId="4" xfId="2" applyFont="1" applyFill="1" applyBorder="1" applyAlignment="1">
      <alignment horizontal="left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24" fillId="0" borderId="3" xfId="2" applyFont="1" applyBorder="1" applyAlignment="1">
      <alignment horizontal="center" vertical="center"/>
    </xf>
    <xf numFmtId="49" fontId="24" fillId="0" borderId="3" xfId="2" applyNumberFormat="1" applyFont="1" applyBorder="1" applyAlignment="1">
      <alignment horizontal="left" vertical="center"/>
    </xf>
    <xf numFmtId="49" fontId="24" fillId="0" borderId="3" xfId="2" applyNumberFormat="1" applyFont="1" applyBorder="1">
      <alignment vertical="center"/>
    </xf>
    <xf numFmtId="49" fontId="24" fillId="0" borderId="3" xfId="2" applyNumberFormat="1" applyFont="1" applyBorder="1" applyAlignment="1">
      <alignment horizontal="right" vertical="center"/>
    </xf>
  </cellXfs>
  <cellStyles count="10">
    <cellStyle name="標準" xfId="0" builtinId="0"/>
    <cellStyle name="標準 2" xfId="2" xr:uid="{00000000-0005-0000-0000-000001000000}"/>
    <cellStyle name="標準 2 2" xfId="4" xr:uid="{00000000-0005-0000-0000-000002000000}"/>
    <cellStyle name="標準 2 2 2" xfId="9" xr:uid="{D6043725-E90D-4315-973B-9480C8430BC0}"/>
    <cellStyle name="標準 2 4" xfId="8" xr:uid="{545CB2B1-B447-4418-8BDD-A740000F336A}"/>
    <cellStyle name="標準 21" xfId="1" xr:uid="{00000000-0005-0000-0000-000003000000}"/>
    <cellStyle name="標準 21 2" xfId="7" xr:uid="{00000000-0005-0000-0000-000004000000}"/>
    <cellStyle name="標準 3" xfId="5" xr:uid="{00000000-0005-0000-0000-000005000000}"/>
    <cellStyle name="標準 4" xfId="3" xr:uid="{00000000-0005-0000-0000-000006000000}"/>
    <cellStyle name="標準 6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2"/>
  <sheetViews>
    <sheetView showGridLines="0" zoomScaleNormal="100" workbookViewId="0">
      <selection activeCell="A7" sqref="A7:BI7"/>
    </sheetView>
  </sheetViews>
  <sheetFormatPr defaultColWidth="2.33203125" defaultRowHeight="15" customHeight="1"/>
  <cols>
    <col min="1" max="16384" width="2.33203125" style="14"/>
  </cols>
  <sheetData>
    <row r="1" spans="1:68" s="15" customFormat="1" ht="15" customHeight="1" thickBot="1">
      <c r="A1" s="42" t="s">
        <v>0</v>
      </c>
      <c r="B1" s="43"/>
      <c r="C1" s="43"/>
      <c r="D1" s="43"/>
      <c r="E1" s="44"/>
      <c r="F1" s="45" t="s">
        <v>57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7"/>
      <c r="W1" s="48" t="s">
        <v>1</v>
      </c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50"/>
      <c r="AR1" s="48" t="s">
        <v>2</v>
      </c>
      <c r="AS1" s="49"/>
      <c r="AT1" s="49"/>
      <c r="AU1" s="49"/>
      <c r="AV1" s="49"/>
      <c r="AW1" s="49"/>
      <c r="AX1" s="49"/>
      <c r="AY1" s="49"/>
      <c r="AZ1" s="50"/>
      <c r="BA1" s="48" t="s">
        <v>3</v>
      </c>
      <c r="BB1" s="49"/>
      <c r="BC1" s="49"/>
      <c r="BD1" s="49"/>
      <c r="BE1" s="49"/>
      <c r="BF1" s="49"/>
      <c r="BG1" s="49"/>
      <c r="BH1" s="49"/>
      <c r="BI1" s="50"/>
      <c r="BJ1" s="14"/>
      <c r="BK1" s="14"/>
      <c r="BL1" s="14"/>
      <c r="BM1" s="14"/>
      <c r="BN1" s="14"/>
      <c r="BO1" s="14"/>
      <c r="BP1" s="14"/>
    </row>
    <row r="2" spans="1:68" s="15" customFormat="1" ht="15" customHeight="1">
      <c r="A2" s="51" t="s">
        <v>4</v>
      </c>
      <c r="B2" s="52"/>
      <c r="C2" s="52"/>
      <c r="D2" s="52"/>
      <c r="E2" s="53"/>
      <c r="F2" s="57" t="str" cm="1">
        <f t="array" aca="1" ref="F2" ca="1">SUBSTITUTE(MID(CELL("filename"),FIND("[",CELL("filename"))+1,FIND("]",CELL("filename"))-FIND("[",CELL("filename"))-1),".xlsx","")</f>
        <v>【テーブル定義書】SJ_PlatsAllocationTransferTmp_配賦直課データ連携Tmp</v>
      </c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9"/>
      <c r="W2" s="63" t="s">
        <v>5</v>
      </c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5"/>
      <c r="AR2" s="69" t="s">
        <v>6</v>
      </c>
      <c r="AS2" s="70"/>
      <c r="AT2" s="71">
        <f>A6</f>
        <v>45672</v>
      </c>
      <c r="AU2" s="72"/>
      <c r="AV2" s="72"/>
      <c r="AW2" s="72"/>
      <c r="AX2" s="72"/>
      <c r="AY2" s="72"/>
      <c r="AZ2" s="73"/>
      <c r="BA2" s="74" t="str">
        <f>AZ6</f>
        <v>JBS高</v>
      </c>
      <c r="BB2" s="75"/>
      <c r="BC2" s="75"/>
      <c r="BD2" s="75"/>
      <c r="BE2" s="75"/>
      <c r="BF2" s="75"/>
      <c r="BG2" s="75"/>
      <c r="BH2" s="75"/>
      <c r="BI2" s="76"/>
      <c r="BJ2" s="14"/>
      <c r="BK2" s="14"/>
      <c r="BL2" s="14"/>
      <c r="BM2" s="14"/>
      <c r="BN2" s="14"/>
      <c r="BO2" s="14"/>
      <c r="BP2" s="14"/>
    </row>
    <row r="3" spans="1:68" s="15" customFormat="1" ht="15" customHeight="1" thickBot="1">
      <c r="A3" s="54"/>
      <c r="B3" s="55"/>
      <c r="C3" s="55"/>
      <c r="D3" s="55"/>
      <c r="E3" s="56"/>
      <c r="F3" s="60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2"/>
      <c r="W3" s="66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8"/>
      <c r="AR3" s="77" t="s">
        <v>7</v>
      </c>
      <c r="AS3" s="78"/>
      <c r="AT3" s="79" cm="1">
        <f t="array" aca="1" ref="AT3" ca="1">IF(OR(COUNTA(A:E)=3),"",INDIRECT("A"&amp;COUNTA(A:E)+2))</f>
        <v>45819</v>
      </c>
      <c r="AU3" s="80"/>
      <c r="AV3" s="80"/>
      <c r="AW3" s="80"/>
      <c r="AX3" s="80"/>
      <c r="AY3" s="80"/>
      <c r="AZ3" s="81"/>
      <c r="BA3" s="82" t="str">
        <f ca="1">IF(COUNTA(AZ5:BD100000)=1,"",INDIRECT("変更履歴!AZ"&amp;COUNTA(AZ5:BD100000)+4))</f>
        <v>JBS石岡</v>
      </c>
      <c r="BB3" s="83"/>
      <c r="BC3" s="83"/>
      <c r="BD3" s="83"/>
      <c r="BE3" s="83"/>
      <c r="BF3" s="83"/>
      <c r="BG3" s="83"/>
      <c r="BH3" s="83"/>
      <c r="BI3" s="84"/>
      <c r="BJ3" s="14"/>
      <c r="BK3" s="14"/>
      <c r="BL3" s="14"/>
      <c r="BM3" s="14"/>
      <c r="BN3" s="14"/>
      <c r="BO3" s="14"/>
      <c r="BP3" s="14"/>
    </row>
    <row r="4" spans="1:68" ht="15" customHeight="1" thickBo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</row>
    <row r="5" spans="1:68" s="17" customFormat="1" ht="15" customHeight="1" thickBot="1">
      <c r="A5" s="35" t="s">
        <v>8</v>
      </c>
      <c r="B5" s="35"/>
      <c r="C5" s="35"/>
      <c r="D5" s="35"/>
      <c r="E5" s="35"/>
      <c r="F5" s="35" t="s">
        <v>9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 t="s">
        <v>10</v>
      </c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 t="s">
        <v>11</v>
      </c>
      <c r="BA5" s="35"/>
      <c r="BB5" s="35"/>
      <c r="BC5" s="35"/>
      <c r="BD5" s="35"/>
      <c r="BE5" s="35" t="s">
        <v>12</v>
      </c>
      <c r="BF5" s="35"/>
      <c r="BG5" s="35"/>
      <c r="BH5" s="35"/>
      <c r="BI5" s="35"/>
    </row>
    <row r="6" spans="1:68" ht="13.5">
      <c r="A6" s="36">
        <v>45672</v>
      </c>
      <c r="B6" s="36"/>
      <c r="C6" s="36"/>
      <c r="D6" s="36"/>
      <c r="E6" s="36"/>
      <c r="F6" s="37" t="s">
        <v>58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 t="s">
        <v>58</v>
      </c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9" t="s">
        <v>73</v>
      </c>
      <c r="BA6" s="39"/>
      <c r="BB6" s="39"/>
      <c r="BC6" s="39"/>
      <c r="BD6" s="39"/>
      <c r="BE6" s="40" t="s">
        <v>59</v>
      </c>
      <c r="BF6" s="41"/>
      <c r="BG6" s="41"/>
      <c r="BH6" s="41"/>
      <c r="BI6" s="41"/>
    </row>
    <row r="7" spans="1:68" ht="13.5">
      <c r="A7" s="24">
        <v>45819</v>
      </c>
      <c r="B7" s="24"/>
      <c r="C7" s="24"/>
      <c r="D7" s="24"/>
      <c r="E7" s="24"/>
      <c r="F7" s="25" t="s">
        <v>146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34" t="s">
        <v>147</v>
      </c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39" t="s">
        <v>148</v>
      </c>
      <c r="BA7" s="39"/>
      <c r="BB7" s="39"/>
      <c r="BC7" s="39"/>
      <c r="BD7" s="39"/>
      <c r="BE7" s="40" t="s">
        <v>149</v>
      </c>
      <c r="BF7" s="41"/>
      <c r="BG7" s="41"/>
      <c r="BH7" s="41"/>
      <c r="BI7" s="41"/>
    </row>
    <row r="8" spans="1:68" ht="13.5">
      <c r="A8" s="24"/>
      <c r="B8" s="24"/>
      <c r="C8" s="24"/>
      <c r="D8" s="24"/>
      <c r="E8" s="24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7"/>
      <c r="BA8" s="27"/>
      <c r="BB8" s="27"/>
      <c r="BC8" s="27"/>
      <c r="BD8" s="27"/>
      <c r="BE8" s="28"/>
      <c r="BF8" s="28"/>
      <c r="BG8" s="28"/>
      <c r="BH8" s="28"/>
      <c r="BI8" s="28"/>
    </row>
    <row r="9" spans="1:68" ht="13.5">
      <c r="A9" s="24"/>
      <c r="B9" s="24"/>
      <c r="C9" s="24"/>
      <c r="D9" s="24"/>
      <c r="E9" s="24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34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7"/>
      <c r="BA9" s="27"/>
      <c r="BB9" s="27"/>
      <c r="BC9" s="27"/>
      <c r="BD9" s="27"/>
      <c r="BE9" s="28"/>
      <c r="BF9" s="28"/>
      <c r="BG9" s="28"/>
      <c r="BH9" s="28"/>
      <c r="BI9" s="28"/>
    </row>
    <row r="10" spans="1:68" ht="15" customHeight="1">
      <c r="A10" s="24"/>
      <c r="B10" s="24"/>
      <c r="C10" s="24"/>
      <c r="D10" s="24"/>
      <c r="E10" s="24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7"/>
      <c r="BA10" s="27"/>
      <c r="BB10" s="27"/>
      <c r="BC10" s="27"/>
      <c r="BD10" s="27"/>
      <c r="BE10" s="28"/>
      <c r="BF10" s="28"/>
      <c r="BG10" s="28"/>
      <c r="BH10" s="28"/>
      <c r="BI10" s="28"/>
    </row>
    <row r="11" spans="1:68" ht="15" customHeight="1">
      <c r="A11" s="24"/>
      <c r="B11" s="24"/>
      <c r="C11" s="24"/>
      <c r="D11" s="24"/>
      <c r="E11" s="24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7"/>
      <c r="BA11" s="27"/>
      <c r="BB11" s="27"/>
      <c r="BC11" s="27"/>
      <c r="BD11" s="27"/>
      <c r="BE11" s="28"/>
      <c r="BF11" s="28"/>
      <c r="BG11" s="28"/>
      <c r="BH11" s="28"/>
      <c r="BI11" s="28"/>
    </row>
    <row r="12" spans="1:68" ht="15" customHeight="1">
      <c r="A12" s="24"/>
      <c r="B12" s="24"/>
      <c r="C12" s="24"/>
      <c r="D12" s="24"/>
      <c r="E12" s="24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7"/>
      <c r="BA12" s="27"/>
      <c r="BB12" s="27"/>
      <c r="BC12" s="27"/>
      <c r="BD12" s="27"/>
      <c r="BE12" s="28"/>
      <c r="BF12" s="28"/>
      <c r="BG12" s="28"/>
      <c r="BH12" s="28"/>
      <c r="BI12" s="28"/>
    </row>
    <row r="13" spans="1:68" ht="15" customHeight="1">
      <c r="A13" s="24"/>
      <c r="B13" s="24"/>
      <c r="C13" s="24"/>
      <c r="D13" s="24"/>
      <c r="E13" s="24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7"/>
      <c r="BA13" s="27"/>
      <c r="BB13" s="27"/>
      <c r="BC13" s="27"/>
      <c r="BD13" s="27"/>
      <c r="BE13" s="28"/>
      <c r="BF13" s="28"/>
      <c r="BG13" s="28"/>
      <c r="BH13" s="28"/>
      <c r="BI13" s="28"/>
    </row>
    <row r="14" spans="1:68" ht="15" customHeight="1">
      <c r="A14" s="24"/>
      <c r="B14" s="24"/>
      <c r="C14" s="24"/>
      <c r="D14" s="24"/>
      <c r="E14" s="24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7"/>
      <c r="BA14" s="27"/>
      <c r="BB14" s="27"/>
      <c r="BC14" s="27"/>
      <c r="BD14" s="27"/>
      <c r="BE14" s="28"/>
      <c r="BF14" s="28"/>
      <c r="BG14" s="28"/>
      <c r="BH14" s="28"/>
      <c r="BI14" s="28"/>
    </row>
    <row r="15" spans="1:68" ht="15" customHeight="1">
      <c r="A15" s="24"/>
      <c r="B15" s="24"/>
      <c r="C15" s="24"/>
      <c r="D15" s="24"/>
      <c r="E15" s="24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7"/>
      <c r="BA15" s="27"/>
      <c r="BB15" s="27"/>
      <c r="BC15" s="27"/>
      <c r="BD15" s="27"/>
      <c r="BE15" s="28"/>
      <c r="BF15" s="28"/>
      <c r="BG15" s="28"/>
      <c r="BH15" s="28"/>
      <c r="BI15" s="28"/>
    </row>
    <row r="16" spans="1:68" ht="15" customHeight="1">
      <c r="A16" s="24"/>
      <c r="B16" s="24"/>
      <c r="C16" s="24"/>
      <c r="D16" s="24"/>
      <c r="E16" s="24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7"/>
      <c r="BA16" s="27"/>
      <c r="BB16" s="27"/>
      <c r="BC16" s="27"/>
      <c r="BD16" s="27"/>
      <c r="BE16" s="28"/>
      <c r="BF16" s="28"/>
      <c r="BG16" s="28"/>
      <c r="BH16" s="28"/>
      <c r="BI16" s="28"/>
    </row>
    <row r="17" spans="1:61" ht="15" customHeight="1">
      <c r="A17" s="24"/>
      <c r="B17" s="24"/>
      <c r="C17" s="24"/>
      <c r="D17" s="24"/>
      <c r="E17" s="24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7"/>
      <c r="BA17" s="27"/>
      <c r="BB17" s="27"/>
      <c r="BC17" s="27"/>
      <c r="BD17" s="27"/>
      <c r="BE17" s="28"/>
      <c r="BF17" s="28"/>
      <c r="BG17" s="28"/>
      <c r="BH17" s="28"/>
      <c r="BI17" s="28"/>
    </row>
    <row r="18" spans="1:61" ht="15" customHeight="1">
      <c r="A18" s="24"/>
      <c r="B18" s="24"/>
      <c r="C18" s="24"/>
      <c r="D18" s="24"/>
      <c r="E18" s="24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7"/>
      <c r="BA18" s="27"/>
      <c r="BB18" s="27"/>
      <c r="BC18" s="27"/>
      <c r="BD18" s="27"/>
      <c r="BE18" s="28"/>
      <c r="BF18" s="28"/>
      <c r="BG18" s="28"/>
      <c r="BH18" s="28"/>
      <c r="BI18" s="28"/>
    </row>
    <row r="19" spans="1:61" ht="15" customHeight="1">
      <c r="A19" s="24"/>
      <c r="B19" s="24"/>
      <c r="C19" s="24"/>
      <c r="D19" s="24"/>
      <c r="E19" s="24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7"/>
      <c r="BA19" s="27"/>
      <c r="BB19" s="27"/>
      <c r="BC19" s="27"/>
      <c r="BD19" s="27"/>
      <c r="BE19" s="28"/>
      <c r="BF19" s="28"/>
      <c r="BG19" s="28"/>
      <c r="BH19" s="28"/>
      <c r="BI19" s="28"/>
    </row>
    <row r="20" spans="1:61" ht="15" customHeight="1">
      <c r="A20" s="24"/>
      <c r="B20" s="24"/>
      <c r="C20" s="24"/>
      <c r="D20" s="24"/>
      <c r="E20" s="24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7"/>
      <c r="BA20" s="27"/>
      <c r="BB20" s="27"/>
      <c r="BC20" s="27"/>
      <c r="BD20" s="27"/>
      <c r="BE20" s="28"/>
      <c r="BF20" s="28"/>
      <c r="BG20" s="28"/>
      <c r="BH20" s="28"/>
      <c r="BI20" s="28"/>
    </row>
    <row r="21" spans="1:61" ht="15" customHeight="1">
      <c r="A21" s="24"/>
      <c r="B21" s="24"/>
      <c r="C21" s="24"/>
      <c r="D21" s="24"/>
      <c r="E21" s="24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7"/>
      <c r="BA21" s="27"/>
      <c r="BB21" s="27"/>
      <c r="BC21" s="27"/>
      <c r="BD21" s="27"/>
      <c r="BE21" s="28"/>
      <c r="BF21" s="28"/>
      <c r="BG21" s="28"/>
      <c r="BH21" s="28"/>
      <c r="BI21" s="28"/>
    </row>
    <row r="22" spans="1:61" ht="15" customHeight="1" thickBot="1">
      <c r="A22" s="29"/>
      <c r="B22" s="29"/>
      <c r="C22" s="29"/>
      <c r="D22" s="29"/>
      <c r="E22" s="29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2"/>
      <c r="BA22" s="32"/>
      <c r="BB22" s="32"/>
      <c r="BC22" s="32"/>
      <c r="BD22" s="32"/>
      <c r="BE22" s="33"/>
      <c r="BF22" s="33"/>
      <c r="BG22" s="33"/>
      <c r="BH22" s="33"/>
      <c r="BI22" s="33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</mergeCells>
  <phoneticPr fontId="3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M51"/>
  <sheetViews>
    <sheetView showGridLines="0" tabSelected="1" zoomScale="115" zoomScaleNormal="115" zoomScaleSheetLayoutView="89" workbookViewId="0">
      <selection activeCell="G20" sqref="G20:H20"/>
    </sheetView>
  </sheetViews>
  <sheetFormatPr defaultColWidth="9" defaultRowHeight="12.5"/>
  <cols>
    <col min="1" max="1" width="0.83203125" style="18" customWidth="1"/>
    <col min="2" max="2" width="3.75" style="18" bestFit="1" customWidth="1"/>
    <col min="3" max="3" width="18.58203125" style="18" customWidth="1"/>
    <col min="4" max="4" width="14.08203125" style="18" bestFit="1" customWidth="1"/>
    <col min="5" max="5" width="28.25" style="18" customWidth="1"/>
    <col min="6" max="6" width="9.75" style="18" customWidth="1"/>
    <col min="7" max="7" width="32.25" style="18" customWidth="1"/>
    <col min="8" max="8" width="8.75" style="18" customWidth="1"/>
    <col min="9" max="10" width="5.33203125" style="18" customWidth="1"/>
    <col min="11" max="11" width="2.58203125" style="18" customWidth="1"/>
    <col min="12" max="12" width="17" style="18" customWidth="1"/>
    <col min="13" max="13" width="23.25" style="18" customWidth="1"/>
    <col min="14" max="14" width="0.83203125" style="18" customWidth="1"/>
    <col min="15" max="16384" width="9" style="18"/>
  </cols>
  <sheetData>
    <row r="1" spans="2:13" ht="5.15" customHeight="1"/>
    <row r="2" spans="2:13">
      <c r="B2" s="87" t="s">
        <v>13</v>
      </c>
      <c r="C2" s="87"/>
      <c r="D2" s="87"/>
      <c r="E2" s="87" t="s">
        <v>14</v>
      </c>
      <c r="F2" s="87"/>
      <c r="G2" s="19" t="s">
        <v>15</v>
      </c>
      <c r="H2" s="88">
        <v>45672</v>
      </c>
      <c r="I2" s="89"/>
      <c r="J2" s="89"/>
      <c r="K2" s="90"/>
      <c r="L2" s="9" t="s">
        <v>16</v>
      </c>
      <c r="M2" s="5">
        <v>45672</v>
      </c>
    </row>
    <row r="3" spans="2:13">
      <c r="B3" s="91" t="s">
        <v>72</v>
      </c>
      <c r="C3" s="91"/>
      <c r="D3" s="91"/>
      <c r="E3" s="91" t="s">
        <v>60</v>
      </c>
      <c r="F3" s="91"/>
      <c r="G3" s="19" t="s">
        <v>17</v>
      </c>
      <c r="H3" s="92" t="str">
        <f>変更履歴!BA2</f>
        <v>JBS高</v>
      </c>
      <c r="I3" s="93"/>
      <c r="J3" s="93"/>
      <c r="K3" s="94"/>
      <c r="L3" s="9" t="s">
        <v>18</v>
      </c>
      <c r="M3" s="2" t="str">
        <f ca="1">変更履歴!BA3</f>
        <v>JBS石岡</v>
      </c>
    </row>
    <row r="4" spans="2:13">
      <c r="B4" s="87" t="s">
        <v>19</v>
      </c>
      <c r="C4" s="87"/>
      <c r="D4" s="8" t="s">
        <v>20</v>
      </c>
      <c r="E4" s="95" t="s">
        <v>21</v>
      </c>
      <c r="F4" s="96"/>
      <c r="G4" s="19" t="s">
        <v>22</v>
      </c>
      <c r="H4" s="97" t="s">
        <v>23</v>
      </c>
      <c r="I4" s="98"/>
      <c r="J4" s="98"/>
      <c r="K4" s="99"/>
      <c r="L4" s="19" t="s">
        <v>24</v>
      </c>
      <c r="M4" s="10"/>
    </row>
    <row r="5" spans="2:13">
      <c r="B5" s="91" t="s">
        <v>70</v>
      </c>
      <c r="C5" s="91"/>
      <c r="D5" s="1" t="s">
        <v>71</v>
      </c>
      <c r="E5" s="100" t="s">
        <v>69</v>
      </c>
      <c r="F5" s="101"/>
      <c r="G5" s="20" t="s">
        <v>65</v>
      </c>
      <c r="H5" s="102" t="s">
        <v>66</v>
      </c>
      <c r="I5" s="103"/>
      <c r="J5" s="103"/>
      <c r="K5" s="104"/>
      <c r="L5" s="20" t="s">
        <v>61</v>
      </c>
      <c r="M5" s="21"/>
    </row>
    <row r="6" spans="2:13" ht="5.15" customHeight="1"/>
    <row r="7" spans="2:13">
      <c r="B7" s="7" t="s">
        <v>25</v>
      </c>
      <c r="C7" s="7" t="s">
        <v>26</v>
      </c>
      <c r="D7" s="7" t="s">
        <v>20</v>
      </c>
      <c r="E7" s="7" t="s">
        <v>27</v>
      </c>
      <c r="F7" s="7" t="s">
        <v>28</v>
      </c>
      <c r="G7" s="7" t="s">
        <v>29</v>
      </c>
      <c r="H7" s="7" t="s">
        <v>30</v>
      </c>
      <c r="I7" s="7" t="s">
        <v>31</v>
      </c>
      <c r="J7" s="7" t="s">
        <v>32</v>
      </c>
      <c r="K7" s="85"/>
      <c r="L7" s="85"/>
      <c r="M7" s="86"/>
    </row>
    <row r="8" spans="2:13">
      <c r="B8" s="2">
        <f t="shared" ref="B8:B51" si="0">ROW()-7</f>
        <v>1</v>
      </c>
      <c r="C8" s="1" t="s">
        <v>132</v>
      </c>
      <c r="D8" s="1" t="s">
        <v>114</v>
      </c>
      <c r="E8" s="1" t="s">
        <v>75</v>
      </c>
      <c r="F8" s="23" t="s">
        <v>62</v>
      </c>
      <c r="G8" s="1" t="s">
        <v>93</v>
      </c>
      <c r="H8" s="3" t="s">
        <v>94</v>
      </c>
      <c r="I8" s="2" t="s">
        <v>63</v>
      </c>
      <c r="J8" s="2" t="s">
        <v>63</v>
      </c>
      <c r="K8" s="100"/>
      <c r="L8" s="105"/>
      <c r="M8" s="101"/>
    </row>
    <row r="9" spans="2:13">
      <c r="B9" s="2">
        <f t="shared" si="0"/>
        <v>2</v>
      </c>
      <c r="C9" s="1" t="s">
        <v>128</v>
      </c>
      <c r="D9" s="1" t="s">
        <v>127</v>
      </c>
      <c r="E9" s="1" t="s">
        <v>76</v>
      </c>
      <c r="F9" s="23" t="s">
        <v>91</v>
      </c>
      <c r="G9" s="1" t="s">
        <v>95</v>
      </c>
      <c r="H9" s="3" t="s">
        <v>142</v>
      </c>
      <c r="I9" s="2" t="s">
        <v>63</v>
      </c>
      <c r="J9" s="2" t="s">
        <v>63</v>
      </c>
      <c r="K9" s="100"/>
      <c r="L9" s="105"/>
      <c r="M9" s="101"/>
    </row>
    <row r="10" spans="2:13">
      <c r="B10" s="2">
        <f t="shared" si="0"/>
        <v>3</v>
      </c>
      <c r="C10" s="1" t="s">
        <v>145</v>
      </c>
      <c r="D10" s="1" t="s">
        <v>115</v>
      </c>
      <c r="E10" s="1" t="s">
        <v>77</v>
      </c>
      <c r="F10" s="23" t="s">
        <v>68</v>
      </c>
      <c r="G10" s="1" t="s">
        <v>96</v>
      </c>
      <c r="H10" s="3" t="s">
        <v>99</v>
      </c>
      <c r="I10" s="2" t="s">
        <v>63</v>
      </c>
      <c r="J10" s="2" t="s">
        <v>63</v>
      </c>
      <c r="K10" s="100"/>
      <c r="L10" s="105"/>
      <c r="M10" s="101"/>
    </row>
    <row r="11" spans="2:13">
      <c r="B11" s="2">
        <f t="shared" si="0"/>
        <v>4</v>
      </c>
      <c r="C11" s="1" t="s">
        <v>133</v>
      </c>
      <c r="D11" s="1" t="s">
        <v>116</v>
      </c>
      <c r="E11" s="1" t="s">
        <v>78</v>
      </c>
      <c r="F11" s="23" t="s">
        <v>68</v>
      </c>
      <c r="G11" s="1" t="s">
        <v>97</v>
      </c>
      <c r="H11" s="3" t="s">
        <v>99</v>
      </c>
      <c r="I11" s="2" t="s">
        <v>63</v>
      </c>
      <c r="J11" s="2" t="s">
        <v>63</v>
      </c>
      <c r="K11" s="100"/>
      <c r="L11" s="105"/>
      <c r="M11" s="101"/>
    </row>
    <row r="12" spans="2:13">
      <c r="B12" s="2">
        <f t="shared" si="0"/>
        <v>5</v>
      </c>
      <c r="C12" s="1" t="s">
        <v>144</v>
      </c>
      <c r="D12" s="1" t="s">
        <v>117</v>
      </c>
      <c r="E12" s="1" t="s">
        <v>79</v>
      </c>
      <c r="F12" s="23" t="s">
        <v>62</v>
      </c>
      <c r="G12" s="1" t="s">
        <v>98</v>
      </c>
      <c r="H12" s="3" t="s">
        <v>100</v>
      </c>
      <c r="I12" s="2" t="s">
        <v>63</v>
      </c>
      <c r="J12" s="2" t="s">
        <v>63</v>
      </c>
      <c r="K12" s="100"/>
      <c r="L12" s="105"/>
      <c r="M12" s="101"/>
    </row>
    <row r="13" spans="2:13">
      <c r="B13" s="2">
        <f t="shared" si="0"/>
        <v>6</v>
      </c>
      <c r="C13" s="1" t="s">
        <v>134</v>
      </c>
      <c r="D13" s="1" t="s">
        <v>118</v>
      </c>
      <c r="E13" s="1" t="s">
        <v>80</v>
      </c>
      <c r="F13" s="23" t="s">
        <v>91</v>
      </c>
      <c r="G13" s="1" t="s">
        <v>101</v>
      </c>
      <c r="H13" s="3" t="s">
        <v>99</v>
      </c>
      <c r="I13" s="2" t="s">
        <v>63</v>
      </c>
      <c r="J13" s="2" t="s">
        <v>63</v>
      </c>
      <c r="K13" s="100"/>
      <c r="L13" s="105"/>
      <c r="M13" s="101"/>
    </row>
    <row r="14" spans="2:13">
      <c r="B14" s="2">
        <f t="shared" si="0"/>
        <v>7</v>
      </c>
      <c r="C14" s="1" t="s">
        <v>135</v>
      </c>
      <c r="D14" s="1" t="s">
        <v>119</v>
      </c>
      <c r="E14" s="1" t="s">
        <v>81</v>
      </c>
      <c r="F14" s="23" t="s">
        <v>64</v>
      </c>
      <c r="G14" s="1" t="s">
        <v>102</v>
      </c>
      <c r="H14" s="3" t="s">
        <v>103</v>
      </c>
      <c r="I14" s="2" t="s">
        <v>63</v>
      </c>
      <c r="J14" s="2" t="s">
        <v>63</v>
      </c>
      <c r="K14" s="100"/>
      <c r="L14" s="105"/>
      <c r="M14" s="101"/>
    </row>
    <row r="15" spans="2:13">
      <c r="B15" s="2">
        <f t="shared" si="0"/>
        <v>8</v>
      </c>
      <c r="C15" s="1" t="s">
        <v>131</v>
      </c>
      <c r="D15" s="1" t="s">
        <v>120</v>
      </c>
      <c r="E15" s="1" t="s">
        <v>82</v>
      </c>
      <c r="F15" s="23" t="s">
        <v>62</v>
      </c>
      <c r="G15" s="1" t="s">
        <v>104</v>
      </c>
      <c r="H15" s="3" t="s">
        <v>105</v>
      </c>
      <c r="I15" s="2" t="s">
        <v>63</v>
      </c>
      <c r="J15" s="2" t="s">
        <v>63</v>
      </c>
      <c r="K15" s="100"/>
      <c r="L15" s="105"/>
      <c r="M15" s="101"/>
    </row>
    <row r="16" spans="2:13">
      <c r="B16" s="2">
        <f t="shared" si="0"/>
        <v>9</v>
      </c>
      <c r="C16" s="1" t="s">
        <v>136</v>
      </c>
      <c r="D16" s="1" t="s">
        <v>121</v>
      </c>
      <c r="E16" s="1" t="s">
        <v>83</v>
      </c>
      <c r="F16" s="23" t="s">
        <v>62</v>
      </c>
      <c r="G16" s="1" t="s">
        <v>106</v>
      </c>
      <c r="H16" s="3" t="s">
        <v>142</v>
      </c>
      <c r="I16" s="2" t="s">
        <v>63</v>
      </c>
      <c r="J16" s="2" t="s">
        <v>63</v>
      </c>
      <c r="K16" s="100"/>
      <c r="L16" s="105"/>
      <c r="M16" s="101"/>
    </row>
    <row r="17" spans="2:13">
      <c r="B17" s="134">
        <f t="shared" si="0"/>
        <v>10</v>
      </c>
      <c r="C17" s="135" t="s">
        <v>150</v>
      </c>
      <c r="D17" s="135" t="s">
        <v>153</v>
      </c>
      <c r="E17" s="135" t="s">
        <v>151</v>
      </c>
      <c r="F17" s="136" t="s">
        <v>62</v>
      </c>
      <c r="G17" s="135" t="s">
        <v>152</v>
      </c>
      <c r="H17" s="137" t="s">
        <v>142</v>
      </c>
      <c r="I17" s="134" t="s">
        <v>63</v>
      </c>
      <c r="J17" s="134" t="s">
        <v>63</v>
      </c>
      <c r="K17" s="100"/>
      <c r="L17" s="105"/>
      <c r="M17" s="101"/>
    </row>
    <row r="18" spans="2:13">
      <c r="B18" s="2">
        <f t="shared" si="0"/>
        <v>11</v>
      </c>
      <c r="C18" s="1" t="s">
        <v>137</v>
      </c>
      <c r="D18" s="1" t="s">
        <v>122</v>
      </c>
      <c r="E18" s="1" t="s">
        <v>84</v>
      </c>
      <c r="F18" s="23" t="s">
        <v>62</v>
      </c>
      <c r="G18" s="1" t="s">
        <v>107</v>
      </c>
      <c r="H18" s="3" t="s">
        <v>142</v>
      </c>
      <c r="I18" s="2" t="s">
        <v>63</v>
      </c>
      <c r="J18" s="2" t="s">
        <v>63</v>
      </c>
      <c r="K18" s="100"/>
      <c r="L18" s="105"/>
      <c r="M18" s="101"/>
    </row>
    <row r="19" spans="2:13">
      <c r="B19" s="2">
        <f t="shared" si="0"/>
        <v>12</v>
      </c>
      <c r="C19" s="1" t="s">
        <v>138</v>
      </c>
      <c r="D19" s="1" t="s">
        <v>123</v>
      </c>
      <c r="E19" s="1" t="s">
        <v>85</v>
      </c>
      <c r="F19" s="23" t="s">
        <v>62</v>
      </c>
      <c r="G19" s="1" t="s">
        <v>108</v>
      </c>
      <c r="H19" s="3" t="s">
        <v>142</v>
      </c>
      <c r="I19" s="2" t="s">
        <v>63</v>
      </c>
      <c r="J19" s="2" t="s">
        <v>63</v>
      </c>
      <c r="K19" s="100"/>
      <c r="L19" s="105"/>
      <c r="M19" s="101"/>
    </row>
    <row r="20" spans="2:13">
      <c r="B20" s="2">
        <f t="shared" si="0"/>
        <v>13</v>
      </c>
      <c r="C20" s="1" t="s">
        <v>154</v>
      </c>
      <c r="D20" s="1" t="s">
        <v>124</v>
      </c>
      <c r="E20" s="1" t="s">
        <v>86</v>
      </c>
      <c r="F20" s="23" t="s">
        <v>62</v>
      </c>
      <c r="G20" s="1" t="s">
        <v>109</v>
      </c>
      <c r="H20" s="3" t="s">
        <v>143</v>
      </c>
      <c r="I20" s="2" t="s">
        <v>63</v>
      </c>
      <c r="J20" s="2" t="s">
        <v>63</v>
      </c>
      <c r="K20" s="100"/>
      <c r="L20" s="105"/>
      <c r="M20" s="101"/>
    </row>
    <row r="21" spans="2:13">
      <c r="B21" s="2">
        <f t="shared" si="0"/>
        <v>14</v>
      </c>
      <c r="C21" s="1" t="s">
        <v>139</v>
      </c>
      <c r="D21" s="1" t="s">
        <v>125</v>
      </c>
      <c r="E21" s="1" t="s">
        <v>87</v>
      </c>
      <c r="F21" s="23" t="s">
        <v>62</v>
      </c>
      <c r="G21" s="1" t="s">
        <v>110</v>
      </c>
      <c r="H21" s="3" t="s">
        <v>111</v>
      </c>
      <c r="I21" s="2" t="s">
        <v>63</v>
      </c>
      <c r="J21" s="2" t="s">
        <v>63</v>
      </c>
      <c r="K21" s="100"/>
      <c r="L21" s="105"/>
      <c r="M21" s="101"/>
    </row>
    <row r="22" spans="2:13">
      <c r="B22" s="2">
        <f t="shared" si="0"/>
        <v>15</v>
      </c>
      <c r="C22" s="1" t="s">
        <v>140</v>
      </c>
      <c r="D22" s="1" t="s">
        <v>126</v>
      </c>
      <c r="E22" s="1" t="s">
        <v>88</v>
      </c>
      <c r="F22" s="1" t="s">
        <v>92</v>
      </c>
      <c r="G22" s="1" t="s">
        <v>112</v>
      </c>
      <c r="H22" s="3" t="s">
        <v>99</v>
      </c>
      <c r="I22" s="2" t="s">
        <v>63</v>
      </c>
      <c r="J22" s="2" t="s">
        <v>63</v>
      </c>
      <c r="K22" s="100"/>
      <c r="L22" s="105"/>
      <c r="M22" s="101"/>
    </row>
    <row r="23" spans="2:13">
      <c r="B23" s="2">
        <f t="shared" si="0"/>
        <v>16</v>
      </c>
      <c r="C23" s="1" t="s">
        <v>139</v>
      </c>
      <c r="D23" s="1" t="s">
        <v>125</v>
      </c>
      <c r="E23" s="1" t="s">
        <v>89</v>
      </c>
      <c r="F23" s="23" t="s">
        <v>62</v>
      </c>
      <c r="G23" s="1" t="s">
        <v>110</v>
      </c>
      <c r="H23" s="3" t="s">
        <v>111</v>
      </c>
      <c r="I23" s="2" t="s">
        <v>63</v>
      </c>
      <c r="J23" s="2" t="s">
        <v>63</v>
      </c>
      <c r="K23" s="100"/>
      <c r="L23" s="105"/>
      <c r="M23" s="101"/>
    </row>
    <row r="24" spans="2:13">
      <c r="B24" s="2">
        <f t="shared" si="0"/>
        <v>17</v>
      </c>
      <c r="C24" s="1" t="s">
        <v>129</v>
      </c>
      <c r="D24" s="1" t="s">
        <v>141</v>
      </c>
      <c r="E24" s="1" t="s">
        <v>90</v>
      </c>
      <c r="F24" s="23" t="s">
        <v>64</v>
      </c>
      <c r="G24" s="1" t="s">
        <v>113</v>
      </c>
      <c r="H24" s="3" t="s">
        <v>103</v>
      </c>
      <c r="I24" s="2" t="s">
        <v>63</v>
      </c>
      <c r="J24" s="2" t="s">
        <v>63</v>
      </c>
      <c r="K24" s="100"/>
      <c r="L24" s="105"/>
      <c r="M24" s="101"/>
    </row>
    <row r="25" spans="2:13">
      <c r="B25" s="2">
        <f t="shared" si="0"/>
        <v>18</v>
      </c>
      <c r="C25" s="22"/>
      <c r="D25" s="1"/>
      <c r="E25" s="1"/>
      <c r="F25" s="23"/>
      <c r="G25" s="1"/>
      <c r="H25" s="3"/>
      <c r="I25" s="2"/>
      <c r="J25" s="2"/>
      <c r="K25" s="100"/>
      <c r="L25" s="105"/>
      <c r="M25" s="101"/>
    </row>
    <row r="26" spans="2:13">
      <c r="B26" s="2">
        <f t="shared" si="0"/>
        <v>19</v>
      </c>
      <c r="C26" s="22"/>
      <c r="D26" s="1"/>
      <c r="E26" s="1"/>
      <c r="F26" s="23"/>
      <c r="G26" s="1"/>
      <c r="H26" s="3"/>
      <c r="I26" s="2"/>
      <c r="J26" s="2"/>
      <c r="K26" s="100"/>
      <c r="L26" s="105"/>
      <c r="M26" s="101"/>
    </row>
    <row r="27" spans="2:13">
      <c r="B27" s="2">
        <f t="shared" si="0"/>
        <v>20</v>
      </c>
      <c r="C27" s="22"/>
      <c r="D27" s="1"/>
      <c r="E27" s="1"/>
      <c r="F27" s="23"/>
      <c r="G27" s="1"/>
      <c r="H27" s="3"/>
      <c r="I27" s="2"/>
      <c r="J27" s="2"/>
      <c r="K27" s="100"/>
      <c r="L27" s="105"/>
      <c r="M27" s="101"/>
    </row>
    <row r="28" spans="2:13">
      <c r="B28" s="2">
        <f t="shared" si="0"/>
        <v>21</v>
      </c>
      <c r="C28" s="22"/>
      <c r="D28" s="1"/>
      <c r="E28" s="1"/>
      <c r="F28" s="23"/>
      <c r="G28" s="1"/>
      <c r="H28" s="3"/>
      <c r="I28" s="2"/>
      <c r="J28" s="2"/>
      <c r="K28" s="100"/>
      <c r="L28" s="105"/>
      <c r="M28" s="101"/>
    </row>
    <row r="29" spans="2:13">
      <c r="B29" s="2">
        <f t="shared" si="0"/>
        <v>22</v>
      </c>
      <c r="C29" s="22"/>
      <c r="D29" s="1"/>
      <c r="E29" s="1"/>
      <c r="F29" s="23"/>
      <c r="G29" s="1"/>
      <c r="H29" s="3"/>
      <c r="I29" s="2"/>
      <c r="J29" s="2"/>
      <c r="K29" s="100"/>
      <c r="L29" s="105"/>
      <c r="M29" s="101"/>
    </row>
    <row r="30" spans="2:13">
      <c r="B30" s="2">
        <f t="shared" si="0"/>
        <v>23</v>
      </c>
      <c r="C30" s="22"/>
      <c r="D30" s="1"/>
      <c r="E30" s="1"/>
      <c r="F30" s="23"/>
      <c r="G30" s="1"/>
      <c r="H30" s="3"/>
      <c r="I30" s="2"/>
      <c r="J30" s="2"/>
      <c r="K30" s="100"/>
      <c r="L30" s="105"/>
      <c r="M30" s="101"/>
    </row>
    <row r="31" spans="2:13">
      <c r="B31" s="2">
        <f t="shared" si="0"/>
        <v>24</v>
      </c>
      <c r="C31" s="22"/>
      <c r="D31" s="1"/>
      <c r="E31" s="1"/>
      <c r="F31" s="23"/>
      <c r="G31" s="1"/>
      <c r="H31" s="3"/>
      <c r="I31" s="2"/>
      <c r="J31" s="2"/>
      <c r="K31" s="100"/>
      <c r="L31" s="105"/>
      <c r="M31" s="101"/>
    </row>
    <row r="32" spans="2:13">
      <c r="B32" s="2">
        <f t="shared" si="0"/>
        <v>25</v>
      </c>
      <c r="C32" s="22"/>
      <c r="D32" s="1"/>
      <c r="E32" s="1"/>
      <c r="F32" s="23"/>
      <c r="G32" s="1"/>
      <c r="H32" s="3"/>
      <c r="I32" s="2"/>
      <c r="J32" s="2"/>
      <c r="K32" s="100"/>
      <c r="L32" s="105"/>
      <c r="M32" s="101"/>
    </row>
    <row r="33" spans="2:13">
      <c r="B33" s="2">
        <f t="shared" si="0"/>
        <v>26</v>
      </c>
      <c r="C33" s="22"/>
      <c r="D33" s="1"/>
      <c r="E33" s="1"/>
      <c r="F33" s="23"/>
      <c r="G33" s="1"/>
      <c r="H33" s="3"/>
      <c r="I33" s="2"/>
      <c r="J33" s="2"/>
      <c r="K33" s="100"/>
      <c r="L33" s="105"/>
      <c r="M33" s="101"/>
    </row>
    <row r="34" spans="2:13">
      <c r="B34" s="2">
        <f t="shared" si="0"/>
        <v>27</v>
      </c>
      <c r="C34" s="22"/>
      <c r="D34" s="1"/>
      <c r="E34" s="1"/>
      <c r="F34" s="23"/>
      <c r="G34" s="1"/>
      <c r="H34" s="3"/>
      <c r="I34" s="2"/>
      <c r="J34" s="2"/>
      <c r="K34" s="100"/>
      <c r="L34" s="105"/>
      <c r="M34" s="101"/>
    </row>
    <row r="35" spans="2:13">
      <c r="B35" s="2">
        <f t="shared" si="0"/>
        <v>28</v>
      </c>
      <c r="C35" s="22"/>
      <c r="D35" s="1"/>
      <c r="E35" s="1"/>
      <c r="F35" s="23"/>
      <c r="G35" s="1"/>
      <c r="H35" s="3"/>
      <c r="I35" s="2"/>
      <c r="J35" s="2"/>
      <c r="K35" s="100"/>
      <c r="L35" s="105"/>
      <c r="M35" s="101"/>
    </row>
    <row r="36" spans="2:13">
      <c r="B36" s="2">
        <f t="shared" si="0"/>
        <v>29</v>
      </c>
      <c r="C36" s="22"/>
      <c r="D36" s="1"/>
      <c r="E36" s="1"/>
      <c r="F36" s="23"/>
      <c r="G36" s="1"/>
      <c r="H36" s="3"/>
      <c r="I36" s="2"/>
      <c r="J36" s="2"/>
      <c r="K36" s="100"/>
      <c r="L36" s="105"/>
      <c r="M36" s="101"/>
    </row>
    <row r="37" spans="2:13">
      <c r="B37" s="2">
        <f t="shared" si="0"/>
        <v>30</v>
      </c>
      <c r="C37" s="22"/>
      <c r="D37" s="1"/>
      <c r="E37" s="1"/>
      <c r="F37" s="23"/>
      <c r="G37" s="1"/>
      <c r="H37" s="3"/>
      <c r="I37" s="2"/>
      <c r="J37" s="2"/>
      <c r="K37" s="100"/>
      <c r="L37" s="105"/>
      <c r="M37" s="101"/>
    </row>
    <row r="38" spans="2:13">
      <c r="B38" s="2">
        <f t="shared" si="0"/>
        <v>31</v>
      </c>
      <c r="C38" s="22"/>
      <c r="D38" s="1"/>
      <c r="E38" s="1"/>
      <c r="F38" s="23"/>
      <c r="G38" s="1"/>
      <c r="H38" s="3"/>
      <c r="I38" s="2"/>
      <c r="J38" s="2"/>
      <c r="K38" s="100"/>
      <c r="L38" s="105"/>
      <c r="M38" s="101"/>
    </row>
    <row r="39" spans="2:13">
      <c r="B39" s="2">
        <f t="shared" si="0"/>
        <v>32</v>
      </c>
      <c r="C39" s="22"/>
      <c r="D39" s="1"/>
      <c r="E39" s="1"/>
      <c r="F39" s="23"/>
      <c r="G39" s="1"/>
      <c r="H39" s="3"/>
      <c r="I39" s="2"/>
      <c r="J39" s="2"/>
      <c r="K39" s="100"/>
      <c r="L39" s="105"/>
      <c r="M39" s="101"/>
    </row>
    <row r="40" spans="2:13">
      <c r="B40" s="2">
        <f t="shared" si="0"/>
        <v>33</v>
      </c>
      <c r="C40" s="22"/>
      <c r="D40" s="1"/>
      <c r="E40" s="1"/>
      <c r="F40" s="23"/>
      <c r="G40" s="1"/>
      <c r="H40" s="3"/>
      <c r="I40" s="2"/>
      <c r="J40" s="2"/>
      <c r="K40" s="100"/>
      <c r="L40" s="105"/>
      <c r="M40" s="101"/>
    </row>
    <row r="41" spans="2:13">
      <c r="B41" s="2">
        <f t="shared" si="0"/>
        <v>34</v>
      </c>
      <c r="C41" s="22"/>
      <c r="D41" s="1"/>
      <c r="E41" s="1"/>
      <c r="F41" s="23"/>
      <c r="G41" s="1"/>
      <c r="H41" s="3"/>
      <c r="I41" s="2"/>
      <c r="J41" s="2"/>
      <c r="K41" s="100"/>
      <c r="L41" s="105"/>
      <c r="M41" s="101"/>
    </row>
    <row r="42" spans="2:13">
      <c r="B42" s="2">
        <f t="shared" si="0"/>
        <v>35</v>
      </c>
      <c r="C42" s="22"/>
      <c r="D42" s="22"/>
      <c r="E42" s="22"/>
      <c r="F42" s="22"/>
      <c r="G42" s="4"/>
      <c r="H42" s="22"/>
      <c r="I42" s="22"/>
      <c r="J42" s="2"/>
      <c r="K42" s="105"/>
      <c r="L42" s="105"/>
      <c r="M42" s="101"/>
    </row>
    <row r="43" spans="2:13">
      <c r="B43" s="2">
        <f t="shared" si="0"/>
        <v>36</v>
      </c>
    </row>
    <row r="44" spans="2:13">
      <c r="B44" s="2">
        <f t="shared" si="0"/>
        <v>37</v>
      </c>
    </row>
    <row r="45" spans="2:13">
      <c r="B45" s="2">
        <f t="shared" si="0"/>
        <v>38</v>
      </c>
    </row>
    <row r="46" spans="2:13">
      <c r="B46" s="2">
        <f t="shared" si="0"/>
        <v>39</v>
      </c>
    </row>
    <row r="47" spans="2:13">
      <c r="B47" s="2">
        <f t="shared" si="0"/>
        <v>40</v>
      </c>
    </row>
    <row r="48" spans="2:13">
      <c r="B48" s="2">
        <f t="shared" si="0"/>
        <v>41</v>
      </c>
    </row>
    <row r="49" spans="2:2">
      <c r="B49" s="2">
        <f t="shared" si="0"/>
        <v>42</v>
      </c>
    </row>
    <row r="50" spans="2:2">
      <c r="B50" s="2">
        <f t="shared" si="0"/>
        <v>43</v>
      </c>
    </row>
    <row r="51" spans="2:2">
      <c r="B51" s="2">
        <f t="shared" si="0"/>
        <v>44</v>
      </c>
    </row>
  </sheetData>
  <mergeCells count="48">
    <mergeCell ref="K40:M40"/>
    <mergeCell ref="K41:M41"/>
    <mergeCell ref="K42:M42"/>
    <mergeCell ref="K39:M39"/>
    <mergeCell ref="K28:M28"/>
    <mergeCell ref="K29:M29"/>
    <mergeCell ref="K30:M30"/>
    <mergeCell ref="K31:M31"/>
    <mergeCell ref="K32:M32"/>
    <mergeCell ref="K33:M33"/>
    <mergeCell ref="K34:M34"/>
    <mergeCell ref="K35:M35"/>
    <mergeCell ref="K36:M36"/>
    <mergeCell ref="K37:M37"/>
    <mergeCell ref="K38:M38"/>
    <mergeCell ref="K27:M27"/>
    <mergeCell ref="K15:M15"/>
    <mergeCell ref="K16:M16"/>
    <mergeCell ref="K18:M18"/>
    <mergeCell ref="K19:M19"/>
    <mergeCell ref="K20:M20"/>
    <mergeCell ref="K21:M21"/>
    <mergeCell ref="K22:M22"/>
    <mergeCell ref="K23:M23"/>
    <mergeCell ref="K24:M24"/>
    <mergeCell ref="K25:M25"/>
    <mergeCell ref="K26:M26"/>
    <mergeCell ref="K17:M17"/>
    <mergeCell ref="K14:M14"/>
    <mergeCell ref="K8:M8"/>
    <mergeCell ref="K9:M9"/>
    <mergeCell ref="K10:M10"/>
    <mergeCell ref="K11:M11"/>
    <mergeCell ref="K12:M12"/>
    <mergeCell ref="K13:M13"/>
    <mergeCell ref="K7:M7"/>
    <mergeCell ref="B2:D2"/>
    <mergeCell ref="E2:F2"/>
    <mergeCell ref="H2:K2"/>
    <mergeCell ref="B3:D3"/>
    <mergeCell ref="E3:F3"/>
    <mergeCell ref="H3:K3"/>
    <mergeCell ref="B4:C4"/>
    <mergeCell ref="E4:F4"/>
    <mergeCell ref="H4:K4"/>
    <mergeCell ref="B5:C5"/>
    <mergeCell ref="E5:F5"/>
    <mergeCell ref="H5:K5"/>
  </mergeCells>
  <phoneticPr fontId="3"/>
  <dataValidations count="1">
    <dataValidation type="list" allowBlank="1" showInputMessage="1" showErrorMessage="1" sqref="I8:J41" xr:uid="{00000000-0002-0000-0100-000000000000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G29"/>
  <sheetViews>
    <sheetView showGridLines="0" zoomScale="90" zoomScaleNormal="90" zoomScaleSheetLayoutView="100" workbookViewId="0">
      <selection activeCell="M28" sqref="M28:T28"/>
    </sheetView>
  </sheetViews>
  <sheetFormatPr defaultColWidth="2.58203125" defaultRowHeight="16.5" customHeight="1"/>
  <cols>
    <col min="1" max="12" width="2.58203125" style="6"/>
    <col min="13" max="17" width="3.25" style="6" customWidth="1"/>
    <col min="18" max="22" width="2.58203125" style="6"/>
    <col min="23" max="27" width="3.58203125" style="6" customWidth="1"/>
    <col min="28" max="16384" width="2.58203125" style="6"/>
  </cols>
  <sheetData>
    <row r="1" spans="1:59" ht="11.25" customHeight="1">
      <c r="A1" s="106" t="s">
        <v>33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8"/>
    </row>
    <row r="2" spans="1:59" ht="11.25" customHeight="1">
      <c r="A2" s="109" t="s">
        <v>25</v>
      </c>
      <c r="B2" s="110"/>
      <c r="C2" s="109" t="s">
        <v>34</v>
      </c>
      <c r="D2" s="111"/>
      <c r="E2" s="111"/>
      <c r="F2" s="111"/>
      <c r="G2" s="111"/>
      <c r="H2" s="111"/>
      <c r="I2" s="111"/>
      <c r="J2" s="111"/>
      <c r="K2" s="111"/>
      <c r="L2" s="110"/>
      <c r="M2" s="109" t="s">
        <v>35</v>
      </c>
      <c r="N2" s="111"/>
      <c r="O2" s="111"/>
      <c r="P2" s="110"/>
      <c r="Q2" s="109" t="s">
        <v>36</v>
      </c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0"/>
      <c r="BB2" s="109" t="s">
        <v>37</v>
      </c>
      <c r="BC2" s="111"/>
      <c r="BD2" s="111"/>
      <c r="BE2" s="111"/>
      <c r="BF2" s="111"/>
      <c r="BG2" s="110"/>
    </row>
    <row r="3" spans="1:59" ht="11.25" customHeight="1">
      <c r="A3" s="112">
        <v>1</v>
      </c>
      <c r="B3" s="113"/>
      <c r="C3" s="114"/>
      <c r="D3" s="115"/>
      <c r="E3" s="115"/>
      <c r="F3" s="115"/>
      <c r="G3" s="115"/>
      <c r="H3" s="115"/>
      <c r="I3" s="115"/>
      <c r="J3" s="115"/>
      <c r="K3" s="115"/>
      <c r="L3" s="116"/>
      <c r="M3" s="117"/>
      <c r="N3" s="118"/>
      <c r="O3" s="118"/>
      <c r="P3" s="119"/>
      <c r="Q3" s="114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6"/>
      <c r="BB3" s="114"/>
      <c r="BC3" s="115"/>
      <c r="BD3" s="115"/>
      <c r="BE3" s="115"/>
      <c r="BF3" s="115"/>
      <c r="BG3" s="116"/>
    </row>
    <row r="4" spans="1:59" ht="11.25" customHeight="1">
      <c r="A4" s="112">
        <v>2</v>
      </c>
      <c r="B4" s="113"/>
      <c r="C4" s="114"/>
      <c r="D4" s="115"/>
      <c r="E4" s="115"/>
      <c r="F4" s="115"/>
      <c r="G4" s="115"/>
      <c r="H4" s="115"/>
      <c r="I4" s="115"/>
      <c r="J4" s="115"/>
      <c r="K4" s="115"/>
      <c r="L4" s="116"/>
      <c r="M4" s="117"/>
      <c r="N4" s="118"/>
      <c r="O4" s="118"/>
      <c r="P4" s="119"/>
      <c r="Q4" s="114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6"/>
      <c r="BB4" s="114"/>
      <c r="BC4" s="115"/>
      <c r="BD4" s="115"/>
      <c r="BE4" s="115"/>
      <c r="BF4" s="115"/>
      <c r="BG4" s="116"/>
    </row>
    <row r="5" spans="1:59" ht="11.25" customHeight="1">
      <c r="A5" s="112">
        <v>3</v>
      </c>
      <c r="B5" s="113"/>
      <c r="C5" s="114"/>
      <c r="D5" s="115"/>
      <c r="E5" s="115"/>
      <c r="F5" s="115"/>
      <c r="G5" s="115"/>
      <c r="H5" s="115"/>
      <c r="I5" s="115"/>
      <c r="J5" s="115"/>
      <c r="K5" s="115"/>
      <c r="L5" s="116"/>
      <c r="M5" s="117"/>
      <c r="N5" s="118"/>
      <c r="O5" s="118"/>
      <c r="P5" s="119"/>
      <c r="Q5" s="114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6"/>
      <c r="BB5" s="114"/>
      <c r="BC5" s="115"/>
      <c r="BD5" s="115"/>
      <c r="BE5" s="115"/>
      <c r="BF5" s="115"/>
      <c r="BG5" s="116"/>
    </row>
    <row r="6" spans="1:59" ht="11.25" customHeight="1">
      <c r="A6" s="112">
        <v>4</v>
      </c>
      <c r="B6" s="113"/>
      <c r="C6" s="114"/>
      <c r="D6" s="115"/>
      <c r="E6" s="115"/>
      <c r="F6" s="115"/>
      <c r="G6" s="115"/>
      <c r="H6" s="115"/>
      <c r="I6" s="115"/>
      <c r="J6" s="115"/>
      <c r="K6" s="115"/>
      <c r="L6" s="116"/>
      <c r="M6" s="117"/>
      <c r="N6" s="118"/>
      <c r="O6" s="118"/>
      <c r="P6" s="119"/>
      <c r="Q6" s="114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6"/>
      <c r="BB6" s="114"/>
      <c r="BC6" s="115"/>
      <c r="BD6" s="115"/>
      <c r="BE6" s="115"/>
      <c r="BF6" s="115"/>
      <c r="BG6" s="116"/>
    </row>
    <row r="7" spans="1:59" ht="11.25" customHeight="1">
      <c r="A7" s="112">
        <v>5</v>
      </c>
      <c r="B7" s="113"/>
      <c r="C7" s="114"/>
      <c r="D7" s="115"/>
      <c r="E7" s="115"/>
      <c r="F7" s="115"/>
      <c r="G7" s="115"/>
      <c r="H7" s="115"/>
      <c r="I7" s="115"/>
      <c r="J7" s="115"/>
      <c r="K7" s="115"/>
      <c r="L7" s="116"/>
      <c r="M7" s="117"/>
      <c r="N7" s="118"/>
      <c r="O7" s="118"/>
      <c r="P7" s="119"/>
      <c r="Q7" s="114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5"/>
      <c r="AQ7" s="115"/>
      <c r="AR7" s="115"/>
      <c r="AS7" s="115"/>
      <c r="AT7" s="115"/>
      <c r="AU7" s="115"/>
      <c r="AV7" s="115"/>
      <c r="AW7" s="115"/>
      <c r="AX7" s="115"/>
      <c r="AY7" s="115"/>
      <c r="AZ7" s="115"/>
      <c r="BA7" s="116"/>
      <c r="BB7" s="114"/>
      <c r="BC7" s="115"/>
      <c r="BD7" s="115"/>
      <c r="BE7" s="115"/>
      <c r="BF7" s="115"/>
      <c r="BG7" s="116"/>
    </row>
    <row r="8" spans="1:59" ht="11.25" customHeight="1">
      <c r="A8" s="106" t="s">
        <v>38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</row>
    <row r="9" spans="1:59" ht="11.25" customHeight="1">
      <c r="A9" s="109" t="s">
        <v>25</v>
      </c>
      <c r="B9" s="110"/>
      <c r="C9" s="109" t="s">
        <v>39</v>
      </c>
      <c r="D9" s="111"/>
      <c r="E9" s="111"/>
      <c r="F9" s="111"/>
      <c r="G9" s="111"/>
      <c r="H9" s="111"/>
      <c r="I9" s="111"/>
      <c r="J9" s="111"/>
      <c r="K9" s="111"/>
      <c r="L9" s="110"/>
      <c r="M9" s="109" t="s">
        <v>40</v>
      </c>
      <c r="N9" s="111"/>
      <c r="O9" s="110"/>
      <c r="P9" s="109" t="s">
        <v>36</v>
      </c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0"/>
      <c r="AQ9" s="109" t="s">
        <v>37</v>
      </c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0"/>
    </row>
    <row r="10" spans="1:59" ht="11.25" customHeight="1">
      <c r="A10" s="112">
        <v>1</v>
      </c>
      <c r="B10" s="113"/>
      <c r="C10" s="114" t="s">
        <v>74</v>
      </c>
      <c r="D10" s="115"/>
      <c r="E10" s="115"/>
      <c r="F10" s="115"/>
      <c r="G10" s="115"/>
      <c r="H10" s="115"/>
      <c r="I10" s="115"/>
      <c r="J10" s="115"/>
      <c r="K10" s="115"/>
      <c r="L10" s="116"/>
      <c r="M10" s="120" t="s">
        <v>67</v>
      </c>
      <c r="N10" s="120"/>
      <c r="O10" s="120"/>
      <c r="P10" s="114" t="s">
        <v>130</v>
      </c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6"/>
      <c r="AQ10" s="114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115"/>
      <c r="BG10" s="116"/>
    </row>
    <row r="11" spans="1:59" ht="11.25" customHeight="1">
      <c r="A11" s="112">
        <v>2</v>
      </c>
      <c r="B11" s="113"/>
      <c r="C11" s="114"/>
      <c r="D11" s="115"/>
      <c r="E11" s="115"/>
      <c r="F11" s="115"/>
      <c r="G11" s="115"/>
      <c r="H11" s="115"/>
      <c r="I11" s="115"/>
      <c r="J11" s="115"/>
      <c r="K11" s="115"/>
      <c r="L11" s="116"/>
      <c r="M11" s="120"/>
      <c r="N11" s="120"/>
      <c r="O11" s="120"/>
      <c r="P11" s="114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6"/>
      <c r="AQ11" s="114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5"/>
      <c r="BF11" s="115"/>
      <c r="BG11" s="116"/>
    </row>
    <row r="12" spans="1:59" ht="11.25" customHeight="1">
      <c r="A12" s="112">
        <v>3</v>
      </c>
      <c r="B12" s="113"/>
      <c r="C12" s="114"/>
      <c r="D12" s="115"/>
      <c r="E12" s="115"/>
      <c r="F12" s="115"/>
      <c r="G12" s="115"/>
      <c r="H12" s="115"/>
      <c r="I12" s="115"/>
      <c r="J12" s="115"/>
      <c r="K12" s="115"/>
      <c r="L12" s="116"/>
      <c r="M12" s="120"/>
      <c r="N12" s="120"/>
      <c r="O12" s="120"/>
      <c r="P12" s="114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6"/>
      <c r="AQ12" s="114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116"/>
    </row>
    <row r="13" spans="1:59" ht="11.25" customHeight="1">
      <c r="A13" s="112">
        <v>4</v>
      </c>
      <c r="B13" s="113"/>
      <c r="C13" s="114"/>
      <c r="D13" s="115"/>
      <c r="E13" s="115"/>
      <c r="F13" s="115"/>
      <c r="G13" s="115"/>
      <c r="H13" s="115"/>
      <c r="I13" s="115"/>
      <c r="J13" s="115"/>
      <c r="K13" s="115"/>
      <c r="L13" s="116"/>
      <c r="M13" s="120"/>
      <c r="N13" s="120"/>
      <c r="O13" s="120"/>
      <c r="P13" s="114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6"/>
      <c r="AQ13" s="114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6"/>
    </row>
    <row r="14" spans="1:59" ht="11.25" customHeight="1">
      <c r="A14" s="112">
        <v>5</v>
      </c>
      <c r="B14" s="113"/>
      <c r="C14" s="114"/>
      <c r="D14" s="115"/>
      <c r="E14" s="115"/>
      <c r="F14" s="115"/>
      <c r="G14" s="115"/>
      <c r="H14" s="115"/>
      <c r="I14" s="115"/>
      <c r="J14" s="115"/>
      <c r="K14" s="115"/>
      <c r="L14" s="116"/>
      <c r="M14" s="120"/>
      <c r="N14" s="120"/>
      <c r="O14" s="120"/>
      <c r="P14" s="114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6"/>
      <c r="AQ14" s="114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6"/>
    </row>
    <row r="15" spans="1:59" ht="11.25" customHeight="1">
      <c r="A15" s="106" t="s">
        <v>41</v>
      </c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</row>
    <row r="16" spans="1:59" ht="11.25" customHeight="1">
      <c r="A16" s="109" t="s">
        <v>25</v>
      </c>
      <c r="B16" s="110"/>
      <c r="C16" s="109" t="s">
        <v>42</v>
      </c>
      <c r="D16" s="111"/>
      <c r="E16" s="111"/>
      <c r="F16" s="111"/>
      <c r="G16" s="111"/>
      <c r="H16" s="111"/>
      <c r="I16" s="111"/>
      <c r="J16" s="111"/>
      <c r="K16" s="111"/>
      <c r="L16" s="110"/>
      <c r="M16" s="109" t="s">
        <v>43</v>
      </c>
      <c r="N16" s="111"/>
      <c r="O16" s="111"/>
      <c r="P16" s="111"/>
      <c r="Q16" s="110"/>
      <c r="R16" s="109" t="s">
        <v>44</v>
      </c>
      <c r="S16" s="111"/>
      <c r="T16" s="111"/>
      <c r="U16" s="111"/>
      <c r="V16" s="110"/>
      <c r="W16" s="109" t="s">
        <v>45</v>
      </c>
      <c r="X16" s="111"/>
      <c r="Y16" s="111"/>
      <c r="Z16" s="111"/>
      <c r="AA16" s="110"/>
      <c r="AB16" s="109" t="s">
        <v>46</v>
      </c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0"/>
    </row>
    <row r="17" spans="1:59" ht="11.25" customHeight="1">
      <c r="A17" s="112">
        <v>1</v>
      </c>
      <c r="B17" s="113"/>
      <c r="C17" s="114"/>
      <c r="D17" s="115"/>
      <c r="E17" s="115"/>
      <c r="F17" s="115"/>
      <c r="G17" s="115"/>
      <c r="H17" s="115"/>
      <c r="I17" s="115"/>
      <c r="J17" s="115"/>
      <c r="K17" s="115"/>
      <c r="L17" s="116"/>
      <c r="M17" s="112"/>
      <c r="N17" s="121"/>
      <c r="O17" s="121"/>
      <c r="P17" s="121"/>
      <c r="Q17" s="113"/>
      <c r="R17" s="112"/>
      <c r="S17" s="121"/>
      <c r="T17" s="121"/>
      <c r="U17" s="121"/>
      <c r="V17" s="113"/>
      <c r="W17" s="112"/>
      <c r="X17" s="121"/>
      <c r="Y17" s="121"/>
      <c r="Z17" s="121"/>
      <c r="AA17" s="113"/>
      <c r="AB17" s="114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5"/>
      <c r="BF17" s="115"/>
      <c r="BG17" s="116"/>
    </row>
    <row r="18" spans="1:59" ht="11.25" customHeight="1">
      <c r="A18" s="112">
        <v>2</v>
      </c>
      <c r="B18" s="113"/>
      <c r="C18" s="114"/>
      <c r="D18" s="115"/>
      <c r="E18" s="115"/>
      <c r="F18" s="115"/>
      <c r="G18" s="115"/>
      <c r="H18" s="115"/>
      <c r="I18" s="115"/>
      <c r="J18" s="115"/>
      <c r="K18" s="115"/>
      <c r="L18" s="116"/>
      <c r="M18" s="112"/>
      <c r="N18" s="121"/>
      <c r="O18" s="121"/>
      <c r="P18" s="121"/>
      <c r="Q18" s="113"/>
      <c r="R18" s="112"/>
      <c r="S18" s="121"/>
      <c r="T18" s="121"/>
      <c r="U18" s="121"/>
      <c r="V18" s="113"/>
      <c r="W18" s="112"/>
      <c r="X18" s="121"/>
      <c r="Y18" s="121"/>
      <c r="Z18" s="121"/>
      <c r="AA18" s="113"/>
      <c r="AB18" s="114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5"/>
      <c r="BF18" s="115"/>
      <c r="BG18" s="116"/>
    </row>
    <row r="19" spans="1:59" ht="11.25" customHeight="1">
      <c r="A19" s="112">
        <v>3</v>
      </c>
      <c r="B19" s="113"/>
      <c r="C19" s="114"/>
      <c r="D19" s="115"/>
      <c r="E19" s="115"/>
      <c r="F19" s="115"/>
      <c r="G19" s="115"/>
      <c r="H19" s="115"/>
      <c r="I19" s="115"/>
      <c r="J19" s="115"/>
      <c r="K19" s="115"/>
      <c r="L19" s="116"/>
      <c r="M19" s="112"/>
      <c r="N19" s="121"/>
      <c r="O19" s="121"/>
      <c r="P19" s="121"/>
      <c r="Q19" s="113"/>
      <c r="R19" s="112"/>
      <c r="S19" s="121"/>
      <c r="T19" s="121"/>
      <c r="U19" s="121"/>
      <c r="V19" s="113"/>
      <c r="W19" s="112"/>
      <c r="X19" s="121"/>
      <c r="Y19" s="121"/>
      <c r="Z19" s="121"/>
      <c r="AA19" s="113"/>
      <c r="AB19" s="122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5"/>
      <c r="BF19" s="115"/>
      <c r="BG19" s="116"/>
    </row>
    <row r="20" spans="1:59" ht="11.25" customHeight="1">
      <c r="A20" s="106" t="s">
        <v>47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</row>
    <row r="21" spans="1:59" ht="11.25" customHeight="1">
      <c r="A21" s="109" t="s">
        <v>25</v>
      </c>
      <c r="B21" s="110"/>
      <c r="C21" s="109" t="s">
        <v>48</v>
      </c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0"/>
      <c r="R21" s="109" t="s">
        <v>49</v>
      </c>
      <c r="S21" s="111"/>
      <c r="T21" s="111"/>
      <c r="U21" s="111"/>
      <c r="V21" s="111"/>
      <c r="W21" s="111"/>
      <c r="X21" s="111"/>
      <c r="Y21" s="111"/>
      <c r="Z21" s="111"/>
      <c r="AA21" s="110"/>
      <c r="AB21" s="109" t="s">
        <v>50</v>
      </c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0"/>
      <c r="BB21" s="109" t="s">
        <v>37</v>
      </c>
      <c r="BC21" s="111"/>
      <c r="BD21" s="111"/>
      <c r="BE21" s="111"/>
      <c r="BF21" s="111"/>
      <c r="BG21" s="110"/>
    </row>
    <row r="22" spans="1:59" ht="11.25" customHeight="1">
      <c r="A22" s="112">
        <v>1</v>
      </c>
      <c r="B22" s="113"/>
      <c r="C22" s="114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6"/>
      <c r="R22" s="112"/>
      <c r="S22" s="121"/>
      <c r="T22" s="121"/>
      <c r="U22" s="121"/>
      <c r="V22" s="121"/>
      <c r="W22" s="121"/>
      <c r="X22" s="121"/>
      <c r="Y22" s="121"/>
      <c r="Z22" s="121"/>
      <c r="AA22" s="113"/>
      <c r="AB22" s="114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6"/>
      <c r="BB22" s="114"/>
      <c r="BC22" s="115"/>
      <c r="BD22" s="115"/>
      <c r="BE22" s="115"/>
      <c r="BF22" s="115"/>
      <c r="BG22" s="116"/>
    </row>
    <row r="23" spans="1:59" ht="11.25" customHeight="1">
      <c r="A23" s="112">
        <v>2</v>
      </c>
      <c r="B23" s="113"/>
      <c r="C23" s="114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6"/>
      <c r="R23" s="112"/>
      <c r="S23" s="121"/>
      <c r="T23" s="121"/>
      <c r="U23" s="121"/>
      <c r="V23" s="121"/>
      <c r="W23" s="121"/>
      <c r="X23" s="121"/>
      <c r="Y23" s="121"/>
      <c r="Z23" s="121"/>
      <c r="AA23" s="113"/>
      <c r="AB23" s="114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6"/>
      <c r="BB23" s="114"/>
      <c r="BC23" s="115"/>
      <c r="BD23" s="115"/>
      <c r="BE23" s="115"/>
      <c r="BF23" s="115"/>
      <c r="BG23" s="116"/>
    </row>
    <row r="24" spans="1:59" ht="11.25" customHeight="1">
      <c r="A24" s="112">
        <v>3</v>
      </c>
      <c r="B24" s="113"/>
      <c r="C24" s="114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6"/>
      <c r="R24" s="112"/>
      <c r="S24" s="121"/>
      <c r="T24" s="121"/>
      <c r="U24" s="121"/>
      <c r="V24" s="121"/>
      <c r="W24" s="121"/>
      <c r="X24" s="121"/>
      <c r="Y24" s="121"/>
      <c r="Z24" s="121"/>
      <c r="AA24" s="113"/>
      <c r="AB24" s="114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6"/>
      <c r="BB24" s="114"/>
      <c r="BC24" s="115"/>
      <c r="BD24" s="115"/>
      <c r="BE24" s="115"/>
      <c r="BF24" s="115"/>
      <c r="BG24" s="116"/>
    </row>
    <row r="25" spans="1:59" ht="11.25" customHeight="1">
      <c r="A25" s="130" t="s">
        <v>51</v>
      </c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1"/>
      <c r="BE25" s="131"/>
      <c r="BF25" s="131"/>
      <c r="BG25" s="132"/>
    </row>
    <row r="26" spans="1:59" ht="11.25" customHeight="1">
      <c r="A26" s="123" t="s">
        <v>52</v>
      </c>
      <c r="B26" s="133"/>
      <c r="C26" s="123" t="s">
        <v>53</v>
      </c>
      <c r="D26" s="124"/>
      <c r="E26" s="124"/>
      <c r="F26" s="124"/>
      <c r="G26" s="124"/>
      <c r="H26" s="124"/>
      <c r="I26" s="124"/>
      <c r="J26" s="124"/>
      <c r="K26" s="124"/>
      <c r="L26" s="133"/>
      <c r="M26" s="123" t="s">
        <v>54</v>
      </c>
      <c r="N26" s="124"/>
      <c r="O26" s="124"/>
      <c r="P26" s="124"/>
      <c r="Q26" s="124"/>
      <c r="R26" s="124"/>
      <c r="S26" s="124"/>
      <c r="T26" s="133"/>
      <c r="U26" s="123" t="s">
        <v>55</v>
      </c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33"/>
      <c r="AK26" s="123" t="s">
        <v>56</v>
      </c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  <c r="BA26" s="124"/>
      <c r="BB26" s="124"/>
      <c r="BC26" s="124"/>
      <c r="BD26" s="124"/>
      <c r="BE26" s="124"/>
      <c r="BF26" s="124"/>
      <c r="BG26" s="124"/>
    </row>
    <row r="27" spans="1:59" ht="11.25" customHeight="1">
      <c r="A27" s="125">
        <v>1</v>
      </c>
      <c r="B27" s="126"/>
      <c r="C27" s="127"/>
      <c r="D27" s="128"/>
      <c r="E27" s="128"/>
      <c r="F27" s="128"/>
      <c r="G27" s="128"/>
      <c r="H27" s="128"/>
      <c r="I27" s="128"/>
      <c r="J27" s="128"/>
      <c r="K27" s="128"/>
      <c r="L27" s="129"/>
      <c r="M27" s="127"/>
      <c r="N27" s="128"/>
      <c r="O27" s="128"/>
      <c r="P27" s="128"/>
      <c r="Q27" s="128"/>
      <c r="R27" s="128"/>
      <c r="S27" s="128"/>
      <c r="T27" s="129"/>
      <c r="U27" s="127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9"/>
      <c r="AK27" s="11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3"/>
    </row>
    <row r="28" spans="1:59" ht="11.25" customHeight="1">
      <c r="A28" s="125">
        <v>2</v>
      </c>
      <c r="B28" s="126"/>
      <c r="C28" s="127"/>
      <c r="D28" s="128"/>
      <c r="E28" s="128"/>
      <c r="F28" s="128"/>
      <c r="G28" s="128"/>
      <c r="H28" s="128"/>
      <c r="I28" s="128"/>
      <c r="J28" s="128"/>
      <c r="K28" s="128"/>
      <c r="L28" s="129"/>
      <c r="M28" s="127"/>
      <c r="N28" s="128"/>
      <c r="O28" s="128"/>
      <c r="P28" s="128"/>
      <c r="Q28" s="128"/>
      <c r="R28" s="128"/>
      <c r="S28" s="128"/>
      <c r="T28" s="129"/>
      <c r="U28" s="127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9"/>
      <c r="AK28" s="11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3"/>
    </row>
    <row r="29" spans="1:59" ht="11.25" customHeight="1">
      <c r="A29" s="125">
        <v>3</v>
      </c>
      <c r="B29" s="126"/>
      <c r="C29" s="127"/>
      <c r="D29" s="128"/>
      <c r="E29" s="128"/>
      <c r="F29" s="128"/>
      <c r="G29" s="128"/>
      <c r="H29" s="128"/>
      <c r="I29" s="128"/>
      <c r="J29" s="128"/>
      <c r="K29" s="128"/>
      <c r="L29" s="129"/>
      <c r="M29" s="127"/>
      <c r="N29" s="128"/>
      <c r="O29" s="128"/>
      <c r="P29" s="128"/>
      <c r="Q29" s="128"/>
      <c r="R29" s="128"/>
      <c r="S29" s="128"/>
      <c r="T29" s="129"/>
      <c r="U29" s="127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9"/>
      <c r="AK29" s="11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3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3"/>
  <dataValidations count="5">
    <dataValidation type="list" showInputMessage="1" showErrorMessage="1" sqref="R22:AA24" xr:uid="{00000000-0002-0000-0200-000000000000}">
      <formula1>"Cascade,Restricted,Cascade + Restricted"</formula1>
    </dataValidation>
    <dataValidation type="list" allowBlank="1" showInputMessage="1" showErrorMessage="1" sqref="W17:AA19" xr:uid="{00000000-0002-0000-0200-000001000000}">
      <formula1>"ZeroOne,ExactlyOne,NotSpecified"</formula1>
    </dataValidation>
    <dataValidation type="list" allowBlank="1" showInputMessage="1" showErrorMessage="1" sqref="R17:V19" xr:uid="{00000000-0002-0000-0200-000002000000}">
      <formula1>"ZeroMore,OneMore,ZeroOne,ExactlyOne,NotSpecified"</formula1>
    </dataValidation>
    <dataValidation type="list" showInputMessage="1" showErrorMessage="1" sqref="M17:Q19" xr:uid="{00000000-0002-0000-0200-000003000000}">
      <formula1>"Association,Aggregation,Composition,Specialization,NotSpecified"</formula1>
    </dataValidation>
    <dataValidation type="list" showInputMessage="1" showErrorMessage="1" sqref="M10:O14" xr:uid="{00000000-0002-0000-0200-000004000000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CCB018-0309-42AC-AC8B-59A9C1BCC40C}"/>
</file>

<file path=customXml/itemProps2.xml><?xml version="1.0" encoding="utf-8"?>
<ds:datastoreItem xmlns:ds="http://schemas.openxmlformats.org/officeDocument/2006/customXml" ds:itemID="{0CD90A09-F9C1-4822-8BFB-245A099C4C80}">
  <ds:schemaRefs>
    <ds:schemaRef ds:uri="http://www.w3.org/XML/1998/namespace"/>
    <ds:schemaRef ds:uri="http://purl.org/dc/elements/1.1/"/>
    <ds:schemaRef ds:uri="http://purl.org/dc/terms/"/>
    <ds:schemaRef ds:uri="1f1f8a3f-673e-4aee-b429-7a8185133956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1df7edc7-a6f5-4c90-ac32-5bbbd499fd6a"/>
    <ds:schemaRef ds:uri="http://schemas.microsoft.com/office/2006/metadata/properties"/>
    <ds:schemaRef ds:uri="http://purl.org/dc/dcmitype/"/>
    <ds:schemaRef ds:uri="11a06735-eb40-4925-8cde-3ab8c03b2281"/>
    <ds:schemaRef ds:uri="337c9669-7545-402d-a50a-1c173d0fc4c6"/>
  </ds:schemaRefs>
</ds:datastoreItem>
</file>

<file path=customXml/itemProps3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変更履歴</vt:lpstr>
      <vt:lpstr>テーブル定義</vt:lpstr>
      <vt:lpstr>その他定義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Ishioka, Takumi</cp:lastModifiedBy>
  <cp:revision/>
  <cp:lastPrinted>2022-03-28T03:24:05Z</cp:lastPrinted>
  <dcterms:created xsi:type="dcterms:W3CDTF">2015-06-05T18:19:34Z</dcterms:created>
  <dcterms:modified xsi:type="dcterms:W3CDTF">2025-06-12T01:53:13Z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