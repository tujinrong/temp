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445" documentId="13_ncr:1_{2956A8A5-81D9-4CDF-A134-95BD3CCDBCEC}" xr6:coauthVersionLast="47" xr6:coauthVersionMax="47" xr10:uidLastSave="{9431CB58-EC92-47FE-85E7-0B91DFD1C8EF}"/>
  <bookViews>
    <workbookView xWindow="28680" yWindow="-1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テーブル定義!$A$1:$M$59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B28" i="5"/>
  <c r="B30" i="5"/>
  <c r="B31" i="5"/>
  <c r="B22" i="5"/>
  <c r="B21" i="5"/>
  <c r="B20" i="5"/>
  <c r="B19" i="5"/>
  <c r="B18" i="5"/>
  <c r="B17" i="5"/>
  <c r="B16" i="5"/>
  <c r="B15" i="5"/>
  <c r="B14" i="5"/>
  <c r="B13" i="5"/>
  <c r="B26" i="5" l="1"/>
  <c r="B25" i="5"/>
  <c r="B24" i="5"/>
  <c r="B23" i="5"/>
  <c r="B8" i="5"/>
  <c r="B9" i="5"/>
  <c r="B10" i="5"/>
  <c r="B11" i="5"/>
  <c r="B12" i="5"/>
  <c r="B27" i="5"/>
  <c r="BA2" i="9" l="1"/>
  <c r="H3" i="5" s="1"/>
  <c r="AT2" i="9"/>
  <c r="H2" i="5" s="1"/>
  <c r="BA3" i="9"/>
  <c r="AT3" i="9" a="1"/>
  <c r="M3" i="5" l="1"/>
  <c r="AT3" i="9"/>
  <c r="M2" i="5" s="1"/>
  <c r="B58" i="5" l="1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<sst xmlns="http://schemas.openxmlformats.org/spreadsheetml/2006/main" count="378" uniqueCount="241">
  <si>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</si>
  <si>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</si>
  <si>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</si>
  <si>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</si>
  <si>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</si>
  <si>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</si>
  <si>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引落データ取込</t>
    <rPh sb="0" eb="2">
      <t>ヒキオトシ</t>
    </rPh>
    <rPh sb="5" eb="7">
      <t>トリコミ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</si>
  <si>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</si>
  <si>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</si>
  <si>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</si>
  <si>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</si>
  <si>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</si>
  <si>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</si>
  <si>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</si>
  <si>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</si>
  <si>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</si>
  <si>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　秋信</t>
    <rPh sb="4" eb="6">
      <t>アキノブ</t>
    </rPh>
    <phoneticPr fontId="2"/>
  </si>
  <si>
    <t>1.0</t>
    <phoneticPr fontId="2"/>
  </si>
  <si>
    <t>シート:テーブル定義</t>
  </si>
  <si>
    <t>FPTトゥイ</t>
  </si>
  <si>
    <t>1.1</t>
  </si>
  <si>
    <t>シート：その他定義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</si>
  <si>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</si>
  <si>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</si>
  <si>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</si>
  <si>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</si>
  <si>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</si>
  <si>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</si>
  <si>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</si>
  <si>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</si>
  <si>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</si>
  <si>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</si>
  <si>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</si>
  <si>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</si>
  <si>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</si>
  <si>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</si>
  <si>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引落データ仕訳</t>
    <rPh sb="0" eb="2">
      <t>ヒキオトシ</t>
    </rPh>
    <rPh sb="5" eb="7">
      <t>シワケ</t>
    </rPh>
    <phoneticPr fontId="2"/>
  </si>
  <si>
    <t>SJ00239</t>
    <phoneticPr fontId="2"/>
  </si>
  <si>
    <t>SJ_WithdrawalDataJournalEntry</t>
    <phoneticPr fontId="2"/>
  </si>
  <si>
    <t>Regular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</si>
  <si>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</si>
  <si>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</si>
  <si>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</si>
  <si>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</si>
  <si>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</si>
  <si>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</si>
  <si>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</si>
  <si>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</si>
  <si>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</si>
  <si>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作成年月日</t>
    <rPh sb="0" eb="5">
      <t>サクセイネンガツヒ</t>
    </rPh>
    <phoneticPr fontId="2"/>
  </si>
  <si>
    <t>SJ00230</t>
  </si>
  <si>
    <t>CreateDate</t>
    <phoneticPr fontId="2"/>
  </si>
  <si>
    <t>Date</t>
    <phoneticPr fontId="2"/>
  </si>
  <si>
    <t>SJ_CreateDate</t>
  </si>
  <si>
    <t>-</t>
    <phoneticPr fontId="2"/>
  </si>
  <si>
    <t>YES</t>
  </si>
  <si>
    <t>取込ファイル（MUFJ_utilitybills.csv）の作成年月日</t>
    <rPh sb="0" eb="2">
      <t>トリコミ</t>
    </rPh>
    <rPh sb="30" eb="35">
      <t>サクセイネンガツヒ</t>
    </rPh>
    <phoneticPr fontId="2"/>
  </si>
  <si>
    <t>起票年月日</t>
    <rPh sb="0" eb="5">
      <t>キヒョウネンガツヒ</t>
    </rPh>
    <phoneticPr fontId="2"/>
  </si>
  <si>
    <t>SJ00231</t>
  </si>
  <si>
    <t>IssueDate</t>
    <phoneticPr fontId="2"/>
  </si>
  <si>
    <t>SJ_IssueDate</t>
  </si>
  <si>
    <t>NO</t>
  </si>
  <si>
    <t>取込ファイル（MUFJ_utilitybills.csv）の起票年月日</t>
    <rPh sb="0" eb="2">
      <t>トリコミ</t>
    </rPh>
    <rPh sb="30" eb="32">
      <t>キヒョウ</t>
    </rPh>
    <rPh sb="32" eb="34">
      <t>ネンゲツ</t>
    </rPh>
    <rPh sb="34" eb="35">
      <t>ヒ</t>
    </rPh>
    <phoneticPr fontId="2"/>
  </si>
  <si>
    <t>委託者番号</t>
    <rPh sb="0" eb="5">
      <t>イタクシャバンゴウ</t>
    </rPh>
    <phoneticPr fontId="2"/>
  </si>
  <si>
    <t>SJ00204</t>
    <phoneticPr fontId="2"/>
  </si>
  <si>
    <t>OutsourcingNumber</t>
    <phoneticPr fontId="2"/>
  </si>
  <si>
    <t>String</t>
    <phoneticPr fontId="2"/>
  </si>
  <si>
    <t>SJ_OutsourcingNumber</t>
    <phoneticPr fontId="2"/>
  </si>
  <si>
    <t>10</t>
    <phoneticPr fontId="2"/>
  </si>
  <si>
    <t>取込ファイル（MUFJ_utilitybills.csv）の振込依頼人コード</t>
    <rPh sb="0" eb="2">
      <t>トリコミ</t>
    </rPh>
    <rPh sb="30" eb="35">
      <t>フリコミイライニン</t>
    </rPh>
    <phoneticPr fontId="2"/>
  </si>
  <si>
    <t>需要家番号</t>
    <rPh sb="0" eb="5">
      <t>ジュヨウカバンゴウ</t>
    </rPh>
    <phoneticPr fontId="2"/>
  </si>
  <si>
    <t>SJ00207</t>
    <phoneticPr fontId="2"/>
  </si>
  <si>
    <t>ConsumerNumber</t>
    <phoneticPr fontId="2"/>
  </si>
  <si>
    <t>SJ_ConsumerNumber</t>
    <phoneticPr fontId="2"/>
  </si>
  <si>
    <t>48</t>
    <phoneticPr fontId="2"/>
  </si>
  <si>
    <t>取込ファイル（MUFJ_utilitybills.csv）の振込依頼人名カナ名称</t>
    <rPh sb="0" eb="2">
      <t>トリコミ</t>
    </rPh>
    <rPh sb="30" eb="35">
      <t>フリコミイライニン</t>
    </rPh>
    <rPh sb="35" eb="36">
      <t>メイ</t>
    </rPh>
    <rPh sb="38" eb="40">
      <t>メイショウ</t>
    </rPh>
    <phoneticPr fontId="2"/>
  </si>
  <si>
    <t>借方科目コード</t>
    <rPh sb="0" eb="2">
      <t>カリカタ</t>
    </rPh>
    <rPh sb="2" eb="4">
      <t>カモク</t>
    </rPh>
    <phoneticPr fontId="2"/>
  </si>
  <si>
    <t>SJ00209</t>
  </si>
  <si>
    <t>DebitMainAccount</t>
    <phoneticPr fontId="2"/>
  </si>
  <si>
    <t>SJ_DebitAccountCode</t>
    <phoneticPr fontId="2"/>
  </si>
  <si>
    <t>借方科目名称</t>
    <rPh sb="0" eb="2">
      <t>カリカタ</t>
    </rPh>
    <rPh sb="2" eb="4">
      <t>カモク</t>
    </rPh>
    <rPh sb="4" eb="6">
      <t>メイショウ</t>
    </rPh>
    <phoneticPr fontId="2"/>
  </si>
  <si>
    <t>SJ00242</t>
    <phoneticPr fontId="2"/>
  </si>
  <si>
    <t>DebitMainAccountName</t>
    <phoneticPr fontId="2"/>
  </si>
  <si>
    <t>SJ_DebitMainAccountName</t>
    <phoneticPr fontId="2"/>
  </si>
  <si>
    <t>借方原価センタ</t>
    <rPh sb="0" eb="2">
      <t>カリカタ</t>
    </rPh>
    <rPh sb="2" eb="4">
      <t>ゲンカ</t>
    </rPh>
    <phoneticPr fontId="2"/>
  </si>
  <si>
    <t>SJ00210</t>
  </si>
  <si>
    <t>DebitCostCenter</t>
    <phoneticPr fontId="2"/>
  </si>
  <si>
    <t>SJ_DebitCostCenter</t>
    <phoneticPr fontId="2"/>
  </si>
  <si>
    <t>30</t>
    <phoneticPr fontId="2"/>
  </si>
  <si>
    <t>借方原価センタ名称</t>
    <rPh sb="0" eb="2">
      <t>カリカタ</t>
    </rPh>
    <rPh sb="2" eb="4">
      <t>ゲンカ</t>
    </rPh>
    <rPh sb="7" eb="9">
      <t>メイショウ</t>
    </rPh>
    <phoneticPr fontId="2"/>
  </si>
  <si>
    <t>SJ00243</t>
    <phoneticPr fontId="2"/>
  </si>
  <si>
    <t>DebitCostCenterName</t>
    <phoneticPr fontId="2"/>
  </si>
  <si>
    <t>SJ_DebitCostCenterName</t>
    <phoneticPr fontId="2"/>
  </si>
  <si>
    <t>160</t>
    <phoneticPr fontId="2"/>
  </si>
  <si>
    <t>借方利益センタ</t>
    <rPh sb="0" eb="2">
      <t>カリカタ</t>
    </rPh>
    <rPh sb="2" eb="4">
      <t>リエキ</t>
    </rPh>
    <phoneticPr fontId="2"/>
  </si>
  <si>
    <t>SJ00211</t>
  </si>
  <si>
    <t>DebitProfitCenter</t>
    <phoneticPr fontId="2"/>
  </si>
  <si>
    <t>SJ_DebitProfitCenter</t>
  </si>
  <si>
    <t>借方利益センタ名称</t>
    <rPh sb="0" eb="2">
      <t>カリカタ</t>
    </rPh>
    <rPh sb="2" eb="4">
      <t>リエキ</t>
    </rPh>
    <rPh sb="7" eb="9">
      <t>メイショウ</t>
    </rPh>
    <phoneticPr fontId="2"/>
  </si>
  <si>
    <t>SJ00244</t>
    <phoneticPr fontId="2"/>
  </si>
  <si>
    <t>DebitProfitCenterName</t>
    <phoneticPr fontId="2"/>
  </si>
  <si>
    <t>SJ_DebitProfitCenterName</t>
    <phoneticPr fontId="2"/>
  </si>
  <si>
    <t>借方金額</t>
    <rPh sb="0" eb="2">
      <t>カリカタ</t>
    </rPh>
    <rPh sb="2" eb="4">
      <t>キンガク</t>
    </rPh>
    <phoneticPr fontId="2"/>
  </si>
  <si>
    <t>SJ00240</t>
    <phoneticPr fontId="2"/>
  </si>
  <si>
    <t>DebitAmount</t>
    <phoneticPr fontId="2"/>
  </si>
  <si>
    <t>Real</t>
    <phoneticPr fontId="2"/>
  </si>
  <si>
    <t>SJ_DebitAmount</t>
    <phoneticPr fontId="2"/>
  </si>
  <si>
    <t>貸方利益センタ</t>
    <rPh sb="0" eb="2">
      <t>カシカタ</t>
    </rPh>
    <rPh sb="2" eb="4">
      <t>リエキ</t>
    </rPh>
    <phoneticPr fontId="2"/>
  </si>
  <si>
    <t>SJ00212</t>
  </si>
  <si>
    <t>CreditProfitCenter</t>
    <phoneticPr fontId="2"/>
  </si>
  <si>
    <t>SJ_CreditProfitCenter</t>
    <phoneticPr fontId="2"/>
  </si>
  <si>
    <t>貸方利益センタ名称</t>
    <rPh sb="0" eb="2">
      <t>カシカタ</t>
    </rPh>
    <rPh sb="2" eb="4">
      <t>リエキ</t>
    </rPh>
    <rPh sb="7" eb="9">
      <t>メイショウ</t>
    </rPh>
    <phoneticPr fontId="2"/>
  </si>
  <si>
    <t>SJ00245</t>
    <phoneticPr fontId="2"/>
  </si>
  <si>
    <t>CreditProfitCenterName</t>
    <phoneticPr fontId="2"/>
  </si>
  <si>
    <t>SJ_CreditProfitCenterName</t>
    <phoneticPr fontId="2"/>
  </si>
  <si>
    <t>貸方銀行口座</t>
    <rPh sb="0" eb="2">
      <t>カシカタ</t>
    </rPh>
    <rPh sb="2" eb="6">
      <t>ギンコウコウザ</t>
    </rPh>
    <phoneticPr fontId="2"/>
  </si>
  <si>
    <t>SJ00233</t>
    <phoneticPr fontId="2"/>
  </si>
  <si>
    <t>CreditBankAccount</t>
    <phoneticPr fontId="2"/>
  </si>
  <si>
    <t>SJ_CreditBankAccount</t>
    <phoneticPr fontId="2"/>
  </si>
  <si>
    <t>貸方銀行口座名称</t>
    <rPh sb="0" eb="2">
      <t>カシカタ</t>
    </rPh>
    <rPh sb="2" eb="6">
      <t>ギンコウコウザ</t>
    </rPh>
    <rPh sb="6" eb="8">
      <t>メイショウ</t>
    </rPh>
    <phoneticPr fontId="2"/>
  </si>
  <si>
    <t>SJ00246</t>
    <phoneticPr fontId="2"/>
  </si>
  <si>
    <t>CreditBankAccountName</t>
    <phoneticPr fontId="2"/>
  </si>
  <si>
    <t>SJ_CreditBankAccountName</t>
    <phoneticPr fontId="2"/>
  </si>
  <si>
    <t>60</t>
    <phoneticPr fontId="2"/>
  </si>
  <si>
    <t>摘要内容</t>
    <rPh sb="0" eb="4">
      <t>テキヨウナイヨウ</t>
    </rPh>
    <phoneticPr fontId="2"/>
  </si>
  <si>
    <t>SJ00234</t>
    <phoneticPr fontId="2"/>
  </si>
  <si>
    <t>Note</t>
    <phoneticPr fontId="2"/>
  </si>
  <si>
    <t>SJ_WithdrawalDataNote</t>
    <phoneticPr fontId="2"/>
  </si>
  <si>
    <t>20</t>
    <phoneticPr fontId="2"/>
  </si>
  <si>
    <t>貸方金額</t>
    <rPh sb="0" eb="2">
      <t>カシカタ</t>
    </rPh>
    <rPh sb="2" eb="4">
      <t>キンガク</t>
    </rPh>
    <phoneticPr fontId="2"/>
  </si>
  <si>
    <t>SJ00241</t>
    <phoneticPr fontId="2"/>
  </si>
  <si>
    <t>CreditAmount</t>
    <phoneticPr fontId="2"/>
  </si>
  <si>
    <t>SJ_CreditAmount</t>
    <phoneticPr fontId="2"/>
  </si>
  <si>
    <t>消費税コード</t>
    <rPh sb="0" eb="3">
      <t>ショウヒゼイ</t>
    </rPh>
    <phoneticPr fontId="2"/>
  </si>
  <si>
    <t>SYS21877</t>
    <phoneticPr fontId="2"/>
  </si>
  <si>
    <t>TaxCode</t>
    <phoneticPr fontId="2"/>
  </si>
  <si>
    <t>備考</t>
    <rPh sb="0" eb="2">
      <t>ビコウ</t>
    </rPh>
    <phoneticPr fontId="2"/>
  </si>
  <si>
    <t>SJ00213</t>
    <phoneticPr fontId="2"/>
  </si>
  <si>
    <t>Comment</t>
    <phoneticPr fontId="2"/>
  </si>
  <si>
    <t>SJ_Comment</t>
    <phoneticPr fontId="2"/>
  </si>
  <si>
    <t>255</t>
    <phoneticPr fontId="2"/>
  </si>
  <si>
    <t>指図コード</t>
    <rPh sb="0" eb="2">
      <t>サシズ</t>
    </rPh>
    <phoneticPr fontId="2"/>
  </si>
  <si>
    <t>SJ00003</t>
    <phoneticPr fontId="2"/>
  </si>
  <si>
    <t>OrderCode</t>
    <phoneticPr fontId="2"/>
  </si>
  <si>
    <t>SJ_OrderCode</t>
  </si>
  <si>
    <t>12</t>
    <phoneticPr fontId="2"/>
  </si>
  <si>
    <t>グループID</t>
    <phoneticPr fontId="2"/>
  </si>
  <si>
    <t>SJ00318</t>
    <phoneticPr fontId="2"/>
  </si>
  <si>
    <t>GroupId</t>
    <phoneticPr fontId="2"/>
  </si>
  <si>
    <t>SJ_WithdrawalDataJournalGroupId</t>
    <phoneticPr fontId="2"/>
  </si>
  <si>
    <t>伝票</t>
    <rPh sb="0" eb="2">
      <t>デンピョウ</t>
    </rPh>
    <phoneticPr fontId="2"/>
  </si>
  <si>
    <t>SYS12371</t>
    <phoneticPr fontId="2"/>
  </si>
  <si>
    <t>Voucher</t>
    <phoneticPr fontId="2"/>
  </si>
  <si>
    <t>ステータス</t>
  </si>
  <si>
    <t>SJ00247</t>
    <phoneticPr fontId="2"/>
  </si>
  <si>
    <t>WithdrawalDataJournalEntryStatus</t>
  </si>
  <si>
    <t>Enum</t>
    <phoneticPr fontId="2"/>
  </si>
  <si>
    <t>SJ_WithdrawalDataJournalEntryStatusEnum</t>
  </si>
  <si>
    <t>参照</t>
    <rPh sb="0" eb="2">
      <t>サンショウ</t>
    </rPh>
    <phoneticPr fontId="2"/>
  </si>
  <si>
    <t>SJ00319</t>
    <phoneticPr fontId="2"/>
  </si>
  <si>
    <t>WithdrawalDataRecId</t>
    <phoneticPr fontId="2"/>
  </si>
  <si>
    <t>Integer64</t>
    <phoneticPr fontId="2"/>
  </si>
  <si>
    <t>SJ_WithdrawalDataRecId</t>
    <phoneticPr fontId="2"/>
  </si>
  <si>
    <t>ファイル名</t>
    <rPh sb="4" eb="5">
      <t>メイ</t>
    </rPh>
    <phoneticPr fontId="2"/>
  </si>
  <si>
    <t>SJ00030</t>
    <phoneticPr fontId="2"/>
  </si>
  <si>
    <t>FileName</t>
    <phoneticPr fontId="2"/>
  </si>
  <si>
    <t>SJ_FileName</t>
    <phoneticPr fontId="2"/>
  </si>
  <si>
    <t>259</t>
    <phoneticPr fontId="2"/>
  </si>
  <si>
    <t>（MUFJ_utilitybills_タイムスタンプ(YYYYMMDDHHMMSSF) .csv）</t>
  </si>
  <si>
    <t>行番号</t>
    <rPh sb="0" eb="3">
      <t>ギョウバンゴウ</t>
    </rPh>
    <phoneticPr fontId="2"/>
  </si>
  <si>
    <t>SJ00297</t>
    <phoneticPr fontId="2"/>
  </si>
  <si>
    <t>LineNum</t>
    <phoneticPr fontId="2"/>
  </si>
  <si>
    <t>Integer</t>
    <phoneticPr fontId="2"/>
  </si>
  <si>
    <t>SJ_LineNum</t>
    <phoneticPr fontId="2"/>
  </si>
  <si>
    <t>作成者</t>
  </si>
  <si>
    <t>CreatedBy</t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</si>
  <si>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</si>
  <si>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</si>
  <si>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</si>
  <si>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</si>
  <si>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</si>
  <si>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</si>
  <si>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</si>
  <si>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</si>
  <si>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</si>
  <si>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</si>
  <si>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</si>
  <si>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</si>
  <si>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</si>
  <si>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</si>
  <si>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</si>
  <si>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</si>
  <si>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</si>
  <si>
    <t>インデックス名</t>
  </si>
  <si>
    <t>重複許可</t>
    <rPh sb="0" eb="2">
      <t>ジュウフク</t>
    </rPh>
    <rPh sb="2" eb="4">
      <t>キョカ</t>
    </rPh>
    <phoneticPr fontId="5"/>
  </si>
  <si>
    <t>SJ_WithdrawalDataJournalEntryIdx</t>
  </si>
  <si>
    <t>Yes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</si>
  <si>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</si>
  <si>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</si>
  <si>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</si>
  <si>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</si>
  <si>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</si>
  <si>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</si>
  <si>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</si>
  <si>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</si>
  <si>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</si>
  <si>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</si>
  <si>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</si>
  <si>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</si>
  <si>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</si>
  <si>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</si>
  <si>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</si>
  <si>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</si>
  <si>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OutsourcingNumber,ConsumerNumber,CreatedDate</t>
    <phoneticPr fontId="2"/>
  </si>
  <si>
    <t>インデックス「SJ_WithdrawalDataJournalEntryIdx」を追加：
■OutsourcingNumber
■ConsumerNumber
■CreatedDate</t>
    <phoneticPr fontId="2"/>
  </si>
  <si>
    <t>No.24：ステータス
Enum物理名の名前を変更しました。</t>
    <rPh sb="16" eb="19">
      <t>ブツリメイ</t>
    </rPh>
    <phoneticPr fontId="2"/>
  </si>
  <si>
    <t>借方勘定細目</t>
    <rPh sb="0" eb="2">
      <t>カリカタ</t>
    </rPh>
    <rPh sb="2" eb="6">
      <t>カンジョウサイモク</t>
    </rPh>
    <phoneticPr fontId="2"/>
  </si>
  <si>
    <t>SJ00706</t>
  </si>
  <si>
    <t>DebitAccountDetails</t>
    <phoneticPr fontId="2"/>
  </si>
  <si>
    <t>SJ_AccountDetails</t>
    <phoneticPr fontId="2"/>
  </si>
  <si>
    <t>借方チャネル</t>
    <rPh sb="0" eb="2">
      <t>カリカタ</t>
    </rPh>
    <phoneticPr fontId="2"/>
  </si>
  <si>
    <t>SJ00707</t>
  </si>
  <si>
    <t>DebitChannel</t>
    <phoneticPr fontId="2"/>
  </si>
  <si>
    <t>String</t>
  </si>
  <si>
    <t>SJ_Channel</t>
  </si>
  <si>
    <t>借方ブランド</t>
    <rPh sb="0" eb="2">
      <t>カリカタ</t>
    </rPh>
    <phoneticPr fontId="2"/>
  </si>
  <si>
    <t>SJ00708</t>
  </si>
  <si>
    <t xml:space="preserve">DebitBrand									</t>
    <phoneticPr fontId="2"/>
  </si>
  <si>
    <t>SJ_BrandCode</t>
  </si>
  <si>
    <t>借方カテゴリ</t>
    <rPh sb="0" eb="2">
      <t>カリカタ</t>
    </rPh>
    <phoneticPr fontId="2"/>
  </si>
  <si>
    <t>SJ00709</t>
  </si>
  <si>
    <t xml:space="preserve">DebitCategory									</t>
    <phoneticPr fontId="2"/>
  </si>
  <si>
    <t>SJ_Category</t>
  </si>
  <si>
    <t>シート：テーブル定義</t>
    <rPh sb="8" eb="10">
      <t>テイギ</t>
    </rPh>
    <phoneticPr fontId="2"/>
  </si>
  <si>
    <t>以下項目を追加。
・借方勘定細目
・借方チャネル
・借方ブランド
・借方カテゴリ</t>
    <rPh sb="0" eb="4">
      <t>イカコウモク</t>
    </rPh>
    <rPh sb="5" eb="7">
      <t>ツイカ</t>
    </rPh>
    <rPh sb="10" eb="12">
      <t>カリカタ</t>
    </rPh>
    <rPh sb="12" eb="16">
      <t>カンジョウサイモク</t>
    </rPh>
    <rPh sb="18" eb="20">
      <t>カリカタ</t>
    </rPh>
    <rPh sb="26" eb="28">
      <t>カリカタ</t>
    </rPh>
    <rPh sb="34" eb="36">
      <t>カリカタ</t>
    </rPh>
    <phoneticPr fontId="2"/>
  </si>
  <si>
    <t>1.2</t>
    <phoneticPr fontId="2"/>
  </si>
  <si>
    <t>借方勘定細目名称</t>
    <rPh sb="0" eb="2">
      <t>カリカタ</t>
    </rPh>
    <rPh sb="2" eb="6">
      <t>カンジョウサイモク</t>
    </rPh>
    <rPh sb="6" eb="8">
      <t>メイショウ</t>
    </rPh>
    <phoneticPr fontId="2"/>
  </si>
  <si>
    <t>DebitAccountDetailsName</t>
    <phoneticPr fontId="2"/>
  </si>
  <si>
    <t>SJ_AccountDetailsName</t>
    <phoneticPr fontId="2"/>
  </si>
  <si>
    <t>160</t>
  </si>
  <si>
    <t>SJ00710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</si>
</sst>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64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8" fillId="0" borderId="3" xfId="2" applyFont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49" fontId="23" fillId="0" borderId="3" xfId="2" applyNumberFormat="1" applyFont="1" applyBorder="1">
      <alignment vertical="center"/>
    </xf>
    <xf numFmtId="49" fontId="23" fillId="0" borderId="3" xfId="2" applyNumberFormat="1" applyFont="1" applyBorder="1" applyAlignment="1">
      <alignment horizontal="left" vertical="center"/>
    </xf>
    <xf numFmtId="49" fontId="23" fillId="0" borderId="3" xfId="2" applyNumberFormat="1" applyFont="1" applyBorder="1" applyAlignment="1">
      <alignment horizontal="right" vertical="center"/>
    </xf>
    <xf numFmtId="0" fontId="23" fillId="0" borderId="3" xfId="2" applyFont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8" fillId="2" borderId="34" xfId="4" applyFont="1" applyFill="1" applyBorder="1" applyAlignment="1">
      <alignment horizontal="center" vertical="center" wrapText="1"/>
    </xf>
    <xf numFmtId="0" fontId="8" fillId="2" borderId="37" xfId="4" applyFont="1" applyFill="1" applyBorder="1" applyAlignment="1">
      <alignment vertical="center"/>
    </xf>
    <xf numFmtId="0" fontId="8" fillId="2" borderId="38" xfId="4" applyFont="1" applyFill="1" applyBorder="1" applyAlignment="1">
      <alignment vertical="center"/>
    </xf>
    <xf numFmtId="0" fontId="8" fillId="2" borderId="39" xfId="4" applyFont="1" applyFill="1" applyBorder="1" applyAlignment="1">
      <alignment vertical="center"/>
    </xf>
    <xf numFmtId="0" fontId="8" fillId="2" borderId="37" xfId="4" applyFont="1" applyFill="1" applyBorder="1" applyAlignment="1">
      <alignment vertical="top" wrapText="1"/>
    </xf>
    <xf numFmtId="0" fontId="8" fillId="2" borderId="38" xfId="4" applyFont="1" applyFill="1" applyBorder="1" applyAlignment="1">
      <alignment vertical="top"/>
    </xf>
    <xf numFmtId="0" fontId="8" fillId="2" borderId="39" xfId="4" applyFont="1" applyFill="1" applyBorder="1" applyAlignment="1">
      <alignment vertical="top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24" fillId="0" borderId="1" xfId="2" applyFont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41" xfId="3" applyFont="1" applyBorder="1" applyAlignment="1">
      <alignment horizontal="center" vertical="center"/>
    </xf>
    <xf numFmtId="0" fontId="10" fillId="0" borderId="43" xfId="3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0" fontId="10" fillId="0" borderId="47" xfId="3" applyFont="1" applyBorder="1" applyAlignment="1">
      <alignment vertical="center"/>
    </xf>
    <xf numFmtId="0" fontId="10" fillId="0" borderId="48" xfId="3" applyFont="1" applyBorder="1" applyAlignment="1">
      <alignment vertical="center"/>
    </xf>
    <xf numFmtId="0" fontId="10" fillId="0" borderId="49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0" fontId="10" fillId="0" borderId="40" xfId="3" applyFont="1" applyBorder="1" applyAlignment="1">
      <alignment vertical="center"/>
    </xf>
    <xf numFmtId="0" fontId="10" fillId="0" borderId="44" xfId="3" applyFont="1" applyBorder="1" applyAlignment="1">
      <alignment vertical="center"/>
    </xf>
    <xf numFmtId="0" fontId="10" fillId="0" borderId="45" xfId="3" applyFont="1" applyBorder="1" applyAlignment="1">
      <alignment vertical="center"/>
    </xf>
    <xf numFmtId="0" fontId="10" fillId="0" borderId="46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/>
    </xf>
    <xf numFmtId="49" fontId="23" fillId="0" borderId="3" xfId="2" applyNumberFormat="1" applyFont="1" applyFill="1" applyBorder="1">
      <alignment vertical="center"/>
    </xf>
    <xf numFmtId="49" fontId="23" fillId="0" borderId="3" xfId="2" applyNumberFormat="1" applyFont="1" applyFill="1" applyBorder="1" applyAlignment="1">
      <alignment horizontal="left" vertical="center"/>
    </xf>
    <xf numFmtId="49" fontId="23" fillId="0" borderId="3" xfId="2" applyNumberFormat="1" applyFont="1" applyFill="1" applyBorder="1" applyAlignment="1">
      <alignment horizontal="right" vertical="center"/>
    </xf>
    <xf numFmtId="0" fontId="23" fillId="0" borderId="3" xfId="2" applyFont="1" applyFill="1" applyBorder="1" applyAlignment="1">
      <alignment horizontal="center"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56" t="s">
        <v>0</v>
      </c>
      <c r="B1" s="57"/>
      <c r="C1" s="57"/>
      <c r="D1" s="57"/>
      <c r="E1" s="58"/>
      <c r="F1" s="59" t="s">
        <v>1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1"/>
      <c r="W1" s="62" t="s">
        <v>2</v>
      </c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4"/>
      <c r="AR1" s="62" t="s">
        <v>3</v>
      </c>
      <c r="AS1" s="63"/>
      <c r="AT1" s="63"/>
      <c r="AU1" s="63"/>
      <c r="AV1" s="63"/>
      <c r="AW1" s="63"/>
      <c r="AX1" s="63"/>
      <c r="AY1" s="63"/>
      <c r="AZ1" s="64"/>
      <c r="BA1" s="62" t="s">
        <v>4</v>
      </c>
      <c r="BB1" s="63"/>
      <c r="BC1" s="63"/>
      <c r="BD1" s="63"/>
      <c r="BE1" s="63"/>
      <c r="BF1" s="63"/>
      <c r="BG1" s="63"/>
      <c r="BH1" s="63"/>
      <c r="BI1" s="64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65" t="s">
        <v>5</v>
      </c>
      <c r="B2" s="66"/>
      <c r="C2" s="66"/>
      <c r="D2" s="66"/>
      <c r="E2" s="67"/>
      <c r="F2" s="71" t="s">
        <v>6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77" t="s">
        <v>7</v>
      </c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9"/>
      <c r="AR2" s="83" t="s">
        <v>8</v>
      </c>
      <c r="AS2" s="84"/>
      <c r="AT2" s="85">
        <f>A6</f>
        <v>45504</v>
      </c>
      <c r="AU2" s="86"/>
      <c r="AV2" s="86"/>
      <c r="AW2" s="86"/>
      <c r="AX2" s="86"/>
      <c r="AY2" s="86"/>
      <c r="AZ2" s="87"/>
      <c r="BA2" s="88" t="str">
        <f>AZ6</f>
        <v>JBS　秋信</v>
      </c>
      <c r="BB2" s="89"/>
      <c r="BC2" s="89"/>
      <c r="BD2" s="89"/>
      <c r="BE2" s="89"/>
      <c r="BF2" s="89"/>
      <c r="BG2" s="89"/>
      <c r="BH2" s="89"/>
      <c r="BI2" s="90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68"/>
      <c r="B3" s="69"/>
      <c r="C3" s="69"/>
      <c r="D3" s="69"/>
      <c r="E3" s="70"/>
      <c r="F3" s="74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2"/>
      <c r="AR3" s="91" t="s">
        <v>9</v>
      </c>
      <c r="AS3" s="92"/>
      <c r="AT3" s="93" cm="1">
        <f t="array" aca="1" ref="AT3" ca="1">IF(OR(COUNTA(A:E)=3),"",INDIRECT("A"&amp;COUNTA(A:E)+2))</f>
        <v>45758</v>
      </c>
      <c r="AU3" s="94"/>
      <c r="AV3" s="94"/>
      <c r="AW3" s="94"/>
      <c r="AX3" s="94"/>
      <c r="AY3" s="94"/>
      <c r="AZ3" s="95"/>
      <c r="BA3" s="96" t="str">
        <f ca="1">IF(COUNTA(AZ5:BD100000)=1,"",INDIRECT("変更履歴!AZ"&amp;COUNTA(AZ5:BD100000)+4))</f>
        <v>JBS　秋信</v>
      </c>
      <c r="BB3" s="97"/>
      <c r="BC3" s="97"/>
      <c r="BD3" s="97"/>
      <c r="BE3" s="97"/>
      <c r="BF3" s="97"/>
      <c r="BG3" s="97"/>
      <c r="BH3" s="97"/>
      <c r="BI3" s="98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50" t="s">
        <v>10</v>
      </c>
      <c r="B5" s="50"/>
      <c r="C5" s="50"/>
      <c r="D5" s="50"/>
      <c r="E5" s="50"/>
      <c r="F5" s="50" t="s">
        <v>11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 t="s">
        <v>12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 t="s">
        <v>13</v>
      </c>
      <c r="BA5" s="50"/>
      <c r="BB5" s="50"/>
      <c r="BC5" s="50"/>
      <c r="BD5" s="50"/>
      <c r="BE5" s="50" t="s">
        <v>14</v>
      </c>
      <c r="BF5" s="50"/>
      <c r="BG5" s="50"/>
      <c r="BH5" s="50"/>
      <c r="BI5" s="50"/>
    </row>
    <row r="6" spans="1:68" ht="13.5">
      <c r="A6" s="51">
        <v>45504</v>
      </c>
      <c r="B6" s="51"/>
      <c r="C6" s="51"/>
      <c r="D6" s="51"/>
      <c r="E6" s="51"/>
      <c r="F6" s="52" t="s">
        <v>15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 t="s">
        <v>15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43" t="s">
        <v>16</v>
      </c>
      <c r="BA6" s="43"/>
      <c r="BB6" s="43"/>
      <c r="BC6" s="43"/>
      <c r="BD6" s="43"/>
      <c r="BE6" s="54" t="s">
        <v>17</v>
      </c>
      <c r="BF6" s="55"/>
      <c r="BG6" s="55"/>
      <c r="BH6" s="55"/>
      <c r="BI6" s="55"/>
    </row>
    <row r="7" spans="1:68" ht="29.25" customHeight="1">
      <c r="A7" s="32">
        <v>45623</v>
      </c>
      <c r="B7" s="32"/>
      <c r="C7" s="32"/>
      <c r="D7" s="32"/>
      <c r="E7" s="32"/>
      <c r="F7" s="33" t="s">
        <v>18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42" t="s">
        <v>215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5" t="s">
        <v>19</v>
      </c>
      <c r="BA7" s="35"/>
      <c r="BB7" s="35"/>
      <c r="BC7" s="35"/>
      <c r="BD7" s="35"/>
      <c r="BE7" s="36" t="s">
        <v>20</v>
      </c>
      <c r="BF7" s="36"/>
      <c r="BG7" s="36"/>
      <c r="BH7" s="36"/>
      <c r="BI7" s="36"/>
    </row>
    <row r="8" spans="1:68" ht="52.5" customHeight="1">
      <c r="A8" s="32">
        <v>45623</v>
      </c>
      <c r="B8" s="32"/>
      <c r="C8" s="32"/>
      <c r="D8" s="32"/>
      <c r="E8" s="32"/>
      <c r="F8" s="33" t="s">
        <v>21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47" t="s">
        <v>214</v>
      </c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9"/>
      <c r="AZ8" s="35" t="s">
        <v>19</v>
      </c>
      <c r="BA8" s="35"/>
      <c r="BB8" s="35"/>
      <c r="BC8" s="35"/>
      <c r="BD8" s="35"/>
      <c r="BE8" s="36" t="s">
        <v>20</v>
      </c>
      <c r="BF8" s="36"/>
      <c r="BG8" s="36"/>
      <c r="BH8" s="36"/>
      <c r="BI8" s="36"/>
    </row>
    <row r="9" spans="1:68" ht="89.5" customHeight="1">
      <c r="A9" s="32">
        <v>45758</v>
      </c>
      <c r="B9" s="32"/>
      <c r="C9" s="32"/>
      <c r="D9" s="32"/>
      <c r="E9" s="32"/>
      <c r="F9" s="33" t="s">
        <v>233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42" t="s">
        <v>234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43" t="s">
        <v>16</v>
      </c>
      <c r="BA9" s="43"/>
      <c r="BB9" s="43"/>
      <c r="BC9" s="43"/>
      <c r="BD9" s="43"/>
      <c r="BE9" s="36" t="s">
        <v>235</v>
      </c>
      <c r="BF9" s="36"/>
      <c r="BG9" s="36"/>
      <c r="BH9" s="36"/>
      <c r="BI9" s="36"/>
    </row>
    <row r="10" spans="1:68" ht="15" customHeight="1">
      <c r="A10" s="32"/>
      <c r="B10" s="32"/>
      <c r="C10" s="32"/>
      <c r="D10" s="32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44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6"/>
      <c r="AZ10" s="35"/>
      <c r="BA10" s="35"/>
      <c r="BB10" s="35"/>
      <c r="BC10" s="35"/>
      <c r="BD10" s="35"/>
      <c r="BE10" s="36"/>
      <c r="BF10" s="36"/>
      <c r="BG10" s="36"/>
      <c r="BH10" s="36"/>
      <c r="BI10" s="36"/>
    </row>
    <row r="11" spans="1:68" ht="15" customHeight="1">
      <c r="A11" s="32"/>
      <c r="B11" s="32"/>
      <c r="C11" s="32"/>
      <c r="D11" s="32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5"/>
      <c r="BA11" s="35"/>
      <c r="BB11" s="35"/>
      <c r="BC11" s="35"/>
      <c r="BD11" s="35"/>
      <c r="BE11" s="36"/>
      <c r="BF11" s="36"/>
      <c r="BG11" s="36"/>
      <c r="BH11" s="36"/>
      <c r="BI11" s="36"/>
    </row>
    <row r="12" spans="1:68" ht="15" customHeight="1">
      <c r="A12" s="32"/>
      <c r="B12" s="32"/>
      <c r="C12" s="32"/>
      <c r="D12" s="32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5"/>
      <c r="BA12" s="35"/>
      <c r="BB12" s="35"/>
      <c r="BC12" s="35"/>
      <c r="BD12" s="35"/>
      <c r="BE12" s="36"/>
      <c r="BF12" s="36"/>
      <c r="BG12" s="36"/>
      <c r="BH12" s="36"/>
      <c r="BI12" s="36"/>
    </row>
    <row r="13" spans="1:68" ht="15" customHeight="1">
      <c r="A13" s="32"/>
      <c r="B13" s="32"/>
      <c r="C13" s="32"/>
      <c r="D13" s="32"/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5"/>
      <c r="BA13" s="35"/>
      <c r="BB13" s="35"/>
      <c r="BC13" s="35"/>
      <c r="BD13" s="35"/>
      <c r="BE13" s="36"/>
      <c r="BF13" s="36"/>
      <c r="BG13" s="36"/>
      <c r="BH13" s="36"/>
      <c r="BI13" s="36"/>
    </row>
    <row r="14" spans="1:68" ht="15" customHeight="1">
      <c r="A14" s="32"/>
      <c r="B14" s="32"/>
      <c r="C14" s="32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5"/>
      <c r="BA14" s="35"/>
      <c r="BB14" s="35"/>
      <c r="BC14" s="35"/>
      <c r="BD14" s="35"/>
      <c r="BE14" s="36"/>
      <c r="BF14" s="36"/>
      <c r="BG14" s="36"/>
      <c r="BH14" s="36"/>
      <c r="BI14" s="36"/>
    </row>
    <row r="15" spans="1:68" ht="15" customHeight="1">
      <c r="A15" s="32"/>
      <c r="B15" s="32"/>
      <c r="C15" s="32"/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5"/>
      <c r="BA15" s="35"/>
      <c r="BB15" s="35"/>
      <c r="BC15" s="35"/>
      <c r="BD15" s="35"/>
      <c r="BE15" s="36"/>
      <c r="BF15" s="36"/>
      <c r="BG15" s="36"/>
      <c r="BH15" s="36"/>
      <c r="BI15" s="36"/>
    </row>
    <row r="16" spans="1:68" ht="15" customHeight="1">
      <c r="A16" s="32"/>
      <c r="B16" s="32"/>
      <c r="C16" s="32"/>
      <c r="D16" s="32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5"/>
      <c r="BA16" s="35"/>
      <c r="BB16" s="35"/>
      <c r="BC16" s="35"/>
      <c r="BD16" s="35"/>
      <c r="BE16" s="36"/>
      <c r="BF16" s="36"/>
      <c r="BG16" s="36"/>
      <c r="BH16" s="36"/>
      <c r="BI16" s="36"/>
    </row>
    <row r="17" spans="1:61" ht="15" customHeight="1">
      <c r="A17" s="32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5"/>
      <c r="BA17" s="35"/>
      <c r="BB17" s="35"/>
      <c r="BC17" s="35"/>
      <c r="BD17" s="35"/>
      <c r="BE17" s="36"/>
      <c r="BF17" s="36"/>
      <c r="BG17" s="36"/>
      <c r="BH17" s="36"/>
      <c r="BI17" s="36"/>
    </row>
    <row r="18" spans="1:61" ht="15" customHeight="1">
      <c r="A18" s="32"/>
      <c r="B18" s="32"/>
      <c r="C18" s="32"/>
      <c r="D18" s="32"/>
      <c r="E18" s="32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5"/>
      <c r="BA18" s="35"/>
      <c r="BB18" s="35"/>
      <c r="BC18" s="35"/>
      <c r="BD18" s="35"/>
      <c r="BE18" s="36"/>
      <c r="BF18" s="36"/>
      <c r="BG18" s="36"/>
      <c r="BH18" s="36"/>
      <c r="BI18" s="36"/>
    </row>
    <row r="19" spans="1:61" ht="15" customHeight="1">
      <c r="A19" s="32"/>
      <c r="B19" s="32"/>
      <c r="C19" s="32"/>
      <c r="D19" s="32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5"/>
      <c r="BA19" s="35"/>
      <c r="BB19" s="35"/>
      <c r="BC19" s="35"/>
      <c r="BD19" s="35"/>
      <c r="BE19" s="36"/>
      <c r="BF19" s="36"/>
      <c r="BG19" s="36"/>
      <c r="BH19" s="36"/>
      <c r="BI19" s="36"/>
    </row>
    <row r="20" spans="1:61" ht="15" customHeight="1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5"/>
      <c r="BA20" s="35"/>
      <c r="BB20" s="35"/>
      <c r="BC20" s="35"/>
      <c r="BD20" s="35"/>
      <c r="BE20" s="36"/>
      <c r="BF20" s="36"/>
      <c r="BG20" s="36"/>
      <c r="BH20" s="36"/>
      <c r="BI20" s="36"/>
    </row>
    <row r="21" spans="1:61" ht="15" customHeight="1">
      <c r="A21" s="32"/>
      <c r="B21" s="32"/>
      <c r="C21" s="32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5"/>
      <c r="BA21" s="35"/>
      <c r="BB21" s="35"/>
      <c r="BC21" s="35"/>
      <c r="BD21" s="35"/>
      <c r="BE21" s="36"/>
      <c r="BF21" s="36"/>
      <c r="BG21" s="36"/>
      <c r="BH21" s="36"/>
      <c r="BI21" s="36"/>
    </row>
    <row r="22" spans="1:61" ht="15" customHeight="1" thickBot="1">
      <c r="A22" s="37"/>
      <c r="B22" s="37"/>
      <c r="C22" s="37"/>
      <c r="D22" s="37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40"/>
      <c r="BA22" s="40"/>
      <c r="BB22" s="40"/>
      <c r="BC22" s="40"/>
      <c r="BD22" s="40"/>
      <c r="BE22" s="41"/>
      <c r="BF22" s="41"/>
      <c r="BG22" s="41"/>
      <c r="BH22" s="41"/>
      <c r="BI22" s="41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8"/>
  <sheetViews>
    <sheetView showGridLines="0" tabSelected="1" zoomScaleNormal="100" zoomScaleSheetLayoutView="89" workbookViewId="0">
      <selection activeCell="A29" sqref="A29"/>
    </sheetView>
  </sheetViews>
  <sheetFormatPr defaultColWidth="9" defaultRowHeight="12.5"/>
  <cols>
    <col min="1" max="1" width="0.83203125" style="18" customWidth="1"/>
    <col min="2" max="2" width="3.75" style="18" bestFit="1" customWidth="1"/>
    <col min="3" max="3" width="18.58203125" style="18" customWidth="1"/>
    <col min="4" max="4" width="14.08203125" style="18" bestFit="1" customWidth="1"/>
    <col min="5" max="5" width="28.25" style="18" customWidth="1"/>
    <col min="6" max="6" width="9.75" style="18" customWidth="1"/>
    <col min="7" max="7" width="35.33203125" style="18" customWidth="1"/>
    <col min="8" max="8" width="8.75" style="18" customWidth="1"/>
    <col min="9" max="10" width="5.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102" t="s">
        <v>22</v>
      </c>
      <c r="C2" s="102"/>
      <c r="D2" s="102"/>
      <c r="E2" s="102" t="s">
        <v>23</v>
      </c>
      <c r="F2" s="102"/>
      <c r="G2" s="19" t="s">
        <v>24</v>
      </c>
      <c r="H2" s="103">
        <f>変更履歴!AT2</f>
        <v>45504</v>
      </c>
      <c r="I2" s="104"/>
      <c r="J2" s="104"/>
      <c r="K2" s="105"/>
      <c r="L2" s="9" t="s">
        <v>25</v>
      </c>
      <c r="M2" s="5">
        <f ca="1">変更履歴!AT3</f>
        <v>45758</v>
      </c>
    </row>
    <row r="3" spans="2:13">
      <c r="B3" s="106" t="s">
        <v>26</v>
      </c>
      <c r="C3" s="106"/>
      <c r="D3" s="106"/>
      <c r="E3" s="106" t="s">
        <v>27</v>
      </c>
      <c r="F3" s="106"/>
      <c r="G3" s="19" t="s">
        <v>28</v>
      </c>
      <c r="H3" s="107" t="str">
        <f>変更履歴!BA2</f>
        <v>JBS　秋信</v>
      </c>
      <c r="I3" s="108"/>
      <c r="J3" s="108"/>
      <c r="K3" s="109"/>
      <c r="L3" s="9" t="s">
        <v>29</v>
      </c>
      <c r="M3" s="2" t="str">
        <f ca="1">変更履歴!BA3</f>
        <v>JBS　秋信</v>
      </c>
    </row>
    <row r="4" spans="2:13">
      <c r="B4" s="102" t="s">
        <v>30</v>
      </c>
      <c r="C4" s="102"/>
      <c r="D4" s="8" t="s">
        <v>31</v>
      </c>
      <c r="E4" s="110" t="s">
        <v>32</v>
      </c>
      <c r="F4" s="111"/>
      <c r="G4" s="19" t="s">
        <v>33</v>
      </c>
      <c r="H4" s="112" t="s">
        <v>34</v>
      </c>
      <c r="I4" s="113"/>
      <c r="J4" s="113"/>
      <c r="K4" s="114"/>
      <c r="L4" s="19" t="s">
        <v>35</v>
      </c>
      <c r="M4" s="10"/>
    </row>
    <row r="5" spans="2:13">
      <c r="B5" s="106" t="s">
        <v>36</v>
      </c>
      <c r="C5" s="106"/>
      <c r="D5" s="1" t="s">
        <v>37</v>
      </c>
      <c r="E5" s="99" t="s">
        <v>38</v>
      </c>
      <c r="F5" s="101"/>
      <c r="G5" s="20" t="s">
        <v>39</v>
      </c>
      <c r="H5" s="115"/>
      <c r="I5" s="116"/>
      <c r="J5" s="116"/>
      <c r="K5" s="117"/>
      <c r="L5" s="20" t="s">
        <v>40</v>
      </c>
      <c r="M5" s="21"/>
    </row>
    <row r="6" spans="2:13" ht="5.15" customHeight="1"/>
    <row r="7" spans="2:13">
      <c r="B7" s="7" t="s">
        <v>41</v>
      </c>
      <c r="C7" s="7" t="s">
        <v>42</v>
      </c>
      <c r="D7" s="7" t="s">
        <v>31</v>
      </c>
      <c r="E7" s="7" t="s">
        <v>43</v>
      </c>
      <c r="F7" s="7" t="s">
        <v>44</v>
      </c>
      <c r="G7" s="7" t="s">
        <v>45</v>
      </c>
      <c r="H7" s="7" t="s">
        <v>46</v>
      </c>
      <c r="I7" s="7" t="s">
        <v>47</v>
      </c>
      <c r="J7" s="7" t="s">
        <v>48</v>
      </c>
      <c r="K7" s="118"/>
      <c r="L7" s="118"/>
      <c r="M7" s="119"/>
    </row>
    <row r="8" spans="2:13">
      <c r="B8" s="2">
        <f t="shared" ref="B8:B58" si="0">ROW()-7</f>
        <v>1</v>
      </c>
      <c r="C8" s="1" t="s">
        <v>49</v>
      </c>
      <c r="D8" s="1" t="s">
        <v>50</v>
      </c>
      <c r="E8" s="22" t="s">
        <v>51</v>
      </c>
      <c r="F8" s="23" t="s">
        <v>52</v>
      </c>
      <c r="G8" s="1" t="s">
        <v>53</v>
      </c>
      <c r="H8" s="3" t="s">
        <v>54</v>
      </c>
      <c r="I8" s="2" t="s">
        <v>55</v>
      </c>
      <c r="J8" s="2" t="s">
        <v>55</v>
      </c>
      <c r="K8" s="99" t="s">
        <v>56</v>
      </c>
      <c r="L8" s="100"/>
      <c r="M8" s="101"/>
    </row>
    <row r="9" spans="2:13">
      <c r="B9" s="2">
        <f t="shared" si="0"/>
        <v>2</v>
      </c>
      <c r="C9" s="1" t="s">
        <v>57</v>
      </c>
      <c r="D9" s="1" t="s">
        <v>58</v>
      </c>
      <c r="E9" s="22" t="s">
        <v>59</v>
      </c>
      <c r="F9" s="23" t="s">
        <v>52</v>
      </c>
      <c r="G9" s="1" t="s">
        <v>60</v>
      </c>
      <c r="H9" s="3" t="s">
        <v>54</v>
      </c>
      <c r="I9" s="2" t="s">
        <v>61</v>
      </c>
      <c r="J9" s="2" t="s">
        <v>55</v>
      </c>
      <c r="K9" s="99" t="s">
        <v>62</v>
      </c>
      <c r="L9" s="100"/>
      <c r="M9" s="101"/>
    </row>
    <row r="10" spans="2:13">
      <c r="B10" s="2">
        <f t="shared" si="0"/>
        <v>3</v>
      </c>
      <c r="C10" s="1" t="s">
        <v>63</v>
      </c>
      <c r="D10" s="1" t="s">
        <v>64</v>
      </c>
      <c r="E10" s="22" t="s">
        <v>65</v>
      </c>
      <c r="F10" s="23" t="s">
        <v>66</v>
      </c>
      <c r="G10" s="1" t="s">
        <v>67</v>
      </c>
      <c r="H10" s="3" t="s">
        <v>68</v>
      </c>
      <c r="I10" s="2" t="s">
        <v>55</v>
      </c>
      <c r="J10" s="2" t="s">
        <v>55</v>
      </c>
      <c r="K10" s="99" t="s">
        <v>69</v>
      </c>
      <c r="L10" s="100"/>
      <c r="M10" s="101"/>
    </row>
    <row r="11" spans="2:13">
      <c r="B11" s="2">
        <f t="shared" si="0"/>
        <v>4</v>
      </c>
      <c r="C11" s="1" t="s">
        <v>70</v>
      </c>
      <c r="D11" s="1" t="s">
        <v>71</v>
      </c>
      <c r="E11" s="22" t="s">
        <v>72</v>
      </c>
      <c r="F11" s="23" t="s">
        <v>66</v>
      </c>
      <c r="G11" s="1" t="s">
        <v>73</v>
      </c>
      <c r="H11" s="3" t="s">
        <v>74</v>
      </c>
      <c r="I11" s="2" t="s">
        <v>61</v>
      </c>
      <c r="J11" s="2" t="s">
        <v>61</v>
      </c>
      <c r="K11" s="99" t="s">
        <v>75</v>
      </c>
      <c r="L11" s="100"/>
      <c r="M11" s="101"/>
    </row>
    <row r="12" spans="2:13">
      <c r="B12" s="2">
        <f t="shared" si="0"/>
        <v>5</v>
      </c>
      <c r="C12" s="1" t="s">
        <v>76</v>
      </c>
      <c r="D12" s="1" t="s">
        <v>77</v>
      </c>
      <c r="E12" s="22" t="s">
        <v>78</v>
      </c>
      <c r="F12" s="23" t="s">
        <v>66</v>
      </c>
      <c r="G12" s="1" t="s">
        <v>79</v>
      </c>
      <c r="H12" s="24">
        <v>20</v>
      </c>
      <c r="I12" s="2" t="s">
        <v>61</v>
      </c>
      <c r="J12" s="2" t="s">
        <v>61</v>
      </c>
      <c r="K12" s="99"/>
      <c r="L12" s="100"/>
      <c r="M12" s="101"/>
    </row>
    <row r="13" spans="2:13">
      <c r="B13" s="2">
        <f t="shared" si="0"/>
        <v>6</v>
      </c>
      <c r="C13" s="1" t="s">
        <v>80</v>
      </c>
      <c r="D13" s="1" t="s">
        <v>81</v>
      </c>
      <c r="E13" s="22" t="s">
        <v>82</v>
      </c>
      <c r="F13" s="23" t="s">
        <v>66</v>
      </c>
      <c r="G13" s="1" t="s">
        <v>83</v>
      </c>
      <c r="H13" s="24">
        <v>60</v>
      </c>
      <c r="I13" s="2" t="s">
        <v>61</v>
      </c>
      <c r="J13" s="2" t="s">
        <v>61</v>
      </c>
      <c r="K13" s="25"/>
      <c r="L13" s="26"/>
      <c r="M13" s="27"/>
    </row>
    <row r="14" spans="2:13">
      <c r="B14" s="2">
        <f t="shared" si="0"/>
        <v>7</v>
      </c>
      <c r="C14" s="1" t="s">
        <v>84</v>
      </c>
      <c r="D14" s="1" t="s">
        <v>85</v>
      </c>
      <c r="E14" s="22" t="s">
        <v>86</v>
      </c>
      <c r="F14" s="23" t="s">
        <v>66</v>
      </c>
      <c r="G14" s="1" t="s">
        <v>87</v>
      </c>
      <c r="H14" s="3" t="s">
        <v>88</v>
      </c>
      <c r="I14" s="2" t="s">
        <v>61</v>
      </c>
      <c r="J14" s="2" t="s">
        <v>61</v>
      </c>
      <c r="K14" s="99"/>
      <c r="L14" s="100"/>
      <c r="M14" s="101"/>
    </row>
    <row r="15" spans="2:13">
      <c r="B15" s="2">
        <f t="shared" si="0"/>
        <v>8</v>
      </c>
      <c r="C15" s="1" t="s">
        <v>89</v>
      </c>
      <c r="D15" s="1" t="s">
        <v>90</v>
      </c>
      <c r="E15" s="22" t="s">
        <v>91</v>
      </c>
      <c r="F15" s="23" t="s">
        <v>66</v>
      </c>
      <c r="G15" s="22" t="s">
        <v>92</v>
      </c>
      <c r="H15" s="3" t="s">
        <v>93</v>
      </c>
      <c r="I15" s="2" t="s">
        <v>61</v>
      </c>
      <c r="J15" s="2" t="s">
        <v>61</v>
      </c>
      <c r="K15" s="25"/>
      <c r="L15" s="26"/>
      <c r="M15" s="27"/>
    </row>
    <row r="16" spans="2:13">
      <c r="B16" s="2">
        <f t="shared" si="0"/>
        <v>9</v>
      </c>
      <c r="C16" s="1" t="s">
        <v>94</v>
      </c>
      <c r="D16" s="1" t="s">
        <v>95</v>
      </c>
      <c r="E16" s="22" t="s">
        <v>96</v>
      </c>
      <c r="F16" s="23" t="s">
        <v>66</v>
      </c>
      <c r="G16" s="1" t="s">
        <v>97</v>
      </c>
      <c r="H16" s="3" t="s">
        <v>88</v>
      </c>
      <c r="I16" s="2" t="s">
        <v>61</v>
      </c>
      <c r="J16" s="2" t="s">
        <v>61</v>
      </c>
      <c r="K16" s="99"/>
      <c r="L16" s="100"/>
      <c r="M16" s="101"/>
    </row>
    <row r="17" spans="2:13">
      <c r="B17" s="2">
        <f t="shared" si="0"/>
        <v>10</v>
      </c>
      <c r="C17" s="1" t="s">
        <v>98</v>
      </c>
      <c r="D17" s="1" t="s">
        <v>99</v>
      </c>
      <c r="E17" s="22" t="s">
        <v>100</v>
      </c>
      <c r="F17" s="23" t="s">
        <v>66</v>
      </c>
      <c r="G17" s="22" t="s">
        <v>101</v>
      </c>
      <c r="H17" s="3" t="s">
        <v>93</v>
      </c>
      <c r="I17" s="2" t="s">
        <v>61</v>
      </c>
      <c r="J17" s="2" t="s">
        <v>61</v>
      </c>
      <c r="K17" s="25"/>
      <c r="L17" s="26"/>
      <c r="M17" s="27"/>
    </row>
    <row r="18" spans="2:13">
      <c r="B18" s="2">
        <f t="shared" si="0"/>
        <v>11</v>
      </c>
      <c r="C18" s="1" t="s">
        <v>102</v>
      </c>
      <c r="D18" s="1" t="s">
        <v>103</v>
      </c>
      <c r="E18" s="22" t="s">
        <v>104</v>
      </c>
      <c r="F18" s="23" t="s">
        <v>105</v>
      </c>
      <c r="G18" s="1" t="s">
        <v>106</v>
      </c>
      <c r="H18" s="3" t="s">
        <v>54</v>
      </c>
      <c r="I18" s="2" t="s">
        <v>61</v>
      </c>
      <c r="J18" s="2" t="s">
        <v>61</v>
      </c>
      <c r="K18" s="99"/>
      <c r="L18" s="100"/>
      <c r="M18" s="101"/>
    </row>
    <row r="19" spans="2:13">
      <c r="B19" s="2">
        <f t="shared" si="0"/>
        <v>12</v>
      </c>
      <c r="C19" s="22" t="s">
        <v>107</v>
      </c>
      <c r="D19" s="1" t="s">
        <v>108</v>
      </c>
      <c r="E19" s="1" t="s">
        <v>109</v>
      </c>
      <c r="F19" s="23" t="s">
        <v>66</v>
      </c>
      <c r="G19" s="1" t="s">
        <v>110</v>
      </c>
      <c r="H19" s="3" t="s">
        <v>88</v>
      </c>
      <c r="I19" s="2" t="s">
        <v>61</v>
      </c>
      <c r="J19" s="2" t="s">
        <v>61</v>
      </c>
      <c r="K19" s="99"/>
      <c r="L19" s="100"/>
      <c r="M19" s="101"/>
    </row>
    <row r="20" spans="2:13">
      <c r="B20" s="2">
        <f t="shared" si="0"/>
        <v>13</v>
      </c>
      <c r="C20" s="22" t="s">
        <v>111</v>
      </c>
      <c r="D20" s="1" t="s">
        <v>112</v>
      </c>
      <c r="E20" s="1" t="s">
        <v>113</v>
      </c>
      <c r="F20" s="23" t="s">
        <v>66</v>
      </c>
      <c r="G20" s="1" t="s">
        <v>114</v>
      </c>
      <c r="H20" s="3" t="s">
        <v>93</v>
      </c>
      <c r="I20" s="2" t="s">
        <v>61</v>
      </c>
      <c r="J20" s="2" t="s">
        <v>61</v>
      </c>
      <c r="K20" s="25"/>
      <c r="L20" s="26"/>
      <c r="M20" s="27"/>
    </row>
    <row r="21" spans="2:13">
      <c r="B21" s="2">
        <f t="shared" si="0"/>
        <v>14</v>
      </c>
      <c r="C21" s="22" t="s">
        <v>115</v>
      </c>
      <c r="D21" s="1" t="s">
        <v>116</v>
      </c>
      <c r="E21" s="1" t="s">
        <v>117</v>
      </c>
      <c r="F21" s="23" t="s">
        <v>66</v>
      </c>
      <c r="G21" s="1" t="s">
        <v>118</v>
      </c>
      <c r="H21" s="3" t="s">
        <v>68</v>
      </c>
      <c r="I21" s="2" t="s">
        <v>61</v>
      </c>
      <c r="J21" s="2" t="s">
        <v>61</v>
      </c>
      <c r="K21" s="99"/>
      <c r="L21" s="100"/>
      <c r="M21" s="101"/>
    </row>
    <row r="22" spans="2:13">
      <c r="B22" s="2">
        <f t="shared" si="0"/>
        <v>15</v>
      </c>
      <c r="C22" s="22" t="s">
        <v>119</v>
      </c>
      <c r="D22" s="1" t="s">
        <v>120</v>
      </c>
      <c r="E22" s="1" t="s">
        <v>121</v>
      </c>
      <c r="F22" s="23" t="s">
        <v>66</v>
      </c>
      <c r="G22" s="1" t="s">
        <v>122</v>
      </c>
      <c r="H22" s="3" t="s">
        <v>123</v>
      </c>
      <c r="I22" s="2" t="s">
        <v>61</v>
      </c>
      <c r="J22" s="2" t="s">
        <v>61</v>
      </c>
      <c r="K22" s="25"/>
      <c r="L22" s="26"/>
      <c r="M22" s="27"/>
    </row>
    <row r="23" spans="2:13">
      <c r="B23" s="2">
        <f t="shared" si="0"/>
        <v>16</v>
      </c>
      <c r="C23" s="22" t="s">
        <v>124</v>
      </c>
      <c r="D23" s="1" t="s">
        <v>125</v>
      </c>
      <c r="E23" s="1" t="s">
        <v>126</v>
      </c>
      <c r="F23" s="23" t="s">
        <v>66</v>
      </c>
      <c r="G23" s="1" t="s">
        <v>127</v>
      </c>
      <c r="H23" s="3" t="s">
        <v>128</v>
      </c>
      <c r="I23" s="2" t="s">
        <v>61</v>
      </c>
      <c r="J23" s="2" t="s">
        <v>61</v>
      </c>
      <c r="K23" s="99"/>
      <c r="L23" s="100"/>
      <c r="M23" s="101"/>
    </row>
    <row r="24" spans="2:13">
      <c r="B24" s="2">
        <f t="shared" si="0"/>
        <v>17</v>
      </c>
      <c r="C24" s="22" t="s">
        <v>129</v>
      </c>
      <c r="D24" s="1" t="s">
        <v>130</v>
      </c>
      <c r="E24" s="22" t="s">
        <v>131</v>
      </c>
      <c r="F24" s="23" t="s">
        <v>105</v>
      </c>
      <c r="G24" s="22" t="s">
        <v>132</v>
      </c>
      <c r="H24" s="3" t="s">
        <v>54</v>
      </c>
      <c r="I24" s="2" t="s">
        <v>61</v>
      </c>
      <c r="J24" s="2" t="s">
        <v>61</v>
      </c>
      <c r="K24" s="99"/>
      <c r="L24" s="100"/>
      <c r="M24" s="101"/>
    </row>
    <row r="25" spans="2:13">
      <c r="B25" s="2">
        <f t="shared" si="0"/>
        <v>18</v>
      </c>
      <c r="C25" s="22" t="s">
        <v>133</v>
      </c>
      <c r="D25" s="1" t="s">
        <v>134</v>
      </c>
      <c r="E25" s="1" t="s">
        <v>135</v>
      </c>
      <c r="F25" s="23" t="s">
        <v>66</v>
      </c>
      <c r="G25" s="1" t="s">
        <v>135</v>
      </c>
      <c r="H25" s="3" t="s">
        <v>68</v>
      </c>
      <c r="I25" s="2" t="s">
        <v>61</v>
      </c>
      <c r="J25" s="2" t="s">
        <v>61</v>
      </c>
      <c r="K25" s="99"/>
      <c r="L25" s="100"/>
      <c r="M25" s="101"/>
    </row>
    <row r="26" spans="2:13">
      <c r="B26" s="2">
        <f t="shared" si="0"/>
        <v>19</v>
      </c>
      <c r="C26" s="22" t="s">
        <v>136</v>
      </c>
      <c r="D26" s="1" t="s">
        <v>137</v>
      </c>
      <c r="E26" s="1" t="s">
        <v>138</v>
      </c>
      <c r="F26" s="23" t="s">
        <v>66</v>
      </c>
      <c r="G26" s="1" t="s">
        <v>139</v>
      </c>
      <c r="H26" s="3" t="s">
        <v>140</v>
      </c>
      <c r="I26" s="2" t="s">
        <v>61</v>
      </c>
      <c r="J26" s="2" t="s">
        <v>61</v>
      </c>
      <c r="K26" s="99"/>
      <c r="L26" s="100"/>
      <c r="M26" s="101"/>
    </row>
    <row r="27" spans="2:13">
      <c r="B27" s="2">
        <f t="shared" si="0"/>
        <v>20</v>
      </c>
      <c r="C27" s="1" t="s">
        <v>141</v>
      </c>
      <c r="D27" s="1" t="s">
        <v>142</v>
      </c>
      <c r="E27" s="1" t="s">
        <v>143</v>
      </c>
      <c r="F27" s="23" t="s">
        <v>66</v>
      </c>
      <c r="G27" s="1" t="s">
        <v>144</v>
      </c>
      <c r="H27" s="3" t="s">
        <v>145</v>
      </c>
      <c r="I27" s="2" t="s">
        <v>61</v>
      </c>
      <c r="J27" s="2" t="s">
        <v>61</v>
      </c>
      <c r="K27" s="99"/>
      <c r="L27" s="100"/>
      <c r="M27" s="101"/>
    </row>
    <row r="28" spans="2:13">
      <c r="B28" s="2">
        <f t="shared" si="0"/>
        <v>21</v>
      </c>
      <c r="C28" s="28" t="s">
        <v>216</v>
      </c>
      <c r="D28" s="29" t="s">
        <v>217</v>
      </c>
      <c r="E28" s="28" t="s">
        <v>218</v>
      </c>
      <c r="F28" s="28" t="s">
        <v>66</v>
      </c>
      <c r="G28" s="28" t="s">
        <v>219</v>
      </c>
      <c r="H28" s="30" t="s">
        <v>128</v>
      </c>
      <c r="I28" s="31" t="s">
        <v>61</v>
      </c>
      <c r="J28" s="31" t="s">
        <v>61</v>
      </c>
      <c r="K28" s="99"/>
      <c r="L28" s="100"/>
      <c r="M28" s="101"/>
    </row>
    <row r="29" spans="2:13">
      <c r="B29" s="159">
        <f t="shared" si="0"/>
        <v>22</v>
      </c>
      <c r="C29" s="160" t="s">
        <v>236</v>
      </c>
      <c r="D29" s="161" t="s">
        <v>240</v>
      </c>
      <c r="E29" s="160" t="s">
        <v>237</v>
      </c>
      <c r="F29" s="160" t="s">
        <v>66</v>
      </c>
      <c r="G29" s="160" t="s">
        <v>238</v>
      </c>
      <c r="H29" s="162" t="s">
        <v>239</v>
      </c>
      <c r="I29" s="163" t="s">
        <v>61</v>
      </c>
      <c r="J29" s="163" t="s">
        <v>61</v>
      </c>
      <c r="K29" s="99"/>
      <c r="L29" s="100"/>
      <c r="M29" s="101"/>
    </row>
    <row r="30" spans="2:13">
      <c r="B30" s="2">
        <f t="shared" si="0"/>
        <v>23</v>
      </c>
      <c r="C30" s="28" t="s">
        <v>220</v>
      </c>
      <c r="D30" s="29" t="s">
        <v>221</v>
      </c>
      <c r="E30" s="29" t="s">
        <v>222</v>
      </c>
      <c r="F30" s="28" t="s">
        <v>223</v>
      </c>
      <c r="G30" s="29" t="s">
        <v>224</v>
      </c>
      <c r="H30" s="30" t="s">
        <v>68</v>
      </c>
      <c r="I30" s="31" t="s">
        <v>61</v>
      </c>
      <c r="J30" s="31" t="s">
        <v>61</v>
      </c>
      <c r="K30" s="99"/>
      <c r="L30" s="100"/>
      <c r="M30" s="101"/>
    </row>
    <row r="31" spans="2:13">
      <c r="B31" s="2">
        <f t="shared" si="0"/>
        <v>24</v>
      </c>
      <c r="C31" s="28" t="s">
        <v>225</v>
      </c>
      <c r="D31" s="29" t="s">
        <v>226</v>
      </c>
      <c r="E31" s="29" t="s">
        <v>227</v>
      </c>
      <c r="F31" s="28" t="s">
        <v>223</v>
      </c>
      <c r="G31" s="29" t="s">
        <v>228</v>
      </c>
      <c r="H31" s="30" t="s">
        <v>68</v>
      </c>
      <c r="I31" s="31" t="s">
        <v>61</v>
      </c>
      <c r="J31" s="31" t="s">
        <v>61</v>
      </c>
      <c r="K31" s="99"/>
      <c r="L31" s="100"/>
      <c r="M31" s="101"/>
    </row>
    <row r="32" spans="2:13">
      <c r="B32" s="2">
        <f t="shared" si="0"/>
        <v>25</v>
      </c>
      <c r="C32" s="28" t="s">
        <v>229</v>
      </c>
      <c r="D32" s="29" t="s">
        <v>230</v>
      </c>
      <c r="E32" s="29" t="s">
        <v>231</v>
      </c>
      <c r="F32" s="28" t="s">
        <v>223</v>
      </c>
      <c r="G32" s="29" t="s">
        <v>232</v>
      </c>
      <c r="H32" s="30" t="s">
        <v>68</v>
      </c>
      <c r="I32" s="31" t="s">
        <v>61</v>
      </c>
      <c r="J32" s="31" t="s">
        <v>61</v>
      </c>
      <c r="K32" s="99"/>
      <c r="L32" s="100"/>
      <c r="M32" s="101"/>
    </row>
    <row r="33" spans="2:13">
      <c r="B33" s="2">
        <f t="shared" si="0"/>
        <v>26</v>
      </c>
      <c r="C33" s="1" t="s">
        <v>146</v>
      </c>
      <c r="D33" s="1" t="s">
        <v>147</v>
      </c>
      <c r="E33" s="1" t="s">
        <v>148</v>
      </c>
      <c r="F33" s="23" t="s">
        <v>66</v>
      </c>
      <c r="G33" s="1" t="s">
        <v>149</v>
      </c>
      <c r="H33" s="3" t="s">
        <v>128</v>
      </c>
      <c r="I33" s="2" t="s">
        <v>61</v>
      </c>
      <c r="J33" s="2" t="s">
        <v>61</v>
      </c>
      <c r="K33" s="99"/>
      <c r="L33" s="100"/>
      <c r="M33" s="101"/>
    </row>
    <row r="34" spans="2:13">
      <c r="B34" s="2">
        <f t="shared" si="0"/>
        <v>27</v>
      </c>
      <c r="C34" s="1" t="s">
        <v>150</v>
      </c>
      <c r="D34" s="1" t="s">
        <v>151</v>
      </c>
      <c r="E34" s="1" t="s">
        <v>152</v>
      </c>
      <c r="F34" s="23" t="s">
        <v>66</v>
      </c>
      <c r="G34" s="1" t="s">
        <v>152</v>
      </c>
      <c r="H34" s="3" t="s">
        <v>128</v>
      </c>
      <c r="I34" s="2" t="s">
        <v>61</v>
      </c>
      <c r="J34" s="2" t="s">
        <v>61</v>
      </c>
      <c r="K34" s="99"/>
      <c r="L34" s="100"/>
      <c r="M34" s="101"/>
    </row>
    <row r="35" spans="2:13">
      <c r="B35" s="2">
        <f t="shared" si="0"/>
        <v>28</v>
      </c>
      <c r="C35" s="1" t="s">
        <v>153</v>
      </c>
      <c r="D35" s="1" t="s">
        <v>154</v>
      </c>
      <c r="E35" s="1" t="s">
        <v>155</v>
      </c>
      <c r="F35" s="23" t="s">
        <v>156</v>
      </c>
      <c r="G35" s="1" t="s">
        <v>157</v>
      </c>
      <c r="H35" s="3" t="s">
        <v>54</v>
      </c>
      <c r="I35" s="2" t="s">
        <v>61</v>
      </c>
      <c r="J35" s="2" t="s">
        <v>61</v>
      </c>
      <c r="K35" s="99"/>
      <c r="L35" s="100"/>
      <c r="M35" s="101"/>
    </row>
    <row r="36" spans="2:13">
      <c r="B36" s="2">
        <f t="shared" si="0"/>
        <v>29</v>
      </c>
      <c r="C36" s="1" t="s">
        <v>158</v>
      </c>
      <c r="D36" s="1" t="s">
        <v>159</v>
      </c>
      <c r="E36" s="1" t="s">
        <v>160</v>
      </c>
      <c r="F36" s="23" t="s">
        <v>161</v>
      </c>
      <c r="G36" s="1" t="s">
        <v>162</v>
      </c>
      <c r="H36" s="3" t="s">
        <v>54</v>
      </c>
      <c r="I36" s="2" t="s">
        <v>61</v>
      </c>
      <c r="J36" s="2" t="s">
        <v>61</v>
      </c>
      <c r="K36" s="99"/>
      <c r="L36" s="100"/>
      <c r="M36" s="101"/>
    </row>
    <row r="37" spans="2:13">
      <c r="B37" s="2">
        <f t="shared" si="0"/>
        <v>30</v>
      </c>
      <c r="C37" s="22" t="s">
        <v>163</v>
      </c>
      <c r="D37" s="1" t="s">
        <v>164</v>
      </c>
      <c r="E37" s="22" t="s">
        <v>165</v>
      </c>
      <c r="F37" s="23" t="s">
        <v>66</v>
      </c>
      <c r="G37" s="22" t="s">
        <v>166</v>
      </c>
      <c r="H37" s="3" t="s">
        <v>167</v>
      </c>
      <c r="I37" s="2" t="s">
        <v>61</v>
      </c>
      <c r="J37" s="2" t="s">
        <v>61</v>
      </c>
      <c r="K37" s="120" t="s">
        <v>168</v>
      </c>
      <c r="L37" s="100"/>
      <c r="M37" s="101"/>
    </row>
    <row r="38" spans="2:13">
      <c r="B38" s="2">
        <f t="shared" si="0"/>
        <v>31</v>
      </c>
      <c r="C38" s="22" t="s">
        <v>169</v>
      </c>
      <c r="D38" s="1" t="s">
        <v>170</v>
      </c>
      <c r="E38" s="22" t="s">
        <v>171</v>
      </c>
      <c r="F38" s="23" t="s">
        <v>172</v>
      </c>
      <c r="G38" s="22" t="s">
        <v>173</v>
      </c>
      <c r="H38" s="3" t="s">
        <v>54</v>
      </c>
      <c r="I38" s="2" t="s">
        <v>61</v>
      </c>
      <c r="J38" s="2" t="s">
        <v>61</v>
      </c>
      <c r="K38" s="99"/>
      <c r="L38" s="100"/>
      <c r="M38" s="101"/>
    </row>
    <row r="39" spans="2:13">
      <c r="B39" s="2">
        <f t="shared" si="0"/>
        <v>32</v>
      </c>
      <c r="C39" s="1" t="s">
        <v>174</v>
      </c>
      <c r="D39" s="1" t="s">
        <v>54</v>
      </c>
      <c r="E39" s="22" t="s">
        <v>175</v>
      </c>
      <c r="F39" s="23" t="s">
        <v>66</v>
      </c>
      <c r="G39" s="22" t="s">
        <v>175</v>
      </c>
      <c r="H39" s="3" t="s">
        <v>128</v>
      </c>
      <c r="I39" s="2" t="s">
        <v>61</v>
      </c>
      <c r="J39" s="2" t="s">
        <v>61</v>
      </c>
      <c r="K39" s="99" t="s">
        <v>176</v>
      </c>
      <c r="L39" s="100"/>
      <c r="M39" s="101"/>
    </row>
    <row r="40" spans="2:13">
      <c r="B40" s="2">
        <f t="shared" si="0"/>
        <v>33</v>
      </c>
      <c r="C40" s="1" t="s">
        <v>177</v>
      </c>
      <c r="D40" s="1" t="s">
        <v>54</v>
      </c>
      <c r="E40" s="22" t="s">
        <v>178</v>
      </c>
      <c r="F40" s="23" t="s">
        <v>179</v>
      </c>
      <c r="G40" s="22" t="s">
        <v>178</v>
      </c>
      <c r="H40" s="3"/>
      <c r="I40" s="2" t="s">
        <v>61</v>
      </c>
      <c r="J40" s="2" t="s">
        <v>61</v>
      </c>
      <c r="K40" s="99" t="s">
        <v>180</v>
      </c>
      <c r="L40" s="100"/>
      <c r="M40" s="101"/>
    </row>
    <row r="41" spans="2:13">
      <c r="B41" s="2">
        <f t="shared" si="0"/>
        <v>34</v>
      </c>
      <c r="C41" s="1" t="s">
        <v>181</v>
      </c>
      <c r="D41" s="1" t="s">
        <v>54</v>
      </c>
      <c r="E41" s="22" t="s">
        <v>182</v>
      </c>
      <c r="F41" s="23" t="s">
        <v>66</v>
      </c>
      <c r="G41" s="22" t="s">
        <v>182</v>
      </c>
      <c r="H41" s="3" t="s">
        <v>128</v>
      </c>
      <c r="I41" s="2" t="s">
        <v>61</v>
      </c>
      <c r="J41" s="2" t="s">
        <v>61</v>
      </c>
      <c r="K41" s="25" t="s">
        <v>183</v>
      </c>
      <c r="L41" s="26"/>
      <c r="M41" s="27"/>
    </row>
    <row r="42" spans="2:13">
      <c r="B42" s="2">
        <f t="shared" si="0"/>
        <v>35</v>
      </c>
      <c r="C42" s="22" t="s">
        <v>184</v>
      </c>
      <c r="D42" s="1" t="s">
        <v>54</v>
      </c>
      <c r="E42" s="1" t="s">
        <v>185</v>
      </c>
      <c r="F42" s="23" t="s">
        <v>179</v>
      </c>
      <c r="G42" s="1" t="s">
        <v>185</v>
      </c>
      <c r="H42" s="3"/>
      <c r="I42" s="2" t="s">
        <v>61</v>
      </c>
      <c r="J42" s="2" t="s">
        <v>61</v>
      </c>
      <c r="K42" s="25" t="s">
        <v>186</v>
      </c>
      <c r="L42" s="26"/>
      <c r="M42" s="27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99"/>
      <c r="L43" s="100"/>
      <c r="M43" s="101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99"/>
      <c r="L44" s="100"/>
      <c r="M44" s="101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99"/>
      <c r="L45" s="100"/>
      <c r="M45" s="101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99"/>
      <c r="L46" s="100"/>
      <c r="M46" s="101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99"/>
      <c r="L47" s="100"/>
      <c r="M47" s="101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99"/>
      <c r="L48" s="100"/>
      <c r="M48" s="101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99"/>
      <c r="L49" s="100"/>
      <c r="M49" s="101"/>
    </row>
    <row r="50" spans="2:13">
      <c r="B50" s="2">
        <f t="shared" si="0"/>
        <v>43</v>
      </c>
      <c r="C50" s="22"/>
      <c r="D50" s="1"/>
      <c r="E50" s="1"/>
      <c r="F50" s="23"/>
      <c r="G50" s="1"/>
      <c r="H50" s="3"/>
      <c r="I50" s="2"/>
      <c r="J50" s="2"/>
      <c r="K50" s="99"/>
      <c r="L50" s="100"/>
      <c r="M50" s="101"/>
    </row>
    <row r="51" spans="2:13">
      <c r="B51" s="2">
        <f t="shared" si="0"/>
        <v>44</v>
      </c>
      <c r="C51" s="22"/>
      <c r="D51" s="1"/>
      <c r="E51" s="1"/>
      <c r="F51" s="23"/>
      <c r="G51" s="1"/>
      <c r="H51" s="3"/>
      <c r="I51" s="2"/>
      <c r="J51" s="2"/>
      <c r="K51" s="99"/>
      <c r="L51" s="100"/>
      <c r="M51" s="101"/>
    </row>
    <row r="52" spans="2:13">
      <c r="B52" s="2">
        <f t="shared" si="0"/>
        <v>45</v>
      </c>
      <c r="C52" s="22"/>
      <c r="D52" s="1"/>
      <c r="E52" s="1"/>
      <c r="F52" s="23"/>
      <c r="G52" s="1"/>
      <c r="H52" s="3"/>
      <c r="I52" s="2"/>
      <c r="J52" s="2"/>
      <c r="K52" s="99"/>
      <c r="L52" s="100"/>
      <c r="M52" s="101"/>
    </row>
    <row r="53" spans="2:13">
      <c r="B53" s="2">
        <f t="shared" si="0"/>
        <v>46</v>
      </c>
      <c r="C53" s="22"/>
      <c r="D53" s="1"/>
      <c r="E53" s="1"/>
      <c r="F53" s="23"/>
      <c r="G53" s="1"/>
      <c r="H53" s="3"/>
      <c r="I53" s="2"/>
      <c r="J53" s="2"/>
      <c r="K53" s="99"/>
      <c r="L53" s="100"/>
      <c r="M53" s="101"/>
    </row>
    <row r="54" spans="2:13">
      <c r="B54" s="2">
        <f t="shared" si="0"/>
        <v>47</v>
      </c>
      <c r="C54" s="22"/>
      <c r="D54" s="1"/>
      <c r="E54" s="1"/>
      <c r="F54" s="23"/>
      <c r="G54" s="1"/>
      <c r="H54" s="3"/>
      <c r="I54" s="2"/>
      <c r="J54" s="2"/>
      <c r="K54" s="99"/>
      <c r="L54" s="100"/>
      <c r="M54" s="101"/>
    </row>
    <row r="55" spans="2:13">
      <c r="B55" s="2">
        <f t="shared" si="0"/>
        <v>48</v>
      </c>
      <c r="C55" s="22"/>
      <c r="D55" s="1"/>
      <c r="E55" s="1"/>
      <c r="F55" s="23"/>
      <c r="G55" s="1"/>
      <c r="H55" s="3"/>
      <c r="I55" s="2"/>
      <c r="J55" s="2"/>
      <c r="K55" s="99"/>
      <c r="L55" s="100"/>
      <c r="M55" s="101"/>
    </row>
    <row r="56" spans="2:13">
      <c r="B56" s="2">
        <f t="shared" si="0"/>
        <v>49</v>
      </c>
      <c r="C56" s="22"/>
      <c r="D56" s="1"/>
      <c r="E56" s="1"/>
      <c r="F56" s="23"/>
      <c r="G56" s="1"/>
      <c r="H56" s="3"/>
      <c r="I56" s="2"/>
      <c r="J56" s="2"/>
      <c r="K56" s="99"/>
      <c r="L56" s="100"/>
      <c r="M56" s="101"/>
    </row>
    <row r="57" spans="2:13">
      <c r="B57" s="2">
        <f t="shared" si="0"/>
        <v>50</v>
      </c>
      <c r="C57" s="22"/>
      <c r="D57" s="1"/>
      <c r="E57" s="1"/>
      <c r="F57" s="23"/>
      <c r="G57" s="1"/>
      <c r="H57" s="3"/>
      <c r="I57" s="2"/>
      <c r="J57" s="2"/>
      <c r="K57" s="99"/>
      <c r="L57" s="100"/>
      <c r="M57" s="101"/>
    </row>
    <row r="58" spans="2:13">
      <c r="B58" s="2">
        <f t="shared" si="0"/>
        <v>51</v>
      </c>
      <c r="C58" s="22"/>
      <c r="D58" s="22"/>
      <c r="E58" s="22"/>
      <c r="F58" s="22"/>
      <c r="G58" s="4"/>
      <c r="H58" s="22"/>
      <c r="I58" s="22"/>
      <c r="J58" s="2"/>
      <c r="K58" s="100"/>
      <c r="L58" s="100"/>
      <c r="M58" s="101"/>
    </row>
  </sheetData>
  <mergeCells count="57">
    <mergeCell ref="K29:M29"/>
    <mergeCell ref="K56:M56"/>
    <mergeCell ref="K57:M57"/>
    <mergeCell ref="K58:M58"/>
    <mergeCell ref="K55:M55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43:M43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7:M7"/>
    <mergeCell ref="K8:M8"/>
    <mergeCell ref="K9:M9"/>
    <mergeCell ref="K10:M10"/>
    <mergeCell ref="K27:M27"/>
    <mergeCell ref="K12:M12"/>
    <mergeCell ref="K14:M14"/>
    <mergeCell ref="K16:M16"/>
    <mergeCell ref="K18:M18"/>
    <mergeCell ref="K19:M19"/>
    <mergeCell ref="K21:M21"/>
    <mergeCell ref="K23:M23"/>
    <mergeCell ref="K24:M24"/>
    <mergeCell ref="K25:M25"/>
    <mergeCell ref="K26:M26"/>
    <mergeCell ref="K31:M31"/>
    <mergeCell ref="K30:M30"/>
    <mergeCell ref="K28:M28"/>
    <mergeCell ref="B2:D2"/>
    <mergeCell ref="E2:F2"/>
    <mergeCell ref="H2:K2"/>
    <mergeCell ref="B3:D3"/>
    <mergeCell ref="E3:F3"/>
    <mergeCell ref="H3:K3"/>
    <mergeCell ref="K11:M11"/>
    <mergeCell ref="B4:C4"/>
    <mergeCell ref="E4:F4"/>
    <mergeCell ref="H4:K4"/>
    <mergeCell ref="B5:C5"/>
    <mergeCell ref="E5:F5"/>
    <mergeCell ref="H5:K5"/>
  </mergeCells>
  <phoneticPr fontId="2"/>
  <dataValidations count="1">
    <dataValidation type="list" allowBlank="1" showInputMessage="1" showErrorMessage="1" sqref="I8:J57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1" width="2.58203125" style="6"/>
    <col min="12" max="12" width="5.75" style="6" customWidth="1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21" t="s">
        <v>187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3"/>
    </row>
    <row r="2" spans="1:59" ht="11.25" customHeight="1">
      <c r="A2" s="124" t="s">
        <v>41</v>
      </c>
      <c r="B2" s="125"/>
      <c r="C2" s="124" t="s">
        <v>188</v>
      </c>
      <c r="D2" s="126"/>
      <c r="E2" s="126"/>
      <c r="F2" s="126"/>
      <c r="G2" s="126"/>
      <c r="H2" s="126"/>
      <c r="I2" s="126"/>
      <c r="J2" s="126"/>
      <c r="K2" s="126"/>
      <c r="L2" s="125"/>
      <c r="M2" s="124" t="s">
        <v>189</v>
      </c>
      <c r="N2" s="126"/>
      <c r="O2" s="126"/>
      <c r="P2" s="125"/>
      <c r="Q2" s="124" t="s">
        <v>190</v>
      </c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5"/>
      <c r="BB2" s="124" t="s">
        <v>191</v>
      </c>
      <c r="BC2" s="126"/>
      <c r="BD2" s="126"/>
      <c r="BE2" s="126"/>
      <c r="BF2" s="126"/>
      <c r="BG2" s="125"/>
    </row>
    <row r="3" spans="1:59" ht="11.25" customHeight="1">
      <c r="A3" s="127">
        <v>1</v>
      </c>
      <c r="B3" s="128"/>
      <c r="C3" s="129"/>
      <c r="D3" s="130"/>
      <c r="E3" s="130"/>
      <c r="F3" s="130"/>
      <c r="G3" s="130"/>
      <c r="H3" s="130"/>
      <c r="I3" s="130"/>
      <c r="J3" s="130"/>
      <c r="K3" s="130"/>
      <c r="L3" s="131"/>
      <c r="M3" s="132"/>
      <c r="N3" s="133"/>
      <c r="O3" s="133"/>
      <c r="P3" s="134"/>
      <c r="Q3" s="129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1"/>
      <c r="BB3" s="129"/>
      <c r="BC3" s="130"/>
      <c r="BD3" s="130"/>
      <c r="BE3" s="130"/>
      <c r="BF3" s="130"/>
      <c r="BG3" s="131"/>
    </row>
    <row r="4" spans="1:59" ht="11.25" customHeight="1">
      <c r="A4" s="127">
        <v>2</v>
      </c>
      <c r="B4" s="128"/>
      <c r="C4" s="129"/>
      <c r="D4" s="130"/>
      <c r="E4" s="130"/>
      <c r="F4" s="130"/>
      <c r="G4" s="130"/>
      <c r="H4" s="130"/>
      <c r="I4" s="130"/>
      <c r="J4" s="130"/>
      <c r="K4" s="130"/>
      <c r="L4" s="131"/>
      <c r="M4" s="132"/>
      <c r="N4" s="133"/>
      <c r="O4" s="133"/>
      <c r="P4" s="134"/>
      <c r="Q4" s="129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1"/>
      <c r="BB4" s="129"/>
      <c r="BC4" s="130"/>
      <c r="BD4" s="130"/>
      <c r="BE4" s="130"/>
      <c r="BF4" s="130"/>
      <c r="BG4" s="131"/>
    </row>
    <row r="5" spans="1:59" ht="11.25" customHeight="1">
      <c r="A5" s="127">
        <v>3</v>
      </c>
      <c r="B5" s="128"/>
      <c r="C5" s="129"/>
      <c r="D5" s="130"/>
      <c r="E5" s="130"/>
      <c r="F5" s="130"/>
      <c r="G5" s="130"/>
      <c r="H5" s="130"/>
      <c r="I5" s="130"/>
      <c r="J5" s="130"/>
      <c r="K5" s="130"/>
      <c r="L5" s="131"/>
      <c r="M5" s="132"/>
      <c r="N5" s="133"/>
      <c r="O5" s="133"/>
      <c r="P5" s="134"/>
      <c r="Q5" s="129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1"/>
      <c r="BB5" s="129"/>
      <c r="BC5" s="130"/>
      <c r="BD5" s="130"/>
      <c r="BE5" s="130"/>
      <c r="BF5" s="130"/>
      <c r="BG5" s="131"/>
    </row>
    <row r="6" spans="1:59" ht="11.25" customHeight="1">
      <c r="A6" s="127">
        <v>4</v>
      </c>
      <c r="B6" s="128"/>
      <c r="C6" s="129"/>
      <c r="D6" s="130"/>
      <c r="E6" s="130"/>
      <c r="F6" s="130"/>
      <c r="G6" s="130"/>
      <c r="H6" s="130"/>
      <c r="I6" s="130"/>
      <c r="J6" s="130"/>
      <c r="K6" s="130"/>
      <c r="L6" s="131"/>
      <c r="M6" s="132"/>
      <c r="N6" s="133"/>
      <c r="O6" s="133"/>
      <c r="P6" s="134"/>
      <c r="Q6" s="129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1"/>
      <c r="BB6" s="129"/>
      <c r="BC6" s="130"/>
      <c r="BD6" s="130"/>
      <c r="BE6" s="130"/>
      <c r="BF6" s="130"/>
      <c r="BG6" s="131"/>
    </row>
    <row r="7" spans="1:59" ht="11.25" customHeight="1">
      <c r="A7" s="127">
        <v>5</v>
      </c>
      <c r="B7" s="128"/>
      <c r="C7" s="129"/>
      <c r="D7" s="130"/>
      <c r="E7" s="130"/>
      <c r="F7" s="130"/>
      <c r="G7" s="130"/>
      <c r="H7" s="130"/>
      <c r="I7" s="130"/>
      <c r="J7" s="130"/>
      <c r="K7" s="130"/>
      <c r="L7" s="131"/>
      <c r="M7" s="132"/>
      <c r="N7" s="133"/>
      <c r="O7" s="133"/>
      <c r="P7" s="134"/>
      <c r="Q7" s="129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1"/>
      <c r="BB7" s="129"/>
      <c r="BC7" s="130"/>
      <c r="BD7" s="130"/>
      <c r="BE7" s="130"/>
      <c r="BF7" s="130"/>
      <c r="BG7" s="131"/>
    </row>
    <row r="8" spans="1:59" ht="11.25" customHeight="1">
      <c r="A8" s="121" t="s">
        <v>192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</row>
    <row r="9" spans="1:59" ht="11.25" customHeight="1">
      <c r="A9" s="124" t="s">
        <v>41</v>
      </c>
      <c r="B9" s="125"/>
      <c r="C9" s="124" t="s">
        <v>193</v>
      </c>
      <c r="D9" s="126"/>
      <c r="E9" s="126"/>
      <c r="F9" s="126"/>
      <c r="G9" s="126"/>
      <c r="H9" s="126"/>
      <c r="I9" s="126"/>
      <c r="J9" s="126"/>
      <c r="K9" s="126"/>
      <c r="L9" s="125"/>
      <c r="M9" s="124" t="s">
        <v>194</v>
      </c>
      <c r="N9" s="126"/>
      <c r="O9" s="125"/>
      <c r="P9" s="124" t="s">
        <v>190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5"/>
      <c r="AQ9" s="124" t="s">
        <v>191</v>
      </c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5"/>
    </row>
    <row r="10" spans="1:59" ht="11.25" customHeight="1">
      <c r="A10" s="135">
        <v>1</v>
      </c>
      <c r="B10" s="136"/>
      <c r="C10" s="135" t="s">
        <v>195</v>
      </c>
      <c r="D10" s="137"/>
      <c r="E10" s="137"/>
      <c r="F10" s="137"/>
      <c r="G10" s="137"/>
      <c r="H10" s="137"/>
      <c r="I10" s="137"/>
      <c r="J10" s="137"/>
      <c r="K10" s="137"/>
      <c r="L10" s="136"/>
      <c r="M10" s="135" t="s">
        <v>196</v>
      </c>
      <c r="N10" s="137"/>
      <c r="O10" s="136"/>
      <c r="P10" s="129" t="s">
        <v>213</v>
      </c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1"/>
      <c r="AQ10" s="129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1"/>
    </row>
    <row r="11" spans="1:59" ht="11.25" customHeight="1">
      <c r="A11" s="135">
        <v>2</v>
      </c>
      <c r="B11" s="136"/>
      <c r="C11" s="135"/>
      <c r="D11" s="137"/>
      <c r="E11" s="137"/>
      <c r="F11" s="137"/>
      <c r="G11" s="137"/>
      <c r="H11" s="137"/>
      <c r="I11" s="137"/>
      <c r="J11" s="137"/>
      <c r="K11" s="137"/>
      <c r="L11" s="136"/>
      <c r="M11" s="135"/>
      <c r="N11" s="137"/>
      <c r="O11" s="136"/>
      <c r="P11" s="129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1"/>
      <c r="AQ11" s="129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1"/>
    </row>
    <row r="12" spans="1:59" ht="11.25" customHeight="1">
      <c r="A12" s="135">
        <v>3</v>
      </c>
      <c r="B12" s="136"/>
      <c r="C12" s="135"/>
      <c r="D12" s="137"/>
      <c r="E12" s="137"/>
      <c r="F12" s="137"/>
      <c r="G12" s="137"/>
      <c r="H12" s="137"/>
      <c r="I12" s="137"/>
      <c r="J12" s="137"/>
      <c r="K12" s="137"/>
      <c r="L12" s="136"/>
      <c r="M12" s="135"/>
      <c r="N12" s="137"/>
      <c r="O12" s="136"/>
      <c r="P12" s="138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40"/>
      <c r="AQ12" s="129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1"/>
    </row>
    <row r="13" spans="1:59" ht="11.25" customHeight="1">
      <c r="A13" s="127">
        <v>4</v>
      </c>
      <c r="B13" s="128"/>
      <c r="C13" s="129"/>
      <c r="D13" s="130"/>
      <c r="E13" s="130"/>
      <c r="F13" s="130"/>
      <c r="G13" s="130"/>
      <c r="H13" s="130"/>
      <c r="I13" s="130"/>
      <c r="J13" s="130"/>
      <c r="K13" s="130"/>
      <c r="L13" s="131"/>
      <c r="M13" s="141"/>
      <c r="N13" s="141"/>
      <c r="O13" s="127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1"/>
    </row>
    <row r="14" spans="1:59" ht="11.25" customHeight="1">
      <c r="A14" s="127">
        <v>5</v>
      </c>
      <c r="B14" s="128"/>
      <c r="C14" s="129"/>
      <c r="D14" s="130"/>
      <c r="E14" s="130"/>
      <c r="F14" s="130"/>
      <c r="G14" s="130"/>
      <c r="H14" s="130"/>
      <c r="I14" s="130"/>
      <c r="J14" s="130"/>
      <c r="K14" s="130"/>
      <c r="L14" s="131"/>
      <c r="M14" s="141"/>
      <c r="N14" s="141"/>
      <c r="O14" s="141"/>
      <c r="P14" s="143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5"/>
      <c r="AQ14" s="129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1"/>
    </row>
    <row r="15" spans="1:59" ht="11.25" customHeight="1">
      <c r="A15" s="121" t="s">
        <v>197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</row>
    <row r="16" spans="1:59" ht="11.25" customHeight="1">
      <c r="A16" s="124" t="s">
        <v>41</v>
      </c>
      <c r="B16" s="125"/>
      <c r="C16" s="124" t="s">
        <v>198</v>
      </c>
      <c r="D16" s="126"/>
      <c r="E16" s="126"/>
      <c r="F16" s="126"/>
      <c r="G16" s="126"/>
      <c r="H16" s="126"/>
      <c r="I16" s="126"/>
      <c r="J16" s="126"/>
      <c r="K16" s="126"/>
      <c r="L16" s="125"/>
      <c r="M16" s="124" t="s">
        <v>199</v>
      </c>
      <c r="N16" s="126"/>
      <c r="O16" s="126"/>
      <c r="P16" s="126"/>
      <c r="Q16" s="125"/>
      <c r="R16" s="124" t="s">
        <v>200</v>
      </c>
      <c r="S16" s="126"/>
      <c r="T16" s="126"/>
      <c r="U16" s="126"/>
      <c r="V16" s="125"/>
      <c r="W16" s="124" t="s">
        <v>201</v>
      </c>
      <c r="X16" s="126"/>
      <c r="Y16" s="126"/>
      <c r="Z16" s="126"/>
      <c r="AA16" s="125"/>
      <c r="AB16" s="124" t="s">
        <v>202</v>
      </c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5"/>
    </row>
    <row r="17" spans="1:59" ht="11.25" customHeight="1">
      <c r="A17" s="127">
        <v>1</v>
      </c>
      <c r="B17" s="128"/>
      <c r="C17" s="129"/>
      <c r="D17" s="130"/>
      <c r="E17" s="130"/>
      <c r="F17" s="130"/>
      <c r="G17" s="130"/>
      <c r="H17" s="130"/>
      <c r="I17" s="130"/>
      <c r="J17" s="130"/>
      <c r="K17" s="130"/>
      <c r="L17" s="131"/>
      <c r="M17" s="127"/>
      <c r="N17" s="146"/>
      <c r="O17" s="146"/>
      <c r="P17" s="146"/>
      <c r="Q17" s="128"/>
      <c r="R17" s="127"/>
      <c r="S17" s="146"/>
      <c r="T17" s="146"/>
      <c r="U17" s="146"/>
      <c r="V17" s="128"/>
      <c r="W17" s="127"/>
      <c r="X17" s="146"/>
      <c r="Y17" s="146"/>
      <c r="Z17" s="146"/>
      <c r="AA17" s="128"/>
      <c r="AB17" s="129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1"/>
    </row>
    <row r="18" spans="1:59" ht="11.25" customHeight="1">
      <c r="A18" s="127">
        <v>2</v>
      </c>
      <c r="B18" s="128"/>
      <c r="C18" s="129"/>
      <c r="D18" s="130"/>
      <c r="E18" s="130"/>
      <c r="F18" s="130"/>
      <c r="G18" s="130"/>
      <c r="H18" s="130"/>
      <c r="I18" s="130"/>
      <c r="J18" s="130"/>
      <c r="K18" s="130"/>
      <c r="L18" s="131"/>
      <c r="M18" s="127"/>
      <c r="N18" s="146"/>
      <c r="O18" s="146"/>
      <c r="P18" s="146"/>
      <c r="Q18" s="128"/>
      <c r="R18" s="127"/>
      <c r="S18" s="146"/>
      <c r="T18" s="146"/>
      <c r="U18" s="146"/>
      <c r="V18" s="128"/>
      <c r="W18" s="127"/>
      <c r="X18" s="146"/>
      <c r="Y18" s="146"/>
      <c r="Z18" s="146"/>
      <c r="AA18" s="128"/>
      <c r="AB18" s="129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1"/>
    </row>
    <row r="19" spans="1:59" ht="11.25" customHeight="1">
      <c r="A19" s="127">
        <v>3</v>
      </c>
      <c r="B19" s="128"/>
      <c r="C19" s="129"/>
      <c r="D19" s="130"/>
      <c r="E19" s="130"/>
      <c r="F19" s="130"/>
      <c r="G19" s="130"/>
      <c r="H19" s="130"/>
      <c r="I19" s="130"/>
      <c r="J19" s="130"/>
      <c r="K19" s="130"/>
      <c r="L19" s="131"/>
      <c r="M19" s="127"/>
      <c r="N19" s="146"/>
      <c r="O19" s="146"/>
      <c r="P19" s="146"/>
      <c r="Q19" s="128"/>
      <c r="R19" s="127"/>
      <c r="S19" s="146"/>
      <c r="T19" s="146"/>
      <c r="U19" s="146"/>
      <c r="V19" s="128"/>
      <c r="W19" s="127"/>
      <c r="X19" s="146"/>
      <c r="Y19" s="146"/>
      <c r="Z19" s="146"/>
      <c r="AA19" s="128"/>
      <c r="AB19" s="147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1"/>
    </row>
    <row r="20" spans="1:59" ht="11.25" customHeight="1">
      <c r="A20" s="121" t="s">
        <v>203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</row>
    <row r="21" spans="1:59" ht="11.25" customHeight="1">
      <c r="A21" s="124" t="s">
        <v>41</v>
      </c>
      <c r="B21" s="125"/>
      <c r="C21" s="124" t="s">
        <v>204</v>
      </c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5"/>
      <c r="R21" s="124" t="s">
        <v>205</v>
      </c>
      <c r="S21" s="126"/>
      <c r="T21" s="126"/>
      <c r="U21" s="126"/>
      <c r="V21" s="126"/>
      <c r="W21" s="126"/>
      <c r="X21" s="126"/>
      <c r="Y21" s="126"/>
      <c r="Z21" s="126"/>
      <c r="AA21" s="125"/>
      <c r="AB21" s="124" t="s">
        <v>206</v>
      </c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5"/>
      <c r="BB21" s="124" t="s">
        <v>191</v>
      </c>
      <c r="BC21" s="126"/>
      <c r="BD21" s="126"/>
      <c r="BE21" s="126"/>
      <c r="BF21" s="126"/>
      <c r="BG21" s="125"/>
    </row>
    <row r="22" spans="1:59" ht="11.25" customHeight="1">
      <c r="A22" s="127">
        <v>1</v>
      </c>
      <c r="B22" s="128"/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7"/>
      <c r="S22" s="146"/>
      <c r="T22" s="146"/>
      <c r="U22" s="146"/>
      <c r="V22" s="146"/>
      <c r="W22" s="146"/>
      <c r="X22" s="146"/>
      <c r="Y22" s="146"/>
      <c r="Z22" s="146"/>
      <c r="AA22" s="128"/>
      <c r="AB22" s="129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1"/>
      <c r="BB22" s="129"/>
      <c r="BC22" s="130"/>
      <c r="BD22" s="130"/>
      <c r="BE22" s="130"/>
      <c r="BF22" s="130"/>
      <c r="BG22" s="131"/>
    </row>
    <row r="23" spans="1:59" ht="11.25" customHeight="1">
      <c r="A23" s="127">
        <v>2</v>
      </c>
      <c r="B23" s="128"/>
      <c r="C23" s="129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7"/>
      <c r="S23" s="146"/>
      <c r="T23" s="146"/>
      <c r="U23" s="146"/>
      <c r="V23" s="146"/>
      <c r="W23" s="146"/>
      <c r="X23" s="146"/>
      <c r="Y23" s="146"/>
      <c r="Z23" s="146"/>
      <c r="AA23" s="128"/>
      <c r="AB23" s="129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1"/>
      <c r="BB23" s="129"/>
      <c r="BC23" s="130"/>
      <c r="BD23" s="130"/>
      <c r="BE23" s="130"/>
      <c r="BF23" s="130"/>
      <c r="BG23" s="131"/>
    </row>
    <row r="24" spans="1:59" ht="11.25" customHeight="1">
      <c r="A24" s="127">
        <v>3</v>
      </c>
      <c r="B24" s="128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7"/>
      <c r="S24" s="146"/>
      <c r="T24" s="146"/>
      <c r="U24" s="146"/>
      <c r="V24" s="146"/>
      <c r="W24" s="146"/>
      <c r="X24" s="146"/>
      <c r="Y24" s="146"/>
      <c r="Z24" s="146"/>
      <c r="AA24" s="128"/>
      <c r="AB24" s="129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1"/>
      <c r="BB24" s="129"/>
      <c r="BC24" s="130"/>
      <c r="BD24" s="130"/>
      <c r="BE24" s="130"/>
      <c r="BF24" s="130"/>
      <c r="BG24" s="131"/>
    </row>
    <row r="25" spans="1:59" ht="11.25" customHeight="1">
      <c r="A25" s="155" t="s">
        <v>207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7"/>
    </row>
    <row r="26" spans="1:59" ht="11.25" customHeight="1">
      <c r="A26" s="148" t="s">
        <v>208</v>
      </c>
      <c r="B26" s="158"/>
      <c r="C26" s="148" t="s">
        <v>209</v>
      </c>
      <c r="D26" s="149"/>
      <c r="E26" s="149"/>
      <c r="F26" s="149"/>
      <c r="G26" s="149"/>
      <c r="H26" s="149"/>
      <c r="I26" s="149"/>
      <c r="J26" s="149"/>
      <c r="K26" s="149"/>
      <c r="L26" s="158"/>
      <c r="M26" s="148" t="s">
        <v>210</v>
      </c>
      <c r="N26" s="149"/>
      <c r="O26" s="149"/>
      <c r="P26" s="149"/>
      <c r="Q26" s="149"/>
      <c r="R26" s="149"/>
      <c r="S26" s="149"/>
      <c r="T26" s="158"/>
      <c r="U26" s="148" t="s">
        <v>211</v>
      </c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58"/>
      <c r="AK26" s="148" t="s">
        <v>212</v>
      </c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</row>
    <row r="27" spans="1:59" ht="11.25" customHeight="1">
      <c r="A27" s="150">
        <v>1</v>
      </c>
      <c r="B27" s="151"/>
      <c r="C27" s="152"/>
      <c r="D27" s="153"/>
      <c r="E27" s="153"/>
      <c r="F27" s="153"/>
      <c r="G27" s="153"/>
      <c r="H27" s="153"/>
      <c r="I27" s="153"/>
      <c r="J27" s="153"/>
      <c r="K27" s="153"/>
      <c r="L27" s="154"/>
      <c r="M27" s="152"/>
      <c r="N27" s="153"/>
      <c r="O27" s="153"/>
      <c r="P27" s="153"/>
      <c r="Q27" s="153"/>
      <c r="R27" s="153"/>
      <c r="S27" s="153"/>
      <c r="T27" s="154"/>
      <c r="U27" s="152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4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50">
        <v>2</v>
      </c>
      <c r="B28" s="151"/>
      <c r="C28" s="152"/>
      <c r="D28" s="153"/>
      <c r="E28" s="153"/>
      <c r="F28" s="153"/>
      <c r="G28" s="153"/>
      <c r="H28" s="153"/>
      <c r="I28" s="153"/>
      <c r="J28" s="153"/>
      <c r="K28" s="153"/>
      <c r="L28" s="154"/>
      <c r="M28" s="152"/>
      <c r="N28" s="153"/>
      <c r="O28" s="153"/>
      <c r="P28" s="153"/>
      <c r="Q28" s="153"/>
      <c r="R28" s="153"/>
      <c r="S28" s="153"/>
      <c r="T28" s="154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4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50">
        <v>3</v>
      </c>
      <c r="B29" s="151"/>
      <c r="C29" s="152"/>
      <c r="D29" s="153"/>
      <c r="E29" s="153"/>
      <c r="F29" s="153"/>
      <c r="G29" s="153"/>
      <c r="H29" s="153"/>
      <c r="I29" s="153"/>
      <c r="J29" s="153"/>
      <c r="K29" s="153"/>
      <c r="L29" s="154"/>
      <c r="M29" s="152"/>
      <c r="N29" s="153"/>
      <c r="O29" s="153"/>
      <c r="P29" s="153"/>
      <c r="Q29" s="153"/>
      <c r="R29" s="153"/>
      <c r="S29" s="153"/>
      <c r="T29" s="154"/>
      <c r="U29" s="152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4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9:B9"/>
    <mergeCell ref="C9:L9"/>
    <mergeCell ref="M9:O9"/>
    <mergeCell ref="P9:AP9"/>
    <mergeCell ref="AQ9:BG9"/>
    <mergeCell ref="A10:B10"/>
    <mergeCell ref="C11:L11"/>
    <mergeCell ref="M10:O10"/>
    <mergeCell ref="P10:AP10"/>
    <mergeCell ref="AQ10:BG10"/>
    <mergeCell ref="C10:L10"/>
    <mergeCell ref="A11:B11"/>
    <mergeCell ref="M11:O11"/>
    <mergeCell ref="P11:AP11"/>
    <mergeCell ref="AQ11:BG11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M12 M13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964ED0-1E10-4742-951A-4DBB98BD36A5}"/>
</file>

<file path=customXml/itemProps2.xml><?xml version="1.0" encoding="utf-8"?>
<ds:datastoreItem xmlns:ds="http://schemas.openxmlformats.org/officeDocument/2006/customXml" ds:itemID="{0CD90A09-F9C1-4822-8BFB-245A099C4C80}">
  <ds:schemaRefs>
    <ds:schemaRef ds:uri="11a06735-eb40-4925-8cde-3ab8c03b2281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337c9669-7545-402d-a50a-1c173d0fc4c6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Akinobu, Saki</cp:lastModifiedBy>
  <cp:revision/>
  <dcterms:created xsi:type="dcterms:W3CDTF">2015-06-05T18:19:34Z</dcterms:created>
  <dcterms:modified xsi:type="dcterms:W3CDTF">2025-04-11T06:12:20Z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