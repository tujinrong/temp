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drawings/drawing7.xml" ContentType="application/vnd.openxmlformats-officedocument.drawing+xml"/>
  <Override PartName="/xl/comments16.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7.xml" ContentType="application/vnd.openxmlformats-officedocument.spreadsheetml.comments+xml"/>
  <Override PartName="/xl/drawings/drawing11.xml" ContentType="application/vnd.openxmlformats-officedocument.drawing+xml"/>
  <Override PartName="/xl/comments1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13"/>
  <workbookPr codeName="ThisWorkbook"/>
  <xr:revisionPtr revIDLastSave="13" documentId="11_DBFD41B6EB1D0704C7D66D955B8A9E64A086BF26" xr6:coauthVersionLast="47" xr6:coauthVersionMax="47" xr10:uidLastSave="{2468CE33-0299-4982-8AB7-01298364D68E}"/>
  <bookViews>
    <workbookView xWindow="2565" yWindow="15" windowWidth="15375" windowHeight="8115" tabRatio="812" firstSheet="13" activeTab="12" xr2:uid="{00000000-000D-0000-FFFF-FFFF00000000}"/>
  </bookViews>
  <sheets>
    <sheet name="シート説明" sheetId="37" r:id="rId1"/>
    <sheet name="Check List" sheetId="32" r:id="rId2"/>
    <sheet name="詳細設計書" sheetId="3" r:id="rId3"/>
    <sheet name="処理詳細(1)" sheetId="36" r:id="rId4"/>
    <sheet name="処理詳細(2)" sheetId="79" r:id="rId5"/>
    <sheet name="処理詳細(3)" sheetId="71" r:id="rId6"/>
    <sheet name="処理詳細(4)" sheetId="72" r:id="rId7"/>
    <sheet name="選択画面レイアウト" sheetId="38" r:id="rId8"/>
    <sheet name="Tableデータ抽出(1)" sheetId="49" r:id="rId9"/>
    <sheet name="Tableデータ抽出(2)" sheetId="74" r:id="rId10"/>
    <sheet name="Tableデータ抽出(3)" sheetId="75" r:id="rId11"/>
    <sheet name="Tableデータ抽出(4)" sheetId="78" r:id="rId12"/>
    <sheet name="File定義(電手決済債務明細データ)(1-1)" sheetId="85" r:id="rId13"/>
    <sheet name="File定義(電手決済債務明細データ)(1-2)" sheetId="86" r:id="rId14"/>
    <sheet name="Table更新" sheetId="76" r:id="rId15"/>
    <sheet name="エラーチェック" sheetId="62" r:id="rId16"/>
    <sheet name="テスト概要 " sheetId="30" r:id="rId17"/>
    <sheet name="テストデータ" sheetId="25" r:id="rId18"/>
    <sheet name="テスト詳細" sheetId="24" r:id="rId19"/>
    <sheet name="別紙1" sheetId="63" r:id="rId20"/>
    <sheet name="別紙2" sheetId="84" r:id="rId21"/>
    <sheet name="変更履歴" sheetId="26" r:id="rId22"/>
  </sheets>
  <definedNames>
    <definedName name="_xlnm.Print_Area" localSheetId="14">Table更新!$A$1:$AG$51</definedName>
    <definedName name="_xlnm.Print_Area" localSheetId="17">テストデータ!$A$1:$AG$65</definedName>
    <definedName name="_xlnm.Print_Area" localSheetId="16">'テスト概要 '!$A$1:$AG$68</definedName>
    <definedName name="_xlnm.Print_Area" localSheetId="18">テスト詳細!$A$1:$AH$66</definedName>
    <definedName name="_xlnm.Print_Area" localSheetId="3">'処理詳細(1)'!$A$1:$AI$55</definedName>
    <definedName name="_xlnm.Print_Area" localSheetId="4">'処理詳細(2)'!$A$1:$AI$55</definedName>
    <definedName name="_xlnm.Print_Area" localSheetId="5">'処理詳細(3)'!$A$1:$AI$55</definedName>
    <definedName name="_xlnm.Print_Area" localSheetId="6">'処理詳細(4)'!$A$1:$AI$50</definedName>
    <definedName name="_xlnm.Print_Area" localSheetId="2">詳細設計書!$A$1:$AG$52</definedName>
    <definedName name="_xlnm.Print_Area" localSheetId="21">変更履歴!$A$1:$AG$50</definedName>
    <definedName name="_xlnm.Print_Titles" localSheetId="1">'Check List'!$1:$7</definedName>
    <definedName name="_xlnm.Print_Titles" localSheetId="16">'テスト概要 '!$1:$6</definedName>
    <definedName name="印刷用">#REF!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86" l="1"/>
  <c r="B20" i="86" s="1"/>
  <c r="B21" i="86" s="1"/>
  <c r="B22" i="86" s="1"/>
  <c r="B23" i="86" s="1"/>
  <c r="B24" i="86" s="1"/>
  <c r="B25" i="86" s="1"/>
  <c r="B26" i="86" s="1"/>
  <c r="B27" i="86" s="1"/>
  <c r="B28" i="86" s="1"/>
  <c r="B29" i="86" s="1"/>
  <c r="B30" i="86" s="1"/>
  <c r="B36" i="86"/>
  <c r="B37" i="86" s="1"/>
  <c r="G1" i="86"/>
  <c r="S1" i="86"/>
  <c r="AD1" i="86"/>
  <c r="G2" i="86"/>
  <c r="S2" i="86"/>
  <c r="AD2" i="86"/>
  <c r="G3" i="86"/>
  <c r="AC4" i="86"/>
  <c r="G1" i="85"/>
  <c r="S1" i="85"/>
  <c r="AD1" i="85"/>
  <c r="G2" i="85"/>
  <c r="S2" i="85"/>
  <c r="AD2" i="85"/>
  <c r="G3" i="85"/>
  <c r="AC4" i="85"/>
  <c r="G1" i="84"/>
  <c r="S1" i="84"/>
  <c r="AD1" i="84"/>
  <c r="G2" i="84"/>
  <c r="S2" i="84"/>
  <c r="AD2" i="84"/>
  <c r="G3" i="84"/>
  <c r="AC3" i="84"/>
  <c r="AC4" i="84"/>
  <c r="AC4" i="32"/>
  <c r="G3" i="32"/>
  <c r="G2" i="32"/>
  <c r="G1" i="32"/>
  <c r="S3" i="3"/>
  <c r="V3" i="74" s="1"/>
  <c r="G3" i="49"/>
  <c r="V1" i="49"/>
  <c r="G1" i="49"/>
  <c r="AF4" i="49"/>
  <c r="AG2" i="49"/>
  <c r="AG1" i="49"/>
  <c r="V2" i="49"/>
  <c r="G2" i="49"/>
  <c r="G3" i="74"/>
  <c r="V1" i="74"/>
  <c r="G1" i="74"/>
  <c r="AF4" i="74"/>
  <c r="AG2" i="74"/>
  <c r="AG1" i="74"/>
  <c r="V2" i="74"/>
  <c r="G2" i="74"/>
  <c r="G3" i="75"/>
  <c r="V1" i="75"/>
  <c r="G1" i="75"/>
  <c r="AF4" i="75"/>
  <c r="AG2" i="75"/>
  <c r="AG1" i="75"/>
  <c r="V2" i="75"/>
  <c r="G2" i="75"/>
  <c r="G3" i="78"/>
  <c r="V1" i="78"/>
  <c r="G1" i="78"/>
  <c r="AF4" i="78"/>
  <c r="AG2" i="78"/>
  <c r="AG1" i="78"/>
  <c r="V2" i="78"/>
  <c r="G2" i="78"/>
  <c r="AC4" i="76"/>
  <c r="G3" i="76"/>
  <c r="AD2" i="76"/>
  <c r="S2" i="76"/>
  <c r="G2" i="76"/>
  <c r="AD1" i="76"/>
  <c r="S1" i="76"/>
  <c r="G1" i="76"/>
  <c r="AD4" i="62"/>
  <c r="AE2" i="62"/>
  <c r="AE1" i="62"/>
  <c r="S2" i="62"/>
  <c r="S1" i="62"/>
  <c r="G3" i="62"/>
  <c r="G2" i="62"/>
  <c r="G1" i="62"/>
  <c r="AC4" i="25"/>
  <c r="G3" i="25"/>
  <c r="S2" i="25"/>
  <c r="G2" i="25"/>
  <c r="S1" i="25"/>
  <c r="G1" i="25"/>
  <c r="AD1" i="25"/>
  <c r="AD2" i="25"/>
  <c r="AC4" i="30"/>
  <c r="G3" i="30"/>
  <c r="S2" i="30"/>
  <c r="G2" i="30"/>
  <c r="S1" i="30"/>
  <c r="G1" i="30"/>
  <c r="AD1" i="30"/>
  <c r="AD2" i="30"/>
  <c r="AC4" i="24"/>
  <c r="G3" i="24"/>
  <c r="S2" i="24"/>
  <c r="G2" i="24"/>
  <c r="S1" i="24"/>
  <c r="G1" i="24"/>
  <c r="AD1" i="24"/>
  <c r="AD2" i="24"/>
  <c r="G2" i="36"/>
  <c r="AC4" i="36"/>
  <c r="AC3" i="36"/>
  <c r="G3" i="36"/>
  <c r="G1" i="36"/>
  <c r="S2" i="36"/>
  <c r="S1" i="36"/>
  <c r="AD1" i="36"/>
  <c r="AD2" i="36"/>
  <c r="G2" i="79"/>
  <c r="AC4" i="79"/>
  <c r="AC3" i="79"/>
  <c r="G3" i="79"/>
  <c r="G1" i="79"/>
  <c r="S2" i="79"/>
  <c r="S1" i="79"/>
  <c r="AD1" i="79"/>
  <c r="AD2" i="79"/>
  <c r="G2" i="71"/>
  <c r="AC4" i="71"/>
  <c r="AC3" i="71"/>
  <c r="G3" i="71"/>
  <c r="G1" i="71"/>
  <c r="S2" i="71"/>
  <c r="S1" i="71"/>
  <c r="AD1" i="71"/>
  <c r="AD2" i="71"/>
  <c r="G2" i="72"/>
  <c r="AC4" i="72"/>
  <c r="AC3" i="72"/>
  <c r="G3" i="72"/>
  <c r="G1" i="72"/>
  <c r="S2" i="72"/>
  <c r="S1" i="72"/>
  <c r="AD1" i="72"/>
  <c r="AD2" i="72"/>
  <c r="AC4" i="38"/>
  <c r="AD1" i="38"/>
  <c r="AD2" i="38"/>
  <c r="G3" i="38"/>
  <c r="S2" i="38"/>
  <c r="G2" i="38"/>
  <c r="S1" i="38"/>
  <c r="G1" i="38"/>
  <c r="AC4" i="63"/>
  <c r="G3" i="63"/>
  <c r="G2" i="63"/>
  <c r="S1" i="63"/>
  <c r="S2" i="63"/>
  <c r="AC3" i="63"/>
  <c r="AD2" i="63"/>
  <c r="AD1" i="63"/>
  <c r="G1" i="63"/>
  <c r="G3" i="26"/>
  <c r="G1" i="26"/>
  <c r="AC4" i="26"/>
  <c r="S1" i="26"/>
  <c r="S2" i="26"/>
  <c r="G2" i="26"/>
  <c r="AD1" i="26"/>
  <c r="AD2" i="26"/>
  <c r="B31" i="86" l="1"/>
  <c r="B32" i="86" s="1"/>
  <c r="S3" i="79"/>
  <c r="S3" i="71"/>
  <c r="S3" i="84"/>
  <c r="S3" i="32"/>
  <c r="S3" i="63"/>
  <c r="S3" i="24"/>
  <c r="S3" i="36"/>
  <c r="S3" i="85"/>
  <c r="S3" i="26"/>
  <c r="S3" i="30"/>
  <c r="S3" i="76"/>
  <c r="S3" i="38"/>
  <c r="S3" i="25"/>
  <c r="V3" i="78"/>
  <c r="S3" i="62"/>
  <c r="V3" i="49"/>
  <c r="S3" i="72"/>
  <c r="V3" i="75"/>
  <c r="S3" i="8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M.Kawabata</author>
    <author>AS170</author>
  </authors>
  <commentList>
    <comment ref="Y4" authorId="0" shapeId="0" xr:uid="{00000000-0006-0000-0100-000001000000}">
      <text>
        <r>
          <rPr>
            <sz val="9"/>
            <color indexed="81"/>
            <rFont val="ＭＳ Ｐゴシック"/>
            <family val="3"/>
            <charset val="128"/>
          </rPr>
          <t>開発リーダがチェックを行なう</t>
        </r>
      </text>
    </comment>
    <comment ref="AG6" authorId="0" shapeId="0" xr:uid="{00000000-0006-0000-0100-000002000000}">
      <text>
        <r>
          <rPr>
            <sz val="9"/>
            <color indexed="81"/>
            <rFont val="ＭＳ Ｐゴシック"/>
            <family val="3"/>
            <charset val="128"/>
          </rPr>
          <t>◎が付けられているところに、適切な記述がなければOKを付けられない
また、NGが一つでもある場合は仕様書として不適格なので、書き直すこと</t>
        </r>
      </text>
    </comment>
    <comment ref="H52" authorId="1" shapeId="0" xr:uid="{00000000-0006-0000-0100-000003000000}">
      <text>
        <r>
          <rPr>
            <sz val="9"/>
            <color indexed="81"/>
            <rFont val="ＭＳ Ｐゴシック"/>
            <family val="3"/>
            <charset val="128"/>
          </rPr>
          <t>統合会計システム開発では帳票IDは未使用とする。</t>
        </r>
      </text>
    </comment>
    <comment ref="H55" authorId="1" shapeId="0" xr:uid="{00000000-0006-0000-0100-000004000000}">
      <text>
        <r>
          <rPr>
            <sz val="9"/>
            <color indexed="81"/>
            <rFont val="ＭＳ Ｐゴシック"/>
            <family val="3"/>
            <charset val="128"/>
          </rPr>
          <t>Sheetに該当箇所がない
ので未記入</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AS171</author>
    <author>M.Kawabata</author>
  </authors>
  <commentList>
    <comment ref="R1" authorId="0" shapeId="0" xr:uid="{00000000-0006-0000-0200-000001000000}">
      <text>
        <r>
          <rPr>
            <sz val="9"/>
            <color indexed="81"/>
            <rFont val="ＭＳ Ｐゴシック"/>
            <family val="3"/>
            <charset val="128"/>
          </rPr>
          <t>詳細設計書の作成日を記述</t>
        </r>
      </text>
    </comment>
    <comment ref="R2" authorId="0" shapeId="0" xr:uid="{00000000-0006-0000-0200-000002000000}">
      <text>
        <r>
          <rPr>
            <sz val="9"/>
            <color indexed="81"/>
            <rFont val="ＭＳ Ｐゴシック"/>
            <family val="3"/>
            <charset val="128"/>
          </rPr>
          <t>詳細設計書の作成者を記述</t>
        </r>
      </text>
    </comment>
    <comment ref="F3" authorId="1" shapeId="0" xr:uid="{00000000-0006-0000-0200-000003000000}">
      <text>
        <r>
          <rPr>
            <sz val="9"/>
            <color indexed="81"/>
            <rFont val="ＭＳ Ｐゴシック"/>
            <family val="3"/>
            <charset val="128"/>
          </rPr>
          <t>仕様書のIDを記述</t>
        </r>
      </text>
    </comment>
    <comment ref="R3" authorId="1" shapeId="0" xr:uid="{00000000-0006-0000-0200-000004000000}">
      <text>
        <r>
          <rPr>
            <sz val="9"/>
            <color indexed="81"/>
            <rFont val="ＭＳ Ｐゴシック"/>
            <family val="3"/>
            <charset val="128"/>
          </rPr>
          <t>Program名称を記述</t>
        </r>
      </text>
    </comment>
    <comment ref="Z3" authorId="0" shapeId="0" xr:uid="{00000000-0006-0000-0200-000005000000}">
      <text>
        <r>
          <rPr>
            <sz val="9"/>
            <color indexed="81"/>
            <rFont val="ＭＳ Ｐゴシック"/>
            <family val="3"/>
            <charset val="128"/>
          </rPr>
          <t>要件定義書のＩＤを記述</t>
        </r>
      </text>
    </comment>
    <comment ref="R11" authorId="1" shapeId="0" xr:uid="{00000000-0006-0000-0200-000006000000}">
      <text>
        <r>
          <rPr>
            <sz val="9"/>
            <color indexed="81"/>
            <rFont val="ＭＳ Ｐゴシック"/>
            <family val="3"/>
            <charset val="128"/>
          </rPr>
          <t>ここでチェックした項目は、必ず、特殊要件シートにも記述すること</t>
        </r>
      </text>
    </comment>
    <comment ref="J12" authorId="1" shapeId="0" xr:uid="{00000000-0006-0000-0200-000007000000}">
      <text>
        <r>
          <rPr>
            <sz val="9"/>
            <color indexed="81"/>
            <rFont val="ＭＳ Ｐゴシック"/>
            <family val="3"/>
            <charset val="128"/>
          </rPr>
          <t>機能数を記入</t>
        </r>
      </text>
    </comment>
    <comment ref="J13" authorId="1" shapeId="0" xr:uid="{00000000-0006-0000-0200-000008000000}">
      <text>
        <r>
          <rPr>
            <sz val="9"/>
            <color indexed="81"/>
            <rFont val="ＭＳ Ｐゴシック"/>
            <family val="3"/>
            <charset val="128"/>
          </rPr>
          <t>機能数を記入</t>
        </r>
      </text>
    </comment>
    <comment ref="J14" authorId="1" shapeId="0" xr:uid="{00000000-0006-0000-0200-000009000000}">
      <text>
        <r>
          <rPr>
            <sz val="9"/>
            <color indexed="81"/>
            <rFont val="ＭＳ Ｐゴシック"/>
            <family val="3"/>
            <charset val="128"/>
          </rPr>
          <t>機能数を記入</t>
        </r>
      </text>
    </comment>
    <comment ref="J15" authorId="1" shapeId="0" xr:uid="{00000000-0006-0000-0200-00000A000000}">
      <text>
        <r>
          <rPr>
            <sz val="9"/>
            <color indexed="81"/>
            <rFont val="ＭＳ Ｐゴシック"/>
            <family val="3"/>
            <charset val="128"/>
          </rPr>
          <t>機能数を記入</t>
        </r>
      </text>
    </comment>
    <comment ref="J16" authorId="1" shapeId="0" xr:uid="{00000000-0006-0000-0200-00000B000000}">
      <text>
        <r>
          <rPr>
            <sz val="9"/>
            <color indexed="81"/>
            <rFont val="ＭＳ Ｐゴシック"/>
            <family val="3"/>
            <charset val="128"/>
          </rPr>
          <t>機能数を記入</t>
        </r>
      </text>
    </comment>
    <comment ref="AF16" authorId="1" shapeId="0" xr:uid="{00000000-0006-0000-0200-00000C000000}">
      <text>
        <r>
          <rPr>
            <sz val="9"/>
            <color indexed="81"/>
            <rFont val="ＭＳ Ｐゴシック"/>
            <family val="3"/>
            <charset val="128"/>
          </rPr>
          <t xml:space="preserve">リストより選択
</t>
        </r>
      </text>
    </comment>
    <comment ref="J17" authorId="1" shapeId="0" xr:uid="{00000000-0006-0000-0200-00000D000000}">
      <text>
        <r>
          <rPr>
            <sz val="9"/>
            <color indexed="81"/>
            <rFont val="ＭＳ Ｐゴシック"/>
            <family val="3"/>
            <charset val="128"/>
          </rPr>
          <t>機能数を記入</t>
        </r>
      </text>
    </comment>
    <comment ref="I19" authorId="1" shapeId="0" xr:uid="{00000000-0006-0000-0200-00000E000000}">
      <text>
        <r>
          <rPr>
            <sz val="9"/>
            <color indexed="81"/>
            <rFont val="ＭＳ Ｐゴシック"/>
            <family val="3"/>
            <charset val="128"/>
          </rPr>
          <t>実際の運用で使用される可能性があるものすべてにチェックを付ける</t>
        </r>
      </text>
    </comment>
    <comment ref="Y20" authorId="1" shapeId="0" xr:uid="{00000000-0006-0000-0200-00000F000000}">
      <text>
        <r>
          <rPr>
            <sz val="9"/>
            <color indexed="81"/>
            <rFont val="ＭＳ Ｐゴシック"/>
            <family val="3"/>
            <charset val="128"/>
          </rPr>
          <t xml:space="preserve">リストより選択
</t>
        </r>
      </text>
    </comment>
    <comment ref="J22" authorId="1" shapeId="0" xr:uid="{00000000-0006-0000-0200-000010000000}">
      <text>
        <r>
          <rPr>
            <sz val="9"/>
            <color indexed="81"/>
            <rFont val="ＭＳ Ｐゴシック"/>
            <family val="3"/>
            <charset val="128"/>
          </rPr>
          <t>もっとも使用頻度が高いものを、リストから選択する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M.Kawabata</author>
  </authors>
  <commentList>
    <comment ref="F3" authorId="0" shapeId="0" xr:uid="{00000000-0006-0000-0300-000001000000}">
      <text>
        <r>
          <rPr>
            <sz val="9"/>
            <color indexed="81"/>
            <rFont val="ＭＳ Ｐゴシック"/>
            <family val="3"/>
            <charset val="128"/>
          </rPr>
          <t>仕様書のIDを記述</t>
        </r>
      </text>
    </comment>
    <comment ref="R3" authorId="0" shapeId="0" xr:uid="{00000000-0006-0000-0300-000002000000}">
      <text>
        <r>
          <rPr>
            <sz val="9"/>
            <color indexed="81"/>
            <rFont val="ＭＳ Ｐゴシック"/>
            <family val="3"/>
            <charset val="128"/>
          </rPr>
          <t>Program名称を記述</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M.Kawabata</author>
  </authors>
  <commentList>
    <comment ref="F3" authorId="0" shapeId="0" xr:uid="{00000000-0006-0000-0400-000001000000}">
      <text>
        <r>
          <rPr>
            <sz val="9"/>
            <color indexed="81"/>
            <rFont val="ＭＳ Ｐゴシック"/>
            <family val="3"/>
            <charset val="128"/>
          </rPr>
          <t>仕様書のIDを記述</t>
        </r>
      </text>
    </comment>
    <comment ref="R3" authorId="0" shapeId="0" xr:uid="{00000000-0006-0000-0400-000002000000}">
      <text>
        <r>
          <rPr>
            <sz val="9"/>
            <color indexed="81"/>
            <rFont val="ＭＳ Ｐゴシック"/>
            <family val="3"/>
            <charset val="128"/>
          </rPr>
          <t>Program名称を記述</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M.Kawabata</author>
  </authors>
  <commentList>
    <comment ref="F3" authorId="0" shapeId="0" xr:uid="{00000000-0006-0000-0500-000001000000}">
      <text>
        <r>
          <rPr>
            <sz val="9"/>
            <color indexed="81"/>
            <rFont val="ＭＳ Ｐゴシック"/>
            <family val="3"/>
            <charset val="128"/>
          </rPr>
          <t>仕様書のIDを記述</t>
        </r>
      </text>
    </comment>
    <comment ref="R3" authorId="0" shapeId="0" xr:uid="{00000000-0006-0000-0500-000002000000}">
      <text>
        <r>
          <rPr>
            <sz val="9"/>
            <color indexed="81"/>
            <rFont val="ＭＳ Ｐゴシック"/>
            <family val="3"/>
            <charset val="128"/>
          </rPr>
          <t>Program名称を記述</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M.Kawabata</author>
  </authors>
  <commentList>
    <comment ref="F3" authorId="0" shapeId="0" xr:uid="{00000000-0006-0000-0600-000001000000}">
      <text>
        <r>
          <rPr>
            <sz val="9"/>
            <color indexed="81"/>
            <rFont val="ＭＳ Ｐゴシック"/>
            <family val="3"/>
            <charset val="128"/>
          </rPr>
          <t>仕様書のIDを記述</t>
        </r>
      </text>
    </comment>
    <comment ref="R3" authorId="0" shapeId="0" xr:uid="{00000000-0006-0000-0600-000002000000}">
      <text>
        <r>
          <rPr>
            <sz val="9"/>
            <color indexed="81"/>
            <rFont val="ＭＳ Ｐゴシック"/>
            <family val="3"/>
            <charset val="128"/>
          </rPr>
          <t>Program名称を記述</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M.Kawabata</author>
  </authors>
  <commentList>
    <comment ref="AG31" authorId="0" shapeId="0" xr:uid="{00000000-0006-0000-0700-000001000000}">
      <text>
        <r>
          <rPr>
            <sz val="9"/>
            <color indexed="81"/>
            <rFont val="ＭＳ Ｐゴシック"/>
            <family val="3"/>
            <charset val="128"/>
          </rPr>
          <t>範囲や複数の値を入力させるもの。空白なら、全値が対象となる</t>
        </r>
      </text>
    </comment>
    <comment ref="B32" authorId="0" shapeId="0" xr:uid="{00000000-0006-0000-0700-000002000000}">
      <text>
        <r>
          <rPr>
            <sz val="9"/>
            <color indexed="81"/>
            <rFont val="ＭＳ Ｐゴシック"/>
            <family val="3"/>
            <charset val="128"/>
          </rPr>
          <t xml:space="preserve">ユニークなIDを記入
(Parameter、Select-options共通でユニークになるようにする)
入力チェックシートでこのIDを使用する
</t>
        </r>
      </text>
    </comment>
    <comment ref="V32" authorId="0" shapeId="0" xr:uid="{00000000-0006-0000-0700-000003000000}">
      <text>
        <r>
          <rPr>
            <sz val="9"/>
            <color indexed="81"/>
            <rFont val="ＭＳ Ｐゴシック"/>
            <family val="3"/>
            <charset val="128"/>
          </rPr>
          <t>Macthcode Object名を
記入する
入力可能値の照会のみが必要な場合は○を記述</t>
        </r>
      </text>
    </comment>
    <comment ref="X32" authorId="0" shapeId="0" xr:uid="{00000000-0006-0000-0700-000004000000}">
      <text>
        <r>
          <rPr>
            <sz val="9"/>
            <color indexed="81"/>
            <rFont val="ＭＳ Ｐゴシック"/>
            <family val="3"/>
            <charset val="128"/>
          </rPr>
          <t>入力必須なら○を記入</t>
        </r>
      </text>
    </comment>
    <comment ref="AA32" authorId="0" shapeId="0" xr:uid="{00000000-0006-0000-0700-000005000000}">
      <text>
        <r>
          <rPr>
            <sz val="9"/>
            <color indexed="81"/>
            <rFont val="ＭＳ Ｐゴシック"/>
            <family val="3"/>
            <charset val="128"/>
          </rPr>
          <t>エラーチェックを行なう場合は○を記入
その場合には、入力チェックシートにも記述すること</t>
        </r>
      </text>
    </comment>
    <comment ref="AG42" authorId="0" shapeId="0" xr:uid="{00000000-0006-0000-0700-000006000000}">
      <text>
        <r>
          <rPr>
            <sz val="9"/>
            <color indexed="81"/>
            <rFont val="ＭＳ Ｐゴシック"/>
            <family val="3"/>
            <charset val="128"/>
          </rPr>
          <t>単一の値を入力させるもの。空白なら、スペース(非数値項目)または、0(数値項目)が対象となる</t>
        </r>
      </text>
    </comment>
    <comment ref="B43" authorId="0" shapeId="0" xr:uid="{00000000-0006-0000-0700-000007000000}">
      <text>
        <r>
          <rPr>
            <sz val="9"/>
            <color indexed="81"/>
            <rFont val="ＭＳ Ｐゴシック"/>
            <family val="3"/>
            <charset val="128"/>
          </rPr>
          <t xml:space="preserve">ユニークなIDを記入
(Parameter、Select-options共通でユニークになるようにする)
入力チェックシートでこのIDを使用する
</t>
        </r>
      </text>
    </comment>
    <comment ref="T43" authorId="0" shapeId="0" xr:uid="{00000000-0006-0000-0700-000008000000}">
      <text>
        <r>
          <rPr>
            <sz val="9"/>
            <color indexed="81"/>
            <rFont val="ＭＳ Ｐゴシック"/>
            <family val="3"/>
            <charset val="128"/>
          </rPr>
          <t xml:space="preserve">チェックボックスなら、Check
ラジオボタンなら、そのラジオボタングループ名
を記入する
</t>
        </r>
      </text>
    </comment>
    <comment ref="V43" authorId="0" shapeId="0" xr:uid="{00000000-0006-0000-0700-000009000000}">
      <text>
        <r>
          <rPr>
            <sz val="9"/>
            <color indexed="81"/>
            <rFont val="ＭＳ Ｐゴシック"/>
            <family val="3"/>
            <charset val="128"/>
          </rPr>
          <t>Macthcode Object名を
記入する
入力可能値の照会のみが必要な場合は○を記述</t>
        </r>
      </text>
    </comment>
    <comment ref="X43" authorId="0" shapeId="0" xr:uid="{00000000-0006-0000-0700-00000A000000}">
      <text>
        <r>
          <rPr>
            <sz val="9"/>
            <color indexed="81"/>
            <rFont val="ＭＳ Ｐゴシック"/>
            <family val="3"/>
            <charset val="128"/>
          </rPr>
          <t>入力必須なら○を記入</t>
        </r>
      </text>
    </comment>
    <comment ref="AA43" authorId="0" shapeId="0" xr:uid="{00000000-0006-0000-0700-00000B000000}">
      <text>
        <r>
          <rPr>
            <sz val="9"/>
            <color indexed="81"/>
            <rFont val="ＭＳ Ｐゴシック"/>
            <family val="3"/>
            <charset val="128"/>
          </rPr>
          <t>エラーチェックを行なう場合は○を記入
その場合には、入力チェックシートにも記述すること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M.Kawabata</author>
  </authors>
  <commentList>
    <comment ref="C6" authorId="0" shapeId="0" xr:uid="{00000000-0006-0000-0800-000001000000}">
      <text>
        <r>
          <rPr>
            <sz val="9"/>
            <color indexed="81"/>
            <rFont val="ＭＳ Ｐゴシック"/>
            <family val="3"/>
            <charset val="128"/>
          </rPr>
          <t>独立した抽出毎に1シート記述し、IDをつける</t>
        </r>
      </text>
    </comment>
    <comment ref="B9" authorId="0" shapeId="0" xr:uid="{00000000-0006-0000-0800-000002000000}">
      <text>
        <r>
          <rPr>
            <sz val="9"/>
            <color indexed="81"/>
            <rFont val="ＭＳ Ｐゴシック"/>
            <family val="3"/>
            <charset val="128"/>
          </rPr>
          <t>ユニークなIDをふる</t>
        </r>
      </text>
    </comment>
    <comment ref="F9" authorId="0" shapeId="0" xr:uid="{00000000-0006-0000-0800-000003000000}">
      <text>
        <r>
          <rPr>
            <sz val="9"/>
            <color indexed="81"/>
            <rFont val="ＭＳ Ｐゴシック"/>
            <family val="3"/>
            <charset val="128"/>
          </rPr>
          <t>Listより選択</t>
        </r>
      </text>
    </comment>
    <comment ref="X9" authorId="0" shapeId="0" xr:uid="{00000000-0006-0000-0800-000004000000}">
      <text>
        <r>
          <rPr>
            <sz val="9"/>
            <color indexed="81"/>
            <rFont val="ＭＳ Ｐゴシック"/>
            <family val="3"/>
            <charset val="128"/>
          </rPr>
          <t>本番機での推定件数</t>
        </r>
      </text>
    </comment>
    <comment ref="AJ9" authorId="0" shapeId="0" xr:uid="{00000000-0006-0000-0800-000005000000}">
      <text>
        <r>
          <rPr>
            <sz val="9"/>
            <color indexed="81"/>
            <rFont val="ＭＳ Ｐゴシック"/>
            <family val="3"/>
            <charset val="128"/>
          </rPr>
          <t>クラスタテーブル
Dataの増加率など</t>
        </r>
      </text>
    </comment>
    <comment ref="AJ15" authorId="0" shapeId="0" xr:uid="{00000000-0006-0000-0800-000006000000}">
      <text>
        <r>
          <rPr>
            <sz val="9"/>
            <color indexed="81"/>
            <rFont val="ＭＳ Ｐゴシック"/>
            <family val="3"/>
            <charset val="128"/>
          </rPr>
          <t>何のための抽出かを記述する</t>
        </r>
      </text>
    </comment>
    <comment ref="AJ23" authorId="0" shapeId="0" xr:uid="{00000000-0006-0000-0800-000007000000}">
      <text>
        <r>
          <rPr>
            <sz val="9"/>
            <color indexed="81"/>
            <rFont val="ＭＳ Ｐゴシック"/>
            <family val="3"/>
            <charset val="128"/>
          </rPr>
          <t xml:space="preserve">突き合わせの条件を文章または、ER図で記述
Textの抽出等は、記述の必要なし
</t>
        </r>
      </text>
    </comment>
    <comment ref="AJ33" authorId="0" shapeId="0" xr:uid="{00000000-0006-0000-0800-000008000000}">
      <text>
        <r>
          <rPr>
            <sz val="9"/>
            <color indexed="81"/>
            <rFont val="ＭＳ Ｐゴシック"/>
            <family val="3"/>
            <charset val="128"/>
          </rPr>
          <t>ここのTableに対して絞り込みの条件があれば記述する</t>
        </r>
      </text>
    </comment>
    <comment ref="C34" authorId="0" shapeId="0" xr:uid="{00000000-0006-0000-0800-000009000000}">
      <text>
        <r>
          <rPr>
            <sz val="9"/>
            <color indexed="81"/>
            <rFont val="ＭＳ Ｐゴシック"/>
            <family val="3"/>
            <charset val="128"/>
          </rPr>
          <t>抽出対象テーブルのIDを記入する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M.Kawabata</author>
  </authors>
  <commentList>
    <comment ref="C6" authorId="0" shapeId="0" xr:uid="{00000000-0006-0000-0900-000001000000}">
      <text>
        <r>
          <rPr>
            <sz val="9"/>
            <color indexed="81"/>
            <rFont val="ＭＳ Ｐゴシック"/>
            <family val="3"/>
            <charset val="128"/>
          </rPr>
          <t>独立した抽出毎に1シート記述し、IDをつける</t>
        </r>
      </text>
    </comment>
    <comment ref="B9" authorId="0" shapeId="0" xr:uid="{00000000-0006-0000-0900-000002000000}">
      <text>
        <r>
          <rPr>
            <sz val="9"/>
            <color indexed="81"/>
            <rFont val="ＭＳ Ｐゴシック"/>
            <family val="3"/>
            <charset val="128"/>
          </rPr>
          <t>ユニークなIDをふる</t>
        </r>
      </text>
    </comment>
    <comment ref="F9" authorId="0" shapeId="0" xr:uid="{00000000-0006-0000-0900-000003000000}">
      <text>
        <r>
          <rPr>
            <sz val="9"/>
            <color indexed="81"/>
            <rFont val="ＭＳ Ｐゴシック"/>
            <family val="3"/>
            <charset val="128"/>
          </rPr>
          <t>Listより選択</t>
        </r>
      </text>
    </comment>
    <comment ref="X9" authorId="0" shapeId="0" xr:uid="{00000000-0006-0000-0900-000004000000}">
      <text>
        <r>
          <rPr>
            <sz val="9"/>
            <color indexed="81"/>
            <rFont val="ＭＳ Ｐゴシック"/>
            <family val="3"/>
            <charset val="128"/>
          </rPr>
          <t>本番機での推定件数</t>
        </r>
      </text>
    </comment>
    <comment ref="AJ9" authorId="0" shapeId="0" xr:uid="{00000000-0006-0000-0900-000005000000}">
      <text>
        <r>
          <rPr>
            <sz val="9"/>
            <color indexed="81"/>
            <rFont val="ＭＳ Ｐゴシック"/>
            <family val="3"/>
            <charset val="128"/>
          </rPr>
          <t>クラスタテーブル
Dataの増加率など</t>
        </r>
      </text>
    </comment>
    <comment ref="AJ15" authorId="0" shapeId="0" xr:uid="{00000000-0006-0000-0900-000006000000}">
      <text>
        <r>
          <rPr>
            <sz val="9"/>
            <color indexed="81"/>
            <rFont val="ＭＳ Ｐゴシック"/>
            <family val="3"/>
            <charset val="128"/>
          </rPr>
          <t>何のための抽出かを記述する</t>
        </r>
      </text>
    </comment>
    <comment ref="AJ23" authorId="0" shapeId="0" xr:uid="{00000000-0006-0000-0900-000007000000}">
      <text>
        <r>
          <rPr>
            <sz val="9"/>
            <color indexed="81"/>
            <rFont val="ＭＳ Ｐゴシック"/>
            <family val="3"/>
            <charset val="128"/>
          </rPr>
          <t xml:space="preserve">突き合わせの条件を文章または、ER図で記述
Textの抽出等は、記述の必要なし
</t>
        </r>
      </text>
    </comment>
    <comment ref="AJ33" authorId="0" shapeId="0" xr:uid="{00000000-0006-0000-0900-000008000000}">
      <text>
        <r>
          <rPr>
            <sz val="9"/>
            <color indexed="81"/>
            <rFont val="ＭＳ Ｐゴシック"/>
            <family val="3"/>
            <charset val="128"/>
          </rPr>
          <t>ここのTableに対して絞り込みの条件があれば記述する</t>
        </r>
      </text>
    </comment>
    <comment ref="C34" authorId="0" shapeId="0" xr:uid="{00000000-0006-0000-0900-000009000000}">
      <text>
        <r>
          <rPr>
            <sz val="9"/>
            <color indexed="81"/>
            <rFont val="ＭＳ Ｐゴシック"/>
            <family val="3"/>
            <charset val="128"/>
          </rPr>
          <t>抽出対象テーブルのIDを記入する</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M.Kawabata</author>
  </authors>
  <commentList>
    <comment ref="C6" authorId="0" shapeId="0" xr:uid="{00000000-0006-0000-0A00-000001000000}">
      <text>
        <r>
          <rPr>
            <sz val="9"/>
            <color indexed="81"/>
            <rFont val="ＭＳ Ｐゴシック"/>
            <family val="3"/>
            <charset val="128"/>
          </rPr>
          <t>独立した抽出毎に1シート記述し、IDをつける</t>
        </r>
      </text>
    </comment>
    <comment ref="B9" authorId="0" shapeId="0" xr:uid="{00000000-0006-0000-0A00-000002000000}">
      <text>
        <r>
          <rPr>
            <sz val="9"/>
            <color indexed="81"/>
            <rFont val="ＭＳ Ｐゴシック"/>
            <family val="3"/>
            <charset val="128"/>
          </rPr>
          <t>ユニークなIDをふる</t>
        </r>
      </text>
    </comment>
    <comment ref="F9" authorId="0" shapeId="0" xr:uid="{00000000-0006-0000-0A00-000003000000}">
      <text>
        <r>
          <rPr>
            <sz val="9"/>
            <color indexed="81"/>
            <rFont val="ＭＳ Ｐゴシック"/>
            <family val="3"/>
            <charset val="128"/>
          </rPr>
          <t>Listより選択</t>
        </r>
      </text>
    </comment>
    <comment ref="X9" authorId="0" shapeId="0" xr:uid="{00000000-0006-0000-0A00-000004000000}">
      <text>
        <r>
          <rPr>
            <sz val="9"/>
            <color indexed="81"/>
            <rFont val="ＭＳ Ｐゴシック"/>
            <family val="3"/>
            <charset val="128"/>
          </rPr>
          <t>本番機での推定件数</t>
        </r>
      </text>
    </comment>
    <comment ref="AJ9" authorId="0" shapeId="0" xr:uid="{00000000-0006-0000-0A00-000005000000}">
      <text>
        <r>
          <rPr>
            <sz val="9"/>
            <color indexed="81"/>
            <rFont val="ＭＳ Ｐゴシック"/>
            <family val="3"/>
            <charset val="128"/>
          </rPr>
          <t>クラスタテーブル
Dataの増加率など</t>
        </r>
      </text>
    </comment>
    <comment ref="AJ15" authorId="0" shapeId="0" xr:uid="{00000000-0006-0000-0A00-000006000000}">
      <text>
        <r>
          <rPr>
            <sz val="9"/>
            <color indexed="81"/>
            <rFont val="ＭＳ Ｐゴシック"/>
            <family val="3"/>
            <charset val="128"/>
          </rPr>
          <t>何のための抽出かを記述する</t>
        </r>
      </text>
    </comment>
    <comment ref="AJ23" authorId="0" shapeId="0" xr:uid="{00000000-0006-0000-0A00-000007000000}">
      <text>
        <r>
          <rPr>
            <sz val="9"/>
            <color indexed="81"/>
            <rFont val="ＭＳ Ｐゴシック"/>
            <family val="3"/>
            <charset val="128"/>
          </rPr>
          <t xml:space="preserve">突き合わせの条件を文章または、ER図で記述
Textの抽出等は、記述の必要なし
</t>
        </r>
      </text>
    </comment>
    <comment ref="AJ33" authorId="0" shapeId="0" xr:uid="{00000000-0006-0000-0A00-000008000000}">
      <text>
        <r>
          <rPr>
            <sz val="9"/>
            <color indexed="81"/>
            <rFont val="ＭＳ Ｐゴシック"/>
            <family val="3"/>
            <charset val="128"/>
          </rPr>
          <t>ここのTableに対して絞り込みの条件があれば記述する</t>
        </r>
      </text>
    </comment>
    <comment ref="C34" authorId="0" shapeId="0" xr:uid="{00000000-0006-0000-0A00-000009000000}">
      <text>
        <r>
          <rPr>
            <sz val="9"/>
            <color indexed="81"/>
            <rFont val="ＭＳ Ｐゴシック"/>
            <family val="3"/>
            <charset val="128"/>
          </rPr>
          <t>抽出対象テーブルのIDを記入する</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M.Kawabata</author>
  </authors>
  <commentList>
    <comment ref="C6" authorId="0" shapeId="0" xr:uid="{00000000-0006-0000-0B00-000001000000}">
      <text>
        <r>
          <rPr>
            <sz val="9"/>
            <color indexed="81"/>
            <rFont val="ＭＳ Ｐゴシック"/>
            <family val="3"/>
            <charset val="128"/>
          </rPr>
          <t>独立した抽出毎に1シート記述し、IDをつける</t>
        </r>
      </text>
    </comment>
    <comment ref="B9" authorId="0" shapeId="0" xr:uid="{00000000-0006-0000-0B00-000002000000}">
      <text>
        <r>
          <rPr>
            <sz val="9"/>
            <color indexed="81"/>
            <rFont val="ＭＳ Ｐゴシック"/>
            <family val="3"/>
            <charset val="128"/>
          </rPr>
          <t>ユニークなIDをふる</t>
        </r>
      </text>
    </comment>
    <comment ref="F9" authorId="0" shapeId="0" xr:uid="{00000000-0006-0000-0B00-000003000000}">
      <text>
        <r>
          <rPr>
            <sz val="9"/>
            <color indexed="81"/>
            <rFont val="ＭＳ Ｐゴシック"/>
            <family val="3"/>
            <charset val="128"/>
          </rPr>
          <t>Listより選択</t>
        </r>
      </text>
    </comment>
    <comment ref="X9" authorId="0" shapeId="0" xr:uid="{00000000-0006-0000-0B00-000004000000}">
      <text>
        <r>
          <rPr>
            <sz val="9"/>
            <color indexed="81"/>
            <rFont val="ＭＳ Ｐゴシック"/>
            <family val="3"/>
            <charset val="128"/>
          </rPr>
          <t>本番機での推定件数</t>
        </r>
      </text>
    </comment>
    <comment ref="AJ9" authorId="0" shapeId="0" xr:uid="{00000000-0006-0000-0B00-000005000000}">
      <text>
        <r>
          <rPr>
            <sz val="9"/>
            <color indexed="81"/>
            <rFont val="ＭＳ Ｐゴシック"/>
            <family val="3"/>
            <charset val="128"/>
          </rPr>
          <t>クラスタテーブル
Dataの増加率など</t>
        </r>
      </text>
    </comment>
    <comment ref="AJ15" authorId="0" shapeId="0" xr:uid="{00000000-0006-0000-0B00-000006000000}">
      <text>
        <r>
          <rPr>
            <sz val="9"/>
            <color indexed="81"/>
            <rFont val="ＭＳ Ｐゴシック"/>
            <family val="3"/>
            <charset val="128"/>
          </rPr>
          <t>何のための抽出かを記述する</t>
        </r>
      </text>
    </comment>
    <comment ref="AJ23" authorId="0" shapeId="0" xr:uid="{00000000-0006-0000-0B00-000007000000}">
      <text>
        <r>
          <rPr>
            <sz val="9"/>
            <color indexed="81"/>
            <rFont val="ＭＳ Ｐゴシック"/>
            <family val="3"/>
            <charset val="128"/>
          </rPr>
          <t xml:space="preserve">突き合わせの条件を文章または、ER図で記述
Textの抽出等は、記述の必要なし
</t>
        </r>
      </text>
    </comment>
    <comment ref="AJ33" authorId="0" shapeId="0" xr:uid="{00000000-0006-0000-0B00-000008000000}">
      <text>
        <r>
          <rPr>
            <sz val="9"/>
            <color indexed="81"/>
            <rFont val="ＭＳ Ｐゴシック"/>
            <family val="3"/>
            <charset val="128"/>
          </rPr>
          <t>ここのTableに対して絞り込みの条件があれば記述する</t>
        </r>
      </text>
    </comment>
    <comment ref="C34" authorId="0" shapeId="0" xr:uid="{00000000-0006-0000-0B00-000009000000}">
      <text>
        <r>
          <rPr>
            <sz val="9"/>
            <color indexed="81"/>
            <rFont val="ＭＳ Ｐゴシック"/>
            <family val="3"/>
            <charset val="128"/>
          </rPr>
          <t>抽出対象テーブルのIDを記入する</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M.Kawabata</author>
  </authors>
  <commentList>
    <comment ref="N7" authorId="0" shapeId="0" xr:uid="{00000000-0006-0000-0C00-000001000000}">
      <text>
        <r>
          <rPr>
            <sz val="9"/>
            <color indexed="81"/>
            <rFont val="ＭＳ Ｐゴシック"/>
            <family val="3"/>
            <charset val="128"/>
          </rPr>
          <t>絶対パスで記述</t>
        </r>
      </text>
    </comment>
    <comment ref="E12" authorId="0" shapeId="0" xr:uid="{00000000-0006-0000-0C00-000002000000}">
      <text>
        <r>
          <rPr>
            <sz val="9"/>
            <color indexed="81"/>
            <rFont val="ＭＳ Ｐゴシック"/>
            <family val="3"/>
            <charset val="128"/>
          </rPr>
          <t xml:space="preserve">ﾌｧｲﾙを作成した時、ﾃﾞｰﾀ件数がｾﾞﾛ件の場合がある時ﾁｪｯｸする。
ありの場合は、備考欄へ記述する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M.Kawabata</author>
  </authors>
  <commentList>
    <comment ref="N7" authorId="0" shapeId="0" xr:uid="{00000000-0006-0000-0D00-000001000000}">
      <text>
        <r>
          <rPr>
            <sz val="9"/>
            <color indexed="81"/>
            <rFont val="ＭＳ Ｐゴシック"/>
            <family val="3"/>
            <charset val="128"/>
          </rPr>
          <t>絶対パスで記述</t>
        </r>
      </text>
    </comment>
    <comment ref="E12" authorId="0" shapeId="0" xr:uid="{00000000-0006-0000-0D00-000002000000}">
      <text>
        <r>
          <rPr>
            <sz val="9"/>
            <color indexed="81"/>
            <rFont val="ＭＳ Ｐゴシック"/>
            <family val="3"/>
            <charset val="128"/>
          </rPr>
          <t xml:space="preserve">ﾌｧｲﾙを作成した時、ﾃﾞｰﾀ件数がｾﾞﾛ件の場合がある時ﾁｪｯｸする。
ありの場合は、備考欄へ記述する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M.Kawabata</author>
  </authors>
  <commentList>
    <comment ref="C7" authorId="0" shapeId="0" xr:uid="{00000000-0006-0000-0E00-000001000000}">
      <text>
        <r>
          <rPr>
            <sz val="9"/>
            <color indexed="81"/>
            <rFont val="ＭＳ Ｐゴシック"/>
            <family val="3"/>
            <charset val="128"/>
          </rPr>
          <t xml:space="preserve">Add-On Table一覧のTable IDを指定
</t>
        </r>
      </text>
    </comment>
    <comment ref="AG8" authorId="0" shapeId="0" xr:uid="{00000000-0006-0000-0E00-000002000000}">
      <text>
        <r>
          <rPr>
            <sz val="9"/>
            <color indexed="81"/>
            <rFont val="ＭＳ Ｐゴシック"/>
            <family val="3"/>
            <charset val="128"/>
          </rPr>
          <t>バッチインプットの概要説明を記述する</t>
        </r>
      </text>
    </comment>
    <comment ref="F15" authorId="0" shapeId="0" xr:uid="{00000000-0006-0000-0E00-000003000000}">
      <text>
        <r>
          <rPr>
            <sz val="9"/>
            <color indexed="81"/>
            <rFont val="ＭＳ Ｐゴシック"/>
            <family val="3"/>
            <charset val="128"/>
          </rPr>
          <t>Key項目はすべて記述。
それ以外は必要な項目のみ記述</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M.Kawabata</author>
  </authors>
  <commentList>
    <comment ref="AH7" authorId="0" shapeId="0" xr:uid="{00000000-0006-0000-0F00-000001000000}">
      <text>
        <r>
          <rPr>
            <sz val="9"/>
            <color indexed="81"/>
            <rFont val="ＭＳ Ｐゴシック"/>
            <family val="3"/>
            <charset val="128"/>
          </rPr>
          <t>あらかじめ決まっている場合は記述してください
(後で決まる場合は、決まり次第記述)</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M.Kawabata</author>
  </authors>
  <commentList>
    <comment ref="H6" authorId="0" shapeId="0" xr:uid="{00000000-0006-0000-1000-000001000000}">
      <text>
        <r>
          <rPr>
            <sz val="9"/>
            <color indexed="81"/>
            <rFont val="ＭＳ Ｐゴシック"/>
            <family val="3"/>
            <charset val="128"/>
          </rPr>
          <t xml:space="preserve">Programの目的により、必要であれば追加し、不必要ならば削除する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AS172</author>
  </authors>
  <commentList>
    <comment ref="D4" authorId="0" shapeId="0" xr:uid="{00000000-0006-0000-1300-000001000000}">
      <text>
        <r>
          <rPr>
            <b/>
            <sz val="9"/>
            <color indexed="81"/>
            <rFont val="ＭＳ Ｐゴシック"/>
            <family val="3"/>
            <charset val="128"/>
          </rPr>
          <t>Titleは別紙の内容が
分かるように記述してください
ex.
 別紙　テーブルT811Sの抽出条件の編集</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AS172</author>
  </authors>
  <commentList>
    <comment ref="D4" authorId="0" shapeId="0" xr:uid="{00000000-0006-0000-1400-000001000000}">
      <text>
        <r>
          <rPr>
            <b/>
            <sz val="9"/>
            <color indexed="81"/>
            <rFont val="ＭＳ Ｐゴシック"/>
            <family val="3"/>
            <charset val="128"/>
          </rPr>
          <t>Titleは別紙の内容が
分かるように記述してください
ex.
 別紙　テーブルT811Sの抽出条件の編集</t>
        </r>
      </text>
    </comment>
  </commentList>
</comments>
</file>

<file path=xl/sharedStrings.xml><?xml version="1.0" encoding="utf-8"?>
<sst xmlns="http://schemas.openxmlformats.org/spreadsheetml/2006/main" count="1667" uniqueCount="856">
  <si>
    <t>○ がついている部分は必須入力なので必ず埋めるようにしてください。</t>
  </si>
  <si>
    <t>機能タイプ</t>
  </si>
  <si>
    <t>記入時期</t>
  </si>
  <si>
    <t>帳票プログラム</t>
    <rPh sb="0" eb="2">
      <t>チョウヒョウ</t>
    </rPh>
    <phoneticPr fontId="5"/>
  </si>
  <si>
    <t>バッチインプット</t>
  </si>
  <si>
    <t>インバウンド</t>
    <phoneticPr fontId="5"/>
  </si>
  <si>
    <t>アウトバウンド</t>
  </si>
  <si>
    <t>拡張プログラム</t>
    <rPh sb="0" eb="2">
      <t>カクチョウ</t>
    </rPh>
    <phoneticPr fontId="5"/>
  </si>
  <si>
    <t>Dynpro</t>
  </si>
  <si>
    <t>要件定義時</t>
  </si>
  <si>
    <t>詳細設計時</t>
    <rPh sb="0" eb="2">
      <t>ショウサイ</t>
    </rPh>
    <rPh sb="2" eb="4">
      <t>セッケイ</t>
    </rPh>
    <rPh sb="4" eb="5">
      <t>ジ</t>
    </rPh>
    <phoneticPr fontId="5"/>
  </si>
  <si>
    <t>変更時</t>
    <rPh sb="0" eb="2">
      <t>ヘンコウ</t>
    </rPh>
    <rPh sb="2" eb="3">
      <t>ジ</t>
    </rPh>
    <phoneticPr fontId="5"/>
  </si>
  <si>
    <t>開発時</t>
    <rPh sb="0" eb="2">
      <t>カイハツ</t>
    </rPh>
    <rPh sb="2" eb="3">
      <t>ジ</t>
    </rPh>
    <phoneticPr fontId="5"/>
  </si>
  <si>
    <t>記入シート</t>
  </si>
  <si>
    <t>説明</t>
  </si>
  <si>
    <t>○</t>
  </si>
  <si>
    <t>○</t>
    <phoneticPr fontId="5"/>
  </si>
  <si>
    <t>1.</t>
  </si>
  <si>
    <t>要件定義書</t>
    <rPh sb="0" eb="2">
      <t>ヨウケン</t>
    </rPh>
    <phoneticPr fontId="5"/>
  </si>
  <si>
    <t>要件定義書のタイトル。要件定義書毎に必ず１つ必要</t>
    <rPh sb="0" eb="2">
      <t>ヨウケン</t>
    </rPh>
    <rPh sb="2" eb="5">
      <t>テイギショ</t>
    </rPh>
    <rPh sb="11" eb="13">
      <t>ヨウケン</t>
    </rPh>
    <rPh sb="13" eb="16">
      <t>テイギショ</t>
    </rPh>
    <rPh sb="16" eb="17">
      <t>ゴト</t>
    </rPh>
    <phoneticPr fontId="5"/>
  </si>
  <si>
    <t>2.</t>
    <phoneticPr fontId="5"/>
  </si>
  <si>
    <t>詳細設計書</t>
    <rPh sb="0" eb="2">
      <t>ショウサイ</t>
    </rPh>
    <rPh sb="2" eb="4">
      <t>セッケイ</t>
    </rPh>
    <rPh sb="4" eb="5">
      <t>ショ</t>
    </rPh>
    <phoneticPr fontId="5"/>
  </si>
  <si>
    <t>詳細設計書のタイトル。詳細設計書毎に必ず１つ必要</t>
    <rPh sb="0" eb="2">
      <t>ショウサイ</t>
    </rPh>
    <rPh sb="2" eb="4">
      <t>セッケイ</t>
    </rPh>
    <phoneticPr fontId="5"/>
  </si>
  <si>
    <t>3.</t>
  </si>
  <si>
    <t>処理詳細</t>
    <rPh sb="0" eb="2">
      <t>ショリ</t>
    </rPh>
    <rPh sb="2" eb="4">
      <t>ショウサイ</t>
    </rPh>
    <phoneticPr fontId="5"/>
  </si>
  <si>
    <t>詳細設計書シートの詳細処理を記入</t>
    <rPh sb="0" eb="2">
      <t>ショウサイ</t>
    </rPh>
    <rPh sb="2" eb="4">
      <t>セッケイ</t>
    </rPh>
    <rPh sb="4" eb="5">
      <t>ショ</t>
    </rPh>
    <rPh sb="9" eb="11">
      <t>ショウサイ</t>
    </rPh>
    <rPh sb="11" eb="13">
      <t>ショリ</t>
    </rPh>
    <rPh sb="14" eb="16">
      <t>キニュウ</t>
    </rPh>
    <phoneticPr fontId="5"/>
  </si>
  <si>
    <t>△</t>
    <phoneticPr fontId="5"/>
  </si>
  <si>
    <t>4.</t>
  </si>
  <si>
    <t>特殊要件</t>
  </si>
  <si>
    <t>特殊要件があれば記入</t>
  </si>
  <si>
    <t>5.</t>
  </si>
  <si>
    <t>選択画面レイアウト</t>
    <phoneticPr fontId="5"/>
  </si>
  <si>
    <t>Select-options, Parametersの使用時に必要</t>
  </si>
  <si>
    <t>△</t>
  </si>
  <si>
    <t>6.</t>
  </si>
  <si>
    <t>入力チェック</t>
  </si>
  <si>
    <t>上記シートでエラーチェックに印を付けた場合必要</t>
  </si>
  <si>
    <t>7.</t>
  </si>
  <si>
    <t>Tableデータ抽出</t>
  </si>
  <si>
    <t>DBテーブルの抽出があれば必要</t>
  </si>
  <si>
    <t>8.</t>
  </si>
  <si>
    <t>File定義</t>
    <rPh sb="4" eb="6">
      <t>テイギ</t>
    </rPh>
    <phoneticPr fontId="5"/>
  </si>
  <si>
    <t>File使用時に必要</t>
  </si>
  <si>
    <t>9.</t>
  </si>
  <si>
    <t>マッピング定義</t>
    <rPh sb="5" eb="7">
      <t>テイギ</t>
    </rPh>
    <phoneticPr fontId="5"/>
  </si>
  <si>
    <t>何らかのOutPutがある場合に必要</t>
    <rPh sb="0" eb="1">
      <t>ナン</t>
    </rPh>
    <rPh sb="13" eb="15">
      <t>バアイ</t>
    </rPh>
    <rPh sb="16" eb="18">
      <t>ヒツヨウ</t>
    </rPh>
    <phoneticPr fontId="5"/>
  </si>
  <si>
    <t>10.</t>
  </si>
  <si>
    <t>出力ファイル定義</t>
  </si>
  <si>
    <t>Outboundプログラム必須：要件定義時はマッピング定義</t>
    <phoneticPr fontId="5"/>
  </si>
  <si>
    <t>11.</t>
  </si>
  <si>
    <t>抽出項目</t>
  </si>
  <si>
    <t>抽出がある場合必要</t>
  </si>
  <si>
    <t>12.</t>
  </si>
  <si>
    <t>帳票機能定義</t>
  </si>
  <si>
    <t>Reportプログラム必須</t>
  </si>
  <si>
    <t>13.</t>
  </si>
  <si>
    <t>帳票項目定義書</t>
  </si>
  <si>
    <t>14.</t>
  </si>
  <si>
    <t>帳票レイアウト</t>
  </si>
  <si>
    <t>15.</t>
  </si>
  <si>
    <t>バッチイプット項目</t>
    <phoneticPr fontId="5"/>
  </si>
  <si>
    <t>BatchInputプログラム必須：要件定義時はマッピング定義</t>
    <phoneticPr fontId="5"/>
  </si>
  <si>
    <t>16.</t>
  </si>
  <si>
    <t>Table更新</t>
  </si>
  <si>
    <t>Add-Onテーブル更新時必須：要件定義時はマッピング定義</t>
    <rPh sb="10" eb="13">
      <t>コウシンジ</t>
    </rPh>
    <rPh sb="16" eb="18">
      <t>ヨウケン</t>
    </rPh>
    <rPh sb="18" eb="20">
      <t>テイギ</t>
    </rPh>
    <rPh sb="20" eb="21">
      <t>ジ</t>
    </rPh>
    <rPh sb="27" eb="29">
      <t>テイギ</t>
    </rPh>
    <phoneticPr fontId="5"/>
  </si>
  <si>
    <t>17.</t>
  </si>
  <si>
    <t>Dynproレイアウト</t>
  </si>
  <si>
    <t>Dynproプログラム必須</t>
  </si>
  <si>
    <t>18.</t>
  </si>
  <si>
    <t>GUIステータス</t>
  </si>
  <si>
    <t>19.</t>
  </si>
  <si>
    <t>Dynpro仕様</t>
    <phoneticPr fontId="5"/>
  </si>
  <si>
    <t>20.</t>
  </si>
  <si>
    <t>画面遷移図</t>
  </si>
  <si>
    <t>21.</t>
  </si>
  <si>
    <t>エラーチェック</t>
  </si>
  <si>
    <t>エラー処理を行なう場合必須</t>
  </si>
  <si>
    <t>22.</t>
  </si>
  <si>
    <t>テスト概要</t>
  </si>
  <si>
    <t>必須</t>
  </si>
  <si>
    <t>23.</t>
  </si>
  <si>
    <t>テストデータ</t>
  </si>
  <si>
    <t>必須</t>
    <phoneticPr fontId="5"/>
  </si>
  <si>
    <t>24.</t>
  </si>
  <si>
    <t>テスト詳細</t>
  </si>
  <si>
    <t>Project依存</t>
  </si>
  <si>
    <t>25.</t>
    <phoneticPr fontId="5"/>
  </si>
  <si>
    <t>変更履歴</t>
  </si>
  <si>
    <t>帳票項目定義書</t>
    <phoneticPr fontId="5"/>
  </si>
  <si>
    <t>帳票レイアウト(詳細)</t>
    <phoneticPr fontId="5"/>
  </si>
  <si>
    <t>Project：</t>
    <phoneticPr fontId="7"/>
  </si>
  <si>
    <t>チェック日：</t>
    <phoneticPr fontId="1"/>
  </si>
  <si>
    <t>レビュー日：</t>
    <rPh sb="4" eb="5">
      <t>ヘンコウビ</t>
    </rPh>
    <phoneticPr fontId="7"/>
  </si>
  <si>
    <t>System：</t>
    <phoneticPr fontId="7"/>
  </si>
  <si>
    <t>チェック者：</t>
    <phoneticPr fontId="1"/>
  </si>
  <si>
    <t>レビュー者：</t>
    <rPh sb="4" eb="5">
      <t>シャ</t>
    </rPh>
    <phoneticPr fontId="7"/>
  </si>
  <si>
    <t>DP ID：</t>
    <phoneticPr fontId="7"/>
  </si>
  <si>
    <t>Program ID：</t>
    <phoneticPr fontId="7"/>
  </si>
  <si>
    <t>Title：</t>
    <phoneticPr fontId="1"/>
  </si>
  <si>
    <t>入力チェック要件書</t>
  </si>
  <si>
    <t>Version：</t>
    <phoneticPr fontId="7"/>
  </si>
  <si>
    <t>シート（用意する条件）</t>
  </si>
  <si>
    <t>Check</t>
  </si>
  <si>
    <t xml:space="preserve">       チェック内容</t>
  </si>
  <si>
    <t>1.</t>
    <phoneticPr fontId="1"/>
  </si>
  <si>
    <t>仕様定義書</t>
    <rPh sb="0" eb="2">
      <t>シヨウ</t>
    </rPh>
    <rPh sb="2" eb="5">
      <t>テイギショ</t>
    </rPh>
    <phoneticPr fontId="1"/>
  </si>
  <si>
    <t>PFD 名称</t>
    <rPh sb="4" eb="6">
      <t>メイショウ</t>
    </rPh>
    <phoneticPr fontId="1"/>
  </si>
  <si>
    <t>PFD 名称が正しく記入されているか</t>
    <rPh sb="4" eb="6">
      <t>メイショウ</t>
    </rPh>
    <phoneticPr fontId="1"/>
  </si>
  <si>
    <t>PGM 名称</t>
    <rPh sb="4" eb="6">
      <t>メイショウ</t>
    </rPh>
    <phoneticPr fontId="1"/>
  </si>
  <si>
    <t>Program 名称が正しく記入されている</t>
    <rPh sb="8" eb="10">
      <t>メイショウ</t>
    </rPh>
    <phoneticPr fontId="1"/>
  </si>
  <si>
    <t>◎</t>
    <phoneticPr fontId="1"/>
  </si>
  <si>
    <t>機能</t>
    <rPh sb="0" eb="2">
      <t>キノウ</t>
    </rPh>
    <phoneticPr fontId="1"/>
  </si>
  <si>
    <t>プログラム中に含まれる機能とそれぞれの機能数が正しく記入されている</t>
    <phoneticPr fontId="1"/>
  </si>
  <si>
    <t>特殊要件有無</t>
    <phoneticPr fontId="1"/>
  </si>
  <si>
    <t>特殊要件が存在する場合、正しく選択されている。セキュリティ要件にチェックされている場合は、それがカスタマイズでは回避できる要件ではない。処理時間に制約がある場合、適切な時間が記述されている。</t>
    <rPh sb="68" eb="72">
      <t>ショリジカン</t>
    </rPh>
    <rPh sb="73" eb="75">
      <t>セイヤク</t>
    </rPh>
    <rPh sb="76" eb="80">
      <t>アルバアイ</t>
    </rPh>
    <rPh sb="81" eb="83">
      <t>テキセツ</t>
    </rPh>
    <rPh sb="84" eb="86">
      <t>ジカン</t>
    </rPh>
    <rPh sb="87" eb="89">
      <t>キジュツ</t>
    </rPh>
    <phoneticPr fontId="1"/>
  </si>
  <si>
    <t>運用方法</t>
    <phoneticPr fontId="1"/>
  </si>
  <si>
    <t>運用方法が正しく選択されている。運用上特に運用される方法が記入されている。また、希望処理時間が記入されている</t>
    <rPh sb="40" eb="42">
      <t>キボウ</t>
    </rPh>
    <rPh sb="42" eb="46">
      <t>ショリジカン</t>
    </rPh>
    <rPh sb="47" eb="49">
      <t>キニュウ</t>
    </rPh>
    <phoneticPr fontId="1"/>
  </si>
  <si>
    <t>業務目的</t>
    <phoneticPr fontId="1"/>
  </si>
  <si>
    <t>プログラムの業務目的がわかりやすく記述されている</t>
    <phoneticPr fontId="1"/>
  </si>
  <si>
    <t>仕様概要</t>
    <phoneticPr fontId="1"/>
  </si>
  <si>
    <t>プログラムの仕様概要が正しく、わかりやすく記述されている</t>
    <phoneticPr fontId="1"/>
  </si>
  <si>
    <t>承認</t>
    <rPh sb="0" eb="2">
      <t>ショウニン</t>
    </rPh>
    <phoneticPr fontId="1"/>
  </si>
  <si>
    <t>承認者、承認日付が記述されている</t>
    <rPh sb="0" eb="3">
      <t>ショウニンシャ</t>
    </rPh>
    <rPh sb="4" eb="6">
      <t>ショウニン</t>
    </rPh>
    <rPh sb="6" eb="8">
      <t>ヒヅケ</t>
    </rPh>
    <rPh sb="9" eb="11">
      <t>キジュツ</t>
    </rPh>
    <phoneticPr fontId="1"/>
  </si>
  <si>
    <t>2.</t>
    <phoneticPr fontId="1"/>
  </si>
  <si>
    <t>特殊要件（特殊要件が存在する場合）</t>
  </si>
  <si>
    <t>全体</t>
    <rPh sb="0" eb="2">
      <t>ゼンタイ</t>
    </rPh>
    <phoneticPr fontId="1"/>
  </si>
  <si>
    <t>仕様定義書の特殊要件有無が１つ以上選択されている場合、シートが用意されている</t>
    <phoneticPr fontId="1"/>
  </si>
  <si>
    <t>セキュリティ要件</t>
    <phoneticPr fontId="1"/>
  </si>
  <si>
    <t>セキュリティ要件が存在する場合、正しく記述されている</t>
    <phoneticPr fontId="1"/>
  </si>
  <si>
    <t>特殊運用要件</t>
    <phoneticPr fontId="1"/>
  </si>
  <si>
    <t>特殊運用要件が存在する場合、正しく記述されている</t>
    <phoneticPr fontId="1"/>
  </si>
  <si>
    <t>処理時間制約</t>
    <phoneticPr fontId="1"/>
  </si>
  <si>
    <t>処理時間に制約がある場合、制約時間と理由が記述されている</t>
    <rPh sb="13" eb="15">
      <t>セイヤク</t>
    </rPh>
    <rPh sb="15" eb="17">
      <t>ジカン</t>
    </rPh>
    <rPh sb="18" eb="20">
      <t>リユウ</t>
    </rPh>
    <rPh sb="21" eb="23">
      <t>キジュツ</t>
    </rPh>
    <phoneticPr fontId="1"/>
  </si>
  <si>
    <t>複数言語/通貨</t>
    <rPh sb="0" eb="2">
      <t>フクスウ</t>
    </rPh>
    <rPh sb="2" eb="4">
      <t>ゲンゴ</t>
    </rPh>
    <rPh sb="5" eb="7">
      <t>ツウカ</t>
    </rPh>
    <phoneticPr fontId="1"/>
  </si>
  <si>
    <t>複数言語、通貨の対応が必要な場合、必要な言語、通貨及び対応方法が記述されている</t>
    <rPh sb="0" eb="2">
      <t>フクスウ</t>
    </rPh>
    <rPh sb="2" eb="4">
      <t>ゲンゴ</t>
    </rPh>
    <rPh sb="5" eb="7">
      <t>ツウカ</t>
    </rPh>
    <rPh sb="8" eb="10">
      <t>タイオウ</t>
    </rPh>
    <rPh sb="11" eb="13">
      <t>ヒツヨウ</t>
    </rPh>
    <rPh sb="17" eb="19">
      <t>ヒツヨウ</t>
    </rPh>
    <rPh sb="20" eb="22">
      <t>ゲンゴ</t>
    </rPh>
    <rPh sb="23" eb="25">
      <t>ツウカ</t>
    </rPh>
    <rPh sb="25" eb="26">
      <t>オヨ</t>
    </rPh>
    <rPh sb="27" eb="29">
      <t>タイオウ</t>
    </rPh>
    <rPh sb="29" eb="31">
      <t>ホウホウ</t>
    </rPh>
    <rPh sb="32" eb="34">
      <t>キジュツ</t>
    </rPh>
    <phoneticPr fontId="1"/>
  </si>
  <si>
    <t>選択画面（プログラムに選択オプションまたはパラメータが含まれる場合）</t>
  </si>
  <si>
    <t>プログラムに選択オプションまたはパラメータが含まれる場合、シートが用意されている。</t>
    <phoneticPr fontId="1"/>
  </si>
  <si>
    <t>入力位置</t>
    <rPh sb="0" eb="2">
      <t>ニュウリョク</t>
    </rPh>
    <rPh sb="2" eb="4">
      <t>イチ</t>
    </rPh>
    <phoneticPr fontId="1"/>
  </si>
  <si>
    <t>入力項目に位置の指定が必要な場合、｢指定有り｣にチェックがついてある</t>
    <rPh sb="0" eb="2">
      <t>ニュウリョク</t>
    </rPh>
    <rPh sb="2" eb="4">
      <t>コウモク</t>
    </rPh>
    <rPh sb="5" eb="7">
      <t>イチ</t>
    </rPh>
    <rPh sb="8" eb="10">
      <t>シテイ</t>
    </rPh>
    <rPh sb="11" eb="13">
      <t>ヒツヨウ</t>
    </rPh>
    <rPh sb="14" eb="16">
      <t>バアイ</t>
    </rPh>
    <rPh sb="18" eb="20">
      <t>シテイ</t>
    </rPh>
    <rPh sb="20" eb="21">
      <t>ア</t>
    </rPh>
    <phoneticPr fontId="1"/>
  </si>
  <si>
    <t>Select-Options</t>
    <phoneticPr fontId="1"/>
  </si>
  <si>
    <t>ID、テキスト、テーブル項目が記入されている。また、デフォルト指定、マッチコード検索機能、必須、エラーチェック等の要件がある場合、それらが正しく記入されている。</t>
    <phoneticPr fontId="1"/>
  </si>
  <si>
    <t>Parameters</t>
    <phoneticPr fontId="1"/>
  </si>
  <si>
    <t>ID、テキスト、テーブル項目が記入されている。また、デフォルト指定、チェックボタン、ラジオボタン、マッチコード検索機能、必須、エラーチェック等の要件がある場合、それらが正しく記入されている。</t>
    <phoneticPr fontId="1"/>
  </si>
  <si>
    <t>入力チェック要件書（ReportまたはDynproで入力チェックを行う場合）</t>
  </si>
  <si>
    <t>ReportまたはDynproで入力チェックを行う場合、シートが用意されている(Dynproの場合、Dynpro数分のシートが用意されている)</t>
    <phoneticPr fontId="1"/>
  </si>
  <si>
    <t>Dynpro No.</t>
    <phoneticPr fontId="1"/>
  </si>
  <si>
    <t>Dynproの場合、Dynpro No.が正しく記入されている</t>
    <phoneticPr fontId="1"/>
  </si>
  <si>
    <t>入力チェック</t>
    <rPh sb="0" eb="2">
      <t>ニュウリョク</t>
    </rPh>
    <phoneticPr fontId="1"/>
  </si>
  <si>
    <t>ID、項目、チェック内容、エラーメッセージの内容が正しく記述されている。また、エラーメッセージのID、タイプ、番号が決定している場合、それらが正しく記入されている。</t>
    <phoneticPr fontId="1"/>
  </si>
  <si>
    <t>Table データ抽出条件（Tableからのデータ抽出が存在する場合）</t>
  </si>
  <si>
    <t>プログラム内に２つ以上のテーブルを組み合わせた抽出が存在する場合、シートが独立した抽出の数分用意されている。</t>
    <rPh sb="37" eb="39">
      <t>ドクリツ</t>
    </rPh>
    <phoneticPr fontId="1"/>
  </si>
  <si>
    <t>抽出ID</t>
    <phoneticPr fontId="1"/>
  </si>
  <si>
    <t>抽出IDが正しく記入されている</t>
    <phoneticPr fontId="1"/>
  </si>
  <si>
    <t>抽出対象Table</t>
    <phoneticPr fontId="1"/>
  </si>
  <si>
    <t>抽出に関わるテーブルの情報が正しく記入されている。推定データ件数に適切な値が記述されている</t>
    <rPh sb="11" eb="13">
      <t>ジョウホウ</t>
    </rPh>
    <rPh sb="25" eb="27">
      <t>スイテイ</t>
    </rPh>
    <rPh sb="30" eb="32">
      <t>ケンスウ</t>
    </rPh>
    <rPh sb="33" eb="35">
      <t>テキセツ</t>
    </rPh>
    <rPh sb="36" eb="37">
      <t>アタイ</t>
    </rPh>
    <rPh sb="38" eb="40">
      <t>キジュツ</t>
    </rPh>
    <phoneticPr fontId="1"/>
  </si>
  <si>
    <t>抽出の目的</t>
    <phoneticPr fontId="1"/>
  </si>
  <si>
    <t>抽出の目的がわかりやすく具体的に記述されている</t>
    <phoneticPr fontId="1"/>
  </si>
  <si>
    <t>抽出条件</t>
    <phoneticPr fontId="1"/>
  </si>
  <si>
    <t>テーブル毎の結合条件、絞り込み条件が正しくわかりやすく記述されている</t>
    <phoneticPr fontId="1"/>
  </si>
  <si>
    <t>File データ抽出条件（UnixファイルまたはPCファイルを使用する場合）</t>
    <phoneticPr fontId="1"/>
  </si>
  <si>
    <t>UnixファイルまたはPCファイルを使用する場合、シートは用意されている</t>
    <phoneticPr fontId="1"/>
  </si>
  <si>
    <t>File一覧</t>
    <rPh sb="4" eb="6">
      <t>イチラン</t>
    </rPh>
    <phoneticPr fontId="1"/>
  </si>
  <si>
    <t>プログラム内で使用するすべてのファイルが記入されている。推定データ件数が記述されている</t>
    <rPh sb="28" eb="30">
      <t>スイテイ</t>
    </rPh>
    <rPh sb="33" eb="35">
      <t>ケンスウ</t>
    </rPh>
    <rPh sb="36" eb="38">
      <t>キジュツ</t>
    </rPh>
    <phoneticPr fontId="1"/>
  </si>
  <si>
    <t>抽出項目（すべてのプログラム）</t>
  </si>
  <si>
    <t>プログラム内で使用するすべてのテーブル、ファイルからの抽出項目が正しく記入されている。また、抽出したデータを編集して使用する場合、備考欄に詳しい編集内容が記述されている</t>
    <phoneticPr fontId="1"/>
  </si>
  <si>
    <t>帳票出力機能定義書（帳票を出力する場合）</t>
  </si>
  <si>
    <t>プログラム内で出力する帳票の種類分シートが用意されている</t>
    <rPh sb="15" eb="16">
      <t>ルイ</t>
    </rPh>
    <phoneticPr fontId="1"/>
  </si>
  <si>
    <t>帳票ID</t>
    <rPh sb="0" eb="2">
      <t>チョウヒョウ</t>
    </rPh>
    <phoneticPr fontId="1"/>
  </si>
  <si>
    <t>帳票IDが正しく記入されている</t>
    <phoneticPr fontId="1"/>
  </si>
  <si>
    <t>出力先</t>
    <rPh sb="0" eb="3">
      <t>シュツリョクサキ</t>
    </rPh>
    <phoneticPr fontId="1"/>
  </si>
  <si>
    <t>出力先がわかっている場合、それが記入されているか。</t>
    <phoneticPr fontId="1"/>
  </si>
  <si>
    <t>出力タイミング</t>
    <rPh sb="0" eb="2">
      <t>シュツリョク</t>
    </rPh>
    <phoneticPr fontId="1"/>
  </si>
  <si>
    <t>出力タイミングが記入されているか。</t>
    <phoneticPr fontId="1"/>
  </si>
  <si>
    <t>帳票定義</t>
    <rPh sb="0" eb="4">
      <t>チョウヒョウテイギ</t>
    </rPh>
    <phoneticPr fontId="1"/>
  </si>
  <si>
    <t>行数、文字数が記入されている。また、ピッチ、フォント、マージンに指定がある場合、それらが記入されている</t>
    <phoneticPr fontId="1"/>
  </si>
  <si>
    <t>Spool制御</t>
    <rPh sb="5" eb="7">
      <t>セイギョ</t>
    </rPh>
    <phoneticPr fontId="1"/>
  </si>
  <si>
    <t>スプール制御が必要な場合、それが記入されている</t>
    <phoneticPr fontId="1"/>
  </si>
  <si>
    <t>印刷量概算</t>
    <rPh sb="0" eb="2">
      <t>インサツ</t>
    </rPh>
    <rPh sb="2" eb="3">
      <t>リョウ</t>
    </rPh>
    <rPh sb="3" eb="5">
      <t>ガイサン</t>
    </rPh>
    <phoneticPr fontId="1"/>
  </si>
  <si>
    <t>印刷量概算が記入されている。また、使用プリンタ、用紙サイズがわかっている場合、それらが記入されている</t>
    <rPh sb="3" eb="5">
      <t>ガイサン</t>
    </rPh>
    <phoneticPr fontId="1"/>
  </si>
  <si>
    <t>Pre-print定義</t>
    <rPh sb="9" eb="11">
      <t>テイギ</t>
    </rPh>
    <phoneticPr fontId="1"/>
  </si>
  <si>
    <t>プレプリントの有無が選択されている。必要な場合、帳票番号が記入されている。</t>
    <rPh sb="18" eb="20">
      <t>ヒツヨウ</t>
    </rPh>
    <phoneticPr fontId="1"/>
  </si>
  <si>
    <t>帳票運用内容</t>
    <rPh sb="0" eb="2">
      <t>チョウヒョウ</t>
    </rPh>
    <rPh sb="2" eb="4">
      <t>ウンヨウ</t>
    </rPh>
    <rPh sb="4" eb="6">
      <t>ナイヨウ</t>
    </rPh>
    <phoneticPr fontId="1"/>
  </si>
  <si>
    <t>ユーザデフォルト以外の設定で帳票を出力する場合、内容が正しく記述されている</t>
    <phoneticPr fontId="1"/>
  </si>
  <si>
    <t>帳票項目定義書（帳票を出力する場合）</t>
    <phoneticPr fontId="1"/>
  </si>
  <si>
    <t>プログラム内で出力する帳票の種数分、シートが用意されている。</t>
    <phoneticPr fontId="1"/>
  </si>
  <si>
    <t>帳票名</t>
    <rPh sb="0" eb="3">
      <t>チョウヒョウメイ</t>
    </rPh>
    <phoneticPr fontId="1"/>
  </si>
  <si>
    <t>帳票名が正しく記入されている</t>
    <phoneticPr fontId="1"/>
  </si>
  <si>
    <t>項目</t>
    <rPh sb="0" eb="2">
      <t>コウモク</t>
    </rPh>
    <phoneticPr fontId="1"/>
  </si>
  <si>
    <t>出力する項目のすべてが正しく記入されている。また、特殊な出力をする場合には、その内容が記述されている。</t>
    <phoneticPr fontId="1"/>
  </si>
  <si>
    <t>帳票レイアウト概要（帳票を出力する場合）</t>
  </si>
  <si>
    <t>プログラム内で出力する帳票の種類分、シートが用意されている。</t>
    <rPh sb="15" eb="16">
      <t>ルイ</t>
    </rPh>
    <phoneticPr fontId="1"/>
  </si>
  <si>
    <t>ヘッダ部</t>
    <rPh sb="3" eb="4">
      <t>ブ</t>
    </rPh>
    <phoneticPr fontId="1"/>
  </si>
  <si>
    <t>ヘッダに出力する内容がもれなく記入されている</t>
    <phoneticPr fontId="1"/>
  </si>
  <si>
    <t>ボディ部</t>
    <rPh sb="3" eb="4">
      <t>ブ</t>
    </rPh>
    <phoneticPr fontId="1"/>
  </si>
  <si>
    <t>ボディに出力する内容がもれなく記入されている</t>
    <phoneticPr fontId="1"/>
  </si>
  <si>
    <t>フッタ部</t>
    <rPh sb="3" eb="4">
      <t>ブ</t>
    </rPh>
    <phoneticPr fontId="1"/>
  </si>
  <si>
    <t>フッタに出力する内容がもれなく記入されている</t>
    <phoneticPr fontId="1"/>
  </si>
  <si>
    <t>出力ファイル定義書（ファイルを使用する場合）</t>
    <rPh sb="0" eb="2">
      <t>シュツリョク</t>
    </rPh>
    <rPh sb="6" eb="9">
      <t>テイギショ</t>
    </rPh>
    <phoneticPr fontId="1"/>
  </si>
  <si>
    <t>File出力がある場合、シートが用意されている</t>
    <rPh sb="4" eb="6">
      <t>シュツリョク</t>
    </rPh>
    <rPh sb="9" eb="11">
      <t>バアイ</t>
    </rPh>
    <rPh sb="16" eb="18">
      <t>ヨウイ</t>
    </rPh>
    <phoneticPr fontId="1"/>
  </si>
  <si>
    <t>File ID</t>
    <phoneticPr fontId="1"/>
  </si>
  <si>
    <t>ファイルIDが正しく記入されている</t>
    <phoneticPr fontId="1"/>
  </si>
  <si>
    <t>File 名</t>
    <rPh sb="5" eb="6">
      <t>メイ</t>
    </rPh>
    <phoneticPr fontId="1"/>
  </si>
  <si>
    <t>ファイル名が正しく記入されている</t>
    <phoneticPr fontId="1"/>
  </si>
  <si>
    <t>出力項目</t>
    <rPh sb="0" eb="2">
      <t>シュツリョク</t>
    </rPh>
    <rPh sb="2" eb="4">
      <t>コウモク</t>
    </rPh>
    <phoneticPr fontId="1"/>
  </si>
  <si>
    <t>出力項目、抽出ID（抽出項目で記入されたID）が正しくもれなく記入されている。また、必要に応じて備考欄に詳細な記述がされている</t>
    <rPh sb="0" eb="2">
      <t>シュツリョク</t>
    </rPh>
    <rPh sb="2" eb="4">
      <t>コウモク</t>
    </rPh>
    <rPh sb="5" eb="7">
      <t>チュウシュツ</t>
    </rPh>
    <rPh sb="10" eb="12">
      <t>チュウシュツ</t>
    </rPh>
    <rPh sb="12" eb="14">
      <t>コウモク</t>
    </rPh>
    <rPh sb="15" eb="17">
      <t>キニュウ</t>
    </rPh>
    <rPh sb="24" eb="25">
      <t>タダ</t>
    </rPh>
    <rPh sb="31" eb="33">
      <t>キニュウ</t>
    </rPh>
    <rPh sb="42" eb="44">
      <t>ヒツヨウ</t>
    </rPh>
    <rPh sb="45" eb="46">
      <t>オウ</t>
    </rPh>
    <rPh sb="48" eb="51">
      <t>ビコウラン</t>
    </rPh>
    <rPh sb="52" eb="54">
      <t>ショウサイ</t>
    </rPh>
    <rPh sb="55" eb="57">
      <t>キジュツ</t>
    </rPh>
    <phoneticPr fontId="1"/>
  </si>
  <si>
    <t>BTCIデータ項目セット内容（バッチインプットを行う場合）</t>
  </si>
  <si>
    <t>バッチインプットを行う場合、実行するトランザクションの分だけシートが用意されている</t>
    <phoneticPr fontId="1"/>
  </si>
  <si>
    <t>B Input説明</t>
    <rPh sb="7" eb="9">
      <t>セツメイ</t>
    </rPh>
    <phoneticPr fontId="1"/>
  </si>
  <si>
    <t>バッチインプットの目的、方法等がわかりやすく記述されている</t>
    <phoneticPr fontId="1"/>
  </si>
  <si>
    <t>画面セット</t>
    <rPh sb="0" eb="2">
      <t>ガメン</t>
    </rPh>
    <phoneticPr fontId="1"/>
  </si>
  <si>
    <t>画面セットの場合、Program、Dynpro、Beginが正しく記入されている</t>
    <phoneticPr fontId="1"/>
  </si>
  <si>
    <t>項目セット</t>
    <rPh sb="0" eb="2">
      <t>コウモク</t>
    </rPh>
    <phoneticPr fontId="1"/>
  </si>
  <si>
    <t>項目セットの場合、項目名、項目値が正しく記入されている。また、セットする項目値の編集内容や説明がわかりやすく記述されている</t>
    <phoneticPr fontId="1"/>
  </si>
  <si>
    <t>Table更新</t>
    <phoneticPr fontId="1"/>
  </si>
  <si>
    <t>Add-On Table更新を行なう場合、Table分だけシートが用意されている</t>
    <rPh sb="12" eb="14">
      <t>コウシン</t>
    </rPh>
    <rPh sb="15" eb="16">
      <t>オコ</t>
    </rPh>
    <rPh sb="18" eb="20">
      <t>バアイ</t>
    </rPh>
    <rPh sb="26" eb="27">
      <t>ブン</t>
    </rPh>
    <rPh sb="33" eb="35">
      <t>ヨウイ</t>
    </rPh>
    <phoneticPr fontId="1"/>
  </si>
  <si>
    <t>Table情報</t>
    <rPh sb="5" eb="7">
      <t>ジョウホウ</t>
    </rPh>
    <phoneticPr fontId="1"/>
  </si>
  <si>
    <t>Table ID、Table名、Table説明が記述されている</t>
    <rPh sb="14" eb="15">
      <t>メイ</t>
    </rPh>
    <rPh sb="21" eb="23">
      <t>セツメイ</t>
    </rPh>
    <rPh sb="24" eb="26">
      <t>キジュツ</t>
    </rPh>
    <phoneticPr fontId="1"/>
  </si>
  <si>
    <t>更新説明</t>
    <rPh sb="0" eb="2">
      <t>コウシン</t>
    </rPh>
    <rPh sb="2" eb="4">
      <t>セツメイ</t>
    </rPh>
    <phoneticPr fontId="1"/>
  </si>
  <si>
    <t>更新内容がわかりやすく記述されている</t>
    <rPh sb="0" eb="2">
      <t>コウシン</t>
    </rPh>
    <rPh sb="2" eb="4">
      <t>ナイヨウ</t>
    </rPh>
    <rPh sb="11" eb="13">
      <t>キジュツ</t>
    </rPh>
    <phoneticPr fontId="1"/>
  </si>
  <si>
    <t>Key項目または、更新する項目すべてについて、項目名、編集内容が正しく記述されている</t>
    <rPh sb="3" eb="5">
      <t>コウモク</t>
    </rPh>
    <rPh sb="9" eb="11">
      <t>コウシン</t>
    </rPh>
    <rPh sb="13" eb="26">
      <t>コウモクメイ</t>
    </rPh>
    <rPh sb="27" eb="29">
      <t>ヘンシュウ</t>
    </rPh>
    <rPh sb="29" eb="31">
      <t>ナイヨウ</t>
    </rPh>
    <rPh sb="32" eb="33">
      <t>タダ</t>
    </rPh>
    <rPh sb="35" eb="37">
      <t>キジュツ</t>
    </rPh>
    <phoneticPr fontId="1"/>
  </si>
  <si>
    <t>Dynproレイアウト</t>
    <phoneticPr fontId="1"/>
  </si>
  <si>
    <t>プログラム内で使用するDynproの数分、または、選択画面で入力位置指定有りの場合シートが用意されているか。</t>
    <rPh sb="25" eb="27">
      <t>センタク</t>
    </rPh>
    <rPh sb="27" eb="29">
      <t>ガメン</t>
    </rPh>
    <rPh sb="30" eb="32">
      <t>ニュウリョク</t>
    </rPh>
    <rPh sb="32" eb="34">
      <t>イチ</t>
    </rPh>
    <rPh sb="34" eb="36">
      <t>シテイ</t>
    </rPh>
    <rPh sb="36" eb="37">
      <t>ア</t>
    </rPh>
    <rPh sb="39" eb="41">
      <t>バアイ</t>
    </rPh>
    <phoneticPr fontId="1"/>
  </si>
  <si>
    <t>Layout ID</t>
    <phoneticPr fontId="1"/>
  </si>
  <si>
    <t>レイアウトIDが正しく記入されている</t>
    <phoneticPr fontId="1"/>
  </si>
  <si>
    <t>画面番号</t>
    <rPh sb="0" eb="2">
      <t>ガメン</t>
    </rPh>
    <rPh sb="2" eb="4">
      <t>バンゴウ</t>
    </rPh>
    <phoneticPr fontId="1"/>
  </si>
  <si>
    <t>画面番号が正しく記入されている</t>
    <phoneticPr fontId="1"/>
  </si>
  <si>
    <t>画面表題</t>
    <rPh sb="0" eb="2">
      <t>ガメン</t>
    </rPh>
    <rPh sb="2" eb="4">
      <t>ヒョウダイ</t>
    </rPh>
    <phoneticPr fontId="1"/>
  </si>
  <si>
    <t>画面の表題が正しく記入されている</t>
    <phoneticPr fontId="1"/>
  </si>
  <si>
    <t>画面</t>
    <rPh sb="0" eb="2">
      <t>ガメン</t>
    </rPh>
    <phoneticPr fontId="1"/>
  </si>
  <si>
    <t>画面のレイアウトが正しく記入されている</t>
    <phoneticPr fontId="1"/>
  </si>
  <si>
    <t>GUIステータス（メニューを作成し使用する場合）</t>
  </si>
  <si>
    <t>プログラム内で使用するメニューの数分、シートが用意されている</t>
    <phoneticPr fontId="1"/>
  </si>
  <si>
    <t>GUI Status</t>
    <phoneticPr fontId="1"/>
  </si>
  <si>
    <t>ステータス名が正しく記入されている</t>
    <rPh sb="5" eb="6">
      <t>メイ</t>
    </rPh>
    <phoneticPr fontId="1"/>
  </si>
  <si>
    <t>メニュ</t>
    <phoneticPr fontId="1"/>
  </si>
  <si>
    <t>プルダウンメニューの構成および内容が正しく記入されている</t>
    <rPh sb="10" eb="12">
      <t>コウセイ</t>
    </rPh>
    <phoneticPr fontId="1"/>
  </si>
  <si>
    <t>標準ツールバー</t>
    <rPh sb="0" eb="2">
      <t>ヒョウジュン</t>
    </rPh>
    <phoneticPr fontId="1"/>
  </si>
  <si>
    <t>使用しないコードが存在する場合、そのコードがグレイアウトされている</t>
    <phoneticPr fontId="1"/>
  </si>
  <si>
    <t>APツールバー</t>
    <phoneticPr fontId="1"/>
  </si>
  <si>
    <t>使用する機能コードがすべて正しく記入されている</t>
    <phoneticPr fontId="1"/>
  </si>
  <si>
    <t>Dynpro仕様</t>
    <phoneticPr fontId="1"/>
  </si>
  <si>
    <t>プログラム内で使用するDynproの数分、シートが用意されている</t>
    <phoneticPr fontId="1"/>
  </si>
  <si>
    <t>画面項目情報</t>
    <rPh sb="0" eb="2">
      <t>ガメン</t>
    </rPh>
    <rPh sb="2" eb="4">
      <t>コウモク</t>
    </rPh>
    <rPh sb="4" eb="6">
      <t>ジョウホウ</t>
    </rPh>
    <phoneticPr fontId="1"/>
  </si>
  <si>
    <t>画面内に表示（または非表示）される項目がすべて記入されている。また、それらの属性等が正しく記入されている</t>
    <phoneticPr fontId="1"/>
  </si>
  <si>
    <t>備考</t>
    <rPh sb="0" eb="2">
      <t>ビコウ</t>
    </rPh>
    <phoneticPr fontId="1"/>
  </si>
  <si>
    <t>特記事項がある場合、正しくわかりやすく記述されている</t>
    <phoneticPr fontId="1"/>
  </si>
  <si>
    <t>画面遷移図（Dynproの場合）</t>
  </si>
  <si>
    <t>Dynproの遷移がある場合、シートがDynpro数用意されている</t>
    <rPh sb="7" eb="9">
      <t>センイ</t>
    </rPh>
    <rPh sb="10" eb="14">
      <t>アルバアイ</t>
    </rPh>
    <rPh sb="25" eb="26">
      <t>スウ</t>
    </rPh>
    <phoneticPr fontId="1"/>
  </si>
  <si>
    <t>基本画面</t>
    <rPh sb="0" eb="2">
      <t>キホン</t>
    </rPh>
    <rPh sb="2" eb="4">
      <t>ガメン</t>
    </rPh>
    <phoneticPr fontId="1"/>
  </si>
  <si>
    <t>基本画面番号が記述されている</t>
    <rPh sb="0" eb="2">
      <t>キホン</t>
    </rPh>
    <rPh sb="2" eb="4">
      <t>ガメン</t>
    </rPh>
    <rPh sb="4" eb="6">
      <t>バンゴウ</t>
    </rPh>
    <rPh sb="7" eb="9">
      <t>キジュツ</t>
    </rPh>
    <phoneticPr fontId="1"/>
  </si>
  <si>
    <t>画面遷移</t>
    <rPh sb="0" eb="2">
      <t>ガメン</t>
    </rPh>
    <rPh sb="2" eb="4">
      <t>センイ</t>
    </rPh>
    <phoneticPr fontId="1"/>
  </si>
  <si>
    <t>基本画面からの画面遷移と機能コードが正しく記述されている</t>
    <rPh sb="0" eb="2">
      <t>キホン</t>
    </rPh>
    <rPh sb="2" eb="4">
      <t>ガメン</t>
    </rPh>
    <phoneticPr fontId="1"/>
  </si>
  <si>
    <t>遷移説明</t>
    <rPh sb="0" eb="2">
      <t>センイ</t>
    </rPh>
    <rPh sb="2" eb="4">
      <t>セツメイ</t>
    </rPh>
    <phoneticPr fontId="1"/>
  </si>
  <si>
    <t>各画面毎に、機能コード押下時の処理が正しくわかりやすく記述されている</t>
    <phoneticPr fontId="1"/>
  </si>
  <si>
    <t>エラーチェック</t>
    <phoneticPr fontId="1"/>
  </si>
  <si>
    <t>プログラム内で出力されるメッセージがある場合、シートが用意されている</t>
    <rPh sb="18" eb="22">
      <t>アルバアイ</t>
    </rPh>
    <rPh sb="27" eb="29">
      <t>ヨウイ</t>
    </rPh>
    <phoneticPr fontId="1"/>
  </si>
  <si>
    <t>エラー要件</t>
    <rPh sb="3" eb="5">
      <t>ヨウケン</t>
    </rPh>
    <phoneticPr fontId="1"/>
  </si>
  <si>
    <t>テスト概要</t>
    <rPh sb="3" eb="5">
      <t>ガイヨウ</t>
    </rPh>
    <phoneticPr fontId="1"/>
  </si>
  <si>
    <t>シートが用意されている</t>
    <rPh sb="4" eb="6">
      <t>ヨウイ</t>
    </rPh>
    <phoneticPr fontId="1"/>
  </si>
  <si>
    <t>Program要件にそった、テストの概要がもれなく含まれている</t>
    <rPh sb="7" eb="9">
      <t>ヨウケン</t>
    </rPh>
    <rPh sb="18" eb="20">
      <t>ガイヨウ</t>
    </rPh>
    <rPh sb="25" eb="26">
      <t>フク</t>
    </rPh>
    <phoneticPr fontId="1"/>
  </si>
  <si>
    <t>テストデータ</t>
    <phoneticPr fontId="1"/>
  </si>
  <si>
    <t>テスト概要にそったデータ情報(Parameter、バリアント)が記述されている</t>
    <rPh sb="0" eb="5">
      <t>テストガイヨウ</t>
    </rPh>
    <rPh sb="12" eb="14">
      <t>ジョウホウ</t>
    </rPh>
    <rPh sb="32" eb="34">
      <t>キジュツ</t>
    </rPh>
    <phoneticPr fontId="1"/>
  </si>
  <si>
    <t>テスト詳細</t>
    <rPh sb="3" eb="5">
      <t>ショウサイ</t>
    </rPh>
    <phoneticPr fontId="1"/>
  </si>
  <si>
    <t>Projectで必要なときには、シートが用意されている</t>
    <rPh sb="8" eb="10">
      <t>ヒツヨウ</t>
    </rPh>
    <rPh sb="20" eb="22">
      <t>ヨウイ</t>
    </rPh>
    <phoneticPr fontId="1"/>
  </si>
  <si>
    <t>Program要件にそった、テストの詳細がもれなく含まれている</t>
    <rPh sb="7" eb="9">
      <t>ヨウケン</t>
    </rPh>
    <rPh sb="18" eb="20">
      <t>ショウサイ</t>
    </rPh>
    <rPh sb="25" eb="26">
      <t>フク</t>
    </rPh>
    <phoneticPr fontId="1"/>
  </si>
  <si>
    <t>変更履歴</t>
    <rPh sb="0" eb="2">
      <t>ヘンコウ</t>
    </rPh>
    <rPh sb="2" eb="4">
      <t>リレキ</t>
    </rPh>
    <phoneticPr fontId="1"/>
  </si>
  <si>
    <t>第一版見積、実績の箇所に記述されている</t>
    <rPh sb="0" eb="1">
      <t>ダイ</t>
    </rPh>
    <rPh sb="1" eb="3">
      <t>イッパン</t>
    </rPh>
    <rPh sb="3" eb="5">
      <t>ミツモリ</t>
    </rPh>
    <rPh sb="6" eb="8">
      <t>ジッセキ</t>
    </rPh>
    <rPh sb="9" eb="11">
      <t>カショ</t>
    </rPh>
    <rPh sb="12" eb="14">
      <t>キジュツ</t>
    </rPh>
    <phoneticPr fontId="1"/>
  </si>
  <si>
    <t>仕様書に変更がある場合には変更者、変更日付、変更内容、承認者がすべてに記述されている</t>
    <rPh sb="0" eb="3">
      <t>シヨウショ</t>
    </rPh>
    <rPh sb="4" eb="6">
      <t>ヘンコウ</t>
    </rPh>
    <rPh sb="7" eb="11">
      <t>アルバアイ</t>
    </rPh>
    <rPh sb="13" eb="15">
      <t>ヘンコウ</t>
    </rPh>
    <rPh sb="15" eb="16">
      <t>シャ</t>
    </rPh>
    <rPh sb="17" eb="19">
      <t>ヘンコウ</t>
    </rPh>
    <rPh sb="19" eb="21">
      <t>ヒヅケ</t>
    </rPh>
    <rPh sb="22" eb="24">
      <t>ヘンコウ</t>
    </rPh>
    <rPh sb="24" eb="26">
      <t>ナイヨウ</t>
    </rPh>
    <rPh sb="27" eb="30">
      <t>ショウニンシャ</t>
    </rPh>
    <rPh sb="35" eb="37">
      <t>キジュツ</t>
    </rPh>
    <phoneticPr fontId="1"/>
  </si>
  <si>
    <t>帳票項目定義書</t>
    <rPh sb="0" eb="2">
      <t>チョウヒョウ</t>
    </rPh>
    <rPh sb="2" eb="4">
      <t>コウモク</t>
    </rPh>
    <rPh sb="4" eb="7">
      <t>テイギショ</t>
    </rPh>
    <phoneticPr fontId="1"/>
  </si>
  <si>
    <t>レイアウトID</t>
    <phoneticPr fontId="1"/>
  </si>
  <si>
    <t>帳票レイアウトに該当するＩＤが全て記述されている</t>
    <rPh sb="0" eb="2">
      <t>チョウヒョウ</t>
    </rPh>
    <rPh sb="8" eb="10">
      <t>ガイトウ</t>
    </rPh>
    <rPh sb="15" eb="16">
      <t>スベ</t>
    </rPh>
    <rPh sb="17" eb="19">
      <t>キジュツ</t>
    </rPh>
    <phoneticPr fontId="1"/>
  </si>
  <si>
    <t>項目名</t>
    <rPh sb="0" eb="2">
      <t>コウモク</t>
    </rPh>
    <rPh sb="2" eb="3">
      <t>メイ</t>
    </rPh>
    <phoneticPr fontId="1"/>
  </si>
  <si>
    <t>帳票レイアウトの項目が全て記述されている</t>
    <rPh sb="0" eb="2">
      <t>チョウヒョウ</t>
    </rPh>
    <rPh sb="8" eb="10">
      <t>コウモク</t>
    </rPh>
    <rPh sb="11" eb="12">
      <t>スベ</t>
    </rPh>
    <rPh sb="13" eb="15">
      <t>キジュツ</t>
    </rPh>
    <phoneticPr fontId="1"/>
  </si>
  <si>
    <t>出力長</t>
    <rPh sb="0" eb="2">
      <t>シュツリョク</t>
    </rPh>
    <rPh sb="2" eb="3">
      <t>チョウ</t>
    </rPh>
    <phoneticPr fontId="1"/>
  </si>
  <si>
    <t>帳票レイアウトに従い出力長が正しく記述されている</t>
    <rPh sb="0" eb="2">
      <t>チョウヒョウ</t>
    </rPh>
    <rPh sb="8" eb="9">
      <t>シタガ</t>
    </rPh>
    <rPh sb="10" eb="12">
      <t>シュツリョク</t>
    </rPh>
    <rPh sb="12" eb="13">
      <t>チョウ</t>
    </rPh>
    <rPh sb="14" eb="15">
      <t>タダ</t>
    </rPh>
    <rPh sb="17" eb="19">
      <t>キジュツ</t>
    </rPh>
    <phoneticPr fontId="1"/>
  </si>
  <si>
    <t>編集元項目名</t>
    <rPh sb="0" eb="2">
      <t>ヘンシュウ</t>
    </rPh>
    <rPh sb="2" eb="3">
      <t>モト</t>
    </rPh>
    <rPh sb="3" eb="5">
      <t>コウモク</t>
    </rPh>
    <rPh sb="5" eb="6">
      <t>メイ</t>
    </rPh>
    <phoneticPr fontId="1"/>
  </si>
  <si>
    <t>編集元となる項目が存在する場合、正しく記述されている</t>
    <rPh sb="0" eb="2">
      <t>ヘンシュウ</t>
    </rPh>
    <rPh sb="2" eb="3">
      <t>モト</t>
    </rPh>
    <rPh sb="6" eb="8">
      <t>コウモク</t>
    </rPh>
    <rPh sb="9" eb="11">
      <t>ソンザイ</t>
    </rPh>
    <rPh sb="13" eb="15">
      <t>バアイ</t>
    </rPh>
    <rPh sb="16" eb="17">
      <t>タダ</t>
    </rPh>
    <rPh sb="19" eb="21">
      <t>キジュツ</t>
    </rPh>
    <phoneticPr fontId="1"/>
  </si>
  <si>
    <t>編集要領</t>
    <rPh sb="0" eb="2">
      <t>ヘンシュウ</t>
    </rPh>
    <rPh sb="2" eb="4">
      <t>ヨウリョウ</t>
    </rPh>
    <phoneticPr fontId="1"/>
  </si>
  <si>
    <t>編集要領が正しく記述されている</t>
    <rPh sb="0" eb="2">
      <t>ヘンシュウ</t>
    </rPh>
    <rPh sb="2" eb="4">
      <t>ヨウリョウ</t>
    </rPh>
    <rPh sb="5" eb="6">
      <t>タダ</t>
    </rPh>
    <rPh sb="8" eb="10">
      <t>キジュツ</t>
    </rPh>
    <phoneticPr fontId="1"/>
  </si>
  <si>
    <t>帳票レイアウト</t>
    <phoneticPr fontId="1"/>
  </si>
  <si>
    <t>レイアウト</t>
    <phoneticPr fontId="1"/>
  </si>
  <si>
    <t>変数、定数や出力位置が分かりやすく記述されている</t>
    <rPh sb="0" eb="2">
      <t>ヘンスウ</t>
    </rPh>
    <rPh sb="3" eb="5">
      <t>テイスウ</t>
    </rPh>
    <rPh sb="6" eb="8">
      <t>シュツリョク</t>
    </rPh>
    <rPh sb="8" eb="10">
      <t>イチ</t>
    </rPh>
    <rPh sb="11" eb="12">
      <t>ワ</t>
    </rPh>
    <rPh sb="17" eb="19">
      <t>キジュツ</t>
    </rPh>
    <phoneticPr fontId="1"/>
  </si>
  <si>
    <t>統合会計システム開発</t>
    <phoneticPr fontId="7"/>
  </si>
  <si>
    <t>仕様作成日：</t>
    <rPh sb="0" eb="2">
      <t>シヨウ</t>
    </rPh>
    <rPh sb="2" eb="4">
      <t>サクセイ</t>
    </rPh>
    <phoneticPr fontId="1"/>
  </si>
  <si>
    <t>最終変更日：</t>
    <rPh sb="0" eb="2">
      <t>サイシュウ</t>
    </rPh>
    <rPh sb="2" eb="5">
      <t>ヘンコウビ</t>
    </rPh>
    <phoneticPr fontId="7"/>
  </si>
  <si>
    <t>SAP R/3(レポート)</t>
    <phoneticPr fontId="7"/>
  </si>
  <si>
    <t>仕様作成者：</t>
    <rPh sb="0" eb="2">
      <t>シヨウ</t>
    </rPh>
    <rPh sb="2" eb="4">
      <t>サクセイ</t>
    </rPh>
    <phoneticPr fontId="1"/>
  </si>
  <si>
    <t>KSC 橋本</t>
    <rPh sb="4" eb="6">
      <t>ハシモト</t>
    </rPh>
    <phoneticPr fontId="7"/>
  </si>
  <si>
    <t>最終変更者：</t>
    <rPh sb="0" eb="2">
      <t>サイシュウ</t>
    </rPh>
    <rPh sb="2" eb="4">
      <t>ヘンコウ</t>
    </rPh>
    <rPh sb="4" eb="5">
      <t>シャ</t>
    </rPh>
    <phoneticPr fontId="7"/>
  </si>
  <si>
    <t>DP_FI_2014_01</t>
    <phoneticPr fontId="7"/>
  </si>
  <si>
    <t>RD ID</t>
    <phoneticPr fontId="7"/>
  </si>
  <si>
    <t>RD_FI_2014</t>
    <phoneticPr fontId="7"/>
  </si>
  <si>
    <t>Title：</t>
    <phoneticPr fontId="7"/>
  </si>
  <si>
    <t>(電子記録債務)送信データ作成</t>
    <rPh sb="1" eb="3">
      <t>デンシ</t>
    </rPh>
    <rPh sb="3" eb="5">
      <t>キロク</t>
    </rPh>
    <rPh sb="5" eb="7">
      <t>サイム</t>
    </rPh>
    <rPh sb="8" eb="10">
      <t>ソウシン</t>
    </rPh>
    <rPh sb="13" eb="15">
      <t>サクセイ</t>
    </rPh>
    <phoneticPr fontId="7"/>
  </si>
  <si>
    <t>1.0</t>
    <phoneticPr fontId="7"/>
  </si>
  <si>
    <t>承認者：</t>
    <rPh sb="0" eb="3">
      <t>ショウニンシャ</t>
    </rPh>
    <phoneticPr fontId="7"/>
  </si>
  <si>
    <t>承認日付：</t>
    <rPh sb="0" eb="2">
      <t>ショウニン</t>
    </rPh>
    <rPh sb="2" eb="4">
      <t>ヒヅケ</t>
    </rPh>
    <phoneticPr fontId="7"/>
  </si>
  <si>
    <t>事務局：</t>
    <rPh sb="0" eb="3">
      <t>ジムキョク</t>
    </rPh>
    <phoneticPr fontId="7"/>
  </si>
  <si>
    <t>DP 名称：</t>
    <rPh sb="3" eb="5">
      <t>メイショウ</t>
    </rPh>
    <phoneticPr fontId="7"/>
  </si>
  <si>
    <t>PGM 名称：</t>
    <rPh sb="4" eb="6">
      <t>メイショウ</t>
    </rPh>
    <phoneticPr fontId="7"/>
  </si>
  <si>
    <t>機能</t>
    <phoneticPr fontId="7"/>
  </si>
  <si>
    <t>特殊要件有無</t>
    <rPh sb="0" eb="2">
      <t>トクシュ</t>
    </rPh>
    <rPh sb="2" eb="4">
      <t>ヨウケン</t>
    </rPh>
    <phoneticPr fontId="7"/>
  </si>
  <si>
    <t>x</t>
    <phoneticPr fontId="7"/>
  </si>
  <si>
    <t>（APロジックでのみ実現可能な要件）</t>
    <rPh sb="10" eb="12">
      <t>ジツゲン</t>
    </rPh>
    <rPh sb="12" eb="14">
      <t>フカノウ</t>
    </rPh>
    <rPh sb="15" eb="17">
      <t>ヨウケン</t>
    </rPh>
    <phoneticPr fontId="7"/>
  </si>
  <si>
    <t>（極小頻度で発生する大量データ処理など）</t>
    <rPh sb="1" eb="2">
      <t>ゴク</t>
    </rPh>
    <rPh sb="2" eb="3">
      <t>ショウ</t>
    </rPh>
    <rPh sb="3" eb="5">
      <t>ヒンド</t>
    </rPh>
    <rPh sb="6" eb="8">
      <t>ハッセイ</t>
    </rPh>
    <rPh sb="10" eb="12">
      <t>タイリョウ</t>
    </rPh>
    <rPh sb="15" eb="17">
      <t>ショリ</t>
    </rPh>
    <phoneticPr fontId="7"/>
  </si>
  <si>
    <t>制約処理時間：</t>
    <rPh sb="0" eb="2">
      <t>セイヤク</t>
    </rPh>
    <rPh sb="2" eb="6">
      <t>ショリジカン</t>
    </rPh>
    <phoneticPr fontId="7"/>
  </si>
  <si>
    <t>秒</t>
  </si>
  <si>
    <t>（遵守しなければ運用が不可能となる制約）</t>
    <rPh sb="1" eb="3">
      <t>ジュンシュ</t>
    </rPh>
    <rPh sb="8" eb="10">
      <t>ウンヨウ</t>
    </rPh>
    <rPh sb="11" eb="14">
      <t>フカノウ</t>
    </rPh>
    <rPh sb="17" eb="19">
      <t>セイヤク</t>
    </rPh>
    <phoneticPr fontId="7"/>
  </si>
  <si>
    <t>運用方法</t>
    <rPh sb="0" eb="2">
      <t>ウンヨウ</t>
    </rPh>
    <rPh sb="2" eb="4">
      <t>ホウホウ</t>
    </rPh>
    <phoneticPr fontId="7"/>
  </si>
  <si>
    <t>希望処理時間 ：</t>
    <rPh sb="0" eb="2">
      <t>キボウ</t>
    </rPh>
    <rPh sb="2" eb="6">
      <t>ショリジカン</t>
    </rPh>
    <phoneticPr fontId="7"/>
  </si>
  <si>
    <t>支払締時</t>
    <rPh sb="0" eb="2">
      <t>シハライ</t>
    </rPh>
    <rPh sb="2" eb="3">
      <t>シメ</t>
    </rPh>
    <rPh sb="3" eb="4">
      <t>ジ</t>
    </rPh>
    <phoneticPr fontId="7"/>
  </si>
  <si>
    <t>業務上特に運用される方法：</t>
    <rPh sb="0" eb="3">
      <t>ギョウムジョウ</t>
    </rPh>
    <rPh sb="3" eb="4">
      <t>トク</t>
    </rPh>
    <rPh sb="5" eb="6">
      <t>ウン</t>
    </rPh>
    <rPh sb="6" eb="7">
      <t>シヨウ</t>
    </rPh>
    <rPh sb="10" eb="12">
      <t>ホウホウ</t>
    </rPh>
    <phoneticPr fontId="7"/>
  </si>
  <si>
    <t>利用部門                ：</t>
    <rPh sb="0" eb="2">
      <t>リヨウ</t>
    </rPh>
    <rPh sb="2" eb="4">
      <t>ブモン</t>
    </rPh>
    <phoneticPr fontId="7"/>
  </si>
  <si>
    <t>事務グループ</t>
    <rPh sb="0" eb="2">
      <t>ジム</t>
    </rPh>
    <phoneticPr fontId="7"/>
  </si>
  <si>
    <t>実行前提条件            ：</t>
    <rPh sb="0" eb="2">
      <t>ジッコウ</t>
    </rPh>
    <rPh sb="2" eb="4">
      <t>ゼンテイ</t>
    </rPh>
    <rPh sb="4" eb="5">
      <t>ジョウ</t>
    </rPh>
    <rPh sb="5" eb="6">
      <t>ケン</t>
    </rPh>
    <phoneticPr fontId="7"/>
  </si>
  <si>
    <t>支払プログラム印刷実行済[標準機能]</t>
    <rPh sb="0" eb="2">
      <t>シハライ</t>
    </rPh>
    <rPh sb="7" eb="9">
      <t>インサツ</t>
    </rPh>
    <rPh sb="9" eb="11">
      <t>ジッコウ</t>
    </rPh>
    <rPh sb="11" eb="12">
      <t>スミ</t>
    </rPh>
    <rPh sb="13" eb="15">
      <t>ヒョウジュン</t>
    </rPh>
    <rPh sb="15" eb="17">
      <t>キノウ</t>
    </rPh>
    <phoneticPr fontId="7"/>
  </si>
  <si>
    <t>利用モジュール          ：</t>
    <rPh sb="0" eb="2">
      <t>リヨウ</t>
    </rPh>
    <phoneticPr fontId="7"/>
  </si>
  <si>
    <t xml:space="preserve">FI </t>
  </si>
  <si>
    <t>業務目的  （業務要件の要約）</t>
    <rPh sb="12" eb="14">
      <t>ヨウヤク</t>
    </rPh>
    <phoneticPr fontId="7"/>
  </si>
  <si>
    <t>・</t>
    <phoneticPr fontId="7"/>
  </si>
  <si>
    <t>電子記録債務送信データの作成</t>
    <rPh sb="12" eb="14">
      <t>サクセイ</t>
    </rPh>
    <phoneticPr fontId="7"/>
  </si>
  <si>
    <t>仕様概要 （処理概要）</t>
    <rPh sb="0" eb="2">
      <t>シヨウ</t>
    </rPh>
    <rPh sb="2" eb="4">
      <t>ガイヨウ</t>
    </rPh>
    <rPh sb="6" eb="8">
      <t>ショリ</t>
    </rPh>
    <rPh sb="8" eb="10">
      <t>ガイヨウ</t>
    </rPh>
    <phoneticPr fontId="7"/>
  </si>
  <si>
    <t>自動支払プログラムの標準機能である印刷処理実行後、</t>
    <rPh sb="0" eb="2">
      <t>ジドウ</t>
    </rPh>
    <rPh sb="2" eb="4">
      <t>シハライ</t>
    </rPh>
    <rPh sb="10" eb="12">
      <t>ヒョウジュン</t>
    </rPh>
    <rPh sb="12" eb="14">
      <t>キノウ</t>
    </rPh>
    <rPh sb="17" eb="19">
      <t>インサツ</t>
    </rPh>
    <rPh sb="19" eb="21">
      <t>ショリ</t>
    </rPh>
    <rPh sb="21" eb="23">
      <t>ジッコウ</t>
    </rPh>
    <rPh sb="23" eb="24">
      <t>ゴ</t>
    </rPh>
    <phoneticPr fontId="7"/>
  </si>
  <si>
    <t>(電子記録債務)送信データを作成する。</t>
    <rPh sb="14" eb="16">
      <t>サクセイ</t>
    </rPh>
    <phoneticPr fontId="7"/>
  </si>
  <si>
    <t>当プログラムは自動支払プログラム(TR-CD:F110)の支払印刷処理より呼び出される。</t>
    <rPh sb="0" eb="1">
      <t>トウ</t>
    </rPh>
    <rPh sb="7" eb="9">
      <t>ジドウ</t>
    </rPh>
    <rPh sb="9" eb="11">
      <t>シハライ</t>
    </rPh>
    <rPh sb="29" eb="31">
      <t>シハライ</t>
    </rPh>
    <rPh sb="31" eb="33">
      <t>インサツ</t>
    </rPh>
    <rPh sb="33" eb="35">
      <t>ショリ</t>
    </rPh>
    <rPh sb="37" eb="38">
      <t>ヨ</t>
    </rPh>
    <rPh sb="39" eb="40">
      <t>ダ</t>
    </rPh>
    <phoneticPr fontId="7"/>
  </si>
  <si>
    <t>当機能はファクタリング機能と同じ仕組みで作成するため、ファクタリング機能のPGMをコピー新規で作成している。</t>
    <rPh sb="1" eb="3">
      <t>キノウ</t>
    </rPh>
    <rPh sb="11" eb="13">
      <t>キノウ</t>
    </rPh>
    <rPh sb="14" eb="15">
      <t>オナ</t>
    </rPh>
    <rPh sb="16" eb="18">
      <t>シク</t>
    </rPh>
    <rPh sb="20" eb="22">
      <t>サクセイ</t>
    </rPh>
    <rPh sb="34" eb="36">
      <t>キノウ</t>
    </rPh>
    <rPh sb="44" eb="46">
      <t>シンキ</t>
    </rPh>
    <rPh sb="47" eb="49">
      <t>サクセイ</t>
    </rPh>
    <phoneticPr fontId="7"/>
  </si>
  <si>
    <t>そのため、電子記録債務で未使用の設計書の記載やロジックもそのまま残している。</t>
    <rPh sb="5" eb="7">
      <t>デンシ</t>
    </rPh>
    <rPh sb="7" eb="9">
      <t>キロク</t>
    </rPh>
    <rPh sb="9" eb="11">
      <t>サイム</t>
    </rPh>
    <rPh sb="12" eb="15">
      <t>ミシヨウ</t>
    </rPh>
    <rPh sb="16" eb="19">
      <t>セッケイショ</t>
    </rPh>
    <rPh sb="20" eb="22">
      <t>キサイ</t>
    </rPh>
    <rPh sb="32" eb="33">
      <t>ノコ</t>
    </rPh>
    <phoneticPr fontId="7"/>
  </si>
  <si>
    <t>なお、当PGMはDP_FI_2001_01（PGMID：ZFIPR_2001_01）をコピーしている。</t>
    <rPh sb="3" eb="4">
      <t>トウ</t>
    </rPh>
    <phoneticPr fontId="7"/>
  </si>
  <si>
    <t>処理詳細（１）</t>
    <rPh sb="0" eb="2">
      <t>ショリ</t>
    </rPh>
    <rPh sb="2" eb="4">
      <t>ショウサイ</t>
    </rPh>
    <phoneticPr fontId="7"/>
  </si>
  <si>
    <t>ID</t>
    <phoneticPr fontId="7"/>
  </si>
  <si>
    <t>処理内容</t>
    <rPh sb="0" eb="2">
      <t>ショリ</t>
    </rPh>
    <rPh sb="2" eb="4">
      <t>ナイヨウ</t>
    </rPh>
    <phoneticPr fontId="7"/>
  </si>
  <si>
    <t>1</t>
    <phoneticPr fontId="7"/>
  </si>
  <si>
    <t>初期処理</t>
    <phoneticPr fontId="7"/>
  </si>
  <si>
    <t>1.1</t>
    <phoneticPr fontId="7"/>
  </si>
  <si>
    <t>入力パラメータのチェック</t>
    <rPh sb="0" eb="2">
      <t>ニュウリョク</t>
    </rPh>
    <phoneticPr fontId="7"/>
  </si>
  <si>
    <t>※</t>
    <phoneticPr fontId="7"/>
  </si>
  <si>
    <t>詳細は別紙「選択画面レイアウト」を参照して下さい。</t>
    <rPh sb="0" eb="2">
      <t>ショウサイ</t>
    </rPh>
    <rPh sb="3" eb="5">
      <t>ベッシ</t>
    </rPh>
    <rPh sb="17" eb="19">
      <t>サンショウ</t>
    </rPh>
    <rPh sb="21" eb="22">
      <t>クダ</t>
    </rPh>
    <phoneticPr fontId="7"/>
  </si>
  <si>
    <t>パラメータは前処理プログラムからバリアントを通じて引き渡される。</t>
    <rPh sb="6" eb="7">
      <t>ゼン</t>
    </rPh>
    <rPh sb="7" eb="9">
      <t>ショリ</t>
    </rPh>
    <rPh sb="22" eb="23">
      <t>ツウ</t>
    </rPh>
    <rPh sb="25" eb="26">
      <t>ヒ</t>
    </rPh>
    <rPh sb="27" eb="28">
      <t>ワタ</t>
    </rPh>
    <phoneticPr fontId="7"/>
  </si>
  <si>
    <t>※引渡しのためダミーのバリアントを登録しておく(内容は問わない)。</t>
    <rPh sb="1" eb="3">
      <t>ヒキワタ</t>
    </rPh>
    <rPh sb="17" eb="19">
      <t>トウロク</t>
    </rPh>
    <rPh sb="24" eb="26">
      <t>ナイヨウ</t>
    </rPh>
    <rPh sb="27" eb="28">
      <t>ト</t>
    </rPh>
    <phoneticPr fontId="7"/>
  </si>
  <si>
    <t>1.2</t>
    <phoneticPr fontId="7"/>
  </si>
  <si>
    <t>プログラム開始メッセージの表示</t>
    <rPh sb="5" eb="7">
      <t>カイシ</t>
    </rPh>
    <rPh sb="13" eb="15">
      <t>ヒョウジ</t>
    </rPh>
    <phoneticPr fontId="7"/>
  </si>
  <si>
    <t>「「ZFIPR_2014_01:(電子記録債務)送信データファイル作成【開始】」」</t>
    <phoneticPr fontId="7"/>
  </si>
  <si>
    <r>
      <t>※</t>
    </r>
    <r>
      <rPr>
        <b/>
        <u/>
        <sz val="9"/>
        <rFont val="ＭＳ Ｐゴシック"/>
        <family val="3"/>
        <charset val="128"/>
      </rPr>
      <t>下線部</t>
    </r>
    <r>
      <rPr>
        <sz val="9"/>
        <rFont val="ＭＳ Ｐゴシック"/>
        <family val="3"/>
        <charset val="128"/>
      </rPr>
      <t>は変数</t>
    </r>
    <rPh sb="1" eb="3">
      <t>カセン</t>
    </rPh>
    <rPh sb="3" eb="4">
      <t>ブ</t>
    </rPh>
    <rPh sb="5" eb="7">
      <t>ヘンスウ</t>
    </rPh>
    <phoneticPr fontId="7"/>
  </si>
  <si>
    <t>(ID:ZFI002,TYPE:S,NUMBER:073)</t>
    <phoneticPr fontId="7"/>
  </si>
  <si>
    <t>2</t>
    <phoneticPr fontId="7"/>
  </si>
  <si>
    <t>電手決済債務明細データの取得</t>
    <rPh sb="0" eb="1">
      <t>デン</t>
    </rPh>
    <rPh sb="1" eb="2">
      <t>テ</t>
    </rPh>
    <rPh sb="2" eb="4">
      <t>ケッサイ</t>
    </rPh>
    <rPh sb="4" eb="6">
      <t>サイム</t>
    </rPh>
    <rPh sb="6" eb="8">
      <t>メイサイ</t>
    </rPh>
    <rPh sb="12" eb="14">
      <t>シュトク</t>
    </rPh>
    <phoneticPr fontId="7"/>
  </si>
  <si>
    <t>2.1</t>
    <phoneticPr fontId="7"/>
  </si>
  <si>
    <t>データ取得</t>
    <rPh sb="3" eb="5">
      <t>シュトク</t>
    </rPh>
    <phoneticPr fontId="7"/>
  </si>
  <si>
    <t>入力パラメータ：実行日、認識名により支払プログラムの決済データ(REGUH)を抽出する。</t>
    <rPh sb="0" eb="2">
      <t>ニュウリョク</t>
    </rPh>
    <rPh sb="8" eb="11">
      <t>ジッコウビ</t>
    </rPh>
    <rPh sb="12" eb="14">
      <t>ニンシキ</t>
    </rPh>
    <rPh sb="14" eb="15">
      <t>メイ</t>
    </rPh>
    <rPh sb="18" eb="20">
      <t>シハライ</t>
    </rPh>
    <rPh sb="26" eb="28">
      <t>ケッサイ</t>
    </rPh>
    <rPh sb="39" eb="41">
      <t>チュウシュツ</t>
    </rPh>
    <phoneticPr fontId="7"/>
  </si>
  <si>
    <t>＜検索条件・取得情報＞</t>
    <rPh sb="1" eb="3">
      <t>ケンサク</t>
    </rPh>
    <rPh sb="3" eb="5">
      <t>ジョウケン</t>
    </rPh>
    <rPh sb="6" eb="8">
      <t>シュトク</t>
    </rPh>
    <rPh sb="8" eb="10">
      <t>ジョウホウ</t>
    </rPh>
    <phoneticPr fontId="7"/>
  </si>
  <si>
    <t>※　Tableデータ抽出１を参照</t>
    <rPh sb="10" eb="12">
      <t>チュウシュツ</t>
    </rPh>
    <rPh sb="14" eb="16">
      <t>サンショウ</t>
    </rPh>
    <phoneticPr fontId="7"/>
  </si>
  <si>
    <t>2.2</t>
    <phoneticPr fontId="7"/>
  </si>
  <si>
    <t>決済データの合計金額の算出</t>
    <rPh sb="0" eb="2">
      <t>ケッサイ</t>
    </rPh>
    <rPh sb="6" eb="8">
      <t>ゴウケイ</t>
    </rPh>
    <rPh sb="8" eb="10">
      <t>キンガク</t>
    </rPh>
    <rPh sb="11" eb="13">
      <t>サンシュツ</t>
    </rPh>
    <phoneticPr fontId="7"/>
  </si>
  <si>
    <t>2.1で取得した決済データの合計金額を計算する。</t>
    <rPh sb="4" eb="6">
      <t>シュトク</t>
    </rPh>
    <rPh sb="8" eb="10">
      <t>ケッサイ</t>
    </rPh>
    <rPh sb="14" eb="16">
      <t>ゴウケイ</t>
    </rPh>
    <rPh sb="16" eb="18">
      <t>キンガク</t>
    </rPh>
    <rPh sb="19" eb="21">
      <t>ケイサン</t>
    </rPh>
    <phoneticPr fontId="7"/>
  </si>
  <si>
    <t>対象となるデータ(実行日＋認識名)をすべて加算する。</t>
    <rPh sb="0" eb="2">
      <t>タイショウ</t>
    </rPh>
    <rPh sb="9" eb="12">
      <t>ジッコウビ</t>
    </rPh>
    <rPh sb="13" eb="15">
      <t>ニンシキ</t>
    </rPh>
    <rPh sb="15" eb="16">
      <t>メイ</t>
    </rPh>
    <rPh sb="21" eb="23">
      <t>カサン</t>
    </rPh>
    <phoneticPr fontId="7"/>
  </si>
  <si>
    <t>処理詳細（２）</t>
    <rPh sb="0" eb="2">
      <t>ショリ</t>
    </rPh>
    <rPh sb="2" eb="4">
      <t>ショウサイ</t>
    </rPh>
    <phoneticPr fontId="7"/>
  </si>
  <si>
    <t>3</t>
    <phoneticPr fontId="7"/>
  </si>
  <si>
    <t>電手決済債務明細データの送信用ファイル出力準備</t>
    <rPh sb="0" eb="1">
      <t>デン</t>
    </rPh>
    <rPh sb="1" eb="2">
      <t>テ</t>
    </rPh>
    <rPh sb="2" eb="4">
      <t>ケッサイ</t>
    </rPh>
    <rPh sb="4" eb="6">
      <t>サイム</t>
    </rPh>
    <rPh sb="6" eb="8">
      <t>メイサイ</t>
    </rPh>
    <rPh sb="12" eb="15">
      <t>ソウシンヨウ</t>
    </rPh>
    <rPh sb="19" eb="21">
      <t>シュツリョク</t>
    </rPh>
    <rPh sb="21" eb="23">
      <t>ジュンビ</t>
    </rPh>
    <phoneticPr fontId="7"/>
  </si>
  <si>
    <t>3.1</t>
    <phoneticPr fontId="7"/>
  </si>
  <si>
    <t>電手決済マスタテーブル(ZFIT020)の読み込み</t>
    <rPh sb="0" eb="1">
      <t>デン</t>
    </rPh>
    <rPh sb="1" eb="2">
      <t>テ</t>
    </rPh>
    <rPh sb="2" eb="4">
      <t>ケッサイ</t>
    </rPh>
    <rPh sb="21" eb="22">
      <t>ヨ</t>
    </rPh>
    <rPh sb="23" eb="24">
      <t>コ</t>
    </rPh>
    <phoneticPr fontId="7"/>
  </si>
  <si>
    <t>2.1で取得した支払会社コード(REGUH-ZBUKR)により、電手決済マスタテーブル(ZFIT020)を抽出する。</t>
    <rPh sb="4" eb="6">
      <t>シュトク</t>
    </rPh>
    <rPh sb="8" eb="10">
      <t>シハライ</t>
    </rPh>
    <rPh sb="10" eb="12">
      <t>カイシャ</t>
    </rPh>
    <rPh sb="53" eb="55">
      <t>チュウシュツ</t>
    </rPh>
    <phoneticPr fontId="7"/>
  </si>
  <si>
    <t>※　Tableデータ抽出２を参照</t>
    <rPh sb="10" eb="12">
      <t>チュウシュツ</t>
    </rPh>
    <rPh sb="14" eb="16">
      <t>サンショウ</t>
    </rPh>
    <phoneticPr fontId="7"/>
  </si>
  <si>
    <t>＜エラー＞</t>
    <phoneticPr fontId="7"/>
  </si>
  <si>
    <r>
      <t>「テーブル【</t>
    </r>
    <r>
      <rPr>
        <b/>
        <u/>
        <sz val="9"/>
        <rFont val="ＭＳ Ｐゴシック"/>
        <family val="3"/>
        <charset val="128"/>
      </rPr>
      <t>ZFIT020</t>
    </r>
    <r>
      <rPr>
        <sz val="9"/>
        <rFont val="ＭＳ Ｐゴシック"/>
        <family val="3"/>
        <charset val="128"/>
      </rPr>
      <t>】に当該データがありません(Key1=【</t>
    </r>
    <r>
      <rPr>
        <b/>
        <u/>
        <sz val="9"/>
        <rFont val="ＭＳ Ｐゴシック"/>
        <family val="3"/>
        <charset val="128"/>
      </rPr>
      <t>会社コード</t>
    </r>
    <r>
      <rPr>
        <sz val="9"/>
        <rFont val="ＭＳ Ｐゴシック"/>
        <family val="3"/>
        <charset val="128"/>
      </rPr>
      <t>】 Key2=&amp; Key3=&amp;)。</t>
    </r>
    <rPh sb="33" eb="35">
      <t>カイシャ</t>
    </rPh>
    <phoneticPr fontId="7"/>
  </si>
  <si>
    <t>管理者に連絡してください」</t>
  </si>
  <si>
    <t>(ID:ZFI002,TYPE:E,NUMBER:028)</t>
    <phoneticPr fontId="7"/>
  </si>
  <si>
    <t>3.2</t>
    <phoneticPr fontId="7"/>
  </si>
  <si>
    <t>固定値マスターテーブル(ZFIT001)より、ファイル書き出し先Path名の取得</t>
    <rPh sb="0" eb="3">
      <t>コテイチ</t>
    </rPh>
    <rPh sb="27" eb="28">
      <t>カ</t>
    </rPh>
    <rPh sb="29" eb="30">
      <t>ダ</t>
    </rPh>
    <rPh sb="31" eb="32">
      <t>サキ</t>
    </rPh>
    <rPh sb="36" eb="37">
      <t>メイ</t>
    </rPh>
    <rPh sb="38" eb="40">
      <t>シュトク</t>
    </rPh>
    <phoneticPr fontId="7"/>
  </si>
  <si>
    <t>2.1で取得した支払会社コード(REGUH-ZBUKR)により、固定値マスターテーブル(ZFIT001)を抽出する。</t>
    <rPh sb="4" eb="6">
      <t>シュトク</t>
    </rPh>
    <rPh sb="8" eb="10">
      <t>シハライ</t>
    </rPh>
    <rPh sb="10" eb="12">
      <t>カイシャ</t>
    </rPh>
    <rPh sb="53" eb="55">
      <t>チュウシュツ</t>
    </rPh>
    <phoneticPr fontId="7"/>
  </si>
  <si>
    <t>※　Tableデータ抽出３を参照</t>
    <rPh sb="10" eb="12">
      <t>チュウシュツ</t>
    </rPh>
    <rPh sb="14" eb="16">
      <t>サンショウ</t>
    </rPh>
    <phoneticPr fontId="7"/>
  </si>
  <si>
    <r>
      <t>「テーブル【</t>
    </r>
    <r>
      <rPr>
        <b/>
        <u/>
        <sz val="9"/>
        <rFont val="ＭＳ Ｐゴシック"/>
        <family val="3"/>
        <charset val="128"/>
      </rPr>
      <t>ZFIT001</t>
    </r>
    <r>
      <rPr>
        <sz val="9"/>
        <rFont val="ＭＳ Ｐゴシック"/>
        <family val="3"/>
        <charset val="128"/>
      </rPr>
      <t>】に当該データがありません(Key1=【</t>
    </r>
    <r>
      <rPr>
        <b/>
        <u/>
        <sz val="9"/>
        <rFont val="ＭＳ Ｐゴシック"/>
        <family val="3"/>
        <charset val="128"/>
      </rPr>
      <t>会社コード</t>
    </r>
    <r>
      <rPr>
        <sz val="9"/>
        <rFont val="ＭＳ Ｐゴシック"/>
        <family val="3"/>
        <charset val="128"/>
      </rPr>
      <t>】 Key2=&amp; Key3=&amp;)。</t>
    </r>
    <rPh sb="33" eb="35">
      <t>カイシャ</t>
    </rPh>
    <phoneticPr fontId="7"/>
  </si>
  <si>
    <t>3.3</t>
    <phoneticPr fontId="7"/>
  </si>
  <si>
    <t>出力ファイル名(フルパス)のセット</t>
    <rPh sb="0" eb="2">
      <t>シュツリョク</t>
    </rPh>
    <rPh sb="6" eb="7">
      <t>メイ</t>
    </rPh>
    <phoneticPr fontId="7"/>
  </si>
  <si>
    <t>3.2で取得したPath名と実行日＋認識名により、出力ファイル名(フルパス)を決定する。</t>
    <rPh sb="4" eb="6">
      <t>シュトク</t>
    </rPh>
    <rPh sb="12" eb="13">
      <t>メイ</t>
    </rPh>
    <rPh sb="14" eb="17">
      <t>ジッコウビ</t>
    </rPh>
    <rPh sb="18" eb="20">
      <t>ニンシキ</t>
    </rPh>
    <rPh sb="20" eb="21">
      <t>メイ</t>
    </rPh>
    <rPh sb="25" eb="27">
      <t>シュツリョク</t>
    </rPh>
    <rPh sb="31" eb="32">
      <t>メイ</t>
    </rPh>
    <rPh sb="39" eb="41">
      <t>ケッテイ</t>
    </rPh>
    <phoneticPr fontId="7"/>
  </si>
  <si>
    <t>(1)</t>
    <phoneticPr fontId="7"/>
  </si>
  <si>
    <t>債務明細データ送信ファイル</t>
    <rPh sb="0" eb="2">
      <t>サイム</t>
    </rPh>
    <rPh sb="2" eb="4">
      <t>メイサイ</t>
    </rPh>
    <rPh sb="7" eb="9">
      <t>ソウシン</t>
    </rPh>
    <phoneticPr fontId="7"/>
  </si>
  <si>
    <t>データ種別(ZFIT001-DATAID)=021</t>
    <rPh sb="3" eb="5">
      <t>シュベツ</t>
    </rPh>
    <phoneticPr fontId="7"/>
  </si>
  <si>
    <t>連番(ZFIT001-SEQNO)=01のレコードを使用する。</t>
    <rPh sb="0" eb="2">
      <t>レンバン</t>
    </rPh>
    <rPh sb="26" eb="28">
      <t>シヨウ</t>
    </rPh>
    <phoneticPr fontId="7"/>
  </si>
  <si>
    <t xml:space="preserve">出力ファイル名１ </t>
    <rPh sb="0" eb="2">
      <t>シュツリョク</t>
    </rPh>
    <rPh sb="6" eb="7">
      <t>メイ</t>
    </rPh>
    <phoneticPr fontId="7"/>
  </si>
  <si>
    <t>=</t>
  </si>
  <si>
    <t xml:space="preserve"> 内容１(ZFIT001-VALUE1)※1＋内容２(ZFIT001-VALUE2)※1＋</t>
    <phoneticPr fontId="7"/>
  </si>
  <si>
    <t>連番(ZFIT001-SEQNO)＋実行日(入力パラメータ)下6桁＋認識名(入力パラメータ)</t>
    <rPh sb="18" eb="21">
      <t>ジッコウビ</t>
    </rPh>
    <rPh sb="22" eb="24">
      <t>ニュウリョク</t>
    </rPh>
    <rPh sb="30" eb="31">
      <t>シモ</t>
    </rPh>
    <rPh sb="32" eb="33">
      <t>ケタ</t>
    </rPh>
    <rPh sb="34" eb="36">
      <t>ニンシキ</t>
    </rPh>
    <rPh sb="36" eb="37">
      <t>メイ</t>
    </rPh>
    <phoneticPr fontId="7"/>
  </si>
  <si>
    <t>例)</t>
    <rPh sb="0" eb="1">
      <t>レイ</t>
    </rPh>
    <phoneticPr fontId="7"/>
  </si>
  <si>
    <t>内容１</t>
    <rPh sb="0" eb="2">
      <t>ナイヨウ</t>
    </rPh>
    <phoneticPr fontId="7"/>
  </si>
  <si>
    <t>/opt/data/sap/zfipr_20001/</t>
    <phoneticPr fontId="7"/>
  </si>
  <si>
    <t>┐</t>
  </si>
  <si>
    <t>内容２</t>
    <rPh sb="0" eb="2">
      <t>ナイヨウ</t>
    </rPh>
    <phoneticPr fontId="7"/>
  </si>
  <si>
    <t>test/</t>
    <phoneticPr fontId="7"/>
  </si>
  <si>
    <t>│</t>
    <phoneticPr fontId="7"/>
  </si>
  <si>
    <t>実行日</t>
    <rPh sb="0" eb="3">
      <t>ジッコウビ</t>
    </rPh>
    <phoneticPr fontId="7"/>
  </si>
  <si>
    <t xml:space="preserve"> 2002/4/20</t>
    <phoneticPr fontId="7"/>
  </si>
  <si>
    <t>─</t>
    <phoneticPr fontId="7"/>
  </si>
  <si>
    <t>─</t>
  </si>
  <si>
    <t>認識名</t>
    <rPh sb="0" eb="2">
      <t>ニンシキ</t>
    </rPh>
    <rPh sb="2" eb="3">
      <t>メイ</t>
    </rPh>
    <phoneticPr fontId="7"/>
  </si>
  <si>
    <t>SS001</t>
    <phoneticPr fontId="7"/>
  </si>
  <si>
    <t>↓</t>
    <phoneticPr fontId="7"/>
  </si>
  <si>
    <t xml:space="preserve">出力ファイル名 </t>
    <rPh sb="0" eb="2">
      <t>シュツリョク</t>
    </rPh>
    <rPh sb="6" eb="7">
      <t>メイ</t>
    </rPh>
    <phoneticPr fontId="7"/>
  </si>
  <si>
    <r>
      <t>"/opt/data/sap/zfipr_20001/test/</t>
    </r>
    <r>
      <rPr>
        <b/>
        <sz val="9"/>
        <rFont val="ＭＳ Ｐゴシック"/>
        <family val="3"/>
        <charset val="128"/>
      </rPr>
      <t>01</t>
    </r>
    <r>
      <rPr>
        <sz val="9"/>
        <rFont val="ＭＳ Ｐゴシック"/>
        <family val="3"/>
        <charset val="128"/>
      </rPr>
      <t>020420SS001"</t>
    </r>
    <phoneticPr fontId="7"/>
  </si>
  <si>
    <t>(2)</t>
    <phoneticPr fontId="7"/>
  </si>
  <si>
    <t>DME送信ファイル</t>
    <rPh sb="3" eb="5">
      <t>ソウシン</t>
    </rPh>
    <phoneticPr fontId="7"/>
  </si>
  <si>
    <t>（※2016/05/19現在､DMEファイルは作成しない為、パスは取得しない)</t>
    <rPh sb="28" eb="29">
      <t>タメ</t>
    </rPh>
    <rPh sb="33" eb="35">
      <t>シュトク</t>
    </rPh>
    <phoneticPr fontId="7"/>
  </si>
  <si>
    <t>連番(ZFIT001-SEQNO)=02のレコードを使用する。</t>
    <rPh sb="0" eb="2">
      <t>レンバン</t>
    </rPh>
    <rPh sb="26" eb="28">
      <t>シヨウ</t>
    </rPh>
    <phoneticPr fontId="7"/>
  </si>
  <si>
    <t xml:space="preserve">出力ファイル名２ </t>
    <rPh sb="0" eb="2">
      <t>シュツリョク</t>
    </rPh>
    <rPh sb="6" eb="7">
      <t>メイ</t>
    </rPh>
    <phoneticPr fontId="7"/>
  </si>
  <si>
    <r>
      <t>"/opt/data/sap/zfipr_20001/test/</t>
    </r>
    <r>
      <rPr>
        <b/>
        <strike/>
        <sz val="9"/>
        <rFont val="ＭＳ Ｐゴシック"/>
        <family val="3"/>
        <charset val="128"/>
      </rPr>
      <t>02</t>
    </r>
    <r>
      <rPr>
        <strike/>
        <sz val="9"/>
        <rFont val="ＭＳ Ｐゴシック"/>
        <family val="3"/>
        <charset val="128"/>
      </rPr>
      <t>020420SS001"</t>
    </r>
    <phoneticPr fontId="7"/>
  </si>
  <si>
    <t>※1…</t>
    <phoneticPr fontId="7"/>
  </si>
  <si>
    <t>前後のスペースは取り去って編集する。途中のスペースは残す。</t>
    <rPh sb="0" eb="2">
      <t>ゼンゴ</t>
    </rPh>
    <rPh sb="8" eb="9">
      <t>ト</t>
    </rPh>
    <rPh sb="10" eb="11">
      <t>サ</t>
    </rPh>
    <rPh sb="13" eb="15">
      <t>ヘンシュウ</t>
    </rPh>
    <rPh sb="18" eb="20">
      <t>トチュウ</t>
    </rPh>
    <rPh sb="26" eb="27">
      <t>ノコ</t>
    </rPh>
    <phoneticPr fontId="7"/>
  </si>
  <si>
    <t>処理詳細（３）</t>
    <rPh sb="0" eb="2">
      <t>ショリ</t>
    </rPh>
    <rPh sb="2" eb="4">
      <t>ショウサイ</t>
    </rPh>
    <phoneticPr fontId="7"/>
  </si>
  <si>
    <t>4</t>
    <phoneticPr fontId="7"/>
  </si>
  <si>
    <t>電手決済債務明細データの送信用ファイル出力</t>
    <rPh sb="0" eb="1">
      <t>デン</t>
    </rPh>
    <rPh sb="1" eb="2">
      <t>テ</t>
    </rPh>
    <rPh sb="2" eb="4">
      <t>ケッサイ</t>
    </rPh>
    <rPh sb="4" eb="6">
      <t>サイム</t>
    </rPh>
    <rPh sb="6" eb="8">
      <t>メイサイ</t>
    </rPh>
    <rPh sb="12" eb="15">
      <t>ソウシンヨウ</t>
    </rPh>
    <rPh sb="19" eb="21">
      <t>シュツリョク</t>
    </rPh>
    <phoneticPr fontId="7"/>
  </si>
  <si>
    <t>2.1で取得した対象データを送信ファイルに編集し、ファイルに書き出す。</t>
    <rPh sb="4" eb="6">
      <t>シュトク</t>
    </rPh>
    <rPh sb="8" eb="10">
      <t>タイショウ</t>
    </rPh>
    <rPh sb="14" eb="16">
      <t>ソウシン</t>
    </rPh>
    <rPh sb="21" eb="23">
      <t>ヘンシュウ</t>
    </rPh>
    <rPh sb="30" eb="31">
      <t>カ</t>
    </rPh>
    <rPh sb="32" eb="33">
      <t>ダ</t>
    </rPh>
    <phoneticPr fontId="7"/>
  </si>
  <si>
    <t>4.1</t>
    <phoneticPr fontId="7"/>
  </si>
  <si>
    <t>電手決済債務明細データの送信用ファイルのOPEN</t>
    <phoneticPr fontId="7"/>
  </si>
  <si>
    <t>3.3(1)で決定した出力ファイル名で出力ファイルをオープンする。</t>
    <rPh sb="7" eb="9">
      <t>ケッテイ</t>
    </rPh>
    <rPh sb="11" eb="13">
      <t>シュツリョク</t>
    </rPh>
    <rPh sb="17" eb="18">
      <t>メイ</t>
    </rPh>
    <rPh sb="19" eb="21">
      <t>シュツリョク</t>
    </rPh>
    <phoneticPr fontId="7"/>
  </si>
  <si>
    <r>
      <t>OPEN DATASET 出力ファイル名</t>
    </r>
    <r>
      <rPr>
        <sz val="9"/>
        <color rgb="FFFF0000"/>
        <rFont val="ＭＳ ゴシック"/>
        <family val="3"/>
        <charset val="128"/>
      </rPr>
      <t xml:space="preserve"> </t>
    </r>
    <r>
      <rPr>
        <strike/>
        <sz val="9"/>
        <color rgb="FFFF0000"/>
        <rFont val="ＭＳ ゴシック"/>
        <family val="3"/>
        <charset val="128"/>
      </rPr>
      <t>FOR OUTPUT IN TEXT MODE.</t>
    </r>
    <r>
      <rPr>
        <sz val="9"/>
        <color rgb="FFFF0000"/>
        <rFont val="ＭＳ ゴシック"/>
        <family val="3"/>
        <charset val="128"/>
      </rPr>
      <t>　→　FOR OUTPUT IN BINARY MODE</t>
    </r>
    <rPh sb="13" eb="15">
      <t>シュツリョク</t>
    </rPh>
    <rPh sb="19" eb="20">
      <t>メイ</t>
    </rPh>
    <phoneticPr fontId="7"/>
  </si>
  <si>
    <t>変更2016/7/12</t>
    <rPh sb="0" eb="2">
      <t>ヘンコウ</t>
    </rPh>
    <phoneticPr fontId="20"/>
  </si>
  <si>
    <t>※ファイルがすでに存在する場合は上書きされる。</t>
    <rPh sb="9" eb="11">
      <t>ソンザイ</t>
    </rPh>
    <rPh sb="13" eb="15">
      <t>バアイ</t>
    </rPh>
    <rPh sb="16" eb="18">
      <t>ウワガ</t>
    </rPh>
    <phoneticPr fontId="7"/>
  </si>
  <si>
    <t>以下のメッセージを表示し、処理を続行する。</t>
    <rPh sb="0" eb="2">
      <t>イカ</t>
    </rPh>
    <rPh sb="9" eb="11">
      <t>ヒョウジ</t>
    </rPh>
    <rPh sb="13" eb="15">
      <t>ショリ</t>
    </rPh>
    <rPh sb="16" eb="18">
      <t>ゾッコウ</t>
    </rPh>
    <phoneticPr fontId="7"/>
  </si>
  <si>
    <r>
      <t>「【</t>
    </r>
    <r>
      <rPr>
        <b/>
        <u/>
        <sz val="10"/>
        <rFont val="ＭＳ Ｐゴシック"/>
        <family val="3"/>
        <charset val="128"/>
      </rPr>
      <t>電手決済送信データ</t>
    </r>
    <r>
      <rPr>
        <b/>
        <sz val="9"/>
        <rFont val="ＭＳ Ｐゴシック"/>
        <family val="3"/>
        <charset val="128"/>
      </rPr>
      <t>】：【</t>
    </r>
    <r>
      <rPr>
        <b/>
        <u/>
        <sz val="9"/>
        <rFont val="ＭＳ Ｐゴシック"/>
        <family val="3"/>
        <charset val="128"/>
      </rPr>
      <t>/xxxxxx/yyyyyyy/zzzzzzzzzz/1234567890</t>
    </r>
    <r>
      <rPr>
        <b/>
        <sz val="9"/>
        <rFont val="ＭＳ Ｐゴシック"/>
        <family val="3"/>
        <charset val="128"/>
      </rPr>
      <t>】」</t>
    </r>
    <rPh sb="6" eb="8">
      <t>ソウシン</t>
    </rPh>
    <phoneticPr fontId="7"/>
  </si>
  <si>
    <r>
      <t>※</t>
    </r>
    <r>
      <rPr>
        <b/>
        <sz val="9"/>
        <rFont val="ＭＳ Ｐゴシック"/>
        <family val="3"/>
        <charset val="128"/>
      </rPr>
      <t>下線部</t>
    </r>
    <r>
      <rPr>
        <sz val="9"/>
        <rFont val="ＭＳ Ｐゴシック"/>
        <family val="3"/>
        <charset val="128"/>
      </rPr>
      <t>は変数</t>
    </r>
    <rPh sb="1" eb="3">
      <t>カセン</t>
    </rPh>
    <rPh sb="3" eb="4">
      <t>ブ</t>
    </rPh>
    <rPh sb="5" eb="7">
      <t>ヘンスウ</t>
    </rPh>
    <phoneticPr fontId="7"/>
  </si>
  <si>
    <t>(ID:ZFI002,TYPE:S,NUMBER:040)</t>
    <phoneticPr fontId="7"/>
  </si>
  <si>
    <t>第一パラメータ：固定値、第二パラメータ：フルpath</t>
    <rPh sb="0" eb="2">
      <t>ダイイチ</t>
    </rPh>
    <rPh sb="8" eb="11">
      <t>コテイチ</t>
    </rPh>
    <rPh sb="12" eb="14">
      <t>ダイニ</t>
    </rPh>
    <phoneticPr fontId="7"/>
  </si>
  <si>
    <t>OPENできない時、下記のメッセージを表示し、処理を終了する。</t>
    <phoneticPr fontId="7"/>
  </si>
  <si>
    <r>
      <t>「ファイルの【</t>
    </r>
    <r>
      <rPr>
        <b/>
        <u/>
        <sz val="9"/>
        <rFont val="ＭＳ Ｐゴシック"/>
        <family val="3"/>
        <charset val="128"/>
      </rPr>
      <t>OPEN：/xxxxx/yyyyy/zzzzz/aaaaaaaaaaaaa</t>
    </r>
    <r>
      <rPr>
        <sz val="9"/>
        <rFont val="ＭＳ Ｐゴシック"/>
        <family val="3"/>
        <charset val="128"/>
      </rPr>
      <t>】に失敗しました。管理者に連絡してください。」</t>
    </r>
    <phoneticPr fontId="7"/>
  </si>
  <si>
    <r>
      <t>※</t>
    </r>
    <r>
      <rPr>
        <b/>
        <u/>
        <sz val="9"/>
        <rFont val="ＭＳ Ｐゴシック"/>
        <family val="3"/>
        <charset val="128"/>
      </rPr>
      <t>下線部</t>
    </r>
    <r>
      <rPr>
        <sz val="9"/>
        <rFont val="ＭＳ Ｐゴシック"/>
        <family val="3"/>
        <charset val="128"/>
      </rPr>
      <t>は変数、パス名とファイル名をCONCATENATEする。</t>
    </r>
    <rPh sb="1" eb="3">
      <t>カセン</t>
    </rPh>
    <rPh sb="3" eb="4">
      <t>ブ</t>
    </rPh>
    <rPh sb="5" eb="7">
      <t>ヘンスウ</t>
    </rPh>
    <rPh sb="10" eb="11">
      <t>メイ</t>
    </rPh>
    <rPh sb="16" eb="17">
      <t>メイ</t>
    </rPh>
    <phoneticPr fontId="7"/>
  </si>
  <si>
    <t>(ID:ZFI002,TYPE:E,NUMBER:030)</t>
    <phoneticPr fontId="7"/>
  </si>
  <si>
    <t>4.2</t>
    <phoneticPr fontId="7"/>
  </si>
  <si>
    <t>ヘッダーレコードの出力</t>
    <rPh sb="9" eb="11">
      <t>シュツリョク</t>
    </rPh>
    <phoneticPr fontId="7"/>
  </si>
  <si>
    <t>3で取得した各種情報を編集し出力する。</t>
    <rPh sb="2" eb="4">
      <t>シュトク</t>
    </rPh>
    <rPh sb="6" eb="8">
      <t>カクシュ</t>
    </rPh>
    <rPh sb="8" eb="10">
      <t>ジョウホウ</t>
    </rPh>
    <rPh sb="11" eb="13">
      <t>ヘンシュウ</t>
    </rPh>
    <rPh sb="14" eb="16">
      <t>シュツリョク</t>
    </rPh>
    <phoneticPr fontId="7"/>
  </si>
  <si>
    <t>＜詳細＞</t>
    <rPh sb="1" eb="3">
      <t>ショウサイ</t>
    </rPh>
    <phoneticPr fontId="7"/>
  </si>
  <si>
    <r>
      <t>※</t>
    </r>
    <r>
      <rPr>
        <sz val="9"/>
        <rFont val="ＭＳ ゴシック"/>
        <family val="3"/>
        <charset val="128"/>
      </rPr>
      <t>TRANSFER</t>
    </r>
    <r>
      <rPr>
        <sz val="9"/>
        <rFont val="ＭＳ Ｐゴシック"/>
        <family val="3"/>
        <charset val="128"/>
      </rPr>
      <t>　命令を使用</t>
    </r>
    <rPh sb="10" eb="12">
      <t>メイレイ</t>
    </rPh>
    <rPh sb="13" eb="15">
      <t>シヨウ</t>
    </rPh>
    <phoneticPr fontId="7"/>
  </si>
  <si>
    <t>TRANSFER ヘッダーレコード TO 出力ファイル名．</t>
    <rPh sb="21" eb="23">
      <t>シュツリョク</t>
    </rPh>
    <rPh sb="27" eb="28">
      <t>メイ</t>
    </rPh>
    <phoneticPr fontId="7"/>
  </si>
  <si>
    <t>編集内容はFile定義(1)参照</t>
    <rPh sb="0" eb="2">
      <t>ヘンシュウ</t>
    </rPh>
    <rPh sb="2" eb="4">
      <t>ナイヨウ</t>
    </rPh>
    <rPh sb="9" eb="11">
      <t>テイギ</t>
    </rPh>
    <rPh sb="14" eb="16">
      <t>サンショウ</t>
    </rPh>
    <phoneticPr fontId="7"/>
  </si>
  <si>
    <t>TRANSFERできない時、下記のメッセージを表示し、処理を終了する。</t>
    <phoneticPr fontId="7"/>
  </si>
  <si>
    <r>
      <t>「ファイルの【</t>
    </r>
    <r>
      <rPr>
        <b/>
        <u/>
        <sz val="9"/>
        <rFont val="ＭＳ Ｐゴシック"/>
        <family val="3"/>
        <charset val="128"/>
      </rPr>
      <t>TRANSFER：/xxxxx/yyyyy/zzzzz/aaaaaaaaaaaaa</t>
    </r>
    <r>
      <rPr>
        <sz val="9"/>
        <rFont val="ＭＳ Ｐゴシック"/>
        <family val="3"/>
        <charset val="128"/>
      </rPr>
      <t>】に失敗しました。管理者に連絡してください。」</t>
    </r>
    <phoneticPr fontId="7"/>
  </si>
  <si>
    <t>4.3</t>
    <phoneticPr fontId="7"/>
  </si>
  <si>
    <t>明細レコードの出力</t>
    <rPh sb="0" eb="2">
      <t>メイサイ</t>
    </rPh>
    <rPh sb="7" eb="9">
      <t>シュツリョク</t>
    </rPh>
    <phoneticPr fontId="7"/>
  </si>
  <si>
    <t>2.1で抽出した支払先毎の支払情報を編集し出力する。(全支払先分)</t>
    <rPh sb="4" eb="6">
      <t>チュウシュツ</t>
    </rPh>
    <rPh sb="8" eb="10">
      <t>シハライ</t>
    </rPh>
    <rPh sb="10" eb="11">
      <t>サキ</t>
    </rPh>
    <rPh sb="11" eb="12">
      <t>ゴト</t>
    </rPh>
    <rPh sb="13" eb="15">
      <t>シハライ</t>
    </rPh>
    <rPh sb="15" eb="17">
      <t>ジョウホウ</t>
    </rPh>
    <rPh sb="18" eb="20">
      <t>ヘンシュウ</t>
    </rPh>
    <rPh sb="21" eb="23">
      <t>シュツリョク</t>
    </rPh>
    <rPh sb="27" eb="28">
      <t>ゼン</t>
    </rPh>
    <rPh sb="28" eb="30">
      <t>シハライ</t>
    </rPh>
    <rPh sb="30" eb="31">
      <t>サキ</t>
    </rPh>
    <rPh sb="31" eb="32">
      <t>ブン</t>
    </rPh>
    <phoneticPr fontId="7"/>
  </si>
  <si>
    <t>TRANSFER 明細レコード TO 出力ファイル名．</t>
    <rPh sb="9" eb="11">
      <t>メイサイ</t>
    </rPh>
    <rPh sb="19" eb="21">
      <t>シュツリョク</t>
    </rPh>
    <rPh sb="25" eb="26">
      <t>メイ</t>
    </rPh>
    <phoneticPr fontId="7"/>
  </si>
  <si>
    <t>4.4</t>
    <phoneticPr fontId="7"/>
  </si>
  <si>
    <t>支払明細トレーラレコードの出力(レコード区分="8")</t>
    <rPh sb="0" eb="2">
      <t>シハライ</t>
    </rPh>
    <rPh sb="2" eb="4">
      <t>メイサイ</t>
    </rPh>
    <rPh sb="13" eb="15">
      <t>シュツリョク</t>
    </rPh>
    <rPh sb="20" eb="22">
      <t>クブン</t>
    </rPh>
    <phoneticPr fontId="7"/>
  </si>
  <si>
    <t>明細レコードの件数と、支払金額の合計を出力する。</t>
    <rPh sb="0" eb="2">
      <t>メイサイ</t>
    </rPh>
    <rPh sb="7" eb="9">
      <t>ケンスウ</t>
    </rPh>
    <rPh sb="11" eb="13">
      <t>シハライ</t>
    </rPh>
    <rPh sb="13" eb="15">
      <t>キンガク</t>
    </rPh>
    <rPh sb="16" eb="18">
      <t>ゴウケイ</t>
    </rPh>
    <rPh sb="19" eb="21">
      <t>シュツリョク</t>
    </rPh>
    <phoneticPr fontId="7"/>
  </si>
  <si>
    <r>
      <rPr>
        <sz val="9"/>
        <color rgb="FF000000"/>
        <rFont val="ＭＳ Ｐゴシック"/>
      </rPr>
      <t>※</t>
    </r>
    <r>
      <rPr>
        <sz val="9"/>
        <color rgb="FF000000"/>
        <rFont val="ＭＳ ゴシック"/>
      </rPr>
      <t>TRANSFER</t>
    </r>
    <r>
      <rPr>
        <sz val="9"/>
        <color rgb="FF000000"/>
        <rFont val="ＭＳ Ｐゴシック"/>
      </rPr>
      <t>　命令を使用</t>
    </r>
  </si>
  <si>
    <t>TRANSFER 支払明細トレーラレコード TO 出力ファイル名．</t>
    <rPh sb="9" eb="11">
      <t>シハライ</t>
    </rPh>
    <rPh sb="11" eb="13">
      <t>メイサイ</t>
    </rPh>
    <rPh sb="25" eb="27">
      <t>シュツリョク</t>
    </rPh>
    <rPh sb="31" eb="32">
      <t>メイ</t>
    </rPh>
    <phoneticPr fontId="7"/>
  </si>
  <si>
    <t>処理詳細（４）</t>
    <rPh sb="0" eb="2">
      <t>ショリ</t>
    </rPh>
    <rPh sb="2" eb="4">
      <t>ショウサイ</t>
    </rPh>
    <phoneticPr fontId="7"/>
  </si>
  <si>
    <t>4.5</t>
    <phoneticPr fontId="7"/>
  </si>
  <si>
    <t>エンドレコードの出力(レコード区分="9")</t>
    <rPh sb="8" eb="10">
      <t>シュツリョク</t>
    </rPh>
    <rPh sb="15" eb="17">
      <t>クブン</t>
    </rPh>
    <phoneticPr fontId="7"/>
  </si>
  <si>
    <t>データの終了情報を出力する。</t>
    <rPh sb="4" eb="6">
      <t>シュウリョウ</t>
    </rPh>
    <rPh sb="6" eb="8">
      <t>ジョウホウ</t>
    </rPh>
    <rPh sb="9" eb="11">
      <t>シュツリョク</t>
    </rPh>
    <phoneticPr fontId="7"/>
  </si>
  <si>
    <t>4.6</t>
    <phoneticPr fontId="7"/>
  </si>
  <si>
    <t>電手決済債務明細データの送信用ファイルのCLOSE</t>
    <phoneticPr fontId="7"/>
  </si>
  <si>
    <t>3.3(1)で決定した出力ファイル名で出力ファイルをクローズする。</t>
    <rPh sb="7" eb="9">
      <t>ケッテイ</t>
    </rPh>
    <rPh sb="11" eb="13">
      <t>シュツリョク</t>
    </rPh>
    <rPh sb="17" eb="18">
      <t>メイ</t>
    </rPh>
    <rPh sb="19" eb="21">
      <t>シュツリョク</t>
    </rPh>
    <phoneticPr fontId="7"/>
  </si>
  <si>
    <t>CLOSE DATASET 出力ファイル名.</t>
    <rPh sb="14" eb="16">
      <t>シュツリョク</t>
    </rPh>
    <rPh sb="20" eb="21">
      <t>メイ</t>
    </rPh>
    <phoneticPr fontId="7"/>
  </si>
  <si>
    <t>CLOSEできない時、下記のメッセージを表示し、処理を終了する。</t>
  </si>
  <si>
    <r>
      <t>「ファイルの【</t>
    </r>
    <r>
      <rPr>
        <b/>
        <u/>
        <sz val="9"/>
        <rFont val="ＭＳ Ｐゴシック"/>
        <family val="3"/>
        <charset val="128"/>
      </rPr>
      <t>CLOSE：/xxxxx/yyyyy/zzzzz/aaaaaaaaaaaaa</t>
    </r>
    <r>
      <rPr>
        <sz val="9"/>
        <rFont val="ＭＳ Ｐゴシック"/>
        <family val="3"/>
        <charset val="128"/>
      </rPr>
      <t>】に失敗しました。管理者に連絡してください。」</t>
    </r>
    <phoneticPr fontId="7"/>
  </si>
  <si>
    <t>4.7</t>
    <phoneticPr fontId="7"/>
  </si>
  <si>
    <t>処理結果メッセージを表示する</t>
    <rPh sb="0" eb="2">
      <t>ショリ</t>
    </rPh>
    <rPh sb="2" eb="4">
      <t>ケッカ</t>
    </rPh>
    <rPh sb="10" eb="12">
      <t>ヒョウジ</t>
    </rPh>
    <phoneticPr fontId="7"/>
  </si>
  <si>
    <r>
      <t>「【</t>
    </r>
    <r>
      <rPr>
        <b/>
        <u/>
        <sz val="9"/>
        <rFont val="ＭＳ Ｐゴシック"/>
        <family val="3"/>
        <charset val="128"/>
      </rPr>
      <t>電手決済送信データ</t>
    </r>
    <r>
      <rPr>
        <sz val="9"/>
        <rFont val="ＭＳ Ｐゴシック"/>
        <family val="3"/>
        <charset val="128"/>
      </rPr>
      <t>】：作成件数【</t>
    </r>
    <r>
      <rPr>
        <b/>
        <u/>
        <sz val="9"/>
        <rFont val="ＭＳ Ｐゴシック"/>
        <family val="3"/>
        <charset val="128"/>
      </rPr>
      <t>ZZZ,ZZZ,ZZ9</t>
    </r>
    <r>
      <rPr>
        <sz val="9"/>
        <rFont val="ＭＳ Ｐゴシック"/>
        <family val="3"/>
        <charset val="128"/>
      </rPr>
      <t>】件、内明細件数【ZZZ,ZZZ,ZZ9】件」</t>
    </r>
    <rPh sb="6" eb="8">
      <t>ソウシン</t>
    </rPh>
    <rPh sb="13" eb="15">
      <t>サクセイ</t>
    </rPh>
    <rPh sb="15" eb="17">
      <t>ケンスウ</t>
    </rPh>
    <rPh sb="30" eb="31">
      <t>ケン</t>
    </rPh>
    <rPh sb="32" eb="33">
      <t>ウチ</t>
    </rPh>
    <rPh sb="33" eb="35">
      <t>メイサイ</t>
    </rPh>
    <rPh sb="35" eb="37">
      <t>ケンスウ</t>
    </rPh>
    <phoneticPr fontId="7"/>
  </si>
  <si>
    <t>(ID:ZFI002,TYPE:S,NUMBER:041)</t>
    <phoneticPr fontId="7"/>
  </si>
  <si>
    <t>第一パラメータ：固定値、第二パラメータ：ヘッダー～エンドの件数、第三パラメータ：明細件数(内数)</t>
    <rPh sb="0" eb="2">
      <t>ダイイチ</t>
    </rPh>
    <rPh sb="8" eb="11">
      <t>コテイチ</t>
    </rPh>
    <rPh sb="12" eb="14">
      <t>ダイニ</t>
    </rPh>
    <rPh sb="29" eb="31">
      <t>ケンスウ</t>
    </rPh>
    <rPh sb="32" eb="34">
      <t>ダイサン</t>
    </rPh>
    <rPh sb="40" eb="42">
      <t>メイサイ</t>
    </rPh>
    <rPh sb="42" eb="44">
      <t>ケンスウ</t>
    </rPh>
    <rPh sb="45" eb="46">
      <t>ウチ</t>
    </rPh>
    <rPh sb="46" eb="47">
      <t>スウ</t>
    </rPh>
    <phoneticPr fontId="7"/>
  </si>
  <si>
    <t>ファイル書き出しエラー時：</t>
    <rPh sb="4" eb="5">
      <t>カ</t>
    </rPh>
    <rPh sb="6" eb="7">
      <t>ダ</t>
    </rPh>
    <rPh sb="11" eb="12">
      <t>ジ</t>
    </rPh>
    <phoneticPr fontId="7"/>
  </si>
  <si>
    <t>ファイルの書き出し時のエラーはディスクの障害等が考えられるため、処理を停止する（削除などは行わない）。</t>
    <rPh sb="5" eb="6">
      <t>カ</t>
    </rPh>
    <rPh sb="7" eb="8">
      <t>ダ</t>
    </rPh>
    <rPh sb="9" eb="10">
      <t>ジ</t>
    </rPh>
    <rPh sb="20" eb="22">
      <t>ショウガイ</t>
    </rPh>
    <rPh sb="22" eb="23">
      <t>ナド</t>
    </rPh>
    <rPh sb="24" eb="25">
      <t>カンガ</t>
    </rPh>
    <phoneticPr fontId="7"/>
  </si>
  <si>
    <t>途中ファイルが存在しても管理テーブル（ZFIT021)に情報がないためダウンロードが出来ないので問題はない。</t>
    <rPh sb="0" eb="2">
      <t>トチュウ</t>
    </rPh>
    <rPh sb="7" eb="9">
      <t>ソンザイ</t>
    </rPh>
    <rPh sb="12" eb="14">
      <t>カンリ</t>
    </rPh>
    <rPh sb="28" eb="30">
      <t>ジョウホウ</t>
    </rPh>
    <phoneticPr fontId="7"/>
  </si>
  <si>
    <t>5</t>
    <phoneticPr fontId="7"/>
  </si>
  <si>
    <t>電手決済_DMEファイルの送信用ファイル出力</t>
    <rPh sb="0" eb="1">
      <t>デン</t>
    </rPh>
    <rPh sb="1" eb="2">
      <t>テ</t>
    </rPh>
    <rPh sb="2" eb="4">
      <t>ケッサイ</t>
    </rPh>
    <rPh sb="13" eb="16">
      <t>ソウシンヨウ</t>
    </rPh>
    <rPh sb="20" eb="22">
      <t>シュツリョク</t>
    </rPh>
    <phoneticPr fontId="7"/>
  </si>
  <si>
    <t>6</t>
    <phoneticPr fontId="7"/>
  </si>
  <si>
    <t>電手決済ファイル管理テーブルの更新</t>
    <rPh sb="0" eb="1">
      <t>デン</t>
    </rPh>
    <rPh sb="1" eb="2">
      <t>テ</t>
    </rPh>
    <rPh sb="2" eb="4">
      <t>ケッサイ</t>
    </rPh>
    <rPh sb="15" eb="17">
      <t>コウシン</t>
    </rPh>
    <phoneticPr fontId="7"/>
  </si>
  <si>
    <t>6.1</t>
    <phoneticPr fontId="7"/>
  </si>
  <si>
    <t>[電子記録債務ファイルの書き出しに成功した場合、各種情報を管理ﾃｰﾌﾞﾙ(ZFIT021)に書き出す。</t>
    <rPh sb="12" eb="13">
      <t>カ</t>
    </rPh>
    <rPh sb="14" eb="15">
      <t>ダ</t>
    </rPh>
    <rPh sb="17" eb="19">
      <t>セイコウ</t>
    </rPh>
    <rPh sb="21" eb="23">
      <t>バアイ</t>
    </rPh>
    <rPh sb="24" eb="26">
      <t>カクシュ</t>
    </rPh>
    <rPh sb="26" eb="28">
      <t>ジョウホウ</t>
    </rPh>
    <rPh sb="29" eb="31">
      <t>カンリ</t>
    </rPh>
    <rPh sb="46" eb="47">
      <t>カ</t>
    </rPh>
    <rPh sb="48" eb="49">
      <t>ダ</t>
    </rPh>
    <phoneticPr fontId="7"/>
  </si>
  <si>
    <t>編集内容は「Table更新」参照</t>
    <rPh sb="0" eb="2">
      <t>ヘンシュウ</t>
    </rPh>
    <rPh sb="2" eb="4">
      <t>ナイヨウ</t>
    </rPh>
    <rPh sb="11" eb="12">
      <t>サラ</t>
    </rPh>
    <rPh sb="12" eb="13">
      <t>シン</t>
    </rPh>
    <rPh sb="14" eb="16">
      <t>サンショウ</t>
    </rPh>
    <phoneticPr fontId="7"/>
  </si>
  <si>
    <t>７</t>
    <phoneticPr fontId="7"/>
  </si>
  <si>
    <t>プログラム終了メッセージの表示</t>
    <rPh sb="5" eb="7">
      <t>シュウリョウ</t>
    </rPh>
    <rPh sb="13" eb="15">
      <t>ヒョウジ</t>
    </rPh>
    <phoneticPr fontId="7"/>
  </si>
  <si>
    <t>「ZFIPR_2014_01:(電子記録債務)送信データファイル作成【終了】」</t>
    <phoneticPr fontId="7"/>
  </si>
  <si>
    <t>選択画面レイアウト</t>
    <rPh sb="0" eb="2">
      <t>センタク</t>
    </rPh>
    <rPh sb="2" eb="4">
      <t>ガメン</t>
    </rPh>
    <phoneticPr fontId="7"/>
  </si>
  <si>
    <t>画面名称：</t>
    <rPh sb="0" eb="2">
      <t>ガメン</t>
    </rPh>
    <rPh sb="2" eb="4">
      <t>メイショウ</t>
    </rPh>
    <phoneticPr fontId="7"/>
  </si>
  <si>
    <t>(電子記録債務)送信データの作成</t>
    <phoneticPr fontId="7"/>
  </si>
  <si>
    <t>レイアウト</t>
    <phoneticPr fontId="7"/>
  </si>
  <si>
    <t>①</t>
    <phoneticPr fontId="7"/>
  </si>
  <si>
    <t>▽</t>
    <phoneticPr fontId="7"/>
  </si>
  <si>
    <t>②</t>
    <phoneticPr fontId="7"/>
  </si>
  <si>
    <t>SELECT-OPTIONS</t>
    <phoneticPr fontId="7"/>
  </si>
  <si>
    <t>選択テキスト</t>
    <phoneticPr fontId="7"/>
  </si>
  <si>
    <t>型 /</t>
    <rPh sb="0" eb="1">
      <t>カタ</t>
    </rPh>
    <phoneticPr fontId="7"/>
  </si>
  <si>
    <t>デフォルト値</t>
    <rPh sb="5" eb="6">
      <t>チ</t>
    </rPh>
    <phoneticPr fontId="7"/>
  </si>
  <si>
    <t>デフォルト値</t>
  </si>
  <si>
    <t>MC</t>
    <phoneticPr fontId="7"/>
  </si>
  <si>
    <t>入力</t>
    <rPh sb="0" eb="2">
      <t>ニュウリョク</t>
    </rPh>
    <phoneticPr fontId="7"/>
  </si>
  <si>
    <t>エラー</t>
    <phoneticPr fontId="7"/>
  </si>
  <si>
    <t>その他</t>
    <rPh sb="0" eb="3">
      <t>ソノタ</t>
    </rPh>
    <phoneticPr fontId="7"/>
  </si>
  <si>
    <t>テーブル-項目</t>
  </si>
  <si>
    <t>From</t>
    <phoneticPr fontId="7"/>
  </si>
  <si>
    <t>To</t>
    <phoneticPr fontId="7"/>
  </si>
  <si>
    <t>ID</t>
  </si>
  <si>
    <t>チェック</t>
    <phoneticPr fontId="7"/>
  </si>
  <si>
    <t>PARAMETERS</t>
    <phoneticPr fontId="7"/>
  </si>
  <si>
    <t>チェック /</t>
    <phoneticPr fontId="7"/>
  </si>
  <si>
    <t>テーブル項目</t>
    <phoneticPr fontId="7"/>
  </si>
  <si>
    <t>ラジオボタン</t>
    <phoneticPr fontId="7"/>
  </si>
  <si>
    <t>ZFIT021-LAUFD</t>
    <phoneticPr fontId="7"/>
  </si>
  <si>
    <t>－</t>
    <phoneticPr fontId="7"/>
  </si>
  <si>
    <t>○</t>
    <phoneticPr fontId="7"/>
  </si>
  <si>
    <t>検索ヘルプ有り</t>
    <rPh sb="0" eb="2">
      <t>ケンサク</t>
    </rPh>
    <rPh sb="5" eb="6">
      <t>ア</t>
    </rPh>
    <phoneticPr fontId="7"/>
  </si>
  <si>
    <t>ZFIT021-LAUFI</t>
    <phoneticPr fontId="7"/>
  </si>
  <si>
    <t>－</t>
  </si>
  <si>
    <t>検索ヘルプ有り</t>
    <phoneticPr fontId="7"/>
  </si>
  <si>
    <t>Table データ抽出</t>
    <phoneticPr fontId="7"/>
  </si>
  <si>
    <t>抽出ID：</t>
    <rPh sb="0" eb="2">
      <t>チュウシュツ</t>
    </rPh>
    <phoneticPr fontId="7"/>
  </si>
  <si>
    <t>抽出対象Table</t>
    <rPh sb="0" eb="2">
      <t>チュウシュツ</t>
    </rPh>
    <rPh sb="2" eb="4">
      <t>タイショウ</t>
    </rPh>
    <phoneticPr fontId="7"/>
  </si>
  <si>
    <t>ＩＤ</t>
    <phoneticPr fontId="7"/>
  </si>
  <si>
    <t>タイプ</t>
    <phoneticPr fontId="7"/>
  </si>
  <si>
    <r>
      <t>Table</t>
    </r>
    <r>
      <rPr>
        <b/>
        <sz val="9"/>
        <rFont val="ＭＳ Ｐゴシック"/>
        <family val="3"/>
        <charset val="128"/>
      </rPr>
      <t>名</t>
    </r>
    <phoneticPr fontId="7"/>
  </si>
  <si>
    <t>名称</t>
  </si>
  <si>
    <t>推定データ件数</t>
    <rPh sb="5" eb="7">
      <t>ケンスウ</t>
    </rPh>
    <phoneticPr fontId="7"/>
  </si>
  <si>
    <t>備考</t>
    <phoneticPr fontId="7"/>
  </si>
  <si>
    <t>R/3標準Table</t>
  </si>
  <si>
    <t>REGUH</t>
    <phoneticPr fontId="7"/>
  </si>
  <si>
    <t>支払プログラム決済データ</t>
    <rPh sb="0" eb="2">
      <t>シハライ</t>
    </rPh>
    <rPh sb="7" eb="9">
      <t>ケッサイ</t>
    </rPh>
    <phoneticPr fontId="7"/>
  </si>
  <si>
    <t>件</t>
    <rPh sb="0" eb="1">
      <t>ケン</t>
    </rPh>
    <phoneticPr fontId="5"/>
  </si>
  <si>
    <t>件</t>
    <rPh sb="0" eb="1">
      <t>ケン</t>
    </rPh>
    <phoneticPr fontId="7"/>
  </si>
  <si>
    <t>抽出の目的</t>
    <rPh sb="0" eb="2">
      <t>チュウシュツ</t>
    </rPh>
    <rPh sb="3" eb="5">
      <t>モクテキ</t>
    </rPh>
    <phoneticPr fontId="7"/>
  </si>
  <si>
    <t>支払対象の支払データを仕入先単位に取得する。</t>
    <rPh sb="0" eb="2">
      <t>シハライ</t>
    </rPh>
    <rPh sb="2" eb="4">
      <t>タイショウ</t>
    </rPh>
    <rPh sb="5" eb="7">
      <t>シハライ</t>
    </rPh>
    <rPh sb="11" eb="13">
      <t>シイレ</t>
    </rPh>
    <rPh sb="13" eb="14">
      <t>サキ</t>
    </rPh>
    <rPh sb="14" eb="16">
      <t>タンイ</t>
    </rPh>
    <rPh sb="17" eb="19">
      <t>シュトク</t>
    </rPh>
    <phoneticPr fontId="7"/>
  </si>
  <si>
    <t>Table間の結合条件</t>
    <rPh sb="5" eb="6">
      <t>カン</t>
    </rPh>
    <rPh sb="7" eb="9">
      <t>ケツゴウ</t>
    </rPh>
    <rPh sb="9" eb="11">
      <t>ジョウケン</t>
    </rPh>
    <phoneticPr fontId="7"/>
  </si>
  <si>
    <t>Table毎の絞り込み条件</t>
    <phoneticPr fontId="7"/>
  </si>
  <si>
    <t>Table</t>
    <phoneticPr fontId="7"/>
  </si>
  <si>
    <t>条件式(説明)</t>
  </si>
  <si>
    <t>LAUFD：実行日</t>
    <rPh sb="6" eb="9">
      <t>ジッコウビ</t>
    </rPh>
    <phoneticPr fontId="7"/>
  </si>
  <si>
    <t>＝</t>
    <phoneticPr fontId="7"/>
  </si>
  <si>
    <t>入力パラメータ：実行日</t>
    <rPh sb="0" eb="2">
      <t>ニュウリョク</t>
    </rPh>
    <rPh sb="8" eb="11">
      <t>ジッコウビ</t>
    </rPh>
    <phoneticPr fontId="7"/>
  </si>
  <si>
    <t>REGUH</t>
  </si>
  <si>
    <t>LAUFI：認識名</t>
    <rPh sb="6" eb="8">
      <t>ニンシキ</t>
    </rPh>
    <rPh sb="8" eb="9">
      <t>メイ</t>
    </rPh>
    <phoneticPr fontId="7"/>
  </si>
  <si>
    <t>入力パラメータ：認識名</t>
    <rPh sb="0" eb="2">
      <t>ニュウリョク</t>
    </rPh>
    <rPh sb="8" eb="10">
      <t>ニンシキ</t>
    </rPh>
    <rPh sb="10" eb="11">
      <t>メイ</t>
    </rPh>
    <phoneticPr fontId="7"/>
  </si>
  <si>
    <t>XVORL：フラグ提案実行のみ</t>
    <rPh sb="9" eb="11">
      <t>テイアン</t>
    </rPh>
    <rPh sb="11" eb="13">
      <t>ジッコウ</t>
    </rPh>
    <phoneticPr fontId="7"/>
  </si>
  <si>
    <t>スペース</t>
    <phoneticPr fontId="7"/>
  </si>
  <si>
    <t>RBETR：国内通貨額</t>
    <phoneticPr fontId="7"/>
  </si>
  <si>
    <t xml:space="preserve">&lt;&gt; </t>
    <phoneticPr fontId="7"/>
  </si>
  <si>
    <t>抽出項目</t>
    <rPh sb="0" eb="2">
      <t>チュウシュツ</t>
    </rPh>
    <rPh sb="2" eb="4">
      <t>コウモク</t>
    </rPh>
    <phoneticPr fontId="7"/>
  </si>
  <si>
    <t>項目ID</t>
    <rPh sb="0" eb="2">
      <t>コウモク</t>
    </rPh>
    <phoneticPr fontId="7"/>
  </si>
  <si>
    <t>項目名</t>
    <rPh sb="0" eb="2">
      <t>コウモク</t>
    </rPh>
    <rPh sb="2" eb="3">
      <t>メイ</t>
    </rPh>
    <phoneticPr fontId="7"/>
  </si>
  <si>
    <t>テーブル名</t>
    <rPh sb="4" eb="5">
      <t>メイ</t>
    </rPh>
    <phoneticPr fontId="7"/>
  </si>
  <si>
    <t>備考</t>
    <rPh sb="0" eb="2">
      <t>ビコウ</t>
    </rPh>
    <phoneticPr fontId="7"/>
  </si>
  <si>
    <t>ZBUKR</t>
    <phoneticPr fontId="7"/>
  </si>
  <si>
    <t>支払会社コード</t>
    <rPh sb="0" eb="2">
      <t>シハライ</t>
    </rPh>
    <rPh sb="2" eb="4">
      <t>カイシャ</t>
    </rPh>
    <phoneticPr fontId="7"/>
  </si>
  <si>
    <t>LIFNR</t>
    <phoneticPr fontId="7"/>
  </si>
  <si>
    <t>仕入先コード</t>
    <rPh sb="0" eb="2">
      <t>シイレ</t>
    </rPh>
    <rPh sb="2" eb="3">
      <t>サキ</t>
    </rPh>
    <phoneticPr fontId="7"/>
  </si>
  <si>
    <t>WAERS</t>
    <phoneticPr fontId="7"/>
  </si>
  <si>
    <t>通貨コード</t>
    <rPh sb="0" eb="2">
      <t>ツウカ</t>
    </rPh>
    <phoneticPr fontId="7"/>
  </si>
  <si>
    <t>WEFAE</t>
    <phoneticPr fontId="7"/>
  </si>
  <si>
    <t>手形満期日</t>
    <rPh sb="0" eb="2">
      <t>テガタ</t>
    </rPh>
    <rPh sb="2" eb="5">
      <t>マンキビ</t>
    </rPh>
    <phoneticPr fontId="7"/>
  </si>
  <si>
    <t>RBETR</t>
    <phoneticPr fontId="7"/>
  </si>
  <si>
    <t>国内通貨額</t>
    <rPh sb="0" eb="2">
      <t>コクナイ</t>
    </rPh>
    <rPh sb="2" eb="4">
      <t>ツウカ</t>
    </rPh>
    <rPh sb="4" eb="5">
      <t>ガク</t>
    </rPh>
    <phoneticPr fontId="7"/>
  </si>
  <si>
    <t>WDATE</t>
    <phoneticPr fontId="7"/>
  </si>
  <si>
    <t>手形振出日</t>
    <rPh sb="0" eb="2">
      <t>テガタ</t>
    </rPh>
    <rPh sb="2" eb="5">
      <t>フリダシビ</t>
    </rPh>
    <phoneticPr fontId="7"/>
  </si>
  <si>
    <t>Add-on Table</t>
  </si>
  <si>
    <t>ZFIT020</t>
    <phoneticPr fontId="7"/>
  </si>
  <si>
    <t>電手決済マスタテーブル</t>
    <phoneticPr fontId="7"/>
  </si>
  <si>
    <t>電手決済債務明細データの送信用ファイルの編集に必要な項目を取得。</t>
    <rPh sb="20" eb="22">
      <t>ヘンシュウ</t>
    </rPh>
    <rPh sb="23" eb="25">
      <t>ヒツヨウ</t>
    </rPh>
    <rPh sb="26" eb="28">
      <t>コウモク</t>
    </rPh>
    <rPh sb="29" eb="31">
      <t>シュトク</t>
    </rPh>
    <phoneticPr fontId="7"/>
  </si>
  <si>
    <t>なし</t>
    <phoneticPr fontId="7"/>
  </si>
  <si>
    <t>ZBUKR：支払会社コード</t>
    <rPh sb="6" eb="8">
      <t>シハライ</t>
    </rPh>
    <rPh sb="8" eb="10">
      <t>ガイシャ</t>
    </rPh>
    <phoneticPr fontId="7"/>
  </si>
  <si>
    <t>支払会社コード(REGUH-ZBUKR)</t>
    <rPh sb="0" eb="2">
      <t>シハライ</t>
    </rPh>
    <rPh sb="2" eb="4">
      <t>ガイシャ</t>
    </rPh>
    <phoneticPr fontId="7"/>
  </si>
  <si>
    <t>ZFIT020</t>
  </si>
  <si>
    <t>JIGYONO</t>
    <phoneticPr fontId="7"/>
  </si>
  <si>
    <t>支店番号</t>
    <rPh sb="0" eb="2">
      <t>シテン</t>
    </rPh>
    <rPh sb="2" eb="4">
      <t>バンゴウ</t>
    </rPh>
    <phoneticPr fontId="7"/>
  </si>
  <si>
    <t>HRITRICD</t>
    <phoneticPr fontId="7"/>
  </si>
  <si>
    <t>口座番号</t>
    <rPh sb="0" eb="2">
      <t>コウザ</t>
    </rPh>
    <rPh sb="2" eb="4">
      <t>バンゴウ</t>
    </rPh>
    <phoneticPr fontId="7"/>
  </si>
  <si>
    <t>KASYNM</t>
    <phoneticPr fontId="7"/>
  </si>
  <si>
    <t>会社名</t>
    <rPh sb="0" eb="3">
      <t>カイシャメイ</t>
    </rPh>
    <phoneticPr fontId="7"/>
  </si>
  <si>
    <t>HRINM</t>
    <phoneticPr fontId="7"/>
  </si>
  <si>
    <t>支払先名称</t>
    <rPh sb="0" eb="2">
      <t>シハライ</t>
    </rPh>
    <rPh sb="2" eb="3">
      <t>サキ</t>
    </rPh>
    <rPh sb="3" eb="5">
      <t>メイショウ</t>
    </rPh>
    <phoneticPr fontId="7"/>
  </si>
  <si>
    <t>BANBRCD</t>
    <phoneticPr fontId="7"/>
  </si>
  <si>
    <t>銀行/支店コード</t>
    <rPh sb="0" eb="2">
      <t>ギンコウ</t>
    </rPh>
    <rPh sb="3" eb="5">
      <t>シテン</t>
    </rPh>
    <phoneticPr fontId="7"/>
  </si>
  <si>
    <t>BANKNM</t>
    <phoneticPr fontId="7"/>
  </si>
  <si>
    <t>銀行名</t>
    <rPh sb="0" eb="3">
      <t>ギンコウメイ</t>
    </rPh>
    <phoneticPr fontId="7"/>
  </si>
  <si>
    <t>BRANCHNM</t>
    <phoneticPr fontId="7"/>
  </si>
  <si>
    <t>支店名</t>
    <rPh sb="0" eb="3">
      <t>シテンメイ</t>
    </rPh>
    <phoneticPr fontId="7"/>
  </si>
  <si>
    <t>ACCNTTYPE</t>
    <phoneticPr fontId="7"/>
  </si>
  <si>
    <t>口座種別</t>
    <rPh sb="0" eb="2">
      <t>コウザ</t>
    </rPh>
    <rPh sb="2" eb="4">
      <t>シュベツ</t>
    </rPh>
    <phoneticPr fontId="7"/>
  </si>
  <si>
    <t>ACCNTNO</t>
    <phoneticPr fontId="7"/>
  </si>
  <si>
    <t>COMPCD</t>
    <phoneticPr fontId="7"/>
  </si>
  <si>
    <t>FB会社コード</t>
    <rPh sb="2" eb="4">
      <t>カイシャ</t>
    </rPh>
    <phoneticPr fontId="7"/>
  </si>
  <si>
    <t>COMPNM</t>
    <phoneticPr fontId="7"/>
  </si>
  <si>
    <t>FB会社名</t>
    <rPh sb="2" eb="4">
      <t>カイシャ</t>
    </rPh>
    <rPh sb="4" eb="5">
      <t>メイ</t>
    </rPh>
    <phoneticPr fontId="7"/>
  </si>
  <si>
    <t>MTBANKCD</t>
    <phoneticPr fontId="7"/>
  </si>
  <si>
    <t>振込元銀行</t>
    <rPh sb="0" eb="2">
      <t>フリコミ</t>
    </rPh>
    <rPh sb="2" eb="3">
      <t>モト</t>
    </rPh>
    <rPh sb="3" eb="5">
      <t>ギンコウ</t>
    </rPh>
    <phoneticPr fontId="7"/>
  </si>
  <si>
    <t>MTBANKNM</t>
    <phoneticPr fontId="7"/>
  </si>
  <si>
    <t>振込元銀行名</t>
    <rPh sb="0" eb="2">
      <t>フリコミ</t>
    </rPh>
    <rPh sb="2" eb="3">
      <t>モト</t>
    </rPh>
    <rPh sb="3" eb="6">
      <t>ギンコウメイ</t>
    </rPh>
    <phoneticPr fontId="7"/>
  </si>
  <si>
    <t>MTBRANCD</t>
    <phoneticPr fontId="7"/>
  </si>
  <si>
    <t>振込元支店</t>
    <rPh sb="0" eb="2">
      <t>フリコミ</t>
    </rPh>
    <rPh sb="2" eb="3">
      <t>モト</t>
    </rPh>
    <rPh sb="3" eb="5">
      <t>シテン</t>
    </rPh>
    <phoneticPr fontId="7"/>
  </si>
  <si>
    <t>MTBRANNM</t>
    <phoneticPr fontId="7"/>
  </si>
  <si>
    <t>振込元支店名</t>
    <rPh sb="0" eb="2">
      <t>フリコミ</t>
    </rPh>
    <rPh sb="2" eb="3">
      <t>モト</t>
    </rPh>
    <rPh sb="3" eb="5">
      <t>シテン</t>
    </rPh>
    <rPh sb="5" eb="6">
      <t>メイ</t>
    </rPh>
    <phoneticPr fontId="7"/>
  </si>
  <si>
    <t>MTACCNTYP</t>
    <phoneticPr fontId="7"/>
  </si>
  <si>
    <t>振込元口座種</t>
    <rPh sb="0" eb="2">
      <t>フリコミ</t>
    </rPh>
    <rPh sb="2" eb="3">
      <t>モト</t>
    </rPh>
    <rPh sb="3" eb="5">
      <t>コウザ</t>
    </rPh>
    <rPh sb="5" eb="6">
      <t>シュ</t>
    </rPh>
    <phoneticPr fontId="7"/>
  </si>
  <si>
    <t>MTACCNTNO</t>
    <phoneticPr fontId="7"/>
  </si>
  <si>
    <t>振込元口座No</t>
    <rPh sb="0" eb="2">
      <t>フリコミ</t>
    </rPh>
    <rPh sb="2" eb="3">
      <t>モト</t>
    </rPh>
    <rPh sb="3" eb="5">
      <t>コウザ</t>
    </rPh>
    <phoneticPr fontId="7"/>
  </si>
  <si>
    <t>ZFIT001</t>
    <phoneticPr fontId="7"/>
  </si>
  <si>
    <t>固定値マスタテーブル</t>
    <rPh sb="0" eb="3">
      <t>コテイチ</t>
    </rPh>
    <phoneticPr fontId="7"/>
  </si>
  <si>
    <t>電手決済債務明細データの送信用ファイルの書き出し場所(フルパス名)を決定する為に使用。</t>
    <rPh sb="20" eb="21">
      <t>カ</t>
    </rPh>
    <rPh sb="22" eb="23">
      <t>ダ</t>
    </rPh>
    <rPh sb="24" eb="26">
      <t>バショ</t>
    </rPh>
    <rPh sb="31" eb="32">
      <t>メイ</t>
    </rPh>
    <rPh sb="34" eb="36">
      <t>ケッテイ</t>
    </rPh>
    <rPh sb="38" eb="39">
      <t>タメ</t>
    </rPh>
    <rPh sb="40" eb="42">
      <t>シヨウ</t>
    </rPh>
    <phoneticPr fontId="7"/>
  </si>
  <si>
    <t>連番(SEQNO)=01(債務明細データ) の1件存在する。</t>
    <rPh sb="0" eb="2">
      <t>レンバン</t>
    </rPh>
    <rPh sb="13" eb="15">
      <t>サイム</t>
    </rPh>
    <rPh sb="15" eb="17">
      <t>メイサイ</t>
    </rPh>
    <rPh sb="24" eb="25">
      <t>ケン</t>
    </rPh>
    <rPh sb="25" eb="27">
      <t>ソンザイ</t>
    </rPh>
    <phoneticPr fontId="7"/>
  </si>
  <si>
    <t>DATAID：データ種別</t>
    <rPh sb="10" eb="12">
      <t>シュベツ</t>
    </rPh>
    <phoneticPr fontId="7"/>
  </si>
  <si>
    <t>"021"</t>
    <phoneticPr fontId="7"/>
  </si>
  <si>
    <t>CATEG：分類</t>
    <rPh sb="6" eb="8">
      <t>ブンルイ</t>
    </rPh>
    <phoneticPr fontId="7"/>
  </si>
  <si>
    <t>SEQNO</t>
    <phoneticPr fontId="7"/>
  </si>
  <si>
    <t>連番</t>
    <rPh sb="0" eb="2">
      <t>レンバン</t>
    </rPh>
    <phoneticPr fontId="7"/>
  </si>
  <si>
    <t>ZFIT001</t>
  </si>
  <si>
    <t>VALUE1</t>
    <phoneticPr fontId="7"/>
  </si>
  <si>
    <t>VALUE2</t>
    <phoneticPr fontId="7"/>
  </si>
  <si>
    <t>LFBK</t>
    <phoneticPr fontId="7"/>
  </si>
  <si>
    <t>仕入先マスター(銀行)</t>
    <rPh sb="0" eb="2">
      <t>シイレ</t>
    </rPh>
    <rPh sb="2" eb="3">
      <t>サキ</t>
    </rPh>
    <rPh sb="8" eb="10">
      <t>ギンコウ</t>
    </rPh>
    <phoneticPr fontId="7"/>
  </si>
  <si>
    <t>ｎ</t>
    <phoneticPr fontId="7"/>
  </si>
  <si>
    <t>1仕入先について複数存在する可能性あり</t>
    <rPh sb="1" eb="3">
      <t>シイレ</t>
    </rPh>
    <rPh sb="3" eb="4">
      <t>サキ</t>
    </rPh>
    <rPh sb="8" eb="10">
      <t>フクスウ</t>
    </rPh>
    <rPh sb="10" eb="12">
      <t>ソンザイ</t>
    </rPh>
    <rPh sb="14" eb="17">
      <t>カノウセイ</t>
    </rPh>
    <phoneticPr fontId="7"/>
  </si>
  <si>
    <t>※1件目を取得</t>
    <rPh sb="2" eb="3">
      <t>ケン</t>
    </rPh>
    <rPh sb="3" eb="4">
      <t>メ</t>
    </rPh>
    <rPh sb="5" eb="7">
      <t>シュトク</t>
    </rPh>
    <phoneticPr fontId="7"/>
  </si>
  <si>
    <t>仕入先に関して振込先銀行情報(1件目)の口座名義人名(半角カタカナ)を取得する。</t>
    <rPh sb="0" eb="2">
      <t>シイレ</t>
    </rPh>
    <rPh sb="2" eb="3">
      <t>サキ</t>
    </rPh>
    <rPh sb="4" eb="5">
      <t>カン</t>
    </rPh>
    <rPh sb="7" eb="9">
      <t>フリコミ</t>
    </rPh>
    <rPh sb="9" eb="10">
      <t>サキ</t>
    </rPh>
    <rPh sb="10" eb="12">
      <t>ギンコウ</t>
    </rPh>
    <rPh sb="12" eb="14">
      <t>ジョウホウ</t>
    </rPh>
    <rPh sb="16" eb="17">
      <t>ケン</t>
    </rPh>
    <rPh sb="17" eb="18">
      <t>メ</t>
    </rPh>
    <rPh sb="20" eb="22">
      <t>コウザ</t>
    </rPh>
    <rPh sb="22" eb="24">
      <t>メイギ</t>
    </rPh>
    <rPh sb="24" eb="25">
      <t>ニン</t>
    </rPh>
    <rPh sb="25" eb="26">
      <t>メイ</t>
    </rPh>
    <rPh sb="27" eb="29">
      <t>ハンカク</t>
    </rPh>
    <rPh sb="35" eb="37">
      <t>シュトク</t>
    </rPh>
    <phoneticPr fontId="7"/>
  </si>
  <si>
    <t>データが取得できない時、下記のメッセージを表示し、処理を終了する。</t>
    <rPh sb="4" eb="6">
      <t>シュトク</t>
    </rPh>
    <phoneticPr fontId="7"/>
  </si>
  <si>
    <r>
      <t>「仕入先コード：【</t>
    </r>
    <r>
      <rPr>
        <b/>
        <u/>
        <sz val="9"/>
        <rFont val="ＭＳ Ｐゴシック"/>
        <family val="3"/>
        <charset val="128"/>
      </rPr>
      <t>XXXXXXXXXX</t>
    </r>
    <r>
      <rPr>
        <sz val="9"/>
        <rFont val="ＭＳ Ｐゴシック"/>
        <family val="3"/>
        <charset val="128"/>
      </rPr>
      <t>】の口座名義人名が登録されていません。」</t>
    </r>
    <rPh sb="1" eb="3">
      <t>シイレ</t>
    </rPh>
    <rPh sb="3" eb="4">
      <t>サキ</t>
    </rPh>
    <rPh sb="21" eb="23">
      <t>コウザ</t>
    </rPh>
    <rPh sb="23" eb="25">
      <t>メイギ</t>
    </rPh>
    <rPh sb="25" eb="26">
      <t>ニン</t>
    </rPh>
    <rPh sb="26" eb="27">
      <t>メイ</t>
    </rPh>
    <rPh sb="28" eb="30">
      <t>トウロク</t>
    </rPh>
    <phoneticPr fontId="7"/>
  </si>
  <si>
    <t>(ID:ZFI002,TYPE:E,NUMBER:042)</t>
    <phoneticPr fontId="7"/>
  </si>
  <si>
    <t>LIFNR：仕入先コード</t>
    <rPh sb="6" eb="8">
      <t>シイレ</t>
    </rPh>
    <rPh sb="8" eb="9">
      <t>サキ</t>
    </rPh>
    <phoneticPr fontId="7"/>
  </si>
  <si>
    <t>REGUH-LIFNR：仕入先コード</t>
    <rPh sb="12" eb="14">
      <t>シイレ</t>
    </rPh>
    <rPh sb="14" eb="15">
      <t>サキ</t>
    </rPh>
    <phoneticPr fontId="7"/>
  </si>
  <si>
    <t>KOINH</t>
    <phoneticPr fontId="7"/>
  </si>
  <si>
    <t>口座名義人名</t>
    <rPh sb="0" eb="2">
      <t>コウザ</t>
    </rPh>
    <rPh sb="2" eb="4">
      <t>メイギ</t>
    </rPh>
    <rPh sb="4" eb="5">
      <t>ニン</t>
    </rPh>
    <rPh sb="5" eb="6">
      <t>メイ</t>
    </rPh>
    <phoneticPr fontId="7"/>
  </si>
  <si>
    <t>File 定義(電手決済債務明細データ)</t>
    <rPh sb="5" eb="7">
      <t>テイギ</t>
    </rPh>
    <phoneticPr fontId="20"/>
  </si>
  <si>
    <t>ファイルＩＤ：</t>
    <phoneticPr fontId="7"/>
  </si>
  <si>
    <t>ファイル名：</t>
    <phoneticPr fontId="7"/>
  </si>
  <si>
    <t>（「実行日」＋「認識名」で自動生成)</t>
    <rPh sb="2" eb="5">
      <t>ジッコウビ</t>
    </rPh>
    <rPh sb="8" eb="10">
      <t>ニンシキ</t>
    </rPh>
    <rPh sb="10" eb="11">
      <t>メイ</t>
    </rPh>
    <rPh sb="13" eb="15">
      <t>ジドウ</t>
    </rPh>
    <rPh sb="15" eb="17">
      <t>セイセイ</t>
    </rPh>
    <phoneticPr fontId="20"/>
  </si>
  <si>
    <t>名称：</t>
    <rPh sb="0" eb="2">
      <t>メイショウ</t>
    </rPh>
    <phoneticPr fontId="7"/>
  </si>
  <si>
    <t>電手決済債務明細データ（ＳＥ用：支払会社･･･「0191」）</t>
    <rPh sb="4" eb="6">
      <t>サイム</t>
    </rPh>
    <rPh sb="6" eb="8">
      <t>メイサイ</t>
    </rPh>
    <rPh sb="14" eb="15">
      <t>ヨウ</t>
    </rPh>
    <rPh sb="16" eb="18">
      <t>シハライ</t>
    </rPh>
    <rPh sb="18" eb="20">
      <t>カイシャ</t>
    </rPh>
    <phoneticPr fontId="20"/>
  </si>
  <si>
    <t>属性：</t>
  </si>
  <si>
    <t>レコード長</t>
    <rPh sb="4" eb="5">
      <t>チョウ</t>
    </rPh>
    <phoneticPr fontId="7"/>
  </si>
  <si>
    <t>bytes</t>
    <phoneticPr fontId="7"/>
  </si>
  <si>
    <t>形式</t>
    <rPh sb="0" eb="2">
      <t>ケイシキ</t>
    </rPh>
    <phoneticPr fontId="7"/>
  </si>
  <si>
    <t>入出力場所</t>
    <rPh sb="0" eb="3">
      <t>ニュウシュツリョク</t>
    </rPh>
    <rPh sb="3" eb="5">
      <t>バショ</t>
    </rPh>
    <phoneticPr fontId="0"/>
  </si>
  <si>
    <t>区切り文字</t>
    <rPh sb="0" eb="5">
      <t>クギリモジ</t>
    </rPh>
    <phoneticPr fontId="0"/>
  </si>
  <si>
    <t>モード</t>
    <phoneticPr fontId="7"/>
  </si>
  <si>
    <t>文字コード</t>
    <rPh sb="0" eb="2">
      <t>モジ</t>
    </rPh>
    <phoneticPr fontId="7"/>
  </si>
  <si>
    <t>変更2016/7/12（●BIN）</t>
    <rPh sb="0" eb="2">
      <t>ヘンコウ</t>
    </rPh>
    <phoneticPr fontId="20"/>
  </si>
  <si>
    <t>レコード数</t>
    <phoneticPr fontId="7"/>
  </si>
  <si>
    <t>Rec</t>
    <phoneticPr fontId="7"/>
  </si>
  <si>
    <t>ゼロ件処理</t>
    <rPh sb="3" eb="5">
      <t>ショリ</t>
    </rPh>
    <phoneticPr fontId="7"/>
  </si>
  <si>
    <t>（</t>
    <phoneticPr fontId="0"/>
  </si>
  <si>
    <t>)</t>
    <phoneticPr fontId="0"/>
  </si>
  <si>
    <t>（</t>
  </si>
  <si>
    <t>）</t>
  </si>
  <si>
    <t>ファイル構成：</t>
    <phoneticPr fontId="7"/>
  </si>
  <si>
    <t>NO</t>
  </si>
  <si>
    <t>項目名称</t>
  </si>
  <si>
    <t>位置</t>
    <rPh sb="0" eb="2">
      <t>イチ</t>
    </rPh>
    <phoneticPr fontId="20"/>
  </si>
  <si>
    <t>SIZE</t>
    <phoneticPr fontId="20"/>
  </si>
  <si>
    <t>Type</t>
  </si>
  <si>
    <t>内容説明（数値の場合は、書式を記述）</t>
  </si>
  <si>
    <t>&lt;HeaderRecord&gt;</t>
    <phoneticPr fontId="20"/>
  </si>
  <si>
    <t>CATEGORY</t>
    <phoneticPr fontId="7"/>
  </si>
  <si>
    <t>CHAR</t>
    <phoneticPr fontId="20"/>
  </si>
  <si>
    <t>「1」(ヘッダレコード)固定</t>
  </si>
  <si>
    <t>ITEM_CD</t>
    <phoneticPr fontId="7"/>
  </si>
  <si>
    <t>「35」(西暦利用)固定</t>
    <rPh sb="5" eb="7">
      <t>セイレキ</t>
    </rPh>
    <rPh sb="7" eb="9">
      <t>リヨウ</t>
    </rPh>
    <rPh sb="10" eb="12">
      <t>コテイ</t>
    </rPh>
    <phoneticPr fontId="20"/>
  </si>
  <si>
    <t>CODE_TYPE</t>
    <phoneticPr fontId="7"/>
  </si>
  <si>
    <t>「0」(JIS/ASCII)固定</t>
    <rPh sb="14" eb="16">
      <t>コテイ</t>
    </rPh>
    <phoneticPr fontId="20"/>
  </si>
  <si>
    <t>支払企業CD_支店番号(ZFIT020-JIGYONO)</t>
  </si>
  <si>
    <t>支払企業CD_口座番号(ZFIT020-HRITRICD)</t>
  </si>
  <si>
    <t>COMPANY_NAME</t>
  </si>
  <si>
    <t>支払企業名_会社名(ZFIT020-KASYNM) ※1</t>
  </si>
  <si>
    <t>ブランク</t>
  </si>
  <si>
    <t>BANK_CD</t>
    <phoneticPr fontId="7"/>
  </si>
  <si>
    <r>
      <rPr>
        <strike/>
        <sz val="9"/>
        <rFont val="ＭＳ Ｐゴシック"/>
        <family val="3"/>
        <charset val="128"/>
      </rPr>
      <t>ブランク</t>
    </r>
    <r>
      <rPr>
        <sz val="9"/>
        <rFont val="ＭＳ Ｐゴシック"/>
        <family val="3"/>
        <charset val="128"/>
      </rPr>
      <t>　→　"0005"（固定）</t>
    </r>
    <rPh sb="14" eb="16">
      <t>コテイ</t>
    </rPh>
    <phoneticPr fontId="20"/>
  </si>
  <si>
    <t>変更2016/7/8</t>
    <rPh sb="0" eb="2">
      <t>ヘンコウ</t>
    </rPh>
    <phoneticPr fontId="20"/>
  </si>
  <si>
    <t>BANK_NAME</t>
    <phoneticPr fontId="7"/>
  </si>
  <si>
    <t>BRANCH_CD</t>
    <phoneticPr fontId="7"/>
  </si>
  <si>
    <r>
      <rPr>
        <strike/>
        <sz val="9"/>
        <rFont val="ＭＳ Ｐゴシック"/>
        <family val="3"/>
        <charset val="128"/>
      </rPr>
      <t>ブランク</t>
    </r>
    <r>
      <rPr>
        <sz val="9"/>
        <rFont val="ＭＳ Ｐゴシック"/>
        <family val="3"/>
        <charset val="128"/>
      </rPr>
      <t>　→　"005"（固定）</t>
    </r>
    <rPh sb="13" eb="15">
      <t>コテイ</t>
    </rPh>
    <phoneticPr fontId="20"/>
  </si>
  <si>
    <t>BRNCH_NAME</t>
  </si>
  <si>
    <t>ACCNT_TYPE</t>
    <phoneticPr fontId="7"/>
  </si>
  <si>
    <r>
      <rPr>
        <strike/>
        <sz val="9"/>
        <rFont val="ＭＳ Ｐゴシック"/>
        <family val="3"/>
        <charset val="128"/>
      </rPr>
      <t>ブランク</t>
    </r>
    <r>
      <rPr>
        <sz val="9"/>
        <rFont val="ＭＳ Ｐゴシック"/>
        <family val="3"/>
        <charset val="128"/>
      </rPr>
      <t>　→　"2"（固定）</t>
    </r>
    <rPh sb="11" eb="13">
      <t>コテイ</t>
    </rPh>
    <phoneticPr fontId="20"/>
  </si>
  <si>
    <t>ACCNT_NO</t>
    <phoneticPr fontId="7"/>
  </si>
  <si>
    <r>
      <rPr>
        <strike/>
        <sz val="9"/>
        <rFont val="ＭＳ Ｐゴシック"/>
        <family val="3"/>
        <charset val="128"/>
      </rPr>
      <t>ブランク</t>
    </r>
    <r>
      <rPr>
        <sz val="9"/>
        <rFont val="ＭＳ Ｐゴシック"/>
        <family val="3"/>
        <charset val="128"/>
      </rPr>
      <t>　→　"0857671"（固定）</t>
    </r>
    <rPh sb="17" eb="19">
      <t>コテイ</t>
    </rPh>
    <phoneticPr fontId="20"/>
  </si>
  <si>
    <t>PAYMENT_DT</t>
    <phoneticPr fontId="7"/>
  </si>
  <si>
    <t>手形振出日(REGUH-WDATE)※２</t>
    <rPh sb="0" eb="2">
      <t>テガタ</t>
    </rPh>
    <rPh sb="2" eb="5">
      <t>フリダシビ</t>
    </rPh>
    <phoneticPr fontId="20"/>
  </si>
  <si>
    <t>VALUE_DT</t>
    <phoneticPr fontId="7"/>
  </si>
  <si>
    <t>手形満期日(REGUH-WEFAE)※２</t>
    <rPh sb="0" eb="2">
      <t>テガタ</t>
    </rPh>
    <rPh sb="2" eb="5">
      <t>マンキビ</t>
    </rPh>
    <phoneticPr fontId="20"/>
  </si>
  <si>
    <t>FILLER</t>
    <phoneticPr fontId="7"/>
  </si>
  <si>
    <t>※１…カナ小文字をカナ大文字に変換する【別紙１参照】</t>
    <rPh sb="5" eb="8">
      <t>コモジ</t>
    </rPh>
    <rPh sb="11" eb="14">
      <t>オオモジ</t>
    </rPh>
    <rPh sb="15" eb="17">
      <t>ヘンカン</t>
    </rPh>
    <rPh sb="20" eb="22">
      <t>ベッシ</t>
    </rPh>
    <rPh sb="23" eb="25">
      <t>サンショウ</t>
    </rPh>
    <phoneticPr fontId="20"/>
  </si>
  <si>
    <t>※２…西暦６桁（20050420→050420）</t>
    <rPh sb="3" eb="5">
      <t>セイレキ</t>
    </rPh>
    <rPh sb="6" eb="7">
      <t>ケタ</t>
    </rPh>
    <phoneticPr fontId="20"/>
  </si>
  <si>
    <t>備考：</t>
    <rPh sb="0" eb="2">
      <t>ビコウ</t>
    </rPh>
    <phoneticPr fontId="0"/>
  </si>
  <si>
    <t>作成タイミング：</t>
    <phoneticPr fontId="7"/>
  </si>
  <si>
    <t>削除タイミング：</t>
    <phoneticPr fontId="7"/>
  </si>
  <si>
    <t>その他：</t>
    <rPh sb="0" eb="3">
      <t>ソノタ</t>
    </rPh>
    <phoneticPr fontId="0"/>
  </si>
  <si>
    <t>電手決済債務明細データ（ＳＥ用：支払会社･･･「0191」）</t>
  </si>
  <si>
    <t>位置</t>
  </si>
  <si>
    <t>SIZE</t>
  </si>
  <si>
    <t>&lt;DataRecord&gt;</t>
  </si>
  <si>
    <t>「2」(データレコード)固定</t>
    <rPh sb="12" eb="14">
      <t>コテイ</t>
    </rPh>
    <phoneticPr fontId="20"/>
  </si>
  <si>
    <t>BANK_CD</t>
  </si>
  <si>
    <t>ブランク</t>
    <phoneticPr fontId="20"/>
  </si>
  <si>
    <t>LIFNR2</t>
    <phoneticPr fontId="7"/>
  </si>
  <si>
    <t>仕入先（銀行）の口座名義人名（LFBK-KOINH）</t>
    <rPh sb="0" eb="2">
      <t>シイレ</t>
    </rPh>
    <rPh sb="2" eb="3">
      <t>サキ</t>
    </rPh>
    <phoneticPr fontId="20"/>
  </si>
  <si>
    <t>国内通貨額(REGUH-RBETR)の集計金額 (※前0埋め) ※３</t>
    <rPh sb="0" eb="2">
      <t>コクナイ</t>
    </rPh>
    <rPh sb="2" eb="4">
      <t>ツウカ</t>
    </rPh>
    <rPh sb="4" eb="5">
      <t>ガク</t>
    </rPh>
    <rPh sb="19" eb="21">
      <t>シュウケイ</t>
    </rPh>
    <rPh sb="21" eb="22">
      <t>キン</t>
    </rPh>
    <rPh sb="22" eb="23">
      <t>ガク</t>
    </rPh>
    <phoneticPr fontId="20"/>
  </si>
  <si>
    <t>LIFNR1</t>
    <phoneticPr fontId="7"/>
  </si>
  <si>
    <t>LIFNR3</t>
  </si>
  <si>
    <r>
      <rPr>
        <sz val="9"/>
        <color rgb="FF000000"/>
        <rFont val="ＭＳ Ｐゴシック"/>
      </rPr>
      <t>仕入先コード（REGUH-LIFNR）</t>
    </r>
    <r>
      <rPr>
        <strike/>
        <sz val="9"/>
        <color rgb="FF000000"/>
        <rFont val="ＭＳ Ｐゴシック"/>
      </rPr>
      <t>(※前0埋め)</t>
    </r>
    <r>
      <rPr>
        <sz val="9"/>
        <color rgb="FF000000"/>
        <rFont val="ＭＳ Ｐゴシック"/>
      </rPr>
      <t>　※前0削除、左詰</t>
    </r>
  </si>
  <si>
    <t>PAYDS_CD</t>
    <phoneticPr fontId="20"/>
  </si>
  <si>
    <t>FILLER3</t>
    <phoneticPr fontId="20"/>
  </si>
  <si>
    <t>&lt;TrailerRecord&gt;</t>
    <phoneticPr fontId="20"/>
  </si>
  <si>
    <t>「8」(トレーラレコード)固定</t>
    <rPh sb="13" eb="15">
      <t>コテイ</t>
    </rPh>
    <phoneticPr fontId="20"/>
  </si>
  <si>
    <t>KENSU</t>
    <phoneticPr fontId="7"/>
  </si>
  <si>
    <t>明細レコードの件数</t>
    <rPh sb="0" eb="2">
      <t>メイサイ</t>
    </rPh>
    <rPh sb="7" eb="9">
      <t>ケンスウ</t>
    </rPh>
    <phoneticPr fontId="20"/>
  </si>
  <si>
    <t>※前0埋め、右詰</t>
    <rPh sb="1" eb="2">
      <t>マエ</t>
    </rPh>
    <rPh sb="3" eb="4">
      <t>ウ</t>
    </rPh>
    <rPh sb="6" eb="7">
      <t>ミギ</t>
    </rPh>
    <rPh sb="7" eb="8">
      <t>ツメ</t>
    </rPh>
    <phoneticPr fontId="20"/>
  </si>
  <si>
    <t>KINGAK</t>
    <phoneticPr fontId="7"/>
  </si>
  <si>
    <t>合計金額</t>
    <rPh sb="0" eb="2">
      <t>ゴウケイ</t>
    </rPh>
    <rPh sb="2" eb="4">
      <t>キンガク</t>
    </rPh>
    <phoneticPr fontId="20"/>
  </si>
  <si>
    <t>※３</t>
    <phoneticPr fontId="20"/>
  </si>
  <si>
    <t>&lt;EndRecord&gt;</t>
    <phoneticPr fontId="20"/>
  </si>
  <si>
    <t>CATEGORY</t>
    <phoneticPr fontId="20"/>
  </si>
  <si>
    <t>NUMC</t>
    <phoneticPr fontId="20"/>
  </si>
  <si>
    <t>「9」(エンドレコード)固定</t>
    <rPh sb="12" eb="14">
      <t>コテイ</t>
    </rPh>
    <phoneticPr fontId="20"/>
  </si>
  <si>
    <t>FILLER</t>
    <phoneticPr fontId="20"/>
  </si>
  <si>
    <t>※３…×(-1)して編集する(前0編集)。</t>
    <rPh sb="10" eb="12">
      <t>ヘンシュウ</t>
    </rPh>
    <phoneticPr fontId="20"/>
  </si>
  <si>
    <t>Title：</t>
  </si>
  <si>
    <t>Table更新</t>
    <rPh sb="5" eb="7">
      <t>コウシン</t>
    </rPh>
    <phoneticPr fontId="5"/>
  </si>
  <si>
    <t>Version：</t>
  </si>
  <si>
    <t>独立したTable毎に1シート記入する</t>
    <phoneticPr fontId="5"/>
  </si>
  <si>
    <t>Table ID：</t>
    <phoneticPr fontId="5"/>
  </si>
  <si>
    <t>ZFIT021</t>
    <phoneticPr fontId="5"/>
  </si>
  <si>
    <t>Table名：</t>
    <phoneticPr fontId="5"/>
  </si>
  <si>
    <t>電手決済ファイル管理テーブル</t>
    <phoneticPr fontId="5"/>
  </si>
  <si>
    <t>Table説明：</t>
    <rPh sb="5" eb="7">
      <t>セツメイ</t>
    </rPh>
    <phoneticPr fontId="5"/>
  </si>
  <si>
    <t>支払処理(電子記録債務)の実行結果を保持</t>
    <rPh sb="0" eb="2">
      <t>シハライ</t>
    </rPh>
    <rPh sb="2" eb="4">
      <t>ショリ</t>
    </rPh>
    <rPh sb="5" eb="7">
      <t>デンシ</t>
    </rPh>
    <rPh sb="7" eb="9">
      <t>キロク</t>
    </rPh>
    <rPh sb="9" eb="11">
      <t>サイム</t>
    </rPh>
    <rPh sb="13" eb="15">
      <t>ジッコウ</t>
    </rPh>
    <rPh sb="15" eb="17">
      <t>ケッカ</t>
    </rPh>
    <rPh sb="18" eb="20">
      <t>ホジ</t>
    </rPh>
    <phoneticPr fontId="5"/>
  </si>
  <si>
    <t>更新内容説明：</t>
    <rPh sb="0" eb="2">
      <t>コウシン</t>
    </rPh>
    <rPh sb="2" eb="4">
      <t>ナイヨウ</t>
    </rPh>
    <rPh sb="4" eb="6">
      <t>セツメイ</t>
    </rPh>
    <phoneticPr fontId="5"/>
  </si>
  <si>
    <t>電手決済債務明細データの送信用ファイルの出力後、出力情報を更新する。</t>
    <rPh sb="24" eb="26">
      <t>シュツリョク</t>
    </rPh>
    <rPh sb="26" eb="28">
      <t>ジョウホウ</t>
    </rPh>
    <rPh sb="29" eb="31">
      <t>コウシン</t>
    </rPh>
    <phoneticPr fontId="7"/>
  </si>
  <si>
    <t>同一キーが存在するとき更新、存在しないとき挿入を行う。</t>
    <rPh sb="0" eb="2">
      <t>ドウイツ</t>
    </rPh>
    <rPh sb="5" eb="7">
      <t>ソンザイ</t>
    </rPh>
    <rPh sb="11" eb="13">
      <t>コウシン</t>
    </rPh>
    <rPh sb="14" eb="16">
      <t>ソンザイ</t>
    </rPh>
    <rPh sb="21" eb="23">
      <t>ソウニュウ</t>
    </rPh>
    <rPh sb="24" eb="25">
      <t>オコナ</t>
    </rPh>
    <phoneticPr fontId="5"/>
  </si>
  <si>
    <t>項目名</t>
  </si>
  <si>
    <t>Key</t>
    <phoneticPr fontId="5"/>
  </si>
  <si>
    <t>項目編集／説明</t>
  </si>
  <si>
    <t>MANDT</t>
    <phoneticPr fontId="5"/>
  </si>
  <si>
    <t>クライアント</t>
    <phoneticPr fontId="5"/>
  </si>
  <si>
    <t>LAUFD</t>
    <phoneticPr fontId="5"/>
  </si>
  <si>
    <t>入力パラメータ：実行日</t>
    <rPh sb="8" eb="11">
      <t>ジッコウビ</t>
    </rPh>
    <phoneticPr fontId="5"/>
  </si>
  <si>
    <t>LAUFI</t>
    <phoneticPr fontId="5"/>
  </si>
  <si>
    <t>入力パラメータ：認識名</t>
  </si>
  <si>
    <t>DME</t>
    <phoneticPr fontId="7"/>
  </si>
  <si>
    <t>ブランク (DMEファイル用)</t>
    <phoneticPr fontId="5"/>
  </si>
  <si>
    <t>FACT</t>
    <phoneticPr fontId="7"/>
  </si>
  <si>
    <t>3．3(1)出力ファイル名 (債務明細データ用)</t>
    <rPh sb="6" eb="8">
      <t>シュツリョク</t>
    </rPh>
    <rPh sb="12" eb="13">
      <t>メイ</t>
    </rPh>
    <rPh sb="22" eb="23">
      <t>ヨウ</t>
    </rPh>
    <phoneticPr fontId="5"/>
  </si>
  <si>
    <t>DMERECS</t>
    <phoneticPr fontId="7"/>
  </si>
  <si>
    <t>「0」固定 (DMEファイル用)</t>
    <rPh sb="3" eb="5">
      <t>コテイ</t>
    </rPh>
    <phoneticPr fontId="5"/>
  </si>
  <si>
    <t>FACTRECS</t>
    <phoneticPr fontId="7"/>
  </si>
  <si>
    <t>債務明細送信データの総件数(ヘッダーレコード～エンドレコード)</t>
    <rPh sb="4" eb="6">
      <t>ソウシン</t>
    </rPh>
    <rPh sb="10" eb="11">
      <t>ソウ</t>
    </rPh>
    <rPh sb="11" eb="13">
      <t>ケンスウ</t>
    </rPh>
    <phoneticPr fontId="5"/>
  </si>
  <si>
    <t>MODDATE</t>
    <phoneticPr fontId="5"/>
  </si>
  <si>
    <t>システム日付</t>
    <rPh sb="4" eb="6">
      <t>ヒヅケ</t>
    </rPh>
    <phoneticPr fontId="5"/>
  </si>
  <si>
    <t>MODTIME</t>
    <phoneticPr fontId="5"/>
  </si>
  <si>
    <t>システム時刻</t>
    <rPh sb="4" eb="6">
      <t>ジコク</t>
    </rPh>
    <phoneticPr fontId="5"/>
  </si>
  <si>
    <t>エラーチェック</t>
    <phoneticPr fontId="5"/>
  </si>
  <si>
    <t>ID</t>
    <phoneticPr fontId="5"/>
  </si>
  <si>
    <t>エラー要件</t>
    <rPh sb="3" eb="5">
      <t>ヨウケン</t>
    </rPh>
    <phoneticPr fontId="5"/>
  </si>
  <si>
    <t>Message</t>
    <phoneticPr fontId="5"/>
  </si>
  <si>
    <t>タイプ</t>
  </si>
  <si>
    <t>番号</t>
  </si>
  <si>
    <t>ファイルの操作において異常が発生した場合</t>
    <rPh sb="5" eb="7">
      <t>ソウサ</t>
    </rPh>
    <rPh sb="11" eb="13">
      <t>イジョウ</t>
    </rPh>
    <rPh sb="14" eb="16">
      <t>ハッセイ</t>
    </rPh>
    <rPh sb="18" eb="20">
      <t>バアイ</t>
    </rPh>
    <phoneticPr fontId="5"/>
  </si>
  <si>
    <t>ZFI002</t>
    <phoneticPr fontId="5"/>
  </si>
  <si>
    <t>E</t>
    <phoneticPr fontId="5"/>
  </si>
  <si>
    <t>030</t>
    <phoneticPr fontId="5"/>
  </si>
  <si>
    <t>アドオンテーブルからデータが取得できなかったとき</t>
    <rPh sb="14" eb="16">
      <t>シュトク</t>
    </rPh>
    <phoneticPr fontId="5"/>
  </si>
  <si>
    <t>028</t>
    <phoneticPr fontId="5"/>
  </si>
  <si>
    <t>仕入先マスタ(銀行)から口座名義人が取得できないとき</t>
    <rPh sb="0" eb="2">
      <t>シイレ</t>
    </rPh>
    <rPh sb="2" eb="3">
      <t>サキ</t>
    </rPh>
    <rPh sb="7" eb="9">
      <t>ギンコウ</t>
    </rPh>
    <rPh sb="12" eb="14">
      <t>コウザ</t>
    </rPh>
    <rPh sb="14" eb="16">
      <t>メイギ</t>
    </rPh>
    <rPh sb="16" eb="17">
      <t>ニン</t>
    </rPh>
    <rPh sb="18" eb="20">
      <t>シュトク</t>
    </rPh>
    <phoneticPr fontId="5"/>
  </si>
  <si>
    <t>042</t>
    <phoneticPr fontId="5"/>
  </si>
  <si>
    <t>アドオンテーブルの更新ができなかったとき</t>
    <rPh sb="9" eb="11">
      <t>コウシン</t>
    </rPh>
    <phoneticPr fontId="5"/>
  </si>
  <si>
    <t>009</t>
    <phoneticPr fontId="5"/>
  </si>
  <si>
    <t>テスト概要</t>
    <phoneticPr fontId="6"/>
  </si>
  <si>
    <t>プロセス</t>
  </si>
  <si>
    <t>テスト目的</t>
  </si>
  <si>
    <t>参照資料</t>
  </si>
  <si>
    <t>1</t>
  </si>
  <si>
    <t>input parameter のチェック</t>
  </si>
  <si>
    <t>1.1</t>
  </si>
  <si>
    <t>パラメータの属性が設計書と合致していることを確認する</t>
  </si>
  <si>
    <t>（Type/Length/チェックボックス/ラジオボタン等）</t>
    <phoneticPr fontId="6"/>
  </si>
  <si>
    <t>1.2</t>
  </si>
  <si>
    <t>入力可能値やマッチコード検索が利用できることを確認する</t>
  </si>
  <si>
    <t>1.3</t>
  </si>
  <si>
    <t>入力必須項目が正しく作動していることを確認する</t>
  </si>
  <si>
    <t>1.4</t>
  </si>
  <si>
    <t>テキストエレメントが設計書通りに記述されていることを確認する</t>
  </si>
  <si>
    <t>1.5</t>
  </si>
  <si>
    <t>入力可能値以外の時はメッセージを表示する事を確認する。</t>
    <rPh sb="0" eb="2">
      <t>ニュウリョク</t>
    </rPh>
    <rPh sb="2" eb="4">
      <t>カノウ</t>
    </rPh>
    <rPh sb="4" eb="5">
      <t>チ</t>
    </rPh>
    <rPh sb="5" eb="7">
      <t>イガイ</t>
    </rPh>
    <rPh sb="8" eb="9">
      <t>トキ</t>
    </rPh>
    <rPh sb="16" eb="18">
      <t>ヒョウジ</t>
    </rPh>
    <rPh sb="20" eb="21">
      <t>コト</t>
    </rPh>
    <rPh sb="22" eb="24">
      <t>カクニン</t>
    </rPh>
    <phoneticPr fontId="6"/>
  </si>
  <si>
    <t>別紙｢入力チェック｣</t>
    <rPh sb="0" eb="2">
      <t>ベッシ</t>
    </rPh>
    <phoneticPr fontId="6"/>
  </si>
  <si>
    <t>2</t>
  </si>
  <si>
    <t>抽出処理チェック</t>
  </si>
  <si>
    <t>2.1</t>
  </si>
  <si>
    <t>処理対象データ数が0件のとき、その旨のメッセージが正しく表示され</t>
    <phoneticPr fontId="6"/>
  </si>
  <si>
    <t>別紙｢処理詳細（１）｣</t>
    <rPh sb="0" eb="2">
      <t>ベッシ</t>
    </rPh>
    <phoneticPr fontId="6"/>
  </si>
  <si>
    <r>
      <t>処理が中断されることを確認する</t>
    </r>
    <r>
      <rPr>
        <b/>
        <sz val="9"/>
        <color indexed="12"/>
        <rFont val="ＭＳ Ｐゴシック"/>
        <family val="3"/>
        <charset val="128"/>
      </rPr>
      <t>＜０件処理＞</t>
    </r>
    <rPh sb="0" eb="2">
      <t>ショリ</t>
    </rPh>
    <rPh sb="3" eb="5">
      <t>チュウダン</t>
    </rPh>
    <rPh sb="11" eb="13">
      <t>カクニン</t>
    </rPh>
    <rPh sb="17" eb="18">
      <t>ケン</t>
    </rPh>
    <rPh sb="18" eb="20">
      <t>ショリ</t>
    </rPh>
    <phoneticPr fontId="7"/>
  </si>
  <si>
    <t>2.2</t>
  </si>
  <si>
    <t>テーブルの読み込みエラーのとき、その旨のメッセージが正しく表示</t>
    <phoneticPr fontId="6"/>
  </si>
  <si>
    <r>
      <t>され処理が中断されることを確認する</t>
    </r>
    <r>
      <rPr>
        <b/>
        <sz val="9"/>
        <color indexed="12"/>
        <rFont val="ＭＳ Ｐゴシック"/>
        <family val="3"/>
        <charset val="128"/>
      </rPr>
      <t>＜異常処理＞</t>
    </r>
    <rPh sb="2" eb="4">
      <t>ショリ</t>
    </rPh>
    <rPh sb="5" eb="7">
      <t>チュウダン</t>
    </rPh>
    <rPh sb="13" eb="15">
      <t>カクニン</t>
    </rPh>
    <rPh sb="18" eb="20">
      <t>イジョウ</t>
    </rPh>
    <rPh sb="20" eb="22">
      <t>ショリ</t>
    </rPh>
    <phoneticPr fontId="7"/>
  </si>
  <si>
    <t>3</t>
    <phoneticPr fontId="6"/>
  </si>
  <si>
    <t>出力ファイル内容チェック</t>
    <rPh sb="0" eb="2">
      <t>シュツリョク</t>
    </rPh>
    <rPh sb="6" eb="8">
      <t>ナイヨウ</t>
    </rPh>
    <phoneticPr fontId="6"/>
  </si>
  <si>
    <t>3.1</t>
    <phoneticPr fontId="6"/>
  </si>
  <si>
    <t>INPUTの件数とOUTPUTの件数の関係が一致している。</t>
    <rPh sb="6" eb="8">
      <t>ケンスウ</t>
    </rPh>
    <rPh sb="16" eb="18">
      <t>ケンスウ</t>
    </rPh>
    <rPh sb="19" eb="21">
      <t>カンケイ</t>
    </rPh>
    <rPh sb="22" eb="24">
      <t>イッチ</t>
    </rPh>
    <phoneticPr fontId="6"/>
  </si>
  <si>
    <t>4</t>
    <phoneticPr fontId="6"/>
  </si>
  <si>
    <t>入力データｴﾗｰ処理</t>
  </si>
  <si>
    <t>4.1</t>
    <phoneticPr fontId="6"/>
  </si>
  <si>
    <t>入力データが設計書に記述された数値、日付などの属性と異なるとき</t>
    <phoneticPr fontId="6"/>
  </si>
  <si>
    <t>その旨のメッセージが表示/印字され、処理が中断する</t>
  </si>
  <si>
    <t>4.2</t>
    <phoneticPr fontId="6"/>
  </si>
  <si>
    <t>テーブルに存在しない値がパラメータとして入力された場合、</t>
  </si>
  <si>
    <t>EX.） 仕入先に ”あああああ” など有り得ないデータが入力された場合</t>
    <phoneticPr fontId="6"/>
  </si>
  <si>
    <t>4.3</t>
    <phoneticPr fontId="6"/>
  </si>
  <si>
    <t>必須項目を未入力のまま実行した場合、</t>
    <phoneticPr fontId="6"/>
  </si>
  <si>
    <t>テストデータ</t>
    <phoneticPr fontId="7"/>
  </si>
  <si>
    <t>バリアント名 / Parameter値</t>
    <rPh sb="5" eb="6">
      <t>メイ</t>
    </rPh>
    <rPh sb="18" eb="19">
      <t>チ</t>
    </rPh>
    <phoneticPr fontId="7"/>
  </si>
  <si>
    <t>テストデータ目的</t>
    <rPh sb="6" eb="8">
      <t>モクテキ</t>
    </rPh>
    <phoneticPr fontId="7"/>
  </si>
  <si>
    <t>データ作成者</t>
    <rPh sb="3" eb="6">
      <t>サクセイシャ</t>
    </rPh>
    <phoneticPr fontId="7"/>
  </si>
  <si>
    <t>テスト詳細 （１）</t>
    <phoneticPr fontId="7"/>
  </si>
  <si>
    <t>No.</t>
  </si>
  <si>
    <t>テスト内容/目的</t>
    <rPh sb="6" eb="8">
      <t>モクテキ</t>
    </rPh>
    <phoneticPr fontId="7"/>
  </si>
  <si>
    <t>データID</t>
  </si>
  <si>
    <t>期待結果</t>
  </si>
  <si>
    <t>別紙１ カナ小文字をカナ大文字に変換する(KATAKANA)</t>
    <rPh sb="0" eb="2">
      <t>ベッシ</t>
    </rPh>
    <rPh sb="6" eb="9">
      <t>コモジ</t>
    </rPh>
    <rPh sb="12" eb="15">
      <t>オオモジ</t>
    </rPh>
    <rPh sb="16" eb="18">
      <t>ヘンカン</t>
    </rPh>
    <phoneticPr fontId="7"/>
  </si>
  <si>
    <t>詳細</t>
    <rPh sb="0" eb="2">
      <t>ショウサイ</t>
    </rPh>
    <phoneticPr fontId="7"/>
  </si>
  <si>
    <t>１．</t>
    <phoneticPr fontId="7"/>
  </si>
  <si>
    <t>カナ小文字をカナ大文字に変換</t>
    <rPh sb="2" eb="5">
      <t>コモジ</t>
    </rPh>
    <rPh sb="8" eb="11">
      <t>オオモジ</t>
    </rPh>
    <rPh sb="12" eb="14">
      <t>ヘンカン</t>
    </rPh>
    <phoneticPr fontId="7"/>
  </si>
  <si>
    <t>指定されたカナ名称等(会社名)のカナ小文字をカナ大文字に変換する。</t>
    <rPh sb="0" eb="2">
      <t>シテイ</t>
    </rPh>
    <rPh sb="7" eb="9">
      <t>メイショウ</t>
    </rPh>
    <rPh sb="9" eb="10">
      <t>トウ</t>
    </rPh>
    <rPh sb="11" eb="14">
      <t>カイシャメイ</t>
    </rPh>
    <rPh sb="18" eb="21">
      <t>コモジ</t>
    </rPh>
    <rPh sb="24" eb="27">
      <t>オオモジ</t>
    </rPh>
    <rPh sb="28" eb="30">
      <t>ヘンカン</t>
    </rPh>
    <phoneticPr fontId="7"/>
  </si>
  <si>
    <t>１．１</t>
    <phoneticPr fontId="7"/>
  </si>
  <si>
    <r>
      <t>下記パラメータで汎用モジュール</t>
    </r>
    <r>
      <rPr>
        <sz val="9"/>
        <rFont val="ＭＳ ゴシック"/>
        <family val="3"/>
        <charset val="128"/>
      </rPr>
      <t>'KATAKANA'</t>
    </r>
    <r>
      <rPr>
        <sz val="9"/>
        <rFont val="ＭＳ Ｐゴシック"/>
        <family val="3"/>
        <charset val="128"/>
      </rPr>
      <t xml:space="preserve"> を呼び出す。</t>
    </r>
    <rPh sb="0" eb="2">
      <t>カキ</t>
    </rPh>
    <rPh sb="8" eb="10">
      <t>ハンヨウ</t>
    </rPh>
    <rPh sb="27" eb="28">
      <t>ヨ</t>
    </rPh>
    <rPh sb="29" eb="30">
      <t>ダ</t>
    </rPh>
    <phoneticPr fontId="7"/>
  </si>
  <si>
    <t>CALL FUNCTION 'KATAKANA'</t>
    <phoneticPr fontId="7"/>
  </si>
  <si>
    <t>EXPORTING</t>
    <phoneticPr fontId="7"/>
  </si>
  <si>
    <t>I_TEXT</t>
  </si>
  <si>
    <t>=</t>
    <phoneticPr fontId="7"/>
  </si>
  <si>
    <t>変換元文字列</t>
    <rPh sb="0" eb="2">
      <t>ヘンカン</t>
    </rPh>
    <rPh sb="2" eb="3">
      <t>モト</t>
    </rPh>
    <rPh sb="3" eb="6">
      <t>モジレツ</t>
    </rPh>
    <phoneticPr fontId="7"/>
  </si>
  <si>
    <t>I_INPUT_SB</t>
    <phoneticPr fontId="7"/>
  </si>
  <si>
    <t>”X"</t>
    <phoneticPr fontId="7"/>
  </si>
  <si>
    <t>IMPORTING</t>
    <phoneticPr fontId="7"/>
  </si>
  <si>
    <t>E_TEXT</t>
  </si>
  <si>
    <t>変換結果文字列</t>
    <rPh sb="0" eb="2">
      <t>ヘンカン</t>
    </rPh>
    <rPh sb="2" eb="4">
      <t>ケッカ</t>
    </rPh>
    <rPh sb="4" eb="7">
      <t>モジレツ</t>
    </rPh>
    <phoneticPr fontId="7"/>
  </si>
  <si>
    <t>EXCEPTIONS</t>
    <phoneticPr fontId="7"/>
  </si>
  <si>
    <t>NOT_KATAKANA</t>
  </si>
  <si>
    <t>NO_VALID_TYPE</t>
  </si>
  <si>
    <t>ALL_SPACE</t>
  </si>
  <si>
    <t>OTHERS</t>
    <phoneticPr fontId="7"/>
  </si>
  <si>
    <t>別紙２ 西暦を和暦に変換する(RP_CONVERT_JAPAN_DATE_OUT)</t>
    <rPh sb="0" eb="2">
      <t>ベッシ</t>
    </rPh>
    <rPh sb="4" eb="6">
      <t>セイレキ</t>
    </rPh>
    <rPh sb="7" eb="9">
      <t>ワレキ</t>
    </rPh>
    <rPh sb="10" eb="12">
      <t>ヘンカン</t>
    </rPh>
    <phoneticPr fontId="7"/>
  </si>
  <si>
    <t>西暦を和暦に変換</t>
    <rPh sb="0" eb="2">
      <t>セイレキ</t>
    </rPh>
    <rPh sb="3" eb="5">
      <t>ワレキ</t>
    </rPh>
    <rPh sb="6" eb="8">
      <t>ヘンカン</t>
    </rPh>
    <phoneticPr fontId="7"/>
  </si>
  <si>
    <r>
      <t>下記パラメータで汎用モジュール</t>
    </r>
    <r>
      <rPr>
        <sz val="9"/>
        <rFont val="ＭＳ ゴシック"/>
        <family val="3"/>
        <charset val="128"/>
      </rPr>
      <t>'RP_CONVERT_JAPAN_DATE_OUT'</t>
    </r>
    <r>
      <rPr>
        <sz val="9"/>
        <rFont val="ＭＳ Ｐゴシック"/>
        <family val="3"/>
        <charset val="128"/>
      </rPr>
      <t xml:space="preserve"> を呼び出す。</t>
    </r>
    <rPh sb="0" eb="2">
      <t>カキ</t>
    </rPh>
    <rPh sb="8" eb="10">
      <t>ハンヨウ</t>
    </rPh>
    <rPh sb="44" eb="45">
      <t>ヨ</t>
    </rPh>
    <rPh sb="46" eb="47">
      <t>ダ</t>
    </rPh>
    <phoneticPr fontId="7"/>
  </si>
  <si>
    <t>CALL FUNCTION 'RP_CONVERT_JAPAN_DATE_OUT'</t>
  </si>
  <si>
    <t>SEIREKI</t>
  </si>
  <si>
    <t>変換元年月日</t>
    <rPh sb="0" eb="2">
      <t>ヘンカン</t>
    </rPh>
    <rPh sb="2" eb="3">
      <t>モト</t>
    </rPh>
    <rPh sb="3" eb="6">
      <t>ネンガッピ</t>
    </rPh>
    <phoneticPr fontId="7"/>
  </si>
  <si>
    <t>NEN</t>
  </si>
  <si>
    <t>変換後年</t>
    <rPh sb="0" eb="2">
      <t>ヘンカン</t>
    </rPh>
    <rPh sb="2" eb="3">
      <t>ゴ</t>
    </rPh>
    <rPh sb="3" eb="4">
      <t>ドシ</t>
    </rPh>
    <phoneticPr fontId="7"/>
  </si>
  <si>
    <t>TSUKI</t>
  </si>
  <si>
    <t>変換後月</t>
    <rPh sb="0" eb="2">
      <t>ヘンカン</t>
    </rPh>
    <rPh sb="2" eb="3">
      <t>ゴ</t>
    </rPh>
    <rPh sb="3" eb="4">
      <t>ツキ</t>
    </rPh>
    <phoneticPr fontId="7"/>
  </si>
  <si>
    <t>HI</t>
  </si>
  <si>
    <t>変換後日</t>
    <rPh sb="0" eb="2">
      <t>ヘンカン</t>
    </rPh>
    <rPh sb="2" eb="3">
      <t>ゴ</t>
    </rPh>
    <rPh sb="3" eb="4">
      <t>ヒ</t>
    </rPh>
    <phoneticPr fontId="7"/>
  </si>
  <si>
    <t>変更日付</t>
  </si>
  <si>
    <t>変更者</t>
  </si>
  <si>
    <t>変更文書</t>
  </si>
  <si>
    <t>Version</t>
  </si>
  <si>
    <t>Workload</t>
  </si>
  <si>
    <t>変更内容</t>
  </si>
  <si>
    <t>承認者</t>
    <rPh sb="0" eb="3">
      <t>ショウニンシャ</t>
    </rPh>
    <phoneticPr fontId="7"/>
  </si>
  <si>
    <t>初版</t>
    <rPh sb="0" eb="2">
      <t>ショハン</t>
    </rPh>
    <phoneticPr fontId="7"/>
  </si>
  <si>
    <t>新規作成 (COPY: ZFIPR_2001_01)</t>
    <rPh sb="0" eb="2">
      <t>シンキ</t>
    </rPh>
    <rPh sb="2" eb="4">
      <t>サクセイ</t>
    </rPh>
    <phoneticPr fontId="7"/>
  </si>
  <si>
    <r>
      <t>File</t>
    </r>
    <r>
      <rPr>
        <sz val="9"/>
        <rFont val="ＭＳ Ｐゴシック"/>
        <family val="3"/>
        <charset val="128"/>
      </rPr>
      <t>定義</t>
    </r>
    <r>
      <rPr>
        <sz val="9"/>
        <rFont val="Helv"/>
        <family val="2"/>
      </rPr>
      <t>(</t>
    </r>
    <r>
      <rPr>
        <sz val="9"/>
        <rFont val="ＭＳ Ｐゴシック"/>
        <family val="3"/>
        <charset val="128"/>
      </rPr>
      <t>電手決済債務明細データ</t>
    </r>
    <r>
      <rPr>
        <sz val="9"/>
        <rFont val="Helv"/>
        <family val="2"/>
      </rPr>
      <t>)(1-1)</t>
    </r>
    <r>
      <rPr>
        <sz val="9"/>
        <rFont val="ＭＳ Ｐゴシック"/>
        <family val="3"/>
        <charset val="128"/>
      </rPr>
      <t>、</t>
    </r>
    <r>
      <rPr>
        <sz val="9"/>
        <rFont val="Helv"/>
        <family val="2"/>
      </rPr>
      <t>File</t>
    </r>
    <r>
      <rPr>
        <sz val="9"/>
        <rFont val="ＭＳ Ｐゴシック"/>
        <family val="3"/>
        <charset val="128"/>
      </rPr>
      <t>定義</t>
    </r>
    <r>
      <rPr>
        <sz val="9"/>
        <rFont val="Helv"/>
        <family val="2"/>
      </rPr>
      <t>(</t>
    </r>
    <r>
      <rPr>
        <sz val="9"/>
        <rFont val="ＭＳ Ｐゴシック"/>
        <family val="3"/>
        <charset val="128"/>
      </rPr>
      <t>電手決済債務明細データ</t>
    </r>
    <r>
      <rPr>
        <sz val="9"/>
        <rFont val="Helv"/>
        <family val="2"/>
      </rPr>
      <t>)(1-2)</t>
    </r>
    <phoneticPr fontId="7"/>
  </si>
  <si>
    <t>銀行仕様の改修</t>
    <rPh sb="0" eb="2">
      <t>ギンコウ</t>
    </rPh>
    <rPh sb="2" eb="4">
      <t>シヨウ</t>
    </rPh>
    <rPh sb="5" eb="7">
      <t>カイシュウ</t>
    </rPh>
    <phoneticPr fontId="7"/>
  </si>
  <si>
    <r>
      <rPr>
        <sz val="9"/>
        <color rgb="FFFF0000"/>
        <rFont val="ＭＳ Ｐゴシック"/>
        <family val="3"/>
        <charset val="128"/>
      </rPr>
      <t>処理詳細</t>
    </r>
    <r>
      <rPr>
        <sz val="9"/>
        <color rgb="FFFF0000"/>
        <rFont val="Helv"/>
        <family val="2"/>
      </rPr>
      <t>(3)</t>
    </r>
    <r>
      <rPr>
        <sz val="9"/>
        <color rgb="FFFF0000"/>
        <rFont val="ＭＳ Ｐゴシック"/>
        <family val="3"/>
        <charset val="128"/>
      </rPr>
      <t>、</t>
    </r>
    <r>
      <rPr>
        <sz val="9"/>
        <color rgb="FFFF0000"/>
        <rFont val="Helv"/>
        <family val="2"/>
      </rPr>
      <t>File</t>
    </r>
    <r>
      <rPr>
        <sz val="9"/>
        <color rgb="FFFF0000"/>
        <rFont val="ＭＳ Ｐゴシック"/>
        <family val="3"/>
        <charset val="128"/>
      </rPr>
      <t>定義</t>
    </r>
    <r>
      <rPr>
        <sz val="9"/>
        <color rgb="FFFF0000"/>
        <rFont val="Helv"/>
        <family val="2"/>
      </rPr>
      <t>(</t>
    </r>
    <r>
      <rPr>
        <sz val="9"/>
        <color rgb="FFFF0000"/>
        <rFont val="ＭＳ Ｐゴシック"/>
        <family val="3"/>
        <charset val="128"/>
      </rPr>
      <t>電手決済債務明細データ</t>
    </r>
    <r>
      <rPr>
        <sz val="9"/>
        <color rgb="FFFF0000"/>
        <rFont val="Helv"/>
        <family val="2"/>
      </rPr>
      <t>)(1-1)</t>
    </r>
    <r>
      <rPr>
        <sz val="9"/>
        <color rgb="FFFF0000"/>
        <rFont val="ＭＳ Ｐゴシック"/>
        <family val="3"/>
        <charset val="128"/>
      </rPr>
      <t>、</t>
    </r>
    <r>
      <rPr>
        <sz val="9"/>
        <color rgb="FFFF0000"/>
        <rFont val="Helv"/>
        <family val="2"/>
      </rPr>
      <t>File</t>
    </r>
    <r>
      <rPr>
        <sz val="9"/>
        <color rgb="FFFF0000"/>
        <rFont val="ＭＳ Ｐゴシック"/>
        <family val="3"/>
        <charset val="128"/>
      </rPr>
      <t>定義</t>
    </r>
    <r>
      <rPr>
        <sz val="9"/>
        <color rgb="FFFF0000"/>
        <rFont val="Helv"/>
        <family val="2"/>
      </rPr>
      <t>(</t>
    </r>
    <r>
      <rPr>
        <sz val="9"/>
        <color rgb="FFFF0000"/>
        <rFont val="ＭＳ Ｐゴシック"/>
        <family val="3"/>
        <charset val="128"/>
      </rPr>
      <t>電手決済債務明細データ</t>
    </r>
    <r>
      <rPr>
        <sz val="9"/>
        <color rgb="FFFF0000"/>
        <rFont val="Helv"/>
        <family val="2"/>
      </rPr>
      <t>)(1-2)</t>
    </r>
    <phoneticPr fontId="7"/>
  </si>
  <si>
    <t>サーバーファイル出力時、改行コードなしとする</t>
    <rPh sb="8" eb="10">
      <t>シュツリョク</t>
    </rPh>
    <rPh sb="10" eb="11">
      <t>ジ</t>
    </rPh>
    <rPh sb="12" eb="14">
      <t>カイギョウ</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</si>
</sst>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d\ h:mm\ AM/PM"/>
  </numFmts>
  <fonts count="38">
    <font>
      <sz val="10"/>
      <name val="Helv"/>
      <family val="2"/>
    </font>
    <font>
      <sz val="10"/>
      <name val="Helv"/>
      <family val="2"/>
    </font>
    <font>
      <sz val="10"/>
      <name val="ＭＳ Ｐゴシック"/>
      <family val="3"/>
      <charset val="128"/>
    </font>
    <font>
      <sz val="11"/>
      <name val="ＭＳ Ｐゴシック"/>
      <family val="3"/>
      <charset val="128"/>
    </font>
    <font>
      <sz val="9"/>
      <name val="ＭＳ Ｐゴシック"/>
      <family val="3"/>
      <charset val="128"/>
    </font>
    <font>
      <b/>
      <sz val="12"/>
      <name val="ＭＳ Ｐゴシック"/>
      <family val="3"/>
      <charset val="128"/>
    </font>
    <font>
      <b/>
      <sz val="9"/>
      <name val="ＭＳ Ｐゴシック"/>
      <family val="3"/>
      <charset val="128"/>
    </font>
    <font>
      <sz val="6"/>
      <name val="ＭＳ Ｐゴシック"/>
      <family val="3"/>
      <charset val="128"/>
    </font>
    <font>
      <sz val="9"/>
      <color indexed="10"/>
      <name val="ＭＳ Ｐゴシック"/>
      <family val="3"/>
      <charset val="128"/>
    </font>
    <font>
      <sz val="9"/>
      <name val="Helv"/>
      <family val="2"/>
    </font>
    <font>
      <sz val="9"/>
      <color indexed="81"/>
      <name val="ＭＳ Ｐゴシック"/>
      <family val="3"/>
      <charset val="128"/>
    </font>
    <font>
      <sz val="11"/>
      <color indexed="8"/>
      <name val="ＭＳ Ｐゴシック"/>
      <family val="3"/>
      <charset val="128"/>
    </font>
    <font>
      <sz val="9"/>
      <color indexed="8"/>
      <name val="ＭＳ Ｐゴシック"/>
      <family val="3"/>
      <charset val="128"/>
    </font>
    <font>
      <b/>
      <sz val="9"/>
      <color indexed="12"/>
      <name val="ＭＳ Ｐゴシック"/>
      <family val="3"/>
      <charset val="128"/>
    </font>
    <font>
      <sz val="9"/>
      <color indexed="8"/>
      <name val="ＭＳ ゴシック"/>
      <family val="3"/>
      <charset val="128"/>
    </font>
    <font>
      <u/>
      <sz val="10"/>
      <color indexed="12"/>
      <name val="ＭＳ 明朝"/>
      <family val="1"/>
      <charset val="128"/>
    </font>
    <font>
      <b/>
      <sz val="9"/>
      <color indexed="81"/>
      <name val="ＭＳ Ｐゴシック"/>
      <family val="3"/>
      <charset val="128"/>
    </font>
    <font>
      <strike/>
      <u/>
      <sz val="10"/>
      <color indexed="12"/>
      <name val="ＭＳ 明朝"/>
      <family val="1"/>
      <charset val="128"/>
    </font>
    <font>
      <b/>
      <vertAlign val="superscript"/>
      <sz val="9"/>
      <name val="ＭＳ Ｐゴシック"/>
      <family val="3"/>
      <charset val="128"/>
    </font>
    <font>
      <b/>
      <sz val="9"/>
      <name val="Helv"/>
      <family val="2"/>
    </font>
    <font>
      <sz val="8"/>
      <name val="ＭＳ Ｐゴシック"/>
      <family val="3"/>
      <charset val="128"/>
    </font>
    <font>
      <sz val="9"/>
      <color indexed="12"/>
      <name val="ＭＳ Ｐゴシック"/>
      <family val="3"/>
      <charset val="128"/>
    </font>
    <font>
      <b/>
      <sz val="10"/>
      <name val="ＭＳ Ｐゴシック"/>
      <family val="3"/>
      <charset val="128"/>
    </font>
    <font>
      <sz val="9"/>
      <name val="ＭＳ ゴシック"/>
      <family val="3"/>
      <charset val="128"/>
    </font>
    <font>
      <b/>
      <u/>
      <sz val="9"/>
      <name val="ＭＳ Ｐゴシック"/>
      <family val="3"/>
      <charset val="128"/>
    </font>
    <font>
      <b/>
      <u/>
      <sz val="10"/>
      <name val="ＭＳ Ｐゴシック"/>
      <family val="3"/>
      <charset val="128"/>
    </font>
    <font>
      <strike/>
      <sz val="9"/>
      <name val="ＭＳ Ｐゴシック"/>
      <family val="3"/>
      <charset val="128"/>
    </font>
    <font>
      <b/>
      <strike/>
      <sz val="9"/>
      <name val="ＭＳ Ｐゴシック"/>
      <family val="3"/>
      <charset val="128"/>
    </font>
    <font>
      <sz val="9"/>
      <color rgb="FFFF0000"/>
      <name val="ＭＳ Ｐゴシック"/>
      <family val="3"/>
      <charset val="128"/>
    </font>
    <font>
      <sz val="9"/>
      <color rgb="FFFF0000"/>
      <name val="Helv"/>
      <family val="2"/>
    </font>
    <font>
      <sz val="10"/>
      <color rgb="FFFF0000"/>
      <name val="Helv"/>
      <family val="2"/>
    </font>
    <font>
      <b/>
      <sz val="9"/>
      <color rgb="FFFF0000"/>
      <name val="ＭＳ Ｐゴシック"/>
      <family val="3"/>
      <charset val="128"/>
    </font>
    <font>
      <sz val="9"/>
      <color rgb="FFFF0000"/>
      <name val="ＭＳ ゴシック"/>
      <family val="3"/>
      <charset val="128"/>
    </font>
    <font>
      <strike/>
      <sz val="9"/>
      <color rgb="FFFF0000"/>
      <name val="ＭＳ ゴシック"/>
      <family val="3"/>
      <charset val="128"/>
    </font>
    <font>
      <sz val="9"/>
      <color rgb="FF000000"/>
      <name val="ＭＳ Ｐゴシック"/>
    </font>
    <font>
      <sz val="9"/>
      <color rgb="FF000000"/>
      <name val="ＭＳ ゴシック"/>
    </font>
    <font>
      <sz val="9"/>
      <color rgb="FF000000"/>
      <name val="ＭＳ Ｐゴシック"/>
      <family val="3"/>
      <charset val="128"/>
    </font>
    <font>
      <strike/>
      <sz val="9"/>
      <color rgb="FF000000"/>
      <name val="ＭＳ Ｐゴシック"/>
    </font>
  </fonts>
  <fills count="4">
    <fill>
      <patternFill patternType="none"/>
    </fill>
    <fill>
      <patternFill patternType="gray125"/>
    </fill>
    <fill>
      <patternFill patternType="solid">
        <fgColor indexed="22"/>
        <bgColor indexed="64"/>
      </patternFill>
    </fill>
    <fill>
      <patternFill patternType="solid">
        <fgColor indexed="47"/>
        <bgColor indexed="64"/>
      </patternFill>
    </fill>
  </fills>
  <borders count="103">
    <border>
      <left/>
      <right/>
      <top/>
      <bottom/>
      <diagonal/>
    </border>
    <border>
      <left/>
      <right/>
      <top/>
      <bottom style="medium">
        <color indexed="64"/>
      </bottom>
      <diagonal/>
    </border>
    <border>
      <left style="medium">
        <color indexed="64"/>
      </left>
      <right/>
      <top/>
      <bottom style="medium">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medium">
        <color indexed="64"/>
      </bottom>
      <diagonal/>
    </border>
    <border>
      <left/>
      <right style="double">
        <color indexed="64"/>
      </right>
      <top style="medium">
        <color indexed="64"/>
      </top>
      <bottom/>
      <diagonal/>
    </border>
    <border>
      <left style="double">
        <color indexed="64"/>
      </left>
      <right/>
      <top/>
      <bottom style="medium">
        <color indexed="64"/>
      </bottom>
      <diagonal/>
    </border>
    <border>
      <left/>
      <right style="double">
        <color indexed="64"/>
      </right>
      <top/>
      <bottom style="medium">
        <color indexed="64"/>
      </bottom>
      <diagonal/>
    </border>
    <border>
      <left/>
      <right style="double">
        <color indexed="64"/>
      </right>
      <top style="medium">
        <color indexed="64"/>
      </top>
      <bottom style="thin">
        <color indexed="64"/>
      </bottom>
      <diagonal/>
    </border>
    <border>
      <left/>
      <right style="double">
        <color indexed="64"/>
      </right>
      <top style="thin">
        <color indexed="64"/>
      </top>
      <bottom style="thin">
        <color indexed="64"/>
      </bottom>
      <diagonal/>
    </border>
    <border>
      <left/>
      <right style="double">
        <color indexed="64"/>
      </right>
      <top style="thin">
        <color indexed="64"/>
      </top>
      <bottom style="medium">
        <color indexed="64"/>
      </bottom>
      <diagonal/>
    </border>
    <border>
      <left style="double">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thin">
        <color indexed="64"/>
      </top>
      <bottom style="thin">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top style="medium">
        <color indexed="64"/>
      </top>
      <bottom style="double">
        <color indexed="64"/>
      </bottom>
      <diagonal/>
    </border>
    <border>
      <left style="thin">
        <color indexed="64"/>
      </left>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right/>
      <top/>
      <bottom style="double">
        <color indexed="64"/>
      </bottom>
      <diagonal/>
    </border>
    <border>
      <left/>
      <right style="medium">
        <color indexed="64"/>
      </right>
      <top/>
      <bottom style="double">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double">
        <color indexed="64"/>
      </left>
      <right/>
      <top/>
      <bottom style="thin">
        <color indexed="64"/>
      </bottom>
      <diagonal/>
    </border>
    <border>
      <left style="thin">
        <color indexed="64"/>
      </left>
      <right style="double">
        <color indexed="64"/>
      </right>
      <top/>
      <bottom style="thin">
        <color indexed="64"/>
      </bottom>
      <diagonal/>
    </border>
    <border>
      <left/>
      <right style="double">
        <color indexed="64"/>
      </right>
      <top/>
      <bottom style="thin">
        <color indexed="64"/>
      </bottom>
      <diagonal/>
    </border>
    <border>
      <left style="medium">
        <color indexed="64"/>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style="dashed">
        <color indexed="64"/>
      </left>
      <right style="dashed">
        <color indexed="64"/>
      </right>
      <top style="thin">
        <color indexed="64"/>
      </top>
      <bottom/>
      <diagonal/>
    </border>
    <border>
      <left style="dashed">
        <color indexed="64"/>
      </left>
      <right style="dashed">
        <color indexed="64"/>
      </right>
      <top/>
      <bottom/>
      <diagonal/>
    </border>
    <border>
      <left style="dashed">
        <color indexed="64"/>
      </left>
      <right style="dashed">
        <color indexed="64"/>
      </right>
      <top/>
      <bottom style="thin">
        <color indexed="64"/>
      </bottom>
      <diagonal/>
    </border>
    <border>
      <left style="dashed">
        <color indexed="64"/>
      </left>
      <right/>
      <top/>
      <bottom style="thin">
        <color indexed="64"/>
      </bottom>
      <diagonal/>
    </border>
    <border>
      <left/>
      <right style="dashed">
        <color indexed="64"/>
      </right>
      <top/>
      <bottom style="thin">
        <color indexed="64"/>
      </bottom>
      <diagonal/>
    </border>
    <border>
      <left style="dashed">
        <color indexed="64"/>
      </left>
      <right/>
      <top/>
      <bottom style="medium">
        <color indexed="64"/>
      </bottom>
      <diagonal/>
    </border>
    <border>
      <left/>
      <right style="dashed">
        <color indexed="64"/>
      </right>
      <top/>
      <bottom style="medium">
        <color indexed="64"/>
      </bottom>
      <diagonal/>
    </border>
    <border>
      <left style="dashed">
        <color indexed="64"/>
      </left>
      <right style="dashed">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dashed">
        <color indexed="64"/>
      </left>
      <right/>
      <top/>
      <bottom/>
      <diagonal/>
    </border>
    <border>
      <left/>
      <right style="dashed">
        <color indexed="64"/>
      </right>
      <top/>
      <bottom/>
      <diagonal/>
    </border>
    <border>
      <left style="dashed">
        <color indexed="64"/>
      </left>
      <right/>
      <top style="thin">
        <color indexed="64"/>
      </top>
      <bottom/>
      <diagonal/>
    </border>
    <border>
      <left/>
      <right style="dashed">
        <color indexed="64"/>
      </right>
      <top style="thin">
        <color indexed="64"/>
      </top>
      <bottom/>
      <diagonal/>
    </border>
    <border>
      <left/>
      <right style="medium">
        <color indexed="64"/>
      </right>
      <top style="double">
        <color indexed="64"/>
      </top>
      <bottom/>
      <diagonal/>
    </border>
    <border>
      <left style="medium">
        <color indexed="64"/>
      </left>
      <right/>
      <top style="double">
        <color indexed="64"/>
      </top>
      <bottom/>
      <diagonal/>
    </border>
  </borders>
  <cellStyleXfs count="8">
    <xf numFmtId="0" fontId="0" fillId="0" borderId="0"/>
    <xf numFmtId="0" fontId="15"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0" fontId="3" fillId="0" borderId="0"/>
  </cellStyleXfs>
  <cellXfs count="875">
    <xf numFmtId="0" fontId="0" fillId="0" borderId="0" xfId="0"/>
    <xf numFmtId="0" fontId="4" fillId="0" borderId="1" xfId="5" applyFont="1" applyBorder="1" applyAlignment="1">
      <alignment vertical="center"/>
    </xf>
    <xf numFmtId="0" fontId="4" fillId="0" borderId="0" xfId="5" applyFont="1" applyAlignment="1">
      <alignment vertical="center"/>
    </xf>
    <xf numFmtId="0" fontId="4" fillId="0" borderId="0" xfId="5" applyFont="1" applyAlignment="1">
      <alignment horizontal="left" vertical="center"/>
    </xf>
    <xf numFmtId="0" fontId="4" fillId="0" borderId="2" xfId="5" applyFont="1" applyBorder="1" applyAlignment="1">
      <alignment vertical="center"/>
    </xf>
    <xf numFmtId="0" fontId="4" fillId="0" borderId="3" xfId="5" applyFont="1" applyBorder="1" applyAlignment="1">
      <alignment vertical="center"/>
    </xf>
    <xf numFmtId="0" fontId="4" fillId="0" borderId="4" xfId="5" applyFont="1" applyBorder="1" applyAlignment="1">
      <alignment vertical="center"/>
    </xf>
    <xf numFmtId="0" fontId="4" fillId="0" borderId="0" xfId="5" applyFont="1" applyAlignment="1">
      <alignment horizontal="centerContinuous" vertical="center"/>
    </xf>
    <xf numFmtId="0" fontId="4" fillId="0" borderId="0" xfId="5" quotePrefix="1" applyFont="1" applyAlignment="1">
      <alignment vertical="center"/>
    </xf>
    <xf numFmtId="0" fontId="4" fillId="0" borderId="4" xfId="5" quotePrefix="1" applyFont="1" applyBorder="1" applyAlignment="1">
      <alignment vertical="center"/>
    </xf>
    <xf numFmtId="0" fontId="4" fillId="0" borderId="0" xfId="5" quotePrefix="1" applyFont="1" applyAlignment="1">
      <alignment horizontal="centerContinuous" vertical="center"/>
    </xf>
    <xf numFmtId="0" fontId="4" fillId="0" borderId="5" xfId="5" applyFont="1" applyBorder="1" applyAlignment="1">
      <alignment vertical="center"/>
    </xf>
    <xf numFmtId="0" fontId="4" fillId="0" borderId="6" xfId="5" applyFont="1" applyBorder="1" applyAlignment="1">
      <alignment vertical="center"/>
    </xf>
    <xf numFmtId="0" fontId="4" fillId="0" borderId="0" xfId="5" applyFont="1" applyAlignment="1">
      <alignment horizontal="center" vertical="center"/>
    </xf>
    <xf numFmtId="0" fontId="4" fillId="0" borderId="7" xfId="5" applyFont="1" applyBorder="1" applyAlignment="1">
      <alignment vertical="center"/>
    </xf>
    <xf numFmtId="0" fontId="6" fillId="0" borderId="0" xfId="5" applyFont="1" applyAlignment="1">
      <alignment vertical="center"/>
    </xf>
    <xf numFmtId="0" fontId="4" fillId="2" borderId="3" xfId="5" applyFont="1" applyFill="1" applyBorder="1" applyAlignment="1">
      <alignment vertical="center"/>
    </xf>
    <xf numFmtId="0" fontId="4" fillId="2" borderId="6" xfId="5" applyFont="1" applyFill="1" applyBorder="1" applyAlignment="1">
      <alignment vertical="center"/>
    </xf>
    <xf numFmtId="0" fontId="4" fillId="2" borderId="0" xfId="5" applyFont="1" applyFill="1" applyAlignment="1">
      <alignment vertical="center"/>
    </xf>
    <xf numFmtId="0" fontId="4" fillId="2" borderId="5" xfId="5" applyFont="1" applyFill="1" applyBorder="1" applyAlignment="1">
      <alignment vertical="center"/>
    </xf>
    <xf numFmtId="0" fontId="4" fillId="2" borderId="7" xfId="5" applyFont="1" applyFill="1" applyBorder="1" applyAlignment="1">
      <alignment vertical="center"/>
    </xf>
    <xf numFmtId="0" fontId="6" fillId="2" borderId="6" xfId="5" applyFont="1" applyFill="1" applyBorder="1" applyAlignment="1">
      <alignment vertical="center"/>
    </xf>
    <xf numFmtId="0" fontId="4" fillId="0" borderId="8" xfId="5" applyFont="1" applyBorder="1" applyAlignment="1">
      <alignment vertical="center"/>
    </xf>
    <xf numFmtId="0" fontId="4" fillId="0" borderId="0" xfId="5" applyFont="1" applyProtection="1">
      <protection locked="0"/>
    </xf>
    <xf numFmtId="0" fontId="11" fillId="0" borderId="0" xfId="5" applyFont="1" applyAlignment="1">
      <alignment vertical="center"/>
    </xf>
    <xf numFmtId="0" fontId="11" fillId="0" borderId="4" xfId="5" applyFont="1" applyBorder="1" applyAlignment="1">
      <alignment vertical="center"/>
    </xf>
    <xf numFmtId="0" fontId="4" fillId="0" borderId="4" xfId="5" applyFont="1" applyBorder="1" applyAlignment="1">
      <alignment horizontal="left" vertical="center"/>
    </xf>
    <xf numFmtId="0" fontId="4" fillId="0" borderId="4" xfId="5" applyFont="1" applyBorder="1" applyAlignment="1">
      <alignment horizontal="center" vertical="center"/>
    </xf>
    <xf numFmtId="0" fontId="12" fillId="0" borderId="0" xfId="5" applyFont="1" applyAlignment="1">
      <alignment vertical="center"/>
    </xf>
    <xf numFmtId="0" fontId="4" fillId="0" borderId="1" xfId="5" applyFont="1" applyBorder="1" applyAlignment="1">
      <alignment horizontal="centerContinuous" vertical="center"/>
    </xf>
    <xf numFmtId="0" fontId="4" fillId="0" borderId="9" xfId="5" applyFont="1" applyBorder="1" applyAlignment="1">
      <alignment vertical="center"/>
    </xf>
    <xf numFmtId="0" fontId="6" fillId="2" borderId="10" xfId="5" applyFont="1" applyFill="1" applyBorder="1" applyAlignment="1">
      <alignment vertical="center"/>
    </xf>
    <xf numFmtId="0" fontId="4" fillId="2" borderId="11" xfId="5" applyFont="1" applyFill="1" applyBorder="1" applyAlignment="1">
      <alignment vertical="center"/>
    </xf>
    <xf numFmtId="0" fontId="6" fillId="2" borderId="8" xfId="5" applyFont="1" applyFill="1" applyBorder="1" applyAlignment="1">
      <alignment vertical="center"/>
    </xf>
    <xf numFmtId="0" fontId="4" fillId="2" borderId="12" xfId="5" applyFont="1" applyFill="1" applyBorder="1" applyAlignment="1">
      <alignment vertical="center"/>
    </xf>
    <xf numFmtId="0" fontId="4" fillId="2" borderId="13" xfId="5" applyFont="1" applyFill="1" applyBorder="1" applyAlignment="1">
      <alignment vertical="center"/>
    </xf>
    <xf numFmtId="0" fontId="4" fillId="2" borderId="14" xfId="5" applyFont="1" applyFill="1" applyBorder="1" applyAlignment="1">
      <alignment vertical="center"/>
    </xf>
    <xf numFmtId="0" fontId="4" fillId="2" borderId="4" xfId="5" applyFont="1" applyFill="1" applyBorder="1" applyAlignment="1">
      <alignment vertical="center"/>
    </xf>
    <xf numFmtId="0" fontId="4" fillId="2" borderId="15" xfId="5" applyFont="1" applyFill="1" applyBorder="1" applyAlignment="1">
      <alignment vertical="center"/>
    </xf>
    <xf numFmtId="0" fontId="4" fillId="0" borderId="14" xfId="5" applyFont="1" applyBorder="1" applyAlignment="1">
      <alignment vertical="center"/>
    </xf>
    <xf numFmtId="0" fontId="4" fillId="0" borderId="15" xfId="5" applyFont="1" applyBorder="1" applyAlignment="1">
      <alignment vertical="center"/>
    </xf>
    <xf numFmtId="0" fontId="6" fillId="2" borderId="12" xfId="5" applyFont="1" applyFill="1" applyBorder="1" applyAlignment="1">
      <alignment vertical="center"/>
    </xf>
    <xf numFmtId="0" fontId="6" fillId="2" borderId="13" xfId="5" applyFont="1" applyFill="1" applyBorder="1" applyAlignment="1">
      <alignment vertical="center"/>
    </xf>
    <xf numFmtId="0" fontId="12" fillId="0" borderId="0" xfId="5" applyFont="1" applyAlignment="1">
      <alignment horizontal="centerContinuous" vertical="center"/>
    </xf>
    <xf numFmtId="0" fontId="4" fillId="0" borderId="4" xfId="5" applyFont="1" applyBorder="1" applyAlignment="1">
      <alignment horizontal="centerContinuous" vertical="center"/>
    </xf>
    <xf numFmtId="0" fontId="4" fillId="0" borderId="4" xfId="5" quotePrefix="1" applyFont="1" applyBorder="1" applyAlignment="1">
      <alignment horizontal="centerContinuous" vertical="center"/>
    </xf>
    <xf numFmtId="0" fontId="4" fillId="0" borderId="16" xfId="5" applyFont="1" applyBorder="1" applyAlignment="1">
      <alignment vertical="center"/>
    </xf>
    <xf numFmtId="0" fontId="6" fillId="2" borderId="17" xfId="5" applyFont="1" applyFill="1" applyBorder="1" applyAlignment="1">
      <alignment horizontal="left" vertical="center"/>
    </xf>
    <xf numFmtId="0" fontId="4" fillId="2" borderId="9" xfId="5" applyFont="1" applyFill="1" applyBorder="1" applyAlignment="1">
      <alignment vertical="center"/>
    </xf>
    <xf numFmtId="0" fontId="4" fillId="0" borderId="18" xfId="5" applyFont="1" applyBorder="1" applyAlignment="1">
      <alignment vertical="center"/>
    </xf>
    <xf numFmtId="0" fontId="4" fillId="2" borderId="19" xfId="5" applyFont="1" applyFill="1" applyBorder="1" applyAlignment="1">
      <alignment vertical="center"/>
    </xf>
    <xf numFmtId="0" fontId="4" fillId="0" borderId="20" xfId="5" applyFont="1" applyBorder="1" applyAlignment="1">
      <alignment vertical="center"/>
    </xf>
    <xf numFmtId="0" fontId="6" fillId="2" borderId="21" xfId="5" applyFont="1" applyFill="1" applyBorder="1" applyAlignment="1">
      <alignment vertical="center"/>
    </xf>
    <xf numFmtId="0" fontId="12" fillId="0" borderId="9" xfId="5" applyFont="1" applyBorder="1" applyAlignment="1">
      <alignment vertical="center"/>
    </xf>
    <xf numFmtId="0" fontId="4" fillId="0" borderId="19" xfId="5" applyFont="1" applyBorder="1" applyAlignment="1">
      <alignment vertical="center"/>
    </xf>
    <xf numFmtId="0" fontId="9" fillId="0" borderId="0" xfId="0" applyFont="1" applyAlignment="1">
      <alignment vertical="center"/>
    </xf>
    <xf numFmtId="0" fontId="4" fillId="0" borderId="22" xfId="5" applyFont="1" applyBorder="1" applyAlignment="1">
      <alignment vertical="center"/>
    </xf>
    <xf numFmtId="0" fontId="6" fillId="2" borderId="23" xfId="5" applyFont="1" applyFill="1" applyBorder="1" applyAlignment="1">
      <alignment vertical="center"/>
    </xf>
    <xf numFmtId="0" fontId="4" fillId="2" borderId="24" xfId="5" applyFont="1" applyFill="1" applyBorder="1" applyAlignment="1">
      <alignment vertical="center"/>
    </xf>
    <xf numFmtId="0" fontId="4" fillId="0" borderId="0" xfId="5" applyFont="1" applyAlignment="1">
      <alignment horizontal="left" vertical="center" indent="1"/>
    </xf>
    <xf numFmtId="0" fontId="6" fillId="2" borderId="11" xfId="5" applyFont="1" applyFill="1" applyBorder="1" applyAlignment="1">
      <alignment vertical="center"/>
    </xf>
    <xf numFmtId="0" fontId="4" fillId="0" borderId="0" xfId="0" applyFont="1" applyAlignment="1">
      <alignment vertical="top"/>
    </xf>
    <xf numFmtId="0" fontId="4" fillId="0" borderId="0" xfId="0" applyFont="1" applyAlignment="1">
      <alignment vertical="center"/>
    </xf>
    <xf numFmtId="0" fontId="4" fillId="2" borderId="25" xfId="0" applyFont="1" applyFill="1" applyBorder="1" applyAlignment="1">
      <alignment vertical="center"/>
    </xf>
    <xf numFmtId="0" fontId="4" fillId="2" borderId="26" xfId="0" applyFont="1" applyFill="1" applyBorder="1" applyAlignment="1">
      <alignment vertical="center"/>
    </xf>
    <xf numFmtId="0" fontId="4" fillId="0" borderId="27" xfId="0" applyFont="1" applyBorder="1" applyAlignment="1">
      <alignment vertical="center"/>
    </xf>
    <xf numFmtId="0" fontId="4" fillId="0" borderId="28" xfId="0" applyFont="1" applyBorder="1" applyAlignment="1">
      <alignment vertical="center"/>
    </xf>
    <xf numFmtId="0" fontId="4" fillId="0" borderId="12" xfId="0" applyFont="1" applyBorder="1" applyAlignment="1">
      <alignment vertical="center"/>
    </xf>
    <xf numFmtId="0" fontId="4" fillId="0" borderId="29" xfId="0" applyFont="1" applyBorder="1" applyAlignment="1">
      <alignment vertical="center"/>
    </xf>
    <xf numFmtId="0" fontId="4" fillId="0" borderId="12" xfId="0" applyFont="1" applyBorder="1" applyAlignment="1">
      <alignment vertical="center" wrapText="1"/>
    </xf>
    <xf numFmtId="0" fontId="4" fillId="0" borderId="30" xfId="0" applyFont="1" applyBorder="1" applyAlignment="1">
      <alignment vertical="center"/>
    </xf>
    <xf numFmtId="0" fontId="4" fillId="0" borderId="31" xfId="0" applyFont="1" applyBorder="1" applyAlignment="1">
      <alignment vertical="center"/>
    </xf>
    <xf numFmtId="0" fontId="6" fillId="2" borderId="1" xfId="0" applyFont="1" applyFill="1" applyBorder="1" applyAlignment="1">
      <alignment horizontal="centerContinuous" vertical="center"/>
    </xf>
    <xf numFmtId="0" fontId="4" fillId="2" borderId="1" xfId="0" applyFont="1" applyFill="1" applyBorder="1" applyAlignment="1">
      <alignment horizontal="centerContinuous" vertical="center"/>
    </xf>
    <xf numFmtId="0" fontId="6" fillId="2" borderId="22" xfId="0" applyFont="1" applyFill="1" applyBorder="1" applyAlignment="1">
      <alignment horizontal="centerContinuous" vertical="center"/>
    </xf>
    <xf numFmtId="0" fontId="6" fillId="2" borderId="24" xfId="5" applyFont="1" applyFill="1" applyBorder="1" applyAlignment="1">
      <alignment vertical="center"/>
    </xf>
    <xf numFmtId="0" fontId="6" fillId="2" borderId="27" xfId="0" applyFont="1" applyFill="1" applyBorder="1" applyAlignment="1">
      <alignment horizontal="centerContinuous" vertical="center"/>
    </xf>
    <xf numFmtId="0" fontId="4" fillId="0" borderId="32" xfId="0" applyFont="1" applyBorder="1" applyAlignment="1">
      <alignment horizontal="center" vertical="center"/>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6" fillId="2" borderId="35" xfId="0" applyFont="1" applyFill="1" applyBorder="1" applyAlignment="1">
      <alignment horizontal="centerContinuous"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0" fontId="4" fillId="0" borderId="38" xfId="0" applyFont="1" applyBorder="1" applyAlignment="1">
      <alignment horizontal="center" vertical="center"/>
    </xf>
    <xf numFmtId="0" fontId="4" fillId="0" borderId="27" xfId="0" applyFont="1" applyBorder="1" applyAlignment="1">
      <alignment horizontal="center" vertical="center"/>
    </xf>
    <xf numFmtId="0" fontId="4" fillId="0" borderId="12" xfId="0" applyFont="1" applyBorder="1" applyAlignment="1">
      <alignment horizontal="center" vertical="center"/>
    </xf>
    <xf numFmtId="0" fontId="4" fillId="2" borderId="39" xfId="0" applyFont="1" applyFill="1" applyBorder="1" applyAlignment="1">
      <alignment vertical="center"/>
    </xf>
    <xf numFmtId="0" fontId="6" fillId="2" borderId="40" xfId="0" applyFont="1" applyFill="1" applyBorder="1" applyAlignment="1">
      <alignment horizontal="centerContinuous" vertical="center"/>
    </xf>
    <xf numFmtId="0" fontId="6" fillId="2" borderId="41" xfId="0" applyFont="1" applyFill="1" applyBorder="1" applyAlignment="1">
      <alignment horizontal="centerContinuous" vertical="center"/>
    </xf>
    <xf numFmtId="0" fontId="4" fillId="0" borderId="42" xfId="0" applyFont="1" applyBorder="1" applyAlignment="1">
      <alignment vertical="center"/>
    </xf>
    <xf numFmtId="0" fontId="4" fillId="0" borderId="43" xfId="0" applyFont="1" applyBorder="1" applyAlignment="1">
      <alignment vertical="center"/>
    </xf>
    <xf numFmtId="0" fontId="4" fillId="0" borderId="43" xfId="0" applyFont="1" applyBorder="1" applyAlignment="1">
      <alignment vertical="center" wrapText="1"/>
    </xf>
    <xf numFmtId="0" fontId="4" fillId="0" borderId="44" xfId="0" applyFont="1" applyBorder="1" applyAlignment="1">
      <alignment vertical="center"/>
    </xf>
    <xf numFmtId="0" fontId="4" fillId="0" borderId="0" xfId="0" applyFont="1" applyAlignment="1">
      <alignment horizontal="right" vertical="top"/>
    </xf>
    <xf numFmtId="0" fontId="4" fillId="2" borderId="45" xfId="0" applyFont="1" applyFill="1" applyBorder="1" applyAlignment="1">
      <alignment horizontal="right" vertical="center"/>
    </xf>
    <xf numFmtId="0" fontId="4" fillId="0" borderId="35" xfId="0" quotePrefix="1" applyFont="1" applyBorder="1" applyAlignment="1">
      <alignment horizontal="right" vertical="center"/>
    </xf>
    <xf numFmtId="0" fontId="4" fillId="0" borderId="36" xfId="0" quotePrefix="1" applyFont="1" applyBorder="1" applyAlignment="1">
      <alignment horizontal="right" vertical="center"/>
    </xf>
    <xf numFmtId="0" fontId="4" fillId="0" borderId="38" xfId="0" quotePrefix="1" applyFont="1" applyBorder="1" applyAlignment="1">
      <alignment horizontal="right" vertical="center"/>
    </xf>
    <xf numFmtId="0" fontId="4" fillId="0" borderId="0" xfId="0" applyFont="1" applyAlignment="1">
      <alignment horizontal="right" vertical="center"/>
    </xf>
    <xf numFmtId="0" fontId="4" fillId="0" borderId="25" xfId="5" applyFont="1" applyBorder="1" applyAlignment="1" applyProtection="1">
      <alignment vertical="center"/>
      <protection locked="0"/>
    </xf>
    <xf numFmtId="0" fontId="4" fillId="0" borderId="0" xfId="5" applyFont="1" applyAlignment="1" applyProtection="1">
      <alignment vertical="center"/>
      <protection locked="0"/>
    </xf>
    <xf numFmtId="0" fontId="4" fillId="0" borderId="9" xfId="5" applyFont="1" applyBorder="1" applyAlignment="1" applyProtection="1">
      <alignment vertical="center"/>
      <protection locked="0"/>
    </xf>
    <xf numFmtId="0" fontId="4" fillId="2" borderId="12" xfId="5" applyFont="1" applyFill="1" applyBorder="1" applyAlignment="1" applyProtection="1">
      <alignment vertical="center"/>
      <protection locked="0"/>
    </xf>
    <xf numFmtId="0" fontId="4" fillId="0" borderId="1" xfId="5" applyFont="1" applyBorder="1" applyAlignment="1" applyProtection="1">
      <alignment vertical="center"/>
      <protection locked="0"/>
    </xf>
    <xf numFmtId="0" fontId="4" fillId="0" borderId="1" xfId="5" applyFont="1" applyBorder="1" applyProtection="1">
      <protection locked="0"/>
    </xf>
    <xf numFmtId="0" fontId="6" fillId="2" borderId="46" xfId="5" applyFont="1" applyFill="1" applyBorder="1" applyAlignment="1" applyProtection="1">
      <alignment vertical="center"/>
      <protection locked="0"/>
    </xf>
    <xf numFmtId="0" fontId="4" fillId="0" borderId="18" xfId="5" applyFont="1" applyBorder="1" applyAlignment="1" applyProtection="1">
      <alignment vertical="center"/>
      <protection locked="0"/>
    </xf>
    <xf numFmtId="0" fontId="6" fillId="2" borderId="21" xfId="5" applyFont="1" applyFill="1" applyBorder="1" applyAlignment="1" applyProtection="1">
      <alignment vertical="center"/>
      <protection locked="0"/>
    </xf>
    <xf numFmtId="0" fontId="4" fillId="0" borderId="47" xfId="5" applyFont="1" applyBorder="1" applyAlignment="1">
      <alignment vertical="center"/>
    </xf>
    <xf numFmtId="0" fontId="4" fillId="0" borderId="25" xfId="5" applyFont="1" applyBorder="1" applyAlignment="1">
      <alignment vertical="center"/>
    </xf>
    <xf numFmtId="0" fontId="6" fillId="2" borderId="48" xfId="5" applyFont="1" applyFill="1" applyBorder="1" applyAlignment="1">
      <alignment vertical="center"/>
    </xf>
    <xf numFmtId="0" fontId="4" fillId="2" borderId="25" xfId="5" applyFont="1" applyFill="1" applyBorder="1" applyAlignment="1">
      <alignment vertical="center"/>
    </xf>
    <xf numFmtId="0" fontId="4" fillId="2" borderId="49" xfId="5" applyFont="1" applyFill="1" applyBorder="1" applyAlignment="1">
      <alignment horizontal="left" vertical="center"/>
    </xf>
    <xf numFmtId="14" fontId="4" fillId="2" borderId="49" xfId="4" applyNumberFormat="1" applyFont="1" applyFill="1" applyBorder="1" applyAlignment="1">
      <alignment horizontal="centerContinuous" vertical="center"/>
    </xf>
    <xf numFmtId="14" fontId="4" fillId="2" borderId="25" xfId="5" applyNumberFormat="1" applyFont="1" applyFill="1" applyBorder="1" applyAlignment="1">
      <alignment horizontal="left" vertical="center"/>
    </xf>
    <xf numFmtId="14" fontId="4" fillId="2" borderId="49" xfId="5" applyNumberFormat="1" applyFont="1" applyFill="1" applyBorder="1" applyAlignment="1">
      <alignment horizontal="left" vertical="center"/>
    </xf>
    <xf numFmtId="0" fontId="6" fillId="2" borderId="50" xfId="5" applyFont="1" applyFill="1" applyBorder="1" applyAlignment="1">
      <alignment vertical="center"/>
    </xf>
    <xf numFmtId="0" fontId="4" fillId="2" borderId="13" xfId="5" applyFont="1" applyFill="1" applyBorder="1" applyAlignment="1">
      <alignment horizontal="left" vertical="center"/>
    </xf>
    <xf numFmtId="14" fontId="4" fillId="2" borderId="13" xfId="5" applyNumberFormat="1" applyFont="1" applyFill="1" applyBorder="1" applyAlignment="1">
      <alignment horizontal="centerContinuous" vertical="center"/>
    </xf>
    <xf numFmtId="14" fontId="4" fillId="2" borderId="12" xfId="5" applyNumberFormat="1" applyFont="1" applyFill="1" applyBorder="1" applyAlignment="1">
      <alignment horizontal="left" vertical="center"/>
    </xf>
    <xf numFmtId="0" fontId="4" fillId="2" borderId="12" xfId="5" applyFont="1" applyFill="1" applyBorder="1" applyAlignment="1">
      <alignment horizontal="left" vertical="center"/>
    </xf>
    <xf numFmtId="0" fontId="4" fillId="0" borderId="51" xfId="5" applyFont="1" applyBorder="1" applyAlignment="1">
      <alignment vertical="center"/>
    </xf>
    <xf numFmtId="0" fontId="6" fillId="2" borderId="52" xfId="5" applyFont="1" applyFill="1" applyBorder="1" applyAlignment="1">
      <alignment vertical="center"/>
    </xf>
    <xf numFmtId="0" fontId="4" fillId="2" borderId="30" xfId="5" applyFont="1" applyFill="1" applyBorder="1" applyAlignment="1">
      <alignment vertical="center"/>
    </xf>
    <xf numFmtId="0" fontId="4" fillId="2" borderId="53" xfId="5" applyFont="1" applyFill="1" applyBorder="1" applyAlignment="1">
      <alignment horizontal="left" vertical="center"/>
    </xf>
    <xf numFmtId="14" fontId="4" fillId="2" borderId="53" xfId="5" applyNumberFormat="1" applyFont="1" applyFill="1" applyBorder="1" applyAlignment="1">
      <alignment horizontal="left" vertical="center"/>
    </xf>
    <xf numFmtId="0" fontId="4" fillId="0" borderId="1" xfId="5" applyFont="1" applyBorder="1"/>
    <xf numFmtId="0" fontId="4" fillId="2" borderId="11" xfId="5" applyFont="1" applyFill="1" applyBorder="1"/>
    <xf numFmtId="0" fontId="4" fillId="2" borderId="24" xfId="5" applyFont="1" applyFill="1" applyBorder="1"/>
    <xf numFmtId="0" fontId="4" fillId="0" borderId="0" xfId="5" applyFont="1"/>
    <xf numFmtId="0" fontId="4" fillId="0" borderId="0" xfId="5" quotePrefix="1" applyFont="1" applyProtection="1">
      <protection locked="0"/>
    </xf>
    <xf numFmtId="0" fontId="6" fillId="0" borderId="0" xfId="5" applyFont="1" applyAlignment="1" applyProtection="1">
      <alignment horizontal="center" vertical="center"/>
      <protection locked="0"/>
    </xf>
    <xf numFmtId="0" fontId="4" fillId="2" borderId="26" xfId="7" applyFont="1" applyFill="1" applyBorder="1" applyAlignment="1" applyProtection="1">
      <alignment horizontal="centerContinuous" vertical="center"/>
      <protection locked="0"/>
    </xf>
    <xf numFmtId="0" fontId="4" fillId="2" borderId="27" xfId="5" applyFont="1" applyFill="1" applyBorder="1" applyProtection="1">
      <protection locked="0"/>
    </xf>
    <xf numFmtId="0" fontId="6" fillId="2" borderId="54" xfId="5" applyFont="1" applyFill="1" applyBorder="1" applyAlignment="1" applyProtection="1">
      <alignment horizontal="centerContinuous" vertical="center"/>
      <protection locked="0"/>
    </xf>
    <xf numFmtId="0" fontId="6" fillId="2" borderId="55" xfId="5" applyFont="1" applyFill="1" applyBorder="1" applyAlignment="1" applyProtection="1">
      <alignment horizontal="centerContinuous" vertical="center"/>
      <protection locked="0"/>
    </xf>
    <xf numFmtId="0" fontId="4" fillId="0" borderId="18" xfId="5" applyFont="1" applyBorder="1" applyProtection="1">
      <protection locked="0"/>
    </xf>
    <xf numFmtId="0" fontId="4" fillId="0" borderId="0" xfId="5" applyFont="1" applyAlignment="1" applyProtection="1">
      <alignment horizontal="left"/>
      <protection locked="0"/>
    </xf>
    <xf numFmtId="0" fontId="4" fillId="0" borderId="0" xfId="5" applyFont="1" applyAlignment="1" applyProtection="1">
      <alignment horizontal="centerContinuous"/>
      <protection locked="0"/>
    </xf>
    <xf numFmtId="0" fontId="4" fillId="0" borderId="4" xfId="5" applyFont="1" applyBorder="1" applyProtection="1">
      <protection locked="0"/>
    </xf>
    <xf numFmtId="0" fontId="4" fillId="0" borderId="3" xfId="5" applyFont="1" applyBorder="1" applyProtection="1">
      <protection locked="0"/>
    </xf>
    <xf numFmtId="0" fontId="6" fillId="2" borderId="56" xfId="5" applyFont="1" applyFill="1" applyBorder="1" applyAlignment="1" applyProtection="1">
      <alignment horizontal="centerContinuous" vertical="center"/>
      <protection locked="0"/>
    </xf>
    <xf numFmtId="0" fontId="4" fillId="0" borderId="22" xfId="5" applyFont="1" applyBorder="1" applyProtection="1">
      <protection locked="0"/>
    </xf>
    <xf numFmtId="0" fontId="6" fillId="2" borderId="57" xfId="0" applyFont="1" applyFill="1" applyBorder="1" applyAlignment="1" applyProtection="1">
      <alignment horizontal="centerContinuous" vertical="center"/>
      <protection locked="0"/>
    </xf>
    <xf numFmtId="0" fontId="6" fillId="2" borderId="58" xfId="0" applyFont="1" applyFill="1" applyBorder="1" applyAlignment="1" applyProtection="1">
      <alignment horizontal="centerContinuous" vertical="center"/>
      <protection locked="0"/>
    </xf>
    <xf numFmtId="0" fontId="6" fillId="0" borderId="0" xfId="5" applyFont="1" applyAlignment="1" applyProtection="1">
      <alignment vertical="center"/>
      <protection locked="0"/>
    </xf>
    <xf numFmtId="0" fontId="4" fillId="0" borderId="25" xfId="5" applyFont="1" applyBorder="1" applyProtection="1">
      <protection locked="0"/>
    </xf>
    <xf numFmtId="0" fontId="4" fillId="0" borderId="6" xfId="5" applyFont="1" applyBorder="1" applyProtection="1">
      <protection locked="0"/>
    </xf>
    <xf numFmtId="0" fontId="4" fillId="0" borderId="0" xfId="5" quotePrefix="1" applyFont="1" applyAlignment="1" applyProtection="1">
      <alignment horizontal="centerContinuous"/>
      <protection locked="0"/>
    </xf>
    <xf numFmtId="0" fontId="6" fillId="2" borderId="12" xfId="5" applyFont="1" applyFill="1" applyBorder="1" applyProtection="1">
      <protection locked="0"/>
    </xf>
    <xf numFmtId="0" fontId="4" fillId="0" borderId="1" xfId="5" quotePrefix="1" applyFont="1" applyBorder="1" applyProtection="1">
      <protection locked="0"/>
    </xf>
    <xf numFmtId="0" fontId="6" fillId="2" borderId="59" xfId="5" applyFont="1" applyFill="1" applyBorder="1" applyAlignment="1" applyProtection="1">
      <alignment vertical="center"/>
      <protection locked="0"/>
    </xf>
    <xf numFmtId="0" fontId="4" fillId="2" borderId="32" xfId="5" applyFont="1" applyFill="1" applyBorder="1" applyAlignment="1" applyProtection="1">
      <alignment vertical="center"/>
      <protection locked="0"/>
    </xf>
    <xf numFmtId="0" fontId="4" fillId="2" borderId="13" xfId="5" applyFont="1" applyFill="1" applyBorder="1" applyAlignment="1" applyProtection="1">
      <alignment vertical="center"/>
      <protection locked="0"/>
    </xf>
    <xf numFmtId="0" fontId="4" fillId="0" borderId="9" xfId="5" applyFont="1" applyBorder="1" applyProtection="1">
      <protection locked="0"/>
    </xf>
    <xf numFmtId="0" fontId="4" fillId="0" borderId="2" xfId="5" applyFont="1" applyBorder="1" applyProtection="1">
      <protection locked="0"/>
    </xf>
    <xf numFmtId="0" fontId="4" fillId="0" borderId="4" xfId="5" quotePrefix="1" applyFont="1" applyBorder="1" applyProtection="1">
      <protection locked="0"/>
    </xf>
    <xf numFmtId="0" fontId="6" fillId="2" borderId="60" xfId="5" applyFont="1" applyFill="1" applyBorder="1" applyAlignment="1" applyProtection="1">
      <alignment horizontal="centerContinuous"/>
      <protection locked="0"/>
    </xf>
    <xf numFmtId="0" fontId="6" fillId="2" borderId="57" xfId="5" applyFont="1" applyFill="1" applyBorder="1" applyAlignment="1" applyProtection="1">
      <alignment horizontal="centerContinuous"/>
      <protection locked="0"/>
    </xf>
    <xf numFmtId="0" fontId="6" fillId="2" borderId="61" xfId="5" applyFont="1" applyFill="1" applyBorder="1" applyAlignment="1" applyProtection="1">
      <alignment horizontal="centerContinuous"/>
      <protection locked="0"/>
    </xf>
    <xf numFmtId="0" fontId="6" fillId="2" borderId="58" xfId="5" applyFont="1" applyFill="1" applyBorder="1" applyAlignment="1" applyProtection="1">
      <alignment horizontal="centerContinuous"/>
      <protection locked="0"/>
    </xf>
    <xf numFmtId="0" fontId="6" fillId="2" borderId="62" xfId="5" applyFont="1" applyFill="1" applyBorder="1" applyAlignment="1" applyProtection="1">
      <alignment horizontal="centerContinuous"/>
      <protection locked="0"/>
    </xf>
    <xf numFmtId="0" fontId="4" fillId="0" borderId="7" xfId="5" applyFont="1" applyBorder="1" applyProtection="1">
      <protection locked="0"/>
    </xf>
    <xf numFmtId="0" fontId="8" fillId="0" borderId="0" xfId="5" applyFont="1" applyProtection="1">
      <protection locked="0"/>
    </xf>
    <xf numFmtId="0" fontId="4" fillId="0" borderId="51" xfId="5" applyFont="1" applyBorder="1" applyProtection="1">
      <protection locked="0"/>
    </xf>
    <xf numFmtId="0" fontId="4" fillId="0" borderId="63" xfId="5" applyFont="1" applyBorder="1" applyProtection="1">
      <protection locked="0"/>
    </xf>
    <xf numFmtId="0" fontId="6" fillId="2" borderId="46" xfId="5" applyFont="1" applyFill="1" applyBorder="1" applyAlignment="1" applyProtection="1">
      <alignment horizontal="centerContinuous" vertical="center"/>
      <protection locked="0"/>
    </xf>
    <xf numFmtId="0" fontId="6" fillId="2" borderId="64" xfId="5" applyFont="1" applyFill="1" applyBorder="1" applyAlignment="1" applyProtection="1">
      <alignment horizontal="centerContinuous" vertical="center"/>
      <protection locked="0"/>
    </xf>
    <xf numFmtId="0" fontId="6" fillId="2" borderId="65" xfId="5" applyFont="1" applyFill="1" applyBorder="1" applyAlignment="1" applyProtection="1">
      <alignment horizontal="centerContinuous" vertical="center"/>
      <protection locked="0"/>
    </xf>
    <xf numFmtId="0" fontId="6" fillId="2" borderId="27" xfId="5" applyFont="1" applyFill="1" applyBorder="1" applyAlignment="1" applyProtection="1">
      <alignment horizontal="centerContinuous" vertical="center"/>
      <protection locked="0"/>
    </xf>
    <xf numFmtId="0" fontId="6" fillId="2" borderId="28" xfId="5" applyFont="1" applyFill="1" applyBorder="1" applyAlignment="1" applyProtection="1">
      <alignment horizontal="centerContinuous" vertical="center"/>
      <protection locked="0"/>
    </xf>
    <xf numFmtId="0" fontId="6" fillId="2" borderId="66" xfId="0" applyFont="1" applyFill="1" applyBorder="1" applyAlignment="1" applyProtection="1">
      <alignment horizontal="centerContinuous" vertical="center"/>
      <protection locked="0"/>
    </xf>
    <xf numFmtId="0" fontId="6" fillId="2" borderId="67" xfId="0" applyFont="1" applyFill="1" applyBorder="1" applyAlignment="1" applyProtection="1">
      <alignment horizontal="centerContinuous" vertical="center"/>
      <protection locked="0"/>
    </xf>
    <xf numFmtId="0" fontId="9" fillId="2" borderId="57" xfId="0" applyFont="1" applyFill="1" applyBorder="1" applyAlignment="1" applyProtection="1">
      <alignment horizontal="centerContinuous" vertical="center"/>
      <protection locked="0"/>
    </xf>
    <xf numFmtId="0" fontId="9" fillId="2" borderId="61" xfId="0" applyFont="1" applyFill="1" applyBorder="1" applyAlignment="1" applyProtection="1">
      <alignment horizontal="centerContinuous" vertical="center"/>
      <protection locked="0"/>
    </xf>
    <xf numFmtId="0" fontId="6" fillId="2" borderId="61" xfId="0" applyFont="1" applyFill="1" applyBorder="1" applyAlignment="1" applyProtection="1">
      <alignment horizontal="centerContinuous" vertical="center"/>
      <protection locked="0"/>
    </xf>
    <xf numFmtId="0" fontId="6" fillId="2" borderId="62" xfId="0" applyFont="1" applyFill="1" applyBorder="1" applyAlignment="1" applyProtection="1">
      <alignment horizontal="centerContinuous" vertical="center"/>
      <protection locked="0"/>
    </xf>
    <xf numFmtId="0" fontId="4" fillId="0" borderId="6" xfId="0" applyFont="1" applyBorder="1" applyAlignment="1" applyProtection="1">
      <alignment horizontal="left" vertical="center"/>
      <protection locked="0"/>
    </xf>
    <xf numFmtId="0" fontId="9" fillId="0" borderId="0" xfId="0" applyFont="1" applyAlignment="1" applyProtection="1">
      <alignment horizontal="left" vertical="center"/>
      <protection locked="0"/>
    </xf>
    <xf numFmtId="0" fontId="4" fillId="0" borderId="63" xfId="0" applyFont="1" applyBorder="1" applyAlignment="1" applyProtection="1">
      <alignment horizontal="centerContinuous" vertical="center"/>
      <protection locked="0"/>
    </xf>
    <xf numFmtId="0" fontId="4" fillId="0" borderId="1" xfId="0" applyFont="1" applyBorder="1" applyAlignment="1" applyProtection="1">
      <alignment horizontal="centerContinuous" vertical="center"/>
      <protection locked="0"/>
    </xf>
    <xf numFmtId="0" fontId="6" fillId="0" borderId="30" xfId="5" applyFont="1" applyBorder="1" applyAlignment="1">
      <alignment vertical="center"/>
    </xf>
    <xf numFmtId="0" fontId="4" fillId="0" borderId="11" xfId="5" applyFont="1" applyBorder="1" applyAlignment="1">
      <alignment vertical="top"/>
    </xf>
    <xf numFmtId="0" fontId="4" fillId="0" borderId="9" xfId="5" applyFont="1" applyBorder="1"/>
    <xf numFmtId="0" fontId="4" fillId="0" borderId="11" xfId="5" applyFont="1" applyBorder="1" applyAlignment="1">
      <alignment vertical="center"/>
    </xf>
    <xf numFmtId="0" fontId="6" fillId="0" borderId="11" xfId="5" applyFont="1" applyBorder="1" applyAlignment="1">
      <alignment vertical="center"/>
    </xf>
    <xf numFmtId="0" fontId="4" fillId="0" borderId="11" xfId="5" applyFont="1" applyBorder="1"/>
    <xf numFmtId="0" fontId="6" fillId="0" borderId="23" xfId="5" applyFont="1" applyBorder="1" applyAlignment="1">
      <alignment vertical="center"/>
    </xf>
    <xf numFmtId="0" fontId="4" fillId="0" borderId="0" xfId="6" applyFont="1" applyAlignment="1">
      <alignment horizontal="left" vertical="center"/>
    </xf>
    <xf numFmtId="0" fontId="4" fillId="0" borderId="0" xfId="6" applyFont="1" applyAlignment="1">
      <alignment vertical="center"/>
    </xf>
    <xf numFmtId="49" fontId="4" fillId="0" borderId="0" xfId="6" applyNumberFormat="1" applyFont="1" applyAlignment="1">
      <alignment horizontal="left" vertical="center"/>
    </xf>
    <xf numFmtId="0" fontId="4" fillId="0" borderId="0" xfId="6" applyFont="1" applyAlignment="1">
      <alignment horizontal="left" vertical="center" wrapText="1"/>
    </xf>
    <xf numFmtId="49" fontId="6" fillId="2" borderId="47" xfId="6" applyNumberFormat="1" applyFont="1" applyFill="1" applyBorder="1" applyAlignment="1">
      <alignment vertical="center"/>
    </xf>
    <xf numFmtId="49" fontId="4" fillId="2" borderId="25" xfId="6" applyNumberFormat="1" applyFont="1" applyFill="1" applyBorder="1" applyAlignment="1">
      <alignment vertical="center"/>
    </xf>
    <xf numFmtId="0" fontId="4" fillId="2" borderId="25" xfId="6" applyFont="1" applyFill="1" applyBorder="1" applyAlignment="1">
      <alignment vertical="center"/>
    </xf>
    <xf numFmtId="0" fontId="4" fillId="2" borderId="25" xfId="6" applyFont="1" applyFill="1" applyBorder="1" applyAlignment="1">
      <alignment vertical="center" wrapText="1"/>
    </xf>
    <xf numFmtId="0" fontId="4" fillId="2" borderId="26" xfId="6" applyFont="1" applyFill="1" applyBorder="1" applyAlignment="1">
      <alignment vertical="center"/>
    </xf>
    <xf numFmtId="0" fontId="6" fillId="2" borderId="68" xfId="6" applyFont="1" applyFill="1" applyBorder="1" applyAlignment="1">
      <alignment vertical="center"/>
    </xf>
    <xf numFmtId="0" fontId="6" fillId="2" borderId="69" xfId="6" applyFont="1" applyFill="1" applyBorder="1" applyAlignment="1">
      <alignment vertical="center"/>
    </xf>
    <xf numFmtId="0" fontId="4" fillId="0" borderId="4" xfId="0" applyFont="1" applyBorder="1" applyAlignment="1">
      <alignment horizontal="center" vertical="center"/>
    </xf>
    <xf numFmtId="0" fontId="4" fillId="0" borderId="70" xfId="0" applyFont="1" applyBorder="1" applyAlignment="1">
      <alignment horizontal="center" vertical="center"/>
    </xf>
    <xf numFmtId="0" fontId="4" fillId="0" borderId="71" xfId="0" applyFont="1" applyBorder="1" applyAlignment="1">
      <alignment horizontal="center" vertical="center"/>
    </xf>
    <xf numFmtId="0" fontId="4" fillId="0" borderId="72" xfId="0" applyFont="1" applyBorder="1" applyAlignment="1">
      <alignment horizontal="center" vertical="center"/>
    </xf>
    <xf numFmtId="0" fontId="4" fillId="0" borderId="0" xfId="0" applyFont="1" applyAlignment="1">
      <alignment horizontal="center" vertical="top"/>
    </xf>
    <xf numFmtId="0" fontId="6" fillId="2" borderId="2" xfId="0" applyFont="1" applyFill="1" applyBorder="1" applyAlignment="1">
      <alignment horizontal="center" vertical="top" textRotation="255"/>
    </xf>
    <xf numFmtId="0" fontId="6" fillId="2" borderId="73" xfId="0" applyFont="1" applyFill="1" applyBorder="1" applyAlignment="1">
      <alignment horizontal="center" vertical="top" textRotation="255"/>
    </xf>
    <xf numFmtId="0" fontId="6" fillId="2" borderId="1" xfId="0" applyFont="1" applyFill="1" applyBorder="1" applyAlignment="1">
      <alignment horizontal="center" vertical="top" textRotation="255"/>
    </xf>
    <xf numFmtId="0" fontId="6" fillId="2" borderId="40" xfId="0" applyFont="1" applyFill="1" applyBorder="1" applyAlignment="1">
      <alignment horizontal="center" vertical="top" textRotation="255"/>
    </xf>
    <xf numFmtId="0" fontId="6" fillId="2" borderId="34" xfId="0" applyFont="1" applyFill="1" applyBorder="1" applyAlignment="1">
      <alignment horizontal="center" vertical="top" textRotation="255"/>
    </xf>
    <xf numFmtId="0" fontId="6" fillId="2" borderId="72" xfId="0" applyFont="1" applyFill="1" applyBorder="1" applyAlignment="1">
      <alignment horizontal="center" vertical="top" textRotation="255"/>
    </xf>
    <xf numFmtId="0" fontId="4" fillId="0" borderId="74" xfId="0" applyFont="1" applyBorder="1" applyAlignment="1">
      <alignment horizontal="center" vertical="center"/>
    </xf>
    <xf numFmtId="0" fontId="4" fillId="0" borderId="21" xfId="0" applyFont="1" applyBorder="1" applyAlignment="1">
      <alignment horizontal="center" vertical="center"/>
    </xf>
    <xf numFmtId="0" fontId="4" fillId="0" borderId="0" xfId="0" applyFont="1" applyAlignment="1">
      <alignment horizontal="center" vertical="center"/>
    </xf>
    <xf numFmtId="0" fontId="6" fillId="2" borderId="46" xfId="0" applyFont="1" applyFill="1" applyBorder="1" applyAlignment="1">
      <alignment horizontal="centerContinuous" vertical="center"/>
    </xf>
    <xf numFmtId="0" fontId="12" fillId="0" borderId="4" xfId="5" applyFont="1" applyBorder="1" applyAlignment="1">
      <alignment horizontal="center" vertical="center"/>
    </xf>
    <xf numFmtId="0" fontId="12" fillId="0" borderId="4" xfId="5" applyFont="1" applyBorder="1" applyAlignment="1" applyProtection="1">
      <alignment horizontal="center" vertical="center"/>
      <protection locked="0"/>
    </xf>
    <xf numFmtId="0" fontId="12" fillId="0" borderId="0" xfId="5" applyFont="1" applyAlignment="1">
      <alignment horizontal="center" vertical="center"/>
    </xf>
    <xf numFmtId="0" fontId="12" fillId="0" borderId="0" xfId="5" applyFont="1" applyAlignment="1" applyProtection="1">
      <alignment horizontal="center" vertical="center"/>
      <protection locked="0"/>
    </xf>
    <xf numFmtId="0" fontId="14" fillId="0" borderId="0" xfId="5" applyFont="1" applyAlignment="1">
      <alignment vertical="center"/>
    </xf>
    <xf numFmtId="0" fontId="12" fillId="0" borderId="12" xfId="5" applyFont="1" applyBorder="1" applyAlignment="1">
      <alignment horizontal="center" vertical="center"/>
    </xf>
    <xf numFmtId="0" fontId="4" fillId="0" borderId="12" xfId="5" applyFont="1" applyBorder="1" applyAlignment="1">
      <alignment vertical="center"/>
    </xf>
    <xf numFmtId="0" fontId="12" fillId="0" borderId="12" xfId="5" applyFont="1" applyBorder="1" applyAlignment="1" applyProtection="1">
      <alignment horizontal="center" vertical="center"/>
      <protection locked="0"/>
    </xf>
    <xf numFmtId="0" fontId="12" fillId="0" borderId="3" xfId="5" applyFont="1" applyBorder="1" applyAlignment="1">
      <alignment horizontal="center" vertical="center"/>
    </xf>
    <xf numFmtId="0" fontId="12" fillId="0" borderId="3" xfId="5" applyFont="1" applyBorder="1" applyAlignment="1" applyProtection="1">
      <alignment horizontal="center" vertical="center"/>
      <protection locked="0"/>
    </xf>
    <xf numFmtId="0" fontId="4" fillId="0" borderId="0" xfId="5" applyFont="1" applyAlignment="1" applyProtection="1">
      <alignment horizontal="center"/>
      <protection locked="0"/>
    </xf>
    <xf numFmtId="0" fontId="4" fillId="0" borderId="1" xfId="5" applyFont="1" applyBorder="1" applyAlignment="1" applyProtection="1">
      <alignment horizontal="center"/>
      <protection locked="0"/>
    </xf>
    <xf numFmtId="0" fontId="6" fillId="2" borderId="57" xfId="5" applyFont="1" applyFill="1" applyBorder="1" applyProtection="1">
      <protection locked="0"/>
    </xf>
    <xf numFmtId="0" fontId="6" fillId="2" borderId="61" xfId="5" applyFont="1" applyFill="1" applyBorder="1" applyProtection="1">
      <protection locked="0"/>
    </xf>
    <xf numFmtId="0" fontId="6" fillId="2" borderId="60" xfId="5" applyFont="1" applyFill="1" applyBorder="1" applyProtection="1">
      <protection locked="0"/>
    </xf>
    <xf numFmtId="0" fontId="6" fillId="2" borderId="58" xfId="5" applyFont="1" applyFill="1" applyBorder="1" applyProtection="1">
      <protection locked="0"/>
    </xf>
    <xf numFmtId="0" fontId="8" fillId="0" borderId="0" xfId="0" applyFont="1" applyAlignment="1">
      <alignment vertical="top"/>
    </xf>
    <xf numFmtId="0" fontId="4" fillId="0" borderId="75" xfId="0" applyFont="1" applyBorder="1" applyAlignment="1">
      <alignment horizontal="center" vertical="center"/>
    </xf>
    <xf numFmtId="0" fontId="4" fillId="0" borderId="76" xfId="0" applyFont="1" applyBorder="1" applyAlignment="1">
      <alignment horizontal="center" vertical="center"/>
    </xf>
    <xf numFmtId="0" fontId="4" fillId="0" borderId="4" xfId="0" applyFont="1" applyBorder="1" applyAlignment="1">
      <alignment vertical="center"/>
    </xf>
    <xf numFmtId="0" fontId="4" fillId="0" borderId="77" xfId="0" applyFont="1" applyBorder="1" applyAlignment="1">
      <alignment vertical="center"/>
    </xf>
    <xf numFmtId="0" fontId="4" fillId="0" borderId="20" xfId="0" applyFont="1" applyBorder="1" applyAlignment="1">
      <alignment vertical="center"/>
    </xf>
    <xf numFmtId="0" fontId="4" fillId="0" borderId="26" xfId="5" applyFont="1" applyBorder="1" applyAlignment="1" applyProtection="1">
      <alignment vertical="center"/>
      <protection locked="0"/>
    </xf>
    <xf numFmtId="0" fontId="4" fillId="0" borderId="8" xfId="5" applyFont="1" applyBorder="1" applyAlignment="1" applyProtection="1">
      <alignment horizontal="centerContinuous"/>
      <protection locked="0"/>
    </xf>
    <xf numFmtId="0" fontId="4" fillId="0" borderId="3" xfId="5" applyFont="1" applyBorder="1" applyAlignment="1" applyProtection="1">
      <alignment horizontal="centerContinuous"/>
      <protection locked="0"/>
    </xf>
    <xf numFmtId="0" fontId="4" fillId="0" borderId="3" xfId="5" quotePrefix="1" applyFont="1" applyBorder="1" applyProtection="1">
      <protection locked="0"/>
    </xf>
    <xf numFmtId="0" fontId="4" fillId="0" borderId="3" xfId="5" quotePrefix="1" applyFont="1" applyBorder="1" applyAlignment="1" applyProtection="1">
      <alignment horizontal="centerContinuous"/>
      <protection locked="0"/>
    </xf>
    <xf numFmtId="0" fontId="4" fillId="0" borderId="5" xfId="5" applyFont="1" applyBorder="1" applyProtection="1">
      <protection locked="0"/>
    </xf>
    <xf numFmtId="0" fontId="4" fillId="0" borderId="6" xfId="5" applyFont="1" applyBorder="1" applyAlignment="1" applyProtection="1">
      <alignment horizontal="centerContinuous"/>
      <protection locked="0"/>
    </xf>
    <xf numFmtId="0" fontId="4" fillId="0" borderId="14" xfId="5" applyFont="1" applyBorder="1" applyProtection="1">
      <protection locked="0"/>
    </xf>
    <xf numFmtId="0" fontId="4" fillId="0" borderId="15" xfId="5" applyFont="1" applyBorder="1" applyProtection="1">
      <protection locked="0"/>
    </xf>
    <xf numFmtId="0" fontId="6" fillId="0" borderId="47" xfId="5" applyFont="1" applyBorder="1" applyAlignment="1" applyProtection="1">
      <alignment vertical="center"/>
      <protection locked="0"/>
    </xf>
    <xf numFmtId="0" fontId="4" fillId="0" borderId="25" xfId="5" quotePrefix="1" applyFont="1" applyBorder="1" applyAlignment="1" applyProtection="1">
      <alignment vertical="center"/>
      <protection locked="0"/>
    </xf>
    <xf numFmtId="0" fontId="6" fillId="0" borderId="25" xfId="5" applyFont="1" applyBorder="1" applyAlignment="1" applyProtection="1">
      <alignment vertical="center"/>
      <protection locked="0"/>
    </xf>
    <xf numFmtId="0" fontId="6" fillId="2" borderId="17" xfId="5" applyFont="1" applyFill="1" applyBorder="1" applyAlignment="1" applyProtection="1">
      <alignment horizontal="centerContinuous" vertical="center"/>
      <protection locked="0"/>
    </xf>
    <xf numFmtId="0" fontId="6" fillId="2" borderId="5" xfId="5" applyFont="1" applyFill="1" applyBorder="1" applyAlignment="1" applyProtection="1">
      <alignment horizontal="centerContinuous" vertical="center"/>
      <protection locked="0"/>
    </xf>
    <xf numFmtId="0" fontId="6" fillId="2" borderId="8" xfId="5" applyFont="1" applyFill="1" applyBorder="1" applyAlignment="1" applyProtection="1">
      <alignment horizontal="centerContinuous" vertical="center"/>
      <protection locked="0"/>
    </xf>
    <xf numFmtId="0" fontId="6" fillId="2" borderId="3" xfId="5" applyFont="1" applyFill="1" applyBorder="1" applyAlignment="1" applyProtection="1">
      <alignment horizontal="centerContinuous" vertical="center"/>
      <protection locked="0"/>
    </xf>
    <xf numFmtId="0" fontId="6" fillId="2" borderId="16" xfId="5" applyFont="1" applyFill="1" applyBorder="1" applyAlignment="1" applyProtection="1">
      <alignment horizontal="centerContinuous" vertical="center"/>
      <protection locked="0"/>
    </xf>
    <xf numFmtId="0" fontId="6" fillId="2" borderId="78" xfId="5" applyFont="1" applyFill="1" applyBorder="1" applyAlignment="1" applyProtection="1">
      <alignment horizontal="centerContinuous" vertical="center"/>
      <protection locked="0"/>
    </xf>
    <xf numFmtId="0" fontId="6" fillId="2" borderId="79" xfId="5" applyFont="1" applyFill="1" applyBorder="1" applyAlignment="1" applyProtection="1">
      <alignment horizontal="centerContinuous" vertical="center"/>
      <protection locked="0"/>
    </xf>
    <xf numFmtId="0" fontId="6" fillId="2" borderId="68" xfId="5" applyFont="1" applyFill="1" applyBorder="1" applyAlignment="1" applyProtection="1">
      <alignment horizontal="centerContinuous" vertical="center"/>
      <protection locked="0"/>
    </xf>
    <xf numFmtId="0" fontId="6" fillId="2" borderId="80" xfId="5" applyFont="1" applyFill="1" applyBorder="1" applyAlignment="1" applyProtection="1">
      <alignment horizontal="centerContinuous" vertical="center"/>
      <protection locked="0"/>
    </xf>
    <xf numFmtId="0" fontId="6" fillId="2" borderId="80" xfId="5" applyFont="1" applyFill="1" applyBorder="1" applyAlignment="1" applyProtection="1">
      <alignment vertical="center"/>
      <protection locked="0"/>
    </xf>
    <xf numFmtId="0" fontId="6" fillId="2" borderId="68" xfId="5" applyFont="1" applyFill="1" applyBorder="1" applyAlignment="1" applyProtection="1">
      <alignment vertical="center"/>
      <protection locked="0"/>
    </xf>
    <xf numFmtId="0" fontId="6" fillId="2" borderId="69" xfId="5" applyFont="1" applyFill="1" applyBorder="1" applyAlignment="1" applyProtection="1">
      <alignment vertical="center"/>
      <protection locked="0"/>
    </xf>
    <xf numFmtId="0" fontId="6" fillId="2" borderId="8" xfId="5" applyFont="1" applyFill="1" applyBorder="1" applyAlignment="1" applyProtection="1">
      <alignment vertical="center"/>
      <protection locked="0"/>
    </xf>
    <xf numFmtId="0" fontId="6" fillId="2" borderId="3" xfId="5" applyFont="1" applyFill="1" applyBorder="1" applyAlignment="1" applyProtection="1">
      <alignment vertical="center"/>
      <protection locked="0"/>
    </xf>
    <xf numFmtId="0" fontId="6" fillId="2" borderId="5" xfId="5" applyFont="1" applyFill="1" applyBorder="1" applyAlignment="1" applyProtection="1">
      <alignment vertical="center"/>
      <protection locked="0"/>
    </xf>
    <xf numFmtId="0" fontId="4" fillId="2" borderId="78" xfId="5" applyFont="1" applyFill="1" applyBorder="1" applyAlignment="1" applyProtection="1">
      <alignment vertical="center"/>
      <protection locked="0"/>
    </xf>
    <xf numFmtId="0" fontId="4" fillId="2" borderId="79" xfId="5" applyFont="1" applyFill="1" applyBorder="1" applyAlignment="1" applyProtection="1">
      <alignment vertical="center"/>
      <protection locked="0"/>
    </xf>
    <xf numFmtId="0" fontId="4" fillId="2" borderId="68" xfId="5" applyFont="1" applyFill="1" applyBorder="1" applyAlignment="1" applyProtection="1">
      <alignment vertical="center"/>
      <protection locked="0"/>
    </xf>
    <xf numFmtId="0" fontId="4" fillId="2" borderId="68" xfId="5" applyFont="1" applyFill="1" applyBorder="1" applyAlignment="1" applyProtection="1">
      <alignment horizontal="centerContinuous" vertical="center"/>
      <protection locked="0"/>
    </xf>
    <xf numFmtId="0" fontId="4" fillId="2" borderId="80" xfId="5" applyFont="1" applyFill="1" applyBorder="1" applyAlignment="1" applyProtection="1">
      <alignment vertical="center"/>
      <protection locked="0"/>
    </xf>
    <xf numFmtId="0" fontId="15" fillId="0" borderId="46" xfId="1" applyBorder="1" applyAlignment="1" applyProtection="1">
      <alignment horizontal="center" vertical="center"/>
    </xf>
    <xf numFmtId="0" fontId="15" fillId="0" borderId="32" xfId="1" applyBorder="1" applyAlignment="1" applyProtection="1">
      <alignment horizontal="center" vertical="center"/>
    </xf>
    <xf numFmtId="0" fontId="15" fillId="0" borderId="27" xfId="1" applyBorder="1" applyAlignment="1" applyProtection="1">
      <alignment horizontal="center" vertical="center"/>
    </xf>
    <xf numFmtId="0" fontId="15" fillId="0" borderId="35" xfId="1" applyBorder="1" applyAlignment="1" applyProtection="1">
      <alignment horizontal="center" vertical="center"/>
    </xf>
    <xf numFmtId="0" fontId="15" fillId="0" borderId="19" xfId="1" applyBorder="1" applyAlignment="1" applyProtection="1">
      <alignment horizontal="center" vertical="center"/>
    </xf>
    <xf numFmtId="0" fontId="15" fillId="0" borderId="81" xfId="1" applyBorder="1" applyAlignment="1" applyProtection="1">
      <alignment horizontal="center" vertical="center"/>
    </xf>
    <xf numFmtId="0" fontId="15" fillId="0" borderId="4" xfId="1" applyBorder="1" applyAlignment="1" applyProtection="1">
      <alignment horizontal="center" vertical="center"/>
    </xf>
    <xf numFmtId="0" fontId="15" fillId="0" borderId="21" xfId="1" applyBorder="1" applyAlignment="1" applyProtection="1">
      <alignment horizontal="center" vertical="center"/>
    </xf>
    <xf numFmtId="0" fontId="15" fillId="0" borderId="33" xfId="1" applyBorder="1" applyAlignment="1" applyProtection="1">
      <alignment horizontal="center" vertical="center"/>
    </xf>
    <xf numFmtId="0" fontId="15" fillId="0" borderId="37" xfId="1" applyBorder="1" applyAlignment="1" applyProtection="1">
      <alignment horizontal="center" vertical="center"/>
    </xf>
    <xf numFmtId="0" fontId="15" fillId="0" borderId="36" xfId="1" applyBorder="1" applyAlignment="1" applyProtection="1">
      <alignment horizontal="center" vertical="center"/>
    </xf>
    <xf numFmtId="0" fontId="15" fillId="0" borderId="82" xfId="1" applyBorder="1" applyAlignment="1" applyProtection="1">
      <alignment horizontal="center" vertical="center"/>
    </xf>
    <xf numFmtId="0" fontId="15" fillId="0" borderId="12" xfId="1" applyBorder="1" applyAlignment="1" applyProtection="1">
      <alignment horizontal="center" vertical="center"/>
    </xf>
    <xf numFmtId="0" fontId="15" fillId="0" borderId="71" xfId="1" applyBorder="1" applyAlignment="1" applyProtection="1">
      <alignment horizontal="center" vertical="center"/>
    </xf>
    <xf numFmtId="0" fontId="15" fillId="0" borderId="34" xfId="1" applyBorder="1" applyAlignment="1" applyProtection="1">
      <alignment horizontal="center" vertical="center"/>
    </xf>
    <xf numFmtId="0" fontId="15" fillId="0" borderId="30" xfId="1" applyBorder="1" applyAlignment="1" applyProtection="1">
      <alignment horizontal="center" vertical="center"/>
    </xf>
    <xf numFmtId="0" fontId="4" fillId="0" borderId="0" xfId="5" applyFont="1" applyAlignment="1" applyProtection="1">
      <alignment horizontal="center" vertical="center"/>
      <protection locked="0"/>
    </xf>
    <xf numFmtId="0" fontId="12" fillId="0" borderId="4" xfId="5" applyFont="1" applyBorder="1" applyAlignment="1">
      <alignment vertical="center"/>
    </xf>
    <xf numFmtId="0" fontId="4" fillId="0" borderId="0" xfId="5" quotePrefix="1" applyFont="1" applyAlignment="1" applyProtection="1">
      <alignment horizontal="left"/>
      <protection locked="0"/>
    </xf>
    <xf numFmtId="0" fontId="4" fillId="0" borderId="0" xfId="5" quotePrefix="1" applyFont="1" applyAlignment="1" applyProtection="1">
      <alignment horizontal="center"/>
      <protection locked="0"/>
    </xf>
    <xf numFmtId="0" fontId="4" fillId="0" borderId="50" xfId="5" applyFont="1" applyBorder="1" applyProtection="1">
      <protection locked="0"/>
    </xf>
    <xf numFmtId="0" fontId="4" fillId="0" borderId="12" xfId="5" applyFont="1" applyBorder="1" applyAlignment="1" applyProtection="1">
      <alignment horizontal="centerContinuous"/>
      <protection locked="0"/>
    </xf>
    <xf numFmtId="0" fontId="4" fillId="0" borderId="13" xfId="5" quotePrefix="1" applyFont="1" applyBorder="1" applyProtection="1">
      <protection locked="0"/>
    </xf>
    <xf numFmtId="0" fontId="4" fillId="0" borderId="33" xfId="5" applyFont="1" applyBorder="1" applyAlignment="1" applyProtection="1">
      <alignment horizontal="center"/>
      <protection locked="0"/>
    </xf>
    <xf numFmtId="0" fontId="4" fillId="0" borderId="7" xfId="5" applyFont="1" applyBorder="1" applyAlignment="1" applyProtection="1">
      <alignment horizontal="center"/>
      <protection locked="0"/>
    </xf>
    <xf numFmtId="0" fontId="4" fillId="0" borderId="6" xfId="5" applyFont="1" applyBorder="1" applyAlignment="1" applyProtection="1">
      <alignment horizontal="center"/>
      <protection locked="0"/>
    </xf>
    <xf numFmtId="49" fontId="4" fillId="0" borderId="9" xfId="5" applyNumberFormat="1" applyFont="1" applyBorder="1" applyAlignment="1">
      <alignment vertical="center"/>
    </xf>
    <xf numFmtId="49" fontId="4" fillId="0" borderId="0" xfId="5" applyNumberFormat="1" applyFont="1" applyAlignment="1">
      <alignment vertical="center"/>
    </xf>
    <xf numFmtId="49" fontId="4" fillId="0" borderId="7" xfId="5" applyNumberFormat="1" applyFont="1" applyBorder="1" applyAlignment="1">
      <alignment horizontal="centerContinuous" vertical="center"/>
    </xf>
    <xf numFmtId="49" fontId="4" fillId="0" borderId="2" xfId="5" applyNumberFormat="1" applyFont="1" applyBorder="1" applyAlignment="1">
      <alignment vertical="center"/>
    </xf>
    <xf numFmtId="49" fontId="4" fillId="0" borderId="1" xfId="5" applyNumberFormat="1" applyFont="1" applyBorder="1" applyAlignment="1">
      <alignment vertical="center"/>
    </xf>
    <xf numFmtId="49" fontId="4" fillId="0" borderId="51" xfId="5" applyNumberFormat="1" applyFont="1" applyBorder="1" applyAlignment="1">
      <alignment vertical="center"/>
    </xf>
    <xf numFmtId="49" fontId="4" fillId="0" borderId="0" xfId="5" applyNumberFormat="1" applyFont="1" applyAlignment="1">
      <alignment horizontal="left" vertical="center"/>
    </xf>
    <xf numFmtId="49" fontId="4" fillId="0" borderId="0" xfId="5" quotePrefix="1" applyNumberFormat="1" applyFont="1" applyAlignment="1">
      <alignment horizontal="left" vertical="center"/>
    </xf>
    <xf numFmtId="49" fontId="4" fillId="0" borderId="18" xfId="5" applyNumberFormat="1" applyFont="1" applyBorder="1" applyAlignment="1">
      <alignment horizontal="left" vertical="center"/>
    </xf>
    <xf numFmtId="49" fontId="4" fillId="0" borderId="0" xfId="5" applyNumberFormat="1" applyFont="1" applyAlignment="1">
      <alignment horizontal="right" vertical="center"/>
    </xf>
    <xf numFmtId="49" fontId="4" fillId="0" borderId="1" xfId="5" applyNumberFormat="1" applyFont="1" applyBorder="1" applyAlignment="1">
      <alignment horizontal="left" vertical="center"/>
    </xf>
    <xf numFmtId="49" fontId="4" fillId="0" borderId="22" xfId="5" applyNumberFormat="1" applyFont="1" applyBorder="1" applyAlignment="1">
      <alignment horizontal="left" vertical="center"/>
    </xf>
    <xf numFmtId="49" fontId="4" fillId="0" borderId="0" xfId="0" applyNumberFormat="1" applyFont="1"/>
    <xf numFmtId="49" fontId="4" fillId="0" borderId="6" xfId="5" quotePrefix="1" applyNumberFormat="1" applyFont="1" applyBorder="1" applyProtection="1">
      <protection locked="0"/>
    </xf>
    <xf numFmtId="49" fontId="4" fillId="0" borderId="6" xfId="5" applyNumberFormat="1" applyFont="1" applyBorder="1" applyProtection="1">
      <protection locked="0"/>
    </xf>
    <xf numFmtId="49" fontId="4" fillId="0" borderId="9" xfId="5" quotePrefix="1" applyNumberFormat="1" applyFont="1" applyBorder="1" applyProtection="1">
      <protection locked="0"/>
    </xf>
    <xf numFmtId="49" fontId="4" fillId="0" borderId="9" xfId="5" applyNumberFormat="1" applyFont="1" applyBorder="1" applyProtection="1">
      <protection locked="0"/>
    </xf>
    <xf numFmtId="0" fontId="4" fillId="0" borderId="51" xfId="5" applyFont="1" applyBorder="1" applyAlignment="1" applyProtection="1">
      <alignment horizontal="center"/>
      <protection locked="0"/>
    </xf>
    <xf numFmtId="0" fontId="4" fillId="0" borderId="63" xfId="5" applyFont="1" applyBorder="1" applyAlignment="1" applyProtection="1">
      <alignment horizontal="center"/>
      <protection locked="0"/>
    </xf>
    <xf numFmtId="0" fontId="0" fillId="0" borderId="18" xfId="0" applyBorder="1" applyAlignment="1">
      <alignment vertical="center" wrapText="1"/>
    </xf>
    <xf numFmtId="0" fontId="0" fillId="0" borderId="0" xfId="0" applyAlignment="1">
      <alignment vertical="center" wrapText="1"/>
    </xf>
    <xf numFmtId="0" fontId="4" fillId="0" borderId="9" xfId="6" applyFont="1" applyBorder="1" applyAlignment="1">
      <alignment horizontal="center" vertical="center"/>
    </xf>
    <xf numFmtId="49" fontId="4" fillId="0" borderId="83" xfId="6" applyNumberFormat="1" applyFont="1" applyBorder="1" applyAlignment="1">
      <alignment vertical="center"/>
    </xf>
    <xf numFmtId="49" fontId="4" fillId="0" borderId="84" xfId="6" applyNumberFormat="1" applyFont="1" applyBorder="1" applyAlignment="1">
      <alignment vertical="center"/>
    </xf>
    <xf numFmtId="49" fontId="4" fillId="0" borderId="85" xfId="6" applyNumberFormat="1" applyFont="1" applyBorder="1" applyAlignment="1">
      <alignment vertical="center"/>
    </xf>
    <xf numFmtId="0" fontId="4" fillId="0" borderId="20" xfId="6" applyFont="1" applyBorder="1" applyAlignment="1">
      <alignment vertical="center"/>
    </xf>
    <xf numFmtId="0" fontId="4" fillId="0" borderId="18" xfId="6" applyFont="1" applyBorder="1" applyAlignment="1">
      <alignment vertical="center"/>
    </xf>
    <xf numFmtId="0" fontId="4" fillId="0" borderId="9" xfId="6" applyFont="1" applyBorder="1" applyAlignment="1">
      <alignment vertical="center"/>
    </xf>
    <xf numFmtId="0" fontId="15" fillId="0" borderId="81" xfId="1" applyFill="1" applyBorder="1" applyAlignment="1" applyProtection="1">
      <alignment horizontal="center" vertical="center"/>
    </xf>
    <xf numFmtId="0" fontId="17" fillId="0" borderId="33" xfId="1" applyFont="1" applyFill="1" applyBorder="1" applyAlignment="1" applyProtection="1">
      <alignment horizontal="center" vertical="center"/>
    </xf>
    <xf numFmtId="0" fontId="15" fillId="0" borderId="33" xfId="1" applyFill="1" applyBorder="1" applyAlignment="1" applyProtection="1">
      <alignment horizontal="center" vertical="center"/>
    </xf>
    <xf numFmtId="0" fontId="0" fillId="0" borderId="18" xfId="0" applyBorder="1" applyAlignment="1">
      <alignment vertical="center"/>
    </xf>
    <xf numFmtId="0" fontId="0" fillId="0" borderId="0" xfId="0" applyAlignment="1">
      <alignment vertical="center"/>
    </xf>
    <xf numFmtId="0" fontId="4" fillId="0" borderId="86" xfId="6" applyFont="1" applyBorder="1" applyAlignment="1">
      <alignment vertical="center"/>
    </xf>
    <xf numFmtId="0" fontId="4" fillId="0" borderId="4" xfId="6" applyFont="1" applyBorder="1" applyAlignment="1">
      <alignment vertical="center"/>
    </xf>
    <xf numFmtId="0" fontId="4" fillId="0" borderId="87" xfId="6" applyFont="1" applyBorder="1" applyAlignment="1">
      <alignment vertical="center"/>
    </xf>
    <xf numFmtId="0" fontId="4" fillId="0" borderId="88" xfId="6" applyFont="1" applyBorder="1" applyAlignment="1">
      <alignment vertical="center"/>
    </xf>
    <xf numFmtId="0" fontId="4" fillId="0" borderId="1" xfId="6" applyFont="1" applyBorder="1" applyAlignment="1">
      <alignment vertical="center"/>
    </xf>
    <xf numFmtId="0" fontId="4" fillId="0" borderId="89" xfId="6" applyFont="1" applyBorder="1" applyAlignment="1">
      <alignment vertical="center"/>
    </xf>
    <xf numFmtId="0" fontId="4" fillId="0" borderId="19" xfId="6" applyFont="1" applyBorder="1" applyAlignment="1">
      <alignment vertical="center"/>
    </xf>
    <xf numFmtId="0" fontId="4" fillId="0" borderId="2" xfId="6" applyFont="1" applyBorder="1" applyAlignment="1">
      <alignment vertical="center"/>
    </xf>
    <xf numFmtId="49" fontId="4" fillId="0" borderId="90" xfId="6" applyNumberFormat="1" applyFont="1" applyBorder="1" applyAlignment="1">
      <alignment vertical="center"/>
    </xf>
    <xf numFmtId="0" fontId="4" fillId="0" borderId="22" xfId="6" applyFont="1" applyBorder="1" applyAlignment="1">
      <alignment vertical="center"/>
    </xf>
    <xf numFmtId="0" fontId="4" fillId="0" borderId="35" xfId="0" applyFont="1" applyBorder="1" applyAlignment="1">
      <alignment horizontal="center" vertical="center"/>
    </xf>
    <xf numFmtId="0" fontId="4" fillId="0" borderId="30" xfId="0" applyFont="1" applyBorder="1" applyAlignment="1">
      <alignment horizontal="center" vertical="center"/>
    </xf>
    <xf numFmtId="0" fontId="4" fillId="0" borderId="18" xfId="6" applyFont="1" applyBorder="1" applyAlignment="1">
      <alignment horizontal="left" vertical="center"/>
    </xf>
    <xf numFmtId="0" fontId="6" fillId="3" borderId="19" xfId="6" quotePrefix="1" applyFont="1" applyFill="1" applyBorder="1" applyAlignment="1">
      <alignment horizontal="right" vertical="center"/>
    </xf>
    <xf numFmtId="0" fontId="6" fillId="3" borderId="4" xfId="6" applyFont="1" applyFill="1" applyBorder="1" applyAlignment="1">
      <alignment vertical="center"/>
    </xf>
    <xf numFmtId="0" fontId="6" fillId="3" borderId="20" xfId="6" applyFont="1" applyFill="1" applyBorder="1" applyAlignment="1">
      <alignment vertical="center"/>
    </xf>
    <xf numFmtId="0" fontId="6" fillId="3" borderId="21" xfId="6" quotePrefix="1" applyFont="1" applyFill="1" applyBorder="1" applyAlignment="1">
      <alignment horizontal="right" vertical="center"/>
    </xf>
    <xf numFmtId="0" fontId="6" fillId="3" borderId="12" xfId="6" applyFont="1" applyFill="1" applyBorder="1" applyAlignment="1">
      <alignment vertical="center"/>
    </xf>
    <xf numFmtId="0" fontId="6" fillId="3" borderId="29" xfId="6" applyFont="1" applyFill="1" applyBorder="1" applyAlignment="1">
      <alignment vertical="center"/>
    </xf>
    <xf numFmtId="0" fontId="6" fillId="3" borderId="21" xfId="6" applyFont="1" applyFill="1" applyBorder="1" applyAlignment="1">
      <alignment horizontal="right" vertical="center"/>
    </xf>
    <xf numFmtId="0" fontId="6" fillId="3" borderId="19" xfId="6" applyFont="1" applyFill="1" applyBorder="1" applyAlignment="1">
      <alignment horizontal="right" vertical="center"/>
    </xf>
    <xf numFmtId="0" fontId="6" fillId="3" borderId="46" xfId="6" applyFont="1" applyFill="1" applyBorder="1" applyAlignment="1">
      <alignment horizontal="right" vertical="center"/>
    </xf>
    <xf numFmtId="0" fontId="6" fillId="3" borderId="27" xfId="6" applyFont="1" applyFill="1" applyBorder="1" applyAlignment="1">
      <alignment vertical="center"/>
    </xf>
    <xf numFmtId="0" fontId="6" fillId="3" borderId="28" xfId="6" applyFont="1" applyFill="1" applyBorder="1" applyAlignment="1">
      <alignment vertical="center"/>
    </xf>
    <xf numFmtId="0" fontId="4" fillId="0" borderId="17" xfId="5" applyFont="1" applyBorder="1" applyAlignment="1" applyProtection="1">
      <alignment vertical="center"/>
      <protection locked="0"/>
    </xf>
    <xf numFmtId="0" fontId="4" fillId="0" borderId="19" xfId="5" applyFont="1" applyBorder="1" applyAlignment="1" applyProtection="1">
      <alignment vertical="center"/>
      <protection locked="0"/>
    </xf>
    <xf numFmtId="0" fontId="6" fillId="0" borderId="1" xfId="5" applyFont="1" applyBorder="1" applyAlignment="1">
      <alignment vertical="center"/>
    </xf>
    <xf numFmtId="0" fontId="6" fillId="2" borderId="10" xfId="5" applyFont="1" applyFill="1" applyBorder="1" applyAlignment="1" applyProtection="1">
      <alignment vertical="center"/>
      <protection locked="0"/>
    </xf>
    <xf numFmtId="0" fontId="6" fillId="2" borderId="11" xfId="5" applyFont="1" applyFill="1" applyBorder="1" applyProtection="1">
      <protection locked="0"/>
    </xf>
    <xf numFmtId="0" fontId="6" fillId="2" borderId="24" xfId="5" applyFont="1" applyFill="1" applyBorder="1" applyProtection="1">
      <protection locked="0"/>
    </xf>
    <xf numFmtId="0" fontId="4" fillId="0" borderId="23" xfId="5" applyFont="1" applyBorder="1" applyProtection="1">
      <protection locked="0"/>
    </xf>
    <xf numFmtId="0" fontId="4" fillId="0" borderId="11" xfId="5" applyFont="1" applyBorder="1" applyProtection="1">
      <protection locked="0"/>
    </xf>
    <xf numFmtId="0" fontId="4" fillId="0" borderId="91" xfId="5" applyFont="1" applyBorder="1" applyProtection="1">
      <protection locked="0"/>
    </xf>
    <xf numFmtId="0" fontId="6" fillId="0" borderId="0" xfId="5" applyFont="1" applyProtection="1">
      <protection locked="0"/>
    </xf>
    <xf numFmtId="0" fontId="6" fillId="2" borderId="27" xfId="5" applyFont="1" applyFill="1" applyBorder="1" applyProtection="1">
      <protection locked="0"/>
    </xf>
    <xf numFmtId="0" fontId="4" fillId="2" borderId="28" xfId="5" applyFont="1" applyFill="1" applyBorder="1" applyProtection="1">
      <protection locked="0"/>
    </xf>
    <xf numFmtId="0" fontId="6" fillId="2" borderId="92" xfId="5" applyFont="1" applyFill="1" applyBorder="1" applyAlignment="1" applyProtection="1">
      <alignment horizontal="centerContinuous" vertical="center"/>
      <protection locked="0"/>
    </xf>
    <xf numFmtId="0" fontId="4" fillId="2" borderId="55" xfId="5" applyFont="1" applyFill="1" applyBorder="1" applyAlignment="1" applyProtection="1">
      <alignment horizontal="centerContinuous" vertical="center"/>
      <protection locked="0"/>
    </xf>
    <xf numFmtId="0" fontId="18" fillId="2" borderId="55" xfId="5" applyFont="1" applyFill="1" applyBorder="1" applyAlignment="1" applyProtection="1">
      <alignment horizontal="centerContinuous" vertical="center"/>
      <protection locked="0"/>
    </xf>
    <xf numFmtId="0" fontId="19" fillId="2" borderId="92" xfId="0" applyFont="1" applyFill="1" applyBorder="1" applyAlignment="1" applyProtection="1">
      <alignment horizontal="centerContinuous" vertical="center"/>
      <protection locked="0"/>
    </xf>
    <xf numFmtId="0" fontId="6" fillId="2" borderId="55" xfId="0" applyFont="1" applyFill="1" applyBorder="1" applyAlignment="1" applyProtection="1">
      <alignment horizontal="centerContinuous" vertical="center"/>
      <protection locked="0"/>
    </xf>
    <xf numFmtId="0" fontId="19" fillId="2" borderId="55" xfId="0" applyFont="1" applyFill="1" applyBorder="1" applyAlignment="1" applyProtection="1">
      <alignment horizontal="centerContinuous" vertical="center"/>
      <protection locked="0"/>
    </xf>
    <xf numFmtId="0" fontId="19" fillId="2" borderId="56" xfId="0" applyFont="1" applyFill="1" applyBorder="1" applyAlignment="1" applyProtection="1">
      <alignment horizontal="centerContinuous" vertical="center"/>
      <protection locked="0"/>
    </xf>
    <xf numFmtId="0" fontId="6" fillId="2" borderId="92" xfId="0" applyFont="1" applyFill="1" applyBorder="1" applyAlignment="1" applyProtection="1">
      <alignment horizontal="centerContinuous" vertical="center"/>
      <protection locked="0"/>
    </xf>
    <xf numFmtId="0" fontId="4" fillId="2" borderId="93" xfId="5" applyFont="1" applyFill="1" applyBorder="1" applyAlignment="1" applyProtection="1">
      <alignment horizontal="centerContinuous" vertical="center"/>
      <protection locked="0"/>
    </xf>
    <xf numFmtId="0" fontId="4" fillId="0" borderId="94" xfId="5" applyFont="1" applyBorder="1" applyAlignment="1" applyProtection="1">
      <alignment horizontal="left"/>
      <protection locked="0"/>
    </xf>
    <xf numFmtId="0" fontId="4" fillId="0" borderId="95" xfId="5" applyFont="1" applyBorder="1" applyAlignment="1" applyProtection="1">
      <alignment horizontal="left"/>
      <protection locked="0"/>
    </xf>
    <xf numFmtId="0" fontId="4" fillId="0" borderId="95" xfId="5" applyFont="1" applyBorder="1" applyAlignment="1" applyProtection="1">
      <alignment horizontal="centerContinuous"/>
      <protection locked="0"/>
    </xf>
    <xf numFmtId="0" fontId="4" fillId="0" borderId="6" xfId="5" applyFont="1" applyBorder="1" applyAlignment="1" applyProtection="1">
      <alignment horizontal="left"/>
      <protection locked="0"/>
    </xf>
    <xf numFmtId="0" fontId="4" fillId="0" borderId="14" xfId="5" applyFont="1" applyBorder="1" applyAlignment="1" applyProtection="1">
      <alignment horizontal="left"/>
      <protection locked="0"/>
    </xf>
    <xf numFmtId="0" fontId="4" fillId="0" borderId="4" xfId="5" applyFont="1" applyBorder="1" applyAlignment="1" applyProtection="1">
      <alignment horizontal="left"/>
      <protection locked="0"/>
    </xf>
    <xf numFmtId="0" fontId="4" fillId="0" borderId="4" xfId="5" applyFont="1" applyBorder="1" applyAlignment="1" applyProtection="1">
      <alignment horizontal="centerContinuous"/>
      <protection locked="0"/>
    </xf>
    <xf numFmtId="0" fontId="4" fillId="0" borderId="20" xfId="5" applyFont="1" applyBorder="1" applyProtection="1">
      <protection locked="0"/>
    </xf>
    <xf numFmtId="0" fontId="4" fillId="2" borderId="12" xfId="5" applyFont="1" applyFill="1" applyBorder="1" applyProtection="1">
      <protection locked="0"/>
    </xf>
    <xf numFmtId="0" fontId="4" fillId="2" borderId="29" xfId="5" applyFont="1" applyFill="1" applyBorder="1" applyProtection="1">
      <protection locked="0"/>
    </xf>
    <xf numFmtId="0" fontId="4" fillId="0" borderId="16" xfId="5" applyFont="1" applyBorder="1" applyProtection="1">
      <protection locked="0"/>
    </xf>
    <xf numFmtId="0" fontId="6" fillId="2" borderId="93" xfId="5" applyFont="1" applyFill="1" applyBorder="1" applyAlignment="1" applyProtection="1">
      <alignment horizontal="centerContinuous" vertical="center"/>
      <protection locked="0"/>
    </xf>
    <xf numFmtId="0" fontId="4" fillId="0" borderId="1" xfId="5" applyFont="1" applyBorder="1" applyAlignment="1" applyProtection="1">
      <alignment horizontal="left"/>
      <protection locked="0"/>
    </xf>
    <xf numFmtId="0" fontId="4" fillId="0" borderId="1" xfId="5" applyFont="1" applyBorder="1" applyAlignment="1" applyProtection="1">
      <alignment horizontal="centerContinuous"/>
      <protection locked="0"/>
    </xf>
    <xf numFmtId="0" fontId="6" fillId="2" borderId="62" xfId="5" applyFont="1" applyFill="1" applyBorder="1" applyProtection="1">
      <protection locked="0"/>
    </xf>
    <xf numFmtId="0" fontId="6" fillId="2" borderId="47" xfId="7" applyFont="1" applyFill="1" applyBorder="1" applyAlignment="1" applyProtection="1">
      <alignment horizontal="centerContinuous"/>
      <protection locked="0"/>
    </xf>
    <xf numFmtId="0" fontId="4" fillId="2" borderId="25" xfId="7" applyFont="1" applyFill="1" applyBorder="1" applyAlignment="1" applyProtection="1">
      <alignment horizontal="centerContinuous"/>
      <protection locked="0"/>
    </xf>
    <xf numFmtId="0" fontId="6" fillId="2" borderId="48" xfId="7" applyFont="1" applyFill="1" applyBorder="1" applyAlignment="1" applyProtection="1">
      <alignment horizontal="centerContinuous"/>
      <protection locked="0"/>
    </xf>
    <xf numFmtId="0" fontId="4" fillId="2" borderId="25" xfId="7" applyFont="1" applyFill="1" applyBorder="1" applyAlignment="1" applyProtection="1">
      <alignment horizontal="centerContinuous" vertical="distributed"/>
      <protection locked="0"/>
    </xf>
    <xf numFmtId="0" fontId="6" fillId="2" borderId="25" xfId="7" applyFont="1" applyFill="1" applyBorder="1" applyAlignment="1" applyProtection="1">
      <alignment horizontal="centerContinuous"/>
      <protection locked="0"/>
    </xf>
    <xf numFmtId="0" fontId="6" fillId="2" borderId="65" xfId="7" applyFont="1" applyFill="1" applyBorder="1" applyAlignment="1" applyProtection="1">
      <alignment horizontal="centerContinuous"/>
      <protection locked="0"/>
    </xf>
    <xf numFmtId="0" fontId="4" fillId="2" borderId="27" xfId="7" applyFont="1" applyFill="1" applyBorder="1" applyAlignment="1" applyProtection="1">
      <alignment horizontal="centerContinuous"/>
      <protection locked="0"/>
    </xf>
    <xf numFmtId="0" fontId="4" fillId="0" borderId="0" xfId="7" applyFont="1" applyProtection="1">
      <protection locked="0"/>
    </xf>
    <xf numFmtId="0" fontId="6" fillId="2" borderId="78" xfId="7" applyFont="1" applyFill="1" applyBorder="1" applyAlignment="1" applyProtection="1">
      <alignment horizontal="centerContinuous"/>
      <protection locked="0"/>
    </xf>
    <xf numFmtId="0" fontId="6" fillId="2" borderId="68" xfId="7" applyFont="1" applyFill="1" applyBorder="1" applyAlignment="1" applyProtection="1">
      <alignment horizontal="centerContinuous"/>
      <protection locked="0"/>
    </xf>
    <xf numFmtId="0" fontId="6" fillId="2" borderId="80" xfId="7" applyFont="1" applyFill="1" applyBorder="1" applyAlignment="1" applyProtection="1">
      <alignment horizontal="centerContinuous"/>
      <protection locked="0"/>
    </xf>
    <xf numFmtId="0" fontId="6" fillId="2" borderId="92" xfId="7" applyFont="1" applyFill="1" applyBorder="1" applyAlignment="1" applyProtection="1">
      <alignment horizontal="centerContinuous"/>
      <protection locked="0"/>
    </xf>
    <xf numFmtId="0" fontId="6" fillId="2" borderId="56" xfId="7" applyFont="1" applyFill="1" applyBorder="1" applyAlignment="1" applyProtection="1">
      <alignment horizontal="centerContinuous"/>
      <protection locked="0"/>
    </xf>
    <xf numFmtId="0" fontId="6" fillId="2" borderId="93" xfId="7" applyFont="1" applyFill="1" applyBorder="1" applyAlignment="1" applyProtection="1">
      <alignment horizontal="centerContinuous"/>
      <protection locked="0"/>
    </xf>
    <xf numFmtId="0" fontId="4" fillId="0" borderId="6" xfId="7" applyFont="1" applyBorder="1" applyProtection="1">
      <protection locked="0"/>
    </xf>
    <xf numFmtId="0" fontId="4" fillId="0" borderId="0" xfId="7" quotePrefix="1" applyFont="1" applyProtection="1">
      <protection locked="0"/>
    </xf>
    <xf numFmtId="0" fontId="4" fillId="0" borderId="7" xfId="7" quotePrefix="1" applyFont="1" applyBorder="1" applyProtection="1">
      <protection locked="0"/>
    </xf>
    <xf numFmtId="0" fontId="4" fillId="0" borderId="7" xfId="7" applyFont="1" applyBorder="1" applyProtection="1">
      <protection locked="0"/>
    </xf>
    <xf numFmtId="0" fontId="4" fillId="0" borderId="63" xfId="7" applyFont="1" applyBorder="1" applyProtection="1">
      <protection locked="0"/>
    </xf>
    <xf numFmtId="0" fontId="4" fillId="0" borderId="1" xfId="7" applyFont="1" applyBorder="1" applyProtection="1">
      <protection locked="0"/>
    </xf>
    <xf numFmtId="0" fontId="4" fillId="0" borderId="51" xfId="7" applyFont="1" applyBorder="1" applyProtection="1">
      <protection locked="0"/>
    </xf>
    <xf numFmtId="0" fontId="6" fillId="2" borderId="27" xfId="7" applyFont="1" applyFill="1" applyBorder="1" applyAlignment="1" applyProtection="1">
      <alignment horizontal="centerContinuous"/>
      <protection locked="0"/>
    </xf>
    <xf numFmtId="0" fontId="6" fillId="2" borderId="55" xfId="7" applyFont="1" applyFill="1" applyBorder="1" applyAlignment="1" applyProtection="1">
      <alignment horizontal="centerContinuous"/>
      <protection locked="0"/>
    </xf>
    <xf numFmtId="0" fontId="12" fillId="0" borderId="12" xfId="5" applyFont="1" applyBorder="1" applyAlignment="1">
      <alignment vertical="center"/>
    </xf>
    <xf numFmtId="49" fontId="4" fillId="0" borderId="0" xfId="5" quotePrefix="1" applyNumberFormat="1" applyFont="1" applyAlignment="1">
      <alignment horizontal="right" vertical="center"/>
    </xf>
    <xf numFmtId="49" fontId="4" fillId="0" borderId="0" xfId="5" quotePrefix="1" applyNumberFormat="1" applyFont="1" applyAlignment="1">
      <alignment vertical="center"/>
    </xf>
    <xf numFmtId="0" fontId="4" fillId="0" borderId="17" xfId="5" applyFont="1" applyBorder="1" applyAlignment="1">
      <alignment vertical="center"/>
    </xf>
    <xf numFmtId="0" fontId="4" fillId="0" borderId="3" xfId="5" applyFont="1" applyBorder="1" applyAlignment="1">
      <alignment horizontal="centerContinuous" vertical="center"/>
    </xf>
    <xf numFmtId="0" fontId="9" fillId="0" borderId="0" xfId="0" quotePrefix="1" applyFont="1" applyAlignment="1">
      <alignment vertical="center"/>
    </xf>
    <xf numFmtId="0" fontId="4" fillId="2" borderId="11" xfId="5" applyFont="1" applyFill="1" applyBorder="1" applyAlignment="1">
      <alignment horizontal="centerContinuous" vertical="center"/>
    </xf>
    <xf numFmtId="0" fontId="4" fillId="2" borderId="91" xfId="5" applyFont="1" applyFill="1" applyBorder="1" applyAlignment="1">
      <alignment vertical="center"/>
    </xf>
    <xf numFmtId="0" fontId="6" fillId="0" borderId="9" xfId="5" applyFont="1" applyBorder="1" applyAlignment="1">
      <alignment vertical="center"/>
    </xf>
    <xf numFmtId="0" fontId="21" fillId="0" borderId="0" xfId="5" applyFont="1" applyAlignment="1">
      <alignment vertical="center"/>
    </xf>
    <xf numFmtId="0" fontId="6" fillId="0" borderId="9" xfId="5" applyFont="1" applyBorder="1" applyAlignment="1">
      <alignment horizontal="left" vertical="center"/>
    </xf>
    <xf numFmtId="0" fontId="6" fillId="2" borderId="47" xfId="5" applyFont="1" applyFill="1" applyBorder="1" applyAlignment="1">
      <alignment horizontal="left" vertical="center"/>
    </xf>
    <xf numFmtId="0" fontId="4" fillId="2" borderId="49" xfId="5" applyFont="1" applyFill="1" applyBorder="1" applyAlignment="1">
      <alignment vertical="center"/>
    </xf>
    <xf numFmtId="0" fontId="4" fillId="0" borderId="27" xfId="5" applyFont="1" applyBorder="1" applyAlignment="1">
      <alignment vertical="center"/>
    </xf>
    <xf numFmtId="0" fontId="6" fillId="2" borderId="65" xfId="5" applyFont="1" applyFill="1" applyBorder="1" applyAlignment="1">
      <alignment vertical="center"/>
    </xf>
    <xf numFmtId="0" fontId="6" fillId="2" borderId="27" xfId="5" applyFont="1" applyFill="1" applyBorder="1" applyAlignment="1">
      <alignment vertical="center"/>
    </xf>
    <xf numFmtId="0" fontId="6" fillId="2" borderId="64" xfId="5" applyFont="1" applyFill="1" applyBorder="1" applyAlignment="1">
      <alignment vertical="center"/>
    </xf>
    <xf numFmtId="0" fontId="4" fillId="2" borderId="27" xfId="5" applyFont="1" applyFill="1" applyBorder="1" applyAlignment="1">
      <alignment vertical="center"/>
    </xf>
    <xf numFmtId="0" fontId="4" fillId="2" borderId="64" xfId="5" applyFont="1" applyFill="1" applyBorder="1" applyAlignment="1">
      <alignment vertical="center"/>
    </xf>
    <xf numFmtId="0" fontId="4" fillId="2" borderId="28" xfId="5" applyFont="1" applyFill="1" applyBorder="1" applyAlignment="1">
      <alignment vertical="center"/>
    </xf>
    <xf numFmtId="0" fontId="6" fillId="2" borderId="21" xfId="5" applyFont="1" applyFill="1" applyBorder="1" applyAlignment="1">
      <alignment horizontal="left" vertical="center"/>
    </xf>
    <xf numFmtId="0" fontId="6" fillId="0" borderId="8" xfId="5" applyFont="1" applyBorder="1" applyAlignment="1">
      <alignment vertical="center"/>
    </xf>
    <xf numFmtId="0" fontId="6" fillId="0" borderId="3" xfId="5" applyFont="1" applyBorder="1" applyAlignment="1">
      <alignment vertical="center"/>
    </xf>
    <xf numFmtId="0" fontId="6" fillId="0" borderId="5" xfId="5" applyFont="1" applyBorder="1" applyAlignment="1">
      <alignment vertical="center"/>
    </xf>
    <xf numFmtId="0" fontId="4" fillId="0" borderId="9" xfId="5" applyFont="1" applyBorder="1" applyAlignment="1">
      <alignment horizontal="center" vertical="center"/>
    </xf>
    <xf numFmtId="0" fontId="4" fillId="0" borderId="6" xfId="5" applyFont="1" applyBorder="1" applyAlignment="1">
      <alignment horizontal="left" vertical="center"/>
    </xf>
    <xf numFmtId="0" fontId="4" fillId="0" borderId="63" xfId="5" applyFont="1" applyBorder="1" applyAlignment="1">
      <alignment vertical="center"/>
    </xf>
    <xf numFmtId="0" fontId="4" fillId="0" borderId="1" xfId="5" applyFont="1" applyBorder="1" applyAlignment="1">
      <alignment horizontal="left" vertical="center"/>
    </xf>
    <xf numFmtId="0" fontId="4" fillId="0" borderId="51" xfId="5" applyFont="1" applyBorder="1" applyAlignment="1">
      <alignment horizontal="right" vertical="center"/>
    </xf>
    <xf numFmtId="0" fontId="4" fillId="0" borderId="22" xfId="5" applyFont="1" applyBorder="1" applyAlignment="1">
      <alignment horizontal="right" vertical="center"/>
    </xf>
    <xf numFmtId="0" fontId="2" fillId="0" borderId="9" xfId="0" applyFont="1" applyBorder="1" applyAlignment="1">
      <alignment vertical="top" wrapText="1"/>
    </xf>
    <xf numFmtId="0" fontId="22" fillId="2" borderId="60" xfId="0" applyFont="1" applyFill="1" applyBorder="1" applyAlignment="1">
      <alignment horizontal="centerContinuous" vertical="center"/>
    </xf>
    <xf numFmtId="0" fontId="22" fillId="2" borderId="61" xfId="0" applyFont="1" applyFill="1" applyBorder="1" applyAlignment="1">
      <alignment horizontal="centerContinuous" vertical="center"/>
    </xf>
    <xf numFmtId="0" fontId="22" fillId="2" borderId="58" xfId="0" applyFont="1" applyFill="1" applyBorder="1" applyAlignment="1">
      <alignment horizontal="centerContinuous" vertical="center"/>
    </xf>
    <xf numFmtId="0" fontId="22" fillId="2" borderId="57" xfId="0" applyFont="1" applyFill="1" applyBorder="1" applyAlignment="1">
      <alignment horizontal="centerContinuous" vertical="center"/>
    </xf>
    <xf numFmtId="0" fontId="22" fillId="2" borderId="57" xfId="0" applyFont="1" applyFill="1" applyBorder="1" applyAlignment="1">
      <alignment horizontal="centerContinuous" vertical="center" wrapText="1"/>
    </xf>
    <xf numFmtId="0" fontId="22" fillId="2" borderId="62" xfId="0" applyFont="1" applyFill="1" applyBorder="1" applyAlignment="1">
      <alignment horizontal="centerContinuous" vertical="center"/>
    </xf>
    <xf numFmtId="0" fontId="4" fillId="0" borderId="18" xfId="5" applyFont="1" applyBorder="1"/>
    <xf numFmtId="0" fontId="4" fillId="0" borderId="6" xfId="5" applyFont="1" applyBorder="1" applyAlignment="1">
      <alignment horizontal="centerContinuous" vertical="center"/>
    </xf>
    <xf numFmtId="0" fontId="4" fillId="0" borderId="1" xfId="5" quotePrefix="1" applyFont="1" applyBorder="1" applyAlignment="1">
      <alignment vertical="center"/>
    </xf>
    <xf numFmtId="0" fontId="4" fillId="0" borderId="1" xfId="5" quotePrefix="1" applyFont="1" applyBorder="1" applyAlignment="1">
      <alignment horizontal="centerContinuous" vertical="center"/>
    </xf>
    <xf numFmtId="0" fontId="6" fillId="2" borderId="46" xfId="5" applyFont="1" applyFill="1" applyBorder="1" applyAlignment="1">
      <alignment vertical="center"/>
    </xf>
    <xf numFmtId="0" fontId="4" fillId="0" borderId="28" xfId="5" applyFont="1" applyBorder="1" applyAlignment="1">
      <alignment vertical="center"/>
    </xf>
    <xf numFmtId="0" fontId="4" fillId="0" borderId="29" xfId="5" applyFont="1" applyBorder="1" applyAlignment="1">
      <alignment vertical="center"/>
    </xf>
    <xf numFmtId="0" fontId="4" fillId="2" borderId="12" xfId="5" applyFont="1" applyFill="1" applyBorder="1" applyAlignment="1">
      <alignment horizontal="centerContinuous" vertical="center"/>
    </xf>
    <xf numFmtId="0" fontId="4" fillId="2" borderId="12" xfId="5" quotePrefix="1" applyFont="1" applyFill="1" applyBorder="1" applyAlignment="1">
      <alignment vertical="center"/>
    </xf>
    <xf numFmtId="0" fontId="4" fillId="2" borderId="13" xfId="5" applyFont="1" applyFill="1" applyBorder="1" applyAlignment="1">
      <alignment horizontal="centerContinuous" vertical="center"/>
    </xf>
    <xf numFmtId="0" fontId="4" fillId="0" borderId="22" xfId="5" applyFont="1" applyBorder="1" applyAlignment="1" applyProtection="1">
      <alignment vertical="center"/>
      <protection locked="0"/>
    </xf>
    <xf numFmtId="0" fontId="4" fillId="0" borderId="64" xfId="5" applyFont="1" applyBorder="1" applyAlignment="1">
      <alignment vertical="center"/>
    </xf>
    <xf numFmtId="0" fontId="4" fillId="0" borderId="13" xfId="5" applyFont="1" applyBorder="1" applyAlignment="1">
      <alignment vertical="center"/>
    </xf>
    <xf numFmtId="49" fontId="23" fillId="0" borderId="0" xfId="5" applyNumberFormat="1" applyFont="1" applyAlignment="1">
      <alignment horizontal="left" vertical="center"/>
    </xf>
    <xf numFmtId="49" fontId="23" fillId="0" borderId="0" xfId="5" quotePrefix="1" applyNumberFormat="1" applyFont="1" applyAlignment="1">
      <alignment horizontal="left" vertical="center"/>
    </xf>
    <xf numFmtId="14" fontId="4" fillId="0" borderId="0" xfId="5" quotePrefix="1" applyNumberFormat="1" applyFont="1" applyAlignment="1">
      <alignment vertical="center"/>
    </xf>
    <xf numFmtId="49" fontId="23" fillId="0" borderId="0" xfId="5" applyNumberFormat="1" applyFont="1" applyAlignment="1">
      <alignment vertical="center"/>
    </xf>
    <xf numFmtId="0" fontId="4" fillId="0" borderId="6" xfId="3" applyFont="1" applyBorder="1" applyAlignment="1" applyProtection="1">
      <alignment vertical="center"/>
      <protection locked="0"/>
    </xf>
    <xf numFmtId="0" fontId="4" fillId="0" borderId="94" xfId="3" applyFont="1" applyBorder="1" applyAlignment="1" applyProtection="1">
      <alignment vertical="center"/>
      <protection locked="0"/>
    </xf>
    <xf numFmtId="0" fontId="4" fillId="0" borderId="95" xfId="3" applyFont="1" applyBorder="1" applyAlignment="1" applyProtection="1">
      <alignment vertical="center"/>
      <protection locked="0"/>
    </xf>
    <xf numFmtId="0" fontId="4" fillId="0" borderId="0" xfId="3" applyFont="1" applyAlignment="1" applyProtection="1">
      <alignment vertical="center"/>
      <protection locked="0"/>
    </xf>
    <xf numFmtId="0" fontId="4" fillId="0" borderId="7" xfId="3" applyFont="1" applyBorder="1" applyAlignment="1" applyProtection="1">
      <alignment vertical="center"/>
      <protection locked="0"/>
    </xf>
    <xf numFmtId="0" fontId="4" fillId="0" borderId="63" xfId="3" applyFont="1" applyBorder="1" applyAlignment="1" applyProtection="1">
      <alignment vertical="center"/>
      <protection locked="0"/>
    </xf>
    <xf numFmtId="0" fontId="4" fillId="0" borderId="1" xfId="3" applyFont="1" applyBorder="1" applyAlignment="1" applyProtection="1">
      <alignment vertical="center"/>
      <protection locked="0"/>
    </xf>
    <xf numFmtId="0" fontId="23" fillId="0" borderId="95" xfId="3" applyFont="1" applyBorder="1" applyAlignment="1" applyProtection="1">
      <alignment vertical="center"/>
      <protection locked="0"/>
    </xf>
    <xf numFmtId="0" fontId="23" fillId="0" borderId="96" xfId="3" applyFont="1" applyBorder="1" applyAlignment="1" applyProtection="1">
      <alignment vertical="center"/>
      <protection locked="0"/>
    </xf>
    <xf numFmtId="0" fontId="23" fillId="0" borderId="0" xfId="3" applyFont="1" applyAlignment="1" applyProtection="1">
      <alignment vertical="center"/>
      <protection locked="0"/>
    </xf>
    <xf numFmtId="0" fontId="23" fillId="0" borderId="7" xfId="3" applyFont="1" applyBorder="1" applyAlignment="1" applyProtection="1">
      <alignment vertical="center"/>
      <protection locked="0"/>
    </xf>
    <xf numFmtId="0" fontId="23" fillId="0" borderId="1" xfId="3" applyFont="1" applyBorder="1" applyAlignment="1" applyProtection="1">
      <alignment vertical="center"/>
      <protection locked="0"/>
    </xf>
    <xf numFmtId="0" fontId="23" fillId="0" borderId="51" xfId="3" applyFont="1" applyBorder="1" applyAlignment="1" applyProtection="1">
      <alignment vertical="center"/>
      <protection locked="0"/>
    </xf>
    <xf numFmtId="0" fontId="4" fillId="2" borderId="64" xfId="5" applyFont="1" applyFill="1" applyBorder="1" applyProtection="1">
      <protection locked="0"/>
    </xf>
    <xf numFmtId="0" fontId="6" fillId="2" borderId="65" xfId="5" applyFont="1" applyFill="1" applyBorder="1" applyAlignment="1" applyProtection="1">
      <alignment vertical="center"/>
      <protection locked="0"/>
    </xf>
    <xf numFmtId="0" fontId="6" fillId="2" borderId="23" xfId="5" applyFont="1" applyFill="1" applyBorder="1" applyAlignment="1" applyProtection="1">
      <alignment vertical="center"/>
      <protection locked="0"/>
    </xf>
    <xf numFmtId="0" fontId="4" fillId="2" borderId="11" xfId="5" applyFont="1" applyFill="1" applyBorder="1" applyProtection="1">
      <protection locked="0"/>
    </xf>
    <xf numFmtId="0" fontId="4" fillId="2" borderId="24" xfId="5" applyFont="1" applyFill="1" applyBorder="1" applyProtection="1">
      <protection locked="0"/>
    </xf>
    <xf numFmtId="0" fontId="4" fillId="2" borderId="27" xfId="5" applyFont="1" applyFill="1" applyBorder="1" applyAlignment="1" applyProtection="1">
      <alignment vertical="center"/>
      <protection locked="0"/>
    </xf>
    <xf numFmtId="0" fontId="4" fillId="2" borderId="28" xfId="5" applyFont="1" applyFill="1" applyBorder="1" applyAlignment="1" applyProtection="1">
      <alignment vertical="center"/>
      <protection locked="0"/>
    </xf>
    <xf numFmtId="0" fontId="4" fillId="0" borderId="2" xfId="5" applyFont="1" applyBorder="1" applyAlignment="1" applyProtection="1">
      <alignment vertical="center"/>
      <protection locked="0"/>
    </xf>
    <xf numFmtId="0" fontId="6" fillId="2" borderId="58" xfId="5" applyFont="1" applyFill="1" applyBorder="1" applyAlignment="1" applyProtection="1">
      <alignment horizontal="centerContinuous" vertical="center"/>
      <protection locked="0"/>
    </xf>
    <xf numFmtId="0" fontId="6" fillId="2" borderId="57" xfId="5" applyFont="1" applyFill="1" applyBorder="1" applyAlignment="1" applyProtection="1">
      <alignment horizontal="centerContinuous" vertical="center"/>
      <protection locked="0"/>
    </xf>
    <xf numFmtId="0" fontId="6" fillId="2" borderId="57" xfId="2" applyFont="1" applyFill="1" applyBorder="1" applyAlignment="1" applyProtection="1">
      <alignment horizontal="centerContinuous" vertical="center"/>
      <protection locked="0"/>
    </xf>
    <xf numFmtId="0" fontId="6" fillId="2" borderId="61" xfId="5" applyFont="1" applyFill="1" applyBorder="1" applyAlignment="1" applyProtection="1">
      <alignment horizontal="centerContinuous" vertical="center"/>
      <protection locked="0"/>
    </xf>
    <xf numFmtId="0" fontId="6" fillId="2" borderId="62" xfId="5" applyFont="1" applyFill="1" applyBorder="1" applyAlignment="1" applyProtection="1">
      <alignment horizontal="centerContinuous" vertical="center"/>
      <protection locked="0"/>
    </xf>
    <xf numFmtId="0" fontId="4" fillId="0" borderId="0" xfId="5" applyFont="1" applyAlignment="1" applyProtection="1">
      <alignment horizontal="left" vertical="center"/>
      <protection locked="0"/>
    </xf>
    <xf numFmtId="0" fontId="4" fillId="0" borderId="18" xfId="5" applyFont="1" applyBorder="1" applyAlignment="1" applyProtection="1">
      <alignment horizontal="left" vertical="center"/>
      <protection locked="0"/>
    </xf>
    <xf numFmtId="0" fontId="4" fillId="0" borderId="1" xfId="5" applyFont="1" applyBorder="1" applyAlignment="1" applyProtection="1">
      <alignment horizontal="left" vertical="center"/>
      <protection locked="0"/>
    </xf>
    <xf numFmtId="0" fontId="4" fillId="0" borderId="22" xfId="5" applyFont="1" applyBorder="1" applyAlignment="1" applyProtection="1">
      <alignment horizontal="left" vertical="center"/>
      <protection locked="0"/>
    </xf>
    <xf numFmtId="0" fontId="4" fillId="0" borderId="0" xfId="5" applyFont="1" applyAlignment="1" applyProtection="1">
      <alignment vertical="top"/>
      <protection locked="0"/>
    </xf>
    <xf numFmtId="0" fontId="23" fillId="0" borderId="94" xfId="3" applyFont="1" applyBorder="1" applyAlignment="1" applyProtection="1">
      <alignment vertical="center"/>
      <protection locked="0"/>
    </xf>
    <xf numFmtId="0" fontId="23" fillId="0" borderId="6" xfId="3" applyFont="1" applyBorder="1" applyAlignment="1" applyProtection="1">
      <alignment vertical="center"/>
      <protection locked="0"/>
    </xf>
    <xf numFmtId="0" fontId="23" fillId="0" borderId="63" xfId="3" applyFont="1" applyBorder="1" applyAlignment="1" applyProtection="1">
      <alignment vertical="center"/>
      <protection locked="0"/>
    </xf>
    <xf numFmtId="0" fontId="4" fillId="0" borderId="94" xfId="5" quotePrefix="1" applyFont="1" applyBorder="1" applyAlignment="1" applyProtection="1">
      <alignment horizontal="left"/>
      <protection locked="0"/>
    </xf>
    <xf numFmtId="0" fontId="4" fillId="0" borderId="6" xfId="5" applyFont="1" applyBorder="1" applyAlignment="1">
      <alignment horizontal="center" vertical="center"/>
    </xf>
    <xf numFmtId="0" fontId="4" fillId="0" borderId="7" xfId="5" applyFont="1" applyBorder="1" applyAlignment="1">
      <alignment horizontal="center" vertical="center"/>
    </xf>
    <xf numFmtId="0" fontId="23" fillId="0" borderId="6" xfId="5" applyFont="1" applyBorder="1" applyAlignment="1">
      <alignment vertical="center"/>
    </xf>
    <xf numFmtId="0" fontId="23" fillId="0" borderId="0" xfId="5" applyFont="1" applyAlignment="1">
      <alignment vertical="center"/>
    </xf>
    <xf numFmtId="0" fontId="23" fillId="0" borderId="7" xfId="5" applyFont="1" applyBorder="1" applyAlignment="1">
      <alignment vertical="center"/>
    </xf>
    <xf numFmtId="0" fontId="4" fillId="0" borderId="6" xfId="5" quotePrefix="1" applyFont="1" applyBorder="1" applyAlignment="1">
      <alignment horizontal="center" vertical="center"/>
    </xf>
    <xf numFmtId="0" fontId="4" fillId="0" borderId="7" xfId="5" quotePrefix="1" applyFont="1" applyBorder="1" applyAlignment="1">
      <alignment horizontal="center" vertical="center"/>
    </xf>
    <xf numFmtId="0" fontId="4" fillId="0" borderId="6" xfId="0" applyFont="1" applyBorder="1"/>
    <xf numFmtId="0" fontId="4" fillId="0" borderId="0" xfId="0" applyFont="1"/>
    <xf numFmtId="0" fontId="4" fillId="0" borderId="7" xfId="0" applyFont="1" applyBorder="1"/>
    <xf numFmtId="0" fontId="4" fillId="0" borderId="6" xfId="0" applyFont="1" applyBorder="1" applyAlignment="1">
      <alignment horizontal="center"/>
    </xf>
    <xf numFmtId="0" fontId="4" fillId="0" borderId="7" xfId="0" applyFont="1" applyBorder="1" applyAlignment="1">
      <alignment horizontal="center"/>
    </xf>
    <xf numFmtId="49" fontId="6" fillId="0" borderId="0" xfId="5" applyNumberFormat="1" applyFont="1" applyAlignment="1">
      <alignment horizontal="left" vertical="center"/>
    </xf>
    <xf numFmtId="49" fontId="26" fillId="0" borderId="0" xfId="5" applyNumberFormat="1" applyFont="1" applyAlignment="1">
      <alignment vertical="center"/>
    </xf>
    <xf numFmtId="49" fontId="26" fillId="0" borderId="7" xfId="5" applyNumberFormat="1" applyFont="1" applyBorder="1" applyAlignment="1">
      <alignment horizontal="centerContinuous" vertical="center"/>
    </xf>
    <xf numFmtId="49" fontId="26" fillId="0" borderId="0" xfId="5" applyNumberFormat="1" applyFont="1" applyAlignment="1">
      <alignment horizontal="left" vertical="center"/>
    </xf>
    <xf numFmtId="0" fontId="26" fillId="0" borderId="0" xfId="5" applyFont="1" applyAlignment="1">
      <alignment vertical="center"/>
    </xf>
    <xf numFmtId="0" fontId="26" fillId="0" borderId="0" xfId="5" quotePrefix="1" applyFont="1" applyAlignment="1">
      <alignment vertical="center"/>
    </xf>
    <xf numFmtId="49" fontId="26" fillId="0" borderId="0" xfId="0" applyNumberFormat="1" applyFont="1"/>
    <xf numFmtId="49" fontId="26" fillId="0" borderId="0" xfId="5" quotePrefix="1" applyNumberFormat="1" applyFont="1" applyAlignment="1">
      <alignment horizontal="left" vertical="center"/>
    </xf>
    <xf numFmtId="0" fontId="28" fillId="0" borderId="6" xfId="5" applyFont="1" applyBorder="1" applyAlignment="1">
      <alignment vertical="center"/>
    </xf>
    <xf numFmtId="0" fontId="28" fillId="0" borderId="0" xfId="5" applyFont="1" applyProtection="1">
      <protection locked="0"/>
    </xf>
    <xf numFmtId="0" fontId="28" fillId="0" borderId="0" xfId="5" applyFont="1" applyAlignment="1" applyProtection="1">
      <alignment vertical="center"/>
      <protection locked="0"/>
    </xf>
    <xf numFmtId="0" fontId="31" fillId="2" borderId="65" xfId="5" applyFont="1" applyFill="1" applyBorder="1" applyAlignment="1">
      <alignment horizontal="left" vertical="center"/>
    </xf>
    <xf numFmtId="0" fontId="28" fillId="2" borderId="27" xfId="5" applyFont="1" applyFill="1" applyBorder="1" applyAlignment="1">
      <alignment vertical="center"/>
    </xf>
    <xf numFmtId="0" fontId="28" fillId="0" borderId="0" xfId="5" applyFont="1" applyAlignment="1">
      <alignment vertical="center"/>
    </xf>
    <xf numFmtId="49" fontId="36" fillId="0" borderId="0" xfId="5" applyNumberFormat="1" applyFont="1" applyAlignment="1">
      <alignment horizontal="left" vertical="center"/>
    </xf>
    <xf numFmtId="0" fontId="37" fillId="0" borderId="6" xfId="5" applyFont="1" applyBorder="1" applyAlignment="1">
      <alignment vertical="center"/>
    </xf>
    <xf numFmtId="0" fontId="4" fillId="0" borderId="97" xfId="6" applyFont="1" applyBorder="1" applyAlignment="1">
      <alignment vertical="center"/>
    </xf>
    <xf numFmtId="0" fontId="4" fillId="0" borderId="0" xfId="6" applyFont="1" applyAlignment="1">
      <alignment vertical="center"/>
    </xf>
    <xf numFmtId="0" fontId="4" fillId="0" borderId="98" xfId="6" applyFont="1" applyBorder="1" applyAlignment="1">
      <alignment vertical="center"/>
    </xf>
    <xf numFmtId="0" fontId="4" fillId="0" borderId="97" xfId="6" applyFont="1" applyBorder="1" applyAlignment="1">
      <alignment vertical="center" wrapText="1"/>
    </xf>
    <xf numFmtId="0" fontId="0" fillId="0" borderId="0" xfId="0" applyAlignment="1">
      <alignment vertical="center" wrapText="1"/>
    </xf>
    <xf numFmtId="0" fontId="0" fillId="0" borderId="18" xfId="0" applyBorder="1" applyAlignment="1">
      <alignment vertical="center" wrapText="1"/>
    </xf>
    <xf numFmtId="0" fontId="4" fillId="0" borderId="99" xfId="6" applyFont="1" applyBorder="1" applyAlignment="1">
      <alignment vertical="center" wrapText="1"/>
    </xf>
    <xf numFmtId="0" fontId="0" fillId="0" borderId="3" xfId="0" applyBorder="1" applyAlignment="1">
      <alignment vertical="center" wrapText="1"/>
    </xf>
    <xf numFmtId="0" fontId="0" fillId="0" borderId="16" xfId="0" applyBorder="1" applyAlignment="1">
      <alignment vertical="center" wrapText="1"/>
    </xf>
    <xf numFmtId="0" fontId="4" fillId="0" borderId="99" xfId="6" applyFont="1" applyBorder="1" applyAlignment="1">
      <alignment vertical="center"/>
    </xf>
    <xf numFmtId="0" fontId="4" fillId="0" borderId="3" xfId="6" applyFont="1" applyBorder="1" applyAlignment="1">
      <alignment vertical="center"/>
    </xf>
    <xf numFmtId="0" fontId="4" fillId="0" borderId="100" xfId="6" applyFont="1" applyBorder="1" applyAlignment="1">
      <alignment vertical="center"/>
    </xf>
    <xf numFmtId="0" fontId="4" fillId="0" borderId="86" xfId="6" applyFont="1" applyBorder="1" applyAlignment="1">
      <alignment vertical="center"/>
    </xf>
    <xf numFmtId="0" fontId="4" fillId="0" borderId="4" xfId="6" applyFont="1" applyBorder="1" applyAlignment="1">
      <alignment vertical="center"/>
    </xf>
    <xf numFmtId="0" fontId="4" fillId="0" borderId="87" xfId="6" applyFont="1" applyBorder="1" applyAlignment="1">
      <alignment vertical="center"/>
    </xf>
    <xf numFmtId="0" fontId="0" fillId="0" borderId="0" xfId="0" applyAlignment="1">
      <alignment vertical="center"/>
    </xf>
    <xf numFmtId="0" fontId="0" fillId="0" borderId="18" xfId="0" applyBorder="1" applyAlignment="1">
      <alignment vertical="center"/>
    </xf>
    <xf numFmtId="0" fontId="4" fillId="0" borderId="25" xfId="5" applyFont="1" applyBorder="1" applyAlignment="1">
      <alignment horizontal="left" vertical="center"/>
    </xf>
    <xf numFmtId="0" fontId="4" fillId="0" borderId="49" xfId="5" applyFont="1" applyBorder="1" applyAlignment="1">
      <alignment horizontal="left" vertical="center"/>
    </xf>
    <xf numFmtId="14" fontId="4" fillId="0" borderId="25" xfId="4" applyNumberFormat="1" applyFont="1" applyBorder="1" applyAlignment="1" applyProtection="1">
      <alignment horizontal="left" vertical="center"/>
      <protection locked="0"/>
    </xf>
    <xf numFmtId="14" fontId="4" fillId="0" borderId="49" xfId="4" applyNumberFormat="1" applyFont="1" applyBorder="1" applyAlignment="1" applyProtection="1">
      <alignment horizontal="left" vertical="center"/>
      <protection locked="0"/>
    </xf>
    <xf numFmtId="14" fontId="4" fillId="0" borderId="25" xfId="5" applyNumberFormat="1" applyFont="1" applyBorder="1" applyAlignment="1" applyProtection="1">
      <alignment horizontal="left" vertical="center"/>
      <protection locked="0"/>
    </xf>
    <xf numFmtId="14" fontId="4" fillId="0" borderId="26" xfId="5" applyNumberFormat="1" applyFont="1" applyBorder="1" applyAlignment="1" applyProtection="1">
      <alignment horizontal="left" vertical="center"/>
      <protection locked="0"/>
    </xf>
    <xf numFmtId="0" fontId="4" fillId="0" borderId="12" xfId="5" applyFont="1" applyBorder="1" applyAlignment="1">
      <alignment horizontal="left" vertical="center"/>
    </xf>
    <xf numFmtId="0" fontId="4" fillId="0" borderId="13" xfId="5" applyFont="1" applyBorder="1" applyAlignment="1">
      <alignment horizontal="left" vertical="center"/>
    </xf>
    <xf numFmtId="0" fontId="4" fillId="0" borderId="12" xfId="5" applyFont="1" applyBorder="1" applyAlignment="1" applyProtection="1">
      <alignment horizontal="left" vertical="center"/>
      <protection locked="0"/>
    </xf>
    <xf numFmtId="0" fontId="4" fillId="0" borderId="29" xfId="5" applyFont="1" applyBorder="1" applyAlignment="1" applyProtection="1">
      <alignment horizontal="left" vertical="center"/>
      <protection locked="0"/>
    </xf>
    <xf numFmtId="14" fontId="4" fillId="0" borderId="12" xfId="4" applyNumberFormat="1" applyFont="1" applyBorder="1" applyAlignment="1" applyProtection="1">
      <alignment horizontal="left" vertical="center"/>
      <protection locked="0"/>
    </xf>
    <xf numFmtId="14" fontId="4" fillId="0" borderId="13" xfId="4" applyNumberFormat="1" applyFont="1" applyBorder="1" applyAlignment="1" applyProtection="1">
      <alignment horizontal="left" vertical="center"/>
      <protection locked="0"/>
    </xf>
    <xf numFmtId="49" fontId="6" fillId="2" borderId="78" xfId="6" applyNumberFormat="1" applyFont="1" applyFill="1" applyBorder="1" applyAlignment="1">
      <alignment vertical="center"/>
    </xf>
    <xf numFmtId="49" fontId="6" fillId="2" borderId="68" xfId="6" applyNumberFormat="1" applyFont="1" applyFill="1" applyBorder="1" applyAlignment="1">
      <alignment vertical="center"/>
    </xf>
    <xf numFmtId="0" fontId="0" fillId="0" borderId="3" xfId="0" applyBorder="1" applyAlignment="1">
      <alignment vertical="center"/>
    </xf>
    <xf numFmtId="0" fontId="0" fillId="0" borderId="16" xfId="0" applyBorder="1" applyAlignment="1">
      <alignment vertical="center"/>
    </xf>
    <xf numFmtId="0" fontId="4" fillId="0" borderId="1" xfId="5" applyFont="1" applyBorder="1" applyAlignment="1">
      <alignment horizontal="center" vertical="center"/>
    </xf>
    <xf numFmtId="0" fontId="4" fillId="0" borderId="22" xfId="5" applyFont="1" applyBorder="1" applyAlignment="1">
      <alignment horizontal="center" vertical="center"/>
    </xf>
    <xf numFmtId="0" fontId="4" fillId="0" borderId="0" xfId="6" applyFont="1" applyAlignment="1">
      <alignment vertical="center" wrapText="1"/>
    </xf>
    <xf numFmtId="0" fontId="4" fillId="0" borderId="52" xfId="5" applyFont="1" applyBorder="1" applyAlignment="1">
      <alignment horizontal="center" vertical="center"/>
    </xf>
    <xf numFmtId="0" fontId="4" fillId="0" borderId="30" xfId="5" applyFont="1" applyBorder="1" applyAlignment="1">
      <alignment horizontal="center" vertical="center"/>
    </xf>
    <xf numFmtId="0" fontId="4" fillId="0" borderId="53" xfId="5" applyFont="1" applyBorder="1" applyAlignment="1">
      <alignment horizontal="center" vertical="center"/>
    </xf>
    <xf numFmtId="14" fontId="4" fillId="0" borderId="30" xfId="5" applyNumberFormat="1" applyFont="1" applyBorder="1" applyAlignment="1">
      <alignment horizontal="left" vertical="center" indent="1"/>
    </xf>
    <xf numFmtId="14" fontId="4" fillId="0" borderId="31" xfId="5" applyNumberFormat="1" applyFont="1" applyBorder="1" applyAlignment="1">
      <alignment horizontal="left" vertical="center" indent="1"/>
    </xf>
    <xf numFmtId="0" fontId="4" fillId="0" borderId="16" xfId="6" applyFont="1" applyBorder="1" applyAlignment="1">
      <alignment vertical="center"/>
    </xf>
    <xf numFmtId="0" fontId="4" fillId="0" borderId="88" xfId="6" applyFont="1" applyBorder="1" applyAlignment="1">
      <alignment vertical="center"/>
    </xf>
    <xf numFmtId="0" fontId="4" fillId="0" borderId="1" xfId="6" applyFont="1" applyBorder="1" applyAlignment="1">
      <alignment vertical="center"/>
    </xf>
    <xf numFmtId="0" fontId="4" fillId="0" borderId="89" xfId="6" applyFont="1" applyBorder="1" applyAlignment="1">
      <alignment vertical="center"/>
    </xf>
    <xf numFmtId="14" fontId="4" fillId="0" borderId="52" xfId="5" applyNumberFormat="1" applyFont="1" applyBorder="1" applyAlignment="1">
      <alignment horizontal="center" vertical="center"/>
    </xf>
    <xf numFmtId="14" fontId="4" fillId="0" borderId="30" xfId="5" applyNumberFormat="1" applyFont="1" applyBorder="1" applyAlignment="1">
      <alignment horizontal="center" vertical="center"/>
    </xf>
    <xf numFmtId="14" fontId="4" fillId="0" borderId="31" xfId="5" applyNumberFormat="1" applyFont="1" applyBorder="1" applyAlignment="1">
      <alignment horizontal="center" vertical="center"/>
    </xf>
    <xf numFmtId="14" fontId="4" fillId="0" borderId="65" xfId="4" applyNumberFormat="1" applyFont="1" applyBorder="1" applyAlignment="1">
      <alignment horizontal="center" vertical="center"/>
    </xf>
    <xf numFmtId="14" fontId="4" fillId="0" borderId="27" xfId="4" applyNumberFormat="1" applyFont="1" applyBorder="1" applyAlignment="1">
      <alignment horizontal="center" vertical="center"/>
    </xf>
    <xf numFmtId="14" fontId="4" fillId="0" borderId="64" xfId="4" applyNumberFormat="1" applyFont="1" applyBorder="1" applyAlignment="1">
      <alignment horizontal="center" vertical="center"/>
    </xf>
    <xf numFmtId="14" fontId="4" fillId="0" borderId="65" xfId="5" applyNumberFormat="1" applyFont="1" applyBorder="1" applyAlignment="1">
      <alignment horizontal="center" vertical="center"/>
    </xf>
    <xf numFmtId="14" fontId="4" fillId="0" borderId="27" xfId="5" applyNumberFormat="1" applyFont="1" applyBorder="1" applyAlignment="1">
      <alignment horizontal="center" vertical="center"/>
    </xf>
    <xf numFmtId="14" fontId="4" fillId="0" borderId="28" xfId="5" applyNumberFormat="1" applyFont="1" applyBorder="1" applyAlignment="1">
      <alignment horizontal="center" vertical="center"/>
    </xf>
    <xf numFmtId="14" fontId="4" fillId="0" borderId="50" xfId="4" applyNumberFormat="1" applyFont="1" applyBorder="1" applyAlignment="1">
      <alignment horizontal="center" vertical="center"/>
    </xf>
    <xf numFmtId="14" fontId="4" fillId="0" borderId="12" xfId="4" applyNumberFormat="1" applyFont="1" applyBorder="1" applyAlignment="1">
      <alignment horizontal="center" vertical="center"/>
    </xf>
    <xf numFmtId="14" fontId="4" fillId="0" borderId="13" xfId="4" applyNumberFormat="1" applyFont="1" applyBorder="1" applyAlignment="1">
      <alignment horizontal="center" vertical="center"/>
    </xf>
    <xf numFmtId="14" fontId="4" fillId="0" borderId="50" xfId="5" applyNumberFormat="1" applyFont="1" applyBorder="1" applyAlignment="1">
      <alignment horizontal="center" vertical="center"/>
    </xf>
    <xf numFmtId="14" fontId="4" fillId="0" borderId="12" xfId="5" applyNumberFormat="1" applyFont="1" applyBorder="1" applyAlignment="1">
      <alignment horizontal="center" vertical="center"/>
    </xf>
    <xf numFmtId="14" fontId="4" fillId="0" borderId="29" xfId="5" applyNumberFormat="1" applyFont="1" applyBorder="1" applyAlignment="1">
      <alignment horizontal="center" vertical="center"/>
    </xf>
    <xf numFmtId="14" fontId="6" fillId="2" borderId="52" xfId="5" applyNumberFormat="1" applyFont="1" applyFill="1" applyBorder="1" applyAlignment="1">
      <alignment horizontal="center" vertical="center"/>
    </xf>
    <xf numFmtId="14" fontId="6" fillId="2" borderId="30" xfId="5" applyNumberFormat="1" applyFont="1" applyFill="1" applyBorder="1" applyAlignment="1">
      <alignment horizontal="center" vertical="center"/>
    </xf>
    <xf numFmtId="14" fontId="6" fillId="2" borderId="53" xfId="5" applyNumberFormat="1" applyFont="1" applyFill="1" applyBorder="1" applyAlignment="1">
      <alignment horizontal="center" vertical="center"/>
    </xf>
    <xf numFmtId="14" fontId="4" fillId="0" borderId="23" xfId="5" applyNumberFormat="1" applyFont="1" applyBorder="1" applyAlignment="1">
      <alignment horizontal="center" vertical="center"/>
    </xf>
    <xf numFmtId="14" fontId="4" fillId="0" borderId="11" xfId="5" applyNumberFormat="1" applyFont="1" applyBorder="1" applyAlignment="1">
      <alignment horizontal="center" vertical="center"/>
    </xf>
    <xf numFmtId="14" fontId="4" fillId="0" borderId="91" xfId="5" applyNumberFormat="1" applyFont="1" applyBorder="1" applyAlignment="1">
      <alignment horizontal="center" vertical="center"/>
    </xf>
    <xf numFmtId="0" fontId="4" fillId="0" borderId="23" xfId="5" applyFont="1" applyBorder="1" applyAlignment="1">
      <alignment vertical="center"/>
    </xf>
    <xf numFmtId="0" fontId="4" fillId="0" borderId="11" xfId="5" applyFont="1" applyBorder="1" applyAlignment="1">
      <alignment vertical="center"/>
    </xf>
    <xf numFmtId="0" fontId="4" fillId="0" borderId="24" xfId="5" applyFont="1" applyBorder="1" applyAlignment="1">
      <alignment vertical="center"/>
    </xf>
    <xf numFmtId="0" fontId="4" fillId="0" borderId="23" xfId="5" quotePrefix="1" applyFont="1" applyBorder="1" applyAlignment="1">
      <alignment horizontal="center" vertical="center"/>
    </xf>
    <xf numFmtId="0" fontId="4" fillId="0" borderId="11" xfId="5" applyFont="1" applyBorder="1" applyAlignment="1">
      <alignment horizontal="center" vertical="center"/>
    </xf>
    <xf numFmtId="0" fontId="4" fillId="0" borderId="91" xfId="5" applyFont="1" applyBorder="1" applyAlignment="1">
      <alignment horizontal="center" vertical="center"/>
    </xf>
    <xf numFmtId="0" fontId="4" fillId="0" borderId="50" xfId="5" applyFont="1" applyBorder="1" applyAlignment="1">
      <alignment vertical="center"/>
    </xf>
    <xf numFmtId="0" fontId="4" fillId="0" borderId="12" xfId="5" applyFont="1" applyBorder="1" applyAlignment="1">
      <alignment vertical="center"/>
    </xf>
    <xf numFmtId="0" fontId="4" fillId="0" borderId="13" xfId="5" applyFont="1" applyBorder="1" applyAlignment="1">
      <alignment vertical="center"/>
    </xf>
    <xf numFmtId="0" fontId="6" fillId="2" borderId="46" xfId="5" applyFont="1" applyFill="1" applyBorder="1" applyAlignment="1">
      <alignment horizontal="center" vertical="center"/>
    </xf>
    <xf numFmtId="0" fontId="6" fillId="2" borderId="27" xfId="5" applyFont="1" applyFill="1" applyBorder="1" applyAlignment="1">
      <alignment horizontal="center" vertical="center"/>
    </xf>
    <xf numFmtId="0" fontId="6" fillId="0" borderId="65" xfId="5" applyFont="1" applyBorder="1" applyAlignment="1">
      <alignment vertical="center"/>
    </xf>
    <xf numFmtId="0" fontId="6" fillId="0" borderId="27" xfId="5" applyFont="1" applyBorder="1" applyAlignment="1">
      <alignment vertical="center"/>
    </xf>
    <xf numFmtId="0" fontId="6" fillId="0" borderId="28" xfId="5" applyFont="1" applyBorder="1" applyAlignment="1">
      <alignment vertical="center"/>
    </xf>
    <xf numFmtId="0" fontId="6" fillId="2" borderId="21" xfId="5" applyFont="1" applyFill="1" applyBorder="1" applyAlignment="1">
      <alignment horizontal="center" vertical="center"/>
    </xf>
    <xf numFmtId="0" fontId="6" fillId="2" borderId="12" xfId="5" applyFont="1" applyFill="1" applyBorder="1" applyAlignment="1">
      <alignment horizontal="center" vertical="center"/>
    </xf>
    <xf numFmtId="0" fontId="6" fillId="0" borderId="50" xfId="5" applyFont="1" applyBorder="1" applyAlignment="1">
      <alignment vertical="center"/>
    </xf>
    <xf numFmtId="0" fontId="6" fillId="0" borderId="12" xfId="5" applyFont="1" applyBorder="1" applyAlignment="1">
      <alignment vertical="center"/>
    </xf>
    <xf numFmtId="0" fontId="6" fillId="0" borderId="29" xfId="5" applyFont="1" applyBorder="1" applyAlignment="1">
      <alignment vertical="center"/>
    </xf>
    <xf numFmtId="0" fontId="12" fillId="0" borderId="12" xfId="5" applyFont="1" applyBorder="1" applyAlignment="1">
      <alignment horizontal="center" vertical="center"/>
    </xf>
    <xf numFmtId="0" fontId="12" fillId="0" borderId="4" xfId="5" applyFont="1" applyBorder="1" applyAlignment="1">
      <alignment horizontal="center" vertical="center"/>
    </xf>
    <xf numFmtId="0" fontId="4" fillId="0" borderId="4" xfId="5" applyFont="1" applyBorder="1" applyAlignment="1">
      <alignment vertical="center"/>
    </xf>
    <xf numFmtId="0" fontId="6" fillId="2" borderId="64" xfId="5" applyFont="1" applyFill="1" applyBorder="1" applyAlignment="1">
      <alignment horizontal="center" vertical="center"/>
    </xf>
    <xf numFmtId="0" fontId="6" fillId="2" borderId="65" xfId="5" applyFont="1" applyFill="1" applyBorder="1" applyAlignment="1">
      <alignment horizontal="center" vertical="center"/>
    </xf>
    <xf numFmtId="0" fontId="6" fillId="2" borderId="28" xfId="5" applyFont="1" applyFill="1" applyBorder="1" applyAlignment="1">
      <alignment horizontal="center" vertical="center"/>
    </xf>
    <xf numFmtId="0" fontId="4" fillId="0" borderId="23" xfId="5" applyFont="1" applyBorder="1" applyAlignment="1">
      <alignment horizontal="center" vertical="center"/>
    </xf>
    <xf numFmtId="0" fontId="4" fillId="0" borderId="9" xfId="5" applyFont="1" applyBorder="1" applyAlignment="1" applyProtection="1">
      <alignment horizontal="center" vertical="center"/>
      <protection locked="0"/>
    </xf>
    <xf numFmtId="0" fontId="4" fillId="0" borderId="7" xfId="5" applyFont="1" applyBorder="1" applyAlignment="1" applyProtection="1">
      <alignment horizontal="center" vertical="center"/>
      <protection locked="0"/>
    </xf>
    <xf numFmtId="0" fontId="4" fillId="0" borderId="6" xfId="5" applyFont="1" applyBorder="1" applyAlignment="1" applyProtection="1">
      <alignment horizontal="center" vertical="center"/>
      <protection locked="0"/>
    </xf>
    <xf numFmtId="0" fontId="4" fillId="0" borderId="0" xfId="5" applyFont="1" applyAlignment="1" applyProtection="1">
      <alignment horizontal="center" vertical="center"/>
      <protection locked="0"/>
    </xf>
    <xf numFmtId="0" fontId="4" fillId="0" borderId="6" xfId="5" applyFont="1" applyBorder="1" applyAlignment="1" applyProtection="1">
      <alignment vertical="center"/>
      <protection locked="0"/>
    </xf>
    <xf numFmtId="0" fontId="4" fillId="0" borderId="0" xfId="5" applyFont="1" applyAlignment="1" applyProtection="1">
      <alignment vertical="center"/>
      <protection locked="0"/>
    </xf>
    <xf numFmtId="0" fontId="4" fillId="0" borderId="7" xfId="5" applyFont="1" applyBorder="1" applyAlignment="1" applyProtection="1">
      <alignment vertical="center"/>
      <protection locked="0"/>
    </xf>
    <xf numFmtId="0" fontId="4" fillId="0" borderId="102" xfId="5" applyFont="1" applyBorder="1" applyAlignment="1" applyProtection="1">
      <alignment horizontal="center" vertical="center"/>
      <protection locked="0"/>
    </xf>
    <xf numFmtId="0" fontId="4" fillId="0" borderId="96" xfId="5" applyFont="1" applyBorder="1" applyAlignment="1" applyProtection="1">
      <alignment horizontal="center" vertical="center"/>
      <protection locked="0"/>
    </xf>
    <xf numFmtId="0" fontId="4" fillId="0" borderId="94" xfId="5" applyFont="1" applyBorder="1" applyAlignment="1" applyProtection="1">
      <alignment vertical="center"/>
      <protection locked="0"/>
    </xf>
    <xf numFmtId="0" fontId="4" fillId="0" borderId="95" xfId="5" applyFont="1" applyBorder="1" applyAlignment="1" applyProtection="1">
      <alignment vertical="center"/>
      <protection locked="0"/>
    </xf>
    <xf numFmtId="0" fontId="4" fillId="0" borderId="96" xfId="5" applyFont="1" applyBorder="1" applyAlignment="1" applyProtection="1">
      <alignment vertical="center"/>
      <protection locked="0"/>
    </xf>
    <xf numFmtId="0" fontId="4" fillId="0" borderId="94" xfId="5" applyFont="1" applyBorder="1" applyAlignment="1" applyProtection="1">
      <alignment horizontal="center" vertical="center"/>
      <protection locked="0"/>
    </xf>
    <xf numFmtId="0" fontId="4" fillId="0" borderId="95" xfId="5" applyFont="1" applyBorder="1" applyAlignment="1" applyProtection="1">
      <alignment horizontal="center" vertical="center"/>
      <protection locked="0"/>
    </xf>
    <xf numFmtId="0" fontId="4" fillId="0" borderId="101" xfId="5" applyFont="1" applyBorder="1" applyAlignment="1" applyProtection="1">
      <alignment vertical="center"/>
      <protection locked="0"/>
    </xf>
    <xf numFmtId="0" fontId="4" fillId="0" borderId="65" xfId="5" applyFont="1" applyBorder="1" applyAlignment="1" applyProtection="1">
      <alignment horizontal="center" vertical="center" wrapText="1"/>
      <protection locked="0"/>
    </xf>
    <xf numFmtId="0" fontId="4" fillId="0" borderId="27" xfId="5" applyFont="1" applyBorder="1" applyAlignment="1" applyProtection="1">
      <alignment horizontal="center" vertical="center"/>
      <protection locked="0"/>
    </xf>
    <xf numFmtId="0" fontId="4" fillId="0" borderId="64" xfId="5" applyFont="1" applyBorder="1" applyAlignment="1" applyProtection="1">
      <alignment horizontal="center" vertical="center"/>
      <protection locked="0"/>
    </xf>
    <xf numFmtId="0" fontId="4" fillId="0" borderId="63" xfId="5" applyFont="1" applyBorder="1" applyAlignment="1" applyProtection="1">
      <alignment horizontal="center" vertical="center"/>
      <protection locked="0"/>
    </xf>
    <xf numFmtId="0" fontId="4" fillId="0" borderId="1" xfId="5" applyFont="1" applyBorder="1" applyAlignment="1" applyProtection="1">
      <alignment horizontal="center" vertical="center"/>
      <protection locked="0"/>
    </xf>
    <xf numFmtId="0" fontId="4" fillId="0" borderId="51" xfId="5" applyFont="1" applyBorder="1" applyAlignment="1" applyProtection="1">
      <alignment horizontal="center" vertical="center"/>
      <protection locked="0"/>
    </xf>
    <xf numFmtId="0" fontId="4" fillId="0" borderId="2" xfId="5" applyFont="1" applyBorder="1" applyAlignment="1" applyProtection="1">
      <alignment horizontal="center" vertical="center"/>
      <protection locked="0"/>
    </xf>
    <xf numFmtId="0" fontId="4" fillId="0" borderId="63" xfId="5" applyFont="1" applyBorder="1" applyAlignment="1" applyProtection="1">
      <alignment vertical="center"/>
      <protection locked="0"/>
    </xf>
    <xf numFmtId="0" fontId="4" fillId="0" borderId="1" xfId="5" applyFont="1" applyBorder="1" applyAlignment="1" applyProtection="1">
      <alignment vertical="center"/>
      <protection locked="0"/>
    </xf>
    <xf numFmtId="0" fontId="4" fillId="0" borderId="51" xfId="5" applyFont="1" applyBorder="1" applyAlignment="1" applyProtection="1">
      <alignment vertical="center"/>
      <protection locked="0"/>
    </xf>
    <xf numFmtId="0" fontId="4" fillId="0" borderId="6" xfId="5" quotePrefix="1" applyFont="1" applyBorder="1" applyAlignment="1" applyProtection="1">
      <alignment horizontal="center" vertical="center"/>
      <protection locked="0"/>
    </xf>
    <xf numFmtId="0" fontId="4" fillId="0" borderId="0" xfId="5" quotePrefix="1" applyFont="1" applyAlignment="1" applyProtection="1">
      <alignment horizontal="center" vertical="center"/>
      <protection locked="0"/>
    </xf>
    <xf numFmtId="0" fontId="4" fillId="0" borderId="7" xfId="5" quotePrefix="1" applyFont="1" applyBorder="1" applyAlignment="1" applyProtection="1">
      <alignment horizontal="center" vertical="center"/>
      <protection locked="0"/>
    </xf>
    <xf numFmtId="0" fontId="4" fillId="0" borderId="22" xfId="5" applyFont="1" applyBorder="1" applyAlignment="1" applyProtection="1">
      <alignment vertical="center"/>
      <protection locked="0"/>
    </xf>
    <xf numFmtId="0" fontId="4" fillId="0" borderId="18" xfId="5" applyFont="1" applyBorder="1" applyAlignment="1" applyProtection="1">
      <alignment vertical="center"/>
      <protection locked="0"/>
    </xf>
    <xf numFmtId="0" fontId="4" fillId="0" borderId="6" xfId="5" quotePrefix="1" applyFont="1" applyBorder="1" applyAlignment="1" applyProtection="1">
      <alignment vertical="center"/>
      <protection locked="0"/>
    </xf>
    <xf numFmtId="0" fontId="4" fillId="0" borderId="6" xfId="5" applyFont="1" applyBorder="1" applyAlignment="1" applyProtection="1">
      <alignment horizontal="center" shrinkToFit="1"/>
      <protection locked="0"/>
    </xf>
    <xf numFmtId="0" fontId="4" fillId="0" borderId="0" xfId="5" applyFont="1" applyAlignment="1" applyProtection="1">
      <alignment horizontal="center" shrinkToFit="1"/>
      <protection locked="0"/>
    </xf>
    <xf numFmtId="0" fontId="4" fillId="0" borderId="7" xfId="5" applyFont="1" applyBorder="1" applyAlignment="1" applyProtection="1">
      <alignment horizontal="center" shrinkToFit="1"/>
      <protection locked="0"/>
    </xf>
    <xf numFmtId="0" fontId="6" fillId="0" borderId="9" xfId="5" quotePrefix="1" applyFont="1" applyBorder="1" applyAlignment="1" applyProtection="1">
      <alignment horizontal="center" vertical="center"/>
      <protection locked="0"/>
    </xf>
    <xf numFmtId="0" fontId="6" fillId="0" borderId="0" xfId="5" applyFont="1" applyAlignment="1" applyProtection="1">
      <alignment horizontal="center" vertical="center"/>
      <protection locked="0"/>
    </xf>
    <xf numFmtId="0" fontId="6" fillId="0" borderId="7" xfId="5" applyFont="1" applyBorder="1" applyAlignment="1" applyProtection="1">
      <alignment horizontal="center" vertical="center"/>
      <protection locked="0"/>
    </xf>
    <xf numFmtId="0" fontId="4" fillId="0" borderId="94" xfId="5" applyFont="1" applyBorder="1" applyAlignment="1" applyProtection="1">
      <alignment horizontal="center" shrinkToFit="1"/>
      <protection locked="0"/>
    </xf>
    <xf numFmtId="0" fontId="4" fillId="0" borderId="95" xfId="5" applyFont="1" applyBorder="1" applyAlignment="1" applyProtection="1">
      <alignment horizontal="center" shrinkToFit="1"/>
      <protection locked="0"/>
    </xf>
    <xf numFmtId="0" fontId="4" fillId="0" borderId="96" xfId="5" applyFont="1" applyBorder="1" applyAlignment="1" applyProtection="1">
      <alignment horizontal="center" shrinkToFit="1"/>
      <protection locked="0"/>
    </xf>
    <xf numFmtId="0" fontId="6" fillId="0" borderId="102" xfId="5" quotePrefix="1" applyFont="1" applyBorder="1" applyAlignment="1" applyProtection="1">
      <alignment horizontal="center" vertical="center"/>
      <protection locked="0"/>
    </xf>
    <xf numFmtId="0" fontId="6" fillId="0" borderId="95" xfId="5" applyFont="1" applyBorder="1" applyAlignment="1" applyProtection="1">
      <alignment horizontal="center" vertical="center"/>
      <protection locked="0"/>
    </xf>
    <xf numFmtId="0" fontId="6" fillId="0" borderId="96" xfId="5" applyFont="1" applyBorder="1" applyAlignment="1" applyProtection="1">
      <alignment horizontal="center" vertical="center"/>
      <protection locked="0"/>
    </xf>
    <xf numFmtId="0" fontId="4" fillId="0" borderId="14" xfId="5" applyFont="1" applyBorder="1" applyAlignment="1" applyProtection="1">
      <alignment horizontal="left"/>
      <protection locked="0"/>
    </xf>
    <xf numFmtId="0" fontId="4" fillId="0" borderId="4" xfId="5" applyFont="1" applyBorder="1" applyAlignment="1" applyProtection="1">
      <alignment horizontal="left"/>
      <protection locked="0"/>
    </xf>
    <xf numFmtId="0" fontId="4" fillId="0" borderId="15" xfId="5" applyFont="1" applyBorder="1" applyAlignment="1" applyProtection="1">
      <alignment horizontal="left"/>
      <protection locked="0"/>
    </xf>
    <xf numFmtId="0" fontId="4" fillId="0" borderId="19" xfId="5" applyFont="1" applyBorder="1" applyAlignment="1" applyProtection="1">
      <alignment horizontal="center"/>
      <protection locked="0"/>
    </xf>
    <xf numFmtId="0" fontId="4" fillId="0" borderId="15" xfId="5" applyFont="1" applyBorder="1" applyAlignment="1" applyProtection="1">
      <alignment horizontal="center"/>
      <protection locked="0"/>
    </xf>
    <xf numFmtId="0" fontId="4" fillId="0" borderId="6" xfId="5" applyFont="1" applyBorder="1" applyAlignment="1" applyProtection="1">
      <alignment shrinkToFit="1"/>
      <protection locked="0"/>
    </xf>
    <xf numFmtId="0" fontId="4" fillId="0" borderId="0" xfId="5" applyFont="1" applyAlignment="1" applyProtection="1">
      <alignment shrinkToFit="1"/>
      <protection locked="0"/>
    </xf>
    <xf numFmtId="0" fontId="4" fillId="0" borderId="7" xfId="5" applyFont="1" applyBorder="1" applyAlignment="1" applyProtection="1">
      <alignment shrinkToFit="1"/>
      <protection locked="0"/>
    </xf>
    <xf numFmtId="0" fontId="4" fillId="0" borderId="94" xfId="5" applyFont="1" applyBorder="1" applyAlignment="1" applyProtection="1">
      <alignment wrapText="1"/>
      <protection locked="0"/>
    </xf>
    <xf numFmtId="0" fontId="4" fillId="0" borderId="95" xfId="5" applyFont="1" applyBorder="1" applyAlignment="1" applyProtection="1">
      <alignment wrapText="1"/>
      <protection locked="0"/>
    </xf>
    <xf numFmtId="0" fontId="4" fillId="0" borderId="96" xfId="5" applyFont="1" applyBorder="1" applyAlignment="1" applyProtection="1">
      <alignment wrapText="1"/>
      <protection locked="0"/>
    </xf>
    <xf numFmtId="0" fontId="4" fillId="0" borderId="6" xfId="5" applyFont="1" applyBorder="1" applyAlignment="1" applyProtection="1">
      <alignment wrapText="1"/>
      <protection locked="0"/>
    </xf>
    <xf numFmtId="0" fontId="4" fillId="0" borderId="0" xfId="5" applyFont="1" applyAlignment="1" applyProtection="1">
      <alignment wrapText="1"/>
      <protection locked="0"/>
    </xf>
    <xf numFmtId="0" fontId="4" fillId="0" borderId="7" xfId="5" applyFont="1" applyBorder="1" applyAlignment="1" applyProtection="1">
      <alignment wrapText="1"/>
      <protection locked="0"/>
    </xf>
    <xf numFmtId="0" fontId="4" fillId="0" borderId="9" xfId="5" applyFont="1" applyBorder="1" applyAlignment="1" applyProtection="1">
      <alignment horizontal="center"/>
      <protection locked="0"/>
    </xf>
    <xf numFmtId="0" fontId="4" fillId="0" borderId="7" xfId="5" applyFont="1" applyBorder="1" applyAlignment="1" applyProtection="1">
      <alignment horizontal="center"/>
      <protection locked="0"/>
    </xf>
    <xf numFmtId="0" fontId="4" fillId="0" borderId="94" xfId="5" applyFont="1" applyBorder="1" applyAlignment="1" applyProtection="1">
      <alignment horizontal="left"/>
      <protection locked="0"/>
    </xf>
    <xf numFmtId="0" fontId="4" fillId="0" borderId="95" xfId="5" applyFont="1" applyBorder="1" applyAlignment="1" applyProtection="1">
      <alignment horizontal="left"/>
      <protection locked="0"/>
    </xf>
    <xf numFmtId="0" fontId="4" fillId="0" borderId="96" xfId="5" applyFont="1" applyBorder="1" applyAlignment="1" applyProtection="1">
      <alignment horizontal="left"/>
      <protection locked="0"/>
    </xf>
    <xf numFmtId="0" fontId="4" fillId="0" borderId="6" xfId="5" applyFont="1" applyBorder="1" applyAlignment="1" applyProtection="1">
      <alignment horizontal="left"/>
      <protection locked="0"/>
    </xf>
    <xf numFmtId="0" fontId="4" fillId="0" borderId="0" xfId="5" applyFont="1" applyAlignment="1" applyProtection="1">
      <alignment horizontal="left"/>
      <protection locked="0"/>
    </xf>
    <xf numFmtId="0" fontId="4" fillId="0" borderId="7" xfId="5" applyFont="1" applyBorder="1" applyAlignment="1" applyProtection="1">
      <alignment horizontal="left"/>
      <protection locked="0"/>
    </xf>
    <xf numFmtId="0" fontId="4" fillId="0" borderId="102" xfId="5" applyFont="1" applyBorder="1" applyAlignment="1" applyProtection="1">
      <alignment horizontal="center"/>
      <protection locked="0"/>
    </xf>
    <xf numFmtId="0" fontId="4" fillId="0" borderId="96" xfId="5" applyFont="1" applyBorder="1" applyAlignment="1" applyProtection="1">
      <alignment horizontal="center"/>
      <protection locked="0"/>
    </xf>
    <xf numFmtId="14" fontId="4" fillId="0" borderId="25" xfId="5" applyNumberFormat="1" applyFont="1" applyBorder="1" applyAlignment="1">
      <alignment horizontal="center" vertical="center"/>
    </xf>
    <xf numFmtId="14" fontId="4" fillId="0" borderId="26" xfId="5" applyNumberFormat="1" applyFont="1" applyBorder="1" applyAlignment="1">
      <alignment horizontal="center" vertical="center"/>
    </xf>
    <xf numFmtId="0" fontId="23" fillId="0" borderId="6" xfId="5" applyFont="1" applyBorder="1" applyAlignment="1" applyProtection="1">
      <alignment shrinkToFit="1"/>
      <protection locked="0"/>
    </xf>
    <xf numFmtId="0" fontId="23" fillId="0" borderId="0" xfId="5" applyFont="1" applyAlignment="1" applyProtection="1">
      <alignment shrinkToFit="1"/>
      <protection locked="0"/>
    </xf>
    <xf numFmtId="0" fontId="23" fillId="0" borderId="7" xfId="5" applyFont="1" applyBorder="1" applyAlignment="1" applyProtection="1">
      <alignment shrinkToFit="1"/>
      <protection locked="0"/>
    </xf>
    <xf numFmtId="0" fontId="4" fillId="0" borderId="94" xfId="5" applyFont="1" applyBorder="1" applyAlignment="1" applyProtection="1">
      <alignment shrinkToFit="1"/>
      <protection locked="0"/>
    </xf>
    <xf numFmtId="0" fontId="4" fillId="0" borderId="95" xfId="5" applyFont="1" applyBorder="1" applyAlignment="1" applyProtection="1">
      <alignment shrinkToFit="1"/>
      <protection locked="0"/>
    </xf>
    <xf numFmtId="0" fontId="4" fillId="0" borderId="96" xfId="5" applyFont="1" applyBorder="1" applyAlignment="1" applyProtection="1">
      <alignment shrinkToFit="1"/>
      <protection locked="0"/>
    </xf>
    <xf numFmtId="0" fontId="4" fillId="0" borderId="6" xfId="5" applyFont="1" applyBorder="1" applyAlignment="1" applyProtection="1">
      <alignment horizontal="center"/>
      <protection locked="0"/>
    </xf>
    <xf numFmtId="0" fontId="4" fillId="0" borderId="0" xfId="5" applyFont="1" applyAlignment="1" applyProtection="1">
      <alignment horizontal="center"/>
      <protection locked="0"/>
    </xf>
    <xf numFmtId="0" fontId="23" fillId="0" borderId="63" xfId="5" applyFont="1" applyBorder="1" applyAlignment="1" applyProtection="1">
      <alignment shrinkToFit="1"/>
      <protection locked="0"/>
    </xf>
    <xf numFmtId="0" fontId="23" fillId="0" borderId="1" xfId="5" applyFont="1" applyBorder="1" applyAlignment="1" applyProtection="1">
      <alignment shrinkToFit="1"/>
      <protection locked="0"/>
    </xf>
    <xf numFmtId="0" fontId="23" fillId="0" borderId="51" xfId="5" applyFont="1" applyBorder="1" applyAlignment="1" applyProtection="1">
      <alignment shrinkToFit="1"/>
      <protection locked="0"/>
    </xf>
    <xf numFmtId="0" fontId="4" fillId="0" borderId="2" xfId="5" applyFont="1" applyBorder="1" applyAlignment="1" applyProtection="1">
      <alignment horizontal="center"/>
      <protection locked="0"/>
    </xf>
    <xf numFmtId="0" fontId="4" fillId="0" borderId="51" xfId="5" applyFont="1" applyBorder="1" applyAlignment="1" applyProtection="1">
      <alignment horizontal="center"/>
      <protection locked="0"/>
    </xf>
    <xf numFmtId="0" fontId="4" fillId="0" borderId="63" xfId="5" applyFont="1" applyBorder="1" applyAlignment="1" applyProtection="1">
      <alignment shrinkToFit="1"/>
      <protection locked="0"/>
    </xf>
    <xf numFmtId="0" fontId="4" fillId="0" borderId="1" xfId="5" applyFont="1" applyBorder="1" applyAlignment="1" applyProtection="1">
      <alignment shrinkToFit="1"/>
      <protection locked="0"/>
    </xf>
    <xf numFmtId="0" fontId="4" fillId="0" borderId="51" xfId="5" applyFont="1" applyBorder="1" applyAlignment="1" applyProtection="1">
      <alignment shrinkToFit="1"/>
      <protection locked="0"/>
    </xf>
    <xf numFmtId="0" fontId="4" fillId="0" borderId="63" xfId="5" applyFont="1" applyBorder="1" applyAlignment="1" applyProtection="1">
      <alignment horizontal="center"/>
      <protection locked="0"/>
    </xf>
    <xf numFmtId="0" fontId="4" fillId="0" borderId="1" xfId="5" applyFont="1" applyBorder="1" applyAlignment="1" applyProtection="1">
      <alignment horizontal="center"/>
      <protection locked="0"/>
    </xf>
    <xf numFmtId="0" fontId="6" fillId="0" borderId="9" xfId="5" applyFont="1" applyBorder="1" applyAlignment="1" applyProtection="1">
      <alignment horizontal="center" vertical="center"/>
      <protection locked="0"/>
    </xf>
    <xf numFmtId="0" fontId="23" fillId="0" borderId="6" xfId="5" applyFont="1" applyBorder="1" applyAlignment="1" applyProtection="1">
      <alignment horizontal="center"/>
      <protection locked="0"/>
    </xf>
    <xf numFmtId="0" fontId="23" fillId="0" borderId="0" xfId="5" applyFont="1" applyAlignment="1" applyProtection="1">
      <alignment horizontal="center"/>
      <protection locked="0"/>
    </xf>
    <xf numFmtId="0" fontId="23" fillId="0" borderId="7" xfId="5" applyFont="1" applyBorder="1" applyAlignment="1" applyProtection="1">
      <alignment horizontal="center"/>
      <protection locked="0"/>
    </xf>
    <xf numFmtId="0" fontId="6" fillId="0" borderId="0" xfId="5" quotePrefix="1" applyFont="1" applyAlignment="1" applyProtection="1">
      <alignment horizontal="center" vertical="center"/>
      <protection locked="0"/>
    </xf>
    <xf numFmtId="0" fontId="6" fillId="0" borderId="7" xfId="5" quotePrefix="1" applyFont="1" applyBorder="1" applyAlignment="1" applyProtection="1">
      <alignment horizontal="center" vertical="center"/>
      <protection locked="0"/>
    </xf>
    <xf numFmtId="0" fontId="23" fillId="0" borderId="63" xfId="5" applyFont="1" applyBorder="1" applyAlignment="1" applyProtection="1">
      <alignment horizontal="center"/>
      <protection locked="0"/>
    </xf>
    <xf numFmtId="0" fontId="23" fillId="0" borderId="1" xfId="5" applyFont="1" applyBorder="1" applyAlignment="1" applyProtection="1">
      <alignment horizontal="center"/>
      <protection locked="0"/>
    </xf>
    <xf numFmtId="0" fontId="23" fillId="0" borderId="51" xfId="5" applyFont="1" applyBorder="1" applyAlignment="1" applyProtection="1">
      <alignment horizontal="center"/>
      <protection locked="0"/>
    </xf>
    <xf numFmtId="0" fontId="23" fillId="0" borderId="94" xfId="5" applyFont="1" applyBorder="1" applyAlignment="1" applyProtection="1">
      <alignment horizontal="center" shrinkToFit="1"/>
      <protection locked="0"/>
    </xf>
    <xf numFmtId="0" fontId="23" fillId="0" borderId="95" xfId="5" applyFont="1" applyBorder="1" applyAlignment="1" applyProtection="1">
      <alignment horizontal="center" shrinkToFit="1"/>
      <protection locked="0"/>
    </xf>
    <xf numFmtId="0" fontId="23" fillId="0" borderId="96" xfId="5" applyFont="1" applyBorder="1" applyAlignment="1" applyProtection="1">
      <alignment horizontal="center" shrinkToFit="1"/>
      <protection locked="0"/>
    </xf>
    <xf numFmtId="0" fontId="23" fillId="0" borderId="6" xfId="5" applyFont="1" applyBorder="1" applyAlignment="1" applyProtection="1">
      <alignment horizontal="center" shrinkToFit="1"/>
      <protection locked="0"/>
    </xf>
    <xf numFmtId="0" fontId="23" fillId="0" borderId="0" xfId="5" applyFont="1" applyAlignment="1" applyProtection="1">
      <alignment horizontal="center" shrinkToFit="1"/>
      <protection locked="0"/>
    </xf>
    <xf numFmtId="0" fontId="23" fillId="0" borderId="7" xfId="5" applyFont="1" applyBorder="1" applyAlignment="1" applyProtection="1">
      <alignment horizontal="center" shrinkToFit="1"/>
      <protection locked="0"/>
    </xf>
    <xf numFmtId="0" fontId="4" fillId="0" borderId="94" xfId="5" applyFont="1" applyBorder="1" applyAlignment="1" applyProtection="1">
      <alignment horizontal="right"/>
      <protection locked="0"/>
    </xf>
    <xf numFmtId="0" fontId="4" fillId="0" borderId="95" xfId="5" applyFont="1" applyBorder="1" applyAlignment="1" applyProtection="1">
      <alignment horizontal="right"/>
      <protection locked="0"/>
    </xf>
    <xf numFmtId="0" fontId="22" fillId="2" borderId="58" xfId="0" applyFont="1" applyFill="1" applyBorder="1" applyAlignment="1">
      <alignment horizontal="center" vertical="center"/>
    </xf>
    <xf numFmtId="0" fontId="22" fillId="2" borderId="61" xfId="0" applyFont="1" applyFill="1" applyBorder="1" applyAlignment="1">
      <alignment horizontal="center" vertical="center"/>
    </xf>
    <xf numFmtId="0" fontId="23" fillId="0" borderId="94" xfId="5" applyFont="1" applyBorder="1" applyAlignment="1">
      <alignment vertical="center"/>
    </xf>
    <xf numFmtId="0" fontId="23" fillId="0" borderId="95" xfId="5" applyFont="1" applyBorder="1" applyAlignment="1">
      <alignment vertical="center"/>
    </xf>
    <xf numFmtId="0" fontId="23" fillId="0" borderId="96" xfId="5" applyFont="1" applyBorder="1" applyAlignment="1">
      <alignment vertical="center"/>
    </xf>
    <xf numFmtId="0" fontId="4" fillId="0" borderId="6" xfId="0" applyFont="1" applyBorder="1" applyAlignment="1">
      <alignment horizontal="center"/>
    </xf>
    <xf numFmtId="0" fontId="4" fillId="0" borderId="7" xfId="0" applyFont="1" applyBorder="1" applyAlignment="1">
      <alignment horizontal="center"/>
    </xf>
    <xf numFmtId="0" fontId="4" fillId="0" borderId="6" xfId="5" applyFont="1" applyBorder="1" applyAlignment="1">
      <alignment horizontal="center" vertical="center"/>
    </xf>
    <xf numFmtId="0" fontId="4" fillId="0" borderId="7" xfId="5" applyFont="1" applyBorder="1" applyAlignment="1">
      <alignment horizontal="center" vertical="center"/>
    </xf>
    <xf numFmtId="0" fontId="4" fillId="0" borderId="6" xfId="5" applyFont="1" applyBorder="1" applyAlignment="1">
      <alignment vertical="center"/>
    </xf>
    <xf numFmtId="0" fontId="4" fillId="0" borderId="7" xfId="5" applyFont="1" applyBorder="1" applyAlignment="1">
      <alignment vertical="center"/>
    </xf>
    <xf numFmtId="0" fontId="4" fillId="0" borderId="94" xfId="5" applyFont="1" applyBorder="1" applyAlignment="1">
      <alignment horizontal="center" vertical="center"/>
    </xf>
    <xf numFmtId="0" fontId="4" fillId="0" borderId="96" xfId="5" applyFont="1" applyBorder="1" applyAlignment="1">
      <alignment horizontal="center" vertical="center"/>
    </xf>
    <xf numFmtId="0" fontId="4" fillId="0" borderId="2" xfId="5" applyFont="1" applyBorder="1" applyAlignment="1">
      <alignment horizontal="center" vertical="center"/>
    </xf>
    <xf numFmtId="0" fontId="4" fillId="0" borderId="51" xfId="5" applyFont="1" applyBorder="1" applyAlignment="1">
      <alignment horizontal="center" vertical="center"/>
    </xf>
    <xf numFmtId="0" fontId="23" fillId="0" borderId="63" xfId="5" applyFont="1" applyBorder="1" applyAlignment="1">
      <alignment vertical="center"/>
    </xf>
    <xf numFmtId="0" fontId="23" fillId="0" borderId="1" xfId="5" applyFont="1" applyBorder="1" applyAlignment="1">
      <alignment vertical="center"/>
    </xf>
    <xf numFmtId="0" fontId="23" fillId="0" borderId="51" xfId="5" applyFont="1" applyBorder="1" applyAlignment="1">
      <alignment vertical="center"/>
    </xf>
    <xf numFmtId="0" fontId="4" fillId="0" borderId="63" xfId="5" applyFont="1" applyBorder="1" applyAlignment="1">
      <alignment horizontal="center" vertical="center"/>
    </xf>
    <xf numFmtId="0" fontId="4" fillId="0" borderId="63" xfId="5" quotePrefix="1" applyFont="1" applyBorder="1" applyAlignment="1">
      <alignment horizontal="center" vertical="center"/>
    </xf>
    <xf numFmtId="0" fontId="4" fillId="0" borderId="51" xfId="5" quotePrefix="1" applyFont="1" applyBorder="1" applyAlignment="1">
      <alignment horizontal="center" vertical="center"/>
    </xf>
    <xf numFmtId="0" fontId="4" fillId="0" borderId="63" xfId="5" applyFont="1" applyBorder="1" applyAlignment="1">
      <alignment vertical="center"/>
    </xf>
    <xf numFmtId="0" fontId="4" fillId="0" borderId="51" xfId="5" applyFont="1" applyBorder="1" applyAlignment="1">
      <alignment vertical="center"/>
    </xf>
    <xf numFmtId="0" fontId="4" fillId="0" borderId="9" xfId="5" applyFont="1" applyBorder="1" applyAlignment="1">
      <alignment horizontal="center" vertical="center"/>
    </xf>
    <xf numFmtId="0" fontId="23" fillId="0" borderId="6" xfId="5" applyFont="1" applyBorder="1" applyAlignment="1">
      <alignment vertical="center"/>
    </xf>
    <xf numFmtId="0" fontId="23" fillId="0" borderId="0" xfId="5" applyFont="1" applyAlignment="1">
      <alignment vertical="center"/>
    </xf>
    <xf numFmtId="0" fontId="23" fillId="0" borderId="7" xfId="5" applyFont="1" applyBorder="1" applyAlignment="1">
      <alignment vertical="center"/>
    </xf>
    <xf numFmtId="0" fontId="4" fillId="0" borderId="6" xfId="5" quotePrefix="1" applyFont="1" applyBorder="1" applyAlignment="1">
      <alignment horizontal="center" vertical="center"/>
    </xf>
    <xf numFmtId="0" fontId="4" fillId="0" borderId="7" xfId="5" quotePrefix="1" applyFont="1" applyBorder="1" applyAlignment="1">
      <alignment horizontal="center" vertical="center"/>
    </xf>
    <xf numFmtId="0" fontId="4" fillId="0" borderId="65" xfId="5" applyFont="1" applyBorder="1" applyAlignment="1">
      <alignment vertical="center"/>
    </xf>
    <xf numFmtId="0" fontId="4" fillId="0" borderId="27" xfId="5" applyFont="1" applyBorder="1" applyAlignment="1">
      <alignment vertical="center"/>
    </xf>
    <xf numFmtId="0" fontId="4" fillId="0" borderId="1" xfId="5" applyFont="1" applyBorder="1" applyAlignment="1">
      <alignment vertical="center"/>
    </xf>
    <xf numFmtId="0" fontId="4" fillId="0" borderId="102" xfId="5" applyFont="1" applyBorder="1" applyAlignment="1">
      <alignment horizontal="center" vertical="center"/>
    </xf>
    <xf numFmtId="0" fontId="4" fillId="0" borderId="10" xfId="5" applyFont="1" applyBorder="1" applyAlignment="1">
      <alignment horizontal="center" vertical="center"/>
    </xf>
    <xf numFmtId="0" fontId="4" fillId="0" borderId="10" xfId="5" quotePrefix="1" applyFont="1" applyBorder="1" applyAlignment="1">
      <alignment vertical="center"/>
    </xf>
    <xf numFmtId="0" fontId="4" fillId="0" borderId="91" xfId="5" applyFont="1" applyBorder="1" applyAlignment="1">
      <alignment vertical="center"/>
    </xf>
    <xf numFmtId="0" fontId="4" fillId="0" borderId="50" xfId="5" applyFont="1" applyBorder="1" applyAlignment="1">
      <alignment horizontal="center" vertical="center"/>
    </xf>
    <xf numFmtId="0" fontId="4" fillId="0" borderId="12" xfId="5" applyFont="1" applyBorder="1" applyAlignment="1">
      <alignment horizontal="center" vertical="center"/>
    </xf>
    <xf numFmtId="0" fontId="4" fillId="0" borderId="29" xfId="5" applyFont="1" applyBorder="1" applyAlignment="1">
      <alignment horizontal="center" vertical="center"/>
    </xf>
    <xf numFmtId="0" fontId="4" fillId="0" borderId="10" xfId="5" applyFont="1" applyBorder="1" applyAlignment="1">
      <alignment vertical="center"/>
    </xf>
    <xf numFmtId="0" fontId="4" fillId="0" borderId="0" xfId="0" applyFont="1" applyAlignment="1">
      <alignment horizontal="center"/>
    </xf>
    <xf numFmtId="0" fontId="0" fillId="0" borderId="0" xfId="0" applyAlignment="1" applyProtection="1">
      <alignment vertical="center"/>
      <protection locked="0"/>
    </xf>
    <xf numFmtId="0" fontId="0" fillId="0" borderId="7" xfId="0" applyBorder="1" applyAlignment="1" applyProtection="1">
      <alignment vertical="center"/>
      <protection locked="0"/>
    </xf>
    <xf numFmtId="0" fontId="0" fillId="0" borderId="1" xfId="0" applyBorder="1" applyAlignment="1" applyProtection="1">
      <alignment vertical="center"/>
      <protection locked="0"/>
    </xf>
    <xf numFmtId="0" fontId="0" fillId="0" borderId="51" xfId="0" applyBorder="1" applyAlignment="1" applyProtection="1">
      <alignment vertical="center"/>
      <protection locked="0"/>
    </xf>
    <xf numFmtId="0" fontId="4" fillId="0" borderId="6" xfId="3" applyFont="1" applyBorder="1" applyAlignment="1" applyProtection="1">
      <alignment vertical="center"/>
      <protection locked="0"/>
    </xf>
    <xf numFmtId="0" fontId="1" fillId="0" borderId="0" xfId="0" applyFont="1" applyAlignment="1">
      <alignment vertical="center"/>
    </xf>
    <xf numFmtId="0" fontId="1" fillId="0" borderId="7" xfId="0" applyFont="1" applyBorder="1" applyAlignment="1">
      <alignment vertical="center"/>
    </xf>
    <xf numFmtId="0" fontId="4" fillId="0" borderId="23" xfId="5" applyFont="1" applyBorder="1" applyAlignment="1" applyProtection="1">
      <alignment vertical="center"/>
      <protection locked="0"/>
    </xf>
    <xf numFmtId="0" fontId="4" fillId="0" borderId="11" xfId="5" applyFont="1" applyBorder="1" applyAlignment="1" applyProtection="1">
      <alignment vertical="center"/>
      <protection locked="0"/>
    </xf>
    <xf numFmtId="0" fontId="4" fillId="0" borderId="24" xfId="5" applyFont="1" applyBorder="1" applyAlignment="1" applyProtection="1">
      <alignment vertical="center"/>
      <protection locked="0"/>
    </xf>
    <xf numFmtId="0" fontId="4" fillId="0" borderId="23" xfId="5" applyFont="1" applyBorder="1" applyAlignment="1" applyProtection="1">
      <alignment vertical="center" shrinkToFit="1"/>
      <protection locked="0"/>
    </xf>
    <xf numFmtId="0" fontId="4" fillId="0" borderId="11" xfId="5" applyFont="1" applyBorder="1" applyAlignment="1" applyProtection="1">
      <alignment vertical="center" shrinkToFit="1"/>
      <protection locked="0"/>
    </xf>
    <xf numFmtId="0" fontId="4" fillId="0" borderId="24" xfId="5" applyFont="1" applyBorder="1" applyAlignment="1" applyProtection="1">
      <alignment vertical="center" shrinkToFit="1"/>
      <protection locked="0"/>
    </xf>
    <xf numFmtId="0" fontId="4" fillId="0" borderId="23" xfId="5" applyFont="1" applyBorder="1" applyAlignment="1" applyProtection="1">
      <alignment horizontal="center" vertical="center" shrinkToFit="1"/>
      <protection locked="0"/>
    </xf>
    <xf numFmtId="0" fontId="4" fillId="0" borderId="11" xfId="5" applyFont="1" applyBorder="1" applyAlignment="1" applyProtection="1">
      <alignment horizontal="center" vertical="center" shrinkToFit="1"/>
      <protection locked="0"/>
    </xf>
    <xf numFmtId="0" fontId="4" fillId="0" borderId="91" xfId="5" applyFont="1" applyBorder="1" applyAlignment="1" applyProtection="1">
      <alignment horizontal="center" vertical="center" shrinkToFit="1"/>
      <protection locked="0"/>
    </xf>
    <xf numFmtId="0" fontId="4" fillId="0" borderId="9" xfId="7" applyFont="1" applyBorder="1" applyAlignment="1" applyProtection="1">
      <alignment horizontal="center"/>
      <protection locked="0"/>
    </xf>
    <xf numFmtId="0" fontId="4" fillId="0" borderId="7" xfId="7" applyFont="1" applyBorder="1" applyAlignment="1" applyProtection="1">
      <alignment horizontal="center"/>
      <protection locked="0"/>
    </xf>
    <xf numFmtId="0" fontId="4" fillId="0" borderId="6" xfId="7" applyFont="1" applyBorder="1" applyAlignment="1" applyProtection="1">
      <alignment horizontal="center"/>
      <protection locked="0"/>
    </xf>
    <xf numFmtId="0" fontId="4" fillId="0" borderId="0" xfId="7" applyFont="1" applyAlignment="1" applyProtection="1">
      <alignment horizontal="center"/>
      <protection locked="0"/>
    </xf>
    <xf numFmtId="0" fontId="4" fillId="0" borderId="18" xfId="7" applyFont="1" applyBorder="1" applyAlignment="1" applyProtection="1">
      <alignment horizontal="center"/>
      <protection locked="0"/>
    </xf>
    <xf numFmtId="0" fontId="4" fillId="0" borderId="6" xfId="7" quotePrefix="1" applyFont="1" applyBorder="1" applyAlignment="1" applyProtection="1">
      <alignment horizontal="center"/>
      <protection locked="0"/>
    </xf>
    <xf numFmtId="14" fontId="4" fillId="0" borderId="25" xfId="4" applyNumberFormat="1" applyFont="1" applyBorder="1" applyAlignment="1">
      <alignment horizontal="center" vertical="center"/>
    </xf>
    <xf numFmtId="14" fontId="4" fillId="0" borderId="49" xfId="4" applyNumberFormat="1" applyFont="1" applyBorder="1" applyAlignment="1">
      <alignment horizontal="center" vertical="center"/>
    </xf>
    <xf numFmtId="0" fontId="4" fillId="0" borderId="102" xfId="7" applyFont="1" applyBorder="1" applyAlignment="1" applyProtection="1">
      <alignment horizontal="center"/>
      <protection locked="0"/>
    </xf>
    <xf numFmtId="0" fontId="4" fillId="0" borderId="96" xfId="7" applyFont="1" applyBorder="1" applyAlignment="1" applyProtection="1">
      <alignment horizontal="center"/>
      <protection locked="0"/>
    </xf>
    <xf numFmtId="0" fontId="4" fillId="0" borderId="94" xfId="7" quotePrefix="1" applyFont="1" applyBorder="1" applyAlignment="1" applyProtection="1">
      <alignment horizontal="center"/>
      <protection locked="0"/>
    </xf>
    <xf numFmtId="0" fontId="4" fillId="0" borderId="95" xfId="7" quotePrefix="1" applyFont="1" applyBorder="1" applyAlignment="1" applyProtection="1">
      <alignment horizontal="center"/>
      <protection locked="0"/>
    </xf>
    <xf numFmtId="0" fontId="4" fillId="0" borderId="96" xfId="7" quotePrefix="1" applyFont="1" applyBorder="1" applyAlignment="1" applyProtection="1">
      <alignment horizontal="center"/>
      <protection locked="0"/>
    </xf>
    <xf numFmtId="0" fontId="4" fillId="0" borderId="94" xfId="7" applyFont="1" applyBorder="1" applyAlignment="1" applyProtection="1">
      <alignment horizontal="center"/>
      <protection locked="0"/>
    </xf>
    <xf numFmtId="0" fontId="4" fillId="0" borderId="95" xfId="7" applyFont="1" applyBorder="1" applyAlignment="1" applyProtection="1">
      <alignment horizontal="center"/>
      <protection locked="0"/>
    </xf>
    <xf numFmtId="0" fontId="4" fillId="0" borderId="101" xfId="7" applyFont="1" applyBorder="1" applyAlignment="1" applyProtection="1">
      <alignment horizontal="center"/>
      <protection locked="0"/>
    </xf>
    <xf numFmtId="0" fontId="4" fillId="0" borderId="2" xfId="7" applyFont="1" applyBorder="1" applyAlignment="1" applyProtection="1">
      <alignment horizontal="center"/>
      <protection locked="0"/>
    </xf>
    <xf numFmtId="0" fontId="4" fillId="0" borderId="51" xfId="7" applyFont="1" applyBorder="1" applyAlignment="1" applyProtection="1">
      <alignment horizontal="center"/>
      <protection locked="0"/>
    </xf>
    <xf numFmtId="0" fontId="4" fillId="0" borderId="63" xfId="7" applyFont="1" applyBorder="1" applyAlignment="1" applyProtection="1">
      <alignment horizontal="center"/>
      <protection locked="0"/>
    </xf>
    <xf numFmtId="0" fontId="4" fillId="0" borderId="1" xfId="7" applyFont="1" applyBorder="1" applyAlignment="1" applyProtection="1">
      <alignment horizontal="center"/>
      <protection locked="0"/>
    </xf>
    <xf numFmtId="0" fontId="4" fillId="0" borderId="22" xfId="7" applyFont="1" applyBorder="1" applyAlignment="1" applyProtection="1">
      <alignment horizontal="center"/>
      <protection locked="0"/>
    </xf>
    <xf numFmtId="0" fontId="4" fillId="0" borderId="9" xfId="5" quotePrefix="1" applyFont="1" applyBorder="1" applyAlignment="1" applyProtection="1">
      <alignment horizontal="center" vertical="center"/>
      <protection locked="0"/>
    </xf>
    <xf numFmtId="0" fontId="4" fillId="0" borderId="17" xfId="5" quotePrefix="1" applyFont="1" applyBorder="1" applyAlignment="1" applyProtection="1">
      <alignment horizontal="center" vertical="center"/>
      <protection locked="0"/>
    </xf>
    <xf numFmtId="0" fontId="4" fillId="0" borderId="5" xfId="5" quotePrefix="1" applyFont="1" applyBorder="1" applyAlignment="1" applyProtection="1">
      <alignment horizontal="center" vertical="center"/>
      <protection locked="0"/>
    </xf>
    <xf numFmtId="0" fontId="4" fillId="0" borderId="8" xfId="5" applyFont="1" applyBorder="1" applyAlignment="1" applyProtection="1">
      <alignment vertical="center"/>
      <protection locked="0"/>
    </xf>
    <xf numFmtId="0" fontId="4" fillId="0" borderId="3" xfId="5" applyFont="1" applyBorder="1" applyAlignment="1" applyProtection="1">
      <alignment vertical="center"/>
      <protection locked="0"/>
    </xf>
    <xf numFmtId="0" fontId="4" fillId="0" borderId="5" xfId="5" applyFont="1" applyBorder="1" applyAlignment="1" applyProtection="1">
      <alignment vertical="center"/>
      <protection locked="0"/>
    </xf>
    <xf numFmtId="0" fontId="4" fillId="0" borderId="16" xfId="5" applyFont="1" applyBorder="1" applyAlignment="1" applyProtection="1">
      <alignment vertical="center"/>
      <protection locked="0"/>
    </xf>
    <xf numFmtId="164" fontId="4" fillId="0" borderId="50" xfId="5" applyNumberFormat="1" applyFont="1" applyBorder="1" applyAlignment="1">
      <alignment horizontal="center" vertical="center"/>
    </xf>
    <xf numFmtId="164" fontId="4" fillId="0" borderId="12" xfId="5" applyNumberFormat="1" applyFont="1" applyBorder="1" applyAlignment="1">
      <alignment horizontal="center" vertical="center"/>
    </xf>
    <xf numFmtId="164" fontId="4" fillId="0" borderId="29" xfId="5" applyNumberFormat="1" applyFont="1" applyBorder="1" applyAlignment="1">
      <alignment horizontal="center" vertical="center"/>
    </xf>
    <xf numFmtId="0" fontId="4" fillId="0" borderId="6" xfId="0" applyFont="1" applyBorder="1" applyAlignment="1" applyProtection="1">
      <alignment vertical="center"/>
      <protection locked="0"/>
    </xf>
    <xf numFmtId="0" fontId="4" fillId="0" borderId="0" xfId="0" applyFont="1" applyAlignment="1" applyProtection="1">
      <alignment vertical="center"/>
      <protection locked="0"/>
    </xf>
    <xf numFmtId="0" fontId="4" fillId="0" borderId="18" xfId="0" applyFont="1" applyBorder="1" applyAlignment="1" applyProtection="1">
      <alignment vertical="center"/>
      <protection locked="0"/>
    </xf>
    <xf numFmtId="14" fontId="4" fillId="0" borderId="9" xfId="0" applyNumberFormat="1" applyFont="1" applyBorder="1" applyAlignment="1" applyProtection="1">
      <alignment horizontal="center" vertical="center"/>
      <protection locked="0"/>
    </xf>
    <xf numFmtId="14" fontId="4" fillId="0" borderId="0" xfId="0" applyNumberFormat="1" applyFont="1" applyAlignment="1" applyProtection="1">
      <alignment horizontal="center" vertical="center"/>
      <protection locked="0"/>
    </xf>
    <xf numFmtId="14" fontId="4" fillId="0" borderId="7" xfId="0" applyNumberFormat="1" applyFont="1" applyBorder="1" applyAlignment="1" applyProtection="1">
      <alignment horizontal="center" vertical="center"/>
      <protection locked="0"/>
    </xf>
    <xf numFmtId="0" fontId="4" fillId="0" borderId="7" xfId="0" applyFont="1" applyBorder="1" applyAlignment="1" applyProtection="1">
      <alignment vertical="center"/>
      <protection locked="0"/>
    </xf>
    <xf numFmtId="0" fontId="9" fillId="0" borderId="6" xfId="0" applyFont="1" applyBorder="1" applyAlignment="1" applyProtection="1">
      <alignment vertical="center"/>
      <protection locked="0"/>
    </xf>
    <xf numFmtId="0" fontId="9" fillId="0" borderId="0" xfId="0" applyFont="1" applyAlignment="1" applyProtection="1">
      <alignment vertical="center"/>
      <protection locked="0"/>
    </xf>
    <xf numFmtId="0" fontId="9" fillId="0" borderId="7" xfId="0" applyFont="1" applyBorder="1" applyAlignment="1" applyProtection="1">
      <alignment vertical="center"/>
      <protection locked="0"/>
    </xf>
    <xf numFmtId="0" fontId="9" fillId="0" borderId="6" xfId="0" applyFont="1" applyBorder="1" applyAlignment="1" applyProtection="1">
      <alignment horizontal="center" vertical="center"/>
      <protection locked="0"/>
    </xf>
    <xf numFmtId="0" fontId="9" fillId="0" borderId="0" xfId="0" applyFont="1" applyAlignment="1" applyProtection="1">
      <alignment horizontal="center" vertical="center"/>
      <protection locked="0"/>
    </xf>
    <xf numFmtId="0" fontId="9" fillId="0" borderId="7" xfId="0" applyFont="1" applyBorder="1" applyAlignment="1" applyProtection="1">
      <alignment horizontal="center" vertical="center"/>
      <protection locked="0"/>
    </xf>
    <xf numFmtId="0" fontId="9" fillId="0" borderId="63" xfId="0" applyFont="1" applyBorder="1" applyAlignment="1" applyProtection="1">
      <alignment vertical="center"/>
      <protection locked="0"/>
    </xf>
    <xf numFmtId="0" fontId="9" fillId="0" borderId="1" xfId="0" applyFont="1" applyBorder="1" applyAlignment="1" applyProtection="1">
      <alignment vertical="center"/>
      <protection locked="0"/>
    </xf>
    <xf numFmtId="0" fontId="9" fillId="0" borderId="51" xfId="0" applyFont="1" applyBorder="1" applyAlignment="1" applyProtection="1">
      <alignment vertical="center"/>
      <protection locked="0"/>
    </xf>
    <xf numFmtId="0" fontId="4" fillId="0" borderId="63" xfId="0" applyFont="1" applyBorder="1" applyAlignment="1" applyProtection="1">
      <alignment vertical="center"/>
      <protection locked="0"/>
    </xf>
    <xf numFmtId="0" fontId="4" fillId="0" borderId="1" xfId="0" applyFont="1" applyBorder="1" applyAlignment="1" applyProtection="1">
      <alignment vertical="center"/>
      <protection locked="0"/>
    </xf>
    <xf numFmtId="0" fontId="4" fillId="0" borderId="22" xfId="0" applyFont="1" applyBorder="1" applyAlignment="1" applyProtection="1">
      <alignment vertical="center"/>
      <protection locked="0"/>
    </xf>
    <xf numFmtId="14" fontId="4" fillId="0" borderId="2" xfId="0" applyNumberFormat="1" applyFont="1" applyBorder="1" applyAlignment="1" applyProtection="1">
      <alignment horizontal="center" vertical="center"/>
      <protection locked="0"/>
    </xf>
    <xf numFmtId="14" fontId="4" fillId="0" borderId="1" xfId="0" applyNumberFormat="1" applyFont="1" applyBorder="1" applyAlignment="1" applyProtection="1">
      <alignment horizontal="center" vertical="center"/>
      <protection locked="0"/>
    </xf>
    <xf numFmtId="14" fontId="4" fillId="0" borderId="51" xfId="0" applyNumberFormat="1" applyFont="1" applyBorder="1" applyAlignment="1" applyProtection="1">
      <alignment horizontal="center" vertical="center"/>
      <protection locked="0"/>
    </xf>
    <xf numFmtId="0" fontId="4" fillId="0" borderId="51" xfId="0" applyFont="1" applyBorder="1" applyAlignment="1" applyProtection="1">
      <alignment vertical="center"/>
      <protection locked="0"/>
    </xf>
    <xf numFmtId="0" fontId="9" fillId="0" borderId="63" xfId="0" applyFont="1" applyBorder="1" applyAlignment="1" applyProtection="1">
      <alignment horizontal="center" vertical="center"/>
      <protection locked="0"/>
    </xf>
    <xf numFmtId="0" fontId="9" fillId="0" borderId="1" xfId="0" applyFont="1" applyBorder="1" applyAlignment="1" applyProtection="1">
      <alignment horizontal="center" vertical="center"/>
      <protection locked="0"/>
    </xf>
    <xf numFmtId="0" fontId="9" fillId="0" borderId="51" xfId="0" applyFont="1" applyBorder="1" applyAlignment="1" applyProtection="1">
      <alignment horizontal="center" vertical="center"/>
      <protection locked="0"/>
    </xf>
    <xf numFmtId="14" fontId="28" fillId="0" borderId="9" xfId="0" applyNumberFormat="1" applyFont="1" applyBorder="1" applyAlignment="1" applyProtection="1">
      <alignment horizontal="center" vertical="center"/>
      <protection locked="0"/>
    </xf>
    <xf numFmtId="14" fontId="28" fillId="0" borderId="0" xfId="0" applyNumberFormat="1" applyFont="1" applyAlignment="1" applyProtection="1">
      <alignment horizontal="center" vertical="center"/>
      <protection locked="0"/>
    </xf>
    <xf numFmtId="14" fontId="28" fillId="0" borderId="7" xfId="0" applyNumberFormat="1" applyFont="1" applyBorder="1" applyAlignment="1" applyProtection="1">
      <alignment horizontal="center" vertical="center"/>
      <protection locked="0"/>
    </xf>
    <xf numFmtId="0" fontId="28" fillId="0" borderId="6" xfId="0" applyFont="1" applyBorder="1" applyAlignment="1" applyProtection="1">
      <alignment vertical="center"/>
      <protection locked="0"/>
    </xf>
    <xf numFmtId="0" fontId="28" fillId="0" borderId="0" xfId="0" applyFont="1" applyAlignment="1" applyProtection="1">
      <alignment vertical="center"/>
      <protection locked="0"/>
    </xf>
    <xf numFmtId="0" fontId="28" fillId="0" borderId="7" xfId="0" applyFont="1" applyBorder="1" applyAlignment="1" applyProtection="1">
      <alignment vertical="center"/>
      <protection locked="0"/>
    </xf>
    <xf numFmtId="0" fontId="28" fillId="0" borderId="18" xfId="0" applyFont="1" applyBorder="1" applyAlignment="1" applyProtection="1">
      <alignment vertical="center"/>
      <protection locked="0"/>
    </xf>
    <xf numFmtId="0" fontId="29" fillId="0" borderId="6" xfId="0" applyFont="1" applyBorder="1" applyAlignment="1" applyProtection="1">
      <alignment vertical="center"/>
      <protection locked="0"/>
    </xf>
    <xf numFmtId="0" fontId="29" fillId="0" borderId="0" xfId="0" applyFont="1" applyAlignment="1" applyProtection="1">
      <alignment vertical="center"/>
      <protection locked="0"/>
    </xf>
    <xf numFmtId="0" fontId="29" fillId="0" borderId="7" xfId="0" applyFont="1" applyBorder="1" applyAlignment="1" applyProtection="1">
      <alignment vertical="center"/>
      <protection locked="0"/>
    </xf>
    <xf numFmtId="0" fontId="29" fillId="0" borderId="6" xfId="0" applyFont="1" applyBorder="1" applyAlignment="1" applyProtection="1">
      <alignment horizontal="center" vertical="center"/>
      <protection locked="0"/>
    </xf>
    <xf numFmtId="0" fontId="29" fillId="0" borderId="0" xfId="0" applyFont="1" applyAlignment="1" applyProtection="1">
      <alignment horizontal="center" vertical="center"/>
      <protection locked="0"/>
    </xf>
    <xf numFmtId="0" fontId="29" fillId="0" borderId="7" xfId="0" applyFont="1" applyBorder="1" applyAlignment="1" applyProtection="1">
      <alignment horizontal="center" vertical="center"/>
      <protection locked="0"/>
    </xf>
    <xf numFmtId="0" fontId="29" fillId="0" borderId="6" xfId="0" applyFont="1" applyBorder="1" applyAlignment="1" applyProtection="1">
      <alignment vertical="center" wrapText="1"/>
      <protection locked="0"/>
    </xf>
    <xf numFmtId="0" fontId="29" fillId="0" borderId="0" xfId="0" applyFont="1" applyAlignment="1" applyProtection="1">
      <alignment vertical="center" wrapText="1"/>
      <protection locked="0"/>
    </xf>
    <xf numFmtId="0" fontId="29" fillId="0" borderId="7" xfId="0" applyFont="1" applyBorder="1" applyAlignment="1" applyProtection="1">
      <alignment vertical="center" wrapText="1"/>
      <protection locked="0"/>
    </xf>
    <xf numFmtId="0" fontId="28" fillId="0" borderId="6" xfId="0" applyFont="1" applyBorder="1" applyAlignment="1" applyProtection="1">
      <alignment horizontal="left" vertical="center" wrapText="1"/>
      <protection locked="0"/>
    </xf>
    <xf numFmtId="0" fontId="30" fillId="0" borderId="0" xfId="0" applyFont="1" applyAlignment="1">
      <alignment horizontal="left" vertical="center"/>
    </xf>
    <xf numFmtId="0" fontId="30" fillId="0" borderId="7" xfId="0" applyFont="1" applyBorder="1" applyAlignment="1">
      <alignment horizontal="left" vertical="center"/>
    </xf>
    <xf numFmtId="0" fontId="9" fillId="0" borderId="6" xfId="0" quotePrefix="1" applyFont="1" applyBorder="1" applyAlignment="1" applyProtection="1">
      <alignment horizontal="center" vertical="center"/>
      <protection locked="0"/>
    </xf>
    <xf numFmtId="0" fontId="9" fillId="0" borderId="6" xfId="0" applyFont="1" applyBorder="1" applyAlignment="1" applyProtection="1">
      <alignment vertical="center" wrapText="1"/>
      <protection locked="0"/>
    </xf>
    <xf numFmtId="0" fontId="9" fillId="0" borderId="0" xfId="0" applyFont="1" applyAlignment="1" applyProtection="1">
      <alignment vertical="center" wrapText="1"/>
      <protection locked="0"/>
    </xf>
    <xf numFmtId="0" fontId="9" fillId="0" borderId="7" xfId="0" applyFont="1" applyBorder="1" applyAlignment="1" applyProtection="1">
      <alignment vertical="center" wrapText="1"/>
      <protection locked="0"/>
    </xf>
    <xf numFmtId="0" fontId="4" fillId="0" borderId="6" xfId="0" applyFont="1" applyBorder="1" applyAlignment="1" applyProtection="1">
      <alignment horizontal="left" vertical="center"/>
      <protection locked="0"/>
    </xf>
    <xf numFmtId="0" fontId="0" fillId="0" borderId="0" xfId="0" applyAlignment="1">
      <alignment horizontal="left" vertical="center"/>
    </xf>
    <xf numFmtId="0" fontId="0" fillId="0" borderId="7" xfId="0" applyBorder="1" applyAlignment="1">
      <alignment horizontal="left" vertical="center"/>
    </xf>
    <xf numFmtId="0" fontId="4" fillId="0" borderId="94" xfId="5" applyFont="1" applyBorder="1" applyAlignment="1" applyProtection="1">
      <protection locked="0"/>
    </xf>
    <xf numFmtId="0" fontId="4" fillId="0" borderId="95" xfId="5" applyFont="1" applyBorder="1" applyAlignment="1" applyProtection="1">
      <protection locked="0"/>
    </xf>
    <xf numFmtId="0" fontId="4" fillId="0" borderId="96" xfId="5" applyFont="1" applyBorder="1" applyAlignment="1" applyProtection="1">
      <protection locked="0"/>
    </xf>
    <xf numFmtId="0" fontId="4" fillId="0" borderId="6" xfId="5" applyFont="1" applyBorder="1" applyAlignment="1" applyProtection="1">
      <protection locked="0"/>
    </xf>
    <xf numFmtId="0" fontId="4" fillId="0" borderId="0" xfId="5" applyFont="1" applyAlignment="1" applyProtection="1">
      <protection locked="0"/>
    </xf>
    <xf numFmtId="0" fontId="4" fillId="0" borderId="7" xfId="5" applyFont="1" applyBorder="1" applyAlignment="1" applyProtection="1">
      <protection locked="0"/>
    </xf>
    <xf numFmtId="0" fontId="4" fillId="0" borderId="14" xfId="5" applyFont="1" applyBorder="1" applyAlignment="1" applyProtection="1">
      <protection locked="0"/>
    </xf>
    <xf numFmtId="0" fontId="4" fillId="0" borderId="4" xfId="5" applyFont="1" applyBorder="1" applyAlignment="1" applyProtection="1">
      <protection locked="0"/>
    </xf>
    <xf numFmtId="0" fontId="4" fillId="0" borderId="15" xfId="5" applyFont="1" applyBorder="1" applyAlignment="1" applyProtection="1">
      <protection locked="0"/>
    </xf>
    <xf numFmtId="0" fontId="4" fillId="0" borderId="6" xfId="0" applyFont="1" applyBorder="1" applyAlignment="1"/>
    <xf numFmtId="0" fontId="4" fillId="0" borderId="0" xfId="0" applyFont="1" applyAlignment="1"/>
    <xf numFmtId="0" fontId="4" fillId="0" borderId="7" xfId="0" applyFont="1" applyBorder="1" applyAlignment="1"/>
  </cellXfs>
  <cellStyles count="8">
    <cellStyle name="ハイパーリンク" xfId="1" builtinId="8"/>
    <cellStyle name="標準" xfId="0" builtinId="0"/>
    <cellStyle name="標準_ＳＡＰデータ項目セット内容" xfId="2" xr:uid="{00000000-0005-0000-0000-000002000000}"/>
    <cellStyle name="標準_ﾃｰﾌﾞﾙ定義書" xfId="3" xr:uid="{00000000-0005-0000-0000-000003000000}"/>
    <cellStyle name="標準_プログラム_1" xfId="4" xr:uid="{00000000-0005-0000-0000-000004000000}"/>
    <cellStyle name="標準_プログラム_プログラム表紙" xfId="5" xr:uid="{00000000-0005-0000-0000-000005000000}"/>
    <cellStyle name="標準_仕様ﾁｪｯｸﾘｽﾄ(案)" xfId="6" xr:uid="{00000000-0005-0000-0000-000006000000}"/>
    <cellStyle name="標準_入力チェック要件書" xfId="7" xr:uid="{00000000-0005-0000-0000-000007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6</xdr:col>
      <xdr:colOff>28575</xdr:colOff>
      <xdr:row>8</xdr:row>
      <xdr:rowOff>85725</xdr:rowOff>
    </xdr:from>
    <xdr:to>
      <xdr:col>6</xdr:col>
      <xdr:colOff>104775</xdr:colOff>
      <xdr:row>9</xdr:row>
      <xdr:rowOff>95250</xdr:rowOff>
    </xdr:to>
    <xdr:sp macro="" textlink="">
      <xdr:nvSpPr>
        <xdr:cNvPr id="15615" name="Text Box 208">
          <a:extLst>
            <a:ext uri="{FF2B5EF4-FFF2-40B4-BE49-F238E27FC236}">
              <a16:creationId xmlns:a16="http://schemas.microsoft.com/office/drawing/2014/main" id="{00000000-0008-0000-0200-0000FF3C0000}"/>
            </a:ext>
          </a:extLst>
        </xdr:cNvPr>
        <xdr:cNvSpPr txBox="1">
          <a:spLocks noChangeArrowheads="1"/>
        </xdr:cNvSpPr>
      </xdr:nvSpPr>
      <xdr:spPr bwMode="auto">
        <a:xfrm>
          <a:off x="1171575" y="1704975"/>
          <a:ext cx="762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28575</xdr:colOff>
      <xdr:row>8</xdr:row>
      <xdr:rowOff>0</xdr:rowOff>
    </xdr:from>
    <xdr:to>
      <xdr:col>6</xdr:col>
      <xdr:colOff>104775</xdr:colOff>
      <xdr:row>9</xdr:row>
      <xdr:rowOff>9525</xdr:rowOff>
    </xdr:to>
    <xdr:sp macro="" textlink="">
      <xdr:nvSpPr>
        <xdr:cNvPr id="32820" name="Text Box 30">
          <a:extLst>
            <a:ext uri="{FF2B5EF4-FFF2-40B4-BE49-F238E27FC236}">
              <a16:creationId xmlns:a16="http://schemas.microsoft.com/office/drawing/2014/main" id="{00000000-0008-0000-0300-000034800000}"/>
            </a:ext>
          </a:extLst>
        </xdr:cNvPr>
        <xdr:cNvSpPr txBox="1">
          <a:spLocks noChangeArrowheads="1"/>
        </xdr:cNvSpPr>
      </xdr:nvSpPr>
      <xdr:spPr bwMode="auto">
        <a:xfrm>
          <a:off x="1171575" y="1619250"/>
          <a:ext cx="762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28575</xdr:colOff>
      <xdr:row>8</xdr:row>
      <xdr:rowOff>0</xdr:rowOff>
    </xdr:from>
    <xdr:to>
      <xdr:col>6</xdr:col>
      <xdr:colOff>104775</xdr:colOff>
      <xdr:row>9</xdr:row>
      <xdr:rowOff>9525</xdr:rowOff>
    </xdr:to>
    <xdr:sp macro="" textlink="">
      <xdr:nvSpPr>
        <xdr:cNvPr id="83989" name="Text Box 3">
          <a:extLst>
            <a:ext uri="{FF2B5EF4-FFF2-40B4-BE49-F238E27FC236}">
              <a16:creationId xmlns:a16="http://schemas.microsoft.com/office/drawing/2014/main" id="{00000000-0008-0000-0400-000015480100}"/>
            </a:ext>
          </a:extLst>
        </xdr:cNvPr>
        <xdr:cNvSpPr txBox="1">
          <a:spLocks noChangeArrowheads="1"/>
        </xdr:cNvSpPr>
      </xdr:nvSpPr>
      <xdr:spPr bwMode="auto">
        <a:xfrm>
          <a:off x="1171575" y="1619250"/>
          <a:ext cx="762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28575</xdr:colOff>
      <xdr:row>8</xdr:row>
      <xdr:rowOff>0</xdr:rowOff>
    </xdr:from>
    <xdr:to>
      <xdr:col>6</xdr:col>
      <xdr:colOff>104775</xdr:colOff>
      <xdr:row>9</xdr:row>
      <xdr:rowOff>9525</xdr:rowOff>
    </xdr:to>
    <xdr:sp macro="" textlink="">
      <xdr:nvSpPr>
        <xdr:cNvPr id="75797" name="Text Box 3">
          <a:extLst>
            <a:ext uri="{FF2B5EF4-FFF2-40B4-BE49-F238E27FC236}">
              <a16:creationId xmlns:a16="http://schemas.microsoft.com/office/drawing/2014/main" id="{00000000-0008-0000-0500-000015280100}"/>
            </a:ext>
          </a:extLst>
        </xdr:cNvPr>
        <xdr:cNvSpPr txBox="1">
          <a:spLocks noChangeArrowheads="1"/>
        </xdr:cNvSpPr>
      </xdr:nvSpPr>
      <xdr:spPr bwMode="auto">
        <a:xfrm>
          <a:off x="1171575" y="1619250"/>
          <a:ext cx="762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28575</xdr:colOff>
      <xdr:row>8</xdr:row>
      <xdr:rowOff>0</xdr:rowOff>
    </xdr:from>
    <xdr:to>
      <xdr:col>6</xdr:col>
      <xdr:colOff>104775</xdr:colOff>
      <xdr:row>9</xdr:row>
      <xdr:rowOff>9525</xdr:rowOff>
    </xdr:to>
    <xdr:sp macro="" textlink="">
      <xdr:nvSpPr>
        <xdr:cNvPr id="76823" name="Text Box 3">
          <a:extLst>
            <a:ext uri="{FF2B5EF4-FFF2-40B4-BE49-F238E27FC236}">
              <a16:creationId xmlns:a16="http://schemas.microsoft.com/office/drawing/2014/main" id="{00000000-0008-0000-0600-0000172C0100}"/>
            </a:ext>
          </a:extLst>
        </xdr:cNvPr>
        <xdr:cNvSpPr txBox="1">
          <a:spLocks noChangeArrowheads="1"/>
        </xdr:cNvSpPr>
      </xdr:nvSpPr>
      <xdr:spPr bwMode="auto">
        <a:xfrm>
          <a:off x="1171575" y="1619250"/>
          <a:ext cx="762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47625</xdr:colOff>
      <xdr:row>29</xdr:row>
      <xdr:rowOff>0</xdr:rowOff>
    </xdr:from>
    <xdr:to>
      <xdr:col>32</xdr:col>
      <xdr:colOff>142875</xdr:colOff>
      <xdr:row>29</xdr:row>
      <xdr:rowOff>0</xdr:rowOff>
    </xdr:to>
    <xdr:sp macro="" textlink="">
      <xdr:nvSpPr>
        <xdr:cNvPr id="34879" name="テキスト 1">
          <a:extLst>
            <a:ext uri="{FF2B5EF4-FFF2-40B4-BE49-F238E27FC236}">
              <a16:creationId xmlns:a16="http://schemas.microsoft.com/office/drawing/2014/main" id="{00000000-0008-0000-0700-00003F880000}"/>
            </a:ext>
          </a:extLst>
        </xdr:cNvPr>
        <xdr:cNvSpPr txBox="1">
          <a:spLocks noChangeArrowheads="1"/>
        </xdr:cNvSpPr>
      </xdr:nvSpPr>
      <xdr:spPr bwMode="auto">
        <a:xfrm>
          <a:off x="47625" y="5619750"/>
          <a:ext cx="6191250" cy="0"/>
        </a:xfrm>
        <a:prstGeom prst="rect">
          <a:avLst/>
        </a:prstGeom>
        <a:solidFill>
          <a:srgbClr val="FFFFFF"/>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47625</xdr:colOff>
      <xdr:row>5</xdr:row>
      <xdr:rowOff>0</xdr:rowOff>
    </xdr:from>
    <xdr:to>
      <xdr:col>32</xdr:col>
      <xdr:colOff>142875</xdr:colOff>
      <xdr:row>5</xdr:row>
      <xdr:rowOff>0</xdr:rowOff>
    </xdr:to>
    <xdr:sp macro="" textlink="">
      <xdr:nvSpPr>
        <xdr:cNvPr id="23611" name="テキスト 1">
          <a:extLst>
            <a:ext uri="{FF2B5EF4-FFF2-40B4-BE49-F238E27FC236}">
              <a16:creationId xmlns:a16="http://schemas.microsoft.com/office/drawing/2014/main" id="{00000000-0008-0000-1000-00003B5C0000}"/>
            </a:ext>
          </a:extLst>
        </xdr:cNvPr>
        <xdr:cNvSpPr txBox="1">
          <a:spLocks noChangeArrowheads="1"/>
        </xdr:cNvSpPr>
      </xdr:nvSpPr>
      <xdr:spPr bwMode="auto">
        <a:xfrm>
          <a:off x="47625" y="1047750"/>
          <a:ext cx="6191250" cy="0"/>
        </a:xfrm>
        <a:prstGeom prst="rect">
          <a:avLst/>
        </a:prstGeom>
        <a:solidFill>
          <a:srgbClr val="FFFFFF"/>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47625</xdr:colOff>
      <xdr:row>5</xdr:row>
      <xdr:rowOff>0</xdr:rowOff>
    </xdr:from>
    <xdr:to>
      <xdr:col>32</xdr:col>
      <xdr:colOff>142875</xdr:colOff>
      <xdr:row>5</xdr:row>
      <xdr:rowOff>0</xdr:rowOff>
    </xdr:to>
    <xdr:sp macro="" textlink="">
      <xdr:nvSpPr>
        <xdr:cNvPr id="23612" name="テキスト 1">
          <a:extLst>
            <a:ext uri="{FF2B5EF4-FFF2-40B4-BE49-F238E27FC236}">
              <a16:creationId xmlns:a16="http://schemas.microsoft.com/office/drawing/2014/main" id="{00000000-0008-0000-1000-00003C5C0000}"/>
            </a:ext>
          </a:extLst>
        </xdr:cNvPr>
        <xdr:cNvSpPr txBox="1">
          <a:spLocks noChangeArrowheads="1"/>
        </xdr:cNvSpPr>
      </xdr:nvSpPr>
      <xdr:spPr bwMode="auto">
        <a:xfrm>
          <a:off x="47625" y="1047750"/>
          <a:ext cx="6191250" cy="0"/>
        </a:xfrm>
        <a:prstGeom prst="rect">
          <a:avLst/>
        </a:prstGeom>
        <a:solidFill>
          <a:srgbClr val="FFFFFF"/>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47625</xdr:colOff>
      <xdr:row>5</xdr:row>
      <xdr:rowOff>0</xdr:rowOff>
    </xdr:from>
    <xdr:to>
      <xdr:col>32</xdr:col>
      <xdr:colOff>142875</xdr:colOff>
      <xdr:row>5</xdr:row>
      <xdr:rowOff>0</xdr:rowOff>
    </xdr:to>
    <xdr:sp macro="" textlink="">
      <xdr:nvSpPr>
        <xdr:cNvPr id="23613" name="テキスト 1">
          <a:extLst>
            <a:ext uri="{FF2B5EF4-FFF2-40B4-BE49-F238E27FC236}">
              <a16:creationId xmlns:a16="http://schemas.microsoft.com/office/drawing/2014/main" id="{00000000-0008-0000-1000-00003D5C0000}"/>
            </a:ext>
          </a:extLst>
        </xdr:cNvPr>
        <xdr:cNvSpPr txBox="1">
          <a:spLocks noChangeArrowheads="1"/>
        </xdr:cNvSpPr>
      </xdr:nvSpPr>
      <xdr:spPr bwMode="auto">
        <a:xfrm>
          <a:off x="47625" y="1047750"/>
          <a:ext cx="6191250" cy="0"/>
        </a:xfrm>
        <a:prstGeom prst="rect">
          <a:avLst/>
        </a:prstGeom>
        <a:solidFill>
          <a:srgbClr val="FFFFFF"/>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47625</xdr:colOff>
      <xdr:row>5</xdr:row>
      <xdr:rowOff>0</xdr:rowOff>
    </xdr:from>
    <xdr:to>
      <xdr:col>32</xdr:col>
      <xdr:colOff>142875</xdr:colOff>
      <xdr:row>5</xdr:row>
      <xdr:rowOff>0</xdr:rowOff>
    </xdr:to>
    <xdr:sp macro="" textlink="">
      <xdr:nvSpPr>
        <xdr:cNvPr id="11319" name="テキスト 1">
          <a:extLst>
            <a:ext uri="{FF2B5EF4-FFF2-40B4-BE49-F238E27FC236}">
              <a16:creationId xmlns:a16="http://schemas.microsoft.com/office/drawing/2014/main" id="{00000000-0008-0000-1100-0000372C0000}"/>
            </a:ext>
          </a:extLst>
        </xdr:cNvPr>
        <xdr:cNvSpPr txBox="1">
          <a:spLocks noChangeArrowheads="1"/>
        </xdr:cNvSpPr>
      </xdr:nvSpPr>
      <xdr:spPr bwMode="auto">
        <a:xfrm>
          <a:off x="47625" y="1047750"/>
          <a:ext cx="6191250" cy="0"/>
        </a:xfrm>
        <a:prstGeom prst="rect">
          <a:avLst/>
        </a:prstGeom>
        <a:solidFill>
          <a:srgbClr val="FFFFFF"/>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47625</xdr:colOff>
      <xdr:row>5</xdr:row>
      <xdr:rowOff>0</xdr:rowOff>
    </xdr:from>
    <xdr:to>
      <xdr:col>32</xdr:col>
      <xdr:colOff>142875</xdr:colOff>
      <xdr:row>5</xdr:row>
      <xdr:rowOff>0</xdr:rowOff>
    </xdr:to>
    <xdr:sp macro="" textlink="">
      <xdr:nvSpPr>
        <xdr:cNvPr id="11320" name="テキスト 1">
          <a:extLst>
            <a:ext uri="{FF2B5EF4-FFF2-40B4-BE49-F238E27FC236}">
              <a16:creationId xmlns:a16="http://schemas.microsoft.com/office/drawing/2014/main" id="{00000000-0008-0000-1100-0000382C0000}"/>
            </a:ext>
          </a:extLst>
        </xdr:cNvPr>
        <xdr:cNvSpPr txBox="1">
          <a:spLocks noChangeArrowheads="1"/>
        </xdr:cNvSpPr>
      </xdr:nvSpPr>
      <xdr:spPr bwMode="auto">
        <a:xfrm>
          <a:off x="47625" y="1047750"/>
          <a:ext cx="6191250" cy="0"/>
        </a:xfrm>
        <a:prstGeom prst="rect">
          <a:avLst/>
        </a:prstGeom>
        <a:solidFill>
          <a:srgbClr val="FFFFFF"/>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47625</xdr:colOff>
      <xdr:row>5</xdr:row>
      <xdr:rowOff>0</xdr:rowOff>
    </xdr:from>
    <xdr:to>
      <xdr:col>32</xdr:col>
      <xdr:colOff>142875</xdr:colOff>
      <xdr:row>5</xdr:row>
      <xdr:rowOff>0</xdr:rowOff>
    </xdr:to>
    <xdr:sp macro="" textlink="">
      <xdr:nvSpPr>
        <xdr:cNvPr id="11321" name="テキスト 1">
          <a:extLst>
            <a:ext uri="{FF2B5EF4-FFF2-40B4-BE49-F238E27FC236}">
              <a16:creationId xmlns:a16="http://schemas.microsoft.com/office/drawing/2014/main" id="{00000000-0008-0000-1100-0000392C0000}"/>
            </a:ext>
          </a:extLst>
        </xdr:cNvPr>
        <xdr:cNvSpPr txBox="1">
          <a:spLocks noChangeArrowheads="1"/>
        </xdr:cNvSpPr>
      </xdr:nvSpPr>
      <xdr:spPr bwMode="auto">
        <a:xfrm>
          <a:off x="47625" y="1047750"/>
          <a:ext cx="6191250" cy="0"/>
        </a:xfrm>
        <a:prstGeom prst="rect">
          <a:avLst/>
        </a:prstGeom>
        <a:solidFill>
          <a:srgbClr val="FFFFFF"/>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47625</xdr:colOff>
      <xdr:row>5</xdr:row>
      <xdr:rowOff>0</xdr:rowOff>
    </xdr:from>
    <xdr:to>
      <xdr:col>34</xdr:col>
      <xdr:colOff>0</xdr:colOff>
      <xdr:row>5</xdr:row>
      <xdr:rowOff>0</xdr:rowOff>
    </xdr:to>
    <xdr:sp macro="" textlink="">
      <xdr:nvSpPr>
        <xdr:cNvPr id="10298" name="テキスト 1">
          <a:extLst>
            <a:ext uri="{FF2B5EF4-FFF2-40B4-BE49-F238E27FC236}">
              <a16:creationId xmlns:a16="http://schemas.microsoft.com/office/drawing/2014/main" id="{00000000-0008-0000-1200-00003A280000}"/>
            </a:ext>
          </a:extLst>
        </xdr:cNvPr>
        <xdr:cNvSpPr txBox="1">
          <a:spLocks noChangeArrowheads="1"/>
        </xdr:cNvSpPr>
      </xdr:nvSpPr>
      <xdr:spPr bwMode="auto">
        <a:xfrm>
          <a:off x="47625" y="1047750"/>
          <a:ext cx="6429375" cy="0"/>
        </a:xfrm>
        <a:prstGeom prst="rect">
          <a:avLst/>
        </a:prstGeom>
        <a:solidFill>
          <a:srgbClr val="FFFFFF"/>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47625</xdr:colOff>
      <xdr:row>5</xdr:row>
      <xdr:rowOff>0</xdr:rowOff>
    </xdr:from>
    <xdr:to>
      <xdr:col>34</xdr:col>
      <xdr:colOff>0</xdr:colOff>
      <xdr:row>5</xdr:row>
      <xdr:rowOff>0</xdr:rowOff>
    </xdr:to>
    <xdr:sp macro="" textlink="">
      <xdr:nvSpPr>
        <xdr:cNvPr id="10299" name="テキスト 1">
          <a:extLst>
            <a:ext uri="{FF2B5EF4-FFF2-40B4-BE49-F238E27FC236}">
              <a16:creationId xmlns:a16="http://schemas.microsoft.com/office/drawing/2014/main" id="{00000000-0008-0000-1200-00003B280000}"/>
            </a:ext>
          </a:extLst>
        </xdr:cNvPr>
        <xdr:cNvSpPr txBox="1">
          <a:spLocks noChangeArrowheads="1"/>
        </xdr:cNvSpPr>
      </xdr:nvSpPr>
      <xdr:spPr bwMode="auto">
        <a:xfrm>
          <a:off x="47625" y="1047750"/>
          <a:ext cx="6429375" cy="0"/>
        </a:xfrm>
        <a:prstGeom prst="rect">
          <a:avLst/>
        </a:prstGeom>
        <a:solidFill>
          <a:srgbClr val="FFFFFF"/>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47625</xdr:colOff>
      <xdr:row>5</xdr:row>
      <xdr:rowOff>0</xdr:rowOff>
    </xdr:from>
    <xdr:to>
      <xdr:col>34</xdr:col>
      <xdr:colOff>0</xdr:colOff>
      <xdr:row>5</xdr:row>
      <xdr:rowOff>0</xdr:rowOff>
    </xdr:to>
    <xdr:sp macro="" textlink="">
      <xdr:nvSpPr>
        <xdr:cNvPr id="10300" name="テキスト 1">
          <a:extLst>
            <a:ext uri="{FF2B5EF4-FFF2-40B4-BE49-F238E27FC236}">
              <a16:creationId xmlns:a16="http://schemas.microsoft.com/office/drawing/2014/main" id="{00000000-0008-0000-1200-00003C280000}"/>
            </a:ext>
          </a:extLst>
        </xdr:cNvPr>
        <xdr:cNvSpPr txBox="1">
          <a:spLocks noChangeArrowheads="1"/>
        </xdr:cNvSpPr>
      </xdr:nvSpPr>
      <xdr:spPr bwMode="auto">
        <a:xfrm>
          <a:off x="47625" y="1047750"/>
          <a:ext cx="6429375" cy="0"/>
        </a:xfrm>
        <a:prstGeom prst="rect">
          <a:avLst/>
        </a:prstGeom>
        <a:solidFill>
          <a:srgbClr val="FFFFFF"/>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28575</xdr:colOff>
      <xdr:row>5</xdr:row>
      <xdr:rowOff>0</xdr:rowOff>
    </xdr:from>
    <xdr:to>
      <xdr:col>6</xdr:col>
      <xdr:colOff>104775</xdr:colOff>
      <xdr:row>6</xdr:row>
      <xdr:rowOff>9525</xdr:rowOff>
    </xdr:to>
    <xdr:sp macro="" textlink="">
      <xdr:nvSpPr>
        <xdr:cNvPr id="66580" name="Text Box 1">
          <a:extLst>
            <a:ext uri="{FF2B5EF4-FFF2-40B4-BE49-F238E27FC236}">
              <a16:creationId xmlns:a16="http://schemas.microsoft.com/office/drawing/2014/main" id="{00000000-0008-0000-1300-000014040100}"/>
            </a:ext>
          </a:extLst>
        </xdr:cNvPr>
        <xdr:cNvSpPr txBox="1">
          <a:spLocks noChangeArrowheads="1"/>
        </xdr:cNvSpPr>
      </xdr:nvSpPr>
      <xdr:spPr bwMode="auto">
        <a:xfrm>
          <a:off x="1171575" y="1047750"/>
          <a:ext cx="762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6</xdr:col>
      <xdr:colOff>28575</xdr:colOff>
      <xdr:row>5</xdr:row>
      <xdr:rowOff>0</xdr:rowOff>
    </xdr:from>
    <xdr:to>
      <xdr:col>6</xdr:col>
      <xdr:colOff>104775</xdr:colOff>
      <xdr:row>6</xdr:row>
      <xdr:rowOff>9525</xdr:rowOff>
    </xdr:to>
    <xdr:sp macro="" textlink="">
      <xdr:nvSpPr>
        <xdr:cNvPr id="87060" name="Text Box 1">
          <a:extLst>
            <a:ext uri="{FF2B5EF4-FFF2-40B4-BE49-F238E27FC236}">
              <a16:creationId xmlns:a16="http://schemas.microsoft.com/office/drawing/2014/main" id="{00000000-0008-0000-1400-000014540100}"/>
            </a:ext>
          </a:extLst>
        </xdr:cNvPr>
        <xdr:cNvSpPr txBox="1">
          <a:spLocks noChangeArrowheads="1"/>
        </xdr:cNvSpPr>
      </xdr:nvSpPr>
      <xdr:spPr bwMode="auto">
        <a:xfrm>
          <a:off x="1171575" y="1047750"/>
          <a:ext cx="76200" cy="2000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0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7.xml"/><Relationship Id="rId1" Type="http://schemas.openxmlformats.org/officeDocument/2006/relationships/printerSettings" Target="../printerSettings/printerSettings17.bin"/><Relationship Id="rId4" Type="http://schemas.openxmlformats.org/officeDocument/2006/relationships/comments" Target="../comments16.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0.xml"/><Relationship Id="rId1" Type="http://schemas.openxmlformats.org/officeDocument/2006/relationships/printerSettings" Target="../printerSettings/printerSettings20.bin"/><Relationship Id="rId4" Type="http://schemas.openxmlformats.org/officeDocument/2006/relationships/comments" Target="../comments17.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1.xml"/><Relationship Id="rId1" Type="http://schemas.openxmlformats.org/officeDocument/2006/relationships/printerSettings" Target="../printerSettings/printerSettings21.bin"/><Relationship Id="rId4" Type="http://schemas.openxmlformats.org/officeDocument/2006/relationships/comments" Target="../comments18.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1">
    <pageSetUpPr fitToPage="1"/>
  </sheetPr>
  <dimension ref="B2:AI46"/>
  <sheetViews>
    <sheetView topLeftCell="A10" zoomScaleNormal="100" workbookViewId="0"/>
  </sheetViews>
  <sheetFormatPr defaultColWidth="2.85546875" defaultRowHeight="11.25"/>
  <cols>
    <col min="1" max="1" width="2.85546875" style="62" customWidth="1"/>
    <col min="2" max="11" width="2.85546875" style="212" customWidth="1"/>
    <col min="12" max="12" width="2.85546875" style="98" customWidth="1"/>
    <col min="13" max="16384" width="2.85546875" style="62"/>
  </cols>
  <sheetData>
    <row r="2" spans="2:35" s="61" customFormat="1" ht="15.95" customHeight="1" thickBot="1">
      <c r="B2" s="203"/>
      <c r="C2" s="230" t="s">
        <v>0</v>
      </c>
      <c r="D2" s="230"/>
      <c r="E2" s="203"/>
      <c r="F2" s="203"/>
      <c r="G2" s="203"/>
      <c r="H2" s="203"/>
      <c r="I2" s="203"/>
      <c r="J2" s="203"/>
      <c r="K2" s="203"/>
      <c r="L2" s="93"/>
    </row>
    <row r="3" spans="2:35" ht="17.100000000000001" customHeight="1">
      <c r="B3" s="213" t="s">
        <v>1</v>
      </c>
      <c r="C3" s="76"/>
      <c r="D3" s="76"/>
      <c r="E3" s="76"/>
      <c r="F3" s="76"/>
      <c r="G3" s="76"/>
      <c r="H3" s="80" t="s">
        <v>2</v>
      </c>
      <c r="I3" s="76"/>
      <c r="J3" s="76"/>
      <c r="K3" s="76"/>
      <c r="L3" s="94"/>
      <c r="M3" s="63"/>
      <c r="N3" s="63"/>
      <c r="O3" s="63"/>
      <c r="P3" s="63"/>
      <c r="Q3" s="63"/>
      <c r="R3" s="63"/>
      <c r="S3" s="86"/>
      <c r="T3" s="63"/>
      <c r="U3" s="63"/>
      <c r="V3" s="63"/>
      <c r="W3" s="63"/>
      <c r="X3" s="63"/>
      <c r="Y3" s="63"/>
      <c r="Z3" s="63"/>
      <c r="AA3" s="63"/>
      <c r="AB3" s="63"/>
      <c r="AC3" s="63"/>
      <c r="AD3" s="63"/>
      <c r="AE3" s="63"/>
      <c r="AF3" s="63"/>
      <c r="AG3" s="63"/>
      <c r="AH3" s="63"/>
      <c r="AI3" s="64"/>
    </row>
    <row r="4" spans="2:35" ht="99.75" customHeight="1" thickBot="1">
      <c r="B4" s="204" t="s">
        <v>3</v>
      </c>
      <c r="C4" s="205" t="s">
        <v>4</v>
      </c>
      <c r="D4" s="205" t="s">
        <v>5</v>
      </c>
      <c r="E4" s="205" t="s">
        <v>6</v>
      </c>
      <c r="F4" s="208" t="s">
        <v>7</v>
      </c>
      <c r="G4" s="206" t="s">
        <v>8</v>
      </c>
      <c r="H4" s="207" t="s">
        <v>9</v>
      </c>
      <c r="I4" s="208" t="s">
        <v>10</v>
      </c>
      <c r="J4" s="206" t="s">
        <v>11</v>
      </c>
      <c r="K4" s="209" t="s">
        <v>12</v>
      </c>
      <c r="L4" s="87" t="s">
        <v>13</v>
      </c>
      <c r="M4" s="72"/>
      <c r="N4" s="72"/>
      <c r="O4" s="72"/>
      <c r="P4" s="72"/>
      <c r="Q4" s="72"/>
      <c r="R4" s="72"/>
      <c r="S4" s="88"/>
      <c r="T4" s="72" t="s">
        <v>14</v>
      </c>
      <c r="U4" s="73"/>
      <c r="V4" s="73"/>
      <c r="W4" s="73"/>
      <c r="X4" s="73"/>
      <c r="Y4" s="73"/>
      <c r="Z4" s="73"/>
      <c r="AA4" s="73"/>
      <c r="AB4" s="73"/>
      <c r="AC4" s="73"/>
      <c r="AD4" s="73"/>
      <c r="AE4" s="73"/>
      <c r="AF4" s="73"/>
      <c r="AG4" s="73"/>
      <c r="AH4" s="73"/>
      <c r="AI4" s="74"/>
    </row>
    <row r="5" spans="2:35" ht="15" customHeight="1">
      <c r="B5" s="268" t="s">
        <v>15</v>
      </c>
      <c r="C5" s="269" t="s">
        <v>15</v>
      </c>
      <c r="D5" s="269" t="s">
        <v>16</v>
      </c>
      <c r="E5" s="269" t="s">
        <v>15</v>
      </c>
      <c r="F5" s="269" t="s">
        <v>16</v>
      </c>
      <c r="G5" s="270" t="s">
        <v>15</v>
      </c>
      <c r="H5" s="271" t="s">
        <v>15</v>
      </c>
      <c r="I5" s="77"/>
      <c r="J5" s="84"/>
      <c r="K5" s="200"/>
      <c r="L5" s="95" t="s">
        <v>17</v>
      </c>
      <c r="M5" s="65" t="s">
        <v>18</v>
      </c>
      <c r="N5" s="65"/>
      <c r="O5" s="65"/>
      <c r="P5" s="65"/>
      <c r="Q5" s="65"/>
      <c r="R5" s="65"/>
      <c r="S5" s="89"/>
      <c r="T5" s="65" t="s">
        <v>19</v>
      </c>
      <c r="U5" s="65"/>
      <c r="V5" s="65"/>
      <c r="W5" s="65"/>
      <c r="X5" s="65"/>
      <c r="Y5" s="65"/>
      <c r="Z5" s="65"/>
      <c r="AA5" s="65"/>
      <c r="AB5" s="65"/>
      <c r="AC5" s="65"/>
      <c r="AD5" s="65"/>
      <c r="AE5" s="65"/>
      <c r="AF5" s="65"/>
      <c r="AG5" s="65"/>
      <c r="AH5" s="65"/>
      <c r="AI5" s="66"/>
    </row>
    <row r="6" spans="2:35" ht="15" customHeight="1">
      <c r="B6" s="272" t="s">
        <v>15</v>
      </c>
      <c r="C6" s="273" t="s">
        <v>15</v>
      </c>
      <c r="D6" s="273" t="s">
        <v>15</v>
      </c>
      <c r="E6" s="273" t="s">
        <v>15</v>
      </c>
      <c r="F6" s="273" t="s">
        <v>15</v>
      </c>
      <c r="G6" s="274" t="s">
        <v>15</v>
      </c>
      <c r="H6" s="231"/>
      <c r="I6" s="322" t="s">
        <v>16</v>
      </c>
      <c r="J6" s="199"/>
      <c r="K6" s="232"/>
      <c r="L6" s="96" t="s">
        <v>20</v>
      </c>
      <c r="M6" s="233" t="s">
        <v>21</v>
      </c>
      <c r="N6" s="233"/>
      <c r="O6" s="233"/>
      <c r="P6" s="233"/>
      <c r="Q6" s="233"/>
      <c r="R6" s="233"/>
      <c r="S6" s="234"/>
      <c r="T6" s="233" t="s">
        <v>22</v>
      </c>
      <c r="U6" s="233"/>
      <c r="V6" s="233"/>
      <c r="W6" s="233"/>
      <c r="X6" s="233"/>
      <c r="Y6" s="233"/>
      <c r="Z6" s="233"/>
      <c r="AA6" s="233"/>
      <c r="AB6" s="233"/>
      <c r="AC6" s="233"/>
      <c r="AD6" s="233"/>
      <c r="AE6" s="233"/>
      <c r="AF6" s="233"/>
      <c r="AG6" s="233"/>
      <c r="AH6" s="233"/>
      <c r="AI6" s="235"/>
    </row>
    <row r="7" spans="2:35" ht="15" customHeight="1">
      <c r="B7" s="272" t="s">
        <v>15</v>
      </c>
      <c r="C7" s="273" t="s">
        <v>15</v>
      </c>
      <c r="D7" s="273" t="s">
        <v>15</v>
      </c>
      <c r="E7" s="273" t="s">
        <v>15</v>
      </c>
      <c r="F7" s="273" t="s">
        <v>15</v>
      </c>
      <c r="G7" s="274" t="s">
        <v>15</v>
      </c>
      <c r="H7" s="231"/>
      <c r="I7" s="322" t="s">
        <v>16</v>
      </c>
      <c r="J7" s="199"/>
      <c r="K7" s="232"/>
      <c r="L7" s="96" t="s">
        <v>23</v>
      </c>
      <c r="M7" s="233" t="s">
        <v>24</v>
      </c>
      <c r="N7" s="233"/>
      <c r="O7" s="233"/>
      <c r="P7" s="233"/>
      <c r="Q7" s="233"/>
      <c r="R7" s="233"/>
      <c r="S7" s="234"/>
      <c r="T7" s="233" t="s">
        <v>25</v>
      </c>
      <c r="U7" s="233"/>
      <c r="V7" s="233"/>
      <c r="W7" s="233"/>
      <c r="X7" s="233"/>
      <c r="Y7" s="233"/>
      <c r="Z7" s="233"/>
      <c r="AA7" s="233"/>
      <c r="AB7" s="233"/>
      <c r="AC7" s="233"/>
      <c r="AD7" s="233"/>
      <c r="AE7" s="233"/>
      <c r="AF7" s="233"/>
      <c r="AG7" s="233"/>
      <c r="AH7" s="233"/>
      <c r="AI7" s="235"/>
    </row>
    <row r="8" spans="2:35" ht="15" customHeight="1">
      <c r="B8" s="210"/>
      <c r="C8" s="78"/>
      <c r="D8" s="78"/>
      <c r="E8" s="78"/>
      <c r="F8" s="78"/>
      <c r="G8" s="85"/>
      <c r="H8" s="278" t="s">
        <v>26</v>
      </c>
      <c r="I8" s="323" t="s">
        <v>26</v>
      </c>
      <c r="J8" s="85"/>
      <c r="K8" s="201"/>
      <c r="L8" s="96" t="s">
        <v>27</v>
      </c>
      <c r="M8" s="67" t="s">
        <v>28</v>
      </c>
      <c r="N8" s="67"/>
      <c r="O8" s="67"/>
      <c r="P8" s="67"/>
      <c r="Q8" s="67"/>
      <c r="R8" s="67"/>
      <c r="S8" s="90"/>
      <c r="T8" s="67" t="s">
        <v>29</v>
      </c>
      <c r="U8" s="67"/>
      <c r="V8" s="67"/>
      <c r="W8" s="67"/>
      <c r="X8" s="67"/>
      <c r="Y8" s="67"/>
      <c r="Z8" s="67"/>
      <c r="AA8" s="67"/>
      <c r="AB8" s="67"/>
      <c r="AC8" s="67"/>
      <c r="AD8" s="67"/>
      <c r="AE8" s="67"/>
      <c r="AF8" s="67"/>
      <c r="AG8" s="67"/>
      <c r="AH8" s="67"/>
      <c r="AI8" s="68"/>
    </row>
    <row r="9" spans="2:35" ht="15" customHeight="1">
      <c r="B9" s="275" t="s">
        <v>16</v>
      </c>
      <c r="C9" s="276" t="s">
        <v>16</v>
      </c>
      <c r="D9" s="276" t="s">
        <v>16</v>
      </c>
      <c r="E9" s="276" t="s">
        <v>16</v>
      </c>
      <c r="F9" s="78"/>
      <c r="G9" s="85"/>
      <c r="H9" s="277" t="s">
        <v>16</v>
      </c>
      <c r="I9" s="324" t="s">
        <v>15</v>
      </c>
      <c r="J9" s="85"/>
      <c r="K9" s="201"/>
      <c r="L9" s="96" t="s">
        <v>30</v>
      </c>
      <c r="M9" s="67" t="s">
        <v>31</v>
      </c>
      <c r="N9" s="67"/>
      <c r="O9" s="67"/>
      <c r="P9" s="67"/>
      <c r="Q9" s="67"/>
      <c r="R9" s="67"/>
      <c r="S9" s="90"/>
      <c r="T9" s="67" t="s">
        <v>32</v>
      </c>
      <c r="U9" s="67"/>
      <c r="V9" s="67"/>
      <c r="W9" s="67"/>
      <c r="X9" s="67"/>
      <c r="Y9" s="67"/>
      <c r="Z9" s="67"/>
      <c r="AA9" s="67"/>
      <c r="AB9" s="67"/>
      <c r="AC9" s="67"/>
      <c r="AD9" s="67"/>
      <c r="AE9" s="67"/>
      <c r="AF9" s="67"/>
      <c r="AG9" s="67"/>
      <c r="AH9" s="67"/>
      <c r="AI9" s="68"/>
    </row>
    <row r="10" spans="2:35" ht="15" customHeight="1">
      <c r="B10" s="275" t="s">
        <v>16</v>
      </c>
      <c r="C10" s="78"/>
      <c r="D10" s="78"/>
      <c r="E10" s="78"/>
      <c r="F10" s="78"/>
      <c r="G10" s="85"/>
      <c r="H10" s="277" t="s">
        <v>33</v>
      </c>
      <c r="I10" s="322" t="s">
        <v>33</v>
      </c>
      <c r="J10" s="199"/>
      <c r="K10" s="201"/>
      <c r="L10" s="96" t="s">
        <v>34</v>
      </c>
      <c r="M10" s="67" t="s">
        <v>35</v>
      </c>
      <c r="N10" s="67"/>
      <c r="O10" s="67"/>
      <c r="P10" s="67"/>
      <c r="Q10" s="67"/>
      <c r="R10" s="67"/>
      <c r="S10" s="90"/>
      <c r="T10" s="67" t="s">
        <v>36</v>
      </c>
      <c r="U10" s="67"/>
      <c r="V10" s="67"/>
      <c r="W10" s="67"/>
      <c r="X10" s="67"/>
      <c r="Y10" s="67"/>
      <c r="Z10" s="67"/>
      <c r="AA10" s="67"/>
      <c r="AB10" s="67"/>
      <c r="AC10" s="67"/>
      <c r="AD10" s="67"/>
      <c r="AE10" s="67"/>
      <c r="AF10" s="67"/>
      <c r="AG10" s="67"/>
      <c r="AH10" s="67"/>
      <c r="AI10" s="68"/>
    </row>
    <row r="11" spans="2:35" ht="15" customHeight="1">
      <c r="B11" s="275" t="s">
        <v>16</v>
      </c>
      <c r="C11" s="78"/>
      <c r="D11" s="78"/>
      <c r="E11" s="78"/>
      <c r="F11" s="78"/>
      <c r="G11" s="85"/>
      <c r="H11" s="81"/>
      <c r="I11" s="324" t="s">
        <v>26</v>
      </c>
      <c r="J11" s="85"/>
      <c r="K11" s="201"/>
      <c r="L11" s="96" t="s">
        <v>37</v>
      </c>
      <c r="M11" s="67" t="s">
        <v>38</v>
      </c>
      <c r="N11" s="67"/>
      <c r="O11" s="67"/>
      <c r="P11" s="67"/>
      <c r="Q11" s="67"/>
      <c r="R11" s="67"/>
      <c r="S11" s="90"/>
      <c r="T11" s="67" t="s">
        <v>39</v>
      </c>
      <c r="U11" s="67"/>
      <c r="V11" s="67"/>
      <c r="W11" s="67"/>
      <c r="X11" s="67"/>
      <c r="Y11" s="67"/>
      <c r="Z11" s="67"/>
      <c r="AA11" s="67"/>
      <c r="AB11" s="67"/>
      <c r="AC11" s="67"/>
      <c r="AD11" s="67"/>
      <c r="AE11" s="67"/>
      <c r="AF11" s="67"/>
      <c r="AG11" s="67"/>
      <c r="AH11" s="67"/>
      <c r="AI11" s="68"/>
    </row>
    <row r="12" spans="2:35" ht="15" customHeight="1">
      <c r="B12" s="211"/>
      <c r="C12" s="78"/>
      <c r="D12" s="78"/>
      <c r="E12" s="78"/>
      <c r="F12" s="78"/>
      <c r="G12" s="85"/>
      <c r="H12" s="278" t="s">
        <v>26</v>
      </c>
      <c r="I12" s="324" t="s">
        <v>26</v>
      </c>
      <c r="J12" s="85"/>
      <c r="K12" s="201"/>
      <c r="L12" s="96" t="s">
        <v>40</v>
      </c>
      <c r="M12" s="67" t="s">
        <v>41</v>
      </c>
      <c r="N12" s="69"/>
      <c r="O12" s="69"/>
      <c r="P12" s="69"/>
      <c r="Q12" s="69"/>
      <c r="R12" s="69"/>
      <c r="S12" s="91"/>
      <c r="T12" s="67" t="s">
        <v>42</v>
      </c>
      <c r="U12" s="67"/>
      <c r="V12" s="67"/>
      <c r="W12" s="67"/>
      <c r="X12" s="67"/>
      <c r="Y12" s="67"/>
      <c r="Z12" s="67"/>
      <c r="AA12" s="67"/>
      <c r="AB12" s="67"/>
      <c r="AC12" s="67"/>
      <c r="AD12" s="67"/>
      <c r="AE12" s="67"/>
      <c r="AF12" s="67"/>
      <c r="AG12" s="67"/>
      <c r="AH12" s="67"/>
      <c r="AI12" s="68"/>
    </row>
    <row r="13" spans="2:35" ht="15" customHeight="1">
      <c r="B13" s="211"/>
      <c r="C13" s="78" t="s">
        <v>16</v>
      </c>
      <c r="D13" s="78" t="s">
        <v>16</v>
      </c>
      <c r="E13" s="78" t="s">
        <v>16</v>
      </c>
      <c r="F13" s="78"/>
      <c r="G13" s="85"/>
      <c r="H13" s="81" t="s">
        <v>16</v>
      </c>
      <c r="I13" s="78"/>
      <c r="J13" s="85"/>
      <c r="K13" s="201"/>
      <c r="L13" s="96" t="s">
        <v>43</v>
      </c>
      <c r="M13" s="67" t="s">
        <v>44</v>
      </c>
      <c r="N13" s="69"/>
      <c r="O13" s="69"/>
      <c r="P13" s="69"/>
      <c r="Q13" s="69"/>
      <c r="R13" s="69"/>
      <c r="S13" s="91"/>
      <c r="T13" s="67" t="s">
        <v>45</v>
      </c>
      <c r="U13" s="67"/>
      <c r="V13" s="67"/>
      <c r="W13" s="67"/>
      <c r="X13" s="67"/>
      <c r="Y13" s="67"/>
      <c r="Z13" s="67"/>
      <c r="AA13" s="67"/>
      <c r="AB13" s="67"/>
      <c r="AC13" s="67"/>
      <c r="AD13" s="67"/>
      <c r="AE13" s="67"/>
      <c r="AF13" s="67"/>
      <c r="AG13" s="67"/>
      <c r="AH13" s="67"/>
      <c r="AI13" s="68"/>
    </row>
    <row r="14" spans="2:35" ht="15" customHeight="1">
      <c r="B14" s="211"/>
      <c r="C14" s="78"/>
      <c r="D14" s="78"/>
      <c r="E14" s="276" t="s">
        <v>15</v>
      </c>
      <c r="F14" s="78"/>
      <c r="G14" s="85"/>
      <c r="H14" s="82"/>
      <c r="I14" s="324" t="s">
        <v>16</v>
      </c>
      <c r="J14" s="85"/>
      <c r="K14" s="201"/>
      <c r="L14" s="96" t="s">
        <v>46</v>
      </c>
      <c r="M14" s="67" t="s">
        <v>47</v>
      </c>
      <c r="N14" s="67"/>
      <c r="O14" s="67"/>
      <c r="P14" s="67"/>
      <c r="Q14" s="67"/>
      <c r="R14" s="67"/>
      <c r="S14" s="90"/>
      <c r="T14" s="67" t="s">
        <v>48</v>
      </c>
      <c r="U14" s="67"/>
      <c r="V14" s="67"/>
      <c r="W14" s="67"/>
      <c r="X14" s="67"/>
      <c r="Y14" s="67"/>
      <c r="Z14" s="67"/>
      <c r="AA14" s="67"/>
      <c r="AB14" s="67"/>
      <c r="AC14" s="67"/>
      <c r="AD14" s="67"/>
      <c r="AE14" s="67"/>
      <c r="AF14" s="67"/>
      <c r="AG14" s="67"/>
      <c r="AH14" s="67"/>
      <c r="AI14" s="68"/>
    </row>
    <row r="15" spans="2:35" ht="15" customHeight="1">
      <c r="B15" s="211"/>
      <c r="C15" s="78"/>
      <c r="D15" s="78"/>
      <c r="E15" s="78"/>
      <c r="F15" s="78"/>
      <c r="G15" s="85"/>
      <c r="H15" s="81"/>
      <c r="I15" s="324" t="s">
        <v>26</v>
      </c>
      <c r="J15" s="85"/>
      <c r="K15" s="201"/>
      <c r="L15" s="96" t="s">
        <v>49</v>
      </c>
      <c r="M15" s="67" t="s">
        <v>50</v>
      </c>
      <c r="N15" s="67"/>
      <c r="O15" s="67"/>
      <c r="P15" s="67"/>
      <c r="Q15" s="67"/>
      <c r="R15" s="67"/>
      <c r="S15" s="90"/>
      <c r="T15" s="67" t="s">
        <v>51</v>
      </c>
      <c r="U15" s="67"/>
      <c r="V15" s="67"/>
      <c r="W15" s="67"/>
      <c r="X15" s="67"/>
      <c r="Y15" s="67"/>
      <c r="Z15" s="67"/>
      <c r="AA15" s="67"/>
      <c r="AB15" s="67"/>
      <c r="AC15" s="67"/>
      <c r="AD15" s="67"/>
      <c r="AE15" s="67"/>
      <c r="AF15" s="67"/>
      <c r="AG15" s="67"/>
      <c r="AH15" s="67"/>
      <c r="AI15" s="68"/>
    </row>
    <row r="16" spans="2:35" ht="15" customHeight="1">
      <c r="B16" s="275" t="s">
        <v>15</v>
      </c>
      <c r="C16" s="78"/>
      <c r="D16" s="78"/>
      <c r="E16" s="78"/>
      <c r="F16" s="78"/>
      <c r="G16" s="85"/>
      <c r="H16" s="277" t="s">
        <v>15</v>
      </c>
      <c r="I16" s="324" t="s">
        <v>15</v>
      </c>
      <c r="J16" s="85"/>
      <c r="K16" s="201"/>
      <c r="L16" s="96" t="s">
        <v>52</v>
      </c>
      <c r="M16" s="67" t="s">
        <v>53</v>
      </c>
      <c r="N16" s="67"/>
      <c r="O16" s="67"/>
      <c r="P16" s="67"/>
      <c r="Q16" s="67"/>
      <c r="R16" s="67"/>
      <c r="S16" s="90"/>
      <c r="T16" s="67" t="s">
        <v>54</v>
      </c>
      <c r="U16" s="67"/>
      <c r="V16" s="67"/>
      <c r="W16" s="67"/>
      <c r="X16" s="67"/>
      <c r="Y16" s="67"/>
      <c r="Z16" s="67"/>
      <c r="AA16" s="67"/>
      <c r="AB16" s="67"/>
      <c r="AC16" s="67"/>
      <c r="AD16" s="67"/>
      <c r="AE16" s="67"/>
      <c r="AF16" s="67"/>
      <c r="AG16" s="67"/>
      <c r="AH16" s="67"/>
      <c r="AI16" s="68"/>
    </row>
    <row r="17" spans="2:35" ht="15" customHeight="1">
      <c r="B17" s="275" t="s">
        <v>15</v>
      </c>
      <c r="C17" s="78"/>
      <c r="D17" s="78"/>
      <c r="E17" s="78"/>
      <c r="F17" s="78"/>
      <c r="G17" s="85"/>
      <c r="H17" s="277" t="s">
        <v>15</v>
      </c>
      <c r="I17" s="324" t="s">
        <v>15</v>
      </c>
      <c r="J17" s="85"/>
      <c r="K17" s="201"/>
      <c r="L17" s="96" t="s">
        <v>55</v>
      </c>
      <c r="M17" s="67" t="s">
        <v>56</v>
      </c>
      <c r="N17" s="67"/>
      <c r="O17" s="67"/>
      <c r="P17" s="67"/>
      <c r="Q17" s="67"/>
      <c r="R17" s="67"/>
      <c r="S17" s="90"/>
      <c r="T17" s="67" t="s">
        <v>54</v>
      </c>
      <c r="U17" s="67"/>
      <c r="V17" s="67"/>
      <c r="W17" s="67"/>
      <c r="X17" s="67"/>
      <c r="Y17" s="67"/>
      <c r="Z17" s="67"/>
      <c r="AA17" s="67"/>
      <c r="AB17" s="67"/>
      <c r="AC17" s="67"/>
      <c r="AD17" s="67"/>
      <c r="AE17" s="67"/>
      <c r="AF17" s="67"/>
      <c r="AG17" s="67"/>
      <c r="AH17" s="67"/>
      <c r="AI17" s="68"/>
    </row>
    <row r="18" spans="2:35" ht="15" customHeight="1">
      <c r="B18" s="275" t="s">
        <v>15</v>
      </c>
      <c r="C18" s="78"/>
      <c r="D18" s="78"/>
      <c r="E18" s="78"/>
      <c r="F18" s="78"/>
      <c r="G18" s="85"/>
      <c r="H18" s="277" t="s">
        <v>15</v>
      </c>
      <c r="I18" s="324" t="s">
        <v>15</v>
      </c>
      <c r="J18" s="85"/>
      <c r="K18" s="201"/>
      <c r="L18" s="96" t="s">
        <v>57</v>
      </c>
      <c r="M18" s="67" t="s">
        <v>58</v>
      </c>
      <c r="N18" s="67"/>
      <c r="O18" s="67"/>
      <c r="P18" s="67"/>
      <c r="Q18" s="67"/>
      <c r="R18" s="67"/>
      <c r="S18" s="90"/>
      <c r="T18" s="67" t="s">
        <v>54</v>
      </c>
      <c r="U18" s="67"/>
      <c r="V18" s="67"/>
      <c r="W18" s="67"/>
      <c r="X18" s="67"/>
      <c r="Y18" s="67"/>
      <c r="Z18" s="67"/>
      <c r="AA18" s="67"/>
      <c r="AB18" s="67"/>
      <c r="AC18" s="67"/>
      <c r="AD18" s="67"/>
      <c r="AE18" s="67"/>
      <c r="AF18" s="67"/>
      <c r="AG18" s="67"/>
      <c r="AH18" s="67"/>
      <c r="AI18" s="68"/>
    </row>
    <row r="19" spans="2:35" ht="15" customHeight="1">
      <c r="B19" s="211"/>
      <c r="C19" s="276" t="s">
        <v>15</v>
      </c>
      <c r="D19" s="276" t="s">
        <v>16</v>
      </c>
      <c r="E19" s="78"/>
      <c r="F19" s="78"/>
      <c r="G19" s="85"/>
      <c r="H19" s="81"/>
      <c r="I19" s="324" t="s">
        <v>15</v>
      </c>
      <c r="J19" s="85"/>
      <c r="K19" s="201"/>
      <c r="L19" s="96" t="s">
        <v>59</v>
      </c>
      <c r="M19" s="67" t="s">
        <v>60</v>
      </c>
      <c r="N19" s="67"/>
      <c r="O19" s="67"/>
      <c r="P19" s="67"/>
      <c r="Q19" s="67"/>
      <c r="R19" s="67"/>
      <c r="S19" s="90"/>
      <c r="T19" s="67" t="s">
        <v>61</v>
      </c>
      <c r="U19" s="67"/>
      <c r="V19" s="67"/>
      <c r="W19" s="67"/>
      <c r="X19" s="67"/>
      <c r="Y19" s="67"/>
      <c r="Z19" s="67"/>
      <c r="AA19" s="67"/>
      <c r="AB19" s="67"/>
      <c r="AC19" s="67"/>
      <c r="AD19" s="67"/>
      <c r="AE19" s="67"/>
      <c r="AF19" s="67"/>
      <c r="AG19" s="67"/>
      <c r="AH19" s="67"/>
      <c r="AI19" s="68"/>
    </row>
    <row r="20" spans="2:35" ht="15" customHeight="1">
      <c r="B20" s="211"/>
      <c r="C20" s="78"/>
      <c r="D20" s="78"/>
      <c r="E20" s="78"/>
      <c r="F20" s="78"/>
      <c r="G20" s="85"/>
      <c r="H20" s="81"/>
      <c r="I20" s="324" t="s">
        <v>26</v>
      </c>
      <c r="J20" s="85"/>
      <c r="K20" s="201"/>
      <c r="L20" s="96" t="s">
        <v>62</v>
      </c>
      <c r="M20" s="67" t="s">
        <v>63</v>
      </c>
      <c r="N20" s="67"/>
      <c r="O20" s="67"/>
      <c r="P20" s="67"/>
      <c r="Q20" s="67"/>
      <c r="R20" s="67"/>
      <c r="S20" s="90"/>
      <c r="T20" s="67" t="s">
        <v>64</v>
      </c>
      <c r="U20" s="67"/>
      <c r="V20" s="67"/>
      <c r="W20" s="67"/>
      <c r="X20" s="67"/>
      <c r="Y20" s="67"/>
      <c r="Z20" s="67"/>
      <c r="AA20" s="67"/>
      <c r="AB20" s="67"/>
      <c r="AC20" s="67"/>
      <c r="AD20" s="67"/>
      <c r="AE20" s="67"/>
      <c r="AF20" s="67"/>
      <c r="AG20" s="67"/>
      <c r="AH20" s="67"/>
      <c r="AI20" s="68"/>
    </row>
    <row r="21" spans="2:35" ht="15" customHeight="1">
      <c r="B21" s="211"/>
      <c r="C21" s="78"/>
      <c r="D21" s="78"/>
      <c r="E21" s="78"/>
      <c r="F21" s="78"/>
      <c r="G21" s="280" t="s">
        <v>15</v>
      </c>
      <c r="H21" s="277" t="s">
        <v>15</v>
      </c>
      <c r="I21" s="324" t="s">
        <v>16</v>
      </c>
      <c r="J21" s="85"/>
      <c r="K21" s="201"/>
      <c r="L21" s="96" t="s">
        <v>65</v>
      </c>
      <c r="M21" s="67" t="s">
        <v>66</v>
      </c>
      <c r="N21" s="67"/>
      <c r="O21" s="67"/>
      <c r="P21" s="67"/>
      <c r="Q21" s="67"/>
      <c r="R21" s="67"/>
      <c r="S21" s="90"/>
      <c r="T21" s="67" t="s">
        <v>67</v>
      </c>
      <c r="U21" s="67"/>
      <c r="V21" s="67"/>
      <c r="W21" s="67"/>
      <c r="X21" s="67"/>
      <c r="Y21" s="67"/>
      <c r="Z21" s="67"/>
      <c r="AA21" s="67"/>
      <c r="AB21" s="67"/>
      <c r="AC21" s="67"/>
      <c r="AD21" s="67"/>
      <c r="AE21" s="67"/>
      <c r="AF21" s="67"/>
      <c r="AG21" s="67"/>
      <c r="AH21" s="67"/>
      <c r="AI21" s="68"/>
    </row>
    <row r="22" spans="2:35" ht="15" customHeight="1">
      <c r="B22" s="211"/>
      <c r="C22" s="78"/>
      <c r="D22" s="78"/>
      <c r="E22" s="78"/>
      <c r="F22" s="78"/>
      <c r="G22" s="280" t="s">
        <v>15</v>
      </c>
      <c r="H22" s="81"/>
      <c r="I22" s="324" t="s">
        <v>15</v>
      </c>
      <c r="J22" s="85"/>
      <c r="K22" s="201"/>
      <c r="L22" s="96" t="s">
        <v>68</v>
      </c>
      <c r="M22" s="67" t="s">
        <v>69</v>
      </c>
      <c r="N22" s="67"/>
      <c r="O22" s="67"/>
      <c r="P22" s="67"/>
      <c r="Q22" s="67"/>
      <c r="R22" s="67"/>
      <c r="S22" s="90"/>
      <c r="T22" s="67" t="s">
        <v>67</v>
      </c>
      <c r="U22" s="67"/>
      <c r="V22" s="67"/>
      <c r="W22" s="67"/>
      <c r="X22" s="67"/>
      <c r="Y22" s="67"/>
      <c r="Z22" s="67"/>
      <c r="AA22" s="67"/>
      <c r="AB22" s="67"/>
      <c r="AC22" s="67"/>
      <c r="AD22" s="67"/>
      <c r="AE22" s="67"/>
      <c r="AF22" s="67"/>
      <c r="AG22" s="67"/>
      <c r="AH22" s="67"/>
      <c r="AI22" s="68"/>
    </row>
    <row r="23" spans="2:35" ht="15" customHeight="1">
      <c r="B23" s="211"/>
      <c r="C23" s="78"/>
      <c r="D23" s="78"/>
      <c r="E23" s="78"/>
      <c r="F23" s="78"/>
      <c r="G23" s="280" t="s">
        <v>15</v>
      </c>
      <c r="H23" s="278" t="s">
        <v>15</v>
      </c>
      <c r="I23" s="276" t="s">
        <v>15</v>
      </c>
      <c r="J23" s="85"/>
      <c r="K23" s="201"/>
      <c r="L23" s="96" t="s">
        <v>70</v>
      </c>
      <c r="M23" s="67" t="s">
        <v>71</v>
      </c>
      <c r="N23" s="67"/>
      <c r="O23" s="67"/>
      <c r="P23" s="67"/>
      <c r="Q23" s="67"/>
      <c r="R23" s="67"/>
      <c r="S23" s="90"/>
      <c r="T23" s="67" t="s">
        <v>67</v>
      </c>
      <c r="U23" s="67"/>
      <c r="V23" s="67"/>
      <c r="W23" s="67"/>
      <c r="X23" s="67"/>
      <c r="Y23" s="67"/>
      <c r="Z23" s="67"/>
      <c r="AA23" s="67"/>
      <c r="AB23" s="67"/>
      <c r="AC23" s="67"/>
      <c r="AD23" s="67"/>
      <c r="AE23" s="67"/>
      <c r="AF23" s="67"/>
      <c r="AG23" s="67"/>
      <c r="AH23" s="67"/>
      <c r="AI23" s="68"/>
    </row>
    <row r="24" spans="2:35" ht="15" customHeight="1">
      <c r="B24" s="211"/>
      <c r="C24" s="78"/>
      <c r="D24" s="78"/>
      <c r="E24" s="78"/>
      <c r="F24" s="78"/>
      <c r="G24" s="280" t="s">
        <v>15</v>
      </c>
      <c r="H24" s="278" t="s">
        <v>15</v>
      </c>
      <c r="I24" s="276" t="s">
        <v>15</v>
      </c>
      <c r="J24" s="85"/>
      <c r="K24" s="201"/>
      <c r="L24" s="96" t="s">
        <v>72</v>
      </c>
      <c r="M24" s="67" t="s">
        <v>73</v>
      </c>
      <c r="N24" s="67"/>
      <c r="O24" s="67"/>
      <c r="P24" s="67"/>
      <c r="Q24" s="67"/>
      <c r="R24" s="67"/>
      <c r="S24" s="90"/>
      <c r="T24" s="67" t="s">
        <v>67</v>
      </c>
      <c r="U24" s="67"/>
      <c r="V24" s="67"/>
      <c r="W24" s="67"/>
      <c r="X24" s="67"/>
      <c r="Y24" s="67"/>
      <c r="Z24" s="67"/>
      <c r="AA24" s="67"/>
      <c r="AB24" s="67"/>
      <c r="AC24" s="67"/>
      <c r="AD24" s="67"/>
      <c r="AE24" s="67"/>
      <c r="AF24" s="67"/>
      <c r="AG24" s="67"/>
      <c r="AH24" s="67"/>
      <c r="AI24" s="68"/>
    </row>
    <row r="25" spans="2:35" ht="15" customHeight="1">
      <c r="B25" s="275" t="s">
        <v>16</v>
      </c>
      <c r="C25" s="78"/>
      <c r="D25" s="78"/>
      <c r="E25" s="78"/>
      <c r="F25" s="78"/>
      <c r="G25" s="85"/>
      <c r="H25" s="278" t="s">
        <v>33</v>
      </c>
      <c r="I25" s="276" t="s">
        <v>26</v>
      </c>
      <c r="J25" s="85"/>
      <c r="K25" s="201"/>
      <c r="L25" s="96" t="s">
        <v>74</v>
      </c>
      <c r="M25" s="67" t="s">
        <v>75</v>
      </c>
      <c r="N25" s="67"/>
      <c r="O25" s="67"/>
      <c r="P25" s="67"/>
      <c r="Q25" s="67"/>
      <c r="R25" s="67"/>
      <c r="S25" s="90"/>
      <c r="T25" s="67" t="s">
        <v>76</v>
      </c>
      <c r="U25" s="67"/>
      <c r="V25" s="67"/>
      <c r="W25" s="67"/>
      <c r="X25" s="67"/>
      <c r="Y25" s="67"/>
      <c r="Z25" s="67"/>
      <c r="AA25" s="67"/>
      <c r="AB25" s="67"/>
      <c r="AC25" s="67"/>
      <c r="AD25" s="67"/>
      <c r="AE25" s="67"/>
      <c r="AF25" s="67"/>
      <c r="AG25" s="67"/>
      <c r="AH25" s="67"/>
      <c r="AI25" s="68"/>
    </row>
    <row r="26" spans="2:35" ht="15" customHeight="1">
      <c r="B26" s="275" t="s">
        <v>15</v>
      </c>
      <c r="C26" s="276" t="s">
        <v>15</v>
      </c>
      <c r="D26" s="276" t="s">
        <v>15</v>
      </c>
      <c r="E26" s="276" t="s">
        <v>15</v>
      </c>
      <c r="F26" s="276" t="s">
        <v>15</v>
      </c>
      <c r="G26" s="280" t="s">
        <v>15</v>
      </c>
      <c r="H26" s="81"/>
      <c r="I26" s="276" t="s">
        <v>15</v>
      </c>
      <c r="J26" s="85"/>
      <c r="K26" s="201"/>
      <c r="L26" s="96" t="s">
        <v>77</v>
      </c>
      <c r="M26" s="67" t="s">
        <v>78</v>
      </c>
      <c r="N26" s="67"/>
      <c r="O26" s="67"/>
      <c r="P26" s="67"/>
      <c r="Q26" s="67"/>
      <c r="R26" s="67"/>
      <c r="S26" s="90"/>
      <c r="T26" s="67" t="s">
        <v>79</v>
      </c>
      <c r="U26" s="67"/>
      <c r="V26" s="67"/>
      <c r="W26" s="67"/>
      <c r="X26" s="67"/>
      <c r="Y26" s="67"/>
      <c r="Z26" s="67"/>
      <c r="AA26" s="67"/>
      <c r="AB26" s="67"/>
      <c r="AC26" s="67"/>
      <c r="AD26" s="67"/>
      <c r="AE26" s="67"/>
      <c r="AF26" s="67"/>
      <c r="AG26" s="67"/>
      <c r="AH26" s="67"/>
      <c r="AI26" s="68"/>
    </row>
    <row r="27" spans="2:35" ht="15" customHeight="1">
      <c r="B27" s="275" t="s">
        <v>15</v>
      </c>
      <c r="C27" s="276" t="s">
        <v>15</v>
      </c>
      <c r="D27" s="276" t="s">
        <v>15</v>
      </c>
      <c r="E27" s="276" t="s">
        <v>15</v>
      </c>
      <c r="F27" s="276" t="s">
        <v>15</v>
      </c>
      <c r="G27" s="280" t="s">
        <v>15</v>
      </c>
      <c r="H27" s="81"/>
      <c r="I27" s="276" t="s">
        <v>15</v>
      </c>
      <c r="J27" s="85"/>
      <c r="K27" s="281" t="s">
        <v>16</v>
      </c>
      <c r="L27" s="96" t="s">
        <v>80</v>
      </c>
      <c r="M27" s="67" t="s">
        <v>81</v>
      </c>
      <c r="N27" s="67"/>
      <c r="O27" s="67"/>
      <c r="P27" s="67"/>
      <c r="Q27" s="67"/>
      <c r="R27" s="67"/>
      <c r="S27" s="90"/>
      <c r="T27" s="67" t="s">
        <v>82</v>
      </c>
      <c r="U27" s="67"/>
      <c r="V27" s="67"/>
      <c r="W27" s="67"/>
      <c r="X27" s="67"/>
      <c r="Y27" s="67"/>
      <c r="Z27" s="67"/>
      <c r="AA27" s="67"/>
      <c r="AB27" s="67"/>
      <c r="AC27" s="67"/>
      <c r="AD27" s="67"/>
      <c r="AE27" s="67"/>
      <c r="AF27" s="67"/>
      <c r="AG27" s="67"/>
      <c r="AH27" s="67"/>
      <c r="AI27" s="68"/>
    </row>
    <row r="28" spans="2:35" ht="15" customHeight="1">
      <c r="B28" s="275" t="s">
        <v>15</v>
      </c>
      <c r="C28" s="276" t="s">
        <v>15</v>
      </c>
      <c r="D28" s="276" t="s">
        <v>15</v>
      </c>
      <c r="E28" s="276" t="s">
        <v>15</v>
      </c>
      <c r="F28" s="276" t="s">
        <v>15</v>
      </c>
      <c r="G28" s="280" t="s">
        <v>15</v>
      </c>
      <c r="H28" s="81"/>
      <c r="I28" s="78"/>
      <c r="J28" s="85"/>
      <c r="K28" s="281" t="s">
        <v>16</v>
      </c>
      <c r="L28" s="96" t="s">
        <v>83</v>
      </c>
      <c r="M28" s="67" t="s">
        <v>84</v>
      </c>
      <c r="N28" s="67"/>
      <c r="O28" s="67"/>
      <c r="P28" s="67"/>
      <c r="Q28" s="67"/>
      <c r="R28" s="67"/>
      <c r="S28" s="90"/>
      <c r="T28" s="67" t="s">
        <v>85</v>
      </c>
      <c r="U28" s="67"/>
      <c r="V28" s="67"/>
      <c r="W28" s="67"/>
      <c r="X28" s="67"/>
      <c r="Y28" s="67"/>
      <c r="Z28" s="67"/>
      <c r="AA28" s="67"/>
      <c r="AB28" s="67"/>
      <c r="AC28" s="67"/>
      <c r="AD28" s="67"/>
      <c r="AE28" s="67"/>
      <c r="AF28" s="67"/>
      <c r="AG28" s="67"/>
      <c r="AH28" s="67"/>
      <c r="AI28" s="68"/>
    </row>
    <row r="29" spans="2:35" ht="15" customHeight="1" thickBot="1">
      <c r="B29" s="279" t="s">
        <v>15</v>
      </c>
      <c r="C29" s="282" t="s">
        <v>15</v>
      </c>
      <c r="D29" s="282" t="s">
        <v>15</v>
      </c>
      <c r="E29" s="282" t="s">
        <v>15</v>
      </c>
      <c r="F29" s="282" t="s">
        <v>15</v>
      </c>
      <c r="G29" s="283" t="s">
        <v>15</v>
      </c>
      <c r="H29" s="83"/>
      <c r="I29" s="79"/>
      <c r="J29" s="283" t="s">
        <v>16</v>
      </c>
      <c r="K29" s="202"/>
      <c r="L29" s="97" t="s">
        <v>86</v>
      </c>
      <c r="M29" s="70" t="s">
        <v>87</v>
      </c>
      <c r="N29" s="70"/>
      <c r="O29" s="70"/>
      <c r="P29" s="70"/>
      <c r="Q29" s="70"/>
      <c r="R29" s="70"/>
      <c r="S29" s="92"/>
      <c r="T29" s="70" t="s">
        <v>79</v>
      </c>
      <c r="U29" s="70"/>
      <c r="V29" s="70"/>
      <c r="W29" s="70"/>
      <c r="X29" s="70"/>
      <c r="Y29" s="70"/>
      <c r="Z29" s="70"/>
      <c r="AA29" s="70"/>
      <c r="AB29" s="70"/>
      <c r="AC29" s="70"/>
      <c r="AD29" s="70"/>
      <c r="AE29" s="70"/>
      <c r="AF29" s="70"/>
      <c r="AG29" s="70"/>
      <c r="AH29" s="70"/>
      <c r="AI29" s="71"/>
    </row>
    <row r="30" spans="2:35" ht="15" customHeight="1">
      <c r="B30" s="268" t="s">
        <v>15</v>
      </c>
      <c r="C30" s="77"/>
      <c r="D30" s="77"/>
      <c r="E30" s="77"/>
      <c r="F30" s="77"/>
      <c r="G30" s="84"/>
      <c r="H30" s="337"/>
      <c r="I30" s="269" t="s">
        <v>15</v>
      </c>
      <c r="J30" s="84"/>
      <c r="K30" s="200"/>
      <c r="L30" s="95"/>
      <c r="M30" s="65" t="s">
        <v>88</v>
      </c>
      <c r="N30" s="65"/>
      <c r="O30" s="65"/>
      <c r="P30" s="65"/>
      <c r="Q30" s="65"/>
      <c r="R30" s="65"/>
      <c r="S30" s="89"/>
      <c r="T30" s="65" t="s">
        <v>54</v>
      </c>
      <c r="U30" s="65"/>
      <c r="V30" s="65"/>
      <c r="W30" s="65"/>
      <c r="X30" s="65"/>
      <c r="Y30" s="65"/>
      <c r="Z30" s="65"/>
      <c r="AA30" s="65"/>
      <c r="AB30" s="65"/>
      <c r="AC30" s="65"/>
      <c r="AD30" s="65"/>
      <c r="AE30" s="65"/>
      <c r="AF30" s="65"/>
      <c r="AG30" s="65"/>
      <c r="AH30" s="65"/>
      <c r="AI30" s="66"/>
    </row>
    <row r="31" spans="2:35" ht="15" customHeight="1" thickBot="1">
      <c r="B31" s="279" t="s">
        <v>15</v>
      </c>
      <c r="C31" s="79"/>
      <c r="D31" s="79"/>
      <c r="E31" s="79"/>
      <c r="F31" s="79"/>
      <c r="G31" s="338"/>
      <c r="H31" s="83"/>
      <c r="I31" s="282" t="s">
        <v>15</v>
      </c>
      <c r="J31" s="338"/>
      <c r="K31" s="202"/>
      <c r="L31" s="97"/>
      <c r="M31" s="70" t="s">
        <v>89</v>
      </c>
      <c r="N31" s="70"/>
      <c r="O31" s="70"/>
      <c r="P31" s="70"/>
      <c r="Q31" s="70"/>
      <c r="R31" s="70"/>
      <c r="S31" s="92"/>
      <c r="T31" s="70" t="s">
        <v>54</v>
      </c>
      <c r="U31" s="70"/>
      <c r="V31" s="70"/>
      <c r="W31" s="70"/>
      <c r="X31" s="70"/>
      <c r="Y31" s="70"/>
      <c r="Z31" s="70"/>
      <c r="AA31" s="70"/>
      <c r="AB31" s="70"/>
      <c r="AC31" s="70"/>
      <c r="AD31" s="70"/>
      <c r="AE31" s="70"/>
      <c r="AF31" s="70"/>
      <c r="AG31" s="70"/>
      <c r="AH31" s="70"/>
      <c r="AI31" s="71"/>
    </row>
    <row r="32" spans="2:35" s="61" customFormat="1" ht="15" customHeight="1">
      <c r="B32" s="203"/>
      <c r="C32" s="203"/>
      <c r="D32" s="203"/>
      <c r="E32" s="203"/>
      <c r="F32" s="203"/>
      <c r="G32" s="203"/>
      <c r="H32" s="203"/>
      <c r="I32" s="203"/>
      <c r="J32" s="203"/>
      <c r="K32" s="203"/>
      <c r="L32" s="93"/>
    </row>
    <row r="33" spans="2:12" s="61" customFormat="1" ht="15" customHeight="1">
      <c r="B33" s="203"/>
      <c r="C33" s="203"/>
      <c r="D33" s="203"/>
      <c r="E33" s="203"/>
      <c r="F33" s="203"/>
      <c r="G33" s="203"/>
      <c r="H33" s="203"/>
      <c r="I33" s="203"/>
      <c r="J33" s="203"/>
      <c r="K33" s="203"/>
      <c r="L33" s="93"/>
    </row>
    <row r="34" spans="2:12" s="61" customFormat="1" ht="15" customHeight="1">
      <c r="B34" s="203"/>
      <c r="C34" s="203"/>
      <c r="D34" s="203"/>
      <c r="E34" s="203"/>
      <c r="F34" s="203"/>
      <c r="G34" s="203"/>
      <c r="H34" s="203"/>
      <c r="I34" s="203"/>
      <c r="J34" s="203"/>
      <c r="K34" s="203"/>
      <c r="L34" s="93"/>
    </row>
    <row r="35" spans="2:12" s="61" customFormat="1" ht="15" customHeight="1">
      <c r="B35" s="203"/>
      <c r="C35" s="203"/>
      <c r="D35" s="203"/>
      <c r="E35" s="203"/>
      <c r="F35" s="203"/>
      <c r="G35" s="203"/>
      <c r="H35" s="203"/>
      <c r="I35" s="203"/>
      <c r="J35" s="203"/>
      <c r="K35" s="203"/>
      <c r="L35" s="93"/>
    </row>
    <row r="36" spans="2:12" s="61" customFormat="1" ht="15" customHeight="1">
      <c r="B36" s="203"/>
      <c r="C36" s="203"/>
      <c r="D36" s="203"/>
      <c r="E36" s="203"/>
      <c r="F36" s="203"/>
      <c r="G36" s="203"/>
      <c r="H36" s="203"/>
      <c r="I36" s="203"/>
      <c r="J36" s="203"/>
      <c r="K36" s="203"/>
      <c r="L36" s="93"/>
    </row>
    <row r="37" spans="2:12" s="61" customFormat="1" ht="15" customHeight="1">
      <c r="B37" s="203"/>
      <c r="C37" s="203"/>
      <c r="D37" s="203"/>
      <c r="E37" s="203"/>
      <c r="F37" s="203"/>
      <c r="G37" s="203"/>
      <c r="H37" s="203"/>
      <c r="I37" s="203"/>
      <c r="J37" s="203"/>
      <c r="K37" s="203"/>
      <c r="L37" s="93"/>
    </row>
    <row r="38" spans="2:12" s="61" customFormat="1" ht="15" customHeight="1">
      <c r="B38" s="203"/>
      <c r="C38" s="203"/>
      <c r="D38" s="203"/>
      <c r="E38" s="203"/>
      <c r="F38" s="203"/>
      <c r="G38" s="203"/>
      <c r="H38" s="203"/>
      <c r="I38" s="203"/>
      <c r="J38" s="203"/>
      <c r="K38" s="203"/>
      <c r="L38" s="93"/>
    </row>
    <row r="39" spans="2:12" s="61" customFormat="1" ht="15" customHeight="1">
      <c r="B39" s="203"/>
      <c r="C39" s="203"/>
      <c r="D39" s="203"/>
      <c r="E39" s="203"/>
      <c r="F39" s="203"/>
      <c r="G39" s="203"/>
      <c r="H39" s="203"/>
      <c r="I39" s="203"/>
      <c r="J39" s="203"/>
      <c r="K39" s="203"/>
      <c r="L39" s="93"/>
    </row>
    <row r="40" spans="2:12" s="61" customFormat="1" ht="15" customHeight="1">
      <c r="B40" s="203"/>
      <c r="C40" s="203"/>
      <c r="D40" s="203"/>
      <c r="E40" s="203"/>
      <c r="F40" s="203"/>
      <c r="G40" s="203"/>
      <c r="H40" s="203"/>
      <c r="I40" s="203"/>
      <c r="J40" s="203"/>
      <c r="K40" s="203"/>
      <c r="L40" s="93"/>
    </row>
    <row r="41" spans="2:12" ht="15" customHeight="1"/>
    <row r="42" spans="2:12" ht="15" customHeight="1"/>
    <row r="43" spans="2:12" ht="15" customHeight="1"/>
    <row r="44" spans="2:12" ht="15" customHeight="1"/>
    <row r="45" spans="2:12" ht="15" customHeight="1"/>
    <row r="46" spans="2:12" ht="15" customHeight="1"/>
  </sheetData>
  <phoneticPr fontId="5"/>
  <hyperlinks>
    <hyperlink ref="B5" location="'Check List'!A1" display="○" xr:uid="{00000000-0004-0000-0000-000000000000}"/>
    <hyperlink ref="C5:H5" location="'Check List'!A1" display="○" xr:uid="{00000000-0004-0000-0000-000001000000}"/>
    <hyperlink ref="B6" location="詳細設計書!A1" display="○" xr:uid="{00000000-0004-0000-0000-000002000000}"/>
    <hyperlink ref="C6:G6" location="詳細設計書!A1" display="○" xr:uid="{00000000-0004-0000-0000-000003000000}"/>
    <hyperlink ref="I6" location="詳細設計書!A1" display="○" xr:uid="{00000000-0004-0000-0000-000004000000}"/>
    <hyperlink ref="B31" location="'帳票レイアウト(詳細)'!A1" display="○" xr:uid="{00000000-0004-0000-0000-000005000000}"/>
    <hyperlink ref="I31" location="'帳票レイアウト(詳細)'!A1" display="○" xr:uid="{00000000-0004-0000-0000-000006000000}"/>
    <hyperlink ref="I30" location="帳票項目定義!A1" display="○" xr:uid="{00000000-0004-0000-0000-000007000000}"/>
    <hyperlink ref="B30" location="帳票項目定義!A1" display="○" xr:uid="{00000000-0004-0000-0000-000008000000}"/>
    <hyperlink ref="H18" location="'帳票レイアウト(概要)'!A1" display="○" xr:uid="{00000000-0004-0000-0000-000009000000}"/>
    <hyperlink ref="I18" location="'帳票レイアウト(概要)'!A1" display="○" xr:uid="{00000000-0004-0000-0000-00000A000000}"/>
    <hyperlink ref="I17" location="帳票項目定義!A1" display="○" xr:uid="{00000000-0004-0000-0000-00000B000000}"/>
    <hyperlink ref="I25" location="入力チェック!A1" display="△" xr:uid="{00000000-0004-0000-0000-00000C000000}"/>
    <hyperlink ref="I24" location="画面遷移図!Print_Area" display="○" xr:uid="{00000000-0004-0000-0000-00000D000000}"/>
    <hyperlink ref="H24" location="画面遷移図!Print_Area" display="○" xr:uid="{00000000-0004-0000-0000-00000E000000}"/>
    <hyperlink ref="I23" location="Dynpro仕様!Print_Area" display="○" xr:uid="{00000000-0004-0000-0000-00000F000000}"/>
    <hyperlink ref="H23" location="Dynpro仕様!Print_Area" display="○" xr:uid="{00000000-0004-0000-0000-000010000000}"/>
    <hyperlink ref="I22" location="GUIステータス!Print_Area" display="○" xr:uid="{00000000-0004-0000-0000-000011000000}"/>
    <hyperlink ref="H21:I21" location="Dynproレイアウト!Print_Area" display="○" xr:uid="{00000000-0004-0000-0000-000012000000}"/>
    <hyperlink ref="H25" location="エラーチェック!Print_Area" display="△" xr:uid="{00000000-0004-0000-0000-000013000000}"/>
    <hyperlink ref="G24" location="画面遷移図!Print_Area" display="○" xr:uid="{00000000-0004-0000-0000-000014000000}"/>
    <hyperlink ref="G23" location="Dynpro仕様!Print_Area" display="○" xr:uid="{00000000-0004-0000-0000-000015000000}"/>
    <hyperlink ref="G22" location="GUIステータス!Print_Area" display="○" xr:uid="{00000000-0004-0000-0000-000016000000}"/>
    <hyperlink ref="G21" location="Dynproレイアウト!Print_Area" display="○" xr:uid="{00000000-0004-0000-0000-000017000000}"/>
    <hyperlink ref="I20" location="Table更新!A1" display="△" xr:uid="{00000000-0004-0000-0000-000018000000}"/>
    <hyperlink ref="I19" location="バッチインプット項目!A1" display="○" xr:uid="{00000000-0004-0000-0000-000019000000}"/>
    <hyperlink ref="D19" location="バッチインプット項目!A1" display="○" xr:uid="{00000000-0004-0000-0000-00001A000000}"/>
    <hyperlink ref="C19" location="バッチインプット項目!A1" display="○" xr:uid="{00000000-0004-0000-0000-00001B000000}"/>
    <hyperlink ref="I15" location="抽出項目!Print_Area" display="△" xr:uid="{00000000-0004-0000-0000-00001C000000}"/>
    <hyperlink ref="I14" location="出力ファイル定義!Print_Area" display="○" xr:uid="{00000000-0004-0000-0000-00001D000000}"/>
    <hyperlink ref="E14" location="出力ファイル定義!Print_Area" display="○" xr:uid="{00000000-0004-0000-0000-00001E000000}"/>
    <hyperlink ref="I12" location="File定義!A1" display="△" xr:uid="{00000000-0004-0000-0000-00001F000000}"/>
    <hyperlink ref="H12" location="File定義!A1" display="△" xr:uid="{00000000-0004-0000-0000-000020000000}"/>
    <hyperlink ref="I11" location="'Tableデータ抽出１（LFB1）'!A1" display="△" xr:uid="{00000000-0004-0000-0000-000021000000}"/>
    <hyperlink ref="I10" location="入力チェック!A1" display="△" xr:uid="{00000000-0004-0000-0000-000022000000}"/>
    <hyperlink ref="H10" location="入力チェック!A1" display="△" xr:uid="{00000000-0004-0000-0000-000023000000}"/>
    <hyperlink ref="H16:I16" location="帳票機能定義!A1" display="○" xr:uid="{00000000-0004-0000-0000-000024000000}"/>
    <hyperlink ref="H17:I17" location="帳票レイアウト!A1" display="○" xr:uid="{00000000-0004-0000-0000-000025000000}"/>
    <hyperlink ref="H18:I18" location="帳票項目定義!A1" display="○" xr:uid="{00000000-0004-0000-0000-000026000000}"/>
    <hyperlink ref="J29" location="変更履歴!A1" display="○" xr:uid="{00000000-0004-0000-0000-000027000000}"/>
    <hyperlink ref="C29:G29" location="変更履歴!A1" display="○" xr:uid="{00000000-0004-0000-0000-000028000000}"/>
    <hyperlink ref="K28" location="テスト詳細!A1" display="○" xr:uid="{00000000-0004-0000-0000-000029000000}"/>
    <hyperlink ref="C28:G28" location="テスト詳細!A1" display="○" xr:uid="{00000000-0004-0000-0000-00002A000000}"/>
    <hyperlink ref="K27" location="テストデータ!A1" display="○" xr:uid="{00000000-0004-0000-0000-00002B000000}"/>
    <hyperlink ref="I27" location="テストデータ!A1" display="○" xr:uid="{00000000-0004-0000-0000-00002C000000}"/>
    <hyperlink ref="C27:G27" location="テストデータ!A1" display="○" xr:uid="{00000000-0004-0000-0000-00002D000000}"/>
    <hyperlink ref="I26" location="'テスト概要 '!A1" display="○" xr:uid="{00000000-0004-0000-0000-00002E000000}"/>
    <hyperlink ref="C26:G26" location="'テスト概要 '!A1" display="○" xr:uid="{00000000-0004-0000-0000-00002F000000}"/>
    <hyperlink ref="B29" location="変更履歴!A1" display="○" xr:uid="{00000000-0004-0000-0000-000030000000}"/>
    <hyperlink ref="B28" location="テスト詳細!A1" display="○" xr:uid="{00000000-0004-0000-0000-000031000000}"/>
    <hyperlink ref="B27" location="テストデータ!A1" display="○" xr:uid="{00000000-0004-0000-0000-000032000000}"/>
    <hyperlink ref="B26" location="'テスト概要 '!A1" display="○" xr:uid="{00000000-0004-0000-0000-000033000000}"/>
    <hyperlink ref="B18" location="'帳票レイアウト(概要)'!A1" display="○" xr:uid="{00000000-0004-0000-0000-000034000000}"/>
    <hyperlink ref="B17" location="帳票レイアウト!A1" display="○" xr:uid="{00000000-0004-0000-0000-000035000000}"/>
    <hyperlink ref="B16" location="帳票機能定義!A1" display="○" xr:uid="{00000000-0004-0000-0000-000036000000}"/>
    <hyperlink ref="I8" location="特殊要件!A1" display="△" xr:uid="{00000000-0004-0000-0000-000037000000}"/>
    <hyperlink ref="H8" location="特殊要件!A1" display="△" xr:uid="{00000000-0004-0000-0000-000038000000}"/>
    <hyperlink ref="H9:I9" location="選択画面レイアウト!A1" display="○" xr:uid="{00000000-0004-0000-0000-000039000000}"/>
    <hyperlink ref="C9:E9" location="選択画面レイアウト!A1" display="○" xr:uid="{00000000-0004-0000-0000-00003A000000}"/>
    <hyperlink ref="B9" location="選択画面レイアウト!A1" display="○" xr:uid="{00000000-0004-0000-0000-00003B000000}"/>
    <hyperlink ref="I7" location="処理詳細!A1" display="○" xr:uid="{00000000-0004-0000-0000-00003C000000}"/>
    <hyperlink ref="C7:G7" location="処理詳細!A1" display="○" xr:uid="{00000000-0004-0000-0000-00003D000000}"/>
    <hyperlink ref="B7" location="'処理詳細(1)'!A1" display="○" xr:uid="{00000000-0004-0000-0000-00003E000000}"/>
    <hyperlink ref="B11" location="'Tableデータ抽出(1)'!A1" display="○" xr:uid="{00000000-0004-0000-0000-00003F000000}"/>
    <hyperlink ref="B25" location="エラーチェック!A1" display="○" xr:uid="{00000000-0004-0000-0000-000040000000}"/>
    <hyperlink ref="B10" location="入力チェック!A1" display="○" xr:uid="{00000000-0004-0000-0000-000041000000}"/>
  </hyperlinks>
  <pageMargins left="0.78740157480314965" right="0.39370078740157483" top="0.78740157480314965" bottom="0.78740157480314965" header="0.51181102362204722" footer="0.51181102362204722"/>
  <pageSetup paperSize="9" scale="92" fitToHeight="9999" orientation="portrait" verticalDpi="4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G155"/>
  <sheetViews>
    <sheetView topLeftCell="A143" zoomScaleNormal="100" workbookViewId="0"/>
  </sheetViews>
  <sheetFormatPr defaultColWidth="2.85546875" defaultRowHeight="15" customHeight="1"/>
  <cols>
    <col min="1" max="2" width="2.85546875" style="190" customWidth="1"/>
    <col min="3" max="3" width="2.85546875" style="188" customWidth="1"/>
    <col min="4" max="4" width="2.85546875" style="191" customWidth="1"/>
    <col min="5" max="33" width="2.85546875" style="188" customWidth="1"/>
    <col min="34" max="16384" width="2.85546875" style="189"/>
  </cols>
  <sheetData>
    <row r="1" spans="1:33" s="2" customFormat="1" ht="18.95" customHeight="1">
      <c r="A1" s="108"/>
      <c r="B1" s="109"/>
      <c r="C1" s="109"/>
      <c r="D1" s="110" t="s">
        <v>90</v>
      </c>
      <c r="E1" s="111"/>
      <c r="F1" s="112"/>
      <c r="G1" s="544" t="str">
        <f>IF(詳細設計書!G1="","N/A",詳細設計書!G1)</f>
        <v>統合会計システム開発</v>
      </c>
      <c r="H1" s="544"/>
      <c r="I1" s="544"/>
      <c r="J1" s="544"/>
      <c r="K1" s="544"/>
      <c r="L1" s="544"/>
      <c r="M1" s="544"/>
      <c r="N1" s="545"/>
      <c r="O1" s="110" t="s">
        <v>91</v>
      </c>
      <c r="P1" s="111"/>
      <c r="Q1" s="111"/>
      <c r="R1" s="113"/>
      <c r="S1" s="546"/>
      <c r="T1" s="546"/>
      <c r="U1" s="546"/>
      <c r="V1" s="546"/>
      <c r="W1" s="546"/>
      <c r="X1" s="546"/>
      <c r="Y1" s="547"/>
      <c r="Z1" s="110" t="s">
        <v>92</v>
      </c>
      <c r="AA1" s="114"/>
      <c r="AB1" s="114"/>
      <c r="AC1" s="115"/>
      <c r="AD1" s="548"/>
      <c r="AE1" s="548"/>
      <c r="AF1" s="548"/>
      <c r="AG1" s="549"/>
    </row>
    <row r="2" spans="1:33" s="2" customFormat="1" ht="18.95" customHeight="1">
      <c r="A2" s="30"/>
      <c r="D2" s="116" t="s">
        <v>93</v>
      </c>
      <c r="E2" s="34"/>
      <c r="F2" s="117"/>
      <c r="G2" s="550" t="str">
        <f>IF(詳細設計書!G2="","N/A",詳細設計書!G2)</f>
        <v>SAP R/3(レポート)</v>
      </c>
      <c r="H2" s="550"/>
      <c r="I2" s="550"/>
      <c r="J2" s="550"/>
      <c r="K2" s="550"/>
      <c r="L2" s="550"/>
      <c r="M2" s="550"/>
      <c r="N2" s="551"/>
      <c r="O2" s="116" t="s">
        <v>94</v>
      </c>
      <c r="P2" s="34"/>
      <c r="Q2" s="34"/>
      <c r="R2" s="118"/>
      <c r="S2" s="554"/>
      <c r="T2" s="554"/>
      <c r="U2" s="554"/>
      <c r="V2" s="554"/>
      <c r="W2" s="554"/>
      <c r="X2" s="554"/>
      <c r="Y2" s="555"/>
      <c r="Z2" s="116" t="s">
        <v>95</v>
      </c>
      <c r="AA2" s="119"/>
      <c r="AB2" s="120"/>
      <c r="AC2" s="117"/>
      <c r="AD2" s="552"/>
      <c r="AE2" s="552"/>
      <c r="AF2" s="552"/>
      <c r="AG2" s="553"/>
    </row>
    <row r="3" spans="1:33" s="2" customFormat="1" ht="18.95" customHeight="1" thickBot="1">
      <c r="A3" s="4"/>
      <c r="B3" s="1"/>
      <c r="C3" s="121"/>
      <c r="D3" s="122" t="s">
        <v>96</v>
      </c>
      <c r="E3" s="123"/>
      <c r="F3" s="124"/>
      <c r="G3" s="563" t="str">
        <f>IF(詳細設計書!G3="","N/A",詳細設計書!G3)</f>
        <v>DP_FI_2014_01</v>
      </c>
      <c r="H3" s="564"/>
      <c r="I3" s="564"/>
      <c r="J3" s="564"/>
      <c r="K3" s="564"/>
      <c r="L3" s="564"/>
      <c r="M3" s="564"/>
      <c r="N3" s="565"/>
      <c r="O3" s="122" t="s">
        <v>97</v>
      </c>
      <c r="P3" s="123"/>
      <c r="Q3" s="123"/>
      <c r="R3" s="125"/>
      <c r="S3" s="566" t="str">
        <f>IF(詳細設計書!S3="","N/A",詳細設計書!S3)</f>
        <v>ZFIPR_2014_01</v>
      </c>
      <c r="T3" s="566"/>
      <c r="U3" s="566"/>
      <c r="V3" s="566"/>
      <c r="W3" s="566"/>
      <c r="X3" s="566"/>
      <c r="Y3" s="566"/>
      <c r="Z3" s="566"/>
      <c r="AA3" s="566"/>
      <c r="AB3" s="566"/>
      <c r="AC3" s="566"/>
      <c r="AD3" s="566"/>
      <c r="AE3" s="566"/>
      <c r="AF3" s="566"/>
      <c r="AG3" s="567"/>
    </row>
    <row r="4" spans="1:33" ht="18.95" customHeight="1" thickBot="1">
      <c r="A4" s="31" t="s">
        <v>98</v>
      </c>
      <c r="B4" s="60"/>
      <c r="C4" s="58"/>
      <c r="D4" s="185" t="s">
        <v>99</v>
      </c>
      <c r="E4" s="184"/>
      <c r="F4" s="184"/>
      <c r="G4" s="184"/>
      <c r="H4" s="184"/>
      <c r="I4" s="184"/>
      <c r="J4" s="184"/>
      <c r="K4" s="184"/>
      <c r="L4" s="184"/>
      <c r="M4" s="184"/>
      <c r="N4" s="184"/>
      <c r="O4" s="184"/>
      <c r="P4" s="184"/>
      <c r="Q4" s="184"/>
      <c r="R4" s="184"/>
      <c r="S4" s="184"/>
      <c r="T4" s="184"/>
      <c r="U4" s="184"/>
      <c r="V4" s="184"/>
      <c r="W4" s="184"/>
      <c r="X4" s="184"/>
      <c r="Y4" s="184"/>
      <c r="Z4" s="57" t="s">
        <v>100</v>
      </c>
      <c r="AA4" s="32"/>
      <c r="AB4" s="58"/>
      <c r="AC4" s="560" t="str">
        <f>詳細設計書!AC4</f>
        <v>1.0</v>
      </c>
      <c r="AD4" s="560"/>
      <c r="AE4" s="560"/>
      <c r="AF4" s="560"/>
      <c r="AG4" s="561"/>
    </row>
    <row r="5" spans="1:33" ht="15" customHeight="1" thickBot="1"/>
    <row r="6" spans="1:33" ht="15" customHeight="1">
      <c r="A6" s="192" t="s">
        <v>101</v>
      </c>
      <c r="B6" s="193"/>
      <c r="C6" s="194"/>
      <c r="D6" s="195"/>
      <c r="E6" s="194"/>
      <c r="F6" s="194"/>
      <c r="G6" s="194"/>
      <c r="H6" s="194"/>
      <c r="I6" s="194"/>
      <c r="J6" s="194"/>
      <c r="K6" s="194"/>
      <c r="L6" s="194"/>
      <c r="M6" s="194"/>
      <c r="N6" s="194"/>
      <c r="O6" s="194"/>
      <c r="P6" s="194"/>
      <c r="Q6" s="194"/>
      <c r="R6" s="194"/>
      <c r="S6" s="194"/>
      <c r="T6" s="194"/>
      <c r="U6" s="194"/>
      <c r="V6" s="194"/>
      <c r="W6" s="194"/>
      <c r="X6" s="194"/>
      <c r="Y6" s="194"/>
      <c r="Z6" s="194"/>
      <c r="AA6" s="194"/>
      <c r="AB6" s="194"/>
      <c r="AC6" s="194"/>
      <c r="AD6" s="194"/>
      <c r="AE6" s="194"/>
      <c r="AF6" s="194"/>
      <c r="AG6" s="196"/>
    </row>
    <row r="7" spans="1:33" ht="15" customHeight="1" thickBot="1">
      <c r="A7" s="556" t="s">
        <v>102</v>
      </c>
      <c r="B7" s="557"/>
      <c r="C7" s="197" t="s">
        <v>103</v>
      </c>
      <c r="D7" s="197"/>
      <c r="E7" s="197"/>
      <c r="F7" s="197"/>
      <c r="G7" s="197"/>
      <c r="H7" s="197"/>
      <c r="I7" s="197"/>
      <c r="J7" s="197"/>
      <c r="K7" s="197"/>
      <c r="L7" s="197"/>
      <c r="M7" s="197"/>
      <c r="N7" s="197"/>
      <c r="O7" s="197"/>
      <c r="P7" s="197"/>
      <c r="Q7" s="197"/>
      <c r="R7" s="197"/>
      <c r="S7" s="197"/>
      <c r="T7" s="197"/>
      <c r="U7" s="197"/>
      <c r="V7" s="197"/>
      <c r="W7" s="197"/>
      <c r="X7" s="197"/>
      <c r="Y7" s="197"/>
      <c r="Z7" s="197"/>
      <c r="AA7" s="197"/>
      <c r="AB7" s="197"/>
      <c r="AC7" s="197"/>
      <c r="AD7" s="197"/>
      <c r="AE7" s="197"/>
      <c r="AF7" s="197"/>
      <c r="AG7" s="198"/>
    </row>
    <row r="8" spans="1:33" ht="18.75" customHeight="1" thickTop="1">
      <c r="A8" s="340" t="s">
        <v>104</v>
      </c>
      <c r="B8" s="341" t="s">
        <v>105</v>
      </c>
      <c r="C8" s="341"/>
      <c r="D8" s="341"/>
      <c r="E8" s="341"/>
      <c r="F8" s="341"/>
      <c r="G8" s="341"/>
      <c r="H8" s="341"/>
      <c r="I8" s="341"/>
      <c r="J8" s="341"/>
      <c r="K8" s="341"/>
      <c r="L8" s="341"/>
      <c r="M8" s="341"/>
      <c r="N8" s="341"/>
      <c r="O8" s="341"/>
      <c r="P8" s="341"/>
      <c r="Q8" s="341"/>
      <c r="R8" s="341"/>
      <c r="S8" s="341"/>
      <c r="T8" s="341"/>
      <c r="U8" s="341"/>
      <c r="V8" s="341"/>
      <c r="W8" s="341"/>
      <c r="X8" s="341"/>
      <c r="Y8" s="341"/>
      <c r="Z8" s="341"/>
      <c r="AA8" s="341"/>
      <c r="AB8" s="341"/>
      <c r="AC8" s="341"/>
      <c r="AD8" s="341"/>
      <c r="AE8" s="341"/>
      <c r="AF8" s="341"/>
      <c r="AG8" s="342"/>
    </row>
    <row r="9" spans="1:33" ht="15" customHeight="1">
      <c r="A9" s="315"/>
      <c r="B9" s="316"/>
      <c r="C9" s="189"/>
      <c r="D9" s="536" t="s">
        <v>106</v>
      </c>
      <c r="E9" s="537"/>
      <c r="F9" s="537"/>
      <c r="G9" s="538"/>
      <c r="H9" s="537" t="s">
        <v>107</v>
      </c>
      <c r="I9" s="537"/>
      <c r="J9" s="537"/>
      <c r="K9" s="537"/>
      <c r="L9" s="537"/>
      <c r="M9" s="537"/>
      <c r="N9" s="537"/>
      <c r="O9" s="537"/>
      <c r="P9" s="537"/>
      <c r="Q9" s="537"/>
      <c r="R9" s="537"/>
      <c r="S9" s="537"/>
      <c r="T9" s="537"/>
      <c r="U9" s="537"/>
      <c r="V9" s="537"/>
      <c r="W9" s="537"/>
      <c r="X9" s="537"/>
      <c r="Y9" s="537"/>
      <c r="Z9" s="537"/>
      <c r="AA9" s="537"/>
      <c r="AB9" s="537"/>
      <c r="AC9" s="537"/>
      <c r="AD9" s="537"/>
      <c r="AE9" s="537"/>
      <c r="AF9" s="537"/>
      <c r="AG9" s="568"/>
    </row>
    <row r="10" spans="1:33" ht="15" customHeight="1">
      <c r="A10" s="315"/>
      <c r="B10" s="317"/>
      <c r="C10" s="189"/>
      <c r="D10" s="527" t="s">
        <v>108</v>
      </c>
      <c r="E10" s="528"/>
      <c r="F10" s="528"/>
      <c r="G10" s="529"/>
      <c r="H10" s="528" t="s">
        <v>109</v>
      </c>
      <c r="I10" s="542"/>
      <c r="J10" s="542"/>
      <c r="K10" s="542"/>
      <c r="L10" s="542"/>
      <c r="M10" s="542"/>
      <c r="N10" s="542"/>
      <c r="O10" s="542"/>
      <c r="P10" s="542"/>
      <c r="Q10" s="542"/>
      <c r="R10" s="542"/>
      <c r="S10" s="542"/>
      <c r="T10" s="542"/>
      <c r="U10" s="542"/>
      <c r="V10" s="542"/>
      <c r="W10" s="542"/>
      <c r="X10" s="542"/>
      <c r="Y10" s="542"/>
      <c r="Z10" s="542"/>
      <c r="AA10" s="542"/>
      <c r="AB10" s="542"/>
      <c r="AC10" s="542"/>
      <c r="AD10" s="542"/>
      <c r="AE10" s="542"/>
      <c r="AF10" s="542"/>
      <c r="AG10" s="543"/>
    </row>
    <row r="11" spans="1:33" ht="15" customHeight="1">
      <c r="A11" s="315" t="s">
        <v>110</v>
      </c>
      <c r="B11" s="317"/>
      <c r="C11" s="189"/>
      <c r="D11" s="527" t="s">
        <v>111</v>
      </c>
      <c r="E11" s="528"/>
      <c r="F11" s="528"/>
      <c r="G11" s="529"/>
      <c r="H11" s="528" t="s">
        <v>112</v>
      </c>
      <c r="I11" s="542"/>
      <c r="J11" s="542"/>
      <c r="K11" s="542"/>
      <c r="L11" s="542"/>
      <c r="M11" s="542"/>
      <c r="N11" s="542"/>
      <c r="O11" s="542"/>
      <c r="P11" s="542"/>
      <c r="Q11" s="542"/>
      <c r="R11" s="542"/>
      <c r="S11" s="542"/>
      <c r="T11" s="542"/>
      <c r="U11" s="542"/>
      <c r="V11" s="542"/>
      <c r="W11" s="542"/>
      <c r="X11" s="542"/>
      <c r="Y11" s="542"/>
      <c r="Z11" s="542"/>
      <c r="AA11" s="542"/>
      <c r="AB11" s="542"/>
      <c r="AC11" s="542"/>
      <c r="AD11" s="542"/>
      <c r="AE11" s="542"/>
      <c r="AF11" s="542"/>
      <c r="AG11" s="543"/>
    </row>
    <row r="12" spans="1:33" ht="35.1" customHeight="1">
      <c r="A12" s="315"/>
      <c r="B12" s="317"/>
      <c r="C12" s="189"/>
      <c r="D12" s="527" t="s">
        <v>113</v>
      </c>
      <c r="E12" s="528"/>
      <c r="F12" s="528"/>
      <c r="G12" s="529"/>
      <c r="H12" s="562" t="s">
        <v>114</v>
      </c>
      <c r="I12" s="531"/>
      <c r="J12" s="531"/>
      <c r="K12" s="531"/>
      <c r="L12" s="531"/>
      <c r="M12" s="531"/>
      <c r="N12" s="531"/>
      <c r="O12" s="531"/>
      <c r="P12" s="531"/>
      <c r="Q12" s="531"/>
      <c r="R12" s="531"/>
      <c r="S12" s="531"/>
      <c r="T12" s="531"/>
      <c r="U12" s="531"/>
      <c r="V12" s="531"/>
      <c r="W12" s="531"/>
      <c r="X12" s="531"/>
      <c r="Y12" s="531"/>
      <c r="Z12" s="531"/>
      <c r="AA12" s="531"/>
      <c r="AB12" s="531"/>
      <c r="AC12" s="531"/>
      <c r="AD12" s="531"/>
      <c r="AE12" s="531"/>
      <c r="AF12" s="531"/>
      <c r="AG12" s="532"/>
    </row>
    <row r="13" spans="1:33" ht="24.95" customHeight="1">
      <c r="A13" s="315"/>
      <c r="B13" s="317"/>
      <c r="C13" s="189"/>
      <c r="D13" s="527" t="s">
        <v>115</v>
      </c>
      <c r="E13" s="528"/>
      <c r="F13" s="528"/>
      <c r="G13" s="529"/>
      <c r="H13" s="562" t="s">
        <v>116</v>
      </c>
      <c r="I13" s="531"/>
      <c r="J13" s="531"/>
      <c r="K13" s="531"/>
      <c r="L13" s="531"/>
      <c r="M13" s="531"/>
      <c r="N13" s="531"/>
      <c r="O13" s="531"/>
      <c r="P13" s="531"/>
      <c r="Q13" s="531"/>
      <c r="R13" s="531"/>
      <c r="S13" s="531"/>
      <c r="T13" s="531"/>
      <c r="U13" s="531"/>
      <c r="V13" s="531"/>
      <c r="W13" s="531"/>
      <c r="X13" s="531"/>
      <c r="Y13" s="531"/>
      <c r="Z13" s="531"/>
      <c r="AA13" s="531"/>
      <c r="AB13" s="531"/>
      <c r="AC13" s="531"/>
      <c r="AD13" s="531"/>
      <c r="AE13" s="531"/>
      <c r="AF13" s="531"/>
      <c r="AG13" s="532"/>
    </row>
    <row r="14" spans="1:33" ht="15" customHeight="1">
      <c r="A14" s="315" t="s">
        <v>110</v>
      </c>
      <c r="B14" s="317"/>
      <c r="C14" s="189"/>
      <c r="D14" s="527" t="s">
        <v>117</v>
      </c>
      <c r="E14" s="528"/>
      <c r="F14" s="528"/>
      <c r="G14" s="529"/>
      <c r="H14" s="562" t="s">
        <v>118</v>
      </c>
      <c r="I14" s="531"/>
      <c r="J14" s="531"/>
      <c r="K14" s="531"/>
      <c r="L14" s="531"/>
      <c r="M14" s="531"/>
      <c r="N14" s="531"/>
      <c r="O14" s="531"/>
      <c r="P14" s="531"/>
      <c r="Q14" s="531"/>
      <c r="R14" s="531"/>
      <c r="S14" s="531"/>
      <c r="T14" s="531"/>
      <c r="U14" s="531"/>
      <c r="V14" s="531"/>
      <c r="W14" s="531"/>
      <c r="X14" s="531"/>
      <c r="Y14" s="531"/>
      <c r="Z14" s="531"/>
      <c r="AA14" s="531"/>
      <c r="AB14" s="531"/>
      <c r="AC14" s="531"/>
      <c r="AD14" s="531"/>
      <c r="AE14" s="531"/>
      <c r="AF14" s="531"/>
      <c r="AG14" s="532"/>
    </row>
    <row r="15" spans="1:33" ht="15" customHeight="1">
      <c r="A15" s="315" t="s">
        <v>110</v>
      </c>
      <c r="B15" s="317"/>
      <c r="C15" s="189"/>
      <c r="D15" s="527" t="s">
        <v>119</v>
      </c>
      <c r="E15" s="528"/>
      <c r="F15" s="528"/>
      <c r="G15" s="529"/>
      <c r="H15" s="562" t="s">
        <v>120</v>
      </c>
      <c r="I15" s="531"/>
      <c r="J15" s="531"/>
      <c r="K15" s="531"/>
      <c r="L15" s="531"/>
      <c r="M15" s="531"/>
      <c r="N15" s="531"/>
      <c r="O15" s="531"/>
      <c r="P15" s="531"/>
      <c r="Q15" s="531"/>
      <c r="R15" s="531"/>
      <c r="S15" s="531"/>
      <c r="T15" s="531"/>
      <c r="U15" s="531"/>
      <c r="V15" s="531"/>
      <c r="W15" s="531"/>
      <c r="X15" s="531"/>
      <c r="Y15" s="531"/>
      <c r="Z15" s="531"/>
      <c r="AA15" s="531"/>
      <c r="AB15" s="531"/>
      <c r="AC15" s="531"/>
      <c r="AD15" s="531"/>
      <c r="AE15" s="531"/>
      <c r="AF15" s="531"/>
      <c r="AG15" s="532"/>
    </row>
    <row r="16" spans="1:33" ht="15" customHeight="1">
      <c r="A16" s="315" t="s">
        <v>110</v>
      </c>
      <c r="B16" s="317"/>
      <c r="C16" s="189"/>
      <c r="D16" s="527" t="s">
        <v>121</v>
      </c>
      <c r="E16" s="528"/>
      <c r="F16" s="528"/>
      <c r="G16" s="529"/>
      <c r="H16" s="562" t="s">
        <v>122</v>
      </c>
      <c r="I16" s="531"/>
      <c r="J16" s="531"/>
      <c r="K16" s="531"/>
      <c r="L16" s="531"/>
      <c r="M16" s="531"/>
      <c r="N16" s="531"/>
      <c r="O16" s="531"/>
      <c r="P16" s="531"/>
      <c r="Q16" s="531"/>
      <c r="R16" s="531"/>
      <c r="S16" s="531"/>
      <c r="T16" s="531"/>
      <c r="U16" s="531"/>
      <c r="V16" s="531"/>
      <c r="W16" s="531"/>
      <c r="X16" s="531"/>
      <c r="Y16" s="531"/>
      <c r="Z16" s="531"/>
      <c r="AA16" s="531"/>
      <c r="AB16" s="531"/>
      <c r="AC16" s="531"/>
      <c r="AD16" s="531"/>
      <c r="AE16" s="531"/>
      <c r="AF16" s="531"/>
      <c r="AG16" s="532"/>
    </row>
    <row r="17" spans="1:33" ht="15" customHeight="1">
      <c r="A17" s="315"/>
      <c r="B17" s="318"/>
      <c r="C17" s="189"/>
      <c r="D17" s="539"/>
      <c r="E17" s="540"/>
      <c r="F17" s="540"/>
      <c r="G17" s="541"/>
      <c r="H17" s="189"/>
      <c r="I17" s="189"/>
      <c r="J17" s="189"/>
      <c r="K17" s="189"/>
      <c r="L17" s="189"/>
      <c r="M17" s="189"/>
      <c r="N17" s="189"/>
      <c r="O17" s="189"/>
      <c r="P17" s="189"/>
      <c r="Q17" s="189"/>
      <c r="R17" s="189"/>
      <c r="S17" s="189"/>
      <c r="T17" s="189"/>
      <c r="U17" s="189"/>
      <c r="V17" s="189"/>
      <c r="W17" s="189"/>
      <c r="X17" s="189"/>
      <c r="Y17" s="189"/>
      <c r="Z17" s="189"/>
      <c r="AA17" s="189"/>
      <c r="AB17" s="189"/>
      <c r="AC17" s="189"/>
      <c r="AD17" s="189"/>
      <c r="AE17" s="189"/>
      <c r="AF17" s="189"/>
      <c r="AG17" s="319"/>
    </row>
    <row r="18" spans="1:33" ht="18.75" customHeight="1">
      <c r="A18" s="343" t="s">
        <v>123</v>
      </c>
      <c r="B18" s="344" t="s">
        <v>124</v>
      </c>
      <c r="C18" s="344"/>
      <c r="D18" s="344"/>
      <c r="E18" s="344"/>
      <c r="F18" s="344"/>
      <c r="G18" s="344"/>
      <c r="H18" s="344"/>
      <c r="I18" s="344"/>
      <c r="J18" s="344"/>
      <c r="K18" s="344"/>
      <c r="L18" s="344"/>
      <c r="M18" s="344"/>
      <c r="N18" s="344"/>
      <c r="O18" s="344"/>
      <c r="P18" s="344"/>
      <c r="Q18" s="344"/>
      <c r="R18" s="344"/>
      <c r="S18" s="344"/>
      <c r="T18" s="344"/>
      <c r="U18" s="344"/>
      <c r="V18" s="344"/>
      <c r="W18" s="344"/>
      <c r="X18" s="344"/>
      <c r="Y18" s="344"/>
      <c r="Z18" s="344"/>
      <c r="AA18" s="344"/>
      <c r="AB18" s="344"/>
      <c r="AC18" s="344"/>
      <c r="AD18" s="344"/>
      <c r="AE18" s="344"/>
      <c r="AF18" s="344"/>
      <c r="AG18" s="345"/>
    </row>
    <row r="19" spans="1:33" ht="15" customHeight="1">
      <c r="A19" s="315" t="s">
        <v>110</v>
      </c>
      <c r="B19" s="316"/>
      <c r="C19" s="189"/>
      <c r="D19" s="536" t="s">
        <v>125</v>
      </c>
      <c r="E19" s="537"/>
      <c r="F19" s="537"/>
      <c r="G19" s="538"/>
      <c r="H19" s="536" t="s">
        <v>126</v>
      </c>
      <c r="I19" s="558"/>
      <c r="J19" s="558"/>
      <c r="K19" s="558"/>
      <c r="L19" s="558"/>
      <c r="M19" s="558"/>
      <c r="N19" s="558"/>
      <c r="O19" s="558"/>
      <c r="P19" s="558"/>
      <c r="Q19" s="558"/>
      <c r="R19" s="558"/>
      <c r="S19" s="558"/>
      <c r="T19" s="558"/>
      <c r="U19" s="558"/>
      <c r="V19" s="558"/>
      <c r="W19" s="558"/>
      <c r="X19" s="558"/>
      <c r="Y19" s="558"/>
      <c r="Z19" s="558"/>
      <c r="AA19" s="558"/>
      <c r="AB19" s="558"/>
      <c r="AC19" s="558"/>
      <c r="AD19" s="558"/>
      <c r="AE19" s="558"/>
      <c r="AF19" s="558"/>
      <c r="AG19" s="559"/>
    </row>
    <row r="20" spans="1:33" ht="15" customHeight="1">
      <c r="A20" s="315"/>
      <c r="B20" s="317"/>
      <c r="C20" s="189"/>
      <c r="D20" s="527" t="s">
        <v>127</v>
      </c>
      <c r="E20" s="528"/>
      <c r="F20" s="528"/>
      <c r="G20" s="529"/>
      <c r="H20" s="527" t="s">
        <v>128</v>
      </c>
      <c r="I20" s="542"/>
      <c r="J20" s="542"/>
      <c r="K20" s="542"/>
      <c r="L20" s="542"/>
      <c r="M20" s="542"/>
      <c r="N20" s="542"/>
      <c r="O20" s="542"/>
      <c r="P20" s="542"/>
      <c r="Q20" s="542"/>
      <c r="R20" s="542"/>
      <c r="S20" s="542"/>
      <c r="T20" s="542"/>
      <c r="U20" s="542"/>
      <c r="V20" s="542"/>
      <c r="W20" s="542"/>
      <c r="X20" s="542"/>
      <c r="Y20" s="542"/>
      <c r="Z20" s="542"/>
      <c r="AA20" s="542"/>
      <c r="AB20" s="542"/>
      <c r="AC20" s="542"/>
      <c r="AD20" s="542"/>
      <c r="AE20" s="542"/>
      <c r="AF20" s="542"/>
      <c r="AG20" s="543"/>
    </row>
    <row r="21" spans="1:33" ht="15" customHeight="1">
      <c r="A21" s="315"/>
      <c r="B21" s="317"/>
      <c r="C21" s="189"/>
      <c r="D21" s="527" t="s">
        <v>129</v>
      </c>
      <c r="E21" s="528"/>
      <c r="F21" s="528"/>
      <c r="G21" s="529"/>
      <c r="H21" s="527" t="s">
        <v>130</v>
      </c>
      <c r="I21" s="542"/>
      <c r="J21" s="542"/>
      <c r="K21" s="542"/>
      <c r="L21" s="542"/>
      <c r="M21" s="542"/>
      <c r="N21" s="542"/>
      <c r="O21" s="542"/>
      <c r="P21" s="542"/>
      <c r="Q21" s="542"/>
      <c r="R21" s="542"/>
      <c r="S21" s="542"/>
      <c r="T21" s="542"/>
      <c r="U21" s="542"/>
      <c r="V21" s="542"/>
      <c r="W21" s="542"/>
      <c r="X21" s="542"/>
      <c r="Y21" s="542"/>
      <c r="Z21" s="542"/>
      <c r="AA21" s="542"/>
      <c r="AB21" s="542"/>
      <c r="AC21" s="542"/>
      <c r="AD21" s="542"/>
      <c r="AE21" s="542"/>
      <c r="AF21" s="542"/>
      <c r="AG21" s="543"/>
    </row>
    <row r="22" spans="1:33" ht="15" customHeight="1">
      <c r="A22" s="315"/>
      <c r="B22" s="317"/>
      <c r="C22" s="189"/>
      <c r="D22" s="527" t="s">
        <v>131</v>
      </c>
      <c r="E22" s="528"/>
      <c r="F22" s="528"/>
      <c r="G22" s="529"/>
      <c r="H22" s="527" t="s">
        <v>132</v>
      </c>
      <c r="I22" s="542"/>
      <c r="J22" s="542"/>
      <c r="K22" s="542"/>
      <c r="L22" s="542"/>
      <c r="M22" s="542"/>
      <c r="N22" s="542"/>
      <c r="O22" s="542"/>
      <c r="P22" s="542"/>
      <c r="Q22" s="542"/>
      <c r="R22" s="542"/>
      <c r="S22" s="542"/>
      <c r="T22" s="542"/>
      <c r="U22" s="542"/>
      <c r="V22" s="542"/>
      <c r="W22" s="542"/>
      <c r="X22" s="542"/>
      <c r="Y22" s="542"/>
      <c r="Z22" s="542"/>
      <c r="AA22" s="542"/>
      <c r="AB22" s="542"/>
      <c r="AC22" s="542"/>
      <c r="AD22" s="542"/>
      <c r="AE22" s="542"/>
      <c r="AF22" s="542"/>
      <c r="AG22" s="543"/>
    </row>
    <row r="23" spans="1:33" ht="15" customHeight="1">
      <c r="A23" s="315"/>
      <c r="B23" s="317"/>
      <c r="C23" s="189"/>
      <c r="D23" s="527" t="s">
        <v>133</v>
      </c>
      <c r="E23" s="528"/>
      <c r="F23" s="528"/>
      <c r="G23" s="529"/>
      <c r="H23" s="527" t="s">
        <v>134</v>
      </c>
      <c r="I23" s="542"/>
      <c r="J23" s="542"/>
      <c r="K23" s="542"/>
      <c r="L23" s="542"/>
      <c r="M23" s="542"/>
      <c r="N23" s="542"/>
      <c r="O23" s="542"/>
      <c r="P23" s="542"/>
      <c r="Q23" s="542"/>
      <c r="R23" s="542"/>
      <c r="S23" s="542"/>
      <c r="T23" s="542"/>
      <c r="U23" s="542"/>
      <c r="V23" s="542"/>
      <c r="W23" s="542"/>
      <c r="X23" s="542"/>
      <c r="Y23" s="542"/>
      <c r="Z23" s="542"/>
      <c r="AA23" s="542"/>
      <c r="AB23" s="542"/>
      <c r="AC23" s="542"/>
      <c r="AD23" s="542"/>
      <c r="AE23" s="542"/>
      <c r="AF23" s="542"/>
      <c r="AG23" s="543"/>
    </row>
    <row r="24" spans="1:33" ht="15" customHeight="1">
      <c r="A24" s="315"/>
      <c r="B24" s="318"/>
      <c r="C24" s="189"/>
      <c r="D24" s="539"/>
      <c r="E24" s="540"/>
      <c r="F24" s="540"/>
      <c r="G24" s="541"/>
      <c r="H24" s="189"/>
      <c r="I24" s="189"/>
      <c r="J24" s="189"/>
      <c r="K24" s="189"/>
      <c r="L24" s="189"/>
      <c r="M24" s="189"/>
      <c r="N24" s="189"/>
      <c r="O24" s="189"/>
      <c r="P24" s="189"/>
      <c r="Q24" s="189"/>
      <c r="R24" s="189"/>
      <c r="S24" s="189"/>
      <c r="T24" s="189"/>
      <c r="U24" s="189"/>
      <c r="V24" s="189"/>
      <c r="W24" s="189"/>
      <c r="X24" s="189"/>
      <c r="Y24" s="189"/>
      <c r="Z24" s="189"/>
      <c r="AA24" s="189"/>
      <c r="AB24" s="189"/>
      <c r="AC24" s="189"/>
      <c r="AD24" s="189"/>
      <c r="AE24" s="189"/>
      <c r="AF24" s="189"/>
      <c r="AG24" s="320"/>
    </row>
    <row r="25" spans="1:33" ht="18.75" customHeight="1">
      <c r="A25" s="346" t="s">
        <v>23</v>
      </c>
      <c r="B25" s="344" t="s">
        <v>135</v>
      </c>
      <c r="C25" s="344"/>
      <c r="D25" s="344"/>
      <c r="E25" s="344"/>
      <c r="F25" s="344"/>
      <c r="G25" s="344"/>
      <c r="H25" s="344"/>
      <c r="I25" s="344"/>
      <c r="J25" s="344"/>
      <c r="K25" s="344"/>
      <c r="L25" s="344"/>
      <c r="M25" s="344"/>
      <c r="N25" s="344"/>
      <c r="O25" s="344"/>
      <c r="P25" s="344"/>
      <c r="Q25" s="344"/>
      <c r="R25" s="344"/>
      <c r="S25" s="344"/>
      <c r="T25" s="344"/>
      <c r="U25" s="344"/>
      <c r="V25" s="344"/>
      <c r="W25" s="344"/>
      <c r="X25" s="344"/>
      <c r="Y25" s="344"/>
      <c r="Z25" s="344"/>
      <c r="AA25" s="344"/>
      <c r="AB25" s="344"/>
      <c r="AC25" s="344"/>
      <c r="AD25" s="344"/>
      <c r="AE25" s="344"/>
      <c r="AF25" s="344"/>
      <c r="AG25" s="345"/>
    </row>
    <row r="26" spans="1:33" ht="15" customHeight="1">
      <c r="A26" s="315" t="s">
        <v>110</v>
      </c>
      <c r="B26" s="316"/>
      <c r="C26" s="189"/>
      <c r="D26" s="536" t="s">
        <v>125</v>
      </c>
      <c r="E26" s="537"/>
      <c r="F26" s="537"/>
      <c r="G26" s="538"/>
      <c r="H26" s="533" t="s">
        <v>136</v>
      </c>
      <c r="I26" s="534"/>
      <c r="J26" s="534"/>
      <c r="K26" s="534"/>
      <c r="L26" s="534"/>
      <c r="M26" s="534"/>
      <c r="N26" s="534"/>
      <c r="O26" s="534"/>
      <c r="P26" s="534"/>
      <c r="Q26" s="534"/>
      <c r="R26" s="534"/>
      <c r="S26" s="534"/>
      <c r="T26" s="534"/>
      <c r="U26" s="534"/>
      <c r="V26" s="534"/>
      <c r="W26" s="534"/>
      <c r="X26" s="534"/>
      <c r="Y26" s="534"/>
      <c r="Z26" s="534"/>
      <c r="AA26" s="534"/>
      <c r="AB26" s="534"/>
      <c r="AC26" s="534"/>
      <c r="AD26" s="534"/>
      <c r="AE26" s="534"/>
      <c r="AF26" s="534"/>
      <c r="AG26" s="535"/>
    </row>
    <row r="27" spans="1:33" ht="15" customHeight="1">
      <c r="A27" s="315"/>
      <c r="B27" s="317"/>
      <c r="C27" s="189"/>
      <c r="D27" s="527" t="s">
        <v>137</v>
      </c>
      <c r="E27" s="528"/>
      <c r="F27" s="528"/>
      <c r="G27" s="529"/>
      <c r="H27" s="527" t="s">
        <v>138</v>
      </c>
      <c r="I27" s="542"/>
      <c r="J27" s="542"/>
      <c r="K27" s="542"/>
      <c r="L27" s="542"/>
      <c r="M27" s="542"/>
      <c r="N27" s="542"/>
      <c r="O27" s="542"/>
      <c r="P27" s="542"/>
      <c r="Q27" s="542"/>
      <c r="R27" s="542"/>
      <c r="S27" s="542"/>
      <c r="T27" s="542"/>
      <c r="U27" s="542"/>
      <c r="V27" s="542"/>
      <c r="W27" s="542"/>
      <c r="X27" s="542"/>
      <c r="Y27" s="542"/>
      <c r="Z27" s="542"/>
      <c r="AA27" s="542"/>
      <c r="AB27" s="542"/>
      <c r="AC27" s="542"/>
      <c r="AD27" s="542"/>
      <c r="AE27" s="542"/>
      <c r="AF27" s="542"/>
      <c r="AG27" s="543"/>
    </row>
    <row r="28" spans="1:33" ht="24.95" customHeight="1">
      <c r="A28" s="321"/>
      <c r="B28" s="317"/>
      <c r="C28" s="189"/>
      <c r="D28" s="527" t="s">
        <v>139</v>
      </c>
      <c r="E28" s="528"/>
      <c r="F28" s="528"/>
      <c r="G28" s="529"/>
      <c r="H28" s="530" t="s">
        <v>140</v>
      </c>
      <c r="I28" s="531"/>
      <c r="J28" s="531"/>
      <c r="K28" s="531"/>
      <c r="L28" s="531"/>
      <c r="M28" s="531"/>
      <c r="N28" s="531"/>
      <c r="O28" s="531"/>
      <c r="P28" s="531"/>
      <c r="Q28" s="531"/>
      <c r="R28" s="531"/>
      <c r="S28" s="531"/>
      <c r="T28" s="531"/>
      <c r="U28" s="531"/>
      <c r="V28" s="531"/>
      <c r="W28" s="531"/>
      <c r="X28" s="531"/>
      <c r="Y28" s="531"/>
      <c r="Z28" s="531"/>
      <c r="AA28" s="531"/>
      <c r="AB28" s="531"/>
      <c r="AC28" s="531"/>
      <c r="AD28" s="531"/>
      <c r="AE28" s="531"/>
      <c r="AF28" s="531"/>
      <c r="AG28" s="532"/>
    </row>
    <row r="29" spans="1:33" ht="24.95" customHeight="1">
      <c r="A29" s="321"/>
      <c r="B29" s="317"/>
      <c r="C29" s="189"/>
      <c r="D29" s="527" t="s">
        <v>141</v>
      </c>
      <c r="E29" s="528"/>
      <c r="F29" s="528"/>
      <c r="G29" s="529"/>
      <c r="H29" s="530" t="s">
        <v>142</v>
      </c>
      <c r="I29" s="531"/>
      <c r="J29" s="531"/>
      <c r="K29" s="531"/>
      <c r="L29" s="531"/>
      <c r="M29" s="531"/>
      <c r="N29" s="531"/>
      <c r="O29" s="531"/>
      <c r="P29" s="531"/>
      <c r="Q29" s="531"/>
      <c r="R29" s="531"/>
      <c r="S29" s="531"/>
      <c r="T29" s="531"/>
      <c r="U29" s="531"/>
      <c r="V29" s="531"/>
      <c r="W29" s="531"/>
      <c r="X29" s="531"/>
      <c r="Y29" s="531"/>
      <c r="Z29" s="531"/>
      <c r="AA29" s="531"/>
      <c r="AB29" s="531"/>
      <c r="AC29" s="531"/>
      <c r="AD29" s="531"/>
      <c r="AE29" s="531"/>
      <c r="AF29" s="531"/>
      <c r="AG29" s="532"/>
    </row>
    <row r="30" spans="1:33" ht="15" customHeight="1">
      <c r="A30" s="321"/>
      <c r="B30" s="318"/>
      <c r="C30" s="189"/>
      <c r="D30" s="539"/>
      <c r="E30" s="540"/>
      <c r="F30" s="540"/>
      <c r="G30" s="541"/>
      <c r="H30" s="189"/>
      <c r="I30" s="189"/>
      <c r="J30" s="189"/>
      <c r="K30" s="189"/>
      <c r="L30" s="189"/>
      <c r="M30" s="189"/>
      <c r="N30" s="189"/>
      <c r="O30" s="189"/>
      <c r="P30" s="189"/>
      <c r="Q30" s="189"/>
      <c r="R30" s="189"/>
      <c r="S30" s="189"/>
      <c r="T30" s="189"/>
      <c r="U30" s="189"/>
      <c r="V30" s="189"/>
      <c r="W30" s="189"/>
      <c r="X30" s="189"/>
      <c r="Y30" s="189"/>
      <c r="Z30" s="189"/>
      <c r="AA30" s="189"/>
      <c r="AB30" s="189"/>
      <c r="AC30" s="189"/>
      <c r="AD30" s="189"/>
      <c r="AE30" s="189"/>
      <c r="AF30" s="189"/>
      <c r="AG30" s="320"/>
    </row>
    <row r="31" spans="1:33" ht="18.75" customHeight="1">
      <c r="A31" s="346" t="s">
        <v>27</v>
      </c>
      <c r="B31" s="344" t="s">
        <v>143</v>
      </c>
      <c r="C31" s="344"/>
      <c r="D31" s="344"/>
      <c r="E31" s="344"/>
      <c r="F31" s="344"/>
      <c r="G31" s="344"/>
      <c r="H31" s="344"/>
      <c r="I31" s="344"/>
      <c r="J31" s="344"/>
      <c r="K31" s="344"/>
      <c r="L31" s="344"/>
      <c r="M31" s="344"/>
      <c r="N31" s="344"/>
      <c r="O31" s="344"/>
      <c r="P31" s="344"/>
      <c r="Q31" s="344"/>
      <c r="R31" s="344"/>
      <c r="S31" s="344"/>
      <c r="T31" s="344"/>
      <c r="U31" s="344"/>
      <c r="V31" s="344"/>
      <c r="W31" s="344"/>
      <c r="X31" s="344"/>
      <c r="Y31" s="344"/>
      <c r="Z31" s="344"/>
      <c r="AA31" s="344"/>
      <c r="AB31" s="344"/>
      <c r="AC31" s="344"/>
      <c r="AD31" s="344"/>
      <c r="AE31" s="344"/>
      <c r="AF31" s="344"/>
      <c r="AG31" s="345"/>
    </row>
    <row r="32" spans="1:33" ht="24.95" customHeight="1">
      <c r="A32" s="315" t="s">
        <v>110</v>
      </c>
      <c r="B32" s="316"/>
      <c r="C32" s="189"/>
      <c r="D32" s="536" t="s">
        <v>125</v>
      </c>
      <c r="E32" s="537"/>
      <c r="F32" s="537"/>
      <c r="G32" s="538"/>
      <c r="H32" s="533" t="s">
        <v>144</v>
      </c>
      <c r="I32" s="534"/>
      <c r="J32" s="534"/>
      <c r="K32" s="534"/>
      <c r="L32" s="534"/>
      <c r="M32" s="534"/>
      <c r="N32" s="534"/>
      <c r="O32" s="534"/>
      <c r="P32" s="534"/>
      <c r="Q32" s="534"/>
      <c r="R32" s="534"/>
      <c r="S32" s="534"/>
      <c r="T32" s="534"/>
      <c r="U32" s="534"/>
      <c r="V32" s="534"/>
      <c r="W32" s="534"/>
      <c r="X32" s="534"/>
      <c r="Y32" s="534"/>
      <c r="Z32" s="534"/>
      <c r="AA32" s="534"/>
      <c r="AB32" s="534"/>
      <c r="AC32" s="534"/>
      <c r="AD32" s="534"/>
      <c r="AE32" s="534"/>
      <c r="AF32" s="534"/>
      <c r="AG32" s="535"/>
    </row>
    <row r="33" spans="1:33" ht="15" customHeight="1">
      <c r="A33" s="321"/>
      <c r="B33" s="317"/>
      <c r="C33" s="189"/>
      <c r="D33" s="527" t="s">
        <v>145</v>
      </c>
      <c r="E33" s="528"/>
      <c r="F33" s="528"/>
      <c r="G33" s="529"/>
      <c r="H33" s="530" t="s">
        <v>146</v>
      </c>
      <c r="I33" s="531"/>
      <c r="J33" s="531"/>
      <c r="K33" s="531"/>
      <c r="L33" s="531"/>
      <c r="M33" s="531"/>
      <c r="N33" s="531"/>
      <c r="O33" s="531"/>
      <c r="P33" s="531"/>
      <c r="Q33" s="531"/>
      <c r="R33" s="531"/>
      <c r="S33" s="531"/>
      <c r="T33" s="531"/>
      <c r="U33" s="531"/>
      <c r="V33" s="531"/>
      <c r="W33" s="531"/>
      <c r="X33" s="531"/>
      <c r="Y33" s="531"/>
      <c r="Z33" s="531"/>
      <c r="AA33" s="531"/>
      <c r="AB33" s="531"/>
      <c r="AC33" s="531"/>
      <c r="AD33" s="531"/>
      <c r="AE33" s="531"/>
      <c r="AF33" s="531"/>
      <c r="AG33" s="532"/>
    </row>
    <row r="34" spans="1:33" ht="24.95" customHeight="1">
      <c r="A34" s="315" t="s">
        <v>110</v>
      </c>
      <c r="B34" s="317"/>
      <c r="C34" s="189"/>
      <c r="D34" s="527" t="s">
        <v>147</v>
      </c>
      <c r="E34" s="528"/>
      <c r="F34" s="528"/>
      <c r="G34" s="529"/>
      <c r="H34" s="530" t="s">
        <v>148</v>
      </c>
      <c r="I34" s="531"/>
      <c r="J34" s="531"/>
      <c r="K34" s="531"/>
      <c r="L34" s="531"/>
      <c r="M34" s="531"/>
      <c r="N34" s="531"/>
      <c r="O34" s="531"/>
      <c r="P34" s="531"/>
      <c r="Q34" s="531"/>
      <c r="R34" s="531"/>
      <c r="S34" s="531"/>
      <c r="T34" s="531"/>
      <c r="U34" s="531"/>
      <c r="V34" s="531"/>
      <c r="W34" s="531"/>
      <c r="X34" s="531"/>
      <c r="Y34" s="531"/>
      <c r="Z34" s="531"/>
      <c r="AA34" s="531"/>
      <c r="AB34" s="531"/>
      <c r="AC34" s="531"/>
      <c r="AD34" s="531"/>
      <c r="AE34" s="531"/>
      <c r="AF34" s="531"/>
      <c r="AG34" s="532"/>
    </row>
    <row r="35" spans="1:33" ht="15" customHeight="1">
      <c r="A35" s="321"/>
      <c r="B35" s="318"/>
      <c r="C35" s="189"/>
      <c r="D35" s="527"/>
      <c r="E35" s="528"/>
      <c r="F35" s="528"/>
      <c r="G35" s="529"/>
      <c r="H35" s="189"/>
      <c r="I35" s="189"/>
      <c r="J35" s="189"/>
      <c r="K35" s="189"/>
      <c r="L35" s="189"/>
      <c r="M35" s="189"/>
      <c r="N35" s="189"/>
      <c r="O35" s="189"/>
      <c r="P35" s="189"/>
      <c r="Q35" s="189"/>
      <c r="R35" s="189"/>
      <c r="S35" s="189"/>
      <c r="T35" s="189"/>
      <c r="U35" s="189"/>
      <c r="V35" s="189"/>
      <c r="W35" s="189"/>
      <c r="X35" s="189"/>
      <c r="Y35" s="189"/>
      <c r="Z35" s="189"/>
      <c r="AA35" s="189"/>
      <c r="AB35" s="189"/>
      <c r="AC35" s="189"/>
      <c r="AD35" s="189"/>
      <c r="AE35" s="189"/>
      <c r="AF35" s="189"/>
      <c r="AG35" s="320"/>
    </row>
    <row r="36" spans="1:33" ht="18.75" customHeight="1">
      <c r="A36" s="346" t="s">
        <v>30</v>
      </c>
      <c r="B36" s="344" t="s">
        <v>149</v>
      </c>
      <c r="C36" s="344"/>
      <c r="D36" s="344"/>
      <c r="E36" s="344"/>
      <c r="F36" s="344"/>
      <c r="G36" s="344"/>
      <c r="H36" s="344"/>
      <c r="I36" s="344"/>
      <c r="J36" s="344"/>
      <c r="K36" s="344"/>
      <c r="L36" s="344"/>
      <c r="M36" s="344"/>
      <c r="N36" s="344"/>
      <c r="O36" s="344"/>
      <c r="P36" s="344"/>
      <c r="Q36" s="344"/>
      <c r="R36" s="344"/>
      <c r="S36" s="344"/>
      <c r="T36" s="344"/>
      <c r="U36" s="344"/>
      <c r="V36" s="344"/>
      <c r="W36" s="344"/>
      <c r="X36" s="344"/>
      <c r="Y36" s="344"/>
      <c r="Z36" s="344"/>
      <c r="AA36" s="344"/>
      <c r="AB36" s="344"/>
      <c r="AC36" s="344"/>
      <c r="AD36" s="344"/>
      <c r="AE36" s="344"/>
      <c r="AF36" s="344"/>
      <c r="AG36" s="345"/>
    </row>
    <row r="37" spans="1:33" ht="24.95" customHeight="1">
      <c r="A37" s="315" t="s">
        <v>110</v>
      </c>
      <c r="B37" s="316"/>
      <c r="C37" s="189"/>
      <c r="D37" s="536" t="s">
        <v>125</v>
      </c>
      <c r="E37" s="537"/>
      <c r="F37" s="537"/>
      <c r="G37" s="538"/>
      <c r="H37" s="533" t="s">
        <v>150</v>
      </c>
      <c r="I37" s="534"/>
      <c r="J37" s="534"/>
      <c r="K37" s="534"/>
      <c r="L37" s="534"/>
      <c r="M37" s="534"/>
      <c r="N37" s="534"/>
      <c r="O37" s="534"/>
      <c r="P37" s="534"/>
      <c r="Q37" s="534"/>
      <c r="R37" s="534"/>
      <c r="S37" s="534"/>
      <c r="T37" s="534"/>
      <c r="U37" s="534"/>
      <c r="V37" s="534"/>
      <c r="W37" s="534"/>
      <c r="X37" s="534"/>
      <c r="Y37" s="534"/>
      <c r="Z37" s="534"/>
      <c r="AA37" s="534"/>
      <c r="AB37" s="534"/>
      <c r="AC37" s="534"/>
      <c r="AD37" s="534"/>
      <c r="AE37" s="534"/>
      <c r="AF37" s="534"/>
      <c r="AG37" s="535"/>
    </row>
    <row r="38" spans="1:33" ht="15" customHeight="1">
      <c r="A38" s="315" t="s">
        <v>110</v>
      </c>
      <c r="B38" s="317"/>
      <c r="C38" s="189"/>
      <c r="D38" s="527" t="s">
        <v>151</v>
      </c>
      <c r="E38" s="528"/>
      <c r="F38" s="528"/>
      <c r="G38" s="529"/>
      <c r="H38" s="530" t="s">
        <v>152</v>
      </c>
      <c r="I38" s="531"/>
      <c r="J38" s="531"/>
      <c r="K38" s="531"/>
      <c r="L38" s="531"/>
      <c r="M38" s="531"/>
      <c r="N38" s="531"/>
      <c r="O38" s="531"/>
      <c r="P38" s="531"/>
      <c r="Q38" s="531"/>
      <c r="R38" s="531"/>
      <c r="S38" s="531"/>
      <c r="T38" s="531"/>
      <c r="U38" s="531"/>
      <c r="V38" s="531"/>
      <c r="W38" s="531"/>
      <c r="X38" s="531"/>
      <c r="Y38" s="531"/>
      <c r="Z38" s="531"/>
      <c r="AA38" s="531"/>
      <c r="AB38" s="531"/>
      <c r="AC38" s="531"/>
      <c r="AD38" s="531"/>
      <c r="AE38" s="531"/>
      <c r="AF38" s="531"/>
      <c r="AG38" s="532"/>
    </row>
    <row r="39" spans="1:33" ht="15" customHeight="1">
      <c r="A39" s="315" t="s">
        <v>110</v>
      </c>
      <c r="B39" s="317"/>
      <c r="C39" s="189"/>
      <c r="D39" s="527" t="s">
        <v>153</v>
      </c>
      <c r="E39" s="528"/>
      <c r="F39" s="528"/>
      <c r="G39" s="529"/>
      <c r="H39" s="530" t="s">
        <v>154</v>
      </c>
      <c r="I39" s="531"/>
      <c r="J39" s="531"/>
      <c r="K39" s="531"/>
      <c r="L39" s="531"/>
      <c r="M39" s="531"/>
      <c r="N39" s="531"/>
      <c r="O39" s="531"/>
      <c r="P39" s="531"/>
      <c r="Q39" s="531"/>
      <c r="R39" s="531"/>
      <c r="S39" s="531"/>
      <c r="T39" s="531"/>
      <c r="U39" s="531"/>
      <c r="V39" s="531"/>
      <c r="W39" s="531"/>
      <c r="X39" s="531"/>
      <c r="Y39" s="531"/>
      <c r="Z39" s="531"/>
      <c r="AA39" s="531"/>
      <c r="AB39" s="531"/>
      <c r="AC39" s="531"/>
      <c r="AD39" s="531"/>
      <c r="AE39" s="531"/>
      <c r="AF39" s="531"/>
      <c r="AG39" s="532"/>
    </row>
    <row r="40" spans="1:33" ht="15" customHeight="1">
      <c r="A40" s="321"/>
      <c r="B40" s="317"/>
      <c r="C40" s="189"/>
      <c r="D40" s="527" t="s">
        <v>155</v>
      </c>
      <c r="E40" s="528"/>
      <c r="F40" s="528"/>
      <c r="G40" s="529"/>
      <c r="H40" s="530" t="s">
        <v>156</v>
      </c>
      <c r="I40" s="531"/>
      <c r="J40" s="531"/>
      <c r="K40" s="531"/>
      <c r="L40" s="531"/>
      <c r="M40" s="531"/>
      <c r="N40" s="531"/>
      <c r="O40" s="531"/>
      <c r="P40" s="531"/>
      <c r="Q40" s="531"/>
      <c r="R40" s="531"/>
      <c r="S40" s="531"/>
      <c r="T40" s="531"/>
      <c r="U40" s="531"/>
      <c r="V40" s="531"/>
      <c r="W40" s="531"/>
      <c r="X40" s="531"/>
      <c r="Y40" s="531"/>
      <c r="Z40" s="531"/>
      <c r="AA40" s="531"/>
      <c r="AB40" s="531"/>
      <c r="AC40" s="531"/>
      <c r="AD40" s="531"/>
      <c r="AE40" s="531"/>
      <c r="AF40" s="531"/>
      <c r="AG40" s="532"/>
    </row>
    <row r="41" spans="1:33" ht="15" customHeight="1">
      <c r="A41" s="321"/>
      <c r="B41" s="317"/>
      <c r="C41" s="189"/>
      <c r="D41" s="527" t="s">
        <v>157</v>
      </c>
      <c r="E41" s="528"/>
      <c r="F41" s="528"/>
      <c r="G41" s="529"/>
      <c r="H41" s="530" t="s">
        <v>158</v>
      </c>
      <c r="I41" s="531"/>
      <c r="J41" s="531"/>
      <c r="K41" s="531"/>
      <c r="L41" s="531"/>
      <c r="M41" s="531"/>
      <c r="N41" s="531"/>
      <c r="O41" s="531"/>
      <c r="P41" s="531"/>
      <c r="Q41" s="531"/>
      <c r="R41" s="531"/>
      <c r="S41" s="531"/>
      <c r="T41" s="531"/>
      <c r="U41" s="531"/>
      <c r="V41" s="531"/>
      <c r="W41" s="531"/>
      <c r="X41" s="531"/>
      <c r="Y41" s="531"/>
      <c r="Z41" s="531"/>
      <c r="AA41" s="531"/>
      <c r="AB41" s="531"/>
      <c r="AC41" s="531"/>
      <c r="AD41" s="531"/>
      <c r="AE41" s="531"/>
      <c r="AF41" s="531"/>
      <c r="AG41" s="532"/>
    </row>
    <row r="42" spans="1:33" ht="15" customHeight="1">
      <c r="A42" s="321"/>
      <c r="B42" s="318"/>
      <c r="C42" s="189"/>
      <c r="D42" s="539"/>
      <c r="E42" s="540"/>
      <c r="F42" s="540"/>
      <c r="G42" s="541"/>
      <c r="H42" s="189"/>
      <c r="I42" s="189"/>
      <c r="J42" s="189"/>
      <c r="K42" s="189"/>
      <c r="L42" s="189"/>
      <c r="M42" s="189"/>
      <c r="N42" s="189"/>
      <c r="O42" s="189"/>
      <c r="P42" s="189"/>
      <c r="Q42" s="189"/>
      <c r="R42" s="189"/>
      <c r="S42" s="189"/>
      <c r="T42" s="189"/>
      <c r="U42" s="189"/>
      <c r="V42" s="189"/>
      <c r="W42" s="189"/>
      <c r="X42" s="189"/>
      <c r="Y42" s="189"/>
      <c r="Z42" s="189"/>
      <c r="AA42" s="189"/>
      <c r="AB42" s="189"/>
      <c r="AC42" s="189"/>
      <c r="AD42" s="189"/>
      <c r="AE42" s="189"/>
      <c r="AF42" s="189"/>
      <c r="AG42" s="320"/>
    </row>
    <row r="43" spans="1:33" ht="18.75" customHeight="1">
      <c r="A43" s="346" t="s">
        <v>34</v>
      </c>
      <c r="B43" s="344" t="s">
        <v>159</v>
      </c>
      <c r="C43" s="344"/>
      <c r="D43" s="344"/>
      <c r="E43" s="344"/>
      <c r="F43" s="344"/>
      <c r="G43" s="344"/>
      <c r="H43" s="344"/>
      <c r="I43" s="344"/>
      <c r="J43" s="344"/>
      <c r="K43" s="344"/>
      <c r="L43" s="344"/>
      <c r="M43" s="344"/>
      <c r="N43" s="344"/>
      <c r="O43" s="344"/>
      <c r="P43" s="344"/>
      <c r="Q43" s="344"/>
      <c r="R43" s="344"/>
      <c r="S43" s="344"/>
      <c r="T43" s="344"/>
      <c r="U43" s="344"/>
      <c r="V43" s="344"/>
      <c r="W43" s="344"/>
      <c r="X43" s="344"/>
      <c r="Y43" s="344"/>
      <c r="Z43" s="344"/>
      <c r="AA43" s="344"/>
      <c r="AB43" s="344"/>
      <c r="AC43" s="344"/>
      <c r="AD43" s="344"/>
      <c r="AE43" s="344"/>
      <c r="AF43" s="344"/>
      <c r="AG43" s="345"/>
    </row>
    <row r="44" spans="1:33" ht="15" customHeight="1">
      <c r="A44" s="315" t="s">
        <v>110</v>
      </c>
      <c r="B44" s="316"/>
      <c r="C44" s="189"/>
      <c r="D44" s="536" t="s">
        <v>125</v>
      </c>
      <c r="E44" s="537"/>
      <c r="F44" s="537"/>
      <c r="G44" s="538"/>
      <c r="H44" s="189" t="s">
        <v>160</v>
      </c>
      <c r="I44" s="326"/>
      <c r="J44" s="326"/>
      <c r="K44" s="326"/>
      <c r="L44" s="326"/>
      <c r="M44" s="326"/>
      <c r="N44" s="326"/>
      <c r="O44" s="326"/>
      <c r="P44" s="326"/>
      <c r="Q44" s="326"/>
      <c r="R44" s="326"/>
      <c r="S44" s="326"/>
      <c r="T44" s="326"/>
      <c r="U44" s="326"/>
      <c r="V44" s="326"/>
      <c r="W44" s="326"/>
      <c r="X44" s="326"/>
      <c r="Y44" s="326"/>
      <c r="Z44" s="326"/>
      <c r="AA44" s="326"/>
      <c r="AB44" s="326"/>
      <c r="AC44" s="326"/>
      <c r="AD44" s="326"/>
      <c r="AE44" s="326"/>
      <c r="AF44" s="326"/>
      <c r="AG44" s="325"/>
    </row>
    <row r="45" spans="1:33" ht="15" customHeight="1">
      <c r="A45" s="321"/>
      <c r="B45" s="317"/>
      <c r="C45" s="189"/>
      <c r="D45" s="527" t="s">
        <v>161</v>
      </c>
      <c r="E45" s="528"/>
      <c r="F45" s="528"/>
      <c r="G45" s="529"/>
      <c r="H45" s="189" t="s">
        <v>162</v>
      </c>
      <c r="I45" s="326"/>
      <c r="J45" s="326"/>
      <c r="K45" s="326"/>
      <c r="L45" s="326"/>
      <c r="M45" s="326"/>
      <c r="N45" s="326"/>
      <c r="O45" s="326"/>
      <c r="P45" s="326"/>
      <c r="Q45" s="326"/>
      <c r="R45" s="326"/>
      <c r="S45" s="326"/>
      <c r="T45" s="326"/>
      <c r="U45" s="326"/>
      <c r="V45" s="326"/>
      <c r="W45" s="326"/>
      <c r="X45" s="326"/>
      <c r="Y45" s="326"/>
      <c r="Z45" s="326"/>
      <c r="AA45" s="326"/>
      <c r="AB45" s="326"/>
      <c r="AC45" s="326"/>
      <c r="AD45" s="326"/>
      <c r="AE45" s="326"/>
      <c r="AF45" s="326"/>
      <c r="AG45" s="325"/>
    </row>
    <row r="46" spans="1:33" ht="15" customHeight="1">
      <c r="A46" s="321"/>
      <c r="B46" s="318"/>
      <c r="C46" s="189"/>
      <c r="D46" s="539"/>
      <c r="E46" s="540"/>
      <c r="F46" s="540"/>
      <c r="G46" s="541"/>
      <c r="H46" s="189"/>
      <c r="I46" s="189"/>
      <c r="J46" s="189"/>
      <c r="K46" s="189"/>
      <c r="L46" s="189"/>
      <c r="M46" s="189"/>
      <c r="N46" s="189"/>
      <c r="O46" s="189"/>
      <c r="P46" s="189"/>
      <c r="Q46" s="189"/>
      <c r="R46" s="189"/>
      <c r="S46" s="189"/>
      <c r="T46" s="189"/>
      <c r="U46" s="189"/>
      <c r="V46" s="189"/>
      <c r="W46" s="189"/>
      <c r="X46" s="189"/>
      <c r="Y46" s="189"/>
      <c r="Z46" s="189"/>
      <c r="AA46" s="189"/>
      <c r="AB46" s="189"/>
      <c r="AC46" s="189"/>
      <c r="AD46" s="189"/>
      <c r="AE46" s="189"/>
      <c r="AF46" s="189"/>
      <c r="AG46" s="320"/>
    </row>
    <row r="47" spans="1:33" ht="18.75" customHeight="1">
      <c r="A47" s="346" t="s">
        <v>37</v>
      </c>
      <c r="B47" s="344" t="s">
        <v>163</v>
      </c>
      <c r="C47" s="344"/>
      <c r="D47" s="344"/>
      <c r="E47" s="344"/>
      <c r="F47" s="344"/>
      <c r="G47" s="344"/>
      <c r="H47" s="344"/>
      <c r="I47" s="344"/>
      <c r="J47" s="344"/>
      <c r="K47" s="344"/>
      <c r="L47" s="344"/>
      <c r="M47" s="344"/>
      <c r="N47" s="344"/>
      <c r="O47" s="344"/>
      <c r="P47" s="344"/>
      <c r="Q47" s="344"/>
      <c r="R47" s="344"/>
      <c r="S47" s="344"/>
      <c r="T47" s="344"/>
      <c r="U47" s="344"/>
      <c r="V47" s="344"/>
      <c r="W47" s="344"/>
      <c r="X47" s="344"/>
      <c r="Y47" s="344"/>
      <c r="Z47" s="344"/>
      <c r="AA47" s="344"/>
      <c r="AB47" s="344"/>
      <c r="AC47" s="344"/>
      <c r="AD47" s="344"/>
      <c r="AE47" s="344"/>
      <c r="AF47" s="344"/>
      <c r="AG47" s="345"/>
    </row>
    <row r="48" spans="1:33" ht="24.95" customHeight="1">
      <c r="A48" s="315" t="s">
        <v>110</v>
      </c>
      <c r="B48" s="316"/>
      <c r="C48" s="189"/>
      <c r="D48" s="536" t="s">
        <v>125</v>
      </c>
      <c r="E48" s="537"/>
      <c r="F48" s="537"/>
      <c r="G48" s="538"/>
      <c r="H48" s="533" t="s">
        <v>164</v>
      </c>
      <c r="I48" s="534"/>
      <c r="J48" s="534"/>
      <c r="K48" s="534"/>
      <c r="L48" s="534"/>
      <c r="M48" s="534"/>
      <c r="N48" s="534"/>
      <c r="O48" s="534"/>
      <c r="P48" s="534"/>
      <c r="Q48" s="534"/>
      <c r="R48" s="534"/>
      <c r="S48" s="534"/>
      <c r="T48" s="534"/>
      <c r="U48" s="534"/>
      <c r="V48" s="534"/>
      <c r="W48" s="534"/>
      <c r="X48" s="534"/>
      <c r="Y48" s="534"/>
      <c r="Z48" s="534"/>
      <c r="AA48" s="534"/>
      <c r="AB48" s="534"/>
      <c r="AC48" s="534"/>
      <c r="AD48" s="534"/>
      <c r="AE48" s="534"/>
      <c r="AF48" s="534"/>
      <c r="AG48" s="535"/>
    </row>
    <row r="49" spans="1:33" ht="15" customHeight="1">
      <c r="A49" s="321"/>
      <c r="B49" s="318"/>
      <c r="C49" s="189"/>
      <c r="D49" s="539"/>
      <c r="E49" s="540"/>
      <c r="F49" s="540"/>
      <c r="G49" s="541"/>
      <c r="H49" s="189"/>
      <c r="I49" s="189"/>
      <c r="J49" s="189"/>
      <c r="K49" s="189"/>
      <c r="L49" s="189"/>
      <c r="M49" s="189"/>
      <c r="N49" s="189"/>
      <c r="O49" s="189"/>
      <c r="P49" s="189"/>
      <c r="Q49" s="189"/>
      <c r="R49" s="189"/>
      <c r="S49" s="189"/>
      <c r="T49" s="189"/>
      <c r="U49" s="189"/>
      <c r="V49" s="189"/>
      <c r="W49" s="189"/>
      <c r="X49" s="189"/>
      <c r="Y49" s="189"/>
      <c r="Z49" s="189"/>
      <c r="AA49" s="189"/>
      <c r="AB49" s="189"/>
      <c r="AC49" s="189"/>
      <c r="AD49" s="189"/>
      <c r="AE49" s="189"/>
      <c r="AF49" s="189"/>
      <c r="AG49" s="320"/>
    </row>
    <row r="50" spans="1:33" ht="18.75" customHeight="1">
      <c r="A50" s="346" t="s">
        <v>40</v>
      </c>
      <c r="B50" s="344" t="s">
        <v>165</v>
      </c>
      <c r="C50" s="344"/>
      <c r="D50" s="344"/>
      <c r="E50" s="344"/>
      <c r="F50" s="344"/>
      <c r="G50" s="344"/>
      <c r="H50" s="344"/>
      <c r="I50" s="344"/>
      <c r="J50" s="344"/>
      <c r="K50" s="344"/>
      <c r="L50" s="344"/>
      <c r="M50" s="344"/>
      <c r="N50" s="344"/>
      <c r="O50" s="344"/>
      <c r="P50" s="344"/>
      <c r="Q50" s="344"/>
      <c r="R50" s="344"/>
      <c r="S50" s="344"/>
      <c r="T50" s="344"/>
      <c r="U50" s="344"/>
      <c r="V50" s="344"/>
      <c r="W50" s="344"/>
      <c r="X50" s="344"/>
      <c r="Y50" s="344"/>
      <c r="Z50" s="344"/>
      <c r="AA50" s="344"/>
      <c r="AB50" s="344"/>
      <c r="AC50" s="344"/>
      <c r="AD50" s="344"/>
      <c r="AE50" s="344"/>
      <c r="AF50" s="344"/>
      <c r="AG50" s="345"/>
    </row>
    <row r="51" spans="1:33" ht="15" customHeight="1">
      <c r="A51" s="315" t="s">
        <v>110</v>
      </c>
      <c r="B51" s="316"/>
      <c r="C51" s="189"/>
      <c r="D51" s="536" t="s">
        <v>125</v>
      </c>
      <c r="E51" s="537"/>
      <c r="F51" s="537"/>
      <c r="G51" s="538"/>
      <c r="H51" s="533" t="s">
        <v>166</v>
      </c>
      <c r="I51" s="534"/>
      <c r="J51" s="534"/>
      <c r="K51" s="534"/>
      <c r="L51" s="534"/>
      <c r="M51" s="534"/>
      <c r="N51" s="534"/>
      <c r="O51" s="534"/>
      <c r="P51" s="534"/>
      <c r="Q51" s="534"/>
      <c r="R51" s="534"/>
      <c r="S51" s="534"/>
      <c r="T51" s="534"/>
      <c r="U51" s="534"/>
      <c r="V51" s="534"/>
      <c r="W51" s="534"/>
      <c r="X51" s="534"/>
      <c r="Y51" s="534"/>
      <c r="Z51" s="534"/>
      <c r="AA51" s="534"/>
      <c r="AB51" s="534"/>
      <c r="AC51" s="534"/>
      <c r="AD51" s="534"/>
      <c r="AE51" s="534"/>
      <c r="AF51" s="534"/>
      <c r="AG51" s="535"/>
    </row>
    <row r="52" spans="1:33" ht="15" customHeight="1">
      <c r="A52" s="315" t="s">
        <v>110</v>
      </c>
      <c r="B52" s="317"/>
      <c r="C52" s="189"/>
      <c r="D52" s="527" t="s">
        <v>167</v>
      </c>
      <c r="E52" s="528"/>
      <c r="F52" s="528"/>
      <c r="G52" s="529"/>
      <c r="H52" s="530" t="s">
        <v>168</v>
      </c>
      <c r="I52" s="531"/>
      <c r="J52" s="531"/>
      <c r="K52" s="531"/>
      <c r="L52" s="531"/>
      <c r="M52" s="531"/>
      <c r="N52" s="531"/>
      <c r="O52" s="531"/>
      <c r="P52" s="531"/>
      <c r="Q52" s="531"/>
      <c r="R52" s="531"/>
      <c r="S52" s="531"/>
      <c r="T52" s="531"/>
      <c r="U52" s="531"/>
      <c r="V52" s="531"/>
      <c r="W52" s="531"/>
      <c r="X52" s="531"/>
      <c r="Y52" s="531"/>
      <c r="Z52" s="531"/>
      <c r="AA52" s="531"/>
      <c r="AB52" s="531"/>
      <c r="AC52" s="531"/>
      <c r="AD52" s="531"/>
      <c r="AE52" s="531"/>
      <c r="AF52" s="531"/>
      <c r="AG52" s="532"/>
    </row>
    <row r="53" spans="1:33" ht="15" customHeight="1">
      <c r="A53" s="321"/>
      <c r="B53" s="317"/>
      <c r="C53" s="189"/>
      <c r="D53" s="527" t="s">
        <v>169</v>
      </c>
      <c r="E53" s="528"/>
      <c r="F53" s="528"/>
      <c r="G53" s="529"/>
      <c r="H53" s="530" t="s">
        <v>170</v>
      </c>
      <c r="I53" s="531"/>
      <c r="J53" s="531"/>
      <c r="K53" s="531"/>
      <c r="L53" s="531"/>
      <c r="M53" s="531"/>
      <c r="N53" s="531"/>
      <c r="O53" s="531"/>
      <c r="P53" s="531"/>
      <c r="Q53" s="531"/>
      <c r="R53" s="531"/>
      <c r="S53" s="531"/>
      <c r="T53" s="531"/>
      <c r="U53" s="531"/>
      <c r="V53" s="531"/>
      <c r="W53" s="531"/>
      <c r="X53" s="531"/>
      <c r="Y53" s="531"/>
      <c r="Z53" s="531"/>
      <c r="AA53" s="531"/>
      <c r="AB53" s="531"/>
      <c r="AC53" s="531"/>
      <c r="AD53" s="531"/>
      <c r="AE53" s="531"/>
      <c r="AF53" s="531"/>
      <c r="AG53" s="532"/>
    </row>
    <row r="54" spans="1:33" ht="15" customHeight="1">
      <c r="A54" s="321"/>
      <c r="B54" s="317"/>
      <c r="C54" s="189"/>
      <c r="D54" s="527" t="s">
        <v>171</v>
      </c>
      <c r="E54" s="528"/>
      <c r="F54" s="528"/>
      <c r="G54" s="529"/>
      <c r="H54" s="530" t="s">
        <v>172</v>
      </c>
      <c r="I54" s="531"/>
      <c r="J54" s="531"/>
      <c r="K54" s="531"/>
      <c r="L54" s="531"/>
      <c r="M54" s="531"/>
      <c r="N54" s="531"/>
      <c r="O54" s="531"/>
      <c r="P54" s="531"/>
      <c r="Q54" s="531"/>
      <c r="R54" s="531"/>
      <c r="S54" s="531"/>
      <c r="T54" s="531"/>
      <c r="U54" s="531"/>
      <c r="V54" s="531"/>
      <c r="W54" s="531"/>
      <c r="X54" s="531"/>
      <c r="Y54" s="531"/>
      <c r="Z54" s="531"/>
      <c r="AA54" s="531"/>
      <c r="AB54" s="531"/>
      <c r="AC54" s="531"/>
      <c r="AD54" s="531"/>
      <c r="AE54" s="531"/>
      <c r="AF54" s="531"/>
      <c r="AG54" s="532"/>
    </row>
    <row r="55" spans="1:33" ht="24.95" customHeight="1">
      <c r="A55" s="315" t="s">
        <v>110</v>
      </c>
      <c r="B55" s="317"/>
      <c r="C55" s="189"/>
      <c r="D55" s="527" t="s">
        <v>173</v>
      </c>
      <c r="E55" s="528"/>
      <c r="F55" s="528"/>
      <c r="G55" s="529"/>
      <c r="H55" s="530" t="s">
        <v>174</v>
      </c>
      <c r="I55" s="531"/>
      <c r="J55" s="531"/>
      <c r="K55" s="531"/>
      <c r="L55" s="531"/>
      <c r="M55" s="531"/>
      <c r="N55" s="531"/>
      <c r="O55" s="531"/>
      <c r="P55" s="531"/>
      <c r="Q55" s="531"/>
      <c r="R55" s="531"/>
      <c r="S55" s="531"/>
      <c r="T55" s="531"/>
      <c r="U55" s="531"/>
      <c r="V55" s="531"/>
      <c r="W55" s="531"/>
      <c r="X55" s="531"/>
      <c r="Y55" s="531"/>
      <c r="Z55" s="531"/>
      <c r="AA55" s="531"/>
      <c r="AB55" s="531"/>
      <c r="AC55" s="531"/>
      <c r="AD55" s="531"/>
      <c r="AE55" s="531"/>
      <c r="AF55" s="531"/>
      <c r="AG55" s="532"/>
    </row>
    <row r="56" spans="1:33" ht="15" customHeight="1">
      <c r="A56" s="321"/>
      <c r="B56" s="317"/>
      <c r="C56" s="189"/>
      <c r="D56" s="527" t="s">
        <v>175</v>
      </c>
      <c r="E56" s="528"/>
      <c r="F56" s="528"/>
      <c r="G56" s="529"/>
      <c r="H56" s="530" t="s">
        <v>176</v>
      </c>
      <c r="I56" s="531"/>
      <c r="J56" s="531"/>
      <c r="K56" s="531"/>
      <c r="L56" s="531"/>
      <c r="M56" s="531"/>
      <c r="N56" s="531"/>
      <c r="O56" s="531"/>
      <c r="P56" s="531"/>
      <c r="Q56" s="531"/>
      <c r="R56" s="531"/>
      <c r="S56" s="531"/>
      <c r="T56" s="531"/>
      <c r="U56" s="531"/>
      <c r="V56" s="531"/>
      <c r="W56" s="531"/>
      <c r="X56" s="531"/>
      <c r="Y56" s="531"/>
      <c r="Z56" s="531"/>
      <c r="AA56" s="531"/>
      <c r="AB56" s="531"/>
      <c r="AC56" s="531"/>
      <c r="AD56" s="531"/>
      <c r="AE56" s="531"/>
      <c r="AF56" s="531"/>
      <c r="AG56" s="532"/>
    </row>
    <row r="57" spans="1:33" ht="24.95" customHeight="1">
      <c r="A57" s="315" t="s">
        <v>110</v>
      </c>
      <c r="B57" s="317"/>
      <c r="C57" s="189"/>
      <c r="D57" s="527" t="s">
        <v>177</v>
      </c>
      <c r="E57" s="528"/>
      <c r="F57" s="528"/>
      <c r="G57" s="529"/>
      <c r="H57" s="530" t="s">
        <v>178</v>
      </c>
      <c r="I57" s="531"/>
      <c r="J57" s="531"/>
      <c r="K57" s="531"/>
      <c r="L57" s="531"/>
      <c r="M57" s="531"/>
      <c r="N57" s="531"/>
      <c r="O57" s="531"/>
      <c r="P57" s="531"/>
      <c r="Q57" s="531"/>
      <c r="R57" s="531"/>
      <c r="S57" s="531"/>
      <c r="T57" s="531"/>
      <c r="U57" s="531"/>
      <c r="V57" s="531"/>
      <c r="W57" s="531"/>
      <c r="X57" s="531"/>
      <c r="Y57" s="531"/>
      <c r="Z57" s="531"/>
      <c r="AA57" s="531"/>
      <c r="AB57" s="531"/>
      <c r="AC57" s="531"/>
      <c r="AD57" s="531"/>
      <c r="AE57" s="531"/>
      <c r="AF57" s="531"/>
      <c r="AG57" s="532"/>
    </row>
    <row r="58" spans="1:33" ht="15" customHeight="1">
      <c r="A58" s="315" t="s">
        <v>110</v>
      </c>
      <c r="B58" s="317"/>
      <c r="C58" s="189"/>
      <c r="D58" s="527" t="s">
        <v>179</v>
      </c>
      <c r="E58" s="528"/>
      <c r="F58" s="528"/>
      <c r="G58" s="529"/>
      <c r="H58" s="530" t="s">
        <v>180</v>
      </c>
      <c r="I58" s="531"/>
      <c r="J58" s="531"/>
      <c r="K58" s="531"/>
      <c r="L58" s="531"/>
      <c r="M58" s="531"/>
      <c r="N58" s="531"/>
      <c r="O58" s="531"/>
      <c r="P58" s="531"/>
      <c r="Q58" s="531"/>
      <c r="R58" s="531"/>
      <c r="S58" s="531"/>
      <c r="T58" s="531"/>
      <c r="U58" s="531"/>
      <c r="V58" s="531"/>
      <c r="W58" s="531"/>
      <c r="X58" s="531"/>
      <c r="Y58" s="531"/>
      <c r="Z58" s="531"/>
      <c r="AA58" s="531"/>
      <c r="AB58" s="531"/>
      <c r="AC58" s="531"/>
      <c r="AD58" s="531"/>
      <c r="AE58" s="531"/>
      <c r="AF58" s="531"/>
      <c r="AG58" s="532"/>
    </row>
    <row r="59" spans="1:33" ht="15" customHeight="1">
      <c r="A59" s="321"/>
      <c r="B59" s="317"/>
      <c r="C59" s="189"/>
      <c r="D59" s="527" t="s">
        <v>181</v>
      </c>
      <c r="E59" s="528"/>
      <c r="F59" s="528"/>
      <c r="G59" s="529"/>
      <c r="H59" s="530" t="s">
        <v>182</v>
      </c>
      <c r="I59" s="531"/>
      <c r="J59" s="531"/>
      <c r="K59" s="531"/>
      <c r="L59" s="531"/>
      <c r="M59" s="531"/>
      <c r="N59" s="531"/>
      <c r="O59" s="531"/>
      <c r="P59" s="531"/>
      <c r="Q59" s="531"/>
      <c r="R59" s="531"/>
      <c r="S59" s="531"/>
      <c r="T59" s="531"/>
      <c r="U59" s="531"/>
      <c r="V59" s="531"/>
      <c r="W59" s="531"/>
      <c r="X59" s="531"/>
      <c r="Y59" s="531"/>
      <c r="Z59" s="531"/>
      <c r="AA59" s="531"/>
      <c r="AB59" s="531"/>
      <c r="AC59" s="531"/>
      <c r="AD59" s="531"/>
      <c r="AE59" s="531"/>
      <c r="AF59" s="531"/>
      <c r="AG59" s="532"/>
    </row>
    <row r="60" spans="1:33" ht="15" customHeight="1">
      <c r="A60" s="321"/>
      <c r="B60" s="318"/>
      <c r="C60" s="189"/>
      <c r="D60" s="539"/>
      <c r="E60" s="540"/>
      <c r="F60" s="540"/>
      <c r="G60" s="541"/>
      <c r="H60" s="189"/>
      <c r="I60" s="189"/>
      <c r="J60" s="189"/>
      <c r="K60" s="189"/>
      <c r="L60" s="189"/>
      <c r="M60" s="189"/>
      <c r="N60" s="189"/>
      <c r="O60" s="189"/>
      <c r="P60" s="189"/>
      <c r="Q60" s="189"/>
      <c r="R60" s="189"/>
      <c r="S60" s="189"/>
      <c r="T60" s="189"/>
      <c r="U60" s="189"/>
      <c r="V60" s="189"/>
      <c r="W60" s="189"/>
      <c r="X60" s="189"/>
      <c r="Y60" s="189"/>
      <c r="Z60" s="189"/>
      <c r="AA60" s="189"/>
      <c r="AB60" s="189"/>
      <c r="AC60" s="189"/>
      <c r="AD60" s="189"/>
      <c r="AE60" s="189"/>
      <c r="AF60" s="189"/>
      <c r="AG60" s="320"/>
    </row>
    <row r="61" spans="1:33" ht="18.75" customHeight="1">
      <c r="A61" s="346" t="s">
        <v>43</v>
      </c>
      <c r="B61" s="344" t="s">
        <v>183</v>
      </c>
      <c r="C61" s="344"/>
      <c r="D61" s="344"/>
      <c r="E61" s="344"/>
      <c r="F61" s="344"/>
      <c r="G61" s="344"/>
      <c r="H61" s="344"/>
      <c r="I61" s="344"/>
      <c r="J61" s="344"/>
      <c r="K61" s="344"/>
      <c r="L61" s="344"/>
      <c r="M61" s="344"/>
      <c r="N61" s="344"/>
      <c r="O61" s="344"/>
      <c r="P61" s="344"/>
      <c r="Q61" s="344"/>
      <c r="R61" s="344"/>
      <c r="S61" s="344"/>
      <c r="T61" s="344"/>
      <c r="U61" s="344"/>
      <c r="V61" s="344"/>
      <c r="W61" s="344"/>
      <c r="X61" s="344"/>
      <c r="Y61" s="344"/>
      <c r="Z61" s="344"/>
      <c r="AA61" s="344"/>
      <c r="AB61" s="344"/>
      <c r="AC61" s="344"/>
      <c r="AD61" s="344"/>
      <c r="AE61" s="344"/>
      <c r="AF61" s="344"/>
      <c r="AG61" s="345"/>
    </row>
    <row r="62" spans="1:33" ht="15" customHeight="1">
      <c r="A62" s="315" t="s">
        <v>110</v>
      </c>
      <c r="B62" s="316"/>
      <c r="C62" s="189"/>
      <c r="D62" s="536" t="s">
        <v>125</v>
      </c>
      <c r="E62" s="537"/>
      <c r="F62" s="537"/>
      <c r="G62" s="538"/>
      <c r="H62" s="533" t="s">
        <v>184</v>
      </c>
      <c r="I62" s="534"/>
      <c r="J62" s="534"/>
      <c r="K62" s="534"/>
      <c r="L62" s="534"/>
      <c r="M62" s="534"/>
      <c r="N62" s="534"/>
      <c r="O62" s="534"/>
      <c r="P62" s="534"/>
      <c r="Q62" s="534"/>
      <c r="R62" s="534"/>
      <c r="S62" s="534"/>
      <c r="T62" s="534"/>
      <c r="U62" s="534"/>
      <c r="V62" s="534"/>
      <c r="W62" s="534"/>
      <c r="X62" s="534"/>
      <c r="Y62" s="534"/>
      <c r="Z62" s="534"/>
      <c r="AA62" s="534"/>
      <c r="AB62" s="534"/>
      <c r="AC62" s="534"/>
      <c r="AD62" s="534"/>
      <c r="AE62" s="534"/>
      <c r="AF62" s="534"/>
      <c r="AG62" s="535"/>
    </row>
    <row r="63" spans="1:33" ht="15" customHeight="1">
      <c r="A63" s="315" t="s">
        <v>110</v>
      </c>
      <c r="B63" s="317"/>
      <c r="C63" s="189"/>
      <c r="D63" s="527" t="s">
        <v>167</v>
      </c>
      <c r="E63" s="528"/>
      <c r="F63" s="528"/>
      <c r="G63" s="529"/>
      <c r="H63" s="530" t="s">
        <v>168</v>
      </c>
      <c r="I63" s="531"/>
      <c r="J63" s="531"/>
      <c r="K63" s="531"/>
      <c r="L63" s="531"/>
      <c r="M63" s="531"/>
      <c r="N63" s="531"/>
      <c r="O63" s="531"/>
      <c r="P63" s="531"/>
      <c r="Q63" s="531"/>
      <c r="R63" s="531"/>
      <c r="S63" s="531"/>
      <c r="T63" s="531"/>
      <c r="U63" s="531"/>
      <c r="V63" s="531"/>
      <c r="W63" s="531"/>
      <c r="X63" s="531"/>
      <c r="Y63" s="531"/>
      <c r="Z63" s="531"/>
      <c r="AA63" s="531"/>
      <c r="AB63" s="531"/>
      <c r="AC63" s="531"/>
      <c r="AD63" s="531"/>
      <c r="AE63" s="531"/>
      <c r="AF63" s="531"/>
      <c r="AG63" s="532"/>
    </row>
    <row r="64" spans="1:33" ht="15" customHeight="1">
      <c r="A64" s="315" t="s">
        <v>110</v>
      </c>
      <c r="B64" s="317"/>
      <c r="C64" s="189"/>
      <c r="D64" s="527" t="s">
        <v>185</v>
      </c>
      <c r="E64" s="528"/>
      <c r="F64" s="528"/>
      <c r="G64" s="529"/>
      <c r="H64" s="530" t="s">
        <v>186</v>
      </c>
      <c r="I64" s="531"/>
      <c r="J64" s="531"/>
      <c r="K64" s="531"/>
      <c r="L64" s="531"/>
      <c r="M64" s="531"/>
      <c r="N64" s="531"/>
      <c r="O64" s="531"/>
      <c r="P64" s="531"/>
      <c r="Q64" s="531"/>
      <c r="R64" s="531"/>
      <c r="S64" s="531"/>
      <c r="T64" s="531"/>
      <c r="U64" s="531"/>
      <c r="V64" s="531"/>
      <c r="W64" s="531"/>
      <c r="X64" s="531"/>
      <c r="Y64" s="531"/>
      <c r="Z64" s="531"/>
      <c r="AA64" s="531"/>
      <c r="AB64" s="531"/>
      <c r="AC64" s="531"/>
      <c r="AD64" s="531"/>
      <c r="AE64" s="531"/>
      <c r="AF64" s="531"/>
      <c r="AG64" s="532"/>
    </row>
    <row r="65" spans="1:33" ht="24.95" customHeight="1">
      <c r="A65" s="315" t="s">
        <v>110</v>
      </c>
      <c r="B65" s="317"/>
      <c r="C65" s="189"/>
      <c r="D65" s="527" t="s">
        <v>187</v>
      </c>
      <c r="E65" s="528"/>
      <c r="F65" s="528"/>
      <c r="G65" s="529"/>
      <c r="H65" s="530" t="s">
        <v>188</v>
      </c>
      <c r="I65" s="531"/>
      <c r="J65" s="531"/>
      <c r="K65" s="531"/>
      <c r="L65" s="531"/>
      <c r="M65" s="531"/>
      <c r="N65" s="531"/>
      <c r="O65" s="531"/>
      <c r="P65" s="531"/>
      <c r="Q65" s="531"/>
      <c r="R65" s="531"/>
      <c r="S65" s="531"/>
      <c r="T65" s="531"/>
      <c r="U65" s="531"/>
      <c r="V65" s="531"/>
      <c r="W65" s="531"/>
      <c r="X65" s="531"/>
      <c r="Y65" s="531"/>
      <c r="Z65" s="531"/>
      <c r="AA65" s="531"/>
      <c r="AB65" s="531"/>
      <c r="AC65" s="531"/>
      <c r="AD65" s="531"/>
      <c r="AE65" s="531"/>
      <c r="AF65" s="531"/>
      <c r="AG65" s="532"/>
    </row>
    <row r="66" spans="1:33" ht="15" customHeight="1">
      <c r="A66" s="321"/>
      <c r="B66" s="318"/>
      <c r="C66" s="189"/>
      <c r="D66" s="539"/>
      <c r="E66" s="540"/>
      <c r="F66" s="540"/>
      <c r="G66" s="541"/>
      <c r="H66" s="189"/>
      <c r="I66" s="189"/>
      <c r="J66" s="189"/>
      <c r="K66" s="189"/>
      <c r="L66" s="189"/>
      <c r="M66" s="189"/>
      <c r="N66" s="189"/>
      <c r="O66" s="189"/>
      <c r="P66" s="189"/>
      <c r="Q66" s="189"/>
      <c r="R66" s="189"/>
      <c r="S66" s="189"/>
      <c r="T66" s="189"/>
      <c r="U66" s="189"/>
      <c r="V66" s="189"/>
      <c r="W66" s="189"/>
      <c r="X66" s="189"/>
      <c r="Y66" s="189"/>
      <c r="Z66" s="189"/>
      <c r="AA66" s="189"/>
      <c r="AB66" s="189"/>
      <c r="AC66" s="189"/>
      <c r="AD66" s="189"/>
      <c r="AE66" s="189"/>
      <c r="AF66" s="189"/>
      <c r="AG66" s="320"/>
    </row>
    <row r="67" spans="1:33" ht="18.75" customHeight="1">
      <c r="A67" s="346" t="s">
        <v>46</v>
      </c>
      <c r="B67" s="344" t="s">
        <v>189</v>
      </c>
      <c r="C67" s="344"/>
      <c r="D67" s="344"/>
      <c r="E67" s="344"/>
      <c r="F67" s="344"/>
      <c r="G67" s="344"/>
      <c r="H67" s="344"/>
      <c r="I67" s="344"/>
      <c r="J67" s="344"/>
      <c r="K67" s="344"/>
      <c r="L67" s="344"/>
      <c r="M67" s="344"/>
      <c r="N67" s="344"/>
      <c r="O67" s="344"/>
      <c r="P67" s="344"/>
      <c r="Q67" s="344"/>
      <c r="R67" s="344"/>
      <c r="S67" s="344"/>
      <c r="T67" s="344"/>
      <c r="U67" s="344"/>
      <c r="V67" s="344"/>
      <c r="W67" s="344"/>
      <c r="X67" s="344"/>
      <c r="Y67" s="344"/>
      <c r="Z67" s="344"/>
      <c r="AA67" s="344"/>
      <c r="AB67" s="344"/>
      <c r="AC67" s="344"/>
      <c r="AD67" s="344"/>
      <c r="AE67" s="344"/>
      <c r="AF67" s="344"/>
      <c r="AG67" s="345"/>
    </row>
    <row r="68" spans="1:33" ht="15" customHeight="1">
      <c r="A68" s="315" t="s">
        <v>110</v>
      </c>
      <c r="B68" s="316"/>
      <c r="C68" s="189"/>
      <c r="D68" s="536" t="s">
        <v>125</v>
      </c>
      <c r="E68" s="537"/>
      <c r="F68" s="537"/>
      <c r="G68" s="538"/>
      <c r="H68" s="533" t="s">
        <v>190</v>
      </c>
      <c r="I68" s="534"/>
      <c r="J68" s="534"/>
      <c r="K68" s="534"/>
      <c r="L68" s="534"/>
      <c r="M68" s="534"/>
      <c r="N68" s="534"/>
      <c r="O68" s="534"/>
      <c r="P68" s="534"/>
      <c r="Q68" s="534"/>
      <c r="R68" s="534"/>
      <c r="S68" s="534"/>
      <c r="T68" s="534"/>
      <c r="U68" s="534"/>
      <c r="V68" s="534"/>
      <c r="W68" s="534"/>
      <c r="X68" s="534"/>
      <c r="Y68" s="534"/>
      <c r="Z68" s="534"/>
      <c r="AA68" s="534"/>
      <c r="AB68" s="534"/>
      <c r="AC68" s="534"/>
      <c r="AD68" s="534"/>
      <c r="AE68" s="534"/>
      <c r="AF68" s="534"/>
      <c r="AG68" s="535"/>
    </row>
    <row r="69" spans="1:33" ht="15" customHeight="1">
      <c r="A69" s="315"/>
      <c r="B69" s="317"/>
      <c r="C69" s="189"/>
      <c r="D69" s="527" t="s">
        <v>191</v>
      </c>
      <c r="E69" s="528"/>
      <c r="F69" s="528"/>
      <c r="G69" s="529"/>
      <c r="H69" s="530" t="s">
        <v>192</v>
      </c>
      <c r="I69" s="531"/>
      <c r="J69" s="531"/>
      <c r="K69" s="531"/>
      <c r="L69" s="531"/>
      <c r="M69" s="531"/>
      <c r="N69" s="531"/>
      <c r="O69" s="531"/>
      <c r="P69" s="531"/>
      <c r="Q69" s="531"/>
      <c r="R69" s="531"/>
      <c r="S69" s="531"/>
      <c r="T69" s="531"/>
      <c r="U69" s="531"/>
      <c r="V69" s="531"/>
      <c r="W69" s="531"/>
      <c r="X69" s="531"/>
      <c r="Y69" s="531"/>
      <c r="Z69" s="531"/>
      <c r="AA69" s="531"/>
      <c r="AB69" s="531"/>
      <c r="AC69" s="531"/>
      <c r="AD69" s="531"/>
      <c r="AE69" s="531"/>
      <c r="AF69" s="531"/>
      <c r="AG69" s="532"/>
    </row>
    <row r="70" spans="1:33" ht="15" customHeight="1">
      <c r="A70" s="315" t="s">
        <v>110</v>
      </c>
      <c r="B70" s="317"/>
      <c r="C70" s="189"/>
      <c r="D70" s="527" t="s">
        <v>193</v>
      </c>
      <c r="E70" s="528"/>
      <c r="F70" s="528"/>
      <c r="G70" s="529"/>
      <c r="H70" s="530" t="s">
        <v>194</v>
      </c>
      <c r="I70" s="531"/>
      <c r="J70" s="531"/>
      <c r="K70" s="531"/>
      <c r="L70" s="531"/>
      <c r="M70" s="531"/>
      <c r="N70" s="531"/>
      <c r="O70" s="531"/>
      <c r="P70" s="531"/>
      <c r="Q70" s="531"/>
      <c r="R70" s="531"/>
      <c r="S70" s="531"/>
      <c r="T70" s="531"/>
      <c r="U70" s="531"/>
      <c r="V70" s="531"/>
      <c r="W70" s="531"/>
      <c r="X70" s="531"/>
      <c r="Y70" s="531"/>
      <c r="Z70" s="531"/>
      <c r="AA70" s="531"/>
      <c r="AB70" s="531"/>
      <c r="AC70" s="531"/>
      <c r="AD70" s="531"/>
      <c r="AE70" s="531"/>
      <c r="AF70" s="531"/>
      <c r="AG70" s="532"/>
    </row>
    <row r="71" spans="1:33" ht="15" customHeight="1">
      <c r="A71" s="321"/>
      <c r="B71" s="317"/>
      <c r="C71" s="189"/>
      <c r="D71" s="527" t="s">
        <v>195</v>
      </c>
      <c r="E71" s="528"/>
      <c r="F71" s="528"/>
      <c r="G71" s="529"/>
      <c r="H71" s="530" t="s">
        <v>196</v>
      </c>
      <c r="I71" s="531"/>
      <c r="J71" s="531"/>
      <c r="K71" s="531"/>
      <c r="L71" s="531"/>
      <c r="M71" s="531"/>
      <c r="N71" s="531"/>
      <c r="O71" s="531"/>
      <c r="P71" s="531"/>
      <c r="Q71" s="531"/>
      <c r="R71" s="531"/>
      <c r="S71" s="531"/>
      <c r="T71" s="531"/>
      <c r="U71" s="531"/>
      <c r="V71" s="531"/>
      <c r="W71" s="531"/>
      <c r="X71" s="531"/>
      <c r="Y71" s="531"/>
      <c r="Z71" s="531"/>
      <c r="AA71" s="531"/>
      <c r="AB71" s="531"/>
      <c r="AC71" s="531"/>
      <c r="AD71" s="531"/>
      <c r="AE71" s="531"/>
      <c r="AF71" s="531"/>
      <c r="AG71" s="532"/>
    </row>
    <row r="72" spans="1:33" ht="15" customHeight="1">
      <c r="A72" s="321"/>
      <c r="B72" s="318"/>
      <c r="C72" s="189"/>
      <c r="D72" s="539"/>
      <c r="E72" s="540"/>
      <c r="F72" s="540"/>
      <c r="G72" s="541"/>
      <c r="H72" s="314"/>
      <c r="I72" s="314"/>
      <c r="J72" s="314"/>
      <c r="K72" s="314"/>
      <c r="L72" s="314"/>
      <c r="M72" s="314"/>
      <c r="N72" s="314"/>
      <c r="O72" s="314"/>
      <c r="P72" s="314"/>
      <c r="Q72" s="314"/>
      <c r="R72" s="314"/>
      <c r="S72" s="314"/>
      <c r="T72" s="314"/>
      <c r="U72" s="314"/>
      <c r="V72" s="314"/>
      <c r="W72" s="314"/>
      <c r="X72" s="314"/>
      <c r="Y72" s="314"/>
      <c r="Z72" s="314"/>
      <c r="AA72" s="314"/>
      <c r="AB72" s="314"/>
      <c r="AC72" s="314"/>
      <c r="AD72" s="314"/>
      <c r="AE72" s="314"/>
      <c r="AF72" s="314"/>
      <c r="AG72" s="313"/>
    </row>
    <row r="73" spans="1:33" ht="18.75" customHeight="1">
      <c r="A73" s="346">
        <v>11</v>
      </c>
      <c r="B73" s="344" t="s">
        <v>197</v>
      </c>
      <c r="C73" s="344"/>
      <c r="D73" s="344"/>
      <c r="E73" s="344"/>
      <c r="F73" s="344"/>
      <c r="G73" s="344"/>
      <c r="H73" s="344"/>
      <c r="I73" s="344"/>
      <c r="J73" s="344"/>
      <c r="K73" s="344"/>
      <c r="L73" s="344"/>
      <c r="M73" s="344"/>
      <c r="N73" s="344"/>
      <c r="O73" s="344"/>
      <c r="P73" s="344"/>
      <c r="Q73" s="344"/>
      <c r="R73" s="344"/>
      <c r="S73" s="344"/>
      <c r="T73" s="344"/>
      <c r="U73" s="344"/>
      <c r="V73" s="344"/>
      <c r="W73" s="344"/>
      <c r="X73" s="344"/>
      <c r="Y73" s="344"/>
      <c r="Z73" s="344"/>
      <c r="AA73" s="344"/>
      <c r="AB73" s="344"/>
      <c r="AC73" s="344"/>
      <c r="AD73" s="344"/>
      <c r="AE73" s="344"/>
      <c r="AF73" s="344"/>
      <c r="AG73" s="345"/>
    </row>
    <row r="74" spans="1:33" ht="15" customHeight="1">
      <c r="A74" s="315" t="s">
        <v>110</v>
      </c>
      <c r="B74" s="316"/>
      <c r="C74" s="189"/>
      <c r="D74" s="536" t="s">
        <v>125</v>
      </c>
      <c r="E74" s="537"/>
      <c r="F74" s="537"/>
      <c r="G74" s="538"/>
      <c r="H74" s="533" t="s">
        <v>198</v>
      </c>
      <c r="I74" s="534"/>
      <c r="J74" s="534"/>
      <c r="K74" s="534"/>
      <c r="L74" s="534"/>
      <c r="M74" s="534"/>
      <c r="N74" s="534"/>
      <c r="O74" s="534"/>
      <c r="P74" s="534"/>
      <c r="Q74" s="534"/>
      <c r="R74" s="534"/>
      <c r="S74" s="534"/>
      <c r="T74" s="534"/>
      <c r="U74" s="534"/>
      <c r="V74" s="534"/>
      <c r="W74" s="534"/>
      <c r="X74" s="534"/>
      <c r="Y74" s="534"/>
      <c r="Z74" s="534"/>
      <c r="AA74" s="534"/>
      <c r="AB74" s="534"/>
      <c r="AC74" s="534"/>
      <c r="AD74" s="534"/>
      <c r="AE74" s="534"/>
      <c r="AF74" s="534"/>
      <c r="AG74" s="535"/>
    </row>
    <row r="75" spans="1:33" ht="15" customHeight="1">
      <c r="A75" s="315" t="s">
        <v>110</v>
      </c>
      <c r="B75" s="317"/>
      <c r="C75" s="189"/>
      <c r="D75" s="527" t="s">
        <v>199</v>
      </c>
      <c r="E75" s="528"/>
      <c r="F75" s="528"/>
      <c r="G75" s="529"/>
      <c r="H75" s="530" t="s">
        <v>200</v>
      </c>
      <c r="I75" s="531"/>
      <c r="J75" s="531"/>
      <c r="K75" s="531"/>
      <c r="L75" s="531"/>
      <c r="M75" s="531"/>
      <c r="N75" s="531"/>
      <c r="O75" s="531"/>
      <c r="P75" s="531"/>
      <c r="Q75" s="531"/>
      <c r="R75" s="531"/>
      <c r="S75" s="531"/>
      <c r="T75" s="531"/>
      <c r="U75" s="531"/>
      <c r="V75" s="531"/>
      <c r="W75" s="531"/>
      <c r="X75" s="531"/>
      <c r="Y75" s="531"/>
      <c r="Z75" s="531"/>
      <c r="AA75" s="531"/>
      <c r="AB75" s="531"/>
      <c r="AC75" s="531"/>
      <c r="AD75" s="531"/>
      <c r="AE75" s="531"/>
      <c r="AF75" s="531"/>
      <c r="AG75" s="532"/>
    </row>
    <row r="76" spans="1:33" ht="15" customHeight="1">
      <c r="A76" s="315" t="s">
        <v>110</v>
      </c>
      <c r="B76" s="317"/>
      <c r="C76" s="189"/>
      <c r="D76" s="527" t="s">
        <v>201</v>
      </c>
      <c r="E76" s="528"/>
      <c r="F76" s="528"/>
      <c r="G76" s="529"/>
      <c r="H76" s="530" t="s">
        <v>202</v>
      </c>
      <c r="I76" s="531"/>
      <c r="J76" s="531"/>
      <c r="K76" s="531"/>
      <c r="L76" s="531"/>
      <c r="M76" s="531"/>
      <c r="N76" s="531"/>
      <c r="O76" s="531"/>
      <c r="P76" s="531"/>
      <c r="Q76" s="531"/>
      <c r="R76" s="531"/>
      <c r="S76" s="531"/>
      <c r="T76" s="531"/>
      <c r="U76" s="531"/>
      <c r="V76" s="531"/>
      <c r="W76" s="531"/>
      <c r="X76" s="531"/>
      <c r="Y76" s="531"/>
      <c r="Z76" s="531"/>
      <c r="AA76" s="531"/>
      <c r="AB76" s="531"/>
      <c r="AC76" s="531"/>
      <c r="AD76" s="531"/>
      <c r="AE76" s="531"/>
      <c r="AF76" s="531"/>
      <c r="AG76" s="532"/>
    </row>
    <row r="77" spans="1:33" ht="24.95" customHeight="1">
      <c r="A77" s="321"/>
      <c r="B77" s="317"/>
      <c r="C77" s="189"/>
      <c r="D77" s="527" t="s">
        <v>203</v>
      </c>
      <c r="E77" s="528"/>
      <c r="F77" s="528"/>
      <c r="G77" s="529"/>
      <c r="H77" s="530" t="s">
        <v>204</v>
      </c>
      <c r="I77" s="531"/>
      <c r="J77" s="531"/>
      <c r="K77" s="531"/>
      <c r="L77" s="531"/>
      <c r="M77" s="531"/>
      <c r="N77" s="531"/>
      <c r="O77" s="531"/>
      <c r="P77" s="531"/>
      <c r="Q77" s="531"/>
      <c r="R77" s="531"/>
      <c r="S77" s="531"/>
      <c r="T77" s="531"/>
      <c r="U77" s="531"/>
      <c r="V77" s="531"/>
      <c r="W77" s="531"/>
      <c r="X77" s="531"/>
      <c r="Y77" s="531"/>
      <c r="Z77" s="531"/>
      <c r="AA77" s="531"/>
      <c r="AB77" s="531"/>
      <c r="AC77" s="531"/>
      <c r="AD77" s="531"/>
      <c r="AE77" s="531"/>
      <c r="AF77" s="531"/>
      <c r="AG77" s="532"/>
    </row>
    <row r="78" spans="1:33" ht="15" customHeight="1">
      <c r="A78" s="321"/>
      <c r="B78" s="318"/>
      <c r="C78" s="189"/>
      <c r="D78" s="539"/>
      <c r="E78" s="540"/>
      <c r="F78" s="540"/>
      <c r="G78" s="541"/>
      <c r="H78" s="189"/>
      <c r="I78" s="189"/>
      <c r="J78" s="189"/>
      <c r="K78" s="189"/>
      <c r="L78" s="189"/>
      <c r="M78" s="189"/>
      <c r="N78" s="189"/>
      <c r="O78" s="189"/>
      <c r="P78" s="189"/>
      <c r="Q78" s="189"/>
      <c r="R78" s="189"/>
      <c r="S78" s="189"/>
      <c r="T78" s="189"/>
      <c r="U78" s="189"/>
      <c r="V78" s="189"/>
      <c r="W78" s="189"/>
      <c r="X78" s="189"/>
      <c r="Y78" s="189"/>
      <c r="Z78" s="189"/>
      <c r="AA78" s="189"/>
      <c r="AB78" s="189"/>
      <c r="AC78" s="189"/>
      <c r="AD78" s="189"/>
      <c r="AE78" s="189"/>
      <c r="AF78" s="189"/>
      <c r="AG78" s="320"/>
    </row>
    <row r="79" spans="1:33" ht="18.75" customHeight="1">
      <c r="A79" s="346">
        <v>12</v>
      </c>
      <c r="B79" s="344" t="s">
        <v>205</v>
      </c>
      <c r="C79" s="344"/>
      <c r="D79" s="344"/>
      <c r="E79" s="344"/>
      <c r="F79" s="344"/>
      <c r="G79" s="344"/>
      <c r="H79" s="344"/>
      <c r="I79" s="344"/>
      <c r="J79" s="344"/>
      <c r="K79" s="344"/>
      <c r="L79" s="344"/>
      <c r="M79" s="344"/>
      <c r="N79" s="344"/>
      <c r="O79" s="344"/>
      <c r="P79" s="344"/>
      <c r="Q79" s="344"/>
      <c r="R79" s="344"/>
      <c r="S79" s="344"/>
      <c r="T79" s="344"/>
      <c r="U79" s="344"/>
      <c r="V79" s="344"/>
      <c r="W79" s="344"/>
      <c r="X79" s="344"/>
      <c r="Y79" s="344"/>
      <c r="Z79" s="344"/>
      <c r="AA79" s="344"/>
      <c r="AB79" s="344"/>
      <c r="AC79" s="344"/>
      <c r="AD79" s="344"/>
      <c r="AE79" s="344"/>
      <c r="AF79" s="344"/>
      <c r="AG79" s="345"/>
    </row>
    <row r="80" spans="1:33" ht="15" customHeight="1">
      <c r="A80" s="315" t="s">
        <v>110</v>
      </c>
      <c r="B80" s="316"/>
      <c r="C80" s="189"/>
      <c r="D80" s="536" t="s">
        <v>125</v>
      </c>
      <c r="E80" s="537"/>
      <c r="F80" s="537"/>
      <c r="G80" s="538"/>
      <c r="H80" s="533" t="s">
        <v>206</v>
      </c>
      <c r="I80" s="534"/>
      <c r="J80" s="534"/>
      <c r="K80" s="534"/>
      <c r="L80" s="534"/>
      <c r="M80" s="534"/>
      <c r="N80" s="534"/>
      <c r="O80" s="534"/>
      <c r="P80" s="534"/>
      <c r="Q80" s="534"/>
      <c r="R80" s="534"/>
      <c r="S80" s="534"/>
      <c r="T80" s="534"/>
      <c r="U80" s="534"/>
      <c r="V80" s="534"/>
      <c r="W80" s="534"/>
      <c r="X80" s="534"/>
      <c r="Y80" s="534"/>
      <c r="Z80" s="534"/>
      <c r="AA80" s="534"/>
      <c r="AB80" s="534"/>
      <c r="AC80" s="534"/>
      <c r="AD80" s="534"/>
      <c r="AE80" s="534"/>
      <c r="AF80" s="534"/>
      <c r="AG80" s="535"/>
    </row>
    <row r="81" spans="1:33" ht="15" customHeight="1">
      <c r="A81" s="315" t="s">
        <v>110</v>
      </c>
      <c r="B81" s="317"/>
      <c r="C81" s="189"/>
      <c r="D81" s="527" t="s">
        <v>207</v>
      </c>
      <c r="E81" s="528"/>
      <c r="F81" s="528"/>
      <c r="G81" s="529"/>
      <c r="H81" s="530" t="s">
        <v>208</v>
      </c>
      <c r="I81" s="531"/>
      <c r="J81" s="531"/>
      <c r="K81" s="531"/>
      <c r="L81" s="531"/>
      <c r="M81" s="531"/>
      <c r="N81" s="531"/>
      <c r="O81" s="531"/>
      <c r="P81" s="531"/>
      <c r="Q81" s="531"/>
      <c r="R81" s="531"/>
      <c r="S81" s="531"/>
      <c r="T81" s="531"/>
      <c r="U81" s="531"/>
      <c r="V81" s="531"/>
      <c r="W81" s="531"/>
      <c r="X81" s="531"/>
      <c r="Y81" s="531"/>
      <c r="Z81" s="531"/>
      <c r="AA81" s="531"/>
      <c r="AB81" s="531"/>
      <c r="AC81" s="531"/>
      <c r="AD81" s="531"/>
      <c r="AE81" s="531"/>
      <c r="AF81" s="531"/>
      <c r="AG81" s="532"/>
    </row>
    <row r="82" spans="1:33" ht="15" customHeight="1">
      <c r="A82" s="321"/>
      <c r="B82" s="317"/>
      <c r="C82" s="189"/>
      <c r="D82" s="527" t="s">
        <v>209</v>
      </c>
      <c r="E82" s="528"/>
      <c r="F82" s="528"/>
      <c r="G82" s="529"/>
      <c r="H82" s="530" t="s">
        <v>210</v>
      </c>
      <c r="I82" s="531"/>
      <c r="J82" s="531"/>
      <c r="K82" s="531"/>
      <c r="L82" s="531"/>
      <c r="M82" s="531"/>
      <c r="N82" s="531"/>
      <c r="O82" s="531"/>
      <c r="P82" s="531"/>
      <c r="Q82" s="531"/>
      <c r="R82" s="531"/>
      <c r="S82" s="531"/>
      <c r="T82" s="531"/>
      <c r="U82" s="531"/>
      <c r="V82" s="531"/>
      <c r="W82" s="531"/>
      <c r="X82" s="531"/>
      <c r="Y82" s="531"/>
      <c r="Z82" s="531"/>
      <c r="AA82" s="531"/>
      <c r="AB82" s="531"/>
      <c r="AC82" s="531"/>
      <c r="AD82" s="531"/>
      <c r="AE82" s="531"/>
      <c r="AF82" s="531"/>
      <c r="AG82" s="532"/>
    </row>
    <row r="83" spans="1:33" ht="24.95" customHeight="1">
      <c r="A83" s="321"/>
      <c r="B83" s="317"/>
      <c r="C83" s="189"/>
      <c r="D83" s="527" t="s">
        <v>211</v>
      </c>
      <c r="E83" s="528"/>
      <c r="F83" s="528"/>
      <c r="G83" s="529"/>
      <c r="H83" s="530" t="s">
        <v>212</v>
      </c>
      <c r="I83" s="531"/>
      <c r="J83" s="531"/>
      <c r="K83" s="531"/>
      <c r="L83" s="531"/>
      <c r="M83" s="531"/>
      <c r="N83" s="531"/>
      <c r="O83" s="531"/>
      <c r="P83" s="531"/>
      <c r="Q83" s="531"/>
      <c r="R83" s="531"/>
      <c r="S83" s="531"/>
      <c r="T83" s="531"/>
      <c r="U83" s="531"/>
      <c r="V83" s="531"/>
      <c r="W83" s="531"/>
      <c r="X83" s="531"/>
      <c r="Y83" s="531"/>
      <c r="Z83" s="531"/>
      <c r="AA83" s="531"/>
      <c r="AB83" s="531"/>
      <c r="AC83" s="531"/>
      <c r="AD83" s="531"/>
      <c r="AE83" s="531"/>
      <c r="AF83" s="531"/>
      <c r="AG83" s="532"/>
    </row>
    <row r="84" spans="1:33" ht="15" customHeight="1">
      <c r="A84" s="321"/>
      <c r="B84" s="318"/>
      <c r="C84" s="189"/>
      <c r="D84" s="539"/>
      <c r="E84" s="540"/>
      <c r="F84" s="540"/>
      <c r="G84" s="541"/>
      <c r="H84" s="189"/>
      <c r="I84" s="189"/>
      <c r="J84" s="189"/>
      <c r="K84" s="189"/>
      <c r="L84" s="189"/>
      <c r="M84" s="189"/>
      <c r="N84" s="189"/>
      <c r="O84" s="189"/>
      <c r="P84" s="189"/>
      <c r="Q84" s="189"/>
      <c r="R84" s="189"/>
      <c r="S84" s="189"/>
      <c r="T84" s="189"/>
      <c r="U84" s="189"/>
      <c r="V84" s="189"/>
      <c r="W84" s="189"/>
      <c r="X84" s="189"/>
      <c r="Y84" s="189"/>
      <c r="Z84" s="189"/>
      <c r="AA84" s="189"/>
      <c r="AB84" s="189"/>
      <c r="AC84" s="189"/>
      <c r="AD84" s="189"/>
      <c r="AE84" s="189"/>
      <c r="AF84" s="189"/>
      <c r="AG84" s="320"/>
    </row>
    <row r="85" spans="1:33" ht="18.75" customHeight="1">
      <c r="A85" s="346">
        <v>13</v>
      </c>
      <c r="B85" s="344" t="s">
        <v>213</v>
      </c>
      <c r="C85" s="344"/>
      <c r="D85" s="344"/>
      <c r="E85" s="344"/>
      <c r="F85" s="344"/>
      <c r="G85" s="344"/>
      <c r="H85" s="344"/>
      <c r="I85" s="344"/>
      <c r="J85" s="344"/>
      <c r="K85" s="344"/>
      <c r="L85" s="344"/>
      <c r="M85" s="344"/>
      <c r="N85" s="344"/>
      <c r="O85" s="344"/>
      <c r="P85" s="344"/>
      <c r="Q85" s="344"/>
      <c r="R85" s="344"/>
      <c r="S85" s="344"/>
      <c r="T85" s="344"/>
      <c r="U85" s="344"/>
      <c r="V85" s="344"/>
      <c r="W85" s="344"/>
      <c r="X85" s="344"/>
      <c r="Y85" s="344"/>
      <c r="Z85" s="344"/>
      <c r="AA85" s="344"/>
      <c r="AB85" s="344"/>
      <c r="AC85" s="344"/>
      <c r="AD85" s="344"/>
      <c r="AE85" s="344"/>
      <c r="AF85" s="344"/>
      <c r="AG85" s="345"/>
    </row>
    <row r="86" spans="1:33" ht="15" customHeight="1">
      <c r="A86" s="315" t="s">
        <v>110</v>
      </c>
      <c r="B86" s="316"/>
      <c r="C86" s="189"/>
      <c r="D86" s="536" t="s">
        <v>125</v>
      </c>
      <c r="E86" s="537"/>
      <c r="F86" s="537"/>
      <c r="G86" s="538"/>
      <c r="H86" s="533" t="s">
        <v>214</v>
      </c>
      <c r="I86" s="534"/>
      <c r="J86" s="534"/>
      <c r="K86" s="534"/>
      <c r="L86" s="534"/>
      <c r="M86" s="534"/>
      <c r="N86" s="534"/>
      <c r="O86" s="534"/>
      <c r="P86" s="534"/>
      <c r="Q86" s="534"/>
      <c r="R86" s="534"/>
      <c r="S86" s="534"/>
      <c r="T86" s="534"/>
      <c r="U86" s="534"/>
      <c r="V86" s="534"/>
      <c r="W86" s="534"/>
      <c r="X86" s="534"/>
      <c r="Y86" s="534"/>
      <c r="Z86" s="534"/>
      <c r="AA86" s="534"/>
      <c r="AB86" s="534"/>
      <c r="AC86" s="534"/>
      <c r="AD86" s="534"/>
      <c r="AE86" s="534"/>
      <c r="AF86" s="534"/>
      <c r="AG86" s="535"/>
    </row>
    <row r="87" spans="1:33" ht="15" customHeight="1">
      <c r="A87" s="315" t="s">
        <v>110</v>
      </c>
      <c r="B87" s="317"/>
      <c r="C87" s="189"/>
      <c r="D87" s="527" t="s">
        <v>215</v>
      </c>
      <c r="E87" s="528"/>
      <c r="F87" s="528"/>
      <c r="G87" s="529"/>
      <c r="H87" s="530" t="s">
        <v>216</v>
      </c>
      <c r="I87" s="531"/>
      <c r="J87" s="531"/>
      <c r="K87" s="531"/>
      <c r="L87" s="531"/>
      <c r="M87" s="531"/>
      <c r="N87" s="531"/>
      <c r="O87" s="531"/>
      <c r="P87" s="531"/>
      <c r="Q87" s="531"/>
      <c r="R87" s="531"/>
      <c r="S87" s="531"/>
      <c r="T87" s="531"/>
      <c r="U87" s="531"/>
      <c r="V87" s="531"/>
      <c r="W87" s="531"/>
      <c r="X87" s="531"/>
      <c r="Y87" s="531"/>
      <c r="Z87" s="531"/>
      <c r="AA87" s="531"/>
      <c r="AB87" s="531"/>
      <c r="AC87" s="531"/>
      <c r="AD87" s="531"/>
      <c r="AE87" s="531"/>
      <c r="AF87" s="531"/>
      <c r="AG87" s="532"/>
    </row>
    <row r="88" spans="1:33" ht="15" customHeight="1">
      <c r="A88" s="321"/>
      <c r="B88" s="317"/>
      <c r="C88" s="189"/>
      <c r="D88" s="527" t="s">
        <v>217</v>
      </c>
      <c r="E88" s="528"/>
      <c r="F88" s="528"/>
      <c r="G88" s="529"/>
      <c r="H88" s="530" t="s">
        <v>218</v>
      </c>
      <c r="I88" s="531"/>
      <c r="J88" s="531"/>
      <c r="K88" s="531"/>
      <c r="L88" s="531"/>
      <c r="M88" s="531"/>
      <c r="N88" s="531"/>
      <c r="O88" s="531"/>
      <c r="P88" s="531"/>
      <c r="Q88" s="531"/>
      <c r="R88" s="531"/>
      <c r="S88" s="531"/>
      <c r="T88" s="531"/>
      <c r="U88" s="531"/>
      <c r="V88" s="531"/>
      <c r="W88" s="531"/>
      <c r="X88" s="531"/>
      <c r="Y88" s="531"/>
      <c r="Z88" s="531"/>
      <c r="AA88" s="531"/>
      <c r="AB88" s="531"/>
      <c r="AC88" s="531"/>
      <c r="AD88" s="531"/>
      <c r="AE88" s="531"/>
      <c r="AF88" s="531"/>
      <c r="AG88" s="532"/>
    </row>
    <row r="89" spans="1:33" ht="15" customHeight="1">
      <c r="A89" s="321"/>
      <c r="B89" s="317"/>
      <c r="C89" s="189"/>
      <c r="D89" s="527" t="s">
        <v>211</v>
      </c>
      <c r="E89" s="528"/>
      <c r="F89" s="528"/>
      <c r="G89" s="529"/>
      <c r="H89" s="530" t="s">
        <v>219</v>
      </c>
      <c r="I89" s="531"/>
      <c r="J89" s="531"/>
      <c r="K89" s="531"/>
      <c r="L89" s="531"/>
      <c r="M89" s="531"/>
      <c r="N89" s="531"/>
      <c r="O89" s="531"/>
      <c r="P89" s="531"/>
      <c r="Q89" s="531"/>
      <c r="R89" s="531"/>
      <c r="S89" s="531"/>
      <c r="T89" s="531"/>
      <c r="U89" s="531"/>
      <c r="V89" s="531"/>
      <c r="W89" s="531"/>
      <c r="X89" s="531"/>
      <c r="Y89" s="531"/>
      <c r="Z89" s="531"/>
      <c r="AA89" s="531"/>
      <c r="AB89" s="531"/>
      <c r="AC89" s="531"/>
      <c r="AD89" s="531"/>
      <c r="AE89" s="531"/>
      <c r="AF89" s="531"/>
      <c r="AG89" s="532"/>
    </row>
    <row r="90" spans="1:33" ht="15" customHeight="1">
      <c r="A90" s="321"/>
      <c r="B90" s="318"/>
      <c r="C90" s="189"/>
      <c r="D90" s="539"/>
      <c r="E90" s="540"/>
      <c r="F90" s="540"/>
      <c r="G90" s="541"/>
      <c r="H90" s="189"/>
      <c r="I90" s="189"/>
      <c r="J90" s="189"/>
      <c r="K90" s="189"/>
      <c r="L90" s="189"/>
      <c r="M90" s="189"/>
      <c r="N90" s="189"/>
      <c r="O90" s="189"/>
      <c r="P90" s="189"/>
      <c r="Q90" s="189"/>
      <c r="R90" s="189"/>
      <c r="S90" s="189"/>
      <c r="T90" s="189"/>
      <c r="U90" s="189"/>
      <c r="V90" s="189"/>
      <c r="W90" s="189"/>
      <c r="X90" s="189"/>
      <c r="Y90" s="189"/>
      <c r="Z90" s="189"/>
      <c r="AA90" s="189"/>
      <c r="AB90" s="189"/>
      <c r="AC90" s="189"/>
      <c r="AD90" s="189"/>
      <c r="AE90" s="189"/>
      <c r="AF90" s="189"/>
      <c r="AG90" s="320"/>
    </row>
    <row r="91" spans="1:33" ht="18.75" customHeight="1">
      <c r="A91" s="346">
        <v>14</v>
      </c>
      <c r="B91" s="344" t="s">
        <v>220</v>
      </c>
      <c r="C91" s="344"/>
      <c r="D91" s="344"/>
      <c r="E91" s="344"/>
      <c r="F91" s="344"/>
      <c r="G91" s="344"/>
      <c r="H91" s="344"/>
      <c r="I91" s="344"/>
      <c r="J91" s="344"/>
      <c r="K91" s="344"/>
      <c r="L91" s="344"/>
      <c r="M91" s="344"/>
      <c r="N91" s="344"/>
      <c r="O91" s="344"/>
      <c r="P91" s="344"/>
      <c r="Q91" s="344"/>
      <c r="R91" s="344"/>
      <c r="S91" s="344"/>
      <c r="T91" s="344"/>
      <c r="U91" s="344"/>
      <c r="V91" s="344"/>
      <c r="W91" s="344"/>
      <c r="X91" s="344"/>
      <c r="Y91" s="344"/>
      <c r="Z91" s="344"/>
      <c r="AA91" s="344"/>
      <c r="AB91" s="344"/>
      <c r="AC91" s="344"/>
      <c r="AD91" s="344"/>
      <c r="AE91" s="344"/>
      <c r="AF91" s="344"/>
      <c r="AG91" s="345"/>
    </row>
    <row r="92" spans="1:33" ht="24.95" customHeight="1">
      <c r="A92" s="315" t="s">
        <v>110</v>
      </c>
      <c r="B92" s="316"/>
      <c r="C92" s="189"/>
      <c r="D92" s="536" t="s">
        <v>125</v>
      </c>
      <c r="E92" s="537"/>
      <c r="F92" s="537"/>
      <c r="G92" s="538"/>
      <c r="H92" s="533" t="s">
        <v>221</v>
      </c>
      <c r="I92" s="534"/>
      <c r="J92" s="534"/>
      <c r="K92" s="534"/>
      <c r="L92" s="534"/>
      <c r="M92" s="534"/>
      <c r="N92" s="534"/>
      <c r="O92" s="534"/>
      <c r="P92" s="534"/>
      <c r="Q92" s="534"/>
      <c r="R92" s="534"/>
      <c r="S92" s="534"/>
      <c r="T92" s="534"/>
      <c r="U92" s="534"/>
      <c r="V92" s="534"/>
      <c r="W92" s="534"/>
      <c r="X92" s="534"/>
      <c r="Y92" s="534"/>
      <c r="Z92" s="534"/>
      <c r="AA92" s="534"/>
      <c r="AB92" s="534"/>
      <c r="AC92" s="534"/>
      <c r="AD92" s="534"/>
      <c r="AE92" s="534"/>
      <c r="AF92" s="534"/>
      <c r="AG92" s="535"/>
    </row>
    <row r="93" spans="1:33" ht="15" customHeight="1">
      <c r="A93" s="315" t="s">
        <v>110</v>
      </c>
      <c r="B93" s="317"/>
      <c r="C93" s="189"/>
      <c r="D93" s="527" t="s">
        <v>222</v>
      </c>
      <c r="E93" s="528"/>
      <c r="F93" s="528"/>
      <c r="G93" s="529"/>
      <c r="H93" s="530" t="s">
        <v>223</v>
      </c>
      <c r="I93" s="531"/>
      <c r="J93" s="531"/>
      <c r="K93" s="531"/>
      <c r="L93" s="531"/>
      <c r="M93" s="531"/>
      <c r="N93" s="531"/>
      <c r="O93" s="531"/>
      <c r="P93" s="531"/>
      <c r="Q93" s="531"/>
      <c r="R93" s="531"/>
      <c r="S93" s="531"/>
      <c r="T93" s="531"/>
      <c r="U93" s="531"/>
      <c r="V93" s="531"/>
      <c r="W93" s="531"/>
      <c r="X93" s="531"/>
      <c r="Y93" s="531"/>
      <c r="Z93" s="531"/>
      <c r="AA93" s="531"/>
      <c r="AB93" s="531"/>
      <c r="AC93" s="531"/>
      <c r="AD93" s="531"/>
      <c r="AE93" s="531"/>
      <c r="AF93" s="531"/>
      <c r="AG93" s="532"/>
    </row>
    <row r="94" spans="1:33" ht="15" customHeight="1">
      <c r="A94" s="315" t="s">
        <v>110</v>
      </c>
      <c r="B94" s="317"/>
      <c r="C94" s="189"/>
      <c r="D94" s="527" t="s">
        <v>224</v>
      </c>
      <c r="E94" s="528"/>
      <c r="F94" s="528"/>
      <c r="G94" s="529"/>
      <c r="H94" s="530" t="s">
        <v>225</v>
      </c>
      <c r="I94" s="531"/>
      <c r="J94" s="531"/>
      <c r="K94" s="531"/>
      <c r="L94" s="531"/>
      <c r="M94" s="531"/>
      <c r="N94" s="531"/>
      <c r="O94" s="531"/>
      <c r="P94" s="531"/>
      <c r="Q94" s="531"/>
      <c r="R94" s="531"/>
      <c r="S94" s="531"/>
      <c r="T94" s="531"/>
      <c r="U94" s="531"/>
      <c r="V94" s="531"/>
      <c r="W94" s="531"/>
      <c r="X94" s="531"/>
      <c r="Y94" s="531"/>
      <c r="Z94" s="531"/>
      <c r="AA94" s="531"/>
      <c r="AB94" s="531"/>
      <c r="AC94" s="531"/>
      <c r="AD94" s="531"/>
      <c r="AE94" s="531"/>
      <c r="AF94" s="531"/>
      <c r="AG94" s="532"/>
    </row>
    <row r="95" spans="1:33" ht="15" customHeight="1">
      <c r="A95" s="315" t="s">
        <v>110</v>
      </c>
      <c r="B95" s="317"/>
      <c r="C95" s="189"/>
      <c r="D95" s="527" t="s">
        <v>226</v>
      </c>
      <c r="E95" s="528"/>
      <c r="F95" s="528"/>
      <c r="G95" s="529"/>
      <c r="H95" s="530" t="s">
        <v>227</v>
      </c>
      <c r="I95" s="531"/>
      <c r="J95" s="531"/>
      <c r="K95" s="531"/>
      <c r="L95" s="531"/>
      <c r="M95" s="531"/>
      <c r="N95" s="531"/>
      <c r="O95" s="531"/>
      <c r="P95" s="531"/>
      <c r="Q95" s="531"/>
      <c r="R95" s="531"/>
      <c r="S95" s="531"/>
      <c r="T95" s="531"/>
      <c r="U95" s="531"/>
      <c r="V95" s="531"/>
      <c r="W95" s="531"/>
      <c r="X95" s="531"/>
      <c r="Y95" s="531"/>
      <c r="Z95" s="531"/>
      <c r="AA95" s="531"/>
      <c r="AB95" s="531"/>
      <c r="AC95" s="531"/>
      <c r="AD95" s="531"/>
      <c r="AE95" s="531"/>
      <c r="AF95" s="531"/>
      <c r="AG95" s="532"/>
    </row>
    <row r="96" spans="1:33" ht="15" customHeight="1">
      <c r="A96" s="315" t="s">
        <v>110</v>
      </c>
      <c r="B96" s="317"/>
      <c r="C96" s="189"/>
      <c r="D96" s="527" t="s">
        <v>228</v>
      </c>
      <c r="E96" s="528"/>
      <c r="F96" s="528"/>
      <c r="G96" s="529"/>
      <c r="H96" s="530" t="s">
        <v>229</v>
      </c>
      <c r="I96" s="531"/>
      <c r="J96" s="531"/>
      <c r="K96" s="531"/>
      <c r="L96" s="531"/>
      <c r="M96" s="531"/>
      <c r="N96" s="531"/>
      <c r="O96" s="531"/>
      <c r="P96" s="531"/>
      <c r="Q96" s="531"/>
      <c r="R96" s="531"/>
      <c r="S96" s="531"/>
      <c r="T96" s="531"/>
      <c r="U96" s="531"/>
      <c r="V96" s="531"/>
      <c r="W96" s="531"/>
      <c r="X96" s="531"/>
      <c r="Y96" s="531"/>
      <c r="Z96" s="531"/>
      <c r="AA96" s="531"/>
      <c r="AB96" s="531"/>
      <c r="AC96" s="531"/>
      <c r="AD96" s="531"/>
      <c r="AE96" s="531"/>
      <c r="AF96" s="531"/>
      <c r="AG96" s="532"/>
    </row>
    <row r="97" spans="1:33" ht="15" customHeight="1">
      <c r="A97" s="321"/>
      <c r="B97" s="318"/>
      <c r="C97" s="189"/>
      <c r="D97" s="539"/>
      <c r="E97" s="540"/>
      <c r="F97" s="540"/>
      <c r="G97" s="541"/>
      <c r="H97" s="189"/>
      <c r="I97" s="189"/>
      <c r="J97" s="189"/>
      <c r="K97" s="189"/>
      <c r="L97" s="189"/>
      <c r="M97" s="189"/>
      <c r="N97" s="189"/>
      <c r="O97" s="189"/>
      <c r="P97" s="189"/>
      <c r="Q97" s="189"/>
      <c r="R97" s="189"/>
      <c r="S97" s="189"/>
      <c r="T97" s="189"/>
      <c r="U97" s="189"/>
      <c r="V97" s="189"/>
      <c r="W97" s="189"/>
      <c r="X97" s="189"/>
      <c r="Y97" s="189"/>
      <c r="Z97" s="189"/>
      <c r="AA97" s="189"/>
      <c r="AB97" s="189"/>
      <c r="AC97" s="189"/>
      <c r="AD97" s="189"/>
      <c r="AE97" s="189"/>
      <c r="AF97" s="189"/>
      <c r="AG97" s="320"/>
    </row>
    <row r="98" spans="1:33" ht="18.75" customHeight="1">
      <c r="A98" s="346">
        <v>15</v>
      </c>
      <c r="B98" s="344" t="s">
        <v>230</v>
      </c>
      <c r="C98" s="344"/>
      <c r="D98" s="344"/>
      <c r="E98" s="344"/>
      <c r="F98" s="344"/>
      <c r="G98" s="344"/>
      <c r="H98" s="344"/>
      <c r="I98" s="344"/>
      <c r="J98" s="344"/>
      <c r="K98" s="344"/>
      <c r="L98" s="344"/>
      <c r="M98" s="344"/>
      <c r="N98" s="344"/>
      <c r="O98" s="344"/>
      <c r="P98" s="344"/>
      <c r="Q98" s="344"/>
      <c r="R98" s="344"/>
      <c r="S98" s="344"/>
      <c r="T98" s="344"/>
      <c r="U98" s="344"/>
      <c r="V98" s="344"/>
      <c r="W98" s="344"/>
      <c r="X98" s="344"/>
      <c r="Y98" s="344"/>
      <c r="Z98" s="344"/>
      <c r="AA98" s="344"/>
      <c r="AB98" s="344"/>
      <c r="AC98" s="344"/>
      <c r="AD98" s="344"/>
      <c r="AE98" s="344"/>
      <c r="AF98" s="344"/>
      <c r="AG98" s="345"/>
    </row>
    <row r="99" spans="1:33" ht="15" customHeight="1">
      <c r="A99" s="315" t="s">
        <v>110</v>
      </c>
      <c r="B99" s="316"/>
      <c r="C99" s="189"/>
      <c r="D99" s="536" t="s">
        <v>125</v>
      </c>
      <c r="E99" s="537"/>
      <c r="F99" s="537"/>
      <c r="G99" s="538"/>
      <c r="H99" s="533" t="s">
        <v>231</v>
      </c>
      <c r="I99" s="534"/>
      <c r="J99" s="534"/>
      <c r="K99" s="534"/>
      <c r="L99" s="534"/>
      <c r="M99" s="534"/>
      <c r="N99" s="534"/>
      <c r="O99" s="534"/>
      <c r="P99" s="534"/>
      <c r="Q99" s="534"/>
      <c r="R99" s="534"/>
      <c r="S99" s="534"/>
      <c r="T99" s="534"/>
      <c r="U99" s="534"/>
      <c r="V99" s="534"/>
      <c r="W99" s="534"/>
      <c r="X99" s="534"/>
      <c r="Y99" s="534"/>
      <c r="Z99" s="534"/>
      <c r="AA99" s="534"/>
      <c r="AB99" s="534"/>
      <c r="AC99" s="534"/>
      <c r="AD99" s="534"/>
      <c r="AE99" s="534"/>
      <c r="AF99" s="534"/>
      <c r="AG99" s="535"/>
    </row>
    <row r="100" spans="1:33" ht="15" customHeight="1">
      <c r="A100" s="315" t="s">
        <v>110</v>
      </c>
      <c r="B100" s="317"/>
      <c r="C100" s="189"/>
      <c r="D100" s="527" t="s">
        <v>232</v>
      </c>
      <c r="E100" s="528"/>
      <c r="F100" s="528"/>
      <c r="G100" s="529"/>
      <c r="H100" s="530" t="s">
        <v>233</v>
      </c>
      <c r="I100" s="531"/>
      <c r="J100" s="531"/>
      <c r="K100" s="531"/>
      <c r="L100" s="531"/>
      <c r="M100" s="531"/>
      <c r="N100" s="531"/>
      <c r="O100" s="531"/>
      <c r="P100" s="531"/>
      <c r="Q100" s="531"/>
      <c r="R100" s="531"/>
      <c r="S100" s="531"/>
      <c r="T100" s="531"/>
      <c r="U100" s="531"/>
      <c r="V100" s="531"/>
      <c r="W100" s="531"/>
      <c r="X100" s="531"/>
      <c r="Y100" s="531"/>
      <c r="Z100" s="531"/>
      <c r="AA100" s="531"/>
      <c r="AB100" s="531"/>
      <c r="AC100" s="531"/>
      <c r="AD100" s="531"/>
      <c r="AE100" s="531"/>
      <c r="AF100" s="531"/>
      <c r="AG100" s="532"/>
    </row>
    <row r="101" spans="1:33" ht="15" customHeight="1">
      <c r="A101" s="321"/>
      <c r="B101" s="317"/>
      <c r="C101" s="189"/>
      <c r="D101" s="527" t="s">
        <v>234</v>
      </c>
      <c r="E101" s="528"/>
      <c r="F101" s="528"/>
      <c r="G101" s="529"/>
      <c r="H101" s="530" t="s">
        <v>235</v>
      </c>
      <c r="I101" s="531"/>
      <c r="J101" s="531"/>
      <c r="K101" s="531"/>
      <c r="L101" s="531"/>
      <c r="M101" s="531"/>
      <c r="N101" s="531"/>
      <c r="O101" s="531"/>
      <c r="P101" s="531"/>
      <c r="Q101" s="531"/>
      <c r="R101" s="531"/>
      <c r="S101" s="531"/>
      <c r="T101" s="531"/>
      <c r="U101" s="531"/>
      <c r="V101" s="531"/>
      <c r="W101" s="531"/>
      <c r="X101" s="531"/>
      <c r="Y101" s="531"/>
      <c r="Z101" s="531"/>
      <c r="AA101" s="531"/>
      <c r="AB101" s="531"/>
      <c r="AC101" s="531"/>
      <c r="AD101" s="531"/>
      <c r="AE101" s="531"/>
      <c r="AF101" s="531"/>
      <c r="AG101" s="532"/>
    </row>
    <row r="102" spans="1:33" ht="15" customHeight="1">
      <c r="A102" s="321"/>
      <c r="B102" s="317"/>
      <c r="C102" s="189"/>
      <c r="D102" s="527" t="s">
        <v>236</v>
      </c>
      <c r="E102" s="528"/>
      <c r="F102" s="528"/>
      <c r="G102" s="529"/>
      <c r="H102" s="530" t="s">
        <v>237</v>
      </c>
      <c r="I102" s="531"/>
      <c r="J102" s="531"/>
      <c r="K102" s="531"/>
      <c r="L102" s="531"/>
      <c r="M102" s="531"/>
      <c r="N102" s="531"/>
      <c r="O102" s="531"/>
      <c r="P102" s="531"/>
      <c r="Q102" s="531"/>
      <c r="R102" s="531"/>
      <c r="S102" s="531"/>
      <c r="T102" s="531"/>
      <c r="U102" s="531"/>
      <c r="V102" s="531"/>
      <c r="W102" s="531"/>
      <c r="X102" s="531"/>
      <c r="Y102" s="531"/>
      <c r="Z102" s="531"/>
      <c r="AA102" s="531"/>
      <c r="AB102" s="531"/>
      <c r="AC102" s="531"/>
      <c r="AD102" s="531"/>
      <c r="AE102" s="531"/>
      <c r="AF102" s="531"/>
      <c r="AG102" s="532"/>
    </row>
    <row r="103" spans="1:33" ht="15" customHeight="1">
      <c r="A103" s="321"/>
      <c r="B103" s="317"/>
      <c r="C103" s="189"/>
      <c r="D103" s="527" t="s">
        <v>238</v>
      </c>
      <c r="E103" s="528"/>
      <c r="F103" s="528"/>
      <c r="G103" s="529"/>
      <c r="H103" s="530" t="s">
        <v>239</v>
      </c>
      <c r="I103" s="531"/>
      <c r="J103" s="531"/>
      <c r="K103" s="531"/>
      <c r="L103" s="531"/>
      <c r="M103" s="531"/>
      <c r="N103" s="531"/>
      <c r="O103" s="531"/>
      <c r="P103" s="531"/>
      <c r="Q103" s="531"/>
      <c r="R103" s="531"/>
      <c r="S103" s="531"/>
      <c r="T103" s="531"/>
      <c r="U103" s="531"/>
      <c r="V103" s="531"/>
      <c r="W103" s="531"/>
      <c r="X103" s="531"/>
      <c r="Y103" s="531"/>
      <c r="Z103" s="531"/>
      <c r="AA103" s="531"/>
      <c r="AB103" s="531"/>
      <c r="AC103" s="531"/>
      <c r="AD103" s="531"/>
      <c r="AE103" s="531"/>
      <c r="AF103" s="531"/>
      <c r="AG103" s="532"/>
    </row>
    <row r="104" spans="1:33" ht="15" customHeight="1">
      <c r="A104" s="321"/>
      <c r="B104" s="318"/>
      <c r="C104" s="189"/>
      <c r="D104" s="539"/>
      <c r="E104" s="540"/>
      <c r="F104" s="540"/>
      <c r="G104" s="541"/>
      <c r="H104" s="189"/>
      <c r="I104" s="189"/>
      <c r="J104" s="189"/>
      <c r="K104" s="189"/>
      <c r="L104" s="189"/>
      <c r="M104" s="189"/>
      <c r="N104" s="189"/>
      <c r="O104" s="189"/>
      <c r="P104" s="189"/>
      <c r="Q104" s="189"/>
      <c r="R104" s="189"/>
      <c r="S104" s="189"/>
      <c r="T104" s="189"/>
      <c r="U104" s="189"/>
      <c r="V104" s="189"/>
      <c r="W104" s="189"/>
      <c r="X104" s="189"/>
      <c r="Y104" s="189"/>
      <c r="Z104" s="189"/>
      <c r="AA104" s="189"/>
      <c r="AB104" s="189"/>
      <c r="AC104" s="189"/>
      <c r="AD104" s="189"/>
      <c r="AE104" s="189"/>
      <c r="AF104" s="189"/>
      <c r="AG104" s="320"/>
    </row>
    <row r="105" spans="1:33" ht="18.75" customHeight="1">
      <c r="A105" s="346">
        <v>16</v>
      </c>
      <c r="B105" s="344" t="s">
        <v>240</v>
      </c>
      <c r="C105" s="344"/>
      <c r="D105" s="344"/>
      <c r="E105" s="344"/>
      <c r="F105" s="344"/>
      <c r="G105" s="344"/>
      <c r="H105" s="344"/>
      <c r="I105" s="344"/>
      <c r="J105" s="344"/>
      <c r="K105" s="344"/>
      <c r="L105" s="344"/>
      <c r="M105" s="344"/>
      <c r="N105" s="344"/>
      <c r="O105" s="344"/>
      <c r="P105" s="344"/>
      <c r="Q105" s="344"/>
      <c r="R105" s="344"/>
      <c r="S105" s="344"/>
      <c r="T105" s="344"/>
      <c r="U105" s="344"/>
      <c r="V105" s="344"/>
      <c r="W105" s="344"/>
      <c r="X105" s="344"/>
      <c r="Y105" s="344"/>
      <c r="Z105" s="344"/>
      <c r="AA105" s="344"/>
      <c r="AB105" s="344"/>
      <c r="AC105" s="344"/>
      <c r="AD105" s="344"/>
      <c r="AE105" s="344"/>
      <c r="AF105" s="344"/>
      <c r="AG105" s="345"/>
    </row>
    <row r="106" spans="1:33" ht="15" customHeight="1">
      <c r="A106" s="315" t="s">
        <v>110</v>
      </c>
      <c r="B106" s="316"/>
      <c r="C106" s="189"/>
      <c r="D106" s="536" t="s">
        <v>125</v>
      </c>
      <c r="E106" s="537"/>
      <c r="F106" s="537"/>
      <c r="G106" s="538"/>
      <c r="H106" s="533" t="s">
        <v>241</v>
      </c>
      <c r="I106" s="534"/>
      <c r="J106" s="534"/>
      <c r="K106" s="534"/>
      <c r="L106" s="534"/>
      <c r="M106" s="534"/>
      <c r="N106" s="534"/>
      <c r="O106" s="534"/>
      <c r="P106" s="534"/>
      <c r="Q106" s="534"/>
      <c r="R106" s="534"/>
      <c r="S106" s="534"/>
      <c r="T106" s="534"/>
      <c r="U106" s="534"/>
      <c r="V106" s="534"/>
      <c r="W106" s="534"/>
      <c r="X106" s="534"/>
      <c r="Y106" s="534"/>
      <c r="Z106" s="534"/>
      <c r="AA106" s="534"/>
      <c r="AB106" s="534"/>
      <c r="AC106" s="534"/>
      <c r="AD106" s="534"/>
      <c r="AE106" s="534"/>
      <c r="AF106" s="534"/>
      <c r="AG106" s="535"/>
    </row>
    <row r="107" spans="1:33" ht="15" customHeight="1">
      <c r="A107" s="315" t="s">
        <v>110</v>
      </c>
      <c r="B107" s="317"/>
      <c r="C107" s="189"/>
      <c r="D107" s="527" t="s">
        <v>222</v>
      </c>
      <c r="E107" s="528"/>
      <c r="F107" s="528"/>
      <c r="G107" s="529"/>
      <c r="H107" s="530" t="s">
        <v>223</v>
      </c>
      <c r="I107" s="531"/>
      <c r="J107" s="531"/>
      <c r="K107" s="531"/>
      <c r="L107" s="531"/>
      <c r="M107" s="531"/>
      <c r="N107" s="531"/>
      <c r="O107" s="531"/>
      <c r="P107" s="531"/>
      <c r="Q107" s="531"/>
      <c r="R107" s="531"/>
      <c r="S107" s="531"/>
      <c r="T107" s="531"/>
      <c r="U107" s="531"/>
      <c r="V107" s="531"/>
      <c r="W107" s="531"/>
      <c r="X107" s="531"/>
      <c r="Y107" s="531"/>
      <c r="Z107" s="531"/>
      <c r="AA107" s="531"/>
      <c r="AB107" s="531"/>
      <c r="AC107" s="531"/>
      <c r="AD107" s="531"/>
      <c r="AE107" s="531"/>
      <c r="AF107" s="531"/>
      <c r="AG107" s="532"/>
    </row>
    <row r="108" spans="1:33" ht="15" customHeight="1">
      <c r="A108" s="315" t="s">
        <v>110</v>
      </c>
      <c r="B108" s="317"/>
      <c r="C108" s="189"/>
      <c r="D108" s="527" t="s">
        <v>224</v>
      </c>
      <c r="E108" s="528"/>
      <c r="F108" s="528"/>
      <c r="G108" s="529"/>
      <c r="H108" s="530" t="s">
        <v>225</v>
      </c>
      <c r="I108" s="531"/>
      <c r="J108" s="531"/>
      <c r="K108" s="531"/>
      <c r="L108" s="531"/>
      <c r="M108" s="531"/>
      <c r="N108" s="531"/>
      <c r="O108" s="531"/>
      <c r="P108" s="531"/>
      <c r="Q108" s="531"/>
      <c r="R108" s="531"/>
      <c r="S108" s="531"/>
      <c r="T108" s="531"/>
      <c r="U108" s="531"/>
      <c r="V108" s="531"/>
      <c r="W108" s="531"/>
      <c r="X108" s="531"/>
      <c r="Y108" s="531"/>
      <c r="Z108" s="531"/>
      <c r="AA108" s="531"/>
      <c r="AB108" s="531"/>
      <c r="AC108" s="531"/>
      <c r="AD108" s="531"/>
      <c r="AE108" s="531"/>
      <c r="AF108" s="531"/>
      <c r="AG108" s="532"/>
    </row>
    <row r="109" spans="1:33" ht="15" customHeight="1">
      <c r="A109" s="315" t="s">
        <v>110</v>
      </c>
      <c r="B109" s="317"/>
      <c r="C109" s="189"/>
      <c r="D109" s="527" t="s">
        <v>232</v>
      </c>
      <c r="E109" s="528"/>
      <c r="F109" s="528"/>
      <c r="G109" s="529"/>
      <c r="H109" s="530" t="s">
        <v>233</v>
      </c>
      <c r="I109" s="531"/>
      <c r="J109" s="531"/>
      <c r="K109" s="531"/>
      <c r="L109" s="531"/>
      <c r="M109" s="531"/>
      <c r="N109" s="531"/>
      <c r="O109" s="531"/>
      <c r="P109" s="531"/>
      <c r="Q109" s="531"/>
      <c r="R109" s="531"/>
      <c r="S109" s="531"/>
      <c r="T109" s="531"/>
      <c r="U109" s="531"/>
      <c r="V109" s="531"/>
      <c r="W109" s="531"/>
      <c r="X109" s="531"/>
      <c r="Y109" s="531"/>
      <c r="Z109" s="531"/>
      <c r="AA109" s="531"/>
      <c r="AB109" s="531"/>
      <c r="AC109" s="531"/>
      <c r="AD109" s="531"/>
      <c r="AE109" s="531"/>
      <c r="AF109" s="531"/>
      <c r="AG109" s="532"/>
    </row>
    <row r="110" spans="1:33" ht="24.95" customHeight="1">
      <c r="A110" s="321"/>
      <c r="B110" s="317"/>
      <c r="C110" s="189"/>
      <c r="D110" s="527" t="s">
        <v>242</v>
      </c>
      <c r="E110" s="528"/>
      <c r="F110" s="528"/>
      <c r="G110" s="529"/>
      <c r="H110" s="530" t="s">
        <v>243</v>
      </c>
      <c r="I110" s="531"/>
      <c r="J110" s="531"/>
      <c r="K110" s="531"/>
      <c r="L110" s="531"/>
      <c r="M110" s="531"/>
      <c r="N110" s="531"/>
      <c r="O110" s="531"/>
      <c r="P110" s="531"/>
      <c r="Q110" s="531"/>
      <c r="R110" s="531"/>
      <c r="S110" s="531"/>
      <c r="T110" s="531"/>
      <c r="U110" s="531"/>
      <c r="V110" s="531"/>
      <c r="W110" s="531"/>
      <c r="X110" s="531"/>
      <c r="Y110" s="531"/>
      <c r="Z110" s="531"/>
      <c r="AA110" s="531"/>
      <c r="AB110" s="531"/>
      <c r="AC110" s="531"/>
      <c r="AD110" s="531"/>
      <c r="AE110" s="531"/>
      <c r="AF110" s="531"/>
      <c r="AG110" s="532"/>
    </row>
    <row r="111" spans="1:33" ht="15" customHeight="1">
      <c r="A111" s="321"/>
      <c r="B111" s="317"/>
      <c r="C111" s="189"/>
      <c r="D111" s="527" t="s">
        <v>244</v>
      </c>
      <c r="E111" s="528"/>
      <c r="F111" s="528"/>
      <c r="G111" s="529"/>
      <c r="H111" s="530" t="s">
        <v>245</v>
      </c>
      <c r="I111" s="531"/>
      <c r="J111" s="531"/>
      <c r="K111" s="531"/>
      <c r="L111" s="531"/>
      <c r="M111" s="531"/>
      <c r="N111" s="531"/>
      <c r="O111" s="531"/>
      <c r="P111" s="531"/>
      <c r="Q111" s="531"/>
      <c r="R111" s="531"/>
      <c r="S111" s="531"/>
      <c r="T111" s="531"/>
      <c r="U111" s="531"/>
      <c r="V111" s="531"/>
      <c r="W111" s="531"/>
      <c r="X111" s="531"/>
      <c r="Y111" s="531"/>
      <c r="Z111" s="531"/>
      <c r="AA111" s="531"/>
      <c r="AB111" s="531"/>
      <c r="AC111" s="531"/>
      <c r="AD111" s="531"/>
      <c r="AE111" s="531"/>
      <c r="AF111" s="531"/>
      <c r="AG111" s="532"/>
    </row>
    <row r="112" spans="1:33" ht="15" customHeight="1">
      <c r="A112" s="321"/>
      <c r="B112" s="318"/>
      <c r="C112" s="189"/>
      <c r="D112" s="539"/>
      <c r="E112" s="540"/>
      <c r="F112" s="540"/>
      <c r="G112" s="541"/>
      <c r="H112" s="189"/>
      <c r="I112" s="189"/>
      <c r="J112" s="189"/>
      <c r="K112" s="189"/>
      <c r="L112" s="189"/>
      <c r="M112" s="189"/>
      <c r="N112" s="189"/>
      <c r="O112" s="189"/>
      <c r="P112" s="189"/>
      <c r="Q112" s="189"/>
      <c r="R112" s="189"/>
      <c r="S112" s="189"/>
      <c r="T112" s="189"/>
      <c r="U112" s="189"/>
      <c r="V112" s="189"/>
      <c r="W112" s="189"/>
      <c r="X112" s="189"/>
      <c r="Y112" s="189"/>
      <c r="Z112" s="189"/>
      <c r="AA112" s="189"/>
      <c r="AB112" s="189"/>
      <c r="AC112" s="189"/>
      <c r="AD112" s="189"/>
      <c r="AE112" s="189"/>
      <c r="AF112" s="189"/>
      <c r="AG112" s="320"/>
    </row>
    <row r="113" spans="1:33" ht="18.75" customHeight="1">
      <c r="A113" s="346">
        <v>17</v>
      </c>
      <c r="B113" s="344" t="s">
        <v>246</v>
      </c>
      <c r="C113" s="344"/>
      <c r="D113" s="344"/>
      <c r="E113" s="344"/>
      <c r="F113" s="344"/>
      <c r="G113" s="344"/>
      <c r="H113" s="344"/>
      <c r="I113" s="344"/>
      <c r="J113" s="344"/>
      <c r="K113" s="344"/>
      <c r="L113" s="344"/>
      <c r="M113" s="344"/>
      <c r="N113" s="344"/>
      <c r="O113" s="344"/>
      <c r="P113" s="344"/>
      <c r="Q113" s="344"/>
      <c r="R113" s="344"/>
      <c r="S113" s="344"/>
      <c r="T113" s="344"/>
      <c r="U113" s="344"/>
      <c r="V113" s="344"/>
      <c r="W113" s="344"/>
      <c r="X113" s="344"/>
      <c r="Y113" s="344"/>
      <c r="Z113" s="344"/>
      <c r="AA113" s="344"/>
      <c r="AB113" s="344"/>
      <c r="AC113" s="344"/>
      <c r="AD113" s="344"/>
      <c r="AE113" s="344"/>
      <c r="AF113" s="344"/>
      <c r="AG113" s="345"/>
    </row>
    <row r="114" spans="1:33" ht="15" customHeight="1">
      <c r="A114" s="315" t="s">
        <v>110</v>
      </c>
      <c r="B114" s="316"/>
      <c r="C114" s="189"/>
      <c r="D114" s="536" t="s">
        <v>125</v>
      </c>
      <c r="E114" s="537"/>
      <c r="F114" s="537"/>
      <c r="G114" s="538"/>
      <c r="H114" s="533" t="s">
        <v>247</v>
      </c>
      <c r="I114" s="534"/>
      <c r="J114" s="534"/>
      <c r="K114" s="534"/>
      <c r="L114" s="534"/>
      <c r="M114" s="534"/>
      <c r="N114" s="534"/>
      <c r="O114" s="534"/>
      <c r="P114" s="534"/>
      <c r="Q114" s="534"/>
      <c r="R114" s="534"/>
      <c r="S114" s="534"/>
      <c r="T114" s="534"/>
      <c r="U114" s="534"/>
      <c r="V114" s="534"/>
      <c r="W114" s="534"/>
      <c r="X114" s="534"/>
      <c r="Y114" s="534"/>
      <c r="Z114" s="534"/>
      <c r="AA114" s="534"/>
      <c r="AB114" s="534"/>
      <c r="AC114" s="534"/>
      <c r="AD114" s="534"/>
      <c r="AE114" s="534"/>
      <c r="AF114" s="534"/>
      <c r="AG114" s="535"/>
    </row>
    <row r="115" spans="1:33" ht="15" customHeight="1">
      <c r="A115" s="315" t="s">
        <v>110</v>
      </c>
      <c r="B115" s="317"/>
      <c r="C115" s="189"/>
      <c r="D115" s="527" t="s">
        <v>248</v>
      </c>
      <c r="E115" s="528"/>
      <c r="F115" s="528"/>
      <c r="G115" s="529"/>
      <c r="H115" s="530" t="s">
        <v>249</v>
      </c>
      <c r="I115" s="531"/>
      <c r="J115" s="531"/>
      <c r="K115" s="531"/>
      <c r="L115" s="531"/>
      <c r="M115" s="531"/>
      <c r="N115" s="531"/>
      <c r="O115" s="531"/>
      <c r="P115" s="531"/>
      <c r="Q115" s="531"/>
      <c r="R115" s="531"/>
      <c r="S115" s="531"/>
      <c r="T115" s="531"/>
      <c r="U115" s="531"/>
      <c r="V115" s="531"/>
      <c r="W115" s="531"/>
      <c r="X115" s="531"/>
      <c r="Y115" s="531"/>
      <c r="Z115" s="531"/>
      <c r="AA115" s="531"/>
      <c r="AB115" s="531"/>
      <c r="AC115" s="531"/>
      <c r="AD115" s="531"/>
      <c r="AE115" s="531"/>
      <c r="AF115" s="531"/>
      <c r="AG115" s="532"/>
    </row>
    <row r="116" spans="1:33" ht="15" customHeight="1">
      <c r="A116" s="315" t="s">
        <v>110</v>
      </c>
      <c r="B116" s="317"/>
      <c r="C116" s="189"/>
      <c r="D116" s="527" t="s">
        <v>250</v>
      </c>
      <c r="E116" s="528"/>
      <c r="F116" s="528"/>
      <c r="G116" s="529"/>
      <c r="H116" s="530" t="s">
        <v>251</v>
      </c>
      <c r="I116" s="531"/>
      <c r="J116" s="531"/>
      <c r="K116" s="531"/>
      <c r="L116" s="531"/>
      <c r="M116" s="531"/>
      <c r="N116" s="531"/>
      <c r="O116" s="531"/>
      <c r="P116" s="531"/>
      <c r="Q116" s="531"/>
      <c r="R116" s="531"/>
      <c r="S116" s="531"/>
      <c r="T116" s="531"/>
      <c r="U116" s="531"/>
      <c r="V116" s="531"/>
      <c r="W116" s="531"/>
      <c r="X116" s="531"/>
      <c r="Y116" s="531"/>
      <c r="Z116" s="531"/>
      <c r="AA116" s="531"/>
      <c r="AB116" s="531"/>
      <c r="AC116" s="531"/>
      <c r="AD116" s="531"/>
      <c r="AE116" s="531"/>
      <c r="AF116" s="531"/>
      <c r="AG116" s="532"/>
    </row>
    <row r="117" spans="1:33" ht="15" customHeight="1">
      <c r="A117" s="315" t="s">
        <v>110</v>
      </c>
      <c r="B117" s="317"/>
      <c r="C117" s="189"/>
      <c r="D117" s="527" t="s">
        <v>252</v>
      </c>
      <c r="E117" s="528"/>
      <c r="F117" s="528"/>
      <c r="G117" s="529"/>
      <c r="H117" s="530" t="s">
        <v>253</v>
      </c>
      <c r="I117" s="531"/>
      <c r="J117" s="531"/>
      <c r="K117" s="531"/>
      <c r="L117" s="531"/>
      <c r="M117" s="531"/>
      <c r="N117" s="531"/>
      <c r="O117" s="531"/>
      <c r="P117" s="531"/>
      <c r="Q117" s="531"/>
      <c r="R117" s="531"/>
      <c r="S117" s="531"/>
      <c r="T117" s="531"/>
      <c r="U117" s="531"/>
      <c r="V117" s="531"/>
      <c r="W117" s="531"/>
      <c r="X117" s="531"/>
      <c r="Y117" s="531"/>
      <c r="Z117" s="531"/>
      <c r="AA117" s="531"/>
      <c r="AB117" s="531"/>
      <c r="AC117" s="531"/>
      <c r="AD117" s="531"/>
      <c r="AE117" s="531"/>
      <c r="AF117" s="531"/>
      <c r="AG117" s="532"/>
    </row>
    <row r="118" spans="1:33" ht="15" customHeight="1">
      <c r="A118" s="321"/>
      <c r="B118" s="318"/>
      <c r="C118" s="189"/>
      <c r="D118" s="539"/>
      <c r="E118" s="540"/>
      <c r="F118" s="540"/>
      <c r="G118" s="541"/>
      <c r="H118" s="189"/>
      <c r="I118" s="189"/>
      <c r="J118" s="189"/>
      <c r="K118" s="189"/>
      <c r="L118" s="189"/>
      <c r="M118" s="189"/>
      <c r="N118" s="189"/>
      <c r="O118" s="189"/>
      <c r="P118" s="189"/>
      <c r="Q118" s="189"/>
      <c r="R118" s="189"/>
      <c r="S118" s="189"/>
      <c r="T118" s="189"/>
      <c r="U118" s="189"/>
      <c r="V118" s="189"/>
      <c r="W118" s="189"/>
      <c r="X118" s="189"/>
      <c r="Y118" s="189"/>
      <c r="Z118" s="189"/>
      <c r="AA118" s="189"/>
      <c r="AB118" s="189"/>
      <c r="AC118" s="189"/>
      <c r="AD118" s="189"/>
      <c r="AE118" s="189"/>
      <c r="AF118" s="189"/>
      <c r="AG118" s="320"/>
    </row>
    <row r="119" spans="1:33" ht="18.75" customHeight="1">
      <c r="A119" s="346">
        <v>18</v>
      </c>
      <c r="B119" s="344" t="s">
        <v>254</v>
      </c>
      <c r="C119" s="344"/>
      <c r="D119" s="344"/>
      <c r="E119" s="344"/>
      <c r="F119" s="344"/>
      <c r="G119" s="344"/>
      <c r="H119" s="344"/>
      <c r="I119" s="344"/>
      <c r="J119" s="344"/>
      <c r="K119" s="344"/>
      <c r="L119" s="344"/>
      <c r="M119" s="344"/>
      <c r="N119" s="344"/>
      <c r="O119" s="344"/>
      <c r="P119" s="344"/>
      <c r="Q119" s="344"/>
      <c r="R119" s="344"/>
      <c r="S119" s="344"/>
      <c r="T119" s="344"/>
      <c r="U119" s="344"/>
      <c r="V119" s="344"/>
      <c r="W119" s="344"/>
      <c r="X119" s="344"/>
      <c r="Y119" s="344"/>
      <c r="Z119" s="344"/>
      <c r="AA119" s="344"/>
      <c r="AB119" s="344"/>
      <c r="AC119" s="344"/>
      <c r="AD119" s="344"/>
      <c r="AE119" s="344"/>
      <c r="AF119" s="344"/>
      <c r="AG119" s="345"/>
    </row>
    <row r="120" spans="1:33" ht="15" customHeight="1">
      <c r="A120" s="315" t="s">
        <v>110</v>
      </c>
      <c r="B120" s="316"/>
      <c r="C120" s="189"/>
      <c r="D120" s="536" t="s">
        <v>125</v>
      </c>
      <c r="E120" s="537"/>
      <c r="F120" s="537"/>
      <c r="G120" s="538"/>
      <c r="H120" s="533" t="s">
        <v>255</v>
      </c>
      <c r="I120" s="534"/>
      <c r="J120" s="534"/>
      <c r="K120" s="534"/>
      <c r="L120" s="534"/>
      <c r="M120" s="534"/>
      <c r="N120" s="534"/>
      <c r="O120" s="534"/>
      <c r="P120" s="534"/>
      <c r="Q120" s="534"/>
      <c r="R120" s="534"/>
      <c r="S120" s="534"/>
      <c r="T120" s="534"/>
      <c r="U120" s="534"/>
      <c r="V120" s="534"/>
      <c r="W120" s="534"/>
      <c r="X120" s="534"/>
      <c r="Y120" s="534"/>
      <c r="Z120" s="534"/>
      <c r="AA120" s="534"/>
      <c r="AB120" s="534"/>
      <c r="AC120" s="534"/>
      <c r="AD120" s="534"/>
      <c r="AE120" s="534"/>
      <c r="AF120" s="534"/>
      <c r="AG120" s="535"/>
    </row>
    <row r="121" spans="1:33" ht="24.95" customHeight="1">
      <c r="A121" s="315" t="s">
        <v>110</v>
      </c>
      <c r="B121" s="317"/>
      <c r="C121" s="189"/>
      <c r="D121" s="527" t="s">
        <v>256</v>
      </c>
      <c r="E121" s="528"/>
      <c r="F121" s="528"/>
      <c r="G121" s="529"/>
      <c r="H121" s="530" t="s">
        <v>148</v>
      </c>
      <c r="I121" s="531"/>
      <c r="J121" s="531"/>
      <c r="K121" s="531"/>
      <c r="L121" s="531"/>
      <c r="M121" s="531"/>
      <c r="N121" s="531"/>
      <c r="O121" s="531"/>
      <c r="P121" s="531"/>
      <c r="Q121" s="531"/>
      <c r="R121" s="531"/>
      <c r="S121" s="531"/>
      <c r="T121" s="531"/>
      <c r="U121" s="531"/>
      <c r="V121" s="531"/>
      <c r="W121" s="531"/>
      <c r="X121" s="531"/>
      <c r="Y121" s="531"/>
      <c r="Z121" s="531"/>
      <c r="AA121" s="531"/>
      <c r="AB121" s="531"/>
      <c r="AC121" s="531"/>
      <c r="AD121" s="531"/>
      <c r="AE121" s="531"/>
      <c r="AF121" s="531"/>
      <c r="AG121" s="532"/>
    </row>
    <row r="122" spans="1:33" ht="15" customHeight="1">
      <c r="A122" s="333"/>
      <c r="B122" s="318"/>
      <c r="C122" s="328"/>
      <c r="D122" s="327"/>
      <c r="E122" s="328"/>
      <c r="F122" s="328"/>
      <c r="G122" s="329"/>
      <c r="H122" s="328"/>
      <c r="I122" s="328"/>
      <c r="J122" s="328"/>
      <c r="K122" s="328"/>
      <c r="L122" s="328"/>
      <c r="M122" s="328"/>
      <c r="N122" s="328"/>
      <c r="O122" s="328"/>
      <c r="P122" s="328"/>
      <c r="Q122" s="328"/>
      <c r="R122" s="328"/>
      <c r="S122" s="328"/>
      <c r="T122" s="328"/>
      <c r="U122" s="328"/>
      <c r="V122" s="328"/>
      <c r="W122" s="328"/>
      <c r="X122" s="328"/>
      <c r="Y122" s="328"/>
      <c r="Z122" s="328"/>
      <c r="AA122" s="328"/>
      <c r="AB122" s="328"/>
      <c r="AC122" s="328"/>
      <c r="AD122" s="328"/>
      <c r="AE122" s="328"/>
      <c r="AF122" s="328"/>
      <c r="AG122" s="319"/>
    </row>
    <row r="123" spans="1:33" ht="18.75" customHeight="1">
      <c r="A123" s="347">
        <v>19</v>
      </c>
      <c r="B123" s="341" t="s">
        <v>257</v>
      </c>
      <c r="C123" s="341"/>
      <c r="D123" s="341"/>
      <c r="E123" s="341"/>
      <c r="F123" s="341"/>
      <c r="G123" s="341"/>
      <c r="H123" s="341"/>
      <c r="I123" s="341"/>
      <c r="J123" s="341"/>
      <c r="K123" s="341"/>
      <c r="L123" s="341"/>
      <c r="M123" s="341"/>
      <c r="N123" s="341"/>
      <c r="O123" s="341"/>
      <c r="P123" s="341"/>
      <c r="Q123" s="341"/>
      <c r="R123" s="341"/>
      <c r="S123" s="341"/>
      <c r="T123" s="341"/>
      <c r="U123" s="341"/>
      <c r="V123" s="341"/>
      <c r="W123" s="341"/>
      <c r="X123" s="341"/>
      <c r="Y123" s="341"/>
      <c r="Z123" s="341"/>
      <c r="AA123" s="341"/>
      <c r="AB123" s="341"/>
      <c r="AC123" s="341"/>
      <c r="AD123" s="341"/>
      <c r="AE123" s="341"/>
      <c r="AF123" s="341"/>
      <c r="AG123" s="342"/>
    </row>
    <row r="124" spans="1:33" ht="15" customHeight="1">
      <c r="A124" s="315" t="s">
        <v>110</v>
      </c>
      <c r="B124" s="316"/>
      <c r="C124" s="189"/>
      <c r="D124" s="536" t="s">
        <v>125</v>
      </c>
      <c r="E124" s="537"/>
      <c r="F124" s="537"/>
      <c r="G124" s="538"/>
      <c r="H124" s="533" t="s">
        <v>258</v>
      </c>
      <c r="I124" s="534"/>
      <c r="J124" s="534"/>
      <c r="K124" s="534"/>
      <c r="L124" s="534"/>
      <c r="M124" s="534"/>
      <c r="N124" s="534"/>
      <c r="O124" s="534"/>
      <c r="P124" s="534"/>
      <c r="Q124" s="534"/>
      <c r="R124" s="534"/>
      <c r="S124" s="534"/>
      <c r="T124" s="534"/>
      <c r="U124" s="534"/>
      <c r="V124" s="534"/>
      <c r="W124" s="534"/>
      <c r="X124" s="534"/>
      <c r="Y124" s="534"/>
      <c r="Z124" s="534"/>
      <c r="AA124" s="534"/>
      <c r="AB124" s="534"/>
      <c r="AC124" s="534"/>
      <c r="AD124" s="534"/>
      <c r="AE124" s="534"/>
      <c r="AF124" s="534"/>
      <c r="AG124" s="535"/>
    </row>
    <row r="125" spans="1:33" ht="15" customHeight="1">
      <c r="A125" s="315" t="s">
        <v>110</v>
      </c>
      <c r="B125" s="317"/>
      <c r="C125" s="189"/>
      <c r="D125" s="527" t="s">
        <v>256</v>
      </c>
      <c r="E125" s="528"/>
      <c r="F125" s="528"/>
      <c r="G125" s="529"/>
      <c r="H125" s="530" t="s">
        <v>259</v>
      </c>
      <c r="I125" s="531"/>
      <c r="J125" s="531"/>
      <c r="K125" s="531"/>
      <c r="L125" s="531"/>
      <c r="M125" s="531"/>
      <c r="N125" s="531"/>
      <c r="O125" s="531"/>
      <c r="P125" s="531"/>
      <c r="Q125" s="531"/>
      <c r="R125" s="531"/>
      <c r="S125" s="531"/>
      <c r="T125" s="531"/>
      <c r="U125" s="531"/>
      <c r="V125" s="531"/>
      <c r="W125" s="531"/>
      <c r="X125" s="531"/>
      <c r="Y125" s="531"/>
      <c r="Z125" s="531"/>
      <c r="AA125" s="531"/>
      <c r="AB125" s="531"/>
      <c r="AC125" s="531"/>
      <c r="AD125" s="531"/>
      <c r="AE125" s="531"/>
      <c r="AF125" s="531"/>
      <c r="AG125" s="532"/>
    </row>
    <row r="126" spans="1:33" ht="15" customHeight="1" thickBot="1">
      <c r="A126" s="334"/>
      <c r="B126" s="335"/>
      <c r="C126" s="331"/>
      <c r="D126" s="330"/>
      <c r="E126" s="331"/>
      <c r="F126" s="331"/>
      <c r="G126" s="332"/>
      <c r="H126" s="331"/>
      <c r="I126" s="331"/>
      <c r="J126" s="331"/>
      <c r="K126" s="331"/>
      <c r="L126" s="331"/>
      <c r="M126" s="331"/>
      <c r="N126" s="331"/>
      <c r="O126" s="331"/>
      <c r="P126" s="331"/>
      <c r="Q126" s="331"/>
      <c r="R126" s="331"/>
      <c r="S126" s="331"/>
      <c r="T126" s="331"/>
      <c r="U126" s="331"/>
      <c r="V126" s="331"/>
      <c r="W126" s="331"/>
      <c r="X126" s="331"/>
      <c r="Y126" s="331"/>
      <c r="Z126" s="331"/>
      <c r="AA126" s="331"/>
      <c r="AB126" s="331"/>
      <c r="AC126" s="331"/>
      <c r="AD126" s="331"/>
      <c r="AE126" s="331"/>
      <c r="AF126" s="331"/>
      <c r="AG126" s="336"/>
    </row>
    <row r="127" spans="1:33" ht="18.75" customHeight="1">
      <c r="A127" s="347">
        <v>20</v>
      </c>
      <c r="B127" s="341" t="s">
        <v>260</v>
      </c>
      <c r="C127" s="341"/>
      <c r="D127" s="341"/>
      <c r="E127" s="341"/>
      <c r="F127" s="341"/>
      <c r="G127" s="341"/>
      <c r="H127" s="341"/>
      <c r="I127" s="341"/>
      <c r="J127" s="341"/>
      <c r="K127" s="341"/>
      <c r="L127" s="341"/>
      <c r="M127" s="341"/>
      <c r="N127" s="341"/>
      <c r="O127" s="341"/>
      <c r="P127" s="341"/>
      <c r="Q127" s="341"/>
      <c r="R127" s="341"/>
      <c r="S127" s="341"/>
      <c r="T127" s="341"/>
      <c r="U127" s="341"/>
      <c r="V127" s="341"/>
      <c r="W127" s="341"/>
      <c r="X127" s="341"/>
      <c r="Y127" s="341"/>
      <c r="Z127" s="341"/>
      <c r="AA127" s="341"/>
      <c r="AB127" s="341"/>
      <c r="AC127" s="341"/>
      <c r="AD127" s="341"/>
      <c r="AE127" s="341"/>
      <c r="AF127" s="341"/>
      <c r="AG127" s="342"/>
    </row>
    <row r="128" spans="1:33" ht="15" customHeight="1">
      <c r="A128" s="315" t="s">
        <v>110</v>
      </c>
      <c r="B128" s="316"/>
      <c r="C128" s="189"/>
      <c r="D128" s="536" t="s">
        <v>125</v>
      </c>
      <c r="E128" s="537"/>
      <c r="F128" s="537"/>
      <c r="G128" s="538"/>
      <c r="H128" s="533" t="s">
        <v>258</v>
      </c>
      <c r="I128" s="534"/>
      <c r="J128" s="534"/>
      <c r="K128" s="534"/>
      <c r="L128" s="534"/>
      <c r="M128" s="534"/>
      <c r="N128" s="534"/>
      <c r="O128" s="534"/>
      <c r="P128" s="534"/>
      <c r="Q128" s="534"/>
      <c r="R128" s="534"/>
      <c r="S128" s="534"/>
      <c r="T128" s="534"/>
      <c r="U128" s="534"/>
      <c r="V128" s="534"/>
      <c r="W128" s="534"/>
      <c r="X128" s="534"/>
      <c r="Y128" s="534"/>
      <c r="Z128" s="534"/>
      <c r="AA128" s="534"/>
      <c r="AB128" s="534"/>
      <c r="AC128" s="534"/>
      <c r="AD128" s="534"/>
      <c r="AE128" s="534"/>
      <c r="AF128" s="534"/>
      <c r="AG128" s="535"/>
    </row>
    <row r="129" spans="1:33" ht="15" customHeight="1">
      <c r="A129" s="315" t="s">
        <v>110</v>
      </c>
      <c r="B129" s="317"/>
      <c r="C129" s="189"/>
      <c r="D129" s="527" t="s">
        <v>260</v>
      </c>
      <c r="E129" s="528"/>
      <c r="F129" s="528"/>
      <c r="G129" s="529"/>
      <c r="H129" s="530" t="s">
        <v>261</v>
      </c>
      <c r="I129" s="531"/>
      <c r="J129" s="531"/>
      <c r="K129" s="531"/>
      <c r="L129" s="531"/>
      <c r="M129" s="531"/>
      <c r="N129" s="531"/>
      <c r="O129" s="531"/>
      <c r="P129" s="531"/>
      <c r="Q129" s="531"/>
      <c r="R129" s="531"/>
      <c r="S129" s="531"/>
      <c r="T129" s="531"/>
      <c r="U129" s="531"/>
      <c r="V129" s="531"/>
      <c r="W129" s="531"/>
      <c r="X129" s="531"/>
      <c r="Y129" s="531"/>
      <c r="Z129" s="531"/>
      <c r="AA129" s="531"/>
      <c r="AB129" s="531"/>
      <c r="AC129" s="531"/>
      <c r="AD129" s="531"/>
      <c r="AE129" s="531"/>
      <c r="AF129" s="531"/>
      <c r="AG129" s="532"/>
    </row>
    <row r="130" spans="1:33" ht="15" customHeight="1" thickBot="1">
      <c r="A130" s="334"/>
      <c r="B130" s="335"/>
      <c r="C130" s="331"/>
      <c r="D130" s="330"/>
      <c r="E130" s="331"/>
      <c r="F130" s="331"/>
      <c r="G130" s="332"/>
      <c r="H130" s="331"/>
      <c r="I130" s="331"/>
      <c r="J130" s="331"/>
      <c r="K130" s="331"/>
      <c r="L130" s="331"/>
      <c r="M130" s="331"/>
      <c r="N130" s="331"/>
      <c r="O130" s="331"/>
      <c r="P130" s="331"/>
      <c r="Q130" s="331"/>
      <c r="R130" s="331"/>
      <c r="S130" s="331"/>
      <c r="T130" s="331"/>
      <c r="U130" s="331"/>
      <c r="V130" s="331"/>
      <c r="W130" s="331"/>
      <c r="X130" s="331"/>
      <c r="Y130" s="331"/>
      <c r="Z130" s="331"/>
      <c r="AA130" s="331"/>
      <c r="AB130" s="331"/>
      <c r="AC130" s="331"/>
      <c r="AD130" s="331"/>
      <c r="AE130" s="331"/>
      <c r="AF130" s="331"/>
      <c r="AG130" s="336"/>
    </row>
    <row r="131" spans="1:33" ht="18.75" customHeight="1">
      <c r="A131" s="347">
        <v>21</v>
      </c>
      <c r="B131" s="341" t="s">
        <v>262</v>
      </c>
      <c r="C131" s="341"/>
      <c r="D131" s="341"/>
      <c r="E131" s="341"/>
      <c r="F131" s="341"/>
      <c r="G131" s="341"/>
      <c r="H131" s="341"/>
      <c r="I131" s="341"/>
      <c r="J131" s="341"/>
      <c r="K131" s="341"/>
      <c r="L131" s="341"/>
      <c r="M131" s="341"/>
      <c r="N131" s="341"/>
      <c r="O131" s="341"/>
      <c r="P131" s="341"/>
      <c r="Q131" s="341"/>
      <c r="R131" s="341"/>
      <c r="S131" s="341"/>
      <c r="T131" s="341"/>
      <c r="U131" s="341"/>
      <c r="V131" s="341"/>
      <c r="W131" s="341"/>
      <c r="X131" s="341"/>
      <c r="Y131" s="341"/>
      <c r="Z131" s="341"/>
      <c r="AA131" s="341"/>
      <c r="AB131" s="341"/>
      <c r="AC131" s="341"/>
      <c r="AD131" s="341"/>
      <c r="AE131" s="341"/>
      <c r="AF131" s="341"/>
      <c r="AG131" s="342"/>
    </row>
    <row r="132" spans="1:33" ht="15" customHeight="1">
      <c r="A132" s="315"/>
      <c r="B132" s="316"/>
      <c r="C132" s="189"/>
      <c r="D132" s="536" t="s">
        <v>125</v>
      </c>
      <c r="E132" s="537"/>
      <c r="F132" s="537"/>
      <c r="G132" s="538"/>
      <c r="H132" s="533" t="s">
        <v>263</v>
      </c>
      <c r="I132" s="534"/>
      <c r="J132" s="534"/>
      <c r="K132" s="534"/>
      <c r="L132" s="534"/>
      <c r="M132" s="534"/>
      <c r="N132" s="534"/>
      <c r="O132" s="534"/>
      <c r="P132" s="534"/>
      <c r="Q132" s="534"/>
      <c r="R132" s="534"/>
      <c r="S132" s="534"/>
      <c r="T132" s="534"/>
      <c r="U132" s="534"/>
      <c r="V132" s="534"/>
      <c r="W132" s="534"/>
      <c r="X132" s="534"/>
      <c r="Y132" s="534"/>
      <c r="Z132" s="534"/>
      <c r="AA132" s="534"/>
      <c r="AB132" s="534"/>
      <c r="AC132" s="534"/>
      <c r="AD132" s="534"/>
      <c r="AE132" s="534"/>
      <c r="AF132" s="534"/>
      <c r="AG132" s="535"/>
    </row>
    <row r="133" spans="1:33" ht="15" customHeight="1">
      <c r="A133" s="315"/>
      <c r="B133" s="317"/>
      <c r="C133" s="189"/>
      <c r="D133" s="527" t="s">
        <v>256</v>
      </c>
      <c r="E133" s="528"/>
      <c r="F133" s="528"/>
      <c r="G133" s="529"/>
      <c r="H133" s="530" t="s">
        <v>264</v>
      </c>
      <c r="I133" s="531"/>
      <c r="J133" s="531"/>
      <c r="K133" s="531"/>
      <c r="L133" s="531"/>
      <c r="M133" s="531"/>
      <c r="N133" s="531"/>
      <c r="O133" s="531"/>
      <c r="P133" s="531"/>
      <c r="Q133" s="531"/>
      <c r="R133" s="531"/>
      <c r="S133" s="531"/>
      <c r="T133" s="531"/>
      <c r="U133" s="531"/>
      <c r="V133" s="531"/>
      <c r="W133" s="531"/>
      <c r="X133" s="531"/>
      <c r="Y133" s="531"/>
      <c r="Z133" s="531"/>
      <c r="AA133" s="531"/>
      <c r="AB133" s="531"/>
      <c r="AC133" s="531"/>
      <c r="AD133" s="531"/>
      <c r="AE133" s="531"/>
      <c r="AF133" s="531"/>
      <c r="AG133" s="532"/>
    </row>
    <row r="134" spans="1:33" ht="15" customHeight="1" thickBot="1">
      <c r="A134" s="334"/>
      <c r="B134" s="335"/>
      <c r="C134" s="331"/>
      <c r="D134" s="330"/>
      <c r="E134" s="331"/>
      <c r="F134" s="331"/>
      <c r="G134" s="332"/>
      <c r="H134" s="331"/>
      <c r="I134" s="331"/>
      <c r="J134" s="331"/>
      <c r="K134" s="331"/>
      <c r="L134" s="331"/>
      <c r="M134" s="331"/>
      <c r="N134" s="331"/>
      <c r="O134" s="331"/>
      <c r="P134" s="331"/>
      <c r="Q134" s="331"/>
      <c r="R134" s="331"/>
      <c r="S134" s="331"/>
      <c r="T134" s="331"/>
      <c r="U134" s="331"/>
      <c r="V134" s="331"/>
      <c r="W134" s="331"/>
      <c r="X134" s="331"/>
      <c r="Y134" s="331"/>
      <c r="Z134" s="331"/>
      <c r="AA134" s="331"/>
      <c r="AB134" s="331"/>
      <c r="AC134" s="331"/>
      <c r="AD134" s="331"/>
      <c r="AE134" s="331"/>
      <c r="AF134" s="331"/>
      <c r="AG134" s="336"/>
    </row>
    <row r="135" spans="1:33" ht="18.75" customHeight="1">
      <c r="A135" s="347">
        <v>22</v>
      </c>
      <c r="B135" s="341" t="s">
        <v>265</v>
      </c>
      <c r="C135" s="341"/>
      <c r="D135" s="341"/>
      <c r="E135" s="341"/>
      <c r="F135" s="341"/>
      <c r="G135" s="341"/>
      <c r="H135" s="341"/>
      <c r="I135" s="341"/>
      <c r="J135" s="341"/>
      <c r="K135" s="341"/>
      <c r="L135" s="341"/>
      <c r="M135" s="341"/>
      <c r="N135" s="341"/>
      <c r="O135" s="341"/>
      <c r="P135" s="341"/>
      <c r="Q135" s="341"/>
      <c r="R135" s="341"/>
      <c r="S135" s="341"/>
      <c r="T135" s="341"/>
      <c r="U135" s="341"/>
      <c r="V135" s="341"/>
      <c r="W135" s="341"/>
      <c r="X135" s="341"/>
      <c r="Y135" s="341"/>
      <c r="Z135" s="341"/>
      <c r="AA135" s="341"/>
      <c r="AB135" s="341"/>
      <c r="AC135" s="341"/>
      <c r="AD135" s="341"/>
      <c r="AE135" s="341"/>
      <c r="AF135" s="341"/>
      <c r="AG135" s="342"/>
    </row>
    <row r="136" spans="1:33" ht="15" customHeight="1">
      <c r="A136" s="315" t="s">
        <v>110</v>
      </c>
      <c r="B136" s="316"/>
      <c r="C136" s="189"/>
      <c r="D136" s="536" t="s">
        <v>125</v>
      </c>
      <c r="E136" s="537"/>
      <c r="F136" s="537"/>
      <c r="G136" s="538"/>
      <c r="H136" s="533" t="s">
        <v>258</v>
      </c>
      <c r="I136" s="534"/>
      <c r="J136" s="534"/>
      <c r="K136" s="534"/>
      <c r="L136" s="534"/>
      <c r="M136" s="534"/>
      <c r="N136" s="534"/>
      <c r="O136" s="534"/>
      <c r="P136" s="534"/>
      <c r="Q136" s="534"/>
      <c r="R136" s="534"/>
      <c r="S136" s="534"/>
      <c r="T136" s="534"/>
      <c r="U136" s="534"/>
      <c r="V136" s="534"/>
      <c r="W136" s="534"/>
      <c r="X136" s="534"/>
      <c r="Y136" s="534"/>
      <c r="Z136" s="534"/>
      <c r="AA136" s="534"/>
      <c r="AB136" s="534"/>
      <c r="AC136" s="534"/>
      <c r="AD136" s="534"/>
      <c r="AE136" s="534"/>
      <c r="AF136" s="534"/>
      <c r="AG136" s="535"/>
    </row>
    <row r="137" spans="1:33" ht="15" customHeight="1">
      <c r="A137" s="315" t="s">
        <v>110</v>
      </c>
      <c r="B137" s="317"/>
      <c r="C137" s="189"/>
      <c r="D137" s="527" t="s">
        <v>265</v>
      </c>
      <c r="E137" s="528"/>
      <c r="F137" s="528"/>
      <c r="G137" s="529"/>
      <c r="H137" s="530" t="s">
        <v>266</v>
      </c>
      <c r="I137" s="531"/>
      <c r="J137" s="531"/>
      <c r="K137" s="531"/>
      <c r="L137" s="531"/>
      <c r="M137" s="531"/>
      <c r="N137" s="531"/>
      <c r="O137" s="531"/>
      <c r="P137" s="531"/>
      <c r="Q137" s="531"/>
      <c r="R137" s="531"/>
      <c r="S137" s="531"/>
      <c r="T137" s="531"/>
      <c r="U137" s="531"/>
      <c r="V137" s="531"/>
      <c r="W137" s="531"/>
      <c r="X137" s="531"/>
      <c r="Y137" s="531"/>
      <c r="Z137" s="531"/>
      <c r="AA137" s="531"/>
      <c r="AB137" s="531"/>
      <c r="AC137" s="531"/>
      <c r="AD137" s="531"/>
      <c r="AE137" s="531"/>
      <c r="AF137" s="531"/>
      <c r="AG137" s="532"/>
    </row>
    <row r="138" spans="1:33" ht="15" customHeight="1">
      <c r="A138" s="315" t="s">
        <v>110</v>
      </c>
      <c r="B138" s="317"/>
      <c r="C138" s="189"/>
      <c r="D138" s="527" t="s">
        <v>265</v>
      </c>
      <c r="E138" s="528"/>
      <c r="F138" s="528"/>
      <c r="G138" s="529"/>
      <c r="H138" s="530" t="s">
        <v>267</v>
      </c>
      <c r="I138" s="531"/>
      <c r="J138" s="531"/>
      <c r="K138" s="531"/>
      <c r="L138" s="531"/>
      <c r="M138" s="531"/>
      <c r="N138" s="531"/>
      <c r="O138" s="531"/>
      <c r="P138" s="531"/>
      <c r="Q138" s="531"/>
      <c r="R138" s="531"/>
      <c r="S138" s="531"/>
      <c r="T138" s="531"/>
      <c r="U138" s="531"/>
      <c r="V138" s="531"/>
      <c r="W138" s="531"/>
      <c r="X138" s="531"/>
      <c r="Y138" s="531"/>
      <c r="Z138" s="531"/>
      <c r="AA138" s="531"/>
      <c r="AB138" s="531"/>
      <c r="AC138" s="531"/>
      <c r="AD138" s="531"/>
      <c r="AE138" s="531"/>
      <c r="AF138" s="531"/>
      <c r="AG138" s="532"/>
    </row>
    <row r="139" spans="1:33" ht="15" customHeight="1" thickBot="1">
      <c r="A139" s="334"/>
      <c r="B139" s="335"/>
      <c r="C139" s="331"/>
      <c r="D139" s="330"/>
      <c r="E139" s="331"/>
      <c r="F139" s="331"/>
      <c r="G139" s="332"/>
      <c r="H139" s="331"/>
      <c r="I139" s="331"/>
      <c r="J139" s="331"/>
      <c r="K139" s="331"/>
      <c r="L139" s="331"/>
      <c r="M139" s="331"/>
      <c r="N139" s="331"/>
      <c r="O139" s="331"/>
      <c r="P139" s="331"/>
      <c r="Q139" s="331"/>
      <c r="R139" s="331"/>
      <c r="S139" s="331"/>
      <c r="T139" s="331"/>
      <c r="U139" s="331"/>
      <c r="V139" s="331"/>
      <c r="W139" s="331"/>
      <c r="X139" s="331"/>
      <c r="Y139" s="331"/>
      <c r="Z139" s="331"/>
      <c r="AA139" s="331"/>
      <c r="AB139" s="331"/>
      <c r="AC139" s="331"/>
      <c r="AD139" s="331"/>
      <c r="AE139" s="331"/>
      <c r="AF139" s="331"/>
      <c r="AG139" s="336"/>
    </row>
    <row r="140" spans="1:33" ht="18.75" customHeight="1">
      <c r="A140" s="347">
        <v>23</v>
      </c>
      <c r="B140" s="341" t="s">
        <v>268</v>
      </c>
      <c r="C140" s="341"/>
      <c r="D140" s="341"/>
      <c r="E140" s="341"/>
      <c r="F140" s="341"/>
      <c r="G140" s="341"/>
      <c r="H140" s="341"/>
      <c r="I140" s="341"/>
      <c r="J140" s="341"/>
      <c r="K140" s="341"/>
      <c r="L140" s="341"/>
      <c r="M140" s="341"/>
      <c r="N140" s="341"/>
      <c r="O140" s="341"/>
      <c r="P140" s="341"/>
      <c r="Q140" s="341"/>
      <c r="R140" s="341"/>
      <c r="S140" s="341"/>
      <c r="T140" s="341"/>
      <c r="U140" s="341"/>
      <c r="V140" s="341"/>
      <c r="W140" s="341"/>
      <c r="X140" s="341"/>
      <c r="Y140" s="341"/>
      <c r="Z140" s="341"/>
      <c r="AA140" s="341"/>
      <c r="AB140" s="341"/>
      <c r="AC140" s="341"/>
      <c r="AD140" s="341"/>
      <c r="AE140" s="341"/>
      <c r="AF140" s="341"/>
      <c r="AG140" s="342"/>
    </row>
    <row r="141" spans="1:33" ht="15" customHeight="1">
      <c r="A141" s="315" t="s">
        <v>110</v>
      </c>
      <c r="B141" s="316"/>
      <c r="C141" s="189"/>
      <c r="D141" s="536" t="s">
        <v>125</v>
      </c>
      <c r="E141" s="537"/>
      <c r="F141" s="537"/>
      <c r="G141" s="538"/>
      <c r="H141" s="533" t="s">
        <v>184</v>
      </c>
      <c r="I141" s="534"/>
      <c r="J141" s="534"/>
      <c r="K141" s="534"/>
      <c r="L141" s="534"/>
      <c r="M141" s="534"/>
      <c r="N141" s="534"/>
      <c r="O141" s="534"/>
      <c r="P141" s="534"/>
      <c r="Q141" s="534"/>
      <c r="R141" s="534"/>
      <c r="S141" s="534"/>
      <c r="T141" s="534"/>
      <c r="U141" s="534"/>
      <c r="V141" s="534"/>
      <c r="W141" s="534"/>
      <c r="X141" s="534"/>
      <c r="Y141" s="534"/>
      <c r="Z141" s="534"/>
      <c r="AA141" s="534"/>
      <c r="AB141" s="534"/>
      <c r="AC141" s="534"/>
      <c r="AD141" s="534"/>
      <c r="AE141" s="534"/>
      <c r="AF141" s="534"/>
      <c r="AG141" s="535"/>
    </row>
    <row r="142" spans="1:33" ht="15" customHeight="1">
      <c r="A142" s="315"/>
      <c r="B142" s="317"/>
      <c r="C142" s="189"/>
      <c r="D142" s="527" t="s">
        <v>167</v>
      </c>
      <c r="E142" s="528"/>
      <c r="F142" s="528"/>
      <c r="G142" s="529"/>
      <c r="H142" s="530" t="s">
        <v>168</v>
      </c>
      <c r="I142" s="531"/>
      <c r="J142" s="531"/>
      <c r="K142" s="531"/>
      <c r="L142" s="531"/>
      <c r="M142" s="531"/>
      <c r="N142" s="531"/>
      <c r="O142" s="531"/>
      <c r="P142" s="531"/>
      <c r="Q142" s="531"/>
      <c r="R142" s="531"/>
      <c r="S142" s="531"/>
      <c r="T142" s="531"/>
      <c r="U142" s="531"/>
      <c r="V142" s="531"/>
      <c r="W142" s="531"/>
      <c r="X142" s="531"/>
      <c r="Y142" s="531"/>
      <c r="Z142" s="531"/>
      <c r="AA142" s="531"/>
      <c r="AB142" s="531"/>
      <c r="AC142" s="531"/>
      <c r="AD142" s="531"/>
      <c r="AE142" s="531"/>
      <c r="AF142" s="531"/>
      <c r="AG142" s="532"/>
    </row>
    <row r="143" spans="1:33" ht="15" customHeight="1">
      <c r="A143" s="315" t="s">
        <v>110</v>
      </c>
      <c r="B143" s="317"/>
      <c r="C143" s="189"/>
      <c r="D143" s="527" t="s">
        <v>185</v>
      </c>
      <c r="E143" s="528"/>
      <c r="F143" s="528"/>
      <c r="G143" s="529"/>
      <c r="H143" s="530" t="s">
        <v>186</v>
      </c>
      <c r="I143" s="531"/>
      <c r="J143" s="531"/>
      <c r="K143" s="531"/>
      <c r="L143" s="531"/>
      <c r="M143" s="531"/>
      <c r="N143" s="531"/>
      <c r="O143" s="531"/>
      <c r="P143" s="531"/>
      <c r="Q143" s="531"/>
      <c r="R143" s="531"/>
      <c r="S143" s="531"/>
      <c r="T143" s="531"/>
      <c r="U143" s="531"/>
      <c r="V143" s="531"/>
      <c r="W143" s="531"/>
      <c r="X143" s="531"/>
      <c r="Y143" s="531"/>
      <c r="Z143" s="531"/>
      <c r="AA143" s="531"/>
      <c r="AB143" s="531"/>
      <c r="AC143" s="531"/>
      <c r="AD143" s="531"/>
      <c r="AE143" s="531"/>
      <c r="AF143" s="531"/>
      <c r="AG143" s="532"/>
    </row>
    <row r="144" spans="1:33" ht="24.95" customHeight="1">
      <c r="A144" s="315" t="s">
        <v>110</v>
      </c>
      <c r="B144" s="317"/>
      <c r="C144" s="189"/>
      <c r="D144" s="527" t="s">
        <v>269</v>
      </c>
      <c r="E144" s="528"/>
      <c r="F144" s="528"/>
      <c r="G144" s="529"/>
      <c r="H144" s="530" t="s">
        <v>270</v>
      </c>
      <c r="I144" s="531"/>
      <c r="J144" s="531"/>
      <c r="K144" s="531"/>
      <c r="L144" s="531"/>
      <c r="M144" s="531"/>
      <c r="N144" s="531"/>
      <c r="O144" s="531"/>
      <c r="P144" s="531"/>
      <c r="Q144" s="531"/>
      <c r="R144" s="531"/>
      <c r="S144" s="531"/>
      <c r="T144" s="531"/>
      <c r="U144" s="531"/>
      <c r="V144" s="531"/>
      <c r="W144" s="531"/>
      <c r="X144" s="531"/>
      <c r="Y144" s="531"/>
      <c r="Z144" s="531"/>
      <c r="AA144" s="531"/>
      <c r="AB144" s="531"/>
      <c r="AC144" s="531"/>
      <c r="AD144" s="531"/>
      <c r="AE144" s="531"/>
      <c r="AF144" s="531"/>
      <c r="AG144" s="532"/>
    </row>
    <row r="145" spans="1:33" ht="24.95" customHeight="1">
      <c r="A145" s="315" t="s">
        <v>110</v>
      </c>
      <c r="B145" s="317"/>
      <c r="C145" s="189"/>
      <c r="D145" s="527" t="s">
        <v>271</v>
      </c>
      <c r="E145" s="528"/>
      <c r="F145" s="528"/>
      <c r="G145" s="529"/>
      <c r="H145" s="530" t="s">
        <v>272</v>
      </c>
      <c r="I145" s="531"/>
      <c r="J145" s="531"/>
      <c r="K145" s="531"/>
      <c r="L145" s="531"/>
      <c r="M145" s="531"/>
      <c r="N145" s="531"/>
      <c r="O145" s="531"/>
      <c r="P145" s="531"/>
      <c r="Q145" s="531"/>
      <c r="R145" s="531"/>
      <c r="S145" s="531"/>
      <c r="T145" s="531"/>
      <c r="U145" s="531"/>
      <c r="V145" s="531"/>
      <c r="W145" s="531"/>
      <c r="X145" s="531"/>
      <c r="Y145" s="531"/>
      <c r="Z145" s="531"/>
      <c r="AA145" s="531"/>
      <c r="AB145" s="531"/>
      <c r="AC145" s="531"/>
      <c r="AD145" s="531"/>
      <c r="AE145" s="531"/>
      <c r="AF145" s="531"/>
      <c r="AG145" s="532"/>
    </row>
    <row r="146" spans="1:33" ht="24.95" customHeight="1">
      <c r="A146" s="315" t="s">
        <v>110</v>
      </c>
      <c r="B146" s="317"/>
      <c r="C146" s="189"/>
      <c r="D146" s="527" t="s">
        <v>273</v>
      </c>
      <c r="E146" s="528"/>
      <c r="F146" s="528"/>
      <c r="G146" s="529"/>
      <c r="H146" s="530" t="s">
        <v>274</v>
      </c>
      <c r="I146" s="531"/>
      <c r="J146" s="531"/>
      <c r="K146" s="531"/>
      <c r="L146" s="531"/>
      <c r="M146" s="531"/>
      <c r="N146" s="531"/>
      <c r="O146" s="531"/>
      <c r="P146" s="531"/>
      <c r="Q146" s="531"/>
      <c r="R146" s="531"/>
      <c r="S146" s="531"/>
      <c r="T146" s="531"/>
      <c r="U146" s="531"/>
      <c r="V146" s="531"/>
      <c r="W146" s="531"/>
      <c r="X146" s="531"/>
      <c r="Y146" s="531"/>
      <c r="Z146" s="531"/>
      <c r="AA146" s="531"/>
      <c r="AB146" s="531"/>
      <c r="AC146" s="531"/>
      <c r="AD146" s="531"/>
      <c r="AE146" s="531"/>
      <c r="AF146" s="531"/>
      <c r="AG146" s="532"/>
    </row>
    <row r="147" spans="1:33" ht="24.95" customHeight="1">
      <c r="A147" s="315"/>
      <c r="B147" s="317"/>
      <c r="C147" s="189"/>
      <c r="D147" s="527" t="s">
        <v>275</v>
      </c>
      <c r="E147" s="528"/>
      <c r="F147" s="528"/>
      <c r="G147" s="529"/>
      <c r="H147" s="530" t="s">
        <v>276</v>
      </c>
      <c r="I147" s="531"/>
      <c r="J147" s="531"/>
      <c r="K147" s="531"/>
      <c r="L147" s="531"/>
      <c r="M147" s="531"/>
      <c r="N147" s="531"/>
      <c r="O147" s="531"/>
      <c r="P147" s="531"/>
      <c r="Q147" s="531"/>
      <c r="R147" s="531"/>
      <c r="S147" s="531"/>
      <c r="T147" s="531"/>
      <c r="U147" s="531"/>
      <c r="V147" s="531"/>
      <c r="W147" s="531"/>
      <c r="X147" s="531"/>
      <c r="Y147" s="531"/>
      <c r="Z147" s="531"/>
      <c r="AA147" s="531"/>
      <c r="AB147" s="531"/>
      <c r="AC147" s="531"/>
      <c r="AD147" s="531"/>
      <c r="AE147" s="531"/>
      <c r="AF147" s="531"/>
      <c r="AG147" s="532"/>
    </row>
    <row r="148" spans="1:33" ht="24.95" customHeight="1">
      <c r="A148" s="315"/>
      <c r="B148" s="317"/>
      <c r="C148" s="189"/>
      <c r="D148" s="527" t="s">
        <v>277</v>
      </c>
      <c r="E148" s="528"/>
      <c r="F148" s="528"/>
      <c r="G148" s="529"/>
      <c r="H148" s="530" t="s">
        <v>278</v>
      </c>
      <c r="I148" s="531"/>
      <c r="J148" s="531"/>
      <c r="K148" s="531"/>
      <c r="L148" s="531"/>
      <c r="M148" s="531"/>
      <c r="N148" s="531"/>
      <c r="O148" s="531"/>
      <c r="P148" s="531"/>
      <c r="Q148" s="531"/>
      <c r="R148" s="531"/>
      <c r="S148" s="531"/>
      <c r="T148" s="531"/>
      <c r="U148" s="531"/>
      <c r="V148" s="531"/>
      <c r="W148" s="531"/>
      <c r="X148" s="531"/>
      <c r="Y148" s="531"/>
      <c r="Z148" s="531"/>
      <c r="AA148" s="531"/>
      <c r="AB148" s="531"/>
      <c r="AC148" s="531"/>
      <c r="AD148" s="531"/>
      <c r="AE148" s="531"/>
      <c r="AF148" s="531"/>
      <c r="AG148" s="532"/>
    </row>
    <row r="149" spans="1:33" ht="15" customHeight="1" thickBot="1">
      <c r="A149" s="321"/>
      <c r="B149" s="317"/>
      <c r="C149" s="189"/>
      <c r="D149" s="527"/>
      <c r="E149" s="528"/>
      <c r="F149" s="528"/>
      <c r="G149" s="529"/>
      <c r="H149" s="189"/>
      <c r="I149" s="189"/>
      <c r="J149" s="189"/>
      <c r="K149" s="189"/>
      <c r="L149" s="189"/>
      <c r="M149" s="189"/>
      <c r="N149" s="189"/>
      <c r="O149" s="189"/>
      <c r="P149" s="189"/>
      <c r="Q149" s="189"/>
      <c r="R149" s="189"/>
      <c r="S149" s="189"/>
      <c r="T149" s="189"/>
      <c r="U149" s="189"/>
      <c r="V149" s="189"/>
      <c r="W149" s="189"/>
      <c r="X149" s="189"/>
      <c r="Y149" s="189"/>
      <c r="Z149" s="189"/>
      <c r="AA149" s="189"/>
      <c r="AB149" s="189"/>
      <c r="AC149" s="189"/>
      <c r="AD149" s="189"/>
      <c r="AE149" s="189"/>
      <c r="AF149" s="189"/>
      <c r="AG149" s="320"/>
    </row>
    <row r="150" spans="1:33" ht="18.75" customHeight="1">
      <c r="A150" s="348">
        <v>24</v>
      </c>
      <c r="B150" s="349" t="s">
        <v>279</v>
      </c>
      <c r="C150" s="349"/>
      <c r="D150" s="349"/>
      <c r="E150" s="349"/>
      <c r="F150" s="349"/>
      <c r="G150" s="349"/>
      <c r="H150" s="349"/>
      <c r="I150" s="349"/>
      <c r="J150" s="349"/>
      <c r="K150" s="349"/>
      <c r="L150" s="349"/>
      <c r="M150" s="349"/>
      <c r="N150" s="349"/>
      <c r="O150" s="349"/>
      <c r="P150" s="349"/>
      <c r="Q150" s="349"/>
      <c r="R150" s="349"/>
      <c r="S150" s="349"/>
      <c r="T150" s="349"/>
      <c r="U150" s="349"/>
      <c r="V150" s="349"/>
      <c r="W150" s="349"/>
      <c r="X150" s="349"/>
      <c r="Y150" s="349"/>
      <c r="Z150" s="349"/>
      <c r="AA150" s="349"/>
      <c r="AB150" s="349"/>
      <c r="AC150" s="349"/>
      <c r="AD150" s="349"/>
      <c r="AE150" s="349"/>
      <c r="AF150" s="349"/>
      <c r="AG150" s="350"/>
    </row>
    <row r="151" spans="1:33" ht="15" customHeight="1">
      <c r="A151" s="315" t="s">
        <v>110</v>
      </c>
      <c r="B151" s="316"/>
      <c r="C151" s="189"/>
      <c r="D151" s="536" t="s">
        <v>125</v>
      </c>
      <c r="E151" s="537"/>
      <c r="F151" s="537"/>
      <c r="G151" s="538"/>
      <c r="H151" s="533" t="s">
        <v>184</v>
      </c>
      <c r="I151" s="534"/>
      <c r="J151" s="534"/>
      <c r="K151" s="534"/>
      <c r="L151" s="534"/>
      <c r="M151" s="534"/>
      <c r="N151" s="534"/>
      <c r="O151" s="534"/>
      <c r="P151" s="534"/>
      <c r="Q151" s="534"/>
      <c r="R151" s="534"/>
      <c r="S151" s="534"/>
      <c r="T151" s="534"/>
      <c r="U151" s="534"/>
      <c r="V151" s="534"/>
      <c r="W151" s="534"/>
      <c r="X151" s="534"/>
      <c r="Y151" s="534"/>
      <c r="Z151" s="534"/>
      <c r="AA151" s="534"/>
      <c r="AB151" s="534"/>
      <c r="AC151" s="534"/>
      <c r="AD151" s="534"/>
      <c r="AE151" s="534"/>
      <c r="AF151" s="534"/>
      <c r="AG151" s="535"/>
    </row>
    <row r="152" spans="1:33" ht="15" customHeight="1">
      <c r="A152" s="315"/>
      <c r="B152" s="317"/>
      <c r="C152" s="189"/>
      <c r="D152" s="527" t="s">
        <v>167</v>
      </c>
      <c r="E152" s="528"/>
      <c r="F152" s="528"/>
      <c r="G152" s="529"/>
      <c r="H152" s="530" t="s">
        <v>168</v>
      </c>
      <c r="I152" s="531"/>
      <c r="J152" s="531"/>
      <c r="K152" s="531"/>
      <c r="L152" s="531"/>
      <c r="M152" s="531"/>
      <c r="N152" s="531"/>
      <c r="O152" s="531"/>
      <c r="P152" s="531"/>
      <c r="Q152" s="531"/>
      <c r="R152" s="531"/>
      <c r="S152" s="531"/>
      <c r="T152" s="531"/>
      <c r="U152" s="531"/>
      <c r="V152" s="531"/>
      <c r="W152" s="531"/>
      <c r="X152" s="531"/>
      <c r="Y152" s="531"/>
      <c r="Z152" s="531"/>
      <c r="AA152" s="531"/>
      <c r="AB152" s="531"/>
      <c r="AC152" s="531"/>
      <c r="AD152" s="531"/>
      <c r="AE152" s="531"/>
      <c r="AF152" s="531"/>
      <c r="AG152" s="532"/>
    </row>
    <row r="153" spans="1:33" ht="15" customHeight="1">
      <c r="A153" s="315" t="s">
        <v>110</v>
      </c>
      <c r="B153" s="317"/>
      <c r="C153" s="189"/>
      <c r="D153" s="527" t="s">
        <v>185</v>
      </c>
      <c r="E153" s="528"/>
      <c r="F153" s="528"/>
      <c r="G153" s="529"/>
      <c r="H153" s="530" t="s">
        <v>186</v>
      </c>
      <c r="I153" s="531"/>
      <c r="J153" s="531"/>
      <c r="K153" s="531"/>
      <c r="L153" s="531"/>
      <c r="M153" s="531"/>
      <c r="N153" s="531"/>
      <c r="O153" s="531"/>
      <c r="P153" s="531"/>
      <c r="Q153" s="531"/>
      <c r="R153" s="531"/>
      <c r="S153" s="531"/>
      <c r="T153" s="531"/>
      <c r="U153" s="531"/>
      <c r="V153" s="531"/>
      <c r="W153" s="531"/>
      <c r="X153" s="531"/>
      <c r="Y153" s="531"/>
      <c r="Z153" s="531"/>
      <c r="AA153" s="531"/>
      <c r="AB153" s="531"/>
      <c r="AC153" s="531"/>
      <c r="AD153" s="531"/>
      <c r="AE153" s="531"/>
      <c r="AF153" s="531"/>
      <c r="AG153" s="532"/>
    </row>
    <row r="154" spans="1:33" ht="15" customHeight="1">
      <c r="A154" s="315" t="s">
        <v>110</v>
      </c>
      <c r="B154" s="317"/>
      <c r="C154" s="189"/>
      <c r="D154" s="527" t="s">
        <v>280</v>
      </c>
      <c r="E154" s="528"/>
      <c r="F154" s="528"/>
      <c r="G154" s="529"/>
      <c r="H154" s="188" t="s">
        <v>281</v>
      </c>
      <c r="AG154" s="339"/>
    </row>
    <row r="155" spans="1:33" ht="15" customHeight="1" thickBot="1">
      <c r="A155" s="334"/>
      <c r="B155" s="335"/>
      <c r="C155" s="331"/>
      <c r="D155" s="569"/>
      <c r="E155" s="570"/>
      <c r="F155" s="570"/>
      <c r="G155" s="571"/>
      <c r="H155" s="331"/>
      <c r="I155" s="331"/>
      <c r="J155" s="331"/>
      <c r="K155" s="331"/>
      <c r="L155" s="331"/>
      <c r="M155" s="331"/>
      <c r="N155" s="331"/>
      <c r="O155" s="331"/>
      <c r="P155" s="331"/>
      <c r="Q155" s="331"/>
      <c r="R155" s="331"/>
      <c r="S155" s="331"/>
      <c r="T155" s="331"/>
      <c r="U155" s="331"/>
      <c r="V155" s="331"/>
      <c r="W155" s="331"/>
      <c r="X155" s="331"/>
      <c r="Y155" s="331"/>
      <c r="Z155" s="331"/>
      <c r="AA155" s="331"/>
      <c r="AB155" s="331"/>
      <c r="AC155" s="331"/>
      <c r="AD155" s="331"/>
      <c r="AE155" s="331"/>
      <c r="AF155" s="331"/>
      <c r="AG155" s="336"/>
    </row>
  </sheetData>
  <mergeCells count="226">
    <mergeCell ref="D155:G155"/>
    <mergeCell ref="D154:G154"/>
    <mergeCell ref="D152:G152"/>
    <mergeCell ref="H152:AG152"/>
    <mergeCell ref="D153:G153"/>
    <mergeCell ref="H153:AG153"/>
    <mergeCell ref="H148:AG148"/>
    <mergeCell ref="D142:G142"/>
    <mergeCell ref="H142:AG142"/>
    <mergeCell ref="D143:G143"/>
    <mergeCell ref="H143:AG143"/>
    <mergeCell ref="D146:G146"/>
    <mergeCell ref="H146:AG146"/>
    <mergeCell ref="D151:G151"/>
    <mergeCell ref="H151:AG151"/>
    <mergeCell ref="D144:G144"/>
    <mergeCell ref="H144:AG144"/>
    <mergeCell ref="D149:G149"/>
    <mergeCell ref="D145:G145"/>
    <mergeCell ref="H145:AG145"/>
    <mergeCell ref="D147:G147"/>
    <mergeCell ref="H147:AG147"/>
    <mergeCell ref="D148:G148"/>
    <mergeCell ref="D136:G136"/>
    <mergeCell ref="H136:AG136"/>
    <mergeCell ref="D129:G129"/>
    <mergeCell ref="H129:AG129"/>
    <mergeCell ref="D132:G132"/>
    <mergeCell ref="H132:AG132"/>
    <mergeCell ref="D141:G141"/>
    <mergeCell ref="H141:AG141"/>
    <mergeCell ref="D138:G138"/>
    <mergeCell ref="H138:AG138"/>
    <mergeCell ref="D137:G137"/>
    <mergeCell ref="H137:AG137"/>
    <mergeCell ref="D125:G125"/>
    <mergeCell ref="H125:AG125"/>
    <mergeCell ref="D128:G128"/>
    <mergeCell ref="H128:AG128"/>
    <mergeCell ref="D121:G121"/>
    <mergeCell ref="H121:AG121"/>
    <mergeCell ref="D124:G124"/>
    <mergeCell ref="H124:AG124"/>
    <mergeCell ref="D133:G133"/>
    <mergeCell ref="H133:AG133"/>
    <mergeCell ref="D120:G120"/>
    <mergeCell ref="H120:AG120"/>
    <mergeCell ref="D118:G118"/>
    <mergeCell ref="H114:AG114"/>
    <mergeCell ref="H115:AG115"/>
    <mergeCell ref="H116:AG116"/>
    <mergeCell ref="H117:AG117"/>
    <mergeCell ref="D115:G115"/>
    <mergeCell ref="D116:G116"/>
    <mergeCell ref="D117:G117"/>
    <mergeCell ref="H99:AG99"/>
    <mergeCell ref="H100:AG100"/>
    <mergeCell ref="H101:AG101"/>
    <mergeCell ref="H102:AG102"/>
    <mergeCell ref="D111:G111"/>
    <mergeCell ref="D112:G112"/>
    <mergeCell ref="H110:AG110"/>
    <mergeCell ref="H111:AG111"/>
    <mergeCell ref="D114:G114"/>
    <mergeCell ref="H103:AG103"/>
    <mergeCell ref="H109:AG109"/>
    <mergeCell ref="H106:AG106"/>
    <mergeCell ref="H107:AG107"/>
    <mergeCell ref="H108:AG108"/>
    <mergeCell ref="D109:G109"/>
    <mergeCell ref="D110:G110"/>
    <mergeCell ref="D106:G106"/>
    <mergeCell ref="D107:G107"/>
    <mergeCell ref="D108:G108"/>
    <mergeCell ref="D99:G99"/>
    <mergeCell ref="D100:G100"/>
    <mergeCell ref="D101:G101"/>
    <mergeCell ref="D102:G102"/>
    <mergeCell ref="D103:G103"/>
    <mergeCell ref="D104:G104"/>
    <mergeCell ref="H76:AG76"/>
    <mergeCell ref="H74:AG74"/>
    <mergeCell ref="H75:AG75"/>
    <mergeCell ref="D69:G69"/>
    <mergeCell ref="D70:G70"/>
    <mergeCell ref="D71:G71"/>
    <mergeCell ref="D90:G90"/>
    <mergeCell ref="H86:AG86"/>
    <mergeCell ref="H87:AG87"/>
    <mergeCell ref="H88:AG88"/>
    <mergeCell ref="H89:AG89"/>
    <mergeCell ref="D88:G88"/>
    <mergeCell ref="D89:G89"/>
    <mergeCell ref="D86:G86"/>
    <mergeCell ref="D74:G74"/>
    <mergeCell ref="D75:G75"/>
    <mergeCell ref="D77:G77"/>
    <mergeCell ref="D78:G78"/>
    <mergeCell ref="D76:G76"/>
    <mergeCell ref="D97:G97"/>
    <mergeCell ref="D92:G92"/>
    <mergeCell ref="H80:AG80"/>
    <mergeCell ref="H81:AG81"/>
    <mergeCell ref="D41:G41"/>
    <mergeCell ref="D42:G42"/>
    <mergeCell ref="H41:AG41"/>
    <mergeCell ref="D72:G72"/>
    <mergeCell ref="H58:AG58"/>
    <mergeCell ref="H59:AG59"/>
    <mergeCell ref="D62:G62"/>
    <mergeCell ref="H62:AG62"/>
    <mergeCell ref="D58:G58"/>
    <mergeCell ref="D59:G59"/>
    <mergeCell ref="D60:G60"/>
    <mergeCell ref="D63:G63"/>
    <mergeCell ref="H63:AG63"/>
    <mergeCell ref="H69:AG69"/>
    <mergeCell ref="H70:AG70"/>
    <mergeCell ref="H71:AG71"/>
    <mergeCell ref="D44:G44"/>
    <mergeCell ref="D45:G45"/>
    <mergeCell ref="D46:G46"/>
    <mergeCell ref="H53:AG53"/>
    <mergeCell ref="D55:G55"/>
    <mergeCell ref="D51:G51"/>
    <mergeCell ref="D52:G52"/>
    <mergeCell ref="D53:G53"/>
    <mergeCell ref="H23:AG23"/>
    <mergeCell ref="H14:AG14"/>
    <mergeCell ref="H15:AG15"/>
    <mergeCell ref="H16:AG16"/>
    <mergeCell ref="D13:G13"/>
    <mergeCell ref="G3:N3"/>
    <mergeCell ref="S3:AG3"/>
    <mergeCell ref="D19:G19"/>
    <mergeCell ref="D20:G20"/>
    <mergeCell ref="D21:G21"/>
    <mergeCell ref="D22:G22"/>
    <mergeCell ref="D17:G17"/>
    <mergeCell ref="H9:AG9"/>
    <mergeCell ref="H10:AG10"/>
    <mergeCell ref="H11:AG11"/>
    <mergeCell ref="H12:AG12"/>
    <mergeCell ref="H13:AG13"/>
    <mergeCell ref="G1:N1"/>
    <mergeCell ref="S1:Y1"/>
    <mergeCell ref="AD1:AG1"/>
    <mergeCell ref="G2:N2"/>
    <mergeCell ref="AD2:AG2"/>
    <mergeCell ref="S2:Y2"/>
    <mergeCell ref="A7:B7"/>
    <mergeCell ref="D26:G26"/>
    <mergeCell ref="D28:G28"/>
    <mergeCell ref="D27:G27"/>
    <mergeCell ref="D9:G9"/>
    <mergeCell ref="D10:G10"/>
    <mergeCell ref="D11:G11"/>
    <mergeCell ref="D12:G12"/>
    <mergeCell ref="D16:G16"/>
    <mergeCell ref="D24:G24"/>
    <mergeCell ref="H19:AG19"/>
    <mergeCell ref="H20:AG20"/>
    <mergeCell ref="H21:AG21"/>
    <mergeCell ref="H22:AG22"/>
    <mergeCell ref="AC4:AG4"/>
    <mergeCell ref="D14:G14"/>
    <mergeCell ref="D15:G15"/>
    <mergeCell ref="D23:G23"/>
    <mergeCell ref="D30:G30"/>
    <mergeCell ref="H26:AG26"/>
    <mergeCell ref="H28:AG28"/>
    <mergeCell ref="H29:AG29"/>
    <mergeCell ref="H27:AG27"/>
    <mergeCell ref="H40:AG40"/>
    <mergeCell ref="H32:AG32"/>
    <mergeCell ref="H33:AG33"/>
    <mergeCell ref="H34:AG34"/>
    <mergeCell ref="D37:G37"/>
    <mergeCell ref="D29:G29"/>
    <mergeCell ref="H37:AG37"/>
    <mergeCell ref="D32:G32"/>
    <mergeCell ref="D33:G33"/>
    <mergeCell ref="D34:G34"/>
    <mergeCell ref="D35:G35"/>
    <mergeCell ref="H38:AG38"/>
    <mergeCell ref="D39:G39"/>
    <mergeCell ref="H39:AG39"/>
    <mergeCell ref="D38:G38"/>
    <mergeCell ref="D40:G40"/>
    <mergeCell ref="D54:G54"/>
    <mergeCell ref="D48:G48"/>
    <mergeCell ref="D49:G49"/>
    <mergeCell ref="H48:AG48"/>
    <mergeCell ref="H51:AG51"/>
    <mergeCell ref="H52:AG52"/>
    <mergeCell ref="H64:AG64"/>
    <mergeCell ref="H65:AG65"/>
    <mergeCell ref="D68:G68"/>
    <mergeCell ref="H68:AG68"/>
    <mergeCell ref="D56:G56"/>
    <mergeCell ref="D57:G57"/>
    <mergeCell ref="H54:AG54"/>
    <mergeCell ref="H55:AG55"/>
    <mergeCell ref="H56:AG56"/>
    <mergeCell ref="H57:AG57"/>
    <mergeCell ref="D64:G64"/>
    <mergeCell ref="D65:G65"/>
    <mergeCell ref="D66:G66"/>
    <mergeCell ref="D82:G82"/>
    <mergeCell ref="H95:AG95"/>
    <mergeCell ref="D94:G94"/>
    <mergeCell ref="D93:G93"/>
    <mergeCell ref="D95:G95"/>
    <mergeCell ref="D96:G96"/>
    <mergeCell ref="H77:AG77"/>
    <mergeCell ref="H92:AG92"/>
    <mergeCell ref="H93:AG93"/>
    <mergeCell ref="D80:G80"/>
    <mergeCell ref="D81:G81"/>
    <mergeCell ref="H82:AG82"/>
    <mergeCell ref="H83:AG83"/>
    <mergeCell ref="D87:G87"/>
    <mergeCell ref="D83:G83"/>
    <mergeCell ref="D84:G84"/>
    <mergeCell ref="H94:AG94"/>
    <mergeCell ref="H96:AG96"/>
  </mergeCells>
  <phoneticPr fontId="1"/>
  <pageMargins left="0.75" right="0.19" top="1" bottom="1" header="0.51200000000000001" footer="0.51200000000000001"/>
  <pageSetup paperSize="9" scale="90" orientation="portrait" verticalDpi="400" r:id="rId1"/>
  <headerFooter alignWithMargins="0">
    <oddFooter>&amp;L&amp;"ＭＳ Ｐ明朝,標準"Copyright&amp;"ＭＳ Ｐ明朝,斜体" (c)PriceWaterhouseConsultants&amp;C&amp;A&amp;RFile name: &amp;F</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G51"/>
  <sheetViews>
    <sheetView topLeftCell="A5" zoomScaleNormal="100" workbookViewId="0">
      <selection activeCell="N19" sqref="N19"/>
    </sheetView>
  </sheetViews>
  <sheetFormatPr defaultColWidth="2.85546875" defaultRowHeight="11.25"/>
  <cols>
    <col min="1" max="16384" width="2.85546875" style="2"/>
  </cols>
  <sheetData>
    <row r="1" spans="1:33" ht="18.95" customHeight="1">
      <c r="A1" s="108"/>
      <c r="B1" s="109"/>
      <c r="C1" s="109"/>
      <c r="D1" s="110" t="s">
        <v>90</v>
      </c>
      <c r="E1" s="111"/>
      <c r="F1" s="112"/>
      <c r="G1" s="544" t="s">
        <v>282</v>
      </c>
      <c r="H1" s="544"/>
      <c r="I1" s="544"/>
      <c r="J1" s="544"/>
      <c r="K1" s="544"/>
      <c r="L1" s="544"/>
      <c r="M1" s="544"/>
      <c r="N1" s="545"/>
      <c r="O1" s="110" t="s">
        <v>283</v>
      </c>
      <c r="P1" s="111"/>
      <c r="Q1" s="111"/>
      <c r="R1" s="113"/>
      <c r="S1" s="575">
        <v>42509</v>
      </c>
      <c r="T1" s="576"/>
      <c r="U1" s="576"/>
      <c r="V1" s="576"/>
      <c r="W1" s="576"/>
      <c r="X1" s="576"/>
      <c r="Y1" s="577"/>
      <c r="Z1" s="110" t="s">
        <v>284</v>
      </c>
      <c r="AA1" s="114"/>
      <c r="AB1" s="114"/>
      <c r="AC1" s="115"/>
      <c r="AD1" s="578">
        <v>42559</v>
      </c>
      <c r="AE1" s="579"/>
      <c r="AF1" s="579"/>
      <c r="AG1" s="580"/>
    </row>
    <row r="2" spans="1:33" ht="18.95" customHeight="1">
      <c r="A2" s="30"/>
      <c r="D2" s="116" t="s">
        <v>93</v>
      </c>
      <c r="E2" s="34"/>
      <c r="F2" s="117"/>
      <c r="G2" s="550" t="s">
        <v>285</v>
      </c>
      <c r="H2" s="550"/>
      <c r="I2" s="550"/>
      <c r="J2" s="550"/>
      <c r="K2" s="550"/>
      <c r="L2" s="550"/>
      <c r="M2" s="550"/>
      <c r="N2" s="551"/>
      <c r="O2" s="116" t="s">
        <v>286</v>
      </c>
      <c r="P2" s="34"/>
      <c r="Q2" s="34"/>
      <c r="R2" s="118"/>
      <c r="S2" s="581" t="s">
        <v>287</v>
      </c>
      <c r="T2" s="582"/>
      <c r="U2" s="582"/>
      <c r="V2" s="582"/>
      <c r="W2" s="582"/>
      <c r="X2" s="582"/>
      <c r="Y2" s="583"/>
      <c r="Z2" s="116" t="s">
        <v>288</v>
      </c>
      <c r="AA2" s="119"/>
      <c r="AB2" s="120"/>
      <c r="AC2" s="117"/>
      <c r="AD2" s="584" t="s">
        <v>287</v>
      </c>
      <c r="AE2" s="585"/>
      <c r="AF2" s="585"/>
      <c r="AG2" s="586"/>
    </row>
    <row r="3" spans="1:33" ht="18.95" customHeight="1" thickBot="1">
      <c r="A3" s="30"/>
      <c r="C3" s="14"/>
      <c r="D3" s="122" t="s">
        <v>96</v>
      </c>
      <c r="E3" s="123"/>
      <c r="F3" s="124"/>
      <c r="G3" s="563" t="s">
        <v>289</v>
      </c>
      <c r="H3" s="564"/>
      <c r="I3" s="564"/>
      <c r="J3" s="564"/>
      <c r="K3" s="564"/>
      <c r="L3" s="564"/>
      <c r="M3" s="564"/>
      <c r="N3" s="565"/>
      <c r="O3" s="122" t="s">
        <v>97</v>
      </c>
      <c r="P3" s="123"/>
      <c r="Q3" s="123"/>
      <c r="R3" s="125"/>
      <c r="S3" s="563" t="str">
        <f>IF(G3="","N/A","ZFIPR_"&amp;MID(G3,7,7))</f>
        <v>ZFIPR_2014_01</v>
      </c>
      <c r="T3" s="564"/>
      <c r="U3" s="564"/>
      <c r="V3" s="564"/>
      <c r="W3" s="564"/>
      <c r="X3" s="564"/>
      <c r="Y3" s="564"/>
      <c r="Z3" s="587" t="s">
        <v>290</v>
      </c>
      <c r="AA3" s="588"/>
      <c r="AB3" s="589"/>
      <c r="AC3" s="572" t="s">
        <v>291</v>
      </c>
      <c r="AD3" s="573"/>
      <c r="AE3" s="573"/>
      <c r="AF3" s="573"/>
      <c r="AG3" s="574"/>
    </row>
    <row r="4" spans="1:33" ht="18.95" customHeight="1" thickBot="1">
      <c r="A4" s="31" t="s">
        <v>292</v>
      </c>
      <c r="B4" s="32"/>
      <c r="C4" s="32"/>
      <c r="D4" s="187" t="s">
        <v>293</v>
      </c>
      <c r="E4" s="184"/>
      <c r="F4" s="184"/>
      <c r="G4" s="184"/>
      <c r="H4" s="184"/>
      <c r="I4" s="184"/>
      <c r="J4" s="184"/>
      <c r="K4" s="184"/>
      <c r="L4" s="184"/>
      <c r="M4" s="184"/>
      <c r="N4" s="184"/>
      <c r="O4" s="184"/>
      <c r="P4" s="184"/>
      <c r="Q4" s="184"/>
      <c r="R4" s="184"/>
      <c r="S4" s="184"/>
      <c r="T4" s="184"/>
      <c r="U4" s="184"/>
      <c r="V4" s="184"/>
      <c r="W4" s="184"/>
      <c r="X4" s="184"/>
      <c r="Y4" s="184"/>
      <c r="Z4" s="57" t="s">
        <v>100</v>
      </c>
      <c r="AA4" s="32"/>
      <c r="AB4" s="32"/>
      <c r="AC4" s="596" t="s">
        <v>294</v>
      </c>
      <c r="AD4" s="597"/>
      <c r="AE4" s="597"/>
      <c r="AF4" s="597"/>
      <c r="AG4" s="598"/>
    </row>
    <row r="5" spans="1:33" ht="7.5" customHeight="1" thickBot="1"/>
    <row r="6" spans="1:33" ht="15" customHeight="1" thickBot="1">
      <c r="A6" s="31" t="s">
        <v>295</v>
      </c>
      <c r="B6" s="60"/>
      <c r="C6" s="75"/>
      <c r="D6" s="593"/>
      <c r="E6" s="594"/>
      <c r="F6" s="594"/>
      <c r="G6" s="594"/>
      <c r="H6" s="594"/>
      <c r="I6" s="594"/>
      <c r="J6" s="594"/>
      <c r="K6" s="594"/>
      <c r="L6" s="594"/>
      <c r="M6" s="594"/>
      <c r="N6" s="594"/>
      <c r="O6" s="594"/>
      <c r="P6" s="594"/>
      <c r="Q6" s="594"/>
      <c r="R6" s="595"/>
      <c r="S6" s="57" t="s">
        <v>296</v>
      </c>
      <c r="T6" s="32"/>
      <c r="U6" s="32"/>
      <c r="V6" s="58"/>
      <c r="W6" s="590"/>
      <c r="X6" s="591"/>
      <c r="Y6" s="591"/>
      <c r="Z6" s="591"/>
      <c r="AA6" s="591"/>
      <c r="AB6" s="591"/>
      <c r="AC6" s="591"/>
      <c r="AD6" s="591"/>
      <c r="AE6" s="591"/>
      <c r="AF6" s="591"/>
      <c r="AG6" s="592"/>
    </row>
    <row r="7" spans="1:33" ht="15" customHeight="1" thickBot="1">
      <c r="A7" s="31" t="s">
        <v>297</v>
      </c>
      <c r="B7" s="60"/>
      <c r="C7" s="75"/>
      <c r="D7" s="593"/>
      <c r="E7" s="594"/>
      <c r="F7" s="594"/>
      <c r="G7" s="594"/>
      <c r="H7" s="594"/>
      <c r="I7" s="594"/>
      <c r="J7" s="594"/>
      <c r="K7" s="594"/>
      <c r="L7" s="594"/>
      <c r="M7" s="594"/>
      <c r="N7" s="594"/>
      <c r="O7" s="594"/>
      <c r="P7" s="594"/>
      <c r="Q7" s="594"/>
      <c r="R7" s="595"/>
      <c r="S7" s="57" t="s">
        <v>296</v>
      </c>
      <c r="T7" s="32"/>
      <c r="U7" s="32"/>
      <c r="V7" s="58"/>
      <c r="W7" s="590"/>
      <c r="X7" s="591"/>
      <c r="Y7" s="591"/>
      <c r="Z7" s="591"/>
      <c r="AA7" s="591"/>
      <c r="AB7" s="591"/>
      <c r="AC7" s="591"/>
      <c r="AD7" s="591"/>
      <c r="AE7" s="591"/>
      <c r="AF7" s="591"/>
      <c r="AG7" s="592"/>
    </row>
    <row r="8" spans="1:33" ht="15" customHeight="1" thickBot="1"/>
    <row r="9" spans="1:33" ht="15" customHeight="1">
      <c r="A9" s="602" t="s">
        <v>298</v>
      </c>
      <c r="B9" s="603"/>
      <c r="C9" s="603"/>
      <c r="D9" s="603"/>
      <c r="E9" s="604" t="s">
        <v>293</v>
      </c>
      <c r="F9" s="605"/>
      <c r="G9" s="605"/>
      <c r="H9" s="605"/>
      <c r="I9" s="605"/>
      <c r="J9" s="605"/>
      <c r="K9" s="605"/>
      <c r="L9" s="605"/>
      <c r="M9" s="605"/>
      <c r="N9" s="605"/>
      <c r="O9" s="605"/>
      <c r="P9" s="605"/>
      <c r="Q9" s="605"/>
      <c r="R9" s="605"/>
      <c r="S9" s="605"/>
      <c r="T9" s="605"/>
      <c r="U9" s="605"/>
      <c r="V9" s="605"/>
      <c r="W9" s="605"/>
      <c r="X9" s="605"/>
      <c r="Y9" s="605"/>
      <c r="Z9" s="605"/>
      <c r="AA9" s="605"/>
      <c r="AB9" s="605"/>
      <c r="AC9" s="605"/>
      <c r="AD9" s="605"/>
      <c r="AE9" s="605"/>
      <c r="AF9" s="605"/>
      <c r="AG9" s="606"/>
    </row>
    <row r="10" spans="1:33" ht="15" customHeight="1">
      <c r="A10" s="607" t="s">
        <v>299</v>
      </c>
      <c r="B10" s="608"/>
      <c r="C10" s="608"/>
      <c r="D10" s="608"/>
      <c r="E10" s="609" t="s">
        <v>293</v>
      </c>
      <c r="F10" s="610"/>
      <c r="G10" s="610"/>
      <c r="H10" s="610"/>
      <c r="I10" s="610"/>
      <c r="J10" s="610"/>
      <c r="K10" s="610"/>
      <c r="L10" s="610"/>
      <c r="M10" s="610"/>
      <c r="N10" s="610"/>
      <c r="O10" s="610"/>
      <c r="P10" s="610"/>
      <c r="Q10" s="610"/>
      <c r="R10" s="610"/>
      <c r="S10" s="610"/>
      <c r="T10" s="610"/>
      <c r="U10" s="610"/>
      <c r="V10" s="610"/>
      <c r="W10" s="610"/>
      <c r="X10" s="610"/>
      <c r="Y10" s="610"/>
      <c r="Z10" s="610"/>
      <c r="AA10" s="610"/>
      <c r="AB10" s="610"/>
      <c r="AC10" s="610"/>
      <c r="AD10" s="610"/>
      <c r="AE10" s="610"/>
      <c r="AF10" s="610"/>
      <c r="AG10" s="611"/>
    </row>
    <row r="11" spans="1:33">
      <c r="A11" s="47" t="s">
        <v>300</v>
      </c>
      <c r="B11" s="16"/>
      <c r="C11" s="19"/>
      <c r="D11" s="22"/>
      <c r="E11" s="5"/>
      <c r="F11" s="5"/>
      <c r="G11" s="5"/>
      <c r="H11" s="5"/>
      <c r="I11" s="5"/>
      <c r="J11" s="5"/>
      <c r="K11" s="5"/>
      <c r="L11" s="5"/>
      <c r="M11" s="5"/>
      <c r="N11" s="11"/>
      <c r="O11" s="33" t="s">
        <v>301</v>
      </c>
      <c r="P11" s="16"/>
      <c r="Q11" s="16"/>
      <c r="R11" s="19"/>
      <c r="S11" s="5"/>
      <c r="T11" s="5"/>
      <c r="U11" s="5"/>
      <c r="V11" s="5"/>
      <c r="W11" s="5"/>
      <c r="X11" s="5"/>
      <c r="Y11" s="5"/>
      <c r="Z11" s="5"/>
      <c r="AA11" s="5"/>
      <c r="AB11" s="5"/>
      <c r="AC11" s="5"/>
      <c r="AD11" s="5"/>
      <c r="AE11" s="5"/>
      <c r="AF11" s="5"/>
      <c r="AG11" s="46"/>
    </row>
    <row r="12" spans="1:33" ht="12.75" customHeight="1">
      <c r="A12" s="48"/>
      <c r="B12" s="18"/>
      <c r="C12" s="20"/>
      <c r="D12" s="12"/>
      <c r="I12" s="2" t="s">
        <v>302</v>
      </c>
      <c r="J12" s="599"/>
      <c r="K12" s="600"/>
      <c r="L12" s="601"/>
      <c r="N12" s="14"/>
      <c r="O12" s="21"/>
      <c r="P12" s="18"/>
      <c r="Q12" s="18"/>
      <c r="R12" s="20"/>
      <c r="AG12" s="49"/>
    </row>
    <row r="13" spans="1:33" ht="12.75" customHeight="1">
      <c r="A13" s="48"/>
      <c r="B13" s="18"/>
      <c r="C13" s="20"/>
      <c r="D13" s="12"/>
      <c r="I13" s="2" t="s">
        <v>302</v>
      </c>
      <c r="J13" s="599"/>
      <c r="K13" s="600"/>
      <c r="L13" s="601"/>
      <c r="N13" s="14"/>
      <c r="O13" s="17"/>
      <c r="P13" s="18"/>
      <c r="Q13" s="18"/>
      <c r="R13" s="20"/>
      <c r="U13" s="2" t="s">
        <v>303</v>
      </c>
      <c r="AG13" s="49"/>
    </row>
    <row r="14" spans="1:33" ht="12.75" customHeight="1">
      <c r="A14" s="48"/>
      <c r="B14" s="18"/>
      <c r="C14" s="20"/>
      <c r="D14" s="12"/>
      <c r="I14" s="2" t="s">
        <v>302</v>
      </c>
      <c r="J14" s="599"/>
      <c r="K14" s="600"/>
      <c r="L14" s="601"/>
      <c r="N14" s="14"/>
      <c r="O14" s="17"/>
      <c r="P14" s="18"/>
      <c r="Q14" s="18"/>
      <c r="R14" s="20"/>
      <c r="AG14" s="49"/>
    </row>
    <row r="15" spans="1:33" ht="12.75" customHeight="1">
      <c r="A15" s="48"/>
      <c r="B15" s="18"/>
      <c r="C15" s="20"/>
      <c r="D15" s="12"/>
      <c r="G15" s="15"/>
      <c r="I15" s="2" t="s">
        <v>302</v>
      </c>
      <c r="J15" s="599"/>
      <c r="K15" s="600"/>
      <c r="L15" s="601"/>
      <c r="N15" s="14"/>
      <c r="O15" s="17"/>
      <c r="P15" s="18"/>
      <c r="Q15" s="18"/>
      <c r="R15" s="20"/>
      <c r="U15" s="2" t="s">
        <v>304</v>
      </c>
      <c r="W15" s="13"/>
      <c r="X15" s="13"/>
      <c r="Y15" s="13"/>
      <c r="Z15" s="13"/>
      <c r="AA15" s="13"/>
      <c r="AG15" s="49"/>
    </row>
    <row r="16" spans="1:33" ht="12.75" customHeight="1">
      <c r="A16" s="48"/>
      <c r="B16" s="18"/>
      <c r="C16" s="20"/>
      <c r="D16" s="12"/>
      <c r="I16" s="2" t="s">
        <v>302</v>
      </c>
      <c r="J16" s="599"/>
      <c r="K16" s="600"/>
      <c r="L16" s="601"/>
      <c r="N16" s="14"/>
      <c r="O16" s="17"/>
      <c r="P16" s="18"/>
      <c r="Q16" s="18"/>
      <c r="R16" s="20"/>
      <c r="W16" s="13"/>
      <c r="X16" s="13"/>
      <c r="Y16" s="26" t="s">
        <v>305</v>
      </c>
      <c r="Z16" s="27"/>
      <c r="AA16" s="27"/>
      <c r="AB16" s="6"/>
      <c r="AC16" s="6"/>
      <c r="AD16" s="614"/>
      <c r="AE16" s="614"/>
      <c r="AF16" s="2" t="s">
        <v>306</v>
      </c>
      <c r="AG16" s="49"/>
    </row>
    <row r="17" spans="1:33" ht="12.75" customHeight="1">
      <c r="A17" s="48"/>
      <c r="B17" s="18"/>
      <c r="C17" s="20"/>
      <c r="D17" s="12"/>
      <c r="G17" s="15"/>
      <c r="I17" s="2" t="s">
        <v>302</v>
      </c>
      <c r="J17" s="599">
        <v>1</v>
      </c>
      <c r="K17" s="600"/>
      <c r="L17" s="601"/>
      <c r="N17" s="14"/>
      <c r="O17" s="17"/>
      <c r="P17" s="18"/>
      <c r="Q17" s="18"/>
      <c r="R17" s="20"/>
      <c r="U17" s="2" t="s">
        <v>307</v>
      </c>
      <c r="AG17" s="49"/>
    </row>
    <row r="18" spans="1:33">
      <c r="A18" s="50"/>
      <c r="B18" s="37"/>
      <c r="C18" s="38"/>
      <c r="D18" s="39"/>
      <c r="E18" s="6"/>
      <c r="F18" s="6"/>
      <c r="G18" s="6"/>
      <c r="H18" s="6"/>
      <c r="I18" s="6"/>
      <c r="J18" s="6"/>
      <c r="K18" s="6"/>
      <c r="L18" s="6"/>
      <c r="M18" s="6"/>
      <c r="N18" s="40"/>
      <c r="O18" s="36"/>
      <c r="P18" s="37"/>
      <c r="Q18" s="37"/>
      <c r="R18" s="38"/>
      <c r="S18" s="6"/>
      <c r="T18" s="6"/>
      <c r="U18" s="6"/>
      <c r="V18" s="6"/>
      <c r="W18" s="6"/>
      <c r="X18" s="6"/>
      <c r="Y18" s="6"/>
      <c r="Z18" s="6"/>
      <c r="AA18" s="6"/>
      <c r="AB18" s="6"/>
      <c r="AC18" s="6"/>
      <c r="AD18" s="6"/>
      <c r="AE18" s="6"/>
      <c r="AF18" s="6"/>
      <c r="AG18" s="51"/>
    </row>
    <row r="19" spans="1:33" ht="15" customHeight="1">
      <c r="A19" s="52" t="s">
        <v>308</v>
      </c>
      <c r="B19" s="41"/>
      <c r="C19" s="41"/>
      <c r="D19" s="41"/>
      <c r="E19" s="41"/>
      <c r="F19" s="41"/>
      <c r="G19" s="41"/>
      <c r="H19" s="41"/>
      <c r="I19" s="42"/>
      <c r="J19" s="5"/>
      <c r="K19" s="5"/>
      <c r="L19" s="5"/>
      <c r="M19" s="24"/>
      <c r="N19" s="5"/>
      <c r="O19" s="5"/>
      <c r="P19" s="5"/>
      <c r="Q19" s="5"/>
      <c r="R19" s="5"/>
      <c r="S19" s="5"/>
      <c r="T19" s="24"/>
      <c r="U19" s="5"/>
      <c r="V19" s="5"/>
      <c r="W19" s="5"/>
      <c r="AA19" s="5"/>
      <c r="AB19" s="5"/>
      <c r="AC19" s="5"/>
      <c r="AD19" s="5"/>
      <c r="AE19" s="5"/>
      <c r="AF19" s="5"/>
      <c r="AG19" s="46"/>
    </row>
    <row r="20" spans="1:33" ht="15" customHeight="1">
      <c r="A20" s="53"/>
      <c r="B20" s="28"/>
      <c r="C20" s="43"/>
      <c r="E20" s="28"/>
      <c r="F20" s="28"/>
      <c r="G20" s="43"/>
      <c r="I20" s="28"/>
      <c r="J20" s="28"/>
      <c r="K20" s="43"/>
      <c r="M20" s="28"/>
      <c r="N20" s="28"/>
      <c r="O20" s="43"/>
      <c r="Q20" s="28"/>
      <c r="R20" s="26" t="s">
        <v>309</v>
      </c>
      <c r="S20" s="27"/>
      <c r="T20" s="27"/>
      <c r="U20" s="6"/>
      <c r="V20" s="6"/>
      <c r="W20" s="614"/>
      <c r="X20" s="614"/>
      <c r="Y20" s="100" t="s">
        <v>306</v>
      </c>
      <c r="AG20" s="49"/>
    </row>
    <row r="21" spans="1:33" ht="15" customHeight="1">
      <c r="A21" s="53"/>
      <c r="B21" s="28"/>
      <c r="U21" s="3"/>
      <c r="V21" s="614" t="s">
        <v>310</v>
      </c>
      <c r="W21" s="614"/>
      <c r="X21" s="614"/>
      <c r="Y21" s="614"/>
      <c r="Z21" s="614"/>
      <c r="AA21" s="614"/>
      <c r="AB21" s="614"/>
      <c r="AC21" s="614"/>
      <c r="AD21" s="614"/>
      <c r="AE21" s="614"/>
      <c r="AF21" s="614"/>
      <c r="AG21" s="49"/>
    </row>
    <row r="22" spans="1:33" ht="15" customHeight="1">
      <c r="A22" s="53"/>
      <c r="B22" s="28"/>
      <c r="C22" s="218" t="s">
        <v>311</v>
      </c>
      <c r="E22" s="28"/>
      <c r="F22" s="28"/>
      <c r="G22" s="28"/>
      <c r="I22" s="28"/>
      <c r="J22" s="28"/>
      <c r="K22" s="613"/>
      <c r="L22" s="613"/>
      <c r="M22" s="613"/>
      <c r="N22" s="613"/>
      <c r="O22" s="613"/>
      <c r="Q22" s="613"/>
      <c r="R22" s="613"/>
      <c r="S22" s="613"/>
      <c r="T22" s="613"/>
      <c r="U22" s="613"/>
      <c r="V22" s="3"/>
      <c r="W22" s="3"/>
      <c r="X22" s="3"/>
      <c r="Y22" s="3"/>
      <c r="Z22" s="3"/>
      <c r="AA22" s="3"/>
      <c r="AB22" s="3"/>
      <c r="AC22" s="3"/>
      <c r="AD22" s="3"/>
      <c r="AE22" s="3"/>
      <c r="AF22" s="3"/>
      <c r="AG22" s="49"/>
    </row>
    <row r="23" spans="1:33" ht="15" customHeight="1">
      <c r="A23" s="53"/>
      <c r="B23" s="28"/>
      <c r="C23" s="218" t="s">
        <v>312</v>
      </c>
      <c r="E23" s="28"/>
      <c r="F23" s="28"/>
      <c r="G23" s="28"/>
      <c r="I23" s="28"/>
      <c r="J23" s="28"/>
      <c r="K23" s="285" t="s">
        <v>313</v>
      </c>
      <c r="L23" s="214"/>
      <c r="M23" s="214"/>
      <c r="N23" s="214"/>
      <c r="O23" s="214"/>
      <c r="P23" s="6"/>
      <c r="Q23" s="215"/>
      <c r="R23" s="214"/>
      <c r="S23" s="214"/>
      <c r="T23" s="214"/>
      <c r="U23" s="214"/>
      <c r="V23" s="3"/>
      <c r="W23" s="3"/>
      <c r="X23" s="3"/>
      <c r="Y23" s="3"/>
      <c r="Z23" s="3"/>
      <c r="AA23" s="3"/>
      <c r="AB23" s="3"/>
      <c r="AC23" s="3"/>
      <c r="AD23" s="3"/>
      <c r="AE23" s="3"/>
      <c r="AF23" s="3"/>
      <c r="AG23" s="49"/>
    </row>
    <row r="24" spans="1:33" ht="15" customHeight="1">
      <c r="A24" s="53"/>
      <c r="B24" s="28"/>
      <c r="C24" s="218" t="s">
        <v>314</v>
      </c>
      <c r="E24" s="28"/>
      <c r="F24" s="28"/>
      <c r="G24" s="28"/>
      <c r="I24" s="28"/>
      <c r="J24" s="28"/>
      <c r="K24" s="410" t="s">
        <v>315</v>
      </c>
      <c r="L24" s="219"/>
      <c r="M24" s="219"/>
      <c r="N24" s="219"/>
      <c r="O24" s="219"/>
      <c r="P24" s="220"/>
      <c r="Q24" s="221"/>
      <c r="R24" s="219"/>
      <c r="S24" s="219"/>
      <c r="T24" s="219"/>
      <c r="U24" s="219"/>
      <c r="V24" s="3"/>
      <c r="W24" s="3"/>
      <c r="X24" s="3"/>
      <c r="Y24" s="3"/>
      <c r="Z24" s="3"/>
      <c r="AA24" s="3"/>
      <c r="AB24" s="3"/>
      <c r="AC24" s="3"/>
      <c r="AD24" s="3"/>
      <c r="AE24" s="3"/>
      <c r="AF24" s="3"/>
      <c r="AG24" s="49"/>
    </row>
    <row r="25" spans="1:33" ht="15" customHeight="1">
      <c r="A25" s="53"/>
      <c r="B25" s="28"/>
      <c r="C25" s="218" t="s">
        <v>316</v>
      </c>
      <c r="E25" s="28"/>
      <c r="F25" s="28"/>
      <c r="G25" s="28"/>
      <c r="I25" s="28"/>
      <c r="J25" s="28"/>
      <c r="K25" s="612" t="s">
        <v>317</v>
      </c>
      <c r="L25" s="612"/>
      <c r="M25" s="222"/>
      <c r="N25" s="5"/>
      <c r="O25" s="223"/>
      <c r="P25" s="222"/>
      <c r="Q25" s="222"/>
      <c r="R25" s="222"/>
      <c r="S25" s="222"/>
      <c r="T25" s="3"/>
      <c r="U25" s="3"/>
      <c r="V25" s="3"/>
      <c r="W25" s="3"/>
      <c r="X25" s="3"/>
      <c r="Y25" s="3"/>
      <c r="Z25" s="3"/>
      <c r="AA25" s="3"/>
      <c r="AB25" s="3"/>
      <c r="AC25" s="3"/>
      <c r="AD25" s="3"/>
      <c r="AE25" s="3"/>
      <c r="AF25" s="3"/>
      <c r="AG25" s="49"/>
    </row>
    <row r="26" spans="1:33" ht="15" customHeight="1">
      <c r="A26" s="53"/>
      <c r="B26" s="28"/>
      <c r="C26" s="28"/>
      <c r="E26" s="28"/>
      <c r="F26" s="28"/>
      <c r="G26" s="28"/>
      <c r="I26" s="28"/>
      <c r="J26" s="28"/>
      <c r="K26" s="216"/>
      <c r="L26" s="216"/>
      <c r="M26" s="216"/>
      <c r="N26" s="216"/>
      <c r="O26" s="216"/>
      <c r="Q26" s="217"/>
      <c r="R26" s="216"/>
      <c r="S26" s="216"/>
      <c r="T26" s="216"/>
      <c r="U26" s="216"/>
      <c r="V26" s="3"/>
      <c r="W26" s="3"/>
      <c r="X26" s="3"/>
      <c r="Y26" s="3"/>
      <c r="Z26" s="3"/>
      <c r="AA26" s="3"/>
      <c r="AB26" s="3"/>
      <c r="AC26" s="3"/>
      <c r="AD26" s="3"/>
      <c r="AE26" s="3"/>
      <c r="AF26" s="3"/>
      <c r="AG26" s="49"/>
    </row>
    <row r="27" spans="1:33" ht="15" customHeight="1">
      <c r="A27" s="54"/>
      <c r="B27" s="6"/>
      <c r="C27" s="6"/>
      <c r="D27" s="25"/>
      <c r="E27" s="25"/>
      <c r="F27" s="25"/>
      <c r="G27" s="25"/>
      <c r="H27" s="6"/>
      <c r="I27" s="9"/>
      <c r="J27" s="6"/>
      <c r="K27" s="6"/>
      <c r="L27" s="6"/>
      <c r="M27" s="9"/>
      <c r="N27" s="6"/>
      <c r="O27" s="6"/>
      <c r="P27" s="6"/>
      <c r="Q27" s="6"/>
      <c r="R27" s="9"/>
      <c r="S27" s="6"/>
      <c r="T27" s="44"/>
      <c r="U27" s="44"/>
      <c r="V27" s="9"/>
      <c r="W27" s="45"/>
      <c r="X27" s="44"/>
      <c r="Y27" s="6"/>
      <c r="Z27" s="6"/>
      <c r="AA27" s="6"/>
      <c r="AB27" s="6"/>
      <c r="AC27" s="6"/>
      <c r="AD27" s="6"/>
      <c r="AE27" s="6"/>
      <c r="AF27" s="6"/>
      <c r="AG27" s="51"/>
    </row>
    <row r="28" spans="1:33" ht="15" customHeight="1">
      <c r="A28" s="52" t="s">
        <v>318</v>
      </c>
      <c r="B28" s="34"/>
      <c r="C28" s="34"/>
      <c r="D28" s="34"/>
      <c r="E28" s="34"/>
      <c r="F28" s="34"/>
      <c r="G28" s="34"/>
      <c r="H28" s="34"/>
      <c r="I28" s="35"/>
      <c r="J28" s="5"/>
      <c r="K28" s="5"/>
      <c r="L28" s="5"/>
      <c r="M28" s="5"/>
      <c r="N28" s="5"/>
      <c r="O28" s="5"/>
      <c r="P28" s="5"/>
      <c r="Q28" s="5"/>
      <c r="R28" s="5"/>
      <c r="S28" s="5"/>
      <c r="T28" s="5"/>
      <c r="U28" s="5"/>
      <c r="V28" s="5"/>
      <c r="W28" s="5"/>
      <c r="X28" s="5"/>
      <c r="Y28" s="5"/>
      <c r="Z28" s="5"/>
      <c r="AA28" s="5"/>
      <c r="AB28" s="5"/>
      <c r="AC28" s="5"/>
      <c r="AD28" s="5"/>
      <c r="AE28" s="5"/>
      <c r="AF28" s="5"/>
      <c r="AG28" s="46"/>
    </row>
    <row r="29" spans="1:33" ht="15" customHeight="1">
      <c r="A29" s="30"/>
      <c r="C29" s="7"/>
      <c r="D29" s="7"/>
      <c r="E29" s="8"/>
      <c r="F29" s="7"/>
      <c r="G29" s="7"/>
      <c r="H29" s="7"/>
      <c r="I29" s="8"/>
      <c r="J29" s="7"/>
      <c r="K29" s="7"/>
      <c r="L29" s="7"/>
      <c r="M29" s="8"/>
      <c r="N29" s="7"/>
      <c r="O29" s="7"/>
      <c r="U29" s="7"/>
      <c r="V29" s="8"/>
      <c r="W29" s="10"/>
      <c r="X29" s="7"/>
      <c r="AG29" s="49"/>
    </row>
    <row r="30" spans="1:33" ht="15" customHeight="1">
      <c r="A30" s="30"/>
      <c r="B30" s="2" t="s">
        <v>319</v>
      </c>
      <c r="C30" s="3" t="s">
        <v>320</v>
      </c>
      <c r="D30" s="7"/>
      <c r="E30" s="8"/>
      <c r="F30" s="7"/>
      <c r="G30" s="7"/>
      <c r="H30" s="7"/>
      <c r="I30" s="8"/>
      <c r="J30" s="7"/>
      <c r="K30" s="7"/>
      <c r="L30" s="7"/>
      <c r="M30" s="8"/>
      <c r="N30" s="7"/>
      <c r="O30" s="7"/>
      <c r="U30" s="7"/>
      <c r="V30" s="8"/>
      <c r="W30" s="10"/>
      <c r="X30" s="7"/>
      <c r="AG30" s="49"/>
    </row>
    <row r="31" spans="1:33" ht="15" customHeight="1">
      <c r="A31" s="30"/>
      <c r="D31" s="7"/>
      <c r="E31" s="8"/>
      <c r="F31" s="7"/>
      <c r="G31" s="7"/>
      <c r="H31" s="7"/>
      <c r="I31" s="8"/>
      <c r="J31" s="7"/>
      <c r="K31" s="7"/>
      <c r="L31" s="7"/>
      <c r="M31" s="8"/>
      <c r="N31" s="7"/>
      <c r="O31" s="7"/>
      <c r="U31" s="7"/>
      <c r="V31" s="8"/>
      <c r="W31" s="10"/>
      <c r="X31" s="7"/>
      <c r="AG31" s="49"/>
    </row>
    <row r="32" spans="1:33" ht="15" customHeight="1">
      <c r="A32" s="30"/>
      <c r="C32" s="3"/>
      <c r="D32" s="7"/>
      <c r="E32" s="8"/>
      <c r="F32" s="7"/>
      <c r="G32" s="7"/>
      <c r="H32" s="7"/>
      <c r="I32" s="8"/>
      <c r="J32" s="7"/>
      <c r="K32" s="7"/>
      <c r="L32" s="7"/>
      <c r="M32" s="8"/>
      <c r="N32" s="7"/>
      <c r="O32" s="7"/>
      <c r="U32" s="7"/>
      <c r="V32" s="8"/>
      <c r="W32" s="10"/>
      <c r="X32" s="7"/>
      <c r="AG32" s="49"/>
    </row>
    <row r="33" spans="1:33" ht="15" customHeight="1">
      <c r="A33" s="30"/>
      <c r="C33" s="3"/>
      <c r="D33" s="7"/>
      <c r="E33" s="8"/>
      <c r="F33" s="7"/>
      <c r="G33" s="7"/>
      <c r="H33" s="7"/>
      <c r="I33" s="8"/>
      <c r="J33" s="7"/>
      <c r="K33" s="7"/>
      <c r="L33" s="7"/>
      <c r="M33" s="8"/>
      <c r="N33" s="7"/>
      <c r="O33" s="7"/>
      <c r="U33" s="7"/>
      <c r="V33" s="8"/>
      <c r="W33" s="10"/>
      <c r="X33" s="7"/>
      <c r="AG33" s="49"/>
    </row>
    <row r="34" spans="1:33" ht="15" customHeight="1">
      <c r="A34" s="30"/>
      <c r="C34" s="7"/>
      <c r="D34" s="7"/>
      <c r="E34" s="8"/>
      <c r="F34" s="7"/>
      <c r="G34" s="7"/>
      <c r="H34" s="7"/>
      <c r="I34" s="8"/>
      <c r="J34" s="7"/>
      <c r="K34" s="7"/>
      <c r="L34" s="7"/>
      <c r="M34" s="8"/>
      <c r="N34" s="7"/>
      <c r="O34" s="7"/>
      <c r="U34" s="7"/>
      <c r="V34" s="8"/>
      <c r="W34" s="10"/>
      <c r="X34" s="7"/>
      <c r="AG34" s="49"/>
    </row>
    <row r="35" spans="1:33" ht="15" customHeight="1">
      <c r="A35" s="30"/>
      <c r="M35" s="8"/>
      <c r="AG35" s="49"/>
    </row>
    <row r="36" spans="1:33" ht="15" customHeight="1">
      <c r="A36" s="30"/>
      <c r="M36" s="8"/>
      <c r="AG36" s="49"/>
    </row>
    <row r="37" spans="1:33" ht="15" customHeight="1">
      <c r="A37" s="30"/>
      <c r="M37" s="8"/>
      <c r="AG37" s="49"/>
    </row>
    <row r="38" spans="1:33" ht="15" customHeight="1">
      <c r="A38" s="54"/>
      <c r="B38" s="6"/>
      <c r="C38" s="6"/>
      <c r="D38" s="6"/>
      <c r="E38" s="6"/>
      <c r="F38" s="6"/>
      <c r="G38" s="6"/>
      <c r="H38" s="6"/>
      <c r="I38" s="6"/>
      <c r="J38" s="6"/>
      <c r="K38" s="6"/>
      <c r="L38" s="6"/>
      <c r="M38" s="9"/>
      <c r="N38" s="6"/>
      <c r="O38" s="6"/>
      <c r="P38" s="6"/>
      <c r="Q38" s="6"/>
      <c r="R38" s="6"/>
      <c r="S38" s="6"/>
      <c r="T38" s="6"/>
      <c r="U38" s="6"/>
      <c r="V38" s="6"/>
      <c r="W38" s="6"/>
      <c r="X38" s="6"/>
      <c r="Y38" s="6"/>
      <c r="Z38" s="6"/>
      <c r="AA38" s="6"/>
      <c r="AB38" s="6"/>
      <c r="AC38" s="6"/>
      <c r="AD38" s="6"/>
      <c r="AE38" s="6"/>
      <c r="AF38" s="6"/>
      <c r="AG38" s="51"/>
    </row>
    <row r="39" spans="1:33" ht="15" customHeight="1">
      <c r="A39" s="52" t="s">
        <v>321</v>
      </c>
      <c r="B39" s="41"/>
      <c r="C39" s="41"/>
      <c r="D39" s="41"/>
      <c r="E39" s="41"/>
      <c r="F39" s="41"/>
      <c r="G39" s="41"/>
      <c r="H39" s="41"/>
      <c r="I39" s="42"/>
      <c r="L39" s="5"/>
      <c r="M39" s="5"/>
      <c r="N39" s="5"/>
      <c r="O39" s="5"/>
      <c r="P39" s="5"/>
      <c r="Q39" s="5"/>
      <c r="R39" s="5"/>
      <c r="S39" s="5"/>
      <c r="T39" s="5"/>
      <c r="U39" s="5"/>
      <c r="V39" s="5"/>
      <c r="W39" s="5"/>
      <c r="X39" s="5"/>
      <c r="AG39" s="49"/>
    </row>
    <row r="40" spans="1:33" ht="15" customHeight="1">
      <c r="A40" s="30"/>
      <c r="C40" s="7"/>
      <c r="D40" s="7"/>
      <c r="E40" s="8"/>
      <c r="F40" s="7"/>
      <c r="G40" s="7"/>
      <c r="H40" s="7"/>
      <c r="I40" s="8"/>
      <c r="J40" s="7"/>
      <c r="K40" s="7"/>
      <c r="L40" s="7"/>
      <c r="M40" s="8"/>
      <c r="N40" s="7"/>
      <c r="O40" s="7"/>
      <c r="P40" s="7"/>
      <c r="Q40" s="7"/>
      <c r="R40" s="8"/>
      <c r="S40" s="7"/>
      <c r="T40" s="7"/>
      <c r="U40" s="7"/>
      <c r="V40" s="8"/>
      <c r="W40" s="10"/>
      <c r="X40" s="7"/>
      <c r="AG40" s="49"/>
    </row>
    <row r="41" spans="1:33" ht="15" customHeight="1">
      <c r="A41" s="30"/>
      <c r="B41" s="2" t="s">
        <v>319</v>
      </c>
      <c r="C41" s="2" t="s">
        <v>322</v>
      </c>
      <c r="D41" s="7"/>
      <c r="E41" s="8"/>
      <c r="F41" s="7"/>
      <c r="G41" s="7"/>
      <c r="H41" s="7"/>
      <c r="I41" s="8"/>
      <c r="J41" s="7"/>
      <c r="K41" s="7"/>
      <c r="L41" s="7"/>
      <c r="M41" s="8"/>
      <c r="N41" s="7"/>
      <c r="O41" s="7"/>
      <c r="P41" s="7"/>
      <c r="Q41" s="7"/>
      <c r="R41" s="8"/>
      <c r="S41" s="7"/>
      <c r="T41" s="7"/>
      <c r="U41" s="7"/>
      <c r="V41" s="8"/>
      <c r="W41" s="10"/>
      <c r="X41" s="7"/>
      <c r="AG41" s="49"/>
    </row>
    <row r="42" spans="1:33" ht="15" customHeight="1">
      <c r="A42" s="30"/>
      <c r="C42" s="2" t="s">
        <v>323</v>
      </c>
      <c r="E42" s="8"/>
      <c r="F42" s="7"/>
      <c r="G42" s="7"/>
      <c r="H42" s="7"/>
      <c r="I42" s="8"/>
      <c r="J42" s="7"/>
      <c r="K42" s="7"/>
      <c r="L42" s="7"/>
      <c r="M42" s="8"/>
      <c r="N42" s="7"/>
      <c r="O42" s="7"/>
      <c r="P42" s="7"/>
      <c r="Q42" s="7"/>
      <c r="R42" s="8"/>
      <c r="S42" s="7"/>
      <c r="T42" s="7"/>
      <c r="U42" s="7"/>
      <c r="V42" s="8"/>
      <c r="W42" s="10"/>
      <c r="X42" s="7"/>
      <c r="AG42" s="49"/>
    </row>
    <row r="43" spans="1:33" ht="15" customHeight="1">
      <c r="A43" s="30"/>
      <c r="C43" s="2" t="s">
        <v>324</v>
      </c>
      <c r="E43" s="8"/>
      <c r="F43" s="7"/>
      <c r="G43" s="7"/>
      <c r="H43" s="7"/>
      <c r="I43" s="8"/>
      <c r="J43" s="7"/>
      <c r="K43" s="7"/>
      <c r="L43" s="7"/>
      <c r="M43" s="8"/>
      <c r="N43" s="7"/>
      <c r="O43" s="7"/>
      <c r="P43" s="7"/>
      <c r="Q43" s="7"/>
      <c r="R43" s="8"/>
      <c r="S43" s="7"/>
      <c r="T43" s="7"/>
      <c r="U43" s="7"/>
      <c r="V43" s="8"/>
      <c r="W43" s="10"/>
      <c r="X43" s="7"/>
      <c r="AG43" s="49"/>
    </row>
    <row r="44" spans="1:33" ht="15" customHeight="1">
      <c r="A44" s="30"/>
      <c r="E44" s="8"/>
      <c r="F44" s="7"/>
      <c r="G44" s="7"/>
      <c r="H44" s="7"/>
      <c r="I44" s="8"/>
      <c r="J44" s="7"/>
      <c r="K44" s="7"/>
      <c r="L44" s="7"/>
      <c r="M44" s="8"/>
      <c r="N44" s="7"/>
      <c r="O44" s="7"/>
      <c r="P44" s="7"/>
      <c r="Q44" s="7"/>
      <c r="R44" s="8"/>
      <c r="S44" s="7"/>
      <c r="T44" s="7"/>
      <c r="U44" s="7"/>
      <c r="V44" s="8"/>
      <c r="W44" s="10"/>
      <c r="X44" s="7"/>
      <c r="AG44" s="49"/>
    </row>
    <row r="45" spans="1:33" ht="15" customHeight="1">
      <c r="A45" s="30"/>
      <c r="B45" s="2" t="s">
        <v>319</v>
      </c>
      <c r="C45" s="2" t="s">
        <v>325</v>
      </c>
      <c r="E45" s="8"/>
      <c r="F45" s="7"/>
      <c r="G45" s="7"/>
      <c r="H45" s="7"/>
      <c r="I45" s="8"/>
      <c r="J45" s="7"/>
      <c r="K45" s="7"/>
      <c r="L45" s="7"/>
      <c r="M45" s="8"/>
      <c r="N45" s="7"/>
      <c r="O45" s="7"/>
      <c r="P45" s="7"/>
      <c r="Q45" s="7"/>
      <c r="R45" s="8"/>
      <c r="S45" s="7"/>
      <c r="T45" s="7"/>
      <c r="U45" s="7"/>
      <c r="V45" s="8"/>
      <c r="W45" s="10"/>
      <c r="X45" s="7"/>
      <c r="AG45" s="49"/>
    </row>
    <row r="46" spans="1:33" ht="15" customHeight="1">
      <c r="A46" s="30"/>
      <c r="C46" s="3" t="s">
        <v>326</v>
      </c>
      <c r="D46" s="3"/>
      <c r="E46" s="8"/>
      <c r="F46" s="7"/>
      <c r="G46" s="7"/>
      <c r="H46" s="7"/>
      <c r="I46" s="8"/>
      <c r="J46" s="7"/>
      <c r="K46" s="7"/>
      <c r="L46" s="7"/>
      <c r="M46" s="8"/>
      <c r="N46" s="7"/>
      <c r="O46" s="7"/>
      <c r="P46" s="7"/>
      <c r="Q46" s="7"/>
      <c r="R46" s="8"/>
      <c r="S46" s="7"/>
      <c r="T46" s="7"/>
      <c r="U46" s="7"/>
      <c r="V46" s="8"/>
      <c r="W46" s="10"/>
      <c r="X46" s="7"/>
      <c r="AG46" s="49"/>
    </row>
    <row r="47" spans="1:33" ht="15" customHeight="1">
      <c r="A47" s="30"/>
      <c r="C47" s="3" t="s">
        <v>327</v>
      </c>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49"/>
    </row>
    <row r="48" spans="1:33" ht="15" customHeight="1">
      <c r="A48" s="30"/>
      <c r="B48" s="55"/>
      <c r="C48" s="55"/>
      <c r="D48" s="3"/>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49"/>
    </row>
    <row r="49" spans="1:33" ht="15" customHeight="1">
      <c r="A49" s="30"/>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49"/>
    </row>
    <row r="50" spans="1:33" ht="15" customHeight="1">
      <c r="A50" s="30"/>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49"/>
    </row>
    <row r="51" spans="1:33" ht="15" customHeight="1" thickBot="1">
      <c r="A51" s="4"/>
      <c r="B51" s="1"/>
      <c r="C51" s="1"/>
      <c r="D51" s="1"/>
      <c r="E51" s="1"/>
      <c r="F51" s="29"/>
      <c r="G51" s="29"/>
      <c r="H51" s="1"/>
      <c r="I51" s="1"/>
      <c r="J51" s="1"/>
      <c r="K51" s="1"/>
      <c r="L51" s="1"/>
      <c r="M51" s="1"/>
      <c r="N51" s="1"/>
      <c r="O51" s="1"/>
      <c r="P51" s="1"/>
      <c r="Q51" s="1"/>
      <c r="R51" s="1"/>
      <c r="S51" s="1"/>
      <c r="T51" s="1"/>
      <c r="U51" s="1"/>
      <c r="V51" s="1"/>
      <c r="W51" s="1"/>
      <c r="X51" s="1"/>
      <c r="Y51" s="1"/>
      <c r="Z51" s="1"/>
      <c r="AA51" s="1"/>
      <c r="AB51" s="1"/>
      <c r="AC51" s="1"/>
      <c r="AD51" s="1"/>
      <c r="AE51" s="1"/>
      <c r="AF51" s="1"/>
      <c r="AG51" s="56"/>
    </row>
  </sheetData>
  <dataConsolidate/>
  <mergeCells count="31">
    <mergeCell ref="J15:L15"/>
    <mergeCell ref="A10:D10"/>
    <mergeCell ref="E10:AG10"/>
    <mergeCell ref="K25:L25"/>
    <mergeCell ref="K22:O22"/>
    <mergeCell ref="Q22:U22"/>
    <mergeCell ref="W20:X20"/>
    <mergeCell ref="AD16:AE16"/>
    <mergeCell ref="V21:AF21"/>
    <mergeCell ref="J16:L16"/>
    <mergeCell ref="J17:L17"/>
    <mergeCell ref="W6:AG6"/>
    <mergeCell ref="D6:R6"/>
    <mergeCell ref="AC4:AG4"/>
    <mergeCell ref="J13:L13"/>
    <mergeCell ref="J14:L14"/>
    <mergeCell ref="W7:AG7"/>
    <mergeCell ref="D7:R7"/>
    <mergeCell ref="A9:D9"/>
    <mergeCell ref="E9:AG9"/>
    <mergeCell ref="J12:L12"/>
    <mergeCell ref="AC3:AG3"/>
    <mergeCell ref="G1:N1"/>
    <mergeCell ref="G2:N2"/>
    <mergeCell ref="S1:Y1"/>
    <mergeCell ref="AD1:AG1"/>
    <mergeCell ref="S2:Y2"/>
    <mergeCell ref="AD2:AG2"/>
    <mergeCell ref="G3:N3"/>
    <mergeCell ref="S3:Y3"/>
    <mergeCell ref="Z3:AB3"/>
  </mergeCells>
  <phoneticPr fontId="7"/>
  <dataValidations count="5">
    <dataValidation type="list" allowBlank="1" showInputMessage="1" showErrorMessage="1" sqref="AF16" xr:uid="{00000000-0002-0000-0200-000000000000}">
      <formula1>"秒, 分, 時間"</formula1>
    </dataValidation>
    <dataValidation type="list" allowBlank="1" showInputMessage="1" showErrorMessage="1" sqref="K22" xr:uid="{00000000-0002-0000-0200-000001000000}">
      <formula1>"Online Job, Background Job"</formula1>
    </dataValidation>
    <dataValidation type="list" allowBlank="1" showInputMessage="1" showErrorMessage="1" sqref="Q22:U22" xr:uid="{00000000-0002-0000-0200-000002000000}">
      <formula1>"日次, 週次, 月次, 随時, その他"</formula1>
    </dataValidation>
    <dataValidation type="list" allowBlank="1" showErrorMessage="1" promptTitle="テスト" prompt="ちゃんとせーよ_x000a_" sqref="Y20" xr:uid="{00000000-0002-0000-0200-000003000000}">
      <formula1>"秒, 分, 時間"</formula1>
    </dataValidation>
    <dataValidation type="list" allowBlank="1" showInputMessage="1" showErrorMessage="1" sqref="K25:L25" xr:uid="{00000000-0002-0000-0200-000004000000}">
      <formula1>"FI ,CO ,SD ,MM ,PP ,HR"</formula1>
    </dataValidation>
  </dataValidations>
  <pageMargins left="0.78740157480314965" right="0.39370078740157483" top="0.78740157480314965" bottom="0.78740157480314965" header="0.51181102362204722" footer="0.51181102362204722"/>
  <pageSetup paperSize="9" scale="96" orientation="portrait" verticalDpi="4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AM288"/>
  <sheetViews>
    <sheetView topLeftCell="A10" zoomScaleNormal="100" workbookViewId="0">
      <selection activeCell="V19" sqref="V19"/>
    </sheetView>
  </sheetViews>
  <sheetFormatPr defaultColWidth="2.85546875" defaultRowHeight="11.25"/>
  <cols>
    <col min="1" max="16384" width="2.85546875" style="2"/>
  </cols>
  <sheetData>
    <row r="1" spans="1:39" ht="18.95" customHeight="1">
      <c r="A1" s="108"/>
      <c r="B1" s="109"/>
      <c r="C1" s="109"/>
      <c r="D1" s="110" t="s">
        <v>90</v>
      </c>
      <c r="E1" s="111"/>
      <c r="F1" s="112"/>
      <c r="G1" s="544" t="str">
        <f>IF(詳細設計書!G1="","N/A",詳細設計書!G1)</f>
        <v>統合会計システム開発</v>
      </c>
      <c r="H1" s="544"/>
      <c r="I1" s="544"/>
      <c r="J1" s="544"/>
      <c r="K1" s="544"/>
      <c r="L1" s="544"/>
      <c r="M1" s="544"/>
      <c r="N1" s="545"/>
      <c r="O1" s="110" t="s">
        <v>283</v>
      </c>
      <c r="P1" s="111"/>
      <c r="Q1" s="111"/>
      <c r="R1" s="113"/>
      <c r="S1" s="575">
        <f>IF(詳細設計書!S1="","N/A",詳細設計書!S1)</f>
        <v>42509</v>
      </c>
      <c r="T1" s="576"/>
      <c r="U1" s="576"/>
      <c r="V1" s="576"/>
      <c r="W1" s="576"/>
      <c r="X1" s="576"/>
      <c r="Y1" s="577"/>
      <c r="Z1" s="110" t="s">
        <v>284</v>
      </c>
      <c r="AA1" s="114"/>
      <c r="AB1" s="114"/>
      <c r="AC1" s="115"/>
      <c r="AD1" s="578">
        <f>IF(詳細設計書!AD1="","",詳細設計書!AD1)</f>
        <v>42559</v>
      </c>
      <c r="AE1" s="579"/>
      <c r="AF1" s="579"/>
      <c r="AG1" s="579"/>
      <c r="AH1" s="579"/>
      <c r="AI1" s="580"/>
    </row>
    <row r="2" spans="1:39" ht="18.95" customHeight="1">
      <c r="A2" s="30"/>
      <c r="D2" s="116" t="s">
        <v>93</v>
      </c>
      <c r="E2" s="34"/>
      <c r="F2" s="117"/>
      <c r="G2" s="550" t="str">
        <f>IF(詳細設計書!G2="","N/A",詳細設計書!G2)</f>
        <v>SAP R/3(レポート)</v>
      </c>
      <c r="H2" s="550"/>
      <c r="I2" s="550"/>
      <c r="J2" s="550"/>
      <c r="K2" s="550"/>
      <c r="L2" s="550"/>
      <c r="M2" s="550"/>
      <c r="N2" s="551"/>
      <c r="O2" s="116" t="s">
        <v>286</v>
      </c>
      <c r="P2" s="34"/>
      <c r="Q2" s="34"/>
      <c r="R2" s="118"/>
      <c r="S2" s="581" t="str">
        <f>IF(詳細設計書!S2="","N/A",詳細設計書!S2)</f>
        <v>KSC 橋本</v>
      </c>
      <c r="T2" s="582"/>
      <c r="U2" s="582"/>
      <c r="V2" s="582"/>
      <c r="W2" s="582"/>
      <c r="X2" s="582"/>
      <c r="Y2" s="583"/>
      <c r="Z2" s="116" t="s">
        <v>288</v>
      </c>
      <c r="AA2" s="119"/>
      <c r="AB2" s="120"/>
      <c r="AC2" s="117"/>
      <c r="AD2" s="584" t="str">
        <f>IF(詳細設計書!AD2="","",詳細設計書!AD2)</f>
        <v>KSC 橋本</v>
      </c>
      <c r="AE2" s="585"/>
      <c r="AF2" s="585"/>
      <c r="AG2" s="585"/>
      <c r="AH2" s="585"/>
      <c r="AI2" s="586"/>
    </row>
    <row r="3" spans="1:39" ht="18.95" customHeight="1" thickBot="1">
      <c r="A3" s="30"/>
      <c r="C3" s="14"/>
      <c r="D3" s="122" t="s">
        <v>96</v>
      </c>
      <c r="E3" s="123"/>
      <c r="F3" s="124"/>
      <c r="G3" s="563" t="str">
        <f>IF(詳細設計書!G3="","N/A",詳細設計書!G3)</f>
        <v>DP_FI_2014_01</v>
      </c>
      <c r="H3" s="564"/>
      <c r="I3" s="564"/>
      <c r="J3" s="564"/>
      <c r="K3" s="564"/>
      <c r="L3" s="564"/>
      <c r="M3" s="564"/>
      <c r="N3" s="565"/>
      <c r="O3" s="122" t="s">
        <v>97</v>
      </c>
      <c r="P3" s="123"/>
      <c r="Q3" s="123"/>
      <c r="R3" s="125"/>
      <c r="S3" s="572" t="str">
        <f>IF(詳細設計書!S3="","N/A",詳細設計書!S3)</f>
        <v>ZFIPR_2014_01</v>
      </c>
      <c r="T3" s="573"/>
      <c r="U3" s="573"/>
      <c r="V3" s="573"/>
      <c r="W3" s="573"/>
      <c r="X3" s="573"/>
      <c r="Y3" s="573"/>
      <c r="Z3" s="587" t="s">
        <v>290</v>
      </c>
      <c r="AA3" s="588"/>
      <c r="AB3" s="589"/>
      <c r="AC3" s="572" t="str">
        <f>詳細設計書!AC3</f>
        <v>RD_FI_2014</v>
      </c>
      <c r="AD3" s="573"/>
      <c r="AE3" s="573"/>
      <c r="AF3" s="573"/>
      <c r="AG3" s="573"/>
      <c r="AH3" s="573"/>
      <c r="AI3" s="574"/>
    </row>
    <row r="4" spans="1:39" ht="18.95" customHeight="1" thickBot="1">
      <c r="A4" s="31" t="s">
        <v>292</v>
      </c>
      <c r="B4" s="32"/>
      <c r="C4" s="32"/>
      <c r="D4" s="187" t="s">
        <v>328</v>
      </c>
      <c r="E4" s="184"/>
      <c r="F4" s="184"/>
      <c r="G4" s="184"/>
      <c r="H4" s="184"/>
      <c r="I4" s="184"/>
      <c r="J4" s="184"/>
      <c r="K4" s="184"/>
      <c r="L4" s="184"/>
      <c r="M4" s="184"/>
      <c r="N4" s="184"/>
      <c r="O4" s="184"/>
      <c r="P4" s="184"/>
      <c r="Q4" s="184"/>
      <c r="R4" s="184"/>
      <c r="S4" s="184"/>
      <c r="T4" s="184"/>
      <c r="U4" s="184"/>
      <c r="V4" s="184"/>
      <c r="W4" s="184"/>
      <c r="X4" s="184"/>
      <c r="Y4" s="184"/>
      <c r="Z4" s="57" t="s">
        <v>100</v>
      </c>
      <c r="AA4" s="32"/>
      <c r="AB4" s="32"/>
      <c r="AC4" s="618" t="str">
        <f>詳細設計書!AC4</f>
        <v>1.0</v>
      </c>
      <c r="AD4" s="597"/>
      <c r="AE4" s="597"/>
      <c r="AF4" s="597"/>
      <c r="AG4" s="597"/>
      <c r="AH4" s="597"/>
      <c r="AI4" s="598"/>
    </row>
    <row r="5" spans="1:39" ht="7.5" customHeight="1" thickBot="1"/>
    <row r="6" spans="1:39" ht="15" customHeight="1" thickBot="1">
      <c r="A6" s="31" t="s">
        <v>295</v>
      </c>
      <c r="B6" s="60"/>
      <c r="C6" s="75"/>
      <c r="D6" s="593"/>
      <c r="E6" s="594"/>
      <c r="F6" s="594"/>
      <c r="G6" s="594"/>
      <c r="H6" s="594"/>
      <c r="I6" s="594"/>
      <c r="J6" s="594"/>
      <c r="K6" s="594"/>
      <c r="L6" s="594"/>
      <c r="M6" s="594"/>
      <c r="N6" s="594"/>
      <c r="O6" s="594"/>
      <c r="P6" s="594"/>
      <c r="Q6" s="594"/>
      <c r="R6" s="595"/>
      <c r="S6" s="57" t="s">
        <v>296</v>
      </c>
      <c r="T6" s="32"/>
      <c r="U6" s="32"/>
      <c r="V6" s="58"/>
      <c r="W6" s="590"/>
      <c r="X6" s="591"/>
      <c r="Y6" s="591"/>
      <c r="Z6" s="591"/>
      <c r="AA6" s="591"/>
      <c r="AB6" s="591"/>
      <c r="AC6" s="591"/>
      <c r="AD6" s="591"/>
      <c r="AE6" s="591"/>
      <c r="AF6" s="591"/>
      <c r="AG6" s="591"/>
      <c r="AH6" s="591"/>
      <c r="AI6" s="592"/>
    </row>
    <row r="7" spans="1:39" ht="15" customHeight="1" thickBot="1">
      <c r="A7" s="31" t="s">
        <v>297</v>
      </c>
      <c r="B7" s="60"/>
      <c r="C7" s="75"/>
      <c r="D7" s="593"/>
      <c r="E7" s="594"/>
      <c r="F7" s="594"/>
      <c r="G7" s="594"/>
      <c r="H7" s="594"/>
      <c r="I7" s="594"/>
      <c r="J7" s="594"/>
      <c r="K7" s="594"/>
      <c r="L7" s="594"/>
      <c r="M7" s="594"/>
      <c r="N7" s="594"/>
      <c r="O7" s="594"/>
      <c r="P7" s="594"/>
      <c r="Q7" s="594"/>
      <c r="R7" s="595"/>
      <c r="S7" s="57" t="s">
        <v>296</v>
      </c>
      <c r="T7" s="32"/>
      <c r="U7" s="32"/>
      <c r="V7" s="58"/>
      <c r="W7" s="590"/>
      <c r="X7" s="591"/>
      <c r="Y7" s="591"/>
      <c r="Z7" s="591"/>
      <c r="AA7" s="591"/>
      <c r="AB7" s="591"/>
      <c r="AC7" s="591"/>
      <c r="AD7" s="591"/>
      <c r="AE7" s="591"/>
      <c r="AF7" s="591"/>
      <c r="AG7" s="591"/>
      <c r="AH7" s="591"/>
      <c r="AI7" s="592"/>
    </row>
    <row r="8" spans="1:39" ht="15" customHeight="1" thickBot="1"/>
    <row r="9" spans="1:39" ht="15" customHeight="1">
      <c r="A9" s="602" t="s">
        <v>329</v>
      </c>
      <c r="B9" s="603"/>
      <c r="C9" s="615"/>
      <c r="D9" s="616" t="s">
        <v>330</v>
      </c>
      <c r="E9" s="603"/>
      <c r="F9" s="603"/>
      <c r="G9" s="603"/>
      <c r="H9" s="603"/>
      <c r="I9" s="603"/>
      <c r="J9" s="603"/>
      <c r="K9" s="603"/>
      <c r="L9" s="603"/>
      <c r="M9" s="603"/>
      <c r="N9" s="603"/>
      <c r="O9" s="603"/>
      <c r="P9" s="603"/>
      <c r="Q9" s="603"/>
      <c r="R9" s="603"/>
      <c r="S9" s="603"/>
      <c r="T9" s="603"/>
      <c r="U9" s="603"/>
      <c r="V9" s="603"/>
      <c r="W9" s="603"/>
      <c r="X9" s="603"/>
      <c r="Y9" s="603"/>
      <c r="Z9" s="603"/>
      <c r="AA9" s="603"/>
      <c r="AB9" s="603"/>
      <c r="AC9" s="603"/>
      <c r="AD9" s="603"/>
      <c r="AE9" s="603"/>
      <c r="AF9" s="603"/>
      <c r="AG9" s="603"/>
      <c r="AH9" s="603"/>
      <c r="AI9" s="617"/>
    </row>
    <row r="10" spans="1:39" s="295" customFormat="1" ht="15" customHeight="1">
      <c r="A10" s="294"/>
      <c r="B10" s="412" t="s">
        <v>331</v>
      </c>
      <c r="C10" s="296"/>
      <c r="D10" s="300"/>
      <c r="E10" s="300" t="s">
        <v>332</v>
      </c>
      <c r="F10" s="300"/>
      <c r="G10" s="300"/>
      <c r="H10" s="300"/>
      <c r="I10" s="301"/>
      <c r="K10" s="300"/>
      <c r="L10" s="300"/>
      <c r="M10" s="301"/>
      <c r="N10" s="306"/>
      <c r="O10" s="300"/>
      <c r="P10" s="300"/>
      <c r="Q10" s="300"/>
      <c r="R10" s="301"/>
      <c r="S10" s="300"/>
      <c r="T10" s="300"/>
      <c r="U10" s="300"/>
      <c r="V10" s="301"/>
      <c r="W10" s="301"/>
      <c r="X10" s="300"/>
      <c r="Y10" s="300"/>
      <c r="Z10" s="300"/>
      <c r="AA10" s="300"/>
      <c r="AB10" s="300"/>
      <c r="AC10" s="300"/>
      <c r="AD10" s="300"/>
      <c r="AE10" s="300"/>
      <c r="AF10" s="300"/>
      <c r="AG10" s="300"/>
      <c r="AH10" s="300"/>
      <c r="AI10" s="302"/>
      <c r="AJ10" s="300"/>
      <c r="AK10" s="300"/>
      <c r="AL10" s="300"/>
      <c r="AM10" s="300"/>
    </row>
    <row r="11" spans="1:39" s="295" customFormat="1" ht="15" customHeight="1">
      <c r="A11" s="294"/>
      <c r="C11" s="296"/>
      <c r="D11" s="300"/>
      <c r="E11" s="411" t="s">
        <v>333</v>
      </c>
      <c r="F11" s="300" t="s">
        <v>334</v>
      </c>
      <c r="G11" s="300"/>
      <c r="H11" s="300"/>
      <c r="I11" s="301"/>
      <c r="J11" s="300"/>
      <c r="K11" s="300"/>
      <c r="L11" s="300"/>
      <c r="M11" s="301"/>
      <c r="N11" s="300"/>
      <c r="P11" s="300"/>
      <c r="Q11" s="300"/>
      <c r="R11" s="301"/>
      <c r="S11" s="300"/>
      <c r="T11" s="300"/>
      <c r="U11" s="300"/>
      <c r="V11" s="301"/>
      <c r="W11" s="301"/>
      <c r="X11" s="300"/>
      <c r="Y11" s="300"/>
      <c r="Z11" s="300"/>
      <c r="AA11" s="300"/>
      <c r="AB11" s="300"/>
      <c r="AC11" s="300"/>
      <c r="AD11" s="300"/>
      <c r="AE11" s="300"/>
      <c r="AF11" s="300"/>
      <c r="AG11" s="300"/>
      <c r="AH11" s="300"/>
      <c r="AI11" s="302"/>
      <c r="AJ11" s="300"/>
      <c r="AK11" s="300"/>
      <c r="AL11" s="300"/>
      <c r="AM11" s="300"/>
    </row>
    <row r="12" spans="1:39" s="295" customFormat="1" ht="15" customHeight="1">
      <c r="A12" s="294"/>
      <c r="C12" s="296"/>
      <c r="D12" s="300"/>
      <c r="E12" s="301"/>
      <c r="F12" s="300"/>
      <c r="G12" s="295" t="s">
        <v>335</v>
      </c>
      <c r="H12" s="295" t="s">
        <v>336</v>
      </c>
      <c r="U12" s="300"/>
      <c r="V12" s="301"/>
      <c r="W12" s="301"/>
      <c r="X12" s="300"/>
      <c r="Y12" s="300"/>
      <c r="Z12" s="300"/>
      <c r="AA12" s="300"/>
      <c r="AB12" s="300"/>
      <c r="AC12" s="300"/>
      <c r="AD12" s="300"/>
      <c r="AE12" s="300"/>
      <c r="AF12" s="300"/>
      <c r="AG12" s="300"/>
      <c r="AH12" s="300"/>
      <c r="AI12" s="302"/>
      <c r="AJ12" s="300"/>
      <c r="AK12" s="300"/>
    </row>
    <row r="13" spans="1:39" s="295" customFormat="1" ht="15" customHeight="1">
      <c r="A13" s="294"/>
      <c r="C13" s="296"/>
      <c r="D13" s="300"/>
      <c r="E13" s="300"/>
      <c r="F13" s="300" t="s">
        <v>337</v>
      </c>
      <c r="U13" s="300"/>
      <c r="V13" s="301"/>
      <c r="W13" s="301"/>
      <c r="X13" s="300"/>
      <c r="Y13" s="300"/>
      <c r="Z13" s="300"/>
      <c r="AA13" s="300"/>
      <c r="AB13" s="300"/>
      <c r="AC13" s="300"/>
      <c r="AD13" s="300"/>
      <c r="AE13" s="300"/>
      <c r="AF13" s="300"/>
      <c r="AG13" s="300"/>
      <c r="AH13" s="300"/>
      <c r="AI13" s="302"/>
      <c r="AJ13" s="300"/>
      <c r="AK13" s="300"/>
    </row>
    <row r="14" spans="1:39" s="295" customFormat="1" ht="15" customHeight="1">
      <c r="A14" s="294"/>
      <c r="C14" s="296"/>
      <c r="D14" s="300"/>
      <c r="G14" s="295" t="s">
        <v>338</v>
      </c>
      <c r="AF14" s="300"/>
      <c r="AG14" s="300"/>
      <c r="AH14" s="300"/>
      <c r="AI14" s="302"/>
      <c r="AJ14" s="300"/>
      <c r="AK14" s="300"/>
    </row>
    <row r="15" spans="1:39" s="295" customFormat="1" ht="15" customHeight="1">
      <c r="A15" s="294"/>
      <c r="C15" s="296"/>
      <c r="D15" s="300"/>
      <c r="AF15" s="300"/>
      <c r="AG15" s="300"/>
      <c r="AH15" s="300"/>
      <c r="AI15" s="302"/>
      <c r="AJ15" s="300"/>
      <c r="AK15" s="300"/>
      <c r="AL15" s="300"/>
      <c r="AM15" s="300"/>
    </row>
    <row r="16" spans="1:39" s="295" customFormat="1" ht="15" customHeight="1">
      <c r="A16" s="294"/>
      <c r="C16" s="296"/>
      <c r="D16" s="300"/>
      <c r="E16" s="300" t="s">
        <v>339</v>
      </c>
      <c r="F16" s="300" t="s">
        <v>340</v>
      </c>
      <c r="U16" s="300"/>
      <c r="V16" s="301"/>
      <c r="W16" s="301"/>
      <c r="X16" s="300"/>
      <c r="Y16" s="300"/>
      <c r="Z16" s="300"/>
      <c r="AA16" s="300"/>
      <c r="AB16" s="300"/>
      <c r="AC16" s="300"/>
      <c r="AD16" s="300"/>
      <c r="AE16" s="300"/>
      <c r="AF16" s="300"/>
      <c r="AG16" s="300"/>
      <c r="AH16" s="300"/>
      <c r="AI16" s="302"/>
      <c r="AJ16" s="300"/>
      <c r="AK16" s="300"/>
      <c r="AL16" s="300"/>
      <c r="AM16" s="300"/>
    </row>
    <row r="17" spans="1:39" s="295" customFormat="1" ht="15" customHeight="1">
      <c r="A17" s="294"/>
      <c r="C17" s="296"/>
      <c r="D17" s="300"/>
      <c r="F17" s="300" t="s">
        <v>341</v>
      </c>
      <c r="G17" s="300"/>
      <c r="H17" s="301"/>
      <c r="I17" s="300"/>
      <c r="J17" s="300"/>
      <c r="K17" s="300"/>
      <c r="L17" s="301"/>
      <c r="M17" s="306"/>
      <c r="N17" s="300"/>
      <c r="O17" s="300"/>
      <c r="P17" s="300"/>
      <c r="Q17" s="306"/>
      <c r="R17" s="300"/>
      <c r="S17" s="300"/>
      <c r="T17" s="300"/>
      <c r="U17" s="301"/>
      <c r="V17" s="306"/>
      <c r="W17" s="300"/>
      <c r="X17" s="300"/>
      <c r="Y17" s="300"/>
      <c r="Z17" s="300"/>
      <c r="AA17" s="300"/>
      <c r="AB17" s="300"/>
      <c r="AC17" s="300"/>
      <c r="AD17" s="300"/>
      <c r="AE17" s="300"/>
      <c r="AF17" s="300"/>
      <c r="AG17" s="300"/>
      <c r="AH17" s="300"/>
      <c r="AI17" s="302"/>
      <c r="AJ17" s="300"/>
      <c r="AK17" s="300"/>
      <c r="AL17" s="300"/>
      <c r="AM17" s="300"/>
    </row>
    <row r="18" spans="1:39" s="295" customFormat="1" ht="15" customHeight="1">
      <c r="A18" s="294"/>
      <c r="C18" s="296"/>
      <c r="D18" s="300"/>
      <c r="F18" s="300" t="s">
        <v>342</v>
      </c>
      <c r="G18" s="300"/>
      <c r="H18" s="300"/>
      <c r="I18" s="300"/>
      <c r="J18" s="300"/>
      <c r="K18" s="300"/>
      <c r="L18" s="300" t="s">
        <v>343</v>
      </c>
      <c r="M18" s="306"/>
      <c r="N18" s="300"/>
      <c r="O18" s="300"/>
      <c r="P18" s="300"/>
      <c r="Q18" s="306"/>
      <c r="R18" s="300"/>
      <c r="S18" s="300"/>
      <c r="T18" s="300"/>
      <c r="U18" s="301"/>
      <c r="V18" s="306"/>
      <c r="W18" s="300"/>
      <c r="X18" s="300"/>
      <c r="Y18" s="300"/>
      <c r="Z18" s="300"/>
      <c r="AA18" s="300"/>
      <c r="AB18" s="300"/>
      <c r="AC18" s="300"/>
      <c r="AD18" s="300"/>
      <c r="AE18" s="300"/>
      <c r="AF18" s="300"/>
      <c r="AG18" s="300"/>
      <c r="AH18" s="300"/>
      <c r="AI18" s="302"/>
      <c r="AJ18" s="300"/>
      <c r="AK18" s="300"/>
      <c r="AL18" s="300"/>
      <c r="AM18" s="300"/>
    </row>
    <row r="19" spans="1:39" s="295" customFormat="1" ht="15" customHeight="1">
      <c r="A19" s="294"/>
      <c r="B19" s="412"/>
      <c r="C19" s="296"/>
      <c r="D19" s="300"/>
      <c r="E19" s="300"/>
      <c r="F19" s="300"/>
      <c r="G19" s="300"/>
      <c r="H19" s="300"/>
      <c r="I19" s="301"/>
      <c r="J19" s="300"/>
      <c r="K19" s="300"/>
      <c r="L19" s="300"/>
      <c r="M19" s="301"/>
      <c r="N19" s="306"/>
      <c r="O19" s="300"/>
      <c r="P19" s="300"/>
      <c r="Q19" s="300"/>
      <c r="R19" s="306"/>
      <c r="S19" s="300"/>
      <c r="T19" s="300"/>
      <c r="U19" s="300"/>
      <c r="V19" s="301"/>
      <c r="W19" s="306"/>
      <c r="X19" s="300"/>
      <c r="Y19" s="300"/>
      <c r="Z19" s="300"/>
      <c r="AA19" s="300"/>
      <c r="AB19" s="300"/>
      <c r="AC19" s="300"/>
      <c r="AD19" s="300"/>
      <c r="AE19" s="300"/>
      <c r="AF19" s="300"/>
      <c r="AG19" s="300"/>
      <c r="AH19" s="300"/>
      <c r="AI19" s="302"/>
      <c r="AJ19" s="300"/>
      <c r="AK19" s="300"/>
      <c r="AL19" s="300"/>
      <c r="AM19" s="300"/>
    </row>
    <row r="20" spans="1:39" s="295" customFormat="1" ht="15" customHeight="1">
      <c r="A20" s="294"/>
      <c r="B20" s="412" t="s">
        <v>344</v>
      </c>
      <c r="C20" s="296"/>
      <c r="D20" s="300"/>
      <c r="E20" s="300" t="s">
        <v>345</v>
      </c>
      <c r="F20" s="300"/>
      <c r="G20" s="300"/>
      <c r="H20" s="300"/>
      <c r="I20" s="301"/>
      <c r="J20" s="300"/>
      <c r="K20" s="300"/>
      <c r="L20" s="300"/>
      <c r="M20" s="301"/>
      <c r="N20" s="306"/>
      <c r="O20" s="300"/>
      <c r="P20" s="300"/>
      <c r="Q20" s="300"/>
      <c r="R20" s="306"/>
      <c r="S20" s="300"/>
      <c r="T20" s="300"/>
      <c r="U20" s="300"/>
      <c r="V20" s="301"/>
      <c r="W20" s="306"/>
      <c r="X20" s="300"/>
      <c r="Y20" s="300"/>
      <c r="Z20" s="300"/>
      <c r="AA20" s="300"/>
      <c r="AB20" s="300"/>
      <c r="AC20" s="300"/>
      <c r="AD20" s="300"/>
      <c r="AE20" s="300"/>
      <c r="AF20" s="300"/>
      <c r="AG20" s="300"/>
      <c r="AH20" s="300"/>
      <c r="AI20" s="302"/>
      <c r="AJ20" s="300"/>
      <c r="AK20" s="300"/>
      <c r="AL20" s="300"/>
      <c r="AM20" s="300"/>
    </row>
    <row r="21" spans="1:39" s="295" customFormat="1" ht="15" customHeight="1">
      <c r="A21" s="294"/>
      <c r="B21" s="412"/>
      <c r="C21" s="296"/>
      <c r="D21" s="300"/>
      <c r="E21" s="300" t="s">
        <v>346</v>
      </c>
      <c r="F21" s="300" t="s">
        <v>347</v>
      </c>
      <c r="G21" s="300"/>
      <c r="H21" s="300"/>
      <c r="I21" s="301"/>
      <c r="J21" s="300"/>
      <c r="K21" s="300"/>
      <c r="L21" s="300"/>
      <c r="M21" s="301"/>
      <c r="N21" s="306"/>
      <c r="O21" s="300"/>
      <c r="P21" s="300"/>
      <c r="Q21" s="300"/>
      <c r="R21" s="306"/>
      <c r="S21" s="300"/>
      <c r="T21" s="300"/>
      <c r="U21" s="300"/>
      <c r="V21" s="301"/>
      <c r="W21" s="306"/>
      <c r="X21" s="300"/>
      <c r="Y21" s="300"/>
      <c r="Z21" s="300"/>
      <c r="AA21" s="300"/>
      <c r="AB21" s="300"/>
      <c r="AC21" s="300"/>
      <c r="AD21" s="300"/>
      <c r="AE21" s="300"/>
      <c r="AF21" s="300"/>
      <c r="AG21" s="300"/>
      <c r="AH21" s="300"/>
      <c r="AI21" s="302"/>
      <c r="AJ21" s="300"/>
      <c r="AK21" s="300"/>
      <c r="AL21" s="300"/>
      <c r="AM21" s="300"/>
    </row>
    <row r="22" spans="1:39" s="295" customFormat="1" ht="15" customHeight="1">
      <c r="A22" s="294"/>
      <c r="B22" s="412"/>
      <c r="C22" s="296"/>
      <c r="D22" s="300"/>
      <c r="E22" s="303"/>
      <c r="F22" s="300" t="s">
        <v>348</v>
      </c>
      <c r="G22" s="300"/>
      <c r="H22" s="301"/>
      <c r="I22" s="300"/>
      <c r="J22" s="300"/>
      <c r="K22" s="300"/>
      <c r="L22" s="300"/>
      <c r="M22" s="301"/>
      <c r="N22" s="306"/>
      <c r="O22" s="300"/>
      <c r="P22" s="300"/>
      <c r="Q22" s="300"/>
      <c r="R22" s="306"/>
      <c r="S22" s="300"/>
      <c r="T22" s="300"/>
      <c r="U22" s="300"/>
      <c r="V22" s="301"/>
      <c r="W22" s="306"/>
      <c r="X22" s="300"/>
      <c r="Y22" s="300"/>
      <c r="Z22" s="300"/>
      <c r="AA22" s="300"/>
      <c r="AB22" s="300"/>
      <c r="AC22" s="300"/>
      <c r="AD22" s="300"/>
      <c r="AE22" s="300"/>
      <c r="AF22" s="300"/>
      <c r="AG22" s="300"/>
      <c r="AH22" s="300"/>
      <c r="AI22" s="302"/>
      <c r="AJ22" s="300"/>
      <c r="AK22" s="300"/>
      <c r="AL22" s="300"/>
      <c r="AM22" s="300"/>
    </row>
    <row r="23" spans="1:39" s="295" customFormat="1" ht="15" customHeight="1">
      <c r="A23" s="294"/>
      <c r="B23" s="412"/>
      <c r="C23" s="296"/>
      <c r="D23" s="300"/>
      <c r="E23" s="301"/>
      <c r="F23" s="2" t="s">
        <v>349</v>
      </c>
      <c r="G23" s="2"/>
      <c r="H23" s="8"/>
      <c r="I23" s="2"/>
      <c r="J23" s="300"/>
      <c r="K23" s="300"/>
      <c r="L23" s="300"/>
      <c r="M23" s="301"/>
      <c r="N23" s="306"/>
      <c r="O23" s="300"/>
      <c r="P23" s="300"/>
      <c r="Q23" s="300"/>
      <c r="R23" s="306"/>
      <c r="S23" s="300"/>
      <c r="T23" s="300"/>
      <c r="U23" s="300"/>
      <c r="V23" s="301"/>
      <c r="W23" s="306"/>
      <c r="X23" s="300"/>
      <c r="Y23" s="300"/>
      <c r="Z23" s="300"/>
      <c r="AA23" s="300"/>
      <c r="AB23" s="300"/>
      <c r="AC23" s="300"/>
      <c r="AD23" s="300"/>
      <c r="AE23" s="300"/>
      <c r="AF23" s="300"/>
      <c r="AG23" s="300"/>
      <c r="AH23" s="300"/>
      <c r="AI23" s="302"/>
      <c r="AJ23" s="300"/>
      <c r="AK23" s="300"/>
      <c r="AL23" s="300"/>
      <c r="AM23" s="300"/>
    </row>
    <row r="24" spans="1:39" s="295" customFormat="1" ht="15" customHeight="1">
      <c r="A24" s="294"/>
      <c r="B24" s="412"/>
      <c r="C24" s="296"/>
      <c r="D24" s="300"/>
      <c r="E24" s="301"/>
      <c r="F24" s="2"/>
      <c r="G24" s="2" t="s">
        <v>350</v>
      </c>
      <c r="H24" s="8"/>
      <c r="I24" s="2"/>
      <c r="J24" s="300"/>
      <c r="K24" s="300"/>
      <c r="L24" s="300"/>
      <c r="M24" s="301"/>
      <c r="N24" s="306"/>
      <c r="O24" s="300"/>
      <c r="P24" s="300"/>
      <c r="Q24" s="300"/>
      <c r="R24" s="306"/>
      <c r="S24" s="300"/>
      <c r="T24" s="300"/>
      <c r="U24" s="300"/>
      <c r="V24" s="301"/>
      <c r="W24" s="306"/>
      <c r="X24" s="300"/>
      <c r="Y24" s="300"/>
      <c r="Z24" s="300"/>
      <c r="AA24" s="300"/>
      <c r="AB24" s="300"/>
      <c r="AC24" s="300"/>
      <c r="AD24" s="300"/>
      <c r="AE24" s="300"/>
      <c r="AF24" s="300"/>
      <c r="AG24" s="300"/>
      <c r="AH24" s="300"/>
      <c r="AI24" s="302"/>
      <c r="AJ24" s="300"/>
      <c r="AK24" s="300"/>
      <c r="AL24" s="300"/>
      <c r="AM24" s="300"/>
    </row>
    <row r="25" spans="1:39" s="295" customFormat="1" ht="15" customHeight="1">
      <c r="A25" s="294"/>
      <c r="B25" s="412"/>
      <c r="C25" s="296"/>
      <c r="D25" s="300"/>
      <c r="E25" s="301"/>
      <c r="F25" s="2"/>
      <c r="G25" s="2"/>
      <c r="H25" s="8"/>
      <c r="I25" s="2"/>
      <c r="J25" s="300"/>
      <c r="K25" s="300"/>
      <c r="L25" s="300"/>
      <c r="M25" s="301"/>
      <c r="N25" s="306"/>
      <c r="O25" s="300"/>
      <c r="P25" s="300"/>
      <c r="Q25" s="300"/>
      <c r="R25" s="306"/>
      <c r="S25" s="300"/>
      <c r="T25" s="300"/>
      <c r="U25" s="300"/>
      <c r="V25" s="301"/>
      <c r="W25" s="306"/>
      <c r="X25" s="300"/>
      <c r="Y25" s="300"/>
      <c r="Z25" s="300"/>
      <c r="AA25" s="300"/>
      <c r="AB25" s="300"/>
      <c r="AC25" s="300"/>
      <c r="AD25" s="300"/>
      <c r="AE25" s="300"/>
      <c r="AF25" s="300"/>
      <c r="AG25" s="300"/>
      <c r="AH25" s="300"/>
      <c r="AI25" s="302"/>
      <c r="AJ25" s="300"/>
      <c r="AK25" s="300"/>
      <c r="AL25" s="300"/>
      <c r="AM25" s="300"/>
    </row>
    <row r="26" spans="1:39" s="295" customFormat="1" ht="15" customHeight="1">
      <c r="A26" s="294"/>
      <c r="B26" s="412"/>
      <c r="C26" s="296"/>
      <c r="D26" s="300"/>
      <c r="E26" s="300" t="s">
        <v>351</v>
      </c>
      <c r="F26" s="300" t="s">
        <v>352</v>
      </c>
      <c r="G26" s="2"/>
      <c r="H26" s="300"/>
      <c r="I26" s="2"/>
      <c r="J26" s="300"/>
      <c r="K26" s="300"/>
      <c r="L26" s="300"/>
      <c r="M26" s="301"/>
      <c r="N26" s="306"/>
      <c r="O26" s="300"/>
      <c r="P26" s="300"/>
      <c r="Q26" s="300"/>
      <c r="R26" s="306"/>
      <c r="S26" s="300"/>
      <c r="T26" s="300"/>
      <c r="U26" s="300"/>
      <c r="V26" s="301"/>
      <c r="W26" s="300"/>
      <c r="X26" s="300"/>
      <c r="Y26" s="300"/>
      <c r="Z26" s="300"/>
      <c r="AA26" s="300"/>
      <c r="AB26" s="300"/>
      <c r="AC26" s="300"/>
      <c r="AD26" s="300"/>
      <c r="AE26" s="300"/>
      <c r="AF26" s="300"/>
      <c r="AG26" s="300"/>
      <c r="AH26" s="300"/>
      <c r="AI26" s="302"/>
      <c r="AJ26" s="300"/>
      <c r="AK26" s="300"/>
      <c r="AL26" s="300"/>
      <c r="AM26" s="300"/>
    </row>
    <row r="27" spans="1:39" s="295" customFormat="1" ht="15" customHeight="1">
      <c r="A27" s="294"/>
      <c r="B27" s="412"/>
      <c r="C27" s="296"/>
      <c r="D27" s="300"/>
      <c r="E27" s="301"/>
      <c r="F27" s="2" t="s">
        <v>353</v>
      </c>
      <c r="G27" s="2"/>
      <c r="H27" s="300"/>
      <c r="I27" s="2"/>
      <c r="J27" s="300"/>
      <c r="K27" s="300"/>
      <c r="L27" s="300"/>
      <c r="M27" s="301"/>
      <c r="N27" s="306"/>
      <c r="O27" s="300"/>
      <c r="P27" s="300"/>
      <c r="Q27" s="300"/>
      <c r="R27" s="306"/>
      <c r="S27" s="300"/>
      <c r="T27" s="300"/>
      <c r="U27" s="300"/>
      <c r="V27" s="301"/>
      <c r="W27" s="306"/>
      <c r="X27" s="300"/>
      <c r="Y27" s="300"/>
      <c r="Z27" s="300"/>
      <c r="AA27" s="300"/>
      <c r="AB27" s="300"/>
      <c r="AC27" s="300"/>
      <c r="AD27" s="300"/>
      <c r="AE27" s="300"/>
      <c r="AF27" s="300"/>
      <c r="AG27" s="300"/>
      <c r="AH27" s="300"/>
      <c r="AI27" s="302"/>
      <c r="AJ27" s="300"/>
      <c r="AK27" s="300"/>
      <c r="AL27" s="300"/>
      <c r="AM27" s="300"/>
    </row>
    <row r="28" spans="1:39" s="295" customFormat="1" ht="15" customHeight="1">
      <c r="A28" s="294"/>
      <c r="B28" s="412"/>
      <c r="C28" s="296"/>
      <c r="D28" s="300"/>
      <c r="G28" s="295" t="s">
        <v>354</v>
      </c>
      <c r="L28" s="300"/>
      <c r="M28" s="301"/>
      <c r="N28" s="306"/>
      <c r="O28" s="300"/>
      <c r="P28" s="300"/>
      <c r="Q28" s="300"/>
      <c r="R28" s="306"/>
      <c r="S28" s="300"/>
      <c r="T28" s="300"/>
      <c r="U28" s="300"/>
      <c r="V28" s="301"/>
      <c r="W28" s="306"/>
      <c r="X28" s="300"/>
      <c r="Y28" s="300"/>
      <c r="Z28" s="300"/>
      <c r="AA28" s="300"/>
      <c r="AB28" s="300"/>
      <c r="AC28" s="300"/>
      <c r="AD28" s="300"/>
      <c r="AE28" s="300"/>
      <c r="AF28" s="300"/>
      <c r="AG28" s="300"/>
      <c r="AH28" s="300"/>
      <c r="AI28" s="302"/>
      <c r="AJ28" s="300"/>
      <c r="AK28" s="300"/>
      <c r="AL28" s="300"/>
      <c r="AM28" s="300"/>
    </row>
    <row r="29" spans="1:39" s="295" customFormat="1" ht="15" customHeight="1">
      <c r="A29" s="294"/>
      <c r="B29" s="412"/>
      <c r="C29" s="296"/>
      <c r="D29" s="300"/>
      <c r="I29" s="2"/>
      <c r="J29" s="300"/>
      <c r="K29" s="300"/>
      <c r="L29" s="300"/>
      <c r="M29" s="301"/>
      <c r="N29" s="306"/>
      <c r="O29" s="300"/>
      <c r="P29" s="300"/>
      <c r="Q29" s="300"/>
      <c r="R29" s="306"/>
      <c r="S29" s="300"/>
      <c r="T29" s="300"/>
      <c r="U29" s="300"/>
      <c r="V29" s="301"/>
      <c r="W29" s="306"/>
      <c r="X29" s="300"/>
      <c r="Y29" s="300"/>
      <c r="Z29" s="300"/>
      <c r="AA29" s="300"/>
      <c r="AB29" s="300"/>
      <c r="AC29" s="300"/>
      <c r="AD29" s="300"/>
      <c r="AE29" s="300"/>
      <c r="AF29" s="300"/>
      <c r="AG29" s="300"/>
      <c r="AH29" s="300"/>
      <c r="AI29" s="302"/>
      <c r="AJ29" s="300"/>
      <c r="AK29" s="300"/>
      <c r="AL29" s="300"/>
      <c r="AM29" s="300"/>
    </row>
    <row r="30" spans="1:39" s="295" customFormat="1" ht="15" customHeight="1">
      <c r="A30" s="294"/>
      <c r="B30" s="412"/>
      <c r="C30" s="296"/>
      <c r="D30" s="300"/>
      <c r="E30" s="300"/>
      <c r="F30" s="2"/>
      <c r="G30" s="2"/>
      <c r="H30" s="8"/>
      <c r="I30" s="2"/>
      <c r="J30" s="300"/>
      <c r="K30" s="300"/>
      <c r="L30" s="300"/>
      <c r="M30" s="301"/>
      <c r="N30" s="306"/>
      <c r="O30" s="300"/>
      <c r="P30" s="300"/>
      <c r="Q30" s="300"/>
      <c r="R30" s="306"/>
      <c r="S30" s="300"/>
      <c r="T30" s="300"/>
      <c r="U30" s="300"/>
      <c r="V30" s="301"/>
      <c r="W30" s="306"/>
      <c r="X30" s="300"/>
      <c r="Y30" s="300"/>
      <c r="Z30" s="300"/>
      <c r="AA30" s="300"/>
      <c r="AB30" s="300"/>
      <c r="AC30" s="300"/>
      <c r="AD30" s="300"/>
      <c r="AE30" s="300"/>
      <c r="AF30" s="300"/>
      <c r="AG30" s="300"/>
      <c r="AH30" s="300"/>
      <c r="AI30" s="302"/>
      <c r="AJ30" s="300"/>
      <c r="AK30" s="300"/>
      <c r="AL30" s="300"/>
      <c r="AM30" s="300"/>
    </row>
    <row r="31" spans="1:39" s="295" customFormat="1" ht="15" customHeight="1">
      <c r="A31" s="294"/>
      <c r="B31" s="412"/>
      <c r="C31" s="296"/>
      <c r="D31" s="300"/>
      <c r="E31" s="301"/>
      <c r="F31" s="2"/>
      <c r="G31" s="2"/>
      <c r="H31" s="8"/>
      <c r="I31" s="2"/>
      <c r="J31" s="2"/>
      <c r="K31" s="2"/>
      <c r="L31" s="300"/>
      <c r="M31" s="301"/>
      <c r="N31" s="306"/>
      <c r="O31" s="300"/>
      <c r="P31" s="300"/>
      <c r="Q31" s="300"/>
      <c r="R31" s="306"/>
      <c r="S31" s="300"/>
      <c r="T31" s="300"/>
      <c r="U31" s="300"/>
      <c r="V31" s="301"/>
      <c r="W31" s="306"/>
      <c r="X31" s="300"/>
      <c r="Y31" s="300"/>
      <c r="Z31" s="300"/>
      <c r="AA31" s="300"/>
      <c r="AB31" s="300"/>
      <c r="AC31" s="300"/>
      <c r="AD31" s="300"/>
      <c r="AE31" s="300"/>
      <c r="AF31" s="300"/>
      <c r="AG31" s="300"/>
      <c r="AH31" s="300"/>
      <c r="AI31" s="302"/>
      <c r="AJ31" s="300"/>
      <c r="AK31" s="300"/>
      <c r="AL31" s="300"/>
      <c r="AM31" s="300"/>
    </row>
    <row r="32" spans="1:39" s="295" customFormat="1" ht="15" customHeight="1">
      <c r="A32" s="294"/>
      <c r="B32" s="412"/>
      <c r="C32" s="296"/>
      <c r="D32" s="300"/>
      <c r="J32" s="2"/>
      <c r="K32" s="2"/>
      <c r="L32" s="300"/>
      <c r="M32" s="301"/>
      <c r="N32" s="306"/>
      <c r="O32" s="300"/>
      <c r="P32" s="300"/>
      <c r="Q32" s="300"/>
      <c r="R32" s="306"/>
      <c r="S32" s="300"/>
      <c r="T32" s="300"/>
      <c r="U32" s="300"/>
      <c r="V32" s="301"/>
      <c r="W32" s="306"/>
      <c r="X32" s="300"/>
      <c r="Y32" s="300"/>
      <c r="Z32" s="300"/>
      <c r="AA32" s="300"/>
      <c r="AB32" s="300"/>
      <c r="AC32" s="300"/>
      <c r="AD32" s="300"/>
      <c r="AE32" s="300"/>
      <c r="AF32" s="300"/>
      <c r="AG32" s="300"/>
      <c r="AH32" s="300"/>
      <c r="AI32" s="302"/>
      <c r="AJ32" s="300"/>
      <c r="AK32" s="300"/>
      <c r="AL32" s="300"/>
      <c r="AM32" s="300"/>
    </row>
    <row r="33" spans="1:39" s="295" customFormat="1" ht="15" customHeight="1">
      <c r="A33" s="294"/>
      <c r="B33" s="412"/>
      <c r="C33" s="296"/>
      <c r="D33" s="300"/>
      <c r="I33" s="2"/>
      <c r="J33" s="300"/>
      <c r="K33" s="300"/>
      <c r="L33" s="300"/>
      <c r="M33" s="301"/>
      <c r="N33" s="306"/>
      <c r="O33" s="300"/>
      <c r="P33" s="300"/>
      <c r="Q33" s="300"/>
      <c r="R33" s="306"/>
      <c r="S33" s="300"/>
      <c r="T33" s="300"/>
      <c r="U33" s="300"/>
      <c r="V33" s="301"/>
      <c r="W33" s="306"/>
      <c r="X33" s="300"/>
      <c r="Y33" s="300"/>
      <c r="Z33" s="300"/>
      <c r="AA33" s="300"/>
      <c r="AB33" s="300"/>
      <c r="AC33" s="300"/>
      <c r="AD33" s="300"/>
      <c r="AE33" s="300"/>
      <c r="AF33" s="300"/>
      <c r="AG33" s="300"/>
      <c r="AH33" s="300"/>
      <c r="AI33" s="302"/>
      <c r="AJ33" s="300"/>
      <c r="AK33" s="300"/>
      <c r="AL33" s="300"/>
      <c r="AM33" s="300"/>
    </row>
    <row r="34" spans="1:39" s="295" customFormat="1" ht="15" customHeight="1">
      <c r="A34" s="294"/>
      <c r="B34" s="412"/>
      <c r="C34" s="296"/>
      <c r="D34" s="300"/>
      <c r="I34" s="2"/>
      <c r="J34" s="300"/>
      <c r="K34" s="300"/>
      <c r="L34" s="300"/>
      <c r="M34" s="301"/>
      <c r="N34" s="306"/>
      <c r="O34" s="300"/>
      <c r="P34" s="300"/>
      <c r="Q34" s="300"/>
      <c r="R34" s="306"/>
      <c r="S34" s="300"/>
      <c r="T34" s="300"/>
      <c r="U34" s="300"/>
      <c r="V34" s="301"/>
      <c r="W34" s="306"/>
      <c r="X34" s="300"/>
      <c r="Y34" s="300"/>
      <c r="Z34" s="300"/>
      <c r="AA34" s="300"/>
      <c r="AB34" s="300"/>
      <c r="AC34" s="300"/>
      <c r="AD34" s="300"/>
      <c r="AE34" s="300"/>
      <c r="AF34" s="300"/>
      <c r="AG34" s="300"/>
      <c r="AH34" s="300"/>
      <c r="AI34" s="302"/>
      <c r="AJ34" s="300"/>
      <c r="AK34" s="300"/>
      <c r="AL34" s="300"/>
      <c r="AM34" s="300"/>
    </row>
    <row r="35" spans="1:39" s="295" customFormat="1" ht="15" customHeight="1">
      <c r="A35" s="294"/>
      <c r="B35" s="412"/>
      <c r="C35" s="296"/>
      <c r="D35" s="300"/>
      <c r="E35" s="300"/>
      <c r="F35" s="2"/>
      <c r="G35" s="2"/>
      <c r="H35" s="8"/>
      <c r="I35" s="2"/>
      <c r="J35" s="300"/>
      <c r="K35" s="300"/>
      <c r="L35" s="300"/>
      <c r="M35" s="301"/>
      <c r="N35" s="306"/>
      <c r="O35" s="300"/>
      <c r="P35" s="300"/>
      <c r="Q35" s="300"/>
      <c r="R35" s="306"/>
      <c r="S35" s="300"/>
      <c r="T35" s="300"/>
      <c r="U35" s="300"/>
      <c r="V35" s="301"/>
      <c r="W35" s="306"/>
      <c r="X35" s="300"/>
      <c r="Y35" s="300"/>
      <c r="Z35" s="300"/>
      <c r="AA35" s="300"/>
      <c r="AB35" s="300"/>
      <c r="AC35" s="300"/>
      <c r="AD35" s="300"/>
      <c r="AE35" s="300"/>
      <c r="AF35" s="300"/>
      <c r="AG35" s="300"/>
      <c r="AH35" s="300"/>
      <c r="AI35" s="302"/>
      <c r="AJ35" s="300"/>
      <c r="AK35" s="300"/>
      <c r="AL35" s="300"/>
      <c r="AM35" s="300"/>
    </row>
    <row r="36" spans="1:39" s="295" customFormat="1" ht="15" customHeight="1">
      <c r="A36" s="294"/>
      <c r="B36" s="412"/>
      <c r="C36" s="296"/>
      <c r="D36" s="300"/>
      <c r="E36" s="301"/>
      <c r="F36" s="2"/>
      <c r="G36" s="2"/>
      <c r="H36" s="8"/>
      <c r="I36" s="2"/>
      <c r="J36" s="300"/>
      <c r="K36" s="300"/>
      <c r="L36" s="300"/>
      <c r="M36" s="301"/>
      <c r="N36" s="306"/>
      <c r="O36" s="300"/>
      <c r="P36" s="300"/>
      <c r="Q36" s="300"/>
      <c r="R36" s="306"/>
      <c r="S36" s="300"/>
      <c r="T36" s="300"/>
      <c r="U36" s="300"/>
      <c r="V36" s="301"/>
      <c r="W36" s="306"/>
      <c r="X36" s="300"/>
      <c r="Y36" s="300"/>
      <c r="Z36" s="300"/>
      <c r="AA36" s="300"/>
      <c r="AB36" s="300"/>
      <c r="AC36" s="300"/>
      <c r="AD36" s="300"/>
      <c r="AE36" s="300"/>
      <c r="AF36" s="300"/>
      <c r="AG36" s="300"/>
      <c r="AH36" s="300"/>
      <c r="AI36" s="302"/>
      <c r="AJ36" s="300"/>
      <c r="AK36" s="300"/>
      <c r="AL36" s="300"/>
      <c r="AM36" s="300"/>
    </row>
    <row r="37" spans="1:39" s="295" customFormat="1" ht="15" customHeight="1">
      <c r="A37" s="294"/>
      <c r="B37" s="412"/>
      <c r="C37" s="296"/>
      <c r="D37" s="300"/>
      <c r="E37" s="301"/>
      <c r="F37" s="2"/>
      <c r="G37" s="2"/>
      <c r="H37" s="8"/>
      <c r="I37" s="2"/>
      <c r="J37" s="300"/>
      <c r="K37" s="300"/>
      <c r="L37" s="300"/>
      <c r="M37" s="301"/>
      <c r="N37" s="306"/>
      <c r="O37" s="300"/>
      <c r="P37" s="300"/>
      <c r="Q37" s="300"/>
      <c r="R37" s="306"/>
      <c r="S37" s="300"/>
      <c r="T37" s="300"/>
      <c r="U37" s="300"/>
      <c r="V37" s="301"/>
      <c r="W37" s="306"/>
      <c r="X37" s="300"/>
      <c r="Y37" s="300"/>
      <c r="Z37" s="300"/>
      <c r="AA37" s="300"/>
      <c r="AB37" s="300"/>
      <c r="AC37" s="300"/>
      <c r="AD37" s="300"/>
      <c r="AE37" s="300"/>
      <c r="AF37" s="300"/>
      <c r="AG37" s="300"/>
      <c r="AH37" s="300"/>
      <c r="AI37" s="302"/>
      <c r="AJ37" s="300"/>
      <c r="AK37" s="300"/>
      <c r="AL37" s="300"/>
      <c r="AM37" s="300"/>
    </row>
    <row r="38" spans="1:39" s="295" customFormat="1" ht="15" customHeight="1">
      <c r="A38" s="294"/>
      <c r="B38" s="412"/>
      <c r="C38" s="296"/>
      <c r="D38" s="300"/>
      <c r="E38" s="300"/>
      <c r="F38" s="300"/>
      <c r="G38" s="2"/>
      <c r="H38" s="300"/>
      <c r="I38" s="2"/>
      <c r="J38" s="300"/>
      <c r="K38" s="300"/>
      <c r="L38" s="300"/>
      <c r="M38" s="301"/>
      <c r="N38" s="306"/>
      <c r="O38" s="300"/>
      <c r="P38" s="300"/>
      <c r="Q38" s="300"/>
      <c r="R38" s="306"/>
      <c r="S38" s="300"/>
      <c r="T38" s="300"/>
      <c r="U38" s="300"/>
      <c r="V38" s="301"/>
      <c r="W38" s="306"/>
      <c r="X38" s="300"/>
      <c r="Y38" s="300"/>
      <c r="Z38" s="300"/>
      <c r="AA38" s="300"/>
      <c r="AB38" s="300"/>
      <c r="AC38" s="300"/>
      <c r="AD38" s="300"/>
      <c r="AE38" s="300"/>
      <c r="AF38" s="300"/>
      <c r="AG38" s="300"/>
      <c r="AH38" s="300"/>
      <c r="AI38" s="302"/>
      <c r="AJ38" s="300"/>
      <c r="AK38" s="300"/>
      <c r="AL38" s="300"/>
      <c r="AM38" s="300"/>
    </row>
    <row r="39" spans="1:39" s="295" customFormat="1" ht="15" customHeight="1">
      <c r="A39" s="294"/>
      <c r="B39" s="412"/>
      <c r="C39" s="296"/>
      <c r="D39" s="300"/>
      <c r="E39" s="301"/>
      <c r="F39" s="2"/>
      <c r="G39" s="2"/>
      <c r="H39" s="300"/>
      <c r="I39" s="2"/>
      <c r="J39" s="300"/>
      <c r="K39" s="300"/>
      <c r="L39" s="300"/>
      <c r="M39" s="301"/>
      <c r="N39" s="306"/>
      <c r="O39" s="300"/>
      <c r="P39" s="300"/>
      <c r="Q39" s="300"/>
      <c r="R39" s="306"/>
      <c r="S39" s="300"/>
      <c r="T39" s="300"/>
      <c r="U39" s="300"/>
      <c r="V39" s="301"/>
      <c r="W39" s="306"/>
      <c r="X39" s="300"/>
      <c r="Y39" s="300"/>
      <c r="Z39" s="300"/>
      <c r="AA39" s="300"/>
      <c r="AB39" s="300"/>
      <c r="AC39" s="300"/>
      <c r="AD39" s="300"/>
      <c r="AE39" s="300"/>
      <c r="AF39" s="300"/>
      <c r="AG39" s="300"/>
      <c r="AH39" s="300"/>
      <c r="AI39" s="302"/>
      <c r="AJ39" s="300"/>
      <c r="AK39" s="300"/>
      <c r="AL39" s="300"/>
      <c r="AM39" s="300"/>
    </row>
    <row r="40" spans="1:39" s="295" customFormat="1" ht="15" customHeight="1">
      <c r="A40" s="294"/>
      <c r="B40" s="412"/>
      <c r="C40" s="296"/>
      <c r="D40" s="300"/>
      <c r="E40" s="300"/>
      <c r="F40" s="300"/>
      <c r="G40" s="2"/>
      <c r="H40" s="8"/>
      <c r="I40" s="2"/>
      <c r="J40" s="300"/>
      <c r="K40" s="300"/>
      <c r="L40" s="300"/>
      <c r="M40" s="301"/>
      <c r="N40" s="306"/>
      <c r="O40" s="300"/>
      <c r="P40" s="300"/>
      <c r="Q40" s="300"/>
      <c r="R40" s="306"/>
      <c r="S40" s="300"/>
      <c r="T40" s="300"/>
      <c r="U40" s="300"/>
      <c r="V40" s="301"/>
      <c r="W40" s="306"/>
      <c r="X40" s="300"/>
      <c r="Y40" s="300"/>
      <c r="Z40" s="300"/>
      <c r="AA40" s="300"/>
      <c r="AB40" s="300"/>
      <c r="AC40" s="300"/>
      <c r="AD40" s="300"/>
      <c r="AE40" s="300"/>
      <c r="AF40" s="300"/>
      <c r="AG40" s="300"/>
      <c r="AH40" s="300"/>
      <c r="AI40" s="302"/>
      <c r="AJ40" s="300"/>
      <c r="AL40" s="300"/>
      <c r="AM40" s="300"/>
    </row>
    <row r="41" spans="1:39" s="295" customFormat="1" ht="15" customHeight="1">
      <c r="A41" s="294"/>
      <c r="B41" s="412"/>
      <c r="C41" s="296"/>
      <c r="D41" s="300"/>
      <c r="I41" s="2"/>
      <c r="J41" s="300"/>
      <c r="K41" s="300"/>
      <c r="L41" s="300"/>
      <c r="M41" s="301"/>
      <c r="N41" s="306"/>
      <c r="O41" s="300"/>
      <c r="P41" s="300"/>
      <c r="Q41" s="300"/>
      <c r="R41" s="306"/>
      <c r="S41" s="300"/>
      <c r="T41" s="300"/>
      <c r="U41" s="300"/>
      <c r="V41" s="301"/>
      <c r="W41" s="306"/>
      <c r="X41" s="300"/>
      <c r="Y41" s="300"/>
      <c r="Z41" s="300"/>
      <c r="AA41" s="300"/>
      <c r="AB41" s="300"/>
      <c r="AC41" s="300"/>
      <c r="AD41" s="300"/>
      <c r="AE41" s="300"/>
      <c r="AF41" s="300"/>
      <c r="AG41" s="300"/>
      <c r="AH41" s="300"/>
      <c r="AI41" s="302"/>
      <c r="AJ41" s="300"/>
      <c r="AK41" s="301"/>
      <c r="AL41" s="300"/>
      <c r="AM41" s="300"/>
    </row>
    <row r="42" spans="1:39" s="295" customFormat="1" ht="15" customHeight="1">
      <c r="A42" s="294"/>
      <c r="B42" s="412"/>
      <c r="C42" s="296"/>
      <c r="D42" s="300"/>
      <c r="I42" s="2"/>
      <c r="J42" s="300"/>
      <c r="K42" s="300"/>
      <c r="L42" s="300"/>
      <c r="M42" s="301"/>
      <c r="N42" s="306"/>
      <c r="O42" s="300"/>
      <c r="P42" s="300"/>
      <c r="Q42" s="300"/>
      <c r="R42" s="306"/>
      <c r="S42" s="300"/>
      <c r="T42" s="300"/>
      <c r="U42" s="300"/>
      <c r="V42" s="301"/>
      <c r="W42" s="300"/>
      <c r="X42" s="300"/>
      <c r="Y42" s="300"/>
      <c r="Z42" s="300"/>
      <c r="AA42" s="300"/>
      <c r="AB42" s="300"/>
      <c r="AC42" s="300"/>
      <c r="AD42" s="300"/>
      <c r="AE42" s="300"/>
      <c r="AF42" s="300"/>
      <c r="AG42" s="300"/>
      <c r="AH42" s="300"/>
      <c r="AI42" s="302"/>
      <c r="AJ42" s="300"/>
      <c r="AK42" s="300"/>
      <c r="AL42" s="300"/>
      <c r="AM42" s="300"/>
    </row>
    <row r="43" spans="1:39" s="295" customFormat="1" ht="15" customHeight="1">
      <c r="A43" s="294"/>
      <c r="B43" s="412"/>
      <c r="C43" s="296"/>
      <c r="D43" s="300"/>
      <c r="E43" s="300"/>
      <c r="F43" s="2"/>
      <c r="G43" s="2"/>
      <c r="H43" s="8"/>
      <c r="I43" s="2"/>
      <c r="J43" s="2"/>
      <c r="K43" s="2"/>
      <c r="L43" s="301"/>
      <c r="M43" s="300"/>
      <c r="N43" s="300"/>
      <c r="O43" s="300"/>
      <c r="P43" s="300"/>
      <c r="Q43" s="301"/>
      <c r="R43" s="300"/>
      <c r="S43" s="300"/>
      <c r="T43" s="300"/>
      <c r="U43" s="300"/>
      <c r="V43" s="301"/>
      <c r="W43" s="301"/>
      <c r="X43" s="300"/>
      <c r="Y43" s="300"/>
      <c r="Z43" s="300"/>
      <c r="AA43" s="300"/>
      <c r="AB43" s="300"/>
      <c r="AC43" s="300"/>
      <c r="AD43" s="300"/>
      <c r="AE43" s="300"/>
      <c r="AF43" s="300"/>
      <c r="AG43" s="300"/>
      <c r="AH43" s="300"/>
      <c r="AI43" s="302"/>
      <c r="AJ43" s="300"/>
      <c r="AK43" s="300"/>
      <c r="AL43" s="300"/>
      <c r="AM43" s="300"/>
    </row>
    <row r="44" spans="1:39" s="295" customFormat="1" ht="15" customHeight="1">
      <c r="A44" s="294"/>
      <c r="B44" s="412"/>
      <c r="C44" s="296"/>
      <c r="D44" s="300"/>
      <c r="E44" s="301"/>
      <c r="F44" s="2"/>
      <c r="G44" s="2"/>
      <c r="H44" s="2"/>
      <c r="I44" s="2"/>
      <c r="J44" s="2"/>
      <c r="K44" s="2"/>
      <c r="L44" s="300"/>
      <c r="M44" s="300"/>
      <c r="N44" s="300"/>
      <c r="O44" s="300"/>
      <c r="P44" s="300"/>
      <c r="Q44" s="301"/>
      <c r="R44" s="300"/>
      <c r="S44" s="300"/>
      <c r="T44" s="300"/>
      <c r="U44" s="300"/>
      <c r="V44" s="301"/>
      <c r="W44" s="301"/>
      <c r="X44" s="300"/>
      <c r="Y44" s="300"/>
      <c r="Z44" s="300"/>
      <c r="AA44" s="300"/>
      <c r="AB44" s="300"/>
      <c r="AC44" s="300"/>
      <c r="AD44" s="300"/>
      <c r="AE44" s="300"/>
      <c r="AF44" s="300"/>
      <c r="AG44" s="300"/>
      <c r="AH44" s="300"/>
      <c r="AI44" s="302"/>
      <c r="AJ44" s="300"/>
      <c r="AK44" s="300"/>
      <c r="AL44" s="300"/>
      <c r="AM44" s="300"/>
    </row>
    <row r="45" spans="1:39" s="295" customFormat="1" ht="15" customHeight="1">
      <c r="A45" s="294"/>
      <c r="B45" s="412"/>
      <c r="C45" s="296"/>
      <c r="D45" s="300"/>
      <c r="E45" s="301"/>
      <c r="F45" s="300"/>
      <c r="G45" s="300"/>
      <c r="H45" s="300"/>
      <c r="I45" s="2"/>
      <c r="J45" s="300"/>
      <c r="K45" s="2"/>
      <c r="L45" s="8"/>
      <c r="M45" s="2"/>
      <c r="N45" s="2"/>
      <c r="O45" s="2"/>
      <c r="P45" s="2"/>
      <c r="Q45" s="2"/>
      <c r="T45" s="300"/>
      <c r="U45" s="300"/>
      <c r="V45" s="301"/>
      <c r="W45" s="300"/>
      <c r="X45" s="300"/>
      <c r="Y45" s="300"/>
      <c r="Z45" s="300"/>
      <c r="AA45" s="300"/>
      <c r="AB45" s="300"/>
      <c r="AC45" s="300"/>
      <c r="AD45" s="300"/>
      <c r="AE45" s="300"/>
      <c r="AF45" s="300"/>
      <c r="AG45" s="300"/>
      <c r="AH45" s="300"/>
      <c r="AI45" s="302"/>
      <c r="AJ45" s="300"/>
      <c r="AK45" s="300"/>
      <c r="AL45" s="300"/>
      <c r="AM45" s="300"/>
    </row>
    <row r="46" spans="1:39" s="295" customFormat="1" ht="15" customHeight="1">
      <c r="A46" s="294"/>
      <c r="B46" s="412"/>
      <c r="C46" s="296"/>
      <c r="D46" s="300"/>
      <c r="E46" s="300"/>
      <c r="F46" s="300"/>
      <c r="G46" s="300"/>
      <c r="H46" s="300"/>
      <c r="I46" s="300"/>
      <c r="J46" s="300"/>
      <c r="K46" s="2"/>
      <c r="L46" s="8"/>
      <c r="M46" s="462"/>
      <c r="N46" s="2"/>
      <c r="O46" s="2"/>
      <c r="P46" s="2"/>
      <c r="Q46" s="2"/>
      <c r="T46" s="300"/>
      <c r="U46" s="300"/>
      <c r="V46" s="301"/>
      <c r="W46" s="300"/>
      <c r="X46" s="300"/>
      <c r="Y46" s="300"/>
      <c r="Z46" s="300"/>
      <c r="AA46" s="300"/>
      <c r="AB46" s="300"/>
      <c r="AC46" s="300"/>
      <c r="AD46" s="300"/>
      <c r="AE46" s="300"/>
      <c r="AF46" s="300"/>
      <c r="AG46" s="300"/>
      <c r="AH46" s="300"/>
      <c r="AI46" s="302"/>
      <c r="AJ46" s="300"/>
      <c r="AK46" s="300"/>
      <c r="AL46" s="300"/>
      <c r="AM46" s="300"/>
    </row>
    <row r="47" spans="1:39" s="295" customFormat="1" ht="15" customHeight="1">
      <c r="A47" s="294"/>
      <c r="B47" s="412"/>
      <c r="C47" s="296"/>
      <c r="D47" s="300"/>
      <c r="E47" s="301"/>
      <c r="F47" s="300"/>
      <c r="G47" s="300"/>
      <c r="H47" s="300"/>
      <c r="I47" s="300"/>
      <c r="J47" s="300"/>
      <c r="K47" s="2"/>
      <c r="L47" s="8"/>
      <c r="M47" s="2"/>
      <c r="N47" s="2"/>
      <c r="O47" s="2"/>
      <c r="P47" s="300"/>
      <c r="Q47" s="2"/>
      <c r="T47" s="300"/>
      <c r="U47" s="300"/>
      <c r="V47" s="301"/>
      <c r="W47" s="300"/>
      <c r="X47" s="300"/>
      <c r="Y47" s="300"/>
      <c r="Z47" s="300"/>
      <c r="AA47" s="300"/>
      <c r="AB47" s="300"/>
      <c r="AC47" s="300"/>
      <c r="AD47" s="300"/>
      <c r="AE47" s="300"/>
      <c r="AF47" s="300"/>
      <c r="AG47" s="300"/>
      <c r="AH47" s="300"/>
      <c r="AI47" s="302"/>
      <c r="AJ47" s="300"/>
      <c r="AK47" s="300"/>
      <c r="AL47" s="300"/>
      <c r="AM47" s="300"/>
    </row>
    <row r="48" spans="1:39" s="295" customFormat="1" ht="15" customHeight="1">
      <c r="A48" s="294"/>
      <c r="B48" s="412"/>
      <c r="C48" s="296"/>
      <c r="D48" s="300"/>
      <c r="E48" s="300"/>
      <c r="F48" s="300"/>
      <c r="G48" s="300"/>
      <c r="H48" s="300"/>
      <c r="K48" s="2"/>
      <c r="L48" s="300"/>
      <c r="M48" s="300"/>
      <c r="N48" s="300"/>
      <c r="O48" s="300"/>
      <c r="P48" s="300"/>
      <c r="Q48" s="300"/>
      <c r="R48" s="306"/>
      <c r="S48" s="300"/>
      <c r="T48" s="300"/>
      <c r="U48" s="300"/>
      <c r="V48" s="301"/>
      <c r="W48" s="306"/>
      <c r="X48" s="300"/>
      <c r="Y48" s="300"/>
      <c r="Z48" s="300"/>
      <c r="AA48" s="300"/>
      <c r="AB48" s="300"/>
      <c r="AC48" s="300"/>
      <c r="AD48" s="300"/>
      <c r="AE48" s="300"/>
      <c r="AF48" s="300"/>
      <c r="AG48" s="300"/>
      <c r="AH48" s="300"/>
      <c r="AI48" s="302"/>
      <c r="AJ48" s="300"/>
      <c r="AK48" s="300"/>
      <c r="AL48" s="300"/>
      <c r="AM48" s="300"/>
    </row>
    <row r="49" spans="1:39" s="295" customFormat="1" ht="15" customHeight="1">
      <c r="A49" s="294"/>
      <c r="B49" s="412"/>
      <c r="C49" s="296"/>
      <c r="D49" s="300"/>
      <c r="E49" s="300"/>
      <c r="F49" s="300"/>
      <c r="G49" s="2"/>
      <c r="H49" s="8"/>
      <c r="I49" s="2"/>
      <c r="J49" s="2"/>
      <c r="K49" s="2"/>
      <c r="L49" s="8"/>
      <c r="M49" s="2"/>
      <c r="N49" s="2"/>
      <c r="O49" s="300"/>
      <c r="P49" s="300"/>
      <c r="Q49" s="300"/>
      <c r="R49" s="306"/>
      <c r="S49" s="300"/>
      <c r="T49" s="300"/>
      <c r="U49" s="300"/>
      <c r="V49" s="301"/>
      <c r="W49" s="306"/>
      <c r="X49" s="300"/>
      <c r="Y49" s="300"/>
      <c r="Z49" s="300"/>
      <c r="AA49" s="300"/>
      <c r="AB49" s="300"/>
      <c r="AC49" s="300"/>
      <c r="AD49" s="300"/>
      <c r="AE49" s="300"/>
      <c r="AF49" s="300"/>
      <c r="AG49" s="300"/>
      <c r="AH49" s="300"/>
      <c r="AI49" s="302"/>
      <c r="AJ49" s="300"/>
      <c r="AK49" s="300"/>
      <c r="AL49" s="300"/>
      <c r="AM49" s="300"/>
    </row>
    <row r="50" spans="1:39" s="295" customFormat="1" ht="15" customHeight="1">
      <c r="A50" s="294"/>
      <c r="B50" s="412"/>
      <c r="C50" s="296"/>
      <c r="D50" s="300"/>
      <c r="E50" s="300"/>
      <c r="I50" s="2"/>
      <c r="J50" s="2"/>
      <c r="K50" s="2"/>
      <c r="L50" s="8"/>
      <c r="M50" s="2"/>
      <c r="N50" s="2"/>
      <c r="O50" s="300"/>
      <c r="P50" s="300"/>
      <c r="Q50" s="300"/>
      <c r="R50" s="306"/>
      <c r="S50" s="300"/>
      <c r="T50" s="300"/>
      <c r="U50" s="300"/>
      <c r="V50" s="301"/>
      <c r="W50" s="306"/>
      <c r="X50" s="300"/>
      <c r="Y50" s="300"/>
      <c r="Z50" s="300"/>
      <c r="AA50" s="300"/>
      <c r="AB50" s="300"/>
      <c r="AC50" s="300"/>
      <c r="AD50" s="300"/>
      <c r="AE50" s="300"/>
      <c r="AF50" s="300"/>
      <c r="AG50" s="300"/>
      <c r="AH50" s="300"/>
      <c r="AI50" s="302"/>
      <c r="AJ50" s="300"/>
      <c r="AL50" s="300"/>
      <c r="AM50" s="300"/>
    </row>
    <row r="51" spans="1:39" s="295" customFormat="1" ht="15" customHeight="1">
      <c r="A51" s="294"/>
      <c r="B51" s="412"/>
      <c r="C51" s="296"/>
      <c r="D51" s="300"/>
      <c r="E51" s="300"/>
      <c r="F51" s="300"/>
      <c r="I51" s="2"/>
      <c r="J51" s="300"/>
      <c r="K51" s="300"/>
      <c r="L51" s="300"/>
      <c r="M51" s="301"/>
      <c r="N51" s="2"/>
      <c r="O51" s="300"/>
      <c r="P51" s="300"/>
      <c r="Q51" s="300"/>
      <c r="R51" s="301"/>
      <c r="S51" s="300"/>
      <c r="T51" s="300"/>
      <c r="U51" s="300"/>
      <c r="V51" s="301"/>
      <c r="W51" s="301"/>
      <c r="X51" s="300"/>
      <c r="Y51" s="300"/>
      <c r="Z51" s="300"/>
      <c r="AA51" s="300"/>
      <c r="AB51" s="300"/>
      <c r="AC51" s="300"/>
      <c r="AD51" s="300"/>
      <c r="AE51" s="300"/>
      <c r="AF51" s="300"/>
      <c r="AG51" s="300"/>
      <c r="AH51" s="300"/>
      <c r="AI51" s="302"/>
      <c r="AJ51" s="300"/>
      <c r="AK51" s="301"/>
      <c r="AL51" s="300"/>
      <c r="AM51" s="300"/>
    </row>
    <row r="52" spans="1:39" s="295" customFormat="1" ht="15" customHeight="1">
      <c r="A52" s="294"/>
      <c r="C52" s="296"/>
      <c r="D52" s="300"/>
      <c r="E52" s="300"/>
      <c r="F52" s="300"/>
      <c r="G52" s="2"/>
      <c r="H52" s="8"/>
      <c r="I52" s="2"/>
      <c r="J52" s="2"/>
      <c r="K52" s="2"/>
      <c r="L52" s="301"/>
      <c r="M52" s="300"/>
      <c r="N52" s="2"/>
      <c r="O52" s="300"/>
      <c r="P52" s="300"/>
      <c r="Q52" s="300"/>
      <c r="R52" s="301"/>
      <c r="S52" s="300"/>
      <c r="T52" s="300"/>
      <c r="U52" s="300"/>
      <c r="V52" s="301"/>
      <c r="W52" s="301"/>
      <c r="X52" s="300"/>
      <c r="Y52" s="300"/>
      <c r="Z52" s="300"/>
      <c r="AA52" s="300"/>
      <c r="AB52" s="300"/>
      <c r="AC52" s="300"/>
      <c r="AD52" s="300"/>
      <c r="AE52" s="300"/>
      <c r="AF52" s="300"/>
      <c r="AG52" s="300"/>
      <c r="AH52" s="300"/>
      <c r="AI52" s="302"/>
      <c r="AJ52" s="300"/>
      <c r="AK52" s="300"/>
      <c r="AL52" s="300"/>
      <c r="AM52" s="300"/>
    </row>
    <row r="53" spans="1:39" s="295" customFormat="1" ht="15" customHeight="1">
      <c r="A53" s="294"/>
      <c r="C53" s="296"/>
      <c r="D53" s="300"/>
      <c r="E53" s="300"/>
      <c r="F53" s="300"/>
      <c r="G53" s="2"/>
      <c r="H53" s="2"/>
      <c r="K53" s="2"/>
      <c r="L53" s="300"/>
      <c r="M53" s="300"/>
      <c r="N53" s="300"/>
      <c r="O53" s="300"/>
      <c r="P53" s="300"/>
      <c r="Q53" s="300"/>
      <c r="R53" s="301"/>
      <c r="S53" s="300"/>
      <c r="T53" s="300"/>
      <c r="U53" s="300"/>
      <c r="V53" s="301"/>
      <c r="W53" s="301"/>
      <c r="X53" s="300"/>
      <c r="Y53" s="300"/>
      <c r="Z53" s="300"/>
      <c r="AA53" s="300"/>
      <c r="AB53" s="300"/>
      <c r="AC53" s="300"/>
      <c r="AD53" s="300"/>
      <c r="AE53" s="300"/>
      <c r="AF53" s="300"/>
      <c r="AG53" s="300"/>
      <c r="AH53" s="300"/>
      <c r="AI53" s="302"/>
      <c r="AJ53" s="300"/>
      <c r="AK53" s="300"/>
      <c r="AL53" s="300"/>
      <c r="AM53" s="300"/>
    </row>
    <row r="54" spans="1:39" s="295" customFormat="1" ht="15" customHeight="1">
      <c r="A54" s="294"/>
      <c r="C54" s="296"/>
      <c r="D54" s="300"/>
      <c r="E54" s="300"/>
      <c r="F54" s="300"/>
      <c r="G54" s="2"/>
      <c r="H54" s="300"/>
      <c r="I54" s="2"/>
      <c r="J54" s="2"/>
      <c r="K54" s="2"/>
      <c r="L54" s="8"/>
      <c r="M54" s="2"/>
      <c r="N54" s="2"/>
      <c r="O54" s="300"/>
      <c r="P54" s="300"/>
      <c r="Q54" s="300"/>
      <c r="R54" s="301"/>
      <c r="S54" s="300"/>
      <c r="T54" s="300"/>
      <c r="U54" s="300"/>
      <c r="V54" s="301"/>
      <c r="W54" s="301"/>
      <c r="X54" s="300"/>
      <c r="Y54" s="300"/>
      <c r="Z54" s="300"/>
      <c r="AA54" s="300"/>
      <c r="AB54" s="300"/>
      <c r="AC54" s="300"/>
      <c r="AD54" s="300"/>
      <c r="AE54" s="300"/>
      <c r="AF54" s="300"/>
      <c r="AG54" s="300"/>
      <c r="AH54" s="300"/>
      <c r="AI54" s="302"/>
      <c r="AJ54" s="300"/>
      <c r="AK54" s="300"/>
      <c r="AL54" s="300"/>
      <c r="AM54" s="300"/>
    </row>
    <row r="55" spans="1:39" s="295" customFormat="1" ht="15" customHeight="1" thickBot="1">
      <c r="A55" s="297"/>
      <c r="B55" s="298"/>
      <c r="C55" s="299"/>
      <c r="D55" s="304"/>
      <c r="E55" s="304"/>
      <c r="F55" s="304"/>
      <c r="G55" s="304"/>
      <c r="H55" s="304"/>
      <c r="I55" s="304"/>
      <c r="J55" s="304"/>
      <c r="K55" s="304"/>
      <c r="L55" s="304"/>
      <c r="M55" s="304"/>
      <c r="N55" s="304"/>
      <c r="O55" s="304"/>
      <c r="P55" s="304"/>
      <c r="Q55" s="304"/>
      <c r="R55" s="304"/>
      <c r="S55" s="304"/>
      <c r="T55" s="304"/>
      <c r="U55" s="304"/>
      <c r="V55" s="304"/>
      <c r="W55" s="304"/>
      <c r="X55" s="304"/>
      <c r="Y55" s="304"/>
      <c r="Z55" s="304"/>
      <c r="AA55" s="304"/>
      <c r="AB55" s="304"/>
      <c r="AC55" s="304"/>
      <c r="AD55" s="304"/>
      <c r="AE55" s="304"/>
      <c r="AF55" s="304"/>
      <c r="AG55" s="304"/>
      <c r="AH55" s="304"/>
      <c r="AI55" s="305"/>
      <c r="AJ55" s="300"/>
      <c r="AK55" s="300"/>
      <c r="AL55" s="300"/>
      <c r="AM55" s="300"/>
    </row>
    <row r="56" spans="1:39">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row>
    <row r="57" spans="1:39">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row>
    <row r="58" spans="1:39">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row>
    <row r="59" spans="1:39">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row>
    <row r="60" spans="1:39">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row>
    <row r="61" spans="1:39">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row>
    <row r="62" spans="1:39">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row>
    <row r="63" spans="1:39">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row>
    <row r="64" spans="1:39">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row>
    <row r="65" spans="4:39">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row>
    <row r="66" spans="4:39">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row>
    <row r="67" spans="4:39">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row>
    <row r="68" spans="4:39">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row>
    <row r="69" spans="4:39">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row>
    <row r="70" spans="4:39">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row>
    <row r="71" spans="4:39">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row>
    <row r="72" spans="4:39">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row>
    <row r="73" spans="4:39">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row>
    <row r="74" spans="4:39">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row>
    <row r="75" spans="4:39">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row>
    <row r="76" spans="4:39">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row>
    <row r="77" spans="4:39">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row>
    <row r="78" spans="4:39">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row>
    <row r="79" spans="4:39">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row>
    <row r="80" spans="4:39">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row>
    <row r="81" spans="4:39">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row>
    <row r="82" spans="4:39">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row>
    <row r="83" spans="4:39">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row>
    <row r="84" spans="4:39">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row>
    <row r="85" spans="4:39">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row>
    <row r="86" spans="4:39">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row>
    <row r="87" spans="4:39">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row>
    <row r="88" spans="4:39">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row>
    <row r="89" spans="4:39">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row>
    <row r="90" spans="4:39">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row>
    <row r="91" spans="4:39">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row>
    <row r="92" spans="4:39">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row>
    <row r="93" spans="4:39">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row>
    <row r="94" spans="4:39">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row>
    <row r="95" spans="4:39">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row>
    <row r="96" spans="4:39">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row>
    <row r="97" spans="4:39">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row>
    <row r="98" spans="4:39">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row>
    <row r="99" spans="4:39">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row>
    <row r="100" spans="4:39">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row>
    <row r="101" spans="4:39">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row>
    <row r="102" spans="4:39">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row>
    <row r="103" spans="4:39">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row>
    <row r="104" spans="4:39">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row>
    <row r="105" spans="4:39">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row>
    <row r="106" spans="4:39">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row>
    <row r="107" spans="4:39">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row>
    <row r="108" spans="4:39">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row>
    <row r="109" spans="4:39">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row>
    <row r="110" spans="4:39">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row>
    <row r="111" spans="4:39">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row>
    <row r="112" spans="4:39">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row>
    <row r="113" spans="4:39">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row>
    <row r="114" spans="4:39">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row>
    <row r="115" spans="4:39">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row>
    <row r="116" spans="4:39">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row>
    <row r="117" spans="4:39">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row>
    <row r="118" spans="4:39">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row>
    <row r="119" spans="4:39">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row>
    <row r="120" spans="4:39">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row>
    <row r="121" spans="4:39">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row>
    <row r="122" spans="4:39">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row>
    <row r="123" spans="4:39">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row>
    <row r="124" spans="4:39">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row>
    <row r="125" spans="4:39">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row>
    <row r="126" spans="4:39">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row>
    <row r="127" spans="4:39">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row>
    <row r="128" spans="4:39">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row>
    <row r="129" spans="4:39">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row>
    <row r="130" spans="4:39">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row>
    <row r="131" spans="4:39">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row>
    <row r="132" spans="4:39">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row>
    <row r="133" spans="4:39">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row>
    <row r="134" spans="4:39">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row>
    <row r="135" spans="4:39">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row>
    <row r="136" spans="4:39">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row>
    <row r="137" spans="4:39">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row>
    <row r="138" spans="4:39">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row>
    <row r="139" spans="4:39">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row>
    <row r="140" spans="4:39">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row>
    <row r="141" spans="4:39">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row>
    <row r="142" spans="4:39">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row>
    <row r="143" spans="4:39">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row>
    <row r="144" spans="4:39">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row>
    <row r="145" spans="4:39">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row>
    <row r="146" spans="4:39">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row>
    <row r="147" spans="4:39">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row>
    <row r="148" spans="4:39">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row>
    <row r="149" spans="4:39">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row>
    <row r="150" spans="4:39">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row>
    <row r="151" spans="4:39">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row>
    <row r="152" spans="4:39">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row>
    <row r="153" spans="4:39">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row>
    <row r="154" spans="4:39">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row>
    <row r="155" spans="4:39">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row>
    <row r="156" spans="4:39">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row>
    <row r="157" spans="4:39">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row>
    <row r="158" spans="4:39">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row>
    <row r="159" spans="4:39">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row>
    <row r="160" spans="4:39">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row>
    <row r="161" spans="4:39">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row>
    <row r="162" spans="4:39">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row>
    <row r="163" spans="4:39">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row>
    <row r="164" spans="4:39">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row>
    <row r="165" spans="4:39">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row>
    <row r="166" spans="4:39">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row>
    <row r="167" spans="4:39">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row>
    <row r="168" spans="4:39">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row>
    <row r="169" spans="4:39">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row>
    <row r="170" spans="4:39">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row>
    <row r="171" spans="4:39">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row>
    <row r="172" spans="4:39">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row>
    <row r="173" spans="4:39">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row>
    <row r="174" spans="4:39">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row>
    <row r="175" spans="4:39">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row>
    <row r="176" spans="4:39">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row>
    <row r="177" spans="4:39">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row>
    <row r="178" spans="4:39">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row>
    <row r="179" spans="4:39">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row>
    <row r="180" spans="4:39">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row>
    <row r="181" spans="4:39">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row>
    <row r="182" spans="4:39">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row>
    <row r="183" spans="4:39">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row>
    <row r="184" spans="4:39">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row>
    <row r="185" spans="4:39">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row>
    <row r="186" spans="4:39">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row>
    <row r="187" spans="4:39">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row>
    <row r="188" spans="4:39">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row>
    <row r="189" spans="4:39">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row>
    <row r="190" spans="4:39">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row>
    <row r="191" spans="4:39">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row>
    <row r="192" spans="4:39">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row>
    <row r="193" spans="4:39">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row>
    <row r="194" spans="4:39">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row>
    <row r="195" spans="4:39">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row>
    <row r="196" spans="4:39">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row>
    <row r="197" spans="4:39">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row>
    <row r="198" spans="4:39">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row>
    <row r="199" spans="4:39">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row>
    <row r="200" spans="4:39">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row>
    <row r="201" spans="4:39">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row>
    <row r="202" spans="4:39">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row>
    <row r="203" spans="4:39">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row>
    <row r="204" spans="4:39">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row>
    <row r="205" spans="4:39">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row>
    <row r="206" spans="4:39">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row>
    <row r="207" spans="4:39">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row>
    <row r="208" spans="4:39">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row>
    <row r="209" spans="4:39">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row>
    <row r="210" spans="4:39">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row>
    <row r="211" spans="4:39">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row>
    <row r="212" spans="4:39">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row>
    <row r="213" spans="4:39">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row>
    <row r="214" spans="4:39">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row>
    <row r="215" spans="4:39">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row>
    <row r="216" spans="4:39">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row>
    <row r="217" spans="4:39">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row>
    <row r="218" spans="4:39">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row>
    <row r="219" spans="4:39">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row>
    <row r="220" spans="4:39">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row>
    <row r="221" spans="4:39">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row>
    <row r="222" spans="4:39">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row>
    <row r="223" spans="4:39">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row>
    <row r="224" spans="4:39">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row>
    <row r="225" spans="4:39">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row>
    <row r="226" spans="4:39">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row>
    <row r="227" spans="4:39">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row>
    <row r="228" spans="4:39">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row>
    <row r="229" spans="4:39">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row>
    <row r="230" spans="4:39">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row>
    <row r="231" spans="4:39">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row>
    <row r="232" spans="4:39">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row>
    <row r="233" spans="4:39">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row>
    <row r="234" spans="4:39">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row>
    <row r="235" spans="4:39">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row>
    <row r="236" spans="4:39">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row>
    <row r="237" spans="4:39">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row>
    <row r="238" spans="4:39">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row>
    <row r="239" spans="4:39">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row>
    <row r="240" spans="4:39">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row>
    <row r="241" spans="4:39">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row>
    <row r="242" spans="4:39">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row>
    <row r="243" spans="4:39">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row>
    <row r="244" spans="4:39">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row>
    <row r="245" spans="4:39">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row>
    <row r="246" spans="4:39">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row>
    <row r="247" spans="4:39">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row>
    <row r="248" spans="4:39">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row>
    <row r="249" spans="4:39">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row>
    <row r="250" spans="4:39">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row>
    <row r="251" spans="4:39">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row>
    <row r="252" spans="4:39">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row>
    <row r="253" spans="4:39">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row>
    <row r="254" spans="4:39">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row>
    <row r="255" spans="4:39">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row>
    <row r="256" spans="4:39">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row>
    <row r="257" spans="4:39">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row>
    <row r="258" spans="4:39">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row>
    <row r="259" spans="4:39">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row>
    <row r="260" spans="4:39">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row>
    <row r="261" spans="4:39">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row>
    <row r="262" spans="4:39">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row>
    <row r="263" spans="4:39">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row>
    <row r="264" spans="4:39">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row>
    <row r="265" spans="4:39">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row>
    <row r="266" spans="4:39">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row>
    <row r="267" spans="4:39">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row>
    <row r="268" spans="4:39">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row>
    <row r="269" spans="4:39">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row>
    <row r="270" spans="4:39">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row>
    <row r="271" spans="4:39">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row>
    <row r="272" spans="4:39">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row>
    <row r="273" spans="4:39">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row>
    <row r="274" spans="4:39">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row>
    <row r="275" spans="4:39">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row>
    <row r="276" spans="4:39">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row>
    <row r="277" spans="4:39">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row>
    <row r="278" spans="4:39">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row>
    <row r="279" spans="4:39">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row>
    <row r="280" spans="4:39">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row>
    <row r="281" spans="4:39">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row>
    <row r="282" spans="4:39">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row>
    <row r="283" spans="4:39">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row>
    <row r="284" spans="4:39">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row>
    <row r="285" spans="4:39">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row>
    <row r="286" spans="4:39">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row>
    <row r="287" spans="4:39">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row>
    <row r="288" spans="4:39">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row>
  </sheetData>
  <dataConsolidate/>
  <mergeCells count="17">
    <mergeCell ref="G1:N1"/>
    <mergeCell ref="G2:N2"/>
    <mergeCell ref="S1:Y1"/>
    <mergeCell ref="AD1:AI1"/>
    <mergeCell ref="S2:Y2"/>
    <mergeCell ref="AD2:AI2"/>
    <mergeCell ref="AC4:AI4"/>
    <mergeCell ref="S3:Y3"/>
    <mergeCell ref="Z3:AB3"/>
    <mergeCell ref="AC3:AI3"/>
    <mergeCell ref="G3:N3"/>
    <mergeCell ref="D7:R7"/>
    <mergeCell ref="W7:AI7"/>
    <mergeCell ref="A9:C9"/>
    <mergeCell ref="D9:AI9"/>
    <mergeCell ref="W6:AI6"/>
    <mergeCell ref="D6:R6"/>
  </mergeCells>
  <phoneticPr fontId="7"/>
  <pageMargins left="0.78740157480314965" right="0.39370078740157483" top="0.78740157480314965" bottom="0.78740157480314965" header="0.51181102362204722" footer="0.51181102362204722"/>
  <pageSetup paperSize="9" scale="86" orientation="portrait" verticalDpi="400" r:id="rId1"/>
  <headerFooter alignWithMargins="0"/>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pageSetUpPr fitToPage="1"/>
  </sheetPr>
  <dimension ref="A1:AM288"/>
  <sheetViews>
    <sheetView topLeftCell="A10" zoomScaleNormal="100" workbookViewId="0">
      <selection activeCell="G18" sqref="G18"/>
    </sheetView>
  </sheetViews>
  <sheetFormatPr defaultColWidth="2.85546875" defaultRowHeight="11.25"/>
  <cols>
    <col min="1" max="16384" width="2.85546875" style="2"/>
  </cols>
  <sheetData>
    <row r="1" spans="1:39" ht="18.95" customHeight="1">
      <c r="A1" s="108"/>
      <c r="B1" s="109"/>
      <c r="C1" s="109"/>
      <c r="D1" s="110" t="s">
        <v>90</v>
      </c>
      <c r="E1" s="111"/>
      <c r="F1" s="112"/>
      <c r="G1" s="544" t="str">
        <f>IF(詳細設計書!G1="","N/A",詳細設計書!G1)</f>
        <v>統合会計システム開発</v>
      </c>
      <c r="H1" s="544"/>
      <c r="I1" s="544"/>
      <c r="J1" s="544"/>
      <c r="K1" s="544"/>
      <c r="L1" s="544"/>
      <c r="M1" s="544"/>
      <c r="N1" s="545"/>
      <c r="O1" s="110" t="s">
        <v>283</v>
      </c>
      <c r="P1" s="111"/>
      <c r="Q1" s="111"/>
      <c r="R1" s="113"/>
      <c r="S1" s="575">
        <f>IF(詳細設計書!S1="","N/A",詳細設計書!S1)</f>
        <v>42509</v>
      </c>
      <c r="T1" s="576"/>
      <c r="U1" s="576"/>
      <c r="V1" s="576"/>
      <c r="W1" s="576"/>
      <c r="X1" s="576"/>
      <c r="Y1" s="577"/>
      <c r="Z1" s="110" t="s">
        <v>284</v>
      </c>
      <c r="AA1" s="114"/>
      <c r="AB1" s="114"/>
      <c r="AC1" s="115"/>
      <c r="AD1" s="578">
        <f>IF(詳細設計書!AD1="","",詳細設計書!AD1)</f>
        <v>42559</v>
      </c>
      <c r="AE1" s="579"/>
      <c r="AF1" s="579"/>
      <c r="AG1" s="579"/>
      <c r="AH1" s="579"/>
      <c r="AI1" s="580"/>
    </row>
    <row r="2" spans="1:39" ht="18.95" customHeight="1">
      <c r="A2" s="30"/>
      <c r="D2" s="116" t="s">
        <v>93</v>
      </c>
      <c r="E2" s="34"/>
      <c r="F2" s="117"/>
      <c r="G2" s="550" t="str">
        <f>IF(詳細設計書!G2="","N/A",詳細設計書!G2)</f>
        <v>SAP R/3(レポート)</v>
      </c>
      <c r="H2" s="550"/>
      <c r="I2" s="550"/>
      <c r="J2" s="550"/>
      <c r="K2" s="550"/>
      <c r="L2" s="550"/>
      <c r="M2" s="550"/>
      <c r="N2" s="551"/>
      <c r="O2" s="116" t="s">
        <v>286</v>
      </c>
      <c r="P2" s="34"/>
      <c r="Q2" s="34"/>
      <c r="R2" s="118"/>
      <c r="S2" s="581" t="str">
        <f>IF(詳細設計書!S2="","N/A",詳細設計書!S2)</f>
        <v>KSC 橋本</v>
      </c>
      <c r="T2" s="582"/>
      <c r="U2" s="582"/>
      <c r="V2" s="582"/>
      <c r="W2" s="582"/>
      <c r="X2" s="582"/>
      <c r="Y2" s="583"/>
      <c r="Z2" s="116" t="s">
        <v>288</v>
      </c>
      <c r="AA2" s="119"/>
      <c r="AB2" s="120"/>
      <c r="AC2" s="117"/>
      <c r="AD2" s="584" t="str">
        <f>IF(詳細設計書!AD2="","",詳細設計書!AD2)</f>
        <v>KSC 橋本</v>
      </c>
      <c r="AE2" s="585"/>
      <c r="AF2" s="585"/>
      <c r="AG2" s="585"/>
      <c r="AH2" s="585"/>
      <c r="AI2" s="586"/>
    </row>
    <row r="3" spans="1:39" ht="18.95" customHeight="1" thickBot="1">
      <c r="A3" s="30"/>
      <c r="C3" s="14"/>
      <c r="D3" s="122" t="s">
        <v>96</v>
      </c>
      <c r="E3" s="123"/>
      <c r="F3" s="124"/>
      <c r="G3" s="563" t="str">
        <f>IF(詳細設計書!G3="","N/A",詳細設計書!G3)</f>
        <v>DP_FI_2014_01</v>
      </c>
      <c r="H3" s="564"/>
      <c r="I3" s="564"/>
      <c r="J3" s="564"/>
      <c r="K3" s="564"/>
      <c r="L3" s="564"/>
      <c r="M3" s="564"/>
      <c r="N3" s="565"/>
      <c r="O3" s="122" t="s">
        <v>97</v>
      </c>
      <c r="P3" s="123"/>
      <c r="Q3" s="123"/>
      <c r="R3" s="125"/>
      <c r="S3" s="572" t="str">
        <f>IF(詳細設計書!S3="","N/A",詳細設計書!S3)</f>
        <v>ZFIPR_2014_01</v>
      </c>
      <c r="T3" s="573"/>
      <c r="U3" s="573"/>
      <c r="V3" s="573"/>
      <c r="W3" s="573"/>
      <c r="X3" s="573"/>
      <c r="Y3" s="573"/>
      <c r="Z3" s="587" t="s">
        <v>290</v>
      </c>
      <c r="AA3" s="588"/>
      <c r="AB3" s="589"/>
      <c r="AC3" s="572" t="str">
        <f>詳細設計書!AC3</f>
        <v>RD_FI_2014</v>
      </c>
      <c r="AD3" s="573"/>
      <c r="AE3" s="573"/>
      <c r="AF3" s="573"/>
      <c r="AG3" s="573"/>
      <c r="AH3" s="573"/>
      <c r="AI3" s="574"/>
    </row>
    <row r="4" spans="1:39" ht="18.95" customHeight="1" thickBot="1">
      <c r="A4" s="31" t="s">
        <v>292</v>
      </c>
      <c r="B4" s="32"/>
      <c r="C4" s="32"/>
      <c r="D4" s="187" t="s">
        <v>355</v>
      </c>
      <c r="E4" s="184"/>
      <c r="F4" s="184"/>
      <c r="G4" s="184"/>
      <c r="H4" s="184"/>
      <c r="I4" s="184"/>
      <c r="J4" s="184"/>
      <c r="K4" s="184"/>
      <c r="L4" s="184"/>
      <c r="M4" s="184"/>
      <c r="N4" s="184"/>
      <c r="O4" s="184"/>
      <c r="P4" s="184"/>
      <c r="Q4" s="184"/>
      <c r="R4" s="184"/>
      <c r="S4" s="184"/>
      <c r="T4" s="184"/>
      <c r="U4" s="184"/>
      <c r="V4" s="184"/>
      <c r="W4" s="184"/>
      <c r="X4" s="184"/>
      <c r="Y4" s="184"/>
      <c r="Z4" s="57" t="s">
        <v>100</v>
      </c>
      <c r="AA4" s="32"/>
      <c r="AB4" s="32"/>
      <c r="AC4" s="618" t="str">
        <f>詳細設計書!AC4</f>
        <v>1.0</v>
      </c>
      <c r="AD4" s="597"/>
      <c r="AE4" s="597"/>
      <c r="AF4" s="597"/>
      <c r="AG4" s="597"/>
      <c r="AH4" s="597"/>
      <c r="AI4" s="598"/>
    </row>
    <row r="5" spans="1:39" ht="7.5" customHeight="1" thickBot="1"/>
    <row r="6" spans="1:39" ht="15" customHeight="1" thickBot="1">
      <c r="A6" s="31" t="s">
        <v>295</v>
      </c>
      <c r="B6" s="60"/>
      <c r="C6" s="75"/>
      <c r="D6" s="593"/>
      <c r="E6" s="594"/>
      <c r="F6" s="594"/>
      <c r="G6" s="594"/>
      <c r="H6" s="594"/>
      <c r="I6" s="594"/>
      <c r="J6" s="594"/>
      <c r="K6" s="594"/>
      <c r="L6" s="594"/>
      <c r="M6" s="594"/>
      <c r="N6" s="594"/>
      <c r="O6" s="594"/>
      <c r="P6" s="594"/>
      <c r="Q6" s="594"/>
      <c r="R6" s="595"/>
      <c r="S6" s="57" t="s">
        <v>296</v>
      </c>
      <c r="T6" s="32"/>
      <c r="U6" s="32"/>
      <c r="V6" s="58"/>
      <c r="W6" s="590"/>
      <c r="X6" s="591"/>
      <c r="Y6" s="591"/>
      <c r="Z6" s="591"/>
      <c r="AA6" s="591"/>
      <c r="AB6" s="591"/>
      <c r="AC6" s="591"/>
      <c r="AD6" s="591"/>
      <c r="AE6" s="591"/>
      <c r="AF6" s="591"/>
      <c r="AG6" s="591"/>
      <c r="AH6" s="591"/>
      <c r="AI6" s="592"/>
    </row>
    <row r="7" spans="1:39" ht="15" customHeight="1" thickBot="1">
      <c r="A7" s="31" t="s">
        <v>297</v>
      </c>
      <c r="B7" s="60"/>
      <c r="C7" s="75"/>
      <c r="D7" s="593"/>
      <c r="E7" s="594"/>
      <c r="F7" s="594"/>
      <c r="G7" s="594"/>
      <c r="H7" s="594"/>
      <c r="I7" s="594"/>
      <c r="J7" s="594"/>
      <c r="K7" s="594"/>
      <c r="L7" s="594"/>
      <c r="M7" s="594"/>
      <c r="N7" s="594"/>
      <c r="O7" s="594"/>
      <c r="P7" s="594"/>
      <c r="Q7" s="594"/>
      <c r="R7" s="595"/>
      <c r="S7" s="57" t="s">
        <v>296</v>
      </c>
      <c r="T7" s="32"/>
      <c r="U7" s="32"/>
      <c r="V7" s="58"/>
      <c r="W7" s="590"/>
      <c r="X7" s="591"/>
      <c r="Y7" s="591"/>
      <c r="Z7" s="591"/>
      <c r="AA7" s="591"/>
      <c r="AB7" s="591"/>
      <c r="AC7" s="591"/>
      <c r="AD7" s="591"/>
      <c r="AE7" s="591"/>
      <c r="AF7" s="591"/>
      <c r="AG7" s="591"/>
      <c r="AH7" s="591"/>
      <c r="AI7" s="592"/>
    </row>
    <row r="8" spans="1:39" ht="15" customHeight="1" thickBot="1"/>
    <row r="9" spans="1:39" ht="15" customHeight="1">
      <c r="A9" s="602" t="s">
        <v>329</v>
      </c>
      <c r="B9" s="603"/>
      <c r="C9" s="615"/>
      <c r="D9" s="616" t="s">
        <v>330</v>
      </c>
      <c r="E9" s="603"/>
      <c r="F9" s="603"/>
      <c r="G9" s="603"/>
      <c r="H9" s="603"/>
      <c r="I9" s="603"/>
      <c r="J9" s="603"/>
      <c r="K9" s="603"/>
      <c r="L9" s="603"/>
      <c r="M9" s="603"/>
      <c r="N9" s="603"/>
      <c r="O9" s="603"/>
      <c r="P9" s="603"/>
      <c r="Q9" s="603"/>
      <c r="R9" s="603"/>
      <c r="S9" s="603"/>
      <c r="T9" s="603"/>
      <c r="U9" s="603"/>
      <c r="V9" s="603"/>
      <c r="W9" s="603"/>
      <c r="X9" s="603"/>
      <c r="Y9" s="603"/>
      <c r="Z9" s="603"/>
      <c r="AA9" s="603"/>
      <c r="AB9" s="603"/>
      <c r="AC9" s="603"/>
      <c r="AD9" s="603"/>
      <c r="AE9" s="603"/>
      <c r="AF9" s="603"/>
      <c r="AG9" s="603"/>
      <c r="AH9" s="603"/>
      <c r="AI9" s="617"/>
    </row>
    <row r="10" spans="1:39" s="295" customFormat="1" ht="15" customHeight="1">
      <c r="A10" s="294"/>
      <c r="B10" s="412"/>
      <c r="C10" s="296"/>
      <c r="D10" s="300"/>
      <c r="E10" s="300"/>
      <c r="F10" s="300"/>
      <c r="G10" s="300"/>
      <c r="H10" s="300"/>
      <c r="I10" s="301"/>
      <c r="K10" s="300"/>
      <c r="L10" s="300"/>
      <c r="M10" s="301"/>
      <c r="N10" s="306"/>
      <c r="O10" s="300"/>
      <c r="P10" s="300"/>
      <c r="Q10" s="300"/>
      <c r="R10" s="301"/>
      <c r="S10" s="300"/>
      <c r="T10" s="300"/>
      <c r="U10" s="300"/>
      <c r="V10" s="301"/>
      <c r="W10" s="301"/>
      <c r="X10" s="300"/>
      <c r="Y10" s="300"/>
      <c r="Z10" s="300"/>
      <c r="AA10" s="300"/>
      <c r="AB10" s="300"/>
      <c r="AC10" s="300"/>
      <c r="AD10" s="300"/>
      <c r="AE10" s="300"/>
      <c r="AF10" s="300"/>
      <c r="AG10" s="300"/>
      <c r="AH10" s="300"/>
      <c r="AI10" s="302"/>
      <c r="AJ10" s="300"/>
      <c r="AK10" s="300"/>
      <c r="AL10" s="300"/>
      <c r="AM10" s="300"/>
    </row>
    <row r="11" spans="1:39" s="295" customFormat="1" ht="15" customHeight="1">
      <c r="A11" s="294"/>
      <c r="B11" s="295" t="s">
        <v>356</v>
      </c>
      <c r="C11" s="296"/>
      <c r="D11" s="300"/>
      <c r="E11" s="300" t="s">
        <v>357</v>
      </c>
      <c r="L11" s="300"/>
      <c r="M11" s="301"/>
      <c r="N11" s="306"/>
      <c r="O11" s="300"/>
      <c r="P11" s="300"/>
      <c r="Q11" s="300"/>
      <c r="R11" s="306"/>
      <c r="S11" s="300"/>
      <c r="T11" s="300"/>
      <c r="U11" s="300"/>
      <c r="V11" s="301"/>
      <c r="W11" s="306"/>
      <c r="X11" s="300"/>
      <c r="Y11" s="300"/>
      <c r="Z11" s="300"/>
      <c r="AA11" s="300"/>
      <c r="AB11" s="300"/>
      <c r="AC11" s="300"/>
      <c r="AD11" s="300"/>
      <c r="AE11" s="300"/>
      <c r="AF11" s="300"/>
      <c r="AG11" s="300"/>
      <c r="AH11" s="300"/>
      <c r="AI11" s="302"/>
      <c r="AJ11" s="300"/>
      <c r="AK11" s="300"/>
      <c r="AL11" s="300"/>
      <c r="AM11" s="300"/>
    </row>
    <row r="12" spans="1:39" s="295" customFormat="1" ht="15" customHeight="1">
      <c r="A12" s="294"/>
      <c r="B12" s="412"/>
      <c r="C12" s="296"/>
      <c r="D12" s="300"/>
      <c r="L12" s="301"/>
      <c r="M12" s="300"/>
      <c r="N12" s="300"/>
      <c r="O12" s="300"/>
      <c r="P12" s="300"/>
      <c r="Q12" s="300"/>
      <c r="R12" s="306"/>
      <c r="S12" s="300"/>
      <c r="T12" s="300"/>
      <c r="U12" s="300"/>
      <c r="V12" s="301"/>
      <c r="W12" s="306"/>
      <c r="X12" s="300"/>
      <c r="Y12" s="300"/>
      <c r="Z12" s="300"/>
      <c r="AA12" s="300"/>
      <c r="AB12" s="300"/>
      <c r="AC12" s="300"/>
      <c r="AD12" s="300"/>
      <c r="AE12" s="300"/>
      <c r="AF12" s="300"/>
      <c r="AG12" s="300"/>
      <c r="AH12" s="300"/>
      <c r="AI12" s="302"/>
      <c r="AJ12" s="300"/>
      <c r="AK12" s="300"/>
    </row>
    <row r="13" spans="1:39" s="295" customFormat="1" ht="15" customHeight="1">
      <c r="A13" s="294"/>
      <c r="B13" s="412"/>
      <c r="C13" s="296"/>
      <c r="D13" s="300"/>
      <c r="E13" s="295" t="s">
        <v>358</v>
      </c>
      <c r="F13" s="295" t="s">
        <v>359</v>
      </c>
      <c r="I13" s="2"/>
      <c r="L13" s="300"/>
      <c r="M13" s="300"/>
      <c r="N13" s="300"/>
      <c r="O13" s="300"/>
      <c r="P13" s="300"/>
      <c r="Q13" s="300"/>
      <c r="R13" s="306"/>
      <c r="S13" s="300"/>
      <c r="T13" s="300"/>
      <c r="U13" s="300"/>
      <c r="V13" s="301"/>
      <c r="W13" s="306"/>
      <c r="X13" s="300"/>
      <c r="Y13" s="300"/>
      <c r="Z13" s="300"/>
      <c r="AA13" s="300"/>
      <c r="AB13" s="300"/>
      <c r="AC13" s="300"/>
      <c r="AD13" s="300"/>
      <c r="AE13" s="300"/>
      <c r="AF13" s="300"/>
      <c r="AG13" s="300"/>
      <c r="AH13" s="300"/>
      <c r="AI13" s="302"/>
      <c r="AJ13" s="300"/>
      <c r="AK13" s="300"/>
    </row>
    <row r="14" spans="1:39" s="295" customFormat="1" ht="15" customHeight="1">
      <c r="A14" s="294"/>
      <c r="B14" s="412"/>
      <c r="C14" s="296"/>
      <c r="D14" s="300"/>
      <c r="F14" s="295" t="s">
        <v>360</v>
      </c>
      <c r="I14" s="2"/>
      <c r="J14" s="300"/>
      <c r="K14" s="300"/>
      <c r="L14" s="300"/>
      <c r="M14" s="301"/>
      <c r="N14" s="306"/>
      <c r="O14" s="300"/>
      <c r="P14" s="300"/>
      <c r="Q14" s="300"/>
      <c r="R14" s="306"/>
      <c r="S14" s="300"/>
      <c r="T14" s="300"/>
      <c r="U14" s="300"/>
      <c r="V14" s="301"/>
      <c r="W14" s="306"/>
      <c r="X14" s="300"/>
      <c r="Y14" s="300"/>
      <c r="Z14" s="300"/>
      <c r="AA14" s="300"/>
      <c r="AB14" s="300"/>
      <c r="AC14" s="300"/>
      <c r="AD14" s="300"/>
      <c r="AE14" s="300"/>
      <c r="AF14" s="300"/>
      <c r="AG14" s="300"/>
      <c r="AH14" s="300"/>
      <c r="AI14" s="302"/>
      <c r="AJ14" s="300"/>
      <c r="AK14" s="300"/>
    </row>
    <row r="15" spans="1:39" s="295" customFormat="1" ht="15" customHeight="1">
      <c r="A15" s="294"/>
      <c r="B15" s="412"/>
      <c r="C15" s="296"/>
      <c r="D15" s="300"/>
      <c r="E15" s="300"/>
      <c r="F15" s="2" t="s">
        <v>349</v>
      </c>
      <c r="G15" s="2"/>
      <c r="H15" s="8"/>
      <c r="I15" s="2"/>
      <c r="J15" s="300"/>
      <c r="K15" s="300"/>
      <c r="L15" s="300"/>
      <c r="M15" s="301"/>
      <c r="N15" s="306"/>
      <c r="O15" s="300"/>
      <c r="P15" s="300"/>
      <c r="Q15" s="300"/>
      <c r="R15" s="306"/>
      <c r="S15" s="300"/>
      <c r="T15" s="300"/>
      <c r="U15" s="300"/>
      <c r="V15" s="301"/>
      <c r="W15" s="306"/>
      <c r="X15" s="300"/>
      <c r="Y15" s="300"/>
      <c r="Z15" s="300"/>
      <c r="AA15" s="300"/>
      <c r="AB15" s="300"/>
      <c r="AC15" s="300"/>
      <c r="AD15" s="300"/>
      <c r="AE15" s="300"/>
      <c r="AF15" s="300"/>
      <c r="AG15" s="300"/>
      <c r="AH15" s="300"/>
      <c r="AI15" s="302"/>
      <c r="AJ15" s="300"/>
      <c r="AK15" s="300"/>
      <c r="AL15" s="300"/>
      <c r="AM15" s="300"/>
    </row>
    <row r="16" spans="1:39" s="295" customFormat="1" ht="15" customHeight="1">
      <c r="A16" s="294"/>
      <c r="B16" s="412"/>
      <c r="C16" s="296"/>
      <c r="D16" s="300"/>
      <c r="E16" s="301"/>
      <c r="F16" s="2"/>
      <c r="G16" s="2" t="s">
        <v>361</v>
      </c>
      <c r="H16" s="8"/>
      <c r="I16" s="2"/>
      <c r="J16" s="2"/>
      <c r="K16" s="2"/>
      <c r="L16" s="300"/>
      <c r="M16" s="301"/>
      <c r="N16" s="306"/>
      <c r="O16" s="300"/>
      <c r="P16" s="300"/>
      <c r="Q16" s="300"/>
      <c r="R16" s="306"/>
      <c r="S16" s="300"/>
      <c r="T16" s="300"/>
      <c r="U16" s="300"/>
      <c r="V16" s="301"/>
      <c r="W16" s="306"/>
      <c r="X16" s="300"/>
      <c r="Y16" s="300"/>
      <c r="Z16" s="300"/>
      <c r="AA16" s="300"/>
      <c r="AB16" s="300"/>
      <c r="AC16" s="300"/>
      <c r="AD16" s="300"/>
      <c r="AE16" s="300"/>
      <c r="AF16" s="300"/>
      <c r="AG16" s="300"/>
      <c r="AH16" s="300"/>
      <c r="AI16" s="302"/>
      <c r="AJ16" s="300"/>
      <c r="AK16" s="300"/>
      <c r="AL16" s="300"/>
      <c r="AM16" s="300"/>
    </row>
    <row r="17" spans="1:39" s="295" customFormat="1" ht="15" customHeight="1">
      <c r="A17" s="294"/>
      <c r="B17" s="412"/>
      <c r="C17" s="296"/>
      <c r="D17" s="300"/>
      <c r="F17" s="2" t="s">
        <v>362</v>
      </c>
      <c r="J17" s="2"/>
      <c r="K17" s="2"/>
      <c r="L17" s="300"/>
      <c r="M17" s="301"/>
      <c r="N17" s="306"/>
      <c r="O17" s="300"/>
      <c r="P17" s="300"/>
      <c r="Q17" s="300"/>
      <c r="R17" s="306"/>
      <c r="S17" s="300"/>
      <c r="T17" s="300"/>
      <c r="U17" s="300"/>
      <c r="V17" s="301"/>
      <c r="W17" s="306"/>
      <c r="X17" s="300"/>
      <c r="Y17" s="300"/>
      <c r="Z17" s="300"/>
      <c r="AA17" s="300"/>
      <c r="AB17" s="300"/>
      <c r="AC17" s="300"/>
      <c r="AD17" s="300"/>
      <c r="AE17" s="300"/>
      <c r="AF17" s="300"/>
      <c r="AG17" s="300"/>
      <c r="AH17" s="300"/>
      <c r="AI17" s="302"/>
      <c r="AJ17" s="300"/>
      <c r="AK17" s="300"/>
      <c r="AL17" s="300"/>
      <c r="AM17" s="300"/>
    </row>
    <row r="18" spans="1:39" s="295" customFormat="1" ht="15" customHeight="1">
      <c r="A18" s="294"/>
      <c r="B18" s="412"/>
      <c r="C18" s="296"/>
      <c r="D18" s="300"/>
      <c r="G18" s="300" t="s">
        <v>363</v>
      </c>
      <c r="H18" s="300"/>
      <c r="I18" s="301"/>
      <c r="J18" s="300"/>
      <c r="K18" s="300"/>
      <c r="L18" s="300"/>
      <c r="M18" s="301"/>
      <c r="N18" s="306"/>
      <c r="O18" s="300"/>
      <c r="P18" s="300"/>
      <c r="Q18" s="306"/>
      <c r="R18" s="300"/>
      <c r="S18" s="300"/>
      <c r="T18" s="300"/>
      <c r="U18" s="301"/>
      <c r="V18" s="306"/>
      <c r="W18" s="300"/>
      <c r="X18" s="300"/>
      <c r="AG18" s="300"/>
      <c r="AH18" s="300"/>
      <c r="AI18" s="302"/>
      <c r="AJ18" s="300"/>
      <c r="AK18" s="300"/>
      <c r="AL18" s="300"/>
      <c r="AM18" s="300"/>
    </row>
    <row r="19" spans="1:39" s="295" customFormat="1" ht="15" customHeight="1">
      <c r="A19" s="294"/>
      <c r="B19" s="412"/>
      <c r="C19" s="296"/>
      <c r="D19" s="300"/>
      <c r="G19" s="295" t="s">
        <v>364</v>
      </c>
      <c r="AG19" s="300"/>
      <c r="AH19" s="300"/>
      <c r="AI19" s="302"/>
      <c r="AJ19" s="300"/>
      <c r="AK19" s="300"/>
      <c r="AL19" s="300"/>
      <c r="AM19" s="300"/>
    </row>
    <row r="20" spans="1:39" s="295" customFormat="1" ht="15" customHeight="1">
      <c r="A20" s="294"/>
      <c r="B20" s="412"/>
      <c r="C20" s="296"/>
      <c r="D20" s="300"/>
      <c r="G20" s="300" t="s">
        <v>342</v>
      </c>
      <c r="H20" s="300"/>
      <c r="I20" s="300"/>
      <c r="J20" s="300"/>
      <c r="K20" s="300"/>
      <c r="L20" s="300"/>
      <c r="M20" s="300" t="s">
        <v>365</v>
      </c>
      <c r="N20" s="306"/>
      <c r="O20" s="300"/>
      <c r="P20" s="300"/>
      <c r="Q20" s="306"/>
      <c r="R20" s="300"/>
      <c r="S20" s="300"/>
      <c r="T20" s="300"/>
      <c r="U20" s="301"/>
      <c r="V20" s="306"/>
      <c r="W20" s="300"/>
      <c r="X20" s="300"/>
      <c r="AG20" s="300"/>
      <c r="AH20" s="300"/>
      <c r="AI20" s="302"/>
      <c r="AJ20" s="300"/>
      <c r="AK20" s="300"/>
      <c r="AL20" s="300"/>
      <c r="AM20" s="300"/>
    </row>
    <row r="21" spans="1:39" s="295" customFormat="1" ht="15" customHeight="1">
      <c r="A21" s="294"/>
      <c r="B21" s="412"/>
      <c r="C21" s="296"/>
      <c r="D21" s="300"/>
      <c r="AF21" s="300"/>
      <c r="AG21" s="300"/>
      <c r="AH21" s="300"/>
      <c r="AI21" s="302"/>
      <c r="AJ21" s="300"/>
      <c r="AK21" s="300"/>
      <c r="AL21" s="300"/>
      <c r="AM21" s="300"/>
    </row>
    <row r="22" spans="1:39" s="295" customFormat="1" ht="15" customHeight="1">
      <c r="A22" s="294"/>
      <c r="B22" s="412"/>
      <c r="C22" s="296"/>
      <c r="D22" s="300"/>
      <c r="E22" s="295" t="s">
        <v>366</v>
      </c>
      <c r="F22" s="295" t="s">
        <v>367</v>
      </c>
      <c r="I22" s="2"/>
      <c r="J22" s="300"/>
      <c r="K22" s="300"/>
      <c r="L22" s="300"/>
      <c r="M22" s="301"/>
      <c r="N22" s="306"/>
      <c r="O22" s="300"/>
      <c r="P22" s="300"/>
      <c r="Q22" s="300"/>
      <c r="R22" s="306"/>
      <c r="S22" s="300"/>
      <c r="T22" s="300"/>
      <c r="U22" s="300"/>
      <c r="V22" s="301"/>
      <c r="W22" s="306"/>
      <c r="X22" s="300"/>
      <c r="Y22" s="300"/>
      <c r="Z22" s="300"/>
      <c r="AA22" s="300"/>
      <c r="AB22" s="300"/>
      <c r="AC22" s="300"/>
      <c r="AD22" s="300"/>
      <c r="AE22" s="300"/>
      <c r="AF22" s="300"/>
      <c r="AG22" s="300"/>
      <c r="AH22" s="300"/>
      <c r="AI22" s="302"/>
      <c r="AJ22" s="300"/>
      <c r="AK22" s="300"/>
      <c r="AL22" s="300"/>
      <c r="AM22" s="300"/>
    </row>
    <row r="23" spans="1:39" s="295" customFormat="1" ht="15" customHeight="1">
      <c r="A23" s="294"/>
      <c r="B23" s="412"/>
      <c r="C23" s="296"/>
      <c r="D23" s="300"/>
      <c r="F23" s="295" t="s">
        <v>368</v>
      </c>
      <c r="I23" s="2"/>
      <c r="J23" s="300"/>
      <c r="K23" s="300"/>
      <c r="L23" s="300"/>
      <c r="M23" s="301"/>
      <c r="N23" s="306"/>
      <c r="O23" s="300"/>
      <c r="P23" s="300"/>
      <c r="Q23" s="300"/>
      <c r="R23" s="306"/>
      <c r="S23" s="300"/>
      <c r="T23" s="300"/>
      <c r="U23" s="300"/>
      <c r="V23" s="301"/>
      <c r="W23" s="306"/>
      <c r="X23" s="300"/>
      <c r="Y23" s="300"/>
      <c r="Z23" s="300"/>
      <c r="AA23" s="300"/>
      <c r="AB23" s="300"/>
      <c r="AC23" s="300"/>
      <c r="AD23" s="300"/>
      <c r="AE23" s="300"/>
      <c r="AF23" s="300"/>
      <c r="AG23" s="300"/>
      <c r="AH23" s="300"/>
      <c r="AI23" s="302"/>
      <c r="AJ23" s="300"/>
      <c r="AK23" s="300"/>
      <c r="AL23" s="300"/>
      <c r="AM23" s="300"/>
    </row>
    <row r="24" spans="1:39" s="295" customFormat="1" ht="15" customHeight="1">
      <c r="A24" s="294"/>
      <c r="B24" s="412"/>
      <c r="C24" s="296"/>
      <c r="D24" s="300"/>
      <c r="E24" s="300"/>
      <c r="F24" s="2" t="s">
        <v>349</v>
      </c>
      <c r="G24" s="2"/>
      <c r="H24" s="8"/>
      <c r="I24" s="2"/>
      <c r="J24" s="300"/>
      <c r="K24" s="300"/>
      <c r="L24" s="300"/>
      <c r="M24" s="301"/>
      <c r="N24" s="306"/>
      <c r="O24" s="300"/>
      <c r="P24" s="300"/>
      <c r="Q24" s="300"/>
      <c r="R24" s="306"/>
      <c r="S24" s="300"/>
      <c r="T24" s="300"/>
      <c r="U24" s="300"/>
      <c r="V24" s="301"/>
      <c r="W24" s="306"/>
      <c r="X24" s="300"/>
      <c r="Y24" s="300"/>
      <c r="Z24" s="300"/>
      <c r="AA24" s="300"/>
      <c r="AB24" s="300"/>
      <c r="AC24" s="300"/>
      <c r="AD24" s="300"/>
      <c r="AE24" s="300"/>
      <c r="AF24" s="300"/>
      <c r="AG24" s="300"/>
      <c r="AH24" s="300"/>
      <c r="AI24" s="302"/>
      <c r="AJ24" s="300"/>
      <c r="AK24" s="300"/>
      <c r="AL24" s="300"/>
      <c r="AM24" s="300"/>
    </row>
    <row r="25" spans="1:39" s="295" customFormat="1" ht="15" customHeight="1">
      <c r="A25" s="294"/>
      <c r="B25" s="412"/>
      <c r="C25" s="296"/>
      <c r="D25" s="300"/>
      <c r="E25" s="301"/>
      <c r="F25" s="2"/>
      <c r="G25" s="2" t="s">
        <v>369</v>
      </c>
      <c r="H25" s="8"/>
      <c r="I25" s="2"/>
      <c r="J25" s="300"/>
      <c r="K25" s="300"/>
      <c r="L25" s="300"/>
      <c r="M25" s="301"/>
      <c r="N25" s="306"/>
      <c r="O25" s="300"/>
      <c r="P25" s="300"/>
      <c r="Q25" s="300"/>
      <c r="R25" s="306"/>
      <c r="S25" s="300"/>
      <c r="T25" s="300"/>
      <c r="U25" s="300"/>
      <c r="V25" s="301"/>
      <c r="W25" s="306"/>
      <c r="X25" s="300"/>
      <c r="Y25" s="300"/>
      <c r="Z25" s="300"/>
      <c r="AA25" s="300"/>
      <c r="AB25" s="300"/>
      <c r="AC25" s="300"/>
      <c r="AD25" s="300"/>
      <c r="AE25" s="300"/>
      <c r="AF25" s="300"/>
      <c r="AG25" s="300"/>
      <c r="AH25" s="300"/>
      <c r="AI25" s="302"/>
      <c r="AJ25" s="300"/>
      <c r="AK25" s="300"/>
      <c r="AL25" s="300"/>
      <c r="AM25" s="300"/>
    </row>
    <row r="26" spans="1:39" s="295" customFormat="1" ht="15" customHeight="1">
      <c r="A26" s="294"/>
      <c r="B26" s="412"/>
      <c r="C26" s="296"/>
      <c r="D26" s="300"/>
      <c r="E26" s="301"/>
      <c r="F26" s="2" t="s">
        <v>362</v>
      </c>
      <c r="J26" s="2"/>
      <c r="K26" s="2"/>
      <c r="L26" s="300"/>
      <c r="M26" s="301"/>
      <c r="N26" s="306"/>
      <c r="O26" s="300"/>
      <c r="P26" s="300"/>
      <c r="Q26" s="300"/>
      <c r="R26" s="306"/>
      <c r="S26" s="300"/>
      <c r="T26" s="300"/>
      <c r="U26" s="300"/>
      <c r="V26" s="301"/>
      <c r="W26" s="306"/>
      <c r="X26" s="300"/>
      <c r="Y26" s="300"/>
      <c r="Z26" s="300"/>
      <c r="AA26" s="300"/>
      <c r="AB26" s="300"/>
      <c r="AC26" s="300"/>
      <c r="AD26" s="300"/>
      <c r="AE26" s="300"/>
      <c r="AI26" s="302"/>
      <c r="AJ26" s="300"/>
      <c r="AK26" s="300"/>
      <c r="AL26" s="300"/>
      <c r="AM26" s="300"/>
    </row>
    <row r="27" spans="1:39" s="295" customFormat="1" ht="15" customHeight="1">
      <c r="A27" s="294"/>
      <c r="B27" s="412"/>
      <c r="C27" s="296"/>
      <c r="D27" s="300"/>
      <c r="G27" s="300" t="s">
        <v>370</v>
      </c>
      <c r="H27" s="300"/>
      <c r="I27" s="301"/>
      <c r="J27" s="300"/>
      <c r="K27" s="300"/>
      <c r="L27" s="300"/>
      <c r="M27" s="301"/>
      <c r="N27" s="306"/>
      <c r="O27" s="300"/>
      <c r="P27" s="300"/>
      <c r="Q27" s="306"/>
      <c r="R27" s="300"/>
      <c r="S27" s="300"/>
      <c r="T27" s="300"/>
      <c r="U27" s="301"/>
      <c r="V27" s="306"/>
      <c r="AI27" s="302"/>
      <c r="AJ27" s="300"/>
      <c r="AK27" s="300"/>
      <c r="AL27" s="300"/>
      <c r="AM27" s="300"/>
    </row>
    <row r="28" spans="1:39" s="295" customFormat="1" ht="15" customHeight="1">
      <c r="A28" s="294"/>
      <c r="B28" s="412"/>
      <c r="C28" s="296"/>
      <c r="D28" s="300"/>
      <c r="G28" s="295" t="s">
        <v>364</v>
      </c>
      <c r="S28" s="300"/>
      <c r="T28" s="300"/>
      <c r="U28" s="301"/>
      <c r="V28" s="306"/>
      <c r="AI28" s="302"/>
      <c r="AJ28" s="300"/>
      <c r="AK28" s="300"/>
      <c r="AL28" s="300"/>
      <c r="AM28" s="300"/>
    </row>
    <row r="29" spans="1:39" s="295" customFormat="1" ht="15" customHeight="1">
      <c r="A29" s="294"/>
      <c r="B29" s="412"/>
      <c r="C29" s="296"/>
      <c r="D29" s="300"/>
      <c r="G29" s="300" t="s">
        <v>342</v>
      </c>
      <c r="H29" s="300"/>
      <c r="I29" s="300"/>
      <c r="J29" s="300"/>
      <c r="K29" s="300"/>
      <c r="L29" s="300"/>
      <c r="M29" s="300" t="s">
        <v>365</v>
      </c>
      <c r="N29" s="306"/>
      <c r="O29" s="300"/>
      <c r="P29" s="300"/>
      <c r="Q29" s="306"/>
      <c r="R29" s="300"/>
      <c r="AI29" s="302"/>
      <c r="AJ29" s="300"/>
      <c r="AK29" s="300"/>
      <c r="AL29" s="300"/>
      <c r="AM29" s="300"/>
    </row>
    <row r="30" spans="1:39" s="295" customFormat="1" ht="15" customHeight="1">
      <c r="A30" s="294"/>
      <c r="B30" s="412"/>
      <c r="C30" s="296"/>
      <c r="D30" s="300"/>
      <c r="AI30" s="302"/>
      <c r="AJ30" s="300"/>
      <c r="AK30" s="300"/>
      <c r="AL30" s="300"/>
      <c r="AM30" s="300"/>
    </row>
    <row r="31" spans="1:39" s="295" customFormat="1" ht="15" customHeight="1">
      <c r="A31" s="294"/>
      <c r="B31" s="412"/>
      <c r="C31" s="296"/>
      <c r="D31" s="300"/>
      <c r="E31" s="300" t="s">
        <v>371</v>
      </c>
      <c r="F31" s="300" t="s">
        <v>372</v>
      </c>
      <c r="G31" s="2"/>
      <c r="H31" s="300"/>
      <c r="I31" s="2"/>
      <c r="J31" s="300"/>
      <c r="K31" s="300"/>
      <c r="L31" s="300"/>
      <c r="M31" s="301"/>
      <c r="N31" s="306"/>
      <c r="O31" s="300"/>
      <c r="P31" s="300"/>
      <c r="Q31" s="300"/>
      <c r="R31" s="306"/>
      <c r="S31" s="300"/>
      <c r="T31" s="300"/>
      <c r="U31" s="300"/>
      <c r="V31" s="301"/>
      <c r="W31" s="306"/>
      <c r="X31" s="300"/>
      <c r="Y31" s="300"/>
      <c r="Z31" s="300"/>
      <c r="AA31" s="300"/>
      <c r="AB31" s="300"/>
      <c r="AC31" s="300"/>
      <c r="AD31" s="300"/>
      <c r="AE31" s="300"/>
      <c r="AF31" s="300"/>
      <c r="AG31" s="300"/>
      <c r="AH31" s="300"/>
      <c r="AI31" s="302"/>
      <c r="AJ31" s="300"/>
      <c r="AK31" s="300"/>
      <c r="AL31" s="300"/>
      <c r="AM31" s="300"/>
    </row>
    <row r="32" spans="1:39" s="295" customFormat="1" ht="15" customHeight="1">
      <c r="A32" s="294"/>
      <c r="B32" s="412"/>
      <c r="C32" s="296"/>
      <c r="D32" s="300"/>
      <c r="E32" s="301"/>
      <c r="F32" s="2" t="s">
        <v>373</v>
      </c>
      <c r="G32" s="2"/>
      <c r="H32" s="300"/>
      <c r="I32" s="2"/>
      <c r="J32" s="300"/>
      <c r="K32" s="300"/>
      <c r="L32" s="300"/>
      <c r="M32" s="301"/>
      <c r="N32" s="306"/>
      <c r="O32" s="300"/>
      <c r="P32" s="300"/>
      <c r="Q32" s="300"/>
      <c r="R32" s="306"/>
      <c r="S32" s="300"/>
      <c r="T32" s="300"/>
      <c r="U32" s="300"/>
      <c r="V32" s="301"/>
      <c r="W32" s="306"/>
      <c r="X32" s="300"/>
      <c r="Y32" s="300"/>
      <c r="Z32" s="300"/>
      <c r="AA32" s="300"/>
      <c r="AB32" s="300"/>
      <c r="AC32" s="300"/>
      <c r="AD32" s="300"/>
      <c r="AE32" s="300"/>
      <c r="AF32" s="300"/>
      <c r="AG32" s="300"/>
      <c r="AH32" s="300"/>
      <c r="AI32" s="302"/>
      <c r="AJ32" s="300"/>
      <c r="AK32" s="300"/>
      <c r="AL32" s="300"/>
      <c r="AM32" s="300"/>
    </row>
    <row r="33" spans="1:39" s="295" customFormat="1" ht="15" customHeight="1">
      <c r="A33" s="294"/>
      <c r="B33" s="412"/>
      <c r="C33" s="296"/>
      <c r="D33" s="300"/>
      <c r="E33" s="300"/>
      <c r="F33" s="300" t="s">
        <v>374</v>
      </c>
      <c r="G33" s="2" t="s">
        <v>375</v>
      </c>
      <c r="H33" s="8"/>
      <c r="I33" s="2"/>
      <c r="J33" s="300"/>
      <c r="K33" s="300"/>
      <c r="L33" s="300"/>
      <c r="M33" s="301"/>
      <c r="N33" s="306"/>
      <c r="O33" s="300"/>
      <c r="P33" s="300"/>
      <c r="Q33" s="300"/>
      <c r="R33" s="306"/>
      <c r="S33" s="300"/>
      <c r="T33" s="300"/>
      <c r="U33" s="300"/>
      <c r="V33" s="301"/>
      <c r="W33" s="306"/>
      <c r="X33" s="300"/>
      <c r="Y33" s="300"/>
      <c r="Z33" s="300"/>
      <c r="AA33" s="300"/>
      <c r="AB33" s="300"/>
      <c r="AC33" s="300"/>
      <c r="AD33" s="300"/>
      <c r="AE33" s="300"/>
      <c r="AF33" s="300"/>
      <c r="AG33" s="300"/>
      <c r="AH33" s="300"/>
      <c r="AI33" s="302"/>
      <c r="AJ33" s="300"/>
      <c r="AK33" s="300"/>
      <c r="AL33" s="300"/>
      <c r="AM33" s="300"/>
    </row>
    <row r="34" spans="1:39" s="295" customFormat="1" ht="15" customHeight="1">
      <c r="A34" s="294"/>
      <c r="B34" s="412"/>
      <c r="C34" s="296"/>
      <c r="D34" s="300"/>
      <c r="E34" s="300"/>
      <c r="F34" s="300"/>
      <c r="G34" s="295" t="s">
        <v>376</v>
      </c>
      <c r="H34" s="300"/>
      <c r="K34" s="2"/>
      <c r="L34" s="300"/>
      <c r="M34" s="300"/>
      <c r="N34" s="300"/>
      <c r="O34" s="300"/>
      <c r="P34" s="300"/>
      <c r="Q34" s="300"/>
      <c r="R34" s="306"/>
      <c r="S34" s="300"/>
      <c r="T34" s="300"/>
      <c r="U34" s="300"/>
      <c r="V34" s="301"/>
      <c r="W34" s="306"/>
      <c r="X34" s="300"/>
      <c r="Y34" s="300"/>
      <c r="Z34" s="300"/>
      <c r="AA34" s="300"/>
      <c r="AB34" s="300"/>
      <c r="AC34" s="300"/>
      <c r="AD34" s="300"/>
      <c r="AE34" s="300"/>
      <c r="AF34" s="300"/>
      <c r="AG34" s="300"/>
      <c r="AH34" s="300"/>
      <c r="AI34" s="302"/>
      <c r="AJ34" s="300"/>
      <c r="AK34" s="300"/>
      <c r="AL34" s="300"/>
      <c r="AM34" s="300"/>
    </row>
    <row r="35" spans="1:39" s="295" customFormat="1" ht="15" customHeight="1">
      <c r="A35" s="294"/>
      <c r="B35" s="412"/>
      <c r="C35" s="296"/>
      <c r="D35" s="300"/>
      <c r="G35" s="295" t="s">
        <v>377</v>
      </c>
      <c r="I35" s="2"/>
      <c r="J35" s="300"/>
      <c r="K35" s="300"/>
      <c r="L35" s="300"/>
      <c r="M35" s="301"/>
      <c r="N35" s="306"/>
      <c r="O35" s="300"/>
      <c r="P35" s="300"/>
      <c r="Q35" s="300"/>
      <c r="R35" s="306"/>
      <c r="S35" s="300"/>
      <c r="T35" s="300"/>
      <c r="U35" s="300"/>
      <c r="V35" s="301"/>
      <c r="W35" s="306"/>
      <c r="X35" s="300"/>
      <c r="Y35" s="300"/>
      <c r="Z35" s="300"/>
      <c r="AA35" s="300"/>
      <c r="AB35" s="300"/>
      <c r="AC35" s="300"/>
      <c r="AD35" s="300"/>
      <c r="AE35" s="300"/>
      <c r="AF35" s="300"/>
      <c r="AG35" s="300"/>
      <c r="AH35" s="300"/>
      <c r="AI35" s="302"/>
      <c r="AJ35" s="300"/>
      <c r="AK35" s="300"/>
      <c r="AL35" s="300"/>
      <c r="AM35" s="300"/>
    </row>
    <row r="36" spans="1:39" s="295" customFormat="1" ht="15" customHeight="1">
      <c r="A36" s="294"/>
      <c r="B36" s="412"/>
      <c r="C36" s="296"/>
      <c r="D36" s="300"/>
      <c r="G36" s="295" t="s">
        <v>378</v>
      </c>
      <c r="I36" s="2"/>
      <c r="J36" s="300"/>
      <c r="K36" s="300"/>
      <c r="L36" s="300" t="s">
        <v>379</v>
      </c>
      <c r="M36" s="301" t="s">
        <v>380</v>
      </c>
      <c r="N36" s="306"/>
      <c r="O36" s="300"/>
      <c r="P36" s="300"/>
      <c r="Q36" s="300"/>
      <c r="R36" s="306"/>
      <c r="S36" s="300"/>
      <c r="T36" s="300"/>
      <c r="U36" s="300"/>
      <c r="V36" s="301"/>
      <c r="W36" s="300"/>
      <c r="X36" s="300"/>
      <c r="Y36" s="300"/>
      <c r="Z36" s="300"/>
      <c r="AA36" s="300"/>
      <c r="AB36" s="300"/>
      <c r="AC36" s="300"/>
      <c r="AD36" s="300"/>
      <c r="AE36" s="300"/>
      <c r="AF36" s="300"/>
      <c r="AG36" s="300"/>
      <c r="AH36" s="300"/>
      <c r="AI36" s="302"/>
      <c r="AJ36" s="300"/>
      <c r="AK36" s="300"/>
      <c r="AL36" s="300"/>
      <c r="AM36" s="300"/>
    </row>
    <row r="37" spans="1:39" s="295" customFormat="1" ht="15" customHeight="1">
      <c r="A37" s="294"/>
      <c r="B37" s="412"/>
      <c r="C37" s="296"/>
      <c r="D37" s="300"/>
      <c r="E37" s="300"/>
      <c r="F37" s="2"/>
      <c r="G37" s="2"/>
      <c r="H37" s="8"/>
      <c r="I37" s="2"/>
      <c r="J37" s="2"/>
      <c r="K37" s="2"/>
      <c r="L37" s="301"/>
      <c r="M37" s="300" t="s">
        <v>381</v>
      </c>
      <c r="N37" s="300"/>
      <c r="O37" s="300"/>
      <c r="P37" s="300"/>
      <c r="Q37" s="301"/>
      <c r="R37" s="300"/>
      <c r="S37" s="300"/>
      <c r="T37" s="300"/>
      <c r="U37" s="300"/>
      <c r="V37" s="301"/>
      <c r="W37" s="301"/>
      <c r="X37" s="300"/>
      <c r="Y37" s="300"/>
      <c r="Z37" s="300"/>
      <c r="AA37" s="300"/>
      <c r="AB37" s="300"/>
      <c r="AC37" s="300"/>
      <c r="AD37" s="300"/>
      <c r="AE37" s="300"/>
      <c r="AF37" s="300"/>
      <c r="AG37" s="300"/>
      <c r="AH37" s="300"/>
      <c r="AI37" s="302"/>
      <c r="AJ37" s="300"/>
      <c r="AK37" s="300"/>
      <c r="AL37" s="300"/>
      <c r="AM37" s="300"/>
    </row>
    <row r="38" spans="1:39" s="295" customFormat="1" ht="15" customHeight="1">
      <c r="A38" s="294"/>
      <c r="C38" s="296"/>
      <c r="D38" s="300"/>
      <c r="E38" s="301"/>
      <c r="F38" s="2"/>
      <c r="G38" s="2"/>
      <c r="H38" s="2" t="s">
        <v>382</v>
      </c>
      <c r="I38" s="2" t="s">
        <v>383</v>
      </c>
      <c r="J38" s="2"/>
      <c r="K38" s="2"/>
      <c r="L38" s="300"/>
      <c r="M38" s="300" t="s">
        <v>384</v>
      </c>
      <c r="N38" s="300"/>
      <c r="O38" s="300"/>
      <c r="P38" s="300"/>
      <c r="Q38" s="301"/>
      <c r="R38" s="300"/>
      <c r="S38" s="300"/>
      <c r="T38" s="300"/>
      <c r="U38" s="300" t="s">
        <v>385</v>
      </c>
      <c r="V38" s="301"/>
      <c r="W38" s="301"/>
      <c r="X38" s="300"/>
      <c r="Y38" s="300"/>
      <c r="Z38" s="300"/>
      <c r="AA38" s="300"/>
      <c r="AB38" s="300"/>
      <c r="AC38" s="300"/>
      <c r="AD38" s="300"/>
      <c r="AE38" s="300"/>
      <c r="AF38" s="300"/>
      <c r="AG38" s="300"/>
      <c r="AH38" s="300"/>
      <c r="AI38" s="302"/>
      <c r="AJ38" s="300"/>
      <c r="AK38" s="300"/>
      <c r="AL38" s="300"/>
      <c r="AM38" s="300"/>
    </row>
    <row r="39" spans="1:39" s="295" customFormat="1" ht="15" customHeight="1">
      <c r="A39" s="294"/>
      <c r="C39" s="296"/>
      <c r="D39" s="300"/>
      <c r="E39" s="301"/>
      <c r="F39" s="300"/>
      <c r="G39" s="300"/>
      <c r="H39" s="300"/>
      <c r="I39" s="2" t="s">
        <v>386</v>
      </c>
      <c r="J39" s="300"/>
      <c r="K39" s="2"/>
      <c r="L39" s="8"/>
      <c r="M39" s="2" t="s">
        <v>387</v>
      </c>
      <c r="N39" s="2"/>
      <c r="O39" s="2"/>
      <c r="P39" s="2"/>
      <c r="Q39" s="2"/>
      <c r="T39" s="300"/>
      <c r="U39" s="300" t="s">
        <v>388</v>
      </c>
      <c r="V39" s="301"/>
      <c r="W39" s="300"/>
      <c r="X39" s="300"/>
      <c r="Y39" s="300"/>
      <c r="Z39" s="300"/>
      <c r="AA39" s="300"/>
      <c r="AB39" s="300"/>
      <c r="AC39" s="300"/>
      <c r="AD39" s="300"/>
      <c r="AE39" s="300"/>
      <c r="AF39" s="300"/>
      <c r="AG39" s="300"/>
      <c r="AH39" s="300"/>
      <c r="AI39" s="302"/>
      <c r="AJ39" s="300"/>
      <c r="AK39" s="300"/>
      <c r="AL39" s="300"/>
      <c r="AM39" s="300"/>
    </row>
    <row r="40" spans="1:39" s="295" customFormat="1" ht="15" customHeight="1">
      <c r="A40" s="294"/>
      <c r="C40" s="296"/>
      <c r="D40" s="300"/>
      <c r="E40" s="300"/>
      <c r="F40" s="300"/>
      <c r="G40" s="300"/>
      <c r="H40" s="300"/>
      <c r="I40" s="300" t="s">
        <v>389</v>
      </c>
      <c r="J40" s="300"/>
      <c r="K40" s="2"/>
      <c r="L40" s="8"/>
      <c r="M40" s="462" t="s">
        <v>390</v>
      </c>
      <c r="N40" s="2"/>
      <c r="O40" s="2"/>
      <c r="P40" s="2"/>
      <c r="Q40" s="2" t="s">
        <v>391</v>
      </c>
      <c r="R40" s="295" t="s">
        <v>392</v>
      </c>
      <c r="S40" s="295" t="s">
        <v>392</v>
      </c>
      <c r="T40" s="300" t="s">
        <v>392</v>
      </c>
      <c r="U40" s="300" t="s">
        <v>388</v>
      </c>
      <c r="V40" s="301" t="s">
        <v>392</v>
      </c>
      <c r="W40" s="300" t="s">
        <v>392</v>
      </c>
      <c r="X40" s="300" t="s">
        <v>392</v>
      </c>
      <c r="Y40" s="300" t="s">
        <v>385</v>
      </c>
      <c r="Z40" s="300"/>
      <c r="AA40" s="300"/>
      <c r="AB40" s="300"/>
      <c r="AC40" s="300"/>
      <c r="AD40" s="300"/>
      <c r="AE40" s="300"/>
      <c r="AF40" s="300"/>
      <c r="AG40" s="300"/>
      <c r="AH40" s="300"/>
      <c r="AI40" s="302"/>
      <c r="AJ40" s="300"/>
      <c r="AK40" s="300"/>
      <c r="AL40" s="300"/>
      <c r="AM40" s="300"/>
    </row>
    <row r="41" spans="1:39" s="295" customFormat="1" ht="15" customHeight="1">
      <c r="A41" s="294"/>
      <c r="B41" s="412"/>
      <c r="C41" s="296"/>
      <c r="D41" s="300"/>
      <c r="E41" s="301"/>
      <c r="F41" s="300"/>
      <c r="G41" s="300"/>
      <c r="H41" s="300"/>
      <c r="I41" s="300" t="s">
        <v>393</v>
      </c>
      <c r="J41" s="300"/>
      <c r="K41" s="2"/>
      <c r="L41" s="8"/>
      <c r="M41" s="2" t="s">
        <v>394</v>
      </c>
      <c r="N41" s="2"/>
      <c r="O41" s="2"/>
      <c r="P41" s="300"/>
      <c r="Q41" s="2"/>
      <c r="T41" s="300"/>
      <c r="U41" s="300" t="s">
        <v>395</v>
      </c>
      <c r="V41" s="301"/>
      <c r="W41" s="300"/>
      <c r="X41" s="300"/>
      <c r="Y41" s="300" t="s">
        <v>395</v>
      </c>
      <c r="Z41" s="300"/>
      <c r="AA41" s="300"/>
      <c r="AB41" s="300"/>
      <c r="AC41" s="300"/>
      <c r="AD41" s="300"/>
      <c r="AE41" s="300"/>
      <c r="AF41" s="300"/>
      <c r="AG41" s="300"/>
      <c r="AH41" s="300"/>
      <c r="AI41" s="302"/>
      <c r="AJ41" s="300"/>
      <c r="AL41" s="300"/>
      <c r="AM41" s="300"/>
    </row>
    <row r="42" spans="1:39" s="295" customFormat="1" ht="15" customHeight="1">
      <c r="A42" s="294"/>
      <c r="B42" s="412"/>
      <c r="C42" s="296"/>
      <c r="D42" s="300"/>
      <c r="E42" s="300"/>
      <c r="F42" s="300"/>
      <c r="G42" s="300"/>
      <c r="H42" s="300"/>
      <c r="I42" s="295" t="s">
        <v>396</v>
      </c>
      <c r="K42" s="2"/>
      <c r="L42" s="300"/>
      <c r="M42" s="300"/>
      <c r="N42" s="300" t="s">
        <v>379</v>
      </c>
      <c r="O42" s="300" t="s">
        <v>397</v>
      </c>
      <c r="P42" s="300"/>
      <c r="Q42" s="300"/>
      <c r="R42" s="306"/>
      <c r="S42" s="300"/>
      <c r="T42" s="300"/>
      <c r="U42" s="300"/>
      <c r="V42" s="301"/>
      <c r="W42" s="306"/>
      <c r="X42" s="300"/>
      <c r="Y42" s="300"/>
      <c r="Z42" s="300"/>
      <c r="AA42" s="300"/>
      <c r="AB42" s="300"/>
      <c r="AC42" s="300"/>
      <c r="AD42" s="300"/>
      <c r="AE42" s="300"/>
      <c r="AF42" s="300"/>
      <c r="AG42" s="300"/>
      <c r="AH42" s="300"/>
      <c r="AI42" s="302"/>
      <c r="AJ42" s="300"/>
      <c r="AK42" s="301"/>
      <c r="AL42" s="300"/>
      <c r="AM42" s="300"/>
    </row>
    <row r="43" spans="1:39" s="295" customFormat="1" ht="15" customHeight="1">
      <c r="A43" s="294"/>
      <c r="B43" s="412"/>
      <c r="C43" s="296"/>
      <c r="D43" s="300"/>
      <c r="E43" s="300"/>
      <c r="F43" s="300"/>
      <c r="G43" s="2"/>
      <c r="H43" s="8"/>
      <c r="I43" s="2"/>
      <c r="J43" s="2"/>
      <c r="K43" s="2"/>
      <c r="L43" s="8"/>
      <c r="M43" s="2"/>
      <c r="N43" s="2"/>
      <c r="O43" s="300"/>
      <c r="P43" s="300"/>
      <c r="Q43" s="300"/>
      <c r="R43" s="306"/>
      <c r="S43" s="300"/>
      <c r="T43" s="300"/>
      <c r="U43" s="300"/>
      <c r="V43" s="301"/>
      <c r="W43" s="306"/>
      <c r="X43" s="300"/>
      <c r="Y43" s="300"/>
      <c r="Z43" s="300"/>
      <c r="AA43" s="300"/>
      <c r="AB43" s="300"/>
      <c r="AC43" s="300"/>
      <c r="AD43" s="300"/>
      <c r="AE43" s="300"/>
      <c r="AF43" s="300"/>
      <c r="AG43" s="300"/>
      <c r="AH43" s="300"/>
      <c r="AI43" s="302"/>
      <c r="AJ43" s="300"/>
      <c r="AK43" s="300"/>
      <c r="AL43" s="300"/>
      <c r="AM43" s="300"/>
    </row>
    <row r="44" spans="1:39" s="295" customFormat="1" ht="15" customHeight="1">
      <c r="A44" s="294"/>
      <c r="B44" s="412"/>
      <c r="C44" s="296"/>
      <c r="D44" s="300"/>
      <c r="E44" s="300"/>
      <c r="F44" s="514" t="s">
        <v>398</v>
      </c>
      <c r="G44" s="515" t="s">
        <v>399</v>
      </c>
      <c r="H44" s="516"/>
      <c r="I44" s="515"/>
      <c r="J44" s="2"/>
      <c r="K44" s="2"/>
      <c r="L44" s="8"/>
      <c r="M44" s="2" t="s">
        <v>400</v>
      </c>
      <c r="N44" s="2"/>
      <c r="O44" s="300"/>
      <c r="P44" s="300"/>
      <c r="Q44" s="300"/>
      <c r="R44" s="306"/>
      <c r="S44" s="300"/>
      <c r="T44" s="300"/>
      <c r="U44" s="300"/>
      <c r="V44" s="301"/>
      <c r="W44" s="306"/>
      <c r="X44" s="300"/>
      <c r="Y44" s="300"/>
      <c r="Z44" s="300"/>
      <c r="AA44" s="300"/>
      <c r="AB44" s="300"/>
      <c r="AC44" s="300"/>
      <c r="AD44" s="300"/>
      <c r="AE44" s="300"/>
      <c r="AF44" s="300"/>
      <c r="AG44" s="300"/>
      <c r="AH44" s="300"/>
      <c r="AI44" s="302"/>
      <c r="AJ44" s="300"/>
      <c r="AK44" s="300"/>
      <c r="AL44" s="300"/>
      <c r="AM44" s="300"/>
    </row>
    <row r="45" spans="1:39" s="295" customFormat="1" ht="15" customHeight="1">
      <c r="A45" s="294"/>
      <c r="B45" s="412"/>
      <c r="C45" s="296"/>
      <c r="D45" s="300"/>
      <c r="E45" s="300"/>
      <c r="G45" s="512" t="s">
        <v>401</v>
      </c>
      <c r="H45" s="512"/>
      <c r="I45" s="515"/>
      <c r="J45" s="515"/>
      <c r="K45" s="515"/>
      <c r="L45" s="516"/>
      <c r="M45" s="515"/>
      <c r="N45" s="515"/>
      <c r="O45" s="514"/>
      <c r="P45" s="514"/>
      <c r="Q45" s="514"/>
      <c r="R45" s="517"/>
      <c r="S45" s="514"/>
      <c r="T45" s="300"/>
      <c r="U45" s="300"/>
      <c r="V45" s="301"/>
      <c r="W45" s="306"/>
      <c r="X45" s="300"/>
      <c r="Y45" s="300"/>
      <c r="Z45" s="300"/>
      <c r="AA45" s="300"/>
      <c r="AB45" s="300"/>
      <c r="AC45" s="300"/>
      <c r="AD45" s="300"/>
      <c r="AE45" s="300"/>
      <c r="AF45" s="300"/>
      <c r="AG45" s="300"/>
      <c r="AH45" s="300"/>
      <c r="AI45" s="302"/>
      <c r="AJ45" s="300"/>
      <c r="AK45" s="300"/>
      <c r="AL45" s="300"/>
      <c r="AM45" s="300"/>
    </row>
    <row r="46" spans="1:39" s="295" customFormat="1" ht="15" customHeight="1">
      <c r="A46" s="294"/>
      <c r="B46" s="412"/>
      <c r="C46" s="296"/>
      <c r="D46" s="300"/>
      <c r="E46" s="300"/>
      <c r="F46" s="300"/>
      <c r="G46" s="512" t="s">
        <v>402</v>
      </c>
      <c r="H46" s="512"/>
      <c r="I46" s="515"/>
      <c r="J46" s="514"/>
      <c r="K46" s="514"/>
      <c r="L46" s="514" t="s">
        <v>379</v>
      </c>
      <c r="M46" s="518" t="s">
        <v>380</v>
      </c>
      <c r="N46" s="515"/>
      <c r="O46" s="514"/>
      <c r="P46" s="514"/>
      <c r="Q46" s="514"/>
      <c r="R46" s="518"/>
      <c r="S46" s="514"/>
      <c r="T46" s="300"/>
      <c r="U46" s="300"/>
      <c r="V46" s="301"/>
      <c r="W46" s="301"/>
      <c r="X46" s="300"/>
      <c r="Y46" s="300"/>
      <c r="Z46" s="300"/>
      <c r="AA46" s="300"/>
      <c r="AB46" s="300"/>
      <c r="AC46" s="300"/>
      <c r="AD46" s="300"/>
      <c r="AE46" s="300"/>
      <c r="AF46" s="300"/>
      <c r="AG46" s="300"/>
      <c r="AH46" s="300"/>
      <c r="AI46" s="302"/>
      <c r="AJ46" s="300"/>
      <c r="AK46" s="300"/>
      <c r="AL46" s="300"/>
      <c r="AM46" s="300"/>
    </row>
    <row r="47" spans="1:39" s="295" customFormat="1" ht="15" customHeight="1">
      <c r="A47" s="294"/>
      <c r="B47" s="412"/>
      <c r="C47" s="296"/>
      <c r="D47" s="300"/>
      <c r="E47" s="300"/>
      <c r="F47" s="300"/>
      <c r="G47" s="515"/>
      <c r="H47" s="516"/>
      <c r="I47" s="515"/>
      <c r="J47" s="515"/>
      <c r="K47" s="515"/>
      <c r="L47" s="518"/>
      <c r="M47" s="514" t="s">
        <v>381</v>
      </c>
      <c r="N47" s="515"/>
      <c r="O47" s="514"/>
      <c r="P47" s="514"/>
      <c r="Q47" s="514"/>
      <c r="R47" s="518"/>
      <c r="S47" s="514"/>
      <c r="T47" s="300"/>
      <c r="U47" s="300"/>
      <c r="V47" s="301"/>
      <c r="W47" s="301"/>
      <c r="X47" s="300"/>
      <c r="Y47" s="300"/>
      <c r="Z47" s="300"/>
      <c r="AA47" s="300"/>
      <c r="AB47" s="300"/>
      <c r="AC47" s="300"/>
      <c r="AD47" s="300"/>
      <c r="AE47" s="300"/>
      <c r="AF47" s="300"/>
      <c r="AG47" s="300"/>
      <c r="AH47" s="300"/>
      <c r="AI47" s="302"/>
      <c r="AJ47" s="300"/>
      <c r="AK47" s="300"/>
      <c r="AL47" s="300"/>
      <c r="AM47" s="300"/>
    </row>
    <row r="48" spans="1:39" s="295" customFormat="1" ht="15" customHeight="1">
      <c r="A48" s="294"/>
      <c r="B48" s="412"/>
      <c r="C48" s="296"/>
      <c r="D48" s="300"/>
      <c r="E48" s="300"/>
      <c r="F48" s="300"/>
      <c r="G48" s="515"/>
      <c r="H48" s="515" t="s">
        <v>382</v>
      </c>
      <c r="I48" s="512" t="s">
        <v>396</v>
      </c>
      <c r="J48" s="512"/>
      <c r="K48" s="515"/>
      <c r="L48" s="514"/>
      <c r="M48" s="514"/>
      <c r="N48" s="514" t="s">
        <v>379</v>
      </c>
      <c r="O48" s="514" t="s">
        <v>403</v>
      </c>
      <c r="P48" s="514"/>
      <c r="Q48" s="514"/>
      <c r="R48" s="518"/>
      <c r="S48" s="514"/>
      <c r="T48" s="300"/>
      <c r="U48" s="300"/>
      <c r="V48" s="301"/>
      <c r="W48" s="301"/>
      <c r="X48" s="300"/>
      <c r="Y48" s="300"/>
      <c r="Z48" s="300"/>
      <c r="AA48" s="300"/>
      <c r="AB48" s="300"/>
      <c r="AC48" s="300"/>
      <c r="AD48" s="300"/>
      <c r="AE48" s="300"/>
      <c r="AF48" s="300"/>
      <c r="AG48" s="300"/>
      <c r="AH48" s="300"/>
      <c r="AI48" s="302"/>
      <c r="AJ48" s="300"/>
      <c r="AK48" s="300"/>
      <c r="AL48" s="300"/>
      <c r="AM48" s="300"/>
    </row>
    <row r="49" spans="1:39" s="295" customFormat="1" ht="15" customHeight="1">
      <c r="A49" s="294"/>
      <c r="B49" s="412"/>
      <c r="C49" s="296"/>
      <c r="D49" s="300"/>
      <c r="E49" s="300"/>
      <c r="F49" s="300" t="s">
        <v>404</v>
      </c>
      <c r="G49" s="2"/>
      <c r="H49" s="300" t="s">
        <v>405</v>
      </c>
      <c r="I49" s="2"/>
      <c r="J49" s="2"/>
      <c r="K49" s="2"/>
      <c r="L49" s="8"/>
      <c r="M49" s="2"/>
      <c r="N49" s="2"/>
      <c r="O49" s="300"/>
      <c r="P49" s="300"/>
      <c r="Q49" s="300"/>
      <c r="R49" s="301"/>
      <c r="S49" s="300"/>
      <c r="T49" s="300"/>
      <c r="U49" s="300"/>
      <c r="V49" s="301"/>
      <c r="W49" s="301"/>
      <c r="X49" s="300"/>
      <c r="Y49" s="300"/>
      <c r="Z49" s="300"/>
      <c r="AA49" s="300"/>
      <c r="AB49" s="300"/>
      <c r="AC49" s="300"/>
      <c r="AD49" s="300"/>
      <c r="AE49" s="300"/>
      <c r="AF49" s="300"/>
      <c r="AG49" s="300"/>
      <c r="AH49" s="300"/>
      <c r="AI49" s="302"/>
      <c r="AJ49" s="300"/>
      <c r="AK49" s="300"/>
      <c r="AL49" s="300"/>
      <c r="AM49" s="300"/>
    </row>
    <row r="50" spans="1:39" s="295" customFormat="1" ht="15" customHeight="1">
      <c r="A50" s="294"/>
      <c r="B50" s="412"/>
      <c r="C50" s="296"/>
      <c r="D50" s="300"/>
      <c r="E50" s="300"/>
      <c r="I50" s="2"/>
      <c r="J50" s="2"/>
      <c r="K50" s="2"/>
      <c r="L50" s="8"/>
      <c r="M50" s="2"/>
      <c r="N50" s="2"/>
      <c r="O50" s="300"/>
      <c r="P50" s="300"/>
      <c r="Q50" s="300"/>
      <c r="R50" s="306"/>
      <c r="S50" s="300"/>
      <c r="T50" s="300"/>
      <c r="U50" s="300"/>
      <c r="V50" s="301"/>
      <c r="W50" s="306"/>
      <c r="X50" s="300"/>
      <c r="Y50" s="300"/>
      <c r="Z50" s="300"/>
      <c r="AA50" s="300"/>
      <c r="AB50" s="300"/>
      <c r="AC50" s="300"/>
      <c r="AD50" s="300"/>
      <c r="AE50" s="300"/>
      <c r="AF50" s="300"/>
      <c r="AG50" s="300"/>
      <c r="AH50" s="300"/>
      <c r="AI50" s="302"/>
      <c r="AJ50" s="300"/>
      <c r="AL50" s="300"/>
      <c r="AM50" s="300"/>
    </row>
    <row r="51" spans="1:39" s="295" customFormat="1" ht="15" customHeight="1">
      <c r="A51" s="294"/>
      <c r="B51" s="412"/>
      <c r="C51" s="296"/>
      <c r="D51" s="300"/>
      <c r="E51" s="300"/>
      <c r="F51" s="300"/>
      <c r="I51" s="2"/>
      <c r="J51" s="300"/>
      <c r="K51" s="300"/>
      <c r="L51" s="300"/>
      <c r="M51" s="301"/>
      <c r="N51" s="2"/>
      <c r="O51" s="300"/>
      <c r="P51" s="300"/>
      <c r="Q51" s="300"/>
      <c r="R51" s="301"/>
      <c r="S51" s="300"/>
      <c r="T51" s="300"/>
      <c r="U51" s="300"/>
      <c r="V51" s="301"/>
      <c r="W51" s="301"/>
      <c r="X51" s="300"/>
      <c r="Y51" s="300"/>
      <c r="Z51" s="300"/>
      <c r="AA51" s="300"/>
      <c r="AB51" s="300"/>
      <c r="AC51" s="300"/>
      <c r="AD51" s="300"/>
      <c r="AE51" s="300"/>
      <c r="AF51" s="300"/>
      <c r="AG51" s="300"/>
      <c r="AH51" s="300"/>
      <c r="AI51" s="302"/>
      <c r="AJ51" s="300"/>
      <c r="AK51" s="301"/>
      <c r="AL51" s="300"/>
      <c r="AM51" s="300"/>
    </row>
    <row r="52" spans="1:39" s="295" customFormat="1" ht="15" customHeight="1">
      <c r="A52" s="294"/>
      <c r="C52" s="296"/>
      <c r="D52" s="300"/>
      <c r="E52" s="300"/>
      <c r="F52" s="300"/>
      <c r="G52" s="2"/>
      <c r="H52" s="8"/>
      <c r="I52" s="2"/>
      <c r="J52" s="2"/>
      <c r="K52" s="2"/>
      <c r="L52" s="301"/>
      <c r="M52" s="300"/>
      <c r="N52" s="2"/>
      <c r="O52" s="300"/>
      <c r="P52" s="300"/>
      <c r="Q52" s="300"/>
      <c r="R52" s="301"/>
      <c r="S52" s="300"/>
      <c r="T52" s="300"/>
      <c r="U52" s="300"/>
      <c r="V52" s="301"/>
      <c r="W52" s="301"/>
      <c r="X52" s="300"/>
      <c r="Y52" s="300"/>
      <c r="Z52" s="300"/>
      <c r="AA52" s="300"/>
      <c r="AB52" s="300"/>
      <c r="AC52" s="300"/>
      <c r="AD52" s="300"/>
      <c r="AE52" s="300"/>
      <c r="AF52" s="300"/>
      <c r="AG52" s="300"/>
      <c r="AH52" s="300"/>
      <c r="AI52" s="302"/>
      <c r="AJ52" s="300"/>
      <c r="AK52" s="300"/>
      <c r="AL52" s="300"/>
      <c r="AM52" s="300"/>
    </row>
    <row r="53" spans="1:39" s="295" customFormat="1" ht="15" customHeight="1">
      <c r="A53" s="294"/>
      <c r="C53" s="296"/>
      <c r="D53" s="300"/>
      <c r="E53" s="300"/>
      <c r="F53" s="300"/>
      <c r="G53" s="2"/>
      <c r="H53" s="2"/>
      <c r="K53" s="2"/>
      <c r="L53" s="300"/>
      <c r="M53" s="300"/>
      <c r="N53" s="300"/>
      <c r="O53" s="300"/>
      <c r="P53" s="300"/>
      <c r="Q53" s="300"/>
      <c r="R53" s="301"/>
      <c r="S53" s="300"/>
      <c r="T53" s="300"/>
      <c r="U53" s="300"/>
      <c r="V53" s="301"/>
      <c r="W53" s="301"/>
      <c r="X53" s="300"/>
      <c r="Y53" s="300"/>
      <c r="Z53" s="300"/>
      <c r="AA53" s="300"/>
      <c r="AB53" s="300"/>
      <c r="AC53" s="300"/>
      <c r="AD53" s="300"/>
      <c r="AE53" s="300"/>
      <c r="AF53" s="300"/>
      <c r="AG53" s="300"/>
      <c r="AH53" s="300"/>
      <c r="AI53" s="302"/>
      <c r="AJ53" s="300"/>
      <c r="AK53" s="300"/>
      <c r="AL53" s="300"/>
      <c r="AM53" s="300"/>
    </row>
    <row r="54" spans="1:39" s="295" customFormat="1" ht="15" customHeight="1">
      <c r="A54" s="294"/>
      <c r="C54" s="296"/>
      <c r="D54" s="300"/>
      <c r="E54" s="300"/>
      <c r="F54" s="300"/>
      <c r="G54" s="2"/>
      <c r="H54" s="300"/>
      <c r="I54" s="2"/>
      <c r="J54" s="2"/>
      <c r="K54" s="2"/>
      <c r="L54" s="8"/>
      <c r="M54" s="2"/>
      <c r="N54" s="2"/>
      <c r="O54" s="300"/>
      <c r="P54" s="300"/>
      <c r="Q54" s="300"/>
      <c r="R54" s="301"/>
      <c r="S54" s="300"/>
      <c r="T54" s="300"/>
      <c r="U54" s="300"/>
      <c r="V54" s="301"/>
      <c r="W54" s="301"/>
      <c r="X54" s="300"/>
      <c r="Y54" s="300"/>
      <c r="Z54" s="300"/>
      <c r="AA54" s="300"/>
      <c r="AB54" s="300"/>
      <c r="AC54" s="300"/>
      <c r="AD54" s="300"/>
      <c r="AE54" s="300"/>
      <c r="AF54" s="300"/>
      <c r="AG54" s="300"/>
      <c r="AH54" s="300"/>
      <c r="AI54" s="302"/>
      <c r="AJ54" s="300"/>
      <c r="AK54" s="300"/>
      <c r="AL54" s="300"/>
      <c r="AM54" s="300"/>
    </row>
    <row r="55" spans="1:39" s="295" customFormat="1" ht="15" customHeight="1" thickBot="1">
      <c r="A55" s="297"/>
      <c r="B55" s="298"/>
      <c r="C55" s="299"/>
      <c r="D55" s="304"/>
      <c r="E55" s="304"/>
      <c r="F55" s="304"/>
      <c r="G55" s="304"/>
      <c r="H55" s="304"/>
      <c r="I55" s="304"/>
      <c r="J55" s="304"/>
      <c r="K55" s="304"/>
      <c r="L55" s="304"/>
      <c r="M55" s="304"/>
      <c r="N55" s="304"/>
      <c r="O55" s="304"/>
      <c r="P55" s="304"/>
      <c r="Q55" s="304"/>
      <c r="R55" s="304"/>
      <c r="S55" s="304"/>
      <c r="T55" s="304"/>
      <c r="U55" s="304"/>
      <c r="V55" s="304"/>
      <c r="W55" s="304"/>
      <c r="X55" s="304"/>
      <c r="Y55" s="304"/>
      <c r="Z55" s="304"/>
      <c r="AA55" s="304"/>
      <c r="AB55" s="304"/>
      <c r="AC55" s="304"/>
      <c r="AD55" s="304"/>
      <c r="AE55" s="304"/>
      <c r="AF55" s="304"/>
      <c r="AG55" s="304"/>
      <c r="AH55" s="304"/>
      <c r="AI55" s="305"/>
      <c r="AJ55" s="300"/>
      <c r="AK55" s="300"/>
      <c r="AL55" s="300"/>
      <c r="AM55" s="300"/>
    </row>
    <row r="56" spans="1:39">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row>
    <row r="57" spans="1:39">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row>
    <row r="58" spans="1:39">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row>
    <row r="59" spans="1:39">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row>
    <row r="60" spans="1:39">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row>
    <row r="61" spans="1:39">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row>
    <row r="62" spans="1:39">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row>
    <row r="63" spans="1:39">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row>
    <row r="64" spans="1:39">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row>
    <row r="65" spans="4:39">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row>
    <row r="66" spans="4:39">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row>
    <row r="67" spans="4:39">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row>
    <row r="68" spans="4:39">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row>
    <row r="69" spans="4:39">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row>
    <row r="70" spans="4:39">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row>
    <row r="71" spans="4:39">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row>
    <row r="72" spans="4:39">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row>
    <row r="73" spans="4:39">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row>
    <row r="74" spans="4:39">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row>
    <row r="75" spans="4:39">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row>
    <row r="76" spans="4:39">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row>
    <row r="77" spans="4:39">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row>
    <row r="78" spans="4:39">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row>
    <row r="79" spans="4:39">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row>
    <row r="80" spans="4:39">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row>
    <row r="81" spans="4:39">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row>
    <row r="82" spans="4:39">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row>
    <row r="83" spans="4:39">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row>
    <row r="84" spans="4:39">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row>
    <row r="85" spans="4:39">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row>
    <row r="86" spans="4:39">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row>
    <row r="87" spans="4:39">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row>
    <row r="88" spans="4:39">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row>
    <row r="89" spans="4:39">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row>
    <row r="90" spans="4:39">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row>
    <row r="91" spans="4:39">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row>
    <row r="92" spans="4:39">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row>
    <row r="93" spans="4:39">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row>
    <row r="94" spans="4:39">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row>
    <row r="95" spans="4:39">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row>
    <row r="96" spans="4:39">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row>
    <row r="97" spans="4:39">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row>
    <row r="98" spans="4:39">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row>
    <row r="99" spans="4:39">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row>
    <row r="100" spans="4:39">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row>
    <row r="101" spans="4:39">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row>
    <row r="102" spans="4:39">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row>
    <row r="103" spans="4:39">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row>
    <row r="104" spans="4:39">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row>
    <row r="105" spans="4:39">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row>
    <row r="106" spans="4:39">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row>
    <row r="107" spans="4:39">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row>
    <row r="108" spans="4:39">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row>
    <row r="109" spans="4:39">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row>
    <row r="110" spans="4:39">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row>
    <row r="111" spans="4:39">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row>
    <row r="112" spans="4:39">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row>
    <row r="113" spans="4:39">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row>
    <row r="114" spans="4:39">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row>
    <row r="115" spans="4:39">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row>
    <row r="116" spans="4:39">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row>
    <row r="117" spans="4:39">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row>
    <row r="118" spans="4:39">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row>
    <row r="119" spans="4:39">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row>
    <row r="120" spans="4:39">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row>
    <row r="121" spans="4:39">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row>
    <row r="122" spans="4:39">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row>
    <row r="123" spans="4:39">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row>
    <row r="124" spans="4:39">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row>
    <row r="125" spans="4:39">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row>
    <row r="126" spans="4:39">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row>
    <row r="127" spans="4:39">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row>
    <row r="128" spans="4:39">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row>
    <row r="129" spans="4:39">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row>
    <row r="130" spans="4:39">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row>
    <row r="131" spans="4:39">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row>
    <row r="132" spans="4:39">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row>
    <row r="133" spans="4:39">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row>
    <row r="134" spans="4:39">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row>
    <row r="135" spans="4:39">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row>
    <row r="136" spans="4:39">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row>
    <row r="137" spans="4:39">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row>
    <row r="138" spans="4:39">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row>
    <row r="139" spans="4:39">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row>
    <row r="140" spans="4:39">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row>
    <row r="141" spans="4:39">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row>
    <row r="142" spans="4:39">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row>
    <row r="143" spans="4:39">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row>
    <row r="144" spans="4:39">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row>
    <row r="145" spans="4:39">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row>
    <row r="146" spans="4:39">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row>
    <row r="147" spans="4:39">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row>
    <row r="148" spans="4:39">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row>
    <row r="149" spans="4:39">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row>
    <row r="150" spans="4:39">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row>
    <row r="151" spans="4:39">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row>
    <row r="152" spans="4:39">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row>
    <row r="153" spans="4:39">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row>
    <row r="154" spans="4:39">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row>
    <row r="155" spans="4:39">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row>
    <row r="156" spans="4:39">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row>
    <row r="157" spans="4:39">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row>
    <row r="158" spans="4:39">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row>
    <row r="159" spans="4:39">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row>
    <row r="160" spans="4:39">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row>
    <row r="161" spans="4:39">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row>
    <row r="162" spans="4:39">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row>
    <row r="163" spans="4:39">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row>
    <row r="164" spans="4:39">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row>
    <row r="165" spans="4:39">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row>
    <row r="166" spans="4:39">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row>
    <row r="167" spans="4:39">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row>
    <row r="168" spans="4:39">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row>
    <row r="169" spans="4:39">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row>
    <row r="170" spans="4:39">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row>
    <row r="171" spans="4:39">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row>
    <row r="172" spans="4:39">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row>
    <row r="173" spans="4:39">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row>
    <row r="174" spans="4:39">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row>
    <row r="175" spans="4:39">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row>
    <row r="176" spans="4:39">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row>
    <row r="177" spans="4:39">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row>
    <row r="178" spans="4:39">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row>
    <row r="179" spans="4:39">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row>
    <row r="180" spans="4:39">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row>
    <row r="181" spans="4:39">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row>
    <row r="182" spans="4:39">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row>
    <row r="183" spans="4:39">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row>
    <row r="184" spans="4:39">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row>
    <row r="185" spans="4:39">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row>
    <row r="186" spans="4:39">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row>
    <row r="187" spans="4:39">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row>
    <row r="188" spans="4:39">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row>
    <row r="189" spans="4:39">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row>
    <row r="190" spans="4:39">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row>
    <row r="191" spans="4:39">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row>
    <row r="192" spans="4:39">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row>
    <row r="193" spans="4:39">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row>
    <row r="194" spans="4:39">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row>
    <row r="195" spans="4:39">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row>
    <row r="196" spans="4:39">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row>
    <row r="197" spans="4:39">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row>
    <row r="198" spans="4:39">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row>
    <row r="199" spans="4:39">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row>
    <row r="200" spans="4:39">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row>
    <row r="201" spans="4:39">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row>
    <row r="202" spans="4:39">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row>
    <row r="203" spans="4:39">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row>
    <row r="204" spans="4:39">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row>
    <row r="205" spans="4:39">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row>
    <row r="206" spans="4:39">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row>
    <row r="207" spans="4:39">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row>
    <row r="208" spans="4:39">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row>
    <row r="209" spans="4:39">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row>
    <row r="210" spans="4:39">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row>
    <row r="211" spans="4:39">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row>
    <row r="212" spans="4:39">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row>
    <row r="213" spans="4:39">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row>
    <row r="214" spans="4:39">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row>
    <row r="215" spans="4:39">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row>
    <row r="216" spans="4:39">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row>
    <row r="217" spans="4:39">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row>
    <row r="218" spans="4:39">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row>
    <row r="219" spans="4:39">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row>
    <row r="220" spans="4:39">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row>
    <row r="221" spans="4:39">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row>
    <row r="222" spans="4:39">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row>
    <row r="223" spans="4:39">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row>
    <row r="224" spans="4:39">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row>
    <row r="225" spans="4:39">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row>
    <row r="226" spans="4:39">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row>
    <row r="227" spans="4:39">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row>
    <row r="228" spans="4:39">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row>
    <row r="229" spans="4:39">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row>
    <row r="230" spans="4:39">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row>
    <row r="231" spans="4:39">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row>
    <row r="232" spans="4:39">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row>
    <row r="233" spans="4:39">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row>
    <row r="234" spans="4:39">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row>
    <row r="235" spans="4:39">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row>
    <row r="236" spans="4:39">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row>
    <row r="237" spans="4:39">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row>
    <row r="238" spans="4:39">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row>
    <row r="239" spans="4:39">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row>
    <row r="240" spans="4:39">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row>
    <row r="241" spans="4:39">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row>
    <row r="242" spans="4:39">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row>
    <row r="243" spans="4:39">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row>
    <row r="244" spans="4:39">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row>
    <row r="245" spans="4:39">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row>
    <row r="246" spans="4:39">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row>
    <row r="247" spans="4:39">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row>
    <row r="248" spans="4:39">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row>
    <row r="249" spans="4:39">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row>
    <row r="250" spans="4:39">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row>
    <row r="251" spans="4:39">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row>
    <row r="252" spans="4:39">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row>
    <row r="253" spans="4:39">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row>
    <row r="254" spans="4:39">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row>
    <row r="255" spans="4:39">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row>
    <row r="256" spans="4:39">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row>
    <row r="257" spans="4:39">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row>
    <row r="258" spans="4:39">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row>
    <row r="259" spans="4:39">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row>
    <row r="260" spans="4:39">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row>
    <row r="261" spans="4:39">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row>
    <row r="262" spans="4:39">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row>
    <row r="263" spans="4:39">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row>
    <row r="264" spans="4:39">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row>
    <row r="265" spans="4:39">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row>
    <row r="266" spans="4:39">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row>
    <row r="267" spans="4:39">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row>
    <row r="268" spans="4:39">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row>
    <row r="269" spans="4:39">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row>
    <row r="270" spans="4:39">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row>
    <row r="271" spans="4:39">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row>
    <row r="272" spans="4:39">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row>
    <row r="273" spans="4:39">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row>
    <row r="274" spans="4:39">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row>
    <row r="275" spans="4:39">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row>
    <row r="276" spans="4:39">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row>
    <row r="277" spans="4:39">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row>
    <row r="278" spans="4:39">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row>
    <row r="279" spans="4:39">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row>
    <row r="280" spans="4:39">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row>
    <row r="281" spans="4:39">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row>
    <row r="282" spans="4:39">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row>
    <row r="283" spans="4:39">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row>
    <row r="284" spans="4:39">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row>
    <row r="285" spans="4:39">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row>
    <row r="286" spans="4:39">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row>
    <row r="287" spans="4:39">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row>
    <row r="288" spans="4:39">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row>
  </sheetData>
  <dataConsolidate/>
  <mergeCells count="17">
    <mergeCell ref="D7:R7"/>
    <mergeCell ref="W7:AI7"/>
    <mergeCell ref="A9:C9"/>
    <mergeCell ref="D9:AI9"/>
    <mergeCell ref="G3:N3"/>
    <mergeCell ref="W6:AI6"/>
    <mergeCell ref="D6:R6"/>
    <mergeCell ref="AC4:AI4"/>
    <mergeCell ref="S3:Y3"/>
    <mergeCell ref="Z3:AB3"/>
    <mergeCell ref="AC3:AI3"/>
    <mergeCell ref="G1:N1"/>
    <mergeCell ref="G2:N2"/>
    <mergeCell ref="S1:Y1"/>
    <mergeCell ref="AD1:AI1"/>
    <mergeCell ref="S2:Y2"/>
    <mergeCell ref="AD2:AI2"/>
  </mergeCells>
  <phoneticPr fontId="7"/>
  <pageMargins left="0.78740157480314965" right="0.39370078740157483" top="0.78740157480314965" bottom="0.78740157480314965" header="0.51181102362204722" footer="0.51181102362204722"/>
  <pageSetup paperSize="9" scale="86" orientation="portrait" verticalDpi="400"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0000"/>
    <pageSetUpPr fitToPage="1"/>
  </sheetPr>
  <dimension ref="A1:BE288"/>
  <sheetViews>
    <sheetView topLeftCell="A20" zoomScaleNormal="100" workbookViewId="0">
      <selection activeCell="BO45" sqref="BO45"/>
    </sheetView>
  </sheetViews>
  <sheetFormatPr defaultColWidth="2.85546875" defaultRowHeight="11.25"/>
  <cols>
    <col min="1" max="16384" width="2.85546875" style="2"/>
  </cols>
  <sheetData>
    <row r="1" spans="1:38" ht="18.95" customHeight="1">
      <c r="A1" s="108"/>
      <c r="B1" s="109"/>
      <c r="C1" s="109"/>
      <c r="D1" s="110" t="s">
        <v>90</v>
      </c>
      <c r="E1" s="111"/>
      <c r="F1" s="112"/>
      <c r="G1" s="544" t="str">
        <f>IF(詳細設計書!G1="","N/A",詳細設計書!G1)</f>
        <v>統合会計システム開発</v>
      </c>
      <c r="H1" s="544"/>
      <c r="I1" s="544"/>
      <c r="J1" s="544"/>
      <c r="K1" s="544"/>
      <c r="L1" s="544"/>
      <c r="M1" s="544"/>
      <c r="N1" s="545"/>
      <c r="O1" s="110" t="s">
        <v>283</v>
      </c>
      <c r="P1" s="111"/>
      <c r="Q1" s="111"/>
      <c r="R1" s="113"/>
      <c r="S1" s="575">
        <f>IF(詳細設計書!S1="","N/A",詳細設計書!S1)</f>
        <v>42509</v>
      </c>
      <c r="T1" s="576"/>
      <c r="U1" s="576"/>
      <c r="V1" s="576"/>
      <c r="W1" s="576"/>
      <c r="X1" s="576"/>
      <c r="Y1" s="577"/>
      <c r="Z1" s="110" t="s">
        <v>284</v>
      </c>
      <c r="AA1" s="114"/>
      <c r="AB1" s="114"/>
      <c r="AC1" s="115"/>
      <c r="AD1" s="578">
        <f>IF(詳細設計書!AD1="","",詳細設計書!AD1)</f>
        <v>42559</v>
      </c>
      <c r="AE1" s="579"/>
      <c r="AF1" s="579"/>
      <c r="AG1" s="579"/>
      <c r="AH1" s="579"/>
      <c r="AI1" s="580"/>
    </row>
    <row r="2" spans="1:38" ht="18.95" customHeight="1">
      <c r="A2" s="30"/>
      <c r="D2" s="116" t="s">
        <v>93</v>
      </c>
      <c r="E2" s="34"/>
      <c r="F2" s="117"/>
      <c r="G2" s="550" t="str">
        <f>IF(詳細設計書!G2="","N/A",詳細設計書!G2)</f>
        <v>SAP R/3(レポート)</v>
      </c>
      <c r="H2" s="550"/>
      <c r="I2" s="550"/>
      <c r="J2" s="550"/>
      <c r="K2" s="550"/>
      <c r="L2" s="550"/>
      <c r="M2" s="550"/>
      <c r="N2" s="551"/>
      <c r="O2" s="116" t="s">
        <v>286</v>
      </c>
      <c r="P2" s="34"/>
      <c r="Q2" s="34"/>
      <c r="R2" s="118"/>
      <c r="S2" s="581" t="str">
        <f>IF(詳細設計書!S2="","N/A",詳細設計書!S2)</f>
        <v>KSC 橋本</v>
      </c>
      <c r="T2" s="582"/>
      <c r="U2" s="582"/>
      <c r="V2" s="582"/>
      <c r="W2" s="582"/>
      <c r="X2" s="582"/>
      <c r="Y2" s="583"/>
      <c r="Z2" s="116" t="s">
        <v>288</v>
      </c>
      <c r="AA2" s="119"/>
      <c r="AB2" s="120"/>
      <c r="AC2" s="117"/>
      <c r="AD2" s="584" t="str">
        <f>IF(詳細設計書!AD2="","",詳細設計書!AD2)</f>
        <v>KSC 橋本</v>
      </c>
      <c r="AE2" s="585"/>
      <c r="AF2" s="585"/>
      <c r="AG2" s="585"/>
      <c r="AH2" s="585"/>
      <c r="AI2" s="586"/>
    </row>
    <row r="3" spans="1:38" ht="18.95" customHeight="1" thickBot="1">
      <c r="A3" s="30"/>
      <c r="C3" s="14"/>
      <c r="D3" s="122" t="s">
        <v>96</v>
      </c>
      <c r="E3" s="123"/>
      <c r="F3" s="124"/>
      <c r="G3" s="563" t="str">
        <f>IF(詳細設計書!G3="","N/A",詳細設計書!G3)</f>
        <v>DP_FI_2014_01</v>
      </c>
      <c r="H3" s="564"/>
      <c r="I3" s="564"/>
      <c r="J3" s="564"/>
      <c r="K3" s="564"/>
      <c r="L3" s="564"/>
      <c r="M3" s="564"/>
      <c r="N3" s="565"/>
      <c r="O3" s="122" t="s">
        <v>97</v>
      </c>
      <c r="P3" s="123"/>
      <c r="Q3" s="123"/>
      <c r="R3" s="125"/>
      <c r="S3" s="572" t="str">
        <f>IF(詳細設計書!S3="","N/A",詳細設計書!S3)</f>
        <v>ZFIPR_2014_01</v>
      </c>
      <c r="T3" s="573"/>
      <c r="U3" s="573"/>
      <c r="V3" s="573"/>
      <c r="W3" s="573"/>
      <c r="X3" s="573"/>
      <c r="Y3" s="573"/>
      <c r="Z3" s="587" t="s">
        <v>290</v>
      </c>
      <c r="AA3" s="588"/>
      <c r="AB3" s="589"/>
      <c r="AC3" s="572" t="str">
        <f>詳細設計書!AC3</f>
        <v>RD_FI_2014</v>
      </c>
      <c r="AD3" s="573"/>
      <c r="AE3" s="573"/>
      <c r="AF3" s="573"/>
      <c r="AG3" s="573"/>
      <c r="AH3" s="573"/>
      <c r="AI3" s="574"/>
    </row>
    <row r="4" spans="1:38" ht="18.95" customHeight="1" thickBot="1">
      <c r="A4" s="31" t="s">
        <v>292</v>
      </c>
      <c r="B4" s="32"/>
      <c r="C4" s="32"/>
      <c r="D4" s="187" t="s">
        <v>406</v>
      </c>
      <c r="E4" s="184"/>
      <c r="F4" s="184"/>
      <c r="G4" s="184"/>
      <c r="H4" s="184"/>
      <c r="I4" s="184"/>
      <c r="J4" s="184"/>
      <c r="K4" s="184"/>
      <c r="L4" s="184"/>
      <c r="M4" s="184"/>
      <c r="N4" s="184"/>
      <c r="O4" s="184"/>
      <c r="P4" s="184"/>
      <c r="Q4" s="184"/>
      <c r="R4" s="184"/>
      <c r="S4" s="184"/>
      <c r="T4" s="184"/>
      <c r="U4" s="184"/>
      <c r="V4" s="184"/>
      <c r="W4" s="184"/>
      <c r="X4" s="184"/>
      <c r="Y4" s="184"/>
      <c r="Z4" s="57" t="s">
        <v>100</v>
      </c>
      <c r="AA4" s="32"/>
      <c r="AB4" s="32"/>
      <c r="AC4" s="618" t="str">
        <f>詳細設計書!AC4</f>
        <v>1.0</v>
      </c>
      <c r="AD4" s="597"/>
      <c r="AE4" s="597"/>
      <c r="AF4" s="597"/>
      <c r="AG4" s="597"/>
      <c r="AH4" s="597"/>
      <c r="AI4" s="598"/>
    </row>
    <row r="5" spans="1:38" ht="7.5" customHeight="1" thickBot="1"/>
    <row r="6" spans="1:38" ht="15" customHeight="1" thickBot="1">
      <c r="A6" s="31" t="s">
        <v>295</v>
      </c>
      <c r="B6" s="60"/>
      <c r="C6" s="75"/>
      <c r="D6" s="593"/>
      <c r="E6" s="594"/>
      <c r="F6" s="594"/>
      <c r="G6" s="594"/>
      <c r="H6" s="594"/>
      <c r="I6" s="594"/>
      <c r="J6" s="594"/>
      <c r="K6" s="594"/>
      <c r="L6" s="594"/>
      <c r="M6" s="594"/>
      <c r="N6" s="594"/>
      <c r="O6" s="594"/>
      <c r="P6" s="594"/>
      <c r="Q6" s="594"/>
      <c r="R6" s="595"/>
      <c r="S6" s="57" t="s">
        <v>296</v>
      </c>
      <c r="T6" s="32"/>
      <c r="U6" s="32"/>
      <c r="V6" s="58"/>
      <c r="W6" s="590"/>
      <c r="X6" s="591"/>
      <c r="Y6" s="591"/>
      <c r="Z6" s="591"/>
      <c r="AA6" s="591"/>
      <c r="AB6" s="591"/>
      <c r="AC6" s="591"/>
      <c r="AD6" s="591"/>
      <c r="AE6" s="591"/>
      <c r="AF6" s="591"/>
      <c r="AG6" s="591"/>
      <c r="AH6" s="591"/>
      <c r="AI6" s="592"/>
    </row>
    <row r="7" spans="1:38" ht="15" customHeight="1" thickBot="1">
      <c r="A7" s="31" t="s">
        <v>297</v>
      </c>
      <c r="B7" s="60"/>
      <c r="C7" s="75"/>
      <c r="D7" s="593"/>
      <c r="E7" s="594"/>
      <c r="F7" s="594"/>
      <c r="G7" s="594"/>
      <c r="H7" s="594"/>
      <c r="I7" s="594"/>
      <c r="J7" s="594"/>
      <c r="K7" s="594"/>
      <c r="L7" s="594"/>
      <c r="M7" s="594"/>
      <c r="N7" s="594"/>
      <c r="O7" s="594"/>
      <c r="P7" s="594"/>
      <c r="Q7" s="594"/>
      <c r="R7" s="595"/>
      <c r="S7" s="57" t="s">
        <v>296</v>
      </c>
      <c r="T7" s="32"/>
      <c r="U7" s="32"/>
      <c r="V7" s="58"/>
      <c r="W7" s="590"/>
      <c r="X7" s="591"/>
      <c r="Y7" s="591"/>
      <c r="Z7" s="591"/>
      <c r="AA7" s="591"/>
      <c r="AB7" s="591"/>
      <c r="AC7" s="591"/>
      <c r="AD7" s="591"/>
      <c r="AE7" s="591"/>
      <c r="AF7" s="591"/>
      <c r="AG7" s="591"/>
      <c r="AH7" s="591"/>
      <c r="AI7" s="592"/>
    </row>
    <row r="8" spans="1:38" ht="15" customHeight="1" thickBot="1"/>
    <row r="9" spans="1:38" ht="15" customHeight="1">
      <c r="A9" s="602" t="s">
        <v>329</v>
      </c>
      <c r="B9" s="603"/>
      <c r="C9" s="615"/>
      <c r="D9" s="616" t="s">
        <v>330</v>
      </c>
      <c r="E9" s="603"/>
      <c r="F9" s="603"/>
      <c r="G9" s="603"/>
      <c r="H9" s="603"/>
      <c r="I9" s="603"/>
      <c r="J9" s="603"/>
      <c r="K9" s="603"/>
      <c r="L9" s="603"/>
      <c r="M9" s="603"/>
      <c r="N9" s="603"/>
      <c r="O9" s="603"/>
      <c r="P9" s="603"/>
      <c r="Q9" s="603"/>
      <c r="R9" s="603"/>
      <c r="S9" s="603"/>
      <c r="T9" s="603"/>
      <c r="U9" s="603"/>
      <c r="V9" s="603"/>
      <c r="W9" s="603"/>
      <c r="X9" s="603"/>
      <c r="Y9" s="603"/>
      <c r="Z9" s="603"/>
      <c r="AA9" s="603"/>
      <c r="AB9" s="603"/>
      <c r="AC9" s="603"/>
      <c r="AD9" s="603"/>
      <c r="AE9" s="603"/>
      <c r="AF9" s="603"/>
      <c r="AG9" s="603"/>
      <c r="AH9" s="603"/>
      <c r="AI9" s="617"/>
    </row>
    <row r="10" spans="1:38" s="295" customFormat="1" ht="15" customHeight="1">
      <c r="A10" s="294"/>
      <c r="B10" s="295" t="s">
        <v>407</v>
      </c>
      <c r="C10" s="296"/>
      <c r="D10" s="300"/>
      <c r="E10" s="300" t="s">
        <v>408</v>
      </c>
      <c r="L10" s="300"/>
      <c r="M10" s="301"/>
      <c r="N10" s="306"/>
      <c r="O10" s="300"/>
      <c r="P10" s="300"/>
      <c r="Q10" s="300"/>
      <c r="R10" s="306"/>
      <c r="S10" s="300"/>
      <c r="T10" s="300"/>
      <c r="U10" s="300"/>
      <c r="V10" s="301"/>
      <c r="W10" s="306"/>
      <c r="X10" s="300"/>
      <c r="Y10" s="300"/>
      <c r="Z10" s="300"/>
      <c r="AA10" s="300"/>
      <c r="AB10" s="300"/>
      <c r="AC10" s="300"/>
      <c r="AD10" s="300"/>
      <c r="AE10" s="300"/>
      <c r="AF10" s="300"/>
      <c r="AG10" s="300"/>
      <c r="AH10" s="300"/>
      <c r="AI10" s="302"/>
      <c r="AJ10" s="300"/>
      <c r="AK10" s="300"/>
      <c r="AL10" s="300"/>
    </row>
    <row r="11" spans="1:38" s="295" customFormat="1" ht="15" customHeight="1">
      <c r="A11" s="294"/>
      <c r="B11" s="412"/>
      <c r="C11" s="296"/>
      <c r="D11" s="300"/>
      <c r="E11" s="295" t="s">
        <v>409</v>
      </c>
      <c r="L11" s="301"/>
      <c r="M11" s="300"/>
      <c r="N11" s="300"/>
      <c r="O11" s="300"/>
      <c r="P11" s="300"/>
      <c r="Q11" s="300"/>
      <c r="R11" s="306"/>
      <c r="S11" s="300"/>
      <c r="T11" s="300"/>
      <c r="U11" s="300"/>
      <c r="V11" s="301"/>
      <c r="W11" s="306"/>
      <c r="X11" s="300"/>
      <c r="Y11" s="300"/>
      <c r="Z11" s="300"/>
      <c r="AA11" s="300"/>
      <c r="AB11" s="300"/>
      <c r="AC11" s="300"/>
      <c r="AD11" s="300"/>
      <c r="AE11" s="300"/>
      <c r="AF11" s="300"/>
      <c r="AG11" s="300"/>
      <c r="AH11" s="300"/>
      <c r="AI11" s="302"/>
      <c r="AJ11" s="300"/>
      <c r="AK11" s="300"/>
      <c r="AL11" s="300"/>
    </row>
    <row r="12" spans="1:38" s="295" customFormat="1" ht="15" customHeight="1">
      <c r="A12" s="294"/>
      <c r="B12" s="412"/>
      <c r="C12" s="296"/>
      <c r="D12" s="300"/>
      <c r="E12" s="295" t="s">
        <v>410</v>
      </c>
      <c r="F12" s="295" t="s">
        <v>411</v>
      </c>
      <c r="I12" s="2"/>
      <c r="L12" s="300"/>
      <c r="M12" s="300"/>
      <c r="N12" s="300"/>
      <c r="O12" s="300"/>
      <c r="P12" s="300"/>
      <c r="Q12" s="300"/>
      <c r="R12" s="306"/>
      <c r="S12" s="300"/>
      <c r="T12" s="300"/>
      <c r="U12" s="300"/>
      <c r="V12" s="301"/>
      <c r="W12" s="306"/>
      <c r="X12" s="300"/>
      <c r="Y12" s="300"/>
      <c r="Z12" s="300"/>
      <c r="AA12" s="300"/>
      <c r="AB12" s="300"/>
      <c r="AC12" s="300"/>
      <c r="AD12" s="300"/>
      <c r="AE12" s="300"/>
      <c r="AF12" s="300"/>
      <c r="AG12" s="300"/>
      <c r="AH12" s="300"/>
      <c r="AI12" s="302"/>
      <c r="AJ12" s="300"/>
      <c r="AK12" s="300"/>
    </row>
    <row r="13" spans="1:38" s="295" customFormat="1" ht="15" customHeight="1">
      <c r="A13" s="294"/>
      <c r="B13" s="412"/>
      <c r="C13" s="296"/>
      <c r="D13" s="300"/>
      <c r="F13" s="295" t="s">
        <v>412</v>
      </c>
      <c r="I13" s="2"/>
      <c r="J13" s="300"/>
      <c r="K13" s="300"/>
      <c r="L13" s="300"/>
      <c r="M13" s="301"/>
      <c r="N13" s="306"/>
      <c r="O13" s="300"/>
      <c r="P13" s="300"/>
      <c r="Q13" s="300"/>
      <c r="R13" s="306"/>
      <c r="S13" s="300"/>
      <c r="T13" s="300"/>
      <c r="U13" s="300"/>
      <c r="V13" s="301"/>
      <c r="W13" s="306"/>
      <c r="X13" s="300"/>
      <c r="Y13" s="300"/>
      <c r="Z13" s="300"/>
      <c r="AA13" s="300"/>
      <c r="AB13" s="300"/>
      <c r="AC13" s="300"/>
      <c r="AD13" s="300"/>
      <c r="AE13" s="300"/>
      <c r="AF13" s="300"/>
      <c r="AG13" s="300"/>
      <c r="AH13" s="300"/>
      <c r="AI13" s="302"/>
      <c r="AJ13" s="300"/>
      <c r="AK13" s="300"/>
    </row>
    <row r="14" spans="1:38" s="295" customFormat="1" ht="15" customHeight="1">
      <c r="A14" s="294"/>
      <c r="B14" s="412"/>
      <c r="C14" s="296"/>
      <c r="D14" s="300"/>
      <c r="E14" s="300"/>
      <c r="G14" s="463" t="s">
        <v>413</v>
      </c>
      <c r="H14" s="8"/>
      <c r="I14" s="2"/>
      <c r="J14" s="300"/>
      <c r="K14" s="300"/>
      <c r="L14" s="300"/>
      <c r="M14" s="301"/>
      <c r="N14" s="306"/>
      <c r="O14" s="300"/>
      <c r="P14" s="300"/>
      <c r="Q14" s="300"/>
      <c r="R14" s="306"/>
      <c r="S14" s="300"/>
      <c r="T14" s="300"/>
      <c r="U14" s="300"/>
      <c r="V14" s="301"/>
      <c r="W14" s="306"/>
      <c r="X14" s="300"/>
      <c r="Y14" s="300"/>
      <c r="Z14" s="300"/>
      <c r="AA14" s="300"/>
      <c r="AB14" s="300"/>
      <c r="AC14" s="300"/>
      <c r="AD14" s="300"/>
      <c r="AE14" s="300"/>
      <c r="AF14" s="300"/>
      <c r="AG14" s="300"/>
      <c r="AH14" s="300"/>
      <c r="AI14" s="302"/>
      <c r="AJ14" s="520" t="s">
        <v>414</v>
      </c>
      <c r="AK14" s="300"/>
      <c r="AL14" s="300"/>
    </row>
    <row r="15" spans="1:38" s="295" customFormat="1" ht="15" customHeight="1">
      <c r="A15" s="294"/>
      <c r="B15" s="412"/>
      <c r="C15" s="296"/>
      <c r="D15" s="300"/>
      <c r="E15" s="301"/>
      <c r="F15" s="295" t="s">
        <v>415</v>
      </c>
      <c r="S15" s="300"/>
      <c r="T15" s="300"/>
      <c r="U15" s="300"/>
      <c r="V15" s="301"/>
      <c r="W15" s="306"/>
      <c r="X15" s="300"/>
      <c r="Y15" s="300"/>
      <c r="Z15" s="300"/>
      <c r="AA15" s="300"/>
      <c r="AB15" s="300"/>
      <c r="AC15" s="300"/>
      <c r="AD15" s="300"/>
      <c r="AE15" s="300"/>
      <c r="AF15" s="300"/>
      <c r="AG15" s="300"/>
      <c r="AH15" s="300"/>
      <c r="AI15" s="302"/>
      <c r="AJ15" s="300"/>
      <c r="AK15" s="300"/>
      <c r="AL15" s="300"/>
    </row>
    <row r="16" spans="1:38" s="295" customFormat="1" ht="15" customHeight="1">
      <c r="A16" s="294"/>
      <c r="B16" s="412"/>
      <c r="C16" s="296"/>
      <c r="D16" s="300"/>
      <c r="E16" s="300"/>
      <c r="F16" s="300"/>
      <c r="G16" s="300" t="s">
        <v>416</v>
      </c>
      <c r="H16" s="300"/>
      <c r="I16" s="301"/>
      <c r="J16" s="300"/>
      <c r="K16" s="300"/>
      <c r="L16" s="300"/>
      <c r="M16" s="301"/>
      <c r="N16" s="306"/>
      <c r="O16" s="300"/>
      <c r="P16" s="300"/>
      <c r="Q16" s="300"/>
      <c r="R16" s="306"/>
      <c r="S16" s="300"/>
      <c r="T16" s="300"/>
      <c r="U16" s="300"/>
      <c r="V16" s="301"/>
      <c r="W16" s="306"/>
      <c r="X16" s="300"/>
      <c r="Y16" s="300"/>
      <c r="Z16" s="300"/>
      <c r="AA16" s="300"/>
      <c r="AB16" s="300"/>
      <c r="AC16" s="300"/>
      <c r="AD16" s="300"/>
      <c r="AE16" s="300"/>
      <c r="AF16" s="300"/>
      <c r="AG16" s="300"/>
      <c r="AH16" s="300"/>
      <c r="AI16" s="302"/>
      <c r="AJ16" s="300"/>
      <c r="AK16" s="300"/>
      <c r="AL16" s="300"/>
    </row>
    <row r="17" spans="1:57" s="295" customFormat="1" ht="15" customHeight="1">
      <c r="A17" s="294"/>
      <c r="B17" s="412"/>
      <c r="C17" s="296"/>
      <c r="D17" s="300"/>
      <c r="E17" s="303"/>
      <c r="G17" s="511" t="s">
        <v>417</v>
      </c>
      <c r="H17" s="300"/>
      <c r="I17" s="301"/>
      <c r="J17" s="300"/>
      <c r="K17" s="300"/>
      <c r="L17" s="300"/>
      <c r="M17" s="301"/>
      <c r="N17" s="306"/>
      <c r="O17" s="300"/>
      <c r="P17" s="300"/>
      <c r="Q17" s="300"/>
      <c r="R17" s="306"/>
      <c r="S17" s="300"/>
      <c r="T17" s="300"/>
      <c r="U17" s="300"/>
      <c r="V17" s="301"/>
      <c r="AI17" s="302"/>
      <c r="AJ17" s="300"/>
      <c r="AK17" s="300"/>
      <c r="AL17" s="300"/>
    </row>
    <row r="18" spans="1:57" s="295" customFormat="1" ht="15" customHeight="1">
      <c r="A18" s="294"/>
      <c r="B18" s="412"/>
      <c r="C18" s="296"/>
      <c r="D18" s="300"/>
      <c r="E18" s="301"/>
      <c r="F18" s="300"/>
      <c r="G18" s="300" t="s">
        <v>418</v>
      </c>
      <c r="H18" s="300"/>
      <c r="I18" s="300"/>
      <c r="J18" s="300"/>
      <c r="K18" s="300"/>
      <c r="L18" s="300"/>
      <c r="M18" s="300" t="s">
        <v>419</v>
      </c>
      <c r="N18" s="306"/>
      <c r="O18" s="300"/>
      <c r="P18" s="300"/>
      <c r="Q18" s="300"/>
      <c r="R18" s="306"/>
      <c r="S18" s="300"/>
      <c r="T18" s="300"/>
      <c r="U18" s="300"/>
      <c r="V18" s="301"/>
      <c r="W18" s="306"/>
      <c r="X18" s="300"/>
      <c r="Y18" s="300"/>
      <c r="Z18" s="300"/>
      <c r="AA18" s="300"/>
      <c r="AB18" s="300"/>
      <c r="AC18" s="300"/>
      <c r="AD18" s="300"/>
      <c r="AE18" s="300"/>
      <c r="AF18" s="300"/>
      <c r="AG18" s="300"/>
      <c r="AH18" s="300"/>
      <c r="AI18" s="302"/>
      <c r="AJ18" s="300"/>
      <c r="AK18" s="300"/>
      <c r="AL18" s="300"/>
    </row>
    <row r="19" spans="1:57" s="295" customFormat="1" ht="15" customHeight="1">
      <c r="A19" s="294"/>
      <c r="B19" s="412"/>
      <c r="C19" s="296"/>
      <c r="D19" s="300"/>
      <c r="E19" s="301"/>
      <c r="H19" s="295" t="s">
        <v>420</v>
      </c>
      <c r="T19" s="300"/>
      <c r="U19" s="300"/>
      <c r="V19" s="301"/>
      <c r="W19" s="306"/>
      <c r="X19" s="300"/>
      <c r="Y19" s="300"/>
      <c r="Z19" s="300"/>
      <c r="AA19" s="300"/>
      <c r="AB19" s="300"/>
      <c r="AC19" s="300"/>
      <c r="AD19" s="300"/>
      <c r="AE19" s="300"/>
      <c r="AF19" s="300"/>
      <c r="AG19" s="300"/>
      <c r="AH19" s="300"/>
      <c r="AI19" s="302"/>
      <c r="AJ19" s="300"/>
      <c r="AK19" s="300"/>
      <c r="AL19" s="300"/>
    </row>
    <row r="20" spans="1:57" s="295" customFormat="1" ht="15" customHeight="1">
      <c r="A20" s="294"/>
      <c r="B20" s="412"/>
      <c r="C20" s="296"/>
      <c r="D20" s="300"/>
      <c r="E20" s="301"/>
      <c r="F20" s="300" t="s">
        <v>362</v>
      </c>
      <c r="G20" s="300"/>
      <c r="H20" s="300"/>
      <c r="I20" s="301"/>
      <c r="J20" s="300"/>
      <c r="K20" s="300"/>
      <c r="L20" s="300"/>
      <c r="M20" s="301"/>
      <c r="N20" s="306"/>
      <c r="O20" s="300"/>
      <c r="P20" s="300"/>
      <c r="Q20" s="300"/>
      <c r="R20" s="306"/>
      <c r="S20" s="300"/>
      <c r="T20" s="300"/>
      <c r="U20" s="300"/>
      <c r="V20" s="301"/>
      <c r="W20" s="306"/>
      <c r="X20" s="300"/>
      <c r="Y20" s="300"/>
      <c r="Z20" s="300"/>
      <c r="AA20" s="300"/>
      <c r="AB20" s="300"/>
      <c r="AC20" s="300"/>
      <c r="AD20" s="300"/>
      <c r="AE20" s="300"/>
      <c r="AF20" s="300"/>
      <c r="AG20" s="300"/>
      <c r="AH20" s="300"/>
      <c r="AI20" s="302"/>
      <c r="AJ20" s="300"/>
      <c r="AK20" s="300"/>
      <c r="AL20" s="300"/>
    </row>
    <row r="21" spans="1:57" s="295" customFormat="1" ht="15" customHeight="1">
      <c r="A21" s="294"/>
      <c r="B21" s="412"/>
      <c r="C21" s="296"/>
      <c r="D21" s="300"/>
      <c r="F21" s="300"/>
      <c r="G21" s="300" t="s">
        <v>421</v>
      </c>
      <c r="H21" s="300"/>
      <c r="I21" s="301"/>
      <c r="J21" s="300"/>
      <c r="K21" s="300"/>
      <c r="L21" s="300"/>
      <c r="M21" s="301"/>
      <c r="N21" s="306"/>
      <c r="O21" s="300"/>
      <c r="P21" s="300"/>
      <c r="Q21" s="300"/>
      <c r="R21" s="306"/>
      <c r="S21" s="300"/>
      <c r="T21" s="300"/>
      <c r="U21" s="300"/>
      <c r="V21" s="301"/>
      <c r="W21" s="306"/>
      <c r="X21" s="300"/>
      <c r="Y21" s="300"/>
      <c r="Z21" s="300"/>
      <c r="AA21" s="300"/>
      <c r="AB21" s="300"/>
      <c r="AC21" s="300"/>
      <c r="AD21" s="300"/>
      <c r="AE21" s="300"/>
      <c r="AF21" s="300"/>
      <c r="AG21" s="300"/>
      <c r="AH21" s="300"/>
      <c r="AI21" s="302"/>
      <c r="AJ21" s="300"/>
      <c r="AK21" s="300"/>
      <c r="AL21" s="300"/>
    </row>
    <row r="22" spans="1:57" s="295" customFormat="1" ht="15" customHeight="1">
      <c r="A22" s="294"/>
      <c r="B22" s="412"/>
      <c r="C22" s="296"/>
      <c r="D22" s="300"/>
      <c r="F22" s="300"/>
      <c r="G22" s="300" t="s">
        <v>422</v>
      </c>
      <c r="H22" s="300"/>
      <c r="I22" s="301"/>
      <c r="J22" s="300"/>
      <c r="K22" s="300"/>
      <c r="L22" s="300"/>
      <c r="M22" s="301"/>
      <c r="N22" s="306"/>
      <c r="O22" s="300"/>
      <c r="P22" s="300"/>
      <c r="Q22" s="300"/>
      <c r="R22" s="306"/>
      <c r="S22" s="300"/>
      <c r="T22" s="300"/>
      <c r="U22" s="300"/>
      <c r="V22" s="301"/>
      <c r="W22" s="306"/>
      <c r="X22" s="300"/>
      <c r="Y22" s="300"/>
      <c r="Z22" s="300"/>
      <c r="AA22" s="300"/>
      <c r="AB22" s="300"/>
      <c r="AC22" s="300"/>
      <c r="AD22" s="300"/>
      <c r="AE22" s="300"/>
      <c r="AF22" s="300"/>
      <c r="AG22" s="300"/>
      <c r="AH22" s="300"/>
      <c r="AI22" s="302"/>
      <c r="AJ22" s="300"/>
      <c r="AK22" s="300"/>
      <c r="AL22" s="300"/>
      <c r="AW22" s="306"/>
      <c r="AX22" s="300"/>
      <c r="AY22" s="300"/>
      <c r="AZ22" s="300"/>
      <c r="BA22" s="301"/>
      <c r="BB22" s="306"/>
      <c r="BC22" s="300"/>
      <c r="BD22" s="300"/>
      <c r="BE22" s="300"/>
    </row>
    <row r="23" spans="1:57" s="295" customFormat="1" ht="15" customHeight="1">
      <c r="A23" s="294"/>
      <c r="B23" s="412"/>
      <c r="C23" s="296"/>
      <c r="D23" s="300"/>
      <c r="F23" s="300"/>
      <c r="G23" s="300" t="s">
        <v>423</v>
      </c>
      <c r="H23" s="300"/>
      <c r="I23" s="300"/>
      <c r="J23" s="300"/>
      <c r="K23" s="300"/>
      <c r="L23" s="300"/>
      <c r="M23" s="300"/>
      <c r="N23" s="306"/>
      <c r="O23" s="300"/>
      <c r="P23" s="300"/>
      <c r="Q23" s="300"/>
      <c r="R23" s="306"/>
      <c r="S23" s="300"/>
      <c r="T23" s="300"/>
      <c r="U23" s="300"/>
      <c r="V23" s="301"/>
      <c r="W23" s="300"/>
      <c r="X23" s="300" t="s">
        <v>424</v>
      </c>
      <c r="Y23" s="300"/>
      <c r="Z23" s="300"/>
      <c r="AA23" s="300"/>
      <c r="AB23" s="300"/>
      <c r="AC23" s="300"/>
      <c r="AD23" s="300"/>
      <c r="AE23" s="300"/>
      <c r="AF23" s="300"/>
      <c r="AG23" s="300"/>
      <c r="AH23" s="300"/>
      <c r="AI23" s="302"/>
      <c r="AJ23" s="300"/>
      <c r="AK23" s="300"/>
      <c r="AL23" s="300"/>
      <c r="AW23" s="306"/>
      <c r="AX23" s="300"/>
      <c r="AY23" s="300"/>
      <c r="AZ23" s="300"/>
      <c r="BA23" s="301"/>
      <c r="BB23" s="306"/>
      <c r="BC23" s="300"/>
      <c r="BD23" s="300"/>
      <c r="BE23" s="300"/>
    </row>
    <row r="24" spans="1:57" s="295" customFormat="1" ht="15" customHeight="1">
      <c r="A24" s="294"/>
      <c r="B24" s="412"/>
      <c r="C24" s="296"/>
      <c r="D24" s="300"/>
      <c r="AC24" s="300"/>
      <c r="AD24" s="300"/>
      <c r="AE24" s="300"/>
      <c r="AF24" s="300"/>
      <c r="AG24" s="300"/>
      <c r="AH24" s="300"/>
      <c r="AI24" s="302"/>
      <c r="AJ24" s="300"/>
      <c r="AK24" s="300"/>
      <c r="AL24" s="300"/>
      <c r="AN24" s="2"/>
      <c r="AQ24" s="300"/>
      <c r="AR24" s="300"/>
      <c r="AS24" s="300"/>
      <c r="AT24" s="300"/>
      <c r="AU24" s="300"/>
      <c r="AV24" s="300"/>
      <c r="AW24" s="306"/>
      <c r="AX24" s="300"/>
      <c r="AY24" s="300"/>
      <c r="AZ24" s="300"/>
      <c r="BA24" s="301"/>
      <c r="BB24" s="306"/>
      <c r="BC24" s="300"/>
      <c r="BD24" s="300"/>
      <c r="BE24" s="300"/>
    </row>
    <row r="25" spans="1:57" s="295" customFormat="1" ht="15" customHeight="1">
      <c r="A25" s="294"/>
      <c r="C25" s="296"/>
      <c r="D25" s="300"/>
      <c r="E25" s="300" t="s">
        <v>425</v>
      </c>
      <c r="F25" s="300" t="s">
        <v>426</v>
      </c>
      <c r="G25" s="2"/>
      <c r="H25" s="300"/>
      <c r="I25" s="2"/>
      <c r="J25" s="300"/>
      <c r="K25" s="300"/>
      <c r="L25" s="300"/>
      <c r="M25" s="301"/>
      <c r="N25" s="306"/>
      <c r="O25" s="300"/>
      <c r="P25" s="300"/>
      <c r="Q25" s="300"/>
      <c r="R25" s="306"/>
      <c r="S25" s="300"/>
      <c r="T25" s="300"/>
      <c r="U25" s="300"/>
      <c r="V25" s="301"/>
      <c r="W25" s="300"/>
      <c r="X25" s="300"/>
      <c r="Y25" s="300"/>
      <c r="Z25" s="300"/>
      <c r="AA25" s="300"/>
      <c r="AB25" s="300"/>
      <c r="AC25" s="300"/>
      <c r="AD25" s="300"/>
      <c r="AE25" s="300"/>
      <c r="AF25" s="300"/>
      <c r="AG25" s="300"/>
      <c r="AH25" s="300"/>
      <c r="AI25" s="302"/>
      <c r="AJ25" s="300"/>
      <c r="AK25" s="300"/>
      <c r="AL25" s="300"/>
      <c r="AM25" s="300"/>
      <c r="AX25" s="300"/>
      <c r="AY25" s="300"/>
      <c r="AZ25" s="300"/>
      <c r="BA25" s="301"/>
      <c r="BB25" s="306"/>
      <c r="BC25" s="300"/>
      <c r="BD25" s="300"/>
      <c r="BE25" s="300"/>
    </row>
    <row r="26" spans="1:57" s="295" customFormat="1" ht="15" customHeight="1">
      <c r="A26" s="294"/>
      <c r="B26" s="412"/>
      <c r="C26" s="296"/>
      <c r="D26" s="300"/>
      <c r="E26" s="301"/>
      <c r="F26" s="2" t="s">
        <v>427</v>
      </c>
      <c r="G26" s="2"/>
      <c r="H26" s="300"/>
      <c r="I26" s="2"/>
      <c r="J26" s="300"/>
      <c r="K26" s="300"/>
      <c r="L26" s="300"/>
      <c r="M26" s="301"/>
      <c r="N26" s="306"/>
      <c r="O26" s="300"/>
      <c r="P26" s="300"/>
      <c r="Q26" s="300"/>
      <c r="R26" s="306"/>
      <c r="S26" s="300"/>
      <c r="T26" s="300"/>
      <c r="U26" s="300"/>
      <c r="V26" s="301"/>
      <c r="W26" s="306"/>
      <c r="X26" s="300"/>
      <c r="Y26" s="300"/>
      <c r="Z26" s="300"/>
      <c r="AA26" s="300"/>
      <c r="AB26" s="300"/>
      <c r="AC26" s="300"/>
      <c r="AD26" s="300"/>
      <c r="AE26" s="300"/>
      <c r="AF26" s="300"/>
      <c r="AG26" s="300"/>
      <c r="AH26" s="300"/>
      <c r="AI26" s="302"/>
      <c r="AJ26" s="300"/>
      <c r="AK26" s="300"/>
      <c r="AL26" s="300"/>
      <c r="AM26" s="8"/>
      <c r="AN26" s="2"/>
      <c r="AO26" s="300"/>
      <c r="AP26" s="300"/>
      <c r="AQ26" s="300"/>
      <c r="AR26" s="301"/>
      <c r="AS26" s="306"/>
      <c r="AT26" s="300"/>
      <c r="AU26" s="300"/>
      <c r="AV26" s="300"/>
      <c r="AW26" s="306"/>
      <c r="AX26" s="300"/>
      <c r="AY26" s="300"/>
      <c r="AZ26" s="300"/>
      <c r="BA26" s="301"/>
      <c r="BB26" s="306"/>
      <c r="BC26" s="300"/>
      <c r="BD26" s="300"/>
      <c r="BE26" s="300"/>
    </row>
    <row r="27" spans="1:57" s="295" customFormat="1" ht="15" customHeight="1">
      <c r="A27" s="294"/>
      <c r="B27" s="412"/>
      <c r="C27" s="296"/>
      <c r="D27" s="300"/>
      <c r="E27" s="300"/>
      <c r="F27" s="2" t="s">
        <v>428</v>
      </c>
      <c r="G27" s="300"/>
      <c r="H27" s="300"/>
      <c r="I27" s="300" t="s">
        <v>429</v>
      </c>
      <c r="J27" s="300"/>
      <c r="K27" s="300"/>
      <c r="L27" s="300"/>
      <c r="M27" s="301"/>
      <c r="N27" s="306"/>
      <c r="O27" s="300"/>
      <c r="P27" s="300"/>
      <c r="Q27" s="300"/>
      <c r="R27" s="306"/>
      <c r="S27" s="300"/>
      <c r="T27" s="300"/>
      <c r="U27" s="300"/>
      <c r="V27" s="301"/>
      <c r="W27" s="306"/>
      <c r="X27" s="300"/>
      <c r="Y27" s="300"/>
      <c r="Z27" s="300"/>
      <c r="AA27" s="300"/>
      <c r="AB27" s="300"/>
      <c r="AC27" s="300"/>
      <c r="AD27" s="300"/>
      <c r="AE27" s="300"/>
      <c r="AF27" s="300"/>
      <c r="AG27" s="300"/>
      <c r="AH27" s="300"/>
      <c r="AI27" s="302"/>
      <c r="AJ27" s="300"/>
      <c r="AK27" s="300"/>
      <c r="AL27" s="300"/>
      <c r="AM27" s="8"/>
      <c r="AN27" s="2"/>
      <c r="AO27" s="2"/>
      <c r="AP27" s="2"/>
      <c r="AQ27" s="300"/>
      <c r="AR27" s="301"/>
      <c r="AS27" s="306"/>
      <c r="AT27" s="300"/>
      <c r="AU27" s="300"/>
      <c r="AV27" s="300"/>
      <c r="AW27" s="306"/>
      <c r="AX27" s="300"/>
      <c r="AY27" s="300"/>
      <c r="AZ27" s="300"/>
      <c r="BA27" s="301"/>
      <c r="BB27" s="306"/>
      <c r="BC27" s="300"/>
      <c r="BD27" s="300"/>
      <c r="BE27" s="300"/>
    </row>
    <row r="28" spans="1:57" s="295" customFormat="1" ht="15" customHeight="1">
      <c r="A28" s="294"/>
      <c r="B28" s="412"/>
      <c r="C28" s="296"/>
      <c r="D28" s="300"/>
      <c r="G28" s="463" t="s">
        <v>430</v>
      </c>
      <c r="Z28" s="300"/>
      <c r="AA28" s="300"/>
      <c r="AB28" s="300"/>
      <c r="AC28" s="300"/>
      <c r="AD28" s="300"/>
      <c r="AE28" s="300"/>
      <c r="AF28" s="300"/>
      <c r="AG28" s="300"/>
      <c r="AH28" s="300"/>
      <c r="AI28" s="302"/>
      <c r="AJ28" s="300"/>
      <c r="AW28" s="306"/>
      <c r="AX28" s="300"/>
      <c r="AY28" s="300"/>
      <c r="AZ28" s="300"/>
      <c r="BA28" s="301"/>
      <c r="BB28" s="306"/>
      <c r="BC28" s="300"/>
      <c r="BD28" s="300"/>
      <c r="BE28" s="300"/>
    </row>
    <row r="29" spans="1:57" s="295" customFormat="1" ht="15" customHeight="1">
      <c r="A29" s="294"/>
      <c r="B29" s="412"/>
      <c r="C29" s="296"/>
      <c r="D29" s="300"/>
      <c r="G29" s="295" t="s">
        <v>431</v>
      </c>
      <c r="L29" s="300"/>
      <c r="M29" s="301"/>
      <c r="N29" s="306"/>
      <c r="O29" s="300"/>
      <c r="P29" s="300"/>
      <c r="Q29" s="300"/>
      <c r="R29" s="306"/>
      <c r="S29" s="300"/>
      <c r="T29" s="300"/>
      <c r="U29" s="300"/>
      <c r="V29" s="301"/>
      <c r="W29" s="306"/>
      <c r="X29" s="300"/>
      <c r="Y29" s="300"/>
      <c r="AA29" s="300"/>
      <c r="AB29" s="300"/>
      <c r="AC29" s="300"/>
      <c r="AD29" s="300"/>
      <c r="AE29" s="300"/>
      <c r="AF29" s="300"/>
      <c r="AG29" s="300"/>
      <c r="AH29" s="300"/>
      <c r="AI29" s="302"/>
      <c r="AJ29" s="300"/>
      <c r="AW29" s="306"/>
      <c r="AX29" s="300"/>
      <c r="AY29" s="300"/>
      <c r="AZ29" s="300"/>
      <c r="BA29" s="301"/>
      <c r="BB29" s="306"/>
      <c r="BC29" s="300"/>
      <c r="BD29" s="300"/>
      <c r="BE29" s="300"/>
    </row>
    <row r="30" spans="1:57" s="295" customFormat="1" ht="15" customHeight="1">
      <c r="A30" s="294"/>
      <c r="B30" s="412"/>
      <c r="C30" s="296"/>
      <c r="D30" s="300"/>
      <c r="E30" s="300"/>
      <c r="F30" s="300" t="s">
        <v>362</v>
      </c>
      <c r="G30" s="300"/>
      <c r="H30" s="300"/>
      <c r="I30" s="301"/>
      <c r="J30" s="300"/>
      <c r="K30" s="300"/>
      <c r="L30" s="300"/>
      <c r="M30" s="301"/>
      <c r="N30" s="306"/>
      <c r="O30" s="300"/>
      <c r="P30" s="300"/>
      <c r="Q30" s="300"/>
      <c r="R30" s="306"/>
      <c r="S30" s="300"/>
      <c r="T30" s="300"/>
      <c r="U30" s="300"/>
      <c r="V30" s="301"/>
      <c r="W30" s="306"/>
      <c r="X30" s="300"/>
      <c r="Y30" s="300"/>
      <c r="AA30" s="300"/>
      <c r="AB30" s="300"/>
      <c r="AC30" s="300"/>
      <c r="AD30" s="300"/>
      <c r="AE30" s="300"/>
      <c r="AF30" s="300"/>
      <c r="AG30" s="300"/>
      <c r="AH30" s="300"/>
      <c r="AI30" s="302"/>
      <c r="AJ30" s="300"/>
      <c r="AW30" s="306"/>
      <c r="AX30" s="300"/>
      <c r="AY30" s="300"/>
      <c r="AZ30" s="300"/>
      <c r="BA30" s="301"/>
      <c r="BB30" s="306"/>
      <c r="BC30" s="300"/>
      <c r="BD30" s="300"/>
      <c r="BE30" s="300"/>
    </row>
    <row r="31" spans="1:57" s="295" customFormat="1" ht="15" customHeight="1">
      <c r="A31" s="294"/>
      <c r="B31" s="412"/>
      <c r="C31" s="296"/>
      <c r="D31" s="300"/>
      <c r="F31" s="300"/>
      <c r="G31" s="300" t="s">
        <v>432</v>
      </c>
      <c r="H31" s="300"/>
      <c r="I31" s="301"/>
      <c r="J31" s="300"/>
      <c r="K31" s="300"/>
      <c r="L31" s="300"/>
      <c r="M31" s="301"/>
      <c r="N31" s="306"/>
      <c r="O31" s="300"/>
      <c r="P31" s="300"/>
      <c r="Q31" s="300"/>
      <c r="R31" s="306"/>
      <c r="S31" s="300"/>
      <c r="T31" s="300"/>
      <c r="U31" s="300"/>
      <c r="V31" s="301"/>
      <c r="W31" s="306"/>
      <c r="X31" s="300"/>
      <c r="Y31" s="300"/>
      <c r="AA31" s="300"/>
      <c r="AB31" s="300"/>
      <c r="AC31" s="300"/>
      <c r="AD31" s="300"/>
      <c r="AE31" s="300"/>
      <c r="AF31" s="300"/>
      <c r="AG31" s="300"/>
      <c r="AH31" s="300"/>
      <c r="AI31" s="302"/>
      <c r="AJ31" s="300"/>
    </row>
    <row r="32" spans="1:57" s="295" customFormat="1" ht="15" customHeight="1">
      <c r="A32" s="294"/>
      <c r="C32" s="296"/>
      <c r="D32" s="300"/>
      <c r="F32" s="300"/>
      <c r="G32" s="300" t="s">
        <v>433</v>
      </c>
      <c r="H32" s="300"/>
      <c r="I32" s="301"/>
      <c r="J32" s="300"/>
      <c r="K32" s="300"/>
      <c r="L32" s="300"/>
      <c r="M32" s="301"/>
      <c r="N32" s="306"/>
      <c r="O32" s="300"/>
      <c r="P32" s="300"/>
      <c r="Q32" s="300"/>
      <c r="R32" s="306"/>
      <c r="S32" s="300"/>
      <c r="T32" s="300"/>
      <c r="U32" s="300"/>
      <c r="V32" s="301"/>
      <c r="W32" s="306"/>
      <c r="X32" s="300"/>
      <c r="Y32" s="300"/>
      <c r="Z32" s="300"/>
      <c r="AA32" s="300"/>
      <c r="AB32" s="300"/>
      <c r="AC32" s="300"/>
      <c r="AD32" s="300"/>
      <c r="AE32" s="300"/>
      <c r="AF32" s="300"/>
      <c r="AG32" s="300"/>
      <c r="AH32" s="300"/>
      <c r="AI32" s="302"/>
      <c r="AJ32" s="300"/>
    </row>
    <row r="33" spans="1:38" s="295" customFormat="1" ht="15" customHeight="1">
      <c r="A33" s="294"/>
      <c r="B33" s="412"/>
      <c r="C33" s="296"/>
      <c r="D33" s="300"/>
      <c r="F33" s="300"/>
      <c r="G33" s="300" t="s">
        <v>423</v>
      </c>
      <c r="H33" s="300"/>
      <c r="I33" s="300"/>
      <c r="J33" s="300"/>
      <c r="K33" s="300"/>
      <c r="L33" s="300"/>
      <c r="M33" s="300"/>
      <c r="N33" s="306"/>
      <c r="O33" s="300"/>
      <c r="P33" s="300"/>
      <c r="Q33" s="300"/>
      <c r="R33" s="306"/>
      <c r="S33" s="300"/>
      <c r="T33" s="300"/>
      <c r="U33" s="300"/>
      <c r="V33" s="301"/>
      <c r="W33" s="300"/>
      <c r="X33" s="300" t="s">
        <v>424</v>
      </c>
      <c r="Y33" s="300"/>
      <c r="Z33" s="300"/>
      <c r="AA33" s="300"/>
      <c r="AB33" s="300"/>
      <c r="AC33" s="300"/>
      <c r="AD33" s="300"/>
      <c r="AE33" s="300"/>
      <c r="AF33" s="300"/>
      <c r="AG33" s="300"/>
      <c r="AH33" s="300"/>
      <c r="AI33" s="302"/>
      <c r="AJ33" s="300"/>
    </row>
    <row r="34" spans="1:38" s="295" customFormat="1" ht="15" customHeight="1">
      <c r="A34" s="294"/>
      <c r="B34" s="412"/>
      <c r="C34" s="296"/>
      <c r="D34" s="300"/>
      <c r="E34" s="300"/>
      <c r="F34" s="2"/>
      <c r="G34" s="2"/>
      <c r="H34" s="8"/>
      <c r="I34" s="2"/>
      <c r="J34" s="300"/>
      <c r="K34" s="300"/>
      <c r="L34" s="300"/>
      <c r="M34" s="301"/>
      <c r="N34" s="306"/>
      <c r="O34" s="300"/>
      <c r="P34" s="300"/>
      <c r="Q34" s="300"/>
      <c r="R34" s="306"/>
      <c r="S34" s="300"/>
      <c r="T34" s="300"/>
      <c r="U34" s="300"/>
      <c r="V34" s="301"/>
      <c r="W34" s="306"/>
      <c r="X34" s="300"/>
      <c r="Y34" s="300"/>
      <c r="AA34" s="300"/>
      <c r="AB34" s="300"/>
      <c r="AC34" s="300"/>
      <c r="AD34" s="300"/>
      <c r="AE34" s="300"/>
      <c r="AF34" s="300"/>
      <c r="AG34" s="300"/>
      <c r="AH34" s="300"/>
      <c r="AI34" s="302"/>
      <c r="AJ34" s="300"/>
      <c r="AK34" s="300"/>
      <c r="AL34" s="300"/>
    </row>
    <row r="35" spans="1:38" s="295" customFormat="1" ht="15" customHeight="1">
      <c r="A35" s="294"/>
      <c r="B35" s="412"/>
      <c r="C35" s="296"/>
      <c r="D35" s="300"/>
      <c r="E35" s="300" t="s">
        <v>434</v>
      </c>
      <c r="F35" s="300" t="s">
        <v>435</v>
      </c>
      <c r="G35" s="2"/>
      <c r="H35" s="300"/>
      <c r="I35" s="2"/>
      <c r="J35" s="300"/>
      <c r="K35" s="300"/>
      <c r="L35" s="300"/>
      <c r="M35" s="301"/>
      <c r="N35" s="306"/>
      <c r="O35" s="300"/>
      <c r="P35" s="300"/>
      <c r="Q35" s="300"/>
      <c r="R35" s="306"/>
      <c r="S35" s="300"/>
      <c r="T35" s="300"/>
      <c r="U35" s="300"/>
      <c r="V35" s="301"/>
      <c r="W35" s="306"/>
      <c r="X35" s="300"/>
      <c r="Y35" s="300"/>
      <c r="AA35" s="300"/>
      <c r="AB35" s="300"/>
      <c r="AC35" s="300"/>
      <c r="AD35" s="300"/>
      <c r="AE35" s="300"/>
      <c r="AF35" s="300"/>
      <c r="AG35" s="300"/>
      <c r="AH35" s="300"/>
      <c r="AI35" s="302"/>
      <c r="AJ35" s="300"/>
      <c r="AK35" s="300"/>
      <c r="AL35" s="300"/>
    </row>
    <row r="36" spans="1:38" s="295" customFormat="1" ht="15" customHeight="1">
      <c r="A36" s="294"/>
      <c r="B36" s="412"/>
      <c r="C36" s="296"/>
      <c r="D36" s="300"/>
      <c r="E36" s="301"/>
      <c r="F36" s="2" t="s">
        <v>436</v>
      </c>
      <c r="G36" s="2"/>
      <c r="H36" s="300"/>
      <c r="I36" s="2"/>
      <c r="J36" s="300"/>
      <c r="K36" s="300"/>
      <c r="L36" s="300"/>
      <c r="M36" s="301"/>
      <c r="N36" s="306"/>
      <c r="O36" s="300"/>
      <c r="P36" s="300"/>
      <c r="Q36" s="300"/>
      <c r="R36" s="306"/>
      <c r="S36" s="300"/>
      <c r="T36" s="300"/>
      <c r="U36" s="300"/>
      <c r="V36" s="301"/>
      <c r="W36" s="306"/>
      <c r="X36" s="300"/>
      <c r="Y36" s="300"/>
      <c r="AA36" s="300"/>
      <c r="AB36" s="300"/>
      <c r="AC36" s="300"/>
      <c r="AD36" s="300"/>
      <c r="AE36" s="300"/>
      <c r="AF36" s="300"/>
      <c r="AG36" s="300"/>
      <c r="AH36" s="300"/>
      <c r="AI36" s="302"/>
      <c r="AJ36" s="300"/>
      <c r="AK36" s="300"/>
      <c r="AL36" s="300"/>
    </row>
    <row r="37" spans="1:38" s="295" customFormat="1" ht="15" customHeight="1">
      <c r="A37" s="294"/>
      <c r="B37" s="412"/>
      <c r="C37" s="296"/>
      <c r="D37" s="300"/>
      <c r="E37" s="300"/>
      <c r="F37" s="2" t="s">
        <v>428</v>
      </c>
      <c r="G37" s="300"/>
      <c r="H37" s="300"/>
      <c r="I37" s="300" t="s">
        <v>429</v>
      </c>
      <c r="J37" s="300"/>
      <c r="K37" s="300"/>
      <c r="L37" s="300"/>
      <c r="M37" s="301"/>
      <c r="N37" s="306"/>
      <c r="O37" s="300"/>
      <c r="P37" s="300"/>
      <c r="Q37" s="300"/>
      <c r="R37" s="306"/>
      <c r="S37" s="300"/>
      <c r="T37" s="300"/>
      <c r="U37" s="300"/>
      <c r="V37" s="301"/>
      <c r="W37" s="306"/>
      <c r="X37" s="300"/>
      <c r="Y37" s="300"/>
      <c r="AA37" s="300"/>
      <c r="AB37" s="300"/>
      <c r="AC37" s="300"/>
      <c r="AD37" s="300"/>
      <c r="AE37" s="300"/>
      <c r="AF37" s="300"/>
      <c r="AG37" s="300"/>
      <c r="AH37" s="300"/>
      <c r="AI37" s="302"/>
      <c r="AJ37" s="300"/>
      <c r="AK37" s="300"/>
      <c r="AL37" s="300"/>
    </row>
    <row r="38" spans="1:38" s="295" customFormat="1" ht="15" customHeight="1">
      <c r="A38" s="294"/>
      <c r="B38" s="412"/>
      <c r="C38" s="296"/>
      <c r="D38" s="300"/>
      <c r="G38" s="463" t="s">
        <v>437</v>
      </c>
      <c r="R38" s="306"/>
      <c r="S38" s="300"/>
      <c r="T38" s="300"/>
      <c r="U38" s="300"/>
      <c r="V38" s="301"/>
      <c r="W38" s="306"/>
      <c r="X38" s="300"/>
      <c r="Y38" s="300"/>
      <c r="AA38" s="300"/>
      <c r="AB38" s="300"/>
      <c r="AC38" s="300"/>
      <c r="AD38" s="300"/>
      <c r="AE38" s="300"/>
      <c r="AF38" s="300"/>
      <c r="AG38" s="300"/>
      <c r="AH38" s="300"/>
      <c r="AI38" s="302"/>
      <c r="AJ38" s="300"/>
      <c r="AK38" s="300"/>
      <c r="AL38" s="300"/>
    </row>
    <row r="39" spans="1:38" s="295" customFormat="1" ht="15" customHeight="1">
      <c r="A39" s="294"/>
      <c r="B39" s="412"/>
      <c r="C39" s="296"/>
      <c r="D39" s="300"/>
      <c r="E39" s="300"/>
      <c r="G39" s="295" t="s">
        <v>431</v>
      </c>
      <c r="L39" s="300"/>
      <c r="M39" s="301"/>
      <c r="N39" s="306"/>
      <c r="O39" s="300"/>
      <c r="P39" s="300"/>
      <c r="Q39" s="300"/>
      <c r="R39" s="306"/>
      <c r="S39" s="300"/>
      <c r="T39" s="300"/>
      <c r="U39" s="300"/>
      <c r="V39" s="301"/>
      <c r="W39" s="306"/>
      <c r="X39" s="300"/>
      <c r="Y39" s="300"/>
      <c r="AA39" s="300"/>
      <c r="AB39" s="300"/>
      <c r="AC39" s="300"/>
      <c r="AD39" s="300"/>
      <c r="AE39" s="300"/>
      <c r="AF39" s="300"/>
      <c r="AG39" s="300"/>
      <c r="AH39" s="300"/>
      <c r="AI39" s="302"/>
      <c r="AJ39" s="300"/>
      <c r="AK39" s="300"/>
      <c r="AL39" s="300"/>
    </row>
    <row r="40" spans="1:38" s="295" customFormat="1" ht="15" customHeight="1">
      <c r="A40" s="294"/>
      <c r="B40" s="412"/>
      <c r="C40" s="296"/>
      <c r="D40" s="300"/>
      <c r="F40" s="300" t="s">
        <v>362</v>
      </c>
      <c r="G40" s="300"/>
      <c r="H40" s="300"/>
      <c r="I40" s="301"/>
      <c r="J40" s="300"/>
      <c r="K40" s="300"/>
      <c r="L40" s="300"/>
      <c r="M40" s="301"/>
      <c r="N40" s="306"/>
      <c r="O40" s="300"/>
      <c r="P40" s="300"/>
      <c r="Q40" s="300"/>
      <c r="R40" s="306"/>
      <c r="S40" s="300"/>
      <c r="T40" s="300"/>
      <c r="U40" s="300"/>
      <c r="V40" s="301"/>
      <c r="W40" s="306"/>
      <c r="X40" s="300"/>
      <c r="Y40" s="300"/>
      <c r="AA40" s="300"/>
      <c r="AB40" s="300"/>
      <c r="AC40" s="300"/>
      <c r="AD40" s="300"/>
      <c r="AE40" s="300"/>
      <c r="AF40" s="300"/>
      <c r="AG40" s="300"/>
      <c r="AH40" s="300"/>
      <c r="AI40" s="302"/>
      <c r="AJ40" s="300"/>
      <c r="AK40" s="300"/>
      <c r="AL40" s="300"/>
    </row>
    <row r="41" spans="1:38" s="295" customFormat="1" ht="15" customHeight="1">
      <c r="A41" s="294"/>
      <c r="B41" s="412"/>
      <c r="C41" s="296"/>
      <c r="D41" s="300"/>
      <c r="F41" s="300"/>
      <c r="G41" s="300" t="s">
        <v>432</v>
      </c>
      <c r="H41" s="300"/>
      <c r="I41" s="301"/>
      <c r="J41" s="300"/>
      <c r="K41" s="300"/>
      <c r="L41" s="300"/>
      <c r="M41" s="301"/>
      <c r="N41" s="306"/>
      <c r="O41" s="300"/>
      <c r="P41" s="300"/>
      <c r="Q41" s="300"/>
      <c r="R41" s="306"/>
      <c r="S41" s="300"/>
      <c r="T41" s="300"/>
      <c r="U41" s="300"/>
      <c r="V41" s="301"/>
      <c r="W41" s="306"/>
      <c r="X41" s="300"/>
      <c r="Y41" s="300"/>
      <c r="AA41" s="300"/>
      <c r="AB41" s="300"/>
      <c r="AC41" s="300"/>
      <c r="AD41" s="300"/>
      <c r="AE41" s="300"/>
      <c r="AF41" s="300"/>
      <c r="AG41" s="300"/>
      <c r="AH41" s="300"/>
      <c r="AI41" s="302"/>
      <c r="AJ41" s="300"/>
      <c r="AK41" s="300"/>
      <c r="AL41" s="300"/>
    </row>
    <row r="42" spans="1:38" s="295" customFormat="1" ht="15" customHeight="1">
      <c r="A42" s="294"/>
      <c r="B42" s="412"/>
      <c r="C42" s="296"/>
      <c r="D42" s="300"/>
      <c r="F42" s="300"/>
      <c r="G42" s="300" t="s">
        <v>433</v>
      </c>
      <c r="H42" s="300"/>
      <c r="I42" s="301"/>
      <c r="J42" s="300"/>
      <c r="K42" s="300"/>
      <c r="L42" s="300"/>
      <c r="M42" s="301"/>
      <c r="N42" s="306"/>
      <c r="O42" s="300"/>
      <c r="P42" s="300"/>
      <c r="Q42" s="300"/>
      <c r="R42" s="306"/>
      <c r="S42" s="300"/>
      <c r="T42" s="300"/>
      <c r="U42" s="300"/>
      <c r="V42" s="301"/>
      <c r="W42" s="306"/>
      <c r="X42" s="300"/>
      <c r="Y42" s="300"/>
      <c r="Z42" s="300"/>
      <c r="AA42" s="300"/>
      <c r="AB42" s="300"/>
      <c r="AC42" s="300"/>
      <c r="AD42" s="300"/>
      <c r="AE42" s="300"/>
      <c r="AF42" s="300"/>
      <c r="AG42" s="300"/>
      <c r="AH42" s="300"/>
      <c r="AI42" s="302"/>
      <c r="AJ42" s="300"/>
      <c r="AK42" s="300"/>
      <c r="AL42" s="300"/>
    </row>
    <row r="43" spans="1:38" s="295" customFormat="1" ht="15" customHeight="1">
      <c r="A43" s="294"/>
      <c r="B43" s="412"/>
      <c r="C43" s="296"/>
      <c r="D43" s="300"/>
      <c r="E43" s="300"/>
      <c r="F43" s="300"/>
      <c r="G43" s="300" t="s">
        <v>423</v>
      </c>
      <c r="H43" s="300"/>
      <c r="I43" s="300"/>
      <c r="J43" s="300"/>
      <c r="K43" s="300"/>
      <c r="L43" s="300"/>
      <c r="M43" s="300"/>
      <c r="N43" s="306"/>
      <c r="O43" s="300"/>
      <c r="P43" s="300"/>
      <c r="Q43" s="300"/>
      <c r="R43" s="306"/>
      <c r="S43" s="300"/>
      <c r="T43" s="300"/>
      <c r="U43" s="300"/>
      <c r="V43" s="301"/>
      <c r="W43" s="300"/>
      <c r="X43" s="300" t="s">
        <v>424</v>
      </c>
      <c r="Y43" s="300"/>
      <c r="Z43" s="300"/>
      <c r="AA43" s="300"/>
      <c r="AB43" s="300"/>
      <c r="AC43" s="300"/>
      <c r="AD43" s="300"/>
      <c r="AE43" s="300"/>
      <c r="AF43" s="300"/>
      <c r="AG43" s="300"/>
      <c r="AH43" s="300"/>
      <c r="AI43" s="302"/>
      <c r="AJ43" s="300"/>
      <c r="AK43" s="300"/>
      <c r="AL43" s="300"/>
    </row>
    <row r="44" spans="1:38" s="295" customFormat="1" ht="15" customHeight="1">
      <c r="A44" s="294"/>
      <c r="B44" s="412"/>
      <c r="C44" s="296"/>
      <c r="D44" s="300"/>
      <c r="I44" s="2"/>
      <c r="J44" s="300"/>
      <c r="K44" s="300"/>
      <c r="L44" s="300"/>
      <c r="M44" s="301"/>
      <c r="N44" s="306"/>
      <c r="O44" s="300"/>
      <c r="P44" s="300"/>
      <c r="Q44" s="300"/>
      <c r="R44" s="306"/>
      <c r="S44" s="300"/>
      <c r="T44" s="300"/>
      <c r="U44" s="300"/>
      <c r="V44" s="301"/>
      <c r="W44" s="306"/>
      <c r="X44" s="300"/>
      <c r="Y44" s="300"/>
      <c r="Z44" s="300"/>
      <c r="AA44" s="300"/>
      <c r="AB44" s="300"/>
      <c r="AC44" s="300"/>
      <c r="AD44" s="300"/>
      <c r="AE44" s="300"/>
      <c r="AF44" s="300"/>
      <c r="AG44" s="300"/>
      <c r="AH44" s="300"/>
      <c r="AI44" s="302"/>
      <c r="AJ44" s="300"/>
      <c r="AK44" s="300"/>
      <c r="AL44" s="300"/>
    </row>
    <row r="45" spans="1:38" s="295" customFormat="1" ht="15" customHeight="1">
      <c r="A45" s="294"/>
      <c r="B45" s="412"/>
      <c r="C45" s="296"/>
      <c r="D45" s="300"/>
      <c r="E45" s="300" t="s">
        <v>438</v>
      </c>
      <c r="F45" s="300" t="s">
        <v>439</v>
      </c>
      <c r="G45" s="2"/>
      <c r="H45" s="300"/>
      <c r="I45" s="2"/>
      <c r="J45" s="300"/>
      <c r="K45" s="300"/>
      <c r="L45" s="300"/>
      <c r="M45" s="301"/>
      <c r="N45" s="306"/>
      <c r="O45" s="300"/>
      <c r="P45" s="300"/>
      <c r="Q45" s="300"/>
      <c r="R45" s="306"/>
      <c r="S45" s="300"/>
      <c r="T45" s="300"/>
      <c r="U45" s="300"/>
      <c r="V45" s="301"/>
      <c r="W45" s="300"/>
      <c r="X45" s="300"/>
      <c r="Y45" s="300"/>
      <c r="Z45" s="300"/>
      <c r="AA45" s="300"/>
      <c r="AB45" s="300"/>
      <c r="AC45" s="300"/>
      <c r="AD45" s="300"/>
      <c r="AE45" s="300"/>
      <c r="AF45" s="300"/>
      <c r="AG45" s="300"/>
      <c r="AH45" s="300"/>
      <c r="AI45" s="302"/>
      <c r="AJ45" s="300"/>
      <c r="AK45" s="300"/>
      <c r="AL45" s="300"/>
    </row>
    <row r="46" spans="1:38" s="295" customFormat="1" ht="15" customHeight="1">
      <c r="A46" s="294"/>
      <c r="B46" s="412"/>
      <c r="C46" s="296"/>
      <c r="D46" s="300"/>
      <c r="E46" s="301"/>
      <c r="F46" s="2" t="s">
        <v>440</v>
      </c>
      <c r="G46" s="2"/>
      <c r="H46" s="300"/>
      <c r="I46" s="2"/>
      <c r="J46" s="300"/>
      <c r="K46" s="300"/>
      <c r="L46" s="300"/>
      <c r="M46" s="301"/>
      <c r="N46" s="306"/>
      <c r="O46" s="300"/>
      <c r="P46" s="300"/>
      <c r="Q46" s="300"/>
      <c r="R46" s="306"/>
      <c r="S46" s="300"/>
      <c r="T46" s="300"/>
      <c r="U46" s="300"/>
      <c r="V46" s="301"/>
      <c r="W46" s="301"/>
      <c r="X46" s="300"/>
      <c r="Y46" s="300"/>
      <c r="Z46" s="300"/>
      <c r="AA46" s="300"/>
      <c r="AB46" s="300"/>
      <c r="AC46" s="300"/>
      <c r="AD46" s="300"/>
      <c r="AE46" s="300"/>
      <c r="AF46" s="300"/>
      <c r="AG46" s="300"/>
      <c r="AH46" s="300"/>
      <c r="AI46" s="302"/>
      <c r="AJ46" s="300"/>
      <c r="AK46" s="300"/>
      <c r="AL46" s="300"/>
    </row>
    <row r="47" spans="1:38" s="295" customFormat="1" ht="15" customHeight="1">
      <c r="A47" s="294"/>
      <c r="B47" s="412"/>
      <c r="C47" s="296"/>
      <c r="D47" s="300"/>
      <c r="E47" s="300"/>
      <c r="F47" s="2" t="s">
        <v>428</v>
      </c>
      <c r="G47" s="300"/>
      <c r="H47" s="300"/>
      <c r="I47" s="525" t="s">
        <v>441</v>
      </c>
      <c r="J47" s="300"/>
      <c r="K47" s="300"/>
      <c r="L47" s="300"/>
      <c r="M47" s="301"/>
      <c r="N47" s="306"/>
      <c r="O47" s="300"/>
      <c r="P47" s="300"/>
      <c r="Q47" s="300"/>
      <c r="R47" s="306"/>
      <c r="S47" s="300"/>
      <c r="T47" s="300"/>
      <c r="U47" s="300"/>
      <c r="V47" s="301"/>
      <c r="W47" s="301"/>
      <c r="X47" s="300"/>
      <c r="Y47" s="300"/>
      <c r="Z47" s="300"/>
      <c r="AA47" s="300"/>
      <c r="AB47" s="300"/>
      <c r="AC47" s="300"/>
      <c r="AD47" s="300"/>
      <c r="AE47" s="300"/>
      <c r="AF47" s="300"/>
      <c r="AG47" s="300"/>
      <c r="AH47" s="300"/>
      <c r="AI47" s="302"/>
      <c r="AJ47" s="300"/>
      <c r="AK47" s="300"/>
      <c r="AL47" s="300"/>
    </row>
    <row r="48" spans="1:38" s="295" customFormat="1" ht="15" customHeight="1">
      <c r="A48" s="294"/>
      <c r="B48" s="412"/>
      <c r="C48" s="296"/>
      <c r="D48" s="300"/>
      <c r="G48" s="463" t="s">
        <v>442</v>
      </c>
      <c r="R48" s="306"/>
      <c r="S48" s="300"/>
      <c r="T48" s="300"/>
      <c r="U48" s="301"/>
      <c r="V48" s="301"/>
      <c r="W48" s="300"/>
      <c r="X48" s="300"/>
      <c r="Y48" s="300"/>
      <c r="Z48" s="300"/>
      <c r="AA48" s="300"/>
      <c r="AB48" s="300"/>
      <c r="AC48" s="300"/>
      <c r="AD48" s="300"/>
      <c r="AE48" s="300"/>
      <c r="AF48" s="300"/>
      <c r="AG48" s="300"/>
      <c r="AH48" s="300"/>
      <c r="AI48" s="302"/>
      <c r="AJ48" s="300"/>
      <c r="AK48" s="300"/>
      <c r="AL48" s="300"/>
    </row>
    <row r="49" spans="1:38" s="295" customFormat="1" ht="15" customHeight="1">
      <c r="A49" s="294"/>
      <c r="B49" s="412"/>
      <c r="C49" s="296"/>
      <c r="D49" s="300"/>
      <c r="E49" s="300"/>
      <c r="G49" s="295" t="s">
        <v>431</v>
      </c>
      <c r="L49" s="300"/>
      <c r="M49" s="301"/>
      <c r="N49" s="306"/>
      <c r="O49" s="300"/>
      <c r="P49" s="300"/>
      <c r="Q49" s="300"/>
      <c r="R49" s="306"/>
      <c r="S49" s="300"/>
      <c r="T49" s="300"/>
      <c r="U49" s="301"/>
      <c r="V49" s="301"/>
      <c r="W49" s="300"/>
      <c r="X49" s="300"/>
      <c r="Y49" s="300"/>
      <c r="Z49" s="300"/>
      <c r="AA49" s="300"/>
      <c r="AB49" s="300"/>
      <c r="AC49" s="300"/>
      <c r="AD49" s="300"/>
      <c r="AE49" s="300"/>
      <c r="AF49" s="300"/>
      <c r="AG49" s="300"/>
      <c r="AH49" s="300"/>
      <c r="AI49" s="302"/>
      <c r="AJ49" s="300"/>
      <c r="AK49" s="300"/>
      <c r="AL49" s="300"/>
    </row>
    <row r="50" spans="1:38" s="295" customFormat="1" ht="15" customHeight="1">
      <c r="A50" s="294"/>
      <c r="B50" s="412"/>
      <c r="C50" s="296"/>
      <c r="D50" s="300"/>
      <c r="F50" s="300" t="s">
        <v>362</v>
      </c>
      <c r="G50" s="300"/>
      <c r="H50" s="300"/>
      <c r="I50" s="301"/>
      <c r="J50" s="300"/>
      <c r="K50" s="300"/>
      <c r="L50" s="300"/>
      <c r="M50" s="301"/>
      <c r="N50" s="306"/>
      <c r="O50" s="300"/>
      <c r="P50" s="300"/>
      <c r="Q50" s="300"/>
      <c r="R50" s="306"/>
      <c r="S50" s="300"/>
      <c r="T50" s="300"/>
      <c r="U50" s="301"/>
      <c r="V50" s="301"/>
      <c r="W50" s="300"/>
      <c r="X50" s="300"/>
      <c r="Y50" s="300"/>
      <c r="Z50" s="300"/>
      <c r="AA50" s="300"/>
      <c r="AB50" s="300"/>
      <c r="AC50" s="300"/>
      <c r="AD50" s="300"/>
      <c r="AE50" s="300"/>
      <c r="AF50" s="300"/>
      <c r="AG50" s="300"/>
      <c r="AH50" s="300"/>
      <c r="AI50" s="302"/>
      <c r="AJ50" s="300"/>
      <c r="AK50" s="300"/>
      <c r="AL50" s="300"/>
    </row>
    <row r="51" spans="1:38" s="295" customFormat="1" ht="15" customHeight="1">
      <c r="A51" s="294"/>
      <c r="B51" s="412"/>
      <c r="C51" s="296"/>
      <c r="D51" s="300"/>
      <c r="F51" s="300"/>
      <c r="G51" s="300" t="s">
        <v>432</v>
      </c>
      <c r="H51" s="300"/>
      <c r="I51" s="301"/>
      <c r="J51" s="300"/>
      <c r="K51" s="300"/>
      <c r="L51" s="300"/>
      <c r="M51" s="301"/>
      <c r="N51" s="306"/>
      <c r="O51" s="300"/>
      <c r="P51" s="300"/>
      <c r="Q51" s="300"/>
      <c r="R51" s="306"/>
      <c r="S51" s="300"/>
      <c r="T51" s="300"/>
      <c r="U51" s="300"/>
      <c r="V51" s="301"/>
      <c r="W51" s="306"/>
      <c r="X51" s="300"/>
      <c r="Y51" s="300"/>
      <c r="Z51" s="300"/>
      <c r="AA51" s="300"/>
      <c r="AB51" s="300"/>
      <c r="AC51" s="300"/>
      <c r="AD51" s="300"/>
      <c r="AE51" s="300"/>
      <c r="AF51" s="300"/>
      <c r="AG51" s="300"/>
      <c r="AH51" s="300"/>
      <c r="AI51" s="302"/>
      <c r="AJ51" s="300"/>
      <c r="AK51" s="300"/>
      <c r="AL51" s="300"/>
    </row>
    <row r="52" spans="1:38" s="295" customFormat="1" ht="15" customHeight="1">
      <c r="A52" s="294"/>
      <c r="C52" s="296"/>
      <c r="D52" s="300"/>
      <c r="F52" s="300"/>
      <c r="G52" s="300" t="s">
        <v>433</v>
      </c>
      <c r="H52" s="300"/>
      <c r="I52" s="301"/>
      <c r="J52" s="300"/>
      <c r="K52" s="300"/>
      <c r="L52" s="300"/>
      <c r="M52" s="301"/>
      <c r="N52" s="306"/>
      <c r="O52" s="300"/>
      <c r="P52" s="300"/>
      <c r="Q52" s="300"/>
      <c r="R52" s="306"/>
      <c r="S52" s="300"/>
      <c r="T52" s="300"/>
      <c r="U52" s="300"/>
      <c r="V52" s="301"/>
      <c r="W52" s="306"/>
      <c r="X52" s="300"/>
      <c r="Y52" s="300"/>
      <c r="Z52" s="300"/>
      <c r="AA52" s="300"/>
      <c r="AB52" s="300"/>
      <c r="AC52" s="300"/>
      <c r="AD52" s="300"/>
      <c r="AE52" s="300"/>
      <c r="AF52" s="300"/>
      <c r="AG52" s="300"/>
      <c r="AH52" s="300"/>
      <c r="AI52" s="302"/>
      <c r="AJ52" s="300"/>
      <c r="AK52" s="300"/>
      <c r="AL52" s="300"/>
    </row>
    <row r="53" spans="1:38" s="295" customFormat="1" ht="15" customHeight="1">
      <c r="A53" s="294"/>
      <c r="C53" s="296"/>
      <c r="D53" s="300"/>
      <c r="E53" s="300"/>
      <c r="F53" s="300"/>
      <c r="G53" s="300" t="s">
        <v>423</v>
      </c>
      <c r="H53" s="300"/>
      <c r="I53" s="300"/>
      <c r="J53" s="300"/>
      <c r="K53" s="300"/>
      <c r="L53" s="300"/>
      <c r="M53" s="300"/>
      <c r="N53" s="306"/>
      <c r="O53" s="300"/>
      <c r="P53" s="300"/>
      <c r="Q53" s="300"/>
      <c r="R53" s="306"/>
      <c r="S53" s="300"/>
      <c r="T53" s="300"/>
      <c r="U53" s="300"/>
      <c r="V53" s="301"/>
      <c r="W53" s="300"/>
      <c r="X53" s="300" t="s">
        <v>424</v>
      </c>
      <c r="Y53" s="300"/>
      <c r="Z53" s="300"/>
      <c r="AA53" s="300"/>
      <c r="AB53" s="300"/>
      <c r="AC53" s="300"/>
      <c r="AD53" s="300"/>
      <c r="AE53" s="300"/>
      <c r="AF53" s="300"/>
      <c r="AG53" s="300"/>
      <c r="AH53" s="300"/>
      <c r="AI53" s="302"/>
      <c r="AJ53" s="300"/>
      <c r="AK53" s="300"/>
      <c r="AL53" s="300"/>
    </row>
    <row r="54" spans="1:38" s="295" customFormat="1" ht="15" customHeight="1">
      <c r="A54" s="294"/>
      <c r="C54" s="296"/>
      <c r="D54" s="300"/>
      <c r="E54" s="300"/>
      <c r="F54" s="300"/>
      <c r="G54" s="2"/>
      <c r="H54" s="300"/>
      <c r="I54" s="2"/>
      <c r="J54" s="2"/>
      <c r="K54" s="2"/>
      <c r="L54" s="8"/>
      <c r="M54" s="2"/>
      <c r="N54" s="2"/>
      <c r="O54" s="300"/>
      <c r="P54" s="300"/>
      <c r="Q54" s="300"/>
      <c r="R54" s="301"/>
      <c r="S54" s="300"/>
      <c r="T54" s="300"/>
      <c r="U54" s="300"/>
      <c r="V54" s="301"/>
      <c r="W54" s="301"/>
      <c r="X54" s="300"/>
      <c r="Y54" s="300"/>
      <c r="Z54" s="300"/>
      <c r="AA54" s="300"/>
      <c r="AB54" s="300"/>
      <c r="AC54" s="300"/>
      <c r="AD54" s="300"/>
      <c r="AE54" s="300"/>
      <c r="AF54" s="300"/>
      <c r="AG54" s="300"/>
      <c r="AH54" s="300"/>
      <c r="AI54" s="302"/>
      <c r="AJ54" s="300"/>
      <c r="AK54" s="300"/>
      <c r="AL54" s="300"/>
    </row>
    <row r="55" spans="1:38" s="295" customFormat="1" ht="15" customHeight="1" thickBot="1">
      <c r="A55" s="297"/>
      <c r="B55" s="298"/>
      <c r="C55" s="299"/>
      <c r="D55" s="304"/>
      <c r="E55" s="304"/>
      <c r="F55" s="304"/>
      <c r="G55" s="304"/>
      <c r="H55" s="304"/>
      <c r="I55" s="304"/>
      <c r="J55" s="304"/>
      <c r="K55" s="304"/>
      <c r="L55" s="304"/>
      <c r="M55" s="304"/>
      <c r="N55" s="304"/>
      <c r="O55" s="304"/>
      <c r="P55" s="304"/>
      <c r="Q55" s="304"/>
      <c r="R55" s="304"/>
      <c r="S55" s="304"/>
      <c r="T55" s="304"/>
      <c r="U55" s="304"/>
      <c r="V55" s="304"/>
      <c r="W55" s="304"/>
      <c r="X55" s="304"/>
      <c r="Y55" s="304"/>
      <c r="Z55" s="304"/>
      <c r="AA55" s="304"/>
      <c r="AB55" s="304"/>
      <c r="AC55" s="304"/>
      <c r="AD55" s="304"/>
      <c r="AE55" s="304"/>
      <c r="AF55" s="304"/>
      <c r="AG55" s="304"/>
      <c r="AH55" s="304"/>
      <c r="AI55" s="305"/>
      <c r="AJ55" s="300"/>
      <c r="AK55" s="300"/>
      <c r="AL55" s="300"/>
    </row>
    <row r="56" spans="1:38">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row>
    <row r="57" spans="1:38">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row>
    <row r="58" spans="1:38">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row>
    <row r="59" spans="1:38">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row>
    <row r="60" spans="1:38">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row>
    <row r="61" spans="1:38">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row>
    <row r="62" spans="1:38">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row>
    <row r="63" spans="1:38">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row>
    <row r="64" spans="1:38">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row>
    <row r="65" spans="4:38">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row>
    <row r="66" spans="4:38">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row>
    <row r="67" spans="4:38">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row>
    <row r="68" spans="4:38">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row>
    <row r="69" spans="4:38">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row>
    <row r="70" spans="4:38">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row>
    <row r="71" spans="4:38">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row>
    <row r="72" spans="4:38">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row>
    <row r="73" spans="4:38">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row>
    <row r="74" spans="4:38">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row>
    <row r="75" spans="4:38">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row>
    <row r="76" spans="4:38">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row>
    <row r="77" spans="4:38">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row>
    <row r="78" spans="4:38">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row>
    <row r="79" spans="4:38">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row>
    <row r="80" spans="4:38">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row>
    <row r="81" spans="4:38">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row>
    <row r="82" spans="4:38">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row>
    <row r="83" spans="4:38">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row>
    <row r="84" spans="4:38">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row>
    <row r="85" spans="4:38">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row>
    <row r="86" spans="4:38">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row>
    <row r="87" spans="4:38">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row>
    <row r="88" spans="4:38">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row>
    <row r="89" spans="4:38">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row>
    <row r="90" spans="4:38">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row>
    <row r="91" spans="4:38">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row>
    <row r="92" spans="4:38">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row>
    <row r="93" spans="4:38">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row>
    <row r="94" spans="4:38">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row>
    <row r="95" spans="4:38">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row>
    <row r="96" spans="4:38">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row>
    <row r="97" spans="4:38">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row>
    <row r="98" spans="4:38">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row>
    <row r="99" spans="4:38">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row>
    <row r="100" spans="4:38">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row>
    <row r="101" spans="4:38">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row>
    <row r="102" spans="4:38">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row>
    <row r="103" spans="4:38">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row>
    <row r="104" spans="4:38">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row>
    <row r="105" spans="4:38">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row>
    <row r="106" spans="4:38">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row>
    <row r="107" spans="4:38">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row>
    <row r="108" spans="4:38">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row>
    <row r="109" spans="4:38">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row>
    <row r="110" spans="4:38">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row>
    <row r="111" spans="4:38">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row>
    <row r="112" spans="4:38">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row>
    <row r="113" spans="4:38">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row>
    <row r="114" spans="4:38">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row>
    <row r="115" spans="4:38">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row>
    <row r="116" spans="4:38">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row>
    <row r="117" spans="4:38">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row>
    <row r="118" spans="4:38">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row>
    <row r="119" spans="4:38">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row>
    <row r="120" spans="4:38">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row>
    <row r="121" spans="4:38">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row>
    <row r="122" spans="4:38">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row>
    <row r="123" spans="4:38">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row>
    <row r="124" spans="4:38">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row>
    <row r="125" spans="4:38">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row>
    <row r="126" spans="4:38">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row>
    <row r="127" spans="4:38">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row>
    <row r="128" spans="4:38">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row>
    <row r="129" spans="4:38">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row>
    <row r="130" spans="4:38">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row>
    <row r="131" spans="4:38">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row>
    <row r="132" spans="4:38">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row>
    <row r="133" spans="4:38">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row>
    <row r="134" spans="4:38">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row>
    <row r="135" spans="4:38">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row>
    <row r="136" spans="4:38">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row>
    <row r="137" spans="4:38">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row>
    <row r="138" spans="4:38">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row>
    <row r="139" spans="4:38">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row>
    <row r="140" spans="4:38">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row>
    <row r="141" spans="4:38">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row>
    <row r="142" spans="4:38">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row>
    <row r="143" spans="4:38">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row>
    <row r="144" spans="4:38">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row>
    <row r="145" spans="4:38">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row>
    <row r="146" spans="4:38">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row>
    <row r="147" spans="4:38">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row>
    <row r="148" spans="4:38">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row>
    <row r="149" spans="4:38">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row>
    <row r="150" spans="4:38">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row>
    <row r="151" spans="4:38">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row>
    <row r="152" spans="4:38">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row>
    <row r="153" spans="4:38">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row>
    <row r="154" spans="4:38">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row>
    <row r="155" spans="4:38">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row>
    <row r="156" spans="4:38">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row>
    <row r="157" spans="4:38">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row>
    <row r="158" spans="4:38">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row>
    <row r="159" spans="4:38">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row>
    <row r="160" spans="4:38">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row>
    <row r="161" spans="4:38">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row>
    <row r="162" spans="4:38">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row>
    <row r="163" spans="4:38">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row>
    <row r="164" spans="4:38">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row>
    <row r="165" spans="4:38">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row>
    <row r="166" spans="4:38">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row>
    <row r="167" spans="4:38">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row>
    <row r="168" spans="4:38">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row>
    <row r="169" spans="4:38">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row>
    <row r="170" spans="4:38">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row>
    <row r="171" spans="4:38">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row>
    <row r="172" spans="4:38">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row>
    <row r="173" spans="4:38">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row>
    <row r="174" spans="4:38">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row>
    <row r="175" spans="4:38">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row>
    <row r="176" spans="4:38">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row>
    <row r="177" spans="4:38">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row>
    <row r="178" spans="4:38">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row>
    <row r="179" spans="4:38">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row>
    <row r="180" spans="4:38">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row>
    <row r="181" spans="4:38">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row>
    <row r="182" spans="4:38">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row>
    <row r="183" spans="4:38">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row>
    <row r="184" spans="4:38">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row>
    <row r="185" spans="4:38">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row>
    <row r="186" spans="4:38">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row>
    <row r="187" spans="4:38">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row>
    <row r="188" spans="4:38">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row>
    <row r="189" spans="4:38">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row>
    <row r="190" spans="4:38">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row>
    <row r="191" spans="4:38">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row>
    <row r="192" spans="4:38">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row>
    <row r="193" spans="4:38">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row>
    <row r="194" spans="4:38">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row>
    <row r="195" spans="4:38">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row>
    <row r="196" spans="4:38">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row>
    <row r="197" spans="4:38">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row>
    <row r="198" spans="4:38">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row>
    <row r="199" spans="4:38">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row>
    <row r="200" spans="4:38">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row>
    <row r="201" spans="4:38">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row>
    <row r="202" spans="4:38">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row>
    <row r="203" spans="4:38">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row>
    <row r="204" spans="4:38">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row>
    <row r="205" spans="4:38">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row>
    <row r="206" spans="4:38">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row>
    <row r="207" spans="4:38">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row>
    <row r="208" spans="4:38">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row>
    <row r="209" spans="4:38">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row>
    <row r="210" spans="4:38">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row>
    <row r="211" spans="4:38">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row>
    <row r="212" spans="4:38">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row>
    <row r="213" spans="4:38">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row>
    <row r="214" spans="4:38">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row>
    <row r="215" spans="4:38">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row>
    <row r="216" spans="4:38">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row>
    <row r="217" spans="4:38">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row>
    <row r="218" spans="4:38">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row>
    <row r="219" spans="4:38">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row>
    <row r="220" spans="4:38">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row>
    <row r="221" spans="4:38">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row>
    <row r="222" spans="4:38">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row>
    <row r="223" spans="4:38">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row>
    <row r="224" spans="4:38">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row>
    <row r="225" spans="4:38">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row>
    <row r="226" spans="4:38">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row>
    <row r="227" spans="4:38">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row>
    <row r="228" spans="4:38">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row>
    <row r="229" spans="4:38">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row>
    <row r="230" spans="4:38">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row>
    <row r="231" spans="4:38">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row>
    <row r="232" spans="4:38">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row>
    <row r="233" spans="4:38">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row>
    <row r="234" spans="4:38">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row>
    <row r="235" spans="4:38">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row>
    <row r="236" spans="4:38">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row>
    <row r="237" spans="4:38">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row>
    <row r="238" spans="4:38">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row>
    <row r="239" spans="4:38">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row>
    <row r="240" spans="4:38">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row>
    <row r="241" spans="4:38">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row>
    <row r="242" spans="4:38">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row>
    <row r="243" spans="4:38">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row>
    <row r="244" spans="4:38">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row>
    <row r="245" spans="4:38">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row>
    <row r="246" spans="4:38">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row>
    <row r="247" spans="4:38">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row>
    <row r="248" spans="4:38">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row>
    <row r="249" spans="4:38">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row>
    <row r="250" spans="4:38">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row>
    <row r="251" spans="4:38">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row>
    <row r="252" spans="4:38">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row>
    <row r="253" spans="4:38">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row>
    <row r="254" spans="4:38">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row>
    <row r="255" spans="4:38">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row>
    <row r="256" spans="4:38">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row>
    <row r="257" spans="4:38">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row>
    <row r="258" spans="4:38">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row>
    <row r="259" spans="4:38">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row>
    <row r="260" spans="4:38">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row>
    <row r="261" spans="4:38">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row>
    <row r="262" spans="4:38">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row>
    <row r="263" spans="4:38">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row>
    <row r="264" spans="4:38">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row>
    <row r="265" spans="4:38">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row>
    <row r="266" spans="4:38">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row>
    <row r="267" spans="4:38">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row>
    <row r="268" spans="4:38">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row>
    <row r="269" spans="4:38">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row>
    <row r="270" spans="4:38">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row>
    <row r="271" spans="4:38">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row>
    <row r="272" spans="4:38">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row>
    <row r="273" spans="4:38">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row>
    <row r="274" spans="4:38">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row>
    <row r="275" spans="4:38">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row>
    <row r="276" spans="4:38">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row>
    <row r="277" spans="4:38">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row>
    <row r="278" spans="4:38">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row>
    <row r="279" spans="4:38">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row>
    <row r="280" spans="4:38">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row>
    <row r="281" spans="4:38">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row>
    <row r="282" spans="4:38">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row>
    <row r="283" spans="4:38">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row>
    <row r="284" spans="4:38">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row>
    <row r="285" spans="4:38">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row>
    <row r="286" spans="4:38">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row>
    <row r="287" spans="4:38">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row>
    <row r="288" spans="4:38">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row>
  </sheetData>
  <dataConsolidate/>
  <mergeCells count="17">
    <mergeCell ref="D7:R7"/>
    <mergeCell ref="W7:AI7"/>
    <mergeCell ref="A9:C9"/>
    <mergeCell ref="D9:AI9"/>
    <mergeCell ref="G3:N3"/>
    <mergeCell ref="W6:AI6"/>
    <mergeCell ref="D6:R6"/>
    <mergeCell ref="AC4:AI4"/>
    <mergeCell ref="S3:Y3"/>
    <mergeCell ref="Z3:AB3"/>
    <mergeCell ref="AC3:AI3"/>
    <mergeCell ref="G1:N1"/>
    <mergeCell ref="G2:N2"/>
    <mergeCell ref="S1:Y1"/>
    <mergeCell ref="AD1:AI1"/>
    <mergeCell ref="S2:Y2"/>
    <mergeCell ref="AD2:AI2"/>
  </mergeCells>
  <phoneticPr fontId="7"/>
  <pageMargins left="0.78740157480314965" right="0.19685039370078741" top="0.78740157480314965" bottom="0.78740157480314965" header="0.51181102362204722" footer="0.51181102362204722"/>
  <pageSetup paperSize="9" scale="86" orientation="portrait" verticalDpi="400" r:id="rId1"/>
  <headerFooter alignWithMargins="0"/>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BA283"/>
  <sheetViews>
    <sheetView topLeftCell="A15" zoomScaleNormal="100" workbookViewId="0"/>
  </sheetViews>
  <sheetFormatPr defaultColWidth="2.85546875" defaultRowHeight="11.25"/>
  <cols>
    <col min="1" max="16384" width="2.85546875" style="2"/>
  </cols>
  <sheetData>
    <row r="1" spans="1:43" ht="18.95" customHeight="1">
      <c r="A1" s="108"/>
      <c r="B1" s="109"/>
      <c r="C1" s="109"/>
      <c r="D1" s="110" t="s">
        <v>90</v>
      </c>
      <c r="E1" s="111"/>
      <c r="F1" s="112"/>
      <c r="G1" s="544" t="str">
        <f>IF(詳細設計書!G1="","N/A",詳細設計書!G1)</f>
        <v>統合会計システム開発</v>
      </c>
      <c r="H1" s="544"/>
      <c r="I1" s="544"/>
      <c r="J1" s="544"/>
      <c r="K1" s="544"/>
      <c r="L1" s="544"/>
      <c r="M1" s="544"/>
      <c r="N1" s="545"/>
      <c r="O1" s="110" t="s">
        <v>283</v>
      </c>
      <c r="P1" s="111"/>
      <c r="Q1" s="111"/>
      <c r="R1" s="113"/>
      <c r="S1" s="575">
        <f>IF(詳細設計書!S1="","N/A",詳細設計書!S1)</f>
        <v>42509</v>
      </c>
      <c r="T1" s="576"/>
      <c r="U1" s="576"/>
      <c r="V1" s="576"/>
      <c r="W1" s="576"/>
      <c r="X1" s="576"/>
      <c r="Y1" s="577"/>
      <c r="Z1" s="110" t="s">
        <v>284</v>
      </c>
      <c r="AA1" s="114"/>
      <c r="AB1" s="114"/>
      <c r="AC1" s="115"/>
      <c r="AD1" s="578">
        <f>IF(詳細設計書!AD1="","",詳細設計書!AD1)</f>
        <v>42559</v>
      </c>
      <c r="AE1" s="579"/>
      <c r="AF1" s="579"/>
      <c r="AG1" s="579"/>
      <c r="AH1" s="579"/>
      <c r="AI1" s="580"/>
    </row>
    <row r="2" spans="1:43" ht="18.95" customHeight="1">
      <c r="A2" s="30"/>
      <c r="D2" s="116" t="s">
        <v>93</v>
      </c>
      <c r="E2" s="34"/>
      <c r="F2" s="117"/>
      <c r="G2" s="550" t="str">
        <f>IF(詳細設計書!G2="","N/A",詳細設計書!G2)</f>
        <v>SAP R/3(レポート)</v>
      </c>
      <c r="H2" s="550"/>
      <c r="I2" s="550"/>
      <c r="J2" s="550"/>
      <c r="K2" s="550"/>
      <c r="L2" s="550"/>
      <c r="M2" s="550"/>
      <c r="N2" s="551"/>
      <c r="O2" s="116" t="s">
        <v>286</v>
      </c>
      <c r="P2" s="34"/>
      <c r="Q2" s="34"/>
      <c r="R2" s="118"/>
      <c r="S2" s="581" t="str">
        <f>IF(詳細設計書!S2="","N/A",詳細設計書!S2)</f>
        <v>KSC 橋本</v>
      </c>
      <c r="T2" s="582"/>
      <c r="U2" s="582"/>
      <c r="V2" s="582"/>
      <c r="W2" s="582"/>
      <c r="X2" s="582"/>
      <c r="Y2" s="583"/>
      <c r="Z2" s="116" t="s">
        <v>288</v>
      </c>
      <c r="AA2" s="119"/>
      <c r="AB2" s="120"/>
      <c r="AC2" s="117"/>
      <c r="AD2" s="584" t="str">
        <f>IF(詳細設計書!AD2="","",詳細設計書!AD2)</f>
        <v>KSC 橋本</v>
      </c>
      <c r="AE2" s="585"/>
      <c r="AF2" s="585"/>
      <c r="AG2" s="585"/>
      <c r="AH2" s="585"/>
      <c r="AI2" s="586"/>
    </row>
    <row r="3" spans="1:43" ht="18.95" customHeight="1" thickBot="1">
      <c r="A3" s="30"/>
      <c r="C3" s="14"/>
      <c r="D3" s="122" t="s">
        <v>96</v>
      </c>
      <c r="E3" s="123"/>
      <c r="F3" s="124"/>
      <c r="G3" s="563" t="str">
        <f>IF(詳細設計書!G3="","N/A",詳細設計書!G3)</f>
        <v>DP_FI_2014_01</v>
      </c>
      <c r="H3" s="564"/>
      <c r="I3" s="564"/>
      <c r="J3" s="564"/>
      <c r="K3" s="564"/>
      <c r="L3" s="564"/>
      <c r="M3" s="564"/>
      <c r="N3" s="565"/>
      <c r="O3" s="122" t="s">
        <v>97</v>
      </c>
      <c r="P3" s="123"/>
      <c r="Q3" s="123"/>
      <c r="R3" s="125"/>
      <c r="S3" s="572" t="str">
        <f>IF(詳細設計書!S3="","N/A",詳細設計書!S3)</f>
        <v>ZFIPR_2014_01</v>
      </c>
      <c r="T3" s="573"/>
      <c r="U3" s="573"/>
      <c r="V3" s="573"/>
      <c r="W3" s="573"/>
      <c r="X3" s="573"/>
      <c r="Y3" s="573"/>
      <c r="Z3" s="587" t="s">
        <v>290</v>
      </c>
      <c r="AA3" s="588"/>
      <c r="AB3" s="589"/>
      <c r="AC3" s="572" t="str">
        <f>詳細設計書!AC3</f>
        <v>RD_FI_2014</v>
      </c>
      <c r="AD3" s="573"/>
      <c r="AE3" s="573"/>
      <c r="AF3" s="573"/>
      <c r="AG3" s="573"/>
      <c r="AH3" s="573"/>
      <c r="AI3" s="574"/>
    </row>
    <row r="4" spans="1:43" ht="18.95" customHeight="1" thickBot="1">
      <c r="A4" s="31" t="s">
        <v>292</v>
      </c>
      <c r="B4" s="32"/>
      <c r="C4" s="32"/>
      <c r="D4" s="187" t="s">
        <v>443</v>
      </c>
      <c r="E4" s="184"/>
      <c r="F4" s="184"/>
      <c r="G4" s="184"/>
      <c r="H4" s="184"/>
      <c r="I4" s="184"/>
      <c r="J4" s="184"/>
      <c r="K4" s="184"/>
      <c r="L4" s="184"/>
      <c r="M4" s="184"/>
      <c r="N4" s="184"/>
      <c r="O4" s="184"/>
      <c r="P4" s="184"/>
      <c r="Q4" s="184"/>
      <c r="R4" s="184"/>
      <c r="S4" s="184"/>
      <c r="T4" s="184"/>
      <c r="U4" s="184"/>
      <c r="V4" s="184"/>
      <c r="W4" s="184"/>
      <c r="X4" s="184"/>
      <c r="Y4" s="184"/>
      <c r="Z4" s="57" t="s">
        <v>100</v>
      </c>
      <c r="AA4" s="32"/>
      <c r="AB4" s="32"/>
      <c r="AC4" s="618" t="str">
        <f>詳細設計書!AC4</f>
        <v>1.0</v>
      </c>
      <c r="AD4" s="597"/>
      <c r="AE4" s="597"/>
      <c r="AF4" s="597"/>
      <c r="AG4" s="597"/>
      <c r="AH4" s="597"/>
      <c r="AI4" s="598"/>
    </row>
    <row r="5" spans="1:43" ht="7.5" customHeight="1" thickBot="1"/>
    <row r="6" spans="1:43" ht="15" customHeight="1" thickBot="1">
      <c r="A6" s="31" t="s">
        <v>295</v>
      </c>
      <c r="B6" s="60"/>
      <c r="C6" s="75"/>
      <c r="D6" s="593"/>
      <c r="E6" s="594"/>
      <c r="F6" s="594"/>
      <c r="G6" s="594"/>
      <c r="H6" s="594"/>
      <c r="I6" s="594"/>
      <c r="J6" s="594"/>
      <c r="K6" s="594"/>
      <c r="L6" s="594"/>
      <c r="M6" s="594"/>
      <c r="N6" s="594"/>
      <c r="O6" s="594"/>
      <c r="P6" s="594"/>
      <c r="Q6" s="594"/>
      <c r="R6" s="595"/>
      <c r="S6" s="57" t="s">
        <v>296</v>
      </c>
      <c r="T6" s="32"/>
      <c r="U6" s="32"/>
      <c r="V6" s="58"/>
      <c r="W6" s="590"/>
      <c r="X6" s="591"/>
      <c r="Y6" s="591"/>
      <c r="Z6" s="591"/>
      <c r="AA6" s="591"/>
      <c r="AB6" s="591"/>
      <c r="AC6" s="591"/>
      <c r="AD6" s="591"/>
      <c r="AE6" s="591"/>
      <c r="AF6" s="591"/>
      <c r="AG6" s="591"/>
      <c r="AH6" s="591"/>
      <c r="AI6" s="592"/>
    </row>
    <row r="7" spans="1:43" ht="15" customHeight="1" thickBot="1">
      <c r="A7" s="31" t="s">
        <v>297</v>
      </c>
      <c r="B7" s="60"/>
      <c r="C7" s="75"/>
      <c r="D7" s="593"/>
      <c r="E7" s="594"/>
      <c r="F7" s="594"/>
      <c r="G7" s="594"/>
      <c r="H7" s="594"/>
      <c r="I7" s="594"/>
      <c r="J7" s="594"/>
      <c r="K7" s="594"/>
      <c r="L7" s="594"/>
      <c r="M7" s="594"/>
      <c r="N7" s="594"/>
      <c r="O7" s="594"/>
      <c r="P7" s="594"/>
      <c r="Q7" s="594"/>
      <c r="R7" s="595"/>
      <c r="S7" s="57" t="s">
        <v>296</v>
      </c>
      <c r="T7" s="32"/>
      <c r="U7" s="32"/>
      <c r="V7" s="58"/>
      <c r="W7" s="590"/>
      <c r="X7" s="591"/>
      <c r="Y7" s="591"/>
      <c r="Z7" s="591"/>
      <c r="AA7" s="591"/>
      <c r="AB7" s="591"/>
      <c r="AC7" s="591"/>
      <c r="AD7" s="591"/>
      <c r="AE7" s="591"/>
      <c r="AF7" s="591"/>
      <c r="AG7" s="591"/>
      <c r="AH7" s="591"/>
      <c r="AI7" s="592"/>
    </row>
    <row r="8" spans="1:43" ht="15" customHeight="1" thickBot="1"/>
    <row r="9" spans="1:43" ht="15" customHeight="1">
      <c r="A9" s="602" t="s">
        <v>329</v>
      </c>
      <c r="B9" s="603"/>
      <c r="C9" s="615"/>
      <c r="D9" s="616" t="s">
        <v>330</v>
      </c>
      <c r="E9" s="603"/>
      <c r="F9" s="603"/>
      <c r="G9" s="603"/>
      <c r="H9" s="603"/>
      <c r="I9" s="603"/>
      <c r="J9" s="603"/>
      <c r="K9" s="603"/>
      <c r="L9" s="603"/>
      <c r="M9" s="603"/>
      <c r="N9" s="603"/>
      <c r="O9" s="603"/>
      <c r="P9" s="603"/>
      <c r="Q9" s="603"/>
      <c r="R9" s="603"/>
      <c r="S9" s="603"/>
      <c r="T9" s="603"/>
      <c r="U9" s="603"/>
      <c r="V9" s="603"/>
      <c r="W9" s="603"/>
      <c r="X9" s="603"/>
      <c r="Y9" s="603"/>
      <c r="Z9" s="603"/>
      <c r="AA9" s="603"/>
      <c r="AB9" s="603"/>
      <c r="AC9" s="603"/>
      <c r="AD9" s="603"/>
      <c r="AE9" s="603"/>
      <c r="AF9" s="603"/>
      <c r="AG9" s="603"/>
      <c r="AH9" s="603"/>
      <c r="AI9" s="617"/>
    </row>
    <row r="10" spans="1:43" s="295" customFormat="1" ht="15" customHeight="1">
      <c r="A10" s="294"/>
      <c r="C10" s="296"/>
      <c r="D10" s="300"/>
      <c r="E10" s="300"/>
      <c r="L10" s="300"/>
      <c r="M10" s="301"/>
      <c r="N10" s="306"/>
      <c r="O10" s="300"/>
      <c r="P10" s="300"/>
      <c r="Q10" s="300"/>
      <c r="R10" s="306"/>
      <c r="S10" s="300"/>
      <c r="T10" s="300"/>
      <c r="U10" s="300"/>
      <c r="V10" s="301"/>
      <c r="W10" s="306"/>
      <c r="X10" s="300"/>
      <c r="Y10" s="300"/>
      <c r="Z10" s="300"/>
      <c r="AA10" s="300"/>
      <c r="AB10" s="300"/>
      <c r="AC10" s="300"/>
      <c r="AD10" s="300"/>
      <c r="AE10" s="300"/>
      <c r="AF10" s="300"/>
      <c r="AG10" s="300"/>
      <c r="AH10" s="300"/>
      <c r="AI10" s="302"/>
      <c r="AJ10" s="300"/>
    </row>
    <row r="11" spans="1:43" s="295" customFormat="1" ht="15" customHeight="1">
      <c r="A11" s="294"/>
      <c r="B11" s="412"/>
      <c r="C11" s="296"/>
      <c r="D11" s="300"/>
      <c r="E11" s="300" t="s">
        <v>444</v>
      </c>
      <c r="F11" s="300" t="s">
        <v>445</v>
      </c>
      <c r="G11" s="2"/>
      <c r="H11" s="300"/>
      <c r="I11" s="2"/>
      <c r="J11" s="300"/>
      <c r="K11" s="300"/>
      <c r="L11" s="300"/>
      <c r="M11" s="301"/>
      <c r="N11" s="306"/>
      <c r="O11" s="300"/>
      <c r="P11" s="300"/>
      <c r="Q11" s="300"/>
      <c r="R11" s="306"/>
      <c r="S11" s="300"/>
      <c r="T11" s="300"/>
      <c r="U11" s="300"/>
      <c r="V11" s="301"/>
      <c r="W11" s="306"/>
      <c r="X11" s="300"/>
      <c r="Y11" s="300"/>
      <c r="Z11" s="300"/>
      <c r="AA11" s="300"/>
      <c r="AB11" s="300"/>
      <c r="AC11" s="300"/>
      <c r="AD11" s="300"/>
      <c r="AE11" s="300"/>
      <c r="AF11" s="300"/>
      <c r="AG11" s="300"/>
      <c r="AH11" s="300"/>
      <c r="AI11" s="302"/>
      <c r="AJ11" s="300"/>
    </row>
    <row r="12" spans="1:43" s="295" customFormat="1" ht="15" customHeight="1">
      <c r="A12" s="294"/>
      <c r="B12" s="412"/>
      <c r="C12" s="296"/>
      <c r="D12" s="300"/>
      <c r="E12" s="301"/>
      <c r="F12" s="2" t="s">
        <v>446</v>
      </c>
      <c r="G12" s="2"/>
      <c r="H12" s="300"/>
      <c r="I12" s="2"/>
      <c r="J12" s="300"/>
      <c r="K12" s="300"/>
      <c r="L12" s="300"/>
      <c r="M12" s="301"/>
      <c r="N12" s="306"/>
      <c r="O12" s="300"/>
      <c r="V12" s="301"/>
      <c r="W12" s="306"/>
      <c r="X12" s="300"/>
      <c r="Y12" s="300"/>
      <c r="Z12" s="300"/>
      <c r="AA12" s="300"/>
      <c r="AB12" s="300"/>
      <c r="AC12" s="300"/>
      <c r="AD12" s="300"/>
      <c r="AE12" s="300"/>
      <c r="AF12" s="300"/>
      <c r="AG12" s="300"/>
      <c r="AH12" s="300"/>
      <c r="AI12" s="302"/>
      <c r="AJ12" s="300"/>
      <c r="AK12" s="300"/>
      <c r="AL12" s="300"/>
      <c r="AM12" s="300"/>
      <c r="AN12" s="306"/>
      <c r="AO12" s="300"/>
      <c r="AP12" s="300"/>
      <c r="AQ12" s="300"/>
    </row>
    <row r="13" spans="1:43" s="295" customFormat="1" ht="15" customHeight="1">
      <c r="A13" s="294"/>
      <c r="B13" s="412"/>
      <c r="C13" s="296"/>
      <c r="D13" s="300"/>
      <c r="E13" s="300"/>
      <c r="F13" s="2" t="s">
        <v>428</v>
      </c>
      <c r="G13" s="300"/>
      <c r="H13" s="300"/>
      <c r="I13" s="300" t="s">
        <v>429</v>
      </c>
      <c r="J13" s="300"/>
      <c r="K13" s="300"/>
      <c r="L13" s="300"/>
      <c r="M13" s="301"/>
      <c r="N13" s="306"/>
      <c r="O13" s="300"/>
      <c r="V13" s="301"/>
      <c r="W13" s="306"/>
      <c r="X13" s="300"/>
      <c r="Y13" s="300"/>
      <c r="Z13" s="300"/>
      <c r="AA13" s="300"/>
      <c r="AB13" s="300"/>
      <c r="AC13" s="300"/>
      <c r="AD13" s="300"/>
      <c r="AE13" s="300"/>
      <c r="AF13" s="300"/>
      <c r="AG13" s="300"/>
      <c r="AH13" s="300"/>
      <c r="AI13" s="302"/>
      <c r="AJ13" s="300"/>
      <c r="AK13" s="300"/>
      <c r="AL13" s="300"/>
      <c r="AM13" s="300"/>
      <c r="AN13" s="306"/>
      <c r="AO13" s="300"/>
      <c r="AP13" s="300"/>
      <c r="AQ13" s="300"/>
    </row>
    <row r="14" spans="1:43" s="295" customFormat="1" ht="15" customHeight="1">
      <c r="A14" s="294"/>
      <c r="B14" s="412"/>
      <c r="C14" s="296"/>
      <c r="D14" s="300"/>
      <c r="G14" s="463" t="s">
        <v>442</v>
      </c>
      <c r="V14" s="301"/>
      <c r="W14" s="306"/>
      <c r="X14" s="300"/>
      <c r="Y14" s="300"/>
      <c r="Z14" s="300"/>
      <c r="AA14" s="300"/>
      <c r="AB14" s="300"/>
      <c r="AC14" s="300"/>
      <c r="AD14" s="300"/>
      <c r="AE14" s="300"/>
      <c r="AF14" s="300"/>
      <c r="AG14" s="300"/>
      <c r="AH14" s="300"/>
      <c r="AI14" s="302"/>
      <c r="AJ14" s="300"/>
      <c r="AK14" s="300"/>
      <c r="AL14" s="300"/>
      <c r="AM14" s="300"/>
      <c r="AN14" s="306"/>
      <c r="AO14" s="300"/>
      <c r="AP14" s="300"/>
      <c r="AQ14" s="300"/>
    </row>
    <row r="15" spans="1:43" s="295" customFormat="1" ht="15" customHeight="1">
      <c r="A15" s="294"/>
      <c r="B15" s="412"/>
      <c r="C15" s="296"/>
      <c r="D15" s="300"/>
      <c r="E15" s="300"/>
      <c r="G15" s="295" t="s">
        <v>431</v>
      </c>
      <c r="L15" s="300"/>
      <c r="M15" s="301"/>
      <c r="N15" s="306"/>
      <c r="O15" s="300"/>
      <c r="V15" s="301"/>
      <c r="W15" s="306"/>
      <c r="X15" s="300"/>
      <c r="Y15" s="300"/>
      <c r="Z15" s="300"/>
      <c r="AA15" s="300"/>
      <c r="AB15" s="300"/>
      <c r="AC15" s="300"/>
      <c r="AD15" s="300"/>
      <c r="AE15" s="300"/>
      <c r="AF15" s="300"/>
      <c r="AG15" s="300"/>
      <c r="AH15" s="300"/>
      <c r="AI15" s="302"/>
      <c r="AJ15" s="300"/>
      <c r="AO15" s="300"/>
      <c r="AP15" s="300"/>
      <c r="AQ15" s="300"/>
    </row>
    <row r="16" spans="1:43" s="295" customFormat="1" ht="15" customHeight="1">
      <c r="A16" s="294"/>
      <c r="B16" s="412"/>
      <c r="C16" s="296"/>
      <c r="D16" s="300"/>
      <c r="F16" s="300" t="s">
        <v>362</v>
      </c>
      <c r="G16" s="300"/>
      <c r="H16" s="300"/>
      <c r="I16" s="301"/>
      <c r="J16" s="300"/>
      <c r="K16" s="300"/>
      <c r="L16" s="300"/>
      <c r="M16" s="301"/>
      <c r="N16" s="306"/>
      <c r="O16" s="300"/>
      <c r="V16" s="301"/>
      <c r="W16" s="306"/>
      <c r="X16" s="300"/>
      <c r="Y16" s="300"/>
      <c r="Z16" s="300"/>
      <c r="AA16" s="300"/>
      <c r="AB16" s="300"/>
      <c r="AC16" s="300"/>
      <c r="AD16" s="300"/>
      <c r="AE16" s="300"/>
      <c r="AF16" s="300"/>
      <c r="AG16" s="300"/>
      <c r="AH16" s="300"/>
      <c r="AI16" s="302"/>
      <c r="AJ16" s="300"/>
      <c r="AK16" s="300"/>
      <c r="AL16" s="300"/>
      <c r="AM16" s="300"/>
      <c r="AN16" s="306"/>
      <c r="AO16" s="300"/>
      <c r="AP16" s="300"/>
      <c r="AQ16" s="300"/>
    </row>
    <row r="17" spans="1:53" s="295" customFormat="1" ht="15" customHeight="1">
      <c r="A17" s="294"/>
      <c r="B17" s="412"/>
      <c r="C17" s="296"/>
      <c r="D17" s="300"/>
      <c r="F17" s="300"/>
      <c r="G17" s="300" t="s">
        <v>432</v>
      </c>
      <c r="H17" s="300"/>
      <c r="I17" s="301"/>
      <c r="J17" s="300"/>
      <c r="K17" s="300"/>
      <c r="L17" s="300"/>
      <c r="M17" s="301"/>
      <c r="N17" s="306"/>
      <c r="O17" s="300"/>
      <c r="V17" s="301"/>
      <c r="W17" s="306"/>
      <c r="X17" s="300"/>
      <c r="Y17" s="300"/>
      <c r="Z17" s="300"/>
      <c r="AA17" s="300"/>
      <c r="AB17" s="300"/>
      <c r="AC17" s="300"/>
      <c r="AD17" s="300"/>
      <c r="AE17" s="300"/>
      <c r="AF17" s="300"/>
      <c r="AG17" s="300"/>
      <c r="AH17" s="300"/>
      <c r="AI17" s="302"/>
      <c r="AJ17" s="300"/>
      <c r="AK17" s="300"/>
      <c r="AL17" s="300"/>
      <c r="AM17" s="300"/>
      <c r="AN17" s="306"/>
      <c r="AO17" s="300"/>
      <c r="AP17" s="300"/>
      <c r="AQ17" s="300"/>
    </row>
    <row r="18" spans="1:53" s="295" customFormat="1" ht="15" customHeight="1">
      <c r="A18" s="294"/>
      <c r="B18" s="412"/>
      <c r="C18" s="296"/>
      <c r="D18" s="300"/>
      <c r="F18" s="300"/>
      <c r="G18" s="300" t="s">
        <v>433</v>
      </c>
      <c r="H18" s="300"/>
      <c r="I18" s="301"/>
      <c r="J18" s="300"/>
      <c r="K18" s="300"/>
      <c r="L18" s="300"/>
      <c r="M18" s="301"/>
      <c r="N18" s="306"/>
      <c r="O18" s="300"/>
      <c r="P18" s="300"/>
      <c r="Q18" s="300"/>
      <c r="R18" s="306"/>
      <c r="S18" s="300"/>
      <c r="T18" s="300"/>
      <c r="U18" s="300"/>
      <c r="V18" s="301"/>
      <c r="W18" s="306"/>
      <c r="X18" s="300"/>
      <c r="Y18" s="300"/>
      <c r="Z18" s="300"/>
      <c r="AA18" s="300"/>
      <c r="AB18" s="300"/>
      <c r="AC18" s="300"/>
      <c r="AD18" s="300"/>
      <c r="AE18" s="300"/>
      <c r="AF18" s="300"/>
      <c r="AG18" s="300"/>
      <c r="AH18" s="300"/>
      <c r="AI18" s="302"/>
      <c r="AJ18" s="300"/>
      <c r="AK18" s="300"/>
      <c r="AL18" s="300"/>
      <c r="AM18" s="300"/>
      <c r="AN18" s="306"/>
      <c r="AO18" s="300"/>
      <c r="AP18" s="300"/>
      <c r="AQ18" s="300"/>
    </row>
    <row r="19" spans="1:53" s="295" customFormat="1" ht="15" customHeight="1">
      <c r="A19" s="294"/>
      <c r="B19" s="412"/>
      <c r="C19" s="296"/>
      <c r="D19" s="300"/>
      <c r="E19" s="300"/>
      <c r="F19" s="300"/>
      <c r="G19" s="300" t="s">
        <v>423</v>
      </c>
      <c r="H19" s="300"/>
      <c r="I19" s="300"/>
      <c r="J19" s="300"/>
      <c r="K19" s="300"/>
      <c r="L19" s="300"/>
      <c r="M19" s="300"/>
      <c r="N19" s="306"/>
      <c r="O19" s="300"/>
      <c r="P19" s="300"/>
      <c r="Q19" s="300"/>
      <c r="R19" s="306"/>
      <c r="S19" s="300"/>
      <c r="T19" s="300"/>
      <c r="U19" s="300"/>
      <c r="V19" s="301"/>
      <c r="W19" s="300"/>
      <c r="X19" s="300" t="s">
        <v>424</v>
      </c>
      <c r="Y19" s="300"/>
      <c r="Z19" s="300"/>
      <c r="AA19" s="300"/>
      <c r="AB19" s="300"/>
      <c r="AC19" s="300"/>
      <c r="AD19" s="300"/>
      <c r="AE19" s="300"/>
      <c r="AF19" s="300"/>
      <c r="AG19" s="300"/>
      <c r="AH19" s="300"/>
      <c r="AI19" s="302"/>
      <c r="AJ19" s="300"/>
      <c r="AK19" s="300"/>
      <c r="AL19" s="300"/>
      <c r="AM19" s="300"/>
      <c r="AN19" s="306"/>
      <c r="AO19" s="300"/>
      <c r="AP19" s="300"/>
      <c r="AQ19" s="300"/>
    </row>
    <row r="20" spans="1:53" s="295" customFormat="1" ht="15" customHeight="1">
      <c r="A20" s="294"/>
      <c r="B20" s="412"/>
      <c r="C20" s="296"/>
      <c r="D20" s="300"/>
      <c r="P20" s="300"/>
      <c r="Q20" s="300"/>
      <c r="R20" s="306"/>
      <c r="S20" s="300"/>
      <c r="T20" s="300"/>
      <c r="U20" s="300"/>
      <c r="V20" s="301"/>
      <c r="W20" s="306"/>
      <c r="X20" s="300"/>
      <c r="Y20" s="300"/>
      <c r="Z20" s="300"/>
      <c r="AA20" s="300"/>
      <c r="AB20" s="300"/>
      <c r="AC20" s="300"/>
      <c r="AD20" s="300"/>
      <c r="AE20" s="300"/>
      <c r="AF20" s="300"/>
      <c r="AG20" s="300"/>
      <c r="AH20" s="300"/>
      <c r="AI20" s="302"/>
      <c r="AJ20" s="300"/>
    </row>
    <row r="21" spans="1:53" s="295" customFormat="1" ht="15" customHeight="1">
      <c r="A21" s="294"/>
      <c r="B21" s="412"/>
      <c r="C21" s="296"/>
      <c r="D21" s="300"/>
      <c r="E21" s="295" t="s">
        <v>447</v>
      </c>
      <c r="F21" s="295" t="s">
        <v>448</v>
      </c>
      <c r="I21" s="2"/>
      <c r="L21" s="300"/>
      <c r="M21" s="300"/>
      <c r="N21" s="300"/>
      <c r="O21" s="300"/>
      <c r="P21" s="300"/>
      <c r="Q21" s="300"/>
      <c r="R21" s="306"/>
      <c r="S21" s="300"/>
      <c r="T21" s="300"/>
      <c r="U21" s="300"/>
      <c r="V21" s="301"/>
      <c r="W21" s="300"/>
      <c r="X21" s="300"/>
      <c r="Y21" s="300"/>
      <c r="Z21" s="300"/>
      <c r="AA21" s="300"/>
      <c r="AB21" s="300"/>
      <c r="AC21" s="300"/>
      <c r="AD21" s="300"/>
      <c r="AE21" s="300"/>
      <c r="AF21" s="300"/>
      <c r="AG21" s="300"/>
      <c r="AH21" s="300"/>
      <c r="AI21" s="302"/>
      <c r="AJ21" s="300"/>
    </row>
    <row r="22" spans="1:53" s="295" customFormat="1" ht="15" customHeight="1">
      <c r="A22" s="294"/>
      <c r="B22" s="412"/>
      <c r="C22" s="296"/>
      <c r="D22" s="300"/>
      <c r="F22" s="295" t="s">
        <v>449</v>
      </c>
      <c r="I22" s="2"/>
      <c r="J22" s="300"/>
      <c r="K22" s="300"/>
      <c r="L22" s="300"/>
      <c r="M22" s="301"/>
      <c r="N22" s="306"/>
      <c r="O22" s="300"/>
      <c r="P22" s="300"/>
      <c r="Q22" s="300"/>
      <c r="R22" s="306"/>
      <c r="S22" s="300"/>
      <c r="T22" s="300"/>
      <c r="U22" s="300"/>
      <c r="V22" s="301"/>
      <c r="W22" s="306"/>
      <c r="X22" s="300"/>
      <c r="Y22" s="300"/>
      <c r="Z22" s="300"/>
      <c r="AA22" s="300"/>
      <c r="AB22" s="300"/>
      <c r="AC22" s="300"/>
      <c r="AD22" s="300"/>
      <c r="AE22" s="300"/>
      <c r="AF22" s="300"/>
      <c r="AG22" s="300"/>
      <c r="AH22" s="300"/>
      <c r="AI22" s="302"/>
      <c r="AJ22" s="300"/>
      <c r="AK22" s="300"/>
      <c r="AL22" s="300"/>
      <c r="AM22" s="300"/>
      <c r="AN22" s="301"/>
      <c r="AO22" s="306"/>
      <c r="AP22" s="300"/>
      <c r="AQ22" s="300"/>
      <c r="AR22" s="300"/>
      <c r="AS22" s="306"/>
      <c r="AT22" s="300"/>
      <c r="AU22" s="300"/>
      <c r="AV22" s="300"/>
      <c r="AW22" s="301"/>
      <c r="AX22" s="306"/>
      <c r="AY22" s="300"/>
      <c r="AZ22" s="300"/>
      <c r="BA22" s="300"/>
    </row>
    <row r="23" spans="1:53" s="295" customFormat="1" ht="15" customHeight="1">
      <c r="A23" s="294"/>
      <c r="B23" s="412"/>
      <c r="C23" s="296"/>
      <c r="D23" s="300"/>
      <c r="E23" s="300"/>
      <c r="G23" s="463" t="s">
        <v>450</v>
      </c>
      <c r="H23" s="8"/>
      <c r="I23" s="2"/>
      <c r="J23" s="300"/>
      <c r="K23" s="300"/>
      <c r="L23" s="300"/>
      <c r="M23" s="301"/>
      <c r="N23" s="306"/>
      <c r="O23" s="300"/>
      <c r="P23" s="300"/>
      <c r="Q23" s="300"/>
      <c r="R23" s="306"/>
      <c r="S23" s="300"/>
      <c r="T23" s="300"/>
      <c r="U23" s="300"/>
      <c r="V23" s="301"/>
      <c r="W23" s="306"/>
      <c r="X23" s="300"/>
      <c r="Y23" s="300"/>
      <c r="Z23" s="300"/>
      <c r="AA23" s="300"/>
      <c r="AB23" s="300"/>
      <c r="AC23" s="300"/>
      <c r="AD23" s="300"/>
      <c r="AE23" s="300"/>
      <c r="AF23" s="300"/>
      <c r="AG23" s="300"/>
      <c r="AH23" s="300"/>
      <c r="AI23" s="302"/>
      <c r="AJ23" s="300"/>
      <c r="AM23" s="301"/>
      <c r="AN23" s="300"/>
      <c r="AO23" s="300"/>
      <c r="AP23" s="300"/>
      <c r="AQ23" s="300"/>
      <c r="AR23" s="300"/>
      <c r="AS23" s="306"/>
      <c r="AT23" s="300"/>
      <c r="AU23" s="300"/>
      <c r="AV23" s="300"/>
      <c r="AW23" s="301"/>
      <c r="AX23" s="306"/>
      <c r="AY23" s="300"/>
      <c r="AZ23" s="300"/>
      <c r="BA23" s="300"/>
    </row>
    <row r="24" spans="1:53" s="295" customFormat="1" ht="15" customHeight="1">
      <c r="A24" s="294"/>
      <c r="B24" s="412"/>
      <c r="C24" s="296"/>
      <c r="D24" s="300"/>
      <c r="E24" s="301"/>
      <c r="F24" s="300" t="s">
        <v>362</v>
      </c>
      <c r="G24" s="300"/>
      <c r="H24" s="300"/>
      <c r="I24" s="301"/>
      <c r="J24" s="300"/>
      <c r="K24" s="300"/>
      <c r="L24" s="300"/>
      <c r="M24" s="301"/>
      <c r="N24" s="306"/>
      <c r="O24" s="300"/>
      <c r="P24" s="300"/>
      <c r="Z24" s="300"/>
      <c r="AA24" s="300"/>
      <c r="AB24" s="300"/>
      <c r="AC24" s="300"/>
      <c r="AD24" s="300"/>
      <c r="AE24" s="300"/>
      <c r="AF24" s="300"/>
      <c r="AG24" s="300"/>
      <c r="AH24" s="300"/>
      <c r="AI24" s="302"/>
      <c r="AJ24" s="300"/>
      <c r="AM24" s="300"/>
      <c r="AN24" s="300"/>
      <c r="AO24" s="300"/>
      <c r="AP24" s="300"/>
      <c r="AQ24" s="300"/>
      <c r="AR24" s="300"/>
      <c r="AS24" s="306"/>
      <c r="AT24" s="300"/>
      <c r="AU24" s="300"/>
      <c r="AV24" s="300"/>
      <c r="AW24" s="301"/>
      <c r="AX24" s="306"/>
      <c r="AY24" s="300"/>
      <c r="AZ24" s="300"/>
      <c r="BA24" s="300"/>
    </row>
    <row r="25" spans="1:53" s="295" customFormat="1" ht="15" customHeight="1">
      <c r="A25" s="294"/>
      <c r="C25" s="296"/>
      <c r="D25" s="300"/>
      <c r="E25" s="300"/>
      <c r="F25" s="300"/>
      <c r="G25" s="300" t="s">
        <v>451</v>
      </c>
      <c r="H25" s="300"/>
      <c r="I25" s="301"/>
      <c r="J25" s="300"/>
      <c r="K25" s="300"/>
      <c r="L25" s="300"/>
      <c r="M25" s="301"/>
      <c r="N25" s="306"/>
      <c r="O25" s="300"/>
      <c r="P25" s="300"/>
      <c r="Q25" s="300"/>
      <c r="R25" s="306"/>
      <c r="S25" s="300"/>
      <c r="T25" s="300"/>
      <c r="U25" s="300"/>
      <c r="V25" s="301"/>
      <c r="W25" s="306"/>
      <c r="X25" s="300"/>
      <c r="Y25" s="300"/>
      <c r="AA25" s="300"/>
      <c r="AB25" s="300"/>
      <c r="AC25" s="300"/>
      <c r="AD25" s="300"/>
      <c r="AE25" s="300"/>
      <c r="AF25" s="300"/>
      <c r="AG25" s="300"/>
      <c r="AH25" s="300"/>
      <c r="AI25" s="302"/>
      <c r="AJ25" s="300"/>
      <c r="AK25" s="300"/>
      <c r="AL25" s="300"/>
      <c r="AM25" s="300"/>
      <c r="AN25" s="301"/>
      <c r="AO25" s="306"/>
      <c r="AP25" s="300"/>
      <c r="AQ25" s="300"/>
      <c r="AR25" s="300"/>
      <c r="AS25" s="306"/>
      <c r="AT25" s="300"/>
      <c r="AU25" s="300"/>
      <c r="AV25" s="300"/>
      <c r="AW25" s="301"/>
      <c r="AX25" s="306"/>
      <c r="AY25" s="300"/>
      <c r="AZ25" s="300"/>
      <c r="BA25" s="300"/>
    </row>
    <row r="26" spans="1:53" s="295" customFormat="1" ht="15" customHeight="1">
      <c r="A26" s="294"/>
      <c r="B26" s="412"/>
      <c r="C26" s="296"/>
      <c r="D26" s="300"/>
      <c r="E26" s="303"/>
      <c r="F26" s="300"/>
      <c r="G26" s="300" t="s">
        <v>452</v>
      </c>
      <c r="H26" s="300"/>
      <c r="I26" s="301"/>
      <c r="J26" s="300"/>
      <c r="K26" s="300"/>
      <c r="L26" s="300"/>
      <c r="M26" s="301"/>
      <c r="N26" s="306"/>
      <c r="O26" s="300"/>
      <c r="P26" s="300"/>
      <c r="Q26" s="300"/>
      <c r="R26" s="306"/>
      <c r="S26" s="300"/>
      <c r="T26" s="300"/>
      <c r="U26" s="300"/>
      <c r="V26" s="301"/>
      <c r="W26" s="306"/>
      <c r="X26" s="300"/>
      <c r="Y26" s="300"/>
      <c r="Z26" s="300"/>
      <c r="AA26" s="300"/>
      <c r="AB26" s="300"/>
      <c r="AC26" s="300"/>
      <c r="AD26" s="300"/>
      <c r="AE26" s="300"/>
      <c r="AF26" s="300"/>
      <c r="AG26" s="300"/>
      <c r="AH26" s="300"/>
      <c r="AI26" s="302"/>
      <c r="AJ26" s="300"/>
      <c r="AK26" s="300"/>
      <c r="AL26" s="300"/>
      <c r="AM26" s="300"/>
      <c r="AN26" s="301"/>
      <c r="AO26" s="306"/>
      <c r="AP26" s="300"/>
      <c r="AQ26" s="300"/>
      <c r="AR26" s="300"/>
      <c r="AS26" s="306"/>
      <c r="AT26" s="300"/>
      <c r="AU26" s="300"/>
      <c r="AV26" s="300"/>
      <c r="AW26" s="301"/>
      <c r="AX26" s="306"/>
      <c r="AY26" s="300"/>
      <c r="AZ26" s="300"/>
      <c r="BA26" s="300"/>
    </row>
    <row r="27" spans="1:53" s="295" customFormat="1" ht="15" customHeight="1">
      <c r="A27" s="294"/>
      <c r="B27" s="412"/>
      <c r="C27" s="296"/>
      <c r="D27" s="300"/>
      <c r="E27" s="301"/>
      <c r="F27" s="300"/>
      <c r="G27" s="300" t="s">
        <v>423</v>
      </c>
      <c r="H27" s="300"/>
      <c r="I27" s="300"/>
      <c r="J27" s="300"/>
      <c r="K27" s="300"/>
      <c r="L27" s="300"/>
      <c r="M27" s="300"/>
      <c r="N27" s="306"/>
      <c r="O27" s="300"/>
      <c r="P27" s="300"/>
      <c r="Q27" s="300"/>
      <c r="R27" s="306"/>
      <c r="S27" s="300"/>
      <c r="T27" s="300"/>
      <c r="U27" s="300"/>
      <c r="V27" s="301"/>
      <c r="W27" s="300"/>
      <c r="X27" s="300" t="s">
        <v>424</v>
      </c>
      <c r="Y27" s="300"/>
      <c r="Z27" s="300"/>
      <c r="AA27" s="300"/>
      <c r="AB27" s="300"/>
      <c r="AC27" s="300"/>
      <c r="AD27" s="300"/>
      <c r="AE27" s="300"/>
      <c r="AF27" s="300"/>
      <c r="AG27" s="300"/>
      <c r="AH27" s="300"/>
      <c r="AI27" s="302"/>
      <c r="AJ27" s="300"/>
      <c r="AK27" s="300"/>
      <c r="AL27" s="300"/>
      <c r="AM27" s="300"/>
      <c r="AN27" s="301"/>
      <c r="AO27" s="306"/>
      <c r="AP27" s="300"/>
      <c r="AQ27" s="300"/>
      <c r="AR27" s="300"/>
      <c r="AS27" s="306"/>
      <c r="AT27" s="300"/>
      <c r="AU27" s="300"/>
      <c r="AV27" s="300"/>
      <c r="AW27" s="301"/>
      <c r="AX27" s="306"/>
      <c r="AY27" s="300"/>
      <c r="AZ27" s="300"/>
      <c r="BA27" s="300"/>
    </row>
    <row r="28" spans="1:53" s="295" customFormat="1" ht="15" customHeight="1">
      <c r="A28" s="294"/>
      <c r="B28" s="412"/>
      <c r="C28" s="296"/>
      <c r="D28" s="300"/>
      <c r="E28" s="301"/>
      <c r="Q28" s="300"/>
      <c r="R28" s="306"/>
      <c r="S28" s="300"/>
      <c r="T28" s="300"/>
      <c r="U28" s="300"/>
      <c r="V28" s="301"/>
      <c r="W28" s="306"/>
      <c r="X28" s="300"/>
      <c r="Y28" s="300"/>
      <c r="AA28" s="300"/>
      <c r="AB28" s="300"/>
      <c r="AC28" s="300"/>
      <c r="AD28" s="300"/>
      <c r="AE28" s="300"/>
      <c r="AF28" s="300"/>
      <c r="AG28" s="300"/>
      <c r="AH28" s="300"/>
      <c r="AI28" s="302"/>
      <c r="AJ28" s="300"/>
      <c r="AK28" s="300"/>
      <c r="AL28" s="300"/>
      <c r="AM28" s="300"/>
      <c r="AN28" s="301"/>
      <c r="AO28" s="306"/>
      <c r="AP28" s="300"/>
      <c r="AQ28" s="300"/>
      <c r="AR28" s="300"/>
      <c r="AS28" s="306"/>
      <c r="AT28" s="300"/>
      <c r="AU28" s="300"/>
      <c r="AV28" s="300"/>
      <c r="AW28" s="301"/>
      <c r="AX28" s="306"/>
      <c r="AY28" s="300"/>
      <c r="AZ28" s="300"/>
      <c r="BA28" s="300"/>
    </row>
    <row r="29" spans="1:53" s="295" customFormat="1" ht="15" customHeight="1">
      <c r="A29" s="294"/>
      <c r="B29" s="412"/>
      <c r="C29" s="296"/>
      <c r="D29" s="300"/>
      <c r="E29" s="300" t="s">
        <v>453</v>
      </c>
      <c r="F29" s="295" t="s">
        <v>454</v>
      </c>
      <c r="Q29" s="300"/>
      <c r="R29" s="306"/>
      <c r="S29" s="300"/>
      <c r="T29" s="300"/>
      <c r="U29" s="300"/>
      <c r="V29" s="301"/>
      <c r="W29" s="306"/>
      <c r="X29" s="300"/>
      <c r="Y29" s="300"/>
      <c r="AA29" s="300"/>
      <c r="AB29" s="300"/>
      <c r="AC29" s="300"/>
      <c r="AD29" s="300"/>
      <c r="AE29" s="300"/>
      <c r="AF29" s="300"/>
      <c r="AG29" s="300"/>
      <c r="AH29" s="300"/>
      <c r="AI29" s="302"/>
      <c r="AJ29" s="300"/>
      <c r="AK29" s="300"/>
      <c r="AL29" s="300"/>
      <c r="AM29" s="300"/>
      <c r="AN29" s="301"/>
      <c r="AO29" s="306"/>
      <c r="AP29" s="300"/>
      <c r="AQ29" s="300"/>
      <c r="AR29" s="300"/>
      <c r="AS29" s="306"/>
      <c r="AT29" s="300"/>
      <c r="AU29" s="300"/>
      <c r="AV29" s="300"/>
      <c r="AW29" s="301"/>
      <c r="AX29" s="306"/>
      <c r="AY29" s="300"/>
      <c r="AZ29" s="300"/>
      <c r="BA29" s="300"/>
    </row>
    <row r="30" spans="1:53" s="295" customFormat="1" ht="15" customHeight="1">
      <c r="A30" s="294"/>
      <c r="B30" s="412"/>
      <c r="C30" s="296"/>
      <c r="D30" s="300"/>
      <c r="F30" s="300" t="s">
        <v>455</v>
      </c>
      <c r="G30" s="300"/>
      <c r="H30" s="301"/>
      <c r="I30" s="300"/>
      <c r="J30" s="300"/>
      <c r="K30" s="300"/>
      <c r="L30" s="301"/>
      <c r="M30" s="306"/>
      <c r="N30" s="300"/>
      <c r="O30" s="300"/>
      <c r="P30" s="300"/>
      <c r="Q30" s="306"/>
      <c r="R30" s="300"/>
      <c r="S30" s="300"/>
      <c r="T30" s="300"/>
      <c r="U30" s="301"/>
      <c r="AA30" s="300"/>
      <c r="AB30" s="300"/>
      <c r="AC30" s="300"/>
      <c r="AD30" s="300"/>
      <c r="AE30" s="300"/>
      <c r="AF30" s="300"/>
      <c r="AG30" s="300"/>
      <c r="AH30" s="300"/>
      <c r="AI30" s="302"/>
      <c r="AJ30" s="300"/>
      <c r="AK30" s="300"/>
      <c r="AL30" s="300"/>
      <c r="AM30" s="300"/>
      <c r="AN30" s="301"/>
      <c r="AO30" s="306"/>
      <c r="AP30" s="300"/>
      <c r="AQ30" s="300"/>
      <c r="AR30" s="300"/>
      <c r="AS30" s="306"/>
      <c r="AT30" s="300"/>
      <c r="AU30" s="300"/>
    </row>
    <row r="31" spans="1:53" s="295" customFormat="1" ht="15" customHeight="1">
      <c r="A31" s="294"/>
      <c r="B31" s="412"/>
      <c r="C31" s="296"/>
      <c r="D31" s="300"/>
      <c r="E31" s="301"/>
      <c r="F31" s="300" t="s">
        <v>418</v>
      </c>
      <c r="G31" s="300"/>
      <c r="H31" s="300"/>
      <c r="I31" s="300"/>
      <c r="J31" s="300"/>
      <c r="K31" s="300"/>
      <c r="L31" s="300" t="s">
        <v>456</v>
      </c>
      <c r="M31" s="306"/>
      <c r="N31" s="300"/>
      <c r="O31" s="300"/>
      <c r="P31" s="300"/>
      <c r="Q31" s="306"/>
      <c r="R31" s="300"/>
      <c r="S31" s="300"/>
      <c r="T31" s="300"/>
      <c r="U31" s="301"/>
      <c r="V31" s="306"/>
      <c r="W31" s="300"/>
      <c r="X31" s="300"/>
      <c r="Y31" s="300"/>
      <c r="Z31" s="300"/>
      <c r="AA31" s="300"/>
      <c r="AB31" s="300"/>
      <c r="AC31" s="300"/>
      <c r="AD31" s="300"/>
      <c r="AE31" s="300"/>
      <c r="AF31" s="300"/>
      <c r="AG31" s="300"/>
      <c r="AH31" s="300"/>
      <c r="AI31" s="302"/>
      <c r="AJ31" s="300"/>
      <c r="AK31" s="300"/>
      <c r="AL31" s="300"/>
    </row>
    <row r="32" spans="1:53" s="295" customFormat="1" ht="15" customHeight="1">
      <c r="A32" s="294"/>
      <c r="B32" s="412"/>
      <c r="C32" s="296"/>
      <c r="D32" s="300"/>
      <c r="G32" s="295" t="s">
        <v>457</v>
      </c>
      <c r="S32" s="300"/>
      <c r="T32" s="300"/>
      <c r="U32" s="301"/>
      <c r="V32" s="306"/>
      <c r="W32" s="300"/>
      <c r="X32" s="300"/>
      <c r="Y32" s="300"/>
      <c r="AI32" s="302"/>
      <c r="AJ32" s="300"/>
    </row>
    <row r="33" spans="1:38" s="295" customFormat="1" ht="15" customHeight="1">
      <c r="A33" s="294"/>
      <c r="C33" s="296"/>
      <c r="D33" s="300"/>
      <c r="E33" s="300"/>
      <c r="AA33" s="300"/>
      <c r="AB33" s="300"/>
      <c r="AC33" s="300"/>
      <c r="AD33" s="300"/>
      <c r="AE33" s="300"/>
      <c r="AF33" s="300"/>
      <c r="AG33" s="300"/>
      <c r="AH33" s="300"/>
      <c r="AI33" s="302"/>
      <c r="AJ33" s="300"/>
      <c r="AK33" s="300"/>
      <c r="AL33" s="300"/>
    </row>
    <row r="34" spans="1:38" s="295" customFormat="1" ht="15" customHeight="1">
      <c r="A34" s="294"/>
      <c r="B34" s="412"/>
      <c r="C34" s="296"/>
      <c r="D34" s="300"/>
      <c r="E34" s="300" t="s">
        <v>335</v>
      </c>
      <c r="F34" s="295" t="s">
        <v>458</v>
      </c>
      <c r="S34" s="300"/>
      <c r="T34" s="300"/>
      <c r="U34" s="300"/>
      <c r="V34" s="301"/>
      <c r="W34" s="306"/>
      <c r="X34" s="300"/>
      <c r="Y34" s="300"/>
      <c r="Z34" s="300"/>
      <c r="AA34" s="300"/>
      <c r="AB34" s="300"/>
      <c r="AC34" s="300"/>
      <c r="AD34" s="300"/>
      <c r="AE34" s="300"/>
      <c r="AF34" s="300"/>
      <c r="AG34" s="300"/>
      <c r="AH34" s="300"/>
      <c r="AI34" s="302"/>
      <c r="AJ34" s="300"/>
    </row>
    <row r="35" spans="1:38" s="295" customFormat="1" ht="15" customHeight="1">
      <c r="A35" s="294"/>
      <c r="B35" s="412"/>
      <c r="C35" s="296"/>
      <c r="D35" s="300"/>
      <c r="E35" s="300"/>
      <c r="F35" s="300"/>
      <c r="G35" s="300" t="s">
        <v>459</v>
      </c>
      <c r="H35" s="300"/>
      <c r="I35" s="301"/>
      <c r="J35" s="300"/>
      <c r="K35" s="300"/>
      <c r="L35" s="300"/>
      <c r="M35" s="301"/>
      <c r="N35" s="306"/>
      <c r="O35" s="300"/>
      <c r="P35" s="300"/>
      <c r="Q35" s="300"/>
      <c r="R35" s="306"/>
      <c r="S35" s="300"/>
      <c r="T35" s="300"/>
      <c r="U35" s="300"/>
      <c r="V35" s="301"/>
      <c r="W35" s="306"/>
      <c r="X35" s="300"/>
      <c r="Y35" s="300"/>
      <c r="Z35" s="300"/>
      <c r="AA35" s="300"/>
      <c r="AB35" s="300"/>
      <c r="AC35" s="300"/>
      <c r="AD35" s="300"/>
      <c r="AE35" s="300"/>
      <c r="AF35" s="300"/>
      <c r="AG35" s="300"/>
      <c r="AH35" s="300"/>
      <c r="AI35" s="302"/>
      <c r="AJ35" s="300"/>
    </row>
    <row r="36" spans="1:38" s="295" customFormat="1" ht="15" customHeight="1">
      <c r="A36" s="294"/>
      <c r="B36" s="412"/>
      <c r="C36" s="296"/>
      <c r="D36" s="300"/>
      <c r="E36" s="303"/>
      <c r="F36" s="300"/>
      <c r="G36" s="300" t="s">
        <v>460</v>
      </c>
      <c r="H36" s="300"/>
      <c r="I36" s="301"/>
      <c r="J36" s="300"/>
      <c r="K36" s="300"/>
      <c r="L36" s="300"/>
      <c r="M36" s="301"/>
      <c r="N36" s="306"/>
      <c r="O36" s="300"/>
      <c r="P36" s="300"/>
      <c r="Q36" s="300"/>
      <c r="R36" s="306"/>
      <c r="S36" s="300"/>
      <c r="T36" s="300"/>
      <c r="U36" s="300"/>
      <c r="V36" s="301"/>
      <c r="W36" s="306"/>
      <c r="X36" s="300"/>
      <c r="Y36" s="300"/>
      <c r="Z36" s="300"/>
      <c r="AA36" s="300"/>
      <c r="AB36" s="300"/>
      <c r="AC36" s="300"/>
      <c r="AD36" s="300"/>
      <c r="AE36" s="300"/>
      <c r="AF36" s="300"/>
      <c r="AG36" s="300"/>
      <c r="AH36" s="300"/>
      <c r="AI36" s="302"/>
      <c r="AJ36" s="300"/>
    </row>
    <row r="37" spans="1:38" s="295" customFormat="1" ht="15" customHeight="1">
      <c r="A37" s="294"/>
      <c r="B37" s="412"/>
      <c r="C37" s="296"/>
      <c r="D37" s="300"/>
      <c r="E37" s="301"/>
      <c r="F37" s="300"/>
      <c r="G37" s="300"/>
      <c r="H37" s="300"/>
      <c r="I37" s="301"/>
      <c r="J37" s="300"/>
      <c r="K37" s="300"/>
      <c r="L37" s="300"/>
      <c r="M37" s="301"/>
      <c r="N37" s="306"/>
      <c r="O37" s="300"/>
      <c r="P37" s="300"/>
      <c r="Q37" s="300"/>
      <c r="R37" s="306"/>
      <c r="S37" s="300"/>
      <c r="T37" s="300"/>
      <c r="U37" s="300"/>
      <c r="V37" s="301"/>
      <c r="W37" s="306"/>
      <c r="X37" s="300"/>
      <c r="Y37" s="300"/>
      <c r="Z37" s="300"/>
      <c r="AA37" s="300"/>
      <c r="AB37" s="300"/>
      <c r="AC37" s="300"/>
      <c r="AD37" s="300"/>
      <c r="AE37" s="300"/>
      <c r="AF37" s="300"/>
      <c r="AG37" s="300"/>
      <c r="AH37" s="300"/>
      <c r="AI37" s="302"/>
      <c r="AJ37" s="300"/>
    </row>
    <row r="38" spans="1:38" s="295" customFormat="1" ht="15" customHeight="1">
      <c r="A38" s="294"/>
      <c r="B38" s="512" t="s">
        <v>461</v>
      </c>
      <c r="C38" s="513"/>
      <c r="D38" s="514"/>
      <c r="E38" s="514" t="s">
        <v>462</v>
      </c>
      <c r="F38" s="512"/>
      <c r="G38" s="512"/>
      <c r="L38" s="300"/>
      <c r="M38" s="301"/>
      <c r="N38" s="306"/>
      <c r="O38" s="300"/>
      <c r="P38" s="300"/>
      <c r="Q38" s="300"/>
      <c r="R38" s="306"/>
      <c r="S38" s="300"/>
      <c r="T38" s="300"/>
      <c r="U38" s="300"/>
      <c r="V38" s="301"/>
      <c r="W38" s="306"/>
      <c r="X38" s="300"/>
      <c r="Y38" s="300"/>
      <c r="Z38" s="300"/>
      <c r="AA38" s="300"/>
      <c r="AB38" s="300"/>
      <c r="AC38" s="300"/>
      <c r="AD38" s="300"/>
      <c r="AE38" s="300"/>
      <c r="AF38" s="300"/>
      <c r="AG38" s="300"/>
      <c r="AH38" s="300"/>
      <c r="AI38" s="302"/>
      <c r="AJ38" s="300"/>
    </row>
    <row r="39" spans="1:38" s="295" customFormat="1" ht="15" customHeight="1">
      <c r="A39" s="294"/>
      <c r="B39" s="412"/>
      <c r="C39" s="296"/>
      <c r="D39" s="300"/>
      <c r="F39" s="300"/>
      <c r="G39" s="300"/>
      <c r="H39" s="300"/>
      <c r="I39" s="300"/>
      <c r="J39" s="300"/>
      <c r="K39" s="300"/>
      <c r="L39" s="300"/>
      <c r="M39" s="300"/>
      <c r="N39" s="306"/>
      <c r="O39" s="300"/>
      <c r="P39" s="300"/>
      <c r="Q39" s="300"/>
      <c r="R39" s="306"/>
      <c r="S39" s="300"/>
      <c r="T39" s="300"/>
      <c r="U39" s="300"/>
      <c r="V39" s="301"/>
      <c r="W39" s="306"/>
      <c r="X39" s="300"/>
      <c r="Y39" s="300"/>
      <c r="AA39" s="300"/>
      <c r="AB39" s="300"/>
      <c r="AC39" s="300"/>
      <c r="AD39" s="300"/>
      <c r="AE39" s="300"/>
      <c r="AF39" s="300"/>
      <c r="AG39" s="300"/>
      <c r="AH39" s="300"/>
      <c r="AI39" s="302"/>
      <c r="AJ39" s="300"/>
    </row>
    <row r="40" spans="1:38" s="295" customFormat="1" ht="15" customHeight="1">
      <c r="A40" s="294"/>
      <c r="B40" s="295" t="s">
        <v>463</v>
      </c>
      <c r="C40" s="296"/>
      <c r="D40" s="300"/>
      <c r="E40" s="295" t="s">
        <v>464</v>
      </c>
      <c r="V40" s="301"/>
      <c r="W40" s="306"/>
      <c r="AA40" s="300"/>
      <c r="AB40" s="300"/>
      <c r="AC40" s="300"/>
      <c r="AD40" s="300"/>
      <c r="AE40" s="300"/>
      <c r="AF40" s="300"/>
      <c r="AG40" s="300"/>
      <c r="AH40" s="300"/>
      <c r="AI40" s="302"/>
      <c r="AJ40" s="300"/>
      <c r="AK40" s="300"/>
    </row>
    <row r="41" spans="1:38" s="295" customFormat="1" ht="15" customHeight="1">
      <c r="A41" s="294"/>
      <c r="B41" s="412"/>
      <c r="C41" s="296"/>
      <c r="D41" s="300"/>
      <c r="E41" s="295" t="s">
        <v>465</v>
      </c>
      <c r="F41" s="295" t="s">
        <v>466</v>
      </c>
      <c r="V41" s="301"/>
      <c r="W41" s="306"/>
      <c r="AA41" s="300"/>
      <c r="AB41" s="300"/>
      <c r="AC41" s="300"/>
      <c r="AD41" s="300"/>
      <c r="AE41" s="300"/>
      <c r="AF41" s="300"/>
      <c r="AG41" s="300"/>
      <c r="AH41" s="300"/>
      <c r="AI41" s="302"/>
      <c r="AJ41" s="300"/>
      <c r="AK41" s="300"/>
    </row>
    <row r="42" spans="1:38" s="295" customFormat="1" ht="15" customHeight="1">
      <c r="A42" s="294"/>
      <c r="C42" s="296"/>
      <c r="D42" s="300"/>
      <c r="F42" s="2" t="s">
        <v>428</v>
      </c>
      <c r="V42" s="301"/>
      <c r="W42" s="306"/>
      <c r="AA42" s="300"/>
      <c r="AB42" s="300"/>
      <c r="AC42" s="300"/>
      <c r="AD42" s="300"/>
      <c r="AE42" s="300"/>
      <c r="AF42" s="300"/>
      <c r="AG42" s="300"/>
      <c r="AH42" s="300"/>
      <c r="AI42" s="302"/>
      <c r="AJ42" s="300"/>
      <c r="AK42" s="300"/>
    </row>
    <row r="43" spans="1:38" s="295" customFormat="1" ht="15" customHeight="1">
      <c r="A43" s="294"/>
      <c r="C43" s="296"/>
      <c r="D43" s="300"/>
      <c r="E43" s="300"/>
      <c r="F43" s="300"/>
      <c r="G43" s="295" t="s">
        <v>467</v>
      </c>
      <c r="H43" s="300"/>
      <c r="I43" s="2"/>
      <c r="J43" s="2"/>
      <c r="K43" s="2"/>
      <c r="L43" s="8"/>
      <c r="M43" s="2"/>
      <c r="N43" s="2"/>
      <c r="O43" s="300"/>
      <c r="P43" s="300"/>
      <c r="Q43" s="300"/>
      <c r="R43" s="301"/>
      <c r="S43" s="300"/>
      <c r="V43" s="301"/>
      <c r="W43" s="306"/>
      <c r="AA43" s="300"/>
      <c r="AB43" s="300"/>
      <c r="AC43" s="300"/>
      <c r="AD43" s="300"/>
      <c r="AE43" s="300"/>
      <c r="AF43" s="300"/>
      <c r="AG43" s="300"/>
      <c r="AH43" s="300"/>
      <c r="AI43" s="302"/>
      <c r="AJ43" s="300"/>
      <c r="AK43" s="300"/>
    </row>
    <row r="44" spans="1:38" s="295" customFormat="1" ht="15" customHeight="1">
      <c r="A44" s="294"/>
      <c r="B44" s="412"/>
      <c r="C44" s="296"/>
      <c r="D44" s="300"/>
      <c r="F44" s="300"/>
      <c r="G44" s="300"/>
      <c r="H44" s="300"/>
      <c r="I44" s="301"/>
      <c r="J44" s="300"/>
      <c r="K44" s="300"/>
      <c r="L44" s="300"/>
      <c r="M44" s="301"/>
      <c r="N44" s="306"/>
      <c r="O44" s="300"/>
      <c r="V44" s="301"/>
      <c r="W44" s="306"/>
      <c r="AA44" s="300"/>
      <c r="AB44" s="300"/>
      <c r="AC44" s="300"/>
      <c r="AD44" s="300"/>
      <c r="AE44" s="300"/>
      <c r="AF44" s="300"/>
      <c r="AG44" s="300"/>
      <c r="AH44" s="300"/>
      <c r="AI44" s="302"/>
      <c r="AJ44" s="300"/>
      <c r="AK44" s="300"/>
    </row>
    <row r="45" spans="1:38" s="295" customFormat="1" ht="15" customHeight="1">
      <c r="A45" s="294"/>
      <c r="B45" s="295" t="s">
        <v>468</v>
      </c>
      <c r="C45" s="296"/>
      <c r="D45" s="300"/>
      <c r="E45" s="300" t="s">
        <v>469</v>
      </c>
      <c r="U45" s="300"/>
      <c r="V45" s="301"/>
      <c r="W45" s="301"/>
      <c r="X45" s="300"/>
      <c r="Z45" s="300"/>
      <c r="AA45" s="300"/>
      <c r="AB45" s="300"/>
      <c r="AC45" s="300"/>
      <c r="AD45" s="300"/>
      <c r="AE45" s="300"/>
      <c r="AF45" s="300"/>
      <c r="AG45" s="300"/>
      <c r="AH45" s="300"/>
      <c r="AI45" s="302"/>
      <c r="AJ45" s="300"/>
      <c r="AK45" s="300"/>
    </row>
    <row r="46" spans="1:38" s="295" customFormat="1" ht="15" customHeight="1">
      <c r="A46" s="294"/>
      <c r="B46" s="412"/>
      <c r="C46" s="296"/>
      <c r="D46" s="300"/>
      <c r="F46" s="300" t="s">
        <v>470</v>
      </c>
      <c r="G46" s="300"/>
      <c r="H46" s="301"/>
      <c r="I46" s="300"/>
      <c r="J46" s="300"/>
      <c r="K46" s="300"/>
      <c r="L46" s="301"/>
      <c r="M46" s="306"/>
      <c r="N46" s="300"/>
      <c r="O46" s="300"/>
      <c r="P46" s="300"/>
      <c r="Q46" s="306"/>
      <c r="R46" s="300"/>
      <c r="S46" s="300"/>
      <c r="T46" s="300"/>
      <c r="U46" s="301"/>
      <c r="V46" s="306"/>
      <c r="W46" s="300"/>
      <c r="X46" s="300"/>
      <c r="Z46" s="300"/>
      <c r="AA46" s="300"/>
      <c r="AB46" s="300"/>
      <c r="AC46" s="300"/>
      <c r="AD46" s="300"/>
      <c r="AE46" s="300"/>
      <c r="AF46" s="300"/>
      <c r="AG46" s="300"/>
      <c r="AH46" s="300"/>
      <c r="AI46" s="302"/>
      <c r="AJ46" s="300"/>
      <c r="AK46" s="300"/>
    </row>
    <row r="47" spans="1:38" s="295" customFormat="1" ht="15" customHeight="1">
      <c r="A47" s="294"/>
      <c r="B47" s="412"/>
      <c r="C47" s="296"/>
      <c r="D47" s="300"/>
      <c r="F47" s="300" t="s">
        <v>342</v>
      </c>
      <c r="G47" s="300"/>
      <c r="H47" s="300"/>
      <c r="I47" s="300"/>
      <c r="J47" s="300"/>
      <c r="K47" s="300"/>
      <c r="L47" s="300" t="s">
        <v>343</v>
      </c>
      <c r="M47" s="306"/>
      <c r="N47" s="300"/>
      <c r="O47" s="300"/>
      <c r="P47" s="300"/>
      <c r="Q47" s="306"/>
      <c r="R47" s="300"/>
      <c r="S47" s="300"/>
      <c r="T47" s="300"/>
      <c r="U47" s="301"/>
      <c r="V47" s="306"/>
      <c r="W47" s="300"/>
      <c r="X47" s="300"/>
      <c r="Z47" s="300"/>
      <c r="AA47" s="300"/>
      <c r="AB47" s="300"/>
      <c r="AC47" s="300"/>
      <c r="AD47" s="300"/>
      <c r="AE47" s="300"/>
      <c r="AF47" s="300"/>
      <c r="AG47" s="300"/>
      <c r="AH47" s="300"/>
      <c r="AI47" s="302"/>
      <c r="AJ47" s="300"/>
      <c r="AK47" s="300"/>
    </row>
    <row r="48" spans="1:38" s="295" customFormat="1" ht="15" customHeight="1">
      <c r="A48" s="294"/>
      <c r="B48" s="412"/>
      <c r="C48" s="296"/>
      <c r="D48" s="300"/>
      <c r="F48" s="300"/>
      <c r="G48" s="300"/>
      <c r="H48" s="300"/>
      <c r="I48" s="301"/>
      <c r="J48" s="300"/>
      <c r="K48" s="300"/>
      <c r="L48" s="300"/>
      <c r="M48" s="301"/>
      <c r="N48" s="306"/>
      <c r="O48" s="300"/>
      <c r="P48" s="300"/>
      <c r="Q48" s="300"/>
      <c r="R48" s="306"/>
      <c r="S48" s="300"/>
      <c r="T48" s="300"/>
      <c r="U48" s="300"/>
      <c r="V48" s="301"/>
      <c r="W48" s="306"/>
      <c r="X48" s="300"/>
      <c r="Y48" s="300"/>
      <c r="AA48" s="300"/>
      <c r="AB48" s="300"/>
      <c r="AC48" s="300"/>
      <c r="AD48" s="300"/>
      <c r="AE48" s="300"/>
      <c r="AF48" s="300"/>
      <c r="AG48" s="300"/>
      <c r="AH48" s="300"/>
      <c r="AI48" s="302"/>
      <c r="AJ48" s="300"/>
    </row>
    <row r="49" spans="1:36" s="295" customFormat="1" ht="15" customHeight="1">
      <c r="A49" s="294"/>
      <c r="B49" s="412"/>
      <c r="C49" s="296"/>
      <c r="D49" s="300"/>
      <c r="E49" s="300"/>
      <c r="I49" s="2"/>
      <c r="J49" s="2"/>
      <c r="K49" s="2"/>
      <c r="L49" s="8"/>
      <c r="M49" s="2"/>
      <c r="N49" s="2"/>
      <c r="O49" s="300"/>
      <c r="P49" s="300"/>
      <c r="Q49" s="300"/>
      <c r="R49" s="306"/>
      <c r="S49" s="300"/>
      <c r="T49" s="300"/>
      <c r="U49" s="300"/>
      <c r="V49" s="301"/>
      <c r="W49" s="306"/>
      <c r="X49" s="300"/>
      <c r="Y49" s="300"/>
      <c r="Z49" s="300"/>
      <c r="AA49" s="300"/>
      <c r="AB49" s="300"/>
      <c r="AC49" s="300"/>
      <c r="AD49" s="300"/>
      <c r="AE49" s="300"/>
      <c r="AF49" s="300"/>
      <c r="AG49" s="300"/>
      <c r="AH49" s="300"/>
      <c r="AI49" s="302"/>
      <c r="AJ49" s="300"/>
    </row>
    <row r="50" spans="1:36" s="295" customFormat="1" ht="15" customHeight="1" thickBot="1">
      <c r="A50" s="297"/>
      <c r="B50" s="298"/>
      <c r="C50" s="299"/>
      <c r="D50" s="304"/>
      <c r="E50" s="304"/>
      <c r="F50" s="304"/>
      <c r="G50" s="304"/>
      <c r="H50" s="304"/>
      <c r="I50" s="304"/>
      <c r="J50" s="304"/>
      <c r="K50" s="304"/>
      <c r="L50" s="304"/>
      <c r="M50" s="304"/>
      <c r="N50" s="304"/>
      <c r="O50" s="304"/>
      <c r="P50" s="304"/>
      <c r="Q50" s="304"/>
      <c r="R50" s="304"/>
      <c r="S50" s="304"/>
      <c r="T50" s="304"/>
      <c r="U50" s="304"/>
      <c r="V50" s="304"/>
      <c r="W50" s="304"/>
      <c r="X50" s="304"/>
      <c r="Y50" s="304"/>
      <c r="Z50" s="304"/>
      <c r="AA50" s="304"/>
      <c r="AB50" s="304"/>
      <c r="AC50" s="304"/>
      <c r="AD50" s="304"/>
      <c r="AE50" s="304"/>
      <c r="AF50" s="304"/>
      <c r="AG50" s="304"/>
      <c r="AH50" s="304"/>
      <c r="AI50" s="305"/>
      <c r="AJ50" s="300"/>
    </row>
    <row r="51" spans="1:36">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row>
    <row r="52" spans="1:36">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row>
    <row r="53" spans="1:36">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row>
    <row r="54" spans="1:36">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row>
    <row r="55" spans="1:36">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row>
    <row r="56" spans="1:36">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row>
    <row r="57" spans="1:36">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row>
    <row r="58" spans="1:36">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row>
    <row r="59" spans="1:36">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row>
    <row r="60" spans="1:36">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row>
    <row r="61" spans="1:36">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row>
    <row r="62" spans="1:36">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row>
    <row r="63" spans="1:36">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row>
    <row r="64" spans="1:36">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row>
    <row r="65" spans="4:36">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row>
    <row r="66" spans="4:36">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row>
    <row r="67" spans="4:36">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row>
    <row r="68" spans="4:36">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row>
    <row r="69" spans="4:36">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row>
    <row r="70" spans="4:36">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row>
    <row r="71" spans="4:36">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row>
    <row r="72" spans="4:36">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row>
    <row r="73" spans="4:36">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row>
    <row r="74" spans="4:36">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row>
    <row r="75" spans="4:36">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row>
    <row r="76" spans="4:36">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row>
    <row r="77" spans="4:36">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row>
    <row r="78" spans="4:36">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row>
    <row r="79" spans="4:36">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row>
    <row r="80" spans="4:36">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row>
    <row r="81" spans="4:36">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row>
    <row r="82" spans="4:36">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row>
    <row r="83" spans="4:36">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row>
    <row r="84" spans="4:36">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row>
    <row r="85" spans="4:36">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row>
    <row r="86" spans="4:36">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row>
    <row r="87" spans="4:36">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row>
    <row r="88" spans="4:36">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row>
    <row r="89" spans="4:36">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row>
    <row r="90" spans="4:36">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row>
    <row r="91" spans="4:36">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row>
    <row r="92" spans="4:36">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row>
    <row r="93" spans="4:36">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row>
    <row r="94" spans="4:36">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row>
    <row r="95" spans="4:36">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row>
    <row r="96" spans="4:36">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row>
    <row r="97" spans="4:36">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row>
    <row r="98" spans="4:36">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row>
    <row r="99" spans="4:36">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row>
    <row r="100" spans="4:36">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row>
    <row r="101" spans="4:36">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row>
    <row r="102" spans="4:36">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row>
    <row r="103" spans="4:36">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row>
    <row r="104" spans="4:36">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row>
    <row r="105" spans="4:36">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row>
    <row r="106" spans="4:36">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row>
    <row r="107" spans="4:36">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row>
    <row r="108" spans="4:36">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row>
    <row r="109" spans="4:36">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row>
    <row r="110" spans="4:36">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row>
    <row r="111" spans="4:36">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row>
    <row r="112" spans="4:36">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row>
    <row r="113" spans="4:36">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row>
    <row r="114" spans="4:36">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row>
    <row r="115" spans="4:36">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row>
    <row r="116" spans="4:36">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row>
    <row r="117" spans="4:36">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row>
    <row r="118" spans="4:36">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row>
    <row r="119" spans="4:36">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row>
    <row r="120" spans="4:36">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row>
    <row r="121" spans="4:36">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row>
    <row r="122" spans="4:36">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row>
    <row r="123" spans="4:36">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row>
    <row r="124" spans="4:36">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row>
    <row r="125" spans="4:36">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row>
    <row r="126" spans="4:36">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row>
    <row r="127" spans="4:36">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row>
    <row r="128" spans="4:36">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row>
    <row r="129" spans="4:36">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row>
    <row r="130" spans="4:36">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row>
    <row r="131" spans="4:36">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row>
    <row r="132" spans="4:36">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row>
    <row r="133" spans="4:36">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row>
    <row r="134" spans="4:36">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row>
    <row r="135" spans="4:36">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row>
    <row r="136" spans="4:36">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row>
    <row r="137" spans="4:36">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row>
    <row r="138" spans="4:36">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row>
    <row r="139" spans="4:36">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row>
    <row r="140" spans="4:36">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row>
    <row r="141" spans="4:36">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row>
    <row r="142" spans="4:36">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row>
    <row r="143" spans="4:36">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row>
    <row r="144" spans="4:36">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row>
    <row r="145" spans="4:36">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row>
    <row r="146" spans="4:36">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row>
    <row r="147" spans="4:36">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row>
    <row r="148" spans="4:36">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row>
    <row r="149" spans="4:36">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row>
    <row r="150" spans="4:36">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row>
    <row r="151" spans="4:36">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row>
    <row r="152" spans="4:36">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row>
    <row r="153" spans="4:36">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row>
    <row r="154" spans="4:36">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row>
    <row r="155" spans="4:36">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row>
    <row r="156" spans="4:36">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row>
    <row r="157" spans="4:36">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row>
    <row r="158" spans="4:36">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row>
    <row r="159" spans="4:36">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row>
    <row r="160" spans="4:36">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row>
    <row r="161" spans="4:36">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row>
    <row r="162" spans="4:36">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row>
    <row r="163" spans="4:36">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row>
    <row r="164" spans="4:36">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row>
    <row r="165" spans="4:36">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row>
    <row r="166" spans="4:36">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row>
    <row r="167" spans="4:36">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row>
    <row r="168" spans="4:36">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row>
    <row r="169" spans="4:36">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row>
    <row r="170" spans="4:36">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row>
    <row r="171" spans="4:36">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row>
    <row r="172" spans="4:36">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row>
    <row r="173" spans="4:36">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row>
    <row r="174" spans="4:36">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row>
    <row r="175" spans="4:36">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row>
    <row r="176" spans="4:36">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row>
    <row r="177" spans="4:36">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row>
    <row r="178" spans="4:36">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row>
    <row r="179" spans="4:36">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row>
    <row r="180" spans="4:36">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row>
    <row r="181" spans="4:36">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row>
    <row r="182" spans="4:36">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row>
    <row r="183" spans="4:36">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row>
    <row r="184" spans="4:36">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row>
    <row r="185" spans="4:36">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row>
    <row r="186" spans="4:36">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row>
    <row r="187" spans="4:36">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row>
    <row r="188" spans="4:36">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row>
    <row r="189" spans="4:36">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row>
    <row r="190" spans="4:36">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row>
    <row r="191" spans="4:36">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row>
    <row r="192" spans="4:36">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row>
    <row r="193" spans="4:36">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row>
    <row r="194" spans="4:36">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row>
    <row r="195" spans="4:36">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row>
    <row r="196" spans="4:36">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row>
    <row r="197" spans="4:36">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row>
    <row r="198" spans="4:36">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row>
    <row r="199" spans="4:36">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row>
    <row r="200" spans="4:36">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row>
    <row r="201" spans="4:36">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row>
    <row r="202" spans="4:36">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row>
    <row r="203" spans="4:36">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row>
    <row r="204" spans="4:36">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row>
    <row r="205" spans="4:36">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row>
    <row r="206" spans="4:36">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row>
    <row r="207" spans="4:36">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row>
    <row r="208" spans="4:36">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row>
    <row r="209" spans="4:36">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row>
    <row r="210" spans="4:36">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row>
    <row r="211" spans="4:36">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row>
    <row r="212" spans="4:36">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row>
    <row r="213" spans="4:36">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row>
    <row r="214" spans="4:36">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row>
    <row r="215" spans="4:36">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row>
    <row r="216" spans="4:36">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row>
    <row r="217" spans="4:36">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row>
    <row r="218" spans="4:36">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row>
    <row r="219" spans="4:36">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row>
    <row r="220" spans="4:36">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row>
    <row r="221" spans="4:36">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row>
    <row r="222" spans="4:36">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row>
    <row r="223" spans="4:36">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row>
    <row r="224" spans="4:36">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row>
    <row r="225" spans="4:36">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row>
    <row r="226" spans="4:36">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row>
    <row r="227" spans="4:36">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row>
    <row r="228" spans="4:36">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row>
    <row r="229" spans="4:36">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row>
    <row r="230" spans="4:36">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row>
    <row r="231" spans="4:36">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row>
    <row r="232" spans="4:36">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row>
    <row r="233" spans="4:36">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row>
    <row r="234" spans="4:36">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row>
    <row r="235" spans="4:36">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row>
    <row r="236" spans="4:36">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row>
    <row r="237" spans="4:36">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row>
    <row r="238" spans="4:36">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row>
    <row r="239" spans="4:36">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row>
    <row r="240" spans="4:36">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row>
    <row r="241" spans="4:36">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row>
    <row r="242" spans="4:36">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row>
    <row r="243" spans="4:36">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row>
    <row r="244" spans="4:36">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row>
    <row r="245" spans="4:36">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row>
    <row r="246" spans="4:36">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row>
    <row r="247" spans="4:36">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row>
    <row r="248" spans="4:36">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row>
    <row r="249" spans="4:36">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row>
    <row r="250" spans="4:36">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row>
    <row r="251" spans="4:36">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row>
    <row r="252" spans="4:36">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row>
    <row r="253" spans="4:36">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row>
    <row r="254" spans="4:36">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row>
    <row r="255" spans="4:36">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row>
    <row r="256" spans="4:36">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row>
    <row r="257" spans="4:36">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row>
    <row r="258" spans="4:36">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row>
    <row r="259" spans="4:36">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row>
    <row r="260" spans="4:36">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row>
    <row r="261" spans="4:36">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row>
    <row r="262" spans="4:36">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row>
    <row r="263" spans="4:36">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row>
    <row r="264" spans="4:36">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row>
    <row r="265" spans="4:36">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row>
    <row r="266" spans="4:36">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row>
    <row r="267" spans="4:36">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row>
    <row r="268" spans="4:36">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row>
    <row r="269" spans="4:36">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row>
    <row r="270" spans="4:36">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row>
    <row r="271" spans="4:36">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row>
    <row r="272" spans="4:36">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row>
    <row r="273" spans="4:36">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row>
    <row r="274" spans="4:36">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row>
    <row r="275" spans="4:36">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row>
    <row r="276" spans="4:36">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row>
    <row r="277" spans="4:36">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row>
    <row r="278" spans="4:36">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row>
    <row r="279" spans="4:36">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row>
    <row r="280" spans="4:36">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row>
    <row r="281" spans="4:36">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row>
    <row r="282" spans="4:36">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row>
    <row r="283" spans="4:36">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row>
  </sheetData>
  <dataConsolidate/>
  <mergeCells count="17">
    <mergeCell ref="G1:N1"/>
    <mergeCell ref="G2:N2"/>
    <mergeCell ref="S1:Y1"/>
    <mergeCell ref="AD1:AI1"/>
    <mergeCell ref="S2:Y2"/>
    <mergeCell ref="AD2:AI2"/>
    <mergeCell ref="AC4:AI4"/>
    <mergeCell ref="S3:Y3"/>
    <mergeCell ref="Z3:AB3"/>
    <mergeCell ref="AC3:AI3"/>
    <mergeCell ref="G3:N3"/>
    <mergeCell ref="D7:R7"/>
    <mergeCell ref="W7:AI7"/>
    <mergeCell ref="A9:C9"/>
    <mergeCell ref="D9:AI9"/>
    <mergeCell ref="W6:AI6"/>
    <mergeCell ref="D6:R6"/>
  </mergeCells>
  <phoneticPr fontId="7"/>
  <pageMargins left="0.78740157480314965" right="0.39370078740157483" top="0.78740157480314965" bottom="0.78740157480314965" header="0.51181102362204722" footer="0.51181102362204722"/>
  <pageSetup paperSize="9" scale="86" orientation="portrait" verticalDpi="400"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pageSetUpPr fitToPage="1"/>
  </sheetPr>
  <dimension ref="A1:AG53"/>
  <sheetViews>
    <sheetView zoomScaleNormal="100" workbookViewId="0"/>
  </sheetViews>
  <sheetFormatPr defaultColWidth="2.85546875" defaultRowHeight="11.25"/>
  <cols>
    <col min="1" max="32" width="2.85546875" style="23" customWidth="1"/>
    <col min="33" max="33" width="7" style="23" customWidth="1"/>
    <col min="34" max="16384" width="2.85546875" style="23"/>
  </cols>
  <sheetData>
    <row r="1" spans="1:33" s="2" customFormat="1" ht="18.95" customHeight="1">
      <c r="A1" s="108"/>
      <c r="B1" s="109"/>
      <c r="C1" s="109"/>
      <c r="D1" s="110" t="s">
        <v>90</v>
      </c>
      <c r="E1" s="111"/>
      <c r="F1" s="112"/>
      <c r="G1" s="544" t="str">
        <f>IF(詳細設計書!G1="","N/A",詳細設計書!G1)</f>
        <v>統合会計システム開発</v>
      </c>
      <c r="H1" s="544"/>
      <c r="I1" s="544"/>
      <c r="J1" s="544"/>
      <c r="K1" s="544"/>
      <c r="L1" s="544"/>
      <c r="M1" s="544"/>
      <c r="N1" s="545"/>
      <c r="O1" s="110" t="s">
        <v>283</v>
      </c>
      <c r="P1" s="111"/>
      <c r="Q1" s="111"/>
      <c r="R1" s="113"/>
      <c r="S1" s="575">
        <f>IF(詳細設計書!S1="","N/A",詳細設計書!S1)</f>
        <v>42509</v>
      </c>
      <c r="T1" s="576"/>
      <c r="U1" s="576"/>
      <c r="V1" s="576"/>
      <c r="W1" s="576"/>
      <c r="X1" s="576"/>
      <c r="Y1" s="577"/>
      <c r="Z1" s="110" t="s">
        <v>284</v>
      </c>
      <c r="AA1" s="114"/>
      <c r="AB1" s="114"/>
      <c r="AC1" s="115"/>
      <c r="AD1" s="578">
        <f>IF(詳細設計書!AD1="","N/A",詳細設計書!AD1)</f>
        <v>42559</v>
      </c>
      <c r="AE1" s="579"/>
      <c r="AF1" s="579"/>
      <c r="AG1" s="580"/>
    </row>
    <row r="2" spans="1:33" s="2" customFormat="1" ht="18.95" customHeight="1">
      <c r="A2" s="30"/>
      <c r="D2" s="116" t="s">
        <v>93</v>
      </c>
      <c r="E2" s="34"/>
      <c r="F2" s="117"/>
      <c r="G2" s="550" t="str">
        <f>IF(詳細設計書!G2="","N/A",詳細設計書!G2)</f>
        <v>SAP R/3(レポート)</v>
      </c>
      <c r="H2" s="550"/>
      <c r="I2" s="550"/>
      <c r="J2" s="550"/>
      <c r="K2" s="550"/>
      <c r="L2" s="550"/>
      <c r="M2" s="550"/>
      <c r="N2" s="551"/>
      <c r="O2" s="116" t="s">
        <v>286</v>
      </c>
      <c r="P2" s="34"/>
      <c r="Q2" s="34"/>
      <c r="R2" s="118"/>
      <c r="S2" s="581" t="str">
        <f>IF(詳細設計書!S2="","N/A",詳細設計書!S2)</f>
        <v>KSC 橋本</v>
      </c>
      <c r="T2" s="582"/>
      <c r="U2" s="582"/>
      <c r="V2" s="582"/>
      <c r="W2" s="582"/>
      <c r="X2" s="582"/>
      <c r="Y2" s="583"/>
      <c r="Z2" s="116" t="s">
        <v>288</v>
      </c>
      <c r="AA2" s="119"/>
      <c r="AB2" s="120"/>
      <c r="AC2" s="117"/>
      <c r="AD2" s="584" t="str">
        <f>IF(詳細設計書!AD2="","N/A",詳細設計書!AD2)</f>
        <v>KSC 橋本</v>
      </c>
      <c r="AE2" s="585"/>
      <c r="AF2" s="585"/>
      <c r="AG2" s="586"/>
    </row>
    <row r="3" spans="1:33" s="2" customFormat="1" ht="18.95" customHeight="1" thickBot="1">
      <c r="A3" s="4"/>
      <c r="B3" s="1"/>
      <c r="C3" s="121"/>
      <c r="D3" s="122" t="s">
        <v>96</v>
      </c>
      <c r="E3" s="123"/>
      <c r="F3" s="124"/>
      <c r="G3" s="563" t="str">
        <f>IF(詳細設計書!G3="","N/A",詳細設計書!G3)</f>
        <v>DP_FI_2014_01</v>
      </c>
      <c r="H3" s="564"/>
      <c r="I3" s="564"/>
      <c r="J3" s="564"/>
      <c r="K3" s="564"/>
      <c r="L3" s="564"/>
      <c r="M3" s="564"/>
      <c r="N3" s="565"/>
      <c r="O3" s="122" t="s">
        <v>97</v>
      </c>
      <c r="P3" s="123"/>
      <c r="Q3" s="123"/>
      <c r="R3" s="125"/>
      <c r="S3" s="566" t="str">
        <f>IF(詳細設計書!S3="","N/A",詳細設計書!S3)</f>
        <v>ZFIPR_2014_01</v>
      </c>
      <c r="T3" s="566"/>
      <c r="U3" s="566"/>
      <c r="V3" s="566"/>
      <c r="W3" s="566"/>
      <c r="X3" s="566"/>
      <c r="Y3" s="566"/>
      <c r="Z3" s="566"/>
      <c r="AA3" s="566"/>
      <c r="AB3" s="566"/>
      <c r="AC3" s="566"/>
      <c r="AD3" s="566"/>
      <c r="AE3" s="566"/>
      <c r="AF3" s="566"/>
      <c r="AG3" s="567"/>
    </row>
    <row r="4" spans="1:33" s="129" customFormat="1" ht="18.95" customHeight="1" thickBot="1">
      <c r="A4" s="31" t="s">
        <v>292</v>
      </c>
      <c r="B4" s="127"/>
      <c r="C4" s="128"/>
      <c r="D4" s="185" t="s">
        <v>471</v>
      </c>
      <c r="E4" s="186"/>
      <c r="F4" s="186"/>
      <c r="G4" s="186"/>
      <c r="H4" s="186"/>
      <c r="I4" s="186"/>
      <c r="J4" s="186"/>
      <c r="K4" s="186"/>
      <c r="L4" s="186"/>
      <c r="M4" s="186"/>
      <c r="N4" s="186"/>
      <c r="O4" s="186"/>
      <c r="P4" s="186"/>
      <c r="Q4" s="186"/>
      <c r="R4" s="186"/>
      <c r="S4" s="186"/>
      <c r="T4" s="186"/>
      <c r="U4" s="186"/>
      <c r="V4" s="186"/>
      <c r="W4" s="186"/>
      <c r="X4" s="186"/>
      <c r="Y4" s="186"/>
      <c r="Z4" s="31" t="s">
        <v>100</v>
      </c>
      <c r="AA4" s="127"/>
      <c r="AB4" s="128"/>
      <c r="AC4" s="618" t="str">
        <f>詳細設計書!AC4</f>
        <v>1.0</v>
      </c>
      <c r="AD4" s="597"/>
      <c r="AE4" s="597"/>
      <c r="AF4" s="597"/>
      <c r="AG4" s="598"/>
    </row>
    <row r="5" spans="1:33" ht="7.5" customHeight="1" thickBot="1"/>
    <row r="6" spans="1:33" s="100" customFormat="1" ht="15" customHeight="1">
      <c r="A6" s="151" t="s">
        <v>472</v>
      </c>
      <c r="B6" s="152"/>
      <c r="C6" s="152"/>
      <c r="D6" s="152"/>
      <c r="E6" s="634" t="s">
        <v>473</v>
      </c>
      <c r="F6" s="635"/>
      <c r="G6" s="635"/>
      <c r="H6" s="635"/>
      <c r="I6" s="635"/>
      <c r="J6" s="635"/>
      <c r="K6" s="635"/>
      <c r="L6" s="635"/>
      <c r="M6" s="635"/>
      <c r="N6" s="635"/>
      <c r="O6" s="636"/>
      <c r="P6" s="99"/>
      <c r="Q6" s="99"/>
      <c r="R6" s="99"/>
      <c r="S6" s="99"/>
      <c r="T6" s="99"/>
      <c r="U6" s="99"/>
      <c r="V6" s="99"/>
      <c r="W6" s="99"/>
      <c r="X6" s="99"/>
      <c r="Y6" s="99"/>
      <c r="Z6" s="99"/>
      <c r="AA6" s="99"/>
      <c r="AB6" s="99"/>
      <c r="AC6" s="99"/>
      <c r="AD6" s="99"/>
      <c r="AE6" s="99"/>
      <c r="AF6" s="99"/>
      <c r="AG6" s="236"/>
    </row>
    <row r="7" spans="1:33" s="100" customFormat="1" ht="15" customHeight="1">
      <c r="A7" s="107" t="s">
        <v>474</v>
      </c>
      <c r="B7" s="102"/>
      <c r="C7" s="102"/>
      <c r="D7" s="153"/>
      <c r="AG7" s="106"/>
    </row>
    <row r="8" spans="1:33" ht="15" customHeight="1">
      <c r="A8" s="154"/>
      <c r="C8" s="138"/>
      <c r="D8" s="138"/>
      <c r="E8" s="130"/>
      <c r="F8" s="138"/>
      <c r="G8" s="138"/>
      <c r="H8" s="138"/>
      <c r="I8" s="130"/>
      <c r="J8" s="138"/>
      <c r="K8" s="138"/>
      <c r="L8" s="138"/>
      <c r="M8" s="130"/>
      <c r="N8" s="138"/>
      <c r="O8" s="138"/>
      <c r="Q8" s="138"/>
      <c r="R8" s="130"/>
      <c r="S8" s="138"/>
      <c r="T8" s="138"/>
      <c r="U8" s="138"/>
      <c r="V8" s="130"/>
      <c r="W8" s="148"/>
      <c r="X8" s="138"/>
      <c r="AG8" s="136"/>
    </row>
    <row r="9" spans="1:33" ht="15" customHeight="1">
      <c r="A9" s="154"/>
      <c r="C9" s="237"/>
      <c r="D9" s="238"/>
      <c r="E9" s="239"/>
      <c r="F9" s="238"/>
      <c r="G9" s="238"/>
      <c r="H9" s="238"/>
      <c r="I9" s="239"/>
      <c r="J9" s="238"/>
      <c r="K9" s="238"/>
      <c r="L9" s="238"/>
      <c r="M9" s="239"/>
      <c r="N9" s="238"/>
      <c r="O9" s="238"/>
      <c r="P9" s="238"/>
      <c r="Q9" s="238"/>
      <c r="R9" s="239"/>
      <c r="S9" s="238"/>
      <c r="T9" s="238"/>
      <c r="U9" s="238"/>
      <c r="V9" s="239"/>
      <c r="W9" s="240"/>
      <c r="X9" s="238"/>
      <c r="Y9" s="140"/>
      <c r="Z9" s="140"/>
      <c r="AA9" s="140"/>
      <c r="AB9" s="140"/>
      <c r="AC9" s="140"/>
      <c r="AD9" s="140"/>
      <c r="AE9" s="241"/>
      <c r="AG9" s="136"/>
    </row>
    <row r="10" spans="1:33" ht="15" customHeight="1">
      <c r="A10" s="154"/>
      <c r="C10" s="242"/>
      <c r="D10" s="138"/>
      <c r="E10" s="130"/>
      <c r="F10" s="138"/>
      <c r="G10" s="138"/>
      <c r="H10" s="138"/>
      <c r="I10" s="130"/>
      <c r="J10" s="138"/>
      <c r="K10" s="138"/>
      <c r="L10" s="138"/>
      <c r="M10" s="130"/>
      <c r="N10" s="138"/>
      <c r="O10" s="138"/>
      <c r="P10" s="138"/>
      <c r="Q10" s="138"/>
      <c r="R10" s="130"/>
      <c r="S10" s="138"/>
      <c r="T10" s="138"/>
      <c r="U10" s="138"/>
      <c r="V10" s="130"/>
      <c r="W10" s="148"/>
      <c r="X10" s="138"/>
      <c r="AE10" s="162"/>
      <c r="AG10" s="136"/>
    </row>
    <row r="11" spans="1:33" ht="15" customHeight="1">
      <c r="A11" s="154"/>
      <c r="C11" s="242"/>
      <c r="D11" s="138"/>
      <c r="E11" s="138" t="s">
        <v>475</v>
      </c>
      <c r="F11" s="137" t="s">
        <v>389</v>
      </c>
      <c r="G11" s="286"/>
      <c r="H11" s="287"/>
      <c r="I11" s="287"/>
      <c r="J11" s="288"/>
      <c r="K11" s="289"/>
      <c r="L11" s="289"/>
      <c r="M11" s="289"/>
      <c r="N11" s="290"/>
      <c r="O11" s="291" t="s">
        <v>476</v>
      </c>
      <c r="P11" s="138"/>
      <c r="Q11" s="137"/>
      <c r="R11" s="137"/>
      <c r="U11" s="138"/>
      <c r="V11" s="130"/>
      <c r="W11" s="148"/>
      <c r="X11" s="138"/>
      <c r="AE11" s="162"/>
      <c r="AG11" s="136"/>
    </row>
    <row r="12" spans="1:33" ht="15" customHeight="1">
      <c r="A12" s="154"/>
      <c r="C12" s="242"/>
      <c r="D12" s="138"/>
      <c r="E12" s="138"/>
      <c r="F12" s="286"/>
      <c r="G12" s="137"/>
      <c r="H12" s="138"/>
      <c r="I12" s="138"/>
      <c r="J12" s="130"/>
      <c r="K12" s="138"/>
      <c r="L12" s="138"/>
      <c r="M12" s="138"/>
      <c r="N12" s="130"/>
      <c r="O12" s="138"/>
      <c r="P12" s="138"/>
      <c r="Q12" s="137"/>
      <c r="R12" s="137"/>
      <c r="X12" s="138"/>
      <c r="AE12" s="162"/>
      <c r="AG12" s="136"/>
    </row>
    <row r="13" spans="1:33" ht="15" customHeight="1">
      <c r="A13" s="154"/>
      <c r="C13" s="242"/>
      <c r="D13" s="138"/>
      <c r="E13" s="138" t="s">
        <v>477</v>
      </c>
      <c r="F13" s="137" t="s">
        <v>393</v>
      </c>
      <c r="G13" s="286"/>
      <c r="H13" s="287"/>
      <c r="I13" s="287"/>
      <c r="J13" s="288"/>
      <c r="K13" s="289"/>
      <c r="L13" s="289"/>
      <c r="M13" s="289"/>
      <c r="N13" s="290"/>
      <c r="O13" s="291" t="s">
        <v>476</v>
      </c>
      <c r="P13" s="138"/>
      <c r="Q13" s="137"/>
      <c r="R13" s="137"/>
      <c r="X13" s="138"/>
      <c r="AE13" s="162"/>
      <c r="AG13" s="136"/>
    </row>
    <row r="14" spans="1:33" ht="15" customHeight="1">
      <c r="A14" s="154"/>
      <c r="C14" s="242"/>
      <c r="D14" s="138"/>
      <c r="E14" s="138"/>
      <c r="F14" s="286"/>
      <c r="G14" s="137"/>
      <c r="H14" s="138"/>
      <c r="I14" s="138"/>
      <c r="J14" s="130"/>
      <c r="K14" s="138"/>
      <c r="L14" s="138"/>
      <c r="M14" s="138"/>
      <c r="N14" s="130"/>
      <c r="O14" s="138"/>
      <c r="P14" s="138"/>
      <c r="Q14" s="137"/>
      <c r="R14" s="137"/>
      <c r="S14" s="130"/>
      <c r="T14" s="138"/>
      <c r="X14" s="138"/>
      <c r="AE14" s="162"/>
      <c r="AG14" s="136"/>
    </row>
    <row r="15" spans="1:33" ht="15" customHeight="1">
      <c r="A15" s="154"/>
      <c r="C15" s="242"/>
      <c r="D15" s="138"/>
      <c r="E15" s="138"/>
      <c r="F15" s="137"/>
      <c r="G15" s="137"/>
      <c r="H15" s="138"/>
      <c r="I15" s="138"/>
      <c r="K15" s="138"/>
      <c r="L15" s="138"/>
      <c r="N15" s="130"/>
      <c r="O15" s="224"/>
      <c r="P15" s="138"/>
      <c r="Q15" s="137"/>
      <c r="S15" s="138"/>
      <c r="T15" s="138"/>
      <c r="U15" s="138"/>
      <c r="V15" s="130"/>
      <c r="W15" s="224"/>
      <c r="X15" s="138"/>
      <c r="AE15" s="162"/>
      <c r="AG15" s="136"/>
    </row>
    <row r="16" spans="1:33" ht="15" customHeight="1">
      <c r="A16" s="154"/>
      <c r="C16" s="242"/>
      <c r="D16" s="138"/>
      <c r="E16" s="138"/>
      <c r="F16" s="137"/>
      <c r="G16" s="137"/>
      <c r="H16" s="138"/>
      <c r="I16" s="138"/>
      <c r="J16" s="130"/>
      <c r="K16" s="138"/>
      <c r="L16" s="138"/>
      <c r="M16" s="138"/>
      <c r="N16" s="130"/>
      <c r="O16" s="138"/>
      <c r="P16" s="138"/>
      <c r="Q16" s="137"/>
      <c r="R16" s="137"/>
      <c r="S16" s="130"/>
      <c r="T16" s="138"/>
      <c r="V16" s="130"/>
      <c r="X16" s="138"/>
      <c r="AE16" s="162"/>
      <c r="AG16" s="136"/>
    </row>
    <row r="17" spans="1:33" ht="15" customHeight="1">
      <c r="A17" s="154"/>
      <c r="C17" s="242"/>
      <c r="D17" s="138"/>
      <c r="E17" s="138"/>
      <c r="S17" s="130"/>
      <c r="T17" s="138"/>
      <c r="X17" s="138"/>
      <c r="AE17" s="162"/>
      <c r="AG17" s="136"/>
    </row>
    <row r="18" spans="1:33" ht="15" customHeight="1">
      <c r="A18" s="154"/>
      <c r="C18" s="242"/>
      <c r="D18" s="138"/>
      <c r="E18" s="130"/>
      <c r="F18" s="138"/>
      <c r="G18" s="138"/>
      <c r="H18" s="138"/>
      <c r="I18" s="130"/>
      <c r="J18" s="138"/>
      <c r="K18" s="138"/>
      <c r="L18" s="138"/>
      <c r="M18" s="130"/>
      <c r="N18" s="138"/>
      <c r="O18" s="138"/>
      <c r="P18" s="138"/>
      <c r="Q18" s="138"/>
      <c r="R18" s="130"/>
      <c r="S18" s="138"/>
      <c r="T18" s="138"/>
      <c r="U18" s="138"/>
      <c r="V18" s="130"/>
      <c r="W18" s="148"/>
      <c r="X18" s="138"/>
      <c r="AE18" s="162"/>
      <c r="AG18" s="136"/>
    </row>
    <row r="19" spans="1:33" ht="15" customHeight="1">
      <c r="A19" s="154"/>
      <c r="C19" s="242"/>
      <c r="D19" s="138"/>
      <c r="E19" s="130"/>
      <c r="F19" s="138"/>
      <c r="G19" s="138"/>
      <c r="H19" s="138"/>
      <c r="I19" s="130"/>
      <c r="J19" s="138"/>
      <c r="K19" s="138"/>
      <c r="L19" s="138"/>
      <c r="M19" s="130"/>
      <c r="N19" s="138"/>
      <c r="O19" s="138"/>
      <c r="P19" s="138"/>
      <c r="Q19" s="138"/>
      <c r="R19" s="130"/>
      <c r="S19" s="138"/>
      <c r="T19" s="138"/>
      <c r="U19" s="138"/>
      <c r="V19" s="130"/>
      <c r="W19" s="148"/>
      <c r="X19" s="138"/>
      <c r="AE19" s="162"/>
      <c r="AG19" s="136"/>
    </row>
    <row r="20" spans="1:33" ht="15" customHeight="1">
      <c r="A20" s="154"/>
      <c r="C20" s="242"/>
      <c r="D20" s="138"/>
      <c r="X20" s="138"/>
      <c r="AE20" s="162"/>
      <c r="AG20" s="136"/>
    </row>
    <row r="21" spans="1:33" ht="15" customHeight="1">
      <c r="A21" s="154"/>
      <c r="C21" s="147"/>
      <c r="AE21" s="162"/>
      <c r="AG21" s="136"/>
    </row>
    <row r="22" spans="1:33" ht="15" customHeight="1">
      <c r="A22" s="154"/>
      <c r="C22" s="147"/>
      <c r="AE22" s="162"/>
      <c r="AG22" s="136"/>
    </row>
    <row r="23" spans="1:33" ht="15" customHeight="1">
      <c r="A23" s="154"/>
      <c r="C23" s="147"/>
      <c r="AE23" s="162"/>
      <c r="AG23" s="136"/>
    </row>
    <row r="24" spans="1:33" ht="15" customHeight="1">
      <c r="A24" s="154"/>
      <c r="C24" s="147"/>
      <c r="AE24" s="162"/>
      <c r="AG24" s="136"/>
    </row>
    <row r="25" spans="1:33" ht="15" customHeight="1">
      <c r="A25" s="154"/>
      <c r="C25" s="147"/>
      <c r="AE25" s="162"/>
      <c r="AG25" s="136"/>
    </row>
    <row r="26" spans="1:33" ht="15" customHeight="1">
      <c r="A26" s="154"/>
      <c r="C26" s="147"/>
      <c r="AE26" s="162"/>
      <c r="AG26" s="136"/>
    </row>
    <row r="27" spans="1:33" ht="15" customHeight="1">
      <c r="A27" s="154"/>
      <c r="C27" s="147"/>
      <c r="M27" s="130"/>
      <c r="AE27" s="162"/>
      <c r="AG27" s="136"/>
    </row>
    <row r="28" spans="1:33" ht="15" customHeight="1">
      <c r="A28" s="154"/>
      <c r="C28" s="243"/>
      <c r="D28" s="139"/>
      <c r="E28" s="139"/>
      <c r="F28" s="139"/>
      <c r="G28" s="139"/>
      <c r="H28" s="139"/>
      <c r="I28" s="139"/>
      <c r="J28" s="139"/>
      <c r="K28" s="139"/>
      <c r="L28" s="139"/>
      <c r="M28" s="156"/>
      <c r="N28" s="139"/>
      <c r="O28" s="139"/>
      <c r="P28" s="139"/>
      <c r="Q28" s="139"/>
      <c r="R28" s="139"/>
      <c r="S28" s="139"/>
      <c r="T28" s="139"/>
      <c r="U28" s="139"/>
      <c r="V28" s="139"/>
      <c r="W28" s="139"/>
      <c r="X28" s="139"/>
      <c r="Y28" s="139"/>
      <c r="Z28" s="139"/>
      <c r="AA28" s="139"/>
      <c r="AB28" s="139"/>
      <c r="AC28" s="139"/>
      <c r="AD28" s="139"/>
      <c r="AE28" s="244"/>
      <c r="AG28" s="136"/>
    </row>
    <row r="29" spans="1:33" ht="15" customHeight="1" thickBot="1">
      <c r="A29" s="155"/>
      <c r="B29" s="104"/>
      <c r="C29" s="104"/>
      <c r="D29" s="104"/>
      <c r="E29" s="104"/>
      <c r="F29" s="104"/>
      <c r="G29" s="104"/>
      <c r="H29" s="104"/>
      <c r="I29" s="104"/>
      <c r="J29" s="104"/>
      <c r="K29" s="104"/>
      <c r="L29" s="104"/>
      <c r="M29" s="150"/>
      <c r="N29" s="104"/>
      <c r="O29" s="104"/>
      <c r="P29" s="104"/>
      <c r="Q29" s="104"/>
      <c r="R29" s="104"/>
      <c r="S29" s="104"/>
      <c r="T29" s="104"/>
      <c r="U29" s="104"/>
      <c r="V29" s="104"/>
      <c r="W29" s="104"/>
      <c r="X29" s="104"/>
      <c r="Y29" s="104"/>
      <c r="Z29" s="104"/>
      <c r="AA29" s="104"/>
      <c r="AB29" s="104"/>
      <c r="AC29" s="104"/>
      <c r="AD29" s="104"/>
      <c r="AE29" s="104"/>
      <c r="AF29" s="104"/>
      <c r="AG29" s="142"/>
    </row>
    <row r="30" spans="1:33" ht="12" thickBot="1"/>
    <row r="31" spans="1:33" s="100" customFormat="1" ht="15.75" customHeight="1">
      <c r="A31" s="245" t="s">
        <v>478</v>
      </c>
      <c r="B31" s="99"/>
      <c r="C31" s="99"/>
      <c r="D31" s="99"/>
      <c r="E31" s="99"/>
      <c r="F31" s="99"/>
      <c r="G31" s="99"/>
      <c r="H31" s="99"/>
      <c r="I31" s="246"/>
      <c r="J31" s="99"/>
      <c r="K31" s="99"/>
      <c r="L31" s="99"/>
      <c r="M31" s="99"/>
      <c r="N31" s="99"/>
      <c r="O31" s="99"/>
      <c r="P31" s="99"/>
      <c r="Q31" s="99"/>
      <c r="R31" s="246"/>
      <c r="S31" s="99"/>
      <c r="T31" s="99"/>
      <c r="U31" s="99"/>
      <c r="V31" s="99"/>
      <c r="W31" s="99"/>
      <c r="X31" s="99"/>
      <c r="Y31" s="99"/>
      <c r="Z31" s="99"/>
      <c r="AA31" s="99"/>
      <c r="AB31" s="99"/>
      <c r="AC31" s="99"/>
      <c r="AD31" s="99"/>
      <c r="AE31" s="99"/>
      <c r="AF31" s="99"/>
      <c r="AG31" s="236"/>
    </row>
    <row r="32" spans="1:33" s="131" customFormat="1" ht="15.75" customHeight="1">
      <c r="A32" s="248" t="s">
        <v>329</v>
      </c>
      <c r="B32" s="249"/>
      <c r="C32" s="250" t="s">
        <v>479</v>
      </c>
      <c r="D32" s="251"/>
      <c r="E32" s="251"/>
      <c r="F32" s="251"/>
      <c r="G32" s="251"/>
      <c r="H32" s="250" t="s">
        <v>480</v>
      </c>
      <c r="I32" s="251"/>
      <c r="J32" s="251"/>
      <c r="K32" s="251"/>
      <c r="L32" s="251"/>
      <c r="M32" s="250" t="s">
        <v>481</v>
      </c>
      <c r="N32" s="251"/>
      <c r="O32" s="251"/>
      <c r="P32" s="251"/>
      <c r="Q32" s="250" t="s">
        <v>482</v>
      </c>
      <c r="R32" s="251"/>
      <c r="S32" s="251"/>
      <c r="T32" s="251"/>
      <c r="U32" s="250" t="s">
        <v>483</v>
      </c>
      <c r="V32" s="251"/>
      <c r="W32" s="250" t="s">
        <v>484</v>
      </c>
      <c r="X32" s="249"/>
      <c r="Y32" s="250" t="s">
        <v>485</v>
      </c>
      <c r="Z32" s="251"/>
      <c r="AA32" s="251"/>
      <c r="AB32" s="250" t="s">
        <v>486</v>
      </c>
      <c r="AC32" s="251"/>
      <c r="AD32" s="251"/>
      <c r="AE32" s="251"/>
      <c r="AF32" s="251"/>
      <c r="AG32" s="252"/>
    </row>
    <row r="33" spans="1:33" s="131" customFormat="1" ht="15.75" customHeight="1" thickBot="1">
      <c r="A33" s="253"/>
      <c r="B33" s="254"/>
      <c r="C33" s="255"/>
      <c r="D33" s="255"/>
      <c r="E33" s="255"/>
      <c r="F33" s="255"/>
      <c r="G33" s="255"/>
      <c r="H33" s="256" t="s">
        <v>487</v>
      </c>
      <c r="I33" s="255"/>
      <c r="J33" s="255"/>
      <c r="K33" s="255"/>
      <c r="L33" s="255"/>
      <c r="M33" s="256" t="s">
        <v>488</v>
      </c>
      <c r="N33" s="255"/>
      <c r="O33" s="255"/>
      <c r="P33" s="255"/>
      <c r="Q33" s="256" t="s">
        <v>489</v>
      </c>
      <c r="R33" s="255"/>
      <c r="S33" s="255"/>
      <c r="T33" s="255"/>
      <c r="U33" s="256" t="s">
        <v>490</v>
      </c>
      <c r="V33" s="255"/>
      <c r="W33" s="256" t="s">
        <v>79</v>
      </c>
      <c r="X33" s="254"/>
      <c r="Y33" s="256" t="s">
        <v>491</v>
      </c>
      <c r="Z33" s="255"/>
      <c r="AA33" s="255"/>
      <c r="AB33" s="257"/>
      <c r="AC33" s="258"/>
      <c r="AD33" s="258"/>
      <c r="AE33" s="258"/>
      <c r="AF33" s="258"/>
      <c r="AG33" s="259"/>
    </row>
    <row r="34" spans="1:33" s="100" customFormat="1" ht="15.75" customHeight="1" thickTop="1">
      <c r="A34" s="626"/>
      <c r="B34" s="627"/>
      <c r="C34" s="628"/>
      <c r="D34" s="629"/>
      <c r="E34" s="629"/>
      <c r="F34" s="629"/>
      <c r="G34" s="630"/>
      <c r="H34" s="628"/>
      <c r="I34" s="629"/>
      <c r="J34" s="629"/>
      <c r="K34" s="629"/>
      <c r="L34" s="630"/>
      <c r="M34" s="631"/>
      <c r="N34" s="632"/>
      <c r="O34" s="632"/>
      <c r="P34" s="627"/>
      <c r="Q34" s="631"/>
      <c r="R34" s="632"/>
      <c r="S34" s="632"/>
      <c r="T34" s="627"/>
      <c r="U34" s="631"/>
      <c r="V34" s="627"/>
      <c r="W34" s="631"/>
      <c r="X34" s="627"/>
      <c r="Y34" s="631"/>
      <c r="Z34" s="632"/>
      <c r="AA34" s="627"/>
      <c r="AB34" s="628"/>
      <c r="AC34" s="629"/>
      <c r="AD34" s="629"/>
      <c r="AE34" s="629"/>
      <c r="AF34" s="629"/>
      <c r="AG34" s="633"/>
    </row>
    <row r="35" spans="1:33" s="100" customFormat="1" ht="15.75" customHeight="1">
      <c r="A35" s="619"/>
      <c r="B35" s="620"/>
      <c r="C35" s="623"/>
      <c r="D35" s="624"/>
      <c r="E35" s="624"/>
      <c r="F35" s="624"/>
      <c r="G35" s="625"/>
      <c r="H35" s="623"/>
      <c r="I35" s="624"/>
      <c r="J35" s="624"/>
      <c r="K35" s="624"/>
      <c r="L35" s="625"/>
      <c r="M35" s="621"/>
      <c r="N35" s="622"/>
      <c r="O35" s="622"/>
      <c r="P35" s="620"/>
      <c r="Q35" s="621"/>
      <c r="R35" s="622"/>
      <c r="S35" s="622"/>
      <c r="T35" s="620"/>
      <c r="U35" s="621"/>
      <c r="V35" s="620"/>
      <c r="W35" s="621"/>
      <c r="X35" s="620"/>
      <c r="Y35" s="621"/>
      <c r="Z35" s="622"/>
      <c r="AA35" s="620"/>
      <c r="AB35" s="623"/>
      <c r="AC35" s="624"/>
      <c r="AD35" s="624"/>
      <c r="AE35" s="624"/>
      <c r="AF35" s="624"/>
      <c r="AG35" s="648"/>
    </row>
    <row r="36" spans="1:33" s="100" customFormat="1" ht="15.75" customHeight="1">
      <c r="A36" s="619"/>
      <c r="B36" s="620"/>
      <c r="C36" s="623"/>
      <c r="D36" s="624"/>
      <c r="E36" s="624"/>
      <c r="F36" s="624"/>
      <c r="G36" s="625"/>
      <c r="H36" s="623"/>
      <c r="I36" s="624"/>
      <c r="J36" s="624"/>
      <c r="K36" s="624"/>
      <c r="L36" s="625"/>
      <c r="M36" s="621"/>
      <c r="N36" s="622"/>
      <c r="O36" s="622"/>
      <c r="P36" s="620"/>
      <c r="Q36" s="621"/>
      <c r="R36" s="622"/>
      <c r="S36" s="622"/>
      <c r="T36" s="620"/>
      <c r="U36" s="621"/>
      <c r="V36" s="620"/>
      <c r="W36" s="621"/>
      <c r="X36" s="620"/>
      <c r="Y36" s="621"/>
      <c r="Z36" s="622"/>
      <c r="AA36" s="620"/>
      <c r="AB36" s="623"/>
      <c r="AC36" s="624"/>
      <c r="AD36" s="624"/>
      <c r="AE36" s="624"/>
      <c r="AF36" s="624"/>
      <c r="AG36" s="648"/>
    </row>
    <row r="37" spans="1:33" s="100" customFormat="1" ht="15.75" customHeight="1">
      <c r="A37" s="619"/>
      <c r="B37" s="620"/>
      <c r="C37" s="623"/>
      <c r="D37" s="624"/>
      <c r="E37" s="624"/>
      <c r="F37" s="624"/>
      <c r="G37" s="625"/>
      <c r="H37" s="623"/>
      <c r="I37" s="624"/>
      <c r="J37" s="624"/>
      <c r="K37" s="624"/>
      <c r="L37" s="625"/>
      <c r="M37" s="621"/>
      <c r="N37" s="622"/>
      <c r="O37" s="622"/>
      <c r="P37" s="620"/>
      <c r="Q37" s="621"/>
      <c r="R37" s="622"/>
      <c r="S37" s="622"/>
      <c r="T37" s="620"/>
      <c r="U37" s="621"/>
      <c r="V37" s="620"/>
      <c r="W37" s="621"/>
      <c r="X37" s="620"/>
      <c r="Y37" s="621"/>
      <c r="Z37" s="622"/>
      <c r="AA37" s="620"/>
      <c r="AB37" s="623"/>
      <c r="AC37" s="624"/>
      <c r="AD37" s="624"/>
      <c r="AE37" s="624"/>
      <c r="AF37" s="624"/>
      <c r="AG37" s="648"/>
    </row>
    <row r="38" spans="1:33" s="100" customFormat="1" ht="15.75" customHeight="1">
      <c r="A38" s="619"/>
      <c r="B38" s="620"/>
      <c r="C38" s="623"/>
      <c r="D38" s="624"/>
      <c r="E38" s="624"/>
      <c r="F38" s="624"/>
      <c r="G38" s="625"/>
      <c r="H38" s="623"/>
      <c r="I38" s="624"/>
      <c r="J38" s="624"/>
      <c r="K38" s="624"/>
      <c r="L38" s="625"/>
      <c r="M38" s="621"/>
      <c r="N38" s="622"/>
      <c r="O38" s="622"/>
      <c r="P38" s="620"/>
      <c r="Q38" s="621"/>
      <c r="R38" s="622"/>
      <c r="S38" s="622"/>
      <c r="T38" s="620"/>
      <c r="U38" s="621"/>
      <c r="V38" s="620"/>
      <c r="W38" s="621"/>
      <c r="X38" s="620"/>
      <c r="Y38" s="621"/>
      <c r="Z38" s="622"/>
      <c r="AA38" s="620"/>
      <c r="AB38" s="623"/>
      <c r="AC38" s="624"/>
      <c r="AD38" s="624"/>
      <c r="AE38" s="624"/>
      <c r="AF38" s="624"/>
      <c r="AG38" s="648"/>
    </row>
    <row r="39" spans="1:33" s="100" customFormat="1" ht="15.75" customHeight="1">
      <c r="A39" s="619"/>
      <c r="B39" s="620"/>
      <c r="C39" s="623"/>
      <c r="D39" s="624"/>
      <c r="E39" s="624"/>
      <c r="F39" s="624"/>
      <c r="G39" s="625"/>
      <c r="H39" s="623"/>
      <c r="I39" s="624"/>
      <c r="J39" s="624"/>
      <c r="K39" s="624"/>
      <c r="L39" s="625"/>
      <c r="M39" s="621"/>
      <c r="N39" s="622"/>
      <c r="O39" s="622"/>
      <c r="P39" s="620"/>
      <c r="Q39" s="621"/>
      <c r="R39" s="622"/>
      <c r="S39" s="622"/>
      <c r="T39" s="620"/>
      <c r="U39" s="621"/>
      <c r="V39" s="620"/>
      <c r="W39" s="621"/>
      <c r="X39" s="620"/>
      <c r="Y39" s="621"/>
      <c r="Z39" s="622"/>
      <c r="AA39" s="620"/>
      <c r="AB39" s="623"/>
      <c r="AC39" s="624"/>
      <c r="AD39" s="624"/>
      <c r="AE39" s="624"/>
      <c r="AF39" s="624"/>
      <c r="AG39" s="648"/>
    </row>
    <row r="40" spans="1:33" s="100" customFormat="1" ht="15.75" customHeight="1">
      <c r="A40" s="619"/>
      <c r="B40" s="620"/>
      <c r="C40" s="623"/>
      <c r="D40" s="624"/>
      <c r="E40" s="624"/>
      <c r="F40" s="624"/>
      <c r="G40" s="625"/>
      <c r="H40" s="623"/>
      <c r="I40" s="624"/>
      <c r="J40" s="624"/>
      <c r="K40" s="624"/>
      <c r="L40" s="625"/>
      <c r="M40" s="621"/>
      <c r="N40" s="622"/>
      <c r="O40" s="622"/>
      <c r="P40" s="620"/>
      <c r="Q40" s="621"/>
      <c r="R40" s="622"/>
      <c r="S40" s="622"/>
      <c r="T40" s="620"/>
      <c r="U40" s="621"/>
      <c r="V40" s="620"/>
      <c r="W40" s="621"/>
      <c r="X40" s="620"/>
      <c r="Y40" s="621"/>
      <c r="Z40" s="622"/>
      <c r="AA40" s="620"/>
      <c r="AB40" s="623"/>
      <c r="AC40" s="624"/>
      <c r="AD40" s="624"/>
      <c r="AE40" s="624"/>
      <c r="AF40" s="624"/>
      <c r="AG40" s="648"/>
    </row>
    <row r="41" spans="1:33" s="100" customFormat="1" ht="15.75" customHeight="1" thickBot="1">
      <c r="A41" s="640"/>
      <c r="B41" s="639"/>
      <c r="C41" s="641"/>
      <c r="D41" s="642"/>
      <c r="E41" s="642"/>
      <c r="F41" s="642"/>
      <c r="G41" s="643"/>
      <c r="H41" s="641"/>
      <c r="I41" s="642"/>
      <c r="J41" s="642"/>
      <c r="K41" s="642"/>
      <c r="L41" s="643"/>
      <c r="M41" s="637"/>
      <c r="N41" s="638"/>
      <c r="O41" s="638"/>
      <c r="P41" s="639"/>
      <c r="Q41" s="637"/>
      <c r="R41" s="638"/>
      <c r="S41" s="638"/>
      <c r="T41" s="639"/>
      <c r="U41" s="637"/>
      <c r="V41" s="639"/>
      <c r="W41" s="637"/>
      <c r="X41" s="639"/>
      <c r="Y41" s="637"/>
      <c r="Z41" s="638"/>
      <c r="AA41" s="639"/>
      <c r="AB41" s="641"/>
      <c r="AC41" s="642"/>
      <c r="AD41" s="642"/>
      <c r="AE41" s="642"/>
      <c r="AF41" s="642"/>
      <c r="AG41" s="647"/>
    </row>
    <row r="42" spans="1:33" s="100" customFormat="1" ht="15.75" customHeight="1">
      <c r="A42" s="245" t="s">
        <v>492</v>
      </c>
      <c r="B42" s="99"/>
      <c r="C42" s="99"/>
      <c r="D42" s="99"/>
      <c r="E42" s="99"/>
      <c r="F42" s="99"/>
      <c r="G42" s="99"/>
      <c r="H42" s="99"/>
      <c r="I42" s="99"/>
      <c r="J42" s="99"/>
      <c r="K42" s="99"/>
      <c r="L42" s="99"/>
      <c r="M42" s="99"/>
      <c r="N42" s="99"/>
      <c r="O42" s="99"/>
      <c r="P42" s="99"/>
      <c r="Q42" s="99"/>
      <c r="R42" s="246"/>
      <c r="S42" s="99"/>
      <c r="T42" s="99"/>
      <c r="U42" s="99"/>
      <c r="V42" s="99"/>
      <c r="W42" s="99"/>
      <c r="X42" s="99"/>
      <c r="Y42" s="99"/>
      <c r="Z42" s="99"/>
      <c r="AA42" s="99"/>
      <c r="AB42" s="99"/>
      <c r="AC42" s="99"/>
      <c r="AD42" s="99"/>
      <c r="AE42" s="99"/>
      <c r="AF42" s="99"/>
      <c r="AG42" s="236"/>
    </row>
    <row r="43" spans="1:33" s="131" customFormat="1" ht="15.75" customHeight="1">
      <c r="A43" s="248" t="s">
        <v>329</v>
      </c>
      <c r="B43" s="249"/>
      <c r="C43" s="250" t="s">
        <v>479</v>
      </c>
      <c r="D43" s="251"/>
      <c r="E43" s="251"/>
      <c r="F43" s="251"/>
      <c r="G43" s="251"/>
      <c r="H43" s="250" t="s">
        <v>480</v>
      </c>
      <c r="I43" s="251"/>
      <c r="J43" s="251"/>
      <c r="K43" s="251"/>
      <c r="L43" s="251"/>
      <c r="M43" s="260" t="s">
        <v>482</v>
      </c>
      <c r="N43" s="261"/>
      <c r="O43" s="261"/>
      <c r="P43" s="262"/>
      <c r="Q43" s="250" t="s">
        <v>493</v>
      </c>
      <c r="R43" s="251"/>
      <c r="S43" s="251"/>
      <c r="T43" s="251"/>
      <c r="U43" s="250" t="s">
        <v>483</v>
      </c>
      <c r="V43" s="251"/>
      <c r="W43" s="250" t="s">
        <v>484</v>
      </c>
      <c r="X43" s="249"/>
      <c r="Y43" s="250" t="s">
        <v>485</v>
      </c>
      <c r="Z43" s="251"/>
      <c r="AA43" s="251"/>
      <c r="AB43" s="250" t="s">
        <v>486</v>
      </c>
      <c r="AC43" s="251"/>
      <c r="AD43" s="251"/>
      <c r="AE43" s="251"/>
      <c r="AF43" s="251"/>
      <c r="AG43" s="252"/>
    </row>
    <row r="44" spans="1:33" s="100" customFormat="1" ht="15.75" customHeight="1" thickBot="1">
      <c r="A44" s="263"/>
      <c r="B44" s="264"/>
      <c r="C44" s="265"/>
      <c r="D44" s="265"/>
      <c r="E44" s="266"/>
      <c r="F44" s="266"/>
      <c r="G44" s="265"/>
      <c r="H44" s="256" t="s">
        <v>494</v>
      </c>
      <c r="I44" s="266"/>
      <c r="J44" s="266"/>
      <c r="K44" s="266"/>
      <c r="L44" s="266"/>
      <c r="M44" s="267"/>
      <c r="N44" s="265"/>
      <c r="O44" s="265"/>
      <c r="P44" s="264"/>
      <c r="Q44" s="256" t="s">
        <v>495</v>
      </c>
      <c r="R44" s="266"/>
      <c r="S44" s="266"/>
      <c r="T44" s="266"/>
      <c r="U44" s="256" t="s">
        <v>490</v>
      </c>
      <c r="V44" s="255"/>
      <c r="W44" s="256" t="s">
        <v>79</v>
      </c>
      <c r="X44" s="254"/>
      <c r="Y44" s="256" t="s">
        <v>491</v>
      </c>
      <c r="Z44" s="255"/>
      <c r="AA44" s="255"/>
      <c r="AB44" s="257"/>
      <c r="AC44" s="258"/>
      <c r="AD44" s="258"/>
      <c r="AE44" s="258"/>
      <c r="AF44" s="258"/>
      <c r="AG44" s="259"/>
    </row>
    <row r="45" spans="1:33" s="100" customFormat="1" ht="15.75" customHeight="1" thickTop="1">
      <c r="A45" s="626" t="s">
        <v>475</v>
      </c>
      <c r="B45" s="627"/>
      <c r="C45" s="628" t="s">
        <v>389</v>
      </c>
      <c r="D45" s="629"/>
      <c r="E45" s="629"/>
      <c r="F45" s="629"/>
      <c r="G45" s="630"/>
      <c r="H45" s="628" t="s">
        <v>496</v>
      </c>
      <c r="I45" s="629"/>
      <c r="J45" s="629"/>
      <c r="K45" s="629"/>
      <c r="L45" s="630"/>
      <c r="M45" s="631" t="s">
        <v>497</v>
      </c>
      <c r="N45" s="632"/>
      <c r="O45" s="632"/>
      <c r="P45" s="627"/>
      <c r="Q45" s="631" t="s">
        <v>497</v>
      </c>
      <c r="R45" s="632"/>
      <c r="S45" s="632"/>
      <c r="T45" s="627"/>
      <c r="U45" s="631" t="s">
        <v>497</v>
      </c>
      <c r="V45" s="627"/>
      <c r="W45" s="631" t="s">
        <v>498</v>
      </c>
      <c r="X45" s="627"/>
      <c r="Y45" s="631"/>
      <c r="Z45" s="632"/>
      <c r="AA45" s="627"/>
      <c r="AB45" s="628" t="s">
        <v>499</v>
      </c>
      <c r="AC45" s="629"/>
      <c r="AD45" s="629"/>
      <c r="AE45" s="629"/>
      <c r="AF45" s="629"/>
      <c r="AG45" s="633"/>
    </row>
    <row r="46" spans="1:33" s="100" customFormat="1" ht="15.75" customHeight="1">
      <c r="A46" s="619"/>
      <c r="B46" s="620"/>
      <c r="C46" s="623"/>
      <c r="D46" s="624"/>
      <c r="E46" s="624"/>
      <c r="F46" s="624"/>
      <c r="G46" s="625"/>
      <c r="H46" s="623"/>
      <c r="I46" s="624"/>
      <c r="J46" s="624"/>
      <c r="K46" s="624"/>
      <c r="L46" s="625"/>
      <c r="M46" s="621"/>
      <c r="N46" s="622"/>
      <c r="O46" s="622"/>
      <c r="P46" s="620"/>
      <c r="Q46" s="621"/>
      <c r="R46" s="622"/>
      <c r="S46" s="622"/>
      <c r="T46" s="620"/>
      <c r="U46" s="621"/>
      <c r="V46" s="620"/>
      <c r="W46" s="623"/>
      <c r="X46" s="625"/>
      <c r="Y46" s="623"/>
      <c r="Z46" s="624"/>
      <c r="AA46" s="625"/>
      <c r="AB46" s="623"/>
      <c r="AC46" s="624"/>
      <c r="AD46" s="624"/>
      <c r="AE46" s="624"/>
      <c r="AF46" s="624"/>
      <c r="AG46" s="648"/>
    </row>
    <row r="47" spans="1:33" s="100" customFormat="1" ht="15.75" customHeight="1">
      <c r="A47" s="619" t="s">
        <v>477</v>
      </c>
      <c r="B47" s="620"/>
      <c r="C47" s="623" t="s">
        <v>393</v>
      </c>
      <c r="D47" s="624"/>
      <c r="E47" s="624"/>
      <c r="F47" s="624"/>
      <c r="G47" s="625"/>
      <c r="H47" s="623" t="s">
        <v>500</v>
      </c>
      <c r="I47" s="624"/>
      <c r="J47" s="624"/>
      <c r="K47" s="624"/>
      <c r="L47" s="625"/>
      <c r="M47" s="621" t="s">
        <v>497</v>
      </c>
      <c r="N47" s="622"/>
      <c r="O47" s="622"/>
      <c r="P47" s="620"/>
      <c r="Q47" s="621" t="s">
        <v>497</v>
      </c>
      <c r="R47" s="622"/>
      <c r="S47" s="622"/>
      <c r="T47" s="620"/>
      <c r="U47" s="621" t="s">
        <v>501</v>
      </c>
      <c r="V47" s="620"/>
      <c r="W47" s="621" t="s">
        <v>498</v>
      </c>
      <c r="X47" s="620"/>
      <c r="Y47" s="621"/>
      <c r="Z47" s="622"/>
      <c r="AA47" s="620"/>
      <c r="AB47" s="623" t="s">
        <v>502</v>
      </c>
      <c r="AC47" s="624"/>
      <c r="AD47" s="624"/>
      <c r="AE47" s="624"/>
      <c r="AF47" s="624"/>
      <c r="AG47" s="648"/>
    </row>
    <row r="48" spans="1:33" s="100" customFormat="1" ht="15.75" customHeight="1">
      <c r="A48" s="619"/>
      <c r="B48" s="620"/>
      <c r="C48" s="623"/>
      <c r="D48" s="624"/>
      <c r="E48" s="624"/>
      <c r="F48" s="624"/>
      <c r="G48" s="625"/>
      <c r="H48" s="623"/>
      <c r="I48" s="624"/>
      <c r="J48" s="624"/>
      <c r="K48" s="624"/>
      <c r="L48" s="625"/>
      <c r="M48" s="644"/>
      <c r="N48" s="645"/>
      <c r="O48" s="645"/>
      <c r="P48" s="646"/>
      <c r="Q48" s="621"/>
      <c r="R48" s="622"/>
      <c r="S48" s="622"/>
      <c r="T48" s="620"/>
      <c r="U48" s="621"/>
      <c r="V48" s="620"/>
      <c r="W48" s="621"/>
      <c r="X48" s="620"/>
      <c r="Y48" s="623"/>
      <c r="Z48" s="624"/>
      <c r="AA48" s="625"/>
      <c r="AB48" s="649"/>
      <c r="AC48" s="624"/>
      <c r="AD48" s="624"/>
      <c r="AE48" s="624"/>
      <c r="AF48" s="624"/>
      <c r="AG48" s="648"/>
    </row>
    <row r="49" spans="1:33" s="100" customFormat="1" ht="15.75" customHeight="1">
      <c r="A49" s="619"/>
      <c r="B49" s="620"/>
      <c r="C49" s="623"/>
      <c r="D49" s="624"/>
      <c r="E49" s="624"/>
      <c r="F49" s="624"/>
      <c r="G49" s="625"/>
      <c r="H49" s="623"/>
      <c r="I49" s="624"/>
      <c r="J49" s="624"/>
      <c r="K49" s="624"/>
      <c r="L49" s="625"/>
      <c r="M49" s="621"/>
      <c r="N49" s="622"/>
      <c r="O49" s="622"/>
      <c r="P49" s="620"/>
      <c r="Q49" s="621"/>
      <c r="R49" s="622"/>
      <c r="S49" s="622"/>
      <c r="T49" s="620"/>
      <c r="U49" s="621"/>
      <c r="V49" s="620"/>
      <c r="W49" s="623"/>
      <c r="X49" s="625"/>
      <c r="Y49" s="623"/>
      <c r="Z49" s="624"/>
      <c r="AA49" s="625"/>
      <c r="AB49" s="623"/>
      <c r="AC49" s="624"/>
      <c r="AD49" s="624"/>
      <c r="AE49" s="624"/>
      <c r="AF49" s="624"/>
      <c r="AG49" s="648"/>
    </row>
    <row r="50" spans="1:33" s="100" customFormat="1" ht="15.75" customHeight="1">
      <c r="A50" s="619"/>
      <c r="B50" s="620"/>
      <c r="C50" s="623"/>
      <c r="D50" s="624"/>
      <c r="E50" s="624"/>
      <c r="F50" s="624"/>
      <c r="G50" s="625"/>
      <c r="H50" s="623"/>
      <c r="I50" s="624"/>
      <c r="J50" s="624"/>
      <c r="K50" s="624"/>
      <c r="L50" s="625"/>
      <c r="M50" s="621"/>
      <c r="N50" s="622"/>
      <c r="O50" s="622"/>
      <c r="P50" s="620"/>
      <c r="Q50" s="621"/>
      <c r="R50" s="622"/>
      <c r="S50" s="622"/>
      <c r="T50" s="620"/>
      <c r="U50" s="621"/>
      <c r="V50" s="620"/>
      <c r="W50" s="623"/>
      <c r="X50" s="625"/>
      <c r="Y50" s="623"/>
      <c r="Z50" s="624"/>
      <c r="AA50" s="625"/>
      <c r="AB50" s="649"/>
      <c r="AC50" s="624"/>
      <c r="AD50" s="624"/>
      <c r="AE50" s="624"/>
      <c r="AF50" s="624"/>
      <c r="AG50" s="648"/>
    </row>
    <row r="51" spans="1:33" s="100" customFormat="1" ht="15.75" customHeight="1">
      <c r="A51" s="619"/>
      <c r="B51" s="620"/>
      <c r="C51" s="623"/>
      <c r="D51" s="624"/>
      <c r="E51" s="624"/>
      <c r="F51" s="624"/>
      <c r="G51" s="625"/>
      <c r="H51" s="623"/>
      <c r="I51" s="624"/>
      <c r="J51" s="624"/>
      <c r="K51" s="624"/>
      <c r="L51" s="625"/>
      <c r="M51" s="621"/>
      <c r="N51" s="622"/>
      <c r="O51" s="622"/>
      <c r="P51" s="620"/>
      <c r="Q51" s="621"/>
      <c r="R51" s="622"/>
      <c r="S51" s="622"/>
      <c r="T51" s="620"/>
      <c r="U51" s="621"/>
      <c r="V51" s="620"/>
      <c r="W51" s="623"/>
      <c r="X51" s="625"/>
      <c r="Y51" s="623"/>
      <c r="Z51" s="624"/>
      <c r="AA51" s="625"/>
      <c r="AB51" s="623"/>
      <c r="AC51" s="624"/>
      <c r="AD51" s="624"/>
      <c r="AE51" s="624"/>
      <c r="AF51" s="624"/>
      <c r="AG51" s="648"/>
    </row>
    <row r="52" spans="1:33" s="100" customFormat="1" ht="15.75" customHeight="1" thickBot="1">
      <c r="A52" s="640"/>
      <c r="B52" s="639"/>
      <c r="C52" s="641"/>
      <c r="D52" s="642"/>
      <c r="E52" s="642"/>
      <c r="F52" s="642"/>
      <c r="G52" s="643"/>
      <c r="H52" s="641"/>
      <c r="I52" s="642"/>
      <c r="J52" s="642"/>
      <c r="K52" s="642"/>
      <c r="L52" s="643"/>
      <c r="M52" s="641"/>
      <c r="N52" s="642"/>
      <c r="O52" s="642"/>
      <c r="P52" s="643"/>
      <c r="Q52" s="641"/>
      <c r="R52" s="642"/>
      <c r="S52" s="642"/>
      <c r="T52" s="643"/>
      <c r="U52" s="641"/>
      <c r="V52" s="643"/>
      <c r="W52" s="641"/>
      <c r="X52" s="643"/>
      <c r="Y52" s="641"/>
      <c r="Z52" s="642"/>
      <c r="AA52" s="643"/>
      <c r="AB52" s="641"/>
      <c r="AC52" s="642"/>
      <c r="AD52" s="642"/>
      <c r="AE52" s="642"/>
      <c r="AF52" s="642"/>
      <c r="AG52" s="647"/>
    </row>
    <row r="53" spans="1:33" s="100" customFormat="1" ht="15.75" customHeight="1">
      <c r="A53" s="247"/>
      <c r="B53" s="99"/>
      <c r="C53" s="99"/>
      <c r="D53" s="99"/>
      <c r="E53" s="99"/>
      <c r="F53" s="99"/>
      <c r="G53" s="99"/>
      <c r="H53" s="99"/>
      <c r="I53" s="99"/>
      <c r="J53" s="99"/>
      <c r="K53" s="99"/>
      <c r="L53" s="99"/>
      <c r="M53" s="99"/>
      <c r="N53" s="99"/>
      <c r="O53" s="99"/>
      <c r="P53" s="99"/>
      <c r="Q53" s="99"/>
      <c r="R53" s="246"/>
      <c r="S53" s="99"/>
      <c r="T53" s="99"/>
      <c r="U53" s="99"/>
      <c r="V53" s="99"/>
      <c r="W53" s="99"/>
      <c r="X53" s="99"/>
      <c r="Y53" s="99"/>
      <c r="Z53" s="99"/>
      <c r="AA53" s="99"/>
      <c r="AB53" s="99"/>
      <c r="AC53" s="99"/>
      <c r="AD53" s="99"/>
      <c r="AE53" s="99"/>
      <c r="AF53" s="99"/>
      <c r="AG53" s="99"/>
    </row>
  </sheetData>
  <mergeCells count="154">
    <mergeCell ref="AB52:AG52"/>
    <mergeCell ref="Y35:AA35"/>
    <mergeCell ref="AB35:AG35"/>
    <mergeCell ref="AB45:AG45"/>
    <mergeCell ref="AB41:AG41"/>
    <mergeCell ref="AB39:AG39"/>
    <mergeCell ref="AB40:AG40"/>
    <mergeCell ref="Y40:AA40"/>
    <mergeCell ref="Y39:AA39"/>
    <mergeCell ref="AB37:AG37"/>
    <mergeCell ref="Y36:AA36"/>
    <mergeCell ref="AB46:AG46"/>
    <mergeCell ref="AB49:AG49"/>
    <mergeCell ref="Y38:AA38"/>
    <mergeCell ref="AB36:AG36"/>
    <mergeCell ref="AB38:AG38"/>
    <mergeCell ref="Y50:AA50"/>
    <mergeCell ref="Y51:AA51"/>
    <mergeCell ref="AB50:AG50"/>
    <mergeCell ref="AB51:AG51"/>
    <mergeCell ref="AB47:AG47"/>
    <mergeCell ref="AB48:AG48"/>
    <mergeCell ref="Q52:T52"/>
    <mergeCell ref="U52:V52"/>
    <mergeCell ref="W52:X52"/>
    <mergeCell ref="Y52:AA52"/>
    <mergeCell ref="A48:B48"/>
    <mergeCell ref="C48:G48"/>
    <mergeCell ref="H48:L48"/>
    <mergeCell ref="M48:P48"/>
    <mergeCell ref="A50:B50"/>
    <mergeCell ref="C50:G50"/>
    <mergeCell ref="A52:B52"/>
    <mergeCell ref="C52:G52"/>
    <mergeCell ref="H52:L52"/>
    <mergeCell ref="M52:P52"/>
    <mergeCell ref="Q48:T48"/>
    <mergeCell ref="U48:V48"/>
    <mergeCell ref="A49:B49"/>
    <mergeCell ref="C49:G49"/>
    <mergeCell ref="H49:L49"/>
    <mergeCell ref="M49:P49"/>
    <mergeCell ref="Q49:T49"/>
    <mergeCell ref="U49:V49"/>
    <mergeCell ref="W49:X49"/>
    <mergeCell ref="Y49:AA49"/>
    <mergeCell ref="U45:V45"/>
    <mergeCell ref="W45:X45"/>
    <mergeCell ref="Y45:AA45"/>
    <mergeCell ref="Y46:AA46"/>
    <mergeCell ref="Q46:T46"/>
    <mergeCell ref="U46:V46"/>
    <mergeCell ref="W46:X46"/>
    <mergeCell ref="A47:B47"/>
    <mergeCell ref="C47:G47"/>
    <mergeCell ref="H47:L47"/>
    <mergeCell ref="M47:P47"/>
    <mergeCell ref="Q47:T47"/>
    <mergeCell ref="U47:V47"/>
    <mergeCell ref="A46:B46"/>
    <mergeCell ref="C46:G46"/>
    <mergeCell ref="H46:L46"/>
    <mergeCell ref="M46:P46"/>
    <mergeCell ref="A45:B45"/>
    <mergeCell ref="C45:G45"/>
    <mergeCell ref="H45:L45"/>
    <mergeCell ref="M45:P45"/>
    <mergeCell ref="Q45:T45"/>
    <mergeCell ref="A39:B39"/>
    <mergeCell ref="C39:G39"/>
    <mergeCell ref="H39:L39"/>
    <mergeCell ref="M39:P39"/>
    <mergeCell ref="Q41:T41"/>
    <mergeCell ref="U41:V41"/>
    <mergeCell ref="W41:X41"/>
    <mergeCell ref="Y41:AA41"/>
    <mergeCell ref="A41:B41"/>
    <mergeCell ref="C41:G41"/>
    <mergeCell ref="H41:L41"/>
    <mergeCell ref="M41:P41"/>
    <mergeCell ref="C40:G40"/>
    <mergeCell ref="G1:N1"/>
    <mergeCell ref="S1:Y1"/>
    <mergeCell ref="G3:N3"/>
    <mergeCell ref="S3:AG3"/>
    <mergeCell ref="AD1:AG1"/>
    <mergeCell ref="G2:N2"/>
    <mergeCell ref="S2:Y2"/>
    <mergeCell ref="AD2:AG2"/>
    <mergeCell ref="A35:B35"/>
    <mergeCell ref="C35:G35"/>
    <mergeCell ref="H35:L35"/>
    <mergeCell ref="M35:P35"/>
    <mergeCell ref="A34:B34"/>
    <mergeCell ref="C34:G34"/>
    <mergeCell ref="H34:L34"/>
    <mergeCell ref="M34:P34"/>
    <mergeCell ref="AC4:AG4"/>
    <mergeCell ref="AB34:AG34"/>
    <mergeCell ref="Q34:T34"/>
    <mergeCell ref="U34:V34"/>
    <mergeCell ref="W34:X34"/>
    <mergeCell ref="Y34:AA34"/>
    <mergeCell ref="E6:O6"/>
    <mergeCell ref="Q36:T36"/>
    <mergeCell ref="U36:V36"/>
    <mergeCell ref="W36:X36"/>
    <mergeCell ref="Q35:T35"/>
    <mergeCell ref="U35:V35"/>
    <mergeCell ref="Q40:T40"/>
    <mergeCell ref="U40:V40"/>
    <mergeCell ref="W40:X40"/>
    <mergeCell ref="Q37:T37"/>
    <mergeCell ref="U37:V37"/>
    <mergeCell ref="Q39:T39"/>
    <mergeCell ref="U39:V39"/>
    <mergeCell ref="W39:X39"/>
    <mergeCell ref="W35:X35"/>
    <mergeCell ref="Q38:T38"/>
    <mergeCell ref="U38:V38"/>
    <mergeCell ref="W38:X38"/>
    <mergeCell ref="C36:G36"/>
    <mergeCell ref="H36:L36"/>
    <mergeCell ref="M36:P36"/>
    <mergeCell ref="C37:G37"/>
    <mergeCell ref="C38:G38"/>
    <mergeCell ref="H38:L38"/>
    <mergeCell ref="M38:P38"/>
    <mergeCell ref="H37:L37"/>
    <mergeCell ref="M37:P37"/>
    <mergeCell ref="A36:B36"/>
    <mergeCell ref="W37:X37"/>
    <mergeCell ref="Y37:AA37"/>
    <mergeCell ref="A37:B37"/>
    <mergeCell ref="A38:B38"/>
    <mergeCell ref="A40:B40"/>
    <mergeCell ref="H40:L40"/>
    <mergeCell ref="M40:P40"/>
    <mergeCell ref="C51:G51"/>
    <mergeCell ref="H50:L50"/>
    <mergeCell ref="H51:L51"/>
    <mergeCell ref="A51:B51"/>
    <mergeCell ref="W50:X50"/>
    <mergeCell ref="W51:X51"/>
    <mergeCell ref="M50:P50"/>
    <mergeCell ref="M51:P51"/>
    <mergeCell ref="Q50:T50"/>
    <mergeCell ref="Q51:T51"/>
    <mergeCell ref="W47:X47"/>
    <mergeCell ref="Y47:AA47"/>
    <mergeCell ref="W48:X48"/>
    <mergeCell ref="Y48:AA48"/>
    <mergeCell ref="U50:V50"/>
    <mergeCell ref="U51:V51"/>
  </mergeCells>
  <phoneticPr fontId="7"/>
  <pageMargins left="0.78740157480314965" right="0.39370078740157483" top="0.78740157480314965" bottom="0.78740157480314965" header="0.51181102362204722" footer="0.51181102362204722"/>
  <pageSetup paperSize="9" scale="87" orientation="portrait" verticalDpi="400" r:id="rId1"/>
  <headerFooter alignWithMargins="0"/>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ransitionEvaluation="1" transitionEntry="1" codeName="Sheet16">
    <pageSetUpPr fitToPage="1"/>
  </sheetPr>
  <dimension ref="A1:AJ63"/>
  <sheetViews>
    <sheetView topLeftCell="A10" zoomScaleNormal="100" workbookViewId="0">
      <selection activeCell="G48" sqref="G48:K48"/>
    </sheetView>
  </sheetViews>
  <sheetFormatPr defaultColWidth="2.85546875" defaultRowHeight="11.25"/>
  <cols>
    <col min="1" max="16384" width="2.85546875" style="23"/>
  </cols>
  <sheetData>
    <row r="1" spans="1:36" s="2" customFormat="1" ht="18.95" customHeight="1">
      <c r="A1" s="108"/>
      <c r="B1" s="109"/>
      <c r="C1" s="109"/>
      <c r="D1" s="110" t="s">
        <v>90</v>
      </c>
      <c r="E1" s="111"/>
      <c r="F1" s="112"/>
      <c r="G1" s="544" t="str">
        <f>IF(詳細設計書!G1="","N/A",詳細設計書!G1)</f>
        <v>統合会計システム開発</v>
      </c>
      <c r="H1" s="544"/>
      <c r="I1" s="544"/>
      <c r="J1" s="544"/>
      <c r="K1" s="544"/>
      <c r="L1" s="544"/>
      <c r="M1" s="544"/>
      <c r="N1" s="544"/>
      <c r="O1" s="544"/>
      <c r="P1" s="544"/>
      <c r="Q1" s="545"/>
      <c r="R1" s="110" t="s">
        <v>283</v>
      </c>
      <c r="S1" s="111"/>
      <c r="T1" s="111"/>
      <c r="U1" s="113"/>
      <c r="V1" s="575">
        <f>IF(詳細設計書!S1="","N/A",詳細設計書!S1)</f>
        <v>42509</v>
      </c>
      <c r="W1" s="576"/>
      <c r="X1" s="576"/>
      <c r="Y1" s="576"/>
      <c r="Z1" s="576"/>
      <c r="AA1" s="576"/>
      <c r="AB1" s="577"/>
      <c r="AC1" s="110" t="s">
        <v>284</v>
      </c>
      <c r="AD1" s="114"/>
      <c r="AE1" s="114"/>
      <c r="AF1" s="115"/>
      <c r="AG1" s="686">
        <f>IF(詳細設計書!AD1="","N/A",詳細設計書!AD1)</f>
        <v>42559</v>
      </c>
      <c r="AH1" s="686"/>
      <c r="AI1" s="686"/>
      <c r="AJ1" s="687"/>
    </row>
    <row r="2" spans="1:36" s="2" customFormat="1" ht="18.95" customHeight="1">
      <c r="A2" s="30"/>
      <c r="D2" s="116" t="s">
        <v>93</v>
      </c>
      <c r="E2" s="34"/>
      <c r="F2" s="117"/>
      <c r="G2" s="550" t="str">
        <f>IF(詳細設計書!G2="","N/A",詳細設計書!G2)</f>
        <v>SAP R/3(レポート)</v>
      </c>
      <c r="H2" s="550"/>
      <c r="I2" s="550"/>
      <c r="J2" s="550"/>
      <c r="K2" s="550"/>
      <c r="L2" s="550"/>
      <c r="M2" s="550"/>
      <c r="N2" s="550"/>
      <c r="O2" s="550"/>
      <c r="P2" s="550"/>
      <c r="Q2" s="551"/>
      <c r="R2" s="116" t="s">
        <v>286</v>
      </c>
      <c r="S2" s="34"/>
      <c r="T2" s="34"/>
      <c r="U2" s="118"/>
      <c r="V2" s="581" t="str">
        <f>IF(詳細設計書!S2="","N/A",詳細設計書!S2)</f>
        <v>KSC 橋本</v>
      </c>
      <c r="W2" s="582"/>
      <c r="X2" s="582"/>
      <c r="Y2" s="582"/>
      <c r="Z2" s="582"/>
      <c r="AA2" s="582"/>
      <c r="AB2" s="583"/>
      <c r="AC2" s="116" t="s">
        <v>288</v>
      </c>
      <c r="AD2" s="119"/>
      <c r="AE2" s="120"/>
      <c r="AF2" s="117"/>
      <c r="AG2" s="585" t="str">
        <f>IF(詳細設計書!AD2="","N/A",詳細設計書!AD2)</f>
        <v>KSC 橋本</v>
      </c>
      <c r="AH2" s="585"/>
      <c r="AI2" s="585"/>
      <c r="AJ2" s="586"/>
    </row>
    <row r="3" spans="1:36" s="129" customFormat="1" ht="18.95" customHeight="1" thickBot="1">
      <c r="A3" s="4"/>
      <c r="B3" s="1"/>
      <c r="C3" s="121"/>
      <c r="D3" s="122" t="s">
        <v>96</v>
      </c>
      <c r="E3" s="123"/>
      <c r="F3" s="124"/>
      <c r="G3" s="563" t="str">
        <f>IF(詳細設計書!G3="","N/A",詳細設計書!G3)</f>
        <v>DP_FI_2014_01</v>
      </c>
      <c r="H3" s="564"/>
      <c r="I3" s="564"/>
      <c r="J3" s="564"/>
      <c r="K3" s="564"/>
      <c r="L3" s="564"/>
      <c r="M3" s="564"/>
      <c r="N3" s="564"/>
      <c r="O3" s="564"/>
      <c r="P3" s="564"/>
      <c r="Q3" s="565"/>
      <c r="R3" s="122" t="s">
        <v>97</v>
      </c>
      <c r="S3" s="123"/>
      <c r="T3" s="123"/>
      <c r="U3" s="125"/>
      <c r="V3" s="566" t="str">
        <f>IF(詳細設計書!S3="","N/A",詳細設計書!S3)</f>
        <v>ZFIPR_2014_01</v>
      </c>
      <c r="W3" s="566"/>
      <c r="X3" s="566"/>
      <c r="Y3" s="566"/>
      <c r="Z3" s="566"/>
      <c r="AA3" s="566"/>
      <c r="AB3" s="566"/>
      <c r="AC3" s="566"/>
      <c r="AD3" s="566"/>
      <c r="AE3" s="566"/>
      <c r="AF3" s="566"/>
      <c r="AG3" s="566"/>
      <c r="AH3" s="566"/>
      <c r="AI3" s="566"/>
      <c r="AJ3" s="567"/>
    </row>
    <row r="4" spans="1:36" s="129" customFormat="1" ht="18.95" customHeight="1" thickBot="1">
      <c r="A4" s="31" t="s">
        <v>292</v>
      </c>
      <c r="B4" s="127"/>
      <c r="C4" s="128"/>
      <c r="D4" s="353" t="s">
        <v>503</v>
      </c>
      <c r="E4" s="126"/>
      <c r="F4" s="126"/>
      <c r="G4" s="126"/>
      <c r="H4" s="126"/>
      <c r="I4" s="126"/>
      <c r="J4" s="126"/>
      <c r="K4" s="126"/>
      <c r="L4" s="126"/>
      <c r="M4" s="126"/>
      <c r="N4" s="126"/>
      <c r="O4" s="126"/>
      <c r="P4" s="126"/>
      <c r="Q4" s="126"/>
      <c r="R4" s="126"/>
      <c r="S4" s="126"/>
      <c r="T4" s="126"/>
      <c r="U4" s="126"/>
      <c r="V4" s="126"/>
      <c r="W4" s="126"/>
      <c r="X4" s="126"/>
      <c r="Y4" s="126"/>
      <c r="Z4" s="126"/>
      <c r="AA4" s="126"/>
      <c r="AB4" s="126"/>
      <c r="AC4" s="31" t="s">
        <v>100</v>
      </c>
      <c r="AD4" s="127"/>
      <c r="AE4" s="128"/>
      <c r="AF4" s="560" t="str">
        <f>詳細設計書!AC4</f>
        <v>1.0</v>
      </c>
      <c r="AG4" s="560"/>
      <c r="AH4" s="560"/>
      <c r="AI4" s="560"/>
      <c r="AJ4" s="561"/>
    </row>
    <row r="5" spans="1:36" ht="7.5" customHeight="1" thickBot="1"/>
    <row r="6" spans="1:36" ht="14.25" customHeight="1" thickBot="1">
      <c r="A6" s="354" t="s">
        <v>504</v>
      </c>
      <c r="B6" s="355"/>
      <c r="C6" s="356"/>
      <c r="D6" s="357">
        <v>1</v>
      </c>
      <c r="E6" s="358"/>
      <c r="F6" s="358"/>
      <c r="G6" s="358"/>
      <c r="H6" s="358"/>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9"/>
    </row>
    <row r="7" spans="1:36" ht="14.25" customHeight="1" thickBot="1">
      <c r="A7" s="145"/>
      <c r="B7" s="360"/>
      <c r="C7" s="360"/>
    </row>
    <row r="8" spans="1:36" ht="14.25" customHeight="1">
      <c r="A8" s="105" t="s">
        <v>505</v>
      </c>
      <c r="B8" s="361"/>
      <c r="C8" s="361"/>
      <c r="D8" s="133"/>
      <c r="E8" s="133"/>
      <c r="F8" s="133"/>
      <c r="G8" s="133"/>
      <c r="H8" s="133"/>
      <c r="I8" s="133"/>
      <c r="J8" s="133"/>
      <c r="K8" s="133"/>
      <c r="L8" s="133"/>
      <c r="M8" s="133"/>
      <c r="N8" s="133"/>
      <c r="O8" s="133"/>
      <c r="P8" s="133"/>
      <c r="Q8" s="133"/>
      <c r="R8" s="133"/>
      <c r="S8" s="133"/>
      <c r="T8" s="133"/>
      <c r="U8" s="133"/>
      <c r="V8" s="133"/>
      <c r="W8" s="133"/>
      <c r="X8" s="133"/>
      <c r="Y8" s="133"/>
      <c r="Z8" s="133"/>
      <c r="AA8" s="133"/>
      <c r="AB8" s="133"/>
      <c r="AC8" s="133"/>
      <c r="AD8" s="133"/>
      <c r="AE8" s="133"/>
      <c r="AF8" s="133"/>
      <c r="AG8" s="133"/>
      <c r="AH8" s="133"/>
      <c r="AI8" s="133"/>
      <c r="AJ8" s="362"/>
    </row>
    <row r="9" spans="1:36" s="284" customFormat="1" ht="15" customHeight="1" thickBot="1">
      <c r="A9" s="134" t="s">
        <v>506</v>
      </c>
      <c r="B9" s="135"/>
      <c r="C9" s="363" t="s">
        <v>507</v>
      </c>
      <c r="D9" s="135"/>
      <c r="E9" s="364"/>
      <c r="F9" s="365"/>
      <c r="G9" s="366" t="s">
        <v>508</v>
      </c>
      <c r="H9" s="367"/>
      <c r="I9" s="367"/>
      <c r="J9" s="368"/>
      <c r="K9" s="369"/>
      <c r="L9" s="367" t="s">
        <v>509</v>
      </c>
      <c r="M9" s="368"/>
      <c r="N9" s="368"/>
      <c r="O9" s="368"/>
      <c r="P9" s="368"/>
      <c r="Q9" s="368"/>
      <c r="R9" s="368"/>
      <c r="S9" s="368"/>
      <c r="T9" s="370" t="s">
        <v>510</v>
      </c>
      <c r="U9" s="135"/>
      <c r="V9" s="135"/>
      <c r="W9" s="135"/>
      <c r="X9" s="135"/>
      <c r="Y9" s="363" t="s">
        <v>511</v>
      </c>
      <c r="Z9" s="135"/>
      <c r="AA9" s="135"/>
      <c r="AB9" s="135"/>
      <c r="AC9" s="135"/>
      <c r="AD9" s="135"/>
      <c r="AE9" s="135"/>
      <c r="AF9" s="135"/>
      <c r="AG9" s="135"/>
      <c r="AH9" s="135"/>
      <c r="AI9" s="364"/>
      <c r="AJ9" s="371"/>
    </row>
    <row r="10" spans="1:36" ht="15" customHeight="1" thickTop="1">
      <c r="A10" s="684">
        <v>1</v>
      </c>
      <c r="B10" s="685"/>
      <c r="C10" s="678" t="s">
        <v>512</v>
      </c>
      <c r="D10" s="679"/>
      <c r="E10" s="679"/>
      <c r="F10" s="680"/>
      <c r="G10" s="863" t="s">
        <v>513</v>
      </c>
      <c r="H10" s="864"/>
      <c r="I10" s="864"/>
      <c r="J10" s="864"/>
      <c r="K10" s="865"/>
      <c r="L10" s="670" t="s">
        <v>514</v>
      </c>
      <c r="M10" s="671"/>
      <c r="N10" s="671"/>
      <c r="O10" s="671"/>
      <c r="P10" s="671"/>
      <c r="Q10" s="671"/>
      <c r="R10" s="671"/>
      <c r="S10" s="672"/>
      <c r="T10" s="863">
        <v>1000</v>
      </c>
      <c r="U10" s="864"/>
      <c r="V10" s="864"/>
      <c r="W10" s="864"/>
      <c r="X10" s="373" t="s">
        <v>515</v>
      </c>
      <c r="Y10" s="372"/>
      <c r="Z10" s="373"/>
      <c r="AA10" s="373"/>
      <c r="AB10" s="373"/>
      <c r="AC10" s="373"/>
      <c r="AD10" s="373"/>
      <c r="AE10" s="373"/>
      <c r="AF10" s="374"/>
      <c r="AG10" s="374"/>
      <c r="AH10" s="374"/>
      <c r="AJ10" s="136"/>
    </row>
    <row r="11" spans="1:36" ht="15" customHeight="1">
      <c r="A11" s="676"/>
      <c r="B11" s="677"/>
      <c r="C11" s="681"/>
      <c r="D11" s="682"/>
      <c r="E11" s="682"/>
      <c r="F11" s="683"/>
      <c r="G11" s="866"/>
      <c r="H11" s="867"/>
      <c r="I11" s="867"/>
      <c r="J11" s="867"/>
      <c r="K11" s="868"/>
      <c r="L11" s="673"/>
      <c r="M11" s="674"/>
      <c r="N11" s="674"/>
      <c r="O11" s="674"/>
      <c r="P11" s="674"/>
      <c r="Q11" s="674"/>
      <c r="R11" s="674"/>
      <c r="S11" s="675"/>
      <c r="T11" s="866"/>
      <c r="U11" s="867"/>
      <c r="V11" s="867"/>
      <c r="W11" s="867"/>
      <c r="X11" s="137" t="s">
        <v>516</v>
      </c>
      <c r="Y11" s="375"/>
      <c r="Z11" s="137"/>
      <c r="AA11" s="137"/>
      <c r="AB11" s="137"/>
      <c r="AC11" s="137"/>
      <c r="AD11" s="137"/>
      <c r="AE11" s="137"/>
      <c r="AF11" s="138"/>
      <c r="AG11" s="138"/>
      <c r="AH11" s="138"/>
      <c r="AJ11" s="136"/>
    </row>
    <row r="12" spans="1:36" ht="15" customHeight="1">
      <c r="A12" s="676"/>
      <c r="B12" s="677"/>
      <c r="C12" s="681"/>
      <c r="D12" s="682"/>
      <c r="E12" s="682"/>
      <c r="F12" s="683"/>
      <c r="G12" s="866"/>
      <c r="H12" s="867"/>
      <c r="I12" s="867"/>
      <c r="J12" s="867"/>
      <c r="K12" s="868"/>
      <c r="L12" s="667"/>
      <c r="M12" s="668"/>
      <c r="N12" s="668"/>
      <c r="O12" s="668"/>
      <c r="P12" s="668"/>
      <c r="Q12" s="668"/>
      <c r="R12" s="668"/>
      <c r="S12" s="669"/>
      <c r="T12" s="866"/>
      <c r="U12" s="867"/>
      <c r="V12" s="867"/>
      <c r="W12" s="867"/>
      <c r="X12" s="137" t="s">
        <v>516</v>
      </c>
      <c r="Y12" s="375"/>
      <c r="Z12" s="137"/>
      <c r="AA12" s="137"/>
      <c r="AB12" s="137"/>
      <c r="AC12" s="137"/>
      <c r="AD12" s="137"/>
      <c r="AE12" s="137"/>
      <c r="AF12" s="138"/>
      <c r="AG12" s="138"/>
      <c r="AH12" s="138"/>
      <c r="AJ12" s="136"/>
    </row>
    <row r="13" spans="1:36" ht="15" customHeight="1">
      <c r="A13" s="676"/>
      <c r="B13" s="677"/>
      <c r="C13" s="681"/>
      <c r="D13" s="682"/>
      <c r="E13" s="682"/>
      <c r="F13" s="683"/>
      <c r="G13" s="866"/>
      <c r="H13" s="867"/>
      <c r="I13" s="867"/>
      <c r="J13" s="867"/>
      <c r="K13" s="868"/>
      <c r="L13" s="866"/>
      <c r="M13" s="867"/>
      <c r="N13" s="867"/>
      <c r="O13" s="867"/>
      <c r="P13" s="867"/>
      <c r="Q13" s="867"/>
      <c r="R13" s="867"/>
      <c r="S13" s="868"/>
      <c r="T13" s="866"/>
      <c r="U13" s="867"/>
      <c r="V13" s="867"/>
      <c r="W13" s="867"/>
      <c r="X13" s="137" t="s">
        <v>516</v>
      </c>
      <c r="Y13" s="375"/>
      <c r="Z13" s="137"/>
      <c r="AA13" s="137"/>
      <c r="AB13" s="137"/>
      <c r="AC13" s="137"/>
      <c r="AD13" s="137"/>
      <c r="AE13" s="137"/>
      <c r="AF13" s="138"/>
      <c r="AG13" s="138"/>
      <c r="AH13" s="138"/>
      <c r="AJ13" s="136"/>
    </row>
    <row r="14" spans="1:36" ht="15" customHeight="1">
      <c r="A14" s="665"/>
      <c r="B14" s="666"/>
      <c r="C14" s="662"/>
      <c r="D14" s="663"/>
      <c r="E14" s="663"/>
      <c r="F14" s="664"/>
      <c r="G14" s="869"/>
      <c r="H14" s="870"/>
      <c r="I14" s="870"/>
      <c r="J14" s="870"/>
      <c r="K14" s="871"/>
      <c r="L14" s="869"/>
      <c r="M14" s="870"/>
      <c r="N14" s="870"/>
      <c r="O14" s="870"/>
      <c r="P14" s="870"/>
      <c r="Q14" s="870"/>
      <c r="R14" s="870"/>
      <c r="S14" s="871"/>
      <c r="T14" s="869"/>
      <c r="U14" s="870"/>
      <c r="V14" s="870"/>
      <c r="W14" s="870"/>
      <c r="X14" s="377" t="s">
        <v>515</v>
      </c>
      <c r="Y14" s="376"/>
      <c r="Z14" s="377"/>
      <c r="AA14" s="377"/>
      <c r="AB14" s="377"/>
      <c r="AC14" s="377"/>
      <c r="AD14" s="377"/>
      <c r="AE14" s="377"/>
      <c r="AF14" s="378"/>
      <c r="AG14" s="378"/>
      <c r="AH14" s="378"/>
      <c r="AI14" s="139"/>
      <c r="AJ14" s="379"/>
    </row>
    <row r="15" spans="1:36" ht="14.25" customHeight="1">
      <c r="A15" s="107" t="s">
        <v>517</v>
      </c>
      <c r="B15" s="380"/>
      <c r="C15" s="380"/>
      <c r="D15" s="380"/>
      <c r="E15" s="380"/>
      <c r="F15" s="380"/>
      <c r="G15" s="380"/>
      <c r="H15" s="380"/>
      <c r="I15" s="380"/>
      <c r="J15" s="380"/>
      <c r="K15" s="380"/>
      <c r="L15" s="380"/>
      <c r="M15" s="380"/>
      <c r="N15" s="380"/>
      <c r="O15" s="380"/>
      <c r="P15" s="380"/>
      <c r="Q15" s="380"/>
      <c r="R15" s="380"/>
      <c r="S15" s="380"/>
      <c r="T15" s="380"/>
      <c r="U15" s="380"/>
      <c r="V15" s="380"/>
      <c r="W15" s="380"/>
      <c r="X15" s="380"/>
      <c r="Y15" s="380"/>
      <c r="Z15" s="380"/>
      <c r="AA15" s="380"/>
      <c r="AB15" s="380"/>
      <c r="AC15" s="380"/>
      <c r="AD15" s="380"/>
      <c r="AE15" s="380"/>
      <c r="AF15" s="380"/>
      <c r="AG15" s="380"/>
      <c r="AH15" s="380"/>
      <c r="AI15" s="380"/>
      <c r="AJ15" s="381"/>
    </row>
    <row r="16" spans="1:36" ht="14.25" customHeight="1">
      <c r="A16" s="351"/>
      <c r="B16" s="140"/>
      <c r="C16" s="140"/>
      <c r="D16" s="140"/>
      <c r="E16" s="140"/>
      <c r="F16" s="140"/>
      <c r="G16" s="140"/>
      <c r="H16" s="140"/>
      <c r="I16" s="140"/>
      <c r="J16" s="140"/>
      <c r="K16" s="140"/>
      <c r="L16" s="140"/>
      <c r="M16" s="140"/>
      <c r="N16" s="140"/>
      <c r="O16" s="140"/>
      <c r="P16" s="140"/>
      <c r="Q16" s="140"/>
      <c r="R16" s="140"/>
      <c r="S16" s="140"/>
      <c r="T16" s="140"/>
      <c r="U16" s="140"/>
      <c r="V16" s="140"/>
      <c r="W16" s="140"/>
      <c r="X16" s="140"/>
      <c r="Y16" s="140"/>
      <c r="Z16" s="140"/>
      <c r="AA16" s="140"/>
      <c r="AB16" s="140"/>
      <c r="AC16" s="140"/>
      <c r="AD16" s="140"/>
      <c r="AE16" s="140"/>
      <c r="AF16" s="140"/>
      <c r="AG16" s="140"/>
      <c r="AH16" s="140"/>
      <c r="AI16" s="140"/>
      <c r="AJ16" s="382"/>
    </row>
    <row r="17" spans="1:36" ht="14.25" customHeight="1">
      <c r="A17" s="101"/>
      <c r="B17" s="23" t="s">
        <v>518</v>
      </c>
      <c r="AJ17" s="136"/>
    </row>
    <row r="18" spans="1:36" ht="14.25" customHeight="1">
      <c r="A18" s="101"/>
      <c r="AJ18" s="136"/>
    </row>
    <row r="19" spans="1:36" ht="14.25" customHeight="1">
      <c r="A19" s="101"/>
      <c r="AJ19" s="136"/>
    </row>
    <row r="20" spans="1:36" ht="14.25" customHeight="1">
      <c r="A20" s="101"/>
      <c r="AJ20" s="136"/>
    </row>
    <row r="21" spans="1:36" ht="14.25" customHeight="1">
      <c r="A21" s="101"/>
      <c r="AJ21" s="136"/>
    </row>
    <row r="22" spans="1:36" ht="14.25" customHeight="1">
      <c r="A22" s="352"/>
      <c r="B22" s="139"/>
      <c r="C22" s="139"/>
      <c r="D22" s="139"/>
      <c r="E22" s="139"/>
      <c r="F22" s="139"/>
      <c r="G22" s="139"/>
      <c r="H22" s="139"/>
      <c r="I22" s="139"/>
      <c r="J22" s="139"/>
      <c r="K22" s="139"/>
      <c r="L22" s="139"/>
      <c r="M22" s="139"/>
      <c r="N22" s="139"/>
      <c r="O22" s="139"/>
      <c r="P22" s="139"/>
      <c r="Q22" s="139"/>
      <c r="R22" s="139"/>
      <c r="S22" s="139"/>
      <c r="T22" s="139"/>
      <c r="U22" s="139"/>
      <c r="V22" s="139"/>
      <c r="W22" s="139"/>
      <c r="X22" s="139"/>
      <c r="Y22" s="139"/>
      <c r="Z22" s="139"/>
      <c r="AA22" s="139"/>
      <c r="AB22" s="139"/>
      <c r="AC22" s="139"/>
      <c r="AD22" s="139"/>
      <c r="AE22" s="139"/>
      <c r="AF22" s="139"/>
      <c r="AG22" s="139"/>
      <c r="AH22" s="139"/>
      <c r="AI22" s="139"/>
      <c r="AJ22" s="379"/>
    </row>
    <row r="23" spans="1:36" ht="14.25" customHeight="1">
      <c r="A23" s="107" t="s">
        <v>519</v>
      </c>
      <c r="B23" s="380"/>
      <c r="C23" s="380"/>
      <c r="D23" s="380"/>
      <c r="E23" s="380"/>
      <c r="F23" s="380"/>
      <c r="G23" s="380"/>
      <c r="H23" s="380"/>
      <c r="I23" s="380"/>
      <c r="J23" s="380"/>
      <c r="K23" s="380"/>
      <c r="L23" s="380"/>
      <c r="M23" s="380"/>
      <c r="N23" s="380"/>
      <c r="O23" s="380"/>
      <c r="P23" s="380"/>
      <c r="Q23" s="380"/>
      <c r="R23" s="380"/>
      <c r="S23" s="380"/>
      <c r="T23" s="380"/>
      <c r="U23" s="380"/>
      <c r="V23" s="380"/>
      <c r="W23" s="380"/>
      <c r="X23" s="380"/>
      <c r="Y23" s="380"/>
      <c r="Z23" s="380"/>
      <c r="AA23" s="380"/>
      <c r="AB23" s="380"/>
      <c r="AC23" s="380"/>
      <c r="AD23" s="380"/>
      <c r="AE23" s="380"/>
      <c r="AF23" s="380"/>
      <c r="AG23" s="380"/>
      <c r="AH23" s="380"/>
      <c r="AI23" s="380"/>
      <c r="AJ23" s="381"/>
    </row>
    <row r="24" spans="1:36" ht="14.25" customHeight="1">
      <c r="A24" s="351"/>
      <c r="B24" s="140"/>
      <c r="C24" s="140"/>
      <c r="D24" s="140"/>
      <c r="E24" s="140"/>
      <c r="F24" s="140"/>
      <c r="G24" s="140"/>
      <c r="H24" s="140"/>
      <c r="I24" s="140"/>
      <c r="J24" s="140"/>
      <c r="K24" s="140"/>
      <c r="L24" s="140"/>
      <c r="M24" s="140"/>
      <c r="N24" s="140"/>
      <c r="O24" s="140"/>
      <c r="P24" s="140"/>
      <c r="Q24" s="140"/>
      <c r="R24" s="140"/>
      <c r="S24" s="140"/>
      <c r="T24" s="140"/>
      <c r="U24" s="140"/>
      <c r="V24" s="140"/>
      <c r="W24" s="140"/>
      <c r="X24" s="140"/>
      <c r="Y24" s="140"/>
      <c r="Z24" s="140"/>
      <c r="AA24" s="140"/>
      <c r="AB24" s="140"/>
      <c r="AC24" s="140"/>
      <c r="AD24" s="140"/>
      <c r="AE24" s="140"/>
      <c r="AF24" s="140"/>
      <c r="AG24" s="140"/>
      <c r="AH24" s="140"/>
      <c r="AI24" s="140"/>
      <c r="AJ24" s="382"/>
    </row>
    <row r="25" spans="1:36" ht="14.25" customHeight="1">
      <c r="A25" s="101"/>
      <c r="AJ25" s="136"/>
    </row>
    <row r="26" spans="1:36" ht="14.25" customHeight="1">
      <c r="A26" s="101"/>
      <c r="AJ26" s="136"/>
    </row>
    <row r="27" spans="1:36" ht="14.25" customHeight="1">
      <c r="A27" s="101"/>
      <c r="AJ27" s="136"/>
    </row>
    <row r="28" spans="1:36" ht="14.25" customHeight="1">
      <c r="A28" s="101"/>
      <c r="D28" s="284"/>
      <c r="E28" s="284"/>
      <c r="P28" s="284"/>
      <c r="Q28" s="284"/>
      <c r="AD28" s="284"/>
      <c r="AJ28" s="136"/>
    </row>
    <row r="29" spans="1:36" ht="14.25" customHeight="1">
      <c r="A29" s="101"/>
      <c r="D29" s="284"/>
      <c r="E29" s="284"/>
      <c r="P29" s="284"/>
      <c r="Q29" s="284"/>
      <c r="AD29" s="284"/>
      <c r="AJ29" s="136"/>
    </row>
    <row r="30" spans="1:36" ht="14.25" customHeight="1">
      <c r="A30" s="101"/>
      <c r="AJ30" s="136"/>
    </row>
    <row r="31" spans="1:36" ht="14.25" customHeight="1">
      <c r="A31" s="101"/>
      <c r="AJ31" s="136"/>
    </row>
    <row r="32" spans="1:36" ht="14.25" customHeight="1">
      <c r="A32" s="101"/>
      <c r="AJ32" s="136"/>
    </row>
    <row r="33" spans="1:36" ht="14.25" customHeight="1">
      <c r="A33" s="107" t="s">
        <v>520</v>
      </c>
      <c r="B33" s="380"/>
      <c r="C33" s="380"/>
      <c r="D33" s="380"/>
      <c r="E33" s="380"/>
      <c r="F33" s="380"/>
      <c r="G33" s="380"/>
      <c r="H33" s="380"/>
      <c r="I33" s="380"/>
      <c r="J33" s="380"/>
      <c r="K33" s="380"/>
      <c r="L33" s="380"/>
      <c r="M33" s="380"/>
      <c r="N33" s="380"/>
      <c r="O33" s="380"/>
      <c r="P33" s="380"/>
      <c r="Q33" s="380"/>
      <c r="R33" s="380"/>
      <c r="S33" s="380"/>
      <c r="T33" s="380"/>
      <c r="U33" s="380"/>
      <c r="V33" s="380"/>
      <c r="W33" s="380"/>
      <c r="X33" s="380"/>
      <c r="Y33" s="380"/>
      <c r="Z33" s="380"/>
      <c r="AA33" s="380"/>
      <c r="AB33" s="380"/>
      <c r="AC33" s="380"/>
      <c r="AD33" s="380"/>
      <c r="AE33" s="380"/>
      <c r="AF33" s="380"/>
      <c r="AG33" s="380"/>
      <c r="AH33" s="380"/>
      <c r="AI33" s="380"/>
      <c r="AJ33" s="381"/>
    </row>
    <row r="34" spans="1:36" ht="14.25" customHeight="1" thickBot="1">
      <c r="A34" s="134" t="s">
        <v>329</v>
      </c>
      <c r="B34" s="135"/>
      <c r="C34" s="141"/>
      <c r="D34" s="363" t="s">
        <v>521</v>
      </c>
      <c r="E34" s="135"/>
      <c r="F34" s="135"/>
      <c r="G34" s="141"/>
      <c r="H34" s="135" t="s">
        <v>522</v>
      </c>
      <c r="I34" s="135"/>
      <c r="J34" s="135"/>
      <c r="K34" s="135"/>
      <c r="L34" s="135"/>
      <c r="M34" s="135"/>
      <c r="N34" s="135"/>
      <c r="O34" s="135"/>
      <c r="P34" s="135"/>
      <c r="Q34" s="135"/>
      <c r="R34" s="135"/>
      <c r="S34" s="135"/>
      <c r="T34" s="364"/>
      <c r="U34" s="135"/>
      <c r="V34" s="135"/>
      <c r="W34" s="135"/>
      <c r="X34" s="135"/>
      <c r="Y34" s="135"/>
      <c r="Z34" s="135"/>
      <c r="AA34" s="135"/>
      <c r="AB34" s="135"/>
      <c r="AC34" s="135"/>
      <c r="AD34" s="135"/>
      <c r="AE34" s="135"/>
      <c r="AF34" s="135"/>
      <c r="AG34" s="135"/>
      <c r="AH34" s="135"/>
      <c r="AI34" s="135"/>
      <c r="AJ34" s="383"/>
    </row>
    <row r="35" spans="1:36" ht="14.25" customHeight="1" thickTop="1">
      <c r="A35" s="659">
        <v>1</v>
      </c>
      <c r="B35" s="660"/>
      <c r="C35" s="661"/>
      <c r="D35" s="656" t="s">
        <v>513</v>
      </c>
      <c r="E35" s="657"/>
      <c r="F35" s="657"/>
      <c r="G35" s="658"/>
      <c r="I35" s="23" t="s">
        <v>523</v>
      </c>
      <c r="Q35" s="23" t="s">
        <v>524</v>
      </c>
      <c r="S35" s="23" t="s">
        <v>525</v>
      </c>
      <c r="AJ35" s="136"/>
    </row>
    <row r="36" spans="1:36" ht="14.25" customHeight="1">
      <c r="A36" s="653">
        <v>1</v>
      </c>
      <c r="B36" s="654"/>
      <c r="C36" s="655"/>
      <c r="D36" s="650" t="s">
        <v>526</v>
      </c>
      <c r="E36" s="651"/>
      <c r="F36" s="651"/>
      <c r="G36" s="652"/>
      <c r="I36" s="23" t="s">
        <v>527</v>
      </c>
      <c r="Q36" s="23" t="s">
        <v>524</v>
      </c>
      <c r="S36" s="23" t="s">
        <v>528</v>
      </c>
      <c r="AJ36" s="136"/>
    </row>
    <row r="37" spans="1:36" ht="14.25" customHeight="1">
      <c r="A37" s="653">
        <v>1</v>
      </c>
      <c r="B37" s="654"/>
      <c r="C37" s="655"/>
      <c r="D37" s="650" t="s">
        <v>513</v>
      </c>
      <c r="E37" s="651"/>
      <c r="F37" s="651"/>
      <c r="G37" s="652"/>
      <c r="I37" s="23" t="s">
        <v>529</v>
      </c>
      <c r="Q37" s="23" t="s">
        <v>524</v>
      </c>
      <c r="S37" s="23" t="s">
        <v>530</v>
      </c>
      <c r="AJ37" s="136"/>
    </row>
    <row r="38" spans="1:36" ht="14.25" customHeight="1">
      <c r="A38" s="653">
        <v>1</v>
      </c>
      <c r="B38" s="654"/>
      <c r="C38" s="655"/>
      <c r="D38" s="650" t="s">
        <v>513</v>
      </c>
      <c r="E38" s="651"/>
      <c r="F38" s="651"/>
      <c r="G38" s="652"/>
      <c r="I38" s="23" t="s">
        <v>531</v>
      </c>
      <c r="Q38" s="23" t="s">
        <v>532</v>
      </c>
      <c r="S38" s="23">
        <v>0</v>
      </c>
      <c r="AJ38" s="136"/>
    </row>
    <row r="39" spans="1:36" ht="14.25" customHeight="1">
      <c r="A39" s="706"/>
      <c r="B39" s="654"/>
      <c r="C39" s="655"/>
      <c r="D39" s="650"/>
      <c r="E39" s="651"/>
      <c r="F39" s="651"/>
      <c r="G39" s="652"/>
      <c r="V39" s="130"/>
      <c r="AJ39" s="136"/>
    </row>
    <row r="40" spans="1:36" ht="14.25" customHeight="1">
      <c r="A40" s="706"/>
      <c r="B40" s="654"/>
      <c r="C40" s="655"/>
      <c r="D40" s="694"/>
      <c r="E40" s="695"/>
      <c r="F40" s="695"/>
      <c r="G40" s="677"/>
      <c r="AJ40" s="136"/>
    </row>
    <row r="41" spans="1:36">
      <c r="A41" s="107" t="s">
        <v>533</v>
      </c>
      <c r="B41" s="149"/>
      <c r="C41" s="149"/>
      <c r="D41" s="380"/>
      <c r="E41" s="380"/>
      <c r="F41" s="380"/>
      <c r="G41" s="380"/>
      <c r="H41" s="380"/>
      <c r="I41" s="380"/>
      <c r="J41" s="380"/>
      <c r="K41" s="380"/>
      <c r="L41" s="380"/>
      <c r="M41" s="380"/>
      <c r="N41" s="380"/>
      <c r="O41" s="380"/>
      <c r="P41" s="380"/>
      <c r="Q41" s="380"/>
      <c r="R41" s="380"/>
      <c r="S41" s="380"/>
      <c r="T41" s="380"/>
      <c r="U41" s="380"/>
      <c r="V41" s="380"/>
      <c r="W41" s="380"/>
      <c r="X41" s="380"/>
      <c r="Y41" s="380"/>
      <c r="Z41" s="380"/>
      <c r="AA41" s="380"/>
      <c r="AB41" s="380"/>
      <c r="AC41" s="380"/>
      <c r="AD41" s="380"/>
      <c r="AE41" s="380"/>
      <c r="AF41" s="380"/>
      <c r="AG41" s="380"/>
      <c r="AH41" s="380"/>
      <c r="AI41" s="380"/>
      <c r="AJ41" s="381"/>
    </row>
    <row r="42" spans="1:36" ht="14.25" thickBot="1">
      <c r="A42" s="134" t="s">
        <v>329</v>
      </c>
      <c r="B42" s="135"/>
      <c r="C42" s="363" t="s">
        <v>534</v>
      </c>
      <c r="D42" s="135"/>
      <c r="E42" s="364"/>
      <c r="F42" s="365"/>
      <c r="G42" s="370" t="s">
        <v>535</v>
      </c>
      <c r="H42" s="367"/>
      <c r="I42" s="367"/>
      <c r="J42" s="368"/>
      <c r="K42" s="369"/>
      <c r="L42" s="367" t="s">
        <v>536</v>
      </c>
      <c r="M42" s="368"/>
      <c r="N42" s="368"/>
      <c r="O42" s="368"/>
      <c r="P42" s="368"/>
      <c r="Q42" s="368"/>
      <c r="R42" s="368"/>
      <c r="S42" s="368"/>
      <c r="T42" s="370" t="s">
        <v>537</v>
      </c>
      <c r="U42" s="135"/>
      <c r="V42" s="135"/>
      <c r="W42" s="135"/>
      <c r="X42" s="135"/>
      <c r="Y42" s="135"/>
      <c r="Z42" s="135"/>
      <c r="AA42" s="135"/>
      <c r="AB42" s="135"/>
      <c r="AC42" s="135"/>
      <c r="AD42" s="135"/>
      <c r="AE42" s="135"/>
      <c r="AF42" s="135"/>
      <c r="AG42" s="135"/>
      <c r="AH42" s="135"/>
      <c r="AI42" s="364"/>
      <c r="AJ42" s="371"/>
    </row>
    <row r="43" spans="1:36" ht="12" thickTop="1">
      <c r="A43" s="676">
        <v>1</v>
      </c>
      <c r="B43" s="677"/>
      <c r="C43" s="688" t="s">
        <v>538</v>
      </c>
      <c r="D43" s="689"/>
      <c r="E43" s="689"/>
      <c r="F43" s="690"/>
      <c r="G43" s="691" t="s">
        <v>539</v>
      </c>
      <c r="H43" s="692"/>
      <c r="I43" s="692"/>
      <c r="J43" s="692"/>
      <c r="K43" s="693"/>
      <c r="L43" s="694" t="s">
        <v>513</v>
      </c>
      <c r="M43" s="695"/>
      <c r="N43" s="695"/>
      <c r="O43" s="695"/>
      <c r="P43" s="695"/>
      <c r="Q43" s="695"/>
      <c r="R43" s="695"/>
      <c r="S43" s="677"/>
      <c r="T43" s="147"/>
      <c r="X43" s="137"/>
      <c r="Y43" s="137"/>
      <c r="Z43" s="137"/>
      <c r="AA43" s="137"/>
      <c r="AB43" s="137"/>
      <c r="AC43" s="137"/>
      <c r="AD43" s="137"/>
      <c r="AE43" s="137"/>
      <c r="AF43" s="138"/>
      <c r="AG43" s="138"/>
      <c r="AH43" s="138"/>
      <c r="AJ43" s="136"/>
    </row>
    <row r="44" spans="1:36">
      <c r="A44" s="676">
        <v>2</v>
      </c>
      <c r="B44" s="677"/>
      <c r="C44" s="688" t="s">
        <v>540</v>
      </c>
      <c r="D44" s="689"/>
      <c r="E44" s="689"/>
      <c r="F44" s="690"/>
      <c r="G44" s="667" t="s">
        <v>541</v>
      </c>
      <c r="H44" s="668"/>
      <c r="I44" s="668"/>
      <c r="J44" s="668"/>
      <c r="K44" s="669"/>
      <c r="L44" s="694" t="s">
        <v>513</v>
      </c>
      <c r="M44" s="695"/>
      <c r="N44" s="695"/>
      <c r="O44" s="695"/>
      <c r="P44" s="695"/>
      <c r="Q44" s="695"/>
      <c r="R44" s="695"/>
      <c r="S44" s="677"/>
      <c r="T44" s="147"/>
      <c r="X44" s="137"/>
      <c r="Y44" s="137"/>
      <c r="Z44" s="137"/>
      <c r="AA44" s="137"/>
      <c r="AB44" s="137"/>
      <c r="AC44" s="137"/>
      <c r="AD44" s="137"/>
      <c r="AE44" s="137"/>
      <c r="AF44" s="138"/>
      <c r="AG44" s="138"/>
      <c r="AH44" s="138"/>
      <c r="AJ44" s="136"/>
    </row>
    <row r="45" spans="1:36">
      <c r="A45" s="676">
        <v>3</v>
      </c>
      <c r="B45" s="677"/>
      <c r="C45" s="688" t="s">
        <v>542</v>
      </c>
      <c r="D45" s="689"/>
      <c r="E45" s="689"/>
      <c r="F45" s="690"/>
      <c r="G45" s="667" t="s">
        <v>543</v>
      </c>
      <c r="H45" s="668"/>
      <c r="I45" s="668"/>
      <c r="J45" s="668"/>
      <c r="K45" s="669"/>
      <c r="L45" s="694" t="s">
        <v>513</v>
      </c>
      <c r="M45" s="695"/>
      <c r="N45" s="695"/>
      <c r="O45" s="695"/>
      <c r="P45" s="695"/>
      <c r="Q45" s="695"/>
      <c r="R45" s="695"/>
      <c r="S45" s="677"/>
      <c r="T45" s="147"/>
      <c r="X45" s="137"/>
      <c r="Y45" s="137"/>
      <c r="Z45" s="137"/>
      <c r="AA45" s="137"/>
      <c r="AB45" s="137"/>
      <c r="AC45" s="137"/>
      <c r="AD45" s="137"/>
      <c r="AE45" s="137"/>
      <c r="AF45" s="138"/>
      <c r="AG45" s="138"/>
      <c r="AH45" s="138"/>
      <c r="AJ45" s="136"/>
    </row>
    <row r="46" spans="1:36">
      <c r="A46" s="676">
        <v>4</v>
      </c>
      <c r="B46" s="677"/>
      <c r="C46" s="688" t="s">
        <v>544</v>
      </c>
      <c r="D46" s="689"/>
      <c r="E46" s="689"/>
      <c r="F46" s="690"/>
      <c r="G46" s="667" t="s">
        <v>545</v>
      </c>
      <c r="H46" s="668"/>
      <c r="I46" s="668"/>
      <c r="J46" s="668"/>
      <c r="K46" s="669"/>
      <c r="L46" s="694" t="s">
        <v>513</v>
      </c>
      <c r="M46" s="695"/>
      <c r="N46" s="695"/>
      <c r="O46" s="695"/>
      <c r="P46" s="695"/>
      <c r="Q46" s="695"/>
      <c r="R46" s="695"/>
      <c r="S46" s="677"/>
      <c r="T46" s="147"/>
      <c r="X46" s="137"/>
      <c r="Y46" s="137"/>
      <c r="Z46" s="137"/>
      <c r="AA46" s="137"/>
      <c r="AB46" s="137"/>
      <c r="AC46" s="137"/>
      <c r="AD46" s="137"/>
      <c r="AE46" s="137"/>
      <c r="AF46" s="138"/>
      <c r="AG46" s="138"/>
      <c r="AH46" s="138"/>
      <c r="AJ46" s="136"/>
    </row>
    <row r="47" spans="1:36">
      <c r="A47" s="676">
        <v>5</v>
      </c>
      <c r="B47" s="677"/>
      <c r="C47" s="688" t="s">
        <v>546</v>
      </c>
      <c r="D47" s="689"/>
      <c r="E47" s="689"/>
      <c r="F47" s="690"/>
      <c r="G47" s="667" t="s">
        <v>547</v>
      </c>
      <c r="H47" s="668"/>
      <c r="I47" s="668"/>
      <c r="J47" s="668"/>
      <c r="K47" s="669"/>
      <c r="L47" s="694" t="s">
        <v>513</v>
      </c>
      <c r="M47" s="695"/>
      <c r="N47" s="695"/>
      <c r="O47" s="695"/>
      <c r="P47" s="695"/>
      <c r="Q47" s="695"/>
      <c r="R47" s="695"/>
      <c r="S47" s="677"/>
      <c r="T47" s="147"/>
      <c r="X47" s="137"/>
      <c r="Y47" s="137"/>
      <c r="Z47" s="137"/>
      <c r="AA47" s="137"/>
      <c r="AB47" s="137"/>
      <c r="AC47" s="137"/>
      <c r="AD47" s="137"/>
      <c r="AE47" s="137"/>
      <c r="AF47" s="138"/>
      <c r="AG47" s="138"/>
      <c r="AH47" s="138"/>
      <c r="AJ47" s="136"/>
    </row>
    <row r="48" spans="1:36">
      <c r="A48" s="676">
        <v>6</v>
      </c>
      <c r="B48" s="677"/>
      <c r="C48" s="688" t="s">
        <v>548</v>
      </c>
      <c r="D48" s="689"/>
      <c r="E48" s="689"/>
      <c r="F48" s="690"/>
      <c r="G48" s="667" t="s">
        <v>549</v>
      </c>
      <c r="H48" s="668"/>
      <c r="I48" s="668"/>
      <c r="J48" s="668"/>
      <c r="K48" s="669"/>
      <c r="L48" s="694" t="s">
        <v>513</v>
      </c>
      <c r="M48" s="695"/>
      <c r="N48" s="695"/>
      <c r="O48" s="695"/>
      <c r="P48" s="695"/>
      <c r="Q48" s="695"/>
      <c r="R48" s="695"/>
      <c r="S48" s="677"/>
      <c r="T48" s="147"/>
      <c r="X48" s="137"/>
      <c r="Y48" s="137"/>
      <c r="Z48" s="137"/>
      <c r="AA48" s="137"/>
      <c r="AB48" s="137"/>
      <c r="AC48" s="137"/>
      <c r="AD48" s="137"/>
      <c r="AE48" s="137"/>
      <c r="AF48" s="138"/>
      <c r="AG48" s="138"/>
      <c r="AH48" s="138"/>
      <c r="AJ48" s="136"/>
    </row>
    <row r="49" spans="1:36">
      <c r="A49" s="676"/>
      <c r="B49" s="677"/>
      <c r="C49" s="688"/>
      <c r="D49" s="689"/>
      <c r="E49" s="689"/>
      <c r="F49" s="690"/>
      <c r="G49" s="667"/>
      <c r="H49" s="668"/>
      <c r="I49" s="668"/>
      <c r="J49" s="668"/>
      <c r="K49" s="669"/>
      <c r="L49" s="694"/>
      <c r="M49" s="695"/>
      <c r="N49" s="695"/>
      <c r="O49" s="695"/>
      <c r="P49" s="695"/>
      <c r="Q49" s="695"/>
      <c r="R49" s="695"/>
      <c r="S49" s="677"/>
      <c r="T49" s="147"/>
      <c r="X49" s="137"/>
      <c r="Y49" s="137"/>
      <c r="Z49" s="137"/>
      <c r="AA49" s="137"/>
      <c r="AB49" s="137"/>
      <c r="AC49" s="137"/>
      <c r="AD49" s="137"/>
      <c r="AE49" s="137"/>
      <c r="AF49" s="138"/>
      <c r="AG49" s="138"/>
      <c r="AH49" s="138"/>
      <c r="AJ49" s="136"/>
    </row>
    <row r="50" spans="1:36">
      <c r="A50" s="676"/>
      <c r="B50" s="677"/>
      <c r="C50" s="688"/>
      <c r="D50" s="689"/>
      <c r="E50" s="689"/>
      <c r="F50" s="690"/>
      <c r="G50" s="667"/>
      <c r="H50" s="668"/>
      <c r="I50" s="668"/>
      <c r="J50" s="668"/>
      <c r="K50" s="669"/>
      <c r="L50" s="694"/>
      <c r="M50" s="695"/>
      <c r="N50" s="695"/>
      <c r="O50" s="695"/>
      <c r="P50" s="695"/>
      <c r="Q50" s="695"/>
      <c r="R50" s="695"/>
      <c r="S50" s="677"/>
      <c r="T50" s="147"/>
      <c r="X50" s="137"/>
      <c r="Y50" s="137"/>
      <c r="Z50" s="137"/>
      <c r="AA50" s="137"/>
      <c r="AB50" s="137"/>
      <c r="AC50" s="137"/>
      <c r="AD50" s="137"/>
      <c r="AE50" s="137"/>
      <c r="AF50" s="138"/>
      <c r="AG50" s="138"/>
      <c r="AH50" s="138"/>
      <c r="AJ50" s="136"/>
    </row>
    <row r="51" spans="1:36">
      <c r="A51" s="676"/>
      <c r="B51" s="677"/>
      <c r="C51" s="688"/>
      <c r="D51" s="689"/>
      <c r="E51" s="689"/>
      <c r="F51" s="690"/>
      <c r="G51" s="667"/>
      <c r="H51" s="668"/>
      <c r="I51" s="668"/>
      <c r="J51" s="668"/>
      <c r="K51" s="669"/>
      <c r="L51" s="694"/>
      <c r="M51" s="695"/>
      <c r="N51" s="695"/>
      <c r="O51" s="695"/>
      <c r="P51" s="695"/>
      <c r="Q51" s="695"/>
      <c r="R51" s="695"/>
      <c r="S51" s="677"/>
      <c r="T51" s="147"/>
      <c r="X51" s="137"/>
      <c r="Y51" s="137"/>
      <c r="Z51" s="137"/>
      <c r="AA51" s="137"/>
      <c r="AB51" s="137"/>
      <c r="AC51" s="137"/>
      <c r="AD51" s="137"/>
      <c r="AE51" s="137"/>
      <c r="AF51" s="138"/>
      <c r="AG51" s="138"/>
      <c r="AH51" s="138"/>
      <c r="AJ51" s="136"/>
    </row>
    <row r="52" spans="1:36">
      <c r="A52" s="676"/>
      <c r="B52" s="677"/>
      <c r="C52" s="688"/>
      <c r="D52" s="689"/>
      <c r="E52" s="689"/>
      <c r="F52" s="690"/>
      <c r="G52" s="667"/>
      <c r="H52" s="668"/>
      <c r="I52" s="668"/>
      <c r="J52" s="668"/>
      <c r="K52" s="669"/>
      <c r="L52" s="694"/>
      <c r="M52" s="695"/>
      <c r="N52" s="695"/>
      <c r="O52" s="695"/>
      <c r="P52" s="695"/>
      <c r="Q52" s="695"/>
      <c r="R52" s="695"/>
      <c r="S52" s="677"/>
      <c r="T52" s="147"/>
      <c r="X52" s="137"/>
      <c r="Y52" s="137"/>
      <c r="Z52" s="137"/>
      <c r="AA52" s="137"/>
      <c r="AB52" s="137"/>
      <c r="AC52" s="137"/>
      <c r="AD52" s="137"/>
      <c r="AE52" s="137"/>
      <c r="AF52" s="138"/>
      <c r="AG52" s="138"/>
      <c r="AH52" s="138"/>
      <c r="AJ52" s="136"/>
    </row>
    <row r="53" spans="1:36">
      <c r="A53" s="676"/>
      <c r="B53" s="677"/>
      <c r="C53" s="688"/>
      <c r="D53" s="689"/>
      <c r="E53" s="689"/>
      <c r="F53" s="690"/>
      <c r="G53" s="667"/>
      <c r="H53" s="668"/>
      <c r="I53" s="668"/>
      <c r="J53" s="668"/>
      <c r="K53" s="669"/>
      <c r="L53" s="694"/>
      <c r="M53" s="695"/>
      <c r="N53" s="695"/>
      <c r="O53" s="695"/>
      <c r="P53" s="695"/>
      <c r="Q53" s="695"/>
      <c r="R53" s="695"/>
      <c r="S53" s="677"/>
      <c r="T53" s="147"/>
      <c r="X53" s="137"/>
      <c r="Y53" s="137"/>
      <c r="Z53" s="137"/>
      <c r="AA53" s="137"/>
      <c r="AB53" s="137"/>
      <c r="AC53" s="137"/>
      <c r="AD53" s="137"/>
      <c r="AE53" s="137"/>
      <c r="AF53" s="138"/>
      <c r="AG53" s="138"/>
      <c r="AH53" s="138"/>
      <c r="AJ53" s="136"/>
    </row>
    <row r="54" spans="1:36">
      <c r="A54" s="676"/>
      <c r="B54" s="677"/>
      <c r="C54" s="688"/>
      <c r="D54" s="689"/>
      <c r="E54" s="689"/>
      <c r="F54" s="690"/>
      <c r="G54" s="667"/>
      <c r="H54" s="668"/>
      <c r="I54" s="668"/>
      <c r="J54" s="668"/>
      <c r="K54" s="669"/>
      <c r="L54" s="694"/>
      <c r="M54" s="695"/>
      <c r="N54" s="695"/>
      <c r="O54" s="695"/>
      <c r="P54" s="695"/>
      <c r="Q54" s="695"/>
      <c r="R54" s="695"/>
      <c r="S54" s="677"/>
      <c r="T54" s="147"/>
      <c r="X54" s="137"/>
      <c r="Y54" s="137"/>
      <c r="Z54" s="137"/>
      <c r="AA54" s="137"/>
      <c r="AB54" s="137"/>
      <c r="AC54" s="137"/>
      <c r="AD54" s="137"/>
      <c r="AE54" s="137"/>
      <c r="AF54" s="138"/>
      <c r="AG54" s="138"/>
      <c r="AH54" s="138"/>
      <c r="AJ54" s="136"/>
    </row>
    <row r="55" spans="1:36">
      <c r="A55" s="676"/>
      <c r="B55" s="677"/>
      <c r="C55" s="688"/>
      <c r="D55" s="689"/>
      <c r="E55" s="689"/>
      <c r="F55" s="690"/>
      <c r="G55" s="667"/>
      <c r="H55" s="668"/>
      <c r="I55" s="668"/>
      <c r="J55" s="668"/>
      <c r="K55" s="669"/>
      <c r="L55" s="694"/>
      <c r="M55" s="695"/>
      <c r="N55" s="695"/>
      <c r="O55" s="695"/>
      <c r="P55" s="695"/>
      <c r="Q55" s="695"/>
      <c r="R55" s="695"/>
      <c r="S55" s="677"/>
      <c r="T55" s="147"/>
      <c r="X55" s="137"/>
      <c r="Y55" s="137"/>
      <c r="Z55" s="137"/>
      <c r="AA55" s="137"/>
      <c r="AB55" s="137"/>
      <c r="AC55" s="137"/>
      <c r="AD55" s="137"/>
      <c r="AE55" s="137"/>
      <c r="AF55" s="138"/>
      <c r="AG55" s="138"/>
      <c r="AH55" s="138"/>
      <c r="AJ55" s="136"/>
    </row>
    <row r="56" spans="1:36">
      <c r="A56" s="676"/>
      <c r="B56" s="677"/>
      <c r="C56" s="688"/>
      <c r="D56" s="689"/>
      <c r="E56" s="689"/>
      <c r="F56" s="690"/>
      <c r="G56" s="667"/>
      <c r="H56" s="668"/>
      <c r="I56" s="668"/>
      <c r="J56" s="668"/>
      <c r="K56" s="669"/>
      <c r="L56" s="694"/>
      <c r="M56" s="695"/>
      <c r="N56" s="695"/>
      <c r="O56" s="695"/>
      <c r="P56" s="695"/>
      <c r="Q56" s="695"/>
      <c r="R56" s="695"/>
      <c r="S56" s="677"/>
      <c r="T56" s="147"/>
      <c r="X56" s="137"/>
      <c r="Y56" s="137"/>
      <c r="Z56" s="137"/>
      <c r="AA56" s="137"/>
      <c r="AB56" s="137"/>
      <c r="AC56" s="137"/>
      <c r="AD56" s="137"/>
      <c r="AE56" s="137"/>
      <c r="AF56" s="138"/>
      <c r="AG56" s="138"/>
      <c r="AH56" s="138"/>
      <c r="AJ56" s="136"/>
    </row>
    <row r="57" spans="1:36">
      <c r="A57" s="676"/>
      <c r="B57" s="677"/>
      <c r="C57" s="688"/>
      <c r="D57" s="689"/>
      <c r="E57" s="689"/>
      <c r="F57" s="690"/>
      <c r="G57" s="667"/>
      <c r="H57" s="668"/>
      <c r="I57" s="668"/>
      <c r="J57" s="668"/>
      <c r="K57" s="669"/>
      <c r="L57" s="694"/>
      <c r="M57" s="695"/>
      <c r="N57" s="695"/>
      <c r="O57" s="695"/>
      <c r="P57" s="695"/>
      <c r="Q57" s="695"/>
      <c r="R57" s="695"/>
      <c r="S57" s="677"/>
      <c r="T57" s="147"/>
      <c r="X57" s="137"/>
      <c r="Y57" s="137"/>
      <c r="Z57" s="137"/>
      <c r="AA57" s="137"/>
      <c r="AB57" s="137"/>
      <c r="AC57" s="137"/>
      <c r="AD57" s="137"/>
      <c r="AE57" s="137"/>
      <c r="AF57" s="138"/>
      <c r="AG57" s="138"/>
      <c r="AH57" s="138"/>
      <c r="AJ57" s="136"/>
    </row>
    <row r="58" spans="1:36">
      <c r="A58" s="676"/>
      <c r="B58" s="677"/>
      <c r="C58" s="688"/>
      <c r="D58" s="689"/>
      <c r="E58" s="689"/>
      <c r="F58" s="690"/>
      <c r="G58" s="667"/>
      <c r="H58" s="668"/>
      <c r="I58" s="668"/>
      <c r="J58" s="668"/>
      <c r="K58" s="669"/>
      <c r="L58" s="694"/>
      <c r="M58" s="695"/>
      <c r="N58" s="695"/>
      <c r="O58" s="695"/>
      <c r="P58" s="695"/>
      <c r="Q58" s="695"/>
      <c r="R58" s="695"/>
      <c r="S58" s="677"/>
      <c r="T58" s="147"/>
      <c r="X58" s="137"/>
      <c r="Y58" s="137"/>
      <c r="Z58" s="137"/>
      <c r="AA58" s="137"/>
      <c r="AB58" s="137"/>
      <c r="AC58" s="137"/>
      <c r="AD58" s="137"/>
      <c r="AE58" s="137"/>
      <c r="AF58" s="138"/>
      <c r="AG58" s="138"/>
      <c r="AH58" s="138"/>
      <c r="AJ58" s="136"/>
    </row>
    <row r="59" spans="1:36">
      <c r="A59" s="676"/>
      <c r="B59" s="677"/>
      <c r="C59" s="688"/>
      <c r="D59" s="689"/>
      <c r="E59" s="689"/>
      <c r="F59" s="690"/>
      <c r="G59" s="667"/>
      <c r="H59" s="668"/>
      <c r="I59" s="668"/>
      <c r="J59" s="668"/>
      <c r="K59" s="669"/>
      <c r="L59" s="694"/>
      <c r="M59" s="695"/>
      <c r="N59" s="695"/>
      <c r="O59" s="695"/>
      <c r="P59" s="695"/>
      <c r="Q59" s="695"/>
      <c r="R59" s="695"/>
      <c r="S59" s="677"/>
      <c r="T59" s="147"/>
      <c r="X59" s="137"/>
      <c r="Y59" s="137"/>
      <c r="Z59" s="137"/>
      <c r="AA59" s="137"/>
      <c r="AB59" s="137"/>
      <c r="AC59" s="137"/>
      <c r="AD59" s="137"/>
      <c r="AE59" s="137"/>
      <c r="AF59" s="138"/>
      <c r="AG59" s="138"/>
      <c r="AH59" s="138"/>
      <c r="AJ59" s="136"/>
    </row>
    <row r="60" spans="1:36">
      <c r="A60" s="676"/>
      <c r="B60" s="677"/>
      <c r="C60" s="688"/>
      <c r="D60" s="689"/>
      <c r="E60" s="689"/>
      <c r="F60" s="690"/>
      <c r="G60" s="667"/>
      <c r="H60" s="668"/>
      <c r="I60" s="668"/>
      <c r="J60" s="668"/>
      <c r="K60" s="669"/>
      <c r="L60" s="694"/>
      <c r="M60" s="695"/>
      <c r="N60" s="695"/>
      <c r="O60" s="695"/>
      <c r="P60" s="695"/>
      <c r="Q60" s="695"/>
      <c r="R60" s="695"/>
      <c r="S60" s="677"/>
      <c r="T60" s="147"/>
      <c r="X60" s="137"/>
      <c r="Y60" s="137"/>
      <c r="Z60" s="137"/>
      <c r="AA60" s="137"/>
      <c r="AB60" s="137"/>
      <c r="AC60" s="137"/>
      <c r="AD60" s="137"/>
      <c r="AE60" s="137"/>
      <c r="AF60" s="138"/>
      <c r="AG60" s="138"/>
      <c r="AH60" s="138"/>
      <c r="AJ60" s="136"/>
    </row>
    <row r="61" spans="1:36">
      <c r="A61" s="676"/>
      <c r="B61" s="677"/>
      <c r="C61" s="688"/>
      <c r="D61" s="689"/>
      <c r="E61" s="689"/>
      <c r="F61" s="690"/>
      <c r="G61" s="667"/>
      <c r="H61" s="668"/>
      <c r="I61" s="668"/>
      <c r="J61" s="668"/>
      <c r="K61" s="669"/>
      <c r="L61" s="694"/>
      <c r="M61" s="695"/>
      <c r="N61" s="695"/>
      <c r="O61" s="695"/>
      <c r="P61" s="695"/>
      <c r="Q61" s="695"/>
      <c r="R61" s="695"/>
      <c r="S61" s="677"/>
      <c r="T61" s="147"/>
      <c r="X61" s="137"/>
      <c r="Y61" s="137"/>
      <c r="Z61" s="137"/>
      <c r="AA61" s="137"/>
      <c r="AB61" s="137"/>
      <c r="AC61" s="137"/>
      <c r="AD61" s="137"/>
      <c r="AE61" s="137"/>
      <c r="AF61" s="138"/>
      <c r="AG61" s="138"/>
      <c r="AH61" s="138"/>
      <c r="AJ61" s="136"/>
    </row>
    <row r="62" spans="1:36">
      <c r="A62" s="676"/>
      <c r="B62" s="677"/>
      <c r="C62" s="688"/>
      <c r="D62" s="689"/>
      <c r="E62" s="689"/>
      <c r="F62" s="690"/>
      <c r="G62" s="667"/>
      <c r="H62" s="668"/>
      <c r="I62" s="668"/>
      <c r="J62" s="668"/>
      <c r="K62" s="669"/>
      <c r="L62" s="694"/>
      <c r="M62" s="695"/>
      <c r="N62" s="695"/>
      <c r="O62" s="695"/>
      <c r="P62" s="695"/>
      <c r="Q62" s="695"/>
      <c r="R62" s="695"/>
      <c r="S62" s="677"/>
      <c r="T62" s="147"/>
      <c r="X62" s="137"/>
      <c r="Y62" s="137"/>
      <c r="Z62" s="137"/>
      <c r="AA62" s="137"/>
      <c r="AB62" s="137"/>
      <c r="AC62" s="137"/>
      <c r="AD62" s="137"/>
      <c r="AE62" s="137"/>
      <c r="AF62" s="138"/>
      <c r="AG62" s="138"/>
      <c r="AH62" s="138"/>
      <c r="AJ62" s="136"/>
    </row>
    <row r="63" spans="1:36" ht="12" thickBot="1">
      <c r="A63" s="699"/>
      <c r="B63" s="700"/>
      <c r="C63" s="696"/>
      <c r="D63" s="697"/>
      <c r="E63" s="697"/>
      <c r="F63" s="698"/>
      <c r="G63" s="701"/>
      <c r="H63" s="702"/>
      <c r="I63" s="702"/>
      <c r="J63" s="702"/>
      <c r="K63" s="703"/>
      <c r="L63" s="704"/>
      <c r="M63" s="705"/>
      <c r="N63" s="705"/>
      <c r="O63" s="705"/>
      <c r="P63" s="705"/>
      <c r="Q63" s="705"/>
      <c r="R63" s="705"/>
      <c r="S63" s="700"/>
      <c r="T63" s="165"/>
      <c r="U63" s="104"/>
      <c r="V63" s="104"/>
      <c r="W63" s="104"/>
      <c r="X63" s="384"/>
      <c r="Y63" s="384"/>
      <c r="Z63" s="384"/>
      <c r="AA63" s="384"/>
      <c r="AB63" s="384"/>
      <c r="AC63" s="384"/>
      <c r="AD63" s="384"/>
      <c r="AE63" s="384"/>
      <c r="AF63" s="385"/>
      <c r="AG63" s="385"/>
      <c r="AH63" s="385"/>
      <c r="AI63" s="104"/>
      <c r="AJ63" s="142"/>
    </row>
  </sheetData>
  <mergeCells count="130">
    <mergeCell ref="L56:S56"/>
    <mergeCell ref="A52:B52"/>
    <mergeCell ref="C52:F52"/>
    <mergeCell ref="G52:K52"/>
    <mergeCell ref="L52:S52"/>
    <mergeCell ref="A54:B54"/>
    <mergeCell ref="C54:F54"/>
    <mergeCell ref="A58:B58"/>
    <mergeCell ref="C58:F58"/>
    <mergeCell ref="G58:K58"/>
    <mergeCell ref="L58:S58"/>
    <mergeCell ref="A57:B57"/>
    <mergeCell ref="C57:F57"/>
    <mergeCell ref="G54:K54"/>
    <mergeCell ref="L54:S54"/>
    <mergeCell ref="A53:B53"/>
    <mergeCell ref="C53:F53"/>
    <mergeCell ref="G53:K53"/>
    <mergeCell ref="L53:S53"/>
    <mergeCell ref="D39:G39"/>
    <mergeCell ref="A39:C39"/>
    <mergeCell ref="C43:F43"/>
    <mergeCell ref="C44:F44"/>
    <mergeCell ref="A40:C40"/>
    <mergeCell ref="D40:G40"/>
    <mergeCell ref="A56:B56"/>
    <mergeCell ref="C56:F56"/>
    <mergeCell ref="G56:K56"/>
    <mergeCell ref="G47:K47"/>
    <mergeCell ref="G48:K48"/>
    <mergeCell ref="C49:F49"/>
    <mergeCell ref="A45:B45"/>
    <mergeCell ref="C45:F45"/>
    <mergeCell ref="G45:K45"/>
    <mergeCell ref="A46:B46"/>
    <mergeCell ref="A47:B47"/>
    <mergeCell ref="A48:B48"/>
    <mergeCell ref="C46:F46"/>
    <mergeCell ref="C47:F47"/>
    <mergeCell ref="C48:F48"/>
    <mergeCell ref="C63:F63"/>
    <mergeCell ref="A44:B44"/>
    <mergeCell ref="G44:K44"/>
    <mergeCell ref="L44:S44"/>
    <mergeCell ref="A62:B62"/>
    <mergeCell ref="G62:K62"/>
    <mergeCell ref="L62:S62"/>
    <mergeCell ref="A63:B63"/>
    <mergeCell ref="G63:K63"/>
    <mergeCell ref="L63:S63"/>
    <mergeCell ref="C61:F61"/>
    <mergeCell ref="L61:S61"/>
    <mergeCell ref="G55:K55"/>
    <mergeCell ref="G59:K59"/>
    <mergeCell ref="G60:K60"/>
    <mergeCell ref="G61:K61"/>
    <mergeCell ref="L60:S60"/>
    <mergeCell ref="C60:F60"/>
    <mergeCell ref="G57:K57"/>
    <mergeCell ref="L57:S57"/>
    <mergeCell ref="A49:B49"/>
    <mergeCell ref="L55:S55"/>
    <mergeCell ref="L59:S59"/>
    <mergeCell ref="G49:K49"/>
    <mergeCell ref="C62:F62"/>
    <mergeCell ref="A43:B43"/>
    <mergeCell ref="G43:K43"/>
    <mergeCell ref="L43:S43"/>
    <mergeCell ref="A55:B55"/>
    <mergeCell ref="A59:B59"/>
    <mergeCell ref="A60:B60"/>
    <mergeCell ref="A61:B61"/>
    <mergeCell ref="C55:F55"/>
    <mergeCell ref="C59:F59"/>
    <mergeCell ref="A50:B50"/>
    <mergeCell ref="C50:F50"/>
    <mergeCell ref="G50:K50"/>
    <mergeCell ref="L50:S50"/>
    <mergeCell ref="A51:B51"/>
    <mergeCell ref="C51:F51"/>
    <mergeCell ref="G51:K51"/>
    <mergeCell ref="L51:S51"/>
    <mergeCell ref="L45:S45"/>
    <mergeCell ref="L46:S46"/>
    <mergeCell ref="L47:S47"/>
    <mergeCell ref="L48:S48"/>
    <mergeCell ref="L49:S49"/>
    <mergeCell ref="G46:K46"/>
    <mergeCell ref="G3:Q3"/>
    <mergeCell ref="V3:AJ3"/>
    <mergeCell ref="AF4:AJ4"/>
    <mergeCell ref="G1:Q1"/>
    <mergeCell ref="V1:AB1"/>
    <mergeCell ref="AG1:AJ1"/>
    <mergeCell ref="G2:Q2"/>
    <mergeCell ref="V2:AB2"/>
    <mergeCell ref="AG2:AJ2"/>
    <mergeCell ref="G10:K10"/>
    <mergeCell ref="G11:K11"/>
    <mergeCell ref="G12:K12"/>
    <mergeCell ref="G13:K13"/>
    <mergeCell ref="A13:B13"/>
    <mergeCell ref="C10:F10"/>
    <mergeCell ref="C11:F11"/>
    <mergeCell ref="C12:F12"/>
    <mergeCell ref="C13:F13"/>
    <mergeCell ref="A10:B10"/>
    <mergeCell ref="A11:B11"/>
    <mergeCell ref="A12:B12"/>
    <mergeCell ref="T10:W10"/>
    <mergeCell ref="T11:W11"/>
    <mergeCell ref="T12:W12"/>
    <mergeCell ref="T13:W13"/>
    <mergeCell ref="T14:W14"/>
    <mergeCell ref="L12:S12"/>
    <mergeCell ref="L13:S13"/>
    <mergeCell ref="L10:S10"/>
    <mergeCell ref="L11:S11"/>
    <mergeCell ref="D38:G38"/>
    <mergeCell ref="A38:C38"/>
    <mergeCell ref="D35:G35"/>
    <mergeCell ref="D36:G36"/>
    <mergeCell ref="D37:G37"/>
    <mergeCell ref="A35:C35"/>
    <mergeCell ref="A36:C36"/>
    <mergeCell ref="A37:C37"/>
    <mergeCell ref="L14:S14"/>
    <mergeCell ref="G14:K14"/>
    <mergeCell ref="C14:F14"/>
    <mergeCell ref="A14:B14"/>
  </mergeCells>
  <phoneticPr fontId="7"/>
  <dataValidations count="1">
    <dataValidation type="list" allowBlank="1" showInputMessage="1" showErrorMessage="1" sqref="C10:C14" xr:uid="{00000000-0002-0000-0800-000000000000}">
      <formula1>"R/3標準Table,Add-on Table,LDB,その他"</formula1>
    </dataValidation>
  </dataValidations>
  <pageMargins left="0.78740157480314965" right="0.39370078740157483" top="0.78740157480314965" bottom="0.78740157480314965" header="0.51181102362204722" footer="0.51181102362204722"/>
  <pageSetup paperSize="9" scale="84" orientation="portrait" verticalDpi="400" r:id="rId1"/>
  <headerFooter alignWithMargins="0"/>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ransitionEvaluation="1" transitionEntry="1" codeName="Sheet17">
    <pageSetUpPr fitToPage="1"/>
  </sheetPr>
  <dimension ref="A1:AJ60"/>
  <sheetViews>
    <sheetView topLeftCell="A25" zoomScaleNormal="100" workbookViewId="0">
      <selection activeCell="AO33" sqref="AO33"/>
    </sheetView>
  </sheetViews>
  <sheetFormatPr defaultColWidth="2.85546875" defaultRowHeight="11.25"/>
  <cols>
    <col min="1" max="16384" width="2.85546875" style="23"/>
  </cols>
  <sheetData>
    <row r="1" spans="1:36" s="2" customFormat="1" ht="18.95" customHeight="1">
      <c r="A1" s="108"/>
      <c r="B1" s="109"/>
      <c r="C1" s="109"/>
      <c r="D1" s="110" t="s">
        <v>90</v>
      </c>
      <c r="E1" s="111"/>
      <c r="F1" s="112"/>
      <c r="G1" s="544" t="str">
        <f>IF(詳細設計書!G1="","N/A",詳細設計書!G1)</f>
        <v>統合会計システム開発</v>
      </c>
      <c r="H1" s="544"/>
      <c r="I1" s="544"/>
      <c r="J1" s="544"/>
      <c r="K1" s="544"/>
      <c r="L1" s="544"/>
      <c r="M1" s="544"/>
      <c r="N1" s="544"/>
      <c r="O1" s="544"/>
      <c r="P1" s="544"/>
      <c r="Q1" s="545"/>
      <c r="R1" s="110" t="s">
        <v>283</v>
      </c>
      <c r="S1" s="111"/>
      <c r="T1" s="111"/>
      <c r="U1" s="113"/>
      <c r="V1" s="575">
        <f>IF(詳細設計書!S1="","N/A",詳細設計書!S1)</f>
        <v>42509</v>
      </c>
      <c r="W1" s="576"/>
      <c r="X1" s="576"/>
      <c r="Y1" s="576"/>
      <c r="Z1" s="576"/>
      <c r="AA1" s="576"/>
      <c r="AB1" s="577"/>
      <c r="AC1" s="110" t="s">
        <v>284</v>
      </c>
      <c r="AD1" s="114"/>
      <c r="AE1" s="114"/>
      <c r="AF1" s="115"/>
      <c r="AG1" s="686">
        <f>IF(詳細設計書!AD1="","N/A",詳細設計書!AD1)</f>
        <v>42559</v>
      </c>
      <c r="AH1" s="686"/>
      <c r="AI1" s="686"/>
      <c r="AJ1" s="687"/>
    </row>
    <row r="2" spans="1:36" s="2" customFormat="1" ht="18.95" customHeight="1">
      <c r="A2" s="30"/>
      <c r="D2" s="116" t="s">
        <v>93</v>
      </c>
      <c r="E2" s="34"/>
      <c r="F2" s="117"/>
      <c r="G2" s="550" t="str">
        <f>IF(詳細設計書!G2="","N/A",詳細設計書!G2)</f>
        <v>SAP R/3(レポート)</v>
      </c>
      <c r="H2" s="550"/>
      <c r="I2" s="550"/>
      <c r="J2" s="550"/>
      <c r="K2" s="550"/>
      <c r="L2" s="550"/>
      <c r="M2" s="550"/>
      <c r="N2" s="550"/>
      <c r="O2" s="550"/>
      <c r="P2" s="550"/>
      <c r="Q2" s="551"/>
      <c r="R2" s="116" t="s">
        <v>286</v>
      </c>
      <c r="S2" s="34"/>
      <c r="T2" s="34"/>
      <c r="U2" s="118"/>
      <c r="V2" s="581" t="str">
        <f>IF(詳細設計書!S2="","N/A",詳細設計書!S2)</f>
        <v>KSC 橋本</v>
      </c>
      <c r="W2" s="582"/>
      <c r="X2" s="582"/>
      <c r="Y2" s="582"/>
      <c r="Z2" s="582"/>
      <c r="AA2" s="582"/>
      <c r="AB2" s="583"/>
      <c r="AC2" s="116" t="s">
        <v>288</v>
      </c>
      <c r="AD2" s="119"/>
      <c r="AE2" s="120"/>
      <c r="AF2" s="117"/>
      <c r="AG2" s="585" t="str">
        <f>IF(詳細設計書!AD2="","N/A",詳細設計書!AD2)</f>
        <v>KSC 橋本</v>
      </c>
      <c r="AH2" s="585"/>
      <c r="AI2" s="585"/>
      <c r="AJ2" s="586"/>
    </row>
    <row r="3" spans="1:36" s="129" customFormat="1" ht="18.95" customHeight="1" thickBot="1">
      <c r="A3" s="4"/>
      <c r="B3" s="1"/>
      <c r="C3" s="121"/>
      <c r="D3" s="122" t="s">
        <v>96</v>
      </c>
      <c r="E3" s="123"/>
      <c r="F3" s="124"/>
      <c r="G3" s="563" t="str">
        <f>IF(詳細設計書!G3="","N/A",詳細設計書!G3)</f>
        <v>DP_FI_2014_01</v>
      </c>
      <c r="H3" s="564"/>
      <c r="I3" s="564"/>
      <c r="J3" s="564"/>
      <c r="K3" s="564"/>
      <c r="L3" s="564"/>
      <c r="M3" s="564"/>
      <c r="N3" s="564"/>
      <c r="O3" s="564"/>
      <c r="P3" s="564"/>
      <c r="Q3" s="565"/>
      <c r="R3" s="122" t="s">
        <v>97</v>
      </c>
      <c r="S3" s="123"/>
      <c r="T3" s="123"/>
      <c r="U3" s="125"/>
      <c r="V3" s="566" t="str">
        <f>IF(詳細設計書!S3="","N/A",詳細設計書!S3)</f>
        <v>ZFIPR_2014_01</v>
      </c>
      <c r="W3" s="566"/>
      <c r="X3" s="566"/>
      <c r="Y3" s="566"/>
      <c r="Z3" s="566"/>
      <c r="AA3" s="566"/>
      <c r="AB3" s="566"/>
      <c r="AC3" s="566"/>
      <c r="AD3" s="566"/>
      <c r="AE3" s="566"/>
      <c r="AF3" s="566"/>
      <c r="AG3" s="566"/>
      <c r="AH3" s="566"/>
      <c r="AI3" s="566"/>
      <c r="AJ3" s="567"/>
    </row>
    <row r="4" spans="1:36" s="129" customFormat="1" ht="18.95" customHeight="1" thickBot="1">
      <c r="A4" s="31" t="s">
        <v>292</v>
      </c>
      <c r="B4" s="127"/>
      <c r="C4" s="128"/>
      <c r="D4" s="353" t="s">
        <v>503</v>
      </c>
      <c r="E4" s="126"/>
      <c r="F4" s="126"/>
      <c r="G4" s="126"/>
      <c r="H4" s="126"/>
      <c r="I4" s="126"/>
      <c r="J4" s="126"/>
      <c r="K4" s="126"/>
      <c r="L4" s="126"/>
      <c r="M4" s="126"/>
      <c r="N4" s="126"/>
      <c r="O4" s="126"/>
      <c r="P4" s="126"/>
      <c r="Q4" s="126"/>
      <c r="R4" s="126"/>
      <c r="S4" s="126"/>
      <c r="T4" s="126"/>
      <c r="U4" s="126"/>
      <c r="V4" s="126"/>
      <c r="W4" s="126"/>
      <c r="X4" s="126"/>
      <c r="Y4" s="126"/>
      <c r="Z4" s="126"/>
      <c r="AA4" s="126"/>
      <c r="AB4" s="126"/>
      <c r="AC4" s="31" t="s">
        <v>100</v>
      </c>
      <c r="AD4" s="127"/>
      <c r="AE4" s="128"/>
      <c r="AF4" s="560" t="str">
        <f>詳細設計書!AC4</f>
        <v>1.0</v>
      </c>
      <c r="AG4" s="560"/>
      <c r="AH4" s="560"/>
      <c r="AI4" s="560"/>
      <c r="AJ4" s="561"/>
    </row>
    <row r="5" spans="1:36" ht="7.5" customHeight="1" thickBot="1"/>
    <row r="6" spans="1:36" ht="14.25" customHeight="1" thickBot="1">
      <c r="A6" s="354" t="s">
        <v>504</v>
      </c>
      <c r="B6" s="355"/>
      <c r="C6" s="356"/>
      <c r="D6" s="357">
        <v>2</v>
      </c>
      <c r="E6" s="358"/>
      <c r="F6" s="358"/>
      <c r="G6" s="358"/>
      <c r="H6" s="358"/>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9"/>
    </row>
    <row r="7" spans="1:36" ht="14.25" customHeight="1" thickBot="1">
      <c r="A7" s="145"/>
      <c r="B7" s="360"/>
      <c r="C7" s="360"/>
    </row>
    <row r="8" spans="1:36" ht="14.25" customHeight="1">
      <c r="A8" s="105" t="s">
        <v>505</v>
      </c>
      <c r="B8" s="361"/>
      <c r="C8" s="361"/>
      <c r="D8" s="133"/>
      <c r="E8" s="133"/>
      <c r="F8" s="133"/>
      <c r="G8" s="133"/>
      <c r="H8" s="133"/>
      <c r="I8" s="133"/>
      <c r="J8" s="133"/>
      <c r="K8" s="133"/>
      <c r="L8" s="133"/>
      <c r="M8" s="133"/>
      <c r="N8" s="133"/>
      <c r="O8" s="133"/>
      <c r="P8" s="133"/>
      <c r="Q8" s="133"/>
      <c r="R8" s="133"/>
      <c r="S8" s="133"/>
      <c r="T8" s="133"/>
      <c r="U8" s="133"/>
      <c r="V8" s="133"/>
      <c r="W8" s="133"/>
      <c r="X8" s="133"/>
      <c r="Y8" s="133"/>
      <c r="Z8" s="133"/>
      <c r="AA8" s="133"/>
      <c r="AB8" s="133"/>
      <c r="AC8" s="133"/>
      <c r="AD8" s="133"/>
      <c r="AE8" s="133"/>
      <c r="AF8" s="133"/>
      <c r="AG8" s="133"/>
      <c r="AH8" s="133"/>
      <c r="AI8" s="133"/>
      <c r="AJ8" s="362"/>
    </row>
    <row r="9" spans="1:36" s="284" customFormat="1" ht="15" customHeight="1" thickBot="1">
      <c r="A9" s="134" t="s">
        <v>506</v>
      </c>
      <c r="B9" s="135"/>
      <c r="C9" s="363" t="s">
        <v>507</v>
      </c>
      <c r="D9" s="135"/>
      <c r="E9" s="364"/>
      <c r="F9" s="365"/>
      <c r="G9" s="366" t="s">
        <v>508</v>
      </c>
      <c r="H9" s="367"/>
      <c r="I9" s="367"/>
      <c r="J9" s="368"/>
      <c r="K9" s="369"/>
      <c r="L9" s="367" t="s">
        <v>509</v>
      </c>
      <c r="M9" s="368"/>
      <c r="N9" s="368"/>
      <c r="O9" s="368"/>
      <c r="P9" s="368"/>
      <c r="Q9" s="368"/>
      <c r="R9" s="368"/>
      <c r="S9" s="368"/>
      <c r="T9" s="370" t="s">
        <v>510</v>
      </c>
      <c r="U9" s="135"/>
      <c r="V9" s="135"/>
      <c r="W9" s="135"/>
      <c r="X9" s="135"/>
      <c r="Y9" s="363" t="s">
        <v>511</v>
      </c>
      <c r="Z9" s="135"/>
      <c r="AA9" s="135"/>
      <c r="AB9" s="135"/>
      <c r="AC9" s="135"/>
      <c r="AD9" s="135"/>
      <c r="AE9" s="135"/>
      <c r="AF9" s="135"/>
      <c r="AG9" s="135"/>
      <c r="AH9" s="135"/>
      <c r="AI9" s="364"/>
      <c r="AJ9" s="371"/>
    </row>
    <row r="10" spans="1:36" ht="12" thickTop="1">
      <c r="A10" s="684">
        <v>1</v>
      </c>
      <c r="B10" s="685"/>
      <c r="C10" s="678" t="s">
        <v>550</v>
      </c>
      <c r="D10" s="679"/>
      <c r="E10" s="679"/>
      <c r="F10" s="680"/>
      <c r="G10" s="863" t="s">
        <v>551</v>
      </c>
      <c r="H10" s="864"/>
      <c r="I10" s="864"/>
      <c r="J10" s="864"/>
      <c r="K10" s="865"/>
      <c r="L10" s="670" t="s">
        <v>552</v>
      </c>
      <c r="M10" s="671"/>
      <c r="N10" s="671"/>
      <c r="O10" s="671"/>
      <c r="P10" s="671"/>
      <c r="Q10" s="671"/>
      <c r="R10" s="671"/>
      <c r="S10" s="672"/>
      <c r="T10" s="863">
        <v>1</v>
      </c>
      <c r="U10" s="864"/>
      <c r="V10" s="864"/>
      <c r="W10" s="864"/>
      <c r="X10" s="373" t="s">
        <v>515</v>
      </c>
      <c r="Y10" s="372"/>
      <c r="Z10" s="373"/>
      <c r="AA10" s="373"/>
      <c r="AB10" s="373"/>
      <c r="AC10" s="373"/>
      <c r="AD10" s="373"/>
      <c r="AE10" s="373"/>
      <c r="AF10" s="374"/>
      <c r="AG10" s="374"/>
      <c r="AH10" s="374"/>
      <c r="AJ10" s="136"/>
    </row>
    <row r="11" spans="1:36" ht="15" customHeight="1">
      <c r="A11" s="676"/>
      <c r="B11" s="677"/>
      <c r="C11" s="681"/>
      <c r="D11" s="682"/>
      <c r="E11" s="682"/>
      <c r="F11" s="683"/>
      <c r="G11" s="866"/>
      <c r="H11" s="867"/>
      <c r="I11" s="867"/>
      <c r="J11" s="867"/>
      <c r="K11" s="868"/>
      <c r="L11" s="673"/>
      <c r="M11" s="674"/>
      <c r="N11" s="674"/>
      <c r="O11" s="674"/>
      <c r="P11" s="674"/>
      <c r="Q11" s="674"/>
      <c r="R11" s="674"/>
      <c r="S11" s="675"/>
      <c r="T11" s="866"/>
      <c r="U11" s="867"/>
      <c r="V11" s="867"/>
      <c r="W11" s="867"/>
      <c r="X11" s="137" t="s">
        <v>516</v>
      </c>
      <c r="Y11" s="375"/>
      <c r="Z11" s="137"/>
      <c r="AA11" s="137"/>
      <c r="AB11" s="137"/>
      <c r="AC11" s="137"/>
      <c r="AD11" s="137"/>
      <c r="AE11" s="137"/>
      <c r="AF11" s="138"/>
      <c r="AG11" s="138"/>
      <c r="AH11" s="138"/>
      <c r="AJ11" s="136"/>
    </row>
    <row r="12" spans="1:36" ht="15" customHeight="1">
      <c r="A12" s="676"/>
      <c r="B12" s="677"/>
      <c r="C12" s="681"/>
      <c r="D12" s="682"/>
      <c r="E12" s="682"/>
      <c r="F12" s="683"/>
      <c r="G12" s="866"/>
      <c r="H12" s="867"/>
      <c r="I12" s="867"/>
      <c r="J12" s="867"/>
      <c r="K12" s="868"/>
      <c r="L12" s="667"/>
      <c r="M12" s="668"/>
      <c r="N12" s="668"/>
      <c r="O12" s="668"/>
      <c r="P12" s="668"/>
      <c r="Q12" s="668"/>
      <c r="R12" s="668"/>
      <c r="S12" s="669"/>
      <c r="T12" s="866"/>
      <c r="U12" s="867"/>
      <c r="V12" s="867"/>
      <c r="W12" s="867"/>
      <c r="X12" s="137" t="s">
        <v>516</v>
      </c>
      <c r="Y12" s="375"/>
      <c r="Z12" s="137"/>
      <c r="AA12" s="137"/>
      <c r="AB12" s="137"/>
      <c r="AC12" s="137"/>
      <c r="AD12" s="137"/>
      <c r="AE12" s="137"/>
      <c r="AF12" s="138"/>
      <c r="AG12" s="138"/>
      <c r="AH12" s="138"/>
      <c r="AJ12" s="136"/>
    </row>
    <row r="13" spans="1:36" ht="15" customHeight="1">
      <c r="A13" s="676"/>
      <c r="B13" s="677"/>
      <c r="C13" s="681"/>
      <c r="D13" s="682"/>
      <c r="E13" s="682"/>
      <c r="F13" s="683"/>
      <c r="G13" s="866"/>
      <c r="H13" s="867"/>
      <c r="I13" s="867"/>
      <c r="J13" s="867"/>
      <c r="K13" s="868"/>
      <c r="L13" s="866"/>
      <c r="M13" s="867"/>
      <c r="N13" s="867"/>
      <c r="O13" s="867"/>
      <c r="P13" s="867"/>
      <c r="Q13" s="867"/>
      <c r="R13" s="867"/>
      <c r="S13" s="868"/>
      <c r="T13" s="866"/>
      <c r="U13" s="867"/>
      <c r="V13" s="867"/>
      <c r="W13" s="867"/>
      <c r="X13" s="137" t="s">
        <v>516</v>
      </c>
      <c r="Y13" s="375"/>
      <c r="Z13" s="137"/>
      <c r="AA13" s="137"/>
      <c r="AB13" s="137"/>
      <c r="AC13" s="137"/>
      <c r="AD13" s="137"/>
      <c r="AE13" s="137"/>
      <c r="AF13" s="138"/>
      <c r="AG13" s="138"/>
      <c r="AH13" s="138"/>
      <c r="AJ13" s="136"/>
    </row>
    <row r="14" spans="1:36" ht="15" customHeight="1">
      <c r="A14" s="665"/>
      <c r="B14" s="666"/>
      <c r="C14" s="662"/>
      <c r="D14" s="663"/>
      <c r="E14" s="663"/>
      <c r="F14" s="664"/>
      <c r="G14" s="869"/>
      <c r="H14" s="870"/>
      <c r="I14" s="870"/>
      <c r="J14" s="870"/>
      <c r="K14" s="871"/>
      <c r="L14" s="869"/>
      <c r="M14" s="870"/>
      <c r="N14" s="870"/>
      <c r="O14" s="870"/>
      <c r="P14" s="870"/>
      <c r="Q14" s="870"/>
      <c r="R14" s="870"/>
      <c r="S14" s="871"/>
      <c r="T14" s="869"/>
      <c r="U14" s="870"/>
      <c r="V14" s="870"/>
      <c r="W14" s="870"/>
      <c r="X14" s="377" t="s">
        <v>515</v>
      </c>
      <c r="Y14" s="376"/>
      <c r="Z14" s="377"/>
      <c r="AA14" s="377"/>
      <c r="AB14" s="377"/>
      <c r="AC14" s="377"/>
      <c r="AD14" s="377"/>
      <c r="AE14" s="377"/>
      <c r="AF14" s="378"/>
      <c r="AG14" s="378"/>
      <c r="AH14" s="378"/>
      <c r="AI14" s="139"/>
      <c r="AJ14" s="379"/>
    </row>
    <row r="15" spans="1:36" ht="14.25" customHeight="1">
      <c r="A15" s="107" t="s">
        <v>517</v>
      </c>
      <c r="B15" s="380"/>
      <c r="C15" s="380"/>
      <c r="D15" s="380"/>
      <c r="E15" s="380"/>
      <c r="F15" s="380"/>
      <c r="G15" s="380"/>
      <c r="H15" s="380"/>
      <c r="I15" s="380"/>
      <c r="J15" s="380"/>
      <c r="K15" s="380"/>
      <c r="L15" s="380"/>
      <c r="M15" s="380"/>
      <c r="N15" s="380"/>
      <c r="O15" s="380"/>
      <c r="P15" s="380"/>
      <c r="Q15" s="380"/>
      <c r="R15" s="380"/>
      <c r="S15" s="380"/>
      <c r="T15" s="380"/>
      <c r="U15" s="380"/>
      <c r="V15" s="380"/>
      <c r="W15" s="380"/>
      <c r="X15" s="380"/>
      <c r="Y15" s="380"/>
      <c r="Z15" s="380"/>
      <c r="AA15" s="380"/>
      <c r="AB15" s="380"/>
      <c r="AC15" s="380"/>
      <c r="AD15" s="380"/>
      <c r="AE15" s="380"/>
      <c r="AF15" s="380"/>
      <c r="AG15" s="380"/>
      <c r="AH15" s="380"/>
      <c r="AI15" s="380"/>
      <c r="AJ15" s="381"/>
    </row>
    <row r="16" spans="1:36" ht="14.25" customHeight="1">
      <c r="A16" s="351"/>
      <c r="B16" s="140"/>
      <c r="C16" s="140"/>
      <c r="D16" s="140"/>
      <c r="E16" s="140"/>
      <c r="F16" s="140"/>
      <c r="G16" s="140"/>
      <c r="H16" s="140"/>
      <c r="I16" s="140"/>
      <c r="J16" s="140"/>
      <c r="K16" s="140"/>
      <c r="L16" s="140"/>
      <c r="M16" s="140"/>
      <c r="N16" s="140"/>
      <c r="O16" s="140"/>
      <c r="P16" s="140"/>
      <c r="Q16" s="140"/>
      <c r="R16" s="140"/>
      <c r="S16" s="140"/>
      <c r="T16" s="140"/>
      <c r="U16" s="140"/>
      <c r="V16" s="140"/>
      <c r="W16" s="140"/>
      <c r="X16" s="140"/>
      <c r="Y16" s="140"/>
      <c r="Z16" s="140"/>
      <c r="AA16" s="140"/>
      <c r="AB16" s="140"/>
      <c r="AC16" s="140"/>
      <c r="AD16" s="140"/>
      <c r="AE16" s="140"/>
      <c r="AF16" s="140"/>
      <c r="AG16" s="140"/>
      <c r="AH16" s="140"/>
      <c r="AI16" s="140"/>
      <c r="AJ16" s="382"/>
    </row>
    <row r="17" spans="1:36" ht="14.25" customHeight="1">
      <c r="A17" s="101"/>
      <c r="B17" s="300" t="s">
        <v>553</v>
      </c>
      <c r="AJ17" s="136"/>
    </row>
    <row r="18" spans="1:36" ht="14.25" customHeight="1">
      <c r="A18" s="101"/>
      <c r="AJ18" s="136"/>
    </row>
    <row r="19" spans="1:36" ht="14.25" customHeight="1">
      <c r="A19" s="101"/>
      <c r="AJ19" s="136"/>
    </row>
    <row r="20" spans="1:36" ht="14.25" customHeight="1">
      <c r="A20" s="101"/>
      <c r="AJ20" s="136"/>
    </row>
    <row r="21" spans="1:36" ht="14.25" customHeight="1">
      <c r="A21" s="101"/>
      <c r="AJ21" s="136"/>
    </row>
    <row r="22" spans="1:36" ht="14.25" customHeight="1">
      <c r="A22" s="352"/>
      <c r="B22" s="139"/>
      <c r="C22" s="139"/>
      <c r="D22" s="139"/>
      <c r="E22" s="139"/>
      <c r="F22" s="139"/>
      <c r="G22" s="139"/>
      <c r="H22" s="139"/>
      <c r="I22" s="139"/>
      <c r="J22" s="139"/>
      <c r="K22" s="139"/>
      <c r="L22" s="139"/>
      <c r="M22" s="139"/>
      <c r="N22" s="139"/>
      <c r="O22" s="139"/>
      <c r="P22" s="139"/>
      <c r="Q22" s="139"/>
      <c r="R22" s="139"/>
      <c r="S22" s="139"/>
      <c r="T22" s="139"/>
      <c r="U22" s="139"/>
      <c r="V22" s="139"/>
      <c r="W22" s="139"/>
      <c r="X22" s="139"/>
      <c r="Y22" s="139"/>
      <c r="Z22" s="139"/>
      <c r="AA22" s="139"/>
      <c r="AB22" s="139"/>
      <c r="AC22" s="139"/>
      <c r="AD22" s="139"/>
      <c r="AE22" s="139"/>
      <c r="AF22" s="139"/>
      <c r="AG22" s="139"/>
      <c r="AH22" s="139"/>
      <c r="AI22" s="139"/>
      <c r="AJ22" s="379"/>
    </row>
    <row r="23" spans="1:36" ht="14.25" customHeight="1">
      <c r="A23" s="107" t="s">
        <v>519</v>
      </c>
      <c r="B23" s="380"/>
      <c r="C23" s="380"/>
      <c r="D23" s="380"/>
      <c r="E23" s="380"/>
      <c r="F23" s="380"/>
      <c r="G23" s="380"/>
      <c r="H23" s="380"/>
      <c r="I23" s="380"/>
      <c r="J23" s="380"/>
      <c r="K23" s="380"/>
      <c r="L23" s="380"/>
      <c r="M23" s="380"/>
      <c r="N23" s="380"/>
      <c r="O23" s="380"/>
      <c r="P23" s="380"/>
      <c r="Q23" s="380"/>
      <c r="R23" s="380"/>
      <c r="S23" s="380"/>
      <c r="T23" s="380"/>
      <c r="U23" s="380"/>
      <c r="V23" s="380"/>
      <c r="W23" s="380"/>
      <c r="X23" s="380"/>
      <c r="Y23" s="380"/>
      <c r="Z23" s="380"/>
      <c r="AA23" s="380"/>
      <c r="AB23" s="380"/>
      <c r="AC23" s="380"/>
      <c r="AD23" s="380"/>
      <c r="AE23" s="380"/>
      <c r="AF23" s="380"/>
      <c r="AG23" s="380"/>
      <c r="AH23" s="380"/>
      <c r="AI23" s="380"/>
      <c r="AJ23" s="381"/>
    </row>
    <row r="24" spans="1:36" ht="14.25" customHeight="1">
      <c r="A24" s="351"/>
      <c r="B24" s="140"/>
      <c r="C24" s="140"/>
      <c r="D24" s="140"/>
      <c r="E24" s="140"/>
      <c r="F24" s="140"/>
      <c r="G24" s="140"/>
      <c r="H24" s="140"/>
      <c r="I24" s="140"/>
      <c r="J24" s="140"/>
      <c r="K24" s="140"/>
      <c r="L24" s="140"/>
      <c r="M24" s="140"/>
      <c r="N24" s="140"/>
      <c r="O24" s="140"/>
      <c r="P24" s="140"/>
      <c r="Q24" s="140"/>
      <c r="R24" s="140"/>
      <c r="S24" s="140"/>
      <c r="T24" s="140"/>
      <c r="U24" s="140"/>
      <c r="V24" s="140"/>
      <c r="W24" s="140"/>
      <c r="X24" s="140"/>
      <c r="Y24" s="140"/>
      <c r="Z24" s="140"/>
      <c r="AA24" s="140"/>
      <c r="AB24" s="140"/>
      <c r="AC24" s="140"/>
      <c r="AD24" s="140"/>
      <c r="AE24" s="140"/>
      <c r="AF24" s="140"/>
      <c r="AG24" s="140"/>
      <c r="AH24" s="140"/>
      <c r="AI24" s="140"/>
      <c r="AJ24" s="382"/>
    </row>
    <row r="25" spans="1:36" ht="14.25" customHeight="1">
      <c r="A25" s="101"/>
      <c r="B25" s="23" t="s">
        <v>554</v>
      </c>
      <c r="AJ25" s="136"/>
    </row>
    <row r="26" spans="1:36" ht="14.25" customHeight="1">
      <c r="A26" s="101"/>
      <c r="AJ26" s="136"/>
    </row>
    <row r="27" spans="1:36" ht="14.25" customHeight="1">
      <c r="A27" s="101"/>
      <c r="AJ27" s="136"/>
    </row>
    <row r="28" spans="1:36" ht="14.25" customHeight="1">
      <c r="A28" s="101"/>
      <c r="D28" s="284"/>
      <c r="E28" s="284"/>
      <c r="P28" s="284"/>
      <c r="Q28" s="284"/>
      <c r="AD28" s="284"/>
      <c r="AJ28" s="136"/>
    </row>
    <row r="29" spans="1:36" ht="14.25" customHeight="1">
      <c r="A29" s="101"/>
      <c r="D29" s="284"/>
      <c r="E29" s="284"/>
      <c r="P29" s="284"/>
      <c r="Q29" s="284"/>
      <c r="AD29" s="284"/>
      <c r="AJ29" s="136"/>
    </row>
    <row r="30" spans="1:36" ht="14.25" customHeight="1">
      <c r="A30" s="101"/>
      <c r="AJ30" s="136"/>
    </row>
    <row r="31" spans="1:36" ht="14.25" customHeight="1">
      <c r="A31" s="101"/>
      <c r="AJ31" s="136"/>
    </row>
    <row r="32" spans="1:36" ht="14.25" customHeight="1">
      <c r="A32" s="101"/>
      <c r="AJ32" s="136"/>
    </row>
    <row r="33" spans="1:36" ht="14.25" customHeight="1">
      <c r="A33" s="107" t="s">
        <v>520</v>
      </c>
      <c r="B33" s="380"/>
      <c r="C33" s="380"/>
      <c r="D33" s="380"/>
      <c r="E33" s="380"/>
      <c r="F33" s="380"/>
      <c r="G33" s="380"/>
      <c r="H33" s="380"/>
      <c r="I33" s="380"/>
      <c r="J33" s="380"/>
      <c r="K33" s="380"/>
      <c r="L33" s="380"/>
      <c r="M33" s="380"/>
      <c r="N33" s="380"/>
      <c r="O33" s="380"/>
      <c r="P33" s="380"/>
      <c r="Q33" s="380"/>
      <c r="R33" s="380"/>
      <c r="S33" s="380"/>
      <c r="T33" s="380"/>
      <c r="U33" s="380"/>
      <c r="V33" s="380"/>
      <c r="W33" s="380"/>
      <c r="X33" s="380"/>
      <c r="Y33" s="380"/>
      <c r="Z33" s="380"/>
      <c r="AA33" s="380"/>
      <c r="AB33" s="380"/>
      <c r="AC33" s="380"/>
      <c r="AD33" s="380"/>
      <c r="AE33" s="380"/>
      <c r="AF33" s="380"/>
      <c r="AG33" s="380"/>
      <c r="AH33" s="380"/>
      <c r="AI33" s="380"/>
      <c r="AJ33" s="381"/>
    </row>
    <row r="34" spans="1:36" ht="14.25" customHeight="1" thickBot="1">
      <c r="A34" s="134" t="s">
        <v>329</v>
      </c>
      <c r="B34" s="135"/>
      <c r="C34" s="141"/>
      <c r="D34" s="363" t="s">
        <v>521</v>
      </c>
      <c r="E34" s="135"/>
      <c r="F34" s="135"/>
      <c r="G34" s="141"/>
      <c r="H34" s="135" t="s">
        <v>522</v>
      </c>
      <c r="I34" s="135"/>
      <c r="J34" s="135"/>
      <c r="K34" s="135"/>
      <c r="L34" s="135"/>
      <c r="M34" s="135"/>
      <c r="N34" s="135"/>
      <c r="O34" s="135"/>
      <c r="P34" s="135"/>
      <c r="Q34" s="135"/>
      <c r="R34" s="135"/>
      <c r="S34" s="135"/>
      <c r="T34" s="364"/>
      <c r="U34" s="135"/>
      <c r="V34" s="135"/>
      <c r="W34" s="135"/>
      <c r="X34" s="135"/>
      <c r="Y34" s="135"/>
      <c r="Z34" s="135"/>
      <c r="AA34" s="135"/>
      <c r="AB34" s="135"/>
      <c r="AC34" s="135"/>
      <c r="AD34" s="135"/>
      <c r="AE34" s="135"/>
      <c r="AF34" s="135"/>
      <c r="AG34" s="135"/>
      <c r="AH34" s="135"/>
      <c r="AI34" s="135"/>
      <c r="AJ34" s="383"/>
    </row>
    <row r="35" spans="1:36" ht="14.25" customHeight="1" thickTop="1">
      <c r="A35" s="659">
        <v>1</v>
      </c>
      <c r="B35" s="660"/>
      <c r="C35" s="661"/>
      <c r="D35" s="656" t="s">
        <v>551</v>
      </c>
      <c r="E35" s="657"/>
      <c r="F35" s="657"/>
      <c r="G35" s="658"/>
      <c r="I35" s="23" t="s">
        <v>555</v>
      </c>
      <c r="Q35" s="23" t="s">
        <v>524</v>
      </c>
      <c r="S35" s="23" t="s">
        <v>556</v>
      </c>
      <c r="AJ35" s="136"/>
    </row>
    <row r="36" spans="1:36" ht="14.25" customHeight="1">
      <c r="A36" s="653"/>
      <c r="B36" s="710"/>
      <c r="C36" s="711"/>
      <c r="D36" s="650"/>
      <c r="E36" s="651"/>
      <c r="F36" s="651"/>
      <c r="G36" s="652"/>
      <c r="AJ36" s="136"/>
    </row>
    <row r="37" spans="1:36" ht="14.25" customHeight="1">
      <c r="A37" s="653"/>
      <c r="B37" s="710"/>
      <c r="C37" s="711"/>
      <c r="D37" s="650"/>
      <c r="E37" s="651"/>
      <c r="F37" s="651"/>
      <c r="G37" s="652"/>
      <c r="AJ37" s="136"/>
    </row>
    <row r="38" spans="1:36" ht="14.25" customHeight="1">
      <c r="A38" s="653"/>
      <c r="B38" s="710"/>
      <c r="C38" s="711"/>
      <c r="D38" s="650"/>
      <c r="E38" s="651"/>
      <c r="F38" s="651"/>
      <c r="G38" s="652"/>
      <c r="AJ38" s="136"/>
    </row>
    <row r="39" spans="1:36" ht="14.25" customHeight="1">
      <c r="A39" s="706"/>
      <c r="B39" s="654"/>
      <c r="C39" s="655"/>
      <c r="D39" s="650"/>
      <c r="E39" s="651"/>
      <c r="F39" s="651"/>
      <c r="G39" s="652"/>
      <c r="V39" s="130"/>
      <c r="AJ39" s="136"/>
    </row>
    <row r="40" spans="1:36" ht="14.25" customHeight="1">
      <c r="A40" s="706"/>
      <c r="B40" s="654"/>
      <c r="C40" s="655"/>
      <c r="D40" s="694"/>
      <c r="E40" s="695"/>
      <c r="F40" s="695"/>
      <c r="G40" s="677"/>
      <c r="AJ40" s="136"/>
    </row>
    <row r="41" spans="1:36">
      <c r="A41" s="107" t="s">
        <v>533</v>
      </c>
      <c r="B41" s="149"/>
      <c r="C41" s="149"/>
      <c r="D41" s="380"/>
      <c r="E41" s="380"/>
      <c r="F41" s="380"/>
      <c r="G41" s="380"/>
      <c r="H41" s="380"/>
      <c r="I41" s="380"/>
      <c r="J41" s="380"/>
      <c r="K41" s="380"/>
      <c r="L41" s="380"/>
      <c r="M41" s="380"/>
      <c r="N41" s="380"/>
      <c r="O41" s="380"/>
      <c r="P41" s="380"/>
      <c r="Q41" s="380"/>
      <c r="R41" s="380"/>
      <c r="S41" s="380"/>
      <c r="T41" s="380"/>
      <c r="U41" s="380"/>
      <c r="V41" s="380"/>
      <c r="W41" s="380"/>
      <c r="X41" s="380"/>
      <c r="Y41" s="380"/>
      <c r="Z41" s="380"/>
      <c r="AA41" s="380"/>
      <c r="AB41" s="380"/>
      <c r="AC41" s="380"/>
      <c r="AD41" s="380"/>
      <c r="AE41" s="380"/>
      <c r="AF41" s="380"/>
      <c r="AG41" s="380"/>
      <c r="AH41" s="380"/>
      <c r="AI41" s="380"/>
      <c r="AJ41" s="381"/>
    </row>
    <row r="42" spans="1:36" ht="14.25" thickBot="1">
      <c r="A42" s="134" t="s">
        <v>329</v>
      </c>
      <c r="B42" s="135"/>
      <c r="C42" s="363" t="s">
        <v>534</v>
      </c>
      <c r="D42" s="135"/>
      <c r="E42" s="364"/>
      <c r="F42" s="365"/>
      <c r="G42" s="370" t="s">
        <v>535</v>
      </c>
      <c r="H42" s="367"/>
      <c r="I42" s="367"/>
      <c r="J42" s="368"/>
      <c r="K42" s="369"/>
      <c r="L42" s="367" t="s">
        <v>536</v>
      </c>
      <c r="M42" s="368"/>
      <c r="N42" s="368"/>
      <c r="O42" s="368"/>
      <c r="P42" s="368"/>
      <c r="Q42" s="368"/>
      <c r="R42" s="368"/>
      <c r="S42" s="368"/>
      <c r="T42" s="370" t="s">
        <v>537</v>
      </c>
      <c r="U42" s="135"/>
      <c r="V42" s="135"/>
      <c r="W42" s="135"/>
      <c r="X42" s="135"/>
      <c r="Y42" s="135"/>
      <c r="Z42" s="135"/>
      <c r="AA42" s="135"/>
      <c r="AB42" s="135"/>
      <c r="AC42" s="135"/>
      <c r="AD42" s="135"/>
      <c r="AE42" s="135"/>
      <c r="AF42" s="135"/>
      <c r="AG42" s="135"/>
      <c r="AH42" s="135"/>
      <c r="AI42" s="364"/>
      <c r="AJ42" s="371"/>
    </row>
    <row r="43" spans="1:36" ht="12" thickTop="1">
      <c r="A43" s="676">
        <v>1</v>
      </c>
      <c r="B43" s="677"/>
      <c r="C43" s="495" t="s">
        <v>538</v>
      </c>
      <c r="D43" s="471"/>
      <c r="E43" s="471"/>
      <c r="F43" s="472"/>
      <c r="G43" s="465" t="s">
        <v>539</v>
      </c>
      <c r="H43" s="466"/>
      <c r="I43" s="466"/>
      <c r="J43" s="466"/>
      <c r="K43" s="466"/>
      <c r="L43" s="707" t="s">
        <v>557</v>
      </c>
      <c r="M43" s="708"/>
      <c r="N43" s="708"/>
      <c r="O43" s="708"/>
      <c r="P43" s="708"/>
      <c r="Q43" s="708"/>
      <c r="R43" s="708"/>
      <c r="S43" s="709"/>
      <c r="T43" s="147"/>
      <c r="X43" s="137"/>
      <c r="Y43" s="137"/>
      <c r="Z43" s="137"/>
      <c r="AA43" s="137"/>
      <c r="AB43" s="137"/>
      <c r="AC43" s="137"/>
      <c r="AD43" s="137"/>
      <c r="AE43" s="137"/>
      <c r="AF43" s="138"/>
      <c r="AG43" s="138"/>
      <c r="AH43" s="138"/>
      <c r="AJ43" s="136"/>
    </row>
    <row r="44" spans="1:36">
      <c r="A44" s="676">
        <v>2</v>
      </c>
      <c r="B44" s="677"/>
      <c r="C44" s="496" t="s">
        <v>558</v>
      </c>
      <c r="D44" s="473"/>
      <c r="E44" s="473"/>
      <c r="F44" s="474"/>
      <c r="G44" s="464" t="s">
        <v>559</v>
      </c>
      <c r="H44" s="467"/>
      <c r="I44" s="467"/>
      <c r="J44" s="467"/>
      <c r="K44" s="467"/>
      <c r="L44" s="707" t="s">
        <v>557</v>
      </c>
      <c r="M44" s="708"/>
      <c r="N44" s="708"/>
      <c r="O44" s="708"/>
      <c r="P44" s="708"/>
      <c r="Q44" s="708"/>
      <c r="R44" s="708"/>
      <c r="S44" s="709"/>
      <c r="T44" s="147"/>
      <c r="X44" s="137"/>
      <c r="Y44" s="137"/>
      <c r="Z44" s="137"/>
      <c r="AA44" s="137"/>
      <c r="AB44" s="137"/>
      <c r="AC44" s="137"/>
      <c r="AD44" s="137"/>
      <c r="AE44" s="137"/>
      <c r="AF44" s="138"/>
      <c r="AG44" s="138"/>
      <c r="AH44" s="138"/>
      <c r="AJ44" s="136"/>
    </row>
    <row r="45" spans="1:36">
      <c r="A45" s="676">
        <v>3</v>
      </c>
      <c r="B45" s="677"/>
      <c r="C45" s="496" t="s">
        <v>560</v>
      </c>
      <c r="D45" s="473"/>
      <c r="E45" s="473"/>
      <c r="F45" s="474"/>
      <c r="G45" s="464" t="s">
        <v>561</v>
      </c>
      <c r="H45" s="467"/>
      <c r="I45" s="467"/>
      <c r="J45" s="467"/>
      <c r="K45" s="467"/>
      <c r="L45" s="707" t="s">
        <v>557</v>
      </c>
      <c r="M45" s="708"/>
      <c r="N45" s="708"/>
      <c r="O45" s="708"/>
      <c r="P45" s="708"/>
      <c r="Q45" s="708"/>
      <c r="R45" s="708"/>
      <c r="S45" s="709"/>
      <c r="T45" s="147"/>
      <c r="X45" s="137"/>
      <c r="Y45" s="137"/>
      <c r="Z45" s="137"/>
      <c r="AA45" s="137"/>
      <c r="AB45" s="137"/>
      <c r="AC45" s="137"/>
      <c r="AD45" s="137"/>
      <c r="AE45" s="137"/>
      <c r="AF45" s="138"/>
      <c r="AG45" s="138"/>
      <c r="AH45" s="138"/>
      <c r="AJ45" s="136"/>
    </row>
    <row r="46" spans="1:36">
      <c r="A46" s="676">
        <v>4</v>
      </c>
      <c r="B46" s="677"/>
      <c r="C46" s="496" t="s">
        <v>562</v>
      </c>
      <c r="D46" s="473"/>
      <c r="E46" s="473"/>
      <c r="F46" s="474"/>
      <c r="G46" s="464" t="s">
        <v>563</v>
      </c>
      <c r="H46" s="467"/>
      <c r="I46" s="467"/>
      <c r="J46" s="467"/>
      <c r="K46" s="467"/>
      <c r="L46" s="707" t="s">
        <v>557</v>
      </c>
      <c r="M46" s="708"/>
      <c r="N46" s="708"/>
      <c r="O46" s="708"/>
      <c r="P46" s="708"/>
      <c r="Q46" s="708"/>
      <c r="R46" s="708"/>
      <c r="S46" s="709"/>
      <c r="T46" s="147"/>
      <c r="X46" s="137"/>
      <c r="Y46" s="137"/>
      <c r="Z46" s="137"/>
      <c r="AA46" s="137"/>
      <c r="AB46" s="137"/>
      <c r="AC46" s="137"/>
      <c r="AD46" s="137"/>
      <c r="AE46" s="137"/>
      <c r="AF46" s="138"/>
      <c r="AG46" s="138"/>
      <c r="AH46" s="138"/>
      <c r="AJ46" s="136"/>
    </row>
    <row r="47" spans="1:36">
      <c r="A47" s="676">
        <v>5</v>
      </c>
      <c r="B47" s="677"/>
      <c r="C47" s="496" t="s">
        <v>564</v>
      </c>
      <c r="D47" s="473"/>
      <c r="E47" s="473"/>
      <c r="F47" s="474"/>
      <c r="G47" s="464" t="s">
        <v>565</v>
      </c>
      <c r="H47" s="467"/>
      <c r="I47" s="467"/>
      <c r="J47" s="467"/>
      <c r="K47" s="467"/>
      <c r="L47" s="707" t="s">
        <v>557</v>
      </c>
      <c r="M47" s="708"/>
      <c r="N47" s="708"/>
      <c r="O47" s="708"/>
      <c r="P47" s="708"/>
      <c r="Q47" s="708"/>
      <c r="R47" s="708"/>
      <c r="S47" s="709"/>
      <c r="T47" s="147"/>
      <c r="X47" s="137"/>
      <c r="Y47" s="137"/>
      <c r="Z47" s="137"/>
      <c r="AA47" s="137"/>
      <c r="AB47" s="137"/>
      <c r="AC47" s="137"/>
      <c r="AD47" s="137"/>
      <c r="AE47" s="137"/>
      <c r="AF47" s="138"/>
      <c r="AG47" s="138"/>
      <c r="AH47" s="138"/>
      <c r="AJ47" s="136"/>
    </row>
    <row r="48" spans="1:36">
      <c r="A48" s="676">
        <v>6</v>
      </c>
      <c r="B48" s="677"/>
      <c r="C48" s="496" t="s">
        <v>566</v>
      </c>
      <c r="D48" s="473"/>
      <c r="E48" s="473"/>
      <c r="F48" s="474"/>
      <c r="G48" s="464" t="s">
        <v>567</v>
      </c>
      <c r="H48" s="467"/>
      <c r="I48" s="467"/>
      <c r="J48" s="467"/>
      <c r="K48" s="467"/>
      <c r="L48" s="707" t="s">
        <v>557</v>
      </c>
      <c r="M48" s="708"/>
      <c r="N48" s="708"/>
      <c r="O48" s="708"/>
      <c r="P48" s="708"/>
      <c r="Q48" s="708"/>
      <c r="R48" s="708"/>
      <c r="S48" s="709"/>
      <c r="T48" s="147"/>
      <c r="X48" s="137"/>
      <c r="Y48" s="137"/>
      <c r="Z48" s="137"/>
      <c r="AA48" s="137"/>
      <c r="AB48" s="137"/>
      <c r="AC48" s="137"/>
      <c r="AD48" s="137"/>
      <c r="AE48" s="137"/>
      <c r="AF48" s="138"/>
      <c r="AG48" s="138"/>
      <c r="AH48" s="138"/>
      <c r="AJ48" s="136"/>
    </row>
    <row r="49" spans="1:36">
      <c r="A49" s="676">
        <v>7</v>
      </c>
      <c r="B49" s="677"/>
      <c r="C49" s="496" t="s">
        <v>568</v>
      </c>
      <c r="D49" s="473"/>
      <c r="E49" s="473"/>
      <c r="F49" s="474"/>
      <c r="G49" s="464" t="s">
        <v>569</v>
      </c>
      <c r="H49" s="467"/>
      <c r="I49" s="467"/>
      <c r="J49" s="467"/>
      <c r="K49" s="467"/>
      <c r="L49" s="707" t="s">
        <v>557</v>
      </c>
      <c r="M49" s="708"/>
      <c r="N49" s="708"/>
      <c r="O49" s="708"/>
      <c r="P49" s="708"/>
      <c r="Q49" s="708"/>
      <c r="R49" s="708"/>
      <c r="S49" s="709"/>
      <c r="T49" s="147"/>
      <c r="X49" s="137"/>
      <c r="Y49" s="137"/>
      <c r="Z49" s="137"/>
      <c r="AA49" s="137"/>
      <c r="AB49" s="137"/>
      <c r="AC49" s="137"/>
      <c r="AD49" s="137"/>
      <c r="AE49" s="137"/>
      <c r="AF49" s="138"/>
      <c r="AG49" s="138"/>
      <c r="AH49" s="138"/>
      <c r="AJ49" s="136"/>
    </row>
    <row r="50" spans="1:36">
      <c r="A50" s="676">
        <v>8</v>
      </c>
      <c r="B50" s="677"/>
      <c r="C50" s="496" t="s">
        <v>570</v>
      </c>
      <c r="D50" s="473"/>
      <c r="E50" s="473"/>
      <c r="F50" s="474"/>
      <c r="G50" s="464" t="s">
        <v>571</v>
      </c>
      <c r="H50" s="467"/>
      <c r="I50" s="467"/>
      <c r="J50" s="467"/>
      <c r="K50" s="467"/>
      <c r="L50" s="707" t="s">
        <v>557</v>
      </c>
      <c r="M50" s="708"/>
      <c r="N50" s="708"/>
      <c r="O50" s="708"/>
      <c r="P50" s="708"/>
      <c r="Q50" s="708"/>
      <c r="R50" s="708"/>
      <c r="S50" s="709"/>
      <c r="T50" s="147"/>
      <c r="X50" s="137"/>
      <c r="Y50" s="137"/>
      <c r="Z50" s="137"/>
      <c r="AA50" s="137"/>
      <c r="AB50" s="137"/>
      <c r="AC50" s="137"/>
      <c r="AD50" s="137"/>
      <c r="AE50" s="137"/>
      <c r="AF50" s="138"/>
      <c r="AG50" s="138"/>
      <c r="AH50" s="138"/>
      <c r="AJ50" s="136"/>
    </row>
    <row r="51" spans="1:36">
      <c r="A51" s="676">
        <v>9</v>
      </c>
      <c r="B51" s="677"/>
      <c r="C51" s="496" t="s">
        <v>572</v>
      </c>
      <c r="D51" s="473"/>
      <c r="E51" s="473"/>
      <c r="F51" s="474"/>
      <c r="G51" s="464" t="s">
        <v>573</v>
      </c>
      <c r="H51" s="467"/>
      <c r="I51" s="467"/>
      <c r="J51" s="467"/>
      <c r="K51" s="467"/>
      <c r="L51" s="707" t="s">
        <v>557</v>
      </c>
      <c r="M51" s="708"/>
      <c r="N51" s="708"/>
      <c r="O51" s="708"/>
      <c r="P51" s="708"/>
      <c r="Q51" s="708"/>
      <c r="R51" s="708"/>
      <c r="S51" s="709"/>
      <c r="T51" s="147"/>
      <c r="X51" s="137"/>
      <c r="Y51" s="137"/>
      <c r="Z51" s="137"/>
      <c r="AA51" s="137"/>
      <c r="AB51" s="137"/>
      <c r="AC51" s="137"/>
      <c r="AD51" s="137"/>
      <c r="AE51" s="137"/>
      <c r="AF51" s="138"/>
      <c r="AG51" s="138"/>
      <c r="AH51" s="138"/>
      <c r="AJ51" s="136"/>
    </row>
    <row r="52" spans="1:36">
      <c r="A52" s="676">
        <v>10</v>
      </c>
      <c r="B52" s="677"/>
      <c r="C52" s="496" t="s">
        <v>574</v>
      </c>
      <c r="D52" s="473"/>
      <c r="E52" s="473"/>
      <c r="F52" s="474"/>
      <c r="G52" s="464" t="s">
        <v>561</v>
      </c>
      <c r="H52" s="467"/>
      <c r="I52" s="467"/>
      <c r="J52" s="467"/>
      <c r="K52" s="467"/>
      <c r="L52" s="707" t="s">
        <v>557</v>
      </c>
      <c r="M52" s="708"/>
      <c r="N52" s="708"/>
      <c r="O52" s="708"/>
      <c r="P52" s="708"/>
      <c r="Q52" s="708"/>
      <c r="R52" s="708"/>
      <c r="S52" s="709"/>
      <c r="T52" s="147"/>
      <c r="X52" s="137"/>
      <c r="Y52" s="137"/>
      <c r="Z52" s="137"/>
      <c r="AA52" s="137"/>
      <c r="AB52" s="137"/>
      <c r="AC52" s="137"/>
      <c r="AD52" s="137"/>
      <c r="AE52" s="137"/>
      <c r="AF52" s="138"/>
      <c r="AG52" s="138"/>
      <c r="AH52" s="138"/>
      <c r="AJ52" s="136"/>
    </row>
    <row r="53" spans="1:36">
      <c r="A53" s="676">
        <v>11</v>
      </c>
      <c r="B53" s="677"/>
      <c r="C53" s="496" t="s">
        <v>575</v>
      </c>
      <c r="D53" s="473"/>
      <c r="E53" s="473"/>
      <c r="F53" s="474"/>
      <c r="G53" s="464" t="s">
        <v>576</v>
      </c>
      <c r="H53" s="467"/>
      <c r="I53" s="467"/>
      <c r="J53" s="467"/>
      <c r="K53" s="467"/>
      <c r="L53" s="707" t="s">
        <v>557</v>
      </c>
      <c r="M53" s="708"/>
      <c r="N53" s="708"/>
      <c r="O53" s="708"/>
      <c r="P53" s="708"/>
      <c r="Q53" s="708"/>
      <c r="R53" s="708"/>
      <c r="S53" s="709"/>
      <c r="T53" s="147"/>
      <c r="X53" s="137"/>
      <c r="Y53" s="137"/>
      <c r="Z53" s="137"/>
      <c r="AA53" s="137"/>
      <c r="AB53" s="137"/>
      <c r="AC53" s="137"/>
      <c r="AD53" s="137"/>
      <c r="AE53" s="137"/>
      <c r="AF53" s="138"/>
      <c r="AG53" s="138"/>
      <c r="AH53" s="138"/>
      <c r="AJ53" s="136"/>
    </row>
    <row r="54" spans="1:36">
      <c r="A54" s="676">
        <v>12</v>
      </c>
      <c r="B54" s="677"/>
      <c r="C54" s="496" t="s">
        <v>577</v>
      </c>
      <c r="D54" s="473"/>
      <c r="E54" s="473"/>
      <c r="F54" s="474"/>
      <c r="G54" s="464" t="s">
        <v>578</v>
      </c>
      <c r="H54" s="467"/>
      <c r="I54" s="467"/>
      <c r="J54" s="467"/>
      <c r="K54" s="467"/>
      <c r="L54" s="707" t="s">
        <v>557</v>
      </c>
      <c r="M54" s="708"/>
      <c r="N54" s="708"/>
      <c r="O54" s="708"/>
      <c r="P54" s="708"/>
      <c r="Q54" s="708"/>
      <c r="R54" s="708"/>
      <c r="S54" s="709"/>
      <c r="T54" s="147"/>
      <c r="X54" s="137"/>
      <c r="Y54" s="137"/>
      <c r="Z54" s="137"/>
      <c r="AA54" s="137"/>
      <c r="AB54" s="137"/>
      <c r="AC54" s="137"/>
      <c r="AD54" s="137"/>
      <c r="AE54" s="137"/>
      <c r="AF54" s="138"/>
      <c r="AG54" s="138"/>
      <c r="AH54" s="138"/>
      <c r="AJ54" s="136"/>
    </row>
    <row r="55" spans="1:36">
      <c r="A55" s="676">
        <v>13</v>
      </c>
      <c r="B55" s="677"/>
      <c r="C55" s="496" t="s">
        <v>579</v>
      </c>
      <c r="D55" s="473"/>
      <c r="E55" s="473"/>
      <c r="F55" s="474"/>
      <c r="G55" s="464" t="s">
        <v>580</v>
      </c>
      <c r="H55" s="467"/>
      <c r="I55" s="467"/>
      <c r="J55" s="467"/>
      <c r="K55" s="467"/>
      <c r="L55" s="707" t="s">
        <v>557</v>
      </c>
      <c r="M55" s="708"/>
      <c r="N55" s="708"/>
      <c r="O55" s="708"/>
      <c r="P55" s="708"/>
      <c r="Q55" s="708"/>
      <c r="R55" s="708"/>
      <c r="S55" s="709"/>
      <c r="T55" s="147"/>
      <c r="X55" s="137"/>
      <c r="Y55" s="137"/>
      <c r="Z55" s="137"/>
      <c r="AA55" s="137"/>
      <c r="AB55" s="137"/>
      <c r="AC55" s="137"/>
      <c r="AD55" s="137"/>
      <c r="AE55" s="137"/>
      <c r="AF55" s="138"/>
      <c r="AG55" s="138"/>
      <c r="AH55" s="138"/>
      <c r="AJ55" s="136"/>
    </row>
    <row r="56" spans="1:36">
      <c r="A56" s="676">
        <v>14</v>
      </c>
      <c r="B56" s="677"/>
      <c r="C56" s="496" t="s">
        <v>581</v>
      </c>
      <c r="D56" s="473"/>
      <c r="E56" s="473"/>
      <c r="F56" s="474"/>
      <c r="G56" s="464" t="s">
        <v>582</v>
      </c>
      <c r="H56" s="467"/>
      <c r="I56" s="467"/>
      <c r="J56" s="467"/>
      <c r="K56" s="467"/>
      <c r="L56" s="707" t="s">
        <v>557</v>
      </c>
      <c r="M56" s="708"/>
      <c r="N56" s="708"/>
      <c r="O56" s="708"/>
      <c r="P56" s="708"/>
      <c r="Q56" s="708"/>
      <c r="R56" s="708"/>
      <c r="S56" s="709"/>
      <c r="T56" s="147"/>
      <c r="X56" s="137"/>
      <c r="Y56" s="137"/>
      <c r="Z56" s="137"/>
      <c r="AA56" s="137"/>
      <c r="AB56" s="137"/>
      <c r="AC56" s="137"/>
      <c r="AD56" s="137"/>
      <c r="AE56" s="137"/>
      <c r="AF56" s="138"/>
      <c r="AG56" s="138"/>
      <c r="AH56" s="138"/>
      <c r="AJ56" s="136"/>
    </row>
    <row r="57" spans="1:36">
      <c r="A57" s="676">
        <v>15</v>
      </c>
      <c r="B57" s="677"/>
      <c r="C57" s="496" t="s">
        <v>583</v>
      </c>
      <c r="D57" s="473"/>
      <c r="E57" s="473"/>
      <c r="F57" s="474"/>
      <c r="G57" s="464" t="s">
        <v>584</v>
      </c>
      <c r="H57" s="467"/>
      <c r="I57" s="467"/>
      <c r="J57" s="467"/>
      <c r="K57" s="467"/>
      <c r="L57" s="707" t="s">
        <v>557</v>
      </c>
      <c r="M57" s="708"/>
      <c r="N57" s="708"/>
      <c r="O57" s="708"/>
      <c r="P57" s="708"/>
      <c r="Q57" s="708"/>
      <c r="R57" s="708"/>
      <c r="S57" s="709"/>
      <c r="T57" s="147"/>
      <c r="X57" s="137"/>
      <c r="Y57" s="137"/>
      <c r="Z57" s="137"/>
      <c r="AA57" s="137"/>
      <c r="AB57" s="137"/>
      <c r="AC57" s="137"/>
      <c r="AD57" s="137"/>
      <c r="AE57" s="137"/>
      <c r="AF57" s="138"/>
      <c r="AG57" s="138"/>
      <c r="AH57" s="138"/>
      <c r="AJ57" s="136"/>
    </row>
    <row r="58" spans="1:36">
      <c r="A58" s="676">
        <v>16</v>
      </c>
      <c r="B58" s="677"/>
      <c r="C58" s="496" t="s">
        <v>585</v>
      </c>
      <c r="D58" s="473"/>
      <c r="E58" s="473"/>
      <c r="F58" s="474"/>
      <c r="G58" s="464" t="s">
        <v>586</v>
      </c>
      <c r="H58" s="467"/>
      <c r="I58" s="467"/>
      <c r="J58" s="467"/>
      <c r="K58" s="467"/>
      <c r="L58" s="707" t="s">
        <v>557</v>
      </c>
      <c r="M58" s="708"/>
      <c r="N58" s="708"/>
      <c r="O58" s="708"/>
      <c r="P58" s="708"/>
      <c r="Q58" s="708"/>
      <c r="R58" s="708"/>
      <c r="S58" s="709"/>
      <c r="T58" s="147"/>
      <c r="X58" s="137"/>
      <c r="Y58" s="137"/>
      <c r="Z58" s="137"/>
      <c r="AA58" s="137"/>
      <c r="AB58" s="137"/>
      <c r="AC58" s="137"/>
      <c r="AD58" s="137"/>
      <c r="AE58" s="137"/>
      <c r="AF58" s="138"/>
      <c r="AG58" s="138"/>
      <c r="AH58" s="138"/>
      <c r="AJ58" s="136"/>
    </row>
    <row r="59" spans="1:36">
      <c r="A59" s="676">
        <v>17</v>
      </c>
      <c r="B59" s="677"/>
      <c r="C59" s="496" t="s">
        <v>587</v>
      </c>
      <c r="D59" s="473"/>
      <c r="E59" s="473"/>
      <c r="F59" s="474"/>
      <c r="G59" s="464" t="s">
        <v>588</v>
      </c>
      <c r="H59" s="467"/>
      <c r="I59" s="467"/>
      <c r="J59" s="467"/>
      <c r="K59" s="467"/>
      <c r="L59" s="707" t="s">
        <v>557</v>
      </c>
      <c r="M59" s="708"/>
      <c r="N59" s="708"/>
      <c r="O59" s="708"/>
      <c r="P59" s="708"/>
      <c r="Q59" s="708"/>
      <c r="R59" s="708"/>
      <c r="S59" s="709"/>
      <c r="T59" s="147"/>
      <c r="X59" s="137"/>
      <c r="Y59" s="137"/>
      <c r="Z59" s="137"/>
      <c r="AA59" s="137"/>
      <c r="AB59" s="137"/>
      <c r="AC59" s="137"/>
      <c r="AD59" s="137"/>
      <c r="AE59" s="137"/>
      <c r="AF59" s="138"/>
      <c r="AG59" s="138"/>
      <c r="AH59" s="138"/>
      <c r="AJ59" s="136"/>
    </row>
    <row r="60" spans="1:36" ht="12" thickBot="1">
      <c r="A60" s="699">
        <v>18</v>
      </c>
      <c r="B60" s="700"/>
      <c r="C60" s="497" t="s">
        <v>589</v>
      </c>
      <c r="D60" s="475"/>
      <c r="E60" s="475"/>
      <c r="F60" s="476"/>
      <c r="G60" s="469" t="s">
        <v>590</v>
      </c>
      <c r="H60" s="470"/>
      <c r="I60" s="470"/>
      <c r="J60" s="470"/>
      <c r="K60" s="470"/>
      <c r="L60" s="712" t="s">
        <v>557</v>
      </c>
      <c r="M60" s="713"/>
      <c r="N60" s="713"/>
      <c r="O60" s="713"/>
      <c r="P60" s="713"/>
      <c r="Q60" s="713"/>
      <c r="R60" s="713"/>
      <c r="S60" s="714"/>
      <c r="T60" s="165"/>
      <c r="U60" s="104"/>
      <c r="V60" s="104"/>
      <c r="W60" s="104"/>
      <c r="X60" s="384"/>
      <c r="Y60" s="384"/>
      <c r="Z60" s="384"/>
      <c r="AA60" s="384"/>
      <c r="AB60" s="384"/>
      <c r="AC60" s="384"/>
      <c r="AD60" s="384"/>
      <c r="AE60" s="384"/>
      <c r="AF60" s="385"/>
      <c r="AG60" s="385"/>
      <c r="AH60" s="385"/>
      <c r="AI60" s="104"/>
      <c r="AJ60" s="142"/>
    </row>
  </sheetData>
  <mergeCells count="82">
    <mergeCell ref="A57:B57"/>
    <mergeCell ref="A58:B58"/>
    <mergeCell ref="A59:B59"/>
    <mergeCell ref="A60:B60"/>
    <mergeCell ref="L57:S57"/>
    <mergeCell ref="L58:S58"/>
    <mergeCell ref="L59:S59"/>
    <mergeCell ref="L60:S60"/>
    <mergeCell ref="D38:G38"/>
    <mergeCell ref="A38:C38"/>
    <mergeCell ref="D35:G35"/>
    <mergeCell ref="D36:G36"/>
    <mergeCell ref="D37:G37"/>
    <mergeCell ref="A35:C35"/>
    <mergeCell ref="A36:C36"/>
    <mergeCell ref="A37:C37"/>
    <mergeCell ref="L14:S14"/>
    <mergeCell ref="T10:W10"/>
    <mergeCell ref="T11:W11"/>
    <mergeCell ref="T12:W12"/>
    <mergeCell ref="T13:W13"/>
    <mergeCell ref="T14:W14"/>
    <mergeCell ref="L12:S12"/>
    <mergeCell ref="L13:S13"/>
    <mergeCell ref="L10:S10"/>
    <mergeCell ref="L11:S11"/>
    <mergeCell ref="A14:B14"/>
    <mergeCell ref="G14:K14"/>
    <mergeCell ref="C14:F14"/>
    <mergeCell ref="G10:K10"/>
    <mergeCell ref="G11:K11"/>
    <mergeCell ref="G12:K12"/>
    <mergeCell ref="G13:K13"/>
    <mergeCell ref="A10:B10"/>
    <mergeCell ref="A11:B11"/>
    <mergeCell ref="A12:B12"/>
    <mergeCell ref="A13:B13"/>
    <mergeCell ref="C10:F10"/>
    <mergeCell ref="C11:F11"/>
    <mergeCell ref="C12:F12"/>
    <mergeCell ref="C13:F13"/>
    <mergeCell ref="V3:AJ3"/>
    <mergeCell ref="AF4:AJ4"/>
    <mergeCell ref="G1:Q1"/>
    <mergeCell ref="V1:AB1"/>
    <mergeCell ref="AG1:AJ1"/>
    <mergeCell ref="G2:Q2"/>
    <mergeCell ref="V2:AB2"/>
    <mergeCell ref="AG2:AJ2"/>
    <mergeCell ref="G3:Q3"/>
    <mergeCell ref="L43:S43"/>
    <mergeCell ref="A51:B51"/>
    <mergeCell ref="A52:B52"/>
    <mergeCell ref="L49:S49"/>
    <mergeCell ref="A50:B50"/>
    <mergeCell ref="L50:S50"/>
    <mergeCell ref="L45:S45"/>
    <mergeCell ref="L46:S46"/>
    <mergeCell ref="L47:S47"/>
    <mergeCell ref="A44:B44"/>
    <mergeCell ref="L44:S44"/>
    <mergeCell ref="A56:B56"/>
    <mergeCell ref="L56:S56"/>
    <mergeCell ref="L48:S48"/>
    <mergeCell ref="A45:B45"/>
    <mergeCell ref="A46:B46"/>
    <mergeCell ref="A47:B47"/>
    <mergeCell ref="A53:B53"/>
    <mergeCell ref="A54:B54"/>
    <mergeCell ref="L54:S54"/>
    <mergeCell ref="L53:S53"/>
    <mergeCell ref="L52:S52"/>
    <mergeCell ref="A49:B49"/>
    <mergeCell ref="L55:S55"/>
    <mergeCell ref="A48:B48"/>
    <mergeCell ref="L51:S51"/>
    <mergeCell ref="D39:G39"/>
    <mergeCell ref="A39:C39"/>
    <mergeCell ref="A40:C40"/>
    <mergeCell ref="D40:G40"/>
    <mergeCell ref="A55:B55"/>
    <mergeCell ref="A43:B43"/>
  </mergeCells>
  <phoneticPr fontId="7"/>
  <dataValidations count="1">
    <dataValidation type="list" allowBlank="1" showInputMessage="1" showErrorMessage="1" sqref="C10:C14" xr:uid="{00000000-0002-0000-0900-000000000000}">
      <formula1>"R/3標準Table,Add-on Table,LDB,その他"</formula1>
    </dataValidation>
  </dataValidations>
  <pageMargins left="0.78740157480314965" right="0.39370078740157483" top="0.78740157480314965" bottom="0.78740157480314965" header="0.51181102362204722" footer="0.51181102362204722"/>
  <pageSetup paperSize="9" scale="87" orientation="portrait" verticalDpi="400"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ransitionEvaluation="1" transitionEntry="1" codeName="Sheet18">
    <pageSetUpPr fitToPage="1"/>
  </sheetPr>
  <dimension ref="A1:AJ63"/>
  <sheetViews>
    <sheetView zoomScaleNormal="100" workbookViewId="0">
      <selection activeCell="I37" sqref="I37"/>
    </sheetView>
  </sheetViews>
  <sheetFormatPr defaultColWidth="2.85546875" defaultRowHeight="11.25"/>
  <cols>
    <col min="1" max="16384" width="2.85546875" style="23"/>
  </cols>
  <sheetData>
    <row r="1" spans="1:36" s="2" customFormat="1" ht="18.95" customHeight="1">
      <c r="A1" s="108"/>
      <c r="B1" s="109"/>
      <c r="C1" s="109"/>
      <c r="D1" s="110" t="s">
        <v>90</v>
      </c>
      <c r="E1" s="111"/>
      <c r="F1" s="112"/>
      <c r="G1" s="544" t="str">
        <f>IF(詳細設計書!G1="","N/A",詳細設計書!G1)</f>
        <v>統合会計システム開発</v>
      </c>
      <c r="H1" s="544"/>
      <c r="I1" s="544"/>
      <c r="J1" s="544"/>
      <c r="K1" s="544"/>
      <c r="L1" s="544"/>
      <c r="M1" s="544"/>
      <c r="N1" s="544"/>
      <c r="O1" s="544"/>
      <c r="P1" s="544"/>
      <c r="Q1" s="545"/>
      <c r="R1" s="110" t="s">
        <v>283</v>
      </c>
      <c r="S1" s="111"/>
      <c r="T1" s="111"/>
      <c r="U1" s="113"/>
      <c r="V1" s="575">
        <f>IF(詳細設計書!S1="","N/A",詳細設計書!S1)</f>
        <v>42509</v>
      </c>
      <c r="W1" s="576"/>
      <c r="X1" s="576"/>
      <c r="Y1" s="576"/>
      <c r="Z1" s="576"/>
      <c r="AA1" s="576"/>
      <c r="AB1" s="577"/>
      <c r="AC1" s="110" t="s">
        <v>284</v>
      </c>
      <c r="AD1" s="114"/>
      <c r="AE1" s="114"/>
      <c r="AF1" s="115"/>
      <c r="AG1" s="686">
        <f>IF(詳細設計書!AD1="","N/A",詳細設計書!AD1)</f>
        <v>42559</v>
      </c>
      <c r="AH1" s="686"/>
      <c r="AI1" s="686"/>
      <c r="AJ1" s="687"/>
    </row>
    <row r="2" spans="1:36" s="2" customFormat="1" ht="18.95" customHeight="1">
      <c r="A2" s="30"/>
      <c r="D2" s="116" t="s">
        <v>93</v>
      </c>
      <c r="E2" s="34"/>
      <c r="F2" s="117"/>
      <c r="G2" s="550" t="str">
        <f>IF(詳細設計書!G2="","N/A",詳細設計書!G2)</f>
        <v>SAP R/3(レポート)</v>
      </c>
      <c r="H2" s="550"/>
      <c r="I2" s="550"/>
      <c r="J2" s="550"/>
      <c r="K2" s="550"/>
      <c r="L2" s="550"/>
      <c r="M2" s="550"/>
      <c r="N2" s="550"/>
      <c r="O2" s="550"/>
      <c r="P2" s="550"/>
      <c r="Q2" s="551"/>
      <c r="R2" s="116" t="s">
        <v>286</v>
      </c>
      <c r="S2" s="34"/>
      <c r="T2" s="34"/>
      <c r="U2" s="118"/>
      <c r="V2" s="581" t="str">
        <f>IF(詳細設計書!S2="","N/A",詳細設計書!S2)</f>
        <v>KSC 橋本</v>
      </c>
      <c r="W2" s="582"/>
      <c r="X2" s="582"/>
      <c r="Y2" s="582"/>
      <c r="Z2" s="582"/>
      <c r="AA2" s="582"/>
      <c r="AB2" s="583"/>
      <c r="AC2" s="116" t="s">
        <v>288</v>
      </c>
      <c r="AD2" s="119"/>
      <c r="AE2" s="120"/>
      <c r="AF2" s="117"/>
      <c r="AG2" s="585" t="str">
        <f>IF(詳細設計書!AD2="","N/A",詳細設計書!AD2)</f>
        <v>KSC 橋本</v>
      </c>
      <c r="AH2" s="585"/>
      <c r="AI2" s="585"/>
      <c r="AJ2" s="586"/>
    </row>
    <row r="3" spans="1:36" s="129" customFormat="1" ht="18.95" customHeight="1" thickBot="1">
      <c r="A3" s="4"/>
      <c r="B3" s="1"/>
      <c r="C3" s="121"/>
      <c r="D3" s="122" t="s">
        <v>96</v>
      </c>
      <c r="E3" s="123"/>
      <c r="F3" s="124"/>
      <c r="G3" s="563" t="str">
        <f>IF(詳細設計書!G3="","N/A",詳細設計書!G3)</f>
        <v>DP_FI_2014_01</v>
      </c>
      <c r="H3" s="564"/>
      <c r="I3" s="564"/>
      <c r="J3" s="564"/>
      <c r="K3" s="564"/>
      <c r="L3" s="564"/>
      <c r="M3" s="564"/>
      <c r="N3" s="564"/>
      <c r="O3" s="564"/>
      <c r="P3" s="564"/>
      <c r="Q3" s="565"/>
      <c r="R3" s="122" t="s">
        <v>97</v>
      </c>
      <c r="S3" s="123"/>
      <c r="T3" s="123"/>
      <c r="U3" s="125"/>
      <c r="V3" s="566" t="str">
        <f>IF(詳細設計書!S3="","N/A",詳細設計書!S3)</f>
        <v>ZFIPR_2014_01</v>
      </c>
      <c r="W3" s="566"/>
      <c r="X3" s="566"/>
      <c r="Y3" s="566"/>
      <c r="Z3" s="566"/>
      <c r="AA3" s="566"/>
      <c r="AB3" s="566"/>
      <c r="AC3" s="566"/>
      <c r="AD3" s="566"/>
      <c r="AE3" s="566"/>
      <c r="AF3" s="566"/>
      <c r="AG3" s="566"/>
      <c r="AH3" s="566"/>
      <c r="AI3" s="566"/>
      <c r="AJ3" s="567"/>
    </row>
    <row r="4" spans="1:36" s="129" customFormat="1" ht="18.95" customHeight="1" thickBot="1">
      <c r="A4" s="31" t="s">
        <v>292</v>
      </c>
      <c r="B4" s="127"/>
      <c r="C4" s="128"/>
      <c r="D4" s="353" t="s">
        <v>503</v>
      </c>
      <c r="E4" s="126"/>
      <c r="F4" s="126"/>
      <c r="G4" s="126"/>
      <c r="H4" s="126"/>
      <c r="I4" s="126"/>
      <c r="J4" s="126"/>
      <c r="K4" s="126"/>
      <c r="L4" s="126"/>
      <c r="M4" s="126"/>
      <c r="N4" s="126"/>
      <c r="O4" s="126"/>
      <c r="P4" s="126"/>
      <c r="Q4" s="126"/>
      <c r="R4" s="126"/>
      <c r="S4" s="126"/>
      <c r="T4" s="126"/>
      <c r="U4" s="126"/>
      <c r="V4" s="126"/>
      <c r="W4" s="126"/>
      <c r="X4" s="126"/>
      <c r="Y4" s="126"/>
      <c r="Z4" s="126"/>
      <c r="AA4" s="126"/>
      <c r="AB4" s="126"/>
      <c r="AC4" s="31" t="s">
        <v>100</v>
      </c>
      <c r="AD4" s="127"/>
      <c r="AE4" s="128"/>
      <c r="AF4" s="560" t="str">
        <f>詳細設計書!AC4</f>
        <v>1.0</v>
      </c>
      <c r="AG4" s="560"/>
      <c r="AH4" s="560"/>
      <c r="AI4" s="560"/>
      <c r="AJ4" s="561"/>
    </row>
    <row r="5" spans="1:36" ht="7.5" customHeight="1" thickBot="1"/>
    <row r="6" spans="1:36" ht="14.25" customHeight="1" thickBot="1">
      <c r="A6" s="354" t="s">
        <v>504</v>
      </c>
      <c r="B6" s="355"/>
      <c r="C6" s="356"/>
      <c r="D6" s="357">
        <v>3</v>
      </c>
      <c r="E6" s="358"/>
      <c r="F6" s="358"/>
      <c r="G6" s="358"/>
      <c r="H6" s="358"/>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9"/>
    </row>
    <row r="7" spans="1:36" ht="14.25" customHeight="1" thickBot="1">
      <c r="A7" s="145"/>
      <c r="B7" s="360"/>
      <c r="C7" s="360"/>
    </row>
    <row r="8" spans="1:36" ht="14.25" customHeight="1">
      <c r="A8" s="105" t="s">
        <v>505</v>
      </c>
      <c r="B8" s="361"/>
      <c r="C8" s="361"/>
      <c r="D8" s="133"/>
      <c r="E8" s="133"/>
      <c r="F8" s="133"/>
      <c r="G8" s="133"/>
      <c r="H8" s="133"/>
      <c r="I8" s="133"/>
      <c r="J8" s="133"/>
      <c r="K8" s="133"/>
      <c r="L8" s="133"/>
      <c r="M8" s="133"/>
      <c r="N8" s="133"/>
      <c r="O8" s="133"/>
      <c r="P8" s="133"/>
      <c r="Q8" s="133"/>
      <c r="R8" s="133"/>
      <c r="S8" s="133"/>
      <c r="T8" s="133"/>
      <c r="U8" s="133"/>
      <c r="V8" s="133"/>
      <c r="W8" s="133"/>
      <c r="X8" s="133"/>
      <c r="Y8" s="133"/>
      <c r="Z8" s="133"/>
      <c r="AA8" s="133"/>
      <c r="AB8" s="133"/>
      <c r="AC8" s="133"/>
      <c r="AD8" s="133"/>
      <c r="AE8" s="133"/>
      <c r="AF8" s="133"/>
      <c r="AG8" s="133"/>
      <c r="AH8" s="133"/>
      <c r="AI8" s="133"/>
      <c r="AJ8" s="362"/>
    </row>
    <row r="9" spans="1:36" s="284" customFormat="1" ht="15" customHeight="1" thickBot="1">
      <c r="A9" s="134" t="s">
        <v>506</v>
      </c>
      <c r="B9" s="135"/>
      <c r="C9" s="363" t="s">
        <v>507</v>
      </c>
      <c r="D9" s="135"/>
      <c r="E9" s="364"/>
      <c r="F9" s="365"/>
      <c r="G9" s="366" t="s">
        <v>508</v>
      </c>
      <c r="H9" s="367"/>
      <c r="I9" s="367"/>
      <c r="J9" s="368"/>
      <c r="K9" s="369"/>
      <c r="L9" s="367" t="s">
        <v>509</v>
      </c>
      <c r="M9" s="368"/>
      <c r="N9" s="368"/>
      <c r="O9" s="368"/>
      <c r="P9" s="368"/>
      <c r="Q9" s="368"/>
      <c r="R9" s="368"/>
      <c r="S9" s="368"/>
      <c r="T9" s="370" t="s">
        <v>510</v>
      </c>
      <c r="U9" s="135"/>
      <c r="V9" s="135"/>
      <c r="W9" s="135"/>
      <c r="X9" s="135"/>
      <c r="Y9" s="363" t="s">
        <v>511</v>
      </c>
      <c r="Z9" s="135"/>
      <c r="AA9" s="135"/>
      <c r="AB9" s="135"/>
      <c r="AC9" s="135"/>
      <c r="AD9" s="135"/>
      <c r="AE9" s="135"/>
      <c r="AF9" s="135"/>
      <c r="AG9" s="135"/>
      <c r="AH9" s="135"/>
      <c r="AI9" s="364"/>
      <c r="AJ9" s="371"/>
    </row>
    <row r="10" spans="1:36" ht="15" customHeight="1" thickTop="1">
      <c r="A10" s="684">
        <v>1</v>
      </c>
      <c r="B10" s="685"/>
      <c r="C10" s="678" t="s">
        <v>550</v>
      </c>
      <c r="D10" s="679"/>
      <c r="E10" s="679"/>
      <c r="F10" s="680"/>
      <c r="G10" s="863" t="s">
        <v>591</v>
      </c>
      <c r="H10" s="864"/>
      <c r="I10" s="864"/>
      <c r="J10" s="864"/>
      <c r="K10" s="865"/>
      <c r="L10" s="670" t="s">
        <v>592</v>
      </c>
      <c r="M10" s="671"/>
      <c r="N10" s="671"/>
      <c r="O10" s="671"/>
      <c r="P10" s="671"/>
      <c r="Q10" s="671"/>
      <c r="R10" s="671"/>
      <c r="S10" s="672"/>
      <c r="T10" s="863">
        <v>1</v>
      </c>
      <c r="U10" s="864"/>
      <c r="V10" s="864"/>
      <c r="W10" s="864"/>
      <c r="X10" s="373" t="s">
        <v>515</v>
      </c>
      <c r="Y10" s="372"/>
      <c r="Z10" s="373"/>
      <c r="AA10" s="373"/>
      <c r="AB10" s="373"/>
      <c r="AC10" s="373"/>
      <c r="AD10" s="373"/>
      <c r="AE10" s="373"/>
      <c r="AF10" s="374"/>
      <c r="AG10" s="374"/>
      <c r="AH10" s="374"/>
      <c r="AJ10" s="136"/>
    </row>
    <row r="11" spans="1:36" ht="15" customHeight="1">
      <c r="A11" s="676"/>
      <c r="B11" s="677"/>
      <c r="C11" s="681"/>
      <c r="D11" s="682"/>
      <c r="E11" s="682"/>
      <c r="F11" s="683"/>
      <c r="G11" s="866"/>
      <c r="H11" s="867"/>
      <c r="I11" s="867"/>
      <c r="J11" s="867"/>
      <c r="K11" s="868"/>
      <c r="L11" s="673"/>
      <c r="M11" s="674"/>
      <c r="N11" s="674"/>
      <c r="O11" s="674"/>
      <c r="P11" s="674"/>
      <c r="Q11" s="674"/>
      <c r="R11" s="674"/>
      <c r="S11" s="675"/>
      <c r="T11" s="866"/>
      <c r="U11" s="867"/>
      <c r="V11" s="867"/>
      <c r="W11" s="867"/>
      <c r="X11" s="137" t="s">
        <v>516</v>
      </c>
      <c r="Y11" s="375"/>
      <c r="Z11" s="137"/>
      <c r="AA11" s="137"/>
      <c r="AB11" s="137"/>
      <c r="AC11" s="137"/>
      <c r="AD11" s="137"/>
      <c r="AE11" s="137"/>
      <c r="AF11" s="138"/>
      <c r="AG11" s="138"/>
      <c r="AH11" s="138"/>
      <c r="AJ11" s="136"/>
    </row>
    <row r="12" spans="1:36" ht="15" customHeight="1">
      <c r="A12" s="676"/>
      <c r="B12" s="677"/>
      <c r="C12" s="681"/>
      <c r="D12" s="682"/>
      <c r="E12" s="682"/>
      <c r="F12" s="683"/>
      <c r="G12" s="866"/>
      <c r="H12" s="867"/>
      <c r="I12" s="867"/>
      <c r="J12" s="867"/>
      <c r="K12" s="868"/>
      <c r="L12" s="667"/>
      <c r="M12" s="668"/>
      <c r="N12" s="668"/>
      <c r="O12" s="668"/>
      <c r="P12" s="668"/>
      <c r="Q12" s="668"/>
      <c r="R12" s="668"/>
      <c r="S12" s="669"/>
      <c r="T12" s="866"/>
      <c r="U12" s="867"/>
      <c r="V12" s="867"/>
      <c r="W12" s="867"/>
      <c r="X12" s="137" t="s">
        <v>516</v>
      </c>
      <c r="Y12" s="375"/>
      <c r="Z12" s="137"/>
      <c r="AA12" s="137"/>
      <c r="AB12" s="137"/>
      <c r="AC12" s="137"/>
      <c r="AD12" s="137"/>
      <c r="AE12" s="137"/>
      <c r="AF12" s="138"/>
      <c r="AG12" s="138"/>
      <c r="AH12" s="138"/>
      <c r="AJ12" s="136"/>
    </row>
    <row r="13" spans="1:36" ht="15" customHeight="1">
      <c r="A13" s="676"/>
      <c r="B13" s="677"/>
      <c r="C13" s="681"/>
      <c r="D13" s="682"/>
      <c r="E13" s="682"/>
      <c r="F13" s="683"/>
      <c r="G13" s="866"/>
      <c r="H13" s="867"/>
      <c r="I13" s="867"/>
      <c r="J13" s="867"/>
      <c r="K13" s="868"/>
      <c r="L13" s="866"/>
      <c r="M13" s="867"/>
      <c r="N13" s="867"/>
      <c r="O13" s="867"/>
      <c r="P13" s="867"/>
      <c r="Q13" s="867"/>
      <c r="R13" s="867"/>
      <c r="S13" s="868"/>
      <c r="T13" s="866"/>
      <c r="U13" s="867"/>
      <c r="V13" s="867"/>
      <c r="W13" s="867"/>
      <c r="X13" s="137" t="s">
        <v>516</v>
      </c>
      <c r="Y13" s="375"/>
      <c r="Z13" s="137"/>
      <c r="AA13" s="137"/>
      <c r="AB13" s="137"/>
      <c r="AC13" s="137"/>
      <c r="AD13" s="137"/>
      <c r="AE13" s="137"/>
      <c r="AF13" s="138"/>
      <c r="AG13" s="138"/>
      <c r="AH13" s="138"/>
      <c r="AJ13" s="136"/>
    </row>
    <row r="14" spans="1:36" ht="15" customHeight="1">
      <c r="A14" s="665"/>
      <c r="B14" s="666"/>
      <c r="C14" s="662"/>
      <c r="D14" s="663"/>
      <c r="E14" s="663"/>
      <c r="F14" s="664"/>
      <c r="G14" s="869"/>
      <c r="H14" s="870"/>
      <c r="I14" s="870"/>
      <c r="J14" s="870"/>
      <c r="K14" s="871"/>
      <c r="L14" s="869"/>
      <c r="M14" s="870"/>
      <c r="N14" s="870"/>
      <c r="O14" s="870"/>
      <c r="P14" s="870"/>
      <c r="Q14" s="870"/>
      <c r="R14" s="870"/>
      <c r="S14" s="871"/>
      <c r="T14" s="869"/>
      <c r="U14" s="870"/>
      <c r="V14" s="870"/>
      <c r="W14" s="870"/>
      <c r="X14" s="377" t="s">
        <v>515</v>
      </c>
      <c r="Y14" s="376"/>
      <c r="Z14" s="377"/>
      <c r="AA14" s="377"/>
      <c r="AB14" s="377"/>
      <c r="AC14" s="377"/>
      <c r="AD14" s="377"/>
      <c r="AE14" s="377"/>
      <c r="AF14" s="378"/>
      <c r="AG14" s="378"/>
      <c r="AH14" s="378"/>
      <c r="AI14" s="139"/>
      <c r="AJ14" s="379"/>
    </row>
    <row r="15" spans="1:36" ht="14.25" customHeight="1">
      <c r="A15" s="107" t="s">
        <v>517</v>
      </c>
      <c r="B15" s="380"/>
      <c r="C15" s="380"/>
      <c r="D15" s="380"/>
      <c r="E15" s="380"/>
      <c r="F15" s="380"/>
      <c r="G15" s="380"/>
      <c r="H15" s="380"/>
      <c r="I15" s="380"/>
      <c r="J15" s="380"/>
      <c r="K15" s="380"/>
      <c r="L15" s="380"/>
      <c r="M15" s="380"/>
      <c r="N15" s="380"/>
      <c r="O15" s="380"/>
      <c r="P15" s="380"/>
      <c r="Q15" s="380"/>
      <c r="R15" s="380"/>
      <c r="S15" s="380"/>
      <c r="T15" s="380"/>
      <c r="U15" s="380"/>
      <c r="V15" s="380"/>
      <c r="W15" s="380"/>
      <c r="X15" s="380"/>
      <c r="Y15" s="380"/>
      <c r="Z15" s="380"/>
      <c r="AA15" s="380"/>
      <c r="AB15" s="380"/>
      <c r="AC15" s="380"/>
      <c r="AD15" s="380"/>
      <c r="AE15" s="380"/>
      <c r="AF15" s="380"/>
      <c r="AG15" s="380"/>
      <c r="AH15" s="380"/>
      <c r="AI15" s="380"/>
      <c r="AJ15" s="381"/>
    </row>
    <row r="16" spans="1:36" ht="14.25" customHeight="1">
      <c r="A16" s="351"/>
      <c r="B16" s="140"/>
      <c r="C16" s="140"/>
      <c r="D16" s="140"/>
      <c r="E16" s="140"/>
      <c r="F16" s="140"/>
      <c r="G16" s="140"/>
      <c r="H16" s="140"/>
      <c r="I16" s="140"/>
      <c r="J16" s="140"/>
      <c r="K16" s="140"/>
      <c r="L16" s="140"/>
      <c r="M16" s="140"/>
      <c r="N16" s="140"/>
      <c r="O16" s="140"/>
      <c r="P16" s="140"/>
      <c r="Q16" s="140"/>
      <c r="R16" s="140"/>
      <c r="S16" s="140"/>
      <c r="T16" s="140"/>
      <c r="U16" s="140"/>
      <c r="V16" s="140"/>
      <c r="W16" s="140"/>
      <c r="X16" s="140"/>
      <c r="Y16" s="140"/>
      <c r="Z16" s="140"/>
      <c r="AA16" s="140"/>
      <c r="AB16" s="140"/>
      <c r="AC16" s="140"/>
      <c r="AD16" s="140"/>
      <c r="AE16" s="140"/>
      <c r="AF16" s="140"/>
      <c r="AG16" s="140"/>
      <c r="AH16" s="140"/>
      <c r="AI16" s="140"/>
      <c r="AJ16" s="382"/>
    </row>
    <row r="17" spans="1:36" ht="14.25" customHeight="1">
      <c r="A17" s="101"/>
      <c r="B17" s="300" t="s">
        <v>593</v>
      </c>
      <c r="AJ17" s="136"/>
    </row>
    <row r="18" spans="1:36" ht="14.25" customHeight="1">
      <c r="A18" s="101"/>
      <c r="B18" s="23" t="s">
        <v>594</v>
      </c>
      <c r="AJ18" s="136"/>
    </row>
    <row r="19" spans="1:36" ht="14.25" customHeight="1">
      <c r="A19" s="101"/>
      <c r="AJ19" s="136"/>
    </row>
    <row r="20" spans="1:36" ht="14.25" customHeight="1">
      <c r="A20" s="101"/>
      <c r="AJ20" s="136"/>
    </row>
    <row r="21" spans="1:36" ht="14.25" customHeight="1">
      <c r="A21" s="101"/>
      <c r="AJ21" s="136"/>
    </row>
    <row r="22" spans="1:36" ht="14.25" customHeight="1">
      <c r="A22" s="352"/>
      <c r="B22" s="139"/>
      <c r="C22" s="139"/>
      <c r="D22" s="139"/>
      <c r="E22" s="139"/>
      <c r="F22" s="139"/>
      <c r="G22" s="139"/>
      <c r="H22" s="139"/>
      <c r="I22" s="139"/>
      <c r="J22" s="139"/>
      <c r="K22" s="139"/>
      <c r="L22" s="139"/>
      <c r="M22" s="139"/>
      <c r="N22" s="139"/>
      <c r="O22" s="139"/>
      <c r="P22" s="139"/>
      <c r="Q22" s="139"/>
      <c r="R22" s="139"/>
      <c r="S22" s="139"/>
      <c r="T22" s="139"/>
      <c r="U22" s="139"/>
      <c r="V22" s="139"/>
      <c r="W22" s="139"/>
      <c r="X22" s="139"/>
      <c r="Y22" s="139"/>
      <c r="Z22" s="139"/>
      <c r="AA22" s="139"/>
      <c r="AB22" s="139"/>
      <c r="AC22" s="139"/>
      <c r="AD22" s="139"/>
      <c r="AE22" s="139"/>
      <c r="AF22" s="139"/>
      <c r="AG22" s="139"/>
      <c r="AH22" s="139"/>
      <c r="AI22" s="139"/>
      <c r="AJ22" s="379"/>
    </row>
    <row r="23" spans="1:36" ht="14.25" customHeight="1">
      <c r="A23" s="107" t="s">
        <v>519</v>
      </c>
      <c r="B23" s="380"/>
      <c r="C23" s="380"/>
      <c r="D23" s="380"/>
      <c r="E23" s="380"/>
      <c r="F23" s="380"/>
      <c r="G23" s="380"/>
      <c r="H23" s="380"/>
      <c r="I23" s="380"/>
      <c r="J23" s="380"/>
      <c r="K23" s="380"/>
      <c r="L23" s="380"/>
      <c r="M23" s="380"/>
      <c r="N23" s="380"/>
      <c r="O23" s="380"/>
      <c r="P23" s="380"/>
      <c r="Q23" s="380"/>
      <c r="R23" s="380"/>
      <c r="S23" s="380"/>
      <c r="T23" s="380"/>
      <c r="U23" s="380"/>
      <c r="V23" s="380"/>
      <c r="W23" s="380"/>
      <c r="X23" s="380"/>
      <c r="Y23" s="380"/>
      <c r="Z23" s="380"/>
      <c r="AA23" s="380"/>
      <c r="AB23" s="380"/>
      <c r="AC23" s="380"/>
      <c r="AD23" s="380"/>
      <c r="AE23" s="380"/>
      <c r="AF23" s="380"/>
      <c r="AG23" s="380"/>
      <c r="AH23" s="380"/>
      <c r="AI23" s="380"/>
      <c r="AJ23" s="381"/>
    </row>
    <row r="24" spans="1:36" ht="14.25" customHeight="1">
      <c r="A24" s="351"/>
      <c r="B24" s="140"/>
      <c r="C24" s="140"/>
      <c r="D24" s="140"/>
      <c r="E24" s="140"/>
      <c r="F24" s="140"/>
      <c r="G24" s="140"/>
      <c r="H24" s="140"/>
      <c r="I24" s="140"/>
      <c r="J24" s="140"/>
      <c r="K24" s="140"/>
      <c r="L24" s="140"/>
      <c r="M24" s="140"/>
      <c r="N24" s="140"/>
      <c r="O24" s="140"/>
      <c r="P24" s="140"/>
      <c r="Q24" s="140"/>
      <c r="R24" s="140"/>
      <c r="S24" s="140"/>
      <c r="T24" s="140"/>
      <c r="U24" s="140"/>
      <c r="V24" s="140"/>
      <c r="W24" s="140"/>
      <c r="X24" s="140"/>
      <c r="Y24" s="140"/>
      <c r="Z24" s="140"/>
      <c r="AA24" s="140"/>
      <c r="AB24" s="140"/>
      <c r="AC24" s="140"/>
      <c r="AD24" s="140"/>
      <c r="AE24" s="140"/>
      <c r="AF24" s="140"/>
      <c r="AG24" s="140"/>
      <c r="AH24" s="140"/>
      <c r="AI24" s="140"/>
      <c r="AJ24" s="382"/>
    </row>
    <row r="25" spans="1:36" ht="14.25" customHeight="1">
      <c r="A25" s="101"/>
      <c r="B25" s="23" t="s">
        <v>554</v>
      </c>
      <c r="AJ25" s="136"/>
    </row>
    <row r="26" spans="1:36" ht="14.25" customHeight="1">
      <c r="A26" s="101"/>
      <c r="AJ26" s="136"/>
    </row>
    <row r="27" spans="1:36" ht="14.25" customHeight="1">
      <c r="A27" s="101"/>
      <c r="AJ27" s="136"/>
    </row>
    <row r="28" spans="1:36" ht="14.25" customHeight="1">
      <c r="A28" s="101"/>
      <c r="D28" s="284"/>
      <c r="E28" s="284"/>
      <c r="P28" s="284"/>
      <c r="Q28" s="284"/>
      <c r="AD28" s="284"/>
      <c r="AJ28" s="136"/>
    </row>
    <row r="29" spans="1:36" ht="14.25" customHeight="1">
      <c r="A29" s="101"/>
      <c r="D29" s="284"/>
      <c r="E29" s="284"/>
      <c r="P29" s="284"/>
      <c r="Q29" s="284"/>
      <c r="AD29" s="284"/>
      <c r="AJ29" s="136"/>
    </row>
    <row r="30" spans="1:36" ht="14.25" customHeight="1">
      <c r="A30" s="101"/>
      <c r="AJ30" s="136"/>
    </row>
    <row r="31" spans="1:36" ht="14.25" customHeight="1">
      <c r="A31" s="101"/>
      <c r="AJ31" s="136"/>
    </row>
    <row r="32" spans="1:36" ht="14.25" customHeight="1">
      <c r="A32" s="101"/>
      <c r="AJ32" s="136"/>
    </row>
    <row r="33" spans="1:36" ht="14.25" customHeight="1">
      <c r="A33" s="107" t="s">
        <v>520</v>
      </c>
      <c r="B33" s="380"/>
      <c r="C33" s="380"/>
      <c r="D33" s="380"/>
      <c r="E33" s="380"/>
      <c r="F33" s="380"/>
      <c r="G33" s="380"/>
      <c r="H33" s="380"/>
      <c r="I33" s="380"/>
      <c r="J33" s="380"/>
      <c r="K33" s="380"/>
      <c r="L33" s="380"/>
      <c r="M33" s="380"/>
      <c r="N33" s="380"/>
      <c r="O33" s="380"/>
      <c r="P33" s="380"/>
      <c r="Q33" s="380"/>
      <c r="R33" s="380"/>
      <c r="S33" s="380"/>
      <c r="T33" s="380"/>
      <c r="U33" s="380"/>
      <c r="V33" s="380"/>
      <c r="W33" s="380"/>
      <c r="X33" s="380"/>
      <c r="Y33" s="380"/>
      <c r="Z33" s="380"/>
      <c r="AA33" s="380"/>
      <c r="AB33" s="380"/>
      <c r="AC33" s="380"/>
      <c r="AD33" s="380"/>
      <c r="AE33" s="380"/>
      <c r="AF33" s="380"/>
      <c r="AG33" s="380"/>
      <c r="AH33" s="380"/>
      <c r="AI33" s="380"/>
      <c r="AJ33" s="381"/>
    </row>
    <row r="34" spans="1:36" ht="14.25" customHeight="1" thickBot="1">
      <c r="A34" s="134" t="s">
        <v>329</v>
      </c>
      <c r="B34" s="135"/>
      <c r="C34" s="141"/>
      <c r="D34" s="363" t="s">
        <v>521</v>
      </c>
      <c r="E34" s="135"/>
      <c r="F34" s="135"/>
      <c r="G34" s="141"/>
      <c r="H34" s="135" t="s">
        <v>522</v>
      </c>
      <c r="I34" s="135"/>
      <c r="J34" s="135"/>
      <c r="K34" s="135"/>
      <c r="L34" s="135"/>
      <c r="M34" s="135"/>
      <c r="N34" s="135"/>
      <c r="O34" s="135"/>
      <c r="P34" s="135"/>
      <c r="Q34" s="135"/>
      <c r="R34" s="135"/>
      <c r="S34" s="135"/>
      <c r="T34" s="364"/>
      <c r="U34" s="135"/>
      <c r="V34" s="135"/>
      <c r="W34" s="135"/>
      <c r="X34" s="135"/>
      <c r="Y34" s="135"/>
      <c r="Z34" s="135"/>
      <c r="AA34" s="135"/>
      <c r="AB34" s="135"/>
      <c r="AC34" s="135"/>
      <c r="AD34" s="135"/>
      <c r="AE34" s="135"/>
      <c r="AF34" s="135"/>
      <c r="AG34" s="135"/>
      <c r="AH34" s="135"/>
      <c r="AI34" s="135"/>
      <c r="AJ34" s="383"/>
    </row>
    <row r="35" spans="1:36" ht="14.25" customHeight="1" thickTop="1">
      <c r="A35" s="659">
        <v>1</v>
      </c>
      <c r="B35" s="660"/>
      <c r="C35" s="661"/>
      <c r="D35" s="715" t="s">
        <v>591</v>
      </c>
      <c r="E35" s="716"/>
      <c r="F35" s="716"/>
      <c r="G35" s="717"/>
      <c r="I35" s="23" t="s">
        <v>595</v>
      </c>
      <c r="Q35" s="23" t="s">
        <v>524</v>
      </c>
      <c r="S35" s="23" t="s">
        <v>596</v>
      </c>
      <c r="AJ35" s="136"/>
    </row>
    <row r="36" spans="1:36" ht="14.25" customHeight="1">
      <c r="A36" s="653">
        <v>1</v>
      </c>
      <c r="B36" s="654"/>
      <c r="C36" s="655"/>
      <c r="D36" s="718" t="s">
        <v>591</v>
      </c>
      <c r="E36" s="719"/>
      <c r="F36" s="719"/>
      <c r="G36" s="720"/>
      <c r="I36" s="23" t="s">
        <v>597</v>
      </c>
      <c r="Q36" s="23" t="s">
        <v>524</v>
      </c>
      <c r="S36" s="23" t="s">
        <v>556</v>
      </c>
      <c r="AJ36" s="136"/>
    </row>
    <row r="37" spans="1:36" ht="14.25" customHeight="1">
      <c r="A37" s="653"/>
      <c r="B37" s="654"/>
      <c r="C37" s="655"/>
      <c r="D37" s="650"/>
      <c r="E37" s="651"/>
      <c r="F37" s="651"/>
      <c r="G37" s="652"/>
      <c r="AJ37" s="136"/>
    </row>
    <row r="38" spans="1:36" ht="14.25" customHeight="1">
      <c r="A38" s="653"/>
      <c r="B38" s="654"/>
      <c r="C38" s="655"/>
      <c r="D38" s="650"/>
      <c r="E38" s="651"/>
      <c r="F38" s="651"/>
      <c r="G38" s="652"/>
      <c r="AJ38" s="136"/>
    </row>
    <row r="39" spans="1:36" ht="14.25" customHeight="1">
      <c r="A39" s="706"/>
      <c r="B39" s="654"/>
      <c r="C39" s="655"/>
      <c r="D39" s="650"/>
      <c r="E39" s="651"/>
      <c r="F39" s="651"/>
      <c r="G39" s="652"/>
      <c r="V39" s="130"/>
      <c r="AJ39" s="136"/>
    </row>
    <row r="40" spans="1:36" ht="14.25" customHeight="1">
      <c r="A40" s="706"/>
      <c r="B40" s="654"/>
      <c r="C40" s="655"/>
      <c r="D40" s="694"/>
      <c r="E40" s="695"/>
      <c r="F40" s="695"/>
      <c r="G40" s="677"/>
      <c r="AJ40" s="136"/>
    </row>
    <row r="41" spans="1:36">
      <c r="A41" s="107" t="s">
        <v>533</v>
      </c>
      <c r="B41" s="149"/>
      <c r="C41" s="149"/>
      <c r="D41" s="380"/>
      <c r="E41" s="380"/>
      <c r="F41" s="380"/>
      <c r="G41" s="380"/>
      <c r="H41" s="380"/>
      <c r="I41" s="380"/>
      <c r="J41" s="380"/>
      <c r="K41" s="380"/>
      <c r="L41" s="380"/>
      <c r="M41" s="380"/>
      <c r="N41" s="380"/>
      <c r="O41" s="380"/>
      <c r="P41" s="380"/>
      <c r="Q41" s="380"/>
      <c r="R41" s="380"/>
      <c r="S41" s="380"/>
      <c r="T41" s="380"/>
      <c r="U41" s="380"/>
      <c r="V41" s="380"/>
      <c r="W41" s="380"/>
      <c r="X41" s="380"/>
      <c r="Y41" s="380"/>
      <c r="Z41" s="380"/>
      <c r="AA41" s="380"/>
      <c r="AB41" s="380"/>
      <c r="AC41" s="380"/>
      <c r="AD41" s="380"/>
      <c r="AE41" s="380"/>
      <c r="AF41" s="380"/>
      <c r="AG41" s="380"/>
      <c r="AH41" s="380"/>
      <c r="AI41" s="380"/>
      <c r="AJ41" s="381"/>
    </row>
    <row r="42" spans="1:36" ht="14.25" thickBot="1">
      <c r="A42" s="134" t="s">
        <v>329</v>
      </c>
      <c r="B42" s="135"/>
      <c r="C42" s="363" t="s">
        <v>534</v>
      </c>
      <c r="D42" s="135"/>
      <c r="E42" s="364"/>
      <c r="F42" s="365"/>
      <c r="G42" s="370" t="s">
        <v>535</v>
      </c>
      <c r="H42" s="367"/>
      <c r="I42" s="367"/>
      <c r="J42" s="368"/>
      <c r="K42" s="369"/>
      <c r="L42" s="367" t="s">
        <v>536</v>
      </c>
      <c r="M42" s="368"/>
      <c r="N42" s="368"/>
      <c r="O42" s="368"/>
      <c r="P42" s="368"/>
      <c r="Q42" s="368"/>
      <c r="R42" s="368"/>
      <c r="S42" s="368"/>
      <c r="T42" s="370" t="s">
        <v>537</v>
      </c>
      <c r="U42" s="135"/>
      <c r="V42" s="135"/>
      <c r="W42" s="135"/>
      <c r="X42" s="135"/>
      <c r="Y42" s="135"/>
      <c r="Z42" s="135"/>
      <c r="AA42" s="135"/>
      <c r="AB42" s="135"/>
      <c r="AC42" s="135"/>
      <c r="AD42" s="135"/>
      <c r="AE42" s="135"/>
      <c r="AF42" s="135"/>
      <c r="AG42" s="135"/>
      <c r="AH42" s="135"/>
      <c r="AI42" s="364"/>
      <c r="AJ42" s="371"/>
    </row>
    <row r="43" spans="1:36" ht="12" thickTop="1">
      <c r="A43" s="676">
        <v>1</v>
      </c>
      <c r="B43" s="677"/>
      <c r="C43" s="496" t="s">
        <v>598</v>
      </c>
      <c r="D43" s="473"/>
      <c r="E43" s="473"/>
      <c r="F43" s="474"/>
      <c r="G43" s="464" t="s">
        <v>599</v>
      </c>
      <c r="H43" s="467"/>
      <c r="I43" s="467"/>
      <c r="J43" s="467"/>
      <c r="K43" s="468"/>
      <c r="L43" s="707" t="s">
        <v>600</v>
      </c>
      <c r="M43" s="708"/>
      <c r="N43" s="708"/>
      <c r="O43" s="708"/>
      <c r="P43" s="708"/>
      <c r="Q43" s="708"/>
      <c r="R43" s="708"/>
      <c r="S43" s="709"/>
      <c r="T43" s="147"/>
      <c r="X43" s="137"/>
      <c r="Y43" s="137"/>
      <c r="Z43" s="137"/>
      <c r="AA43" s="137"/>
      <c r="AB43" s="137"/>
      <c r="AC43" s="137"/>
      <c r="AD43" s="137"/>
      <c r="AE43" s="137"/>
      <c r="AF43" s="138"/>
      <c r="AG43" s="138"/>
      <c r="AH43" s="138"/>
      <c r="AJ43" s="136"/>
    </row>
    <row r="44" spans="1:36">
      <c r="A44" s="676">
        <v>2</v>
      </c>
      <c r="B44" s="677"/>
      <c r="C44" s="496" t="s">
        <v>601</v>
      </c>
      <c r="D44" s="473"/>
      <c r="E44" s="473"/>
      <c r="F44" s="474"/>
      <c r="G44" s="464" t="s">
        <v>383</v>
      </c>
      <c r="H44" s="467"/>
      <c r="I44" s="467"/>
      <c r="J44" s="467"/>
      <c r="K44" s="468"/>
      <c r="L44" s="707" t="s">
        <v>600</v>
      </c>
      <c r="M44" s="708"/>
      <c r="N44" s="708"/>
      <c r="O44" s="708"/>
      <c r="P44" s="708"/>
      <c r="Q44" s="708"/>
      <c r="R44" s="708"/>
      <c r="S44" s="709"/>
      <c r="T44" s="147"/>
      <c r="X44" s="137"/>
      <c r="Y44" s="137"/>
      <c r="Z44" s="137"/>
      <c r="AA44" s="137"/>
      <c r="AB44" s="137"/>
      <c r="AC44" s="137"/>
      <c r="AD44" s="137"/>
      <c r="AE44" s="137"/>
      <c r="AF44" s="138"/>
      <c r="AG44" s="138"/>
      <c r="AH44" s="138"/>
      <c r="AJ44" s="136"/>
    </row>
    <row r="45" spans="1:36">
      <c r="A45" s="676">
        <v>3</v>
      </c>
      <c r="B45" s="677"/>
      <c r="C45" s="496" t="s">
        <v>602</v>
      </c>
      <c r="D45" s="473"/>
      <c r="E45" s="473"/>
      <c r="F45" s="474"/>
      <c r="G45" s="464" t="s">
        <v>386</v>
      </c>
      <c r="H45" s="467"/>
      <c r="I45" s="467"/>
      <c r="J45" s="467"/>
      <c r="K45" s="468"/>
      <c r="L45" s="707" t="s">
        <v>600</v>
      </c>
      <c r="M45" s="708"/>
      <c r="N45" s="708"/>
      <c r="O45" s="708"/>
      <c r="P45" s="708"/>
      <c r="Q45" s="708"/>
      <c r="R45" s="708"/>
      <c r="S45" s="709"/>
      <c r="T45" s="147"/>
      <c r="X45" s="137"/>
      <c r="Y45" s="137"/>
      <c r="Z45" s="137"/>
      <c r="AA45" s="137"/>
      <c r="AB45" s="137"/>
      <c r="AC45" s="137"/>
      <c r="AD45" s="137"/>
      <c r="AE45" s="137"/>
      <c r="AF45" s="138"/>
      <c r="AG45" s="138"/>
      <c r="AH45" s="138"/>
      <c r="AJ45" s="136"/>
    </row>
    <row r="46" spans="1:36">
      <c r="A46" s="676"/>
      <c r="B46" s="677"/>
      <c r="C46" s="496"/>
      <c r="D46" s="473"/>
      <c r="E46" s="473"/>
      <c r="F46" s="474"/>
      <c r="G46" s="464"/>
      <c r="H46" s="467"/>
      <c r="I46" s="467"/>
      <c r="J46" s="467"/>
      <c r="K46" s="468"/>
      <c r="L46" s="707"/>
      <c r="M46" s="708"/>
      <c r="N46" s="708"/>
      <c r="O46" s="708"/>
      <c r="P46" s="708"/>
      <c r="Q46" s="708"/>
      <c r="R46" s="708"/>
      <c r="S46" s="709"/>
      <c r="T46" s="147"/>
      <c r="X46" s="137"/>
      <c r="Y46" s="137"/>
      <c r="Z46" s="137"/>
      <c r="AA46" s="137"/>
      <c r="AB46" s="137"/>
      <c r="AC46" s="137"/>
      <c r="AD46" s="137"/>
      <c r="AE46" s="137"/>
      <c r="AF46" s="138"/>
      <c r="AG46" s="138"/>
      <c r="AH46" s="138"/>
      <c r="AJ46" s="136"/>
    </row>
    <row r="47" spans="1:36">
      <c r="A47" s="676"/>
      <c r="B47" s="677"/>
      <c r="C47" s="496"/>
      <c r="D47" s="473"/>
      <c r="E47" s="473"/>
      <c r="F47" s="474"/>
      <c r="G47" s="464"/>
      <c r="H47" s="467"/>
      <c r="I47" s="467"/>
      <c r="J47" s="467"/>
      <c r="K47" s="468"/>
      <c r="L47" s="707"/>
      <c r="M47" s="708"/>
      <c r="N47" s="708"/>
      <c r="O47" s="708"/>
      <c r="P47" s="708"/>
      <c r="Q47" s="708"/>
      <c r="R47" s="708"/>
      <c r="S47" s="709"/>
      <c r="T47" s="147"/>
      <c r="X47" s="137"/>
      <c r="Y47" s="137"/>
      <c r="Z47" s="137"/>
      <c r="AA47" s="137"/>
      <c r="AB47" s="137"/>
      <c r="AC47" s="137"/>
      <c r="AD47" s="137"/>
      <c r="AE47" s="137"/>
      <c r="AF47" s="138"/>
      <c r="AG47" s="138"/>
      <c r="AH47" s="138"/>
      <c r="AJ47" s="136"/>
    </row>
    <row r="48" spans="1:36">
      <c r="A48" s="676"/>
      <c r="B48" s="677"/>
      <c r="C48" s="496"/>
      <c r="D48" s="473"/>
      <c r="E48" s="473"/>
      <c r="F48" s="474"/>
      <c r="G48" s="464"/>
      <c r="H48" s="467"/>
      <c r="I48" s="467"/>
      <c r="J48" s="467"/>
      <c r="K48" s="468"/>
      <c r="L48" s="707"/>
      <c r="M48" s="708"/>
      <c r="N48" s="708"/>
      <c r="O48" s="708"/>
      <c r="P48" s="708"/>
      <c r="Q48" s="708"/>
      <c r="R48" s="708"/>
      <c r="S48" s="709"/>
      <c r="T48" s="147"/>
      <c r="X48" s="137"/>
      <c r="Y48" s="137"/>
      <c r="Z48" s="137"/>
      <c r="AA48" s="137"/>
      <c r="AB48" s="137"/>
      <c r="AC48" s="137"/>
      <c r="AD48" s="137"/>
      <c r="AE48" s="137"/>
      <c r="AF48" s="138"/>
      <c r="AG48" s="138"/>
      <c r="AH48" s="138"/>
      <c r="AJ48" s="136"/>
    </row>
    <row r="49" spans="1:36">
      <c r="A49" s="676"/>
      <c r="B49" s="677"/>
      <c r="C49" s="688"/>
      <c r="D49" s="689"/>
      <c r="E49" s="689"/>
      <c r="F49" s="690"/>
      <c r="G49" s="667"/>
      <c r="H49" s="668"/>
      <c r="I49" s="668"/>
      <c r="J49" s="668"/>
      <c r="K49" s="669"/>
      <c r="L49" s="694"/>
      <c r="M49" s="695"/>
      <c r="N49" s="695"/>
      <c r="O49" s="695"/>
      <c r="P49" s="695"/>
      <c r="Q49" s="695"/>
      <c r="R49" s="695"/>
      <c r="S49" s="677"/>
      <c r="T49" s="147"/>
      <c r="X49" s="137"/>
      <c r="Y49" s="137"/>
      <c r="Z49" s="137"/>
      <c r="AA49" s="137"/>
      <c r="AB49" s="137"/>
      <c r="AC49" s="137"/>
      <c r="AD49" s="137"/>
      <c r="AE49" s="137"/>
      <c r="AF49" s="138"/>
      <c r="AG49" s="138"/>
      <c r="AH49" s="138"/>
      <c r="AJ49" s="136"/>
    </row>
    <row r="50" spans="1:36">
      <c r="A50" s="676"/>
      <c r="B50" s="677"/>
      <c r="C50" s="688"/>
      <c r="D50" s="689"/>
      <c r="E50" s="689"/>
      <c r="F50" s="690"/>
      <c r="G50" s="667"/>
      <c r="H50" s="668"/>
      <c r="I50" s="668"/>
      <c r="J50" s="668"/>
      <c r="K50" s="669"/>
      <c r="L50" s="694"/>
      <c r="M50" s="695"/>
      <c r="N50" s="695"/>
      <c r="O50" s="695"/>
      <c r="P50" s="695"/>
      <c r="Q50" s="695"/>
      <c r="R50" s="695"/>
      <c r="S50" s="677"/>
      <c r="T50" s="147"/>
      <c r="X50" s="137"/>
      <c r="Y50" s="137"/>
      <c r="Z50" s="137"/>
      <c r="AA50" s="137"/>
      <c r="AB50" s="137"/>
      <c r="AC50" s="137"/>
      <c r="AD50" s="137"/>
      <c r="AE50" s="137"/>
      <c r="AF50" s="138"/>
      <c r="AG50" s="138"/>
      <c r="AH50" s="138"/>
      <c r="AJ50" s="136"/>
    </row>
    <row r="51" spans="1:36">
      <c r="A51" s="676"/>
      <c r="B51" s="677"/>
      <c r="C51" s="688"/>
      <c r="D51" s="689"/>
      <c r="E51" s="689"/>
      <c r="F51" s="690"/>
      <c r="G51" s="667"/>
      <c r="H51" s="668"/>
      <c r="I51" s="668"/>
      <c r="J51" s="668"/>
      <c r="K51" s="669"/>
      <c r="L51" s="694"/>
      <c r="M51" s="695"/>
      <c r="N51" s="695"/>
      <c r="O51" s="695"/>
      <c r="P51" s="695"/>
      <c r="Q51" s="695"/>
      <c r="R51" s="695"/>
      <c r="S51" s="677"/>
      <c r="T51" s="147"/>
      <c r="X51" s="137"/>
      <c r="Y51" s="137"/>
      <c r="Z51" s="137"/>
      <c r="AA51" s="137"/>
      <c r="AB51" s="137"/>
      <c r="AC51" s="137"/>
      <c r="AD51" s="137"/>
      <c r="AE51" s="137"/>
      <c r="AF51" s="138"/>
      <c r="AG51" s="138"/>
      <c r="AH51" s="138"/>
      <c r="AJ51" s="136"/>
    </row>
    <row r="52" spans="1:36">
      <c r="A52" s="676"/>
      <c r="B52" s="677"/>
      <c r="C52" s="688"/>
      <c r="D52" s="689"/>
      <c r="E52" s="689"/>
      <c r="F52" s="690"/>
      <c r="G52" s="667"/>
      <c r="H52" s="668"/>
      <c r="I52" s="668"/>
      <c r="J52" s="668"/>
      <c r="K52" s="669"/>
      <c r="L52" s="694"/>
      <c r="M52" s="695"/>
      <c r="N52" s="695"/>
      <c r="O52" s="695"/>
      <c r="P52" s="695"/>
      <c r="Q52" s="695"/>
      <c r="R52" s="695"/>
      <c r="S52" s="677"/>
      <c r="T52" s="147"/>
      <c r="X52" s="137"/>
      <c r="Y52" s="137"/>
      <c r="Z52" s="137"/>
      <c r="AA52" s="137"/>
      <c r="AB52" s="137"/>
      <c r="AC52" s="137"/>
      <c r="AD52" s="137"/>
      <c r="AE52" s="137"/>
      <c r="AF52" s="138"/>
      <c r="AG52" s="138"/>
      <c r="AH52" s="138"/>
      <c r="AJ52" s="136"/>
    </row>
    <row r="53" spans="1:36">
      <c r="A53" s="676"/>
      <c r="B53" s="677"/>
      <c r="C53" s="688"/>
      <c r="D53" s="689"/>
      <c r="E53" s="689"/>
      <c r="F53" s="690"/>
      <c r="G53" s="667"/>
      <c r="H53" s="668"/>
      <c r="I53" s="668"/>
      <c r="J53" s="668"/>
      <c r="K53" s="669"/>
      <c r="L53" s="694"/>
      <c r="M53" s="695"/>
      <c r="N53" s="695"/>
      <c r="O53" s="695"/>
      <c r="P53" s="695"/>
      <c r="Q53" s="695"/>
      <c r="R53" s="695"/>
      <c r="S53" s="677"/>
      <c r="T53" s="147"/>
      <c r="X53" s="137"/>
      <c r="Y53" s="137"/>
      <c r="Z53" s="137"/>
      <c r="AA53" s="137"/>
      <c r="AB53" s="137"/>
      <c r="AC53" s="137"/>
      <c r="AD53" s="137"/>
      <c r="AE53" s="137"/>
      <c r="AF53" s="138"/>
      <c r="AG53" s="138"/>
      <c r="AH53" s="138"/>
      <c r="AJ53" s="136"/>
    </row>
    <row r="54" spans="1:36">
      <c r="A54" s="676"/>
      <c r="B54" s="677"/>
      <c r="C54" s="688"/>
      <c r="D54" s="689"/>
      <c r="E54" s="689"/>
      <c r="F54" s="690"/>
      <c r="G54" s="667"/>
      <c r="H54" s="668"/>
      <c r="I54" s="668"/>
      <c r="J54" s="668"/>
      <c r="K54" s="669"/>
      <c r="L54" s="694"/>
      <c r="M54" s="695"/>
      <c r="N54" s="695"/>
      <c r="O54" s="695"/>
      <c r="P54" s="695"/>
      <c r="Q54" s="695"/>
      <c r="R54" s="695"/>
      <c r="S54" s="677"/>
      <c r="T54" s="147"/>
      <c r="X54" s="137"/>
      <c r="Y54" s="137"/>
      <c r="Z54" s="137"/>
      <c r="AA54" s="137"/>
      <c r="AB54" s="137"/>
      <c r="AC54" s="137"/>
      <c r="AD54" s="137"/>
      <c r="AE54" s="137"/>
      <c r="AF54" s="138"/>
      <c r="AG54" s="138"/>
      <c r="AH54" s="138"/>
      <c r="AJ54" s="136"/>
    </row>
    <row r="55" spans="1:36">
      <c r="A55" s="676"/>
      <c r="B55" s="677"/>
      <c r="C55" s="688"/>
      <c r="D55" s="689"/>
      <c r="E55" s="689"/>
      <c r="F55" s="690"/>
      <c r="G55" s="667"/>
      <c r="H55" s="668"/>
      <c r="I55" s="668"/>
      <c r="J55" s="668"/>
      <c r="K55" s="669"/>
      <c r="L55" s="694"/>
      <c r="M55" s="695"/>
      <c r="N55" s="695"/>
      <c r="O55" s="695"/>
      <c r="P55" s="695"/>
      <c r="Q55" s="695"/>
      <c r="R55" s="695"/>
      <c r="S55" s="677"/>
      <c r="T55" s="147"/>
      <c r="X55" s="137"/>
      <c r="Y55" s="137"/>
      <c r="Z55" s="137"/>
      <c r="AA55" s="137"/>
      <c r="AB55" s="137"/>
      <c r="AC55" s="137"/>
      <c r="AD55" s="137"/>
      <c r="AE55" s="137"/>
      <c r="AF55" s="138"/>
      <c r="AG55" s="138"/>
      <c r="AH55" s="138"/>
      <c r="AJ55" s="136"/>
    </row>
    <row r="56" spans="1:36">
      <c r="A56" s="676"/>
      <c r="B56" s="677"/>
      <c r="C56" s="688"/>
      <c r="D56" s="689"/>
      <c r="E56" s="689"/>
      <c r="F56" s="690"/>
      <c r="G56" s="667"/>
      <c r="H56" s="668"/>
      <c r="I56" s="668"/>
      <c r="J56" s="668"/>
      <c r="K56" s="669"/>
      <c r="L56" s="694"/>
      <c r="M56" s="695"/>
      <c r="N56" s="695"/>
      <c r="O56" s="695"/>
      <c r="P56" s="695"/>
      <c r="Q56" s="695"/>
      <c r="R56" s="695"/>
      <c r="S56" s="677"/>
      <c r="T56" s="147"/>
      <c r="X56" s="137"/>
      <c r="Y56" s="137"/>
      <c r="Z56" s="137"/>
      <c r="AA56" s="137"/>
      <c r="AB56" s="137"/>
      <c r="AC56" s="137"/>
      <c r="AD56" s="137"/>
      <c r="AE56" s="137"/>
      <c r="AF56" s="138"/>
      <c r="AG56" s="138"/>
      <c r="AH56" s="138"/>
      <c r="AJ56" s="136"/>
    </row>
    <row r="57" spans="1:36">
      <c r="A57" s="676"/>
      <c r="B57" s="677"/>
      <c r="C57" s="688"/>
      <c r="D57" s="689"/>
      <c r="E57" s="689"/>
      <c r="F57" s="690"/>
      <c r="G57" s="667"/>
      <c r="H57" s="668"/>
      <c r="I57" s="668"/>
      <c r="J57" s="668"/>
      <c r="K57" s="669"/>
      <c r="L57" s="694"/>
      <c r="M57" s="695"/>
      <c r="N57" s="695"/>
      <c r="O57" s="695"/>
      <c r="P57" s="695"/>
      <c r="Q57" s="695"/>
      <c r="R57" s="695"/>
      <c r="S57" s="677"/>
      <c r="T57" s="147"/>
      <c r="X57" s="137"/>
      <c r="Y57" s="137"/>
      <c r="Z57" s="137"/>
      <c r="AA57" s="137"/>
      <c r="AB57" s="137"/>
      <c r="AC57" s="137"/>
      <c r="AD57" s="137"/>
      <c r="AE57" s="137"/>
      <c r="AF57" s="138"/>
      <c r="AG57" s="138"/>
      <c r="AH57" s="138"/>
      <c r="AJ57" s="136"/>
    </row>
    <row r="58" spans="1:36">
      <c r="A58" s="676"/>
      <c r="B58" s="677"/>
      <c r="C58" s="688"/>
      <c r="D58" s="689"/>
      <c r="E58" s="689"/>
      <c r="F58" s="690"/>
      <c r="G58" s="667"/>
      <c r="H58" s="668"/>
      <c r="I58" s="668"/>
      <c r="J58" s="668"/>
      <c r="K58" s="669"/>
      <c r="L58" s="694"/>
      <c r="M58" s="695"/>
      <c r="N58" s="695"/>
      <c r="O58" s="695"/>
      <c r="P58" s="695"/>
      <c r="Q58" s="695"/>
      <c r="R58" s="695"/>
      <c r="S58" s="677"/>
      <c r="T58" s="147"/>
      <c r="X58" s="137"/>
      <c r="Y58" s="137"/>
      <c r="Z58" s="137"/>
      <c r="AA58" s="137"/>
      <c r="AB58" s="137"/>
      <c r="AC58" s="137"/>
      <c r="AD58" s="137"/>
      <c r="AE58" s="137"/>
      <c r="AF58" s="138"/>
      <c r="AG58" s="138"/>
      <c r="AH58" s="138"/>
      <c r="AJ58" s="136"/>
    </row>
    <row r="59" spans="1:36">
      <c r="A59" s="676"/>
      <c r="B59" s="677"/>
      <c r="C59" s="688"/>
      <c r="D59" s="689"/>
      <c r="E59" s="689"/>
      <c r="F59" s="690"/>
      <c r="G59" s="667"/>
      <c r="H59" s="668"/>
      <c r="I59" s="668"/>
      <c r="J59" s="668"/>
      <c r="K59" s="669"/>
      <c r="L59" s="694"/>
      <c r="M59" s="695"/>
      <c r="N59" s="695"/>
      <c r="O59" s="695"/>
      <c r="P59" s="695"/>
      <c r="Q59" s="695"/>
      <c r="R59" s="695"/>
      <c r="S59" s="677"/>
      <c r="T59" s="147"/>
      <c r="X59" s="137"/>
      <c r="Y59" s="137"/>
      <c r="Z59" s="137"/>
      <c r="AA59" s="137"/>
      <c r="AB59" s="137"/>
      <c r="AC59" s="137"/>
      <c r="AD59" s="137"/>
      <c r="AE59" s="137"/>
      <c r="AF59" s="138"/>
      <c r="AG59" s="138"/>
      <c r="AH59" s="138"/>
      <c r="AJ59" s="136"/>
    </row>
    <row r="60" spans="1:36">
      <c r="A60" s="676"/>
      <c r="B60" s="677"/>
      <c r="C60" s="688"/>
      <c r="D60" s="689"/>
      <c r="E60" s="689"/>
      <c r="F60" s="690"/>
      <c r="G60" s="667"/>
      <c r="H60" s="668"/>
      <c r="I60" s="668"/>
      <c r="J60" s="668"/>
      <c r="K60" s="669"/>
      <c r="L60" s="694"/>
      <c r="M60" s="695"/>
      <c r="N60" s="695"/>
      <c r="O60" s="695"/>
      <c r="P60" s="695"/>
      <c r="Q60" s="695"/>
      <c r="R60" s="695"/>
      <c r="S60" s="677"/>
      <c r="T60" s="147"/>
      <c r="X60" s="137"/>
      <c r="Y60" s="137"/>
      <c r="Z60" s="137"/>
      <c r="AA60" s="137"/>
      <c r="AB60" s="137"/>
      <c r="AC60" s="137"/>
      <c r="AD60" s="137"/>
      <c r="AE60" s="137"/>
      <c r="AF60" s="138"/>
      <c r="AG60" s="138"/>
      <c r="AH60" s="138"/>
      <c r="AJ60" s="136"/>
    </row>
    <row r="61" spans="1:36">
      <c r="A61" s="676"/>
      <c r="B61" s="677"/>
      <c r="C61" s="688"/>
      <c r="D61" s="689"/>
      <c r="E61" s="689"/>
      <c r="F61" s="690"/>
      <c r="G61" s="667"/>
      <c r="H61" s="668"/>
      <c r="I61" s="668"/>
      <c r="J61" s="668"/>
      <c r="K61" s="669"/>
      <c r="L61" s="694"/>
      <c r="M61" s="695"/>
      <c r="N61" s="695"/>
      <c r="O61" s="695"/>
      <c r="P61" s="695"/>
      <c r="Q61" s="695"/>
      <c r="R61" s="695"/>
      <c r="S61" s="677"/>
      <c r="T61" s="147"/>
      <c r="X61" s="137"/>
      <c r="Y61" s="137"/>
      <c r="Z61" s="137"/>
      <c r="AA61" s="137"/>
      <c r="AB61" s="137"/>
      <c r="AC61" s="137"/>
      <c r="AD61" s="137"/>
      <c r="AE61" s="137"/>
      <c r="AF61" s="138"/>
      <c r="AG61" s="138"/>
      <c r="AH61" s="138"/>
      <c r="AJ61" s="136"/>
    </row>
    <row r="62" spans="1:36">
      <c r="A62" s="676"/>
      <c r="B62" s="677"/>
      <c r="C62" s="688"/>
      <c r="D62" s="689"/>
      <c r="E62" s="689"/>
      <c r="F62" s="690"/>
      <c r="G62" s="667"/>
      <c r="H62" s="668"/>
      <c r="I62" s="668"/>
      <c r="J62" s="668"/>
      <c r="K62" s="669"/>
      <c r="L62" s="694"/>
      <c r="M62" s="695"/>
      <c r="N62" s="695"/>
      <c r="O62" s="695"/>
      <c r="P62" s="695"/>
      <c r="Q62" s="695"/>
      <c r="R62" s="695"/>
      <c r="S62" s="677"/>
      <c r="T62" s="147"/>
      <c r="X62" s="137"/>
      <c r="Y62" s="137"/>
      <c r="Z62" s="137"/>
      <c r="AA62" s="137"/>
      <c r="AB62" s="137"/>
      <c r="AC62" s="137"/>
      <c r="AD62" s="137"/>
      <c r="AE62" s="137"/>
      <c r="AF62" s="138"/>
      <c r="AG62" s="138"/>
      <c r="AH62" s="138"/>
      <c r="AJ62" s="136"/>
    </row>
    <row r="63" spans="1:36" ht="12" thickBot="1">
      <c r="A63" s="699"/>
      <c r="B63" s="700"/>
      <c r="C63" s="696"/>
      <c r="D63" s="697"/>
      <c r="E63" s="697"/>
      <c r="F63" s="698"/>
      <c r="G63" s="701"/>
      <c r="H63" s="702"/>
      <c r="I63" s="702"/>
      <c r="J63" s="702"/>
      <c r="K63" s="703"/>
      <c r="L63" s="704"/>
      <c r="M63" s="705"/>
      <c r="N63" s="705"/>
      <c r="O63" s="705"/>
      <c r="P63" s="705"/>
      <c r="Q63" s="705"/>
      <c r="R63" s="705"/>
      <c r="S63" s="700"/>
      <c r="T63" s="165"/>
      <c r="U63" s="104"/>
      <c r="V63" s="104"/>
      <c r="W63" s="104"/>
      <c r="X63" s="384"/>
      <c r="Y63" s="384"/>
      <c r="Z63" s="384"/>
      <c r="AA63" s="384"/>
      <c r="AB63" s="384"/>
      <c r="AC63" s="384"/>
      <c r="AD63" s="384"/>
      <c r="AE63" s="384"/>
      <c r="AF63" s="385"/>
      <c r="AG63" s="385"/>
      <c r="AH63" s="385"/>
      <c r="AI63" s="104"/>
      <c r="AJ63" s="142"/>
    </row>
  </sheetData>
  <mergeCells count="118">
    <mergeCell ref="L51:S51"/>
    <mergeCell ref="A47:B47"/>
    <mergeCell ref="A54:B54"/>
    <mergeCell ref="C54:F54"/>
    <mergeCell ref="G54:K54"/>
    <mergeCell ref="L54:S54"/>
    <mergeCell ref="A53:B53"/>
    <mergeCell ref="C53:F53"/>
    <mergeCell ref="G53:K53"/>
    <mergeCell ref="L53:S53"/>
    <mergeCell ref="L49:S49"/>
    <mergeCell ref="L56:S56"/>
    <mergeCell ref="D39:G39"/>
    <mergeCell ref="A39:C39"/>
    <mergeCell ref="A40:C40"/>
    <mergeCell ref="D40:G40"/>
    <mergeCell ref="A45:B45"/>
    <mergeCell ref="A46:B46"/>
    <mergeCell ref="A43:B43"/>
    <mergeCell ref="A48:B48"/>
    <mergeCell ref="A50:B50"/>
    <mergeCell ref="C50:F50"/>
    <mergeCell ref="G50:K50"/>
    <mergeCell ref="L50:S50"/>
    <mergeCell ref="A49:B49"/>
    <mergeCell ref="C49:F49"/>
    <mergeCell ref="G49:K49"/>
    <mergeCell ref="L43:S43"/>
    <mergeCell ref="A52:B52"/>
    <mergeCell ref="C52:F52"/>
    <mergeCell ref="G52:K52"/>
    <mergeCell ref="L52:S52"/>
    <mergeCell ref="A51:B51"/>
    <mergeCell ref="C51:F51"/>
    <mergeCell ref="G51:K51"/>
    <mergeCell ref="C63:F63"/>
    <mergeCell ref="A44:B44"/>
    <mergeCell ref="L44:S44"/>
    <mergeCell ref="A62:B62"/>
    <mergeCell ref="G62:K62"/>
    <mergeCell ref="L62:S62"/>
    <mergeCell ref="A63:B63"/>
    <mergeCell ref="G63:K63"/>
    <mergeCell ref="L63:S63"/>
    <mergeCell ref="C62:F62"/>
    <mergeCell ref="L61:S61"/>
    <mergeCell ref="G58:K58"/>
    <mergeCell ref="G59:K59"/>
    <mergeCell ref="G60:K60"/>
    <mergeCell ref="G61:K61"/>
    <mergeCell ref="L60:S60"/>
    <mergeCell ref="L58:S58"/>
    <mergeCell ref="L59:S59"/>
    <mergeCell ref="L57:S57"/>
    <mergeCell ref="L45:S45"/>
    <mergeCell ref="L46:S46"/>
    <mergeCell ref="L47:S47"/>
    <mergeCell ref="L48:S48"/>
    <mergeCell ref="L55:S55"/>
    <mergeCell ref="A60:B60"/>
    <mergeCell ref="A61:B61"/>
    <mergeCell ref="C58:F58"/>
    <mergeCell ref="C59:F59"/>
    <mergeCell ref="C61:F61"/>
    <mergeCell ref="C60:F60"/>
    <mergeCell ref="A58:B58"/>
    <mergeCell ref="A59:B59"/>
    <mergeCell ref="G55:K55"/>
    <mergeCell ref="A56:B56"/>
    <mergeCell ref="C56:F56"/>
    <mergeCell ref="G56:K56"/>
    <mergeCell ref="A57:B57"/>
    <mergeCell ref="C57:F57"/>
    <mergeCell ref="G57:K57"/>
    <mergeCell ref="C55:F55"/>
    <mergeCell ref="A55:B55"/>
    <mergeCell ref="G3:Q3"/>
    <mergeCell ref="V3:AJ3"/>
    <mergeCell ref="AF4:AJ4"/>
    <mergeCell ref="G1:Q1"/>
    <mergeCell ref="V1:AB1"/>
    <mergeCell ref="AG1:AJ1"/>
    <mergeCell ref="G2:Q2"/>
    <mergeCell ref="V2:AB2"/>
    <mergeCell ref="AG2:AJ2"/>
    <mergeCell ref="G10:K10"/>
    <mergeCell ref="G11:K11"/>
    <mergeCell ref="G12:K12"/>
    <mergeCell ref="G13:K13"/>
    <mergeCell ref="A13:B13"/>
    <mergeCell ref="C10:F10"/>
    <mergeCell ref="C11:F11"/>
    <mergeCell ref="C12:F12"/>
    <mergeCell ref="C13:F13"/>
    <mergeCell ref="A10:B10"/>
    <mergeCell ref="A11:B11"/>
    <mergeCell ref="A12:B12"/>
    <mergeCell ref="T10:W10"/>
    <mergeCell ref="T11:W11"/>
    <mergeCell ref="T12:W12"/>
    <mergeCell ref="T13:W13"/>
    <mergeCell ref="T14:W14"/>
    <mergeCell ref="L12:S12"/>
    <mergeCell ref="L13:S13"/>
    <mergeCell ref="L10:S10"/>
    <mergeCell ref="L11:S11"/>
    <mergeCell ref="D38:G38"/>
    <mergeCell ref="A38:C38"/>
    <mergeCell ref="D35:G35"/>
    <mergeCell ref="D36:G36"/>
    <mergeCell ref="D37:G37"/>
    <mergeCell ref="A35:C35"/>
    <mergeCell ref="A36:C36"/>
    <mergeCell ref="A37:C37"/>
    <mergeCell ref="L14:S14"/>
    <mergeCell ref="G14:K14"/>
    <mergeCell ref="C14:F14"/>
    <mergeCell ref="A14:B14"/>
  </mergeCells>
  <phoneticPr fontId="7"/>
  <dataValidations count="1">
    <dataValidation type="list" allowBlank="1" showInputMessage="1" showErrorMessage="1" sqref="C10:C14" xr:uid="{00000000-0002-0000-0A00-000000000000}">
      <formula1>"R/3標準Table,Add-on Table,LDB,その他"</formula1>
    </dataValidation>
  </dataValidations>
  <pageMargins left="0.78740157480314965" right="0.39370078740157483" top="0.78740157480314965" bottom="0.78740157480314965" header="0.51181102362204722" footer="0.51181102362204722"/>
  <pageSetup paperSize="9" scale="84" orientation="portrait" verticalDpi="4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ransitionEvaluation="1" transitionEntry="1" codeName="Sheet19">
    <pageSetUpPr fitToPage="1"/>
  </sheetPr>
  <dimension ref="A1:AJ63"/>
  <sheetViews>
    <sheetView topLeftCell="A5" zoomScaleNormal="100" workbookViewId="0"/>
  </sheetViews>
  <sheetFormatPr defaultColWidth="2.85546875" defaultRowHeight="11.25"/>
  <cols>
    <col min="1" max="16384" width="2.85546875" style="23"/>
  </cols>
  <sheetData>
    <row r="1" spans="1:36" s="2" customFormat="1" ht="18.95" customHeight="1">
      <c r="A1" s="108"/>
      <c r="B1" s="109"/>
      <c r="C1" s="109"/>
      <c r="D1" s="110" t="s">
        <v>90</v>
      </c>
      <c r="E1" s="111"/>
      <c r="F1" s="112"/>
      <c r="G1" s="544" t="str">
        <f>IF(詳細設計書!G1="","N/A",詳細設計書!G1)</f>
        <v>統合会計システム開発</v>
      </c>
      <c r="H1" s="544"/>
      <c r="I1" s="544"/>
      <c r="J1" s="544"/>
      <c r="K1" s="544"/>
      <c r="L1" s="544"/>
      <c r="M1" s="544"/>
      <c r="N1" s="544"/>
      <c r="O1" s="544"/>
      <c r="P1" s="544"/>
      <c r="Q1" s="545"/>
      <c r="R1" s="110" t="s">
        <v>283</v>
      </c>
      <c r="S1" s="111"/>
      <c r="T1" s="111"/>
      <c r="U1" s="113"/>
      <c r="V1" s="575">
        <f>IF(詳細設計書!S1="","N/A",詳細設計書!S1)</f>
        <v>42509</v>
      </c>
      <c r="W1" s="576"/>
      <c r="X1" s="576"/>
      <c r="Y1" s="576"/>
      <c r="Z1" s="576"/>
      <c r="AA1" s="576"/>
      <c r="AB1" s="577"/>
      <c r="AC1" s="110" t="s">
        <v>284</v>
      </c>
      <c r="AD1" s="114"/>
      <c r="AE1" s="114"/>
      <c r="AF1" s="115"/>
      <c r="AG1" s="686">
        <f>IF(詳細設計書!AD1="","N/A",詳細設計書!AD1)</f>
        <v>42559</v>
      </c>
      <c r="AH1" s="686"/>
      <c r="AI1" s="686"/>
      <c r="AJ1" s="687"/>
    </row>
    <row r="2" spans="1:36" s="2" customFormat="1" ht="18.95" customHeight="1">
      <c r="A2" s="30"/>
      <c r="D2" s="116" t="s">
        <v>93</v>
      </c>
      <c r="E2" s="34"/>
      <c r="F2" s="117"/>
      <c r="G2" s="550" t="str">
        <f>IF(詳細設計書!G2="","N/A",詳細設計書!G2)</f>
        <v>SAP R/3(レポート)</v>
      </c>
      <c r="H2" s="550"/>
      <c r="I2" s="550"/>
      <c r="J2" s="550"/>
      <c r="K2" s="550"/>
      <c r="L2" s="550"/>
      <c r="M2" s="550"/>
      <c r="N2" s="550"/>
      <c r="O2" s="550"/>
      <c r="P2" s="550"/>
      <c r="Q2" s="551"/>
      <c r="R2" s="116" t="s">
        <v>286</v>
      </c>
      <c r="S2" s="34"/>
      <c r="T2" s="34"/>
      <c r="U2" s="118"/>
      <c r="V2" s="581" t="str">
        <f>IF(詳細設計書!S2="","N/A",詳細設計書!S2)</f>
        <v>KSC 橋本</v>
      </c>
      <c r="W2" s="582"/>
      <c r="X2" s="582"/>
      <c r="Y2" s="582"/>
      <c r="Z2" s="582"/>
      <c r="AA2" s="582"/>
      <c r="AB2" s="583"/>
      <c r="AC2" s="116" t="s">
        <v>288</v>
      </c>
      <c r="AD2" s="119"/>
      <c r="AE2" s="120"/>
      <c r="AF2" s="117"/>
      <c r="AG2" s="585" t="str">
        <f>IF(詳細設計書!AD2="","N/A",詳細設計書!AD2)</f>
        <v>KSC 橋本</v>
      </c>
      <c r="AH2" s="585"/>
      <c r="AI2" s="585"/>
      <c r="AJ2" s="586"/>
    </row>
    <row r="3" spans="1:36" s="129" customFormat="1" ht="18.95" customHeight="1" thickBot="1">
      <c r="A3" s="4"/>
      <c r="B3" s="1"/>
      <c r="C3" s="121"/>
      <c r="D3" s="122" t="s">
        <v>96</v>
      </c>
      <c r="E3" s="123"/>
      <c r="F3" s="124"/>
      <c r="G3" s="563" t="str">
        <f>IF(詳細設計書!G3="","N/A",詳細設計書!G3)</f>
        <v>DP_FI_2014_01</v>
      </c>
      <c r="H3" s="564"/>
      <c r="I3" s="564"/>
      <c r="J3" s="564"/>
      <c r="K3" s="564"/>
      <c r="L3" s="564"/>
      <c r="M3" s="564"/>
      <c r="N3" s="564"/>
      <c r="O3" s="564"/>
      <c r="P3" s="564"/>
      <c r="Q3" s="565"/>
      <c r="R3" s="122" t="s">
        <v>97</v>
      </c>
      <c r="S3" s="123"/>
      <c r="T3" s="123"/>
      <c r="U3" s="125"/>
      <c r="V3" s="566" t="str">
        <f>IF(詳細設計書!S3="","N/A",詳細設計書!S3)</f>
        <v>ZFIPR_2014_01</v>
      </c>
      <c r="W3" s="566"/>
      <c r="X3" s="566"/>
      <c r="Y3" s="566"/>
      <c r="Z3" s="566"/>
      <c r="AA3" s="566"/>
      <c r="AB3" s="566"/>
      <c r="AC3" s="566"/>
      <c r="AD3" s="566"/>
      <c r="AE3" s="566"/>
      <c r="AF3" s="566"/>
      <c r="AG3" s="566"/>
      <c r="AH3" s="566"/>
      <c r="AI3" s="566"/>
      <c r="AJ3" s="567"/>
    </row>
    <row r="4" spans="1:36" s="129" customFormat="1" ht="18.95" customHeight="1" thickBot="1">
      <c r="A4" s="31" t="s">
        <v>292</v>
      </c>
      <c r="B4" s="127"/>
      <c r="C4" s="128"/>
      <c r="D4" s="353" t="s">
        <v>503</v>
      </c>
      <c r="E4" s="126"/>
      <c r="F4" s="126"/>
      <c r="G4" s="126"/>
      <c r="H4" s="126"/>
      <c r="I4" s="126"/>
      <c r="J4" s="126"/>
      <c r="K4" s="126"/>
      <c r="L4" s="126"/>
      <c r="M4" s="126"/>
      <c r="N4" s="126"/>
      <c r="O4" s="126"/>
      <c r="P4" s="126"/>
      <c r="Q4" s="126"/>
      <c r="R4" s="126"/>
      <c r="S4" s="126"/>
      <c r="T4" s="126"/>
      <c r="U4" s="126"/>
      <c r="V4" s="126"/>
      <c r="W4" s="126"/>
      <c r="X4" s="126"/>
      <c r="Y4" s="126"/>
      <c r="Z4" s="126"/>
      <c r="AA4" s="126"/>
      <c r="AB4" s="126"/>
      <c r="AC4" s="31" t="s">
        <v>100</v>
      </c>
      <c r="AD4" s="127"/>
      <c r="AE4" s="128"/>
      <c r="AF4" s="560" t="str">
        <f>詳細設計書!AC4</f>
        <v>1.0</v>
      </c>
      <c r="AG4" s="560"/>
      <c r="AH4" s="560"/>
      <c r="AI4" s="560"/>
      <c r="AJ4" s="561"/>
    </row>
    <row r="5" spans="1:36" ht="7.5" customHeight="1" thickBot="1"/>
    <row r="6" spans="1:36" ht="14.25" customHeight="1" thickBot="1">
      <c r="A6" s="354" t="s">
        <v>504</v>
      </c>
      <c r="B6" s="355"/>
      <c r="C6" s="356"/>
      <c r="D6" s="357">
        <v>4</v>
      </c>
      <c r="E6" s="358"/>
      <c r="F6" s="358"/>
      <c r="G6" s="358"/>
      <c r="H6" s="358"/>
      <c r="I6" s="358"/>
      <c r="J6" s="358"/>
      <c r="K6" s="358"/>
      <c r="L6" s="358"/>
      <c r="M6" s="358"/>
      <c r="N6" s="358"/>
      <c r="O6" s="358"/>
      <c r="P6" s="358"/>
      <c r="Q6" s="358"/>
      <c r="R6" s="358"/>
      <c r="S6" s="358"/>
      <c r="T6" s="358"/>
      <c r="U6" s="358"/>
      <c r="V6" s="358"/>
      <c r="W6" s="358"/>
      <c r="X6" s="358"/>
      <c r="Y6" s="358"/>
      <c r="Z6" s="358"/>
      <c r="AA6" s="358"/>
      <c r="AB6" s="358"/>
      <c r="AC6" s="358"/>
      <c r="AD6" s="358"/>
      <c r="AE6" s="358"/>
      <c r="AF6" s="358"/>
      <c r="AG6" s="358"/>
      <c r="AH6" s="358"/>
      <c r="AI6" s="358"/>
      <c r="AJ6" s="359"/>
    </row>
    <row r="7" spans="1:36" ht="14.25" customHeight="1" thickBot="1">
      <c r="A7" s="145"/>
      <c r="B7" s="360"/>
      <c r="C7" s="360"/>
    </row>
    <row r="8" spans="1:36" ht="14.25" customHeight="1">
      <c r="A8" s="105" t="s">
        <v>505</v>
      </c>
      <c r="B8" s="361"/>
      <c r="C8" s="361"/>
      <c r="D8" s="133"/>
      <c r="E8" s="133"/>
      <c r="F8" s="133"/>
      <c r="G8" s="133"/>
      <c r="H8" s="133"/>
      <c r="I8" s="133"/>
      <c r="J8" s="133"/>
      <c r="K8" s="133"/>
      <c r="L8" s="133"/>
      <c r="M8" s="133"/>
      <c r="N8" s="133"/>
      <c r="O8" s="133"/>
      <c r="P8" s="133"/>
      <c r="Q8" s="133"/>
      <c r="R8" s="133"/>
      <c r="S8" s="133"/>
      <c r="T8" s="133"/>
      <c r="U8" s="133"/>
      <c r="V8" s="133"/>
      <c r="W8" s="133"/>
      <c r="X8" s="133"/>
      <c r="Y8" s="133"/>
      <c r="Z8" s="133"/>
      <c r="AA8" s="133"/>
      <c r="AB8" s="133"/>
      <c r="AC8" s="133"/>
      <c r="AD8" s="133"/>
      <c r="AE8" s="133"/>
      <c r="AF8" s="133"/>
      <c r="AG8" s="133"/>
      <c r="AH8" s="133"/>
      <c r="AI8" s="133"/>
      <c r="AJ8" s="362"/>
    </row>
    <row r="9" spans="1:36" s="284" customFormat="1" ht="15" customHeight="1" thickBot="1">
      <c r="A9" s="134" t="s">
        <v>506</v>
      </c>
      <c r="B9" s="135"/>
      <c r="C9" s="363" t="s">
        <v>507</v>
      </c>
      <c r="D9" s="135"/>
      <c r="E9" s="364"/>
      <c r="F9" s="365"/>
      <c r="G9" s="366" t="s">
        <v>508</v>
      </c>
      <c r="H9" s="367"/>
      <c r="I9" s="367"/>
      <c r="J9" s="368"/>
      <c r="K9" s="369"/>
      <c r="L9" s="367" t="s">
        <v>509</v>
      </c>
      <c r="M9" s="368"/>
      <c r="N9" s="368"/>
      <c r="O9" s="368"/>
      <c r="P9" s="368"/>
      <c r="Q9" s="368"/>
      <c r="R9" s="368"/>
      <c r="S9" s="368"/>
      <c r="T9" s="370" t="s">
        <v>510</v>
      </c>
      <c r="U9" s="135"/>
      <c r="V9" s="135"/>
      <c r="W9" s="135"/>
      <c r="X9" s="135"/>
      <c r="Y9" s="363" t="s">
        <v>511</v>
      </c>
      <c r="Z9" s="135"/>
      <c r="AA9" s="135"/>
      <c r="AB9" s="135"/>
      <c r="AC9" s="135"/>
      <c r="AD9" s="135"/>
      <c r="AE9" s="135"/>
      <c r="AF9" s="135"/>
      <c r="AG9" s="135"/>
      <c r="AH9" s="135"/>
      <c r="AI9" s="364"/>
      <c r="AJ9" s="371"/>
    </row>
    <row r="10" spans="1:36" ht="15" customHeight="1" thickTop="1">
      <c r="A10" s="684">
        <v>1</v>
      </c>
      <c r="B10" s="685"/>
      <c r="C10" s="678" t="s">
        <v>512</v>
      </c>
      <c r="D10" s="679"/>
      <c r="E10" s="679"/>
      <c r="F10" s="680"/>
      <c r="G10" s="863" t="s">
        <v>603</v>
      </c>
      <c r="H10" s="864"/>
      <c r="I10" s="864"/>
      <c r="J10" s="864"/>
      <c r="K10" s="865"/>
      <c r="L10" s="670" t="s">
        <v>604</v>
      </c>
      <c r="M10" s="671"/>
      <c r="N10" s="671"/>
      <c r="O10" s="671"/>
      <c r="P10" s="671"/>
      <c r="Q10" s="671"/>
      <c r="R10" s="671"/>
      <c r="S10" s="672"/>
      <c r="T10" s="721" t="s">
        <v>605</v>
      </c>
      <c r="U10" s="722"/>
      <c r="V10" s="722"/>
      <c r="W10" s="722"/>
      <c r="X10" s="373" t="s">
        <v>515</v>
      </c>
      <c r="Y10" s="498" t="s">
        <v>606</v>
      </c>
      <c r="Z10" s="373"/>
      <c r="AA10" s="373"/>
      <c r="AB10" s="373"/>
      <c r="AC10" s="373"/>
      <c r="AD10" s="373"/>
      <c r="AE10" s="373"/>
      <c r="AF10" s="374"/>
      <c r="AG10" s="374"/>
      <c r="AH10" s="374"/>
      <c r="AJ10" s="136"/>
    </row>
    <row r="11" spans="1:36" ht="15" customHeight="1">
      <c r="A11" s="676"/>
      <c r="B11" s="677"/>
      <c r="C11" s="681"/>
      <c r="D11" s="682"/>
      <c r="E11" s="682"/>
      <c r="F11" s="683"/>
      <c r="G11" s="866"/>
      <c r="H11" s="867"/>
      <c r="I11" s="867"/>
      <c r="J11" s="867"/>
      <c r="K11" s="868"/>
      <c r="L11" s="673"/>
      <c r="M11" s="674"/>
      <c r="N11" s="674"/>
      <c r="O11" s="674"/>
      <c r="P11" s="674"/>
      <c r="Q11" s="674"/>
      <c r="R11" s="674"/>
      <c r="S11" s="675"/>
      <c r="T11" s="866"/>
      <c r="U11" s="867"/>
      <c r="V11" s="867"/>
      <c r="W11" s="867"/>
      <c r="X11" s="137" t="s">
        <v>516</v>
      </c>
      <c r="Y11" s="375" t="s">
        <v>607</v>
      </c>
      <c r="Z11" s="137"/>
      <c r="AA11" s="137"/>
      <c r="AB11" s="137"/>
      <c r="AC11" s="137"/>
      <c r="AD11" s="137"/>
      <c r="AE11" s="137"/>
      <c r="AF11" s="138"/>
      <c r="AG11" s="138"/>
      <c r="AH11" s="138"/>
      <c r="AJ11" s="136"/>
    </row>
    <row r="12" spans="1:36" ht="15" customHeight="1">
      <c r="A12" s="676"/>
      <c r="B12" s="677"/>
      <c r="C12" s="681"/>
      <c r="D12" s="682"/>
      <c r="E12" s="682"/>
      <c r="F12" s="683"/>
      <c r="G12" s="866"/>
      <c r="H12" s="867"/>
      <c r="I12" s="867"/>
      <c r="J12" s="867"/>
      <c r="K12" s="868"/>
      <c r="L12" s="667"/>
      <c r="M12" s="668"/>
      <c r="N12" s="668"/>
      <c r="O12" s="668"/>
      <c r="P12" s="668"/>
      <c r="Q12" s="668"/>
      <c r="R12" s="668"/>
      <c r="S12" s="669"/>
      <c r="T12" s="866"/>
      <c r="U12" s="867"/>
      <c r="V12" s="867"/>
      <c r="W12" s="867"/>
      <c r="X12" s="137" t="s">
        <v>516</v>
      </c>
      <c r="Y12" s="375"/>
      <c r="Z12" s="137"/>
      <c r="AA12" s="137"/>
      <c r="AB12" s="137"/>
      <c r="AC12" s="137"/>
      <c r="AD12" s="137"/>
      <c r="AE12" s="137"/>
      <c r="AF12" s="138"/>
      <c r="AG12" s="138"/>
      <c r="AH12" s="138"/>
      <c r="AJ12" s="136"/>
    </row>
    <row r="13" spans="1:36" ht="15" customHeight="1">
      <c r="A13" s="676"/>
      <c r="B13" s="677"/>
      <c r="C13" s="681"/>
      <c r="D13" s="682"/>
      <c r="E13" s="682"/>
      <c r="F13" s="683"/>
      <c r="G13" s="866"/>
      <c r="H13" s="867"/>
      <c r="I13" s="867"/>
      <c r="J13" s="867"/>
      <c r="K13" s="868"/>
      <c r="L13" s="866"/>
      <c r="M13" s="867"/>
      <c r="N13" s="867"/>
      <c r="O13" s="867"/>
      <c r="P13" s="867"/>
      <c r="Q13" s="867"/>
      <c r="R13" s="867"/>
      <c r="S13" s="868"/>
      <c r="T13" s="866"/>
      <c r="U13" s="867"/>
      <c r="V13" s="867"/>
      <c r="W13" s="867"/>
      <c r="X13" s="137" t="s">
        <v>516</v>
      </c>
      <c r="Y13" s="375"/>
      <c r="Z13" s="137"/>
      <c r="AA13" s="137"/>
      <c r="AB13" s="137"/>
      <c r="AC13" s="137"/>
      <c r="AD13" s="137"/>
      <c r="AE13" s="137"/>
      <c r="AF13" s="138"/>
      <c r="AG13" s="138"/>
      <c r="AH13" s="138"/>
      <c r="AJ13" s="136"/>
    </row>
    <row r="14" spans="1:36" ht="15" customHeight="1">
      <c r="A14" s="665"/>
      <c r="B14" s="666"/>
      <c r="C14" s="662"/>
      <c r="D14" s="663"/>
      <c r="E14" s="663"/>
      <c r="F14" s="664"/>
      <c r="G14" s="869"/>
      <c r="H14" s="870"/>
      <c r="I14" s="870"/>
      <c r="J14" s="870"/>
      <c r="K14" s="871"/>
      <c r="L14" s="869"/>
      <c r="M14" s="870"/>
      <c r="N14" s="870"/>
      <c r="O14" s="870"/>
      <c r="P14" s="870"/>
      <c r="Q14" s="870"/>
      <c r="R14" s="870"/>
      <c r="S14" s="871"/>
      <c r="T14" s="869"/>
      <c r="U14" s="870"/>
      <c r="V14" s="870"/>
      <c r="W14" s="870"/>
      <c r="X14" s="377" t="s">
        <v>515</v>
      </c>
      <c r="Y14" s="376"/>
      <c r="Z14" s="377"/>
      <c r="AA14" s="377"/>
      <c r="AB14" s="377"/>
      <c r="AC14" s="377"/>
      <c r="AD14" s="377"/>
      <c r="AE14" s="377"/>
      <c r="AF14" s="378"/>
      <c r="AG14" s="378"/>
      <c r="AH14" s="378"/>
      <c r="AI14" s="139"/>
      <c r="AJ14" s="379"/>
    </row>
    <row r="15" spans="1:36" ht="14.25" customHeight="1">
      <c r="A15" s="107" t="s">
        <v>517</v>
      </c>
      <c r="B15" s="380"/>
      <c r="C15" s="380"/>
      <c r="D15" s="380"/>
      <c r="E15" s="380"/>
      <c r="F15" s="380"/>
      <c r="G15" s="380"/>
      <c r="H15" s="380"/>
      <c r="I15" s="380"/>
      <c r="J15" s="380"/>
      <c r="K15" s="380"/>
      <c r="L15" s="380"/>
      <c r="M15" s="380"/>
      <c r="N15" s="380"/>
      <c r="O15" s="380"/>
      <c r="P15" s="380"/>
      <c r="Q15" s="380"/>
      <c r="R15" s="380"/>
      <c r="S15" s="380"/>
      <c r="T15" s="380"/>
      <c r="U15" s="380"/>
      <c r="V15" s="380"/>
      <c r="W15" s="380"/>
      <c r="X15" s="380"/>
      <c r="Y15" s="380"/>
      <c r="Z15" s="380"/>
      <c r="AA15" s="380"/>
      <c r="AB15" s="380"/>
      <c r="AC15" s="380"/>
      <c r="AD15" s="380"/>
      <c r="AE15" s="380"/>
      <c r="AF15" s="380"/>
      <c r="AG15" s="380"/>
      <c r="AH15" s="380"/>
      <c r="AI15" s="380"/>
      <c r="AJ15" s="381"/>
    </row>
    <row r="16" spans="1:36" ht="14.25" customHeight="1">
      <c r="A16" s="351"/>
      <c r="B16" s="140"/>
      <c r="C16" s="140"/>
      <c r="D16" s="140"/>
      <c r="E16" s="140"/>
      <c r="F16" s="140"/>
      <c r="G16" s="140"/>
      <c r="H16" s="140"/>
      <c r="I16" s="140"/>
      <c r="J16" s="140"/>
      <c r="K16" s="140"/>
      <c r="L16" s="140"/>
      <c r="M16" s="140"/>
      <c r="N16" s="140"/>
      <c r="O16" s="140"/>
      <c r="P16" s="140"/>
      <c r="Q16" s="140"/>
      <c r="R16" s="140"/>
      <c r="S16" s="140"/>
      <c r="T16" s="140"/>
      <c r="U16" s="140"/>
      <c r="V16" s="140"/>
      <c r="W16" s="140"/>
      <c r="X16" s="140"/>
      <c r="Y16" s="140"/>
      <c r="Z16" s="140"/>
      <c r="AA16" s="140"/>
      <c r="AB16" s="140"/>
      <c r="AC16" s="140"/>
      <c r="AD16" s="140"/>
      <c r="AE16" s="140"/>
      <c r="AF16" s="140"/>
      <c r="AG16" s="140"/>
      <c r="AH16" s="140"/>
      <c r="AI16" s="140"/>
      <c r="AJ16" s="382"/>
    </row>
    <row r="17" spans="1:36" ht="14.25" customHeight="1">
      <c r="A17" s="101"/>
      <c r="B17" s="300" t="s">
        <v>608</v>
      </c>
      <c r="AJ17" s="136"/>
    </row>
    <row r="18" spans="1:36" ht="14.25" customHeight="1">
      <c r="A18" s="101"/>
      <c r="B18" s="300" t="s">
        <v>362</v>
      </c>
      <c r="C18" s="300"/>
      <c r="D18" s="300"/>
      <c r="E18" s="301"/>
      <c r="F18" s="300"/>
      <c r="G18" s="300"/>
      <c r="H18" s="300"/>
      <c r="I18" s="301"/>
      <c r="J18" s="306"/>
      <c r="K18" s="300"/>
      <c r="L18" s="300"/>
      <c r="M18" s="300"/>
      <c r="N18" s="306"/>
      <c r="O18" s="300"/>
      <c r="P18" s="300"/>
      <c r="Q18" s="300"/>
      <c r="R18" s="301"/>
      <c r="S18" s="306"/>
      <c r="T18" s="300"/>
      <c r="U18" s="300"/>
      <c r="V18" s="300"/>
      <c r="W18" s="300"/>
      <c r="X18" s="300"/>
      <c r="Y18" s="300"/>
      <c r="AJ18" s="136"/>
    </row>
    <row r="19" spans="1:36" ht="14.25" customHeight="1">
      <c r="A19" s="101"/>
      <c r="B19" s="300"/>
      <c r="C19" s="300" t="s">
        <v>609</v>
      </c>
      <c r="D19" s="300"/>
      <c r="E19" s="301"/>
      <c r="F19" s="300"/>
      <c r="G19" s="300"/>
      <c r="H19" s="300"/>
      <c r="I19" s="301"/>
      <c r="J19" s="306"/>
      <c r="K19" s="300"/>
      <c r="L19" s="300"/>
      <c r="M19" s="300"/>
      <c r="N19" s="306"/>
      <c r="O19" s="300"/>
      <c r="P19" s="300"/>
      <c r="Q19" s="300"/>
      <c r="R19" s="301"/>
      <c r="S19" s="306"/>
      <c r="T19" s="300"/>
      <c r="U19" s="300"/>
      <c r="V19" s="300"/>
      <c r="W19" s="300"/>
      <c r="X19" s="300"/>
      <c r="Y19" s="300"/>
      <c r="AJ19" s="136"/>
    </row>
    <row r="20" spans="1:36" ht="14.25" customHeight="1">
      <c r="A20" s="101"/>
      <c r="B20" s="300"/>
      <c r="C20" s="300" t="s">
        <v>610</v>
      </c>
      <c r="D20" s="300"/>
      <c r="E20" s="301"/>
      <c r="F20" s="300"/>
      <c r="G20" s="300"/>
      <c r="H20" s="300"/>
      <c r="I20" s="301"/>
      <c r="J20" s="306"/>
      <c r="K20" s="300"/>
      <c r="L20" s="300"/>
      <c r="M20" s="300"/>
      <c r="N20" s="306"/>
      <c r="O20" s="300"/>
      <c r="P20" s="300"/>
      <c r="Q20" s="300"/>
      <c r="R20" s="301"/>
      <c r="S20" s="306"/>
      <c r="T20" s="300"/>
      <c r="U20" s="300"/>
      <c r="V20" s="300"/>
      <c r="W20" s="300"/>
      <c r="X20" s="300"/>
      <c r="Y20" s="300"/>
      <c r="AJ20" s="136"/>
    </row>
    <row r="21" spans="1:36" ht="14.25" customHeight="1">
      <c r="A21" s="101"/>
      <c r="B21" s="300"/>
      <c r="C21" s="300" t="s">
        <v>423</v>
      </c>
      <c r="D21" s="300"/>
      <c r="E21" s="300"/>
      <c r="F21" s="300"/>
      <c r="G21" s="300"/>
      <c r="H21" s="300"/>
      <c r="I21" s="300"/>
      <c r="J21" s="306"/>
      <c r="K21" s="300"/>
      <c r="L21" s="300"/>
      <c r="M21" s="300"/>
      <c r="N21" s="306"/>
      <c r="O21" s="300"/>
      <c r="P21" s="300"/>
      <c r="Q21" s="300"/>
      <c r="R21" s="301"/>
      <c r="S21" s="300"/>
      <c r="T21" s="300" t="s">
        <v>611</v>
      </c>
      <c r="U21" s="300"/>
      <c r="V21" s="300"/>
      <c r="W21" s="300"/>
      <c r="X21" s="300"/>
      <c r="Y21" s="300"/>
      <c r="AJ21" s="136"/>
    </row>
    <row r="22" spans="1:36" ht="14.25" customHeight="1">
      <c r="A22" s="352"/>
      <c r="B22" s="139"/>
      <c r="C22" s="139"/>
      <c r="D22" s="139"/>
      <c r="E22" s="139"/>
      <c r="F22" s="139"/>
      <c r="G22" s="139"/>
      <c r="H22" s="139"/>
      <c r="I22" s="139"/>
      <c r="J22" s="139"/>
      <c r="K22" s="139"/>
      <c r="L22" s="139"/>
      <c r="M22" s="139"/>
      <c r="N22" s="139"/>
      <c r="O22" s="139"/>
      <c r="P22" s="139"/>
      <c r="Q22" s="139"/>
      <c r="R22" s="139"/>
      <c r="S22" s="139"/>
      <c r="T22" s="139"/>
      <c r="U22" s="139"/>
      <c r="V22" s="139"/>
      <c r="W22" s="139"/>
      <c r="X22" s="139"/>
      <c r="Y22" s="139"/>
      <c r="Z22" s="139"/>
      <c r="AA22" s="139"/>
      <c r="AB22" s="139"/>
      <c r="AC22" s="139"/>
      <c r="AD22" s="139"/>
      <c r="AE22" s="139"/>
      <c r="AF22" s="139"/>
      <c r="AG22" s="139"/>
      <c r="AH22" s="139"/>
      <c r="AI22" s="139"/>
      <c r="AJ22" s="379"/>
    </row>
    <row r="23" spans="1:36" ht="14.25" customHeight="1">
      <c r="A23" s="107" t="s">
        <v>519</v>
      </c>
      <c r="B23" s="380"/>
      <c r="C23" s="380"/>
      <c r="D23" s="380"/>
      <c r="E23" s="380"/>
      <c r="F23" s="380"/>
      <c r="G23" s="380"/>
      <c r="H23" s="380"/>
      <c r="I23" s="380"/>
      <c r="J23" s="380"/>
      <c r="K23" s="380"/>
      <c r="L23" s="380"/>
      <c r="M23" s="380"/>
      <c r="N23" s="380"/>
      <c r="O23" s="380"/>
      <c r="P23" s="380"/>
      <c r="Q23" s="380"/>
      <c r="R23" s="380"/>
      <c r="S23" s="380"/>
      <c r="T23" s="380"/>
      <c r="U23" s="380"/>
      <c r="V23" s="380"/>
      <c r="W23" s="380"/>
      <c r="X23" s="380"/>
      <c r="Y23" s="380"/>
      <c r="Z23" s="380"/>
      <c r="AA23" s="380"/>
      <c r="AB23" s="380"/>
      <c r="AC23" s="380"/>
      <c r="AD23" s="380"/>
      <c r="AE23" s="380"/>
      <c r="AF23" s="380"/>
      <c r="AG23" s="380"/>
      <c r="AH23" s="380"/>
      <c r="AI23" s="380"/>
      <c r="AJ23" s="381"/>
    </row>
    <row r="24" spans="1:36" ht="14.25" customHeight="1">
      <c r="A24" s="351"/>
      <c r="B24" s="140"/>
      <c r="C24" s="140"/>
      <c r="D24" s="140"/>
      <c r="E24" s="140"/>
      <c r="F24" s="140"/>
      <c r="G24" s="140"/>
      <c r="H24" s="140"/>
      <c r="I24" s="140"/>
      <c r="J24" s="140"/>
      <c r="K24" s="140"/>
      <c r="L24" s="140"/>
      <c r="M24" s="140"/>
      <c r="N24" s="140"/>
      <c r="O24" s="140"/>
      <c r="P24" s="140"/>
      <c r="Q24" s="140"/>
      <c r="R24" s="140"/>
      <c r="S24" s="140"/>
      <c r="T24" s="140"/>
      <c r="U24" s="140"/>
      <c r="V24" s="140"/>
      <c r="W24" s="140"/>
      <c r="X24" s="140"/>
      <c r="Y24" s="140"/>
      <c r="Z24" s="140"/>
      <c r="AA24" s="140"/>
      <c r="AB24" s="140"/>
      <c r="AC24" s="140"/>
      <c r="AD24" s="140"/>
      <c r="AE24" s="140"/>
      <c r="AF24" s="140"/>
      <c r="AG24" s="140"/>
      <c r="AH24" s="140"/>
      <c r="AI24" s="140"/>
      <c r="AJ24" s="382"/>
    </row>
    <row r="25" spans="1:36" ht="14.25" customHeight="1">
      <c r="A25" s="101"/>
      <c r="B25" s="23" t="s">
        <v>554</v>
      </c>
      <c r="AJ25" s="136"/>
    </row>
    <row r="26" spans="1:36" ht="14.25" customHeight="1">
      <c r="A26" s="101"/>
      <c r="AJ26" s="136"/>
    </row>
    <row r="27" spans="1:36" ht="14.25" customHeight="1">
      <c r="A27" s="101"/>
      <c r="AJ27" s="136"/>
    </row>
    <row r="28" spans="1:36" ht="14.25" customHeight="1">
      <c r="A28" s="101"/>
      <c r="D28" s="284"/>
      <c r="E28" s="284"/>
      <c r="P28" s="284"/>
      <c r="Q28" s="284"/>
      <c r="AD28" s="284"/>
      <c r="AJ28" s="136"/>
    </row>
    <row r="29" spans="1:36" ht="14.25" customHeight="1">
      <c r="A29" s="101"/>
      <c r="D29" s="284"/>
      <c r="E29" s="284"/>
      <c r="P29" s="284"/>
      <c r="Q29" s="284"/>
      <c r="AD29" s="284"/>
      <c r="AJ29" s="136"/>
    </row>
    <row r="30" spans="1:36" ht="14.25" customHeight="1">
      <c r="A30" s="101"/>
      <c r="AJ30" s="136"/>
    </row>
    <row r="31" spans="1:36" ht="14.25" customHeight="1">
      <c r="A31" s="101"/>
      <c r="AJ31" s="136"/>
    </row>
    <row r="32" spans="1:36" ht="14.25" customHeight="1">
      <c r="A32" s="101"/>
      <c r="AJ32" s="136"/>
    </row>
    <row r="33" spans="1:36" ht="14.25" customHeight="1">
      <c r="A33" s="107" t="s">
        <v>520</v>
      </c>
      <c r="B33" s="380"/>
      <c r="C33" s="380"/>
      <c r="D33" s="380"/>
      <c r="E33" s="380"/>
      <c r="F33" s="380"/>
      <c r="G33" s="380"/>
      <c r="H33" s="380"/>
      <c r="I33" s="380"/>
      <c r="J33" s="380"/>
      <c r="K33" s="380"/>
      <c r="L33" s="380"/>
      <c r="M33" s="380"/>
      <c r="N33" s="380"/>
      <c r="O33" s="380"/>
      <c r="P33" s="380"/>
      <c r="Q33" s="380"/>
      <c r="R33" s="380"/>
      <c r="S33" s="380"/>
      <c r="T33" s="380"/>
      <c r="U33" s="380"/>
      <c r="V33" s="380"/>
      <c r="W33" s="380"/>
      <c r="X33" s="380"/>
      <c r="Y33" s="380"/>
      <c r="Z33" s="380"/>
      <c r="AA33" s="380"/>
      <c r="AB33" s="380"/>
      <c r="AC33" s="380"/>
      <c r="AD33" s="380"/>
      <c r="AE33" s="380"/>
      <c r="AF33" s="380"/>
      <c r="AG33" s="380"/>
      <c r="AH33" s="380"/>
      <c r="AI33" s="380"/>
      <c r="AJ33" s="381"/>
    </row>
    <row r="34" spans="1:36" ht="14.25" customHeight="1" thickBot="1">
      <c r="A34" s="134" t="s">
        <v>329</v>
      </c>
      <c r="B34" s="135"/>
      <c r="C34" s="141"/>
      <c r="D34" s="363" t="s">
        <v>521</v>
      </c>
      <c r="E34" s="135"/>
      <c r="F34" s="135"/>
      <c r="G34" s="141"/>
      <c r="H34" s="135" t="s">
        <v>522</v>
      </c>
      <c r="I34" s="135"/>
      <c r="J34" s="135"/>
      <c r="K34" s="135"/>
      <c r="L34" s="135"/>
      <c r="M34" s="135"/>
      <c r="N34" s="135"/>
      <c r="O34" s="135"/>
      <c r="P34" s="135"/>
      <c r="Q34" s="135"/>
      <c r="R34" s="135"/>
      <c r="S34" s="135"/>
      <c r="T34" s="364"/>
      <c r="U34" s="135"/>
      <c r="V34" s="135"/>
      <c r="W34" s="135"/>
      <c r="X34" s="135"/>
      <c r="Y34" s="135"/>
      <c r="Z34" s="135"/>
      <c r="AA34" s="135"/>
      <c r="AB34" s="135"/>
      <c r="AC34" s="135"/>
      <c r="AD34" s="135"/>
      <c r="AE34" s="135"/>
      <c r="AF34" s="135"/>
      <c r="AG34" s="135"/>
      <c r="AH34" s="135"/>
      <c r="AI34" s="135"/>
      <c r="AJ34" s="383"/>
    </row>
    <row r="35" spans="1:36" ht="14.25" customHeight="1" thickTop="1">
      <c r="A35" s="659">
        <v>1</v>
      </c>
      <c r="B35" s="660"/>
      <c r="C35" s="661"/>
      <c r="D35" s="715" t="s">
        <v>603</v>
      </c>
      <c r="E35" s="716"/>
      <c r="F35" s="716"/>
      <c r="G35" s="717"/>
      <c r="I35" s="23" t="s">
        <v>612</v>
      </c>
      <c r="Q35" s="23" t="s">
        <v>524</v>
      </c>
      <c r="S35" s="23" t="s">
        <v>613</v>
      </c>
      <c r="AJ35" s="136"/>
    </row>
    <row r="36" spans="1:36" ht="14.25" customHeight="1">
      <c r="A36" s="653"/>
      <c r="B36" s="654"/>
      <c r="C36" s="655"/>
      <c r="D36" s="718"/>
      <c r="E36" s="719"/>
      <c r="F36" s="719"/>
      <c r="G36" s="720"/>
      <c r="AJ36" s="136"/>
    </row>
    <row r="37" spans="1:36" ht="14.25" customHeight="1">
      <c r="A37" s="653"/>
      <c r="B37" s="654"/>
      <c r="C37" s="655"/>
      <c r="D37" s="650"/>
      <c r="E37" s="651"/>
      <c r="F37" s="651"/>
      <c r="G37" s="652"/>
      <c r="AJ37" s="136"/>
    </row>
    <row r="38" spans="1:36" ht="14.25" customHeight="1">
      <c r="A38" s="653"/>
      <c r="B38" s="654"/>
      <c r="C38" s="655"/>
      <c r="D38" s="650"/>
      <c r="E38" s="651"/>
      <c r="F38" s="651"/>
      <c r="G38" s="652"/>
      <c r="AJ38" s="136"/>
    </row>
    <row r="39" spans="1:36" ht="14.25" customHeight="1">
      <c r="A39" s="706"/>
      <c r="B39" s="654"/>
      <c r="C39" s="655"/>
      <c r="D39" s="650"/>
      <c r="E39" s="651"/>
      <c r="F39" s="651"/>
      <c r="G39" s="652"/>
      <c r="V39" s="130"/>
      <c r="AJ39" s="136"/>
    </row>
    <row r="40" spans="1:36" ht="14.25" customHeight="1">
      <c r="A40" s="706"/>
      <c r="B40" s="654"/>
      <c r="C40" s="655"/>
      <c r="D40" s="694"/>
      <c r="E40" s="695"/>
      <c r="F40" s="695"/>
      <c r="G40" s="677"/>
      <c r="AJ40" s="136"/>
    </row>
    <row r="41" spans="1:36">
      <c r="A41" s="107" t="s">
        <v>533</v>
      </c>
      <c r="B41" s="149"/>
      <c r="C41" s="149"/>
      <c r="D41" s="380"/>
      <c r="E41" s="380"/>
      <c r="F41" s="380"/>
      <c r="G41" s="380"/>
      <c r="H41" s="380"/>
      <c r="I41" s="380"/>
      <c r="J41" s="380"/>
      <c r="K41" s="380"/>
      <c r="L41" s="380"/>
      <c r="M41" s="380"/>
      <c r="N41" s="380"/>
      <c r="O41" s="380"/>
      <c r="P41" s="380"/>
      <c r="Q41" s="380"/>
      <c r="R41" s="380"/>
      <c r="S41" s="380"/>
      <c r="T41" s="380"/>
      <c r="U41" s="380"/>
      <c r="V41" s="380"/>
      <c r="W41" s="380"/>
      <c r="X41" s="380"/>
      <c r="Y41" s="380"/>
      <c r="Z41" s="380"/>
      <c r="AA41" s="380"/>
      <c r="AB41" s="380"/>
      <c r="AC41" s="380"/>
      <c r="AD41" s="380"/>
      <c r="AE41" s="380"/>
      <c r="AF41" s="380"/>
      <c r="AG41" s="380"/>
      <c r="AH41" s="380"/>
      <c r="AI41" s="380"/>
      <c r="AJ41" s="381"/>
    </row>
    <row r="42" spans="1:36" ht="14.25" thickBot="1">
      <c r="A42" s="134" t="s">
        <v>329</v>
      </c>
      <c r="B42" s="135"/>
      <c r="C42" s="363" t="s">
        <v>534</v>
      </c>
      <c r="D42" s="135"/>
      <c r="E42" s="364"/>
      <c r="F42" s="365"/>
      <c r="G42" s="370" t="s">
        <v>535</v>
      </c>
      <c r="H42" s="367"/>
      <c r="I42" s="367"/>
      <c r="J42" s="368"/>
      <c r="K42" s="369"/>
      <c r="L42" s="367" t="s">
        <v>536</v>
      </c>
      <c r="M42" s="368"/>
      <c r="N42" s="368"/>
      <c r="O42" s="368"/>
      <c r="P42" s="368"/>
      <c r="Q42" s="368"/>
      <c r="R42" s="368"/>
      <c r="S42" s="368"/>
      <c r="T42" s="370" t="s">
        <v>537</v>
      </c>
      <c r="U42" s="135"/>
      <c r="V42" s="135"/>
      <c r="W42" s="135"/>
      <c r="X42" s="135"/>
      <c r="Y42" s="135"/>
      <c r="Z42" s="135"/>
      <c r="AA42" s="135"/>
      <c r="AB42" s="135"/>
      <c r="AC42" s="135"/>
      <c r="AD42" s="135"/>
      <c r="AE42" s="135"/>
      <c r="AF42" s="135"/>
      <c r="AG42" s="135"/>
      <c r="AH42" s="135"/>
      <c r="AI42" s="364"/>
      <c r="AJ42" s="371"/>
    </row>
    <row r="43" spans="1:36" ht="12" thickTop="1">
      <c r="A43" s="676">
        <v>1</v>
      </c>
      <c r="B43" s="677"/>
      <c r="C43" s="496" t="s">
        <v>614</v>
      </c>
      <c r="D43" s="473"/>
      <c r="E43" s="473"/>
      <c r="F43" s="474"/>
      <c r="G43" s="464" t="s">
        <v>615</v>
      </c>
      <c r="H43" s="467"/>
      <c r="I43" s="467"/>
      <c r="J43" s="467"/>
      <c r="K43" s="468"/>
      <c r="L43" s="707" t="s">
        <v>603</v>
      </c>
      <c r="M43" s="708"/>
      <c r="N43" s="708"/>
      <c r="O43" s="708"/>
      <c r="P43" s="708"/>
      <c r="Q43" s="708"/>
      <c r="R43" s="708"/>
      <c r="S43" s="709"/>
      <c r="T43" s="147"/>
      <c r="X43" s="137"/>
      <c r="Y43" s="137"/>
      <c r="Z43" s="137"/>
      <c r="AA43" s="137"/>
      <c r="AB43" s="137"/>
      <c r="AC43" s="137"/>
      <c r="AD43" s="137"/>
      <c r="AE43" s="137"/>
      <c r="AF43" s="138"/>
      <c r="AG43" s="138"/>
      <c r="AH43" s="138"/>
      <c r="AJ43" s="136"/>
    </row>
    <row r="44" spans="1:36">
      <c r="A44" s="676"/>
      <c r="B44" s="677"/>
      <c r="C44" s="496"/>
      <c r="D44" s="473"/>
      <c r="E44" s="473"/>
      <c r="F44" s="474"/>
      <c r="G44" s="464"/>
      <c r="H44" s="467"/>
      <c r="I44" s="467"/>
      <c r="J44" s="467"/>
      <c r="K44" s="468"/>
      <c r="L44" s="707"/>
      <c r="M44" s="708"/>
      <c r="N44" s="708"/>
      <c r="O44" s="708"/>
      <c r="P44" s="708"/>
      <c r="Q44" s="708"/>
      <c r="R44" s="708"/>
      <c r="S44" s="709"/>
      <c r="T44" s="147"/>
      <c r="X44" s="137"/>
      <c r="Y44" s="137"/>
      <c r="Z44" s="137"/>
      <c r="AA44" s="137"/>
      <c r="AB44" s="137"/>
      <c r="AC44" s="137"/>
      <c r="AD44" s="137"/>
      <c r="AE44" s="137"/>
      <c r="AF44" s="138"/>
      <c r="AG44" s="138"/>
      <c r="AH44" s="138"/>
      <c r="AJ44" s="136"/>
    </row>
    <row r="45" spans="1:36">
      <c r="A45" s="676"/>
      <c r="B45" s="677"/>
      <c r="C45" s="496"/>
      <c r="D45" s="473"/>
      <c r="E45" s="473"/>
      <c r="F45" s="474"/>
      <c r="G45" s="464"/>
      <c r="H45" s="467"/>
      <c r="I45" s="467"/>
      <c r="J45" s="467"/>
      <c r="K45" s="468"/>
      <c r="L45" s="707"/>
      <c r="M45" s="708"/>
      <c r="N45" s="708"/>
      <c r="O45" s="708"/>
      <c r="P45" s="708"/>
      <c r="Q45" s="708"/>
      <c r="R45" s="708"/>
      <c r="S45" s="709"/>
      <c r="T45" s="147"/>
      <c r="X45" s="137"/>
      <c r="Y45" s="137"/>
      <c r="Z45" s="137"/>
      <c r="AA45" s="137"/>
      <c r="AB45" s="137"/>
      <c r="AC45" s="137"/>
      <c r="AD45" s="137"/>
      <c r="AE45" s="137"/>
      <c r="AF45" s="138"/>
      <c r="AG45" s="138"/>
      <c r="AH45" s="138"/>
      <c r="AJ45" s="136"/>
    </row>
    <row r="46" spans="1:36">
      <c r="A46" s="676"/>
      <c r="B46" s="677"/>
      <c r="C46" s="496"/>
      <c r="D46" s="473"/>
      <c r="E46" s="473"/>
      <c r="F46" s="474"/>
      <c r="G46" s="464"/>
      <c r="H46" s="467"/>
      <c r="I46" s="467"/>
      <c r="J46" s="467"/>
      <c r="K46" s="468"/>
      <c r="L46" s="707"/>
      <c r="M46" s="708"/>
      <c r="N46" s="708"/>
      <c r="O46" s="708"/>
      <c r="P46" s="708"/>
      <c r="Q46" s="708"/>
      <c r="R46" s="708"/>
      <c r="S46" s="709"/>
      <c r="T46" s="147"/>
      <c r="X46" s="137"/>
      <c r="Y46" s="137"/>
      <c r="Z46" s="137"/>
      <c r="AA46" s="137"/>
      <c r="AB46" s="137"/>
      <c r="AC46" s="137"/>
      <c r="AD46" s="137"/>
      <c r="AE46" s="137"/>
      <c r="AF46" s="138"/>
      <c r="AG46" s="138"/>
      <c r="AH46" s="138"/>
      <c r="AJ46" s="136"/>
    </row>
    <row r="47" spans="1:36">
      <c r="A47" s="676"/>
      <c r="B47" s="677"/>
      <c r="C47" s="496"/>
      <c r="D47" s="473"/>
      <c r="E47" s="473"/>
      <c r="F47" s="474"/>
      <c r="G47" s="464"/>
      <c r="H47" s="467"/>
      <c r="I47" s="467"/>
      <c r="J47" s="467"/>
      <c r="K47" s="468"/>
      <c r="L47" s="707"/>
      <c r="M47" s="708"/>
      <c r="N47" s="708"/>
      <c r="O47" s="708"/>
      <c r="P47" s="708"/>
      <c r="Q47" s="708"/>
      <c r="R47" s="708"/>
      <c r="S47" s="709"/>
      <c r="T47" s="147"/>
      <c r="X47" s="137"/>
      <c r="Y47" s="137"/>
      <c r="Z47" s="137"/>
      <c r="AA47" s="137"/>
      <c r="AB47" s="137"/>
      <c r="AC47" s="137"/>
      <c r="AD47" s="137"/>
      <c r="AE47" s="137"/>
      <c r="AF47" s="138"/>
      <c r="AG47" s="138"/>
      <c r="AH47" s="138"/>
      <c r="AJ47" s="136"/>
    </row>
    <row r="48" spans="1:36">
      <c r="A48" s="676"/>
      <c r="B48" s="677"/>
      <c r="C48" s="496"/>
      <c r="D48" s="473"/>
      <c r="E48" s="473"/>
      <c r="F48" s="474"/>
      <c r="G48" s="464"/>
      <c r="H48" s="467"/>
      <c r="I48" s="467"/>
      <c r="J48" s="467"/>
      <c r="K48" s="468"/>
      <c r="L48" s="707"/>
      <c r="M48" s="708"/>
      <c r="N48" s="708"/>
      <c r="O48" s="708"/>
      <c r="P48" s="708"/>
      <c r="Q48" s="708"/>
      <c r="R48" s="708"/>
      <c r="S48" s="709"/>
      <c r="T48" s="147"/>
      <c r="X48" s="137"/>
      <c r="Y48" s="137"/>
      <c r="Z48" s="137"/>
      <c r="AA48" s="137"/>
      <c r="AB48" s="137"/>
      <c r="AC48" s="137"/>
      <c r="AD48" s="137"/>
      <c r="AE48" s="137"/>
      <c r="AF48" s="138"/>
      <c r="AG48" s="138"/>
      <c r="AH48" s="138"/>
      <c r="AJ48" s="136"/>
    </row>
    <row r="49" spans="1:36">
      <c r="A49" s="676"/>
      <c r="B49" s="677"/>
      <c r="C49" s="688"/>
      <c r="D49" s="689"/>
      <c r="E49" s="689"/>
      <c r="F49" s="690"/>
      <c r="G49" s="667"/>
      <c r="H49" s="668"/>
      <c r="I49" s="668"/>
      <c r="J49" s="668"/>
      <c r="K49" s="669"/>
      <c r="L49" s="694"/>
      <c r="M49" s="695"/>
      <c r="N49" s="695"/>
      <c r="O49" s="695"/>
      <c r="P49" s="695"/>
      <c r="Q49" s="695"/>
      <c r="R49" s="695"/>
      <c r="S49" s="677"/>
      <c r="T49" s="147"/>
      <c r="X49" s="137"/>
      <c r="Y49" s="137"/>
      <c r="Z49" s="137"/>
      <c r="AA49" s="137"/>
      <c r="AB49" s="137"/>
      <c r="AC49" s="137"/>
      <c r="AD49" s="137"/>
      <c r="AE49" s="137"/>
      <c r="AF49" s="138"/>
      <c r="AG49" s="138"/>
      <c r="AH49" s="138"/>
      <c r="AJ49" s="136"/>
    </row>
    <row r="50" spans="1:36">
      <c r="A50" s="676"/>
      <c r="B50" s="677"/>
      <c r="C50" s="688"/>
      <c r="D50" s="689"/>
      <c r="E50" s="689"/>
      <c r="F50" s="690"/>
      <c r="G50" s="667"/>
      <c r="H50" s="668"/>
      <c r="I50" s="668"/>
      <c r="J50" s="668"/>
      <c r="K50" s="669"/>
      <c r="L50" s="694"/>
      <c r="M50" s="695"/>
      <c r="N50" s="695"/>
      <c r="O50" s="695"/>
      <c r="P50" s="695"/>
      <c r="Q50" s="695"/>
      <c r="R50" s="695"/>
      <c r="S50" s="677"/>
      <c r="T50" s="147"/>
      <c r="X50" s="137"/>
      <c r="Y50" s="137"/>
      <c r="Z50" s="137"/>
      <c r="AA50" s="137"/>
      <c r="AB50" s="137"/>
      <c r="AC50" s="137"/>
      <c r="AD50" s="137"/>
      <c r="AE50" s="137"/>
      <c r="AF50" s="138"/>
      <c r="AG50" s="138"/>
      <c r="AH50" s="138"/>
      <c r="AJ50" s="136"/>
    </row>
    <row r="51" spans="1:36">
      <c r="A51" s="676"/>
      <c r="B51" s="677"/>
      <c r="C51" s="688"/>
      <c r="D51" s="689"/>
      <c r="E51" s="689"/>
      <c r="F51" s="690"/>
      <c r="G51" s="667"/>
      <c r="H51" s="668"/>
      <c r="I51" s="668"/>
      <c r="J51" s="668"/>
      <c r="K51" s="669"/>
      <c r="L51" s="694"/>
      <c r="M51" s="695"/>
      <c r="N51" s="695"/>
      <c r="O51" s="695"/>
      <c r="P51" s="695"/>
      <c r="Q51" s="695"/>
      <c r="R51" s="695"/>
      <c r="S51" s="677"/>
      <c r="T51" s="147"/>
      <c r="X51" s="137"/>
      <c r="Y51" s="137"/>
      <c r="Z51" s="137"/>
      <c r="AA51" s="137"/>
      <c r="AB51" s="137"/>
      <c r="AC51" s="137"/>
      <c r="AD51" s="137"/>
      <c r="AE51" s="137"/>
      <c r="AF51" s="138"/>
      <c r="AG51" s="138"/>
      <c r="AH51" s="138"/>
      <c r="AJ51" s="136"/>
    </row>
    <row r="52" spans="1:36">
      <c r="A52" s="676"/>
      <c r="B52" s="677"/>
      <c r="C52" s="688"/>
      <c r="D52" s="689"/>
      <c r="E52" s="689"/>
      <c r="F52" s="690"/>
      <c r="G52" s="667"/>
      <c r="H52" s="668"/>
      <c r="I52" s="668"/>
      <c r="J52" s="668"/>
      <c r="K52" s="669"/>
      <c r="L52" s="694"/>
      <c r="M52" s="695"/>
      <c r="N52" s="695"/>
      <c r="O52" s="695"/>
      <c r="P52" s="695"/>
      <c r="Q52" s="695"/>
      <c r="R52" s="695"/>
      <c r="S52" s="677"/>
      <c r="T52" s="147"/>
      <c r="X52" s="137"/>
      <c r="Y52" s="137"/>
      <c r="Z52" s="137"/>
      <c r="AA52" s="137"/>
      <c r="AB52" s="137"/>
      <c r="AC52" s="137"/>
      <c r="AD52" s="137"/>
      <c r="AE52" s="137"/>
      <c r="AF52" s="138"/>
      <c r="AG52" s="138"/>
      <c r="AH52" s="138"/>
      <c r="AJ52" s="136"/>
    </row>
    <row r="53" spans="1:36">
      <c r="A53" s="676"/>
      <c r="B53" s="677"/>
      <c r="C53" s="688"/>
      <c r="D53" s="689"/>
      <c r="E53" s="689"/>
      <c r="F53" s="690"/>
      <c r="G53" s="667"/>
      <c r="H53" s="668"/>
      <c r="I53" s="668"/>
      <c r="J53" s="668"/>
      <c r="K53" s="669"/>
      <c r="L53" s="694"/>
      <c r="M53" s="695"/>
      <c r="N53" s="695"/>
      <c r="O53" s="695"/>
      <c r="P53" s="695"/>
      <c r="Q53" s="695"/>
      <c r="R53" s="695"/>
      <c r="S53" s="677"/>
      <c r="T53" s="147"/>
      <c r="X53" s="137"/>
      <c r="Y53" s="137"/>
      <c r="Z53" s="137"/>
      <c r="AA53" s="137"/>
      <c r="AB53" s="137"/>
      <c r="AC53" s="137"/>
      <c r="AD53" s="137"/>
      <c r="AE53" s="137"/>
      <c r="AF53" s="138"/>
      <c r="AG53" s="138"/>
      <c r="AH53" s="138"/>
      <c r="AJ53" s="136"/>
    </row>
    <row r="54" spans="1:36">
      <c r="A54" s="676"/>
      <c r="B54" s="677"/>
      <c r="C54" s="688"/>
      <c r="D54" s="689"/>
      <c r="E54" s="689"/>
      <c r="F54" s="690"/>
      <c r="G54" s="667"/>
      <c r="H54" s="668"/>
      <c r="I54" s="668"/>
      <c r="J54" s="668"/>
      <c r="K54" s="669"/>
      <c r="L54" s="694"/>
      <c r="M54" s="695"/>
      <c r="N54" s="695"/>
      <c r="O54" s="695"/>
      <c r="P54" s="695"/>
      <c r="Q54" s="695"/>
      <c r="R54" s="695"/>
      <c r="S54" s="677"/>
      <c r="T54" s="147"/>
      <c r="X54" s="137"/>
      <c r="Y54" s="137"/>
      <c r="Z54" s="137"/>
      <c r="AA54" s="137"/>
      <c r="AB54" s="137"/>
      <c r="AC54" s="137"/>
      <c r="AD54" s="137"/>
      <c r="AE54" s="137"/>
      <c r="AF54" s="138"/>
      <c r="AG54" s="138"/>
      <c r="AH54" s="138"/>
      <c r="AJ54" s="136"/>
    </row>
    <row r="55" spans="1:36">
      <c r="A55" s="676"/>
      <c r="B55" s="677"/>
      <c r="C55" s="688"/>
      <c r="D55" s="689"/>
      <c r="E55" s="689"/>
      <c r="F55" s="690"/>
      <c r="G55" s="667"/>
      <c r="H55" s="668"/>
      <c r="I55" s="668"/>
      <c r="J55" s="668"/>
      <c r="K55" s="669"/>
      <c r="L55" s="694"/>
      <c r="M55" s="695"/>
      <c r="N55" s="695"/>
      <c r="O55" s="695"/>
      <c r="P55" s="695"/>
      <c r="Q55" s="695"/>
      <c r="R55" s="695"/>
      <c r="S55" s="677"/>
      <c r="T55" s="147"/>
      <c r="X55" s="137"/>
      <c r="Y55" s="137"/>
      <c r="Z55" s="137"/>
      <c r="AA55" s="137"/>
      <c r="AB55" s="137"/>
      <c r="AC55" s="137"/>
      <c r="AD55" s="137"/>
      <c r="AE55" s="137"/>
      <c r="AF55" s="138"/>
      <c r="AG55" s="138"/>
      <c r="AH55" s="138"/>
      <c r="AJ55" s="136"/>
    </row>
    <row r="56" spans="1:36">
      <c r="A56" s="676"/>
      <c r="B56" s="677"/>
      <c r="C56" s="688"/>
      <c r="D56" s="689"/>
      <c r="E56" s="689"/>
      <c r="F56" s="690"/>
      <c r="G56" s="667"/>
      <c r="H56" s="668"/>
      <c r="I56" s="668"/>
      <c r="J56" s="668"/>
      <c r="K56" s="669"/>
      <c r="L56" s="694"/>
      <c r="M56" s="695"/>
      <c r="N56" s="695"/>
      <c r="O56" s="695"/>
      <c r="P56" s="695"/>
      <c r="Q56" s="695"/>
      <c r="R56" s="695"/>
      <c r="S56" s="677"/>
      <c r="T56" s="147"/>
      <c r="X56" s="137"/>
      <c r="Y56" s="137"/>
      <c r="Z56" s="137"/>
      <c r="AA56" s="137"/>
      <c r="AB56" s="137"/>
      <c r="AC56" s="137"/>
      <c r="AD56" s="137"/>
      <c r="AE56" s="137"/>
      <c r="AF56" s="138"/>
      <c r="AG56" s="138"/>
      <c r="AH56" s="138"/>
      <c r="AJ56" s="136"/>
    </row>
    <row r="57" spans="1:36">
      <c r="A57" s="676"/>
      <c r="B57" s="677"/>
      <c r="C57" s="688"/>
      <c r="D57" s="689"/>
      <c r="E57" s="689"/>
      <c r="F57" s="690"/>
      <c r="G57" s="667"/>
      <c r="H57" s="668"/>
      <c r="I57" s="668"/>
      <c r="J57" s="668"/>
      <c r="K57" s="669"/>
      <c r="L57" s="694"/>
      <c r="M57" s="695"/>
      <c r="N57" s="695"/>
      <c r="O57" s="695"/>
      <c r="P57" s="695"/>
      <c r="Q57" s="695"/>
      <c r="R57" s="695"/>
      <c r="S57" s="677"/>
      <c r="T57" s="147"/>
      <c r="X57" s="137"/>
      <c r="Y57" s="137"/>
      <c r="Z57" s="137"/>
      <c r="AA57" s="137"/>
      <c r="AB57" s="137"/>
      <c r="AC57" s="137"/>
      <c r="AD57" s="137"/>
      <c r="AE57" s="137"/>
      <c r="AF57" s="138"/>
      <c r="AG57" s="138"/>
      <c r="AH57" s="138"/>
      <c r="AJ57" s="136"/>
    </row>
    <row r="58" spans="1:36">
      <c r="A58" s="676"/>
      <c r="B58" s="677"/>
      <c r="C58" s="688"/>
      <c r="D58" s="689"/>
      <c r="E58" s="689"/>
      <c r="F58" s="690"/>
      <c r="G58" s="667"/>
      <c r="H58" s="668"/>
      <c r="I58" s="668"/>
      <c r="J58" s="668"/>
      <c r="K58" s="669"/>
      <c r="L58" s="694"/>
      <c r="M58" s="695"/>
      <c r="N58" s="695"/>
      <c r="O58" s="695"/>
      <c r="P58" s="695"/>
      <c r="Q58" s="695"/>
      <c r="R58" s="695"/>
      <c r="S58" s="677"/>
      <c r="T58" s="147"/>
      <c r="X58" s="137"/>
      <c r="Y58" s="137"/>
      <c r="Z58" s="137"/>
      <c r="AA58" s="137"/>
      <c r="AB58" s="137"/>
      <c r="AC58" s="137"/>
      <c r="AD58" s="137"/>
      <c r="AE58" s="137"/>
      <c r="AF58" s="138"/>
      <c r="AG58" s="138"/>
      <c r="AH58" s="138"/>
      <c r="AJ58" s="136"/>
    </row>
    <row r="59" spans="1:36">
      <c r="A59" s="676"/>
      <c r="B59" s="677"/>
      <c r="C59" s="688"/>
      <c r="D59" s="689"/>
      <c r="E59" s="689"/>
      <c r="F59" s="690"/>
      <c r="G59" s="667"/>
      <c r="H59" s="668"/>
      <c r="I59" s="668"/>
      <c r="J59" s="668"/>
      <c r="K59" s="669"/>
      <c r="L59" s="694"/>
      <c r="M59" s="695"/>
      <c r="N59" s="695"/>
      <c r="O59" s="695"/>
      <c r="P59" s="695"/>
      <c r="Q59" s="695"/>
      <c r="R59" s="695"/>
      <c r="S59" s="677"/>
      <c r="T59" s="147"/>
      <c r="X59" s="137"/>
      <c r="Y59" s="137"/>
      <c r="Z59" s="137"/>
      <c r="AA59" s="137"/>
      <c r="AB59" s="137"/>
      <c r="AC59" s="137"/>
      <c r="AD59" s="137"/>
      <c r="AE59" s="137"/>
      <c r="AF59" s="138"/>
      <c r="AG59" s="138"/>
      <c r="AH59" s="138"/>
      <c r="AJ59" s="136"/>
    </row>
    <row r="60" spans="1:36">
      <c r="A60" s="676"/>
      <c r="B60" s="677"/>
      <c r="C60" s="688"/>
      <c r="D60" s="689"/>
      <c r="E60" s="689"/>
      <c r="F60" s="690"/>
      <c r="G60" s="667"/>
      <c r="H60" s="668"/>
      <c r="I60" s="668"/>
      <c r="J60" s="668"/>
      <c r="K60" s="669"/>
      <c r="L60" s="694"/>
      <c r="M60" s="695"/>
      <c r="N60" s="695"/>
      <c r="O60" s="695"/>
      <c r="P60" s="695"/>
      <c r="Q60" s="695"/>
      <c r="R60" s="695"/>
      <c r="S60" s="677"/>
      <c r="T60" s="147"/>
      <c r="X60" s="137"/>
      <c r="Y60" s="137"/>
      <c r="Z60" s="137"/>
      <c r="AA60" s="137"/>
      <c r="AB60" s="137"/>
      <c r="AC60" s="137"/>
      <c r="AD60" s="137"/>
      <c r="AE60" s="137"/>
      <c r="AF60" s="138"/>
      <c r="AG60" s="138"/>
      <c r="AH60" s="138"/>
      <c r="AJ60" s="136"/>
    </row>
    <row r="61" spans="1:36">
      <c r="A61" s="676"/>
      <c r="B61" s="677"/>
      <c r="C61" s="688"/>
      <c r="D61" s="689"/>
      <c r="E61" s="689"/>
      <c r="F61" s="690"/>
      <c r="G61" s="667"/>
      <c r="H61" s="668"/>
      <c r="I61" s="668"/>
      <c r="J61" s="668"/>
      <c r="K61" s="669"/>
      <c r="L61" s="694"/>
      <c r="M61" s="695"/>
      <c r="N61" s="695"/>
      <c r="O61" s="695"/>
      <c r="P61" s="695"/>
      <c r="Q61" s="695"/>
      <c r="R61" s="695"/>
      <c r="S61" s="677"/>
      <c r="T61" s="147"/>
      <c r="X61" s="137"/>
      <c r="Y61" s="137"/>
      <c r="Z61" s="137"/>
      <c r="AA61" s="137"/>
      <c r="AB61" s="137"/>
      <c r="AC61" s="137"/>
      <c r="AD61" s="137"/>
      <c r="AE61" s="137"/>
      <c r="AF61" s="138"/>
      <c r="AG61" s="138"/>
      <c r="AH61" s="138"/>
      <c r="AJ61" s="136"/>
    </row>
    <row r="62" spans="1:36">
      <c r="A62" s="676"/>
      <c r="B62" s="677"/>
      <c r="C62" s="688"/>
      <c r="D62" s="689"/>
      <c r="E62" s="689"/>
      <c r="F62" s="690"/>
      <c r="G62" s="667"/>
      <c r="H62" s="668"/>
      <c r="I62" s="668"/>
      <c r="J62" s="668"/>
      <c r="K62" s="669"/>
      <c r="L62" s="694"/>
      <c r="M62" s="695"/>
      <c r="N62" s="695"/>
      <c r="O62" s="695"/>
      <c r="P62" s="695"/>
      <c r="Q62" s="695"/>
      <c r="R62" s="695"/>
      <c r="S62" s="677"/>
      <c r="T62" s="147"/>
      <c r="X62" s="137"/>
      <c r="Y62" s="137"/>
      <c r="Z62" s="137"/>
      <c r="AA62" s="137"/>
      <c r="AB62" s="137"/>
      <c r="AC62" s="137"/>
      <c r="AD62" s="137"/>
      <c r="AE62" s="137"/>
      <c r="AF62" s="138"/>
      <c r="AG62" s="138"/>
      <c r="AH62" s="138"/>
      <c r="AJ62" s="136"/>
    </row>
    <row r="63" spans="1:36" ht="12" thickBot="1">
      <c r="A63" s="699"/>
      <c r="B63" s="700"/>
      <c r="C63" s="696"/>
      <c r="D63" s="697"/>
      <c r="E63" s="697"/>
      <c r="F63" s="698"/>
      <c r="G63" s="701"/>
      <c r="H63" s="702"/>
      <c r="I63" s="702"/>
      <c r="J63" s="702"/>
      <c r="K63" s="703"/>
      <c r="L63" s="704"/>
      <c r="M63" s="705"/>
      <c r="N63" s="705"/>
      <c r="O63" s="705"/>
      <c r="P63" s="705"/>
      <c r="Q63" s="705"/>
      <c r="R63" s="705"/>
      <c r="S63" s="700"/>
      <c r="T63" s="165"/>
      <c r="U63" s="104"/>
      <c r="V63" s="104"/>
      <c r="W63" s="104"/>
      <c r="X63" s="384"/>
      <c r="Y63" s="384"/>
      <c r="Z63" s="384"/>
      <c r="AA63" s="384"/>
      <c r="AB63" s="384"/>
      <c r="AC63" s="384"/>
      <c r="AD63" s="384"/>
      <c r="AE63" s="384"/>
      <c r="AF63" s="385"/>
      <c r="AG63" s="385"/>
      <c r="AH63" s="385"/>
      <c r="AI63" s="104"/>
      <c r="AJ63" s="142"/>
    </row>
  </sheetData>
  <mergeCells count="118">
    <mergeCell ref="D38:G38"/>
    <mergeCell ref="A38:C38"/>
    <mergeCell ref="D35:G35"/>
    <mergeCell ref="D36:G36"/>
    <mergeCell ref="D37:G37"/>
    <mergeCell ref="A35:C35"/>
    <mergeCell ref="A36:C36"/>
    <mergeCell ref="A37:C37"/>
    <mergeCell ref="G49:K49"/>
    <mergeCell ref="A43:B43"/>
    <mergeCell ref="D39:G39"/>
    <mergeCell ref="A39:C39"/>
    <mergeCell ref="A40:C40"/>
    <mergeCell ref="D40:G40"/>
    <mergeCell ref="A45:B45"/>
    <mergeCell ref="A46:B46"/>
    <mergeCell ref="A47:B47"/>
    <mergeCell ref="A48:B48"/>
    <mergeCell ref="A44:B44"/>
    <mergeCell ref="L14:S14"/>
    <mergeCell ref="T10:W10"/>
    <mergeCell ref="T11:W11"/>
    <mergeCell ref="T12:W12"/>
    <mergeCell ref="T13:W13"/>
    <mergeCell ref="T14:W14"/>
    <mergeCell ref="L12:S12"/>
    <mergeCell ref="L13:S13"/>
    <mergeCell ref="L10:S10"/>
    <mergeCell ref="L11:S11"/>
    <mergeCell ref="A14:B14"/>
    <mergeCell ref="G14:K14"/>
    <mergeCell ref="C14:F14"/>
    <mergeCell ref="G10:K10"/>
    <mergeCell ref="G11:K11"/>
    <mergeCell ref="G12:K12"/>
    <mergeCell ref="G13:K13"/>
    <mergeCell ref="A10:B10"/>
    <mergeCell ref="A11:B11"/>
    <mergeCell ref="A12:B12"/>
    <mergeCell ref="V3:AJ3"/>
    <mergeCell ref="AF4:AJ4"/>
    <mergeCell ref="G1:Q1"/>
    <mergeCell ref="V1:AB1"/>
    <mergeCell ref="AG1:AJ1"/>
    <mergeCell ref="G2:Q2"/>
    <mergeCell ref="V2:AB2"/>
    <mergeCell ref="AG2:AJ2"/>
    <mergeCell ref="A13:B13"/>
    <mergeCell ref="C10:F10"/>
    <mergeCell ref="C11:F11"/>
    <mergeCell ref="C12:F12"/>
    <mergeCell ref="C13:F13"/>
    <mergeCell ref="G3:Q3"/>
    <mergeCell ref="L43:S43"/>
    <mergeCell ref="A58:B58"/>
    <mergeCell ref="A59:B59"/>
    <mergeCell ref="G55:K55"/>
    <mergeCell ref="A56:B56"/>
    <mergeCell ref="C56:F56"/>
    <mergeCell ref="G56:K56"/>
    <mergeCell ref="L56:S56"/>
    <mergeCell ref="A57:B57"/>
    <mergeCell ref="C57:F57"/>
    <mergeCell ref="C58:F58"/>
    <mergeCell ref="C59:F59"/>
    <mergeCell ref="L54:S54"/>
    <mergeCell ref="A53:B53"/>
    <mergeCell ref="C53:F53"/>
    <mergeCell ref="G53:K53"/>
    <mergeCell ref="L53:S53"/>
    <mergeCell ref="L44:S44"/>
    <mergeCell ref="L45:S45"/>
    <mergeCell ref="L46:S46"/>
    <mergeCell ref="L47:S47"/>
    <mergeCell ref="L48:S48"/>
    <mergeCell ref="C55:F55"/>
    <mergeCell ref="A55:B55"/>
    <mergeCell ref="C63:F63"/>
    <mergeCell ref="G57:K57"/>
    <mergeCell ref="L57:S57"/>
    <mergeCell ref="A62:B62"/>
    <mergeCell ref="G62:K62"/>
    <mergeCell ref="L62:S62"/>
    <mergeCell ref="A63:B63"/>
    <mergeCell ref="G63:K63"/>
    <mergeCell ref="L63:S63"/>
    <mergeCell ref="C62:F62"/>
    <mergeCell ref="A60:B60"/>
    <mergeCell ref="A61:B61"/>
    <mergeCell ref="C61:F61"/>
    <mergeCell ref="C60:F60"/>
    <mergeCell ref="L61:S61"/>
    <mergeCell ref="G58:K58"/>
    <mergeCell ref="G59:K59"/>
    <mergeCell ref="G60:K60"/>
    <mergeCell ref="G61:K61"/>
    <mergeCell ref="L60:S60"/>
    <mergeCell ref="L58:S58"/>
    <mergeCell ref="L59:S59"/>
    <mergeCell ref="G54:K54"/>
    <mergeCell ref="L55:S55"/>
    <mergeCell ref="A49:B49"/>
    <mergeCell ref="C49:F49"/>
    <mergeCell ref="L49:S49"/>
    <mergeCell ref="A50:B50"/>
    <mergeCell ref="C50:F50"/>
    <mergeCell ref="G50:K50"/>
    <mergeCell ref="L50:S50"/>
    <mergeCell ref="A52:B52"/>
    <mergeCell ref="C52:F52"/>
    <mergeCell ref="G52:K52"/>
    <mergeCell ref="L52:S52"/>
    <mergeCell ref="A51:B51"/>
    <mergeCell ref="C51:F51"/>
    <mergeCell ref="G51:K51"/>
    <mergeCell ref="L51:S51"/>
    <mergeCell ref="A54:B54"/>
    <mergeCell ref="C54:F54"/>
  </mergeCells>
  <phoneticPr fontId="7"/>
  <dataValidations count="1">
    <dataValidation type="list" allowBlank="1" showInputMessage="1" showErrorMessage="1" sqref="C10:C14" xr:uid="{00000000-0002-0000-0B00-000000000000}">
      <formula1>"R/3標準Table,Add-on Table,LDB,その他"</formula1>
    </dataValidation>
  </dataValidations>
  <pageMargins left="0.78740157480314965" right="0.39370078740157483" top="0.78740157480314965" bottom="0.78740157480314965" header="0.51181102362204722" footer="0.51181102362204722"/>
  <pageSetup paperSize="9" scale="84" orientation="portrait" verticalDpi="400"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ransitionEvaluation="1" transitionEntry="1" codeName="Sheet34">
    <tabColor rgb="FFFF0000"/>
    <pageSetUpPr fitToPage="1"/>
  </sheetPr>
  <dimension ref="A1:AH56"/>
  <sheetViews>
    <sheetView tabSelected="1" topLeftCell="A10" zoomScaleNormal="100" workbookViewId="0">
      <selection activeCell="Q43" sqref="A43:XFD43"/>
    </sheetView>
  </sheetViews>
  <sheetFormatPr defaultColWidth="2.85546875" defaultRowHeight="11.25"/>
  <cols>
    <col min="1" max="16384" width="2.85546875" style="23"/>
  </cols>
  <sheetData>
    <row r="1" spans="1:34" s="2" customFormat="1" ht="18.95" customHeight="1">
      <c r="A1" s="108"/>
      <c r="B1" s="109"/>
      <c r="C1" s="109"/>
      <c r="D1" s="110" t="s">
        <v>90</v>
      </c>
      <c r="E1" s="111"/>
      <c r="F1" s="112"/>
      <c r="G1" s="544" t="str">
        <f>IF(詳細設計書!G1="","N/A",詳細設計書!G1)</f>
        <v>統合会計システム開発</v>
      </c>
      <c r="H1" s="544"/>
      <c r="I1" s="544"/>
      <c r="J1" s="544"/>
      <c r="K1" s="544"/>
      <c r="L1" s="544"/>
      <c r="M1" s="544"/>
      <c r="N1" s="545"/>
      <c r="O1" s="110" t="s">
        <v>283</v>
      </c>
      <c r="P1" s="111"/>
      <c r="Q1" s="111"/>
      <c r="R1" s="113"/>
      <c r="S1" s="575">
        <f>IF(詳細設計書!S1="","N/A",詳細設計書!S1)</f>
        <v>42509</v>
      </c>
      <c r="T1" s="576"/>
      <c r="U1" s="576"/>
      <c r="V1" s="576"/>
      <c r="W1" s="576"/>
      <c r="X1" s="576"/>
      <c r="Y1" s="577"/>
      <c r="Z1" s="110" t="s">
        <v>284</v>
      </c>
      <c r="AA1" s="114"/>
      <c r="AB1" s="114"/>
      <c r="AC1" s="115"/>
      <c r="AD1" s="578">
        <f>IF(詳細設計書!AD1="","N/A",詳細設計書!AD1)</f>
        <v>42559</v>
      </c>
      <c r="AE1" s="579"/>
      <c r="AF1" s="579"/>
      <c r="AG1" s="580"/>
    </row>
    <row r="2" spans="1:34" s="2" customFormat="1" ht="18.95" customHeight="1">
      <c r="A2" s="30"/>
      <c r="D2" s="116" t="s">
        <v>93</v>
      </c>
      <c r="E2" s="34"/>
      <c r="F2" s="117"/>
      <c r="G2" s="550" t="str">
        <f>IF(詳細設計書!G2="","N/A",詳細設計書!G2)</f>
        <v>SAP R/3(レポート)</v>
      </c>
      <c r="H2" s="550"/>
      <c r="I2" s="550"/>
      <c r="J2" s="550"/>
      <c r="K2" s="550"/>
      <c r="L2" s="550"/>
      <c r="M2" s="550"/>
      <c r="N2" s="551"/>
      <c r="O2" s="116" t="s">
        <v>286</v>
      </c>
      <c r="P2" s="34"/>
      <c r="Q2" s="34"/>
      <c r="R2" s="118"/>
      <c r="S2" s="581" t="str">
        <f>IF(詳細設計書!S2="","N/A",詳細設計書!S2)</f>
        <v>KSC 橋本</v>
      </c>
      <c r="T2" s="582"/>
      <c r="U2" s="582"/>
      <c r="V2" s="582"/>
      <c r="W2" s="582"/>
      <c r="X2" s="582"/>
      <c r="Y2" s="583"/>
      <c r="Z2" s="116" t="s">
        <v>288</v>
      </c>
      <c r="AA2" s="119"/>
      <c r="AB2" s="120"/>
      <c r="AC2" s="117"/>
      <c r="AD2" s="759" t="str">
        <f>IF(詳細設計書!AD2="","N/A",詳細設計書!AD2)</f>
        <v>KSC 橋本</v>
      </c>
      <c r="AE2" s="760"/>
      <c r="AF2" s="760"/>
      <c r="AG2" s="761"/>
    </row>
    <row r="3" spans="1:34" s="2" customFormat="1" ht="18.95" customHeight="1" thickBot="1">
      <c r="A3" s="4"/>
      <c r="B3" s="1"/>
      <c r="C3" s="121"/>
      <c r="D3" s="122" t="s">
        <v>96</v>
      </c>
      <c r="E3" s="123"/>
      <c r="F3" s="124"/>
      <c r="G3" s="563" t="str">
        <f>IF(詳細設計書!G3="","N/A",詳細設計書!G3)</f>
        <v>DP_FI_2014_01</v>
      </c>
      <c r="H3" s="564"/>
      <c r="I3" s="564"/>
      <c r="J3" s="564"/>
      <c r="K3" s="564"/>
      <c r="L3" s="564"/>
      <c r="M3" s="564"/>
      <c r="N3" s="565"/>
      <c r="O3" s="122" t="s">
        <v>97</v>
      </c>
      <c r="P3" s="123"/>
      <c r="Q3" s="123"/>
      <c r="R3" s="125"/>
      <c r="S3" s="566" t="str">
        <f>IF(詳細設計書!S3="","N/A",詳細設計書!S3)</f>
        <v>ZFIPR_2014_01</v>
      </c>
      <c r="T3" s="566"/>
      <c r="U3" s="566"/>
      <c r="V3" s="566"/>
      <c r="W3" s="566"/>
      <c r="X3" s="566"/>
      <c r="Y3" s="566"/>
      <c r="Z3" s="566"/>
      <c r="AA3" s="566"/>
      <c r="AB3" s="566"/>
      <c r="AC3" s="566"/>
      <c r="AD3" s="566"/>
      <c r="AE3" s="566"/>
      <c r="AF3" s="566"/>
      <c r="AG3" s="567"/>
    </row>
    <row r="4" spans="1:34" s="129" customFormat="1" ht="18.95" customHeight="1" thickBot="1">
      <c r="A4" s="31" t="s">
        <v>292</v>
      </c>
      <c r="B4" s="127"/>
      <c r="C4" s="128"/>
      <c r="D4" s="353" t="s">
        <v>616</v>
      </c>
      <c r="E4" s="126"/>
      <c r="F4" s="126"/>
      <c r="G4" s="126"/>
      <c r="H4" s="126"/>
      <c r="I4" s="126"/>
      <c r="J4" s="126"/>
      <c r="K4" s="126"/>
      <c r="L4" s="126"/>
      <c r="M4" s="126"/>
      <c r="N4" s="126"/>
      <c r="O4" s="126"/>
      <c r="P4" s="126"/>
      <c r="Q4" s="126"/>
      <c r="R4" s="126"/>
      <c r="S4" s="126"/>
      <c r="T4" s="126"/>
      <c r="U4" s="126"/>
      <c r="V4" s="126"/>
      <c r="W4" s="126"/>
      <c r="X4" s="126"/>
      <c r="Y4" s="126"/>
      <c r="Z4" s="31" t="s">
        <v>100</v>
      </c>
      <c r="AA4" s="127"/>
      <c r="AB4" s="128"/>
      <c r="AC4" s="560" t="str">
        <f>詳細設計書!AC4</f>
        <v>1.0</v>
      </c>
      <c r="AD4" s="560"/>
      <c r="AE4" s="560"/>
      <c r="AF4" s="560"/>
      <c r="AG4" s="561"/>
    </row>
    <row r="5" spans="1:34" ht="7.5" customHeight="1"/>
    <row r="6" spans="1:34" s="284" customFormat="1" ht="15" customHeight="1" thickBot="1">
      <c r="A6" s="129"/>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row>
    <row r="7" spans="1:34" ht="15" customHeight="1" thickBot="1">
      <c r="A7" s="31" t="s">
        <v>617</v>
      </c>
      <c r="B7" s="416"/>
      <c r="C7" s="416"/>
      <c r="D7" s="417"/>
      <c r="E7" s="756">
        <v>2</v>
      </c>
      <c r="F7" s="597"/>
      <c r="G7" s="597"/>
      <c r="H7" s="597"/>
      <c r="I7" s="597"/>
      <c r="J7" s="598"/>
      <c r="K7" s="31" t="s">
        <v>618</v>
      </c>
      <c r="L7" s="416"/>
      <c r="M7" s="60"/>
      <c r="N7" s="417"/>
      <c r="O7" s="757" t="s">
        <v>619</v>
      </c>
      <c r="P7" s="594"/>
      <c r="Q7" s="594"/>
      <c r="R7" s="594"/>
      <c r="S7" s="594"/>
      <c r="T7" s="594"/>
      <c r="U7" s="594"/>
      <c r="V7" s="594"/>
      <c r="W7" s="594"/>
      <c r="X7" s="594"/>
      <c r="Y7" s="594"/>
      <c r="Z7" s="594"/>
      <c r="AA7" s="594"/>
      <c r="AB7" s="594"/>
      <c r="AC7" s="594"/>
      <c r="AD7" s="594"/>
      <c r="AE7" s="594"/>
      <c r="AF7" s="594"/>
      <c r="AG7" s="758"/>
    </row>
    <row r="8" spans="1:34" ht="15" customHeight="1" thickBot="1">
      <c r="A8" s="31" t="s">
        <v>620</v>
      </c>
      <c r="B8" s="32"/>
      <c r="C8" s="32"/>
      <c r="D8" s="417"/>
      <c r="E8" s="762" t="s">
        <v>621</v>
      </c>
      <c r="F8" s="594"/>
      <c r="G8" s="594"/>
      <c r="H8" s="594"/>
      <c r="I8" s="594"/>
      <c r="J8" s="594"/>
      <c r="K8" s="594"/>
      <c r="L8" s="594"/>
      <c r="M8" s="594"/>
      <c r="N8" s="594"/>
      <c r="O8" s="594"/>
      <c r="P8" s="594"/>
      <c r="Q8" s="594"/>
      <c r="R8" s="594"/>
      <c r="S8" s="594"/>
      <c r="T8" s="594"/>
      <c r="U8" s="594"/>
      <c r="V8" s="594"/>
      <c r="W8" s="594"/>
      <c r="X8" s="594"/>
      <c r="Y8" s="594"/>
      <c r="Z8" s="594"/>
      <c r="AA8" s="594"/>
      <c r="AB8" s="594"/>
      <c r="AC8" s="594"/>
      <c r="AD8" s="594"/>
      <c r="AE8" s="594"/>
      <c r="AF8" s="594"/>
      <c r="AG8" s="758"/>
    </row>
    <row r="9" spans="1:34" ht="15" customHeight="1" thickBot="1">
      <c r="A9" s="418" t="s">
        <v>622</v>
      </c>
      <c r="B9" s="2"/>
      <c r="C9" s="2"/>
      <c r="D9" s="2"/>
      <c r="E9" s="2"/>
      <c r="F9" s="2"/>
      <c r="G9" s="419"/>
      <c r="H9" s="2"/>
      <c r="I9" s="2"/>
      <c r="J9" s="2"/>
      <c r="K9" s="2"/>
      <c r="L9" s="2"/>
      <c r="M9" s="15"/>
      <c r="N9" s="15"/>
      <c r="O9" s="15"/>
      <c r="P9" s="2"/>
      <c r="Q9" s="15"/>
      <c r="R9" s="15"/>
      <c r="S9" s="15"/>
      <c r="T9" s="15"/>
      <c r="U9" s="15"/>
      <c r="V9" s="15"/>
      <c r="W9" s="2"/>
      <c r="X9" s="2"/>
      <c r="Y9" s="2"/>
      <c r="Z9" s="2"/>
      <c r="AA9" s="2"/>
      <c r="AB9" s="2"/>
      <c r="AC9" s="2"/>
      <c r="AD9" s="2"/>
      <c r="AE9" s="2"/>
      <c r="AF9" s="2"/>
      <c r="AG9" s="49"/>
    </row>
    <row r="10" spans="1:34" ht="15" customHeight="1">
      <c r="A10" s="420"/>
      <c r="B10" s="421" t="s">
        <v>623</v>
      </c>
      <c r="C10" s="111"/>
      <c r="D10" s="111"/>
      <c r="E10" s="422"/>
      <c r="F10" s="752">
        <v>120</v>
      </c>
      <c r="G10" s="753"/>
      <c r="H10" s="753"/>
      <c r="I10" s="423" t="s">
        <v>624</v>
      </c>
      <c r="J10" s="458"/>
      <c r="K10" s="424" t="s">
        <v>625</v>
      </c>
      <c r="L10" s="425"/>
      <c r="M10" s="425"/>
      <c r="N10" s="425"/>
      <c r="O10" s="424" t="s">
        <v>626</v>
      </c>
      <c r="P10" s="425"/>
      <c r="Q10" s="425"/>
      <c r="R10" s="425"/>
      <c r="S10" s="426"/>
      <c r="T10" s="425" t="s">
        <v>627</v>
      </c>
      <c r="U10" s="425"/>
      <c r="V10" s="425"/>
      <c r="W10" s="426"/>
      <c r="X10" s="522" t="s">
        <v>628</v>
      </c>
      <c r="Y10" s="523"/>
      <c r="Z10" s="523"/>
      <c r="AA10" s="428"/>
      <c r="AB10" s="425" t="s">
        <v>629</v>
      </c>
      <c r="AC10" s="427"/>
      <c r="AD10" s="427"/>
      <c r="AE10" s="427"/>
      <c r="AF10" s="429"/>
      <c r="AG10" s="49"/>
      <c r="AH10" s="520" t="s">
        <v>630</v>
      </c>
    </row>
    <row r="11" spans="1:34" ht="15" customHeight="1">
      <c r="A11" s="418"/>
      <c r="B11" s="430" t="s">
        <v>631</v>
      </c>
      <c r="C11" s="34"/>
      <c r="D11" s="34"/>
      <c r="E11" s="35"/>
      <c r="F11" s="599">
        <v>100</v>
      </c>
      <c r="G11" s="600"/>
      <c r="H11" s="600"/>
      <c r="I11" s="220" t="s">
        <v>632</v>
      </c>
      <c r="J11" s="459"/>
      <c r="K11" s="431"/>
      <c r="L11" s="5"/>
      <c r="M11" s="5"/>
      <c r="N11" s="5"/>
      <c r="O11" s="22"/>
      <c r="P11" s="5"/>
      <c r="Q11" s="5"/>
      <c r="R11" s="432"/>
      <c r="S11" s="433"/>
      <c r="T11" s="432"/>
      <c r="U11" s="432"/>
      <c r="V11" s="432"/>
      <c r="W11" s="11"/>
      <c r="X11" s="519"/>
      <c r="Y11" s="524"/>
      <c r="Z11" s="524"/>
      <c r="AA11" s="14"/>
      <c r="AB11" s="2"/>
      <c r="AC11" s="2"/>
      <c r="AD11" s="2"/>
      <c r="AE11" s="2"/>
      <c r="AF11" s="49"/>
      <c r="AG11" s="49"/>
    </row>
    <row r="12" spans="1:34" ht="15" customHeight="1">
      <c r="A12" s="434"/>
      <c r="B12" s="52" t="s">
        <v>633</v>
      </c>
      <c r="C12" s="34"/>
      <c r="D12" s="34"/>
      <c r="E12" s="35"/>
      <c r="F12" s="5"/>
      <c r="G12" s="5"/>
      <c r="H12" s="5"/>
      <c r="I12" s="5"/>
      <c r="J12" s="11"/>
      <c r="K12" s="12"/>
      <c r="L12" s="2"/>
      <c r="M12" s="2"/>
      <c r="N12" s="2"/>
      <c r="O12" s="435"/>
      <c r="P12" s="13"/>
      <c r="Q12" s="2"/>
      <c r="R12" s="2"/>
      <c r="S12" s="14"/>
      <c r="T12" s="2"/>
      <c r="U12" s="2"/>
      <c r="V12" s="2"/>
      <c r="W12" s="14"/>
      <c r="X12" s="519"/>
      <c r="Y12" s="524"/>
      <c r="Z12" s="524"/>
      <c r="AA12" s="14"/>
      <c r="AB12" s="2"/>
      <c r="AC12" s="2"/>
      <c r="AD12" s="2"/>
      <c r="AE12" s="2"/>
      <c r="AF12" s="49"/>
      <c r="AG12" s="49"/>
      <c r="AH12" s="520"/>
    </row>
    <row r="13" spans="1:34" ht="15" customHeight="1">
      <c r="A13" s="434"/>
      <c r="B13" s="30"/>
      <c r="C13" s="2"/>
      <c r="D13" s="2"/>
      <c r="E13" s="2"/>
      <c r="F13" s="2"/>
      <c r="G13" s="2"/>
      <c r="H13" s="2"/>
      <c r="I13" s="2"/>
      <c r="J13" s="14"/>
      <c r="K13" s="12"/>
      <c r="L13" s="2"/>
      <c r="M13" s="2"/>
      <c r="N13" s="2"/>
      <c r="O13" s="12"/>
      <c r="P13" s="2"/>
      <c r="Q13" s="2"/>
      <c r="R13" s="2"/>
      <c r="S13" s="14"/>
      <c r="T13" s="2"/>
      <c r="U13" s="2"/>
      <c r="V13" s="2"/>
      <c r="W13" s="14"/>
      <c r="X13" s="519"/>
      <c r="Y13" s="524"/>
      <c r="Z13" s="524"/>
      <c r="AA13" s="14"/>
      <c r="AB13" s="2"/>
      <c r="AC13" s="2"/>
      <c r="AD13" s="2"/>
      <c r="AE13" s="2"/>
      <c r="AF13" s="49"/>
      <c r="AG13" s="49"/>
    </row>
    <row r="14" spans="1:34" ht="15" customHeight="1" thickBot="1">
      <c r="A14" s="30"/>
      <c r="B14" s="4"/>
      <c r="C14" s="1"/>
      <c r="D14" s="1"/>
      <c r="E14" s="1"/>
      <c r="F14" s="1"/>
      <c r="G14" s="1"/>
      <c r="H14" s="1"/>
      <c r="I14" s="1"/>
      <c r="J14" s="121"/>
      <c r="K14" s="436"/>
      <c r="L14" s="1"/>
      <c r="M14" s="1"/>
      <c r="N14" s="437"/>
      <c r="O14" s="436"/>
      <c r="P14" s="1"/>
      <c r="Q14" s="1"/>
      <c r="R14" s="1"/>
      <c r="S14" s="121"/>
      <c r="T14" s="1" t="s">
        <v>634</v>
      </c>
      <c r="U14" s="754"/>
      <c r="V14" s="754"/>
      <c r="W14" s="438" t="s">
        <v>635</v>
      </c>
      <c r="X14" s="436"/>
      <c r="Y14" s="1"/>
      <c r="Z14" s="1"/>
      <c r="AA14" s="121"/>
      <c r="AB14" s="1" t="s">
        <v>636</v>
      </c>
      <c r="AC14" s="754"/>
      <c r="AD14" s="754"/>
      <c r="AE14" s="754"/>
      <c r="AF14" s="439" t="s">
        <v>637</v>
      </c>
      <c r="AG14" s="49"/>
    </row>
    <row r="15" spans="1:34" ht="15" customHeight="1" thickBot="1">
      <c r="A15" s="418" t="s">
        <v>638</v>
      </c>
      <c r="B15" s="2"/>
      <c r="C15" s="7"/>
      <c r="D15" s="7"/>
      <c r="E15" s="8"/>
      <c r="F15" s="7"/>
      <c r="G15" s="7"/>
      <c r="H15" s="7"/>
      <c r="I15" s="8"/>
      <c r="J15" s="7"/>
      <c r="K15" s="7"/>
      <c r="L15" s="7"/>
      <c r="M15" s="8"/>
      <c r="N15" s="7"/>
      <c r="O15" s="7"/>
      <c r="P15" s="7"/>
      <c r="Q15" s="7"/>
      <c r="R15" s="8"/>
      <c r="S15" s="59"/>
      <c r="T15" s="7"/>
      <c r="U15" s="7"/>
      <c r="V15" s="8"/>
      <c r="W15" s="10"/>
      <c r="X15" s="7"/>
      <c r="Y15" s="2"/>
      <c r="Z15" s="2"/>
      <c r="AA15" s="2"/>
      <c r="AB15" s="2"/>
      <c r="AC15" s="2"/>
      <c r="AD15" s="2"/>
      <c r="AE15" s="2"/>
      <c r="AF15" s="2"/>
      <c r="AG15" s="49"/>
    </row>
    <row r="16" spans="1:34" ht="15" customHeight="1" thickBot="1">
      <c r="A16" s="440"/>
      <c r="B16" s="441" t="s">
        <v>639</v>
      </c>
      <c r="C16" s="442"/>
      <c r="D16" s="443" t="s">
        <v>640</v>
      </c>
      <c r="E16" s="444"/>
      <c r="F16" s="444"/>
      <c r="G16" s="444"/>
      <c r="H16" s="444"/>
      <c r="I16" s="444"/>
      <c r="J16" s="442"/>
      <c r="K16" s="723" t="s">
        <v>641</v>
      </c>
      <c r="L16" s="724"/>
      <c r="M16" s="723" t="s">
        <v>642</v>
      </c>
      <c r="N16" s="724"/>
      <c r="O16" s="443" t="s">
        <v>643</v>
      </c>
      <c r="P16" s="442"/>
      <c r="Q16" s="443" t="s">
        <v>644</v>
      </c>
      <c r="R16" s="444"/>
      <c r="S16" s="444"/>
      <c r="T16" s="444"/>
      <c r="U16" s="444"/>
      <c r="V16" s="444"/>
      <c r="W16" s="444"/>
      <c r="X16" s="444"/>
      <c r="Y16" s="444"/>
      <c r="Z16" s="444"/>
      <c r="AA16" s="445"/>
      <c r="AB16" s="445"/>
      <c r="AC16" s="445"/>
      <c r="AD16" s="445"/>
      <c r="AE16" s="444"/>
      <c r="AF16" s="446"/>
      <c r="AG16" s="447"/>
    </row>
    <row r="17" spans="1:34" ht="14.1" customHeight="1" thickTop="1">
      <c r="A17" s="30"/>
      <c r="B17" s="755"/>
      <c r="C17" s="735"/>
      <c r="D17" s="725" t="s">
        <v>645</v>
      </c>
      <c r="E17" s="726"/>
      <c r="F17" s="726"/>
      <c r="G17" s="726"/>
      <c r="H17" s="726"/>
      <c r="I17" s="726"/>
      <c r="J17" s="727"/>
      <c r="K17" s="734"/>
      <c r="L17" s="735"/>
      <c r="M17" s="734"/>
      <c r="N17" s="735"/>
      <c r="O17" s="732"/>
      <c r="P17" s="733"/>
      <c r="Q17" s="448"/>
      <c r="R17" s="8"/>
      <c r="S17" s="7"/>
      <c r="T17" s="7"/>
      <c r="U17" s="7"/>
      <c r="V17" s="8"/>
      <c r="W17" s="10"/>
      <c r="X17" s="7"/>
      <c r="Y17" s="2"/>
      <c r="Z17" s="2"/>
      <c r="AA17" s="2"/>
      <c r="AB17" s="2"/>
      <c r="AC17" s="2"/>
      <c r="AD17" s="2"/>
      <c r="AE17" s="2"/>
      <c r="AF17" s="49"/>
      <c r="AG17" s="49"/>
    </row>
    <row r="18" spans="1:34" ht="14.1" customHeight="1">
      <c r="A18" s="30"/>
      <c r="B18" s="746">
        <v>1</v>
      </c>
      <c r="C18" s="731"/>
      <c r="D18" s="872" t="s">
        <v>646</v>
      </c>
      <c r="E18" s="873"/>
      <c r="F18" s="873"/>
      <c r="G18" s="873"/>
      <c r="H18" s="873"/>
      <c r="I18" s="873"/>
      <c r="J18" s="874"/>
      <c r="K18" s="728">
        <v>1</v>
      </c>
      <c r="L18" s="729"/>
      <c r="M18" s="728">
        <v>1</v>
      </c>
      <c r="N18" s="729"/>
      <c r="O18" s="12" t="s">
        <v>647</v>
      </c>
      <c r="P18" s="14"/>
      <c r="Q18" s="12" t="s">
        <v>648</v>
      </c>
      <c r="R18" s="8"/>
      <c r="S18" s="7"/>
      <c r="T18" s="7"/>
      <c r="U18" s="7"/>
      <c r="V18" s="8"/>
      <c r="W18" s="10"/>
      <c r="X18" s="7"/>
      <c r="Y18" s="2"/>
      <c r="Z18" s="2"/>
      <c r="AA18" s="2"/>
      <c r="AB18" s="2"/>
      <c r="AC18" s="2"/>
      <c r="AD18" s="2"/>
      <c r="AE18" s="2"/>
      <c r="AF18" s="49"/>
      <c r="AG18" s="49"/>
    </row>
    <row r="19" spans="1:34" ht="14.1" customHeight="1">
      <c r="A19" s="30"/>
      <c r="B19" s="746">
        <v>2</v>
      </c>
      <c r="C19" s="731"/>
      <c r="D19" s="872" t="s">
        <v>649</v>
      </c>
      <c r="E19" s="873"/>
      <c r="F19" s="873"/>
      <c r="G19" s="873"/>
      <c r="H19" s="873"/>
      <c r="I19" s="873"/>
      <c r="J19" s="874"/>
      <c r="K19" s="728">
        <v>2</v>
      </c>
      <c r="L19" s="729"/>
      <c r="M19" s="728">
        <v>2</v>
      </c>
      <c r="N19" s="729"/>
      <c r="O19" s="12" t="s">
        <v>647</v>
      </c>
      <c r="P19" s="14"/>
      <c r="Q19" s="12" t="s">
        <v>650</v>
      </c>
      <c r="R19" s="8"/>
      <c r="S19" s="7"/>
      <c r="T19" s="7"/>
      <c r="U19" s="7"/>
      <c r="V19" s="8"/>
      <c r="W19" s="10"/>
      <c r="X19" s="7"/>
      <c r="Y19" s="2"/>
      <c r="Z19" s="2"/>
      <c r="AA19" s="2"/>
      <c r="AB19" s="2"/>
      <c r="AC19" s="2"/>
      <c r="AD19" s="2"/>
      <c r="AE19" s="2"/>
      <c r="AF19" s="49"/>
      <c r="AG19" s="49"/>
    </row>
    <row r="20" spans="1:34" ht="14.1" customHeight="1">
      <c r="A20" s="30"/>
      <c r="B20" s="746">
        <v>3</v>
      </c>
      <c r="C20" s="731"/>
      <c r="D20" s="872" t="s">
        <v>651</v>
      </c>
      <c r="E20" s="873"/>
      <c r="F20" s="873"/>
      <c r="G20" s="873"/>
      <c r="H20" s="873"/>
      <c r="I20" s="873"/>
      <c r="J20" s="874"/>
      <c r="K20" s="728">
        <v>4</v>
      </c>
      <c r="L20" s="729"/>
      <c r="M20" s="728">
        <v>1</v>
      </c>
      <c r="N20" s="729"/>
      <c r="O20" s="12" t="s">
        <v>647</v>
      </c>
      <c r="P20" s="14"/>
      <c r="Q20" s="12" t="s">
        <v>652</v>
      </c>
      <c r="R20" s="8"/>
      <c r="S20" s="7"/>
      <c r="T20" s="7"/>
      <c r="U20" s="7"/>
      <c r="V20" s="8"/>
      <c r="W20" s="10"/>
      <c r="X20" s="7"/>
      <c r="Y20" s="2"/>
      <c r="Z20" s="2"/>
      <c r="AA20" s="2"/>
      <c r="AB20" s="2"/>
      <c r="AC20" s="2"/>
      <c r="AD20" s="2"/>
      <c r="AE20" s="2"/>
      <c r="AF20" s="49"/>
      <c r="AG20" s="49"/>
    </row>
    <row r="21" spans="1:34" ht="14.1" customHeight="1">
      <c r="A21" s="30"/>
      <c r="B21" s="746">
        <v>4</v>
      </c>
      <c r="C21" s="731"/>
      <c r="D21" s="872" t="s">
        <v>558</v>
      </c>
      <c r="E21" s="873"/>
      <c r="F21" s="873"/>
      <c r="G21" s="873"/>
      <c r="H21" s="873"/>
      <c r="I21" s="873"/>
      <c r="J21" s="874"/>
      <c r="K21" s="728">
        <v>5</v>
      </c>
      <c r="L21" s="729"/>
      <c r="M21" s="728">
        <v>3</v>
      </c>
      <c r="N21" s="729"/>
      <c r="O21" s="12" t="s">
        <v>647</v>
      </c>
      <c r="P21" s="14"/>
      <c r="Q21" s="12" t="s">
        <v>653</v>
      </c>
      <c r="R21" s="8"/>
      <c r="S21" s="7"/>
      <c r="T21" s="7"/>
      <c r="U21" s="8"/>
      <c r="V21" s="10"/>
      <c r="W21" s="7"/>
      <c r="X21" s="2"/>
      <c r="Y21" s="2"/>
      <c r="Z21" s="2"/>
      <c r="AA21" s="2"/>
      <c r="AB21" s="2"/>
      <c r="AC21" s="2"/>
      <c r="AD21" s="2"/>
      <c r="AE21" s="2"/>
      <c r="AF21" s="49"/>
      <c r="AG21" s="49"/>
    </row>
    <row r="22" spans="1:34" ht="14.1" customHeight="1">
      <c r="A22" s="30"/>
      <c r="B22" s="746">
        <v>5</v>
      </c>
      <c r="C22" s="731"/>
      <c r="D22" s="872" t="s">
        <v>560</v>
      </c>
      <c r="E22" s="873"/>
      <c r="F22" s="873"/>
      <c r="G22" s="873"/>
      <c r="H22" s="873"/>
      <c r="I22" s="873"/>
      <c r="J22" s="874"/>
      <c r="K22" s="728">
        <v>8</v>
      </c>
      <c r="L22" s="729"/>
      <c r="M22" s="728">
        <v>7</v>
      </c>
      <c r="N22" s="729"/>
      <c r="O22" s="12" t="s">
        <v>647</v>
      </c>
      <c r="P22" s="14"/>
      <c r="Q22" s="12" t="s">
        <v>654</v>
      </c>
      <c r="R22" s="8"/>
      <c r="S22" s="7"/>
      <c r="T22" s="7"/>
      <c r="U22" s="7"/>
      <c r="V22" s="8"/>
      <c r="W22" s="10"/>
      <c r="X22" s="7"/>
      <c r="Y22" s="2"/>
      <c r="Z22" s="2"/>
      <c r="AA22" s="2"/>
      <c r="AB22" s="2"/>
      <c r="AC22" s="2"/>
      <c r="AD22" s="2"/>
      <c r="AE22" s="2"/>
      <c r="AF22" s="49"/>
      <c r="AG22" s="49"/>
    </row>
    <row r="23" spans="1:34" ht="14.1" customHeight="1">
      <c r="A23" s="30"/>
      <c r="B23" s="746">
        <v>6</v>
      </c>
      <c r="C23" s="731"/>
      <c r="D23" s="872" t="s">
        <v>655</v>
      </c>
      <c r="E23" s="873"/>
      <c r="F23" s="873"/>
      <c r="G23" s="873"/>
      <c r="H23" s="873"/>
      <c r="I23" s="873"/>
      <c r="J23" s="874"/>
      <c r="K23" s="728">
        <v>15</v>
      </c>
      <c r="L23" s="729"/>
      <c r="M23" s="728">
        <v>40</v>
      </c>
      <c r="N23" s="729"/>
      <c r="O23" s="12" t="s">
        <v>647</v>
      </c>
      <c r="P23" s="14"/>
      <c r="Q23" s="12" t="s">
        <v>656</v>
      </c>
      <c r="R23" s="8"/>
      <c r="S23" s="7"/>
      <c r="T23" s="7"/>
      <c r="U23" s="7"/>
      <c r="V23" s="8"/>
      <c r="W23" s="10"/>
      <c r="X23" s="7"/>
      <c r="Y23" s="2"/>
      <c r="Z23" s="2"/>
      <c r="AA23" s="2"/>
      <c r="AB23" s="2"/>
      <c r="AC23" s="2"/>
      <c r="AD23" s="2"/>
      <c r="AE23" s="2"/>
      <c r="AF23" s="49"/>
      <c r="AG23" s="49"/>
    </row>
    <row r="24" spans="1:34" ht="14.1" customHeight="1">
      <c r="A24" s="30"/>
      <c r="B24" s="746">
        <v>7</v>
      </c>
      <c r="C24" s="731"/>
      <c r="D24" s="872" t="s">
        <v>548</v>
      </c>
      <c r="E24" s="873"/>
      <c r="F24" s="873"/>
      <c r="G24" s="873"/>
      <c r="H24" s="873"/>
      <c r="I24" s="873"/>
      <c r="J24" s="874"/>
      <c r="K24" s="728">
        <v>55</v>
      </c>
      <c r="L24" s="729"/>
      <c r="M24" s="728">
        <v>4</v>
      </c>
      <c r="N24" s="729"/>
      <c r="O24" s="12" t="s">
        <v>647</v>
      </c>
      <c r="P24" s="14"/>
      <c r="Q24" s="12" t="s">
        <v>657</v>
      </c>
      <c r="R24" s="8"/>
      <c r="S24" s="7"/>
      <c r="T24" s="7"/>
      <c r="U24" s="7"/>
      <c r="V24" s="8"/>
      <c r="W24" s="10"/>
      <c r="X24" s="7"/>
      <c r="Y24" s="2"/>
      <c r="Z24" s="2"/>
      <c r="AA24" s="2"/>
      <c r="AB24" s="2"/>
      <c r="AC24" s="2"/>
      <c r="AD24" s="2"/>
      <c r="AE24" s="2"/>
      <c r="AF24" s="49"/>
      <c r="AG24" s="49"/>
    </row>
    <row r="25" spans="1:34" ht="14.1" customHeight="1">
      <c r="A25" s="30"/>
      <c r="B25" s="746">
        <v>8</v>
      </c>
      <c r="C25" s="731"/>
      <c r="D25" s="872" t="s">
        <v>658</v>
      </c>
      <c r="E25" s="873"/>
      <c r="F25" s="873"/>
      <c r="G25" s="873"/>
      <c r="H25" s="873"/>
      <c r="I25" s="873"/>
      <c r="J25" s="874"/>
      <c r="K25" s="728">
        <v>59</v>
      </c>
      <c r="L25" s="729"/>
      <c r="M25" s="728">
        <v>4</v>
      </c>
      <c r="N25" s="729"/>
      <c r="O25" s="12" t="s">
        <v>647</v>
      </c>
      <c r="P25" s="14"/>
      <c r="Q25" s="12" t="s">
        <v>659</v>
      </c>
      <c r="R25" s="8"/>
      <c r="S25" s="7"/>
      <c r="T25" s="7"/>
      <c r="U25" s="7"/>
      <c r="V25" s="8"/>
      <c r="W25" s="10"/>
      <c r="X25" s="7"/>
      <c r="Y25" s="2"/>
      <c r="Z25" s="2"/>
      <c r="AA25" s="2"/>
      <c r="AB25" s="2"/>
      <c r="AC25" s="2"/>
      <c r="AD25" s="2"/>
      <c r="AE25" s="2"/>
      <c r="AF25" s="49"/>
      <c r="AG25" s="49"/>
      <c r="AH25" s="23" t="s">
        <v>660</v>
      </c>
    </row>
    <row r="26" spans="1:34" ht="14.1" customHeight="1">
      <c r="A26" s="30"/>
      <c r="B26" s="746">
        <v>9</v>
      </c>
      <c r="C26" s="731"/>
      <c r="D26" s="872" t="s">
        <v>661</v>
      </c>
      <c r="E26" s="873"/>
      <c r="F26" s="873"/>
      <c r="G26" s="873"/>
      <c r="H26" s="873"/>
      <c r="I26" s="873"/>
      <c r="J26" s="874"/>
      <c r="K26" s="728">
        <v>63</v>
      </c>
      <c r="L26" s="729"/>
      <c r="M26" s="728">
        <v>15</v>
      </c>
      <c r="N26" s="729"/>
      <c r="O26" s="12" t="s">
        <v>647</v>
      </c>
      <c r="P26" s="14"/>
      <c r="Q26" s="12" t="s">
        <v>657</v>
      </c>
      <c r="R26" s="8"/>
      <c r="S26" s="7"/>
      <c r="T26" s="7"/>
      <c r="U26" s="7"/>
      <c r="V26" s="8"/>
      <c r="W26" s="10"/>
      <c r="X26" s="7"/>
      <c r="Y26" s="2"/>
      <c r="Z26" s="2"/>
      <c r="AA26" s="2"/>
      <c r="AB26" s="2"/>
      <c r="AC26" s="2"/>
      <c r="AD26" s="2"/>
      <c r="AE26" s="2"/>
      <c r="AF26" s="49"/>
      <c r="AG26" s="49"/>
    </row>
    <row r="27" spans="1:34" ht="14.1" customHeight="1">
      <c r="A27" s="30"/>
      <c r="B27" s="746">
        <v>10</v>
      </c>
      <c r="C27" s="731"/>
      <c r="D27" s="872" t="s">
        <v>662</v>
      </c>
      <c r="E27" s="873"/>
      <c r="F27" s="873"/>
      <c r="G27" s="873"/>
      <c r="H27" s="873"/>
      <c r="I27" s="873"/>
      <c r="J27" s="874"/>
      <c r="K27" s="728">
        <v>78</v>
      </c>
      <c r="L27" s="729"/>
      <c r="M27" s="728">
        <v>3</v>
      </c>
      <c r="N27" s="729"/>
      <c r="O27" s="12" t="s">
        <v>647</v>
      </c>
      <c r="P27" s="14"/>
      <c r="Q27" s="12" t="s">
        <v>663</v>
      </c>
      <c r="R27" s="8"/>
      <c r="S27" s="7"/>
      <c r="T27" s="7"/>
      <c r="U27" s="7"/>
      <c r="V27" s="8"/>
      <c r="W27" s="10"/>
      <c r="X27" s="7"/>
      <c r="Y27" s="2"/>
      <c r="Z27" s="2"/>
      <c r="AA27" s="2"/>
      <c r="AB27" s="2"/>
      <c r="AC27" s="2"/>
      <c r="AD27" s="2"/>
      <c r="AE27" s="2"/>
      <c r="AF27" s="49"/>
      <c r="AG27" s="49"/>
      <c r="AH27" s="23" t="s">
        <v>660</v>
      </c>
    </row>
    <row r="28" spans="1:34" ht="14.1" customHeight="1">
      <c r="A28" s="30"/>
      <c r="B28" s="746">
        <v>11</v>
      </c>
      <c r="C28" s="731"/>
      <c r="D28" s="872" t="s">
        <v>664</v>
      </c>
      <c r="E28" s="873"/>
      <c r="F28" s="873"/>
      <c r="G28" s="873"/>
      <c r="H28" s="873"/>
      <c r="I28" s="873"/>
      <c r="J28" s="874"/>
      <c r="K28" s="728">
        <v>81</v>
      </c>
      <c r="L28" s="729"/>
      <c r="M28" s="728">
        <v>15</v>
      </c>
      <c r="N28" s="729"/>
      <c r="O28" s="12" t="s">
        <v>647</v>
      </c>
      <c r="P28" s="14"/>
      <c r="Q28" s="12" t="s">
        <v>657</v>
      </c>
      <c r="R28" s="8"/>
      <c r="S28" s="7"/>
      <c r="T28" s="7"/>
      <c r="U28" s="7"/>
      <c r="V28" s="8"/>
      <c r="W28" s="10"/>
      <c r="X28" s="7"/>
      <c r="Y28" s="2"/>
      <c r="Z28" s="2"/>
      <c r="AA28" s="2"/>
      <c r="AB28" s="2"/>
      <c r="AC28" s="2"/>
      <c r="AD28" s="2"/>
      <c r="AE28" s="2"/>
      <c r="AF28" s="49"/>
      <c r="AG28" s="49"/>
    </row>
    <row r="29" spans="1:34" ht="14.1" customHeight="1">
      <c r="A29" s="30"/>
      <c r="B29" s="746">
        <v>12</v>
      </c>
      <c r="C29" s="731"/>
      <c r="D29" s="872" t="s">
        <v>665</v>
      </c>
      <c r="E29" s="873"/>
      <c r="F29" s="873"/>
      <c r="G29" s="873"/>
      <c r="H29" s="873"/>
      <c r="I29" s="873"/>
      <c r="J29" s="874"/>
      <c r="K29" s="728">
        <v>96</v>
      </c>
      <c r="L29" s="729"/>
      <c r="M29" s="728">
        <v>1</v>
      </c>
      <c r="N29" s="729"/>
      <c r="O29" s="12" t="s">
        <v>647</v>
      </c>
      <c r="P29" s="14"/>
      <c r="Q29" s="12" t="s">
        <v>666</v>
      </c>
      <c r="R29" s="8"/>
      <c r="S29" s="7"/>
      <c r="T29" s="7"/>
      <c r="U29" s="7"/>
      <c r="V29" s="8"/>
      <c r="W29" s="10"/>
      <c r="X29" s="7"/>
      <c r="Y29" s="2"/>
      <c r="Z29" s="2"/>
      <c r="AA29" s="2"/>
      <c r="AB29" s="2"/>
      <c r="AC29" s="2"/>
      <c r="AD29" s="2"/>
      <c r="AE29" s="2"/>
      <c r="AF29" s="49"/>
      <c r="AG29" s="49"/>
      <c r="AH29" s="23" t="s">
        <v>660</v>
      </c>
    </row>
    <row r="30" spans="1:34" ht="14.1" customHeight="1">
      <c r="A30" s="30"/>
      <c r="B30" s="746">
        <v>13</v>
      </c>
      <c r="C30" s="731"/>
      <c r="D30" s="872" t="s">
        <v>667</v>
      </c>
      <c r="E30" s="873"/>
      <c r="F30" s="873"/>
      <c r="G30" s="873"/>
      <c r="H30" s="873"/>
      <c r="I30" s="873"/>
      <c r="J30" s="874"/>
      <c r="K30" s="728">
        <v>97</v>
      </c>
      <c r="L30" s="729"/>
      <c r="M30" s="728">
        <v>7</v>
      </c>
      <c r="N30" s="729"/>
      <c r="O30" s="12" t="s">
        <v>647</v>
      </c>
      <c r="P30" s="14"/>
      <c r="Q30" s="12" t="s">
        <v>668</v>
      </c>
      <c r="R30" s="8"/>
      <c r="S30" s="7"/>
      <c r="T30" s="7"/>
      <c r="U30" s="7"/>
      <c r="V30" s="8"/>
      <c r="W30" s="10"/>
      <c r="X30" s="7"/>
      <c r="Y30" s="2"/>
      <c r="Z30" s="2"/>
      <c r="AA30" s="2"/>
      <c r="AB30" s="2"/>
      <c r="AC30" s="2"/>
      <c r="AD30" s="2"/>
      <c r="AE30" s="2"/>
      <c r="AF30" s="49"/>
      <c r="AG30" s="49"/>
      <c r="AH30" s="23" t="s">
        <v>660</v>
      </c>
    </row>
    <row r="31" spans="1:34" ht="14.1" customHeight="1">
      <c r="A31" s="30"/>
      <c r="B31" s="746">
        <v>14</v>
      </c>
      <c r="C31" s="731"/>
      <c r="D31" s="872" t="s">
        <v>669</v>
      </c>
      <c r="E31" s="873"/>
      <c r="F31" s="873"/>
      <c r="G31" s="873"/>
      <c r="H31" s="873"/>
      <c r="I31" s="873"/>
      <c r="J31" s="874"/>
      <c r="K31" s="728">
        <v>104</v>
      </c>
      <c r="L31" s="729"/>
      <c r="M31" s="728">
        <v>6</v>
      </c>
      <c r="N31" s="729"/>
      <c r="O31" s="12" t="s">
        <v>647</v>
      </c>
      <c r="P31" s="14"/>
      <c r="Q31" s="12" t="s">
        <v>670</v>
      </c>
      <c r="R31" s="8"/>
      <c r="S31" s="7"/>
      <c r="T31" s="7"/>
      <c r="U31" s="7"/>
      <c r="V31" s="8"/>
      <c r="W31" s="10"/>
      <c r="X31" s="7"/>
      <c r="Y31" s="2"/>
      <c r="Z31" s="2"/>
      <c r="AA31" s="2"/>
      <c r="AB31" s="2"/>
      <c r="AC31" s="2"/>
      <c r="AD31" s="2"/>
      <c r="AE31" s="2"/>
      <c r="AF31" s="49"/>
      <c r="AG31" s="49"/>
    </row>
    <row r="32" spans="1:34" ht="14.1" customHeight="1">
      <c r="A32" s="30"/>
      <c r="B32" s="746">
        <v>15</v>
      </c>
      <c r="C32" s="731"/>
      <c r="D32" s="872" t="s">
        <v>671</v>
      </c>
      <c r="E32" s="873"/>
      <c r="F32" s="873"/>
      <c r="G32" s="873"/>
      <c r="H32" s="873"/>
      <c r="I32" s="873"/>
      <c r="J32" s="874"/>
      <c r="K32" s="728">
        <v>110</v>
      </c>
      <c r="L32" s="729"/>
      <c r="M32" s="728">
        <v>6</v>
      </c>
      <c r="N32" s="729"/>
      <c r="O32" s="12" t="s">
        <v>647</v>
      </c>
      <c r="P32" s="14"/>
      <c r="Q32" s="12" t="s">
        <v>672</v>
      </c>
      <c r="R32" s="8"/>
      <c r="S32" s="7"/>
      <c r="T32" s="7"/>
      <c r="U32" s="7"/>
      <c r="V32" s="8"/>
      <c r="W32" s="10"/>
      <c r="X32" s="7"/>
      <c r="Y32" s="2"/>
      <c r="Z32" s="2"/>
      <c r="AA32" s="2"/>
      <c r="AB32" s="2"/>
      <c r="AC32" s="2"/>
      <c r="AD32" s="2"/>
      <c r="AE32" s="2"/>
      <c r="AF32" s="49"/>
      <c r="AG32" s="49"/>
    </row>
    <row r="33" spans="1:33" ht="14.1" customHeight="1">
      <c r="A33" s="30"/>
      <c r="B33" s="746">
        <v>16</v>
      </c>
      <c r="C33" s="731"/>
      <c r="D33" s="872" t="s">
        <v>673</v>
      </c>
      <c r="E33" s="873"/>
      <c r="F33" s="873"/>
      <c r="G33" s="873"/>
      <c r="H33" s="873"/>
      <c r="I33" s="873"/>
      <c r="J33" s="874"/>
      <c r="K33" s="728">
        <v>116</v>
      </c>
      <c r="L33" s="729"/>
      <c r="M33" s="728">
        <v>5</v>
      </c>
      <c r="N33" s="729"/>
      <c r="O33" s="12" t="s">
        <v>647</v>
      </c>
      <c r="P33" s="14"/>
      <c r="Q33" s="12" t="s">
        <v>657</v>
      </c>
      <c r="R33" s="8"/>
      <c r="S33" s="7"/>
      <c r="T33" s="7"/>
      <c r="U33" s="7"/>
      <c r="V33" s="8"/>
      <c r="W33" s="10"/>
      <c r="X33" s="7"/>
      <c r="Y33" s="2"/>
      <c r="Z33" s="2"/>
      <c r="AA33" s="2"/>
      <c r="AB33" s="2"/>
      <c r="AC33" s="2"/>
      <c r="AD33" s="2"/>
      <c r="AE33" s="2"/>
      <c r="AF33" s="49"/>
      <c r="AG33" s="49"/>
    </row>
    <row r="34" spans="1:33" ht="14.1" customHeight="1">
      <c r="A34" s="30"/>
      <c r="B34" s="746"/>
      <c r="C34" s="731"/>
      <c r="D34" s="747"/>
      <c r="E34" s="748"/>
      <c r="F34" s="748"/>
      <c r="G34" s="748"/>
      <c r="H34" s="748"/>
      <c r="I34" s="748"/>
      <c r="J34" s="749"/>
      <c r="K34" s="730"/>
      <c r="L34" s="731"/>
      <c r="M34" s="730"/>
      <c r="N34" s="731"/>
      <c r="O34" s="12"/>
      <c r="P34" s="14"/>
      <c r="Q34" s="12"/>
      <c r="R34" s="8"/>
      <c r="S34" s="7"/>
      <c r="T34" s="7"/>
      <c r="U34" s="7"/>
      <c r="V34" s="8"/>
      <c r="W34" s="10"/>
      <c r="X34" s="7"/>
      <c r="Y34" s="2"/>
      <c r="Z34" s="2"/>
      <c r="AA34" s="2"/>
      <c r="AB34" s="2"/>
      <c r="AC34" s="2"/>
      <c r="AD34" s="2"/>
      <c r="AE34" s="2"/>
      <c r="AF34" s="49"/>
      <c r="AG34" s="49"/>
    </row>
    <row r="35" spans="1:33" ht="14.1" customHeight="1">
      <c r="A35" s="30"/>
      <c r="B35" s="746"/>
      <c r="C35" s="731"/>
      <c r="D35" s="747"/>
      <c r="E35" s="748"/>
      <c r="F35" s="748"/>
      <c r="G35" s="748"/>
      <c r="H35" s="748"/>
      <c r="I35" s="748"/>
      <c r="J35" s="749"/>
      <c r="K35" s="730"/>
      <c r="L35" s="731"/>
      <c r="M35" s="730"/>
      <c r="N35" s="731"/>
      <c r="O35" s="732"/>
      <c r="P35" s="733"/>
      <c r="Q35" s="12" t="s">
        <v>674</v>
      </c>
      <c r="R35" s="8"/>
      <c r="S35" s="7"/>
      <c r="T35" s="7"/>
      <c r="U35" s="8"/>
      <c r="V35" s="10"/>
      <c r="W35" s="7"/>
      <c r="X35" s="2"/>
      <c r="Y35" s="2"/>
      <c r="Z35" s="2"/>
      <c r="AA35" s="2"/>
      <c r="AB35" s="2"/>
      <c r="AC35" s="2"/>
      <c r="AD35" s="2"/>
      <c r="AE35" s="2"/>
      <c r="AF35" s="49"/>
      <c r="AG35" s="49"/>
    </row>
    <row r="36" spans="1:33" ht="14.1" customHeight="1">
      <c r="A36" s="30"/>
      <c r="B36" s="746"/>
      <c r="C36" s="731"/>
      <c r="D36" s="747"/>
      <c r="E36" s="748"/>
      <c r="F36" s="748"/>
      <c r="G36" s="748"/>
      <c r="H36" s="748"/>
      <c r="I36" s="748"/>
      <c r="J36" s="749"/>
      <c r="K36" s="730"/>
      <c r="L36" s="731"/>
      <c r="M36" s="730"/>
      <c r="N36" s="731"/>
      <c r="O36" s="12"/>
      <c r="P36" s="14"/>
      <c r="Q36" s="12" t="s">
        <v>675</v>
      </c>
      <c r="R36" s="8"/>
      <c r="S36" s="7"/>
      <c r="T36" s="7"/>
      <c r="U36" s="8"/>
      <c r="V36" s="10"/>
      <c r="W36" s="7"/>
      <c r="Y36" s="2"/>
      <c r="Z36" s="2"/>
      <c r="AA36" s="2"/>
      <c r="AB36" s="2"/>
      <c r="AC36" s="2"/>
      <c r="AD36" s="2"/>
      <c r="AE36" s="2"/>
      <c r="AF36" s="49"/>
      <c r="AG36" s="49"/>
    </row>
    <row r="37" spans="1:33" ht="14.1" customHeight="1">
      <c r="A37" s="30"/>
      <c r="B37" s="746"/>
      <c r="C37" s="731"/>
      <c r="D37" s="747"/>
      <c r="E37" s="748"/>
      <c r="F37" s="748"/>
      <c r="G37" s="748"/>
      <c r="H37" s="748"/>
      <c r="I37" s="748"/>
      <c r="J37" s="749"/>
      <c r="K37" s="730"/>
      <c r="L37" s="731"/>
      <c r="M37" s="730"/>
      <c r="N37" s="731"/>
      <c r="O37" s="12"/>
      <c r="P37" s="14"/>
      <c r="Q37" s="12"/>
      <c r="R37" s="8"/>
      <c r="S37" s="7"/>
      <c r="T37" s="7"/>
      <c r="U37" s="8"/>
      <c r="V37" s="10"/>
      <c r="W37" s="7"/>
      <c r="X37" s="2"/>
      <c r="Y37" s="2"/>
      <c r="Z37" s="2"/>
      <c r="AA37" s="2"/>
      <c r="AB37" s="2"/>
      <c r="AC37" s="2"/>
      <c r="AD37" s="2"/>
      <c r="AE37" s="2"/>
      <c r="AF37" s="49"/>
      <c r="AG37" s="49"/>
    </row>
    <row r="38" spans="1:33" ht="14.1" customHeight="1">
      <c r="A38" s="30"/>
      <c r="B38" s="434"/>
      <c r="C38" s="500"/>
      <c r="D38" s="501"/>
      <c r="E38" s="502"/>
      <c r="F38" s="502"/>
      <c r="G38" s="502"/>
      <c r="H38" s="502"/>
      <c r="I38" s="502"/>
      <c r="J38" s="503"/>
      <c r="K38" s="499"/>
      <c r="L38" s="500"/>
      <c r="M38" s="499"/>
      <c r="N38" s="500"/>
      <c r="O38" s="12"/>
      <c r="P38" s="14"/>
      <c r="Q38" s="12"/>
      <c r="R38" s="8"/>
      <c r="S38" s="7"/>
      <c r="T38" s="7"/>
      <c r="U38" s="8"/>
      <c r="V38" s="10"/>
      <c r="W38" s="7"/>
      <c r="X38" s="2"/>
      <c r="Y38" s="2"/>
      <c r="Z38" s="2"/>
      <c r="AA38" s="2"/>
      <c r="AB38" s="2"/>
      <c r="AC38" s="2"/>
      <c r="AD38" s="2"/>
      <c r="AE38" s="2"/>
      <c r="AF38" s="49"/>
      <c r="AG38" s="49"/>
    </row>
    <row r="39" spans="1:33" ht="14.1" customHeight="1">
      <c r="A39" s="30"/>
      <c r="B39" s="434"/>
      <c r="C39" s="500"/>
      <c r="D39" s="501"/>
      <c r="E39" s="502"/>
      <c r="F39" s="502"/>
      <c r="G39" s="502"/>
      <c r="H39" s="502"/>
      <c r="I39" s="502"/>
      <c r="J39" s="503"/>
      <c r="K39" s="499"/>
      <c r="L39" s="500"/>
      <c r="M39" s="499"/>
      <c r="N39" s="500"/>
      <c r="O39" s="12"/>
      <c r="P39" s="14"/>
      <c r="Q39" s="12"/>
      <c r="R39" s="8"/>
      <c r="S39" s="3"/>
      <c r="T39" s="7"/>
      <c r="U39" s="7"/>
      <c r="V39" s="8"/>
      <c r="W39" s="10"/>
      <c r="X39" s="7"/>
      <c r="Y39" s="2"/>
      <c r="Z39" s="2"/>
      <c r="AA39" s="2"/>
      <c r="AB39" s="2"/>
      <c r="AC39" s="2"/>
      <c r="AD39" s="2"/>
      <c r="AE39" s="2"/>
      <c r="AF39" s="49"/>
      <c r="AG39" s="49"/>
    </row>
    <row r="40" spans="1:33" ht="14.1" customHeight="1">
      <c r="A40" s="30"/>
      <c r="B40" s="434"/>
      <c r="C40" s="500"/>
      <c r="D40" s="501"/>
      <c r="E40" s="502"/>
      <c r="F40" s="502"/>
      <c r="G40" s="502"/>
      <c r="H40" s="502"/>
      <c r="I40" s="502"/>
      <c r="J40" s="503"/>
      <c r="K40" s="499"/>
      <c r="L40" s="500"/>
      <c r="M40" s="499"/>
      <c r="N40" s="500"/>
      <c r="O40" s="12"/>
      <c r="P40" s="14"/>
      <c r="Q40" s="12"/>
      <c r="R40" s="8"/>
      <c r="S40" s="7"/>
      <c r="T40" s="7"/>
      <c r="U40" s="7"/>
      <c r="V40" s="8"/>
      <c r="W40" s="10"/>
      <c r="X40" s="7"/>
      <c r="Y40" s="2"/>
      <c r="Z40" s="2"/>
      <c r="AA40" s="2"/>
      <c r="AB40" s="2"/>
      <c r="AC40" s="2"/>
      <c r="AD40" s="2"/>
      <c r="AE40" s="2"/>
      <c r="AF40" s="49"/>
      <c r="AG40" s="49"/>
    </row>
    <row r="41" spans="1:33" ht="14.1" customHeight="1">
      <c r="A41" s="30"/>
      <c r="B41" s="434"/>
      <c r="C41" s="500"/>
      <c r="D41" s="501"/>
      <c r="E41" s="502"/>
      <c r="F41" s="502"/>
      <c r="G41" s="502"/>
      <c r="H41" s="502"/>
      <c r="I41" s="502"/>
      <c r="J41" s="503"/>
      <c r="K41" s="499"/>
      <c r="L41" s="500"/>
      <c r="M41" s="499"/>
      <c r="N41" s="500"/>
      <c r="O41" s="12"/>
      <c r="P41" s="14"/>
      <c r="Q41" s="12"/>
      <c r="R41" s="8"/>
      <c r="S41" s="7"/>
      <c r="T41" s="7"/>
      <c r="U41" s="7"/>
      <c r="V41" s="8"/>
      <c r="W41" s="10"/>
      <c r="X41" s="7"/>
      <c r="Y41" s="2"/>
      <c r="Z41" s="2"/>
      <c r="AA41" s="2"/>
      <c r="AB41" s="2"/>
      <c r="AC41" s="2"/>
      <c r="AD41" s="2"/>
      <c r="AE41" s="2"/>
      <c r="AF41" s="49"/>
      <c r="AG41" s="49"/>
    </row>
    <row r="42" spans="1:33" ht="14.1" customHeight="1">
      <c r="A42" s="30"/>
      <c r="B42" s="434"/>
      <c r="C42" s="500"/>
      <c r="D42" s="501"/>
      <c r="E42" s="502"/>
      <c r="F42" s="502"/>
      <c r="G42" s="502"/>
      <c r="H42" s="502"/>
      <c r="I42" s="502"/>
      <c r="J42" s="503"/>
      <c r="K42" s="499"/>
      <c r="L42" s="500"/>
      <c r="M42" s="499"/>
      <c r="N42" s="500"/>
      <c r="O42" s="12"/>
      <c r="P42" s="14"/>
      <c r="Q42" s="12"/>
      <c r="R42" s="8"/>
      <c r="S42" s="7"/>
      <c r="T42" s="7"/>
      <c r="U42" s="7"/>
      <c r="V42" s="8"/>
      <c r="W42" s="10"/>
      <c r="X42" s="7"/>
      <c r="Y42" s="2"/>
      <c r="Z42" s="2"/>
      <c r="AA42" s="2"/>
      <c r="AB42" s="2"/>
      <c r="AC42" s="2"/>
      <c r="AD42" s="2"/>
      <c r="AE42" s="2"/>
      <c r="AF42" s="49"/>
      <c r="AG42" s="49"/>
    </row>
    <row r="43" spans="1:33" ht="14.1" customHeight="1">
      <c r="A43" s="30"/>
      <c r="B43" s="434"/>
      <c r="C43" s="500"/>
      <c r="D43" s="501"/>
      <c r="E43" s="502"/>
      <c r="F43" s="502"/>
      <c r="G43" s="502"/>
      <c r="H43" s="502"/>
      <c r="I43" s="502"/>
      <c r="J43" s="503"/>
      <c r="K43" s="499"/>
      <c r="L43" s="500"/>
      <c r="M43" s="499"/>
      <c r="N43" s="500"/>
      <c r="O43" s="12"/>
      <c r="P43" s="14"/>
      <c r="Q43" s="12"/>
      <c r="R43" s="8"/>
      <c r="S43" s="7"/>
      <c r="T43" s="7"/>
      <c r="U43" s="7"/>
      <c r="V43" s="8"/>
      <c r="W43" s="10"/>
      <c r="X43" s="7"/>
      <c r="Y43" s="2"/>
      <c r="Z43" s="2"/>
      <c r="AA43" s="2"/>
      <c r="AB43" s="2"/>
      <c r="AC43" s="2"/>
      <c r="AD43" s="2"/>
      <c r="AE43" s="2"/>
      <c r="AF43" s="49"/>
      <c r="AG43" s="49"/>
    </row>
    <row r="44" spans="1:33" ht="14.1" customHeight="1">
      <c r="A44" s="30"/>
      <c r="B44" s="434"/>
      <c r="C44" s="500"/>
      <c r="D44" s="501"/>
      <c r="E44" s="502"/>
      <c r="F44" s="502"/>
      <c r="G44" s="502"/>
      <c r="H44" s="502"/>
      <c r="I44" s="502"/>
      <c r="J44" s="503"/>
      <c r="K44" s="499"/>
      <c r="L44" s="500"/>
      <c r="M44" s="499"/>
      <c r="N44" s="500"/>
      <c r="O44" s="12"/>
      <c r="P44" s="14"/>
      <c r="Q44" s="12"/>
      <c r="R44" s="8"/>
      <c r="S44" s="7"/>
      <c r="T44" s="7"/>
      <c r="U44" s="7"/>
      <c r="V44" s="8"/>
      <c r="W44" s="10"/>
      <c r="X44" s="7"/>
      <c r="Y44" s="2"/>
      <c r="Z44" s="2"/>
      <c r="AA44" s="2"/>
      <c r="AB44" s="2"/>
      <c r="AC44" s="2"/>
      <c r="AD44" s="2"/>
      <c r="AE44" s="2"/>
      <c r="AF44" s="49"/>
      <c r="AG44" s="49"/>
    </row>
    <row r="45" spans="1:33" ht="14.1" customHeight="1">
      <c r="A45" s="30"/>
      <c r="B45" s="746"/>
      <c r="C45" s="731"/>
      <c r="D45" s="747"/>
      <c r="E45" s="748"/>
      <c r="F45" s="748"/>
      <c r="G45" s="748"/>
      <c r="H45" s="748"/>
      <c r="I45" s="748"/>
      <c r="J45" s="749"/>
      <c r="K45" s="730"/>
      <c r="L45" s="731"/>
      <c r="M45" s="750"/>
      <c r="N45" s="751"/>
      <c r="O45" s="732"/>
      <c r="P45" s="733"/>
      <c r="Q45" s="12"/>
      <c r="R45" s="8"/>
      <c r="S45" s="7"/>
      <c r="T45" s="7"/>
      <c r="U45" s="7"/>
      <c r="V45" s="8"/>
      <c r="W45" s="10"/>
      <c r="X45" s="7"/>
      <c r="Y45" s="2"/>
      <c r="Z45" s="2"/>
      <c r="AA45" s="2"/>
      <c r="AB45" s="2"/>
      <c r="AC45" s="2"/>
      <c r="AD45" s="2"/>
      <c r="AE45" s="2"/>
      <c r="AF45" s="49"/>
      <c r="AG45" s="49"/>
    </row>
    <row r="46" spans="1:33" ht="14.1" customHeight="1">
      <c r="A46" s="30"/>
      <c r="B46" s="746"/>
      <c r="C46" s="731"/>
      <c r="D46" s="747"/>
      <c r="E46" s="748"/>
      <c r="F46" s="748"/>
      <c r="G46" s="748"/>
      <c r="H46" s="748"/>
      <c r="I46" s="748"/>
      <c r="J46" s="749"/>
      <c r="K46" s="730"/>
      <c r="L46" s="731"/>
      <c r="M46" s="750"/>
      <c r="N46" s="751"/>
      <c r="O46" s="732"/>
      <c r="P46" s="733"/>
      <c r="Q46" s="12"/>
      <c r="R46" s="8"/>
      <c r="S46" s="7"/>
      <c r="T46" s="7"/>
      <c r="U46" s="7"/>
      <c r="V46" s="8"/>
      <c r="W46" s="10"/>
      <c r="X46" s="7"/>
      <c r="Y46" s="2"/>
      <c r="Z46" s="2"/>
      <c r="AA46" s="2"/>
      <c r="AB46" s="2"/>
      <c r="AC46" s="2"/>
      <c r="AD46" s="2"/>
      <c r="AE46" s="2"/>
      <c r="AF46" s="49"/>
      <c r="AG46" s="49"/>
    </row>
    <row r="47" spans="1:33" ht="14.1" customHeight="1" thickBot="1">
      <c r="A47" s="30"/>
      <c r="B47" s="736"/>
      <c r="C47" s="737"/>
      <c r="D47" s="738"/>
      <c r="E47" s="739"/>
      <c r="F47" s="739"/>
      <c r="G47" s="739"/>
      <c r="H47" s="739"/>
      <c r="I47" s="739"/>
      <c r="J47" s="740"/>
      <c r="K47" s="741"/>
      <c r="L47" s="737"/>
      <c r="M47" s="742"/>
      <c r="N47" s="743"/>
      <c r="O47" s="744"/>
      <c r="P47" s="745"/>
      <c r="Q47" s="436"/>
      <c r="R47" s="449"/>
      <c r="S47" s="29"/>
      <c r="T47" s="29"/>
      <c r="U47" s="29"/>
      <c r="V47" s="449"/>
      <c r="W47" s="450"/>
      <c r="X47" s="29"/>
      <c r="Y47" s="1"/>
      <c r="Z47" s="1"/>
      <c r="AA47" s="1"/>
      <c r="AB47" s="1"/>
      <c r="AC47" s="1"/>
      <c r="AD47" s="1"/>
      <c r="AE47" s="1"/>
      <c r="AF47" s="56"/>
      <c r="AG47" s="49"/>
    </row>
    <row r="48" spans="1:33" ht="12" thickBot="1">
      <c r="A48" s="418" t="s">
        <v>676</v>
      </c>
      <c r="B48" s="2"/>
      <c r="C48" s="7"/>
      <c r="D48" s="7"/>
      <c r="E48" s="8"/>
      <c r="F48" s="7"/>
      <c r="G48" s="7"/>
      <c r="H48" s="7"/>
      <c r="I48" s="8"/>
      <c r="J48" s="7"/>
      <c r="K48" s="7"/>
      <c r="L48" s="7"/>
      <c r="M48" s="8"/>
      <c r="N48" s="7"/>
      <c r="O48" s="7"/>
      <c r="P48" s="7"/>
      <c r="Q48" s="7"/>
      <c r="R48" s="8"/>
      <c r="S48" s="7"/>
      <c r="T48" s="7"/>
      <c r="U48" s="7"/>
      <c r="V48" s="8"/>
      <c r="W48" s="10"/>
      <c r="X48" s="7"/>
      <c r="Y48" s="2"/>
      <c r="Z48" s="2"/>
      <c r="AA48" s="2"/>
      <c r="AB48" s="2"/>
      <c r="AC48" s="2"/>
      <c r="AD48" s="2"/>
      <c r="AE48" s="2"/>
      <c r="AF48" s="2"/>
      <c r="AG48" s="49"/>
    </row>
    <row r="49" spans="1:33">
      <c r="A49" s="30"/>
      <c r="B49" s="451" t="s">
        <v>677</v>
      </c>
      <c r="C49" s="427"/>
      <c r="D49" s="427"/>
      <c r="E49" s="427"/>
      <c r="F49" s="428"/>
      <c r="G49" s="423"/>
      <c r="H49" s="423"/>
      <c r="I49" s="423"/>
      <c r="J49" s="423"/>
      <c r="K49" s="423"/>
      <c r="L49" s="423"/>
      <c r="M49" s="423"/>
      <c r="N49" s="423"/>
      <c r="O49" s="423"/>
      <c r="P49" s="423"/>
      <c r="Q49" s="423"/>
      <c r="R49" s="423"/>
      <c r="S49" s="423"/>
      <c r="T49" s="423"/>
      <c r="U49" s="423"/>
      <c r="V49" s="423"/>
      <c r="W49" s="423"/>
      <c r="X49" s="423"/>
      <c r="Y49" s="423"/>
      <c r="Z49" s="423"/>
      <c r="AA49" s="423"/>
      <c r="AB49" s="423"/>
      <c r="AC49" s="423"/>
      <c r="AD49" s="423"/>
      <c r="AE49" s="423"/>
      <c r="AF49" s="452"/>
      <c r="AG49" s="49"/>
    </row>
    <row r="50" spans="1:33">
      <c r="A50" s="30"/>
      <c r="B50" s="52" t="s">
        <v>678</v>
      </c>
      <c r="C50" s="34"/>
      <c r="D50" s="34"/>
      <c r="E50" s="34"/>
      <c r="F50" s="35"/>
      <c r="G50" s="220"/>
      <c r="H50" s="220"/>
      <c r="I50" s="220"/>
      <c r="J50" s="220"/>
      <c r="K50" s="220"/>
      <c r="L50" s="220"/>
      <c r="M50" s="220"/>
      <c r="N50" s="220"/>
      <c r="O50" s="220"/>
      <c r="P50" s="220"/>
      <c r="Q50" s="220"/>
      <c r="R50" s="220"/>
      <c r="S50" s="220"/>
      <c r="T50" s="220"/>
      <c r="U50" s="220"/>
      <c r="V50" s="220"/>
      <c r="W50" s="220"/>
      <c r="X50" s="220"/>
      <c r="Y50" s="220"/>
      <c r="Z50" s="220"/>
      <c r="AA50" s="220"/>
      <c r="AB50" s="220"/>
      <c r="AC50" s="220"/>
      <c r="AD50" s="220"/>
      <c r="AE50" s="220"/>
      <c r="AF50" s="453"/>
      <c r="AG50" s="49"/>
    </row>
    <row r="51" spans="1:33">
      <c r="A51" s="30"/>
      <c r="B51" s="52" t="s">
        <v>679</v>
      </c>
      <c r="C51" s="454"/>
      <c r="D51" s="454"/>
      <c r="E51" s="455"/>
      <c r="F51" s="456"/>
      <c r="G51" s="7"/>
      <c r="H51" s="7"/>
      <c r="I51" s="8"/>
      <c r="J51" s="7"/>
      <c r="K51" s="7"/>
      <c r="L51" s="7"/>
      <c r="M51" s="8"/>
      <c r="N51" s="7"/>
      <c r="O51" s="7"/>
      <c r="P51" s="7"/>
      <c r="Q51" s="7"/>
      <c r="R51" s="8"/>
      <c r="S51" s="7"/>
      <c r="T51" s="7"/>
      <c r="U51" s="7"/>
      <c r="V51" s="8"/>
      <c r="W51" s="10"/>
      <c r="X51" s="7"/>
      <c r="Y51" s="2"/>
      <c r="Z51" s="2"/>
      <c r="AA51" s="2"/>
      <c r="AB51" s="2"/>
      <c r="AC51" s="2"/>
      <c r="AD51" s="2"/>
      <c r="AE51" s="2"/>
      <c r="AF51" s="49"/>
      <c r="AG51" s="49"/>
    </row>
    <row r="52" spans="1:33">
      <c r="A52" s="30"/>
      <c r="B52" s="30"/>
      <c r="C52" s="7"/>
      <c r="D52" s="7"/>
      <c r="E52" s="8"/>
      <c r="F52" s="7"/>
      <c r="G52" s="7"/>
      <c r="H52" s="7"/>
      <c r="I52" s="8"/>
      <c r="J52" s="7"/>
      <c r="K52" s="7"/>
      <c r="L52" s="7"/>
      <c r="M52" s="8"/>
      <c r="N52" s="7"/>
      <c r="O52" s="7"/>
      <c r="P52" s="7"/>
      <c r="Q52" s="7"/>
      <c r="R52" s="8"/>
      <c r="S52" s="7"/>
      <c r="T52" s="7"/>
      <c r="U52" s="7"/>
      <c r="V52" s="8"/>
      <c r="W52" s="10"/>
      <c r="X52" s="7"/>
      <c r="Y52" s="2"/>
      <c r="Z52" s="2"/>
      <c r="AA52" s="2"/>
      <c r="AB52" s="2"/>
      <c r="AC52" s="2"/>
      <c r="AD52" s="2"/>
      <c r="AE52" s="2"/>
      <c r="AF52" s="49"/>
      <c r="AG52" s="49"/>
    </row>
    <row r="53" spans="1:33">
      <c r="A53" s="30"/>
      <c r="B53" s="30"/>
      <c r="C53" s="7"/>
      <c r="D53" s="7"/>
      <c r="E53" s="8"/>
      <c r="F53" s="7"/>
      <c r="G53" s="7"/>
      <c r="H53" s="7"/>
      <c r="I53" s="8"/>
      <c r="J53" s="7"/>
      <c r="K53" s="7"/>
      <c r="L53" s="7"/>
      <c r="M53" s="8"/>
      <c r="N53" s="7"/>
      <c r="O53" s="7"/>
      <c r="P53" s="7"/>
      <c r="Q53" s="7"/>
      <c r="R53" s="8"/>
      <c r="S53" s="7"/>
      <c r="T53" s="7"/>
      <c r="U53" s="7"/>
      <c r="V53" s="8"/>
      <c r="W53" s="10"/>
      <c r="X53" s="7"/>
      <c r="Y53" s="2"/>
      <c r="Z53" s="2"/>
      <c r="AA53" s="2"/>
      <c r="AB53" s="2"/>
      <c r="AC53" s="2"/>
      <c r="AD53" s="2"/>
      <c r="AE53" s="2"/>
      <c r="AF53" s="49"/>
      <c r="AG53" s="49"/>
    </row>
    <row r="54" spans="1:33">
      <c r="A54" s="30"/>
      <c r="B54" s="30"/>
      <c r="C54" s="7"/>
      <c r="D54" s="7"/>
      <c r="E54" s="8"/>
      <c r="F54" s="7"/>
      <c r="G54" s="7"/>
      <c r="H54" s="7"/>
      <c r="I54" s="8"/>
      <c r="J54" s="7"/>
      <c r="K54" s="7"/>
      <c r="L54" s="7"/>
      <c r="M54" s="8"/>
      <c r="N54" s="7"/>
      <c r="O54" s="7"/>
      <c r="P54" s="7"/>
      <c r="Q54" s="7"/>
      <c r="R54" s="8"/>
      <c r="S54" s="7"/>
      <c r="T54" s="7"/>
      <c r="U54" s="7"/>
      <c r="V54" s="8"/>
      <c r="W54" s="10"/>
      <c r="X54" s="7"/>
      <c r="Y54" s="2"/>
      <c r="Z54" s="2"/>
      <c r="AA54" s="2"/>
      <c r="AB54" s="2"/>
      <c r="AC54" s="2"/>
      <c r="AD54" s="2"/>
      <c r="AE54" s="2"/>
      <c r="AF54" s="49"/>
      <c r="AG54" s="49"/>
    </row>
    <row r="55" spans="1:33" ht="12" thickBot="1">
      <c r="A55" s="30"/>
      <c r="B55" s="4"/>
      <c r="C55" s="29"/>
      <c r="D55" s="29"/>
      <c r="E55" s="449"/>
      <c r="F55" s="29"/>
      <c r="G55" s="29"/>
      <c r="H55" s="29"/>
      <c r="I55" s="449"/>
      <c r="J55" s="29"/>
      <c r="K55" s="29"/>
      <c r="L55" s="29"/>
      <c r="M55" s="449"/>
      <c r="N55" s="29"/>
      <c r="O55" s="29"/>
      <c r="P55" s="29"/>
      <c r="Q55" s="29"/>
      <c r="R55" s="449"/>
      <c r="S55" s="29"/>
      <c r="T55" s="29"/>
      <c r="U55" s="29"/>
      <c r="V55" s="449"/>
      <c r="W55" s="450"/>
      <c r="X55" s="29"/>
      <c r="Y55" s="1"/>
      <c r="Z55" s="1"/>
      <c r="AA55" s="1"/>
      <c r="AB55" s="1"/>
      <c r="AC55" s="1"/>
      <c r="AD55" s="1"/>
      <c r="AE55" s="1"/>
      <c r="AF55" s="56"/>
      <c r="AG55" s="49"/>
    </row>
    <row r="56" spans="1:33" ht="12" thickBot="1">
      <c r="A56" s="4"/>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56"/>
    </row>
  </sheetData>
  <mergeCells count="119">
    <mergeCell ref="O35:P35"/>
    <mergeCell ref="G1:N1"/>
    <mergeCell ref="S1:Y1"/>
    <mergeCell ref="G3:N3"/>
    <mergeCell ref="S3:AG3"/>
    <mergeCell ref="D18:J18"/>
    <mergeCell ref="D19:J19"/>
    <mergeCell ref="D20:J20"/>
    <mergeCell ref="F11:H11"/>
    <mergeCell ref="AC4:AG4"/>
    <mergeCell ref="E7:J7"/>
    <mergeCell ref="O7:AG7"/>
    <mergeCell ref="AD1:AG1"/>
    <mergeCell ref="G2:N2"/>
    <mergeCell ref="S2:Y2"/>
    <mergeCell ref="AD2:AG2"/>
    <mergeCell ref="AC14:AE14"/>
    <mergeCell ref="K17:L17"/>
    <mergeCell ref="D24:J24"/>
    <mergeCell ref="D34:J34"/>
    <mergeCell ref="D29:J29"/>
    <mergeCell ref="D27:J27"/>
    <mergeCell ref="K21:L21"/>
    <mergeCell ref="E8:AG8"/>
    <mergeCell ref="F10:H10"/>
    <mergeCell ref="U14:V14"/>
    <mergeCell ref="K18:L18"/>
    <mergeCell ref="K19:L19"/>
    <mergeCell ref="K20:L20"/>
    <mergeCell ref="M21:N21"/>
    <mergeCell ref="K22:L22"/>
    <mergeCell ref="B32:C32"/>
    <mergeCell ref="B33:C33"/>
    <mergeCell ref="B21:C21"/>
    <mergeCell ref="B17:C17"/>
    <mergeCell ref="B18:C18"/>
    <mergeCell ref="B22:C22"/>
    <mergeCell ref="B23:C23"/>
    <mergeCell ref="B19:C19"/>
    <mergeCell ref="B20:C20"/>
    <mergeCell ref="B24:C24"/>
    <mergeCell ref="B25:C25"/>
    <mergeCell ref="D21:J21"/>
    <mergeCell ref="B26:C26"/>
    <mergeCell ref="K23:L23"/>
    <mergeCell ref="K24:L24"/>
    <mergeCell ref="K25:L25"/>
    <mergeCell ref="K26:L26"/>
    <mergeCell ref="K27:L27"/>
    <mergeCell ref="B27:C27"/>
    <mergeCell ref="B28:C28"/>
    <mergeCell ref="D22:J22"/>
    <mergeCell ref="D23:J23"/>
    <mergeCell ref="K36:L36"/>
    <mergeCell ref="D35:J35"/>
    <mergeCell ref="K35:L35"/>
    <mergeCell ref="B29:C29"/>
    <mergeCell ref="B30:C30"/>
    <mergeCell ref="B31:C31"/>
    <mergeCell ref="D28:J28"/>
    <mergeCell ref="B34:C34"/>
    <mergeCell ref="B36:C36"/>
    <mergeCell ref="D36:J36"/>
    <mergeCell ref="K33:L33"/>
    <mergeCell ref="K29:L29"/>
    <mergeCell ref="K30:L30"/>
    <mergeCell ref="K31:L31"/>
    <mergeCell ref="D31:J31"/>
    <mergeCell ref="K32:L32"/>
    <mergeCell ref="D32:J32"/>
    <mergeCell ref="K28:L28"/>
    <mergeCell ref="O45:P45"/>
    <mergeCell ref="D33:J33"/>
    <mergeCell ref="O46:P46"/>
    <mergeCell ref="B47:C47"/>
    <mergeCell ref="D47:J47"/>
    <mergeCell ref="K47:L47"/>
    <mergeCell ref="M47:N47"/>
    <mergeCell ref="O47:P47"/>
    <mergeCell ref="B46:C46"/>
    <mergeCell ref="D46:J46"/>
    <mergeCell ref="M46:N46"/>
    <mergeCell ref="B45:C45"/>
    <mergeCell ref="D45:J45"/>
    <mergeCell ref="K45:L45"/>
    <mergeCell ref="M45:N45"/>
    <mergeCell ref="K46:L46"/>
    <mergeCell ref="B35:C35"/>
    <mergeCell ref="K34:L34"/>
    <mergeCell ref="M36:N36"/>
    <mergeCell ref="M35:N35"/>
    <mergeCell ref="B37:C37"/>
    <mergeCell ref="D37:J37"/>
    <mergeCell ref="K37:L37"/>
    <mergeCell ref="M37:N37"/>
    <mergeCell ref="M16:N16"/>
    <mergeCell ref="K16:L16"/>
    <mergeCell ref="D30:J30"/>
    <mergeCell ref="D17:J17"/>
    <mergeCell ref="M26:N26"/>
    <mergeCell ref="M27:N27"/>
    <mergeCell ref="M28:N28"/>
    <mergeCell ref="M34:N34"/>
    <mergeCell ref="O17:P17"/>
    <mergeCell ref="M30:N30"/>
    <mergeCell ref="M31:N31"/>
    <mergeCell ref="M32:N32"/>
    <mergeCell ref="M29:N29"/>
    <mergeCell ref="M22:N22"/>
    <mergeCell ref="M23:N23"/>
    <mergeCell ref="M24:N24"/>
    <mergeCell ref="M25:N25"/>
    <mergeCell ref="M17:N17"/>
    <mergeCell ref="M18:N18"/>
    <mergeCell ref="M19:N19"/>
    <mergeCell ref="M20:N20"/>
    <mergeCell ref="M33:N33"/>
    <mergeCell ref="D25:J25"/>
    <mergeCell ref="D26:J26"/>
  </mergeCells>
  <phoneticPr fontId="20"/>
  <pageMargins left="0.78740157480314965" right="0.39370078740157483" top="0.78740157480314965" bottom="0.78740157480314965" header="0.51181102362204722" footer="0.51181102362204722"/>
  <pageSetup paperSize="9" scale="97" orientation="portrait" verticalDpi="400"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ransitionEvaluation="1" transitionEntry="1" codeName="Sheet35">
    <tabColor rgb="FFFF0000"/>
    <pageSetUpPr fitToPage="1"/>
  </sheetPr>
  <dimension ref="A1:AH55"/>
  <sheetViews>
    <sheetView topLeftCell="A11" zoomScaleNormal="100" workbookViewId="0">
      <selection activeCell="Q27" sqref="Q27"/>
    </sheetView>
  </sheetViews>
  <sheetFormatPr defaultColWidth="2.85546875" defaultRowHeight="11.25"/>
  <cols>
    <col min="1" max="16384" width="2.85546875" style="23"/>
  </cols>
  <sheetData>
    <row r="1" spans="1:34" s="2" customFormat="1" ht="18.95" customHeight="1">
      <c r="A1" s="108"/>
      <c r="B1" s="109"/>
      <c r="C1" s="109"/>
      <c r="D1" s="110" t="s">
        <v>90</v>
      </c>
      <c r="E1" s="111"/>
      <c r="F1" s="112"/>
      <c r="G1" s="544" t="str">
        <f>IF(詳細設計書!G1="","N/A",詳細設計書!G1)</f>
        <v>統合会計システム開発</v>
      </c>
      <c r="H1" s="544"/>
      <c r="I1" s="544"/>
      <c r="J1" s="544"/>
      <c r="K1" s="544"/>
      <c r="L1" s="544"/>
      <c r="M1" s="544"/>
      <c r="N1" s="545"/>
      <c r="O1" s="110" t="s">
        <v>283</v>
      </c>
      <c r="P1" s="111"/>
      <c r="Q1" s="111"/>
      <c r="R1" s="113"/>
      <c r="S1" s="575">
        <f>IF(詳細設計書!S1="","N/A",詳細設計書!S1)</f>
        <v>42509</v>
      </c>
      <c r="T1" s="576"/>
      <c r="U1" s="576"/>
      <c r="V1" s="576"/>
      <c r="W1" s="576"/>
      <c r="X1" s="576"/>
      <c r="Y1" s="577"/>
      <c r="Z1" s="110" t="s">
        <v>284</v>
      </c>
      <c r="AA1" s="114"/>
      <c r="AB1" s="114"/>
      <c r="AC1" s="115"/>
      <c r="AD1" s="578">
        <f>IF(詳細設計書!AD1="","N/A",詳細設計書!AD1)</f>
        <v>42559</v>
      </c>
      <c r="AE1" s="579"/>
      <c r="AF1" s="579"/>
      <c r="AG1" s="580"/>
    </row>
    <row r="2" spans="1:34" s="2" customFormat="1" ht="18.95" customHeight="1">
      <c r="A2" s="30"/>
      <c r="D2" s="116" t="s">
        <v>93</v>
      </c>
      <c r="E2" s="34"/>
      <c r="F2" s="117"/>
      <c r="G2" s="550" t="str">
        <f>IF(詳細設計書!G2="","N/A",詳細設計書!G2)</f>
        <v>SAP R/3(レポート)</v>
      </c>
      <c r="H2" s="550"/>
      <c r="I2" s="550"/>
      <c r="J2" s="550"/>
      <c r="K2" s="550"/>
      <c r="L2" s="550"/>
      <c r="M2" s="550"/>
      <c r="N2" s="551"/>
      <c r="O2" s="116" t="s">
        <v>286</v>
      </c>
      <c r="P2" s="34"/>
      <c r="Q2" s="34"/>
      <c r="R2" s="118"/>
      <c r="S2" s="581" t="str">
        <f>IF(詳細設計書!S2="","N/A",詳細設計書!S2)</f>
        <v>KSC 橋本</v>
      </c>
      <c r="T2" s="582"/>
      <c r="U2" s="582"/>
      <c r="V2" s="582"/>
      <c r="W2" s="582"/>
      <c r="X2" s="582"/>
      <c r="Y2" s="583"/>
      <c r="Z2" s="116" t="s">
        <v>288</v>
      </c>
      <c r="AA2" s="119"/>
      <c r="AB2" s="120"/>
      <c r="AC2" s="117"/>
      <c r="AD2" s="759" t="str">
        <f>IF(詳細設計書!AD2="","N/A",詳細設計書!AD2)</f>
        <v>KSC 橋本</v>
      </c>
      <c r="AE2" s="760"/>
      <c r="AF2" s="760"/>
      <c r="AG2" s="761"/>
    </row>
    <row r="3" spans="1:34" s="2" customFormat="1" ht="18.95" customHeight="1" thickBot="1">
      <c r="A3" s="4"/>
      <c r="B3" s="1"/>
      <c r="C3" s="121"/>
      <c r="D3" s="122" t="s">
        <v>96</v>
      </c>
      <c r="E3" s="123"/>
      <c r="F3" s="124"/>
      <c r="G3" s="563" t="str">
        <f>IF(詳細設計書!G3="","N/A",詳細設計書!G3)</f>
        <v>DP_FI_2014_01</v>
      </c>
      <c r="H3" s="564"/>
      <c r="I3" s="564"/>
      <c r="J3" s="564"/>
      <c r="K3" s="564"/>
      <c r="L3" s="564"/>
      <c r="M3" s="564"/>
      <c r="N3" s="565"/>
      <c r="O3" s="122" t="s">
        <v>97</v>
      </c>
      <c r="P3" s="123"/>
      <c r="Q3" s="123"/>
      <c r="R3" s="125"/>
      <c r="S3" s="566" t="str">
        <f>IF(詳細設計書!S3="","N/A",詳細設計書!S3)</f>
        <v>ZFIPR_2014_01</v>
      </c>
      <c r="T3" s="566"/>
      <c r="U3" s="566"/>
      <c r="V3" s="566"/>
      <c r="W3" s="566"/>
      <c r="X3" s="566"/>
      <c r="Y3" s="566"/>
      <c r="Z3" s="566"/>
      <c r="AA3" s="566"/>
      <c r="AB3" s="566"/>
      <c r="AC3" s="566"/>
      <c r="AD3" s="566"/>
      <c r="AE3" s="566"/>
      <c r="AF3" s="566"/>
      <c r="AG3" s="567"/>
    </row>
    <row r="4" spans="1:34" s="129" customFormat="1" ht="18.95" customHeight="1" thickBot="1">
      <c r="A4" s="31" t="s">
        <v>292</v>
      </c>
      <c r="B4" s="127"/>
      <c r="C4" s="128"/>
      <c r="D4" s="353" t="s">
        <v>616</v>
      </c>
      <c r="E4" s="126"/>
      <c r="F4" s="126"/>
      <c r="G4" s="126"/>
      <c r="H4" s="126"/>
      <c r="I4" s="126"/>
      <c r="J4" s="126"/>
      <c r="K4" s="126"/>
      <c r="L4" s="126"/>
      <c r="M4" s="126"/>
      <c r="N4" s="126"/>
      <c r="O4" s="126"/>
      <c r="P4" s="126"/>
      <c r="Q4" s="126"/>
      <c r="R4" s="126"/>
      <c r="S4" s="126"/>
      <c r="T4" s="126"/>
      <c r="U4" s="126"/>
      <c r="V4" s="126"/>
      <c r="W4" s="126"/>
      <c r="X4" s="126"/>
      <c r="Y4" s="126"/>
      <c r="Z4" s="31" t="s">
        <v>100</v>
      </c>
      <c r="AA4" s="127"/>
      <c r="AB4" s="128"/>
      <c r="AC4" s="560" t="str">
        <f>詳細設計書!AC4</f>
        <v>1.0</v>
      </c>
      <c r="AD4" s="560"/>
      <c r="AE4" s="560"/>
      <c r="AF4" s="560"/>
      <c r="AG4" s="561"/>
    </row>
    <row r="5" spans="1:34" ht="7.5" customHeight="1"/>
    <row r="6" spans="1:34" s="284" customFormat="1" ht="15" customHeight="1" thickBot="1">
      <c r="A6" s="129"/>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row>
    <row r="7" spans="1:34" ht="15" customHeight="1" thickBot="1">
      <c r="A7" s="31" t="s">
        <v>617</v>
      </c>
      <c r="B7" s="416"/>
      <c r="C7" s="416"/>
      <c r="D7" s="417"/>
      <c r="E7" s="756">
        <v>2</v>
      </c>
      <c r="F7" s="597"/>
      <c r="G7" s="597"/>
      <c r="H7" s="597"/>
      <c r="I7" s="597"/>
      <c r="J7" s="598"/>
      <c r="K7" s="31" t="s">
        <v>618</v>
      </c>
      <c r="L7" s="416"/>
      <c r="M7" s="60"/>
      <c r="N7" s="417"/>
      <c r="O7" s="757" t="s">
        <v>619</v>
      </c>
      <c r="P7" s="594"/>
      <c r="Q7" s="594"/>
      <c r="R7" s="594"/>
      <c r="S7" s="594"/>
      <c r="T7" s="594"/>
      <c r="U7" s="594"/>
      <c r="V7" s="594"/>
      <c r="W7" s="594"/>
      <c r="X7" s="594"/>
      <c r="Y7" s="594"/>
      <c r="Z7" s="594"/>
      <c r="AA7" s="594"/>
      <c r="AB7" s="594"/>
      <c r="AC7" s="594"/>
      <c r="AD7" s="594"/>
      <c r="AE7" s="594"/>
      <c r="AF7" s="594"/>
      <c r="AG7" s="758"/>
    </row>
    <row r="8" spans="1:34" ht="15" customHeight="1" thickBot="1">
      <c r="A8" s="31" t="s">
        <v>620</v>
      </c>
      <c r="B8" s="32"/>
      <c r="C8" s="32"/>
      <c r="D8" s="417"/>
      <c r="E8" s="762" t="s">
        <v>680</v>
      </c>
      <c r="F8" s="594"/>
      <c r="G8" s="594"/>
      <c r="H8" s="594"/>
      <c r="I8" s="594"/>
      <c r="J8" s="594"/>
      <c r="K8" s="594"/>
      <c r="L8" s="594"/>
      <c r="M8" s="594"/>
      <c r="N8" s="594"/>
      <c r="O8" s="594"/>
      <c r="P8" s="594"/>
      <c r="Q8" s="594"/>
      <c r="R8" s="594"/>
      <c r="S8" s="594"/>
      <c r="T8" s="594"/>
      <c r="U8" s="594"/>
      <c r="V8" s="594"/>
      <c r="W8" s="594"/>
      <c r="X8" s="594"/>
      <c r="Y8" s="594"/>
      <c r="Z8" s="594"/>
      <c r="AA8" s="594"/>
      <c r="AB8" s="594"/>
      <c r="AC8" s="594"/>
      <c r="AD8" s="594"/>
      <c r="AE8" s="594"/>
      <c r="AF8" s="594"/>
      <c r="AG8" s="758"/>
    </row>
    <row r="9" spans="1:34" ht="15" customHeight="1" thickBot="1">
      <c r="A9" s="418" t="s">
        <v>622</v>
      </c>
      <c r="B9" s="2"/>
      <c r="C9" s="2"/>
      <c r="D9" s="2"/>
      <c r="E9" s="2"/>
      <c r="F9" s="2"/>
      <c r="G9" s="419"/>
      <c r="H9" s="2"/>
      <c r="I9" s="2"/>
      <c r="J9" s="2"/>
      <c r="K9" s="2"/>
      <c r="L9" s="2"/>
      <c r="M9" s="15"/>
      <c r="N9" s="15"/>
      <c r="O9" s="15"/>
      <c r="P9" s="2"/>
      <c r="Q9" s="15"/>
      <c r="R9" s="15"/>
      <c r="S9" s="15"/>
      <c r="T9" s="15"/>
      <c r="U9" s="15"/>
      <c r="V9" s="15"/>
      <c r="W9" s="2"/>
      <c r="X9" s="2"/>
      <c r="Y9" s="2"/>
      <c r="Z9" s="2"/>
      <c r="AA9" s="2"/>
      <c r="AB9" s="2"/>
      <c r="AC9" s="2"/>
      <c r="AD9" s="2"/>
      <c r="AE9" s="2"/>
      <c r="AF9" s="2"/>
      <c r="AG9" s="49"/>
    </row>
    <row r="10" spans="1:34" ht="15" customHeight="1">
      <c r="A10" s="420"/>
      <c r="B10" s="421" t="s">
        <v>623</v>
      </c>
      <c r="C10" s="111"/>
      <c r="D10" s="111"/>
      <c r="E10" s="422"/>
      <c r="F10" s="752">
        <v>120</v>
      </c>
      <c r="G10" s="753"/>
      <c r="H10" s="753"/>
      <c r="I10" s="423" t="s">
        <v>624</v>
      </c>
      <c r="J10" s="458"/>
      <c r="K10" s="424" t="s">
        <v>625</v>
      </c>
      <c r="L10" s="425"/>
      <c r="M10" s="425"/>
      <c r="N10" s="425"/>
      <c r="O10" s="424" t="s">
        <v>626</v>
      </c>
      <c r="P10" s="425"/>
      <c r="Q10" s="425"/>
      <c r="R10" s="425"/>
      <c r="S10" s="426"/>
      <c r="T10" s="425" t="s">
        <v>627</v>
      </c>
      <c r="U10" s="425"/>
      <c r="V10" s="425"/>
      <c r="W10" s="426"/>
      <c r="X10" s="522" t="s">
        <v>628</v>
      </c>
      <c r="Y10" s="427"/>
      <c r="Z10" s="427"/>
      <c r="AA10" s="428"/>
      <c r="AB10" s="425" t="s">
        <v>629</v>
      </c>
      <c r="AC10" s="427"/>
      <c r="AD10" s="427"/>
      <c r="AE10" s="427"/>
      <c r="AF10" s="429"/>
      <c r="AG10" s="49"/>
      <c r="AH10" s="520" t="s">
        <v>630</v>
      </c>
    </row>
    <row r="11" spans="1:34" ht="15" customHeight="1">
      <c r="A11" s="418"/>
      <c r="B11" s="430" t="s">
        <v>631</v>
      </c>
      <c r="C11" s="34"/>
      <c r="D11" s="34"/>
      <c r="E11" s="35"/>
      <c r="F11" s="599">
        <v>100</v>
      </c>
      <c r="G11" s="600"/>
      <c r="H11" s="600"/>
      <c r="I11" s="220" t="s">
        <v>632</v>
      </c>
      <c r="J11" s="459"/>
      <c r="K11" s="431"/>
      <c r="L11" s="5"/>
      <c r="M11" s="5"/>
      <c r="N11" s="5"/>
      <c r="O11" s="22"/>
      <c r="P11" s="5"/>
      <c r="Q11" s="5"/>
      <c r="R11" s="432"/>
      <c r="S11" s="433"/>
      <c r="T11" s="432"/>
      <c r="U11" s="432"/>
      <c r="V11" s="432"/>
      <c r="W11" s="11"/>
      <c r="X11" s="12"/>
      <c r="Y11" s="2"/>
      <c r="Z11" s="2"/>
      <c r="AA11" s="14"/>
      <c r="AB11" s="2"/>
      <c r="AC11" s="2"/>
      <c r="AD11" s="2"/>
      <c r="AE11" s="2"/>
      <c r="AF11" s="49"/>
      <c r="AG11" s="49"/>
    </row>
    <row r="12" spans="1:34" ht="15" customHeight="1">
      <c r="A12" s="434"/>
      <c r="B12" s="52" t="s">
        <v>633</v>
      </c>
      <c r="C12" s="34"/>
      <c r="D12" s="34"/>
      <c r="E12" s="35"/>
      <c r="F12" s="5"/>
      <c r="G12" s="5"/>
      <c r="H12" s="5"/>
      <c r="I12" s="5"/>
      <c r="J12" s="11"/>
      <c r="K12" s="12"/>
      <c r="L12" s="2"/>
      <c r="M12" s="2"/>
      <c r="N12" s="2"/>
      <c r="O12" s="435"/>
      <c r="P12" s="13"/>
      <c r="Q12" s="2"/>
      <c r="R12" s="2"/>
      <c r="S12" s="14"/>
      <c r="T12" s="2"/>
      <c r="U12" s="2"/>
      <c r="V12" s="2"/>
      <c r="W12" s="14"/>
      <c r="X12" s="12"/>
      <c r="Y12" s="2"/>
      <c r="Z12" s="2"/>
      <c r="AA12" s="14"/>
      <c r="AB12" s="2"/>
      <c r="AC12" s="2"/>
      <c r="AD12" s="2"/>
      <c r="AE12" s="2"/>
      <c r="AF12" s="49"/>
      <c r="AG12" s="49"/>
    </row>
    <row r="13" spans="1:34" ht="15" customHeight="1">
      <c r="A13" s="434"/>
      <c r="B13" s="30"/>
      <c r="C13" s="2"/>
      <c r="D13" s="2"/>
      <c r="E13" s="2"/>
      <c r="F13" s="2"/>
      <c r="G13" s="2"/>
      <c r="H13" s="2"/>
      <c r="I13" s="2"/>
      <c r="J13" s="14"/>
      <c r="K13" s="12"/>
      <c r="L13" s="2"/>
      <c r="M13" s="2"/>
      <c r="N13" s="2"/>
      <c r="O13" s="12"/>
      <c r="P13" s="2"/>
      <c r="Q13" s="2"/>
      <c r="R13" s="2"/>
      <c r="S13" s="14"/>
      <c r="T13" s="2"/>
      <c r="U13" s="2"/>
      <c r="V13" s="2"/>
      <c r="W13" s="14"/>
      <c r="X13" s="12"/>
      <c r="Y13" s="2"/>
      <c r="Z13" s="2"/>
      <c r="AA13" s="14"/>
      <c r="AB13" s="2"/>
      <c r="AC13" s="2"/>
      <c r="AD13" s="2"/>
      <c r="AE13" s="2"/>
      <c r="AF13" s="49"/>
      <c r="AG13" s="49"/>
    </row>
    <row r="14" spans="1:34" ht="15" customHeight="1" thickBot="1">
      <c r="A14" s="30"/>
      <c r="B14" s="4"/>
      <c r="C14" s="1"/>
      <c r="D14" s="1"/>
      <c r="E14" s="1"/>
      <c r="F14" s="1"/>
      <c r="G14" s="1"/>
      <c r="H14" s="1"/>
      <c r="I14" s="1"/>
      <c r="J14" s="121"/>
      <c r="K14" s="436"/>
      <c r="L14" s="1"/>
      <c r="M14" s="1"/>
      <c r="N14" s="437"/>
      <c r="O14" s="436"/>
      <c r="P14" s="1"/>
      <c r="Q14" s="1"/>
      <c r="R14" s="1"/>
      <c r="S14" s="121"/>
      <c r="T14" s="1" t="s">
        <v>634</v>
      </c>
      <c r="U14" s="754"/>
      <c r="V14" s="754"/>
      <c r="W14" s="438" t="s">
        <v>635</v>
      </c>
      <c r="X14" s="436"/>
      <c r="Y14" s="1"/>
      <c r="Z14" s="1"/>
      <c r="AA14" s="121"/>
      <c r="AB14" s="1" t="s">
        <v>636</v>
      </c>
      <c r="AC14" s="754"/>
      <c r="AD14" s="754"/>
      <c r="AE14" s="754"/>
      <c r="AF14" s="439" t="s">
        <v>637</v>
      </c>
      <c r="AG14" s="49"/>
    </row>
    <row r="15" spans="1:34" ht="15" customHeight="1" thickBot="1">
      <c r="A15" s="418" t="s">
        <v>638</v>
      </c>
      <c r="B15" s="2"/>
      <c r="C15" s="7"/>
      <c r="D15" s="7"/>
      <c r="E15" s="8"/>
      <c r="F15" s="7"/>
      <c r="G15" s="7"/>
      <c r="H15" s="7"/>
      <c r="I15" s="8"/>
      <c r="J15" s="7"/>
      <c r="K15" s="7"/>
      <c r="L15" s="7"/>
      <c r="M15" s="8"/>
      <c r="N15" s="7"/>
      <c r="O15" s="7"/>
      <c r="P15" s="7"/>
      <c r="Q15" s="7"/>
      <c r="R15" s="8"/>
      <c r="S15" s="59"/>
      <c r="T15" s="7"/>
      <c r="U15" s="7"/>
      <c r="V15" s="8"/>
      <c r="W15" s="10"/>
      <c r="X15" s="7"/>
      <c r="Y15" s="2"/>
      <c r="Z15" s="2"/>
      <c r="AA15" s="2"/>
      <c r="AB15" s="2"/>
      <c r="AC15" s="2"/>
      <c r="AD15" s="2"/>
      <c r="AE15" s="2"/>
      <c r="AF15" s="2"/>
      <c r="AG15" s="49"/>
    </row>
    <row r="16" spans="1:34" ht="15" customHeight="1" thickBot="1">
      <c r="A16" s="440"/>
      <c r="B16" s="441" t="s">
        <v>639</v>
      </c>
      <c r="C16" s="442"/>
      <c r="D16" s="443" t="s">
        <v>640</v>
      </c>
      <c r="E16" s="444"/>
      <c r="F16" s="444"/>
      <c r="G16" s="444"/>
      <c r="H16" s="444"/>
      <c r="I16" s="444"/>
      <c r="J16" s="442"/>
      <c r="K16" s="723" t="s">
        <v>681</v>
      </c>
      <c r="L16" s="724"/>
      <c r="M16" s="723" t="s">
        <v>682</v>
      </c>
      <c r="N16" s="724"/>
      <c r="O16" s="443" t="s">
        <v>643</v>
      </c>
      <c r="P16" s="442"/>
      <c r="Q16" s="443" t="s">
        <v>644</v>
      </c>
      <c r="R16" s="444"/>
      <c r="S16" s="444"/>
      <c r="T16" s="444"/>
      <c r="U16" s="444"/>
      <c r="V16" s="444"/>
      <c r="W16" s="444"/>
      <c r="X16" s="444"/>
      <c r="Y16" s="444"/>
      <c r="Z16" s="444"/>
      <c r="AA16" s="445"/>
      <c r="AB16" s="445"/>
      <c r="AC16" s="445"/>
      <c r="AD16" s="445"/>
      <c r="AE16" s="444"/>
      <c r="AF16" s="446"/>
      <c r="AG16" s="447"/>
    </row>
    <row r="17" spans="1:34" ht="14.1" customHeight="1" thickTop="1">
      <c r="A17" s="30"/>
      <c r="B17" s="746"/>
      <c r="C17" s="731"/>
      <c r="D17" s="725" t="s">
        <v>683</v>
      </c>
      <c r="E17" s="726"/>
      <c r="F17" s="726"/>
      <c r="G17" s="726"/>
      <c r="H17" s="726"/>
      <c r="I17" s="726"/>
      <c r="J17" s="727"/>
      <c r="K17" s="730"/>
      <c r="L17" s="731"/>
      <c r="M17" s="730"/>
      <c r="N17" s="731"/>
      <c r="O17" s="732"/>
      <c r="P17" s="733"/>
      <c r="Q17" s="12"/>
      <c r="R17" s="8"/>
      <c r="S17" s="7"/>
      <c r="T17" s="7"/>
      <c r="U17" s="7"/>
      <c r="V17" s="8"/>
      <c r="W17" s="10"/>
      <c r="X17" s="7"/>
      <c r="Y17" s="2"/>
      <c r="Z17" s="2"/>
      <c r="AA17" s="2"/>
      <c r="AB17" s="2"/>
      <c r="AC17" s="2"/>
      <c r="AD17" s="2"/>
      <c r="AE17" s="2"/>
      <c r="AF17" s="49"/>
      <c r="AG17" s="49"/>
    </row>
    <row r="18" spans="1:34" ht="14.1" customHeight="1">
      <c r="A18" s="30"/>
      <c r="B18" s="746">
        <v>1</v>
      </c>
      <c r="C18" s="731"/>
      <c r="D18" s="872" t="s">
        <v>646</v>
      </c>
      <c r="E18" s="873"/>
      <c r="F18" s="873"/>
      <c r="G18" s="873"/>
      <c r="H18" s="873"/>
      <c r="I18" s="873"/>
      <c r="J18" s="874"/>
      <c r="K18" s="728">
        <v>1</v>
      </c>
      <c r="L18" s="763"/>
      <c r="M18" s="728">
        <v>1</v>
      </c>
      <c r="N18" s="729"/>
      <c r="O18" s="12" t="s">
        <v>647</v>
      </c>
      <c r="P18" s="14"/>
      <c r="Q18" s="12" t="s">
        <v>684</v>
      </c>
      <c r="R18" s="8"/>
      <c r="S18" s="7"/>
      <c r="T18" s="7"/>
      <c r="U18" s="7"/>
      <c r="V18" s="8"/>
      <c r="W18" s="10"/>
      <c r="X18" s="7"/>
      <c r="Y18" s="2"/>
      <c r="Z18" s="2"/>
      <c r="AA18" s="2"/>
      <c r="AB18" s="2"/>
      <c r="AC18" s="2"/>
      <c r="AD18" s="2"/>
      <c r="AE18" s="2"/>
      <c r="AF18" s="49"/>
      <c r="AG18" s="49"/>
    </row>
    <row r="19" spans="1:34" ht="14.1" customHeight="1">
      <c r="A19" s="30"/>
      <c r="B19" s="746">
        <f t="shared" ref="B19:B26" si="0">B18+1</f>
        <v>2</v>
      </c>
      <c r="C19" s="731"/>
      <c r="D19" s="872" t="s">
        <v>685</v>
      </c>
      <c r="E19" s="873"/>
      <c r="F19" s="873"/>
      <c r="G19" s="873"/>
      <c r="H19" s="873"/>
      <c r="I19" s="873"/>
      <c r="J19" s="874"/>
      <c r="K19" s="728">
        <v>2</v>
      </c>
      <c r="L19" s="763"/>
      <c r="M19" s="728">
        <v>4</v>
      </c>
      <c r="N19" s="729"/>
      <c r="O19" s="12" t="s">
        <v>647</v>
      </c>
      <c r="P19" s="14"/>
      <c r="Q19" s="12" t="s">
        <v>686</v>
      </c>
      <c r="R19" s="8"/>
      <c r="S19" s="7"/>
      <c r="T19" s="7"/>
      <c r="U19" s="7"/>
      <c r="V19" s="8"/>
      <c r="W19" s="10"/>
      <c r="X19" s="7"/>
      <c r="Y19" s="2"/>
      <c r="Z19" s="2"/>
      <c r="AA19" s="2"/>
      <c r="AB19" s="2"/>
      <c r="AC19" s="2"/>
      <c r="AD19" s="2"/>
      <c r="AE19" s="2"/>
      <c r="AF19" s="49"/>
      <c r="AG19" s="49"/>
    </row>
    <row r="20" spans="1:34" ht="14.1" customHeight="1">
      <c r="A20" s="30"/>
      <c r="B20" s="746">
        <f t="shared" si="0"/>
        <v>3</v>
      </c>
      <c r="C20" s="731"/>
      <c r="D20" s="872" t="s">
        <v>687</v>
      </c>
      <c r="E20" s="873"/>
      <c r="F20" s="873"/>
      <c r="G20" s="873"/>
      <c r="H20" s="873"/>
      <c r="I20" s="873"/>
      <c r="J20" s="874"/>
      <c r="K20" s="728">
        <v>6</v>
      </c>
      <c r="L20" s="763"/>
      <c r="M20" s="728">
        <v>15</v>
      </c>
      <c r="N20" s="729"/>
      <c r="O20" s="12" t="s">
        <v>647</v>
      </c>
      <c r="P20" s="14"/>
      <c r="Q20" s="12" t="s">
        <v>686</v>
      </c>
      <c r="R20" s="8"/>
      <c r="S20" s="7"/>
      <c r="T20" s="7"/>
      <c r="U20" s="7"/>
      <c r="V20" s="8"/>
      <c r="W20" s="10"/>
      <c r="X20" s="7"/>
      <c r="Y20" s="2"/>
      <c r="Z20" s="2"/>
      <c r="AA20" s="2"/>
      <c r="AB20" s="2"/>
      <c r="AC20" s="2"/>
      <c r="AD20" s="2"/>
      <c r="AE20" s="2"/>
      <c r="AF20" s="49"/>
      <c r="AG20" s="49"/>
    </row>
    <row r="21" spans="1:34" ht="14.1" customHeight="1">
      <c r="A21" s="30"/>
      <c r="B21" s="746">
        <f t="shared" si="0"/>
        <v>4</v>
      </c>
      <c r="C21" s="731"/>
      <c r="D21" s="506" t="s">
        <v>662</v>
      </c>
      <c r="E21" s="507"/>
      <c r="F21" s="507"/>
      <c r="G21" s="507"/>
      <c r="H21" s="507"/>
      <c r="I21" s="507"/>
      <c r="J21" s="508"/>
      <c r="K21" s="728">
        <v>21</v>
      </c>
      <c r="L21" s="729"/>
      <c r="M21" s="728">
        <v>3</v>
      </c>
      <c r="N21" s="729"/>
      <c r="O21" s="12" t="s">
        <v>647</v>
      </c>
      <c r="P21" s="14"/>
      <c r="Q21" s="12" t="s">
        <v>686</v>
      </c>
      <c r="R21" s="8"/>
      <c r="S21" s="7"/>
      <c r="T21" s="7"/>
      <c r="U21" s="7"/>
      <c r="V21" s="8"/>
      <c r="W21" s="10"/>
      <c r="X21" s="7"/>
      <c r="Y21" s="2"/>
      <c r="Z21" s="2"/>
      <c r="AA21" s="2"/>
      <c r="AB21" s="2"/>
      <c r="AC21" s="2"/>
      <c r="AD21" s="2"/>
      <c r="AE21" s="2"/>
      <c r="AF21" s="49"/>
      <c r="AG21" s="49"/>
    </row>
    <row r="22" spans="1:34" ht="14.1" customHeight="1">
      <c r="A22" s="30"/>
      <c r="B22" s="746">
        <f t="shared" si="0"/>
        <v>5</v>
      </c>
      <c r="C22" s="731"/>
      <c r="D22" s="506" t="s">
        <v>664</v>
      </c>
      <c r="E22" s="507"/>
      <c r="F22" s="507"/>
      <c r="G22" s="507"/>
      <c r="H22" s="507"/>
      <c r="I22" s="507"/>
      <c r="J22" s="508"/>
      <c r="K22" s="728">
        <v>24</v>
      </c>
      <c r="L22" s="729"/>
      <c r="M22" s="728">
        <v>15</v>
      </c>
      <c r="N22" s="729"/>
      <c r="O22" s="12" t="s">
        <v>647</v>
      </c>
      <c r="P22" s="14"/>
      <c r="Q22" s="12" t="s">
        <v>686</v>
      </c>
      <c r="R22" s="8"/>
      <c r="S22" s="7"/>
      <c r="T22" s="7"/>
      <c r="U22" s="8"/>
      <c r="V22" s="10"/>
      <c r="W22" s="7"/>
      <c r="X22" s="2"/>
      <c r="Y22" s="2"/>
      <c r="Z22" s="2"/>
      <c r="AA22" s="2"/>
      <c r="AB22" s="2"/>
      <c r="AC22" s="2"/>
      <c r="AD22" s="2"/>
      <c r="AE22" s="2"/>
      <c r="AF22" s="49"/>
      <c r="AG22" s="49"/>
    </row>
    <row r="23" spans="1:34" ht="14.1" customHeight="1">
      <c r="A23" s="30"/>
      <c r="B23" s="746">
        <f t="shared" si="0"/>
        <v>6</v>
      </c>
      <c r="C23" s="731"/>
      <c r="D23" s="506" t="s">
        <v>673</v>
      </c>
      <c r="E23" s="507"/>
      <c r="F23" s="507"/>
      <c r="G23" s="507"/>
      <c r="H23" s="507"/>
      <c r="I23" s="507"/>
      <c r="J23" s="508"/>
      <c r="K23" s="728">
        <v>39</v>
      </c>
      <c r="L23" s="729"/>
      <c r="M23" s="728">
        <v>4</v>
      </c>
      <c r="N23" s="729"/>
      <c r="O23" s="12" t="s">
        <v>647</v>
      </c>
      <c r="P23" s="14"/>
      <c r="Q23" s="12" t="s">
        <v>686</v>
      </c>
      <c r="R23" s="8"/>
      <c r="S23" s="7"/>
      <c r="T23" s="7"/>
      <c r="U23" s="8"/>
      <c r="V23" s="10"/>
      <c r="W23" s="7"/>
      <c r="Y23" s="2"/>
      <c r="Z23" s="2"/>
      <c r="AA23" s="2"/>
      <c r="AB23" s="2"/>
      <c r="AC23" s="2"/>
      <c r="AD23" s="2"/>
      <c r="AE23" s="2"/>
      <c r="AF23" s="49"/>
      <c r="AG23" s="49"/>
    </row>
    <row r="24" spans="1:34" ht="14.1" customHeight="1">
      <c r="A24" s="30"/>
      <c r="B24" s="746">
        <f t="shared" si="0"/>
        <v>7</v>
      </c>
      <c r="C24" s="731"/>
      <c r="D24" s="506" t="s">
        <v>665</v>
      </c>
      <c r="E24" s="507"/>
      <c r="F24" s="507"/>
      <c r="G24" s="507"/>
      <c r="H24" s="507"/>
      <c r="I24" s="507"/>
      <c r="J24" s="508"/>
      <c r="K24" s="728">
        <v>43</v>
      </c>
      <c r="L24" s="729"/>
      <c r="M24" s="728">
        <v>1</v>
      </c>
      <c r="N24" s="729"/>
      <c r="O24" s="12" t="s">
        <v>647</v>
      </c>
      <c r="P24" s="14"/>
      <c r="Q24" s="12" t="s">
        <v>686</v>
      </c>
      <c r="R24" s="8"/>
      <c r="S24" s="7"/>
      <c r="T24" s="7"/>
      <c r="U24" s="8"/>
      <c r="V24" s="10"/>
      <c r="W24" s="7"/>
      <c r="X24" s="2"/>
      <c r="Y24" s="2"/>
      <c r="Z24" s="2"/>
      <c r="AA24" s="2"/>
      <c r="AB24" s="2"/>
      <c r="AC24" s="2"/>
      <c r="AD24" s="2"/>
      <c r="AE24" s="2"/>
      <c r="AF24" s="49"/>
      <c r="AG24" s="49"/>
    </row>
    <row r="25" spans="1:34" ht="14.1" customHeight="1">
      <c r="A25" s="30"/>
      <c r="B25" s="746">
        <f t="shared" si="0"/>
        <v>8</v>
      </c>
      <c r="C25" s="731"/>
      <c r="D25" s="506" t="s">
        <v>667</v>
      </c>
      <c r="E25" s="507"/>
      <c r="F25" s="507"/>
      <c r="G25" s="507"/>
      <c r="H25" s="507"/>
      <c r="I25" s="507"/>
      <c r="J25" s="508"/>
      <c r="K25" s="728">
        <v>44</v>
      </c>
      <c r="L25" s="729"/>
      <c r="M25" s="728">
        <v>7</v>
      </c>
      <c r="N25" s="729"/>
      <c r="O25" s="12" t="s">
        <v>647</v>
      </c>
      <c r="P25" s="14"/>
      <c r="Q25" s="12" t="s">
        <v>686</v>
      </c>
      <c r="R25" s="8"/>
      <c r="S25" s="7"/>
      <c r="T25" s="7"/>
      <c r="U25" s="8"/>
      <c r="V25" s="10"/>
      <c r="W25" s="7"/>
      <c r="X25" s="2"/>
      <c r="Y25" s="2"/>
      <c r="Z25" s="2"/>
      <c r="AA25" s="2"/>
      <c r="AB25" s="2"/>
      <c r="AC25" s="2"/>
      <c r="AD25" s="2"/>
      <c r="AE25" s="2"/>
      <c r="AF25" s="49"/>
      <c r="AG25" s="49"/>
    </row>
    <row r="26" spans="1:34" ht="14.1" customHeight="1">
      <c r="A26" s="30"/>
      <c r="B26" s="746">
        <f t="shared" si="0"/>
        <v>9</v>
      </c>
      <c r="C26" s="731"/>
      <c r="D26" s="506" t="s">
        <v>614</v>
      </c>
      <c r="E26" s="507"/>
      <c r="F26" s="507"/>
      <c r="G26" s="507"/>
      <c r="H26" s="507"/>
      <c r="I26" s="507"/>
      <c r="J26" s="508"/>
      <c r="K26" s="728">
        <v>51</v>
      </c>
      <c r="L26" s="729"/>
      <c r="M26" s="728">
        <v>30</v>
      </c>
      <c r="N26" s="729"/>
      <c r="O26" s="12" t="s">
        <v>647</v>
      </c>
      <c r="P26" s="14"/>
      <c r="Q26" s="12" t="s">
        <v>688</v>
      </c>
      <c r="R26" s="8"/>
      <c r="S26" s="7"/>
      <c r="T26" s="7"/>
      <c r="U26" s="8"/>
      <c r="V26" s="10"/>
      <c r="W26" s="7"/>
      <c r="X26" s="2"/>
      <c r="Y26" s="2"/>
      <c r="Z26" s="2"/>
      <c r="AA26" s="2"/>
      <c r="AB26" s="2"/>
      <c r="AC26" s="2"/>
      <c r="AD26" s="2"/>
      <c r="AE26" s="2"/>
      <c r="AF26" s="49"/>
      <c r="AG26" s="49"/>
    </row>
    <row r="27" spans="1:34" ht="14.1" customHeight="1">
      <c r="A27" s="30"/>
      <c r="B27" s="746">
        <f t="shared" ref="B27:B32" si="1">B26+1</f>
        <v>10</v>
      </c>
      <c r="C27" s="731"/>
      <c r="D27" s="506" t="s">
        <v>546</v>
      </c>
      <c r="E27" s="507"/>
      <c r="F27" s="507"/>
      <c r="G27" s="507"/>
      <c r="H27" s="507"/>
      <c r="I27" s="507"/>
      <c r="J27" s="508"/>
      <c r="K27" s="728">
        <v>81</v>
      </c>
      <c r="L27" s="729"/>
      <c r="M27" s="728">
        <v>10</v>
      </c>
      <c r="N27" s="729"/>
      <c r="O27" s="12" t="s">
        <v>647</v>
      </c>
      <c r="P27" s="14"/>
      <c r="Q27" s="12" t="s">
        <v>689</v>
      </c>
      <c r="R27" s="8"/>
      <c r="S27" s="7"/>
      <c r="T27" s="7"/>
      <c r="U27" s="7"/>
      <c r="V27" s="8"/>
      <c r="W27" s="10"/>
      <c r="X27" s="7"/>
      <c r="Y27" s="2"/>
      <c r="Z27" s="2"/>
      <c r="AA27" s="2"/>
      <c r="AB27" s="2"/>
      <c r="AC27" s="2"/>
      <c r="AD27" s="2"/>
      <c r="AE27" s="2"/>
      <c r="AF27" s="49"/>
      <c r="AG27" s="49"/>
    </row>
    <row r="28" spans="1:34" ht="14.1" customHeight="1">
      <c r="A28" s="30"/>
      <c r="B28" s="746">
        <f t="shared" si="1"/>
        <v>11</v>
      </c>
      <c r="C28" s="731"/>
      <c r="D28" s="506" t="s">
        <v>673</v>
      </c>
      <c r="E28" s="507"/>
      <c r="F28" s="507"/>
      <c r="G28" s="507"/>
      <c r="H28" s="507"/>
      <c r="I28" s="507"/>
      <c r="J28" s="508"/>
      <c r="K28" s="728">
        <v>91</v>
      </c>
      <c r="L28" s="729"/>
      <c r="M28" s="728">
        <v>1</v>
      </c>
      <c r="N28" s="729"/>
      <c r="O28" s="12" t="s">
        <v>647</v>
      </c>
      <c r="P28" s="14"/>
      <c r="Q28" s="12" t="s">
        <v>686</v>
      </c>
      <c r="R28" s="8"/>
      <c r="S28" s="7"/>
      <c r="T28" s="7"/>
      <c r="U28" s="7"/>
      <c r="V28" s="8"/>
      <c r="W28" s="10"/>
      <c r="X28" s="7"/>
      <c r="Y28" s="2"/>
      <c r="Z28" s="2"/>
      <c r="AA28" s="2"/>
      <c r="AB28" s="2"/>
      <c r="AC28" s="2"/>
      <c r="AD28" s="2"/>
      <c r="AE28" s="2"/>
      <c r="AF28" s="49"/>
      <c r="AG28" s="49"/>
    </row>
    <row r="29" spans="1:34" ht="14.1" customHeight="1">
      <c r="A29" s="30"/>
      <c r="B29" s="746">
        <f t="shared" si="1"/>
        <v>12</v>
      </c>
      <c r="C29" s="731"/>
      <c r="D29" s="506" t="s">
        <v>690</v>
      </c>
      <c r="E29" s="507"/>
      <c r="F29" s="507"/>
      <c r="G29" s="507"/>
      <c r="H29" s="507"/>
      <c r="I29" s="507"/>
      <c r="J29" s="508"/>
      <c r="K29" s="728">
        <v>92</v>
      </c>
      <c r="L29" s="729"/>
      <c r="M29" s="728">
        <v>10</v>
      </c>
      <c r="N29" s="729"/>
      <c r="O29" s="12" t="s">
        <v>647</v>
      </c>
      <c r="P29" s="14"/>
      <c r="Q29" s="12" t="s">
        <v>686</v>
      </c>
      <c r="R29" s="8"/>
      <c r="S29" s="7"/>
      <c r="T29" s="7"/>
      <c r="U29" s="7"/>
      <c r="V29" s="8"/>
      <c r="W29" s="10"/>
      <c r="X29" s="7"/>
      <c r="Y29" s="2"/>
      <c r="Z29" s="2"/>
      <c r="AA29" s="2"/>
      <c r="AB29" s="2"/>
      <c r="AC29" s="2"/>
      <c r="AD29" s="2"/>
      <c r="AE29" s="2"/>
      <c r="AF29" s="49"/>
      <c r="AG29" s="49"/>
    </row>
    <row r="30" spans="1:34" ht="14.1" customHeight="1">
      <c r="A30" s="30"/>
      <c r="B30" s="746">
        <f t="shared" si="1"/>
        <v>13</v>
      </c>
      <c r="C30" s="731"/>
      <c r="D30" s="506" t="s">
        <v>691</v>
      </c>
      <c r="E30" s="507"/>
      <c r="F30" s="507"/>
      <c r="G30" s="507"/>
      <c r="H30" s="507"/>
      <c r="I30" s="507"/>
      <c r="J30" s="508"/>
      <c r="K30" s="728">
        <v>102</v>
      </c>
      <c r="L30" s="729"/>
      <c r="M30" s="728">
        <v>10</v>
      </c>
      <c r="N30" s="729"/>
      <c r="O30" s="12" t="s">
        <v>647</v>
      </c>
      <c r="P30" s="14"/>
      <c r="Q30" s="526" t="s">
        <v>692</v>
      </c>
      <c r="R30" s="8"/>
      <c r="S30" s="7"/>
      <c r="T30" s="7"/>
      <c r="U30" s="7"/>
      <c r="V30" s="8"/>
      <c r="W30" s="10"/>
      <c r="X30" s="7"/>
      <c r="Y30" s="2"/>
      <c r="Z30" s="2"/>
      <c r="AA30" s="2"/>
      <c r="AB30" s="2"/>
      <c r="AC30" s="2"/>
      <c r="AD30" s="2"/>
      <c r="AE30" s="2"/>
      <c r="AF30" s="49"/>
      <c r="AG30" s="49"/>
      <c r="AH30" s="23" t="s">
        <v>660</v>
      </c>
    </row>
    <row r="31" spans="1:34" ht="14.1" customHeight="1">
      <c r="A31" s="30"/>
      <c r="B31" s="746">
        <f>B30+1</f>
        <v>14</v>
      </c>
      <c r="C31" s="731"/>
      <c r="D31" s="501" t="s">
        <v>693</v>
      </c>
      <c r="E31" s="502"/>
      <c r="F31" s="502"/>
      <c r="G31" s="502"/>
      <c r="H31" s="502"/>
      <c r="I31" s="502"/>
      <c r="J31" s="503"/>
      <c r="K31" s="728">
        <v>112</v>
      </c>
      <c r="L31" s="729"/>
      <c r="M31" s="728">
        <v>6</v>
      </c>
      <c r="N31" s="729"/>
      <c r="O31" s="12" t="s">
        <v>647</v>
      </c>
      <c r="P31" s="14"/>
      <c r="Q31" s="12" t="s">
        <v>686</v>
      </c>
      <c r="R31" s="8"/>
      <c r="S31" s="7"/>
      <c r="T31" s="7"/>
      <c r="U31" s="7"/>
      <c r="V31" s="8"/>
      <c r="W31" s="10"/>
      <c r="X31" s="7"/>
      <c r="Y31" s="2"/>
      <c r="Z31" s="2"/>
      <c r="AA31" s="2"/>
      <c r="AB31" s="2"/>
      <c r="AC31" s="2"/>
      <c r="AD31" s="2"/>
      <c r="AE31" s="2"/>
      <c r="AF31" s="49"/>
      <c r="AG31" s="49"/>
    </row>
    <row r="32" spans="1:34" ht="14.1" customHeight="1">
      <c r="A32" s="30"/>
      <c r="B32" s="746">
        <f t="shared" si="1"/>
        <v>15</v>
      </c>
      <c r="C32" s="731"/>
      <c r="D32" s="872" t="s">
        <v>694</v>
      </c>
      <c r="E32" s="873"/>
      <c r="F32" s="873"/>
      <c r="G32" s="873"/>
      <c r="H32" s="873"/>
      <c r="I32" s="873"/>
      <c r="J32" s="874"/>
      <c r="K32" s="728">
        <v>118</v>
      </c>
      <c r="L32" s="729"/>
      <c r="M32" s="728">
        <v>3</v>
      </c>
      <c r="N32" s="729"/>
      <c r="O32" s="12" t="s">
        <v>647</v>
      </c>
      <c r="P32" s="14"/>
      <c r="Q32" s="12" t="s">
        <v>686</v>
      </c>
      <c r="R32" s="8"/>
      <c r="S32" s="7"/>
      <c r="T32" s="7"/>
      <c r="U32" s="7"/>
      <c r="V32" s="8"/>
      <c r="W32" s="10"/>
      <c r="X32" s="7"/>
      <c r="Y32" s="2"/>
      <c r="Z32" s="2"/>
      <c r="AA32" s="2"/>
      <c r="AB32" s="2"/>
      <c r="AC32" s="2"/>
      <c r="AD32" s="2"/>
      <c r="AE32" s="2"/>
      <c r="AF32" s="49"/>
      <c r="AG32" s="49"/>
    </row>
    <row r="33" spans="1:34" ht="14.1" customHeight="1">
      <c r="A33" s="30"/>
      <c r="B33" s="434"/>
      <c r="C33" s="500"/>
      <c r="D33" s="506"/>
      <c r="E33" s="507"/>
      <c r="F33" s="507"/>
      <c r="G33" s="507"/>
      <c r="H33" s="507"/>
      <c r="I33" s="507"/>
      <c r="J33" s="508"/>
      <c r="K33" s="509"/>
      <c r="L33" s="510"/>
      <c r="M33" s="509"/>
      <c r="N33" s="510"/>
      <c r="O33" s="12"/>
      <c r="P33" s="14"/>
      <c r="Q33" s="519"/>
      <c r="R33" s="8"/>
      <c r="S33" s="7"/>
      <c r="T33" s="7"/>
      <c r="U33" s="7"/>
      <c r="V33" s="8"/>
      <c r="W33" s="10"/>
      <c r="X33" s="7"/>
      <c r="Y33" s="2"/>
      <c r="Z33" s="2"/>
      <c r="AA33" s="2"/>
      <c r="AB33" s="2"/>
      <c r="AC33" s="2"/>
      <c r="AD33" s="2"/>
      <c r="AE33" s="2"/>
      <c r="AF33" s="49"/>
      <c r="AG33" s="49"/>
      <c r="AH33" s="520"/>
    </row>
    <row r="34" spans="1:34" ht="14.1" customHeight="1">
      <c r="A34" s="30"/>
      <c r="B34" s="746"/>
      <c r="C34" s="731"/>
      <c r="D34" s="501" t="s">
        <v>695</v>
      </c>
      <c r="E34" s="502"/>
      <c r="F34" s="502"/>
      <c r="G34" s="502"/>
      <c r="H34" s="502"/>
      <c r="I34" s="502"/>
      <c r="J34" s="503"/>
      <c r="K34" s="504"/>
      <c r="L34" s="505"/>
      <c r="M34" s="728"/>
      <c r="N34" s="729"/>
      <c r="O34" s="12"/>
      <c r="P34" s="14"/>
      <c r="Q34" s="12"/>
      <c r="R34" s="8"/>
      <c r="S34" s="3"/>
      <c r="T34" s="7"/>
      <c r="U34" s="7"/>
      <c r="V34" s="8"/>
      <c r="W34" s="10"/>
      <c r="X34" s="7"/>
      <c r="Y34" s="2"/>
      <c r="Z34" s="2"/>
      <c r="AA34" s="2"/>
      <c r="AB34" s="2"/>
      <c r="AC34" s="2"/>
      <c r="AD34" s="2"/>
      <c r="AE34" s="2"/>
      <c r="AF34" s="49"/>
      <c r="AG34" s="49"/>
    </row>
    <row r="35" spans="1:34" ht="14.1" customHeight="1">
      <c r="A35" s="30"/>
      <c r="B35" s="746">
        <v>1</v>
      </c>
      <c r="C35" s="731"/>
      <c r="D35" s="506" t="s">
        <v>646</v>
      </c>
      <c r="E35" s="507"/>
      <c r="F35" s="507"/>
      <c r="G35" s="507"/>
      <c r="H35" s="507"/>
      <c r="I35" s="507"/>
      <c r="J35" s="508"/>
      <c r="K35" s="728">
        <v>1</v>
      </c>
      <c r="L35" s="729"/>
      <c r="M35" s="728">
        <v>1</v>
      </c>
      <c r="N35" s="729"/>
      <c r="O35" s="12" t="s">
        <v>647</v>
      </c>
      <c r="P35" s="14"/>
      <c r="Q35" s="12" t="s">
        <v>696</v>
      </c>
      <c r="R35" s="8"/>
      <c r="S35" s="7"/>
      <c r="T35" s="7"/>
      <c r="U35" s="7"/>
      <c r="V35" s="8"/>
      <c r="W35" s="10"/>
      <c r="X35" s="7"/>
      <c r="Y35" s="2"/>
      <c r="Z35" s="2"/>
      <c r="AA35" s="2"/>
      <c r="AB35" s="2"/>
      <c r="AC35" s="2"/>
      <c r="AD35" s="2"/>
      <c r="AE35" s="2"/>
      <c r="AF35" s="49"/>
      <c r="AG35" s="49"/>
    </row>
    <row r="36" spans="1:34" ht="14.1" customHeight="1">
      <c r="A36" s="30"/>
      <c r="B36" s="746">
        <f>B35+1</f>
        <v>2</v>
      </c>
      <c r="C36" s="731"/>
      <c r="D36" s="506" t="s">
        <v>697</v>
      </c>
      <c r="E36" s="507"/>
      <c r="F36" s="507"/>
      <c r="G36" s="507"/>
      <c r="H36" s="507"/>
      <c r="I36" s="507"/>
      <c r="J36" s="508"/>
      <c r="K36" s="728">
        <v>2</v>
      </c>
      <c r="L36" s="729"/>
      <c r="M36" s="728">
        <v>6</v>
      </c>
      <c r="N36" s="729"/>
      <c r="O36" s="12" t="s">
        <v>647</v>
      </c>
      <c r="P36" s="14"/>
      <c r="Q36" s="12" t="s">
        <v>698</v>
      </c>
      <c r="R36" s="8"/>
      <c r="S36" s="7"/>
      <c r="T36" s="7"/>
      <c r="U36" s="7"/>
      <c r="V36" s="8"/>
      <c r="W36" s="10"/>
      <c r="X36" s="2" t="s">
        <v>699</v>
      </c>
      <c r="Y36" s="2"/>
      <c r="Z36" s="2"/>
      <c r="AA36" s="2"/>
      <c r="AB36" s="2"/>
      <c r="AC36" s="2"/>
      <c r="AD36" s="2"/>
      <c r="AE36" s="2"/>
      <c r="AF36" s="49"/>
      <c r="AG36" s="49"/>
    </row>
    <row r="37" spans="1:34" ht="14.1" customHeight="1">
      <c r="A37" s="30"/>
      <c r="B37" s="746">
        <f>B36+1</f>
        <v>3</v>
      </c>
      <c r="C37" s="731"/>
      <c r="D37" s="506" t="s">
        <v>700</v>
      </c>
      <c r="E37" s="507"/>
      <c r="F37" s="507"/>
      <c r="G37" s="507"/>
      <c r="H37" s="507"/>
      <c r="I37" s="507"/>
      <c r="J37" s="508"/>
      <c r="K37" s="728">
        <v>8</v>
      </c>
      <c r="L37" s="729"/>
      <c r="M37" s="728">
        <v>12</v>
      </c>
      <c r="N37" s="729"/>
      <c r="O37" s="12" t="s">
        <v>647</v>
      </c>
      <c r="P37" s="14"/>
      <c r="Q37" s="12" t="s">
        <v>701</v>
      </c>
      <c r="R37" s="8"/>
      <c r="S37" s="7"/>
      <c r="T37" s="7"/>
      <c r="U37" s="7"/>
      <c r="V37" s="8"/>
      <c r="W37" s="10"/>
      <c r="X37" s="2" t="s">
        <v>699</v>
      </c>
      <c r="Y37" s="2"/>
      <c r="Z37" s="2"/>
      <c r="AA37" s="2"/>
      <c r="AB37" s="2"/>
      <c r="AC37" s="2"/>
      <c r="AD37" s="2" t="s">
        <v>702</v>
      </c>
      <c r="AE37" s="2"/>
      <c r="AF37" s="49"/>
      <c r="AG37" s="49"/>
    </row>
    <row r="38" spans="1:34" ht="14.1" customHeight="1">
      <c r="A38" s="30"/>
      <c r="B38" s="746">
        <v>4</v>
      </c>
      <c r="C38" s="731"/>
      <c r="D38" s="506" t="s">
        <v>673</v>
      </c>
      <c r="E38" s="507"/>
      <c r="F38" s="507"/>
      <c r="G38" s="507"/>
      <c r="H38" s="507"/>
      <c r="I38" s="507"/>
      <c r="J38" s="508"/>
      <c r="K38" s="728">
        <v>20</v>
      </c>
      <c r="L38" s="729"/>
      <c r="M38" s="728">
        <v>101</v>
      </c>
      <c r="N38" s="729"/>
      <c r="O38" s="12" t="s">
        <v>647</v>
      </c>
      <c r="P38" s="14"/>
      <c r="Q38" s="12" t="s">
        <v>686</v>
      </c>
      <c r="R38" s="8"/>
      <c r="S38" s="7"/>
      <c r="T38" s="7"/>
      <c r="U38" s="7"/>
      <c r="V38" s="8"/>
      <c r="W38" s="10"/>
      <c r="X38" s="7"/>
      <c r="Y38" s="2"/>
      <c r="Z38" s="2"/>
      <c r="AA38" s="2"/>
      <c r="AB38" s="2"/>
      <c r="AC38" s="2"/>
      <c r="AD38" s="2"/>
      <c r="AE38" s="2"/>
      <c r="AF38" s="49"/>
      <c r="AG38" s="49"/>
    </row>
    <row r="39" spans="1:34" ht="14.1" customHeight="1">
      <c r="A39" s="30"/>
      <c r="B39" s="746"/>
      <c r="C39" s="731"/>
      <c r="D39" s="506"/>
      <c r="E39" s="507"/>
      <c r="F39" s="507"/>
      <c r="G39" s="507"/>
      <c r="H39" s="507"/>
      <c r="I39" s="507"/>
      <c r="J39" s="508"/>
      <c r="K39" s="728"/>
      <c r="L39" s="729"/>
      <c r="M39" s="728"/>
      <c r="N39" s="729"/>
      <c r="O39" s="12"/>
      <c r="P39" s="14"/>
      <c r="Q39" s="12"/>
      <c r="R39" s="8"/>
      <c r="S39" s="7"/>
      <c r="T39" s="7"/>
      <c r="U39" s="8"/>
      <c r="V39" s="10"/>
      <c r="W39" s="7"/>
      <c r="X39" s="2"/>
      <c r="Y39" s="2"/>
      <c r="Z39" s="2"/>
      <c r="AA39" s="2"/>
      <c r="AB39" s="2"/>
      <c r="AC39" s="2"/>
      <c r="AD39" s="2"/>
      <c r="AE39" s="2"/>
      <c r="AF39" s="49"/>
      <c r="AG39" s="49"/>
    </row>
    <row r="40" spans="1:34" ht="14.1" customHeight="1">
      <c r="A40" s="30"/>
      <c r="B40" s="746"/>
      <c r="C40" s="731"/>
      <c r="D40" s="501" t="s">
        <v>703</v>
      </c>
      <c r="E40" s="502"/>
      <c r="F40" s="502"/>
      <c r="G40" s="502"/>
      <c r="H40" s="502"/>
      <c r="I40" s="502"/>
      <c r="J40" s="503"/>
      <c r="K40" s="504"/>
      <c r="L40" s="505"/>
      <c r="M40" s="499"/>
      <c r="N40" s="500"/>
      <c r="O40" s="12"/>
      <c r="P40" s="14"/>
      <c r="Q40" s="12"/>
      <c r="R40" s="8"/>
      <c r="S40" s="7"/>
      <c r="T40" s="7"/>
      <c r="U40" s="7"/>
      <c r="V40" s="8"/>
      <c r="W40" s="10"/>
      <c r="X40" s="7"/>
      <c r="Y40" s="2"/>
      <c r="Z40" s="2"/>
      <c r="AA40" s="2"/>
      <c r="AB40" s="2"/>
      <c r="AC40" s="2"/>
      <c r="AD40" s="2"/>
      <c r="AE40" s="2"/>
      <c r="AF40" s="49"/>
      <c r="AG40" s="49"/>
    </row>
    <row r="41" spans="1:34" ht="14.1" customHeight="1">
      <c r="A41" s="30"/>
      <c r="B41" s="746">
        <v>1</v>
      </c>
      <c r="C41" s="731"/>
      <c r="D41" s="501" t="s">
        <v>704</v>
      </c>
      <c r="E41" s="502"/>
      <c r="F41" s="502"/>
      <c r="G41" s="502"/>
      <c r="H41" s="502"/>
      <c r="I41" s="502"/>
      <c r="J41" s="503"/>
      <c r="K41" s="728">
        <v>1</v>
      </c>
      <c r="L41" s="729"/>
      <c r="M41" s="728">
        <v>1</v>
      </c>
      <c r="N41" s="729"/>
      <c r="O41" s="12" t="s">
        <v>705</v>
      </c>
      <c r="P41" s="14"/>
      <c r="Q41" s="12" t="s">
        <v>706</v>
      </c>
      <c r="R41" s="8"/>
      <c r="S41" s="7"/>
      <c r="T41" s="7"/>
      <c r="U41" s="7"/>
      <c r="V41" s="8"/>
      <c r="W41" s="10"/>
      <c r="X41" s="7"/>
      <c r="Y41" s="2"/>
      <c r="Z41" s="2"/>
      <c r="AA41" s="2"/>
      <c r="AB41" s="2"/>
      <c r="AC41" s="2"/>
      <c r="AD41" s="2"/>
      <c r="AE41" s="2"/>
      <c r="AF41" s="49"/>
      <c r="AG41" s="49"/>
    </row>
    <row r="42" spans="1:34" ht="14.1" customHeight="1">
      <c r="A42" s="30"/>
      <c r="B42" s="746">
        <v>2</v>
      </c>
      <c r="C42" s="731"/>
      <c r="D42" s="501" t="s">
        <v>707</v>
      </c>
      <c r="E42" s="502"/>
      <c r="F42" s="502"/>
      <c r="G42" s="502"/>
      <c r="H42" s="502"/>
      <c r="I42" s="502"/>
      <c r="J42" s="503"/>
      <c r="K42" s="728">
        <v>2</v>
      </c>
      <c r="L42" s="729"/>
      <c r="M42" s="728">
        <v>119</v>
      </c>
      <c r="N42" s="729"/>
      <c r="O42" s="12" t="s">
        <v>647</v>
      </c>
      <c r="P42" s="14"/>
      <c r="Q42" s="12" t="s">
        <v>686</v>
      </c>
      <c r="R42" s="8"/>
      <c r="S42" s="7"/>
      <c r="T42" s="7"/>
      <c r="U42" s="7"/>
      <c r="V42" s="8"/>
      <c r="W42" s="10"/>
      <c r="X42" s="7"/>
      <c r="Y42" s="2"/>
      <c r="Z42" s="2"/>
      <c r="AA42" s="2"/>
      <c r="AB42" s="2"/>
      <c r="AC42" s="2"/>
      <c r="AD42" s="2"/>
      <c r="AE42" s="2"/>
      <c r="AF42" s="49"/>
      <c r="AG42" s="49"/>
    </row>
    <row r="43" spans="1:34" ht="14.1" customHeight="1">
      <c r="A43" s="30"/>
      <c r="B43" s="746"/>
      <c r="C43" s="731"/>
      <c r="D43" s="747"/>
      <c r="E43" s="748"/>
      <c r="F43" s="748"/>
      <c r="G43" s="748"/>
      <c r="H43" s="748"/>
      <c r="I43" s="748"/>
      <c r="J43" s="749"/>
      <c r="K43" s="730"/>
      <c r="L43" s="731"/>
      <c r="M43" s="750"/>
      <c r="N43" s="751"/>
      <c r="O43" s="12"/>
      <c r="P43" s="14"/>
      <c r="Q43" s="12"/>
      <c r="R43" s="8"/>
      <c r="S43" s="7"/>
      <c r="T43" s="7"/>
      <c r="U43" s="7"/>
      <c r="V43" s="8"/>
      <c r="W43" s="10"/>
      <c r="X43" s="7"/>
      <c r="Y43" s="2"/>
      <c r="Z43" s="2"/>
      <c r="AA43" s="2"/>
      <c r="AB43" s="2"/>
      <c r="AC43" s="2"/>
      <c r="AD43" s="2"/>
      <c r="AE43" s="2"/>
      <c r="AF43" s="49"/>
      <c r="AG43" s="49"/>
    </row>
    <row r="44" spans="1:34" ht="14.1" customHeight="1">
      <c r="A44" s="30"/>
      <c r="B44" s="746"/>
      <c r="C44" s="731"/>
      <c r="D44" s="747"/>
      <c r="E44" s="748"/>
      <c r="F44" s="748"/>
      <c r="G44" s="748"/>
      <c r="H44" s="748"/>
      <c r="I44" s="748"/>
      <c r="J44" s="749"/>
      <c r="K44" s="730"/>
      <c r="L44" s="731"/>
      <c r="M44" s="750"/>
      <c r="N44" s="751"/>
      <c r="O44" s="732"/>
      <c r="P44" s="733"/>
      <c r="Q44" s="3" t="s">
        <v>708</v>
      </c>
      <c r="R44" s="8"/>
      <c r="S44" s="7"/>
      <c r="T44" s="7"/>
      <c r="U44" s="7"/>
      <c r="V44" s="8"/>
      <c r="W44" s="10"/>
      <c r="X44" s="7"/>
      <c r="Y44" s="2"/>
      <c r="Z44" s="2"/>
      <c r="AA44" s="2"/>
      <c r="AB44" s="2"/>
      <c r="AC44" s="2"/>
      <c r="AD44" s="2"/>
      <c r="AE44" s="2"/>
      <c r="AF44" s="49"/>
      <c r="AG44" s="49"/>
    </row>
    <row r="45" spans="1:34" ht="14.1" customHeight="1">
      <c r="A45" s="30"/>
      <c r="B45" s="746"/>
      <c r="C45" s="731"/>
      <c r="D45" s="747"/>
      <c r="E45" s="748"/>
      <c r="F45" s="748"/>
      <c r="G45" s="748"/>
      <c r="H45" s="748"/>
      <c r="I45" s="748"/>
      <c r="J45" s="749"/>
      <c r="K45" s="730"/>
      <c r="L45" s="731"/>
      <c r="M45" s="750"/>
      <c r="N45" s="751"/>
      <c r="O45" s="732"/>
      <c r="P45" s="733"/>
      <c r="Q45" s="12"/>
      <c r="R45" s="8"/>
      <c r="S45" s="7"/>
      <c r="T45" s="7"/>
      <c r="U45" s="7"/>
      <c r="V45" s="8"/>
      <c r="W45" s="10"/>
      <c r="X45" s="7"/>
      <c r="Y45" s="2"/>
      <c r="Z45" s="2"/>
      <c r="AA45" s="2"/>
      <c r="AB45" s="2"/>
      <c r="AC45" s="2"/>
      <c r="AD45" s="2"/>
      <c r="AE45" s="2"/>
      <c r="AF45" s="49"/>
      <c r="AG45" s="49"/>
    </row>
    <row r="46" spans="1:34" ht="14.1" customHeight="1" thickBot="1">
      <c r="A46" s="30"/>
      <c r="B46" s="736"/>
      <c r="C46" s="737"/>
      <c r="D46" s="738"/>
      <c r="E46" s="739"/>
      <c r="F46" s="739"/>
      <c r="G46" s="739"/>
      <c r="H46" s="739"/>
      <c r="I46" s="739"/>
      <c r="J46" s="740"/>
      <c r="K46" s="741"/>
      <c r="L46" s="737"/>
      <c r="M46" s="742"/>
      <c r="N46" s="743"/>
      <c r="O46" s="744"/>
      <c r="P46" s="745"/>
      <c r="Q46" s="436"/>
      <c r="R46" s="449"/>
      <c r="S46" s="29"/>
      <c r="T46" s="29"/>
      <c r="U46" s="29"/>
      <c r="V46" s="449"/>
      <c r="W46" s="450"/>
      <c r="X46" s="29"/>
      <c r="Y46" s="1"/>
      <c r="Z46" s="1"/>
      <c r="AA46" s="1"/>
      <c r="AB46" s="1"/>
      <c r="AC46" s="1"/>
      <c r="AD46" s="1"/>
      <c r="AE46" s="1"/>
      <c r="AF46" s="56"/>
      <c r="AG46" s="49"/>
    </row>
    <row r="47" spans="1:34" ht="12" thickBot="1">
      <c r="A47" s="418" t="s">
        <v>676</v>
      </c>
      <c r="B47" s="2"/>
      <c r="C47" s="7"/>
      <c r="D47" s="7"/>
      <c r="E47" s="8"/>
      <c r="F47" s="7"/>
      <c r="G47" s="7"/>
      <c r="H47" s="7"/>
      <c r="I47" s="8"/>
      <c r="J47" s="7"/>
      <c r="K47" s="7"/>
      <c r="L47" s="7"/>
      <c r="M47" s="8"/>
      <c r="N47" s="7"/>
      <c r="O47" s="7"/>
      <c r="P47" s="7"/>
      <c r="Q47" s="7"/>
      <c r="R47" s="8"/>
      <c r="S47" s="7"/>
      <c r="T47" s="7"/>
      <c r="U47" s="7"/>
      <c r="V47" s="8"/>
      <c r="W47" s="10"/>
      <c r="X47" s="7"/>
      <c r="Y47" s="2"/>
      <c r="Z47" s="2"/>
      <c r="AA47" s="2"/>
      <c r="AB47" s="2"/>
      <c r="AC47" s="2"/>
      <c r="AD47" s="2"/>
      <c r="AE47" s="2"/>
      <c r="AF47" s="2"/>
      <c r="AG47" s="49"/>
    </row>
    <row r="48" spans="1:34">
      <c r="A48" s="30"/>
      <c r="B48" s="451" t="s">
        <v>677</v>
      </c>
      <c r="C48" s="427"/>
      <c r="D48" s="427"/>
      <c r="E48" s="427"/>
      <c r="F48" s="428"/>
      <c r="G48" s="423"/>
      <c r="H48" s="423"/>
      <c r="I48" s="423"/>
      <c r="J48" s="423"/>
      <c r="K48" s="423"/>
      <c r="L48" s="423"/>
      <c r="M48" s="423"/>
      <c r="N48" s="423"/>
      <c r="O48" s="423"/>
      <c r="P48" s="423"/>
      <c r="Q48" s="423"/>
      <c r="R48" s="423"/>
      <c r="S48" s="423"/>
      <c r="T48" s="423"/>
      <c r="U48" s="423"/>
      <c r="V48" s="423"/>
      <c r="W48" s="423"/>
      <c r="X48" s="423"/>
      <c r="Y48" s="423"/>
      <c r="Z48" s="423"/>
      <c r="AA48" s="423"/>
      <c r="AB48" s="423"/>
      <c r="AC48" s="423"/>
      <c r="AD48" s="423"/>
      <c r="AE48" s="423"/>
      <c r="AF48" s="452"/>
      <c r="AG48" s="49"/>
    </row>
    <row r="49" spans="1:33">
      <c r="A49" s="30"/>
      <c r="B49" s="52" t="s">
        <v>678</v>
      </c>
      <c r="C49" s="34"/>
      <c r="D49" s="34"/>
      <c r="E49" s="34"/>
      <c r="F49" s="35"/>
      <c r="G49" s="220"/>
      <c r="H49" s="220"/>
      <c r="I49" s="220"/>
      <c r="J49" s="220"/>
      <c r="K49" s="220"/>
      <c r="L49" s="220"/>
      <c r="M49" s="220"/>
      <c r="N49" s="220"/>
      <c r="O49" s="220"/>
      <c r="P49" s="220"/>
      <c r="Q49" s="220"/>
      <c r="R49" s="220"/>
      <c r="S49" s="220"/>
      <c r="T49" s="220"/>
      <c r="U49" s="220"/>
      <c r="V49" s="220"/>
      <c r="W49" s="220"/>
      <c r="X49" s="220"/>
      <c r="Y49" s="220"/>
      <c r="Z49" s="220"/>
      <c r="AA49" s="220"/>
      <c r="AB49" s="220"/>
      <c r="AC49" s="220"/>
      <c r="AD49" s="220"/>
      <c r="AE49" s="220"/>
      <c r="AF49" s="453"/>
      <c r="AG49" s="49"/>
    </row>
    <row r="50" spans="1:33">
      <c r="A50" s="30"/>
      <c r="B50" s="52" t="s">
        <v>679</v>
      </c>
      <c r="C50" s="454"/>
      <c r="D50" s="454"/>
      <c r="E50" s="455"/>
      <c r="F50" s="456"/>
      <c r="G50" s="7"/>
      <c r="H50" s="7"/>
      <c r="I50" s="8"/>
      <c r="J50" s="7"/>
      <c r="K50" s="7"/>
      <c r="L50" s="7"/>
      <c r="M50" s="8"/>
      <c r="N50" s="7"/>
      <c r="O50" s="7"/>
      <c r="P50" s="7"/>
      <c r="Q50" s="7"/>
      <c r="R50" s="8"/>
      <c r="S50" s="7"/>
      <c r="T50" s="7"/>
      <c r="U50" s="7"/>
      <c r="V50" s="8"/>
      <c r="W50" s="10"/>
      <c r="X50" s="7"/>
      <c r="Y50" s="2"/>
      <c r="Z50" s="2"/>
      <c r="AA50" s="2"/>
      <c r="AB50" s="2"/>
      <c r="AC50" s="2"/>
      <c r="AD50" s="2"/>
      <c r="AE50" s="2"/>
      <c r="AF50" s="49"/>
      <c r="AG50" s="49"/>
    </row>
    <row r="51" spans="1:33">
      <c r="A51" s="30"/>
      <c r="B51" s="30"/>
      <c r="C51" s="7"/>
      <c r="D51" s="7"/>
      <c r="E51" s="8"/>
      <c r="F51" s="7"/>
      <c r="G51" s="7"/>
      <c r="H51" s="7"/>
      <c r="I51" s="8"/>
      <c r="J51" s="7"/>
      <c r="K51" s="7"/>
      <c r="L51" s="7"/>
      <c r="M51" s="8"/>
      <c r="N51" s="7"/>
      <c r="O51" s="7"/>
      <c r="P51" s="7"/>
      <c r="Q51" s="7"/>
      <c r="R51" s="8"/>
      <c r="S51" s="7"/>
      <c r="T51" s="7"/>
      <c r="U51" s="7"/>
      <c r="V51" s="8"/>
      <c r="W51" s="10"/>
      <c r="X51" s="7"/>
      <c r="Y51" s="2"/>
      <c r="Z51" s="2"/>
      <c r="AA51" s="2"/>
      <c r="AB51" s="2"/>
      <c r="AC51" s="2"/>
      <c r="AD51" s="2"/>
      <c r="AE51" s="2"/>
      <c r="AF51" s="49"/>
      <c r="AG51" s="49"/>
    </row>
    <row r="52" spans="1:33">
      <c r="A52" s="30"/>
      <c r="B52" s="30"/>
      <c r="C52" s="7"/>
      <c r="D52" s="7"/>
      <c r="E52" s="8"/>
      <c r="F52" s="7"/>
      <c r="G52" s="7"/>
      <c r="H52" s="7"/>
      <c r="I52" s="8"/>
      <c r="J52" s="7"/>
      <c r="K52" s="7"/>
      <c r="L52" s="7"/>
      <c r="M52" s="8"/>
      <c r="N52" s="7"/>
      <c r="O52" s="7"/>
      <c r="P52" s="7"/>
      <c r="Q52" s="7"/>
      <c r="R52" s="8"/>
      <c r="S52" s="7"/>
      <c r="T52" s="7"/>
      <c r="U52" s="7"/>
      <c r="V52" s="8"/>
      <c r="W52" s="10"/>
      <c r="X52" s="7"/>
      <c r="Y52" s="2"/>
      <c r="Z52" s="2"/>
      <c r="AA52" s="2"/>
      <c r="AB52" s="2"/>
      <c r="AC52" s="2"/>
      <c r="AD52" s="2"/>
      <c r="AE52" s="2"/>
      <c r="AF52" s="49"/>
      <c r="AG52" s="49"/>
    </row>
    <row r="53" spans="1:33">
      <c r="A53" s="30"/>
      <c r="B53" s="30"/>
      <c r="C53" s="7"/>
      <c r="D53" s="7"/>
      <c r="E53" s="8"/>
      <c r="F53" s="7"/>
      <c r="G53" s="7"/>
      <c r="H53" s="7"/>
      <c r="I53" s="8"/>
      <c r="J53" s="7"/>
      <c r="K53" s="7"/>
      <c r="L53" s="7"/>
      <c r="M53" s="8"/>
      <c r="N53" s="7"/>
      <c r="O53" s="7"/>
      <c r="P53" s="7"/>
      <c r="Q53" s="7"/>
      <c r="R53" s="8"/>
      <c r="S53" s="7"/>
      <c r="T53" s="7"/>
      <c r="U53" s="7"/>
      <c r="V53" s="8"/>
      <c r="W53" s="10"/>
      <c r="X53" s="7"/>
      <c r="Y53" s="2"/>
      <c r="Z53" s="2"/>
      <c r="AA53" s="2"/>
      <c r="AB53" s="2"/>
      <c r="AC53" s="2"/>
      <c r="AD53" s="2"/>
      <c r="AE53" s="2"/>
      <c r="AF53" s="49"/>
      <c r="AG53" s="49"/>
    </row>
    <row r="54" spans="1:33" ht="12" thickBot="1">
      <c r="A54" s="30"/>
      <c r="B54" s="4"/>
      <c r="C54" s="29"/>
      <c r="D54" s="29"/>
      <c r="E54" s="449"/>
      <c r="F54" s="29"/>
      <c r="G54" s="29"/>
      <c r="H54" s="29"/>
      <c r="I54" s="449"/>
      <c r="J54" s="29"/>
      <c r="K54" s="29"/>
      <c r="L54" s="29"/>
      <c r="M54" s="449"/>
      <c r="N54" s="29"/>
      <c r="O54" s="29"/>
      <c r="P54" s="29"/>
      <c r="Q54" s="29"/>
      <c r="R54" s="449"/>
      <c r="S54" s="29"/>
      <c r="T54" s="29"/>
      <c r="U54" s="29"/>
      <c r="V54" s="449"/>
      <c r="W54" s="450"/>
      <c r="X54" s="29"/>
      <c r="Y54" s="1"/>
      <c r="Z54" s="1"/>
      <c r="AA54" s="1"/>
      <c r="AB54" s="1"/>
      <c r="AC54" s="1"/>
      <c r="AD54" s="1"/>
      <c r="AE54" s="1"/>
      <c r="AF54" s="56"/>
      <c r="AG54" s="49"/>
    </row>
    <row r="55" spans="1:33" ht="12" thickBot="1">
      <c r="A55" s="4"/>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56"/>
    </row>
  </sheetData>
  <mergeCells count="115">
    <mergeCell ref="AD1:AG1"/>
    <mergeCell ref="G2:N2"/>
    <mergeCell ref="S2:Y2"/>
    <mergeCell ref="AD2:AG2"/>
    <mergeCell ref="O7:AG7"/>
    <mergeCell ref="M41:N41"/>
    <mergeCell ref="M42:N42"/>
    <mergeCell ref="K42:L42"/>
    <mergeCell ref="AC4:AG4"/>
    <mergeCell ref="E7:J7"/>
    <mergeCell ref="M35:N35"/>
    <mergeCell ref="M36:N36"/>
    <mergeCell ref="M37:N37"/>
    <mergeCell ref="M38:N38"/>
    <mergeCell ref="K35:L35"/>
    <mergeCell ref="K25:L25"/>
    <mergeCell ref="M22:N22"/>
    <mergeCell ref="M17:N17"/>
    <mergeCell ref="M18:N18"/>
    <mergeCell ref="D20:J20"/>
    <mergeCell ref="K26:L26"/>
    <mergeCell ref="K27:L27"/>
    <mergeCell ref="K28:L28"/>
    <mergeCell ref="M16:N16"/>
    <mergeCell ref="B18:C18"/>
    <mergeCell ref="B20:C20"/>
    <mergeCell ref="B21:C21"/>
    <mergeCell ref="K18:L18"/>
    <mergeCell ref="K36:L36"/>
    <mergeCell ref="K37:L37"/>
    <mergeCell ref="K38:L38"/>
    <mergeCell ref="G1:N1"/>
    <mergeCell ref="S1:Y1"/>
    <mergeCell ref="G3:N3"/>
    <mergeCell ref="S3:AG3"/>
    <mergeCell ref="B19:C19"/>
    <mergeCell ref="B32:C32"/>
    <mergeCell ref="D18:J18"/>
    <mergeCell ref="D19:J19"/>
    <mergeCell ref="D32:J32"/>
    <mergeCell ref="F11:H11"/>
    <mergeCell ref="AC14:AE14"/>
    <mergeCell ref="K17:L17"/>
    <mergeCell ref="K19:L19"/>
    <mergeCell ref="K21:L21"/>
    <mergeCell ref="K22:L22"/>
    <mergeCell ref="K23:L23"/>
    <mergeCell ref="K24:L24"/>
    <mergeCell ref="B22:C22"/>
    <mergeCell ref="B23:C23"/>
    <mergeCell ref="B24:C24"/>
    <mergeCell ref="E8:AG8"/>
    <mergeCell ref="F10:H10"/>
    <mergeCell ref="U14:V14"/>
    <mergeCell ref="B31:C31"/>
    <mergeCell ref="B17:C17"/>
    <mergeCell ref="B25:C25"/>
    <mergeCell ref="B26:C26"/>
    <mergeCell ref="B27:C27"/>
    <mergeCell ref="B28:C28"/>
    <mergeCell ref="M24:N24"/>
    <mergeCell ref="M28:N28"/>
    <mergeCell ref="D17:J17"/>
    <mergeCell ref="M23:N23"/>
    <mergeCell ref="M19:N19"/>
    <mergeCell ref="K20:L20"/>
    <mergeCell ref="M26:N26"/>
    <mergeCell ref="M27:N27"/>
    <mergeCell ref="O17:P17"/>
    <mergeCell ref="M25:N25"/>
    <mergeCell ref="M20:N20"/>
    <mergeCell ref="M21:N21"/>
    <mergeCell ref="B42:C42"/>
    <mergeCell ref="B41:C41"/>
    <mergeCell ref="B30:C30"/>
    <mergeCell ref="B38:C38"/>
    <mergeCell ref="B35:C35"/>
    <mergeCell ref="B40:C40"/>
    <mergeCell ref="B34:C34"/>
    <mergeCell ref="B44:C44"/>
    <mergeCell ref="D44:J44"/>
    <mergeCell ref="M39:N39"/>
    <mergeCell ref="M29:N29"/>
    <mergeCell ref="M30:N30"/>
    <mergeCell ref="M31:N31"/>
    <mergeCell ref="M32:N32"/>
    <mergeCell ref="K32:L32"/>
    <mergeCell ref="M34:N34"/>
    <mergeCell ref="K29:L29"/>
    <mergeCell ref="K30:L30"/>
    <mergeCell ref="K31:L31"/>
    <mergeCell ref="K16:L16"/>
    <mergeCell ref="B46:C46"/>
    <mergeCell ref="D46:J46"/>
    <mergeCell ref="K46:L46"/>
    <mergeCell ref="M46:N46"/>
    <mergeCell ref="O46:P46"/>
    <mergeCell ref="B45:C45"/>
    <mergeCell ref="D45:J45"/>
    <mergeCell ref="K45:L45"/>
    <mergeCell ref="M45:N45"/>
    <mergeCell ref="K44:L44"/>
    <mergeCell ref="K41:L41"/>
    <mergeCell ref="O44:P44"/>
    <mergeCell ref="O45:P45"/>
    <mergeCell ref="B37:C37"/>
    <mergeCell ref="B36:C36"/>
    <mergeCell ref="B29:C29"/>
    <mergeCell ref="B43:C43"/>
    <mergeCell ref="D43:J43"/>
    <mergeCell ref="K43:L43"/>
    <mergeCell ref="B39:C39"/>
    <mergeCell ref="K39:L39"/>
    <mergeCell ref="M44:N44"/>
    <mergeCell ref="M43:N43"/>
  </mergeCells>
  <phoneticPr fontId="20"/>
  <pageMargins left="0.78740157480314965" right="0.39370078740157483" top="0.78740157480314965" bottom="0.78740157480314965" header="0.51181102362204722" footer="0.51181102362204722"/>
  <pageSetup paperSize="9" scale="97" orientation="portrait" verticalDpi="400"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1">
    <pageSetUpPr fitToPage="1"/>
  </sheetPr>
  <dimension ref="A1:AG70"/>
  <sheetViews>
    <sheetView topLeftCell="A5" zoomScaleNormal="100" workbookViewId="0"/>
  </sheetViews>
  <sheetFormatPr defaultColWidth="2.85546875" defaultRowHeight="11.25"/>
  <cols>
    <col min="1" max="16384" width="2.85546875" style="23"/>
  </cols>
  <sheetData>
    <row r="1" spans="1:33" s="2" customFormat="1" ht="18.95" customHeight="1">
      <c r="A1" s="108"/>
      <c r="B1" s="109"/>
      <c r="C1" s="109"/>
      <c r="D1" s="110" t="s">
        <v>90</v>
      </c>
      <c r="E1" s="111"/>
      <c r="F1" s="112"/>
      <c r="G1" s="544" t="str">
        <f>IF(詳細設計書!G1="","N/A",詳細設計書!G1)</f>
        <v>統合会計システム開発</v>
      </c>
      <c r="H1" s="544"/>
      <c r="I1" s="544"/>
      <c r="J1" s="544"/>
      <c r="K1" s="544"/>
      <c r="L1" s="544"/>
      <c r="M1" s="544"/>
      <c r="N1" s="545"/>
      <c r="O1" s="110" t="s">
        <v>283</v>
      </c>
      <c r="P1" s="111"/>
      <c r="Q1" s="111"/>
      <c r="R1" s="113"/>
      <c r="S1" s="575">
        <f>IF(詳細設計書!S1="","N/A",詳細設計書!S1)</f>
        <v>42509</v>
      </c>
      <c r="T1" s="576"/>
      <c r="U1" s="576"/>
      <c r="V1" s="576"/>
      <c r="W1" s="576"/>
      <c r="X1" s="576"/>
      <c r="Y1" s="577"/>
      <c r="Z1" s="110" t="s">
        <v>284</v>
      </c>
      <c r="AA1" s="114"/>
      <c r="AB1" s="114"/>
      <c r="AC1" s="115"/>
      <c r="AD1" s="578">
        <f>IF(詳細設計書!AD1="","N/A",詳細設計書!AD1)</f>
        <v>42559</v>
      </c>
      <c r="AE1" s="579"/>
      <c r="AF1" s="579"/>
      <c r="AG1" s="580"/>
    </row>
    <row r="2" spans="1:33" s="2" customFormat="1" ht="18.95" customHeight="1">
      <c r="A2" s="30"/>
      <c r="D2" s="116" t="s">
        <v>93</v>
      </c>
      <c r="E2" s="34"/>
      <c r="F2" s="117"/>
      <c r="G2" s="550" t="str">
        <f>IF(詳細設計書!G2="","N/A",詳細設計書!G2)</f>
        <v>SAP R/3(レポート)</v>
      </c>
      <c r="H2" s="550"/>
      <c r="I2" s="550"/>
      <c r="J2" s="550"/>
      <c r="K2" s="550"/>
      <c r="L2" s="550"/>
      <c r="M2" s="550"/>
      <c r="N2" s="551"/>
      <c r="O2" s="116" t="s">
        <v>286</v>
      </c>
      <c r="P2" s="34"/>
      <c r="Q2" s="34"/>
      <c r="R2" s="118"/>
      <c r="S2" s="581" t="str">
        <f>IF(詳細設計書!S2="","N/A",詳細設計書!S2)</f>
        <v>KSC 橋本</v>
      </c>
      <c r="T2" s="582"/>
      <c r="U2" s="582"/>
      <c r="V2" s="582"/>
      <c r="W2" s="582"/>
      <c r="X2" s="582"/>
      <c r="Y2" s="583"/>
      <c r="Z2" s="116" t="s">
        <v>288</v>
      </c>
      <c r="AA2" s="119"/>
      <c r="AB2" s="120"/>
      <c r="AC2" s="117"/>
      <c r="AD2" s="759" t="str">
        <f>IF(詳細設計書!AD2="","N/A",詳細設計書!AD2)</f>
        <v>KSC 橋本</v>
      </c>
      <c r="AE2" s="760"/>
      <c r="AF2" s="760"/>
      <c r="AG2" s="761"/>
    </row>
    <row r="3" spans="1:33" s="2" customFormat="1" ht="18.95" customHeight="1" thickBot="1">
      <c r="A3" s="4"/>
      <c r="B3" s="1"/>
      <c r="C3" s="121"/>
      <c r="D3" s="122" t="s">
        <v>96</v>
      </c>
      <c r="E3" s="123"/>
      <c r="F3" s="124"/>
      <c r="G3" s="563" t="str">
        <f>IF(詳細設計書!G3="","N/A",詳細設計書!G3)</f>
        <v>DP_FI_2014_01</v>
      </c>
      <c r="H3" s="564"/>
      <c r="I3" s="564"/>
      <c r="J3" s="564"/>
      <c r="K3" s="564"/>
      <c r="L3" s="564"/>
      <c r="M3" s="564"/>
      <c r="N3" s="565"/>
      <c r="O3" s="122" t="s">
        <v>97</v>
      </c>
      <c r="P3" s="123"/>
      <c r="Q3" s="123"/>
      <c r="R3" s="125"/>
      <c r="S3" s="566" t="str">
        <f>IF(詳細設計書!S3="","N/A",詳細設計書!S3)</f>
        <v>ZFIPR_2014_01</v>
      </c>
      <c r="T3" s="566"/>
      <c r="U3" s="566"/>
      <c r="V3" s="566"/>
      <c r="W3" s="566"/>
      <c r="X3" s="566"/>
      <c r="Y3" s="566"/>
      <c r="Z3" s="566"/>
      <c r="AA3" s="566"/>
      <c r="AB3" s="566"/>
      <c r="AC3" s="566"/>
      <c r="AD3" s="566"/>
      <c r="AE3" s="566"/>
      <c r="AF3" s="566"/>
      <c r="AG3" s="567"/>
    </row>
    <row r="4" spans="1:33" s="129" customFormat="1" ht="18.95" customHeight="1" thickBot="1">
      <c r="A4" s="31" t="s">
        <v>709</v>
      </c>
      <c r="B4" s="127"/>
      <c r="C4" s="128"/>
      <c r="D4" s="353" t="s">
        <v>710</v>
      </c>
      <c r="E4" s="126"/>
      <c r="F4" s="126"/>
      <c r="G4" s="126"/>
      <c r="H4" s="126"/>
      <c r="I4" s="126"/>
      <c r="J4" s="126"/>
      <c r="K4" s="126"/>
      <c r="L4" s="126"/>
      <c r="M4" s="126"/>
      <c r="N4" s="126"/>
      <c r="O4" s="126"/>
      <c r="P4" s="126"/>
      <c r="Q4" s="126"/>
      <c r="R4" s="126"/>
      <c r="S4" s="126"/>
      <c r="T4" s="126"/>
      <c r="U4" s="126"/>
      <c r="V4" s="126"/>
      <c r="W4" s="126"/>
      <c r="X4" s="126"/>
      <c r="Y4" s="126"/>
      <c r="Z4" s="31" t="s">
        <v>711</v>
      </c>
      <c r="AA4" s="127"/>
      <c r="AB4" s="128"/>
      <c r="AC4" s="560" t="str">
        <f>IF(詳細設計書!AC4="","N/A",詳細設計書!AC4)</f>
        <v>1.0</v>
      </c>
      <c r="AD4" s="560"/>
      <c r="AE4" s="560"/>
      <c r="AF4" s="560"/>
      <c r="AG4" s="561"/>
    </row>
    <row r="5" spans="1:33" ht="7.5" customHeight="1"/>
    <row r="6" spans="1:33" s="100" customFormat="1" ht="14.25" customHeight="1" thickBot="1">
      <c r="A6" s="100" t="s">
        <v>712</v>
      </c>
    </row>
    <row r="7" spans="1:33" ht="27" customHeight="1" thickBot="1">
      <c r="A7" s="105" t="s">
        <v>713</v>
      </c>
      <c r="B7" s="133"/>
      <c r="C7" s="477"/>
      <c r="D7" s="771" t="s">
        <v>714</v>
      </c>
      <c r="E7" s="772"/>
      <c r="F7" s="772"/>
      <c r="G7" s="772"/>
      <c r="H7" s="773"/>
      <c r="I7" s="478" t="s">
        <v>715</v>
      </c>
      <c r="J7" s="133"/>
      <c r="K7" s="477"/>
      <c r="L7" s="774" t="s">
        <v>716</v>
      </c>
      <c r="M7" s="775"/>
      <c r="N7" s="775"/>
      <c r="O7" s="775"/>
      <c r="P7" s="775"/>
      <c r="Q7" s="775"/>
      <c r="R7" s="776"/>
      <c r="S7" s="479" t="s">
        <v>717</v>
      </c>
      <c r="T7" s="480"/>
      <c r="U7" s="480"/>
      <c r="V7" s="481"/>
      <c r="W7" s="777" t="s">
        <v>718</v>
      </c>
      <c r="X7" s="778"/>
      <c r="Y7" s="778"/>
      <c r="Z7" s="778"/>
      <c r="AA7" s="778"/>
      <c r="AB7" s="778"/>
      <c r="AC7" s="778"/>
      <c r="AD7" s="778"/>
      <c r="AE7" s="778"/>
      <c r="AF7" s="778"/>
      <c r="AG7" s="779"/>
    </row>
    <row r="8" spans="1:33" s="100" customFormat="1" ht="14.25" customHeight="1">
      <c r="A8" s="105" t="s">
        <v>719</v>
      </c>
      <c r="B8" s="482"/>
      <c r="C8" s="482"/>
      <c r="D8" s="482"/>
      <c r="E8" s="482"/>
      <c r="F8" s="482"/>
      <c r="G8" s="482"/>
      <c r="H8" s="482"/>
      <c r="I8" s="482"/>
      <c r="J8" s="482"/>
      <c r="K8" s="482"/>
      <c r="L8" s="482"/>
      <c r="M8" s="482"/>
      <c r="N8" s="482"/>
      <c r="O8" s="482"/>
      <c r="P8" s="482"/>
      <c r="Q8" s="482"/>
      <c r="R8" s="482"/>
      <c r="S8" s="482"/>
      <c r="T8" s="482"/>
      <c r="U8" s="482"/>
      <c r="V8" s="482"/>
      <c r="W8" s="482"/>
      <c r="X8" s="482"/>
      <c r="Y8" s="482"/>
      <c r="Z8" s="482"/>
      <c r="AA8" s="482"/>
      <c r="AB8" s="482"/>
      <c r="AC8" s="482"/>
      <c r="AD8" s="482"/>
      <c r="AE8" s="482"/>
      <c r="AF8" s="482"/>
      <c r="AG8" s="483"/>
    </row>
    <row r="9" spans="1:33" s="100" customFormat="1" ht="14.25" customHeight="1">
      <c r="A9" s="101"/>
      <c r="AG9" s="106"/>
    </row>
    <row r="10" spans="1:33" s="100" customFormat="1" ht="14.25" customHeight="1">
      <c r="A10" s="101"/>
      <c r="B10" s="3" t="s">
        <v>720</v>
      </c>
      <c r="AG10" s="106"/>
    </row>
    <row r="11" spans="1:33" s="100" customFormat="1" ht="14.25" customHeight="1">
      <c r="A11" s="101"/>
      <c r="B11" s="100" t="s">
        <v>721</v>
      </c>
      <c r="AG11" s="106"/>
    </row>
    <row r="12" spans="1:33" s="100" customFormat="1" ht="14.25" customHeight="1">
      <c r="A12" s="101"/>
      <c r="AG12" s="106"/>
    </row>
    <row r="13" spans="1:33" s="100" customFormat="1" ht="14.25" customHeight="1">
      <c r="A13" s="101"/>
      <c r="AG13" s="106"/>
    </row>
    <row r="14" spans="1:33" s="100" customFormat="1" ht="14.25" customHeight="1" thickBot="1">
      <c r="A14" s="484"/>
      <c r="B14" s="103"/>
      <c r="C14" s="103"/>
      <c r="D14" s="103"/>
      <c r="E14" s="103"/>
      <c r="F14" s="103"/>
      <c r="G14" s="103"/>
      <c r="H14" s="103"/>
      <c r="I14" s="103"/>
      <c r="J14" s="103"/>
      <c r="K14" s="103"/>
      <c r="L14" s="103"/>
      <c r="M14" s="103"/>
      <c r="N14" s="103"/>
      <c r="O14" s="103"/>
      <c r="P14" s="103"/>
      <c r="Q14" s="103"/>
      <c r="R14" s="103"/>
      <c r="S14" s="103"/>
      <c r="T14" s="103"/>
      <c r="U14" s="103"/>
      <c r="V14" s="103"/>
      <c r="W14" s="103"/>
      <c r="X14" s="103"/>
      <c r="Y14" s="103"/>
      <c r="Z14" s="103"/>
      <c r="AA14" s="103"/>
      <c r="AB14" s="103"/>
      <c r="AC14" s="103"/>
      <c r="AD14" s="103"/>
      <c r="AE14" s="103"/>
      <c r="AF14" s="103"/>
      <c r="AG14" s="457"/>
    </row>
    <row r="15" spans="1:33" ht="14.25" customHeight="1" thickBot="1">
      <c r="A15" s="485" t="s">
        <v>722</v>
      </c>
      <c r="B15" s="486"/>
      <c r="C15" s="487"/>
      <c r="D15" s="486"/>
      <c r="E15" s="486"/>
      <c r="F15" s="488"/>
      <c r="G15" s="485" t="s">
        <v>723</v>
      </c>
      <c r="H15" s="488"/>
      <c r="I15" s="485" t="s">
        <v>724</v>
      </c>
      <c r="J15" s="486"/>
      <c r="K15" s="486"/>
      <c r="L15" s="486"/>
      <c r="M15" s="486"/>
      <c r="N15" s="486"/>
      <c r="O15" s="486"/>
      <c r="P15" s="486"/>
      <c r="Q15" s="486"/>
      <c r="R15" s="486"/>
      <c r="S15" s="486"/>
      <c r="T15" s="486"/>
      <c r="U15" s="486"/>
      <c r="V15" s="486"/>
      <c r="W15" s="486"/>
      <c r="X15" s="486"/>
      <c r="Y15" s="486"/>
      <c r="Z15" s="486"/>
      <c r="AA15" s="486"/>
      <c r="AB15" s="486"/>
      <c r="AC15" s="486"/>
      <c r="AD15" s="486"/>
      <c r="AE15" s="486"/>
      <c r="AF15" s="486"/>
      <c r="AG15" s="489"/>
    </row>
    <row r="16" spans="1:33" s="490" customFormat="1" ht="14.25" customHeight="1" thickTop="1">
      <c r="A16" s="628" t="s">
        <v>725</v>
      </c>
      <c r="B16" s="629"/>
      <c r="C16" s="629"/>
      <c r="D16" s="629"/>
      <c r="E16" s="629"/>
      <c r="F16" s="630"/>
      <c r="G16" s="631" t="s">
        <v>16</v>
      </c>
      <c r="H16" s="627"/>
      <c r="I16" s="490" t="s">
        <v>726</v>
      </c>
      <c r="AG16" s="491"/>
    </row>
    <row r="17" spans="1:33" s="490" customFormat="1" ht="14.25" customHeight="1">
      <c r="A17" s="623" t="s">
        <v>727</v>
      </c>
      <c r="B17" s="624"/>
      <c r="C17" s="624"/>
      <c r="D17" s="624"/>
      <c r="E17" s="624"/>
      <c r="F17" s="625"/>
      <c r="G17" s="621" t="s">
        <v>16</v>
      </c>
      <c r="H17" s="620"/>
      <c r="I17" s="490" t="s">
        <v>728</v>
      </c>
      <c r="AG17" s="491"/>
    </row>
    <row r="18" spans="1:33" s="490" customFormat="1" ht="14.25" customHeight="1">
      <c r="A18" s="623" t="s">
        <v>729</v>
      </c>
      <c r="B18" s="624"/>
      <c r="C18" s="624"/>
      <c r="D18" s="624"/>
      <c r="E18" s="624"/>
      <c r="F18" s="625"/>
      <c r="G18" s="621" t="s">
        <v>16</v>
      </c>
      <c r="H18" s="620"/>
      <c r="I18" s="490" t="s">
        <v>730</v>
      </c>
      <c r="AG18" s="491"/>
    </row>
    <row r="19" spans="1:33" s="490" customFormat="1" ht="14.25" customHeight="1">
      <c r="A19" s="768" t="s">
        <v>731</v>
      </c>
      <c r="B19" s="769"/>
      <c r="C19" s="769"/>
      <c r="D19" s="769"/>
      <c r="E19" s="769"/>
      <c r="F19" s="770"/>
      <c r="G19" s="621"/>
      <c r="H19" s="620"/>
      <c r="I19" s="490" t="s">
        <v>732</v>
      </c>
      <c r="AG19" s="491"/>
    </row>
    <row r="20" spans="1:33" s="490" customFormat="1" ht="14.25" customHeight="1">
      <c r="A20" s="768" t="s">
        <v>733</v>
      </c>
      <c r="B20" s="769"/>
      <c r="C20" s="769"/>
      <c r="D20" s="769"/>
      <c r="E20" s="769"/>
      <c r="F20" s="770"/>
      <c r="G20" s="621"/>
      <c r="H20" s="620"/>
      <c r="I20" s="490" t="s">
        <v>734</v>
      </c>
      <c r="AG20" s="491"/>
    </row>
    <row r="21" spans="1:33" s="490" customFormat="1" ht="14.25" customHeight="1">
      <c r="A21" s="768" t="s">
        <v>735</v>
      </c>
      <c r="B21" s="769"/>
      <c r="C21" s="769"/>
      <c r="D21" s="769"/>
      <c r="E21" s="769"/>
      <c r="F21" s="770"/>
      <c r="G21" s="621"/>
      <c r="H21" s="620"/>
      <c r="I21" s="490" t="s">
        <v>736</v>
      </c>
      <c r="AG21" s="491"/>
    </row>
    <row r="22" spans="1:33" s="490" customFormat="1" ht="14.25" customHeight="1">
      <c r="A22" s="768" t="s">
        <v>737</v>
      </c>
      <c r="B22" s="769"/>
      <c r="C22" s="769"/>
      <c r="D22" s="769"/>
      <c r="E22" s="769"/>
      <c r="F22" s="770"/>
      <c r="G22" s="621"/>
      <c r="H22" s="620"/>
      <c r="I22" s="490" t="s">
        <v>738</v>
      </c>
      <c r="AG22" s="491"/>
    </row>
    <row r="23" spans="1:33" s="490" customFormat="1" ht="14.25" customHeight="1">
      <c r="A23" s="623" t="s">
        <v>739</v>
      </c>
      <c r="B23" s="624"/>
      <c r="C23" s="624"/>
      <c r="D23" s="624"/>
      <c r="E23" s="764"/>
      <c r="F23" s="765"/>
      <c r="G23" s="621"/>
      <c r="H23" s="620"/>
      <c r="I23" s="490" t="s">
        <v>740</v>
      </c>
      <c r="AG23" s="491"/>
    </row>
    <row r="24" spans="1:33" s="490" customFormat="1" ht="14.25" customHeight="1">
      <c r="A24" s="623" t="s">
        <v>741</v>
      </c>
      <c r="B24" s="624"/>
      <c r="C24" s="624"/>
      <c r="D24" s="624"/>
      <c r="E24" s="764"/>
      <c r="F24" s="765"/>
      <c r="G24" s="621"/>
      <c r="H24" s="620"/>
      <c r="I24" s="490" t="s">
        <v>742</v>
      </c>
      <c r="AG24" s="491"/>
    </row>
    <row r="25" spans="1:33" s="490" customFormat="1" ht="14.25" customHeight="1">
      <c r="A25" s="623"/>
      <c r="B25" s="624"/>
      <c r="C25" s="624"/>
      <c r="D25" s="624"/>
      <c r="E25" s="764"/>
      <c r="F25" s="765"/>
      <c r="G25" s="621"/>
      <c r="H25" s="620"/>
      <c r="AG25" s="491"/>
    </row>
    <row r="26" spans="1:33" s="490" customFormat="1" ht="14.25" customHeight="1">
      <c r="A26" s="623"/>
      <c r="B26" s="624"/>
      <c r="C26" s="624"/>
      <c r="D26" s="624"/>
      <c r="E26" s="764"/>
      <c r="F26" s="765"/>
      <c r="G26" s="621"/>
      <c r="H26" s="620"/>
      <c r="AG26" s="491"/>
    </row>
    <row r="27" spans="1:33" s="490" customFormat="1" ht="14.25" customHeight="1">
      <c r="A27" s="623"/>
      <c r="B27" s="624"/>
      <c r="C27" s="624"/>
      <c r="D27" s="624"/>
      <c r="E27" s="764"/>
      <c r="F27" s="765"/>
      <c r="G27" s="621"/>
      <c r="H27" s="620"/>
      <c r="AG27" s="491"/>
    </row>
    <row r="28" spans="1:33" s="490" customFormat="1" ht="14.25" customHeight="1">
      <c r="A28" s="623"/>
      <c r="B28" s="624"/>
      <c r="C28" s="624"/>
      <c r="D28" s="624"/>
      <c r="E28" s="764"/>
      <c r="F28" s="765"/>
      <c r="G28" s="621"/>
      <c r="H28" s="620"/>
      <c r="AG28" s="491"/>
    </row>
    <row r="29" spans="1:33" s="490" customFormat="1" ht="14.25" customHeight="1">
      <c r="A29" s="623"/>
      <c r="B29" s="624"/>
      <c r="C29" s="624"/>
      <c r="D29" s="624"/>
      <c r="E29" s="764"/>
      <c r="F29" s="765"/>
      <c r="G29" s="621"/>
      <c r="H29" s="620"/>
      <c r="AG29" s="491"/>
    </row>
    <row r="30" spans="1:33" s="490" customFormat="1" ht="14.25" customHeight="1">
      <c r="A30" s="623"/>
      <c r="B30" s="624"/>
      <c r="C30" s="624"/>
      <c r="D30" s="624"/>
      <c r="E30" s="764"/>
      <c r="F30" s="765"/>
      <c r="G30" s="621"/>
      <c r="H30" s="620"/>
      <c r="AG30" s="491"/>
    </row>
    <row r="31" spans="1:33" s="490" customFormat="1" ht="14.25" customHeight="1">
      <c r="A31" s="623"/>
      <c r="B31" s="624"/>
      <c r="C31" s="624"/>
      <c r="D31" s="624"/>
      <c r="E31" s="764"/>
      <c r="F31" s="765"/>
      <c r="G31" s="621"/>
      <c r="H31" s="620"/>
      <c r="AG31" s="491"/>
    </row>
    <row r="32" spans="1:33" s="490" customFormat="1" ht="14.25" customHeight="1">
      <c r="A32" s="623"/>
      <c r="B32" s="624"/>
      <c r="C32" s="624"/>
      <c r="D32" s="624"/>
      <c r="E32" s="764"/>
      <c r="F32" s="765"/>
      <c r="G32" s="621"/>
      <c r="H32" s="620"/>
      <c r="AG32" s="491"/>
    </row>
    <row r="33" spans="1:33" s="490" customFormat="1" ht="14.25" customHeight="1">
      <c r="A33" s="623"/>
      <c r="B33" s="624"/>
      <c r="C33" s="624"/>
      <c r="D33" s="624"/>
      <c r="E33" s="764"/>
      <c r="F33" s="765"/>
      <c r="G33" s="621"/>
      <c r="H33" s="620"/>
      <c r="AG33" s="491"/>
    </row>
    <row r="34" spans="1:33" s="490" customFormat="1" ht="14.25" customHeight="1">
      <c r="A34" s="623"/>
      <c r="B34" s="624"/>
      <c r="C34" s="624"/>
      <c r="D34" s="624"/>
      <c r="E34" s="764"/>
      <c r="F34" s="765"/>
      <c r="G34" s="621"/>
      <c r="H34" s="620"/>
      <c r="AG34" s="491"/>
    </row>
    <row r="35" spans="1:33" s="490" customFormat="1" ht="14.25" customHeight="1">
      <c r="A35" s="623"/>
      <c r="B35" s="624"/>
      <c r="C35" s="624"/>
      <c r="D35" s="624"/>
      <c r="E35" s="764"/>
      <c r="F35" s="765"/>
      <c r="G35" s="621"/>
      <c r="H35" s="620"/>
      <c r="AG35" s="491"/>
    </row>
    <row r="36" spans="1:33" s="490" customFormat="1" ht="14.25" customHeight="1">
      <c r="A36" s="623"/>
      <c r="B36" s="624"/>
      <c r="C36" s="624"/>
      <c r="D36" s="624"/>
      <c r="E36" s="764"/>
      <c r="F36" s="765"/>
      <c r="G36" s="621"/>
      <c r="H36" s="620"/>
      <c r="AG36" s="491"/>
    </row>
    <row r="37" spans="1:33" s="490" customFormat="1" ht="14.25" customHeight="1">
      <c r="A37" s="623"/>
      <c r="B37" s="624"/>
      <c r="C37" s="624"/>
      <c r="D37" s="624"/>
      <c r="E37" s="764"/>
      <c r="F37" s="765"/>
      <c r="G37" s="621"/>
      <c r="H37" s="620"/>
      <c r="AG37" s="491"/>
    </row>
    <row r="38" spans="1:33" s="490" customFormat="1" ht="14.25" customHeight="1">
      <c r="A38" s="623"/>
      <c r="B38" s="624"/>
      <c r="C38" s="624"/>
      <c r="D38" s="624"/>
      <c r="E38" s="764"/>
      <c r="F38" s="765"/>
      <c r="G38" s="621"/>
      <c r="H38" s="620"/>
      <c r="AG38" s="491"/>
    </row>
    <row r="39" spans="1:33" s="490" customFormat="1" ht="14.25" customHeight="1">
      <c r="A39" s="623"/>
      <c r="B39" s="624"/>
      <c r="C39" s="624"/>
      <c r="D39" s="624"/>
      <c r="E39" s="764"/>
      <c r="F39" s="765"/>
      <c r="G39" s="621"/>
      <c r="H39" s="620"/>
      <c r="AG39" s="491"/>
    </row>
    <row r="40" spans="1:33" s="490" customFormat="1" ht="14.25" customHeight="1">
      <c r="A40" s="623"/>
      <c r="B40" s="624"/>
      <c r="C40" s="624"/>
      <c r="D40" s="624"/>
      <c r="E40" s="764"/>
      <c r="F40" s="765"/>
      <c r="G40" s="621"/>
      <c r="H40" s="620"/>
      <c r="AG40" s="491"/>
    </row>
    <row r="41" spans="1:33" s="490" customFormat="1" ht="14.25" customHeight="1">
      <c r="A41" s="623"/>
      <c r="B41" s="624"/>
      <c r="C41" s="624"/>
      <c r="D41" s="624"/>
      <c r="E41" s="764"/>
      <c r="F41" s="765"/>
      <c r="G41" s="621"/>
      <c r="H41" s="620"/>
      <c r="AG41" s="491"/>
    </row>
    <row r="42" spans="1:33" s="490" customFormat="1" ht="14.25" customHeight="1">
      <c r="A42" s="623"/>
      <c r="B42" s="624"/>
      <c r="C42" s="624"/>
      <c r="D42" s="624"/>
      <c r="E42" s="764"/>
      <c r="F42" s="765"/>
      <c r="G42" s="621"/>
      <c r="H42" s="620"/>
      <c r="AG42" s="491"/>
    </row>
    <row r="43" spans="1:33" s="490" customFormat="1" ht="14.25" customHeight="1">
      <c r="A43" s="623"/>
      <c r="B43" s="624"/>
      <c r="C43" s="624"/>
      <c r="D43" s="624"/>
      <c r="E43" s="764"/>
      <c r="F43" s="765"/>
      <c r="G43" s="621"/>
      <c r="H43" s="620"/>
      <c r="AG43" s="491"/>
    </row>
    <row r="44" spans="1:33" s="490" customFormat="1" ht="14.25" customHeight="1">
      <c r="A44" s="623"/>
      <c r="B44" s="624"/>
      <c r="C44" s="624"/>
      <c r="D44" s="624"/>
      <c r="E44" s="764"/>
      <c r="F44" s="765"/>
      <c r="G44" s="621"/>
      <c r="H44" s="620"/>
      <c r="AG44" s="491"/>
    </row>
    <row r="45" spans="1:33" s="490" customFormat="1" ht="14.25" customHeight="1">
      <c r="A45" s="623"/>
      <c r="B45" s="624"/>
      <c r="C45" s="624"/>
      <c r="D45" s="624"/>
      <c r="E45" s="764"/>
      <c r="F45" s="765"/>
      <c r="G45" s="621"/>
      <c r="H45" s="620"/>
      <c r="AG45" s="491"/>
    </row>
    <row r="46" spans="1:33" s="490" customFormat="1" ht="14.25" customHeight="1">
      <c r="A46" s="623"/>
      <c r="B46" s="624"/>
      <c r="C46" s="624"/>
      <c r="D46" s="624"/>
      <c r="E46" s="764"/>
      <c r="F46" s="765"/>
      <c r="G46" s="621"/>
      <c r="H46" s="620"/>
      <c r="AG46" s="491"/>
    </row>
    <row r="47" spans="1:33" s="490" customFormat="1" ht="14.25" customHeight="1">
      <c r="A47" s="623"/>
      <c r="B47" s="624"/>
      <c r="C47" s="624"/>
      <c r="D47" s="624"/>
      <c r="E47" s="764"/>
      <c r="F47" s="765"/>
      <c r="G47" s="621"/>
      <c r="H47" s="620"/>
      <c r="AG47" s="491"/>
    </row>
    <row r="48" spans="1:33" s="490" customFormat="1" ht="14.25" customHeight="1">
      <c r="A48" s="623"/>
      <c r="B48" s="624"/>
      <c r="C48" s="624"/>
      <c r="D48" s="624"/>
      <c r="E48" s="764"/>
      <c r="F48" s="765"/>
      <c r="G48" s="621"/>
      <c r="H48" s="620"/>
      <c r="AG48" s="491"/>
    </row>
    <row r="49" spans="1:33" s="490" customFormat="1" ht="14.25" customHeight="1">
      <c r="A49" s="623"/>
      <c r="B49" s="624"/>
      <c r="C49" s="624"/>
      <c r="D49" s="624"/>
      <c r="E49" s="764"/>
      <c r="F49" s="765"/>
      <c r="G49" s="621"/>
      <c r="H49" s="620"/>
      <c r="AG49" s="491"/>
    </row>
    <row r="50" spans="1:33" s="490" customFormat="1" ht="14.25" customHeight="1">
      <c r="A50" s="623"/>
      <c r="B50" s="624"/>
      <c r="C50" s="624"/>
      <c r="D50" s="624"/>
      <c r="E50" s="764"/>
      <c r="F50" s="765"/>
      <c r="G50" s="621"/>
      <c r="H50" s="620"/>
      <c r="AG50" s="491"/>
    </row>
    <row r="51" spans="1:33" s="490" customFormat="1" ht="14.25" customHeight="1" thickBot="1">
      <c r="A51" s="641"/>
      <c r="B51" s="642"/>
      <c r="C51" s="642"/>
      <c r="D51" s="642"/>
      <c r="E51" s="766"/>
      <c r="F51" s="767"/>
      <c r="G51" s="637"/>
      <c r="H51" s="639"/>
      <c r="I51" s="492"/>
      <c r="J51" s="492"/>
      <c r="K51" s="492"/>
      <c r="L51" s="492"/>
      <c r="M51" s="492"/>
      <c r="N51" s="492"/>
      <c r="O51" s="492"/>
      <c r="P51" s="492"/>
      <c r="Q51" s="492"/>
      <c r="R51" s="492"/>
      <c r="S51" s="492"/>
      <c r="T51" s="492"/>
      <c r="U51" s="492"/>
      <c r="V51" s="492"/>
      <c r="W51" s="492"/>
      <c r="X51" s="492"/>
      <c r="Y51" s="492"/>
      <c r="Z51" s="492"/>
      <c r="AA51" s="492"/>
      <c r="AB51" s="492"/>
      <c r="AC51" s="492"/>
      <c r="AD51" s="492"/>
      <c r="AE51" s="492"/>
      <c r="AF51" s="492"/>
      <c r="AG51" s="493"/>
    </row>
    <row r="52" spans="1:33" ht="14.25" customHeight="1"/>
    <row r="53" spans="1:33" ht="14.25" customHeight="1"/>
    <row r="54" spans="1:33" ht="14.25" customHeight="1"/>
    <row r="55" spans="1:33" ht="14.25" customHeight="1"/>
    <row r="56" spans="1:33" ht="14.25" customHeight="1"/>
    <row r="57" spans="1:33" ht="14.25" customHeight="1">
      <c r="A57" s="494"/>
      <c r="B57" s="494"/>
      <c r="C57" s="494"/>
      <c r="D57" s="494"/>
      <c r="E57" s="494"/>
      <c r="F57" s="494"/>
      <c r="G57" s="494"/>
      <c r="H57" s="494"/>
      <c r="I57" s="494"/>
      <c r="J57" s="494"/>
      <c r="K57" s="494"/>
      <c r="L57" s="494"/>
      <c r="M57" s="494"/>
      <c r="N57" s="494"/>
      <c r="O57" s="494"/>
      <c r="P57" s="494"/>
      <c r="Q57" s="494"/>
      <c r="R57" s="494"/>
      <c r="S57" s="494"/>
      <c r="T57" s="494"/>
      <c r="U57" s="494"/>
      <c r="V57" s="494"/>
      <c r="W57" s="494"/>
      <c r="X57" s="494"/>
      <c r="Y57" s="494"/>
      <c r="Z57" s="494"/>
      <c r="AA57" s="494"/>
      <c r="AB57" s="494"/>
      <c r="AC57" s="494"/>
      <c r="AD57" s="494"/>
      <c r="AE57" s="494"/>
      <c r="AF57" s="494"/>
    </row>
    <row r="58" spans="1:33" ht="14.25" customHeight="1"/>
    <row r="59" spans="1:33" ht="14.25" customHeight="1"/>
    <row r="60" spans="1:33" ht="14.25" customHeight="1"/>
    <row r="61" spans="1:33" ht="14.25" customHeight="1"/>
    <row r="62" spans="1:33" ht="14.25" customHeight="1"/>
    <row r="63" spans="1:33" ht="14.25" customHeight="1"/>
    <row r="64" spans="1:33" ht="14.25" customHeight="1"/>
    <row r="65" ht="14.25" customHeight="1"/>
    <row r="66" ht="14.25" customHeight="1"/>
    <row r="67" ht="14.25" customHeight="1"/>
    <row r="68" ht="14.25" customHeight="1"/>
    <row r="69" ht="14.25" customHeight="1"/>
    <row r="70" ht="14.25" customHeight="1"/>
  </sheetData>
  <mergeCells count="84">
    <mergeCell ref="W7:AG7"/>
    <mergeCell ref="A39:F39"/>
    <mergeCell ref="G39:H39"/>
    <mergeCell ref="A36:F36"/>
    <mergeCell ref="G36:H36"/>
    <mergeCell ref="A37:F37"/>
    <mergeCell ref="G37:H37"/>
    <mergeCell ref="A27:F27"/>
    <mergeCell ref="G27:H27"/>
    <mergeCell ref="G34:H34"/>
    <mergeCell ref="A35:F35"/>
    <mergeCell ref="G35:H35"/>
    <mergeCell ref="A30:F30"/>
    <mergeCell ref="G30:H30"/>
    <mergeCell ref="A33:F33"/>
    <mergeCell ref="G33:H33"/>
    <mergeCell ref="G43:H43"/>
    <mergeCell ref="G44:H44"/>
    <mergeCell ref="G24:H24"/>
    <mergeCell ref="G25:H25"/>
    <mergeCell ref="G28:H28"/>
    <mergeCell ref="G29:H29"/>
    <mergeCell ref="G26:H26"/>
    <mergeCell ref="G38:H38"/>
    <mergeCell ref="G31:H31"/>
    <mergeCell ref="G32:H32"/>
    <mergeCell ref="G40:H40"/>
    <mergeCell ref="G41:H41"/>
    <mergeCell ref="G42:H42"/>
    <mergeCell ref="AC4:AG4"/>
    <mergeCell ref="G22:H22"/>
    <mergeCell ref="G1:N1"/>
    <mergeCell ref="S1:Y1"/>
    <mergeCell ref="G23:H23"/>
    <mergeCell ref="G16:H16"/>
    <mergeCell ref="AD1:AG1"/>
    <mergeCell ref="G2:N2"/>
    <mergeCell ref="S2:Y2"/>
    <mergeCell ref="AD2:AG2"/>
    <mergeCell ref="G3:N3"/>
    <mergeCell ref="S3:AG3"/>
    <mergeCell ref="D7:H7"/>
    <mergeCell ref="L7:R7"/>
    <mergeCell ref="A19:F19"/>
    <mergeCell ref="A20:F20"/>
    <mergeCell ref="A22:F22"/>
    <mergeCell ref="A21:F21"/>
    <mergeCell ref="G19:H19"/>
    <mergeCell ref="G20:H20"/>
    <mergeCell ref="G21:H21"/>
    <mergeCell ref="A16:F16"/>
    <mergeCell ref="A17:F17"/>
    <mergeCell ref="A18:F18"/>
    <mergeCell ref="G17:H17"/>
    <mergeCell ref="G18:H18"/>
    <mergeCell ref="A23:F23"/>
    <mergeCell ref="A45:F45"/>
    <mergeCell ref="A46:F46"/>
    <mergeCell ref="A31:F31"/>
    <mergeCell ref="A32:F32"/>
    <mergeCell ref="A40:F40"/>
    <mergeCell ref="A41:F41"/>
    <mergeCell ref="A42:F42"/>
    <mergeCell ref="A43:F43"/>
    <mergeCell ref="A24:F24"/>
    <mergeCell ref="A25:F25"/>
    <mergeCell ref="A28:F28"/>
    <mergeCell ref="A29:F29"/>
    <mergeCell ref="A34:F34"/>
    <mergeCell ref="A38:F38"/>
    <mergeCell ref="A26:F26"/>
    <mergeCell ref="G50:H50"/>
    <mergeCell ref="A44:F44"/>
    <mergeCell ref="G51:H51"/>
    <mergeCell ref="A51:F51"/>
    <mergeCell ref="A47:F47"/>
    <mergeCell ref="A48:F48"/>
    <mergeCell ref="A49:F49"/>
    <mergeCell ref="A50:F50"/>
    <mergeCell ref="G47:H47"/>
    <mergeCell ref="G48:H48"/>
    <mergeCell ref="G49:H49"/>
    <mergeCell ref="G46:H46"/>
    <mergeCell ref="G45:H45"/>
  </mergeCells>
  <phoneticPr fontId="5"/>
  <pageMargins left="0.78740157480314965" right="0.39370078740157483" top="0.78740157480314965" bottom="0.78740157480314965" header="0.51181102362204722" footer="0.51181102362204722"/>
  <pageSetup paperSize="9" scale="96" orientation="portrait" verticalDpi="400" r:id="rId1"/>
  <headerFooter alignWithMargins="0"/>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61"/>
  <dimension ref="A1:AH67"/>
  <sheetViews>
    <sheetView view="pageBreakPreview" zoomScaleNormal="100" zoomScaleSheetLayoutView="100" workbookViewId="0"/>
  </sheetViews>
  <sheetFormatPr defaultColWidth="2.85546875" defaultRowHeight="11.25"/>
  <cols>
    <col min="1" max="16384" width="2.85546875" style="394"/>
  </cols>
  <sheetData>
    <row r="1" spans="1:34" s="2" customFormat="1" ht="18.95" customHeight="1">
      <c r="A1" s="108"/>
      <c r="B1" s="109"/>
      <c r="C1" s="109"/>
      <c r="D1" s="110" t="s">
        <v>90</v>
      </c>
      <c r="E1" s="111"/>
      <c r="F1" s="112"/>
      <c r="G1" s="544" t="str">
        <f>IF(詳細設計書!G1="","N/A",詳細設計書!G1)</f>
        <v>統合会計システム開発</v>
      </c>
      <c r="H1" s="544"/>
      <c r="I1" s="544"/>
      <c r="J1" s="544"/>
      <c r="K1" s="544"/>
      <c r="L1" s="544"/>
      <c r="M1" s="544"/>
      <c r="N1" s="545"/>
      <c r="O1" s="110" t="s">
        <v>283</v>
      </c>
      <c r="P1" s="111"/>
      <c r="Q1" s="111"/>
      <c r="R1" s="113"/>
      <c r="S1" s="786">
        <f>IF(詳細設計書!S1="","N/A",詳細設計書!S1)</f>
        <v>42509</v>
      </c>
      <c r="T1" s="786"/>
      <c r="U1" s="786"/>
      <c r="V1" s="786"/>
      <c r="W1" s="786"/>
      <c r="X1" s="786"/>
      <c r="Y1" s="787"/>
      <c r="Z1" s="110" t="s">
        <v>284</v>
      </c>
      <c r="AA1" s="114"/>
      <c r="AB1" s="114"/>
      <c r="AC1" s="114"/>
      <c r="AD1" s="115"/>
      <c r="AE1" s="578">
        <f>IF(詳細設計書!AD1="","N/A",詳細設計書!AD1)</f>
        <v>42559</v>
      </c>
      <c r="AF1" s="579"/>
      <c r="AG1" s="579"/>
      <c r="AH1" s="580"/>
    </row>
    <row r="2" spans="1:34" s="2" customFormat="1" ht="18.95" customHeight="1">
      <c r="A2" s="30"/>
      <c r="D2" s="116" t="s">
        <v>93</v>
      </c>
      <c r="E2" s="34"/>
      <c r="F2" s="117"/>
      <c r="G2" s="550" t="str">
        <f>IF(詳細設計書!G2="","N/A",詳細設計書!G2)</f>
        <v>SAP R/3(レポート)</v>
      </c>
      <c r="H2" s="550"/>
      <c r="I2" s="550"/>
      <c r="J2" s="550"/>
      <c r="K2" s="550"/>
      <c r="L2" s="550"/>
      <c r="M2" s="550"/>
      <c r="N2" s="551"/>
      <c r="O2" s="116" t="s">
        <v>286</v>
      </c>
      <c r="P2" s="34"/>
      <c r="Q2" s="34"/>
      <c r="R2" s="118"/>
      <c r="S2" s="582" t="str">
        <f>IF(詳細設計書!S2="","N/A",詳細設計書!S2)</f>
        <v>KSC 橋本</v>
      </c>
      <c r="T2" s="582"/>
      <c r="U2" s="582"/>
      <c r="V2" s="582"/>
      <c r="W2" s="582"/>
      <c r="X2" s="582"/>
      <c r="Y2" s="583"/>
      <c r="Z2" s="116" t="s">
        <v>288</v>
      </c>
      <c r="AA2" s="119"/>
      <c r="AB2" s="119"/>
      <c r="AC2" s="120"/>
      <c r="AD2" s="117"/>
      <c r="AE2" s="760" t="str">
        <f>IF(詳細設計書!AD2="","N/A",詳細設計書!AD2)</f>
        <v>KSC 橋本</v>
      </c>
      <c r="AF2" s="760"/>
      <c r="AG2" s="760"/>
      <c r="AH2" s="761"/>
    </row>
    <row r="3" spans="1:34" s="129" customFormat="1" ht="18.95" customHeight="1" thickBot="1">
      <c r="A3" s="4"/>
      <c r="B3" s="1"/>
      <c r="C3" s="121"/>
      <c r="D3" s="122" t="s">
        <v>96</v>
      </c>
      <c r="E3" s="123"/>
      <c r="F3" s="124"/>
      <c r="G3" s="563" t="str">
        <f>IF(詳細設計書!G3="","N/A",詳細設計書!G3)</f>
        <v>DP_FI_2014_01</v>
      </c>
      <c r="H3" s="564"/>
      <c r="I3" s="564"/>
      <c r="J3" s="564"/>
      <c r="K3" s="564"/>
      <c r="L3" s="564"/>
      <c r="M3" s="564"/>
      <c r="N3" s="565"/>
      <c r="O3" s="122" t="s">
        <v>97</v>
      </c>
      <c r="P3" s="123"/>
      <c r="Q3" s="123"/>
      <c r="R3" s="125"/>
      <c r="S3" s="566" t="str">
        <f>IF(詳細設計書!S3="","N/A",詳細設計書!S3)</f>
        <v>ZFIPR_2014_01</v>
      </c>
      <c r="T3" s="566"/>
      <c r="U3" s="566"/>
      <c r="V3" s="566"/>
      <c r="W3" s="566"/>
      <c r="X3" s="566"/>
      <c r="Y3" s="566"/>
      <c r="Z3" s="566"/>
      <c r="AA3" s="566"/>
      <c r="AB3" s="566"/>
      <c r="AC3" s="566"/>
      <c r="AD3" s="566"/>
      <c r="AE3" s="566"/>
      <c r="AF3" s="566"/>
      <c r="AG3" s="566"/>
      <c r="AH3" s="567"/>
    </row>
    <row r="4" spans="1:34" s="129" customFormat="1" ht="18.95" customHeight="1" thickBot="1">
      <c r="A4" s="31" t="s">
        <v>292</v>
      </c>
      <c r="B4" s="127"/>
      <c r="C4" s="128"/>
      <c r="D4" s="181" t="s">
        <v>743</v>
      </c>
      <c r="E4" s="126"/>
      <c r="F4" s="126"/>
      <c r="G4" s="126"/>
      <c r="H4" s="126"/>
      <c r="I4" s="126"/>
      <c r="J4" s="126"/>
      <c r="K4" s="126"/>
      <c r="L4" s="126"/>
      <c r="M4" s="126"/>
      <c r="N4" s="126"/>
      <c r="O4" s="126"/>
      <c r="P4" s="126"/>
      <c r="Q4" s="126"/>
      <c r="R4" s="126"/>
      <c r="S4" s="126"/>
      <c r="T4" s="126"/>
      <c r="U4" s="126"/>
      <c r="V4" s="126"/>
      <c r="W4" s="126"/>
      <c r="X4" s="126"/>
      <c r="Y4" s="126"/>
      <c r="Z4" s="31" t="s">
        <v>100</v>
      </c>
      <c r="AA4" s="127"/>
      <c r="AB4" s="127"/>
      <c r="AC4" s="128"/>
      <c r="AD4" s="560" t="str">
        <f>IF(詳細設計書!AC4="","N/A",詳細設計書!AC4)</f>
        <v>1.0</v>
      </c>
      <c r="AE4" s="560"/>
      <c r="AF4" s="560"/>
      <c r="AG4" s="560"/>
      <c r="AH4" s="561"/>
    </row>
    <row r="5" spans="1:34" s="23" customFormat="1" ht="7.5" customHeight="1"/>
    <row r="6" spans="1:34" s="23" customFormat="1" ht="8.25" customHeight="1" thickBot="1"/>
    <row r="7" spans="1:34" ht="12.75" customHeight="1">
      <c r="A7" s="387" t="s">
        <v>744</v>
      </c>
      <c r="B7" s="388"/>
      <c r="C7" s="389" t="s">
        <v>745</v>
      </c>
      <c r="D7" s="390"/>
      <c r="E7" s="390"/>
      <c r="F7" s="390"/>
      <c r="G7" s="390"/>
      <c r="H7" s="390"/>
      <c r="I7" s="390"/>
      <c r="J7" s="390"/>
      <c r="K7" s="390"/>
      <c r="L7" s="390"/>
      <c r="M7" s="390"/>
      <c r="N7" s="390"/>
      <c r="O7" s="391"/>
      <c r="P7" s="388"/>
      <c r="Q7" s="388"/>
      <c r="R7" s="388"/>
      <c r="S7" s="388"/>
      <c r="T7" s="388"/>
      <c r="U7" s="388"/>
      <c r="V7" s="388"/>
      <c r="W7" s="388"/>
      <c r="X7" s="388"/>
      <c r="Y7" s="388"/>
      <c r="Z7" s="388"/>
      <c r="AA7" s="392" t="s">
        <v>746</v>
      </c>
      <c r="AB7" s="408"/>
      <c r="AC7" s="393"/>
      <c r="AD7" s="393"/>
      <c r="AE7" s="393"/>
      <c r="AF7" s="393"/>
      <c r="AG7" s="393"/>
      <c r="AH7" s="132"/>
    </row>
    <row r="8" spans="1:34" ht="12" thickBot="1">
      <c r="A8" s="395"/>
      <c r="B8" s="396"/>
      <c r="C8" s="397"/>
      <c r="D8" s="396"/>
      <c r="E8" s="396"/>
      <c r="F8" s="396"/>
      <c r="G8" s="396"/>
      <c r="H8" s="396"/>
      <c r="I8" s="396"/>
      <c r="J8" s="396"/>
      <c r="K8" s="396"/>
      <c r="L8" s="396"/>
      <c r="M8" s="396"/>
      <c r="N8" s="396"/>
      <c r="O8" s="396"/>
      <c r="P8" s="396"/>
      <c r="Q8" s="396"/>
      <c r="R8" s="396"/>
      <c r="S8" s="396"/>
      <c r="T8" s="396"/>
      <c r="U8" s="396"/>
      <c r="V8" s="396"/>
      <c r="W8" s="396"/>
      <c r="X8" s="396"/>
      <c r="Y8" s="396"/>
      <c r="Z8" s="396"/>
      <c r="AA8" s="398" t="s">
        <v>744</v>
      </c>
      <c r="AB8" s="409"/>
      <c r="AC8" s="399"/>
      <c r="AD8" s="398" t="s">
        <v>747</v>
      </c>
      <c r="AE8" s="399"/>
      <c r="AF8" s="397" t="s">
        <v>748</v>
      </c>
      <c r="AG8" s="396"/>
      <c r="AH8" s="400"/>
    </row>
    <row r="9" spans="1:34" ht="12" thickTop="1">
      <c r="A9" s="788"/>
      <c r="B9" s="789"/>
      <c r="C9" s="401"/>
      <c r="O9" s="402"/>
      <c r="P9" s="402"/>
      <c r="Q9" s="402"/>
      <c r="R9" s="402"/>
      <c r="S9" s="402"/>
      <c r="T9" s="402"/>
      <c r="U9" s="402"/>
      <c r="V9" s="402"/>
      <c r="W9" s="402"/>
      <c r="X9" s="402"/>
      <c r="Y9" s="402"/>
      <c r="Z9" s="403"/>
      <c r="AA9" s="790"/>
      <c r="AB9" s="791"/>
      <c r="AC9" s="792"/>
      <c r="AD9" s="793"/>
      <c r="AE9" s="789"/>
      <c r="AF9" s="793"/>
      <c r="AG9" s="794"/>
      <c r="AH9" s="795"/>
    </row>
    <row r="10" spans="1:34">
      <c r="A10" s="780">
        <v>1</v>
      </c>
      <c r="B10" s="781"/>
      <c r="C10" s="401"/>
      <c r="D10" s="394" t="s">
        <v>749</v>
      </c>
      <c r="Z10" s="404"/>
      <c r="AA10" s="782" t="s">
        <v>750</v>
      </c>
      <c r="AB10" s="783"/>
      <c r="AC10" s="781"/>
      <c r="AD10" s="782" t="s">
        <v>751</v>
      </c>
      <c r="AE10" s="781"/>
      <c r="AF10" s="785" t="s">
        <v>752</v>
      </c>
      <c r="AG10" s="783"/>
      <c r="AH10" s="784"/>
    </row>
    <row r="11" spans="1:34">
      <c r="A11" s="780"/>
      <c r="B11" s="781"/>
      <c r="C11" s="401"/>
      <c r="Z11" s="404"/>
      <c r="AA11" s="782"/>
      <c r="AB11" s="783"/>
      <c r="AC11" s="781"/>
      <c r="AD11" s="782"/>
      <c r="AE11" s="781"/>
      <c r="AF11" s="782"/>
      <c r="AG11" s="783"/>
      <c r="AH11" s="784"/>
    </row>
    <row r="12" spans="1:34">
      <c r="A12" s="780">
        <v>2</v>
      </c>
      <c r="B12" s="781"/>
      <c r="C12" s="401"/>
      <c r="D12" s="394" t="s">
        <v>753</v>
      </c>
      <c r="Z12" s="404"/>
      <c r="AA12" s="782" t="s">
        <v>750</v>
      </c>
      <c r="AB12" s="783"/>
      <c r="AC12" s="781"/>
      <c r="AD12" s="782" t="s">
        <v>751</v>
      </c>
      <c r="AE12" s="781"/>
      <c r="AF12" s="785" t="s">
        <v>754</v>
      </c>
      <c r="AG12" s="783"/>
      <c r="AH12" s="784"/>
    </row>
    <row r="13" spans="1:34">
      <c r="A13" s="780"/>
      <c r="B13" s="781"/>
      <c r="C13" s="401"/>
      <c r="Z13" s="404"/>
      <c r="AA13" s="782"/>
      <c r="AB13" s="783"/>
      <c r="AC13" s="781"/>
      <c r="AD13" s="782"/>
      <c r="AE13" s="781"/>
      <c r="AF13" s="782"/>
      <c r="AG13" s="783"/>
      <c r="AH13" s="784"/>
    </row>
    <row r="14" spans="1:34">
      <c r="A14" s="780">
        <v>3</v>
      </c>
      <c r="B14" s="781"/>
      <c r="C14" s="401"/>
      <c r="D14" s="394" t="s">
        <v>755</v>
      </c>
      <c r="Z14" s="404"/>
      <c r="AA14" s="782" t="s">
        <v>750</v>
      </c>
      <c r="AB14" s="783"/>
      <c r="AC14" s="781"/>
      <c r="AD14" s="782" t="s">
        <v>751</v>
      </c>
      <c r="AE14" s="781"/>
      <c r="AF14" s="785" t="s">
        <v>756</v>
      </c>
      <c r="AG14" s="783"/>
      <c r="AH14" s="784"/>
    </row>
    <row r="15" spans="1:34">
      <c r="A15" s="780"/>
      <c r="B15" s="781"/>
      <c r="C15" s="401"/>
      <c r="Z15" s="404"/>
      <c r="AA15" s="782"/>
      <c r="AB15" s="783"/>
      <c r="AC15" s="781"/>
      <c r="AD15" s="782"/>
      <c r="AE15" s="781"/>
      <c r="AF15" s="782"/>
      <c r="AG15" s="783"/>
      <c r="AH15" s="784"/>
    </row>
    <row r="16" spans="1:34">
      <c r="A16" s="780">
        <v>4</v>
      </c>
      <c r="B16" s="781"/>
      <c r="C16" s="401"/>
      <c r="D16" s="394" t="s">
        <v>757</v>
      </c>
      <c r="Z16" s="404"/>
      <c r="AA16" s="782" t="s">
        <v>750</v>
      </c>
      <c r="AB16" s="783"/>
      <c r="AC16" s="781"/>
      <c r="AD16" s="782" t="s">
        <v>751</v>
      </c>
      <c r="AE16" s="781"/>
      <c r="AF16" s="785" t="s">
        <v>758</v>
      </c>
      <c r="AG16" s="783"/>
      <c r="AH16" s="784"/>
    </row>
    <row r="17" spans="1:34">
      <c r="A17" s="780"/>
      <c r="B17" s="781"/>
      <c r="C17" s="401"/>
      <c r="Z17" s="404"/>
      <c r="AA17" s="782"/>
      <c r="AB17" s="783"/>
      <c r="AC17" s="781"/>
      <c r="AD17" s="782"/>
      <c r="AE17" s="781"/>
      <c r="AF17" s="785"/>
      <c r="AG17" s="783"/>
      <c r="AH17" s="784"/>
    </row>
    <row r="18" spans="1:34">
      <c r="A18" s="780"/>
      <c r="B18" s="781"/>
      <c r="C18" s="401"/>
      <c r="Z18" s="404"/>
      <c r="AA18" s="782"/>
      <c r="AB18" s="783"/>
      <c r="AC18" s="781"/>
      <c r="AD18" s="782"/>
      <c r="AE18" s="781"/>
      <c r="AF18" s="782"/>
      <c r="AG18" s="783"/>
      <c r="AH18" s="784"/>
    </row>
    <row r="19" spans="1:34">
      <c r="A19" s="780"/>
      <c r="B19" s="781"/>
      <c r="C19" s="401"/>
      <c r="Z19" s="404"/>
      <c r="AA19" s="782"/>
      <c r="AB19" s="783"/>
      <c r="AC19" s="781"/>
      <c r="AD19" s="782"/>
      <c r="AE19" s="781"/>
      <c r="AF19" s="782"/>
      <c r="AG19" s="783"/>
      <c r="AH19" s="784"/>
    </row>
    <row r="20" spans="1:34">
      <c r="A20" s="780"/>
      <c r="B20" s="781"/>
      <c r="C20" s="401"/>
      <c r="Z20" s="404"/>
      <c r="AA20" s="782"/>
      <c r="AB20" s="783"/>
      <c r="AC20" s="781"/>
      <c r="AD20" s="782"/>
      <c r="AE20" s="781"/>
      <c r="AF20" s="782"/>
      <c r="AG20" s="783"/>
      <c r="AH20" s="784"/>
    </row>
    <row r="21" spans="1:34">
      <c r="A21" s="780"/>
      <c r="B21" s="781"/>
      <c r="C21" s="401"/>
      <c r="Z21" s="404"/>
      <c r="AA21" s="782"/>
      <c r="AB21" s="783"/>
      <c r="AC21" s="781"/>
      <c r="AD21" s="782"/>
      <c r="AE21" s="781"/>
      <c r="AF21" s="782"/>
      <c r="AG21" s="783"/>
      <c r="AH21" s="784"/>
    </row>
    <row r="22" spans="1:34">
      <c r="A22" s="780"/>
      <c r="B22" s="781"/>
      <c r="C22" s="401"/>
      <c r="Z22" s="404"/>
      <c r="AA22" s="782"/>
      <c r="AB22" s="783"/>
      <c r="AC22" s="781"/>
      <c r="AD22" s="782"/>
      <c r="AE22" s="781"/>
      <c r="AF22" s="782"/>
      <c r="AG22" s="783"/>
      <c r="AH22" s="784"/>
    </row>
    <row r="23" spans="1:34">
      <c r="A23" s="780"/>
      <c r="B23" s="781"/>
      <c r="C23" s="401"/>
      <c r="Z23" s="404"/>
      <c r="AA23" s="782"/>
      <c r="AB23" s="783"/>
      <c r="AC23" s="781"/>
      <c r="AD23" s="782"/>
      <c r="AE23" s="781"/>
      <c r="AF23" s="782"/>
      <c r="AG23" s="783"/>
      <c r="AH23" s="784"/>
    </row>
    <row r="24" spans="1:34">
      <c r="A24" s="780"/>
      <c r="B24" s="781"/>
      <c r="C24" s="401"/>
      <c r="Z24" s="404"/>
      <c r="AA24" s="782"/>
      <c r="AB24" s="783"/>
      <c r="AC24" s="781"/>
      <c r="AD24" s="782"/>
      <c r="AE24" s="781"/>
      <c r="AF24" s="782"/>
      <c r="AG24" s="783"/>
      <c r="AH24" s="784"/>
    </row>
    <row r="25" spans="1:34">
      <c r="A25" s="780"/>
      <c r="B25" s="781"/>
      <c r="C25" s="401"/>
      <c r="Z25" s="404"/>
      <c r="AA25" s="782"/>
      <c r="AB25" s="783"/>
      <c r="AC25" s="781"/>
      <c r="AD25" s="782"/>
      <c r="AE25" s="781"/>
      <c r="AF25" s="782"/>
      <c r="AG25" s="783"/>
      <c r="AH25" s="784"/>
    </row>
    <row r="26" spans="1:34">
      <c r="A26" s="780"/>
      <c r="B26" s="781"/>
      <c r="C26" s="401"/>
      <c r="Z26" s="404"/>
      <c r="AA26" s="782"/>
      <c r="AB26" s="783"/>
      <c r="AC26" s="781"/>
      <c r="AD26" s="782"/>
      <c r="AE26" s="781"/>
      <c r="AF26" s="782"/>
      <c r="AG26" s="783"/>
      <c r="AH26" s="784"/>
    </row>
    <row r="27" spans="1:34">
      <c r="A27" s="780"/>
      <c r="B27" s="781"/>
      <c r="C27" s="401"/>
      <c r="Z27" s="404"/>
      <c r="AA27" s="782"/>
      <c r="AB27" s="783"/>
      <c r="AC27" s="781"/>
      <c r="AD27" s="782"/>
      <c r="AE27" s="781"/>
      <c r="AF27" s="782"/>
      <c r="AG27" s="783"/>
      <c r="AH27" s="784"/>
    </row>
    <row r="28" spans="1:34">
      <c r="A28" s="780"/>
      <c r="B28" s="781"/>
      <c r="C28" s="401"/>
      <c r="Z28" s="404"/>
      <c r="AA28" s="782"/>
      <c r="AB28" s="783"/>
      <c r="AC28" s="781"/>
      <c r="AD28" s="782"/>
      <c r="AE28" s="781"/>
      <c r="AF28" s="782"/>
      <c r="AG28" s="783"/>
      <c r="AH28" s="784"/>
    </row>
    <row r="29" spans="1:34">
      <c r="A29" s="780"/>
      <c r="B29" s="781"/>
      <c r="C29" s="401"/>
      <c r="Z29" s="404"/>
      <c r="AA29" s="782"/>
      <c r="AB29" s="783"/>
      <c r="AC29" s="781"/>
      <c r="AD29" s="782"/>
      <c r="AE29" s="781"/>
      <c r="AF29" s="782"/>
      <c r="AG29" s="783"/>
      <c r="AH29" s="784"/>
    </row>
    <row r="30" spans="1:34">
      <c r="A30" s="780"/>
      <c r="B30" s="781"/>
      <c r="C30" s="401"/>
      <c r="Z30" s="404"/>
      <c r="AA30" s="782"/>
      <c r="AB30" s="783"/>
      <c r="AC30" s="781"/>
      <c r="AD30" s="782"/>
      <c r="AE30" s="781"/>
      <c r="AF30" s="782"/>
      <c r="AG30" s="783"/>
      <c r="AH30" s="784"/>
    </row>
    <row r="31" spans="1:34">
      <c r="A31" s="780"/>
      <c r="B31" s="781"/>
      <c r="C31" s="401"/>
      <c r="Z31" s="404"/>
      <c r="AA31" s="782"/>
      <c r="AB31" s="783"/>
      <c r="AC31" s="781"/>
      <c r="AD31" s="782"/>
      <c r="AE31" s="781"/>
      <c r="AF31" s="782"/>
      <c r="AG31" s="783"/>
      <c r="AH31" s="784"/>
    </row>
    <row r="32" spans="1:34">
      <c r="A32" s="780"/>
      <c r="B32" s="781"/>
      <c r="C32" s="401"/>
      <c r="Z32" s="404"/>
      <c r="AA32" s="782"/>
      <c r="AB32" s="783"/>
      <c r="AC32" s="781"/>
      <c r="AD32" s="782"/>
      <c r="AE32" s="781"/>
      <c r="AF32" s="782"/>
      <c r="AG32" s="783"/>
      <c r="AH32" s="784"/>
    </row>
    <row r="33" spans="1:34">
      <c r="A33" s="780"/>
      <c r="B33" s="781"/>
      <c r="C33" s="401"/>
      <c r="Z33" s="404"/>
      <c r="AA33" s="782"/>
      <c r="AB33" s="783"/>
      <c r="AC33" s="781"/>
      <c r="AD33" s="782"/>
      <c r="AE33" s="781"/>
      <c r="AF33" s="782"/>
      <c r="AG33" s="783"/>
      <c r="AH33" s="784"/>
    </row>
    <row r="34" spans="1:34">
      <c r="A34" s="780"/>
      <c r="B34" s="781"/>
      <c r="C34" s="401"/>
      <c r="Z34" s="404"/>
      <c r="AA34" s="782"/>
      <c r="AB34" s="783"/>
      <c r="AC34" s="781"/>
      <c r="AD34" s="782"/>
      <c r="AE34" s="781"/>
      <c r="AF34" s="782"/>
      <c r="AG34" s="783"/>
      <c r="AH34" s="784"/>
    </row>
    <row r="35" spans="1:34">
      <c r="A35" s="780"/>
      <c r="B35" s="781"/>
      <c r="C35" s="401"/>
      <c r="Z35" s="404"/>
      <c r="AA35" s="782"/>
      <c r="AB35" s="783"/>
      <c r="AC35" s="781"/>
      <c r="AD35" s="782"/>
      <c r="AE35" s="781"/>
      <c r="AF35" s="782"/>
      <c r="AG35" s="783"/>
      <c r="AH35" s="784"/>
    </row>
    <row r="36" spans="1:34">
      <c r="A36" s="780"/>
      <c r="B36" s="781"/>
      <c r="C36" s="401"/>
      <c r="Z36" s="404"/>
      <c r="AA36" s="782"/>
      <c r="AB36" s="783"/>
      <c r="AC36" s="781"/>
      <c r="AD36" s="782"/>
      <c r="AE36" s="781"/>
      <c r="AF36" s="785"/>
      <c r="AG36" s="783"/>
      <c r="AH36" s="784"/>
    </row>
    <row r="37" spans="1:34">
      <c r="A37" s="780"/>
      <c r="B37" s="781"/>
      <c r="C37" s="401"/>
      <c r="Z37" s="404"/>
      <c r="AA37" s="782"/>
      <c r="AB37" s="783"/>
      <c r="AC37" s="781"/>
      <c r="AD37" s="782"/>
      <c r="AE37" s="781"/>
      <c r="AF37" s="782"/>
      <c r="AG37" s="783"/>
      <c r="AH37" s="784"/>
    </row>
    <row r="38" spans="1:34">
      <c r="A38" s="780"/>
      <c r="B38" s="781"/>
      <c r="C38" s="401"/>
      <c r="Z38" s="404"/>
      <c r="AA38" s="782"/>
      <c r="AB38" s="783"/>
      <c r="AC38" s="781"/>
      <c r="AD38" s="782"/>
      <c r="AE38" s="781"/>
      <c r="AF38" s="782"/>
      <c r="AG38" s="783"/>
      <c r="AH38" s="784"/>
    </row>
    <row r="39" spans="1:34">
      <c r="A39" s="780"/>
      <c r="B39" s="781"/>
      <c r="C39" s="401"/>
      <c r="Z39" s="404"/>
      <c r="AA39" s="782"/>
      <c r="AB39" s="783"/>
      <c r="AC39" s="781"/>
      <c r="AD39" s="782"/>
      <c r="AE39" s="781"/>
      <c r="AF39" s="782"/>
      <c r="AG39" s="783"/>
      <c r="AH39" s="784"/>
    </row>
    <row r="40" spans="1:34">
      <c r="A40" s="780"/>
      <c r="B40" s="781"/>
      <c r="C40" s="401"/>
      <c r="Z40" s="404"/>
      <c r="AA40" s="782"/>
      <c r="AB40" s="783"/>
      <c r="AC40" s="781"/>
      <c r="AD40" s="782"/>
      <c r="AE40" s="781"/>
      <c r="AF40" s="782"/>
      <c r="AG40" s="783"/>
      <c r="AH40" s="784"/>
    </row>
    <row r="41" spans="1:34">
      <c r="A41" s="780"/>
      <c r="B41" s="781"/>
      <c r="C41" s="401"/>
      <c r="Z41" s="404"/>
      <c r="AA41" s="782"/>
      <c r="AB41" s="783"/>
      <c r="AC41" s="781"/>
      <c r="AD41" s="782"/>
      <c r="AE41" s="781"/>
      <c r="AF41" s="782"/>
      <c r="AG41" s="783"/>
      <c r="AH41" s="784"/>
    </row>
    <row r="42" spans="1:34">
      <c r="A42" s="780"/>
      <c r="B42" s="781"/>
      <c r="C42" s="401"/>
      <c r="Z42" s="404"/>
      <c r="AA42" s="782"/>
      <c r="AB42" s="783"/>
      <c r="AC42" s="781"/>
      <c r="AD42" s="782"/>
      <c r="AE42" s="781"/>
      <c r="AF42" s="782"/>
      <c r="AG42" s="783"/>
      <c r="AH42" s="784"/>
    </row>
    <row r="43" spans="1:34">
      <c r="A43" s="780"/>
      <c r="B43" s="781"/>
      <c r="C43" s="401"/>
      <c r="Z43" s="404"/>
      <c r="AA43" s="782"/>
      <c r="AB43" s="783"/>
      <c r="AC43" s="781"/>
      <c r="AD43" s="782"/>
      <c r="AE43" s="781"/>
      <c r="AF43" s="782"/>
      <c r="AG43" s="783"/>
      <c r="AH43" s="784"/>
    </row>
    <row r="44" spans="1:34">
      <c r="A44" s="780"/>
      <c r="B44" s="781"/>
      <c r="C44" s="401"/>
      <c r="Z44" s="404"/>
      <c r="AA44" s="782"/>
      <c r="AB44" s="783"/>
      <c r="AC44" s="781"/>
      <c r="AD44" s="782"/>
      <c r="AE44" s="781"/>
      <c r="AF44" s="782"/>
      <c r="AG44" s="783"/>
      <c r="AH44" s="784"/>
    </row>
    <row r="45" spans="1:34">
      <c r="A45" s="780"/>
      <c r="B45" s="781"/>
      <c r="C45" s="401"/>
      <c r="Z45" s="404"/>
      <c r="AA45" s="782"/>
      <c r="AB45" s="783"/>
      <c r="AC45" s="781"/>
      <c r="AD45" s="782"/>
      <c r="AE45" s="781"/>
      <c r="AF45" s="782"/>
      <c r="AG45" s="783"/>
      <c r="AH45" s="784"/>
    </row>
    <row r="46" spans="1:34">
      <c r="A46" s="780"/>
      <c r="B46" s="781"/>
      <c r="C46" s="401"/>
      <c r="Z46" s="404"/>
      <c r="AA46" s="782"/>
      <c r="AB46" s="783"/>
      <c r="AC46" s="781"/>
      <c r="AD46" s="782"/>
      <c r="AE46" s="781"/>
      <c r="AF46" s="782"/>
      <c r="AG46" s="783"/>
      <c r="AH46" s="784"/>
    </row>
    <row r="47" spans="1:34">
      <c r="A47" s="780"/>
      <c r="B47" s="781"/>
      <c r="C47" s="401"/>
      <c r="Z47" s="404"/>
      <c r="AA47" s="782"/>
      <c r="AB47" s="783"/>
      <c r="AC47" s="781"/>
      <c r="AD47" s="782"/>
      <c r="AE47" s="781"/>
      <c r="AF47" s="782"/>
      <c r="AG47" s="783"/>
      <c r="AH47" s="784"/>
    </row>
    <row r="48" spans="1:34">
      <c r="A48" s="780"/>
      <c r="B48" s="781"/>
      <c r="C48" s="401"/>
      <c r="Z48" s="404"/>
      <c r="AA48" s="782"/>
      <c r="AB48" s="783"/>
      <c r="AC48" s="781"/>
      <c r="AD48" s="782"/>
      <c r="AE48" s="781"/>
      <c r="AF48" s="782"/>
      <c r="AG48" s="783"/>
      <c r="AH48" s="784"/>
    </row>
    <row r="49" spans="1:34">
      <c r="A49" s="780"/>
      <c r="B49" s="781"/>
      <c r="C49" s="401"/>
      <c r="Z49" s="404"/>
      <c r="AA49" s="782"/>
      <c r="AB49" s="783"/>
      <c r="AC49" s="781"/>
      <c r="AD49" s="782"/>
      <c r="AE49" s="781"/>
      <c r="AF49" s="782"/>
      <c r="AG49" s="783"/>
      <c r="AH49" s="784"/>
    </row>
    <row r="50" spans="1:34">
      <c r="A50" s="780"/>
      <c r="B50" s="781"/>
      <c r="C50" s="401"/>
      <c r="Z50" s="404"/>
      <c r="AA50" s="782"/>
      <c r="AB50" s="783"/>
      <c r="AC50" s="781"/>
      <c r="AD50" s="782"/>
      <c r="AE50" s="781"/>
      <c r="AF50" s="782"/>
      <c r="AG50" s="783"/>
      <c r="AH50" s="784"/>
    </row>
    <row r="51" spans="1:34">
      <c r="A51" s="780"/>
      <c r="B51" s="781"/>
      <c r="C51" s="401"/>
      <c r="Z51" s="404"/>
      <c r="AA51" s="782"/>
      <c r="AB51" s="783"/>
      <c r="AC51" s="781"/>
      <c r="AD51" s="782"/>
      <c r="AE51" s="781"/>
      <c r="AF51" s="782"/>
      <c r="AG51" s="783"/>
      <c r="AH51" s="784"/>
    </row>
    <row r="52" spans="1:34">
      <c r="A52" s="780"/>
      <c r="B52" s="781"/>
      <c r="C52" s="401"/>
      <c r="Z52" s="404"/>
      <c r="AA52" s="782"/>
      <c r="AB52" s="783"/>
      <c r="AC52" s="781"/>
      <c r="AD52" s="782"/>
      <c r="AE52" s="781"/>
      <c r="AF52" s="782"/>
      <c r="AG52" s="783"/>
      <c r="AH52" s="784"/>
    </row>
    <row r="53" spans="1:34">
      <c r="A53" s="780"/>
      <c r="B53" s="781"/>
      <c r="C53" s="401"/>
      <c r="Z53" s="404"/>
      <c r="AA53" s="782"/>
      <c r="AB53" s="783"/>
      <c r="AC53" s="781"/>
      <c r="AD53" s="782"/>
      <c r="AE53" s="781"/>
      <c r="AF53" s="782"/>
      <c r="AG53" s="783"/>
      <c r="AH53" s="784"/>
    </row>
    <row r="54" spans="1:34">
      <c r="A54" s="780"/>
      <c r="B54" s="781"/>
      <c r="C54" s="401"/>
      <c r="Z54" s="404"/>
      <c r="AA54" s="782"/>
      <c r="AB54" s="783"/>
      <c r="AC54" s="781"/>
      <c r="AD54" s="782"/>
      <c r="AE54" s="781"/>
      <c r="AF54" s="782"/>
      <c r="AG54" s="783"/>
      <c r="AH54" s="784"/>
    </row>
    <row r="55" spans="1:34">
      <c r="A55" s="780"/>
      <c r="B55" s="781"/>
      <c r="C55" s="401"/>
      <c r="Z55" s="404"/>
      <c r="AA55" s="782"/>
      <c r="AB55" s="783"/>
      <c r="AC55" s="781"/>
      <c r="AD55" s="782"/>
      <c r="AE55" s="781"/>
      <c r="AF55" s="782"/>
      <c r="AG55" s="783"/>
      <c r="AH55" s="784"/>
    </row>
    <row r="56" spans="1:34">
      <c r="A56" s="780"/>
      <c r="B56" s="781"/>
      <c r="C56" s="401"/>
      <c r="Z56" s="404"/>
      <c r="AA56" s="782"/>
      <c r="AB56" s="783"/>
      <c r="AC56" s="781"/>
      <c r="AD56" s="782"/>
      <c r="AE56" s="781"/>
      <c r="AF56" s="782"/>
      <c r="AG56" s="783"/>
      <c r="AH56" s="784"/>
    </row>
    <row r="57" spans="1:34">
      <c r="A57" s="780"/>
      <c r="B57" s="781"/>
      <c r="C57" s="401"/>
      <c r="Z57" s="404"/>
      <c r="AA57" s="782"/>
      <c r="AB57" s="783"/>
      <c r="AC57" s="781"/>
      <c r="AD57" s="782"/>
      <c r="AE57" s="781"/>
      <c r="AF57" s="782"/>
      <c r="AG57" s="783"/>
      <c r="AH57" s="784"/>
    </row>
    <row r="58" spans="1:34">
      <c r="A58" s="780"/>
      <c r="B58" s="781"/>
      <c r="C58" s="401"/>
      <c r="Z58" s="404"/>
      <c r="AA58" s="782"/>
      <c r="AB58" s="783"/>
      <c r="AC58" s="781"/>
      <c r="AD58" s="782"/>
      <c r="AE58" s="781"/>
      <c r="AF58" s="782"/>
      <c r="AG58" s="783"/>
      <c r="AH58" s="784"/>
    </row>
    <row r="59" spans="1:34">
      <c r="A59" s="780"/>
      <c r="B59" s="781"/>
      <c r="C59" s="401"/>
      <c r="Z59" s="404"/>
      <c r="AA59" s="782"/>
      <c r="AB59" s="783"/>
      <c r="AC59" s="781"/>
      <c r="AD59" s="782"/>
      <c r="AE59" s="781"/>
      <c r="AF59" s="782"/>
      <c r="AG59" s="783"/>
      <c r="AH59" s="784"/>
    </row>
    <row r="60" spans="1:34">
      <c r="A60" s="780"/>
      <c r="B60" s="781"/>
      <c r="C60" s="401"/>
      <c r="Z60" s="404"/>
      <c r="AA60" s="782"/>
      <c r="AB60" s="783"/>
      <c r="AC60" s="781"/>
      <c r="AD60" s="782"/>
      <c r="AE60" s="781"/>
      <c r="AF60" s="782"/>
      <c r="AG60" s="783"/>
      <c r="AH60" s="784"/>
    </row>
    <row r="61" spans="1:34">
      <c r="A61" s="780"/>
      <c r="B61" s="781"/>
      <c r="C61" s="401"/>
      <c r="Z61" s="404"/>
      <c r="AA61" s="782"/>
      <c r="AB61" s="783"/>
      <c r="AC61" s="781"/>
      <c r="AD61" s="782"/>
      <c r="AE61" s="781"/>
      <c r="AF61" s="782"/>
      <c r="AG61" s="783"/>
      <c r="AH61" s="784"/>
    </row>
    <row r="62" spans="1:34">
      <c r="A62" s="780"/>
      <c r="B62" s="781"/>
      <c r="C62" s="401"/>
      <c r="Z62" s="404"/>
      <c r="AA62" s="782"/>
      <c r="AB62" s="783"/>
      <c r="AC62" s="781"/>
      <c r="AD62" s="782"/>
      <c r="AE62" s="781"/>
      <c r="AF62" s="782"/>
      <c r="AG62" s="783"/>
      <c r="AH62" s="784"/>
    </row>
    <row r="63" spans="1:34">
      <c r="A63" s="780"/>
      <c r="B63" s="781"/>
      <c r="C63" s="401"/>
      <c r="Z63" s="404"/>
      <c r="AA63" s="782"/>
      <c r="AB63" s="783"/>
      <c r="AC63" s="781"/>
      <c r="AD63" s="782"/>
      <c r="AE63" s="781"/>
      <c r="AF63" s="782"/>
      <c r="AG63" s="783"/>
      <c r="AH63" s="784"/>
    </row>
    <row r="64" spans="1:34">
      <c r="A64" s="780"/>
      <c r="B64" s="781"/>
      <c r="C64" s="401"/>
      <c r="Z64" s="404"/>
      <c r="AA64" s="782"/>
      <c r="AB64" s="783"/>
      <c r="AC64" s="781"/>
      <c r="AD64" s="782"/>
      <c r="AE64" s="781"/>
      <c r="AF64" s="782"/>
      <c r="AG64" s="783"/>
      <c r="AH64" s="784"/>
    </row>
    <row r="65" spans="1:34">
      <c r="A65" s="780"/>
      <c r="B65" s="781"/>
      <c r="C65" s="401"/>
      <c r="Z65" s="404"/>
      <c r="AA65" s="782"/>
      <c r="AB65" s="783"/>
      <c r="AC65" s="781"/>
      <c r="AD65" s="782"/>
      <c r="AE65" s="781"/>
      <c r="AF65" s="782"/>
      <c r="AG65" s="783"/>
      <c r="AH65" s="784"/>
    </row>
    <row r="66" spans="1:34">
      <c r="A66" s="780"/>
      <c r="B66" s="781"/>
      <c r="C66" s="401"/>
      <c r="Z66" s="404"/>
      <c r="AA66" s="782"/>
      <c r="AB66" s="783"/>
      <c r="AC66" s="781"/>
      <c r="AD66" s="782"/>
      <c r="AE66" s="781"/>
      <c r="AF66" s="782"/>
      <c r="AG66" s="783"/>
      <c r="AH66" s="784"/>
    </row>
    <row r="67" spans="1:34" ht="13.5" customHeight="1" thickBot="1">
      <c r="A67" s="796"/>
      <c r="B67" s="797"/>
      <c r="C67" s="405"/>
      <c r="D67" s="406"/>
      <c r="E67" s="406"/>
      <c r="F67" s="406"/>
      <c r="G67" s="406"/>
      <c r="H67" s="406"/>
      <c r="I67" s="406"/>
      <c r="J67" s="406"/>
      <c r="K67" s="406"/>
      <c r="L67" s="406"/>
      <c r="M67" s="406"/>
      <c r="N67" s="406"/>
      <c r="O67" s="406"/>
      <c r="P67" s="406"/>
      <c r="Q67" s="406"/>
      <c r="R67" s="406"/>
      <c r="S67" s="406"/>
      <c r="T67" s="406"/>
      <c r="U67" s="406"/>
      <c r="V67" s="406"/>
      <c r="W67" s="406"/>
      <c r="X67" s="406"/>
      <c r="Y67" s="406"/>
      <c r="Z67" s="407"/>
      <c r="AA67" s="798"/>
      <c r="AB67" s="799"/>
      <c r="AC67" s="797"/>
      <c r="AD67" s="798"/>
      <c r="AE67" s="797"/>
      <c r="AF67" s="798"/>
      <c r="AG67" s="799"/>
      <c r="AH67" s="800"/>
    </row>
  </sheetData>
  <mergeCells count="245">
    <mergeCell ref="A67:B67"/>
    <mergeCell ref="AA67:AC67"/>
    <mergeCell ref="AD67:AE67"/>
    <mergeCell ref="AF67:AH67"/>
    <mergeCell ref="A66:B66"/>
    <mergeCell ref="AA66:AC66"/>
    <mergeCell ref="AD66:AE66"/>
    <mergeCell ref="AF66:AH66"/>
    <mergeCell ref="A63:B63"/>
    <mergeCell ref="AA63:AC63"/>
    <mergeCell ref="AD63:AE63"/>
    <mergeCell ref="AF63:AH63"/>
    <mergeCell ref="A62:B62"/>
    <mergeCell ref="AA62:AC62"/>
    <mergeCell ref="AD62:AE62"/>
    <mergeCell ref="AF62:AH62"/>
    <mergeCell ref="A65:B65"/>
    <mergeCell ref="AA65:AC65"/>
    <mergeCell ref="AD65:AE65"/>
    <mergeCell ref="AF65:AH65"/>
    <mergeCell ref="A64:B64"/>
    <mergeCell ref="AA64:AC64"/>
    <mergeCell ref="AD64:AE64"/>
    <mergeCell ref="AF64:AH64"/>
    <mergeCell ref="A59:B59"/>
    <mergeCell ref="AA59:AC59"/>
    <mergeCell ref="AD59:AE59"/>
    <mergeCell ref="AF59:AH59"/>
    <mergeCell ref="A58:B58"/>
    <mergeCell ref="AA58:AC58"/>
    <mergeCell ref="AD58:AE58"/>
    <mergeCell ref="AF58:AH58"/>
    <mergeCell ref="A61:B61"/>
    <mergeCell ref="AA61:AC61"/>
    <mergeCell ref="AD61:AE61"/>
    <mergeCell ref="AF61:AH61"/>
    <mergeCell ref="A60:B60"/>
    <mergeCell ref="AA60:AC60"/>
    <mergeCell ref="AD60:AE60"/>
    <mergeCell ref="AF60:AH60"/>
    <mergeCell ref="A55:B55"/>
    <mergeCell ref="AA55:AC55"/>
    <mergeCell ref="AD55:AE55"/>
    <mergeCell ref="AF55:AH55"/>
    <mergeCell ref="A54:B54"/>
    <mergeCell ref="AA54:AC54"/>
    <mergeCell ref="AD54:AE54"/>
    <mergeCell ref="AF54:AH54"/>
    <mergeCell ref="A57:B57"/>
    <mergeCell ref="AA57:AC57"/>
    <mergeCell ref="AD57:AE57"/>
    <mergeCell ref="AF57:AH57"/>
    <mergeCell ref="A56:B56"/>
    <mergeCell ref="AA56:AC56"/>
    <mergeCell ref="AD56:AE56"/>
    <mergeCell ref="AF56:AH56"/>
    <mergeCell ref="A53:B53"/>
    <mergeCell ref="AA53:AC53"/>
    <mergeCell ref="AD53:AE53"/>
    <mergeCell ref="AF53:AH53"/>
    <mergeCell ref="A50:B50"/>
    <mergeCell ref="AA50:AC50"/>
    <mergeCell ref="AD50:AE50"/>
    <mergeCell ref="AF50:AH50"/>
    <mergeCell ref="A51:B51"/>
    <mergeCell ref="AA51:AC51"/>
    <mergeCell ref="AD51:AE51"/>
    <mergeCell ref="AF51:AH51"/>
    <mergeCell ref="A52:B52"/>
    <mergeCell ref="AA52:AC52"/>
    <mergeCell ref="AD52:AE52"/>
    <mergeCell ref="AF52:AH52"/>
    <mergeCell ref="A47:B47"/>
    <mergeCell ref="AA47:AC47"/>
    <mergeCell ref="AD47:AE47"/>
    <mergeCell ref="AF47:AH47"/>
    <mergeCell ref="A46:B46"/>
    <mergeCell ref="AA46:AC46"/>
    <mergeCell ref="AD46:AE46"/>
    <mergeCell ref="AF46:AH46"/>
    <mergeCell ref="A49:B49"/>
    <mergeCell ref="AA49:AC49"/>
    <mergeCell ref="AD49:AE49"/>
    <mergeCell ref="AF49:AH49"/>
    <mergeCell ref="A48:B48"/>
    <mergeCell ref="AA48:AC48"/>
    <mergeCell ref="AD48:AE48"/>
    <mergeCell ref="AF48:AH48"/>
    <mergeCell ref="A43:B43"/>
    <mergeCell ref="AA43:AC43"/>
    <mergeCell ref="AD43:AE43"/>
    <mergeCell ref="AF43:AH43"/>
    <mergeCell ref="A42:B42"/>
    <mergeCell ref="AA42:AC42"/>
    <mergeCell ref="AD42:AE42"/>
    <mergeCell ref="AF42:AH42"/>
    <mergeCell ref="A45:B45"/>
    <mergeCell ref="AA45:AC45"/>
    <mergeCell ref="AD45:AE45"/>
    <mergeCell ref="AF45:AH45"/>
    <mergeCell ref="A44:B44"/>
    <mergeCell ref="AA44:AC44"/>
    <mergeCell ref="AD44:AE44"/>
    <mergeCell ref="AF44:AH44"/>
    <mergeCell ref="AD39:AE39"/>
    <mergeCell ref="AF39:AH39"/>
    <mergeCell ref="A38:B38"/>
    <mergeCell ref="AA38:AC38"/>
    <mergeCell ref="AD38:AE38"/>
    <mergeCell ref="AF38:AH38"/>
    <mergeCell ref="A41:B41"/>
    <mergeCell ref="AA41:AC41"/>
    <mergeCell ref="AD41:AE41"/>
    <mergeCell ref="AF41:AH41"/>
    <mergeCell ref="A40:B40"/>
    <mergeCell ref="AA40:AC40"/>
    <mergeCell ref="AD40:AE40"/>
    <mergeCell ref="AF40:AH40"/>
    <mergeCell ref="A39:B39"/>
    <mergeCell ref="AA39:AC39"/>
    <mergeCell ref="A15:B15"/>
    <mergeCell ref="AA15:AC15"/>
    <mergeCell ref="AD15:AE15"/>
    <mergeCell ref="AF15:AH15"/>
    <mergeCell ref="A14:B14"/>
    <mergeCell ref="AA14:AC14"/>
    <mergeCell ref="AD14:AE14"/>
    <mergeCell ref="AF14:AH14"/>
    <mergeCell ref="A35:B35"/>
    <mergeCell ref="AA35:AC35"/>
    <mergeCell ref="AD35:AE35"/>
    <mergeCell ref="AF35:AH35"/>
    <mergeCell ref="A16:B16"/>
    <mergeCell ref="AA16:AC16"/>
    <mergeCell ref="AD16:AE16"/>
    <mergeCell ref="AF16:AH16"/>
    <mergeCell ref="A17:B17"/>
    <mergeCell ref="AA17:AC17"/>
    <mergeCell ref="A19:B19"/>
    <mergeCell ref="AA19:AC19"/>
    <mergeCell ref="AD19:AE19"/>
    <mergeCell ref="AF19:AH19"/>
    <mergeCell ref="A20:B20"/>
    <mergeCell ref="AA20:AC20"/>
    <mergeCell ref="A11:B11"/>
    <mergeCell ref="AA11:AC11"/>
    <mergeCell ref="AD11:AE11"/>
    <mergeCell ref="AF11:AH11"/>
    <mergeCell ref="A10:B10"/>
    <mergeCell ref="AA10:AC10"/>
    <mergeCell ref="AD10:AE10"/>
    <mergeCell ref="AF10:AH10"/>
    <mergeCell ref="A13:B13"/>
    <mergeCell ref="AA13:AC13"/>
    <mergeCell ref="AD13:AE13"/>
    <mergeCell ref="AF13:AH13"/>
    <mergeCell ref="A12:B12"/>
    <mergeCell ref="AA12:AC12"/>
    <mergeCell ref="AD12:AE12"/>
    <mergeCell ref="AF12:AH12"/>
    <mergeCell ref="G1:N1"/>
    <mergeCell ref="S1:Y1"/>
    <mergeCell ref="AE1:AH1"/>
    <mergeCell ref="G2:N2"/>
    <mergeCell ref="S2:Y2"/>
    <mergeCell ref="AE2:AH2"/>
    <mergeCell ref="A9:B9"/>
    <mergeCell ref="AA9:AC9"/>
    <mergeCell ref="AD9:AE9"/>
    <mergeCell ref="AF9:AH9"/>
    <mergeCell ref="G3:N3"/>
    <mergeCell ref="S3:AH3"/>
    <mergeCell ref="AD4:AH4"/>
    <mergeCell ref="AD20:AE20"/>
    <mergeCell ref="AF20:AH20"/>
    <mergeCell ref="AD17:AE17"/>
    <mergeCell ref="AF17:AH17"/>
    <mergeCell ref="A18:B18"/>
    <mergeCell ref="AA18:AC18"/>
    <mergeCell ref="AD18:AE18"/>
    <mergeCell ref="AF18:AH18"/>
    <mergeCell ref="A23:B23"/>
    <mergeCell ref="AA23:AC23"/>
    <mergeCell ref="AD23:AE23"/>
    <mergeCell ref="AF23:AH23"/>
    <mergeCell ref="A24:B24"/>
    <mergeCell ref="AA24:AC24"/>
    <mergeCell ref="AD24:AE24"/>
    <mergeCell ref="AF24:AH24"/>
    <mergeCell ref="A21:B21"/>
    <mergeCell ref="AA21:AC21"/>
    <mergeCell ref="AD21:AE21"/>
    <mergeCell ref="AF21:AH21"/>
    <mergeCell ref="A22:B22"/>
    <mergeCell ref="AA22:AC22"/>
    <mergeCell ref="AD22:AE22"/>
    <mergeCell ref="AF22:AH22"/>
    <mergeCell ref="A27:B27"/>
    <mergeCell ref="AA27:AC27"/>
    <mergeCell ref="AD27:AE27"/>
    <mergeCell ref="AF27:AH27"/>
    <mergeCell ref="A28:B28"/>
    <mergeCell ref="AA28:AC28"/>
    <mergeCell ref="AD28:AE28"/>
    <mergeCell ref="AF28:AH28"/>
    <mergeCell ref="A25:B25"/>
    <mergeCell ref="AA25:AC25"/>
    <mergeCell ref="AD25:AE25"/>
    <mergeCell ref="AF25:AH25"/>
    <mergeCell ref="A26:B26"/>
    <mergeCell ref="AA26:AC26"/>
    <mergeCell ref="AD26:AE26"/>
    <mergeCell ref="AF26:AH26"/>
    <mergeCell ref="A31:B31"/>
    <mergeCell ref="AA31:AC31"/>
    <mergeCell ref="AD31:AE31"/>
    <mergeCell ref="AF31:AH31"/>
    <mergeCell ref="A32:B32"/>
    <mergeCell ref="AA32:AC32"/>
    <mergeCell ref="AD32:AE32"/>
    <mergeCell ref="AF32:AH32"/>
    <mergeCell ref="A29:B29"/>
    <mergeCell ref="AA29:AC29"/>
    <mergeCell ref="AD29:AE29"/>
    <mergeCell ref="AF29:AH29"/>
    <mergeCell ref="A30:B30"/>
    <mergeCell ref="AA30:AC30"/>
    <mergeCell ref="AD30:AE30"/>
    <mergeCell ref="AF30:AH30"/>
    <mergeCell ref="A33:B33"/>
    <mergeCell ref="AA33:AC33"/>
    <mergeCell ref="AD33:AE33"/>
    <mergeCell ref="AF33:AH33"/>
    <mergeCell ref="A34:B34"/>
    <mergeCell ref="AA34:AC34"/>
    <mergeCell ref="AD34:AE34"/>
    <mergeCell ref="AF34:AH34"/>
    <mergeCell ref="A37:B37"/>
    <mergeCell ref="AA37:AC37"/>
    <mergeCell ref="AD37:AE37"/>
    <mergeCell ref="AF37:AH37"/>
    <mergeCell ref="A36:B36"/>
    <mergeCell ref="AA36:AC36"/>
    <mergeCell ref="AD36:AE36"/>
    <mergeCell ref="AF36:AH36"/>
  </mergeCells>
  <phoneticPr fontId="5"/>
  <pageMargins left="0.78740157480314965" right="0.39370078740157483" top="0.78740157480314965" bottom="0.78740157480314965" header="0.51181102362204722" footer="0.51181102362204722"/>
  <pageSetup paperSize="9" scale="92" fitToHeight="2" orientation="portrait" verticalDpi="400"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1"/>
  <dimension ref="A1:AW68"/>
  <sheetViews>
    <sheetView view="pageBreakPreview" zoomScaleNormal="100" zoomScaleSheetLayoutView="100" workbookViewId="0"/>
  </sheetViews>
  <sheetFormatPr defaultColWidth="2.85546875" defaultRowHeight="11.25"/>
  <cols>
    <col min="1" max="32" width="2.85546875" style="23" customWidth="1"/>
    <col min="33" max="33" width="7.42578125" style="23" customWidth="1"/>
    <col min="34" max="16384" width="2.85546875" style="23"/>
  </cols>
  <sheetData>
    <row r="1" spans="1:49" s="2" customFormat="1" ht="18.95" customHeight="1">
      <c r="A1" s="108"/>
      <c r="B1" s="109"/>
      <c r="C1" s="109"/>
      <c r="D1" s="110" t="s">
        <v>90</v>
      </c>
      <c r="E1" s="111"/>
      <c r="F1" s="112"/>
      <c r="G1" s="544" t="str">
        <f>IF(詳細設計書!G1="","N/A",詳細設計書!G1)</f>
        <v>統合会計システム開発</v>
      </c>
      <c r="H1" s="544"/>
      <c r="I1" s="544"/>
      <c r="J1" s="544"/>
      <c r="K1" s="544"/>
      <c r="L1" s="544"/>
      <c r="M1" s="544"/>
      <c r="N1" s="545"/>
      <c r="O1" s="110" t="s">
        <v>283</v>
      </c>
      <c r="P1" s="111"/>
      <c r="Q1" s="111"/>
      <c r="R1" s="113"/>
      <c r="S1" s="575">
        <f>IF(詳細設計書!S1="","N/A",詳細設計書!S1)</f>
        <v>42509</v>
      </c>
      <c r="T1" s="576"/>
      <c r="U1" s="576"/>
      <c r="V1" s="576"/>
      <c r="W1" s="576"/>
      <c r="X1" s="576"/>
      <c r="Y1" s="577"/>
      <c r="Z1" s="110" t="s">
        <v>284</v>
      </c>
      <c r="AA1" s="114"/>
      <c r="AB1" s="114"/>
      <c r="AC1" s="115"/>
      <c r="AD1" s="578">
        <f>IF(詳細設計書!AD1="","",詳細設計書!AD1)</f>
        <v>42559</v>
      </c>
      <c r="AE1" s="579"/>
      <c r="AF1" s="579"/>
      <c r="AG1" s="580"/>
    </row>
    <row r="2" spans="1:49" s="2" customFormat="1" ht="18.95" customHeight="1">
      <c r="A2" s="30"/>
      <c r="D2" s="116" t="s">
        <v>93</v>
      </c>
      <c r="E2" s="34"/>
      <c r="F2" s="117"/>
      <c r="G2" s="550" t="str">
        <f>IF(詳細設計書!G2="","N/A",詳細設計書!G2)</f>
        <v>SAP R/3(レポート)</v>
      </c>
      <c r="H2" s="550"/>
      <c r="I2" s="550"/>
      <c r="J2" s="550"/>
      <c r="K2" s="550"/>
      <c r="L2" s="550"/>
      <c r="M2" s="550"/>
      <c r="N2" s="551"/>
      <c r="O2" s="116" t="s">
        <v>286</v>
      </c>
      <c r="P2" s="34"/>
      <c r="Q2" s="34"/>
      <c r="R2" s="118"/>
      <c r="S2" s="581" t="str">
        <f>IF(詳細設計書!S2="","N/A",詳細設計書!S2)</f>
        <v>KSC 橋本</v>
      </c>
      <c r="T2" s="582"/>
      <c r="U2" s="582"/>
      <c r="V2" s="582"/>
      <c r="W2" s="582"/>
      <c r="X2" s="582"/>
      <c r="Y2" s="583"/>
      <c r="Z2" s="116" t="s">
        <v>288</v>
      </c>
      <c r="AA2" s="119"/>
      <c r="AB2" s="120"/>
      <c r="AC2" s="117"/>
      <c r="AD2" s="584" t="str">
        <f>IF(詳細設計書!AD2="","",詳細設計書!AD2)</f>
        <v>KSC 橋本</v>
      </c>
      <c r="AE2" s="585"/>
      <c r="AF2" s="585"/>
      <c r="AG2" s="586"/>
    </row>
    <row r="3" spans="1:49" s="129" customFormat="1" ht="18.95" customHeight="1" thickBot="1">
      <c r="A3" s="4"/>
      <c r="B3" s="1"/>
      <c r="C3" s="121"/>
      <c r="D3" s="122" t="s">
        <v>96</v>
      </c>
      <c r="E3" s="123"/>
      <c r="F3" s="124"/>
      <c r="G3" s="563" t="str">
        <f>IF(詳細設計書!G3="","N/A",詳細設計書!G3)</f>
        <v>DP_FI_2014_01</v>
      </c>
      <c r="H3" s="564"/>
      <c r="I3" s="564"/>
      <c r="J3" s="564"/>
      <c r="K3" s="564"/>
      <c r="L3" s="564"/>
      <c r="M3" s="564"/>
      <c r="N3" s="565"/>
      <c r="O3" s="122" t="s">
        <v>97</v>
      </c>
      <c r="P3" s="123"/>
      <c r="Q3" s="123"/>
      <c r="R3" s="125"/>
      <c r="S3" s="566" t="str">
        <f>IF(詳細設計書!S3="","N/A",詳細設計書!S3)</f>
        <v>ZFIPR_2014_01</v>
      </c>
      <c r="T3" s="566"/>
      <c r="U3" s="566"/>
      <c r="V3" s="566"/>
      <c r="W3" s="566"/>
      <c r="X3" s="566"/>
      <c r="Y3" s="566"/>
      <c r="Z3" s="566"/>
      <c r="AA3" s="566"/>
      <c r="AB3" s="566"/>
      <c r="AC3" s="566"/>
      <c r="AD3" s="566"/>
      <c r="AE3" s="566"/>
      <c r="AF3" s="566"/>
      <c r="AG3" s="567"/>
    </row>
    <row r="4" spans="1:49" s="129" customFormat="1" ht="18.95" customHeight="1" thickBot="1">
      <c r="A4" s="31" t="s">
        <v>292</v>
      </c>
      <c r="B4" s="127"/>
      <c r="C4" s="128"/>
      <c r="D4" s="181" t="s">
        <v>759</v>
      </c>
      <c r="E4" s="126"/>
      <c r="F4" s="126"/>
      <c r="G4" s="126"/>
      <c r="H4" s="126"/>
      <c r="I4" s="126"/>
      <c r="J4" s="126"/>
      <c r="K4" s="126"/>
      <c r="L4" s="126"/>
      <c r="M4" s="126"/>
      <c r="N4" s="126"/>
      <c r="O4" s="182"/>
      <c r="P4" s="126"/>
      <c r="Q4" s="126"/>
      <c r="R4" s="126"/>
      <c r="S4" s="126"/>
      <c r="T4" s="126"/>
      <c r="U4" s="126"/>
      <c r="V4" s="126"/>
      <c r="W4" s="126"/>
      <c r="X4" s="126"/>
      <c r="Y4" s="126"/>
      <c r="Z4" s="57" t="s">
        <v>100</v>
      </c>
      <c r="AA4" s="127"/>
      <c r="AB4" s="128"/>
      <c r="AC4" s="560" t="str">
        <f>詳細設計書!AC4</f>
        <v>1.0</v>
      </c>
      <c r="AD4" s="560"/>
      <c r="AE4" s="560"/>
      <c r="AF4" s="560"/>
      <c r="AG4" s="561"/>
      <c r="AH4" s="2"/>
      <c r="AI4" s="2"/>
      <c r="AJ4" s="2"/>
      <c r="AK4" s="2"/>
      <c r="AL4" s="2"/>
      <c r="AM4" s="2"/>
      <c r="AN4" s="2"/>
      <c r="AO4" s="2"/>
      <c r="AP4" s="2"/>
      <c r="AQ4" s="2"/>
      <c r="AR4" s="2"/>
      <c r="AS4" s="2"/>
      <c r="AT4" s="2"/>
      <c r="AU4" s="2"/>
      <c r="AV4" s="2"/>
      <c r="AW4" s="2"/>
    </row>
    <row r="5" spans="1:49" ht="7.5" customHeight="1" thickBot="1">
      <c r="E5" s="146"/>
    </row>
    <row r="6" spans="1:49" ht="13.5" customHeight="1" thickBot="1">
      <c r="A6" s="157" t="s">
        <v>760</v>
      </c>
      <c r="B6" s="158"/>
      <c r="C6" s="158"/>
      <c r="D6" s="158"/>
      <c r="E6" s="158"/>
      <c r="F6" s="158"/>
      <c r="G6" s="158"/>
      <c r="H6" s="159"/>
      <c r="I6" s="160" t="s">
        <v>761</v>
      </c>
      <c r="J6" s="158"/>
      <c r="K6" s="158"/>
      <c r="L6" s="158"/>
      <c r="M6" s="158"/>
      <c r="N6" s="158"/>
      <c r="O6" s="158"/>
      <c r="P6" s="158"/>
      <c r="Q6" s="158"/>
      <c r="R6" s="158"/>
      <c r="S6" s="158"/>
      <c r="T6" s="158"/>
      <c r="U6" s="158"/>
      <c r="V6" s="158"/>
      <c r="W6" s="158"/>
      <c r="X6" s="158"/>
      <c r="Y6" s="158"/>
      <c r="Z6" s="158"/>
      <c r="AA6" s="158"/>
      <c r="AB6" s="159"/>
      <c r="AC6" s="160" t="s">
        <v>762</v>
      </c>
      <c r="AD6" s="158"/>
      <c r="AE6" s="158"/>
      <c r="AF6" s="158"/>
      <c r="AG6" s="161"/>
    </row>
    <row r="7" spans="1:49" ht="12" thickTop="1">
      <c r="A7" s="309" t="s">
        <v>763</v>
      </c>
      <c r="B7" s="23" t="s">
        <v>764</v>
      </c>
      <c r="H7" s="162"/>
      <c r="I7" s="307" t="s">
        <v>765</v>
      </c>
      <c r="K7" s="23" t="s">
        <v>766</v>
      </c>
      <c r="AB7" s="162"/>
      <c r="AC7" s="147"/>
      <c r="AG7" s="136"/>
    </row>
    <row r="8" spans="1:49">
      <c r="A8" s="310"/>
      <c r="H8" s="162"/>
      <c r="I8" s="307"/>
      <c r="K8" s="23" t="s">
        <v>767</v>
      </c>
      <c r="AB8" s="162"/>
      <c r="AC8" s="147"/>
      <c r="AG8" s="136"/>
    </row>
    <row r="9" spans="1:49">
      <c r="A9" s="310"/>
      <c r="H9" s="162"/>
      <c r="I9" s="308"/>
      <c r="AB9" s="162"/>
      <c r="AC9" s="147"/>
      <c r="AG9" s="136"/>
    </row>
    <row r="10" spans="1:49">
      <c r="A10" s="310"/>
      <c r="H10" s="162"/>
      <c r="I10" s="307" t="s">
        <v>768</v>
      </c>
      <c r="K10" s="23" t="s">
        <v>769</v>
      </c>
      <c r="AB10" s="162"/>
      <c r="AC10" s="147"/>
      <c r="AG10" s="136"/>
    </row>
    <row r="11" spans="1:49">
      <c r="A11" s="310"/>
      <c r="H11" s="162"/>
      <c r="I11" s="307"/>
      <c r="AB11" s="162"/>
      <c r="AC11" s="147"/>
      <c r="AG11" s="136"/>
    </row>
    <row r="12" spans="1:49">
      <c r="A12" s="310"/>
      <c r="H12" s="162"/>
      <c r="I12" s="307" t="s">
        <v>770</v>
      </c>
      <c r="K12" s="23" t="s">
        <v>771</v>
      </c>
      <c r="AB12" s="162"/>
      <c r="AC12" s="147"/>
      <c r="AG12" s="136"/>
    </row>
    <row r="13" spans="1:49">
      <c r="A13" s="310"/>
      <c r="H13" s="162"/>
      <c r="I13" s="307"/>
      <c r="AB13" s="162"/>
      <c r="AC13" s="147"/>
      <c r="AG13" s="136"/>
    </row>
    <row r="14" spans="1:49">
      <c r="A14" s="310"/>
      <c r="H14" s="162"/>
      <c r="I14" s="307" t="s">
        <v>772</v>
      </c>
      <c r="K14" s="23" t="s">
        <v>773</v>
      </c>
      <c r="AB14" s="162"/>
      <c r="AC14" s="147"/>
      <c r="AG14" s="136"/>
    </row>
    <row r="15" spans="1:49">
      <c r="A15" s="310"/>
      <c r="H15" s="162"/>
      <c r="I15" s="307"/>
      <c r="AB15" s="162"/>
      <c r="AC15" s="147"/>
      <c r="AG15" s="136"/>
    </row>
    <row r="16" spans="1:49">
      <c r="A16" s="310"/>
      <c r="H16" s="162"/>
      <c r="I16" s="307" t="s">
        <v>774</v>
      </c>
      <c r="K16" s="23" t="s">
        <v>775</v>
      </c>
      <c r="AB16" s="162"/>
      <c r="AC16" s="147" t="s">
        <v>776</v>
      </c>
      <c r="AG16" s="136"/>
    </row>
    <row r="17" spans="1:33">
      <c r="A17" s="309"/>
      <c r="H17" s="162"/>
      <c r="I17" s="307"/>
      <c r="AB17" s="162"/>
      <c r="AC17" s="147"/>
      <c r="AG17" s="136"/>
    </row>
    <row r="18" spans="1:33">
      <c r="A18" s="310"/>
      <c r="H18" s="162"/>
      <c r="I18" s="307"/>
      <c r="AB18" s="162"/>
      <c r="AC18" s="147"/>
      <c r="AG18" s="136"/>
    </row>
    <row r="19" spans="1:33">
      <c r="A19" s="310"/>
      <c r="H19" s="162"/>
      <c r="I19" s="308"/>
      <c r="AB19" s="162"/>
      <c r="AC19" s="147"/>
      <c r="AG19" s="136"/>
    </row>
    <row r="20" spans="1:33">
      <c r="A20" s="309" t="s">
        <v>777</v>
      </c>
      <c r="B20" s="23" t="s">
        <v>778</v>
      </c>
      <c r="H20" s="162"/>
      <c r="I20" s="308" t="s">
        <v>779</v>
      </c>
      <c r="K20" s="23" t="s">
        <v>780</v>
      </c>
      <c r="AB20" s="162"/>
      <c r="AC20" s="147" t="s">
        <v>781</v>
      </c>
      <c r="AG20" s="136"/>
    </row>
    <row r="21" spans="1:33">
      <c r="A21" s="309"/>
      <c r="H21" s="162"/>
      <c r="I21" s="308"/>
      <c r="K21" s="23" t="s">
        <v>782</v>
      </c>
      <c r="AB21" s="162"/>
      <c r="AC21" s="147"/>
      <c r="AG21" s="136"/>
    </row>
    <row r="22" spans="1:33">
      <c r="A22" s="310"/>
      <c r="H22" s="162"/>
      <c r="I22" s="308"/>
      <c r="AB22" s="162"/>
      <c r="AC22" s="147"/>
      <c r="AG22" s="136"/>
    </row>
    <row r="23" spans="1:33">
      <c r="A23" s="310"/>
      <c r="H23" s="162"/>
      <c r="I23" s="308" t="s">
        <v>783</v>
      </c>
      <c r="K23" s="23" t="s">
        <v>784</v>
      </c>
      <c r="AB23" s="162"/>
      <c r="AC23" s="147" t="s">
        <v>781</v>
      </c>
      <c r="AG23" s="136"/>
    </row>
    <row r="24" spans="1:33">
      <c r="A24" s="310"/>
      <c r="H24" s="162"/>
      <c r="I24" s="308"/>
      <c r="K24" s="23" t="s">
        <v>785</v>
      </c>
      <c r="AB24" s="162"/>
      <c r="AC24" s="147"/>
      <c r="AG24" s="136"/>
    </row>
    <row r="25" spans="1:33">
      <c r="A25" s="310"/>
      <c r="H25" s="162"/>
      <c r="I25" s="308"/>
      <c r="AB25" s="162"/>
      <c r="AG25" s="136"/>
    </row>
    <row r="26" spans="1:33">
      <c r="A26" s="309" t="s">
        <v>786</v>
      </c>
      <c r="B26" s="23" t="s">
        <v>787</v>
      </c>
      <c r="H26" s="162"/>
      <c r="I26" s="308" t="s">
        <v>788</v>
      </c>
      <c r="K26" s="23" t="s">
        <v>789</v>
      </c>
      <c r="AB26" s="162"/>
      <c r="AC26" s="147"/>
      <c r="AG26" s="136"/>
    </row>
    <row r="27" spans="1:33">
      <c r="A27" s="310"/>
      <c r="H27" s="162"/>
      <c r="I27" s="308"/>
      <c r="AB27" s="162"/>
      <c r="AC27" s="147"/>
      <c r="AG27" s="136"/>
    </row>
    <row r="28" spans="1:33">
      <c r="A28" s="309" t="s">
        <v>790</v>
      </c>
      <c r="B28" s="23" t="s">
        <v>791</v>
      </c>
      <c r="H28" s="162"/>
      <c r="I28" s="308" t="s">
        <v>792</v>
      </c>
      <c r="K28" s="23" t="s">
        <v>793</v>
      </c>
      <c r="AB28" s="162"/>
      <c r="AC28" s="147" t="s">
        <v>776</v>
      </c>
      <c r="AG28" s="136"/>
    </row>
    <row r="29" spans="1:33">
      <c r="A29" s="309"/>
      <c r="H29" s="162"/>
      <c r="I29" s="308"/>
      <c r="K29" s="23" t="s">
        <v>794</v>
      </c>
      <c r="AB29" s="162"/>
      <c r="AC29" s="147"/>
      <c r="AG29" s="136"/>
    </row>
    <row r="30" spans="1:33">
      <c r="A30" s="310"/>
      <c r="H30" s="162"/>
      <c r="I30" s="308"/>
      <c r="K30" s="163"/>
      <c r="AB30" s="162"/>
      <c r="AC30" s="147"/>
      <c r="AG30" s="136"/>
    </row>
    <row r="31" spans="1:33">
      <c r="A31" s="310"/>
      <c r="H31" s="162"/>
      <c r="I31" s="308"/>
      <c r="AB31" s="162"/>
      <c r="AC31" s="147"/>
      <c r="AG31" s="136"/>
    </row>
    <row r="32" spans="1:33">
      <c r="A32" s="310"/>
      <c r="H32" s="162"/>
      <c r="I32" s="308" t="s">
        <v>795</v>
      </c>
      <c r="K32" s="23" t="s">
        <v>796</v>
      </c>
      <c r="AB32" s="162"/>
      <c r="AC32" s="147" t="s">
        <v>776</v>
      </c>
      <c r="AG32" s="136"/>
    </row>
    <row r="33" spans="1:33">
      <c r="A33" s="310"/>
      <c r="H33" s="162"/>
      <c r="I33" s="308"/>
      <c r="K33" s="23" t="s">
        <v>794</v>
      </c>
      <c r="AB33" s="162"/>
      <c r="AC33" s="147"/>
      <c r="AG33" s="136"/>
    </row>
    <row r="34" spans="1:33">
      <c r="A34" s="310"/>
      <c r="H34" s="162"/>
      <c r="I34" s="308"/>
      <c r="K34" s="23" t="s">
        <v>797</v>
      </c>
      <c r="AB34" s="162"/>
      <c r="AC34" s="147"/>
      <c r="AG34" s="136"/>
    </row>
    <row r="35" spans="1:33">
      <c r="A35" s="310"/>
      <c r="H35" s="162"/>
      <c r="I35" s="308"/>
      <c r="K35" s="163"/>
      <c r="AB35" s="162"/>
      <c r="AC35" s="147"/>
      <c r="AG35" s="136"/>
    </row>
    <row r="36" spans="1:33">
      <c r="A36" s="310"/>
      <c r="H36" s="162"/>
      <c r="I36" s="308" t="s">
        <v>798</v>
      </c>
      <c r="K36" s="23" t="s">
        <v>799</v>
      </c>
      <c r="AB36" s="162"/>
      <c r="AC36" s="147"/>
      <c r="AG36" s="136"/>
    </row>
    <row r="37" spans="1:33">
      <c r="A37" s="310"/>
      <c r="H37" s="162"/>
      <c r="I37" s="308"/>
      <c r="K37" s="23" t="s">
        <v>794</v>
      </c>
      <c r="AB37" s="162"/>
      <c r="AC37" s="147"/>
      <c r="AG37" s="136"/>
    </row>
    <row r="38" spans="1:33">
      <c r="A38" s="310"/>
      <c r="H38" s="162"/>
      <c r="I38" s="308"/>
      <c r="AB38" s="162"/>
      <c r="AC38" s="147"/>
      <c r="AG38" s="136"/>
    </row>
    <row r="39" spans="1:33">
      <c r="A39" s="310"/>
      <c r="H39" s="162"/>
      <c r="I39" s="308"/>
      <c r="AB39" s="162"/>
      <c r="AC39" s="147"/>
      <c r="AG39" s="136"/>
    </row>
    <row r="40" spans="1:33">
      <c r="A40" s="310"/>
      <c r="H40" s="162"/>
      <c r="I40" s="308"/>
      <c r="AB40" s="162"/>
      <c r="AC40" s="147"/>
      <c r="AG40" s="136"/>
    </row>
    <row r="41" spans="1:33">
      <c r="A41" s="310"/>
      <c r="H41" s="162"/>
      <c r="I41" s="308"/>
      <c r="AB41" s="162"/>
      <c r="AC41" s="147"/>
      <c r="AG41" s="136"/>
    </row>
    <row r="42" spans="1:33">
      <c r="A42" s="309"/>
      <c r="H42" s="162"/>
      <c r="I42" s="308"/>
      <c r="AB42" s="162"/>
      <c r="AC42" s="147"/>
      <c r="AG42" s="136"/>
    </row>
    <row r="43" spans="1:33">
      <c r="A43" s="309"/>
      <c r="H43" s="162"/>
      <c r="I43" s="308"/>
      <c r="AB43" s="162"/>
      <c r="AG43" s="136"/>
    </row>
    <row r="44" spans="1:33">
      <c r="A44" s="309"/>
      <c r="H44" s="162"/>
      <c r="I44" s="308"/>
      <c r="AB44" s="162"/>
      <c r="AC44" s="147"/>
      <c r="AG44" s="136"/>
    </row>
    <row r="45" spans="1:33">
      <c r="A45" s="310"/>
      <c r="H45" s="162"/>
      <c r="I45" s="308"/>
      <c r="AB45" s="162"/>
      <c r="AC45" s="147"/>
      <c r="AG45" s="136"/>
    </row>
    <row r="46" spans="1:33">
      <c r="A46" s="310"/>
      <c r="H46" s="162"/>
      <c r="I46" s="308"/>
      <c r="AB46" s="162"/>
      <c r="AC46" s="147"/>
      <c r="AG46" s="136"/>
    </row>
    <row r="47" spans="1:33">
      <c r="A47" s="310"/>
      <c r="H47" s="162"/>
      <c r="I47" s="308"/>
      <c r="K47" s="163"/>
      <c r="AB47" s="162"/>
      <c r="AC47" s="147"/>
      <c r="AG47" s="136"/>
    </row>
    <row r="48" spans="1:33">
      <c r="A48" s="310"/>
      <c r="H48" s="162"/>
      <c r="I48" s="308"/>
      <c r="L48" s="163"/>
      <c r="AB48" s="162"/>
      <c r="AC48" s="147"/>
      <c r="AG48" s="136"/>
    </row>
    <row r="49" spans="1:33">
      <c r="A49" s="310"/>
      <c r="H49" s="162"/>
      <c r="I49" s="308"/>
      <c r="AB49" s="162"/>
      <c r="AC49" s="147"/>
      <c r="AG49" s="136"/>
    </row>
    <row r="50" spans="1:33">
      <c r="A50" s="309"/>
      <c r="H50" s="162"/>
      <c r="I50" s="308"/>
      <c r="AB50" s="162"/>
      <c r="AC50" s="147"/>
      <c r="AG50" s="136"/>
    </row>
    <row r="51" spans="1:33">
      <c r="A51" s="309"/>
      <c r="H51" s="162"/>
      <c r="I51" s="308"/>
      <c r="AB51" s="162"/>
      <c r="AC51" s="147"/>
      <c r="AG51" s="136"/>
    </row>
    <row r="52" spans="1:33">
      <c r="A52" s="310"/>
      <c r="H52" s="162"/>
      <c r="I52" s="308"/>
      <c r="K52" s="163"/>
      <c r="AB52" s="162"/>
      <c r="AC52" s="147"/>
      <c r="AG52" s="136"/>
    </row>
    <row r="53" spans="1:33">
      <c r="A53" s="310"/>
      <c r="H53" s="162"/>
      <c r="I53" s="308"/>
      <c r="AB53" s="162"/>
      <c r="AC53" s="147"/>
      <c r="AG53" s="136"/>
    </row>
    <row r="54" spans="1:33">
      <c r="A54" s="310"/>
      <c r="H54" s="162"/>
      <c r="I54" s="308"/>
      <c r="K54" s="163"/>
      <c r="AB54" s="162"/>
      <c r="AC54" s="147"/>
      <c r="AG54" s="136"/>
    </row>
    <row r="55" spans="1:33">
      <c r="A55" s="310"/>
      <c r="H55" s="162"/>
      <c r="I55" s="308"/>
      <c r="AB55" s="162"/>
      <c r="AC55" s="147"/>
      <c r="AG55" s="136"/>
    </row>
    <row r="56" spans="1:33">
      <c r="A56" s="310"/>
      <c r="H56" s="162"/>
      <c r="I56" s="308"/>
      <c r="AB56" s="162"/>
      <c r="AC56" s="147"/>
      <c r="AG56" s="136"/>
    </row>
    <row r="57" spans="1:33">
      <c r="A57" s="310"/>
      <c r="H57" s="162"/>
      <c r="I57" s="308"/>
      <c r="AB57" s="162"/>
      <c r="AC57" s="147"/>
      <c r="AG57" s="136"/>
    </row>
    <row r="58" spans="1:33">
      <c r="A58" s="310"/>
      <c r="H58" s="162"/>
      <c r="I58" s="308"/>
      <c r="AB58" s="162"/>
      <c r="AC58" s="147"/>
      <c r="AG58" s="136"/>
    </row>
    <row r="59" spans="1:33">
      <c r="A59" s="310"/>
      <c r="H59" s="162"/>
      <c r="I59" s="308"/>
      <c r="K59" s="163"/>
      <c r="AB59" s="162"/>
      <c r="AC59" s="147"/>
      <c r="AG59" s="136"/>
    </row>
    <row r="60" spans="1:33">
      <c r="A60" s="310"/>
      <c r="H60" s="162"/>
      <c r="I60" s="308"/>
      <c r="K60" s="163"/>
      <c r="AB60" s="162"/>
      <c r="AC60" s="147"/>
      <c r="AG60" s="136"/>
    </row>
    <row r="61" spans="1:33">
      <c r="A61" s="310"/>
      <c r="H61" s="162"/>
      <c r="I61" s="308"/>
      <c r="AB61" s="162"/>
      <c r="AC61" s="147"/>
      <c r="AG61" s="136"/>
    </row>
    <row r="62" spans="1:33">
      <c r="A62" s="310"/>
      <c r="H62" s="162"/>
      <c r="I62" s="308"/>
      <c r="AB62" s="162"/>
      <c r="AC62" s="147"/>
      <c r="AG62" s="136"/>
    </row>
    <row r="63" spans="1:33">
      <c r="A63" s="310"/>
      <c r="H63" s="162"/>
      <c r="I63" s="308"/>
      <c r="AB63" s="162"/>
      <c r="AC63" s="147"/>
      <c r="AG63" s="136"/>
    </row>
    <row r="64" spans="1:33">
      <c r="A64" s="310"/>
      <c r="H64" s="162"/>
      <c r="I64" s="308"/>
      <c r="K64" s="163"/>
      <c r="AB64" s="162"/>
      <c r="AC64" s="147"/>
      <c r="AG64" s="136"/>
    </row>
    <row r="65" spans="1:33">
      <c r="A65" s="154"/>
      <c r="H65" s="162"/>
      <c r="I65" s="308"/>
      <c r="AB65" s="162"/>
      <c r="AC65" s="147"/>
      <c r="AG65" s="136"/>
    </row>
    <row r="66" spans="1:33">
      <c r="A66" s="154"/>
      <c r="H66" s="162"/>
      <c r="I66" s="147"/>
      <c r="AB66" s="162"/>
      <c r="AC66" s="147"/>
      <c r="AG66" s="136"/>
    </row>
    <row r="67" spans="1:33">
      <c r="A67" s="154"/>
      <c r="H67" s="162"/>
      <c r="I67" s="147"/>
      <c r="AB67" s="162"/>
      <c r="AC67" s="147"/>
      <c r="AG67" s="136"/>
    </row>
    <row r="68" spans="1:33" ht="12" thickBot="1">
      <c r="A68" s="155"/>
      <c r="B68" s="104"/>
      <c r="C68" s="104"/>
      <c r="D68" s="104"/>
      <c r="E68" s="104"/>
      <c r="F68" s="104"/>
      <c r="G68" s="104"/>
      <c r="H68" s="164"/>
      <c r="I68" s="165"/>
      <c r="J68" s="104"/>
      <c r="K68" s="104"/>
      <c r="L68" s="104"/>
      <c r="M68" s="104"/>
      <c r="N68" s="104"/>
      <c r="O68" s="104"/>
      <c r="P68" s="104"/>
      <c r="Q68" s="104"/>
      <c r="R68" s="104"/>
      <c r="S68" s="104"/>
      <c r="T68" s="104"/>
      <c r="U68" s="104"/>
      <c r="V68" s="104"/>
      <c r="W68" s="104"/>
      <c r="X68" s="104"/>
      <c r="Y68" s="104"/>
      <c r="Z68" s="104"/>
      <c r="AA68" s="104"/>
      <c r="AB68" s="164"/>
      <c r="AC68" s="165"/>
      <c r="AD68" s="104"/>
      <c r="AE68" s="104"/>
      <c r="AF68" s="104"/>
      <c r="AG68" s="142"/>
    </row>
  </sheetData>
  <mergeCells count="9">
    <mergeCell ref="G3:N3"/>
    <mergeCell ref="S3:AG3"/>
    <mergeCell ref="AC4:AG4"/>
    <mergeCell ref="G1:N1"/>
    <mergeCell ref="S1:Y1"/>
    <mergeCell ref="AD1:AG1"/>
    <mergeCell ref="G2:N2"/>
    <mergeCell ref="S2:Y2"/>
    <mergeCell ref="AD2:AG2"/>
  </mergeCells>
  <phoneticPr fontId="6"/>
  <pageMargins left="0.78740157480314965" right="0.39370078740157483" top="0.78740157480314965" bottom="0.78740157480314965" header="0.51181102362204722" footer="0.51181102362204722"/>
  <pageSetup paperSize="9" scale="78" fitToHeight="2" orientation="portrait" verticalDpi="400" r:id="rId1"/>
  <headerFooter alignWithMargins="0"/>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4">
    <pageSetUpPr fitToPage="1"/>
  </sheetPr>
  <dimension ref="A1:AG102"/>
  <sheetViews>
    <sheetView view="pageBreakPreview" zoomScaleNormal="100" zoomScaleSheetLayoutView="100" workbookViewId="0"/>
  </sheetViews>
  <sheetFormatPr defaultColWidth="2.85546875" defaultRowHeight="11.25"/>
  <cols>
    <col min="1" max="16384" width="2.85546875" style="100"/>
  </cols>
  <sheetData>
    <row r="1" spans="1:33" s="2" customFormat="1" ht="18.95" customHeight="1">
      <c r="A1" s="108"/>
      <c r="B1" s="109"/>
      <c r="C1" s="109"/>
      <c r="D1" s="110" t="s">
        <v>90</v>
      </c>
      <c r="E1" s="111"/>
      <c r="F1" s="112"/>
      <c r="G1" s="544" t="str">
        <f>IF(詳細設計書!G1="","N/A",詳細設計書!G1)</f>
        <v>統合会計システム開発</v>
      </c>
      <c r="H1" s="544"/>
      <c r="I1" s="544"/>
      <c r="J1" s="544"/>
      <c r="K1" s="544"/>
      <c r="L1" s="544"/>
      <c r="M1" s="544"/>
      <c r="N1" s="545"/>
      <c r="O1" s="110" t="s">
        <v>283</v>
      </c>
      <c r="P1" s="111"/>
      <c r="Q1" s="111"/>
      <c r="R1" s="113"/>
      <c r="S1" s="575">
        <f>IF(詳細設計書!S1="","N/A",詳細設計書!S1)</f>
        <v>42509</v>
      </c>
      <c r="T1" s="576"/>
      <c r="U1" s="576"/>
      <c r="V1" s="576"/>
      <c r="W1" s="576"/>
      <c r="X1" s="576"/>
      <c r="Y1" s="577"/>
      <c r="Z1" s="110" t="s">
        <v>284</v>
      </c>
      <c r="AA1" s="114"/>
      <c r="AB1" s="114"/>
      <c r="AC1" s="115"/>
      <c r="AD1" s="578">
        <f>IF(詳細設計書!AD1="","",詳細設計書!AD1)</f>
        <v>42559</v>
      </c>
      <c r="AE1" s="579"/>
      <c r="AF1" s="579"/>
      <c r="AG1" s="580"/>
    </row>
    <row r="2" spans="1:33" s="2" customFormat="1" ht="18.95" customHeight="1">
      <c r="A2" s="30"/>
      <c r="D2" s="116" t="s">
        <v>93</v>
      </c>
      <c r="E2" s="34"/>
      <c r="F2" s="117"/>
      <c r="G2" s="550" t="str">
        <f>IF(詳細設計書!G2="","N/A",詳細設計書!G2)</f>
        <v>SAP R/3(レポート)</v>
      </c>
      <c r="H2" s="550"/>
      <c r="I2" s="550"/>
      <c r="J2" s="550"/>
      <c r="K2" s="550"/>
      <c r="L2" s="550"/>
      <c r="M2" s="550"/>
      <c r="N2" s="551"/>
      <c r="O2" s="116" t="s">
        <v>286</v>
      </c>
      <c r="P2" s="34"/>
      <c r="Q2" s="34"/>
      <c r="R2" s="118"/>
      <c r="S2" s="581" t="str">
        <f>IF(詳細設計書!S2="","N/A",詳細設計書!S2)</f>
        <v>KSC 橋本</v>
      </c>
      <c r="T2" s="582"/>
      <c r="U2" s="582"/>
      <c r="V2" s="582"/>
      <c r="W2" s="582"/>
      <c r="X2" s="582"/>
      <c r="Y2" s="583"/>
      <c r="Z2" s="116" t="s">
        <v>288</v>
      </c>
      <c r="AA2" s="119"/>
      <c r="AB2" s="120"/>
      <c r="AC2" s="117"/>
      <c r="AD2" s="584" t="str">
        <f>IF(詳細設計書!AD2="","",詳細設計書!AD2)</f>
        <v>KSC 橋本</v>
      </c>
      <c r="AE2" s="585"/>
      <c r="AF2" s="585"/>
      <c r="AG2" s="586"/>
    </row>
    <row r="3" spans="1:33" s="2" customFormat="1" ht="18.95" customHeight="1" thickBot="1">
      <c r="A3" s="4"/>
      <c r="B3" s="1"/>
      <c r="C3" s="121"/>
      <c r="D3" s="122" t="s">
        <v>96</v>
      </c>
      <c r="E3" s="123"/>
      <c r="F3" s="124"/>
      <c r="G3" s="563" t="str">
        <f>IF(詳細設計書!G3="","N/A",詳細設計書!G3)</f>
        <v>DP_FI_2014_01</v>
      </c>
      <c r="H3" s="564"/>
      <c r="I3" s="564"/>
      <c r="J3" s="564"/>
      <c r="K3" s="564"/>
      <c r="L3" s="564"/>
      <c r="M3" s="564"/>
      <c r="N3" s="565"/>
      <c r="O3" s="122" t="s">
        <v>97</v>
      </c>
      <c r="P3" s="123"/>
      <c r="Q3" s="123"/>
      <c r="R3" s="125"/>
      <c r="S3" s="566" t="str">
        <f>IF(詳細設計書!S3="","N/A",詳細設計書!S3)</f>
        <v>ZFIPR_2014_01</v>
      </c>
      <c r="T3" s="566"/>
      <c r="U3" s="566"/>
      <c r="V3" s="566"/>
      <c r="W3" s="566"/>
      <c r="X3" s="566"/>
      <c r="Y3" s="566"/>
      <c r="Z3" s="566"/>
      <c r="AA3" s="566"/>
      <c r="AB3" s="566"/>
      <c r="AC3" s="566"/>
      <c r="AD3" s="566"/>
      <c r="AE3" s="566"/>
      <c r="AF3" s="566"/>
      <c r="AG3" s="567"/>
    </row>
    <row r="4" spans="1:33" s="2" customFormat="1" ht="18.95" customHeight="1" thickBot="1">
      <c r="A4" s="31" t="s">
        <v>292</v>
      </c>
      <c r="B4" s="32"/>
      <c r="C4" s="58"/>
      <c r="D4" s="181" t="s">
        <v>800</v>
      </c>
      <c r="E4" s="1"/>
      <c r="F4" s="1"/>
      <c r="G4" s="1"/>
      <c r="H4" s="1"/>
      <c r="I4" s="1"/>
      <c r="J4" s="1"/>
      <c r="K4" s="1"/>
      <c r="L4" s="1"/>
      <c r="M4" s="1"/>
      <c r="N4" s="1"/>
      <c r="O4" s="184"/>
      <c r="P4" s="1"/>
      <c r="Q4" s="1"/>
      <c r="R4" s="1"/>
      <c r="S4" s="1"/>
      <c r="T4" s="1"/>
      <c r="U4" s="1"/>
      <c r="V4" s="1"/>
      <c r="W4" s="1"/>
      <c r="X4" s="1"/>
      <c r="Y4" s="1"/>
      <c r="Z4" s="31" t="s">
        <v>100</v>
      </c>
      <c r="AA4" s="32"/>
      <c r="AB4" s="58"/>
      <c r="AC4" s="560" t="str">
        <f>詳細設計書!AC4</f>
        <v>1.0</v>
      </c>
      <c r="AD4" s="560"/>
      <c r="AE4" s="560"/>
      <c r="AF4" s="560"/>
      <c r="AG4" s="561"/>
    </row>
    <row r="5" spans="1:33" ht="7.5" customHeight="1" thickBot="1">
      <c r="E5" s="99"/>
    </row>
    <row r="6" spans="1:33" s="145" customFormat="1">
      <c r="A6" s="166" t="s">
        <v>329</v>
      </c>
      <c r="B6" s="167"/>
      <c r="C6" s="168" t="s">
        <v>801</v>
      </c>
      <c r="D6" s="169"/>
      <c r="E6" s="169"/>
      <c r="F6" s="169"/>
      <c r="G6" s="169"/>
      <c r="H6" s="169"/>
      <c r="I6" s="169"/>
      <c r="J6" s="169"/>
      <c r="K6" s="169"/>
      <c r="L6" s="167"/>
      <c r="M6" s="169" t="s">
        <v>802</v>
      </c>
      <c r="N6" s="169"/>
      <c r="O6" s="169"/>
      <c r="P6" s="169"/>
      <c r="Q6" s="169"/>
      <c r="R6" s="169"/>
      <c r="S6" s="169"/>
      <c r="T6" s="169"/>
      <c r="U6" s="169"/>
      <c r="V6" s="169"/>
      <c r="W6" s="169"/>
      <c r="X6" s="169"/>
      <c r="Y6" s="169"/>
      <c r="Z6" s="169"/>
      <c r="AA6" s="169"/>
      <c r="AB6" s="168" t="s">
        <v>803</v>
      </c>
      <c r="AC6" s="169"/>
      <c r="AD6" s="169"/>
      <c r="AE6" s="169"/>
      <c r="AF6" s="169"/>
      <c r="AG6" s="170"/>
    </row>
    <row r="7" spans="1:33">
      <c r="A7" s="802"/>
      <c r="B7" s="803"/>
      <c r="C7" s="804"/>
      <c r="D7" s="805"/>
      <c r="E7" s="805"/>
      <c r="F7" s="805"/>
      <c r="G7" s="805"/>
      <c r="H7" s="805"/>
      <c r="I7" s="805"/>
      <c r="J7" s="805"/>
      <c r="K7" s="805"/>
      <c r="L7" s="806"/>
      <c r="AB7" s="804"/>
      <c r="AC7" s="805"/>
      <c r="AD7" s="805"/>
      <c r="AE7" s="805"/>
      <c r="AF7" s="805"/>
      <c r="AG7" s="807"/>
    </row>
    <row r="8" spans="1:33">
      <c r="A8" s="801"/>
      <c r="B8" s="646"/>
      <c r="C8" s="623"/>
      <c r="D8" s="624"/>
      <c r="E8" s="624"/>
      <c r="F8" s="624"/>
      <c r="G8" s="624"/>
      <c r="H8" s="624"/>
      <c r="I8" s="624"/>
      <c r="J8" s="624"/>
      <c r="K8" s="624"/>
      <c r="L8" s="625"/>
      <c r="AB8" s="623"/>
      <c r="AC8" s="624"/>
      <c r="AD8" s="624"/>
      <c r="AE8" s="624"/>
      <c r="AF8" s="624"/>
      <c r="AG8" s="648"/>
    </row>
    <row r="9" spans="1:33">
      <c r="A9" s="801"/>
      <c r="B9" s="646"/>
      <c r="C9" s="623"/>
      <c r="D9" s="624"/>
      <c r="E9" s="624"/>
      <c r="F9" s="624"/>
      <c r="G9" s="624"/>
      <c r="H9" s="624"/>
      <c r="I9" s="624"/>
      <c r="J9" s="624"/>
      <c r="K9" s="624"/>
      <c r="L9" s="625"/>
      <c r="AB9" s="623"/>
      <c r="AC9" s="624"/>
      <c r="AD9" s="624"/>
      <c r="AE9" s="624"/>
      <c r="AF9" s="624"/>
      <c r="AG9" s="648"/>
    </row>
    <row r="10" spans="1:33">
      <c r="A10" s="801"/>
      <c r="B10" s="646"/>
      <c r="C10" s="623"/>
      <c r="D10" s="624"/>
      <c r="E10" s="624"/>
      <c r="F10" s="624"/>
      <c r="G10" s="624"/>
      <c r="H10" s="624"/>
      <c r="I10" s="624"/>
      <c r="J10" s="624"/>
      <c r="K10" s="624"/>
      <c r="L10" s="625"/>
      <c r="AB10" s="623"/>
      <c r="AC10" s="624"/>
      <c r="AD10" s="624"/>
      <c r="AE10" s="624"/>
      <c r="AF10" s="624"/>
      <c r="AG10" s="648"/>
    </row>
    <row r="11" spans="1:33">
      <c r="A11" s="801"/>
      <c r="B11" s="646"/>
      <c r="C11" s="623"/>
      <c r="D11" s="624"/>
      <c r="E11" s="624"/>
      <c r="F11" s="624"/>
      <c r="G11" s="624"/>
      <c r="H11" s="624"/>
      <c r="I11" s="624"/>
      <c r="J11" s="624"/>
      <c r="K11" s="624"/>
      <c r="L11" s="625"/>
      <c r="AB11" s="623"/>
      <c r="AC11" s="624"/>
      <c r="AD11" s="624"/>
      <c r="AE11" s="624"/>
      <c r="AF11" s="624"/>
      <c r="AG11" s="648"/>
    </row>
    <row r="12" spans="1:33">
      <c r="A12" s="801"/>
      <c r="B12" s="646"/>
      <c r="C12" s="623"/>
      <c r="D12" s="624"/>
      <c r="E12" s="624"/>
      <c r="F12" s="624"/>
      <c r="G12" s="624"/>
      <c r="H12" s="624"/>
      <c r="I12" s="624"/>
      <c r="J12" s="624"/>
      <c r="K12" s="624"/>
      <c r="L12" s="625"/>
      <c r="AB12" s="623"/>
      <c r="AC12" s="624"/>
      <c r="AD12" s="624"/>
      <c r="AE12" s="624"/>
      <c r="AF12" s="624"/>
      <c r="AG12" s="648"/>
    </row>
    <row r="13" spans="1:33">
      <c r="A13" s="801"/>
      <c r="B13" s="646"/>
      <c r="C13" s="623"/>
      <c r="D13" s="624"/>
      <c r="E13" s="624"/>
      <c r="F13" s="624"/>
      <c r="G13" s="624"/>
      <c r="H13" s="624"/>
      <c r="I13" s="624"/>
      <c r="J13" s="624"/>
      <c r="K13" s="624"/>
      <c r="L13" s="625"/>
      <c r="AB13" s="623"/>
      <c r="AC13" s="624"/>
      <c r="AD13" s="624"/>
      <c r="AE13" s="624"/>
      <c r="AF13" s="624"/>
      <c r="AG13" s="648"/>
    </row>
    <row r="14" spans="1:33">
      <c r="A14" s="801"/>
      <c r="B14" s="646"/>
      <c r="C14" s="623"/>
      <c r="D14" s="624"/>
      <c r="E14" s="624"/>
      <c r="F14" s="624"/>
      <c r="G14" s="624"/>
      <c r="H14" s="624"/>
      <c r="I14" s="624"/>
      <c r="J14" s="624"/>
      <c r="K14" s="624"/>
      <c r="L14" s="625"/>
      <c r="AB14" s="623"/>
      <c r="AC14" s="624"/>
      <c r="AD14" s="624"/>
      <c r="AE14" s="624"/>
      <c r="AF14" s="624"/>
      <c r="AG14" s="648"/>
    </row>
    <row r="15" spans="1:33">
      <c r="A15" s="801"/>
      <c r="B15" s="646"/>
      <c r="C15" s="623"/>
      <c r="D15" s="624"/>
      <c r="E15" s="624"/>
      <c r="F15" s="624"/>
      <c r="G15" s="624"/>
      <c r="H15" s="624"/>
      <c r="I15" s="624"/>
      <c r="J15" s="624"/>
      <c r="K15" s="624"/>
      <c r="L15" s="625"/>
      <c r="AB15" s="623"/>
      <c r="AC15" s="624"/>
      <c r="AD15" s="624"/>
      <c r="AE15" s="624"/>
      <c r="AF15" s="624"/>
      <c r="AG15" s="648"/>
    </row>
    <row r="16" spans="1:33">
      <c r="A16" s="801"/>
      <c r="B16" s="646"/>
      <c r="C16" s="623"/>
      <c r="D16" s="624"/>
      <c r="E16" s="624"/>
      <c r="F16" s="624"/>
      <c r="G16" s="624"/>
      <c r="H16" s="624"/>
      <c r="I16" s="624"/>
      <c r="J16" s="624"/>
      <c r="K16" s="624"/>
      <c r="L16" s="625"/>
      <c r="AB16" s="623"/>
      <c r="AC16" s="624"/>
      <c r="AD16" s="624"/>
      <c r="AE16" s="624"/>
      <c r="AF16" s="624"/>
      <c r="AG16" s="648"/>
    </row>
    <row r="17" spans="1:33">
      <c r="A17" s="801"/>
      <c r="B17" s="646"/>
      <c r="C17" s="623"/>
      <c r="D17" s="624"/>
      <c r="E17" s="624"/>
      <c r="F17" s="624"/>
      <c r="G17" s="624"/>
      <c r="H17" s="624"/>
      <c r="I17" s="624"/>
      <c r="J17" s="624"/>
      <c r="K17" s="624"/>
      <c r="L17" s="625"/>
      <c r="AB17" s="623"/>
      <c r="AC17" s="624"/>
      <c r="AD17" s="624"/>
      <c r="AE17" s="624"/>
      <c r="AF17" s="624"/>
      <c r="AG17" s="648"/>
    </row>
    <row r="18" spans="1:33">
      <c r="A18" s="801"/>
      <c r="B18" s="646"/>
      <c r="C18" s="623"/>
      <c r="D18" s="624"/>
      <c r="E18" s="624"/>
      <c r="F18" s="624"/>
      <c r="G18" s="624"/>
      <c r="H18" s="624"/>
      <c r="I18" s="624"/>
      <c r="J18" s="624"/>
      <c r="K18" s="624"/>
      <c r="L18" s="625"/>
      <c r="AB18" s="623"/>
      <c r="AC18" s="624"/>
      <c r="AD18" s="624"/>
      <c r="AE18" s="624"/>
      <c r="AF18" s="624"/>
      <c r="AG18" s="648"/>
    </row>
    <row r="19" spans="1:33">
      <c r="A19" s="801"/>
      <c r="B19" s="646"/>
      <c r="C19" s="623"/>
      <c r="D19" s="624"/>
      <c r="E19" s="624"/>
      <c r="F19" s="624"/>
      <c r="G19" s="624"/>
      <c r="H19" s="624"/>
      <c r="I19" s="624"/>
      <c r="J19" s="624"/>
      <c r="K19" s="624"/>
      <c r="L19" s="625"/>
      <c r="AB19" s="623"/>
      <c r="AC19" s="624"/>
      <c r="AD19" s="624"/>
      <c r="AE19" s="624"/>
      <c r="AF19" s="624"/>
      <c r="AG19" s="648"/>
    </row>
    <row r="20" spans="1:33">
      <c r="A20" s="801"/>
      <c r="B20" s="646"/>
      <c r="C20" s="623"/>
      <c r="D20" s="624"/>
      <c r="E20" s="624"/>
      <c r="F20" s="624"/>
      <c r="G20" s="624"/>
      <c r="H20" s="624"/>
      <c r="I20" s="624"/>
      <c r="J20" s="624"/>
      <c r="K20" s="624"/>
      <c r="L20" s="625"/>
      <c r="AB20" s="623"/>
      <c r="AC20" s="624"/>
      <c r="AD20" s="624"/>
      <c r="AE20" s="624"/>
      <c r="AF20" s="624"/>
      <c r="AG20" s="648"/>
    </row>
    <row r="21" spans="1:33">
      <c r="A21" s="801"/>
      <c r="B21" s="646"/>
      <c r="C21" s="623"/>
      <c r="D21" s="624"/>
      <c r="E21" s="624"/>
      <c r="F21" s="624"/>
      <c r="G21" s="624"/>
      <c r="H21" s="624"/>
      <c r="I21" s="624"/>
      <c r="J21" s="624"/>
      <c r="K21" s="624"/>
      <c r="L21" s="625"/>
      <c r="AB21" s="623"/>
      <c r="AC21" s="624"/>
      <c r="AD21" s="624"/>
      <c r="AE21" s="624"/>
      <c r="AF21" s="624"/>
      <c r="AG21" s="648"/>
    </row>
    <row r="22" spans="1:33">
      <c r="A22" s="801"/>
      <c r="B22" s="646"/>
      <c r="C22" s="623"/>
      <c r="D22" s="624"/>
      <c r="E22" s="624"/>
      <c r="F22" s="624"/>
      <c r="G22" s="624"/>
      <c r="H22" s="624"/>
      <c r="I22" s="624"/>
      <c r="J22" s="624"/>
      <c r="K22" s="624"/>
      <c r="L22" s="625"/>
      <c r="AB22" s="623"/>
      <c r="AC22" s="624"/>
      <c r="AD22" s="624"/>
      <c r="AE22" s="624"/>
      <c r="AF22" s="624"/>
      <c r="AG22" s="648"/>
    </row>
    <row r="23" spans="1:33">
      <c r="A23" s="801"/>
      <c r="B23" s="646"/>
      <c r="C23" s="623"/>
      <c r="D23" s="624"/>
      <c r="E23" s="624"/>
      <c r="F23" s="624"/>
      <c r="G23" s="624"/>
      <c r="H23" s="624"/>
      <c r="I23" s="624"/>
      <c r="J23" s="624"/>
      <c r="K23" s="624"/>
      <c r="L23" s="625"/>
      <c r="AB23" s="623"/>
      <c r="AC23" s="624"/>
      <c r="AD23" s="624"/>
      <c r="AE23" s="624"/>
      <c r="AF23" s="624"/>
      <c r="AG23" s="648"/>
    </row>
    <row r="24" spans="1:33">
      <c r="A24" s="801"/>
      <c r="B24" s="646"/>
      <c r="C24" s="623"/>
      <c r="D24" s="624"/>
      <c r="E24" s="624"/>
      <c r="F24" s="624"/>
      <c r="G24" s="624"/>
      <c r="H24" s="624"/>
      <c r="I24" s="624"/>
      <c r="J24" s="624"/>
      <c r="K24" s="624"/>
      <c r="L24" s="625"/>
      <c r="AB24" s="623"/>
      <c r="AC24" s="624"/>
      <c r="AD24" s="624"/>
      <c r="AE24" s="624"/>
      <c r="AF24" s="624"/>
      <c r="AG24" s="648"/>
    </row>
    <row r="25" spans="1:33">
      <c r="A25" s="801"/>
      <c r="B25" s="646"/>
      <c r="C25" s="623"/>
      <c r="D25" s="624"/>
      <c r="E25" s="624"/>
      <c r="F25" s="624"/>
      <c r="G25" s="624"/>
      <c r="H25" s="624"/>
      <c r="I25" s="624"/>
      <c r="J25" s="624"/>
      <c r="K25" s="624"/>
      <c r="L25" s="625"/>
      <c r="AB25" s="623"/>
      <c r="AC25" s="624"/>
      <c r="AD25" s="624"/>
      <c r="AE25" s="624"/>
      <c r="AF25" s="624"/>
      <c r="AG25" s="648"/>
    </row>
    <row r="26" spans="1:33">
      <c r="A26" s="801"/>
      <c r="B26" s="646"/>
      <c r="C26" s="623"/>
      <c r="D26" s="624"/>
      <c r="E26" s="624"/>
      <c r="F26" s="624"/>
      <c r="G26" s="624"/>
      <c r="H26" s="624"/>
      <c r="I26" s="624"/>
      <c r="J26" s="624"/>
      <c r="K26" s="624"/>
      <c r="L26" s="625"/>
      <c r="AB26" s="623"/>
      <c r="AC26" s="624"/>
      <c r="AD26" s="624"/>
      <c r="AE26" s="624"/>
      <c r="AF26" s="624"/>
      <c r="AG26" s="648"/>
    </row>
    <row r="27" spans="1:33">
      <c r="A27" s="801"/>
      <c r="B27" s="646"/>
      <c r="C27" s="623"/>
      <c r="D27" s="624"/>
      <c r="E27" s="624"/>
      <c r="F27" s="624"/>
      <c r="G27" s="624"/>
      <c r="H27" s="624"/>
      <c r="I27" s="624"/>
      <c r="J27" s="624"/>
      <c r="K27" s="624"/>
      <c r="L27" s="625"/>
      <c r="AB27" s="623"/>
      <c r="AC27" s="624"/>
      <c r="AD27" s="624"/>
      <c r="AE27" s="624"/>
      <c r="AF27" s="624"/>
      <c r="AG27" s="648"/>
    </row>
    <row r="28" spans="1:33">
      <c r="A28" s="801"/>
      <c r="B28" s="646"/>
      <c r="C28" s="623"/>
      <c r="D28" s="624"/>
      <c r="E28" s="624"/>
      <c r="F28" s="624"/>
      <c r="G28" s="624"/>
      <c r="H28" s="624"/>
      <c r="I28" s="624"/>
      <c r="J28" s="624"/>
      <c r="K28" s="624"/>
      <c r="L28" s="625"/>
      <c r="AB28" s="623"/>
      <c r="AC28" s="624"/>
      <c r="AD28" s="624"/>
      <c r="AE28" s="624"/>
      <c r="AF28" s="624"/>
      <c r="AG28" s="648"/>
    </row>
    <row r="29" spans="1:33">
      <c r="A29" s="801"/>
      <c r="B29" s="646"/>
      <c r="C29" s="623"/>
      <c r="D29" s="624"/>
      <c r="E29" s="624"/>
      <c r="F29" s="624"/>
      <c r="G29" s="624"/>
      <c r="H29" s="624"/>
      <c r="I29" s="624"/>
      <c r="J29" s="624"/>
      <c r="K29" s="624"/>
      <c r="L29" s="625"/>
      <c r="AB29" s="623"/>
      <c r="AC29" s="624"/>
      <c r="AD29" s="624"/>
      <c r="AE29" s="624"/>
      <c r="AF29" s="624"/>
      <c r="AG29" s="648"/>
    </row>
    <row r="30" spans="1:33">
      <c r="A30" s="801"/>
      <c r="B30" s="646"/>
      <c r="C30" s="623"/>
      <c r="D30" s="624"/>
      <c r="E30" s="624"/>
      <c r="F30" s="624"/>
      <c r="G30" s="624"/>
      <c r="H30" s="624"/>
      <c r="I30" s="624"/>
      <c r="J30" s="624"/>
      <c r="K30" s="624"/>
      <c r="L30" s="625"/>
      <c r="AB30" s="623"/>
      <c r="AC30" s="624"/>
      <c r="AD30" s="624"/>
      <c r="AE30" s="624"/>
      <c r="AF30" s="624"/>
      <c r="AG30" s="648"/>
    </row>
    <row r="31" spans="1:33">
      <c r="A31" s="801"/>
      <c r="B31" s="646"/>
      <c r="C31" s="623"/>
      <c r="D31" s="624"/>
      <c r="E31" s="624"/>
      <c r="F31" s="624"/>
      <c r="G31" s="624"/>
      <c r="H31" s="624"/>
      <c r="I31" s="624"/>
      <c r="J31" s="624"/>
      <c r="K31" s="624"/>
      <c r="L31" s="625"/>
      <c r="AB31" s="623"/>
      <c r="AC31" s="624"/>
      <c r="AD31" s="624"/>
      <c r="AE31" s="624"/>
      <c r="AF31" s="624"/>
      <c r="AG31" s="648"/>
    </row>
    <row r="32" spans="1:33">
      <c r="A32" s="801"/>
      <c r="B32" s="646"/>
      <c r="C32" s="623"/>
      <c r="D32" s="624"/>
      <c r="E32" s="624"/>
      <c r="F32" s="624"/>
      <c r="G32" s="624"/>
      <c r="H32" s="624"/>
      <c r="I32" s="624"/>
      <c r="J32" s="624"/>
      <c r="K32" s="624"/>
      <c r="L32" s="625"/>
      <c r="AB32" s="623"/>
      <c r="AC32" s="624"/>
      <c r="AD32" s="624"/>
      <c r="AE32" s="624"/>
      <c r="AF32" s="624"/>
      <c r="AG32" s="648"/>
    </row>
    <row r="33" spans="1:33">
      <c r="A33" s="801"/>
      <c r="B33" s="646"/>
      <c r="C33" s="623"/>
      <c r="D33" s="624"/>
      <c r="E33" s="624"/>
      <c r="F33" s="624"/>
      <c r="G33" s="624"/>
      <c r="H33" s="624"/>
      <c r="I33" s="624"/>
      <c r="J33" s="624"/>
      <c r="K33" s="624"/>
      <c r="L33" s="625"/>
      <c r="AB33" s="623"/>
      <c r="AC33" s="624"/>
      <c r="AD33" s="624"/>
      <c r="AE33" s="624"/>
      <c r="AF33" s="624"/>
      <c r="AG33" s="648"/>
    </row>
    <row r="34" spans="1:33">
      <c r="A34" s="801"/>
      <c r="B34" s="646"/>
      <c r="C34" s="623"/>
      <c r="D34" s="624"/>
      <c r="E34" s="624"/>
      <c r="F34" s="624"/>
      <c r="G34" s="624"/>
      <c r="H34" s="624"/>
      <c r="I34" s="624"/>
      <c r="J34" s="624"/>
      <c r="K34" s="624"/>
      <c r="L34" s="625"/>
      <c r="AB34" s="623"/>
      <c r="AC34" s="624"/>
      <c r="AD34" s="624"/>
      <c r="AE34" s="624"/>
      <c r="AF34" s="624"/>
      <c r="AG34" s="648"/>
    </row>
    <row r="35" spans="1:33">
      <c r="A35" s="801"/>
      <c r="B35" s="646"/>
      <c r="C35" s="623"/>
      <c r="D35" s="624"/>
      <c r="E35" s="624"/>
      <c r="F35" s="624"/>
      <c r="G35" s="624"/>
      <c r="H35" s="624"/>
      <c r="I35" s="624"/>
      <c r="J35" s="624"/>
      <c r="K35" s="624"/>
      <c r="L35" s="625"/>
      <c r="AB35" s="623"/>
      <c r="AC35" s="624"/>
      <c r="AD35" s="624"/>
      <c r="AE35" s="624"/>
      <c r="AF35" s="624"/>
      <c r="AG35" s="648"/>
    </row>
    <row r="36" spans="1:33">
      <c r="A36" s="801"/>
      <c r="B36" s="646"/>
      <c r="C36" s="623"/>
      <c r="D36" s="624"/>
      <c r="E36" s="624"/>
      <c r="F36" s="624"/>
      <c r="G36" s="624"/>
      <c r="H36" s="624"/>
      <c r="I36" s="624"/>
      <c r="J36" s="624"/>
      <c r="K36" s="624"/>
      <c r="L36" s="625"/>
      <c r="AB36" s="623"/>
      <c r="AC36" s="624"/>
      <c r="AD36" s="624"/>
      <c r="AE36" s="624"/>
      <c r="AF36" s="624"/>
      <c r="AG36" s="648"/>
    </row>
    <row r="37" spans="1:33">
      <c r="A37" s="801"/>
      <c r="B37" s="646"/>
      <c r="C37" s="623"/>
      <c r="D37" s="624"/>
      <c r="E37" s="624"/>
      <c r="F37" s="624"/>
      <c r="G37" s="624"/>
      <c r="H37" s="624"/>
      <c r="I37" s="624"/>
      <c r="J37" s="624"/>
      <c r="K37" s="624"/>
      <c r="L37" s="625"/>
      <c r="AB37" s="623"/>
      <c r="AC37" s="624"/>
      <c r="AD37" s="624"/>
      <c r="AE37" s="624"/>
      <c r="AF37" s="624"/>
      <c r="AG37" s="648"/>
    </row>
    <row r="38" spans="1:33">
      <c r="A38" s="801"/>
      <c r="B38" s="646"/>
      <c r="C38" s="623"/>
      <c r="D38" s="624"/>
      <c r="E38" s="624"/>
      <c r="F38" s="624"/>
      <c r="G38" s="624"/>
      <c r="H38" s="624"/>
      <c r="I38" s="624"/>
      <c r="J38" s="624"/>
      <c r="K38" s="624"/>
      <c r="L38" s="625"/>
      <c r="AB38" s="623"/>
      <c r="AC38" s="624"/>
      <c r="AD38" s="624"/>
      <c r="AE38" s="624"/>
      <c r="AF38" s="624"/>
      <c r="AG38" s="648"/>
    </row>
    <row r="39" spans="1:33">
      <c r="A39" s="801"/>
      <c r="B39" s="646"/>
      <c r="C39" s="623"/>
      <c r="D39" s="624"/>
      <c r="E39" s="624"/>
      <c r="F39" s="624"/>
      <c r="G39" s="624"/>
      <c r="H39" s="624"/>
      <c r="I39" s="624"/>
      <c r="J39" s="624"/>
      <c r="K39" s="624"/>
      <c r="L39" s="625"/>
      <c r="AB39" s="623"/>
      <c r="AC39" s="624"/>
      <c r="AD39" s="624"/>
      <c r="AE39" s="624"/>
      <c r="AF39" s="624"/>
      <c r="AG39" s="648"/>
    </row>
    <row r="40" spans="1:33">
      <c r="A40" s="801"/>
      <c r="B40" s="646"/>
      <c r="C40" s="623"/>
      <c r="D40" s="624"/>
      <c r="E40" s="624"/>
      <c r="F40" s="624"/>
      <c r="G40" s="624"/>
      <c r="H40" s="624"/>
      <c r="I40" s="624"/>
      <c r="J40" s="624"/>
      <c r="K40" s="624"/>
      <c r="L40" s="625"/>
      <c r="AB40" s="623"/>
      <c r="AC40" s="624"/>
      <c r="AD40" s="624"/>
      <c r="AE40" s="624"/>
      <c r="AF40" s="624"/>
      <c r="AG40" s="648"/>
    </row>
    <row r="41" spans="1:33">
      <c r="A41" s="801"/>
      <c r="B41" s="646"/>
      <c r="C41" s="623"/>
      <c r="D41" s="624"/>
      <c r="E41" s="624"/>
      <c r="F41" s="624"/>
      <c r="G41" s="624"/>
      <c r="H41" s="624"/>
      <c r="I41" s="624"/>
      <c r="J41" s="624"/>
      <c r="K41" s="624"/>
      <c r="L41" s="625"/>
      <c r="AB41" s="623"/>
      <c r="AC41" s="624"/>
      <c r="AD41" s="624"/>
      <c r="AE41" s="624"/>
      <c r="AF41" s="624"/>
      <c r="AG41" s="648"/>
    </row>
    <row r="42" spans="1:33">
      <c r="A42" s="801"/>
      <c r="B42" s="646"/>
      <c r="C42" s="623"/>
      <c r="D42" s="624"/>
      <c r="E42" s="624"/>
      <c r="F42" s="624"/>
      <c r="G42" s="624"/>
      <c r="H42" s="624"/>
      <c r="I42" s="624"/>
      <c r="J42" s="624"/>
      <c r="K42" s="624"/>
      <c r="L42" s="625"/>
      <c r="AB42" s="623"/>
      <c r="AC42" s="624"/>
      <c r="AD42" s="624"/>
      <c r="AE42" s="624"/>
      <c r="AF42" s="624"/>
      <c r="AG42" s="648"/>
    </row>
    <row r="43" spans="1:33">
      <c r="A43" s="801"/>
      <c r="B43" s="646"/>
      <c r="C43" s="623"/>
      <c r="D43" s="624"/>
      <c r="E43" s="624"/>
      <c r="F43" s="624"/>
      <c r="G43" s="624"/>
      <c r="H43" s="624"/>
      <c r="I43" s="624"/>
      <c r="J43" s="624"/>
      <c r="K43" s="624"/>
      <c r="L43" s="625"/>
      <c r="AB43" s="623"/>
      <c r="AC43" s="624"/>
      <c r="AD43" s="624"/>
      <c r="AE43" s="624"/>
      <c r="AF43" s="624"/>
      <c r="AG43" s="648"/>
    </row>
    <row r="44" spans="1:33">
      <c r="A44" s="801"/>
      <c r="B44" s="646"/>
      <c r="C44" s="623"/>
      <c r="D44" s="624"/>
      <c r="E44" s="624"/>
      <c r="F44" s="624"/>
      <c r="G44" s="624"/>
      <c r="H44" s="624"/>
      <c r="I44" s="624"/>
      <c r="J44" s="624"/>
      <c r="K44" s="624"/>
      <c r="L44" s="625"/>
      <c r="AB44" s="623"/>
      <c r="AC44" s="624"/>
      <c r="AD44" s="624"/>
      <c r="AE44" s="624"/>
      <c r="AF44" s="624"/>
      <c r="AG44" s="648"/>
    </row>
    <row r="45" spans="1:33">
      <c r="A45" s="801"/>
      <c r="B45" s="646"/>
      <c r="C45" s="623"/>
      <c r="D45" s="624"/>
      <c r="E45" s="624"/>
      <c r="F45" s="624"/>
      <c r="G45" s="624"/>
      <c r="H45" s="624"/>
      <c r="I45" s="624"/>
      <c r="J45" s="624"/>
      <c r="K45" s="624"/>
      <c r="L45" s="625"/>
      <c r="AB45" s="623"/>
      <c r="AC45" s="624"/>
      <c r="AD45" s="624"/>
      <c r="AE45" s="624"/>
      <c r="AF45" s="624"/>
      <c r="AG45" s="648"/>
    </row>
    <row r="46" spans="1:33">
      <c r="A46" s="801"/>
      <c r="B46" s="646"/>
      <c r="C46" s="623"/>
      <c r="D46" s="624"/>
      <c r="E46" s="624"/>
      <c r="F46" s="624"/>
      <c r="G46" s="624"/>
      <c r="H46" s="624"/>
      <c r="I46" s="624"/>
      <c r="J46" s="624"/>
      <c r="K46" s="624"/>
      <c r="L46" s="625"/>
      <c r="AB46" s="623"/>
      <c r="AC46" s="624"/>
      <c r="AD46" s="624"/>
      <c r="AE46" s="624"/>
      <c r="AF46" s="624"/>
      <c r="AG46" s="648"/>
    </row>
    <row r="47" spans="1:33">
      <c r="A47" s="801"/>
      <c r="B47" s="646"/>
      <c r="C47" s="623"/>
      <c r="D47" s="624"/>
      <c r="E47" s="624"/>
      <c r="F47" s="624"/>
      <c r="G47" s="624"/>
      <c r="H47" s="624"/>
      <c r="I47" s="624"/>
      <c r="J47" s="624"/>
      <c r="K47" s="624"/>
      <c r="L47" s="625"/>
      <c r="AB47" s="623"/>
      <c r="AC47" s="624"/>
      <c r="AD47" s="624"/>
      <c r="AE47" s="624"/>
      <c r="AF47" s="624"/>
      <c r="AG47" s="648"/>
    </row>
    <row r="48" spans="1:33">
      <c r="A48" s="801"/>
      <c r="B48" s="646"/>
      <c r="C48" s="623"/>
      <c r="D48" s="624"/>
      <c r="E48" s="624"/>
      <c r="F48" s="624"/>
      <c r="G48" s="624"/>
      <c r="H48" s="624"/>
      <c r="I48" s="624"/>
      <c r="J48" s="624"/>
      <c r="K48" s="624"/>
      <c r="L48" s="625"/>
      <c r="AB48" s="623"/>
      <c r="AC48" s="624"/>
      <c r="AD48" s="624"/>
      <c r="AE48" s="624"/>
      <c r="AF48" s="624"/>
      <c r="AG48" s="648"/>
    </row>
    <row r="49" spans="1:33">
      <c r="A49" s="801"/>
      <c r="B49" s="646"/>
      <c r="C49" s="623"/>
      <c r="D49" s="624"/>
      <c r="E49" s="624"/>
      <c r="F49" s="624"/>
      <c r="G49" s="624"/>
      <c r="H49" s="624"/>
      <c r="I49" s="624"/>
      <c r="J49" s="624"/>
      <c r="K49" s="624"/>
      <c r="L49" s="625"/>
      <c r="AB49" s="623"/>
      <c r="AC49" s="624"/>
      <c r="AD49" s="624"/>
      <c r="AE49" s="624"/>
      <c r="AF49" s="624"/>
      <c r="AG49" s="648"/>
    </row>
    <row r="50" spans="1:33">
      <c r="A50" s="801"/>
      <c r="B50" s="646"/>
      <c r="C50" s="623"/>
      <c r="D50" s="624"/>
      <c r="E50" s="624"/>
      <c r="F50" s="624"/>
      <c r="G50" s="624"/>
      <c r="H50" s="624"/>
      <c r="I50" s="624"/>
      <c r="J50" s="624"/>
      <c r="K50" s="624"/>
      <c r="L50" s="625"/>
      <c r="AB50" s="623"/>
      <c r="AC50" s="624"/>
      <c r="AD50" s="624"/>
      <c r="AE50" s="624"/>
      <c r="AF50" s="624"/>
      <c r="AG50" s="648"/>
    </row>
    <row r="51" spans="1:33">
      <c r="A51" s="801"/>
      <c r="B51" s="646"/>
      <c r="C51" s="623"/>
      <c r="D51" s="624"/>
      <c r="E51" s="624"/>
      <c r="F51" s="624"/>
      <c r="G51" s="624"/>
      <c r="H51" s="624"/>
      <c r="I51" s="624"/>
      <c r="J51" s="624"/>
      <c r="K51" s="624"/>
      <c r="L51" s="625"/>
      <c r="AB51" s="623"/>
      <c r="AC51" s="624"/>
      <c r="AD51" s="624"/>
      <c r="AE51" s="624"/>
      <c r="AF51" s="624"/>
      <c r="AG51" s="648"/>
    </row>
    <row r="52" spans="1:33">
      <c r="A52" s="801"/>
      <c r="B52" s="646"/>
      <c r="C52" s="623"/>
      <c r="D52" s="624"/>
      <c r="E52" s="624"/>
      <c r="F52" s="624"/>
      <c r="G52" s="624"/>
      <c r="H52" s="624"/>
      <c r="I52" s="624"/>
      <c r="J52" s="624"/>
      <c r="K52" s="624"/>
      <c r="L52" s="625"/>
      <c r="AB52" s="623"/>
      <c r="AC52" s="624"/>
      <c r="AD52" s="624"/>
      <c r="AE52" s="624"/>
      <c r="AF52" s="624"/>
      <c r="AG52" s="648"/>
    </row>
    <row r="53" spans="1:33">
      <c r="A53" s="801"/>
      <c r="B53" s="646"/>
      <c r="C53" s="623"/>
      <c r="D53" s="624"/>
      <c r="E53" s="624"/>
      <c r="F53" s="624"/>
      <c r="G53" s="624"/>
      <c r="H53" s="624"/>
      <c r="I53" s="624"/>
      <c r="J53" s="624"/>
      <c r="K53" s="624"/>
      <c r="L53" s="625"/>
      <c r="AB53" s="623"/>
      <c r="AC53" s="624"/>
      <c r="AD53" s="624"/>
      <c r="AE53" s="624"/>
      <c r="AF53" s="624"/>
      <c r="AG53" s="648"/>
    </row>
    <row r="54" spans="1:33">
      <c r="A54" s="801"/>
      <c r="B54" s="646"/>
      <c r="C54" s="623"/>
      <c r="D54" s="624"/>
      <c r="E54" s="624"/>
      <c r="F54" s="624"/>
      <c r="G54" s="624"/>
      <c r="H54" s="624"/>
      <c r="I54" s="624"/>
      <c r="J54" s="624"/>
      <c r="K54" s="624"/>
      <c r="L54" s="625"/>
      <c r="AB54" s="623"/>
      <c r="AC54" s="624"/>
      <c r="AD54" s="624"/>
      <c r="AE54" s="624"/>
      <c r="AF54" s="624"/>
      <c r="AG54" s="648"/>
    </row>
    <row r="55" spans="1:33">
      <c r="A55" s="801"/>
      <c r="B55" s="646"/>
      <c r="C55" s="623"/>
      <c r="D55" s="624"/>
      <c r="E55" s="624"/>
      <c r="F55" s="624"/>
      <c r="G55" s="624"/>
      <c r="H55" s="624"/>
      <c r="I55" s="624"/>
      <c r="J55" s="624"/>
      <c r="K55" s="624"/>
      <c r="L55" s="625"/>
      <c r="AB55" s="623"/>
      <c r="AC55" s="624"/>
      <c r="AD55" s="624"/>
      <c r="AE55" s="624"/>
      <c r="AF55" s="624"/>
      <c r="AG55" s="648"/>
    </row>
    <row r="56" spans="1:33">
      <c r="A56" s="801"/>
      <c r="B56" s="646"/>
      <c r="C56" s="623"/>
      <c r="D56" s="624"/>
      <c r="E56" s="624"/>
      <c r="F56" s="624"/>
      <c r="G56" s="624"/>
      <c r="H56" s="624"/>
      <c r="I56" s="624"/>
      <c r="J56" s="624"/>
      <c r="K56" s="624"/>
      <c r="L56" s="625"/>
      <c r="AB56" s="623"/>
      <c r="AC56" s="624"/>
      <c r="AD56" s="624"/>
      <c r="AE56" s="624"/>
      <c r="AF56" s="624"/>
      <c r="AG56" s="648"/>
    </row>
    <row r="57" spans="1:33">
      <c r="A57" s="801"/>
      <c r="B57" s="646"/>
      <c r="C57" s="623"/>
      <c r="D57" s="624"/>
      <c r="E57" s="624"/>
      <c r="F57" s="624"/>
      <c r="G57" s="624"/>
      <c r="H57" s="624"/>
      <c r="I57" s="624"/>
      <c r="J57" s="624"/>
      <c r="K57" s="624"/>
      <c r="L57" s="625"/>
      <c r="AB57" s="623"/>
      <c r="AC57" s="624"/>
      <c r="AD57" s="624"/>
      <c r="AE57" s="624"/>
      <c r="AF57" s="624"/>
      <c r="AG57" s="648"/>
    </row>
    <row r="58" spans="1:33">
      <c r="A58" s="801"/>
      <c r="B58" s="646"/>
      <c r="C58" s="623"/>
      <c r="D58" s="624"/>
      <c r="E58" s="624"/>
      <c r="F58" s="624"/>
      <c r="G58" s="624"/>
      <c r="H58" s="624"/>
      <c r="I58" s="624"/>
      <c r="J58" s="624"/>
      <c r="K58" s="624"/>
      <c r="L58" s="625"/>
      <c r="AB58" s="623"/>
      <c r="AC58" s="624"/>
      <c r="AD58" s="624"/>
      <c r="AE58" s="624"/>
      <c r="AF58" s="624"/>
      <c r="AG58" s="648"/>
    </row>
    <row r="59" spans="1:33">
      <c r="A59" s="801"/>
      <c r="B59" s="646"/>
      <c r="C59" s="623"/>
      <c r="D59" s="624"/>
      <c r="E59" s="624"/>
      <c r="F59" s="624"/>
      <c r="G59" s="624"/>
      <c r="H59" s="624"/>
      <c r="I59" s="624"/>
      <c r="J59" s="624"/>
      <c r="K59" s="624"/>
      <c r="L59" s="625"/>
      <c r="AB59" s="623"/>
      <c r="AC59" s="624"/>
      <c r="AD59" s="624"/>
      <c r="AE59" s="624"/>
      <c r="AF59" s="624"/>
      <c r="AG59" s="648"/>
    </row>
    <row r="60" spans="1:33">
      <c r="A60" s="801"/>
      <c r="B60" s="646"/>
      <c r="C60" s="623"/>
      <c r="D60" s="624"/>
      <c r="E60" s="624"/>
      <c r="F60" s="624"/>
      <c r="G60" s="624"/>
      <c r="H60" s="624"/>
      <c r="I60" s="624"/>
      <c r="J60" s="624"/>
      <c r="K60" s="624"/>
      <c r="L60" s="625"/>
      <c r="AB60" s="623"/>
      <c r="AC60" s="624"/>
      <c r="AD60" s="624"/>
      <c r="AE60" s="624"/>
      <c r="AF60" s="624"/>
      <c r="AG60" s="648"/>
    </row>
    <row r="61" spans="1:33">
      <c r="A61" s="801"/>
      <c r="B61" s="646"/>
      <c r="C61" s="623"/>
      <c r="D61" s="624"/>
      <c r="E61" s="624"/>
      <c r="F61" s="624"/>
      <c r="G61" s="624"/>
      <c r="H61" s="624"/>
      <c r="I61" s="624"/>
      <c r="J61" s="624"/>
      <c r="K61" s="624"/>
      <c r="L61" s="625"/>
      <c r="AB61" s="623"/>
      <c r="AC61" s="624"/>
      <c r="AD61" s="624"/>
      <c r="AE61" s="624"/>
      <c r="AF61" s="624"/>
      <c r="AG61" s="648"/>
    </row>
    <row r="62" spans="1:33">
      <c r="A62" s="801"/>
      <c r="B62" s="646"/>
      <c r="C62" s="623"/>
      <c r="D62" s="624"/>
      <c r="E62" s="624"/>
      <c r="F62" s="624"/>
      <c r="G62" s="624"/>
      <c r="H62" s="624"/>
      <c r="I62" s="624"/>
      <c r="J62" s="624"/>
      <c r="K62" s="624"/>
      <c r="L62" s="625"/>
      <c r="AB62" s="623"/>
      <c r="AC62" s="624"/>
      <c r="AD62" s="624"/>
      <c r="AE62" s="624"/>
      <c r="AF62" s="624"/>
      <c r="AG62" s="648"/>
    </row>
    <row r="63" spans="1:33">
      <c r="A63" s="801"/>
      <c r="B63" s="646"/>
      <c r="C63" s="623"/>
      <c r="D63" s="624"/>
      <c r="E63" s="624"/>
      <c r="F63" s="624"/>
      <c r="G63" s="624"/>
      <c r="H63" s="624"/>
      <c r="I63" s="624"/>
      <c r="J63" s="624"/>
      <c r="K63" s="624"/>
      <c r="L63" s="625"/>
      <c r="AB63" s="623"/>
      <c r="AC63" s="624"/>
      <c r="AD63" s="624"/>
      <c r="AE63" s="624"/>
      <c r="AF63" s="624"/>
      <c r="AG63" s="648"/>
    </row>
    <row r="64" spans="1:33">
      <c r="A64" s="801"/>
      <c r="B64" s="646"/>
      <c r="C64" s="623"/>
      <c r="D64" s="624"/>
      <c r="E64" s="624"/>
      <c r="F64" s="624"/>
      <c r="G64" s="624"/>
      <c r="H64" s="624"/>
      <c r="I64" s="624"/>
      <c r="J64" s="624"/>
      <c r="K64" s="624"/>
      <c r="L64" s="625"/>
      <c r="AB64" s="623"/>
      <c r="AC64" s="624"/>
      <c r="AD64" s="624"/>
      <c r="AE64" s="624"/>
      <c r="AF64" s="624"/>
      <c r="AG64" s="648"/>
    </row>
    <row r="65" spans="1:33" ht="13.5" customHeight="1" thickBot="1">
      <c r="A65" s="640"/>
      <c r="B65" s="639"/>
      <c r="C65" s="641"/>
      <c r="D65" s="642"/>
      <c r="E65" s="642"/>
      <c r="F65" s="642"/>
      <c r="G65" s="642"/>
      <c r="H65" s="642"/>
      <c r="I65" s="642"/>
      <c r="J65" s="642"/>
      <c r="K65" s="642"/>
      <c r="L65" s="643"/>
      <c r="M65" s="103"/>
      <c r="N65" s="103"/>
      <c r="O65" s="103"/>
      <c r="P65" s="103"/>
      <c r="Q65" s="103"/>
      <c r="R65" s="103"/>
      <c r="S65" s="103"/>
      <c r="T65" s="103"/>
      <c r="U65" s="103"/>
      <c r="V65" s="103"/>
      <c r="W65" s="103"/>
      <c r="X65" s="103"/>
      <c r="Y65" s="103"/>
      <c r="Z65" s="103"/>
      <c r="AA65" s="103"/>
      <c r="AB65" s="641"/>
      <c r="AC65" s="642"/>
      <c r="AD65" s="642"/>
      <c r="AE65" s="642"/>
      <c r="AF65" s="642"/>
      <c r="AG65" s="647"/>
    </row>
    <row r="81" s="100" customFormat="1"/>
    <row r="82" s="100" customFormat="1"/>
    <row r="83" s="100" customFormat="1"/>
    <row r="84" s="100" customFormat="1"/>
    <row r="85" s="100" customFormat="1"/>
    <row r="86" s="100" customFormat="1"/>
    <row r="87" s="100" customFormat="1"/>
    <row r="88" s="100" customFormat="1"/>
    <row r="89" s="100" customFormat="1"/>
    <row r="90" s="100" customFormat="1"/>
    <row r="91" s="100" customFormat="1"/>
    <row r="92" s="100" customFormat="1"/>
    <row r="93" s="100" customFormat="1"/>
    <row r="94" s="100" customFormat="1"/>
    <row r="95" s="100" customFormat="1"/>
    <row r="96" s="100" customFormat="1"/>
    <row r="97" s="100" customFormat="1"/>
    <row r="98" s="100" customFormat="1"/>
    <row r="99" s="100" customFormat="1"/>
    <row r="100" s="100" customFormat="1"/>
    <row r="101" s="100" customFormat="1"/>
    <row r="102" s="100" customFormat="1"/>
  </sheetData>
  <mergeCells count="186">
    <mergeCell ref="G3:N3"/>
    <mergeCell ref="S3:AG3"/>
    <mergeCell ref="AC4:AG4"/>
    <mergeCell ref="G1:N1"/>
    <mergeCell ref="S1:Y1"/>
    <mergeCell ref="AD1:AG1"/>
    <mergeCell ref="G2:N2"/>
    <mergeCell ref="S2:Y2"/>
    <mergeCell ref="AD2:AG2"/>
    <mergeCell ref="A9:B9"/>
    <mergeCell ref="C9:L9"/>
    <mergeCell ref="AB9:AG9"/>
    <mergeCell ref="A10:B10"/>
    <mergeCell ref="C10:L10"/>
    <mergeCell ref="AB10:AG10"/>
    <mergeCell ref="A7:B7"/>
    <mergeCell ref="C7:L7"/>
    <mergeCell ref="AB7:AG7"/>
    <mergeCell ref="A8:B8"/>
    <mergeCell ref="C8:L8"/>
    <mergeCell ref="AB8:AG8"/>
    <mergeCell ref="A13:B13"/>
    <mergeCell ref="C13:L13"/>
    <mergeCell ref="AB13:AG13"/>
    <mergeCell ref="A14:B14"/>
    <mergeCell ref="C14:L14"/>
    <mergeCell ref="AB14:AG14"/>
    <mergeCell ref="A11:B11"/>
    <mergeCell ref="C11:L11"/>
    <mergeCell ref="AB11:AG11"/>
    <mergeCell ref="A12:B12"/>
    <mergeCell ref="C12:L12"/>
    <mergeCell ref="AB12:AG12"/>
    <mergeCell ref="A17:B17"/>
    <mergeCell ref="C17:L17"/>
    <mergeCell ref="AB17:AG17"/>
    <mergeCell ref="A18:B18"/>
    <mergeCell ref="C18:L18"/>
    <mergeCell ref="AB18:AG18"/>
    <mergeCell ref="A15:B15"/>
    <mergeCell ref="C15:L15"/>
    <mergeCell ref="AB15:AG15"/>
    <mergeCell ref="A16:B16"/>
    <mergeCell ref="C16:L16"/>
    <mergeCell ref="AB16:AG16"/>
    <mergeCell ref="A21:B21"/>
    <mergeCell ref="C21:L21"/>
    <mergeCell ref="AB21:AG21"/>
    <mergeCell ref="A22:B22"/>
    <mergeCell ref="C22:L22"/>
    <mergeCell ref="AB22:AG22"/>
    <mergeCell ref="A19:B19"/>
    <mergeCell ref="C19:L19"/>
    <mergeCell ref="AB19:AG19"/>
    <mergeCell ref="A20:B20"/>
    <mergeCell ref="C20:L20"/>
    <mergeCell ref="AB20:AG20"/>
    <mergeCell ref="A53:B53"/>
    <mergeCell ref="C53:L53"/>
    <mergeCell ref="AB53:AG53"/>
    <mergeCell ref="A54:B54"/>
    <mergeCell ref="C54:L54"/>
    <mergeCell ref="AB54:AG54"/>
    <mergeCell ref="A37:B37"/>
    <mergeCell ref="C37:L37"/>
    <mergeCell ref="AB37:AG37"/>
    <mergeCell ref="A52:B52"/>
    <mergeCell ref="C52:L52"/>
    <mergeCell ref="AB52:AG52"/>
    <mergeCell ref="A38:B38"/>
    <mergeCell ref="C38:L38"/>
    <mergeCell ref="AB38:AG38"/>
    <mergeCell ref="A39:B39"/>
    <mergeCell ref="A43:B43"/>
    <mergeCell ref="C43:L43"/>
    <mergeCell ref="AB43:AG43"/>
    <mergeCell ref="C39:L39"/>
    <mergeCell ref="AB39:AG39"/>
    <mergeCell ref="A40:B40"/>
    <mergeCell ref="C40:L40"/>
    <mergeCell ref="AB40:AG40"/>
    <mergeCell ref="A56:B56"/>
    <mergeCell ref="C56:L56"/>
    <mergeCell ref="AB56:AG56"/>
    <mergeCell ref="A57:B57"/>
    <mergeCell ref="C57:L57"/>
    <mergeCell ref="AB57:AG57"/>
    <mergeCell ref="A55:B55"/>
    <mergeCell ref="C55:L55"/>
    <mergeCell ref="AB55:AG55"/>
    <mergeCell ref="A60:B60"/>
    <mergeCell ref="C60:L60"/>
    <mergeCell ref="AB60:AG60"/>
    <mergeCell ref="A61:B61"/>
    <mergeCell ref="C61:L61"/>
    <mergeCell ref="AB61:AG61"/>
    <mergeCell ref="A58:B58"/>
    <mergeCell ref="C58:L58"/>
    <mergeCell ref="AB58:AG58"/>
    <mergeCell ref="A59:B59"/>
    <mergeCell ref="C59:L59"/>
    <mergeCell ref="AB59:AG59"/>
    <mergeCell ref="A64:B64"/>
    <mergeCell ref="C64:L64"/>
    <mergeCell ref="AB64:AG64"/>
    <mergeCell ref="A65:B65"/>
    <mergeCell ref="C65:L65"/>
    <mergeCell ref="AB65:AG65"/>
    <mergeCell ref="A62:B62"/>
    <mergeCell ref="C62:L62"/>
    <mergeCell ref="AB62:AG62"/>
    <mergeCell ref="A63:B63"/>
    <mergeCell ref="C63:L63"/>
    <mergeCell ref="AB63:AG63"/>
    <mergeCell ref="A41:B41"/>
    <mergeCell ref="C41:L41"/>
    <mergeCell ref="AB41:AG41"/>
    <mergeCell ref="A51:B51"/>
    <mergeCell ref="C51:L51"/>
    <mergeCell ref="AB51:AG51"/>
    <mergeCell ref="A48:B48"/>
    <mergeCell ref="C48:L48"/>
    <mergeCell ref="AB48:AG48"/>
    <mergeCell ref="A49:B49"/>
    <mergeCell ref="C49:L49"/>
    <mergeCell ref="AB49:AG49"/>
    <mergeCell ref="A23:B23"/>
    <mergeCell ref="C23:L23"/>
    <mergeCell ref="AB23:AG23"/>
    <mergeCell ref="A24:B24"/>
    <mergeCell ref="C24:L24"/>
    <mergeCell ref="AB24:AG24"/>
    <mergeCell ref="A50:B50"/>
    <mergeCell ref="C50:L50"/>
    <mergeCell ref="AB50:AG50"/>
    <mergeCell ref="A46:B46"/>
    <mergeCell ref="C46:L46"/>
    <mergeCell ref="AB46:AG46"/>
    <mergeCell ref="A47:B47"/>
    <mergeCell ref="C47:L47"/>
    <mergeCell ref="AB47:AG47"/>
    <mergeCell ref="A44:B44"/>
    <mergeCell ref="C44:L44"/>
    <mergeCell ref="AB44:AG44"/>
    <mergeCell ref="A45:B45"/>
    <mergeCell ref="C45:L45"/>
    <mergeCell ref="AB45:AG45"/>
    <mergeCell ref="A42:B42"/>
    <mergeCell ref="C42:L42"/>
    <mergeCell ref="AB42:AG42"/>
    <mergeCell ref="A27:B27"/>
    <mergeCell ref="C27:L27"/>
    <mergeCell ref="AB27:AG27"/>
    <mergeCell ref="A28:B28"/>
    <mergeCell ref="C28:L28"/>
    <mergeCell ref="AB28:AG28"/>
    <mergeCell ref="A25:B25"/>
    <mergeCell ref="C25:L25"/>
    <mergeCell ref="AB25:AG25"/>
    <mergeCell ref="A26:B26"/>
    <mergeCell ref="C26:L26"/>
    <mergeCell ref="AB26:AG26"/>
    <mergeCell ref="A31:B31"/>
    <mergeCell ref="C31:L31"/>
    <mergeCell ref="AB31:AG31"/>
    <mergeCell ref="A32:B32"/>
    <mergeCell ref="C32:L32"/>
    <mergeCell ref="AB32:AG32"/>
    <mergeCell ref="A29:B29"/>
    <mergeCell ref="C29:L29"/>
    <mergeCell ref="AB29:AG29"/>
    <mergeCell ref="A30:B30"/>
    <mergeCell ref="C30:L30"/>
    <mergeCell ref="AB30:AG30"/>
    <mergeCell ref="A35:B35"/>
    <mergeCell ref="C35:L35"/>
    <mergeCell ref="AB35:AG35"/>
    <mergeCell ref="A36:B36"/>
    <mergeCell ref="C36:L36"/>
    <mergeCell ref="AB36:AG36"/>
    <mergeCell ref="A33:B33"/>
    <mergeCell ref="C33:L33"/>
    <mergeCell ref="AB33:AG33"/>
    <mergeCell ref="A34:B34"/>
    <mergeCell ref="C34:L34"/>
    <mergeCell ref="AB34:AG34"/>
  </mergeCells>
  <phoneticPr fontId="7"/>
  <pageMargins left="0.78740157480314965" right="0.39370078740157483" top="0.78740157480314965" bottom="0.78740157480314965" header="0.51181102362204722" footer="0.51181102362204722"/>
  <pageSetup paperSize="9" scale="96" fitToHeight="2" orientation="portrait" verticalDpi="400" r:id="rId1"/>
  <headerFooter alignWithMargins="0"/>
  <colBreaks count="1" manualBreakCount="1">
    <brk id="33" max="39"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3">
    <pageSetUpPr fitToPage="1"/>
  </sheetPr>
  <dimension ref="A1:AU66"/>
  <sheetViews>
    <sheetView zoomScaleNormal="100" workbookViewId="0"/>
  </sheetViews>
  <sheetFormatPr defaultColWidth="2.85546875" defaultRowHeight="11.25"/>
  <cols>
    <col min="1" max="16384" width="2.85546875" style="23"/>
  </cols>
  <sheetData>
    <row r="1" spans="1:47" s="2" customFormat="1" ht="18.95" customHeight="1">
      <c r="A1" s="108"/>
      <c r="B1" s="109"/>
      <c r="C1" s="109"/>
      <c r="D1" s="110" t="s">
        <v>90</v>
      </c>
      <c r="E1" s="111"/>
      <c r="F1" s="112"/>
      <c r="G1" s="544" t="str">
        <f>IF(詳細設計書!G1="","N/A",詳細設計書!G1)</f>
        <v>統合会計システム開発</v>
      </c>
      <c r="H1" s="544"/>
      <c r="I1" s="544"/>
      <c r="J1" s="544"/>
      <c r="K1" s="544"/>
      <c r="L1" s="544"/>
      <c r="M1" s="544"/>
      <c r="N1" s="545"/>
      <c r="O1" s="110" t="s">
        <v>283</v>
      </c>
      <c r="P1" s="111"/>
      <c r="Q1" s="111"/>
      <c r="R1" s="113"/>
      <c r="S1" s="575">
        <f>IF(詳細設計書!S1="","N/A",詳細設計書!S1)</f>
        <v>42509</v>
      </c>
      <c r="T1" s="576"/>
      <c r="U1" s="576"/>
      <c r="V1" s="576"/>
      <c r="W1" s="576"/>
      <c r="X1" s="576"/>
      <c r="Y1" s="577"/>
      <c r="Z1" s="110" t="s">
        <v>284</v>
      </c>
      <c r="AA1" s="114"/>
      <c r="AB1" s="114"/>
      <c r="AC1" s="115"/>
      <c r="AD1" s="578">
        <f>IF(詳細設計書!AD1="","",詳細設計書!AD1)</f>
        <v>42559</v>
      </c>
      <c r="AE1" s="579"/>
      <c r="AF1" s="579"/>
      <c r="AG1" s="579"/>
      <c r="AH1" s="580"/>
    </row>
    <row r="2" spans="1:47" s="2" customFormat="1" ht="18.95" customHeight="1">
      <c r="A2" s="30"/>
      <c r="D2" s="116" t="s">
        <v>93</v>
      </c>
      <c r="E2" s="34"/>
      <c r="F2" s="117"/>
      <c r="G2" s="550" t="str">
        <f>IF(詳細設計書!G2="","N/A",詳細設計書!G2)</f>
        <v>SAP R/3(レポート)</v>
      </c>
      <c r="H2" s="550"/>
      <c r="I2" s="550"/>
      <c r="J2" s="550"/>
      <c r="K2" s="550"/>
      <c r="L2" s="550"/>
      <c r="M2" s="550"/>
      <c r="N2" s="551"/>
      <c r="O2" s="116" t="s">
        <v>286</v>
      </c>
      <c r="P2" s="34"/>
      <c r="Q2" s="34"/>
      <c r="R2" s="118"/>
      <c r="S2" s="581" t="str">
        <f>IF(詳細設計書!S2="","N/A",詳細設計書!S2)</f>
        <v>KSC 橋本</v>
      </c>
      <c r="T2" s="582"/>
      <c r="U2" s="582"/>
      <c r="V2" s="582"/>
      <c r="W2" s="582"/>
      <c r="X2" s="582"/>
      <c r="Y2" s="583"/>
      <c r="Z2" s="116" t="s">
        <v>288</v>
      </c>
      <c r="AA2" s="119"/>
      <c r="AB2" s="120"/>
      <c r="AC2" s="117"/>
      <c r="AD2" s="808" t="str">
        <f>IF(詳細設計書!AD2="","",詳細設計書!AD2)</f>
        <v>KSC 橋本</v>
      </c>
      <c r="AE2" s="809"/>
      <c r="AF2" s="809"/>
      <c r="AG2" s="809"/>
      <c r="AH2" s="810"/>
    </row>
    <row r="3" spans="1:47" s="129" customFormat="1" ht="18.95" customHeight="1" thickBot="1">
      <c r="A3" s="4"/>
      <c r="B3" s="1"/>
      <c r="C3" s="121"/>
      <c r="D3" s="122" t="s">
        <v>96</v>
      </c>
      <c r="E3" s="123"/>
      <c r="F3" s="124"/>
      <c r="G3" s="563" t="str">
        <f>IF(詳細設計書!G3="","N/A",詳細設計書!G3)</f>
        <v>DP_FI_2014_01</v>
      </c>
      <c r="H3" s="564"/>
      <c r="I3" s="564"/>
      <c r="J3" s="564"/>
      <c r="K3" s="564"/>
      <c r="L3" s="564"/>
      <c r="M3" s="564"/>
      <c r="N3" s="565"/>
      <c r="O3" s="122" t="s">
        <v>97</v>
      </c>
      <c r="P3" s="123"/>
      <c r="Q3" s="123"/>
      <c r="R3" s="125"/>
      <c r="S3" s="566" t="str">
        <f>IF(詳細設計書!S3="","N/A",詳細設計書!S3)</f>
        <v>ZFIPR_2014_01</v>
      </c>
      <c r="T3" s="566"/>
      <c r="U3" s="566"/>
      <c r="V3" s="566"/>
      <c r="W3" s="566"/>
      <c r="X3" s="566"/>
      <c r="Y3" s="566"/>
      <c r="Z3" s="566"/>
      <c r="AA3" s="566"/>
      <c r="AB3" s="566"/>
      <c r="AC3" s="566"/>
      <c r="AD3" s="566"/>
      <c r="AE3" s="566"/>
      <c r="AF3" s="566"/>
      <c r="AG3" s="566"/>
      <c r="AH3" s="567"/>
    </row>
    <row r="4" spans="1:47" s="129" customFormat="1" ht="18.95" customHeight="1" thickBot="1">
      <c r="A4" s="31" t="s">
        <v>292</v>
      </c>
      <c r="B4" s="127"/>
      <c r="C4" s="128"/>
      <c r="D4" s="181" t="s">
        <v>804</v>
      </c>
      <c r="E4" s="126"/>
      <c r="F4" s="126"/>
      <c r="G4" s="126"/>
      <c r="H4" s="126"/>
      <c r="I4" s="126"/>
      <c r="J4" s="126"/>
      <c r="K4" s="126"/>
      <c r="L4" s="126"/>
      <c r="M4" s="126"/>
      <c r="N4" s="126"/>
      <c r="O4" s="182"/>
      <c r="P4" s="126"/>
      <c r="Q4" s="126"/>
      <c r="R4" s="126"/>
      <c r="S4" s="126"/>
      <c r="T4" s="126"/>
      <c r="U4" s="126"/>
      <c r="V4" s="126"/>
      <c r="W4" s="126"/>
      <c r="X4" s="126"/>
      <c r="Y4" s="126"/>
      <c r="Z4" s="57" t="s">
        <v>100</v>
      </c>
      <c r="AA4" s="127"/>
      <c r="AB4" s="128"/>
      <c r="AC4" s="560" t="str">
        <f>詳細設計書!AC4</f>
        <v>1.0</v>
      </c>
      <c r="AD4" s="560"/>
      <c r="AE4" s="560"/>
      <c r="AF4" s="560"/>
      <c r="AG4" s="560"/>
      <c r="AH4" s="561"/>
      <c r="AI4" s="183"/>
      <c r="AJ4" s="2"/>
      <c r="AK4" s="2"/>
      <c r="AL4" s="2"/>
      <c r="AM4" s="2"/>
      <c r="AN4" s="2"/>
      <c r="AO4" s="2"/>
      <c r="AP4" s="2"/>
      <c r="AQ4" s="2"/>
      <c r="AR4" s="2"/>
      <c r="AS4" s="2"/>
      <c r="AT4" s="2"/>
      <c r="AU4" s="2"/>
    </row>
    <row r="5" spans="1:47" ht="7.5" customHeight="1" thickBot="1">
      <c r="E5" s="146"/>
    </row>
    <row r="6" spans="1:47" ht="12" thickBot="1">
      <c r="A6" s="228" t="s">
        <v>805</v>
      </c>
      <c r="B6" s="227"/>
      <c r="C6" s="229" t="s">
        <v>806</v>
      </c>
      <c r="D6" s="226"/>
      <c r="E6" s="226"/>
      <c r="F6" s="226"/>
      <c r="G6" s="226"/>
      <c r="H6" s="226"/>
      <c r="I6" s="226"/>
      <c r="J6" s="226"/>
      <c r="K6" s="226"/>
      <c r="L6" s="226"/>
      <c r="M6" s="226"/>
      <c r="N6" s="226"/>
      <c r="O6" s="226"/>
      <c r="P6" s="226"/>
      <c r="Q6" s="226"/>
      <c r="R6" s="227"/>
      <c r="S6" s="229" t="s">
        <v>807</v>
      </c>
      <c r="T6" s="226"/>
      <c r="U6" s="226"/>
      <c r="V6" s="229" t="s">
        <v>808</v>
      </c>
      <c r="W6" s="226"/>
      <c r="X6" s="226"/>
      <c r="Y6" s="226"/>
      <c r="Z6" s="226"/>
      <c r="AA6" s="226"/>
      <c r="AB6" s="226"/>
      <c r="AC6" s="226"/>
      <c r="AD6" s="226"/>
      <c r="AE6" s="226"/>
      <c r="AF6" s="226"/>
      <c r="AG6" s="226"/>
      <c r="AH6" s="386"/>
    </row>
    <row r="7" spans="1:47" ht="12" thickTop="1">
      <c r="A7" s="676"/>
      <c r="B7" s="677"/>
      <c r="O7" s="224"/>
      <c r="P7" s="224"/>
      <c r="Q7" s="224"/>
      <c r="R7" s="162"/>
      <c r="S7" s="293"/>
      <c r="T7" s="224"/>
      <c r="U7" s="292"/>
      <c r="V7" s="147"/>
      <c r="AH7" s="136"/>
    </row>
    <row r="8" spans="1:47">
      <c r="A8" s="676"/>
      <c r="B8" s="677"/>
      <c r="O8" s="224"/>
      <c r="P8" s="224"/>
      <c r="Q8" s="224"/>
      <c r="R8" s="162"/>
      <c r="S8" s="293"/>
      <c r="T8" s="224"/>
      <c r="U8" s="292"/>
      <c r="V8" s="147"/>
      <c r="AH8" s="136"/>
    </row>
    <row r="9" spans="1:47">
      <c r="A9" s="676"/>
      <c r="B9" s="677"/>
      <c r="O9" s="224"/>
      <c r="P9" s="224"/>
      <c r="Q9" s="224"/>
      <c r="R9" s="162"/>
      <c r="S9" s="293"/>
      <c r="T9" s="224"/>
      <c r="U9" s="292"/>
      <c r="V9" s="147"/>
      <c r="AH9" s="136"/>
    </row>
    <row r="10" spans="1:47">
      <c r="A10" s="676"/>
      <c r="B10" s="677"/>
      <c r="O10" s="224"/>
      <c r="P10" s="224"/>
      <c r="Q10" s="224"/>
      <c r="R10" s="162"/>
      <c r="S10" s="293"/>
      <c r="T10" s="224"/>
      <c r="U10" s="292"/>
      <c r="V10" s="147"/>
      <c r="AH10" s="136"/>
    </row>
    <row r="11" spans="1:47">
      <c r="A11" s="676"/>
      <c r="B11" s="677"/>
      <c r="O11" s="224"/>
      <c r="P11" s="224"/>
      <c r="Q11" s="224"/>
      <c r="R11" s="162"/>
      <c r="S11" s="293"/>
      <c r="T11" s="224"/>
      <c r="U11" s="292"/>
      <c r="V11" s="147"/>
      <c r="AH11" s="136"/>
    </row>
    <row r="12" spans="1:47">
      <c r="A12" s="676"/>
      <c r="B12" s="677"/>
      <c r="O12" s="224"/>
      <c r="P12" s="224"/>
      <c r="Q12" s="224"/>
      <c r="R12" s="162"/>
      <c r="S12" s="293"/>
      <c r="T12" s="224"/>
      <c r="U12" s="292"/>
      <c r="V12" s="147"/>
      <c r="AH12" s="136"/>
    </row>
    <row r="13" spans="1:47">
      <c r="A13" s="676"/>
      <c r="B13" s="677"/>
      <c r="O13" s="224"/>
      <c r="P13" s="224"/>
      <c r="Q13" s="224"/>
      <c r="R13" s="162"/>
      <c r="S13" s="293"/>
      <c r="T13" s="224"/>
      <c r="U13" s="292"/>
      <c r="V13" s="147"/>
      <c r="AH13" s="136"/>
    </row>
    <row r="14" spans="1:47">
      <c r="A14" s="676"/>
      <c r="B14" s="677"/>
      <c r="O14" s="224"/>
      <c r="P14" s="224"/>
      <c r="Q14" s="224"/>
      <c r="R14" s="162"/>
      <c r="S14" s="293"/>
      <c r="T14" s="224"/>
      <c r="U14" s="292"/>
      <c r="V14" s="147"/>
      <c r="AH14" s="136"/>
    </row>
    <row r="15" spans="1:47">
      <c r="A15" s="676"/>
      <c r="B15" s="677"/>
      <c r="O15" s="224"/>
      <c r="P15" s="224"/>
      <c r="Q15" s="224"/>
      <c r="R15" s="162"/>
      <c r="S15" s="293"/>
      <c r="T15" s="224"/>
      <c r="U15" s="292"/>
      <c r="V15" s="147"/>
      <c r="AH15" s="136"/>
    </row>
    <row r="16" spans="1:47">
      <c r="A16" s="676"/>
      <c r="B16" s="677"/>
      <c r="O16" s="137"/>
      <c r="P16" s="224"/>
      <c r="Q16" s="224"/>
      <c r="R16" s="162"/>
      <c r="S16" s="293"/>
      <c r="T16" s="224"/>
      <c r="U16" s="292"/>
      <c r="V16" s="147"/>
      <c r="AH16" s="136"/>
    </row>
    <row r="17" spans="1:34">
      <c r="A17" s="676"/>
      <c r="B17" s="677"/>
      <c r="O17" s="224"/>
      <c r="P17" s="224"/>
      <c r="Q17" s="224"/>
      <c r="R17" s="162"/>
      <c r="S17" s="293"/>
      <c r="T17" s="224"/>
      <c r="U17" s="292"/>
      <c r="V17" s="147"/>
      <c r="AH17" s="136"/>
    </row>
    <row r="18" spans="1:34">
      <c r="A18" s="676"/>
      <c r="B18" s="677"/>
      <c r="O18" s="224"/>
      <c r="P18" s="224"/>
      <c r="Q18" s="224"/>
      <c r="R18" s="162"/>
      <c r="S18" s="293"/>
      <c r="T18" s="224"/>
      <c r="U18" s="292"/>
      <c r="V18" s="147"/>
      <c r="AH18" s="136"/>
    </row>
    <row r="19" spans="1:34">
      <c r="A19" s="676"/>
      <c r="B19" s="677"/>
      <c r="O19" s="224"/>
      <c r="P19" s="224"/>
      <c r="Q19" s="224"/>
      <c r="R19" s="162"/>
      <c r="S19" s="293"/>
      <c r="T19" s="224"/>
      <c r="U19" s="292"/>
      <c r="V19" s="147"/>
      <c r="AH19" s="136"/>
    </row>
    <row r="20" spans="1:34">
      <c r="A20" s="676"/>
      <c r="B20" s="677"/>
      <c r="O20" s="224"/>
      <c r="P20" s="224"/>
      <c r="Q20" s="224"/>
      <c r="R20" s="162"/>
      <c r="S20" s="293"/>
      <c r="T20" s="224"/>
      <c r="U20" s="292"/>
      <c r="V20" s="147"/>
      <c r="AH20" s="136"/>
    </row>
    <row r="21" spans="1:34">
      <c r="A21" s="676"/>
      <c r="B21" s="677"/>
      <c r="O21" s="224"/>
      <c r="P21" s="224"/>
      <c r="Q21" s="224"/>
      <c r="R21" s="162"/>
      <c r="S21" s="293"/>
      <c r="T21" s="224"/>
      <c r="U21" s="292"/>
      <c r="V21" s="147"/>
      <c r="AH21" s="136"/>
    </row>
    <row r="22" spans="1:34">
      <c r="A22" s="676"/>
      <c r="B22" s="677"/>
      <c r="O22" s="224"/>
      <c r="P22" s="224"/>
      <c r="Q22" s="224"/>
      <c r="R22" s="162"/>
      <c r="S22" s="293"/>
      <c r="T22" s="224"/>
      <c r="U22" s="292"/>
      <c r="V22" s="147"/>
      <c r="AH22" s="136"/>
    </row>
    <row r="23" spans="1:34">
      <c r="A23" s="676"/>
      <c r="B23" s="677"/>
      <c r="O23" s="224"/>
      <c r="P23" s="224"/>
      <c r="Q23" s="224"/>
      <c r="R23" s="162"/>
      <c r="S23" s="293"/>
      <c r="T23" s="224"/>
      <c r="U23" s="292"/>
      <c r="V23" s="147"/>
      <c r="AH23" s="136"/>
    </row>
    <row r="24" spans="1:34">
      <c r="A24" s="676"/>
      <c r="B24" s="677"/>
      <c r="O24" s="224"/>
      <c r="P24" s="224"/>
      <c r="Q24" s="224"/>
      <c r="R24" s="162"/>
      <c r="S24" s="293"/>
      <c r="T24" s="224"/>
      <c r="U24" s="292"/>
      <c r="V24" s="147"/>
      <c r="AH24" s="136"/>
    </row>
    <row r="25" spans="1:34">
      <c r="A25" s="676"/>
      <c r="B25" s="677"/>
      <c r="O25" s="224"/>
      <c r="P25" s="224"/>
      <c r="Q25" s="224"/>
      <c r="R25" s="162"/>
      <c r="S25" s="293"/>
      <c r="T25" s="224"/>
      <c r="U25" s="292"/>
      <c r="V25" s="147"/>
      <c r="AH25" s="136"/>
    </row>
    <row r="26" spans="1:34">
      <c r="A26" s="676"/>
      <c r="B26" s="677"/>
      <c r="O26" s="224"/>
      <c r="P26" s="224"/>
      <c r="Q26" s="224"/>
      <c r="R26" s="162"/>
      <c r="S26" s="293"/>
      <c r="T26" s="224"/>
      <c r="U26" s="292"/>
      <c r="V26" s="147"/>
      <c r="AH26" s="136"/>
    </row>
    <row r="27" spans="1:34">
      <c r="A27" s="676"/>
      <c r="B27" s="677"/>
      <c r="O27" s="224"/>
      <c r="P27" s="224"/>
      <c r="Q27" s="224"/>
      <c r="R27" s="162"/>
      <c r="S27" s="293"/>
      <c r="T27" s="224"/>
      <c r="U27" s="292"/>
      <c r="V27" s="147"/>
      <c r="AH27" s="136"/>
    </row>
    <row r="28" spans="1:34">
      <c r="A28" s="676"/>
      <c r="B28" s="677"/>
      <c r="O28" s="224"/>
      <c r="P28" s="224"/>
      <c r="Q28" s="224"/>
      <c r="R28" s="162"/>
      <c r="S28" s="293"/>
      <c r="T28" s="224"/>
      <c r="U28" s="292"/>
      <c r="V28" s="147"/>
      <c r="AH28" s="136"/>
    </row>
    <row r="29" spans="1:34">
      <c r="A29" s="676"/>
      <c r="B29" s="677"/>
      <c r="O29" s="224"/>
      <c r="P29" s="224"/>
      <c r="Q29" s="224"/>
      <c r="R29" s="162"/>
      <c r="S29" s="293"/>
      <c r="T29" s="224"/>
      <c r="U29" s="292"/>
      <c r="V29" s="147"/>
      <c r="AH29" s="136"/>
    </row>
    <row r="30" spans="1:34">
      <c r="A30" s="676"/>
      <c r="B30" s="677"/>
      <c r="O30" s="224"/>
      <c r="P30" s="224"/>
      <c r="Q30" s="224"/>
      <c r="R30" s="162"/>
      <c r="S30" s="293"/>
      <c r="T30" s="224"/>
      <c r="U30" s="292"/>
      <c r="V30" s="147"/>
      <c r="AH30" s="136"/>
    </row>
    <row r="31" spans="1:34">
      <c r="A31" s="676"/>
      <c r="B31" s="677"/>
      <c r="O31" s="224"/>
      <c r="P31" s="224"/>
      <c r="Q31" s="224"/>
      <c r="R31" s="162"/>
      <c r="S31" s="293"/>
      <c r="T31" s="224"/>
      <c r="U31" s="292"/>
      <c r="V31" s="147"/>
      <c r="AH31" s="136"/>
    </row>
    <row r="32" spans="1:34">
      <c r="A32" s="676"/>
      <c r="B32" s="677"/>
      <c r="O32" s="224"/>
      <c r="P32" s="224"/>
      <c r="Q32" s="224"/>
      <c r="R32" s="162"/>
      <c r="S32" s="293"/>
      <c r="T32" s="224"/>
      <c r="U32" s="292"/>
      <c r="V32" s="147"/>
      <c r="AH32" s="136"/>
    </row>
    <row r="33" spans="1:34">
      <c r="A33" s="676"/>
      <c r="B33" s="677"/>
      <c r="O33" s="224"/>
      <c r="P33" s="224"/>
      <c r="Q33" s="224"/>
      <c r="R33" s="162"/>
      <c r="S33" s="293"/>
      <c r="T33" s="224"/>
      <c r="U33" s="292"/>
      <c r="V33" s="147"/>
      <c r="AH33" s="136"/>
    </row>
    <row r="34" spans="1:34">
      <c r="A34" s="676"/>
      <c r="B34" s="677"/>
      <c r="O34" s="224"/>
      <c r="P34" s="224"/>
      <c r="Q34" s="224"/>
      <c r="R34" s="162"/>
      <c r="S34" s="293"/>
      <c r="T34" s="224"/>
      <c r="U34" s="292"/>
      <c r="V34" s="147"/>
      <c r="AH34" s="136"/>
    </row>
    <row r="35" spans="1:34">
      <c r="A35" s="676"/>
      <c r="B35" s="677"/>
      <c r="O35" s="224"/>
      <c r="P35" s="224"/>
      <c r="Q35" s="224"/>
      <c r="R35" s="162"/>
      <c r="S35" s="293"/>
      <c r="T35" s="224"/>
      <c r="U35" s="292"/>
      <c r="V35" s="147"/>
      <c r="AH35" s="136"/>
    </row>
    <row r="36" spans="1:34">
      <c r="A36" s="676"/>
      <c r="B36" s="677"/>
      <c r="O36" s="224"/>
      <c r="P36" s="224"/>
      <c r="Q36" s="224"/>
      <c r="R36" s="162"/>
      <c r="S36" s="293"/>
      <c r="T36" s="224"/>
      <c r="U36" s="292"/>
      <c r="V36" s="147"/>
      <c r="AH36" s="136"/>
    </row>
    <row r="37" spans="1:34">
      <c r="A37" s="676"/>
      <c r="B37" s="677"/>
      <c r="O37" s="224"/>
      <c r="P37" s="224"/>
      <c r="Q37" s="224"/>
      <c r="R37" s="162"/>
      <c r="S37" s="293"/>
      <c r="T37" s="224"/>
      <c r="U37" s="292"/>
      <c r="V37" s="147"/>
      <c r="AH37" s="136"/>
    </row>
    <row r="38" spans="1:34">
      <c r="A38" s="676"/>
      <c r="B38" s="677"/>
      <c r="O38" s="224"/>
      <c r="P38" s="224"/>
      <c r="Q38" s="224"/>
      <c r="R38" s="162"/>
      <c r="S38" s="293"/>
      <c r="T38" s="224"/>
      <c r="U38" s="292"/>
      <c r="V38" s="147"/>
      <c r="AH38" s="136"/>
    </row>
    <row r="39" spans="1:34">
      <c r="A39" s="676"/>
      <c r="B39" s="677"/>
      <c r="O39" s="224"/>
      <c r="P39" s="224"/>
      <c r="Q39" s="224"/>
      <c r="R39" s="162"/>
      <c r="S39" s="293"/>
      <c r="T39" s="224"/>
      <c r="U39" s="292"/>
      <c r="V39" s="147"/>
      <c r="AH39" s="136"/>
    </row>
    <row r="40" spans="1:34">
      <c r="A40" s="676"/>
      <c r="B40" s="677"/>
      <c r="O40" s="224"/>
      <c r="P40" s="224"/>
      <c r="Q40" s="224"/>
      <c r="R40" s="162"/>
      <c r="S40" s="293"/>
      <c r="T40" s="224"/>
      <c r="U40" s="292"/>
      <c r="V40" s="147"/>
      <c r="AH40" s="136"/>
    </row>
    <row r="41" spans="1:34">
      <c r="A41" s="676"/>
      <c r="B41" s="677"/>
      <c r="O41" s="224"/>
      <c r="P41" s="224"/>
      <c r="Q41" s="224"/>
      <c r="R41" s="162"/>
      <c r="S41" s="293"/>
      <c r="T41" s="224"/>
      <c r="U41" s="292"/>
      <c r="V41" s="147"/>
      <c r="AH41" s="136"/>
    </row>
    <row r="42" spans="1:34">
      <c r="A42" s="676"/>
      <c r="B42" s="677"/>
      <c r="O42" s="224"/>
      <c r="P42" s="224"/>
      <c r="Q42" s="224"/>
      <c r="R42" s="162"/>
      <c r="S42" s="293"/>
      <c r="T42" s="224"/>
      <c r="U42" s="292"/>
      <c r="V42" s="147"/>
      <c r="AH42" s="136"/>
    </row>
    <row r="43" spans="1:34">
      <c r="A43" s="676"/>
      <c r="B43" s="677"/>
      <c r="O43" s="224"/>
      <c r="P43" s="224"/>
      <c r="Q43" s="224"/>
      <c r="R43" s="162"/>
      <c r="S43" s="293"/>
      <c r="T43" s="224"/>
      <c r="U43" s="292"/>
      <c r="V43" s="147"/>
      <c r="AH43" s="136"/>
    </row>
    <row r="44" spans="1:34">
      <c r="A44" s="676"/>
      <c r="B44" s="677"/>
      <c r="O44" s="224"/>
      <c r="P44" s="224"/>
      <c r="Q44" s="224"/>
      <c r="R44" s="162"/>
      <c r="S44" s="293"/>
      <c r="T44" s="224"/>
      <c r="U44" s="292"/>
      <c r="V44" s="147"/>
      <c r="AH44" s="136"/>
    </row>
    <row r="45" spans="1:34">
      <c r="A45" s="676"/>
      <c r="B45" s="677"/>
      <c r="O45" s="224"/>
      <c r="P45" s="224"/>
      <c r="Q45" s="224"/>
      <c r="R45" s="162"/>
      <c r="S45" s="293"/>
      <c r="T45" s="224"/>
      <c r="U45" s="292"/>
      <c r="V45" s="147"/>
      <c r="AH45" s="136"/>
    </row>
    <row r="46" spans="1:34">
      <c r="A46" s="676"/>
      <c r="B46" s="677"/>
      <c r="O46" s="224"/>
      <c r="P46" s="224"/>
      <c r="Q46" s="224"/>
      <c r="R46" s="162"/>
      <c r="S46" s="293"/>
      <c r="T46" s="224"/>
      <c r="U46" s="292"/>
      <c r="V46" s="147"/>
      <c r="AH46" s="136"/>
    </row>
    <row r="47" spans="1:34">
      <c r="A47" s="676"/>
      <c r="B47" s="677"/>
      <c r="O47" s="224"/>
      <c r="P47" s="224"/>
      <c r="Q47" s="224"/>
      <c r="R47" s="162"/>
      <c r="S47" s="293"/>
      <c r="T47" s="224"/>
      <c r="U47" s="292"/>
      <c r="V47" s="147"/>
      <c r="AH47" s="136"/>
    </row>
    <row r="48" spans="1:34">
      <c r="A48" s="676"/>
      <c r="B48" s="677"/>
      <c r="O48" s="224"/>
      <c r="P48" s="224"/>
      <c r="Q48" s="224"/>
      <c r="R48" s="162"/>
      <c r="S48" s="293"/>
      <c r="T48" s="224"/>
      <c r="U48" s="292"/>
      <c r="V48" s="147"/>
      <c r="AH48" s="136"/>
    </row>
    <row r="49" spans="1:34">
      <c r="A49" s="676"/>
      <c r="B49" s="677"/>
      <c r="O49" s="224"/>
      <c r="P49" s="224"/>
      <c r="Q49" s="224"/>
      <c r="R49" s="162"/>
      <c r="S49" s="293"/>
      <c r="T49" s="224"/>
      <c r="U49" s="292"/>
      <c r="V49" s="147"/>
      <c r="AH49" s="136"/>
    </row>
    <row r="50" spans="1:34">
      <c r="A50" s="676"/>
      <c r="B50" s="677"/>
      <c r="O50" s="224"/>
      <c r="P50" s="224"/>
      <c r="Q50" s="224"/>
      <c r="R50" s="162"/>
      <c r="S50" s="293"/>
      <c r="T50" s="224"/>
      <c r="U50" s="292"/>
      <c r="V50" s="147"/>
      <c r="AH50" s="136"/>
    </row>
    <row r="51" spans="1:34">
      <c r="A51" s="676"/>
      <c r="B51" s="677"/>
      <c r="O51" s="224"/>
      <c r="P51" s="224"/>
      <c r="Q51" s="224"/>
      <c r="R51" s="162"/>
      <c r="S51" s="293"/>
      <c r="T51" s="224"/>
      <c r="U51" s="292"/>
      <c r="V51" s="147"/>
      <c r="AH51" s="136"/>
    </row>
    <row r="52" spans="1:34">
      <c r="A52" s="676"/>
      <c r="B52" s="677"/>
      <c r="O52" s="224"/>
      <c r="P52" s="224"/>
      <c r="Q52" s="224"/>
      <c r="R52" s="162"/>
      <c r="S52" s="293"/>
      <c r="T52" s="224"/>
      <c r="U52" s="292"/>
      <c r="V52" s="147"/>
      <c r="AH52" s="136"/>
    </row>
    <row r="53" spans="1:34">
      <c r="A53" s="676"/>
      <c r="B53" s="677"/>
      <c r="O53" s="224"/>
      <c r="P53" s="224"/>
      <c r="Q53" s="224"/>
      <c r="R53" s="162"/>
      <c r="S53" s="293"/>
      <c r="T53" s="224"/>
      <c r="U53" s="292"/>
      <c r="V53" s="147"/>
      <c r="AH53" s="136"/>
    </row>
    <row r="54" spans="1:34">
      <c r="A54" s="676"/>
      <c r="B54" s="677"/>
      <c r="O54" s="224"/>
      <c r="P54" s="224"/>
      <c r="Q54" s="224"/>
      <c r="R54" s="162"/>
      <c r="S54" s="293"/>
      <c r="T54" s="224"/>
      <c r="U54" s="292"/>
      <c r="V54" s="147"/>
      <c r="AH54" s="136"/>
    </row>
    <row r="55" spans="1:34">
      <c r="A55" s="676"/>
      <c r="B55" s="677"/>
      <c r="O55" s="224"/>
      <c r="P55" s="224"/>
      <c r="Q55" s="224"/>
      <c r="R55" s="162"/>
      <c r="S55" s="293"/>
      <c r="T55" s="224"/>
      <c r="U55" s="292"/>
      <c r="V55" s="147"/>
      <c r="AH55" s="136"/>
    </row>
    <row r="56" spans="1:34">
      <c r="A56" s="676"/>
      <c r="B56" s="677"/>
      <c r="O56" s="224"/>
      <c r="P56" s="224"/>
      <c r="Q56" s="224"/>
      <c r="R56" s="162"/>
      <c r="S56" s="293"/>
      <c r="T56" s="224"/>
      <c r="U56" s="292"/>
      <c r="V56" s="147"/>
      <c r="AH56" s="136"/>
    </row>
    <row r="57" spans="1:34">
      <c r="A57" s="676"/>
      <c r="B57" s="677"/>
      <c r="O57" s="224"/>
      <c r="P57" s="224"/>
      <c r="Q57" s="224"/>
      <c r="R57" s="162"/>
      <c r="S57" s="293"/>
      <c r="T57" s="224"/>
      <c r="U57" s="292"/>
      <c r="V57" s="147"/>
      <c r="AH57" s="136"/>
    </row>
    <row r="58" spans="1:34">
      <c r="A58" s="676"/>
      <c r="B58" s="677"/>
      <c r="O58" s="224"/>
      <c r="P58" s="224"/>
      <c r="Q58" s="224"/>
      <c r="R58" s="162"/>
      <c r="S58" s="293"/>
      <c r="T58" s="224"/>
      <c r="U58" s="292"/>
      <c r="V58" s="147"/>
      <c r="AH58" s="136"/>
    </row>
    <row r="59" spans="1:34">
      <c r="A59" s="676"/>
      <c r="B59" s="677"/>
      <c r="O59" s="224"/>
      <c r="P59" s="224"/>
      <c r="Q59" s="224"/>
      <c r="R59" s="162"/>
      <c r="S59" s="293"/>
      <c r="T59" s="224"/>
      <c r="U59" s="292"/>
      <c r="V59" s="147"/>
      <c r="AH59" s="136"/>
    </row>
    <row r="60" spans="1:34">
      <c r="A60" s="676"/>
      <c r="B60" s="677"/>
      <c r="O60" s="224"/>
      <c r="P60" s="224"/>
      <c r="Q60" s="224"/>
      <c r="R60" s="162"/>
      <c r="S60" s="293"/>
      <c r="T60" s="224"/>
      <c r="U60" s="292"/>
      <c r="V60" s="147"/>
      <c r="AH60" s="136"/>
    </row>
    <row r="61" spans="1:34">
      <c r="A61" s="676"/>
      <c r="B61" s="677"/>
      <c r="O61" s="224"/>
      <c r="P61" s="224"/>
      <c r="Q61" s="224"/>
      <c r="R61" s="162"/>
      <c r="S61" s="293"/>
      <c r="T61" s="224"/>
      <c r="U61" s="292"/>
      <c r="V61" s="147"/>
      <c r="AH61" s="136"/>
    </row>
    <row r="62" spans="1:34">
      <c r="A62" s="676"/>
      <c r="B62" s="677"/>
      <c r="O62" s="224"/>
      <c r="P62" s="224"/>
      <c r="Q62" s="224"/>
      <c r="R62" s="162"/>
      <c r="S62" s="293"/>
      <c r="T62" s="224"/>
      <c r="U62" s="292"/>
      <c r="V62" s="147"/>
      <c r="AH62" s="136"/>
    </row>
    <row r="63" spans="1:34">
      <c r="A63" s="676"/>
      <c r="B63" s="677"/>
      <c r="O63" s="224"/>
      <c r="P63" s="224"/>
      <c r="Q63" s="224"/>
      <c r="R63" s="162"/>
      <c r="S63" s="293"/>
      <c r="T63" s="224"/>
      <c r="U63" s="292"/>
      <c r="V63" s="147"/>
      <c r="AH63" s="136"/>
    </row>
    <row r="64" spans="1:34">
      <c r="A64" s="676"/>
      <c r="B64" s="677"/>
      <c r="O64" s="224"/>
      <c r="P64" s="224"/>
      <c r="Q64" s="224"/>
      <c r="R64" s="162"/>
      <c r="S64" s="293"/>
      <c r="T64" s="224"/>
      <c r="U64" s="292"/>
      <c r="V64" s="147"/>
      <c r="AH64" s="136"/>
    </row>
    <row r="65" spans="1:34">
      <c r="A65" s="676"/>
      <c r="B65" s="677"/>
      <c r="O65" s="224"/>
      <c r="P65" s="224"/>
      <c r="Q65" s="224"/>
      <c r="R65" s="162"/>
      <c r="S65" s="293"/>
      <c r="T65" s="224"/>
      <c r="U65" s="292"/>
      <c r="V65" s="147"/>
      <c r="AH65" s="136"/>
    </row>
    <row r="66" spans="1:34" ht="12" thickBot="1">
      <c r="A66" s="699"/>
      <c r="B66" s="700"/>
      <c r="C66" s="104"/>
      <c r="D66" s="104"/>
      <c r="E66" s="104"/>
      <c r="F66" s="104"/>
      <c r="G66" s="104"/>
      <c r="H66" s="104"/>
      <c r="I66" s="104"/>
      <c r="J66" s="104"/>
      <c r="K66" s="104"/>
      <c r="L66" s="104"/>
      <c r="M66" s="104"/>
      <c r="N66" s="104"/>
      <c r="O66" s="225"/>
      <c r="P66" s="225"/>
      <c r="Q66" s="225"/>
      <c r="R66" s="164"/>
      <c r="S66" s="312"/>
      <c r="T66" s="225"/>
      <c r="U66" s="311"/>
      <c r="V66" s="165"/>
      <c r="W66" s="104"/>
      <c r="X66" s="104"/>
      <c r="Y66" s="104"/>
      <c r="Z66" s="104"/>
      <c r="AA66" s="104"/>
      <c r="AB66" s="104"/>
      <c r="AC66" s="104"/>
      <c r="AD66" s="104"/>
      <c r="AE66" s="104"/>
      <c r="AF66" s="104"/>
      <c r="AG66" s="104"/>
      <c r="AH66" s="142"/>
    </row>
  </sheetData>
  <mergeCells count="69">
    <mergeCell ref="A13:B13"/>
    <mergeCell ref="A14:B14"/>
    <mergeCell ref="A15:B15"/>
    <mergeCell ref="A31:B31"/>
    <mergeCell ref="A29:B29"/>
    <mergeCell ref="A30:B30"/>
    <mergeCell ref="A16:B16"/>
    <mergeCell ref="A17:B17"/>
    <mergeCell ref="A18:B18"/>
    <mergeCell ref="A19:B19"/>
    <mergeCell ref="A20:B20"/>
    <mergeCell ref="A21:B21"/>
    <mergeCell ref="A22:B22"/>
    <mergeCell ref="A28:B28"/>
    <mergeCell ref="A23:B23"/>
    <mergeCell ref="A24:B24"/>
    <mergeCell ref="S3:AH3"/>
    <mergeCell ref="G1:N1"/>
    <mergeCell ref="S1:Y1"/>
    <mergeCell ref="AD1:AH1"/>
    <mergeCell ref="G2:N2"/>
    <mergeCell ref="S2:Y2"/>
    <mergeCell ref="AD2:AH2"/>
    <mergeCell ref="G3:N3"/>
    <mergeCell ref="AC4:AH4"/>
    <mergeCell ref="A10:B10"/>
    <mergeCell ref="A11:B11"/>
    <mergeCell ref="A12:B12"/>
    <mergeCell ref="A7:B7"/>
    <mergeCell ref="A8:B8"/>
    <mergeCell ref="A9:B9"/>
    <mergeCell ref="A50:B50"/>
    <mergeCell ref="A51:B51"/>
    <mergeCell ref="A52:B52"/>
    <mergeCell ref="A54:B54"/>
    <mergeCell ref="A53:B53"/>
    <mergeCell ref="A45:B45"/>
    <mergeCell ref="A46:B46"/>
    <mergeCell ref="A47:B47"/>
    <mergeCell ref="A48:B48"/>
    <mergeCell ref="A49:B49"/>
    <mergeCell ref="A66:B66"/>
    <mergeCell ref="A64:B64"/>
    <mergeCell ref="A65:B65"/>
    <mergeCell ref="A55:B55"/>
    <mergeCell ref="A56:B56"/>
    <mergeCell ref="A57:B57"/>
    <mergeCell ref="A58:B58"/>
    <mergeCell ref="A59:B59"/>
    <mergeCell ref="A60:B60"/>
    <mergeCell ref="A63:B63"/>
    <mergeCell ref="A61:B61"/>
    <mergeCell ref="A62:B62"/>
    <mergeCell ref="A25:B25"/>
    <mergeCell ref="A26:B26"/>
    <mergeCell ref="A27:B27"/>
    <mergeCell ref="A43:B43"/>
    <mergeCell ref="A44:B44"/>
    <mergeCell ref="A39:B39"/>
    <mergeCell ref="A40:B40"/>
    <mergeCell ref="A41:B41"/>
    <mergeCell ref="A42:B42"/>
    <mergeCell ref="A32:B32"/>
    <mergeCell ref="A37:B37"/>
    <mergeCell ref="A38:B38"/>
    <mergeCell ref="A35:B35"/>
    <mergeCell ref="A36:B36"/>
    <mergeCell ref="A33:B33"/>
    <mergeCell ref="A34:B34"/>
  </mergeCells>
  <phoneticPr fontId="7"/>
  <pageMargins left="0.78740157480314965" right="0.39370078740157483" top="0.78740157480314965" bottom="0.78740157480314965" header="0.51181102362204722" footer="0.51181102362204722"/>
  <pageSetup paperSize="9" scale="94" fitToHeight="2" orientation="portrait" verticalDpi="4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pageSetUpPr fitToPage="1"/>
  </sheetPr>
  <dimension ref="A1:AI51"/>
  <sheetViews>
    <sheetView zoomScaleNormal="100" workbookViewId="0"/>
  </sheetViews>
  <sheetFormatPr defaultColWidth="2.85546875" defaultRowHeight="11.25"/>
  <cols>
    <col min="1" max="16384" width="2.85546875" style="2"/>
  </cols>
  <sheetData>
    <row r="1" spans="1:35" ht="18.95" customHeight="1">
      <c r="A1" s="108"/>
      <c r="B1" s="109"/>
      <c r="C1" s="109"/>
      <c r="D1" s="110" t="s">
        <v>90</v>
      </c>
      <c r="E1" s="111"/>
      <c r="F1" s="112"/>
      <c r="G1" s="544" t="str">
        <f>IF(詳細設計書!G1="","N/A",詳細設計書!G1)</f>
        <v>統合会計システム開発</v>
      </c>
      <c r="H1" s="544"/>
      <c r="I1" s="544"/>
      <c r="J1" s="544"/>
      <c r="K1" s="544"/>
      <c r="L1" s="544"/>
      <c r="M1" s="544"/>
      <c r="N1" s="545"/>
      <c r="O1" s="110" t="s">
        <v>283</v>
      </c>
      <c r="P1" s="111"/>
      <c r="Q1" s="111"/>
      <c r="R1" s="113"/>
      <c r="S1" s="786">
        <f>IF(詳細設計書!S1="","N/A",詳細設計書!S1)</f>
        <v>42509</v>
      </c>
      <c r="T1" s="786"/>
      <c r="U1" s="786"/>
      <c r="V1" s="786"/>
      <c r="W1" s="786"/>
      <c r="X1" s="786"/>
      <c r="Y1" s="787"/>
      <c r="Z1" s="110" t="s">
        <v>284</v>
      </c>
      <c r="AA1" s="114"/>
      <c r="AB1" s="114"/>
      <c r="AC1" s="115"/>
      <c r="AD1" s="578">
        <f>IF(詳細設計書!AD1="","N/A",詳細設計書!AD1)</f>
        <v>42559</v>
      </c>
      <c r="AE1" s="579"/>
      <c r="AF1" s="579"/>
      <c r="AG1" s="580"/>
    </row>
    <row r="2" spans="1:35" ht="18.95" customHeight="1">
      <c r="A2" s="30"/>
      <c r="D2" s="116" t="s">
        <v>93</v>
      </c>
      <c r="E2" s="34"/>
      <c r="F2" s="117"/>
      <c r="G2" s="550" t="str">
        <f>IF(詳細設計書!G2="","N/A",詳細設計書!G2)</f>
        <v>SAP R/3(レポート)</v>
      </c>
      <c r="H2" s="550"/>
      <c r="I2" s="550"/>
      <c r="J2" s="550"/>
      <c r="K2" s="550"/>
      <c r="L2" s="550"/>
      <c r="M2" s="550"/>
      <c r="N2" s="551"/>
      <c r="O2" s="116" t="s">
        <v>286</v>
      </c>
      <c r="P2" s="34"/>
      <c r="Q2" s="34"/>
      <c r="R2" s="118"/>
      <c r="S2" s="582" t="str">
        <f>IF(詳細設計書!S2="","N/A",詳細設計書!S2)</f>
        <v>KSC 橋本</v>
      </c>
      <c r="T2" s="582"/>
      <c r="U2" s="582"/>
      <c r="V2" s="582"/>
      <c r="W2" s="582"/>
      <c r="X2" s="582"/>
      <c r="Y2" s="583"/>
      <c r="Z2" s="116" t="s">
        <v>288</v>
      </c>
      <c r="AA2" s="119"/>
      <c r="AB2" s="120"/>
      <c r="AC2" s="117"/>
      <c r="AD2" s="759" t="str">
        <f>IF(詳細設計書!AD2="","N/A",詳細設計書!AD2)</f>
        <v>KSC 橋本</v>
      </c>
      <c r="AE2" s="760"/>
      <c r="AF2" s="760"/>
      <c r="AG2" s="761"/>
    </row>
    <row r="3" spans="1:35" ht="18.95" customHeight="1" thickBot="1">
      <c r="A3" s="30"/>
      <c r="C3" s="14"/>
      <c r="D3" s="122" t="s">
        <v>96</v>
      </c>
      <c r="E3" s="123"/>
      <c r="F3" s="124"/>
      <c r="G3" s="563" t="str">
        <f>IF(詳細設計書!G3="","N/A",詳細設計書!G3)</f>
        <v>DP_FI_2014_01</v>
      </c>
      <c r="H3" s="564"/>
      <c r="I3" s="564"/>
      <c r="J3" s="564"/>
      <c r="K3" s="564"/>
      <c r="L3" s="564"/>
      <c r="M3" s="564"/>
      <c r="N3" s="565"/>
      <c r="O3" s="122" t="s">
        <v>97</v>
      </c>
      <c r="P3" s="123"/>
      <c r="Q3" s="123"/>
      <c r="R3" s="125"/>
      <c r="S3" s="572" t="str">
        <f>IF(詳細設計書!S3="","N/A",詳細設計書!S3)</f>
        <v>ZFIPR_2014_01</v>
      </c>
      <c r="T3" s="573"/>
      <c r="U3" s="573"/>
      <c r="V3" s="573"/>
      <c r="W3" s="573"/>
      <c r="X3" s="573"/>
      <c r="Y3" s="573"/>
      <c r="Z3" s="587" t="s">
        <v>290</v>
      </c>
      <c r="AA3" s="588"/>
      <c r="AB3" s="589"/>
      <c r="AC3" s="572" t="str">
        <f>IF(詳細設計書!AC3="","N/A",詳細設計書!AC3)</f>
        <v>RD_FI_2014</v>
      </c>
      <c r="AD3" s="573"/>
      <c r="AE3" s="573"/>
      <c r="AF3" s="573"/>
      <c r="AG3" s="574"/>
    </row>
    <row r="4" spans="1:35" ht="18.95" customHeight="1" thickBot="1">
      <c r="A4" s="31" t="s">
        <v>292</v>
      </c>
      <c r="B4" s="32"/>
      <c r="C4" s="32"/>
      <c r="D4" s="187" t="s">
        <v>809</v>
      </c>
      <c r="E4" s="184"/>
      <c r="F4" s="184"/>
      <c r="G4" s="184"/>
      <c r="H4" s="184"/>
      <c r="I4" s="184"/>
      <c r="J4" s="184"/>
      <c r="K4" s="184"/>
      <c r="L4" s="184"/>
      <c r="M4" s="184"/>
      <c r="N4" s="184"/>
      <c r="O4" s="184"/>
      <c r="P4" s="184"/>
      <c r="Q4" s="184"/>
      <c r="R4" s="184"/>
      <c r="S4" s="184"/>
      <c r="T4" s="184"/>
      <c r="U4" s="184"/>
      <c r="V4" s="184"/>
      <c r="W4" s="184"/>
      <c r="X4" s="184"/>
      <c r="Y4" s="184"/>
      <c r="Z4" s="57" t="s">
        <v>100</v>
      </c>
      <c r="AA4" s="32"/>
      <c r="AB4" s="32"/>
      <c r="AC4" s="618" t="str">
        <f>詳細設計書!AC4</f>
        <v>1.0</v>
      </c>
      <c r="AD4" s="597"/>
      <c r="AE4" s="597"/>
      <c r="AF4" s="597"/>
      <c r="AG4" s="598"/>
    </row>
    <row r="5" spans="1:35" ht="7.5" customHeight="1" thickBot="1"/>
    <row r="6" spans="1:35" ht="15" customHeight="1">
      <c r="A6" s="602" t="s">
        <v>810</v>
      </c>
      <c r="B6" s="603"/>
      <c r="C6" s="603"/>
      <c r="D6" s="603"/>
      <c r="E6" s="603"/>
      <c r="F6" s="603"/>
      <c r="G6" s="603"/>
      <c r="H6" s="603"/>
      <c r="I6" s="603"/>
      <c r="J6" s="603"/>
      <c r="K6" s="603"/>
      <c r="L6" s="603"/>
      <c r="M6" s="603"/>
      <c r="N6" s="603"/>
      <c r="O6" s="603"/>
      <c r="P6" s="603"/>
      <c r="Q6" s="603"/>
      <c r="R6" s="603"/>
      <c r="S6" s="603"/>
      <c r="T6" s="603"/>
      <c r="U6" s="603"/>
      <c r="V6" s="603"/>
      <c r="W6" s="603"/>
      <c r="X6" s="603"/>
      <c r="Y6" s="603"/>
      <c r="Z6" s="603"/>
      <c r="AA6" s="603"/>
      <c r="AB6" s="603"/>
      <c r="AC6" s="603"/>
      <c r="AD6" s="603"/>
      <c r="AE6" s="603"/>
      <c r="AF6" s="603"/>
      <c r="AG6" s="617"/>
    </row>
    <row r="7" spans="1:35" ht="15" customHeight="1">
      <c r="A7" s="413"/>
      <c r="B7" s="5"/>
      <c r="C7" s="414"/>
      <c r="D7" s="7"/>
      <c r="E7" s="8"/>
      <c r="F7" s="7"/>
      <c r="G7" s="7"/>
      <c r="H7" s="7"/>
      <c r="I7" s="8"/>
      <c r="J7" s="7"/>
      <c r="K7" s="7"/>
      <c r="L7" s="7"/>
      <c r="M7" s="8"/>
      <c r="N7" s="7"/>
      <c r="O7" s="7"/>
      <c r="P7" s="7"/>
      <c r="Q7" s="7"/>
      <c r="R7" s="8"/>
      <c r="S7" s="7"/>
      <c r="T7" s="7"/>
      <c r="U7" s="7"/>
      <c r="V7" s="8"/>
      <c r="W7" s="10"/>
      <c r="X7" s="7"/>
      <c r="AG7" s="49"/>
    </row>
    <row r="8" spans="1:35" ht="15" customHeight="1">
      <c r="A8" s="30"/>
      <c r="B8" s="300" t="s">
        <v>811</v>
      </c>
      <c r="C8" s="300"/>
      <c r="D8" s="2" t="s">
        <v>812</v>
      </c>
      <c r="E8" s="300"/>
      <c r="F8" s="301"/>
      <c r="G8" s="300"/>
      <c r="H8" s="300"/>
      <c r="I8" s="300"/>
      <c r="J8" s="301"/>
      <c r="K8" s="300"/>
      <c r="L8" s="300"/>
      <c r="M8" s="300"/>
      <c r="N8" s="300"/>
      <c r="O8" s="301"/>
      <c r="R8" s="8"/>
      <c r="V8" s="8"/>
      <c r="Z8" s="300"/>
      <c r="AG8" s="49"/>
    </row>
    <row r="9" spans="1:35" ht="15" customHeight="1">
      <c r="A9" s="30"/>
      <c r="B9" s="300"/>
      <c r="C9" s="300"/>
      <c r="D9" s="300" t="s">
        <v>813</v>
      </c>
      <c r="E9" s="300"/>
      <c r="F9" s="301"/>
      <c r="G9" s="300"/>
      <c r="H9" s="300"/>
      <c r="I9" s="300"/>
      <c r="J9" s="301"/>
      <c r="K9" s="300"/>
      <c r="L9" s="300"/>
      <c r="M9" s="300"/>
      <c r="N9" s="300"/>
      <c r="O9" s="301"/>
      <c r="R9" s="8"/>
      <c r="V9" s="8"/>
      <c r="Z9" s="300"/>
      <c r="AG9" s="49"/>
    </row>
    <row r="10" spans="1:35" ht="15" customHeight="1">
      <c r="A10" s="30"/>
      <c r="B10" s="295"/>
      <c r="C10" s="300" t="s">
        <v>814</v>
      </c>
      <c r="E10" s="300"/>
      <c r="F10" s="300" t="s">
        <v>815</v>
      </c>
      <c r="G10" s="300"/>
      <c r="H10" s="300"/>
      <c r="I10" s="300"/>
      <c r="J10" s="301"/>
      <c r="K10" s="300"/>
      <c r="L10" s="300"/>
      <c r="M10" s="300"/>
      <c r="N10" s="300"/>
      <c r="O10" s="301"/>
      <c r="R10" s="8"/>
      <c r="V10" s="8"/>
      <c r="X10" s="300"/>
      <c r="Y10" s="300"/>
      <c r="Z10" s="300"/>
      <c r="AG10" s="49"/>
    </row>
    <row r="11" spans="1:35" ht="15" customHeight="1">
      <c r="A11" s="30"/>
      <c r="B11" s="295"/>
      <c r="C11" s="295"/>
      <c r="D11" s="300"/>
      <c r="E11" s="295"/>
      <c r="F11" s="460" t="s">
        <v>816</v>
      </c>
      <c r="G11" s="461"/>
      <c r="H11" s="460"/>
      <c r="I11" s="460"/>
      <c r="J11" s="460"/>
      <c r="K11" s="461"/>
      <c r="L11" s="460"/>
      <c r="M11" s="460"/>
      <c r="N11" s="460"/>
      <c r="O11" s="301"/>
      <c r="P11" s="300"/>
      <c r="Q11" s="300"/>
      <c r="R11" s="300"/>
      <c r="S11" s="300"/>
      <c r="T11" s="300"/>
      <c r="U11" s="300"/>
      <c r="V11" s="300"/>
      <c r="W11" s="300"/>
      <c r="X11" s="300"/>
      <c r="Y11" s="300"/>
      <c r="Z11" s="300"/>
      <c r="AG11" s="49"/>
    </row>
    <row r="12" spans="1:35" ht="15" customHeight="1">
      <c r="A12" s="30"/>
      <c r="B12" s="295"/>
      <c r="D12" s="300"/>
      <c r="F12" s="460"/>
      <c r="G12" s="460" t="s">
        <v>817</v>
      </c>
      <c r="H12" s="460"/>
      <c r="I12" s="460"/>
      <c r="J12" s="460"/>
      <c r="K12" s="461"/>
      <c r="L12" s="460"/>
      <c r="M12" s="460"/>
      <c r="N12" s="460"/>
      <c r="O12" s="301"/>
      <c r="P12" s="300"/>
      <c r="Q12" s="300"/>
      <c r="R12" s="300"/>
      <c r="S12" s="300"/>
      <c r="T12" s="300"/>
      <c r="U12" s="300"/>
      <c r="V12" s="300"/>
      <c r="W12" s="300"/>
      <c r="X12" s="300"/>
      <c r="Y12" s="300"/>
      <c r="Z12" s="300"/>
      <c r="AG12" s="49"/>
      <c r="AI12" s="460"/>
    </row>
    <row r="13" spans="1:35" ht="15" customHeight="1">
      <c r="A13" s="30"/>
      <c r="B13" s="295"/>
      <c r="D13" s="300"/>
      <c r="F13" s="460"/>
      <c r="G13" s="460"/>
      <c r="H13" s="460" t="s">
        <v>818</v>
      </c>
      <c r="I13" s="460"/>
      <c r="J13" s="460"/>
      <c r="K13" s="461"/>
      <c r="L13" s="460"/>
      <c r="M13" s="460"/>
      <c r="Q13" s="460" t="s">
        <v>819</v>
      </c>
      <c r="R13" s="301"/>
      <c r="S13" s="300" t="s">
        <v>820</v>
      </c>
      <c r="T13" s="300"/>
      <c r="U13" s="300"/>
      <c r="V13" s="300"/>
      <c r="W13" s="300"/>
      <c r="X13" s="300"/>
      <c r="Y13" s="300"/>
      <c r="Z13" s="300"/>
      <c r="AG13" s="49"/>
    </row>
    <row r="14" spans="1:35" ht="15" customHeight="1">
      <c r="A14" s="30"/>
      <c r="B14" s="295"/>
      <c r="D14" s="300"/>
      <c r="F14" s="460"/>
      <c r="H14" s="460" t="s">
        <v>821</v>
      </c>
      <c r="I14" s="460"/>
      <c r="J14" s="460"/>
      <c r="K14" s="461"/>
      <c r="L14" s="460"/>
      <c r="M14" s="460"/>
      <c r="Q14" s="460" t="s">
        <v>819</v>
      </c>
      <c r="R14" s="301"/>
      <c r="S14" s="300" t="s">
        <v>822</v>
      </c>
      <c r="T14" s="300"/>
      <c r="U14" s="300"/>
      <c r="AG14" s="49"/>
      <c r="AI14" s="460"/>
    </row>
    <row r="15" spans="1:35" ht="15" customHeight="1">
      <c r="A15" s="30"/>
      <c r="B15" s="295"/>
      <c r="D15" s="300"/>
      <c r="F15" s="460"/>
      <c r="G15" s="460" t="s">
        <v>823</v>
      </c>
      <c r="H15" s="460"/>
      <c r="I15" s="460"/>
      <c r="J15" s="460"/>
      <c r="K15" s="460"/>
      <c r="L15" s="460"/>
      <c r="M15" s="460"/>
      <c r="Q15" s="460"/>
      <c r="R15" s="300"/>
      <c r="S15" s="300"/>
      <c r="T15" s="300"/>
      <c r="U15" s="300"/>
      <c r="V15" s="300"/>
      <c r="W15" s="300"/>
      <c r="X15" s="300"/>
      <c r="Y15" s="300"/>
      <c r="Z15" s="300"/>
      <c r="AG15" s="49"/>
    </row>
    <row r="16" spans="1:35" ht="15" customHeight="1">
      <c r="A16" s="30"/>
      <c r="B16" s="295"/>
      <c r="D16" s="300"/>
      <c r="F16" s="460"/>
      <c r="G16" s="460"/>
      <c r="H16" s="460" t="s">
        <v>824</v>
      </c>
      <c r="I16" s="460"/>
      <c r="J16" s="460"/>
      <c r="K16" s="460"/>
      <c r="L16" s="460"/>
      <c r="M16" s="460"/>
      <c r="Q16" s="460" t="s">
        <v>819</v>
      </c>
      <c r="R16" s="300"/>
      <c r="S16" s="300" t="s">
        <v>825</v>
      </c>
      <c r="T16" s="300"/>
      <c r="U16" s="300"/>
      <c r="V16" s="300"/>
      <c r="W16" s="300"/>
      <c r="X16" s="300"/>
      <c r="Y16" s="300"/>
      <c r="Z16" s="300"/>
      <c r="AG16" s="49"/>
    </row>
    <row r="17" spans="1:33" ht="15" customHeight="1">
      <c r="A17" s="30"/>
      <c r="B17" s="295"/>
      <c r="D17" s="300"/>
      <c r="F17" s="460"/>
      <c r="G17" s="460" t="s">
        <v>826</v>
      </c>
      <c r="H17" s="460"/>
      <c r="I17" s="460"/>
      <c r="J17" s="460"/>
      <c r="K17" s="461"/>
      <c r="L17" s="460"/>
      <c r="M17" s="460"/>
      <c r="Q17" s="460"/>
      <c r="R17" s="301"/>
      <c r="S17" s="300"/>
      <c r="T17" s="300"/>
      <c r="U17" s="300"/>
      <c r="V17" s="300"/>
      <c r="W17" s="300"/>
      <c r="X17" s="300"/>
      <c r="Y17" s="300"/>
      <c r="Z17" s="300"/>
      <c r="AG17" s="49"/>
    </row>
    <row r="18" spans="1:33" ht="15" customHeight="1">
      <c r="A18" s="30"/>
      <c r="B18" s="300"/>
      <c r="D18" s="300"/>
      <c r="F18" s="460"/>
      <c r="G18" s="460"/>
      <c r="H18" s="460" t="s">
        <v>827</v>
      </c>
      <c r="I18" s="460"/>
      <c r="J18" s="460"/>
      <c r="K18" s="460"/>
      <c r="L18" s="460"/>
      <c r="M18" s="460"/>
      <c r="Q18" s="460" t="s">
        <v>819</v>
      </c>
      <c r="R18" s="300"/>
      <c r="S18" s="300">
        <v>1</v>
      </c>
      <c r="T18" s="300"/>
      <c r="U18" s="300"/>
      <c r="V18" s="300"/>
      <c r="W18" s="300"/>
      <c r="X18" s="300"/>
      <c r="Y18" s="300"/>
      <c r="Z18" s="300"/>
      <c r="AG18" s="49"/>
    </row>
    <row r="19" spans="1:33" ht="15" customHeight="1">
      <c r="A19" s="30"/>
      <c r="B19" s="300"/>
      <c r="D19" s="300"/>
      <c r="F19" s="460"/>
      <c r="G19" s="460"/>
      <c r="H19" s="460" t="s">
        <v>828</v>
      </c>
      <c r="I19" s="460"/>
      <c r="J19" s="460"/>
      <c r="K19" s="460"/>
      <c r="L19" s="460"/>
      <c r="M19" s="460"/>
      <c r="Q19" s="460" t="s">
        <v>819</v>
      </c>
      <c r="R19" s="300"/>
      <c r="S19" s="300">
        <v>2</v>
      </c>
      <c r="T19" s="300"/>
      <c r="U19" s="300"/>
      <c r="V19" s="300"/>
      <c r="W19" s="300"/>
      <c r="Z19" s="300"/>
      <c r="AG19" s="49"/>
    </row>
    <row r="20" spans="1:33" ht="15" customHeight="1">
      <c r="A20" s="30"/>
      <c r="B20" s="295"/>
      <c r="D20" s="300"/>
      <c r="F20" s="460"/>
      <c r="G20" s="460"/>
      <c r="H20" s="460" t="s">
        <v>829</v>
      </c>
      <c r="I20" s="460"/>
      <c r="J20" s="460"/>
      <c r="K20" s="460"/>
      <c r="L20" s="460"/>
      <c r="M20" s="460"/>
      <c r="Q20" s="460" t="s">
        <v>819</v>
      </c>
      <c r="R20" s="300"/>
      <c r="S20" s="300">
        <v>3</v>
      </c>
      <c r="T20" s="301"/>
      <c r="U20" s="300"/>
      <c r="V20" s="300"/>
      <c r="W20" s="300"/>
      <c r="Z20" s="300"/>
      <c r="AG20" s="49"/>
    </row>
    <row r="21" spans="1:33" ht="15" customHeight="1">
      <c r="A21" s="30"/>
      <c r="B21" s="300"/>
      <c r="D21" s="300"/>
      <c r="F21" s="460"/>
      <c r="G21" s="460"/>
      <c r="H21" s="460" t="s">
        <v>830</v>
      </c>
      <c r="I21" s="460"/>
      <c r="J21" s="460"/>
      <c r="K21" s="460"/>
      <c r="L21" s="460"/>
      <c r="M21" s="460"/>
      <c r="Q21" s="460" t="s">
        <v>819</v>
      </c>
      <c r="R21" s="300"/>
      <c r="S21" s="300">
        <v>4</v>
      </c>
      <c r="T21" s="301"/>
      <c r="U21" s="300"/>
      <c r="V21" s="300"/>
      <c r="W21" s="300"/>
      <c r="X21" s="300"/>
      <c r="Y21" s="300"/>
      <c r="Z21" s="300"/>
      <c r="AG21" s="49"/>
    </row>
    <row r="22" spans="1:33" ht="15" customHeight="1">
      <c r="A22" s="30"/>
      <c r="B22" s="295"/>
      <c r="D22" s="300"/>
      <c r="F22" s="460"/>
      <c r="H22" s="7"/>
      <c r="I22" s="8"/>
      <c r="J22" s="7"/>
      <c r="K22" s="7"/>
      <c r="L22" s="7"/>
      <c r="M22" s="8"/>
      <c r="N22" s="7"/>
      <c r="V22" s="300"/>
      <c r="W22" s="300"/>
      <c r="X22" s="300"/>
      <c r="Y22" s="300"/>
      <c r="Z22" s="300"/>
      <c r="AG22" s="49"/>
    </row>
    <row r="23" spans="1:33" ht="15" customHeight="1">
      <c r="A23" s="30"/>
      <c r="B23" s="295"/>
      <c r="D23" s="300"/>
      <c r="F23" s="460"/>
      <c r="H23" s="7"/>
      <c r="I23" s="8"/>
      <c r="J23" s="7"/>
      <c r="K23" s="7"/>
      <c r="L23" s="7"/>
      <c r="M23" s="8"/>
      <c r="N23" s="7"/>
      <c r="O23" s="7"/>
      <c r="R23" s="8"/>
      <c r="V23" s="300"/>
      <c r="W23" s="300"/>
      <c r="X23" s="300"/>
      <c r="Y23" s="300"/>
      <c r="Z23" s="300"/>
      <c r="AG23" s="49"/>
    </row>
    <row r="24" spans="1:33" ht="15" customHeight="1">
      <c r="A24" s="30"/>
      <c r="B24" s="300"/>
      <c r="D24" s="300"/>
      <c r="F24" s="460"/>
      <c r="H24" s="7"/>
      <c r="I24" s="8"/>
      <c r="J24" s="7"/>
      <c r="K24" s="7"/>
      <c r="L24" s="7"/>
      <c r="M24" s="8"/>
      <c r="N24" s="7"/>
      <c r="S24" s="8"/>
      <c r="T24" s="8"/>
      <c r="V24" s="300"/>
      <c r="W24" s="300"/>
      <c r="X24" s="300"/>
      <c r="Y24" s="300"/>
      <c r="Z24" s="300"/>
      <c r="AG24" s="49"/>
    </row>
    <row r="25" spans="1:33" ht="15" customHeight="1">
      <c r="A25" s="30"/>
      <c r="B25" s="300"/>
      <c r="D25" s="300"/>
      <c r="F25" s="460"/>
      <c r="V25" s="300"/>
      <c r="W25" s="300"/>
      <c r="X25" s="300"/>
      <c r="Y25" s="300"/>
      <c r="Z25" s="300"/>
      <c r="AG25" s="49"/>
    </row>
    <row r="26" spans="1:33" ht="15" customHeight="1">
      <c r="A26" s="30"/>
      <c r="B26" s="300"/>
      <c r="D26" s="300"/>
      <c r="F26" s="460"/>
      <c r="V26" s="300"/>
      <c r="W26" s="300"/>
      <c r="X26" s="300"/>
      <c r="Y26" s="300"/>
      <c r="Z26" s="300"/>
      <c r="AG26" s="49"/>
    </row>
    <row r="27" spans="1:33" ht="15" customHeight="1">
      <c r="A27" s="30"/>
      <c r="B27" s="300"/>
      <c r="D27" s="300"/>
      <c r="F27" s="460"/>
      <c r="V27" s="300"/>
      <c r="W27" s="300"/>
      <c r="X27" s="300"/>
      <c r="Y27" s="300"/>
      <c r="Z27" s="300"/>
      <c r="AG27" s="49"/>
    </row>
    <row r="28" spans="1:33" ht="15" customHeight="1">
      <c r="A28" s="30"/>
      <c r="C28" s="7"/>
      <c r="D28" s="7"/>
      <c r="F28" s="7"/>
      <c r="V28" s="8"/>
      <c r="W28" s="8"/>
      <c r="AG28" s="49"/>
    </row>
    <row r="29" spans="1:33" ht="15" customHeight="1">
      <c r="A29" s="30"/>
      <c r="C29" s="7"/>
      <c r="D29" s="7"/>
      <c r="F29" s="7"/>
      <c r="V29" s="8"/>
      <c r="W29" s="8"/>
      <c r="AG29" s="49"/>
    </row>
    <row r="30" spans="1:33" ht="15" customHeight="1">
      <c r="A30" s="30"/>
      <c r="C30" s="7"/>
      <c r="D30" s="7"/>
      <c r="V30" s="8"/>
      <c r="W30" s="8"/>
      <c r="AG30" s="49"/>
    </row>
    <row r="31" spans="1:33" ht="15" customHeight="1">
      <c r="A31" s="30"/>
      <c r="C31" s="7"/>
      <c r="D31" s="7"/>
      <c r="F31" s="7"/>
      <c r="V31" s="8"/>
      <c r="W31" s="8"/>
      <c r="AG31" s="49"/>
    </row>
    <row r="32" spans="1:33" ht="15" customHeight="1">
      <c r="A32" s="30"/>
      <c r="C32" s="7"/>
      <c r="D32" s="7"/>
      <c r="F32" s="7"/>
      <c r="V32" s="8"/>
      <c r="W32" s="8"/>
      <c r="AG32" s="49"/>
    </row>
    <row r="33" spans="1:33" ht="15" customHeight="1">
      <c r="A33" s="30"/>
      <c r="C33" s="7"/>
      <c r="D33" s="7"/>
      <c r="F33" s="7"/>
      <c r="H33" s="7"/>
      <c r="I33" s="8"/>
      <c r="J33" s="7"/>
      <c r="K33" s="7"/>
      <c r="L33" s="7"/>
      <c r="M33" s="8"/>
      <c r="N33" s="7"/>
      <c r="S33" s="8"/>
      <c r="T33" s="8"/>
      <c r="V33" s="8"/>
      <c r="W33" s="8"/>
      <c r="AG33" s="49"/>
    </row>
    <row r="34" spans="1:33" ht="15" customHeight="1">
      <c r="A34" s="30"/>
      <c r="C34" s="7"/>
      <c r="D34" s="7"/>
      <c r="F34" s="7"/>
      <c r="H34" s="7"/>
      <c r="I34" s="8"/>
      <c r="J34" s="7"/>
      <c r="K34" s="7"/>
      <c r="L34" s="7"/>
      <c r="M34" s="8"/>
      <c r="N34" s="7"/>
      <c r="P34" s="8"/>
      <c r="Q34" s="8"/>
      <c r="S34" s="8"/>
      <c r="T34" s="8"/>
      <c r="V34" s="8"/>
      <c r="W34" s="8"/>
      <c r="AG34" s="49"/>
    </row>
    <row r="35" spans="1:33" ht="15" customHeight="1">
      <c r="A35" s="30"/>
      <c r="C35" s="7"/>
      <c r="D35" s="7"/>
      <c r="H35" s="7"/>
      <c r="I35" s="8"/>
      <c r="J35" s="7"/>
      <c r="K35" s="7"/>
      <c r="L35" s="7"/>
      <c r="M35" s="8"/>
      <c r="N35" s="7"/>
      <c r="O35" s="7"/>
      <c r="S35" s="8"/>
      <c r="T35" s="8"/>
      <c r="V35" s="8"/>
      <c r="W35" s="8"/>
      <c r="AG35" s="49"/>
    </row>
    <row r="36" spans="1:33" ht="15" customHeight="1">
      <c r="A36" s="30"/>
      <c r="C36" s="7"/>
      <c r="D36" s="7"/>
      <c r="F36" s="7"/>
      <c r="H36" s="7"/>
      <c r="I36" s="8"/>
      <c r="J36" s="7"/>
      <c r="K36" s="7"/>
      <c r="L36" s="7"/>
      <c r="M36" s="8"/>
      <c r="N36" s="7"/>
      <c r="S36" s="8"/>
      <c r="T36" s="8"/>
      <c r="V36" s="8"/>
      <c r="W36" s="8"/>
      <c r="AG36" s="49"/>
    </row>
    <row r="37" spans="1:33" ht="15" customHeight="1">
      <c r="A37" s="30"/>
      <c r="C37" s="7"/>
      <c r="D37" s="7"/>
      <c r="F37" s="7"/>
      <c r="H37" s="7"/>
      <c r="I37" s="8"/>
      <c r="J37" s="7"/>
      <c r="K37" s="7"/>
      <c r="L37" s="7"/>
      <c r="M37" s="8"/>
      <c r="N37" s="7"/>
      <c r="V37" s="8"/>
      <c r="W37" s="8"/>
      <c r="AG37" s="49"/>
    </row>
    <row r="38" spans="1:33" ht="15" customHeight="1">
      <c r="A38" s="30"/>
      <c r="C38" s="7"/>
      <c r="D38" s="7"/>
      <c r="H38" s="7"/>
      <c r="I38" s="8"/>
      <c r="J38" s="7"/>
      <c r="K38" s="7"/>
      <c r="L38" s="7"/>
      <c r="M38" s="8"/>
      <c r="N38" s="7"/>
      <c r="O38" s="7"/>
      <c r="R38" s="8"/>
      <c r="V38" s="8"/>
      <c r="W38" s="8"/>
      <c r="AG38" s="49"/>
    </row>
    <row r="39" spans="1:33" ht="15" customHeight="1">
      <c r="A39" s="30"/>
      <c r="C39" s="7"/>
      <c r="D39" s="7"/>
      <c r="F39" s="7"/>
      <c r="H39" s="7"/>
      <c r="I39" s="8"/>
      <c r="J39" s="7"/>
      <c r="K39" s="7"/>
      <c r="L39" s="7"/>
      <c r="M39" s="8"/>
      <c r="N39" s="7"/>
      <c r="P39" s="8"/>
      <c r="V39" s="8"/>
      <c r="W39" s="8"/>
      <c r="AG39" s="49"/>
    </row>
    <row r="40" spans="1:33" ht="15" customHeight="1">
      <c r="A40" s="30"/>
      <c r="C40" s="7"/>
      <c r="D40" s="7"/>
      <c r="F40" s="7"/>
      <c r="H40" s="7"/>
      <c r="I40" s="8"/>
      <c r="J40" s="7"/>
      <c r="K40" s="7"/>
      <c r="L40" s="7"/>
      <c r="M40" s="8"/>
      <c r="N40" s="7"/>
      <c r="P40" s="8"/>
      <c r="V40" s="8"/>
      <c r="W40" s="8"/>
      <c r="AG40" s="49"/>
    </row>
    <row r="41" spans="1:33" ht="15" customHeight="1">
      <c r="A41" s="30"/>
      <c r="C41" s="7"/>
      <c r="D41" s="7"/>
      <c r="F41" s="7"/>
      <c r="H41" s="7"/>
      <c r="I41" s="8"/>
      <c r="J41" s="7"/>
      <c r="K41" s="7"/>
      <c r="L41" s="7"/>
      <c r="M41" s="8"/>
      <c r="N41" s="7"/>
      <c r="P41" s="8"/>
      <c r="V41" s="8"/>
      <c r="W41" s="8"/>
      <c r="AG41" s="49"/>
    </row>
    <row r="42" spans="1:33" ht="15" customHeight="1">
      <c r="A42" s="30"/>
      <c r="C42" s="7"/>
      <c r="D42" s="7"/>
      <c r="F42" s="7"/>
      <c r="H42" s="7"/>
      <c r="I42" s="8"/>
      <c r="J42" s="7"/>
      <c r="K42" s="7"/>
      <c r="L42" s="7"/>
      <c r="M42" s="8"/>
      <c r="N42" s="7"/>
      <c r="P42" s="8"/>
      <c r="V42" s="8"/>
      <c r="W42" s="8"/>
      <c r="AG42" s="49"/>
    </row>
    <row r="43" spans="1:33" ht="15" customHeight="1">
      <c r="A43" s="30"/>
      <c r="C43" s="7"/>
      <c r="D43" s="7"/>
      <c r="F43" s="7"/>
      <c r="H43" s="7"/>
      <c r="I43" s="8"/>
      <c r="J43" s="7"/>
      <c r="K43" s="7"/>
      <c r="L43" s="7"/>
      <c r="M43" s="8"/>
      <c r="N43" s="7"/>
      <c r="P43" s="8"/>
      <c r="V43" s="8"/>
      <c r="W43" s="8"/>
      <c r="AG43" s="49"/>
    </row>
    <row r="44" spans="1:33" ht="15" customHeight="1">
      <c r="A44" s="30"/>
      <c r="C44" s="7"/>
      <c r="D44" s="7"/>
      <c r="F44" s="7"/>
      <c r="H44" s="7"/>
      <c r="I44" s="8"/>
      <c r="J44" s="7"/>
      <c r="K44" s="7"/>
      <c r="L44" s="7"/>
      <c r="M44" s="8"/>
      <c r="N44" s="7"/>
      <c r="P44" s="8"/>
      <c r="V44" s="8"/>
      <c r="W44" s="8"/>
      <c r="AG44" s="49"/>
    </row>
    <row r="45" spans="1:33" ht="15" customHeight="1">
      <c r="A45" s="30"/>
      <c r="C45" s="7"/>
      <c r="D45" s="7"/>
      <c r="F45" s="7"/>
      <c r="H45" s="7"/>
      <c r="I45" s="8"/>
      <c r="J45" s="7"/>
      <c r="K45" s="7"/>
      <c r="L45" s="7"/>
      <c r="M45" s="8"/>
      <c r="N45" s="7"/>
      <c r="P45" s="8"/>
      <c r="V45" s="8"/>
      <c r="W45" s="8"/>
      <c r="AG45" s="49"/>
    </row>
    <row r="46" spans="1:33" ht="15" customHeight="1">
      <c r="A46" s="30"/>
      <c r="B46" s="55"/>
      <c r="C46" s="55"/>
      <c r="D46" s="55"/>
      <c r="E46" s="55"/>
      <c r="F46" s="55"/>
      <c r="G46" s="55"/>
      <c r="H46" s="55"/>
      <c r="I46" s="55"/>
      <c r="J46" s="55"/>
      <c r="K46" s="55"/>
      <c r="L46" s="55"/>
      <c r="M46" s="55"/>
      <c r="N46" s="55"/>
      <c r="P46" s="415"/>
      <c r="Q46" s="55"/>
      <c r="R46" s="55"/>
      <c r="T46" s="55"/>
      <c r="U46" s="55"/>
      <c r="V46" s="55"/>
      <c r="W46" s="55"/>
      <c r="X46" s="55"/>
      <c r="Y46" s="55"/>
      <c r="Z46" s="55"/>
      <c r="AA46" s="55"/>
      <c r="AB46" s="55"/>
      <c r="AC46" s="55"/>
      <c r="AD46" s="55"/>
      <c r="AE46" s="55"/>
      <c r="AF46" s="55"/>
      <c r="AG46" s="49"/>
    </row>
    <row r="47" spans="1:33" ht="15" customHeight="1">
      <c r="A47" s="30"/>
      <c r="B47" s="55"/>
      <c r="C47" s="55"/>
      <c r="D47" s="55"/>
      <c r="E47" s="55"/>
      <c r="F47" s="55"/>
      <c r="G47" s="55"/>
      <c r="H47" s="55"/>
      <c r="I47" s="55"/>
      <c r="J47" s="55"/>
      <c r="K47" s="55"/>
      <c r="L47" s="55"/>
      <c r="M47" s="55"/>
      <c r="N47" s="55"/>
      <c r="O47" s="55"/>
      <c r="P47" s="415"/>
      <c r="Q47" s="55"/>
      <c r="R47" s="55"/>
      <c r="S47" s="55"/>
      <c r="T47" s="55"/>
      <c r="U47" s="55"/>
      <c r="V47" s="55"/>
      <c r="W47" s="55"/>
      <c r="X47" s="55"/>
      <c r="Y47" s="55"/>
      <c r="Z47" s="55"/>
      <c r="AA47" s="55"/>
      <c r="AB47" s="55"/>
      <c r="AC47" s="55"/>
      <c r="AD47" s="55"/>
      <c r="AE47" s="55"/>
      <c r="AF47" s="55"/>
      <c r="AG47" s="49"/>
    </row>
    <row r="48" spans="1:33" ht="15" customHeight="1">
      <c r="A48" s="30"/>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49"/>
    </row>
    <row r="49" spans="1:33" ht="15" customHeight="1">
      <c r="A49" s="30"/>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49"/>
    </row>
    <row r="50" spans="1:33" ht="15" customHeight="1">
      <c r="A50" s="30"/>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49"/>
    </row>
    <row r="51" spans="1:33" ht="15" customHeight="1" thickBot="1">
      <c r="A51" s="4"/>
      <c r="B51" s="1"/>
      <c r="C51" s="1"/>
      <c r="D51" s="1"/>
      <c r="E51" s="1"/>
      <c r="F51" s="29"/>
      <c r="G51" s="29"/>
      <c r="H51" s="1"/>
      <c r="I51" s="1"/>
      <c r="J51" s="1"/>
      <c r="K51" s="1"/>
      <c r="L51" s="1"/>
      <c r="M51" s="1"/>
      <c r="N51" s="1"/>
      <c r="O51" s="1"/>
      <c r="P51" s="1"/>
      <c r="Q51" s="1"/>
      <c r="R51" s="1"/>
      <c r="S51" s="1"/>
      <c r="T51" s="1"/>
      <c r="U51" s="1"/>
      <c r="V51" s="1"/>
      <c r="W51" s="1"/>
      <c r="X51" s="1"/>
      <c r="Y51" s="1"/>
      <c r="Z51" s="1"/>
      <c r="AA51" s="1"/>
      <c r="AB51" s="1"/>
      <c r="AC51" s="1"/>
      <c r="AD51" s="1"/>
      <c r="AE51" s="1"/>
      <c r="AF51" s="1"/>
      <c r="AG51" s="56"/>
    </row>
  </sheetData>
  <dataConsolidate/>
  <mergeCells count="12">
    <mergeCell ref="G1:N1"/>
    <mergeCell ref="G2:N2"/>
    <mergeCell ref="S1:Y1"/>
    <mergeCell ref="AD1:AG1"/>
    <mergeCell ref="S2:Y2"/>
    <mergeCell ref="A6:AG6"/>
    <mergeCell ref="G3:N3"/>
    <mergeCell ref="AD2:AG2"/>
    <mergeCell ref="AC4:AG4"/>
    <mergeCell ref="S3:Y3"/>
    <mergeCell ref="Z3:AB3"/>
    <mergeCell ref="AC3:AG3"/>
  </mergeCells>
  <phoneticPr fontId="7"/>
  <pageMargins left="0.78740157480314965" right="0.39370078740157483" top="0.78740157480314965" bottom="0.78740157480314965" header="0.51181102362204722" footer="0.51181102362204722"/>
  <pageSetup paperSize="9" scale="94" orientation="portrait" verticalDpi="400" r:id="rId1"/>
  <headerFooter alignWithMargins="0"/>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1">
    <pageSetUpPr fitToPage="1"/>
  </sheetPr>
  <dimension ref="A1:AI51"/>
  <sheetViews>
    <sheetView zoomScaleNormal="100" workbookViewId="0"/>
  </sheetViews>
  <sheetFormatPr defaultColWidth="2.85546875" defaultRowHeight="11.25"/>
  <cols>
    <col min="1" max="16384" width="2.85546875" style="2"/>
  </cols>
  <sheetData>
    <row r="1" spans="1:35" ht="18.95" customHeight="1">
      <c r="A1" s="108"/>
      <c r="B1" s="109"/>
      <c r="C1" s="109"/>
      <c r="D1" s="110" t="s">
        <v>90</v>
      </c>
      <c r="E1" s="111"/>
      <c r="F1" s="112"/>
      <c r="G1" s="544" t="str">
        <f>IF(詳細設計書!G1="","N/A",詳細設計書!G1)</f>
        <v>統合会計システム開発</v>
      </c>
      <c r="H1" s="544"/>
      <c r="I1" s="544"/>
      <c r="J1" s="544"/>
      <c r="K1" s="544"/>
      <c r="L1" s="544"/>
      <c r="M1" s="544"/>
      <c r="N1" s="545"/>
      <c r="O1" s="110" t="s">
        <v>283</v>
      </c>
      <c r="P1" s="111"/>
      <c r="Q1" s="111"/>
      <c r="R1" s="113"/>
      <c r="S1" s="786">
        <f>IF(詳細設計書!S1="","N/A",詳細設計書!S1)</f>
        <v>42509</v>
      </c>
      <c r="T1" s="786"/>
      <c r="U1" s="786"/>
      <c r="V1" s="786"/>
      <c r="W1" s="786"/>
      <c r="X1" s="786"/>
      <c r="Y1" s="787"/>
      <c r="Z1" s="110" t="s">
        <v>284</v>
      </c>
      <c r="AA1" s="114"/>
      <c r="AB1" s="114"/>
      <c r="AC1" s="115"/>
      <c r="AD1" s="578">
        <f>IF(詳細設計書!AD1="","N/A",詳細設計書!AD1)</f>
        <v>42559</v>
      </c>
      <c r="AE1" s="579"/>
      <c r="AF1" s="579"/>
      <c r="AG1" s="580"/>
    </row>
    <row r="2" spans="1:35" ht="18.95" customHeight="1">
      <c r="A2" s="30"/>
      <c r="D2" s="116" t="s">
        <v>93</v>
      </c>
      <c r="E2" s="34"/>
      <c r="F2" s="117"/>
      <c r="G2" s="550" t="str">
        <f>IF(詳細設計書!G2="","N/A",詳細設計書!G2)</f>
        <v>SAP R/3(レポート)</v>
      </c>
      <c r="H2" s="550"/>
      <c r="I2" s="550"/>
      <c r="J2" s="550"/>
      <c r="K2" s="550"/>
      <c r="L2" s="550"/>
      <c r="M2" s="550"/>
      <c r="N2" s="551"/>
      <c r="O2" s="116" t="s">
        <v>286</v>
      </c>
      <c r="P2" s="34"/>
      <c r="Q2" s="34"/>
      <c r="R2" s="118"/>
      <c r="S2" s="582" t="str">
        <f>IF(詳細設計書!S2="","N/A",詳細設計書!S2)</f>
        <v>KSC 橋本</v>
      </c>
      <c r="T2" s="582"/>
      <c r="U2" s="582"/>
      <c r="V2" s="582"/>
      <c r="W2" s="582"/>
      <c r="X2" s="582"/>
      <c r="Y2" s="583"/>
      <c r="Z2" s="116" t="s">
        <v>288</v>
      </c>
      <c r="AA2" s="119"/>
      <c r="AB2" s="120"/>
      <c r="AC2" s="117"/>
      <c r="AD2" s="759" t="str">
        <f>IF(詳細設計書!AD2="","N/A",詳細設計書!AD2)</f>
        <v>KSC 橋本</v>
      </c>
      <c r="AE2" s="760"/>
      <c r="AF2" s="760"/>
      <c r="AG2" s="761"/>
    </row>
    <row r="3" spans="1:35" ht="18.95" customHeight="1" thickBot="1">
      <c r="A3" s="30"/>
      <c r="C3" s="14"/>
      <c r="D3" s="122" t="s">
        <v>96</v>
      </c>
      <c r="E3" s="123"/>
      <c r="F3" s="124"/>
      <c r="G3" s="563" t="str">
        <f>IF(詳細設計書!G3="","N/A",詳細設計書!G3)</f>
        <v>DP_FI_2014_01</v>
      </c>
      <c r="H3" s="564"/>
      <c r="I3" s="564"/>
      <c r="J3" s="564"/>
      <c r="K3" s="564"/>
      <c r="L3" s="564"/>
      <c r="M3" s="564"/>
      <c r="N3" s="565"/>
      <c r="O3" s="122" t="s">
        <v>97</v>
      </c>
      <c r="P3" s="123"/>
      <c r="Q3" s="123"/>
      <c r="R3" s="125"/>
      <c r="S3" s="572" t="str">
        <f>IF(詳細設計書!S3="","N/A",詳細設計書!S3)</f>
        <v>ZFIPR_2014_01</v>
      </c>
      <c r="T3" s="573"/>
      <c r="U3" s="573"/>
      <c r="V3" s="573"/>
      <c r="W3" s="573"/>
      <c r="X3" s="573"/>
      <c r="Y3" s="573"/>
      <c r="Z3" s="587" t="s">
        <v>290</v>
      </c>
      <c r="AA3" s="588"/>
      <c r="AB3" s="589"/>
      <c r="AC3" s="572" t="str">
        <f>IF(詳細設計書!AC3="","N/A",詳細設計書!AC3)</f>
        <v>RD_FI_2014</v>
      </c>
      <c r="AD3" s="573"/>
      <c r="AE3" s="573"/>
      <c r="AF3" s="573"/>
      <c r="AG3" s="574"/>
    </row>
    <row r="4" spans="1:35" ht="18.95" customHeight="1" thickBot="1">
      <c r="A4" s="31" t="s">
        <v>292</v>
      </c>
      <c r="B4" s="32"/>
      <c r="C4" s="32"/>
      <c r="D4" s="187" t="s">
        <v>831</v>
      </c>
      <c r="E4" s="184"/>
      <c r="F4" s="184"/>
      <c r="G4" s="184"/>
      <c r="H4" s="184"/>
      <c r="I4" s="184"/>
      <c r="J4" s="184"/>
      <c r="K4" s="184"/>
      <c r="L4" s="184"/>
      <c r="M4" s="184"/>
      <c r="N4" s="184"/>
      <c r="O4" s="184"/>
      <c r="P4" s="184"/>
      <c r="Q4" s="184"/>
      <c r="R4" s="184"/>
      <c r="S4" s="184"/>
      <c r="T4" s="184"/>
      <c r="U4" s="184"/>
      <c r="V4" s="184"/>
      <c r="W4" s="184"/>
      <c r="X4" s="184"/>
      <c r="Y4" s="184"/>
      <c r="Z4" s="57" t="s">
        <v>100</v>
      </c>
      <c r="AA4" s="32"/>
      <c r="AB4" s="32"/>
      <c r="AC4" s="618" t="str">
        <f>詳細設計書!AC4</f>
        <v>1.0</v>
      </c>
      <c r="AD4" s="597"/>
      <c r="AE4" s="597"/>
      <c r="AF4" s="597"/>
      <c r="AG4" s="598"/>
    </row>
    <row r="5" spans="1:35" ht="7.5" customHeight="1" thickBot="1"/>
    <row r="6" spans="1:35" ht="15" customHeight="1">
      <c r="A6" s="602" t="s">
        <v>810</v>
      </c>
      <c r="B6" s="603"/>
      <c r="C6" s="603"/>
      <c r="D6" s="603"/>
      <c r="E6" s="603"/>
      <c r="F6" s="603"/>
      <c r="G6" s="603"/>
      <c r="H6" s="603"/>
      <c r="I6" s="603"/>
      <c r="J6" s="603"/>
      <c r="K6" s="603"/>
      <c r="L6" s="603"/>
      <c r="M6" s="603"/>
      <c r="N6" s="603"/>
      <c r="O6" s="603"/>
      <c r="P6" s="603"/>
      <c r="Q6" s="603"/>
      <c r="R6" s="603"/>
      <c r="S6" s="603"/>
      <c r="T6" s="603"/>
      <c r="U6" s="603"/>
      <c r="V6" s="603"/>
      <c r="W6" s="603"/>
      <c r="X6" s="603"/>
      <c r="Y6" s="603"/>
      <c r="Z6" s="603"/>
      <c r="AA6" s="603"/>
      <c r="AB6" s="603"/>
      <c r="AC6" s="603"/>
      <c r="AD6" s="603"/>
      <c r="AE6" s="603"/>
      <c r="AF6" s="603"/>
      <c r="AG6" s="617"/>
    </row>
    <row r="7" spans="1:35" ht="15" customHeight="1">
      <c r="A7" s="413"/>
      <c r="B7" s="5"/>
      <c r="C7" s="414"/>
      <c r="D7" s="7"/>
      <c r="E7" s="8"/>
      <c r="F7" s="7"/>
      <c r="G7" s="7"/>
      <c r="H7" s="7"/>
      <c r="I7" s="8"/>
      <c r="J7" s="7"/>
      <c r="K7" s="7"/>
      <c r="L7" s="7"/>
      <c r="M7" s="8"/>
      <c r="N7" s="7"/>
      <c r="O7" s="7"/>
      <c r="P7" s="7"/>
      <c r="Q7" s="7"/>
      <c r="R7" s="8"/>
      <c r="S7" s="7"/>
      <c r="T7" s="7"/>
      <c r="U7" s="7"/>
      <c r="V7" s="8"/>
      <c r="W7" s="10"/>
      <c r="X7" s="7"/>
      <c r="AG7" s="49"/>
    </row>
    <row r="8" spans="1:35" ht="15" customHeight="1">
      <c r="A8" s="30"/>
      <c r="B8" s="300" t="s">
        <v>811</v>
      </c>
      <c r="C8" s="300"/>
      <c r="D8" s="2" t="s">
        <v>832</v>
      </c>
      <c r="E8" s="300"/>
      <c r="F8" s="301"/>
      <c r="G8" s="300"/>
      <c r="H8" s="300"/>
      <c r="I8" s="300"/>
      <c r="J8" s="301"/>
      <c r="K8" s="300"/>
      <c r="L8" s="300"/>
      <c r="M8" s="300"/>
      <c r="N8" s="300"/>
      <c r="O8" s="301"/>
      <c r="R8" s="8"/>
      <c r="V8" s="8"/>
      <c r="Z8" s="300"/>
      <c r="AG8" s="49"/>
    </row>
    <row r="9" spans="1:35" ht="15" customHeight="1">
      <c r="A9" s="30"/>
      <c r="B9" s="300"/>
      <c r="C9" s="300"/>
      <c r="D9" s="300"/>
      <c r="E9" s="300"/>
      <c r="F9" s="301"/>
      <c r="G9" s="300"/>
      <c r="H9" s="300"/>
      <c r="I9" s="300"/>
      <c r="J9" s="301"/>
      <c r="K9" s="300"/>
      <c r="L9" s="300"/>
      <c r="M9" s="300"/>
      <c r="N9" s="300"/>
      <c r="O9" s="301"/>
      <c r="R9" s="8"/>
      <c r="V9" s="8"/>
      <c r="Z9" s="300"/>
      <c r="AG9" s="49"/>
    </row>
    <row r="10" spans="1:35" ht="15" customHeight="1">
      <c r="A10" s="30"/>
      <c r="B10" s="295"/>
      <c r="C10" s="300" t="s">
        <v>814</v>
      </c>
      <c r="E10" s="300"/>
      <c r="F10" s="300" t="s">
        <v>833</v>
      </c>
      <c r="G10" s="300"/>
      <c r="H10" s="300"/>
      <c r="I10" s="300"/>
      <c r="J10" s="301"/>
      <c r="K10" s="300"/>
      <c r="L10" s="300"/>
      <c r="M10" s="300"/>
      <c r="N10" s="300"/>
      <c r="O10" s="301"/>
      <c r="R10" s="8"/>
      <c r="V10" s="8"/>
      <c r="X10" s="300"/>
      <c r="Y10" s="300"/>
      <c r="Z10" s="300"/>
      <c r="AG10" s="49"/>
    </row>
    <row r="11" spans="1:35" ht="15" customHeight="1">
      <c r="A11" s="30"/>
      <c r="B11" s="295"/>
      <c r="C11" s="295"/>
      <c r="D11" s="300"/>
      <c r="E11" s="295"/>
      <c r="F11" s="460" t="s">
        <v>834</v>
      </c>
      <c r="G11" s="461"/>
      <c r="H11" s="460"/>
      <c r="I11" s="460"/>
      <c r="J11" s="460"/>
      <c r="K11" s="461"/>
      <c r="L11" s="460"/>
      <c r="M11" s="460"/>
      <c r="N11" s="460"/>
      <c r="O11" s="301"/>
      <c r="P11" s="300"/>
      <c r="Q11" s="300"/>
      <c r="R11" s="300"/>
      <c r="S11" s="300"/>
      <c r="T11" s="300"/>
      <c r="U11" s="300"/>
      <c r="V11" s="300"/>
      <c r="W11" s="300"/>
      <c r="X11" s="300"/>
      <c r="Y11" s="300"/>
      <c r="Z11" s="300"/>
      <c r="AG11" s="49"/>
    </row>
    <row r="12" spans="1:35" ht="15" customHeight="1">
      <c r="A12" s="30"/>
      <c r="B12" s="295"/>
      <c r="D12" s="300"/>
      <c r="F12" s="460"/>
      <c r="G12" s="460" t="s">
        <v>817</v>
      </c>
      <c r="H12" s="460"/>
      <c r="I12" s="460"/>
      <c r="J12" s="460"/>
      <c r="K12" s="461"/>
      <c r="L12" s="460"/>
      <c r="M12" s="460"/>
      <c r="N12" s="460"/>
      <c r="O12" s="301"/>
      <c r="P12" s="300"/>
      <c r="Q12" s="300"/>
      <c r="R12" s="300"/>
      <c r="S12" s="300"/>
      <c r="T12" s="300"/>
      <c r="U12" s="300"/>
      <c r="V12" s="300"/>
      <c r="W12" s="300"/>
      <c r="X12" s="300"/>
      <c r="Y12" s="300"/>
      <c r="Z12" s="300"/>
      <c r="AG12" s="49"/>
      <c r="AI12" s="460"/>
    </row>
    <row r="13" spans="1:35" ht="15" customHeight="1">
      <c r="A13" s="30"/>
      <c r="B13" s="295"/>
      <c r="D13" s="300"/>
      <c r="F13" s="460"/>
      <c r="G13" s="460"/>
      <c r="H13" s="460" t="s">
        <v>835</v>
      </c>
      <c r="I13" s="460"/>
      <c r="J13" s="460"/>
      <c r="K13" s="461"/>
      <c r="L13" s="460"/>
      <c r="M13" s="460"/>
      <c r="Q13" s="460" t="s">
        <v>819</v>
      </c>
      <c r="R13" s="301"/>
      <c r="S13" s="300" t="s">
        <v>836</v>
      </c>
      <c r="T13" s="300"/>
      <c r="U13" s="300"/>
      <c r="V13" s="300"/>
      <c r="W13" s="300"/>
      <c r="X13" s="300"/>
      <c r="Y13" s="300"/>
      <c r="Z13" s="300"/>
      <c r="AG13" s="49"/>
    </row>
    <row r="14" spans="1:35" ht="15" customHeight="1">
      <c r="A14" s="30"/>
      <c r="B14" s="295"/>
      <c r="D14" s="300"/>
      <c r="F14" s="460"/>
      <c r="G14" s="460" t="s">
        <v>823</v>
      </c>
      <c r="H14" s="460"/>
      <c r="I14" s="460"/>
      <c r="J14" s="460"/>
      <c r="K14" s="460"/>
      <c r="L14" s="460"/>
      <c r="M14" s="460"/>
      <c r="Q14" s="460"/>
      <c r="R14" s="300"/>
      <c r="S14" s="300"/>
      <c r="T14" s="300"/>
      <c r="U14" s="300"/>
      <c r="V14" s="300"/>
      <c r="W14" s="300"/>
      <c r="X14" s="300"/>
      <c r="AG14" s="49"/>
      <c r="AI14" s="460"/>
    </row>
    <row r="15" spans="1:35" ht="15" customHeight="1">
      <c r="A15" s="30"/>
      <c r="B15" s="295"/>
      <c r="D15" s="300"/>
      <c r="F15" s="460"/>
      <c r="G15" s="460"/>
      <c r="H15" s="460" t="s">
        <v>837</v>
      </c>
      <c r="I15" s="460"/>
      <c r="J15" s="460"/>
      <c r="K15" s="460"/>
      <c r="L15" s="460"/>
      <c r="M15" s="460"/>
      <c r="Q15" s="460" t="s">
        <v>819</v>
      </c>
      <c r="R15" s="300"/>
      <c r="S15" s="300" t="s">
        <v>838</v>
      </c>
      <c r="T15" s="300"/>
      <c r="U15" s="300"/>
      <c r="V15" s="300"/>
      <c r="W15" s="300"/>
      <c r="X15" s="300"/>
      <c r="Y15" s="300"/>
      <c r="Z15" s="300"/>
      <c r="AG15" s="49"/>
    </row>
    <row r="16" spans="1:35" ht="15" customHeight="1">
      <c r="A16" s="30"/>
      <c r="B16" s="295"/>
      <c r="D16" s="300"/>
      <c r="F16" s="460"/>
      <c r="G16" s="460"/>
      <c r="H16" s="460" t="s">
        <v>839</v>
      </c>
      <c r="I16" s="460"/>
      <c r="J16" s="460"/>
      <c r="K16" s="461"/>
      <c r="L16" s="460"/>
      <c r="M16" s="460"/>
      <c r="Q16" s="460" t="s">
        <v>819</v>
      </c>
      <c r="R16" s="301"/>
      <c r="S16" s="300" t="s">
        <v>840</v>
      </c>
      <c r="T16" s="300"/>
      <c r="U16" s="300"/>
      <c r="V16" s="300"/>
      <c r="W16" s="300"/>
      <c r="X16" s="300"/>
      <c r="Y16" s="300"/>
      <c r="Z16" s="300"/>
      <c r="AG16" s="49"/>
    </row>
    <row r="17" spans="1:33" ht="15" customHeight="1">
      <c r="A17" s="30"/>
      <c r="B17" s="295"/>
      <c r="D17" s="300"/>
      <c r="F17" s="460"/>
      <c r="G17" s="460"/>
      <c r="H17" s="7" t="s">
        <v>841</v>
      </c>
      <c r="I17" s="460"/>
      <c r="J17" s="460"/>
      <c r="K17" s="460"/>
      <c r="L17" s="460"/>
      <c r="M17" s="460"/>
      <c r="Q17" s="460" t="s">
        <v>819</v>
      </c>
      <c r="R17" s="300"/>
      <c r="S17" s="300" t="s">
        <v>842</v>
      </c>
      <c r="T17" s="300"/>
      <c r="U17" s="300"/>
      <c r="V17" s="300"/>
      <c r="W17" s="300"/>
      <c r="X17" s="300"/>
      <c r="Y17" s="300"/>
      <c r="Z17" s="300"/>
      <c r="AG17" s="49"/>
    </row>
    <row r="18" spans="1:33" ht="15" customHeight="1">
      <c r="A18" s="30"/>
      <c r="B18" s="300"/>
      <c r="D18" s="300"/>
      <c r="F18" s="460"/>
      <c r="G18" s="460"/>
      <c r="H18" s="460"/>
      <c r="I18" s="460"/>
      <c r="J18" s="460"/>
      <c r="K18" s="460"/>
      <c r="L18" s="460"/>
      <c r="M18" s="460"/>
      <c r="Q18" s="460"/>
      <c r="R18" s="300"/>
      <c r="S18" s="300"/>
      <c r="T18" s="300"/>
      <c r="U18" s="300"/>
      <c r="V18" s="300"/>
      <c r="W18" s="300"/>
      <c r="Y18" s="300"/>
      <c r="Z18" s="300"/>
      <c r="AG18" s="49"/>
    </row>
    <row r="19" spans="1:33" ht="15" customHeight="1">
      <c r="A19" s="30"/>
      <c r="B19" s="300"/>
      <c r="D19" s="300"/>
      <c r="F19" s="460"/>
      <c r="G19" s="460"/>
      <c r="H19" s="460"/>
      <c r="I19" s="460"/>
      <c r="J19" s="460"/>
      <c r="K19" s="460"/>
      <c r="L19" s="460"/>
      <c r="M19" s="460"/>
      <c r="Q19" s="460"/>
      <c r="R19" s="300"/>
      <c r="S19" s="300"/>
      <c r="T19" s="301"/>
      <c r="U19" s="300"/>
      <c r="V19" s="300"/>
      <c r="W19" s="300"/>
      <c r="Z19" s="300"/>
      <c r="AG19" s="49"/>
    </row>
    <row r="20" spans="1:33" ht="15" customHeight="1">
      <c r="A20" s="30"/>
      <c r="B20" s="295"/>
      <c r="D20" s="300"/>
      <c r="F20" s="460"/>
      <c r="G20" s="460"/>
      <c r="H20" s="460"/>
      <c r="I20" s="460"/>
      <c r="J20" s="460"/>
      <c r="K20" s="460"/>
      <c r="L20" s="460"/>
      <c r="M20" s="460"/>
      <c r="Q20" s="460"/>
      <c r="R20" s="300"/>
      <c r="S20" s="300"/>
      <c r="T20" s="301"/>
      <c r="U20" s="300"/>
      <c r="V20" s="300"/>
      <c r="W20" s="300"/>
      <c r="X20" s="300"/>
      <c r="Z20" s="300"/>
      <c r="AG20" s="49"/>
    </row>
    <row r="21" spans="1:33" ht="15" customHeight="1">
      <c r="A21" s="30"/>
      <c r="B21" s="300"/>
      <c r="D21" s="300"/>
      <c r="F21" s="460"/>
      <c r="H21" s="7"/>
      <c r="I21" s="8"/>
      <c r="J21" s="7"/>
      <c r="K21" s="7"/>
      <c r="L21" s="7"/>
      <c r="M21" s="8"/>
      <c r="N21" s="7"/>
      <c r="Q21" s="460"/>
      <c r="V21" s="300"/>
      <c r="W21" s="300"/>
      <c r="X21" s="300"/>
      <c r="Y21" s="300"/>
      <c r="Z21" s="300"/>
      <c r="AG21" s="49"/>
    </row>
    <row r="22" spans="1:33" ht="15" customHeight="1">
      <c r="A22" s="30"/>
      <c r="B22" s="295"/>
      <c r="D22" s="300"/>
      <c r="F22" s="460"/>
      <c r="H22" s="7"/>
      <c r="I22" s="8"/>
      <c r="J22" s="7"/>
      <c r="K22" s="7"/>
      <c r="L22" s="7"/>
      <c r="M22" s="8"/>
      <c r="N22" s="7"/>
      <c r="O22" s="7"/>
      <c r="Q22" s="460"/>
      <c r="R22" s="8"/>
      <c r="V22" s="300"/>
      <c r="W22" s="300"/>
      <c r="X22" s="300"/>
      <c r="Y22" s="300"/>
      <c r="Z22" s="300"/>
      <c r="AG22" s="49"/>
    </row>
    <row r="23" spans="1:33" ht="15" customHeight="1">
      <c r="A23" s="30"/>
      <c r="B23" s="295"/>
      <c r="D23" s="300"/>
      <c r="F23" s="460"/>
      <c r="H23" s="7"/>
      <c r="I23" s="8"/>
      <c r="J23" s="7"/>
      <c r="K23" s="7"/>
      <c r="L23" s="7"/>
      <c r="M23" s="8"/>
      <c r="N23" s="7"/>
      <c r="O23" s="7"/>
      <c r="R23" s="8"/>
      <c r="V23" s="300"/>
      <c r="W23" s="300"/>
      <c r="X23" s="300"/>
      <c r="Y23" s="300"/>
      <c r="Z23" s="300"/>
      <c r="AG23" s="49"/>
    </row>
    <row r="24" spans="1:33" ht="15" customHeight="1">
      <c r="A24" s="30"/>
      <c r="B24" s="300"/>
      <c r="D24" s="300"/>
      <c r="F24" s="460"/>
      <c r="H24" s="7"/>
      <c r="I24" s="8"/>
      <c r="J24" s="7"/>
      <c r="K24" s="7"/>
      <c r="L24" s="7"/>
      <c r="M24" s="8"/>
      <c r="N24" s="7"/>
      <c r="S24" s="8"/>
      <c r="T24" s="8"/>
      <c r="V24" s="300"/>
      <c r="W24" s="300"/>
      <c r="X24" s="300"/>
      <c r="Y24" s="300"/>
      <c r="Z24" s="300"/>
      <c r="AG24" s="49"/>
    </row>
    <row r="25" spans="1:33" ht="15" customHeight="1">
      <c r="A25" s="30"/>
      <c r="B25" s="300"/>
      <c r="D25" s="300"/>
      <c r="F25" s="460"/>
      <c r="V25" s="300"/>
      <c r="W25" s="300"/>
      <c r="X25" s="300"/>
      <c r="Y25" s="300"/>
      <c r="Z25" s="300"/>
      <c r="AG25" s="49"/>
    </row>
    <row r="26" spans="1:33" ht="15" customHeight="1">
      <c r="A26" s="30"/>
      <c r="B26" s="300"/>
      <c r="D26" s="300"/>
      <c r="F26" s="460"/>
      <c r="V26" s="300"/>
      <c r="W26" s="300"/>
      <c r="X26" s="300"/>
      <c r="Y26" s="300"/>
      <c r="Z26" s="300"/>
      <c r="AG26" s="49"/>
    </row>
    <row r="27" spans="1:33" ht="15" customHeight="1">
      <c r="A27" s="30"/>
      <c r="B27" s="300"/>
      <c r="D27" s="300"/>
      <c r="F27" s="460"/>
      <c r="V27" s="300"/>
      <c r="W27" s="300"/>
      <c r="X27" s="300"/>
      <c r="Y27" s="300"/>
      <c r="Z27" s="300"/>
      <c r="AG27" s="49"/>
    </row>
    <row r="28" spans="1:33" ht="15" customHeight="1">
      <c r="A28" s="30"/>
      <c r="C28" s="7"/>
      <c r="D28" s="7"/>
      <c r="F28" s="7"/>
      <c r="V28" s="8"/>
      <c r="W28" s="8"/>
      <c r="AG28" s="49"/>
    </row>
    <row r="29" spans="1:33" ht="15" customHeight="1">
      <c r="A29" s="30"/>
      <c r="C29" s="7"/>
      <c r="D29" s="7"/>
      <c r="F29" s="7"/>
      <c r="V29" s="8"/>
      <c r="W29" s="8"/>
      <c r="AG29" s="49"/>
    </row>
    <row r="30" spans="1:33" ht="15" customHeight="1">
      <c r="A30" s="30"/>
      <c r="C30" s="7"/>
      <c r="D30" s="7"/>
      <c r="V30" s="8"/>
      <c r="W30" s="8"/>
      <c r="AG30" s="49"/>
    </row>
    <row r="31" spans="1:33" ht="15" customHeight="1">
      <c r="A31" s="30"/>
      <c r="C31" s="7"/>
      <c r="D31" s="7"/>
      <c r="F31" s="7"/>
      <c r="V31" s="8"/>
      <c r="W31" s="8"/>
      <c r="AG31" s="49"/>
    </row>
    <row r="32" spans="1:33" ht="15" customHeight="1">
      <c r="A32" s="30"/>
      <c r="C32" s="7"/>
      <c r="D32" s="7"/>
      <c r="F32" s="7"/>
      <c r="V32" s="8"/>
      <c r="W32" s="8"/>
      <c r="AG32" s="49"/>
    </row>
    <row r="33" spans="1:33" ht="15" customHeight="1">
      <c r="A33" s="30"/>
      <c r="C33" s="7"/>
      <c r="D33" s="7"/>
      <c r="F33" s="7"/>
      <c r="H33" s="7"/>
      <c r="I33" s="8"/>
      <c r="J33" s="7"/>
      <c r="K33" s="7"/>
      <c r="L33" s="7"/>
      <c r="M33" s="8"/>
      <c r="N33" s="7"/>
      <c r="S33" s="8"/>
      <c r="T33" s="8"/>
      <c r="V33" s="8"/>
      <c r="W33" s="8"/>
      <c r="AG33" s="49"/>
    </row>
    <row r="34" spans="1:33" ht="15" customHeight="1">
      <c r="A34" s="30"/>
      <c r="C34" s="7"/>
      <c r="D34" s="7"/>
      <c r="F34" s="7"/>
      <c r="H34" s="7"/>
      <c r="I34" s="8"/>
      <c r="J34" s="7"/>
      <c r="K34" s="7"/>
      <c r="L34" s="7"/>
      <c r="M34" s="8"/>
      <c r="N34" s="7"/>
      <c r="P34" s="8"/>
      <c r="Q34" s="8"/>
      <c r="S34" s="8"/>
      <c r="T34" s="8"/>
      <c r="V34" s="8"/>
      <c r="W34" s="8"/>
      <c r="AG34" s="49"/>
    </row>
    <row r="35" spans="1:33" ht="15" customHeight="1">
      <c r="A35" s="30"/>
      <c r="C35" s="7"/>
      <c r="D35" s="7"/>
      <c r="H35" s="7"/>
      <c r="I35" s="8"/>
      <c r="J35" s="7"/>
      <c r="K35" s="7"/>
      <c r="L35" s="7"/>
      <c r="M35" s="8"/>
      <c r="N35" s="7"/>
      <c r="O35" s="7"/>
      <c r="S35" s="8"/>
      <c r="T35" s="8"/>
      <c r="V35" s="8"/>
      <c r="W35" s="8"/>
      <c r="AG35" s="49"/>
    </row>
    <row r="36" spans="1:33" ht="15" customHeight="1">
      <c r="A36" s="30"/>
      <c r="C36" s="7"/>
      <c r="D36" s="7"/>
      <c r="F36" s="7"/>
      <c r="H36" s="7"/>
      <c r="I36" s="8"/>
      <c r="J36" s="7"/>
      <c r="K36" s="7"/>
      <c r="L36" s="7"/>
      <c r="M36" s="8"/>
      <c r="N36" s="7"/>
      <c r="S36" s="8"/>
      <c r="T36" s="8"/>
      <c r="V36" s="8"/>
      <c r="W36" s="8"/>
      <c r="AG36" s="49"/>
    </row>
    <row r="37" spans="1:33" ht="15" customHeight="1">
      <c r="A37" s="30"/>
      <c r="C37" s="7"/>
      <c r="D37" s="7"/>
      <c r="F37" s="7"/>
      <c r="H37" s="7"/>
      <c r="I37" s="8"/>
      <c r="J37" s="7"/>
      <c r="K37" s="7"/>
      <c r="L37" s="7"/>
      <c r="M37" s="8"/>
      <c r="N37" s="7"/>
      <c r="V37" s="8"/>
      <c r="W37" s="8"/>
      <c r="AG37" s="49"/>
    </row>
    <row r="38" spans="1:33" ht="15" customHeight="1">
      <c r="A38" s="30"/>
      <c r="C38" s="7"/>
      <c r="D38" s="7"/>
      <c r="H38" s="7"/>
      <c r="I38" s="8"/>
      <c r="J38" s="7"/>
      <c r="K38" s="7"/>
      <c r="L38" s="7"/>
      <c r="M38" s="8"/>
      <c r="N38" s="7"/>
      <c r="O38" s="7"/>
      <c r="R38" s="8"/>
      <c r="V38" s="8"/>
      <c r="W38" s="8"/>
      <c r="AG38" s="49"/>
    </row>
    <row r="39" spans="1:33" ht="15" customHeight="1">
      <c r="A39" s="30"/>
      <c r="C39" s="7"/>
      <c r="D39" s="7"/>
      <c r="F39" s="7"/>
      <c r="H39" s="7"/>
      <c r="I39" s="8"/>
      <c r="J39" s="7"/>
      <c r="K39" s="7"/>
      <c r="L39" s="7"/>
      <c r="M39" s="8"/>
      <c r="N39" s="7"/>
      <c r="P39" s="8"/>
      <c r="V39" s="8"/>
      <c r="W39" s="8"/>
      <c r="AG39" s="49"/>
    </row>
    <row r="40" spans="1:33" ht="15" customHeight="1">
      <c r="A40" s="30"/>
      <c r="C40" s="7"/>
      <c r="D40" s="7"/>
      <c r="F40" s="7"/>
      <c r="H40" s="7"/>
      <c r="I40" s="8"/>
      <c r="J40" s="7"/>
      <c r="K40" s="7"/>
      <c r="L40" s="7"/>
      <c r="M40" s="8"/>
      <c r="N40" s="7"/>
      <c r="P40" s="8"/>
      <c r="V40" s="8"/>
      <c r="W40" s="8"/>
      <c r="AG40" s="49"/>
    </row>
    <row r="41" spans="1:33" ht="15" customHeight="1">
      <c r="A41" s="30"/>
      <c r="C41" s="7"/>
      <c r="D41" s="7"/>
      <c r="F41" s="7"/>
      <c r="H41" s="7"/>
      <c r="I41" s="8"/>
      <c r="J41" s="7"/>
      <c r="K41" s="7"/>
      <c r="L41" s="7"/>
      <c r="M41" s="8"/>
      <c r="N41" s="7"/>
      <c r="P41" s="8"/>
      <c r="V41" s="8"/>
      <c r="W41" s="8"/>
      <c r="AG41" s="49"/>
    </row>
    <row r="42" spans="1:33" ht="15" customHeight="1">
      <c r="A42" s="30"/>
      <c r="C42" s="7"/>
      <c r="D42" s="7"/>
      <c r="F42" s="7"/>
      <c r="H42" s="7"/>
      <c r="I42" s="8"/>
      <c r="J42" s="7"/>
      <c r="K42" s="7"/>
      <c r="L42" s="7"/>
      <c r="M42" s="8"/>
      <c r="N42" s="7"/>
      <c r="P42" s="8"/>
      <c r="V42" s="8"/>
      <c r="W42" s="8"/>
      <c r="AG42" s="49"/>
    </row>
    <row r="43" spans="1:33" ht="15" customHeight="1">
      <c r="A43" s="30"/>
      <c r="C43" s="7"/>
      <c r="D43" s="7"/>
      <c r="F43" s="7"/>
      <c r="H43" s="7"/>
      <c r="I43" s="8"/>
      <c r="J43" s="7"/>
      <c r="K43" s="7"/>
      <c r="L43" s="7"/>
      <c r="M43" s="8"/>
      <c r="N43" s="7"/>
      <c r="P43" s="8"/>
      <c r="V43" s="8"/>
      <c r="W43" s="8"/>
      <c r="AG43" s="49"/>
    </row>
    <row r="44" spans="1:33" ht="15" customHeight="1">
      <c r="A44" s="30"/>
      <c r="C44" s="7"/>
      <c r="D44" s="7"/>
      <c r="F44" s="7"/>
      <c r="H44" s="7"/>
      <c r="I44" s="8"/>
      <c r="J44" s="7"/>
      <c r="K44" s="7"/>
      <c r="L44" s="7"/>
      <c r="M44" s="8"/>
      <c r="N44" s="7"/>
      <c r="P44" s="8"/>
      <c r="V44" s="8"/>
      <c r="W44" s="8"/>
      <c r="AG44" s="49"/>
    </row>
    <row r="45" spans="1:33" ht="15" customHeight="1">
      <c r="A45" s="30"/>
      <c r="C45" s="7"/>
      <c r="D45" s="7"/>
      <c r="F45" s="7"/>
      <c r="H45" s="7"/>
      <c r="I45" s="8"/>
      <c r="J45" s="7"/>
      <c r="K45" s="7"/>
      <c r="L45" s="7"/>
      <c r="M45" s="8"/>
      <c r="N45" s="7"/>
      <c r="P45" s="8"/>
      <c r="V45" s="8"/>
      <c r="W45" s="8"/>
      <c r="AG45" s="49"/>
    </row>
    <row r="46" spans="1:33" ht="15" customHeight="1">
      <c r="A46" s="30"/>
      <c r="B46" s="55"/>
      <c r="C46" s="55"/>
      <c r="D46" s="55"/>
      <c r="E46" s="55"/>
      <c r="F46" s="55"/>
      <c r="G46" s="55"/>
      <c r="H46" s="55"/>
      <c r="I46" s="55"/>
      <c r="J46" s="55"/>
      <c r="K46" s="55"/>
      <c r="L46" s="55"/>
      <c r="M46" s="55"/>
      <c r="N46" s="55"/>
      <c r="P46" s="415"/>
      <c r="Q46" s="55"/>
      <c r="R46" s="55"/>
      <c r="T46" s="55"/>
      <c r="U46" s="55"/>
      <c r="V46" s="55"/>
      <c r="W46" s="55"/>
      <c r="X46" s="55"/>
      <c r="Y46" s="55"/>
      <c r="Z46" s="55"/>
      <c r="AA46" s="55"/>
      <c r="AB46" s="55"/>
      <c r="AC46" s="55"/>
      <c r="AD46" s="55"/>
      <c r="AE46" s="55"/>
      <c r="AF46" s="55"/>
      <c r="AG46" s="49"/>
    </row>
    <row r="47" spans="1:33" ht="15" customHeight="1">
      <c r="A47" s="30"/>
      <c r="B47" s="55"/>
      <c r="C47" s="55"/>
      <c r="D47" s="55"/>
      <c r="E47" s="55"/>
      <c r="F47" s="55"/>
      <c r="G47" s="55"/>
      <c r="H47" s="55"/>
      <c r="I47" s="55"/>
      <c r="J47" s="55"/>
      <c r="K47" s="55"/>
      <c r="L47" s="55"/>
      <c r="M47" s="55"/>
      <c r="N47" s="55"/>
      <c r="O47" s="55"/>
      <c r="P47" s="415"/>
      <c r="Q47" s="55"/>
      <c r="R47" s="55"/>
      <c r="S47" s="55"/>
      <c r="T47" s="55"/>
      <c r="U47" s="55"/>
      <c r="V47" s="55"/>
      <c r="W47" s="55"/>
      <c r="X47" s="55"/>
      <c r="Y47" s="55"/>
      <c r="Z47" s="55"/>
      <c r="AA47" s="55"/>
      <c r="AB47" s="55"/>
      <c r="AC47" s="55"/>
      <c r="AD47" s="55"/>
      <c r="AE47" s="55"/>
      <c r="AF47" s="55"/>
      <c r="AG47" s="49"/>
    </row>
    <row r="48" spans="1:33" ht="15" customHeight="1">
      <c r="A48" s="30"/>
      <c r="B48" s="55"/>
      <c r="C48" s="55"/>
      <c r="D48" s="55"/>
      <c r="E48" s="55"/>
      <c r="F48" s="55"/>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49"/>
    </row>
    <row r="49" spans="1:33" ht="15" customHeight="1">
      <c r="A49" s="30"/>
      <c r="B49" s="55"/>
      <c r="C49" s="55"/>
      <c r="D49" s="55"/>
      <c r="E49" s="55"/>
      <c r="F49" s="55"/>
      <c r="G49" s="55"/>
      <c r="H49" s="55"/>
      <c r="I49" s="55"/>
      <c r="J49" s="55"/>
      <c r="K49" s="55"/>
      <c r="L49" s="55"/>
      <c r="M49" s="55"/>
      <c r="N49" s="55"/>
      <c r="O49" s="55"/>
      <c r="P49" s="55"/>
      <c r="Q49" s="55"/>
      <c r="R49" s="55"/>
      <c r="S49" s="55"/>
      <c r="T49" s="55"/>
      <c r="U49" s="55"/>
      <c r="V49" s="55"/>
      <c r="W49" s="55"/>
      <c r="X49" s="55"/>
      <c r="Y49" s="55"/>
      <c r="Z49" s="55"/>
      <c r="AA49" s="55"/>
      <c r="AB49" s="55"/>
      <c r="AC49" s="55"/>
      <c r="AD49" s="55"/>
      <c r="AE49" s="55"/>
      <c r="AF49" s="55"/>
      <c r="AG49" s="49"/>
    </row>
    <row r="50" spans="1:33" ht="15" customHeight="1">
      <c r="A50" s="30"/>
      <c r="B50" s="55"/>
      <c r="C50" s="55"/>
      <c r="D50" s="55"/>
      <c r="E50" s="55"/>
      <c r="F50" s="55"/>
      <c r="G50" s="55"/>
      <c r="H50" s="55"/>
      <c r="I50" s="55"/>
      <c r="J50" s="55"/>
      <c r="K50" s="55"/>
      <c r="L50" s="55"/>
      <c r="M50" s="55"/>
      <c r="N50" s="55"/>
      <c r="O50" s="55"/>
      <c r="P50" s="55"/>
      <c r="Q50" s="55"/>
      <c r="R50" s="55"/>
      <c r="S50" s="55"/>
      <c r="T50" s="55"/>
      <c r="U50" s="55"/>
      <c r="V50" s="55"/>
      <c r="W50" s="55"/>
      <c r="X50" s="55"/>
      <c r="Y50" s="55"/>
      <c r="Z50" s="55"/>
      <c r="AA50" s="55"/>
      <c r="AB50" s="55"/>
      <c r="AC50" s="55"/>
      <c r="AD50" s="55"/>
      <c r="AE50" s="55"/>
      <c r="AF50" s="55"/>
      <c r="AG50" s="49"/>
    </row>
    <row r="51" spans="1:33" ht="15" customHeight="1" thickBot="1">
      <c r="A51" s="4"/>
      <c r="B51" s="1"/>
      <c r="C51" s="1"/>
      <c r="D51" s="1"/>
      <c r="E51" s="1"/>
      <c r="F51" s="29"/>
      <c r="G51" s="29"/>
      <c r="H51" s="1"/>
      <c r="I51" s="1"/>
      <c r="J51" s="1"/>
      <c r="K51" s="1"/>
      <c r="L51" s="1"/>
      <c r="M51" s="1"/>
      <c r="N51" s="1"/>
      <c r="O51" s="1"/>
      <c r="P51" s="1"/>
      <c r="Q51" s="1"/>
      <c r="R51" s="1"/>
      <c r="S51" s="1"/>
      <c r="T51" s="1"/>
      <c r="U51" s="1"/>
      <c r="V51" s="1"/>
      <c r="W51" s="1"/>
      <c r="X51" s="1"/>
      <c r="Y51" s="1"/>
      <c r="Z51" s="1"/>
      <c r="AA51" s="1"/>
      <c r="AB51" s="1"/>
      <c r="AC51" s="1"/>
      <c r="AD51" s="1"/>
      <c r="AE51" s="1"/>
      <c r="AF51" s="1"/>
      <c r="AG51" s="56"/>
    </row>
  </sheetData>
  <dataConsolidate/>
  <mergeCells count="12">
    <mergeCell ref="A6:AG6"/>
    <mergeCell ref="G3:N3"/>
    <mergeCell ref="AD2:AG2"/>
    <mergeCell ref="AC4:AG4"/>
    <mergeCell ref="S3:Y3"/>
    <mergeCell ref="Z3:AB3"/>
    <mergeCell ref="AC3:AG3"/>
    <mergeCell ref="G1:N1"/>
    <mergeCell ref="G2:N2"/>
    <mergeCell ref="S1:Y1"/>
    <mergeCell ref="AD1:AG1"/>
    <mergeCell ref="S2:Y2"/>
  </mergeCells>
  <phoneticPr fontId="7"/>
  <pageMargins left="0.78740157480314965" right="0.39370078740157483" top="0.78740157480314965" bottom="0.78740157480314965" header="0.51181102362204722" footer="0.51181102362204722"/>
  <pageSetup paperSize="9" scale="94" orientation="portrait" verticalDpi="400" r:id="rId1"/>
  <headerFooter alignWithMargins="0"/>
  <drawing r:id="rId2"/>
  <legacy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5">
    <tabColor rgb="FFFF0000"/>
    <pageSetUpPr fitToPage="1"/>
  </sheetPr>
  <dimension ref="A1:AG51"/>
  <sheetViews>
    <sheetView zoomScaleNormal="100" workbookViewId="0"/>
  </sheetViews>
  <sheetFormatPr defaultColWidth="2.85546875" defaultRowHeight="11.25"/>
  <cols>
    <col min="1" max="16384" width="2.85546875" style="100"/>
  </cols>
  <sheetData>
    <row r="1" spans="1:33" s="2" customFormat="1" ht="18.95" customHeight="1">
      <c r="A1" s="108"/>
      <c r="B1" s="109"/>
      <c r="C1" s="109"/>
      <c r="D1" s="110" t="s">
        <v>90</v>
      </c>
      <c r="E1" s="111"/>
      <c r="F1" s="112"/>
      <c r="G1" s="544" t="str">
        <f>IF(詳細設計書!G1="","N/A",詳細設計書!G1)</f>
        <v>統合会計システム開発</v>
      </c>
      <c r="H1" s="544"/>
      <c r="I1" s="544"/>
      <c r="J1" s="544"/>
      <c r="K1" s="544"/>
      <c r="L1" s="544"/>
      <c r="M1" s="544"/>
      <c r="N1" s="545"/>
      <c r="O1" s="110" t="s">
        <v>283</v>
      </c>
      <c r="P1" s="111"/>
      <c r="Q1" s="111"/>
      <c r="R1" s="113"/>
      <c r="S1" s="786">
        <f>IF(詳細設計書!S1="","N/A",詳細設計書!S1)</f>
        <v>42509</v>
      </c>
      <c r="T1" s="786"/>
      <c r="U1" s="786"/>
      <c r="V1" s="786"/>
      <c r="W1" s="786"/>
      <c r="X1" s="786"/>
      <c r="Y1" s="787"/>
      <c r="Z1" s="110" t="s">
        <v>284</v>
      </c>
      <c r="AA1" s="114"/>
      <c r="AB1" s="114"/>
      <c r="AC1" s="115"/>
      <c r="AD1" s="578">
        <f>IF(詳細設計書!AD1="","",詳細設計書!AD1)</f>
        <v>42559</v>
      </c>
      <c r="AE1" s="579"/>
      <c r="AF1" s="579"/>
      <c r="AG1" s="580"/>
    </row>
    <row r="2" spans="1:33" s="2" customFormat="1" ht="18.95" customHeight="1">
      <c r="A2" s="30"/>
      <c r="D2" s="116" t="s">
        <v>93</v>
      </c>
      <c r="E2" s="34"/>
      <c r="F2" s="117"/>
      <c r="G2" s="550" t="str">
        <f>IF(詳細設計書!G2="","N/A",詳細設計書!G2)</f>
        <v>SAP R/3(レポート)</v>
      </c>
      <c r="H2" s="550"/>
      <c r="I2" s="550"/>
      <c r="J2" s="550"/>
      <c r="K2" s="550"/>
      <c r="L2" s="550"/>
      <c r="M2" s="550"/>
      <c r="N2" s="551"/>
      <c r="O2" s="116" t="s">
        <v>286</v>
      </c>
      <c r="P2" s="34"/>
      <c r="Q2" s="34"/>
      <c r="R2" s="118"/>
      <c r="S2" s="582" t="str">
        <f>IF(詳細設計書!S2="","N/A",詳細設計書!S2)</f>
        <v>KSC 橋本</v>
      </c>
      <c r="T2" s="582"/>
      <c r="U2" s="582"/>
      <c r="V2" s="582"/>
      <c r="W2" s="582"/>
      <c r="X2" s="582"/>
      <c r="Y2" s="583"/>
      <c r="Z2" s="116" t="s">
        <v>288</v>
      </c>
      <c r="AA2" s="119"/>
      <c r="AB2" s="120"/>
      <c r="AC2" s="117"/>
      <c r="AD2" s="585" t="str">
        <f>IF(詳細設計書!AD2="","",詳細設計書!AD2)</f>
        <v>KSC 橋本</v>
      </c>
      <c r="AE2" s="585"/>
      <c r="AF2" s="585"/>
      <c r="AG2" s="586"/>
    </row>
    <row r="3" spans="1:33" s="2" customFormat="1" ht="18.95" customHeight="1" thickBot="1">
      <c r="A3" s="4"/>
      <c r="B3" s="1"/>
      <c r="C3" s="121"/>
      <c r="D3" s="122" t="s">
        <v>96</v>
      </c>
      <c r="E3" s="123"/>
      <c r="F3" s="124"/>
      <c r="G3" s="563" t="str">
        <f>IF(詳細設計書!G3="","N/A",詳細設計書!G3)</f>
        <v>DP_FI_2014_01</v>
      </c>
      <c r="H3" s="564"/>
      <c r="I3" s="564"/>
      <c r="J3" s="564"/>
      <c r="K3" s="564"/>
      <c r="L3" s="564"/>
      <c r="M3" s="564"/>
      <c r="N3" s="565"/>
      <c r="O3" s="122" t="s">
        <v>97</v>
      </c>
      <c r="P3" s="123"/>
      <c r="Q3" s="123"/>
      <c r="R3" s="125"/>
      <c r="S3" s="566" t="str">
        <f>IF(詳細設計書!S3="","N/A",詳細設計書!S3)</f>
        <v>ZFIPR_2014_01</v>
      </c>
      <c r="T3" s="566"/>
      <c r="U3" s="566"/>
      <c r="V3" s="566"/>
      <c r="W3" s="566"/>
      <c r="X3" s="566"/>
      <c r="Y3" s="566"/>
      <c r="Z3" s="566"/>
      <c r="AA3" s="566"/>
      <c r="AB3" s="566"/>
      <c r="AC3" s="566"/>
      <c r="AD3" s="566"/>
      <c r="AE3" s="566"/>
      <c r="AF3" s="566"/>
      <c r="AG3" s="567"/>
    </row>
    <row r="4" spans="1:33" s="2" customFormat="1" ht="18.95" customHeight="1" thickBot="1">
      <c r="A4" s="31" t="s">
        <v>292</v>
      </c>
      <c r="B4" s="32"/>
      <c r="C4" s="58"/>
      <c r="D4" s="181" t="s">
        <v>87</v>
      </c>
      <c r="E4" s="1"/>
      <c r="F4" s="1"/>
      <c r="G4" s="1"/>
      <c r="H4" s="1"/>
      <c r="I4" s="1"/>
      <c r="J4" s="1"/>
      <c r="K4" s="1"/>
      <c r="L4" s="1"/>
      <c r="M4" s="1"/>
      <c r="N4" s="1"/>
      <c r="O4" s="1"/>
      <c r="P4" s="1"/>
      <c r="Q4" s="1"/>
      <c r="R4" s="1"/>
      <c r="S4" s="1"/>
      <c r="T4" s="1"/>
      <c r="U4" s="1"/>
      <c r="V4" s="1"/>
      <c r="W4" s="1"/>
      <c r="X4" s="1"/>
      <c r="Y4" s="1"/>
      <c r="Z4" s="57" t="s">
        <v>100</v>
      </c>
      <c r="AA4" s="32"/>
      <c r="AB4" s="58"/>
      <c r="AC4" s="560" t="str">
        <f>詳細設計書!AC4</f>
        <v>1.0</v>
      </c>
      <c r="AD4" s="560"/>
      <c r="AE4" s="560"/>
      <c r="AF4" s="560"/>
      <c r="AG4" s="561"/>
    </row>
    <row r="5" spans="1:33" ht="7.5" customHeight="1" thickBot="1"/>
    <row r="6" spans="1:33" s="131" customFormat="1" ht="15" customHeight="1" thickBot="1">
      <c r="A6" s="171" t="s">
        <v>843</v>
      </c>
      <c r="B6" s="172"/>
      <c r="C6" s="172"/>
      <c r="D6" s="144"/>
      <c r="E6" s="172" t="s">
        <v>844</v>
      </c>
      <c r="F6" s="172"/>
      <c r="G6" s="172"/>
      <c r="H6" s="172"/>
      <c r="I6" s="144" t="s">
        <v>845</v>
      </c>
      <c r="J6" s="173"/>
      <c r="K6" s="173"/>
      <c r="L6" s="173"/>
      <c r="M6" s="173"/>
      <c r="N6" s="174"/>
      <c r="O6" s="144" t="s">
        <v>846</v>
      </c>
      <c r="P6" s="143"/>
      <c r="Q6" s="175"/>
      <c r="R6" s="144" t="s">
        <v>847</v>
      </c>
      <c r="S6" s="143"/>
      <c r="T6" s="175"/>
      <c r="U6" s="144" t="s">
        <v>848</v>
      </c>
      <c r="V6" s="143"/>
      <c r="W6" s="143"/>
      <c r="X6" s="143"/>
      <c r="Y6" s="143"/>
      <c r="Z6" s="143"/>
      <c r="AA6" s="143"/>
      <c r="AB6" s="143"/>
      <c r="AC6" s="143"/>
      <c r="AD6" s="144" t="s">
        <v>849</v>
      </c>
      <c r="AE6" s="143"/>
      <c r="AF6" s="143"/>
      <c r="AG6" s="176"/>
    </row>
    <row r="7" spans="1:33" ht="15" customHeight="1" thickTop="1">
      <c r="A7" s="814">
        <v>42509</v>
      </c>
      <c r="B7" s="815"/>
      <c r="C7" s="815"/>
      <c r="D7" s="816"/>
      <c r="E7" s="811" t="s">
        <v>287</v>
      </c>
      <c r="F7" s="812"/>
      <c r="G7" s="812"/>
      <c r="H7" s="817"/>
      <c r="I7" s="811" t="s">
        <v>850</v>
      </c>
      <c r="J7" s="819"/>
      <c r="K7" s="819"/>
      <c r="L7" s="819"/>
      <c r="M7" s="819"/>
      <c r="N7" s="820"/>
      <c r="O7" s="856" t="s">
        <v>294</v>
      </c>
      <c r="P7" s="822"/>
      <c r="Q7" s="823"/>
      <c r="R7" s="818"/>
      <c r="S7" s="819"/>
      <c r="T7" s="820"/>
      <c r="U7" s="177" t="s">
        <v>851</v>
      </c>
      <c r="V7" s="178"/>
      <c r="W7" s="178"/>
      <c r="X7" s="178"/>
      <c r="Y7" s="178"/>
      <c r="Z7" s="178"/>
      <c r="AA7" s="178"/>
      <c r="AB7" s="178"/>
      <c r="AC7" s="178"/>
      <c r="AD7" s="811"/>
      <c r="AE7" s="812"/>
      <c r="AF7" s="812"/>
      <c r="AG7" s="813"/>
    </row>
    <row r="8" spans="1:33" ht="54.75" customHeight="1">
      <c r="A8" s="814">
        <v>42559</v>
      </c>
      <c r="B8" s="815"/>
      <c r="C8" s="815"/>
      <c r="D8" s="816"/>
      <c r="E8" s="811" t="s">
        <v>287</v>
      </c>
      <c r="F8" s="812"/>
      <c r="G8" s="812"/>
      <c r="H8" s="817"/>
      <c r="I8" s="857" t="s">
        <v>852</v>
      </c>
      <c r="J8" s="858"/>
      <c r="K8" s="858"/>
      <c r="L8" s="858"/>
      <c r="M8" s="858"/>
      <c r="N8" s="859"/>
      <c r="O8" s="821">
        <v>1.1000000000000001</v>
      </c>
      <c r="P8" s="822"/>
      <c r="Q8" s="823"/>
      <c r="R8" s="818"/>
      <c r="S8" s="819"/>
      <c r="T8" s="820"/>
      <c r="U8" s="860" t="s">
        <v>853</v>
      </c>
      <c r="V8" s="861"/>
      <c r="W8" s="861"/>
      <c r="X8" s="861"/>
      <c r="Y8" s="861"/>
      <c r="Z8" s="861"/>
      <c r="AA8" s="861"/>
      <c r="AB8" s="861"/>
      <c r="AC8" s="862"/>
      <c r="AD8" s="811"/>
      <c r="AE8" s="812"/>
      <c r="AF8" s="812"/>
      <c r="AG8" s="813"/>
    </row>
    <row r="9" spans="1:33" s="521" customFormat="1" ht="54.75" customHeight="1">
      <c r="A9" s="837">
        <v>42563</v>
      </c>
      <c r="B9" s="838"/>
      <c r="C9" s="838"/>
      <c r="D9" s="839"/>
      <c r="E9" s="840" t="s">
        <v>287</v>
      </c>
      <c r="F9" s="841"/>
      <c r="G9" s="841"/>
      <c r="H9" s="842"/>
      <c r="I9" s="850" t="s">
        <v>854</v>
      </c>
      <c r="J9" s="851"/>
      <c r="K9" s="851"/>
      <c r="L9" s="851"/>
      <c r="M9" s="851"/>
      <c r="N9" s="852"/>
      <c r="O9" s="847">
        <v>1.2</v>
      </c>
      <c r="P9" s="848"/>
      <c r="Q9" s="849"/>
      <c r="R9" s="844"/>
      <c r="S9" s="845"/>
      <c r="T9" s="846"/>
      <c r="U9" s="853" t="s">
        <v>855</v>
      </c>
      <c r="V9" s="854"/>
      <c r="W9" s="854"/>
      <c r="X9" s="854"/>
      <c r="Y9" s="854"/>
      <c r="Z9" s="854"/>
      <c r="AA9" s="854"/>
      <c r="AB9" s="854"/>
      <c r="AC9" s="855"/>
      <c r="AD9" s="840"/>
      <c r="AE9" s="841"/>
      <c r="AF9" s="841"/>
      <c r="AG9" s="843"/>
    </row>
    <row r="10" spans="1:33" ht="15" customHeight="1">
      <c r="A10" s="814"/>
      <c r="B10" s="815"/>
      <c r="C10" s="815"/>
      <c r="D10" s="816"/>
      <c r="E10" s="811"/>
      <c r="F10" s="812"/>
      <c r="G10" s="812"/>
      <c r="H10" s="817"/>
      <c r="I10" s="818"/>
      <c r="J10" s="819"/>
      <c r="K10" s="819"/>
      <c r="L10" s="819"/>
      <c r="M10" s="819"/>
      <c r="N10" s="820"/>
      <c r="O10" s="821"/>
      <c r="P10" s="822"/>
      <c r="Q10" s="823"/>
      <c r="R10" s="818"/>
      <c r="S10" s="819"/>
      <c r="T10" s="820"/>
      <c r="U10" s="177"/>
      <c r="V10" s="178"/>
      <c r="W10" s="178"/>
      <c r="X10" s="178"/>
      <c r="Y10" s="178"/>
      <c r="Z10" s="178"/>
      <c r="AA10" s="178"/>
      <c r="AB10" s="178"/>
      <c r="AC10" s="178"/>
      <c r="AD10" s="811"/>
      <c r="AE10" s="812"/>
      <c r="AF10" s="812"/>
      <c r="AG10" s="813"/>
    </row>
    <row r="11" spans="1:33" ht="15" customHeight="1">
      <c r="A11" s="814"/>
      <c r="B11" s="815"/>
      <c r="C11" s="815"/>
      <c r="D11" s="816"/>
      <c r="E11" s="811"/>
      <c r="F11" s="812"/>
      <c r="G11" s="812"/>
      <c r="H11" s="817"/>
      <c r="I11" s="818"/>
      <c r="J11" s="819"/>
      <c r="K11" s="819"/>
      <c r="L11" s="819"/>
      <c r="M11" s="819"/>
      <c r="N11" s="820"/>
      <c r="O11" s="821"/>
      <c r="P11" s="822"/>
      <c r="Q11" s="823"/>
      <c r="R11" s="818"/>
      <c r="S11" s="819"/>
      <c r="T11" s="820"/>
      <c r="U11" s="177"/>
      <c r="V11" s="178"/>
      <c r="W11" s="178"/>
      <c r="X11" s="178"/>
      <c r="Y11" s="178"/>
      <c r="Z11" s="178"/>
      <c r="AA11" s="178"/>
      <c r="AB11" s="178"/>
      <c r="AC11" s="178"/>
      <c r="AD11" s="811"/>
      <c r="AE11" s="812"/>
      <c r="AF11" s="812"/>
      <c r="AG11" s="813"/>
    </row>
    <row r="12" spans="1:33" ht="15" customHeight="1">
      <c r="A12" s="814"/>
      <c r="B12" s="815"/>
      <c r="C12" s="815"/>
      <c r="D12" s="816"/>
      <c r="E12" s="811"/>
      <c r="F12" s="812"/>
      <c r="G12" s="812"/>
      <c r="H12" s="817"/>
      <c r="I12" s="818"/>
      <c r="J12" s="819"/>
      <c r="K12" s="819"/>
      <c r="L12" s="819"/>
      <c r="M12" s="819"/>
      <c r="N12" s="820"/>
      <c r="O12" s="821"/>
      <c r="P12" s="822"/>
      <c r="Q12" s="823"/>
      <c r="R12" s="818"/>
      <c r="S12" s="819"/>
      <c r="T12" s="820"/>
      <c r="U12" s="177"/>
      <c r="V12" s="178"/>
      <c r="W12" s="178"/>
      <c r="X12" s="178"/>
      <c r="Y12" s="178"/>
      <c r="Z12" s="178"/>
      <c r="AA12" s="178"/>
      <c r="AB12" s="178"/>
      <c r="AC12" s="178"/>
      <c r="AD12" s="811"/>
      <c r="AE12" s="812"/>
      <c r="AF12" s="812"/>
      <c r="AG12" s="813"/>
    </row>
    <row r="13" spans="1:33" ht="15" customHeight="1">
      <c r="A13" s="814"/>
      <c r="B13" s="815"/>
      <c r="C13" s="815"/>
      <c r="D13" s="816"/>
      <c r="E13" s="811"/>
      <c r="F13" s="812"/>
      <c r="G13" s="812"/>
      <c r="H13" s="817"/>
      <c r="I13" s="818"/>
      <c r="J13" s="819"/>
      <c r="K13" s="819"/>
      <c r="L13" s="819"/>
      <c r="M13" s="819"/>
      <c r="N13" s="820"/>
      <c r="O13" s="821"/>
      <c r="P13" s="822"/>
      <c r="Q13" s="823"/>
      <c r="R13" s="818"/>
      <c r="S13" s="819"/>
      <c r="T13" s="820"/>
      <c r="U13" s="177"/>
      <c r="V13" s="178"/>
      <c r="W13" s="178"/>
      <c r="X13" s="178"/>
      <c r="Y13" s="178"/>
      <c r="Z13" s="178"/>
      <c r="AA13" s="178"/>
      <c r="AB13" s="178"/>
      <c r="AC13" s="178"/>
      <c r="AD13" s="811"/>
      <c r="AE13" s="812"/>
      <c r="AF13" s="812"/>
      <c r="AG13" s="813"/>
    </row>
    <row r="14" spans="1:33" ht="15" customHeight="1">
      <c r="A14" s="814"/>
      <c r="B14" s="815"/>
      <c r="C14" s="815"/>
      <c r="D14" s="816"/>
      <c r="E14" s="811"/>
      <c r="F14" s="812"/>
      <c r="G14" s="812"/>
      <c r="H14" s="817"/>
      <c r="I14" s="818"/>
      <c r="J14" s="819"/>
      <c r="K14" s="819"/>
      <c r="L14" s="819"/>
      <c r="M14" s="819"/>
      <c r="N14" s="820"/>
      <c r="O14" s="821"/>
      <c r="P14" s="822"/>
      <c r="Q14" s="823"/>
      <c r="R14" s="818"/>
      <c r="S14" s="819"/>
      <c r="T14" s="820"/>
      <c r="U14" s="177"/>
      <c r="V14" s="178"/>
      <c r="W14" s="178"/>
      <c r="X14" s="178"/>
      <c r="Y14" s="178"/>
      <c r="Z14" s="178"/>
      <c r="AA14" s="178"/>
      <c r="AB14" s="178"/>
      <c r="AC14" s="178"/>
      <c r="AD14" s="811"/>
      <c r="AE14" s="812"/>
      <c r="AF14" s="812"/>
      <c r="AG14" s="813"/>
    </row>
    <row r="15" spans="1:33" ht="15" customHeight="1">
      <c r="A15" s="814"/>
      <c r="B15" s="815"/>
      <c r="C15" s="815"/>
      <c r="D15" s="816"/>
      <c r="E15" s="811"/>
      <c r="F15" s="812"/>
      <c r="G15" s="812"/>
      <c r="H15" s="817"/>
      <c r="I15" s="818"/>
      <c r="J15" s="819"/>
      <c r="K15" s="819"/>
      <c r="L15" s="819"/>
      <c r="M15" s="819"/>
      <c r="N15" s="820"/>
      <c r="O15" s="821"/>
      <c r="P15" s="822"/>
      <c r="Q15" s="823"/>
      <c r="R15" s="818"/>
      <c r="S15" s="819"/>
      <c r="T15" s="820"/>
      <c r="U15" s="177"/>
      <c r="V15" s="178"/>
      <c r="W15" s="178"/>
      <c r="X15" s="178"/>
      <c r="Y15" s="178"/>
      <c r="Z15" s="178"/>
      <c r="AA15" s="178"/>
      <c r="AB15" s="178"/>
      <c r="AC15" s="178"/>
      <c r="AD15" s="811"/>
      <c r="AE15" s="812"/>
      <c r="AF15" s="812"/>
      <c r="AG15" s="813"/>
    </row>
    <row r="16" spans="1:33" ht="15" customHeight="1">
      <c r="A16" s="814"/>
      <c r="B16" s="815"/>
      <c r="C16" s="815"/>
      <c r="D16" s="816"/>
      <c r="E16" s="811"/>
      <c r="F16" s="812"/>
      <c r="G16" s="812"/>
      <c r="H16" s="817"/>
      <c r="I16" s="818"/>
      <c r="J16" s="819"/>
      <c r="K16" s="819"/>
      <c r="L16" s="819"/>
      <c r="M16" s="819"/>
      <c r="N16" s="820"/>
      <c r="O16" s="821"/>
      <c r="P16" s="822"/>
      <c r="Q16" s="823"/>
      <c r="R16" s="818"/>
      <c r="S16" s="819"/>
      <c r="T16" s="820"/>
      <c r="U16" s="177"/>
      <c r="V16" s="178"/>
      <c r="W16" s="178"/>
      <c r="X16" s="178"/>
      <c r="Y16" s="178"/>
      <c r="Z16" s="178"/>
      <c r="AA16" s="178"/>
      <c r="AB16" s="178"/>
      <c r="AC16" s="178"/>
      <c r="AD16" s="811"/>
      <c r="AE16" s="812"/>
      <c r="AF16" s="812"/>
      <c r="AG16" s="813"/>
    </row>
    <row r="17" spans="1:33" ht="15" customHeight="1">
      <c r="A17" s="814"/>
      <c r="B17" s="815"/>
      <c r="C17" s="815"/>
      <c r="D17" s="816"/>
      <c r="E17" s="811"/>
      <c r="F17" s="812"/>
      <c r="G17" s="812"/>
      <c r="H17" s="817"/>
      <c r="I17" s="818"/>
      <c r="J17" s="819"/>
      <c r="K17" s="819"/>
      <c r="L17" s="819"/>
      <c r="M17" s="819"/>
      <c r="N17" s="820"/>
      <c r="O17" s="821"/>
      <c r="P17" s="822"/>
      <c r="Q17" s="823"/>
      <c r="R17" s="818"/>
      <c r="S17" s="819"/>
      <c r="T17" s="820"/>
      <c r="U17" s="177"/>
      <c r="V17" s="178"/>
      <c r="W17" s="178"/>
      <c r="X17" s="178"/>
      <c r="Y17" s="178"/>
      <c r="Z17" s="178"/>
      <c r="AA17" s="178"/>
      <c r="AB17" s="178"/>
      <c r="AC17" s="178"/>
      <c r="AD17" s="811"/>
      <c r="AE17" s="812"/>
      <c r="AF17" s="812"/>
      <c r="AG17" s="813"/>
    </row>
    <row r="18" spans="1:33" ht="15" customHeight="1">
      <c r="A18" s="814"/>
      <c r="B18" s="815"/>
      <c r="C18" s="815"/>
      <c r="D18" s="816"/>
      <c r="E18" s="811"/>
      <c r="F18" s="812"/>
      <c r="G18" s="812"/>
      <c r="H18" s="817"/>
      <c r="I18" s="818"/>
      <c r="J18" s="819"/>
      <c r="K18" s="819"/>
      <c r="L18" s="819"/>
      <c r="M18" s="819"/>
      <c r="N18" s="820"/>
      <c r="O18" s="821"/>
      <c r="P18" s="822"/>
      <c r="Q18" s="823"/>
      <c r="R18" s="818"/>
      <c r="S18" s="819"/>
      <c r="T18" s="820"/>
      <c r="U18" s="177"/>
      <c r="V18" s="178"/>
      <c r="W18" s="178"/>
      <c r="X18" s="178"/>
      <c r="Y18" s="178"/>
      <c r="Z18" s="178"/>
      <c r="AA18" s="178"/>
      <c r="AB18" s="178"/>
      <c r="AC18" s="178"/>
      <c r="AD18" s="811"/>
      <c r="AE18" s="812"/>
      <c r="AF18" s="812"/>
      <c r="AG18" s="813"/>
    </row>
    <row r="19" spans="1:33" ht="15" customHeight="1">
      <c r="A19" s="814"/>
      <c r="B19" s="815"/>
      <c r="C19" s="815"/>
      <c r="D19" s="816"/>
      <c r="E19" s="811"/>
      <c r="F19" s="812"/>
      <c r="G19" s="812"/>
      <c r="H19" s="817"/>
      <c r="I19" s="818"/>
      <c r="J19" s="819"/>
      <c r="K19" s="819"/>
      <c r="L19" s="819"/>
      <c r="M19" s="819"/>
      <c r="N19" s="820"/>
      <c r="O19" s="821"/>
      <c r="P19" s="822"/>
      <c r="Q19" s="823"/>
      <c r="R19" s="818"/>
      <c r="S19" s="819"/>
      <c r="T19" s="820"/>
      <c r="U19" s="177"/>
      <c r="V19" s="178"/>
      <c r="W19" s="178"/>
      <c r="X19" s="178"/>
      <c r="Y19" s="178"/>
      <c r="Z19" s="178"/>
      <c r="AA19" s="178"/>
      <c r="AB19" s="178"/>
      <c r="AC19" s="178"/>
      <c r="AD19" s="811"/>
      <c r="AE19" s="812"/>
      <c r="AF19" s="812"/>
      <c r="AG19" s="813"/>
    </row>
    <row r="20" spans="1:33" ht="15" customHeight="1">
      <c r="A20" s="814"/>
      <c r="B20" s="815"/>
      <c r="C20" s="815"/>
      <c r="D20" s="816"/>
      <c r="E20" s="811"/>
      <c r="F20" s="812"/>
      <c r="G20" s="812"/>
      <c r="H20" s="817"/>
      <c r="I20" s="818"/>
      <c r="J20" s="819"/>
      <c r="K20" s="819"/>
      <c r="L20" s="819"/>
      <c r="M20" s="819"/>
      <c r="N20" s="820"/>
      <c r="O20" s="821"/>
      <c r="P20" s="822"/>
      <c r="Q20" s="823"/>
      <c r="R20" s="818"/>
      <c r="S20" s="819"/>
      <c r="T20" s="820"/>
      <c r="U20" s="177"/>
      <c r="V20" s="178"/>
      <c r="W20" s="178"/>
      <c r="X20" s="178"/>
      <c r="Y20" s="178"/>
      <c r="Z20" s="178"/>
      <c r="AA20" s="178"/>
      <c r="AB20" s="178"/>
      <c r="AC20" s="178"/>
      <c r="AD20" s="811"/>
      <c r="AE20" s="812"/>
      <c r="AF20" s="812"/>
      <c r="AG20" s="813"/>
    </row>
    <row r="21" spans="1:33" ht="15" customHeight="1">
      <c r="A21" s="814"/>
      <c r="B21" s="815"/>
      <c r="C21" s="815"/>
      <c r="D21" s="816"/>
      <c r="E21" s="811"/>
      <c r="F21" s="812"/>
      <c r="G21" s="812"/>
      <c r="H21" s="817"/>
      <c r="I21" s="818"/>
      <c r="J21" s="819"/>
      <c r="K21" s="819"/>
      <c r="L21" s="819"/>
      <c r="M21" s="819"/>
      <c r="N21" s="820"/>
      <c r="O21" s="821"/>
      <c r="P21" s="822"/>
      <c r="Q21" s="823"/>
      <c r="R21" s="818"/>
      <c r="S21" s="819"/>
      <c r="T21" s="820"/>
      <c r="U21" s="177"/>
      <c r="V21" s="178"/>
      <c r="W21" s="178"/>
      <c r="X21" s="178"/>
      <c r="Y21" s="178"/>
      <c r="Z21" s="178"/>
      <c r="AA21" s="178"/>
      <c r="AB21" s="178"/>
      <c r="AC21" s="178"/>
      <c r="AD21" s="811"/>
      <c r="AE21" s="812"/>
      <c r="AF21" s="812"/>
      <c r="AG21" s="813"/>
    </row>
    <row r="22" spans="1:33" ht="15" customHeight="1">
      <c r="A22" s="814"/>
      <c r="B22" s="815"/>
      <c r="C22" s="815"/>
      <c r="D22" s="816"/>
      <c r="E22" s="811"/>
      <c r="F22" s="812"/>
      <c r="G22" s="812"/>
      <c r="H22" s="817"/>
      <c r="I22" s="818"/>
      <c r="J22" s="819"/>
      <c r="K22" s="819"/>
      <c r="L22" s="819"/>
      <c r="M22" s="819"/>
      <c r="N22" s="820"/>
      <c r="O22" s="821"/>
      <c r="P22" s="822"/>
      <c r="Q22" s="823"/>
      <c r="R22" s="818"/>
      <c r="S22" s="819"/>
      <c r="T22" s="820"/>
      <c r="U22" s="177"/>
      <c r="V22" s="178"/>
      <c r="W22" s="178"/>
      <c r="X22" s="178"/>
      <c r="Y22" s="178"/>
      <c r="Z22" s="178"/>
      <c r="AA22" s="178"/>
      <c r="AB22" s="178"/>
      <c r="AC22" s="178"/>
      <c r="AD22" s="811"/>
      <c r="AE22" s="812"/>
      <c r="AF22" s="812"/>
      <c r="AG22" s="813"/>
    </row>
    <row r="23" spans="1:33" ht="15" customHeight="1">
      <c r="A23" s="814"/>
      <c r="B23" s="815"/>
      <c r="C23" s="815"/>
      <c r="D23" s="816"/>
      <c r="E23" s="811"/>
      <c r="F23" s="812"/>
      <c r="G23" s="812"/>
      <c r="H23" s="817"/>
      <c r="I23" s="818"/>
      <c r="J23" s="819"/>
      <c r="K23" s="819"/>
      <c r="L23" s="819"/>
      <c r="M23" s="819"/>
      <c r="N23" s="820"/>
      <c r="O23" s="821"/>
      <c r="P23" s="822"/>
      <c r="Q23" s="823"/>
      <c r="R23" s="818"/>
      <c r="S23" s="819"/>
      <c r="T23" s="820"/>
      <c r="U23" s="177"/>
      <c r="V23" s="178"/>
      <c r="W23" s="178"/>
      <c r="X23" s="178"/>
      <c r="Y23" s="178"/>
      <c r="Z23" s="178"/>
      <c r="AA23" s="178"/>
      <c r="AB23" s="178"/>
      <c r="AC23" s="178"/>
      <c r="AD23" s="811"/>
      <c r="AE23" s="812"/>
      <c r="AF23" s="812"/>
      <c r="AG23" s="813"/>
    </row>
    <row r="24" spans="1:33" ht="15" customHeight="1">
      <c r="A24" s="814"/>
      <c r="B24" s="815"/>
      <c r="C24" s="815"/>
      <c r="D24" s="816"/>
      <c r="E24" s="811"/>
      <c r="F24" s="812"/>
      <c r="G24" s="812"/>
      <c r="H24" s="817"/>
      <c r="I24" s="818"/>
      <c r="J24" s="819"/>
      <c r="K24" s="819"/>
      <c r="L24" s="819"/>
      <c r="M24" s="819"/>
      <c r="N24" s="820"/>
      <c r="O24" s="821"/>
      <c r="P24" s="822"/>
      <c r="Q24" s="823"/>
      <c r="R24" s="818"/>
      <c r="S24" s="819"/>
      <c r="T24" s="820"/>
      <c r="U24" s="177"/>
      <c r="V24" s="178"/>
      <c r="W24" s="178"/>
      <c r="X24" s="178"/>
      <c r="Y24" s="178"/>
      <c r="Z24" s="178"/>
      <c r="AA24" s="178"/>
      <c r="AB24" s="178"/>
      <c r="AC24" s="178"/>
      <c r="AD24" s="811"/>
      <c r="AE24" s="812"/>
      <c r="AF24" s="812"/>
      <c r="AG24" s="813"/>
    </row>
    <row r="25" spans="1:33" ht="15" customHeight="1">
      <c r="A25" s="814"/>
      <c r="B25" s="815"/>
      <c r="C25" s="815"/>
      <c r="D25" s="816"/>
      <c r="E25" s="811"/>
      <c r="F25" s="812"/>
      <c r="G25" s="812"/>
      <c r="H25" s="817"/>
      <c r="I25" s="818"/>
      <c r="J25" s="819"/>
      <c r="K25" s="819"/>
      <c r="L25" s="819"/>
      <c r="M25" s="819"/>
      <c r="N25" s="820"/>
      <c r="O25" s="821"/>
      <c r="P25" s="822"/>
      <c r="Q25" s="823"/>
      <c r="R25" s="818"/>
      <c r="S25" s="819"/>
      <c r="T25" s="820"/>
      <c r="U25" s="177"/>
      <c r="V25" s="178"/>
      <c r="W25" s="178"/>
      <c r="X25" s="178"/>
      <c r="Y25" s="178"/>
      <c r="Z25" s="178"/>
      <c r="AA25" s="178"/>
      <c r="AB25" s="178"/>
      <c r="AC25" s="178"/>
      <c r="AD25" s="811"/>
      <c r="AE25" s="812"/>
      <c r="AF25" s="812"/>
      <c r="AG25" s="813"/>
    </row>
    <row r="26" spans="1:33" ht="15" customHeight="1">
      <c r="A26" s="814"/>
      <c r="B26" s="815"/>
      <c r="C26" s="815"/>
      <c r="D26" s="816"/>
      <c r="E26" s="811"/>
      <c r="F26" s="812"/>
      <c r="G26" s="812"/>
      <c r="H26" s="817"/>
      <c r="I26" s="818"/>
      <c r="J26" s="819"/>
      <c r="K26" s="819"/>
      <c r="L26" s="819"/>
      <c r="M26" s="819"/>
      <c r="N26" s="820"/>
      <c r="O26" s="821"/>
      <c r="P26" s="822"/>
      <c r="Q26" s="823"/>
      <c r="R26" s="818"/>
      <c r="S26" s="819"/>
      <c r="T26" s="820"/>
      <c r="U26" s="177"/>
      <c r="V26" s="178"/>
      <c r="W26" s="178"/>
      <c r="X26" s="178"/>
      <c r="Y26" s="178"/>
      <c r="Z26" s="178"/>
      <c r="AA26" s="178"/>
      <c r="AB26" s="178"/>
      <c r="AC26" s="178"/>
      <c r="AD26" s="811"/>
      <c r="AE26" s="812"/>
      <c r="AF26" s="812"/>
      <c r="AG26" s="813"/>
    </row>
    <row r="27" spans="1:33" ht="15" customHeight="1">
      <c r="A27" s="814"/>
      <c r="B27" s="815"/>
      <c r="C27" s="815"/>
      <c r="D27" s="816"/>
      <c r="E27" s="811"/>
      <c r="F27" s="812"/>
      <c r="G27" s="812"/>
      <c r="H27" s="817"/>
      <c r="I27" s="818"/>
      <c r="J27" s="819"/>
      <c r="K27" s="819"/>
      <c r="L27" s="819"/>
      <c r="M27" s="819"/>
      <c r="N27" s="820"/>
      <c r="O27" s="821"/>
      <c r="P27" s="822"/>
      <c r="Q27" s="823"/>
      <c r="R27" s="818"/>
      <c r="S27" s="819"/>
      <c r="T27" s="820"/>
      <c r="U27" s="177"/>
      <c r="V27" s="178"/>
      <c r="W27" s="178"/>
      <c r="X27" s="178"/>
      <c r="Y27" s="178"/>
      <c r="Z27" s="178"/>
      <c r="AA27" s="178"/>
      <c r="AB27" s="178"/>
      <c r="AC27" s="178"/>
      <c r="AD27" s="811"/>
      <c r="AE27" s="812"/>
      <c r="AF27" s="812"/>
      <c r="AG27" s="813"/>
    </row>
    <row r="28" spans="1:33" ht="15" customHeight="1">
      <c r="A28" s="814"/>
      <c r="B28" s="815"/>
      <c r="C28" s="815"/>
      <c r="D28" s="816"/>
      <c r="E28" s="811"/>
      <c r="F28" s="812"/>
      <c r="G28" s="812"/>
      <c r="H28" s="817"/>
      <c r="I28" s="818"/>
      <c r="J28" s="819"/>
      <c r="K28" s="819"/>
      <c r="L28" s="819"/>
      <c r="M28" s="819"/>
      <c r="N28" s="820"/>
      <c r="O28" s="821"/>
      <c r="P28" s="822"/>
      <c r="Q28" s="823"/>
      <c r="R28" s="818"/>
      <c r="S28" s="819"/>
      <c r="T28" s="820"/>
      <c r="U28" s="177"/>
      <c r="V28" s="178"/>
      <c r="W28" s="178"/>
      <c r="X28" s="178"/>
      <c r="Y28" s="178"/>
      <c r="Z28" s="178"/>
      <c r="AA28" s="178"/>
      <c r="AB28" s="178"/>
      <c r="AC28" s="178"/>
      <c r="AD28" s="811"/>
      <c r="AE28" s="812"/>
      <c r="AF28" s="812"/>
      <c r="AG28" s="813"/>
    </row>
    <row r="29" spans="1:33" ht="15" customHeight="1">
      <c r="A29" s="814"/>
      <c r="B29" s="815"/>
      <c r="C29" s="815"/>
      <c r="D29" s="816"/>
      <c r="E29" s="811"/>
      <c r="F29" s="812"/>
      <c r="G29" s="812"/>
      <c r="H29" s="817"/>
      <c r="I29" s="818"/>
      <c r="J29" s="819"/>
      <c r="K29" s="819"/>
      <c r="L29" s="819"/>
      <c r="M29" s="819"/>
      <c r="N29" s="820"/>
      <c r="O29" s="821"/>
      <c r="P29" s="822"/>
      <c r="Q29" s="823"/>
      <c r="R29" s="818"/>
      <c r="S29" s="819"/>
      <c r="T29" s="820"/>
      <c r="U29" s="177"/>
      <c r="V29" s="178"/>
      <c r="W29" s="178"/>
      <c r="X29" s="178"/>
      <c r="Y29" s="178"/>
      <c r="Z29" s="178"/>
      <c r="AA29" s="178"/>
      <c r="AB29" s="178"/>
      <c r="AC29" s="178"/>
      <c r="AD29" s="811"/>
      <c r="AE29" s="812"/>
      <c r="AF29" s="812"/>
      <c r="AG29" s="813"/>
    </row>
    <row r="30" spans="1:33" ht="15" customHeight="1">
      <c r="A30" s="814"/>
      <c r="B30" s="815"/>
      <c r="C30" s="815"/>
      <c r="D30" s="816"/>
      <c r="E30" s="811"/>
      <c r="F30" s="812"/>
      <c r="G30" s="812"/>
      <c r="H30" s="817"/>
      <c r="I30" s="818"/>
      <c r="J30" s="819"/>
      <c r="K30" s="819"/>
      <c r="L30" s="819"/>
      <c r="M30" s="819"/>
      <c r="N30" s="820"/>
      <c r="O30" s="821"/>
      <c r="P30" s="822"/>
      <c r="Q30" s="823"/>
      <c r="R30" s="818"/>
      <c r="S30" s="819"/>
      <c r="T30" s="820"/>
      <c r="U30" s="177"/>
      <c r="V30" s="178"/>
      <c r="W30" s="178"/>
      <c r="X30" s="178"/>
      <c r="Y30" s="178"/>
      <c r="Z30" s="178"/>
      <c r="AA30" s="178"/>
      <c r="AB30" s="178"/>
      <c r="AC30" s="178"/>
      <c r="AD30" s="811"/>
      <c r="AE30" s="812"/>
      <c r="AF30" s="812"/>
      <c r="AG30" s="813"/>
    </row>
    <row r="31" spans="1:33" ht="15" customHeight="1">
      <c r="A31" s="814"/>
      <c r="B31" s="815"/>
      <c r="C31" s="815"/>
      <c r="D31" s="816"/>
      <c r="E31" s="811"/>
      <c r="F31" s="812"/>
      <c r="G31" s="812"/>
      <c r="H31" s="817"/>
      <c r="I31" s="818"/>
      <c r="J31" s="819"/>
      <c r="K31" s="819"/>
      <c r="L31" s="819"/>
      <c r="M31" s="819"/>
      <c r="N31" s="820"/>
      <c r="O31" s="821"/>
      <c r="P31" s="822"/>
      <c r="Q31" s="823"/>
      <c r="R31" s="818"/>
      <c r="S31" s="819"/>
      <c r="T31" s="820"/>
      <c r="U31" s="177"/>
      <c r="V31" s="178"/>
      <c r="W31" s="178"/>
      <c r="X31" s="178"/>
      <c r="Y31" s="178"/>
      <c r="Z31" s="178"/>
      <c r="AA31" s="178"/>
      <c r="AB31" s="178"/>
      <c r="AC31" s="178"/>
      <c r="AD31" s="811"/>
      <c r="AE31" s="812"/>
      <c r="AF31" s="812"/>
      <c r="AG31" s="813"/>
    </row>
    <row r="32" spans="1:33" ht="15" customHeight="1">
      <c r="A32" s="814"/>
      <c r="B32" s="815"/>
      <c r="C32" s="815"/>
      <c r="D32" s="816"/>
      <c r="E32" s="811"/>
      <c r="F32" s="812"/>
      <c r="G32" s="812"/>
      <c r="H32" s="817"/>
      <c r="I32" s="818"/>
      <c r="J32" s="819"/>
      <c r="K32" s="819"/>
      <c r="L32" s="819"/>
      <c r="M32" s="819"/>
      <c r="N32" s="820"/>
      <c r="O32" s="821"/>
      <c r="P32" s="822"/>
      <c r="Q32" s="823"/>
      <c r="R32" s="818"/>
      <c r="S32" s="819"/>
      <c r="T32" s="820"/>
      <c r="U32" s="177"/>
      <c r="V32" s="178"/>
      <c r="W32" s="178"/>
      <c r="X32" s="178"/>
      <c r="Y32" s="178"/>
      <c r="Z32" s="178"/>
      <c r="AA32" s="178"/>
      <c r="AB32" s="178"/>
      <c r="AC32" s="178"/>
      <c r="AD32" s="811"/>
      <c r="AE32" s="812"/>
      <c r="AF32" s="812"/>
      <c r="AG32" s="813"/>
    </row>
    <row r="33" spans="1:33" ht="15" customHeight="1">
      <c r="A33" s="814"/>
      <c r="B33" s="815"/>
      <c r="C33" s="815"/>
      <c r="D33" s="816"/>
      <c r="E33" s="811"/>
      <c r="F33" s="812"/>
      <c r="G33" s="812"/>
      <c r="H33" s="817"/>
      <c r="I33" s="818"/>
      <c r="J33" s="819"/>
      <c r="K33" s="819"/>
      <c r="L33" s="819"/>
      <c r="M33" s="819"/>
      <c r="N33" s="820"/>
      <c r="O33" s="821"/>
      <c r="P33" s="822"/>
      <c r="Q33" s="823"/>
      <c r="R33" s="818"/>
      <c r="S33" s="819"/>
      <c r="T33" s="820"/>
      <c r="U33" s="177"/>
      <c r="V33" s="178"/>
      <c r="W33" s="178"/>
      <c r="X33" s="178"/>
      <c r="Y33" s="178"/>
      <c r="Z33" s="178"/>
      <c r="AA33" s="178"/>
      <c r="AB33" s="178"/>
      <c r="AC33" s="178"/>
      <c r="AD33" s="811"/>
      <c r="AE33" s="812"/>
      <c r="AF33" s="812"/>
      <c r="AG33" s="813"/>
    </row>
    <row r="34" spans="1:33" ht="15" customHeight="1">
      <c r="A34" s="814"/>
      <c r="B34" s="815"/>
      <c r="C34" s="815"/>
      <c r="D34" s="816"/>
      <c r="E34" s="811"/>
      <c r="F34" s="812"/>
      <c r="G34" s="812"/>
      <c r="H34" s="817"/>
      <c r="I34" s="818"/>
      <c r="J34" s="819"/>
      <c r="K34" s="819"/>
      <c r="L34" s="819"/>
      <c r="M34" s="819"/>
      <c r="N34" s="820"/>
      <c r="O34" s="821"/>
      <c r="P34" s="822"/>
      <c r="Q34" s="823"/>
      <c r="R34" s="818"/>
      <c r="S34" s="819"/>
      <c r="T34" s="820"/>
      <c r="U34" s="177"/>
      <c r="V34" s="178"/>
      <c r="W34" s="178"/>
      <c r="X34" s="178"/>
      <c r="Y34" s="178"/>
      <c r="Z34" s="178"/>
      <c r="AA34" s="178"/>
      <c r="AB34" s="178"/>
      <c r="AC34" s="178"/>
      <c r="AD34" s="811"/>
      <c r="AE34" s="812"/>
      <c r="AF34" s="812"/>
      <c r="AG34" s="813"/>
    </row>
    <row r="35" spans="1:33" ht="15" customHeight="1">
      <c r="A35" s="814"/>
      <c r="B35" s="815"/>
      <c r="C35" s="815"/>
      <c r="D35" s="816"/>
      <c r="E35" s="811"/>
      <c r="F35" s="812"/>
      <c r="G35" s="812"/>
      <c r="H35" s="817"/>
      <c r="I35" s="818"/>
      <c r="J35" s="819"/>
      <c r="K35" s="819"/>
      <c r="L35" s="819"/>
      <c r="M35" s="819"/>
      <c r="N35" s="820"/>
      <c r="O35" s="821"/>
      <c r="P35" s="822"/>
      <c r="Q35" s="823"/>
      <c r="R35" s="818"/>
      <c r="S35" s="819"/>
      <c r="T35" s="820"/>
      <c r="U35" s="177"/>
      <c r="V35" s="178"/>
      <c r="W35" s="178"/>
      <c r="X35" s="178"/>
      <c r="Y35" s="178"/>
      <c r="Z35" s="178"/>
      <c r="AA35" s="178"/>
      <c r="AB35" s="178"/>
      <c r="AC35" s="178"/>
      <c r="AD35" s="811"/>
      <c r="AE35" s="812"/>
      <c r="AF35" s="812"/>
      <c r="AG35" s="813"/>
    </row>
    <row r="36" spans="1:33" ht="15" customHeight="1">
      <c r="A36" s="814"/>
      <c r="B36" s="815"/>
      <c r="C36" s="815"/>
      <c r="D36" s="816"/>
      <c r="E36" s="811"/>
      <c r="F36" s="812"/>
      <c r="G36" s="812"/>
      <c r="H36" s="817"/>
      <c r="I36" s="818"/>
      <c r="J36" s="819"/>
      <c r="K36" s="819"/>
      <c r="L36" s="819"/>
      <c r="M36" s="819"/>
      <c r="N36" s="820"/>
      <c r="O36" s="821"/>
      <c r="P36" s="822"/>
      <c r="Q36" s="823"/>
      <c r="R36" s="818"/>
      <c r="S36" s="819"/>
      <c r="T36" s="820"/>
      <c r="U36" s="177"/>
      <c r="V36" s="178"/>
      <c r="W36" s="178"/>
      <c r="X36" s="178"/>
      <c r="Y36" s="178"/>
      <c r="Z36" s="178"/>
      <c r="AA36" s="178"/>
      <c r="AB36" s="178"/>
      <c r="AC36" s="178"/>
      <c r="AD36" s="811"/>
      <c r="AE36" s="812"/>
      <c r="AF36" s="812"/>
      <c r="AG36" s="813"/>
    </row>
    <row r="37" spans="1:33" ht="15" customHeight="1">
      <c r="A37" s="814"/>
      <c r="B37" s="815"/>
      <c r="C37" s="815"/>
      <c r="D37" s="816"/>
      <c r="E37" s="811"/>
      <c r="F37" s="812"/>
      <c r="G37" s="812"/>
      <c r="H37" s="817"/>
      <c r="I37" s="818"/>
      <c r="J37" s="819"/>
      <c r="K37" s="819"/>
      <c r="L37" s="819"/>
      <c r="M37" s="819"/>
      <c r="N37" s="820"/>
      <c r="O37" s="821"/>
      <c r="P37" s="822"/>
      <c r="Q37" s="823"/>
      <c r="R37" s="818"/>
      <c r="S37" s="819"/>
      <c r="T37" s="820"/>
      <c r="U37" s="177"/>
      <c r="V37" s="178"/>
      <c r="W37" s="178"/>
      <c r="X37" s="178"/>
      <c r="Y37" s="178"/>
      <c r="Z37" s="178"/>
      <c r="AA37" s="178"/>
      <c r="AB37" s="178"/>
      <c r="AC37" s="178"/>
      <c r="AD37" s="811"/>
      <c r="AE37" s="812"/>
      <c r="AF37" s="812"/>
      <c r="AG37" s="813"/>
    </row>
    <row r="38" spans="1:33" ht="15" customHeight="1">
      <c r="A38" s="814"/>
      <c r="B38" s="815"/>
      <c r="C38" s="815"/>
      <c r="D38" s="816"/>
      <c r="E38" s="811"/>
      <c r="F38" s="812"/>
      <c r="G38" s="812"/>
      <c r="H38" s="817"/>
      <c r="I38" s="818"/>
      <c r="J38" s="819"/>
      <c r="K38" s="819"/>
      <c r="L38" s="819"/>
      <c r="M38" s="819"/>
      <c r="N38" s="820"/>
      <c r="O38" s="821"/>
      <c r="P38" s="822"/>
      <c r="Q38" s="823"/>
      <c r="R38" s="818"/>
      <c r="S38" s="819"/>
      <c r="T38" s="820"/>
      <c r="U38" s="177"/>
      <c r="V38" s="178"/>
      <c r="W38" s="178"/>
      <c r="X38" s="178"/>
      <c r="Y38" s="178"/>
      <c r="Z38" s="178"/>
      <c r="AA38" s="178"/>
      <c r="AB38" s="178"/>
      <c r="AC38" s="178"/>
      <c r="AD38" s="811"/>
      <c r="AE38" s="812"/>
      <c r="AF38" s="812"/>
      <c r="AG38" s="813"/>
    </row>
    <row r="39" spans="1:33" ht="15" customHeight="1">
      <c r="A39" s="814"/>
      <c r="B39" s="815"/>
      <c r="C39" s="815"/>
      <c r="D39" s="816"/>
      <c r="E39" s="811"/>
      <c r="F39" s="812"/>
      <c r="G39" s="812"/>
      <c r="H39" s="817"/>
      <c r="I39" s="818"/>
      <c r="J39" s="819"/>
      <c r="K39" s="819"/>
      <c r="L39" s="819"/>
      <c r="M39" s="819"/>
      <c r="N39" s="820"/>
      <c r="O39" s="821"/>
      <c r="P39" s="822"/>
      <c r="Q39" s="823"/>
      <c r="R39" s="818"/>
      <c r="S39" s="819"/>
      <c r="T39" s="820"/>
      <c r="U39" s="177"/>
      <c r="V39" s="178"/>
      <c r="W39" s="178"/>
      <c r="X39" s="178"/>
      <c r="Y39" s="178"/>
      <c r="Z39" s="178"/>
      <c r="AA39" s="178"/>
      <c r="AB39" s="178"/>
      <c r="AC39" s="178"/>
      <c r="AD39" s="811"/>
      <c r="AE39" s="812"/>
      <c r="AF39" s="812"/>
      <c r="AG39" s="813"/>
    </row>
    <row r="40" spans="1:33" ht="15" customHeight="1">
      <c r="A40" s="814"/>
      <c r="B40" s="815"/>
      <c r="C40" s="815"/>
      <c r="D40" s="816"/>
      <c r="E40" s="811"/>
      <c r="F40" s="812"/>
      <c r="G40" s="812"/>
      <c r="H40" s="817"/>
      <c r="I40" s="818"/>
      <c r="J40" s="819"/>
      <c r="K40" s="819"/>
      <c r="L40" s="819"/>
      <c r="M40" s="819"/>
      <c r="N40" s="820"/>
      <c r="O40" s="821"/>
      <c r="P40" s="822"/>
      <c r="Q40" s="823"/>
      <c r="R40" s="818"/>
      <c r="S40" s="819"/>
      <c r="T40" s="820"/>
      <c r="U40" s="177"/>
      <c r="V40" s="178"/>
      <c r="W40" s="178"/>
      <c r="X40" s="178"/>
      <c r="Y40" s="178"/>
      <c r="Z40" s="178"/>
      <c r="AA40" s="178"/>
      <c r="AB40" s="178"/>
      <c r="AC40" s="178"/>
      <c r="AD40" s="811"/>
      <c r="AE40" s="812"/>
      <c r="AF40" s="812"/>
      <c r="AG40" s="813"/>
    </row>
    <row r="41" spans="1:33" ht="15" customHeight="1">
      <c r="A41" s="814"/>
      <c r="B41" s="815"/>
      <c r="C41" s="815"/>
      <c r="D41" s="816"/>
      <c r="E41" s="811"/>
      <c r="F41" s="812"/>
      <c r="G41" s="812"/>
      <c r="H41" s="817"/>
      <c r="I41" s="818"/>
      <c r="J41" s="819"/>
      <c r="K41" s="819"/>
      <c r="L41" s="819"/>
      <c r="M41" s="819"/>
      <c r="N41" s="820"/>
      <c r="O41" s="821"/>
      <c r="P41" s="822"/>
      <c r="Q41" s="823"/>
      <c r="R41" s="818"/>
      <c r="S41" s="819"/>
      <c r="T41" s="820"/>
      <c r="U41" s="177"/>
      <c r="V41" s="178"/>
      <c r="W41" s="178"/>
      <c r="X41" s="178"/>
      <c r="Y41" s="178"/>
      <c r="Z41" s="178"/>
      <c r="AA41" s="178"/>
      <c r="AB41" s="178"/>
      <c r="AC41" s="178"/>
      <c r="AD41" s="811"/>
      <c r="AE41" s="812"/>
      <c r="AF41" s="812"/>
      <c r="AG41" s="813"/>
    </row>
    <row r="42" spans="1:33" ht="15" customHeight="1">
      <c r="A42" s="814"/>
      <c r="B42" s="815"/>
      <c r="C42" s="815"/>
      <c r="D42" s="816"/>
      <c r="E42" s="811"/>
      <c r="F42" s="812"/>
      <c r="G42" s="812"/>
      <c r="H42" s="817"/>
      <c r="I42" s="818"/>
      <c r="J42" s="819"/>
      <c r="K42" s="819"/>
      <c r="L42" s="819"/>
      <c r="M42" s="819"/>
      <c r="N42" s="820"/>
      <c r="O42" s="821"/>
      <c r="P42" s="822"/>
      <c r="Q42" s="823"/>
      <c r="R42" s="818"/>
      <c r="S42" s="819"/>
      <c r="T42" s="820"/>
      <c r="U42" s="177"/>
      <c r="V42" s="178"/>
      <c r="W42" s="178"/>
      <c r="X42" s="178"/>
      <c r="Y42" s="178"/>
      <c r="Z42" s="178"/>
      <c r="AA42" s="178"/>
      <c r="AB42" s="178"/>
      <c r="AC42" s="178"/>
      <c r="AD42" s="811"/>
      <c r="AE42" s="812"/>
      <c r="AF42" s="812"/>
      <c r="AG42" s="813"/>
    </row>
    <row r="43" spans="1:33" ht="15" customHeight="1">
      <c r="A43" s="814"/>
      <c r="B43" s="815"/>
      <c r="C43" s="815"/>
      <c r="D43" s="816"/>
      <c r="E43" s="811"/>
      <c r="F43" s="812"/>
      <c r="G43" s="812"/>
      <c r="H43" s="817"/>
      <c r="I43" s="818"/>
      <c r="J43" s="819"/>
      <c r="K43" s="819"/>
      <c r="L43" s="819"/>
      <c r="M43" s="819"/>
      <c r="N43" s="820"/>
      <c r="O43" s="821"/>
      <c r="P43" s="822"/>
      <c r="Q43" s="823"/>
      <c r="R43" s="818"/>
      <c r="S43" s="819"/>
      <c r="T43" s="820"/>
      <c r="U43" s="177"/>
      <c r="V43" s="178"/>
      <c r="W43" s="178"/>
      <c r="X43" s="178"/>
      <c r="Y43" s="178"/>
      <c r="Z43" s="178"/>
      <c r="AA43" s="178"/>
      <c r="AB43" s="178"/>
      <c r="AC43" s="178"/>
      <c r="AD43" s="811"/>
      <c r="AE43" s="812"/>
      <c r="AF43" s="812"/>
      <c r="AG43" s="813"/>
    </row>
    <row r="44" spans="1:33" ht="15" customHeight="1">
      <c r="A44" s="814"/>
      <c r="B44" s="815"/>
      <c r="C44" s="815"/>
      <c r="D44" s="816"/>
      <c r="E44" s="811"/>
      <c r="F44" s="812"/>
      <c r="G44" s="812"/>
      <c r="H44" s="817"/>
      <c r="I44" s="818"/>
      <c r="J44" s="819"/>
      <c r="K44" s="819"/>
      <c r="L44" s="819"/>
      <c r="M44" s="819"/>
      <c r="N44" s="820"/>
      <c r="O44" s="821"/>
      <c r="P44" s="822"/>
      <c r="Q44" s="823"/>
      <c r="R44" s="818"/>
      <c r="S44" s="819"/>
      <c r="T44" s="820"/>
      <c r="U44" s="177"/>
      <c r="V44" s="178"/>
      <c r="W44" s="178"/>
      <c r="X44" s="178"/>
      <c r="Y44" s="178"/>
      <c r="Z44" s="178"/>
      <c r="AA44" s="178"/>
      <c r="AB44" s="178"/>
      <c r="AC44" s="178"/>
      <c r="AD44" s="811"/>
      <c r="AE44" s="812"/>
      <c r="AF44" s="812"/>
      <c r="AG44" s="813"/>
    </row>
    <row r="45" spans="1:33" ht="15" customHeight="1">
      <c r="A45" s="814"/>
      <c r="B45" s="815"/>
      <c r="C45" s="815"/>
      <c r="D45" s="816"/>
      <c r="E45" s="811"/>
      <c r="F45" s="812"/>
      <c r="G45" s="812"/>
      <c r="H45" s="817"/>
      <c r="I45" s="818"/>
      <c r="J45" s="819"/>
      <c r="K45" s="819"/>
      <c r="L45" s="819"/>
      <c r="M45" s="819"/>
      <c r="N45" s="820"/>
      <c r="O45" s="821"/>
      <c r="P45" s="822"/>
      <c r="Q45" s="823"/>
      <c r="R45" s="818"/>
      <c r="S45" s="819"/>
      <c r="T45" s="820"/>
      <c r="U45" s="177"/>
      <c r="V45" s="178"/>
      <c r="W45" s="178"/>
      <c r="X45" s="178"/>
      <c r="Y45" s="178"/>
      <c r="Z45" s="178"/>
      <c r="AA45" s="178"/>
      <c r="AB45" s="178"/>
      <c r="AC45" s="178"/>
      <c r="AD45" s="811"/>
      <c r="AE45" s="812"/>
      <c r="AF45" s="812"/>
      <c r="AG45" s="813"/>
    </row>
    <row r="46" spans="1:33" ht="15" customHeight="1">
      <c r="A46" s="814"/>
      <c r="B46" s="815"/>
      <c r="C46" s="815"/>
      <c r="D46" s="816"/>
      <c r="E46" s="811"/>
      <c r="F46" s="812"/>
      <c r="G46" s="812"/>
      <c r="H46" s="817"/>
      <c r="I46" s="818"/>
      <c r="J46" s="819"/>
      <c r="K46" s="819"/>
      <c r="L46" s="819"/>
      <c r="M46" s="819"/>
      <c r="N46" s="820"/>
      <c r="O46" s="821"/>
      <c r="P46" s="822"/>
      <c r="Q46" s="823"/>
      <c r="R46" s="818"/>
      <c r="S46" s="819"/>
      <c r="T46" s="820"/>
      <c r="U46" s="177"/>
      <c r="V46" s="178"/>
      <c r="W46" s="178"/>
      <c r="X46" s="178"/>
      <c r="Y46" s="178"/>
      <c r="Z46" s="178"/>
      <c r="AA46" s="178"/>
      <c r="AB46" s="178"/>
      <c r="AC46" s="178"/>
      <c r="AD46" s="811"/>
      <c r="AE46" s="812"/>
      <c r="AF46" s="812"/>
      <c r="AG46" s="813"/>
    </row>
    <row r="47" spans="1:33" ht="15" customHeight="1">
      <c r="A47" s="814"/>
      <c r="B47" s="815"/>
      <c r="C47" s="815"/>
      <c r="D47" s="816"/>
      <c r="E47" s="811"/>
      <c r="F47" s="812"/>
      <c r="G47" s="812"/>
      <c r="H47" s="817"/>
      <c r="I47" s="818"/>
      <c r="J47" s="819"/>
      <c r="K47" s="819"/>
      <c r="L47" s="819"/>
      <c r="M47" s="819"/>
      <c r="N47" s="820"/>
      <c r="O47" s="821"/>
      <c r="P47" s="822"/>
      <c r="Q47" s="823"/>
      <c r="R47" s="818"/>
      <c r="S47" s="819"/>
      <c r="T47" s="820"/>
      <c r="U47" s="177"/>
      <c r="V47" s="178"/>
      <c r="W47" s="178"/>
      <c r="X47" s="178"/>
      <c r="Y47" s="178"/>
      <c r="Z47" s="178"/>
      <c r="AA47" s="178"/>
      <c r="AB47" s="178"/>
      <c r="AC47" s="178"/>
      <c r="AD47" s="811"/>
      <c r="AE47" s="812"/>
      <c r="AF47" s="812"/>
      <c r="AG47" s="813"/>
    </row>
    <row r="48" spans="1:33" ht="15" customHeight="1">
      <c r="A48" s="814"/>
      <c r="B48" s="815"/>
      <c r="C48" s="815"/>
      <c r="D48" s="816"/>
      <c r="E48" s="811"/>
      <c r="F48" s="812"/>
      <c r="G48" s="812"/>
      <c r="H48" s="817"/>
      <c r="I48" s="818"/>
      <c r="J48" s="819"/>
      <c r="K48" s="819"/>
      <c r="L48" s="819"/>
      <c r="M48" s="819"/>
      <c r="N48" s="820"/>
      <c r="O48" s="821"/>
      <c r="P48" s="822"/>
      <c r="Q48" s="823"/>
      <c r="R48" s="818"/>
      <c r="S48" s="819"/>
      <c r="T48" s="820"/>
      <c r="U48" s="177"/>
      <c r="V48" s="178"/>
      <c r="W48" s="178"/>
      <c r="X48" s="178"/>
      <c r="Y48" s="178"/>
      <c r="Z48" s="178"/>
      <c r="AA48" s="178"/>
      <c r="AB48" s="178"/>
      <c r="AC48" s="178"/>
      <c r="AD48" s="811"/>
      <c r="AE48" s="812"/>
      <c r="AF48" s="812"/>
      <c r="AG48" s="813"/>
    </row>
    <row r="49" spans="1:33" ht="15" customHeight="1">
      <c r="A49" s="814"/>
      <c r="B49" s="815"/>
      <c r="C49" s="815"/>
      <c r="D49" s="816"/>
      <c r="E49" s="811"/>
      <c r="F49" s="812"/>
      <c r="G49" s="812"/>
      <c r="H49" s="817"/>
      <c r="I49" s="818"/>
      <c r="J49" s="819"/>
      <c r="K49" s="819"/>
      <c r="L49" s="819"/>
      <c r="M49" s="819"/>
      <c r="N49" s="820"/>
      <c r="O49" s="821"/>
      <c r="P49" s="822"/>
      <c r="Q49" s="823"/>
      <c r="R49" s="818"/>
      <c r="S49" s="819"/>
      <c r="T49" s="820"/>
      <c r="U49" s="177"/>
      <c r="V49" s="178"/>
      <c r="W49" s="178"/>
      <c r="X49" s="178"/>
      <c r="Y49" s="178"/>
      <c r="Z49" s="178"/>
      <c r="AA49" s="178"/>
      <c r="AB49" s="178"/>
      <c r="AC49" s="178"/>
      <c r="AD49" s="811"/>
      <c r="AE49" s="812"/>
      <c r="AF49" s="812"/>
      <c r="AG49" s="813"/>
    </row>
    <row r="50" spans="1:33" ht="15" customHeight="1" thickBot="1">
      <c r="A50" s="830"/>
      <c r="B50" s="831"/>
      <c r="C50" s="831"/>
      <c r="D50" s="832"/>
      <c r="E50" s="827"/>
      <c r="F50" s="828"/>
      <c r="G50" s="828"/>
      <c r="H50" s="833"/>
      <c r="I50" s="824"/>
      <c r="J50" s="825"/>
      <c r="K50" s="825"/>
      <c r="L50" s="825"/>
      <c r="M50" s="825"/>
      <c r="N50" s="826"/>
      <c r="O50" s="834"/>
      <c r="P50" s="835"/>
      <c r="Q50" s="836"/>
      <c r="R50" s="824"/>
      <c r="S50" s="825"/>
      <c r="T50" s="826"/>
      <c r="U50" s="179"/>
      <c r="V50" s="180"/>
      <c r="W50" s="180"/>
      <c r="X50" s="180"/>
      <c r="Y50" s="180"/>
      <c r="Z50" s="180"/>
      <c r="AA50" s="180"/>
      <c r="AB50" s="180"/>
      <c r="AC50" s="180"/>
      <c r="AD50" s="827"/>
      <c r="AE50" s="828"/>
      <c r="AF50" s="828"/>
      <c r="AG50" s="829"/>
    </row>
    <row r="51" spans="1:33" ht="14.25" customHeight="1"/>
  </sheetData>
  <mergeCells count="275">
    <mergeCell ref="AD1:AG1"/>
    <mergeCell ref="G2:N2"/>
    <mergeCell ref="S2:Y2"/>
    <mergeCell ref="AD2:AG2"/>
    <mergeCell ref="A8:D8"/>
    <mergeCell ref="E8:H8"/>
    <mergeCell ref="G3:N3"/>
    <mergeCell ref="S3:AG3"/>
    <mergeCell ref="AC4:AG4"/>
    <mergeCell ref="AD7:AG7"/>
    <mergeCell ref="O7:Q7"/>
    <mergeCell ref="R7:T7"/>
    <mergeCell ref="I8:N8"/>
    <mergeCell ref="O8:Q8"/>
    <mergeCell ref="R8:T8"/>
    <mergeCell ref="G1:N1"/>
    <mergeCell ref="S1:Y1"/>
    <mergeCell ref="AD8:AG8"/>
    <mergeCell ref="A7:D7"/>
    <mergeCell ref="E7:H7"/>
    <mergeCell ref="I7:N7"/>
    <mergeCell ref="U8:AC8"/>
    <mergeCell ref="A9:D9"/>
    <mergeCell ref="E9:H9"/>
    <mergeCell ref="AD9:AG9"/>
    <mergeCell ref="R9:T9"/>
    <mergeCell ref="O9:Q9"/>
    <mergeCell ref="I9:N9"/>
    <mergeCell ref="AD10:AG10"/>
    <mergeCell ref="R11:T11"/>
    <mergeCell ref="AD11:AG11"/>
    <mergeCell ref="U9:AC9"/>
    <mergeCell ref="R13:T13"/>
    <mergeCell ref="AD13:AG13"/>
    <mergeCell ref="A10:D10"/>
    <mergeCell ref="E10:H10"/>
    <mergeCell ref="I10:N10"/>
    <mergeCell ref="O10:Q10"/>
    <mergeCell ref="R12:T12"/>
    <mergeCell ref="AD12:AG12"/>
    <mergeCell ref="A11:D11"/>
    <mergeCell ref="E11:H11"/>
    <mergeCell ref="I11:N11"/>
    <mergeCell ref="O11:Q11"/>
    <mergeCell ref="A12:D12"/>
    <mergeCell ref="E12:H12"/>
    <mergeCell ref="A13:D13"/>
    <mergeCell ref="E13:H13"/>
    <mergeCell ref="I13:N13"/>
    <mergeCell ref="O13:Q13"/>
    <mergeCell ref="I12:N12"/>
    <mergeCell ref="O12:Q12"/>
    <mergeCell ref="R10:T10"/>
    <mergeCell ref="AD14:AG14"/>
    <mergeCell ref="R15:T15"/>
    <mergeCell ref="AD15:AG15"/>
    <mergeCell ref="R17:T17"/>
    <mergeCell ref="AD17:AG17"/>
    <mergeCell ref="A14:D14"/>
    <mergeCell ref="E14:H14"/>
    <mergeCell ref="I14:N14"/>
    <mergeCell ref="O14:Q14"/>
    <mergeCell ref="R16:T16"/>
    <mergeCell ref="AD16:AG16"/>
    <mergeCell ref="A15:D15"/>
    <mergeCell ref="E15:H15"/>
    <mergeCell ref="I15:N15"/>
    <mergeCell ref="O15:Q15"/>
    <mergeCell ref="A16:D16"/>
    <mergeCell ref="E16:H16"/>
    <mergeCell ref="A17:D17"/>
    <mergeCell ref="E17:H17"/>
    <mergeCell ref="I17:N17"/>
    <mergeCell ref="O17:Q17"/>
    <mergeCell ref="I16:N16"/>
    <mergeCell ref="O16:Q16"/>
    <mergeCell ref="R14:T14"/>
    <mergeCell ref="AD18:AG18"/>
    <mergeCell ref="R19:T19"/>
    <mergeCell ref="AD19:AG19"/>
    <mergeCell ref="I18:N18"/>
    <mergeCell ref="O18:Q18"/>
    <mergeCell ref="R20:T20"/>
    <mergeCell ref="AD20:AG20"/>
    <mergeCell ref="A19:D19"/>
    <mergeCell ref="E19:H19"/>
    <mergeCell ref="I19:N19"/>
    <mergeCell ref="O19:Q19"/>
    <mergeCell ref="A20:D20"/>
    <mergeCell ref="E20:H20"/>
    <mergeCell ref="A18:D18"/>
    <mergeCell ref="E18:H18"/>
    <mergeCell ref="I20:N20"/>
    <mergeCell ref="O20:Q20"/>
    <mergeCell ref="R18:T18"/>
    <mergeCell ref="AD42:AG42"/>
    <mergeCell ref="R43:T43"/>
    <mergeCell ref="AD43:AG43"/>
    <mergeCell ref="R45:T45"/>
    <mergeCell ref="AD45:AG45"/>
    <mergeCell ref="R44:T44"/>
    <mergeCell ref="AD44:AG44"/>
    <mergeCell ref="A43:D43"/>
    <mergeCell ref="E43:H43"/>
    <mergeCell ref="I43:N43"/>
    <mergeCell ref="O43:Q43"/>
    <mergeCell ref="A44:D44"/>
    <mergeCell ref="E44:H44"/>
    <mergeCell ref="A42:D42"/>
    <mergeCell ref="E42:H42"/>
    <mergeCell ref="I42:N42"/>
    <mergeCell ref="O42:Q42"/>
    <mergeCell ref="A45:D45"/>
    <mergeCell ref="E45:H45"/>
    <mergeCell ref="I45:N45"/>
    <mergeCell ref="O45:Q45"/>
    <mergeCell ref="I44:N44"/>
    <mergeCell ref="O44:Q44"/>
    <mergeCell ref="R42:T42"/>
    <mergeCell ref="R46:T46"/>
    <mergeCell ref="AD46:AG46"/>
    <mergeCell ref="R47:T47"/>
    <mergeCell ref="AD47:AG47"/>
    <mergeCell ref="R49:T49"/>
    <mergeCell ref="AD49:AG49"/>
    <mergeCell ref="A46:D46"/>
    <mergeCell ref="E46:H46"/>
    <mergeCell ref="I46:N46"/>
    <mergeCell ref="O46:Q46"/>
    <mergeCell ref="R48:T48"/>
    <mergeCell ref="AD48:AG48"/>
    <mergeCell ref="A47:D47"/>
    <mergeCell ref="E47:H47"/>
    <mergeCell ref="I47:N47"/>
    <mergeCell ref="O47:Q47"/>
    <mergeCell ref="R50:T50"/>
    <mergeCell ref="AD50:AG50"/>
    <mergeCell ref="A50:D50"/>
    <mergeCell ref="E50:H50"/>
    <mergeCell ref="I50:N50"/>
    <mergeCell ref="O50:Q50"/>
    <mergeCell ref="A48:D48"/>
    <mergeCell ref="E48:H48"/>
    <mergeCell ref="A49:D49"/>
    <mergeCell ref="E49:H49"/>
    <mergeCell ref="I49:N49"/>
    <mergeCell ref="O49:Q49"/>
    <mergeCell ref="I48:N48"/>
    <mergeCell ref="O48:Q48"/>
    <mergeCell ref="AD21:AG21"/>
    <mergeCell ref="R22:T22"/>
    <mergeCell ref="AD22:AG22"/>
    <mergeCell ref="R24:T24"/>
    <mergeCell ref="AD24:AG24"/>
    <mergeCell ref="R23:T23"/>
    <mergeCell ref="AD23:AG23"/>
    <mergeCell ref="A22:D22"/>
    <mergeCell ref="E22:H22"/>
    <mergeCell ref="I22:N22"/>
    <mergeCell ref="O22:Q22"/>
    <mergeCell ref="A23:D23"/>
    <mergeCell ref="E23:H23"/>
    <mergeCell ref="A21:D21"/>
    <mergeCell ref="E21:H21"/>
    <mergeCell ref="I21:N21"/>
    <mergeCell ref="O21:Q21"/>
    <mergeCell ref="A24:D24"/>
    <mergeCell ref="E24:H24"/>
    <mergeCell ref="I24:N24"/>
    <mergeCell ref="O24:Q24"/>
    <mergeCell ref="I23:N23"/>
    <mergeCell ref="O23:Q23"/>
    <mergeCell ref="R21:T21"/>
    <mergeCell ref="AD25:AG25"/>
    <mergeCell ref="R26:T26"/>
    <mergeCell ref="AD26:AG26"/>
    <mergeCell ref="R28:T28"/>
    <mergeCell ref="AD28:AG28"/>
    <mergeCell ref="A25:D25"/>
    <mergeCell ref="E25:H25"/>
    <mergeCell ref="I25:N25"/>
    <mergeCell ref="O25:Q25"/>
    <mergeCell ref="R27:T27"/>
    <mergeCell ref="AD27:AG27"/>
    <mergeCell ref="A26:D26"/>
    <mergeCell ref="E26:H26"/>
    <mergeCell ref="I26:N26"/>
    <mergeCell ref="O26:Q26"/>
    <mergeCell ref="A27:D27"/>
    <mergeCell ref="E27:H27"/>
    <mergeCell ref="A28:D28"/>
    <mergeCell ref="E28:H28"/>
    <mergeCell ref="I28:N28"/>
    <mergeCell ref="O28:Q28"/>
    <mergeCell ref="I27:N27"/>
    <mergeCell ref="O27:Q27"/>
    <mergeCell ref="R25:T25"/>
    <mergeCell ref="AD29:AG29"/>
    <mergeCell ref="R30:T30"/>
    <mergeCell ref="AD30:AG30"/>
    <mergeCell ref="R32:T32"/>
    <mergeCell ref="AD32:AG32"/>
    <mergeCell ref="A29:D29"/>
    <mergeCell ref="E29:H29"/>
    <mergeCell ref="I29:N29"/>
    <mergeCell ref="O29:Q29"/>
    <mergeCell ref="R31:T31"/>
    <mergeCell ref="AD31:AG31"/>
    <mergeCell ref="A30:D30"/>
    <mergeCell ref="E30:H30"/>
    <mergeCell ref="I30:N30"/>
    <mergeCell ref="O30:Q30"/>
    <mergeCell ref="A31:D31"/>
    <mergeCell ref="E31:H31"/>
    <mergeCell ref="A32:D32"/>
    <mergeCell ref="E32:H32"/>
    <mergeCell ref="I32:N32"/>
    <mergeCell ref="O32:Q32"/>
    <mergeCell ref="I31:N31"/>
    <mergeCell ref="O31:Q31"/>
    <mergeCell ref="R29:T29"/>
    <mergeCell ref="AD33:AG33"/>
    <mergeCell ref="R34:T34"/>
    <mergeCell ref="AD34:AG34"/>
    <mergeCell ref="R36:T36"/>
    <mergeCell ref="AD36:AG36"/>
    <mergeCell ref="A33:D33"/>
    <mergeCell ref="E33:H33"/>
    <mergeCell ref="I33:N33"/>
    <mergeCell ref="O33:Q33"/>
    <mergeCell ref="R35:T35"/>
    <mergeCell ref="AD35:AG35"/>
    <mergeCell ref="A34:D34"/>
    <mergeCell ref="E34:H34"/>
    <mergeCell ref="I34:N34"/>
    <mergeCell ref="O34:Q34"/>
    <mergeCell ref="A35:D35"/>
    <mergeCell ref="E35:H35"/>
    <mergeCell ref="A36:D36"/>
    <mergeCell ref="E36:H36"/>
    <mergeCell ref="I36:N36"/>
    <mergeCell ref="O36:Q36"/>
    <mergeCell ref="I35:N35"/>
    <mergeCell ref="O35:Q35"/>
    <mergeCell ref="R33:T33"/>
    <mergeCell ref="AD37:AG37"/>
    <mergeCell ref="R38:T38"/>
    <mergeCell ref="AD38:AG38"/>
    <mergeCell ref="R40:T40"/>
    <mergeCell ref="AD40:AG40"/>
    <mergeCell ref="A37:D37"/>
    <mergeCell ref="E37:H37"/>
    <mergeCell ref="I37:N37"/>
    <mergeCell ref="O37:Q37"/>
    <mergeCell ref="R39:T39"/>
    <mergeCell ref="AD39:AG39"/>
    <mergeCell ref="A38:D38"/>
    <mergeCell ref="E38:H38"/>
    <mergeCell ref="I38:N38"/>
    <mergeCell ref="O38:Q38"/>
    <mergeCell ref="R37:T37"/>
    <mergeCell ref="AD41:AG41"/>
    <mergeCell ref="A41:D41"/>
    <mergeCell ref="E41:H41"/>
    <mergeCell ref="I41:N41"/>
    <mergeCell ref="O41:Q41"/>
    <mergeCell ref="A39:D39"/>
    <mergeCell ref="E39:H39"/>
    <mergeCell ref="A40:D40"/>
    <mergeCell ref="E40:H40"/>
    <mergeCell ref="I40:N40"/>
    <mergeCell ref="O40:Q40"/>
    <mergeCell ref="I39:N39"/>
    <mergeCell ref="O39:Q39"/>
    <mergeCell ref="R41:T41"/>
  </mergeCells>
  <phoneticPr fontId="7"/>
  <pageMargins left="0.78740157480314965" right="0.39370078740157483" top="0.78740157480314965" bottom="0.78740157480314965" header="0.51181102362204722" footer="0.51181102362204722"/>
  <pageSetup paperSize="9" scale="96" fitToHeight="3" orientation="portrait" verticalDpi="4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927D8DE12D48B47B0D44EEF0BC44240" ma:contentTypeVersion="7" ma:contentTypeDescription="新しいドキュメントを作成します。" ma:contentTypeScope="" ma:versionID="eb2c6aaa4f11c9ec3f65575caeec9635">
  <xsd:schema xmlns:xsd="http://www.w3.org/2001/XMLSchema" xmlns:xs="http://www.w3.org/2001/XMLSchema" xmlns:p="http://schemas.microsoft.com/office/2006/metadata/properties" xmlns:ns2="cfe21c4c-392e-4d25-9e26-4c8da30b5bfc" targetNamespace="http://schemas.microsoft.com/office/2006/metadata/properties" ma:root="true" ma:fieldsID="9c02081431634b31a602b5209939e0f2"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B05C77-FE25-43C3-99C1-151B55FA315B}"/>
</file>

<file path=customXml/itemProps2.xml><?xml version="1.0" encoding="utf-8"?>
<ds:datastoreItem xmlns:ds="http://schemas.openxmlformats.org/officeDocument/2006/customXml" ds:itemID="{88FF4D6E-57DA-4A00-9738-1FBBD9FB31EF}"/>
</file>

<file path=customXml/itemProps3.xml><?xml version="1.0" encoding="utf-8"?>
<ds:datastoreItem xmlns:ds="http://schemas.openxmlformats.org/officeDocument/2006/customXml" ds:itemID="{F6FEB2C1-0E7E-43B5-A5F2-F81DE74BD60C}"/>
</file>

<file path=docProps/app.xml><?xml version="1.0" encoding="utf-8"?>
<Properties xmlns="http://schemas.openxmlformats.org/officeDocument/2006/extended-properties" xmlns:vt="http://schemas.openxmlformats.org/officeDocument/2006/docPropsVTypes">
  <Application>Microsoft Excel Online</Application>
  <Manager/>
  <Company>INTEC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詳細設計書DP_FI_2001_01</dc:title>
  <dc:subject/>
  <dc:creator>牧野　茂幸</dc:creator>
  <cp:keywords/>
  <dc:description/>
  <cp:lastModifiedBy>Ida, Mizuho</cp:lastModifiedBy>
  <cp:revision/>
  <dcterms:created xsi:type="dcterms:W3CDTF">1997-09-29T11:19:34Z</dcterms:created>
  <dcterms:modified xsi:type="dcterms:W3CDTF">2024-06-26T08:03:31Z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ies>
</file>