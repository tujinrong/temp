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228" documentId="13_ncr:1_{8247A5D4-23E4-4FEF-BB4B-B2E7BC4CC77A}" xr6:coauthVersionLast="47" xr6:coauthVersionMax="47" xr10:uidLastSave="{426671FD-A924-4D59-8F57-29FFFA4657F7}"/>
  <bookViews>
    <workbookView xWindow="-110" yWindow="-110" windowWidth="22780" windowHeight="14540" activeTab="1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<sst xmlns="http://schemas.openxmlformats.org/spreadsheetml/2006/main" count="74" uniqueCount="63">
  <si>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</si>
  <si>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</si>
  <si>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</si>
  <si>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</si>
  <si>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</si>
  <si>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</si>
  <si>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</si>
  <si>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</si>
  <si>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</si>
  <si>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</si>
  <si>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</si>
  <si>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</si>
  <si>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</si>
  <si>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</si>
  <si>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</si>
  <si>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</si>
  <si>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</si>
  <si>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</si>
  <si>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</si>
  <si>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</si>
  <si>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</si>
  <si>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</si>
  <si>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</si>
  <si>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</si>
  <si>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</si>
  <si>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</si>
  <si>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</si>
  <si>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</si>
  <si>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</si>
  <si>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</si>
  <si>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</si>
  <si>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</si>
  <si>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</si>
  <si>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</si>
  <si>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</si>
  <si>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</si>
  <si>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</si>
  <si>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</si>
  <si>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</si>
  <si>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</si>
  <si>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</si>
  <si>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</si>
  <si>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</si>
  <si>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</si>
  <si>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</si>
  <si>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</si>
  <si>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</si>
  <si>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1.0</t>
    <phoneticPr fontId="18"/>
  </si>
  <si>
    <t>JBS石岡</t>
    <rPh sb="3" eb="5">
      <t>イシオカ</t>
    </rPh>
    <phoneticPr fontId="18"/>
  </si>
  <si>
    <t>会計システム刷新プロジェクト（LIBRA）</t>
    <phoneticPr fontId="18"/>
  </si>
  <si>
    <t>データエンティティ定義書</t>
    <phoneticPr fontId="18"/>
  </si>
  <si>
    <t>SJ00037</t>
    <phoneticPr fontId="18"/>
  </si>
  <si>
    <t>Auto</t>
  </si>
  <si>
    <t>String</t>
  </si>
  <si>
    <t>Yes</t>
  </si>
  <si>
    <t>固定資産の場所</t>
    <rPh sb="0" eb="4">
      <t>コテイシサン</t>
    </rPh>
    <rPh sb="5" eb="7">
      <t>バショ</t>
    </rPh>
    <phoneticPr fontId="18"/>
  </si>
  <si>
    <t>Extension</t>
    <phoneticPr fontId="18"/>
  </si>
  <si>
    <t>FO-098</t>
    <phoneticPr fontId="18"/>
  </si>
  <si>
    <t>SJ_MunicipalCode</t>
  </si>
  <si>
    <t>SJ_OfficeCode</t>
  </si>
  <si>
    <t>SJ00313</t>
  </si>
  <si>
    <t>SJ00314</t>
  </si>
  <si>
    <t>AssetLocation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</si>
</sst>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H32" sqref="H32"/>
    </sheetView>
  </sheetViews>
  <sheetFormatPr defaultColWidth="2.5" defaultRowHeight="15" customHeight="1"/>
  <cols>
    <col min="1" max="16384" width="2.5" style="13"/>
  </cols>
  <sheetData>
    <row r="1" spans="1:67" s="11" customFormat="1" ht="15" customHeight="1" thickBot="1">
      <c r="A1" s="25" t="s">
        <v>11</v>
      </c>
      <c r="B1" s="26"/>
      <c r="C1" s="26"/>
      <c r="D1" s="26"/>
      <c r="E1" s="27"/>
      <c r="F1" s="28" t="s">
        <v>46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0"/>
      <c r="W1" s="31" t="s">
        <v>12</v>
      </c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3"/>
      <c r="AR1" s="31" t="s">
        <v>13</v>
      </c>
      <c r="AS1" s="32"/>
      <c r="AT1" s="32"/>
      <c r="AU1" s="32"/>
      <c r="AV1" s="32"/>
      <c r="AW1" s="32"/>
      <c r="AX1" s="32"/>
      <c r="AY1" s="32"/>
      <c r="AZ1" s="33"/>
      <c r="BA1" s="31" t="s">
        <v>14</v>
      </c>
      <c r="BB1" s="32"/>
      <c r="BC1" s="32"/>
      <c r="BD1" s="32"/>
      <c r="BE1" s="32"/>
      <c r="BF1" s="32"/>
      <c r="BG1" s="32"/>
      <c r="BH1" s="33"/>
      <c r="BI1" s="10"/>
      <c r="BJ1" s="10"/>
      <c r="BK1" s="10"/>
      <c r="BL1" s="10"/>
      <c r="BM1" s="10"/>
      <c r="BN1" s="10"/>
      <c r="BO1" s="10"/>
    </row>
    <row r="2" spans="1:67" s="11" customFormat="1" ht="15" customHeight="1">
      <c r="A2" s="34" t="s">
        <v>15</v>
      </c>
      <c r="B2" s="35"/>
      <c r="C2" s="35"/>
      <c r="D2" s="35"/>
      <c r="E2" s="36"/>
      <c r="F2" s="40" t="str" cm="1">
        <f t="array" aca="1" ref="F2" ca="1">SUBSTITUTE(MID(CELL("filename"),FIND("[",CELL("filename"))+1,FIND("]",CELL("filename"))-FIND("[",CELL("filename"))-1),".xlsx","")</f>
        <v>【データエンティティ定義書】AssetLocationEntity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46" t="s">
        <v>16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52" t="s">
        <v>17</v>
      </c>
      <c r="AS2" s="53"/>
      <c r="AT2" s="54">
        <f>A6</f>
        <v>45663</v>
      </c>
      <c r="AU2" s="55"/>
      <c r="AV2" s="55"/>
      <c r="AW2" s="55"/>
      <c r="AX2" s="55"/>
      <c r="AY2" s="55"/>
      <c r="AZ2" s="56"/>
      <c r="BA2" s="57" t="str">
        <f>AZ6</f>
        <v>JBS石岡</v>
      </c>
      <c r="BB2" s="58"/>
      <c r="BC2" s="58"/>
      <c r="BD2" s="58"/>
      <c r="BE2" s="58"/>
      <c r="BF2" s="58"/>
      <c r="BG2" s="58"/>
      <c r="BH2" s="59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>
      <c r="A3" s="37"/>
      <c r="B3" s="38"/>
      <c r="C3" s="38"/>
      <c r="D3" s="38"/>
      <c r="E3" s="39"/>
      <c r="F3" s="4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/>
      <c r="W3" s="49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1"/>
      <c r="AR3" s="60" t="s">
        <v>18</v>
      </c>
      <c r="AS3" s="61"/>
      <c r="AT3" s="62" cm="1">
        <f t="array" aca="1" ref="AT3" ca="1">IF(OR(COUNTA(A:E)=3),"",INDIRECT("A"&amp;COUNTA(A:E)+2))</f>
        <v>45663</v>
      </c>
      <c r="AU3" s="63"/>
      <c r="AV3" s="63"/>
      <c r="AW3" s="63"/>
      <c r="AX3" s="63"/>
      <c r="AY3" s="63"/>
      <c r="AZ3" s="64"/>
      <c r="BA3" s="65" t="str" cm="1">
        <f t="array" aca="1" ref="BA3" ca="1">IF(COUNTA(AZ5:BD100000)=1,"",INDIRECT("変更履歴!AZ"&amp;COUNTA(AZ5:BD100000)+4))</f>
        <v>JBS石岡</v>
      </c>
      <c r="BB3" s="66"/>
      <c r="BC3" s="66"/>
      <c r="BD3" s="66"/>
      <c r="BE3" s="66"/>
      <c r="BF3" s="66"/>
      <c r="BG3" s="66"/>
      <c r="BH3" s="67"/>
      <c r="BI3" s="10"/>
      <c r="BJ3" s="10"/>
      <c r="BK3" s="10"/>
      <c r="BL3" s="10"/>
      <c r="BM3" s="10"/>
      <c r="BN3" s="10"/>
      <c r="BO3" s="10"/>
    </row>
    <row r="4" spans="1:67" ht="15" customHeight="1" thickBo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>
      <c r="A5" s="68" t="s">
        <v>19</v>
      </c>
      <c r="B5" s="68"/>
      <c r="C5" s="68"/>
      <c r="D5" s="68"/>
      <c r="E5" s="68"/>
      <c r="F5" s="68" t="s">
        <v>20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 t="s">
        <v>21</v>
      </c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 t="s">
        <v>22</v>
      </c>
      <c r="BA5" s="68"/>
      <c r="BB5" s="68"/>
      <c r="BC5" s="68"/>
      <c r="BD5" s="68"/>
      <c r="BE5" s="68" t="s">
        <v>23</v>
      </c>
      <c r="BF5" s="68"/>
      <c r="BG5" s="68"/>
      <c r="BH5" s="68"/>
    </row>
    <row r="6" spans="1:67" ht="15" customHeight="1">
      <c r="A6" s="69">
        <v>45663</v>
      </c>
      <c r="B6" s="69"/>
      <c r="C6" s="69"/>
      <c r="D6" s="69"/>
      <c r="E6" s="69"/>
      <c r="F6" s="70" t="s">
        <v>24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 t="s">
        <v>25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2" t="s">
        <v>48</v>
      </c>
      <c r="BA6" s="72"/>
      <c r="BB6" s="72"/>
      <c r="BC6" s="72"/>
      <c r="BD6" s="72"/>
      <c r="BE6" s="73" t="s">
        <v>47</v>
      </c>
      <c r="BF6" s="74"/>
      <c r="BG6" s="74"/>
      <c r="BH6" s="74"/>
    </row>
    <row r="7" spans="1:67" ht="15" customHeight="1">
      <c r="A7" s="75"/>
      <c r="B7" s="75"/>
      <c r="C7" s="75"/>
      <c r="D7" s="75"/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8"/>
      <c r="BA7" s="78"/>
      <c r="BB7" s="78"/>
      <c r="BC7" s="78"/>
      <c r="BD7" s="78"/>
      <c r="BE7" s="79"/>
      <c r="BF7" s="79"/>
      <c r="BG7" s="79"/>
      <c r="BH7" s="79"/>
    </row>
    <row r="8" spans="1:67" ht="15" customHeight="1">
      <c r="A8" s="75"/>
      <c r="B8" s="75"/>
      <c r="C8" s="75"/>
      <c r="D8" s="75"/>
      <c r="E8" s="75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8"/>
      <c r="BA8" s="78"/>
      <c r="BB8" s="78"/>
      <c r="BC8" s="78"/>
      <c r="BD8" s="78"/>
      <c r="BE8" s="79"/>
      <c r="BF8" s="79"/>
      <c r="BG8" s="79"/>
      <c r="BH8" s="79"/>
    </row>
    <row r="9" spans="1:67" ht="15" customHeight="1">
      <c r="A9" s="75"/>
      <c r="B9" s="75"/>
      <c r="C9" s="75"/>
      <c r="D9" s="75"/>
      <c r="E9" s="75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8"/>
      <c r="BA9" s="78"/>
      <c r="BB9" s="78"/>
      <c r="BC9" s="78"/>
      <c r="BD9" s="78"/>
      <c r="BE9" s="79"/>
      <c r="BF9" s="79"/>
      <c r="BG9" s="79"/>
      <c r="BH9" s="79"/>
    </row>
    <row r="10" spans="1:67" ht="15" customHeight="1">
      <c r="A10" s="75"/>
      <c r="B10" s="75"/>
      <c r="C10" s="75"/>
      <c r="D10" s="75"/>
      <c r="E10" s="75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8"/>
      <c r="BA10" s="78"/>
      <c r="BB10" s="78"/>
      <c r="BC10" s="78"/>
      <c r="BD10" s="78"/>
      <c r="BE10" s="79"/>
      <c r="BF10" s="79"/>
      <c r="BG10" s="79"/>
      <c r="BH10" s="79"/>
    </row>
    <row r="11" spans="1:67" ht="15" customHeight="1">
      <c r="A11" s="75"/>
      <c r="B11" s="75"/>
      <c r="C11" s="75"/>
      <c r="D11" s="75"/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8"/>
      <c r="BA11" s="78"/>
      <c r="BB11" s="78"/>
      <c r="BC11" s="78"/>
      <c r="BD11" s="78"/>
      <c r="BE11" s="79"/>
      <c r="BF11" s="79"/>
      <c r="BG11" s="79"/>
      <c r="BH11" s="79"/>
    </row>
    <row r="12" spans="1:67" ht="15" customHeight="1">
      <c r="A12" s="75"/>
      <c r="B12" s="75"/>
      <c r="C12" s="75"/>
      <c r="D12" s="75"/>
      <c r="E12" s="75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8"/>
      <c r="BA12" s="78"/>
      <c r="BB12" s="78"/>
      <c r="BC12" s="78"/>
      <c r="BD12" s="78"/>
      <c r="BE12" s="79"/>
      <c r="BF12" s="79"/>
      <c r="BG12" s="79"/>
      <c r="BH12" s="79"/>
    </row>
    <row r="13" spans="1:67" ht="15" customHeight="1">
      <c r="A13" s="75"/>
      <c r="B13" s="75"/>
      <c r="C13" s="75"/>
      <c r="D13" s="75"/>
      <c r="E13" s="75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8"/>
      <c r="BA13" s="78"/>
      <c r="BB13" s="78"/>
      <c r="BC13" s="78"/>
      <c r="BD13" s="78"/>
      <c r="BE13" s="79"/>
      <c r="BF13" s="79"/>
      <c r="BG13" s="79"/>
      <c r="BH13" s="79"/>
    </row>
    <row r="14" spans="1:67" ht="15" customHeight="1">
      <c r="A14" s="75"/>
      <c r="B14" s="75"/>
      <c r="C14" s="75"/>
      <c r="D14" s="75"/>
      <c r="E14" s="75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8"/>
      <c r="BA14" s="78"/>
      <c r="BB14" s="78"/>
      <c r="BC14" s="78"/>
      <c r="BD14" s="78"/>
      <c r="BE14" s="79"/>
      <c r="BF14" s="79"/>
      <c r="BG14" s="79"/>
      <c r="BH14" s="79"/>
    </row>
    <row r="15" spans="1:67" ht="15" customHeight="1">
      <c r="A15" s="75"/>
      <c r="B15" s="75"/>
      <c r="C15" s="75"/>
      <c r="D15" s="75"/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8"/>
      <c r="BA15" s="78"/>
      <c r="BB15" s="78"/>
      <c r="BC15" s="78"/>
      <c r="BD15" s="78"/>
      <c r="BE15" s="79"/>
      <c r="BF15" s="79"/>
      <c r="BG15" s="79"/>
      <c r="BH15" s="79"/>
    </row>
    <row r="16" spans="1:67" ht="15" customHeight="1">
      <c r="A16" s="75"/>
      <c r="B16" s="75"/>
      <c r="C16" s="75"/>
      <c r="D16" s="75"/>
      <c r="E16" s="75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8"/>
      <c r="BA16" s="78"/>
      <c r="BB16" s="78"/>
      <c r="BC16" s="78"/>
      <c r="BD16" s="78"/>
      <c r="BE16" s="79"/>
      <c r="BF16" s="79"/>
      <c r="BG16" s="79"/>
      <c r="BH16" s="79"/>
    </row>
    <row r="17" spans="1:60" ht="15" customHeight="1">
      <c r="A17" s="75"/>
      <c r="B17" s="75"/>
      <c r="C17" s="75"/>
      <c r="D17" s="75"/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8"/>
      <c r="BA17" s="78"/>
      <c r="BB17" s="78"/>
      <c r="BC17" s="78"/>
      <c r="BD17" s="78"/>
      <c r="BE17" s="79"/>
      <c r="BF17" s="79"/>
      <c r="BG17" s="79"/>
      <c r="BH17" s="79"/>
    </row>
    <row r="18" spans="1:60" ht="15" customHeight="1">
      <c r="A18" s="75"/>
      <c r="B18" s="75"/>
      <c r="C18" s="75"/>
      <c r="D18" s="75"/>
      <c r="E18" s="75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8"/>
      <c r="BA18" s="78"/>
      <c r="BB18" s="78"/>
      <c r="BC18" s="78"/>
      <c r="BD18" s="78"/>
      <c r="BE18" s="79"/>
      <c r="BF18" s="79"/>
      <c r="BG18" s="79"/>
      <c r="BH18" s="79"/>
    </row>
    <row r="19" spans="1:60" ht="15" customHeight="1">
      <c r="A19" s="75"/>
      <c r="B19" s="75"/>
      <c r="C19" s="75"/>
      <c r="D19" s="75"/>
      <c r="E19" s="75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8"/>
      <c r="BA19" s="78"/>
      <c r="BB19" s="78"/>
      <c r="BC19" s="78"/>
      <c r="BD19" s="78"/>
      <c r="BE19" s="79"/>
      <c r="BF19" s="79"/>
      <c r="BG19" s="79"/>
      <c r="BH19" s="79"/>
    </row>
    <row r="20" spans="1:60" ht="15" customHeight="1">
      <c r="A20" s="75"/>
      <c r="B20" s="75"/>
      <c r="C20" s="75"/>
      <c r="D20" s="75"/>
      <c r="E20" s="75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8"/>
      <c r="BA20" s="78"/>
      <c r="BB20" s="78"/>
      <c r="BC20" s="78"/>
      <c r="BD20" s="78"/>
      <c r="BE20" s="79"/>
      <c r="BF20" s="79"/>
      <c r="BG20" s="79"/>
      <c r="BH20" s="79"/>
    </row>
    <row r="21" spans="1:60" ht="15" customHeight="1">
      <c r="A21" s="75"/>
      <c r="B21" s="75"/>
      <c r="C21" s="75"/>
      <c r="D21" s="75"/>
      <c r="E21" s="75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8"/>
      <c r="BA21" s="78"/>
      <c r="BB21" s="78"/>
      <c r="BC21" s="78"/>
      <c r="BD21" s="78"/>
      <c r="BE21" s="79"/>
      <c r="BF21" s="79"/>
      <c r="BG21" s="79"/>
      <c r="BH21" s="79"/>
    </row>
    <row r="22" spans="1:60" ht="15" customHeight="1" thickBot="1">
      <c r="A22" s="80"/>
      <c r="B22" s="80"/>
      <c r="C22" s="80"/>
      <c r="D22" s="80"/>
      <c r="E22" s="80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3"/>
      <c r="BA22" s="83"/>
      <c r="BB22" s="83"/>
      <c r="BC22" s="83"/>
      <c r="BD22" s="83"/>
      <c r="BE22" s="84"/>
      <c r="BF22" s="84"/>
      <c r="BG22" s="84"/>
      <c r="BH22" s="84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D14" sqref="D14"/>
    </sheetView>
  </sheetViews>
  <sheetFormatPr defaultColWidth="8.08203125" defaultRowHeight="13.5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/>
    <row r="2" spans="2:15" s="19" customFormat="1">
      <c r="B2" s="88" t="s">
        <v>33</v>
      </c>
      <c r="C2" s="89"/>
      <c r="D2" s="90"/>
      <c r="E2" s="88" t="s">
        <v>35</v>
      </c>
      <c r="F2" s="90"/>
      <c r="G2" s="8" t="s">
        <v>36</v>
      </c>
      <c r="H2" s="23">
        <f ca="1">変更履歴!AT3</f>
        <v>45663</v>
      </c>
      <c r="I2" s="8" t="s">
        <v>38</v>
      </c>
      <c r="J2" s="20"/>
    </row>
    <row r="3" spans="2:15" s="19" customFormat="1">
      <c r="B3" s="91" t="s">
        <v>49</v>
      </c>
      <c r="C3" s="91"/>
      <c r="D3" s="91"/>
      <c r="E3" s="91" t="s">
        <v>50</v>
      </c>
      <c r="F3" s="91"/>
      <c r="G3" s="8" t="s">
        <v>37</v>
      </c>
      <c r="H3" s="21" t="str">
        <f ca="1">変更履歴!BA3</f>
        <v>JBS石岡</v>
      </c>
      <c r="I3" s="8" t="s">
        <v>39</v>
      </c>
      <c r="J3" s="21"/>
    </row>
    <row r="4" spans="2:15" s="19" customFormat="1">
      <c r="B4" s="88" t="s">
        <v>41</v>
      </c>
      <c r="C4" s="89"/>
      <c r="D4" s="90"/>
      <c r="E4" s="7" t="s">
        <v>34</v>
      </c>
      <c r="F4" s="88" t="s">
        <v>42</v>
      </c>
      <c r="G4" s="89"/>
      <c r="H4" s="8" t="s">
        <v>40</v>
      </c>
    </row>
    <row r="5" spans="2:15" s="19" customFormat="1" ht="12.5">
      <c r="B5" s="85" t="s">
        <v>55</v>
      </c>
      <c r="C5" s="86"/>
      <c r="D5" s="87"/>
      <c r="E5" s="22" t="s">
        <v>51</v>
      </c>
      <c r="F5" s="85" t="s">
        <v>50</v>
      </c>
      <c r="G5" s="87"/>
      <c r="H5" s="24" t="s">
        <v>56</v>
      </c>
    </row>
    <row r="6" spans="2:15" s="19" customFormat="1" ht="12.5">
      <c r="O6" s="19" t="s">
        <v>45</v>
      </c>
    </row>
    <row r="7" spans="2:15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>
      <c r="B9" s="2">
        <f>ROW()-8</f>
        <v>1</v>
      </c>
      <c r="C9" s="2"/>
      <c r="D9" s="2" t="s">
        <v>54</v>
      </c>
      <c r="E9" s="2" t="s">
        <v>52</v>
      </c>
      <c r="F9" s="2" t="s">
        <v>52</v>
      </c>
      <c r="G9" s="2" t="s">
        <v>58</v>
      </c>
      <c r="H9" s="2" t="s">
        <v>60</v>
      </c>
      <c r="I9" s="2" t="s">
        <v>62</v>
      </c>
      <c r="J9" s="2" t="s">
        <v>53</v>
      </c>
      <c r="K9" s="5">
        <v>5</v>
      </c>
      <c r="L9" s="2" t="s">
        <v>58</v>
      </c>
      <c r="M9" s="2"/>
      <c r="N9" s="3"/>
      <c r="O9" s="3" t="s">
        <v>57</v>
      </c>
    </row>
    <row r="10" spans="2:15">
      <c r="B10" s="2">
        <f t="shared" ref="B10:B38" si="0">ROW()-8</f>
        <v>2</v>
      </c>
      <c r="C10" s="2"/>
      <c r="D10" s="2" t="s">
        <v>54</v>
      </c>
      <c r="E10" s="2" t="s">
        <v>52</v>
      </c>
      <c r="F10" s="2" t="s">
        <v>52</v>
      </c>
      <c r="G10" s="2" t="s">
        <v>59</v>
      </c>
      <c r="H10" s="2" t="s">
        <v>61</v>
      </c>
      <c r="I10" s="2" t="s">
        <v>62</v>
      </c>
      <c r="J10" s="2" t="s">
        <v>53</v>
      </c>
      <c r="K10" s="5">
        <v>3</v>
      </c>
      <c r="L10" s="2" t="s">
        <v>59</v>
      </c>
      <c r="M10" s="2"/>
      <c r="N10" s="3"/>
      <c r="O10" s="3" t="s">
        <v>57</v>
      </c>
    </row>
    <row r="11" spans="2:15">
      <c r="B11" s="2">
        <f t="shared" si="0"/>
        <v>3</v>
      </c>
      <c r="C11" s="2"/>
      <c r="D11" s="2"/>
      <c r="E11" s="2"/>
      <c r="F11" s="2"/>
      <c r="G11" s="2"/>
      <c r="H11" s="2"/>
      <c r="I11" s="2"/>
      <c r="J11" s="2"/>
      <c r="K11" s="5"/>
      <c r="L11" s="2"/>
      <c r="M11" s="2"/>
      <c r="N11" s="3"/>
      <c r="O11" s="3"/>
    </row>
    <row r="12" spans="2:15">
      <c r="B12" s="2">
        <f t="shared" si="0"/>
        <v>4</v>
      </c>
      <c r="C12" s="2"/>
      <c r="D12" s="2"/>
      <c r="E12" s="2"/>
      <c r="F12" s="2"/>
      <c r="G12" s="2"/>
      <c r="H12" s="2"/>
      <c r="I12" s="2"/>
      <c r="J12" s="2"/>
      <c r="K12" s="5"/>
      <c r="L12" s="2"/>
      <c r="M12" s="2"/>
      <c r="N12" s="3"/>
      <c r="O12" s="3"/>
    </row>
    <row r="13" spans="2:15">
      <c r="B13" s="2">
        <f t="shared" si="0"/>
        <v>5</v>
      </c>
      <c r="C13" s="2"/>
      <c r="D13" s="2"/>
      <c r="E13" s="2"/>
      <c r="F13" s="2"/>
      <c r="G13" s="2"/>
      <c r="H13" s="2"/>
      <c r="I13" s="2"/>
      <c r="J13" s="2"/>
      <c r="K13" s="5"/>
      <c r="L13" s="2"/>
      <c r="M13" s="2"/>
      <c r="N13" s="3"/>
      <c r="O13" s="3"/>
    </row>
    <row r="14" spans="2:15">
      <c r="B14" s="2">
        <f t="shared" si="0"/>
        <v>6</v>
      </c>
      <c r="C14" s="2"/>
      <c r="D14" s="2"/>
      <c r="E14" s="2"/>
      <c r="F14" s="2"/>
      <c r="G14" s="2"/>
      <c r="H14" s="2"/>
      <c r="I14" s="2"/>
      <c r="J14" s="2"/>
      <c r="K14" s="5"/>
      <c r="L14" s="2"/>
      <c r="M14" s="2"/>
      <c r="N14" s="3"/>
      <c r="O14" s="3"/>
    </row>
    <row r="15" spans="2:15">
      <c r="B15" s="2">
        <f t="shared" si="0"/>
        <v>7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3"/>
      <c r="O15" s="3"/>
    </row>
    <row r="16" spans="2:15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1" priority="1">
      <formula>J9&lt;&gt;"String"</formula>
    </cfRule>
  </conditionalFormatting>
  <conditionalFormatting sqref="M9:M38">
    <cfRule type="expression" dxfId="0" priority="2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/>
  <cols>
    <col min="1" max="1" width="2.58203125" customWidth="1"/>
  </cols>
  <sheetData>
    <row r="2" spans="2:3">
      <c r="B2" t="s">
        <v>31</v>
      </c>
    </row>
    <row r="3" spans="2:3">
      <c r="B3" s="14" t="s">
        <v>26</v>
      </c>
    </row>
    <row r="4" spans="2:3">
      <c r="B4" s="15" t="s">
        <v>27</v>
      </c>
    </row>
    <row r="5" spans="2: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57BEF-2831-493C-BE75-72D1C70EF878}"/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11a06735-eb40-4925-8cde-3ab8c03b2281"/>
    <ds:schemaRef ds:uri="337c9669-7545-402d-a50a-1c173d0fc4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Ishioka, Takumi</cp:lastModifiedBy>
  <dcterms:created xsi:type="dcterms:W3CDTF">2020-03-26T09:32:47Z</dcterms:created>
  <dcterms:modified xsi:type="dcterms:W3CDTF">2025-01-06T02:11:10Z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