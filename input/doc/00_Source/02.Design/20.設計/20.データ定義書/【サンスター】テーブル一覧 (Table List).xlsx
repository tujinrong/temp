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"/>
    </mc:Choice>
  </mc:AlternateContent>
  <xr:revisionPtr revIDLastSave="380" documentId="14_{B4DFC50B-853A-4FE3-B5CE-CE5EDE883503}" xr6:coauthVersionLast="47" xr6:coauthVersionMax="47" xr10:uidLastSave="{A40D0133-2BF2-4B7E-80CD-40F8244D5466}"/>
  <bookViews>
    <workbookView xWindow="-110" yWindow="-110" windowWidth="12400" windowHeight="11500" activeTab="1" xr2:uid="{6E12062C-B161-432C-9BF1-D3E1A03ECFA2}"/>
  </bookViews>
  <sheets>
    <sheet name="変更履歴" sheetId="2" r:id="rId1"/>
    <sheet name="テーブル一覧" sheetId="1" r:id="rId2"/>
  </sheets>
  <externalReferences>
    <externalReference r:id="rId3"/>
    <externalReference r:id="rId4"/>
  </externalReferences>
  <definedNames>
    <definedName name="_Fill" hidden="1">[1]テーブル仕様!#REF!</definedName>
    <definedName name="_xlnm._FilterDatabase" localSheetId="1" hidden="1">テーブル一覧!$A$2:$G$38</definedName>
    <definedName name="AS2DocOpenMode" hidden="1">"AS2DocumentEdit"</definedName>
    <definedName name="bbb" hidden="1">[1]テーブル仕様!#REF!</definedName>
    <definedName name="HTML_CodePage" hidden="1">932</definedName>
    <definedName name="HTML_Control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[2]マスタ!$B$3:$B$5</definedName>
    <definedName name="あああ" hidden="1">[1]テーブル仕様!#REF!</definedName>
    <definedName name="えええ" hidden="1">{"'9.項目'!$B$5:$AW$60"}</definedName>
    <definedName name="クラス属性">[2]マスタ!$I$3:$I$6</definedName>
    <definedName name="テーブル種別">[2]マスタ!$H$3:$H$4</definedName>
    <definedName name="ヘッダー明細行">[2]マスタ!$L$3:$L$5</definedName>
    <definedName name="作成日">DATE(2000,3,21)</definedName>
    <definedName name="取得元">[2]マスタ!$K$3:$K$7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1" l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BA2" i="2" l="1"/>
  <c r="AT2" i="2"/>
  <c r="BA3" i="2" a="1"/>
  <c r="AT3" i="2" a="1"/>
  <c r="BA3" i="2" l="1"/>
  <c r="AT3" i="2"/>
  <c r="A12" i="1" l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Ishioka, Takumi</author>
  </authors>
  <commentList>
    <comment ref="E7" authorId="0" shapeId="0" xr:uid="{3CE0E5DF-C7C1-474E-B182-DCA08BF811DE}">
      <text>
        <r>
          <rPr>
            <b/>
            <sz val="9"/>
            <color indexed="81"/>
            <rFont val="MS P ゴシック"/>
            <family val="3"/>
            <charset val="128"/>
          </rPr>
          <t>本番環境用のストレージがGCには設定されているべきだと思うので
それまでの間は各環境で適宜設定</t>
        </r>
      </text>
    </comment>
  </commentList>
</comments>
</file>

<file path=xl/sharedStrings.xml><?xml version="1.0" encoding="utf-8"?>
<sst xmlns="http://schemas.openxmlformats.org/spreadsheetml/2006/main" count="258" uniqueCount="191">
  <si>
    <t>システム名</t>
    <rPh sb="4" eb="5">
      <t>メイ</t>
    </rPh>
    <phoneticPr fontId="6"/>
  </si>
  <si>
    <t>Dynamics365 for Finance and Operations</t>
    <phoneticPr fontId="12"/>
  </si>
  <si>
    <t>タイトル</t>
  </si>
  <si>
    <t>日付</t>
    <rPh sb="0" eb="2">
      <t>ヒヅケ</t>
    </rPh>
    <phoneticPr fontId="13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</si>
  <si>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</si>
  <si>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</si>
  <si>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テーブル一覧</t>
    <rPh sb="4" eb="6">
      <t>イチラン</t>
    </rPh>
    <phoneticPr fontId="3"/>
  </si>
  <si>
    <t>変更履歴</t>
    <rPh sb="0" eb="4">
      <t>ヘンコウリレキ</t>
    </rPh>
    <phoneticPr fontId="12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</si>
  <si>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</si>
  <si>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</si>
  <si>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19"/>
  </si>
  <si>
    <t>変更箇所</t>
    <rPh sb="0" eb="2">
      <t>ヘンコウ</t>
    </rPh>
    <rPh sb="2" eb="4">
      <t>カショ</t>
    </rPh>
    <phoneticPr fontId="19"/>
  </si>
  <si>
    <t>変更内容</t>
    <rPh sb="0" eb="2">
      <t>ヘンコウ</t>
    </rPh>
    <rPh sb="2" eb="4">
      <t>ナイヨウ</t>
    </rPh>
    <phoneticPr fontId="19"/>
  </si>
  <si>
    <t>変更者</t>
    <rPh sb="0" eb="2">
      <t>ヘンコウ</t>
    </rPh>
    <rPh sb="2" eb="3">
      <t>シャ</t>
    </rPh>
    <phoneticPr fontId="19"/>
  </si>
  <si>
    <t>版数</t>
    <rPh sb="0" eb="1">
      <t>ハン</t>
    </rPh>
    <rPh sb="1" eb="2">
      <t>スウ</t>
    </rPh>
    <phoneticPr fontId="19"/>
  </si>
  <si>
    <t>新規作成</t>
    <rPh sb="0" eb="2">
      <t>シンキ</t>
    </rPh>
    <rPh sb="2" eb="4">
      <t>サクセイ</t>
    </rPh>
    <phoneticPr fontId="20"/>
  </si>
  <si>
    <t>新規作成</t>
    <rPh sb="0" eb="4">
      <t>シンキサクセイ</t>
    </rPh>
    <phoneticPr fontId="13"/>
  </si>
  <si>
    <t>JBS石岡</t>
    <rPh sb="3" eb="5">
      <t>イシオカ</t>
    </rPh>
    <phoneticPr fontId="20"/>
  </si>
  <si>
    <t>1.0</t>
  </si>
  <si>
    <t>シート「テーブル一覧」</t>
    <rPh sb="8" eb="10">
      <t>イチラン</t>
    </rPh>
    <phoneticPr fontId="3"/>
  </si>
  <si>
    <t>No.38:「仕訳帳明細行　LedgerJournalTrans」を追加。</t>
    <rPh sb="7" eb="13">
      <t>シワケチョウメイサイギョウ</t>
    </rPh>
    <rPh sb="34" eb="36">
      <t>ツイカ</t>
    </rPh>
    <phoneticPr fontId="3"/>
  </si>
  <si>
    <t>JBS井田</t>
    <rPh sb="3" eb="5">
      <t>イダ</t>
    </rPh>
    <phoneticPr fontId="20"/>
  </si>
  <si>
    <t>1.1</t>
    <phoneticPr fontId="3"/>
  </si>
  <si>
    <t>No.39:「リース資産台帳Tmp　SJ_AssetLeaseTmp	」を追加。</t>
    <rPh sb="37" eb="39">
      <t>ツイカ</t>
    </rPh>
    <phoneticPr fontId="3"/>
  </si>
  <si>
    <t>JBS山田</t>
    <rPh sb="3" eb="5">
      <t>ヤマダ</t>
    </rPh>
    <phoneticPr fontId="3"/>
  </si>
  <si>
    <t>1.2</t>
    <phoneticPr fontId="3"/>
  </si>
  <si>
    <t>No.</t>
    <phoneticPr fontId="6"/>
  </si>
  <si>
    <t>論理名</t>
    <rPh sb="0" eb="3">
      <t>ロンリメイ</t>
    </rPh>
    <phoneticPr fontId="6"/>
  </si>
  <si>
    <t>物理名</t>
    <rPh sb="0" eb="3">
      <t>ブツリメイ</t>
    </rPh>
    <phoneticPr fontId="6"/>
  </si>
  <si>
    <t>使用機能ID</t>
    <rPh sb="0" eb="2">
      <t>シヨウ</t>
    </rPh>
    <rPh sb="2" eb="4">
      <t>キノウ</t>
    </rPh>
    <phoneticPr fontId="6"/>
  </si>
  <si>
    <t>移行対象</t>
    <rPh sb="0" eb="2">
      <t>イコウ</t>
    </rPh>
    <rPh sb="2" eb="4">
      <t>タイショウ</t>
    </rPh>
    <phoneticPr fontId="3"/>
  </si>
  <si>
    <t>追加日</t>
    <rPh sb="0" eb="2">
      <t>ツイカ</t>
    </rPh>
    <rPh sb="2" eb="3">
      <t>ヒ</t>
    </rPh>
    <phoneticPr fontId="6"/>
  </si>
  <si>
    <t>追加者</t>
    <rPh sb="0" eb="2">
      <t>ツイカ</t>
    </rPh>
    <rPh sb="2" eb="3">
      <t>シャ</t>
    </rPh>
    <phoneticPr fontId="6"/>
  </si>
  <si>
    <t>指図</t>
    <rPh sb="0" eb="2">
      <t>サシズ</t>
    </rPh>
    <phoneticPr fontId="3"/>
  </si>
  <si>
    <t>SJ_OrderTable</t>
    <phoneticPr fontId="3"/>
  </si>
  <si>
    <t>FO-023</t>
  </si>
  <si>
    <t>〇</t>
    <phoneticPr fontId="3"/>
  </si>
  <si>
    <t>JBS盧</t>
    <rPh sb="3" eb="4">
      <t>ノ</t>
    </rPh>
    <phoneticPr fontId="3"/>
  </si>
  <si>
    <t>インターフェース件数管理</t>
    <rPh sb="8" eb="12">
      <t>ケンスウカンリ</t>
    </rPh>
    <phoneticPr fontId="3"/>
  </si>
  <si>
    <t>SJ_InterfaceNumberManagement</t>
  </si>
  <si>
    <t>FO-094他IF機能</t>
    <rPh sb="6" eb="7">
      <t>ホカ</t>
    </rPh>
    <rPh sb="9" eb="11">
      <t>キノウ</t>
    </rPh>
    <phoneticPr fontId="3"/>
  </si>
  <si>
    <t>JBS石岡</t>
    <rPh sb="3" eb="5">
      <t>イシオカ</t>
    </rPh>
    <phoneticPr fontId="3"/>
  </si>
  <si>
    <t>支払方法・支払サイト</t>
    <phoneticPr fontId="3"/>
  </si>
  <si>
    <t>SJ_PaymModePaymSiteTable</t>
    <phoneticPr fontId="3"/>
  </si>
  <si>
    <t>FO-006</t>
    <phoneticPr fontId="3"/>
  </si>
  <si>
    <t>GC</t>
    <phoneticPr fontId="3"/>
  </si>
  <si>
    <t>JBS井田</t>
    <rPh sb="3" eb="5">
      <t>イダ</t>
    </rPh>
    <phoneticPr fontId="3"/>
  </si>
  <si>
    <t>汎用パラメータ</t>
    <rPh sb="0" eb="2">
      <t>ハンヨウ</t>
    </rPh>
    <phoneticPr fontId="3"/>
  </si>
  <si>
    <t>SJ_GeneralParameter</t>
    <phoneticPr fontId="3"/>
  </si>
  <si>
    <t>全般</t>
    <rPh sb="0" eb="2">
      <t>ゼンパン</t>
    </rPh>
    <phoneticPr fontId="3"/>
  </si>
  <si>
    <t>AzureFilesマウント定義</t>
    <rPh sb="14" eb="16">
      <t>テイギ</t>
    </rPh>
    <phoneticPr fontId="3"/>
  </si>
  <si>
    <t>SJ_AzureFilesDefineTable</t>
    <phoneticPr fontId="3"/>
  </si>
  <si>
    <t>FO-088</t>
    <phoneticPr fontId="3"/>
  </si>
  <si>
    <t>GC△</t>
    <phoneticPr fontId="3"/>
  </si>
  <si>
    <t>ファイル取込定義マスタ</t>
    <rPh sb="4" eb="8">
      <t>トリコミテイギ</t>
    </rPh>
    <phoneticPr fontId="3"/>
  </si>
  <si>
    <t>SJ_FileInDefineTable</t>
    <phoneticPr fontId="3"/>
  </si>
  <si>
    <t>ファイル出力定義マスタ</t>
    <rPh sb="4" eb="6">
      <t>シュツリョク</t>
    </rPh>
    <rPh sb="6" eb="8">
      <t>テイギ</t>
    </rPh>
    <phoneticPr fontId="3"/>
  </si>
  <si>
    <t>SJ_FileOutDefineTable</t>
    <phoneticPr fontId="3"/>
  </si>
  <si>
    <t>リース利息一覧</t>
    <phoneticPr fontId="3"/>
  </si>
  <si>
    <t>SJ_AssetLeaseInterestTmp</t>
    <phoneticPr fontId="3"/>
  </si>
  <si>
    <t>FO-024</t>
    <phoneticPr fontId="3"/>
  </si>
  <si>
    <t>支払案内書Tmp</t>
    <rPh sb="0" eb="5">
      <t>シハライアンナイショ</t>
    </rPh>
    <phoneticPr fontId="3"/>
  </si>
  <si>
    <t>SJ_PaymentNotificationTmp</t>
    <phoneticPr fontId="3"/>
  </si>
  <si>
    <t>FO-014</t>
    <phoneticPr fontId="3"/>
  </si>
  <si>
    <t>JBS秋信</t>
    <rPh sb="3" eb="5">
      <t>アキノブ</t>
    </rPh>
    <phoneticPr fontId="3"/>
  </si>
  <si>
    <t>口座引落契約台帳</t>
    <rPh sb="0" eb="4">
      <t>コウザヒキオトシ</t>
    </rPh>
    <rPh sb="4" eb="8">
      <t>ケイヤクダイチョウ</t>
    </rPh>
    <phoneticPr fontId="3"/>
  </si>
  <si>
    <t>SJ_AccountDebitAgreementLedger</t>
    <phoneticPr fontId="3"/>
  </si>
  <si>
    <t>FO-002,FO-004</t>
    <phoneticPr fontId="3"/>
  </si>
  <si>
    <t>引落データ取込</t>
    <phoneticPr fontId="3"/>
  </si>
  <si>
    <t>SJ_WithdrawalDataImport</t>
    <phoneticPr fontId="3"/>
  </si>
  <si>
    <t>FO-003,FO-004</t>
    <phoneticPr fontId="3"/>
  </si>
  <si>
    <t>引落データ仕訳</t>
    <rPh sb="5" eb="7">
      <t>シワケ</t>
    </rPh>
    <phoneticPr fontId="3"/>
  </si>
  <si>
    <t>SJ_WithdrawalDataJournalEntry</t>
    <phoneticPr fontId="3"/>
  </si>
  <si>
    <t>FO-004</t>
    <phoneticPr fontId="3"/>
  </si>
  <si>
    <t>口座引落契約台帳Tmp</t>
    <rPh sb="0" eb="4">
      <t>コウザヒキオトシ</t>
    </rPh>
    <rPh sb="4" eb="8">
      <t>ケイヤクダイチョウ</t>
    </rPh>
    <phoneticPr fontId="3"/>
  </si>
  <si>
    <t>SJ_AccountDebitAgreementLedgerTmp</t>
    <phoneticPr fontId="3"/>
  </si>
  <si>
    <t>損益計算書対応勘定科目</t>
    <phoneticPr fontId="3"/>
  </si>
  <si>
    <t>SJ_PLAccountsTable</t>
    <phoneticPr fontId="3"/>
  </si>
  <si>
    <t>FO-095</t>
  </si>
  <si>
    <t>JBS王</t>
  </si>
  <si>
    <t>税コード別集計表Tmp</t>
    <phoneticPr fontId="3"/>
  </si>
  <si>
    <t>SJ_TaxCodeAccountingTmp</t>
    <phoneticPr fontId="3"/>
  </si>
  <si>
    <t>FO-058</t>
    <phoneticPr fontId="3"/>
  </si>
  <si>
    <t>債務残高明細Tmp</t>
    <phoneticPr fontId="3"/>
  </si>
  <si>
    <t>SJ_DebtBalanceLinesTmp</t>
    <phoneticPr fontId="3"/>
  </si>
  <si>
    <t>FO-015</t>
    <phoneticPr fontId="3"/>
  </si>
  <si>
    <t>会計伝票情報取込ログ</t>
  </si>
  <si>
    <t>SJ_AccountingDataImportLog</t>
  </si>
  <si>
    <t>FO-001,FO-097</t>
    <phoneticPr fontId="3"/>
  </si>
  <si>
    <t>償却シミュレーション</t>
    <phoneticPr fontId="3"/>
  </si>
  <si>
    <t>SJ_DepreciationSimulationTmp</t>
    <phoneticPr fontId="3"/>
  </si>
  <si>
    <t>FO-022</t>
    <phoneticPr fontId="3"/>
  </si>
  <si>
    <t>JBS大河原</t>
    <rPh sb="3" eb="6">
      <t>オオカワラ</t>
    </rPh>
    <phoneticPr fontId="3"/>
  </si>
  <si>
    <t>部門経費予算計画アップロード履歴</t>
    <phoneticPr fontId="3"/>
  </si>
  <si>
    <t>SJ_DeptBudgetUploadHistory</t>
    <phoneticPr fontId="3"/>
  </si>
  <si>
    <t>部門経費予算計画アップロードログ</t>
    <phoneticPr fontId="3"/>
  </si>
  <si>
    <t>SJ_DeptBudgetUploadLog</t>
    <phoneticPr fontId="3"/>
  </si>
  <si>
    <t>売上・原価予算計画アップロード履歴</t>
    <phoneticPr fontId="3"/>
  </si>
  <si>
    <t>SJ_HostBudgetUploadHistory</t>
    <phoneticPr fontId="3"/>
  </si>
  <si>
    <t>売上・原価予算計画アップロードログ</t>
    <phoneticPr fontId="3"/>
  </si>
  <si>
    <t>SJ_HostBudgetUploadLog</t>
    <phoneticPr fontId="3"/>
  </si>
  <si>
    <t>送信伝票Tmp</t>
    <phoneticPr fontId="3"/>
  </si>
  <si>
    <t>SJ_InterfaceJournalTmp</t>
    <phoneticPr fontId="3"/>
  </si>
  <si>
    <t>FO-080</t>
  </si>
  <si>
    <t>一般仕訳帳アップロード履歴</t>
    <phoneticPr fontId="3"/>
  </si>
  <si>
    <t>SJ_LedgerJournalExcelUploadHistory</t>
    <phoneticPr fontId="3"/>
  </si>
  <si>
    <t>一般仕訳帳アップロードログ</t>
    <phoneticPr fontId="3"/>
  </si>
  <si>
    <t>SJ_LedgerJournalExcelUploadLog</t>
    <phoneticPr fontId="3"/>
  </si>
  <si>
    <t>支払方法・支払サイト更新ログ</t>
    <phoneticPr fontId="3"/>
  </si>
  <si>
    <t>SJ_PaymModePaymSiteUpdatedLog</t>
    <phoneticPr fontId="3"/>
  </si>
  <si>
    <t>FO-008</t>
    <phoneticPr fontId="3"/>
  </si>
  <si>
    <t>自動仕訳転記ログ</t>
    <rPh sb="0" eb="2">
      <t>ジドウ</t>
    </rPh>
    <rPh sb="2" eb="6">
      <t>シワケテンキ</t>
    </rPh>
    <phoneticPr fontId="3"/>
  </si>
  <si>
    <t>SJ_LedgerJournalAutoPostLog</t>
    <phoneticPr fontId="3"/>
  </si>
  <si>
    <t>FO-091</t>
    <phoneticPr fontId="3"/>
  </si>
  <si>
    <t>固定資産台帳Tmp</t>
    <phoneticPr fontId="3"/>
  </si>
  <si>
    <t>SJ_AssetLedgerTmp</t>
    <phoneticPr fontId="3"/>
  </si>
  <si>
    <t>FO-025</t>
    <phoneticPr fontId="3"/>
  </si>
  <si>
    <t>伝票送信時刻管理</t>
    <phoneticPr fontId="3"/>
  </si>
  <si>
    <t>SJ_VoucherSendingTimeManagement</t>
    <phoneticPr fontId="3"/>
  </si>
  <si>
    <t>固定資産の場所</t>
    <phoneticPr fontId="3"/>
  </si>
  <si>
    <t>AssetLocation</t>
    <phoneticPr fontId="3"/>
  </si>
  <si>
    <t>固定資産の転送履歴を表示</t>
    <phoneticPr fontId="3"/>
  </si>
  <si>
    <t>AssetTmpAssetTransferHistory</t>
    <phoneticPr fontId="3"/>
  </si>
  <si>
    <t>仕入先トランザクション</t>
    <rPh sb="0" eb="3">
      <t>シイレサキ</t>
    </rPh>
    <phoneticPr fontId="3"/>
  </si>
  <si>
    <t>VendTrans</t>
    <phoneticPr fontId="3"/>
  </si>
  <si>
    <t>経費実績明細照会Tmp</t>
  </si>
  <si>
    <t>SJ_ExpenseActualInquiryTmp</t>
  </si>
  <si>
    <t>FO-048</t>
    <phoneticPr fontId="3"/>
  </si>
  <si>
    <t>リース資産台帳Tmp</t>
    <phoneticPr fontId="3"/>
  </si>
  <si>
    <t>SJ_AssetLeaseTmp</t>
    <phoneticPr fontId="3"/>
  </si>
  <si>
    <t>FO-027</t>
    <phoneticPr fontId="3"/>
  </si>
  <si>
    <t>利益センタ計画実績Tmp</t>
    <phoneticPr fontId="3"/>
  </si>
  <si>
    <t>SJ_DepartmentPlanActualTmp</t>
    <phoneticPr fontId="3"/>
  </si>
  <si>
    <t>FO-056</t>
    <phoneticPr fontId="3"/>
  </si>
  <si>
    <t>SJ_PLAccountTmp</t>
  </si>
  <si>
    <t>FO-069</t>
  </si>
  <si>
    <t>FPTトゥイ</t>
  </si>
  <si>
    <t>SJ_PLFormulaTmp</t>
  </si>
  <si>
    <t>仕訳帳明細行</t>
    <rPh sb="0" eb="6">
      <t>シワケチョウメイサイギョウ</t>
    </rPh>
    <phoneticPr fontId="3"/>
  </si>
  <si>
    <t xml:space="preserve">LedgerJournalTrans </t>
  </si>
  <si>
    <t xml:space="preserve">FO-010 </t>
    <phoneticPr fontId="3"/>
  </si>
  <si>
    <t>リース資産台帳Tmp</t>
    <rPh sb="3" eb="5">
      <t>シサン</t>
    </rPh>
    <rPh sb="5" eb="7">
      <t>ダイチョウ</t>
    </rPh>
    <phoneticPr fontId="3"/>
  </si>
  <si>
    <t xml:space="preserve">SJ_AssetLeaseTmp	</t>
    <phoneticPr fontId="3"/>
  </si>
  <si>
    <t>SJ_PaymentSummaryTmp</t>
  </si>
  <si>
    <t>FO-016</t>
  </si>
  <si>
    <t>FPT</t>
  </si>
  <si>
    <t>CustInvoiceTable</t>
  </si>
  <si>
    <t>LedgerJournalTable</t>
  </si>
  <si>
    <t>SJ_LedgerJournalAutoPostGroupStaging</t>
  </si>
  <si>
    <t>FO-034</t>
  </si>
  <si>
    <t>SJ_LedgerJournalAutoPostGroupTmp</t>
  </si>
  <si>
    <t>SJ_LedgerJournalAutoPostTmp</t>
  </si>
  <si>
    <t>SJ_ElectronicDebtManagementTmp</t>
  </si>
  <si>
    <t>FO-018</t>
  </si>
  <si>
    <t>SJ_ElectronicDebtManagementVendTransTmp</t>
  </si>
  <si>
    <t>SJ_DepreciationSimulationTmp</t>
  </si>
  <si>
    <t>FO-022</t>
  </si>
  <si>
    <t>SJ_LedgerJournalExcelUploadTmp</t>
  </si>
  <si>
    <t>FO-030</t>
  </si>
  <si>
    <t>販売実績取込ログ</t>
  </si>
  <si>
    <t>SJ_SalesDataImportLog</t>
  </si>
  <si>
    <t>FO-101</t>
  </si>
  <si>
    <t>JBS孫</t>
  </si>
  <si>
    <t>販売注文</t>
  </si>
  <si>
    <t>SalesTable</t>
  </si>
  <si>
    <t>FO-104</t>
  </si>
  <si>
    <t>注文明細行</t>
  </si>
  <si>
    <t>SalesLine</t>
  </si>
  <si>
    <t>FO-106</t>
    <phoneticPr fontId="3"/>
  </si>
  <si>
    <t>JBS加藤</t>
    <rPh sb="3" eb="5">
      <t>カトウ</t>
    </rPh>
    <phoneticPr fontId="3"/>
  </si>
  <si>
    <t>SJ_BatchFileDownload</t>
    <phoneticPr fontId="3"/>
  </si>
  <si>
    <t>バッチファイルダウンロード</t>
    <phoneticPr fontId="3"/>
  </si>
  <si>
    <t>SJ_FinTagAggTmp</t>
  </si>
  <si>
    <t>FO-097</t>
    <phoneticPr fontId="3"/>
  </si>
  <si>
    <t>JBS井田</t>
    <rPh sb="0" eb="5">
      <t>j</t>
    </rPh>
    <phoneticPr fontId="3"/>
  </si>
  <si>
    <t>SJ_FinTagCacheByGroupStaging</t>
  </si>
  <si>
    <t>会計伝票情報登録マルチスレッド用グループ</t>
  </si>
  <si>
    <t>SJ_AccountingDataCreateGroupStaging</t>
  </si>
  <si>
    <t>会計伝票情報登録Tmp</t>
  </si>
  <si>
    <t>SJ_AccountingDataCreateTmp</t>
  </si>
  <si>
    <t>グローバル勘定科目</t>
    <rPh sb="5" eb="9">
      <t>カンジョウカモク</t>
    </rPh>
    <phoneticPr fontId="2"/>
  </si>
  <si>
    <t>SJ_GlobalMainAccount</t>
  </si>
  <si>
    <t>FO-109</t>
    <phoneticPr fontId="3"/>
  </si>
  <si>
    <t>固定資産台帳Tmp</t>
  </si>
  <si>
    <t>SJ_AssetLedgerTmp</t>
  </si>
  <si>
    <t>FO-025</t>
    <phoneticPr fontId="3"/>
  </si>
  <si>
    <t>JBS吉井</t>
    <rPh sb="3" eb="5">
      <t>ヨシイ</t>
    </rPh>
    <phoneticPr fontId="3"/>
  </si>
  <si>
    <t>会計伝票情報ログアーカイブ</t>
    <rPh sb="0" eb="6">
      <t>カイケイデンピョウジョウホウ</t>
    </rPh>
    <phoneticPr fontId="3"/>
  </si>
  <si>
    <t>SJ_AccountingDataImportLogArchive</t>
  </si>
  <si>
    <t>FO-107</t>
    <phoneticPr fontId="3"/>
  </si>
  <si>
    <t>JBS吉井</t>
    <rPh sb="3" eb="5">
      <t>ヨシイ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</si>
</sst>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indexed="9"/>
      <name val="Meiryo UI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</font>
    <font>
      <sz val="11"/>
      <color theme="1"/>
      <name val="游ゴシック"/>
      <family val="2"/>
      <scheme val="minor"/>
    </font>
    <font>
      <sz val="9"/>
      <color theme="0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sz val="6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Meiryo UI"/>
      <family val="3"/>
      <charset val="128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5" fillId="0" borderId="0" xfId="4" applyFont="1">
      <alignment vertical="center"/>
    </xf>
    <xf numFmtId="0" fontId="16" fillId="0" borderId="0" xfId="4" applyFont="1">
      <alignment vertical="center"/>
    </xf>
    <xf numFmtId="0" fontId="15" fillId="0" borderId="12" xfId="4" applyFont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1" fillId="6" borderId="34" xfId="0" applyFont="1" applyFill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8" fillId="0" borderId="35" xfId="0" applyFont="1" applyBorder="1">
      <alignment vertical="center"/>
    </xf>
    <xf numFmtId="0" fontId="2" fillId="0" borderId="36" xfId="0" applyFont="1" applyBorder="1">
      <alignment vertical="center"/>
    </xf>
    <xf numFmtId="0" fontId="2" fillId="0" borderId="36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14" fontId="2" fillId="0" borderId="36" xfId="0" applyNumberFormat="1" applyFont="1" applyBorder="1">
      <alignment vertical="center"/>
    </xf>
    <xf numFmtId="0" fontId="8" fillId="0" borderId="36" xfId="0" applyFont="1" applyBorder="1" applyAlignment="1">
      <alignment horizontal="center" vertical="center"/>
    </xf>
    <xf numFmtId="0" fontId="2" fillId="5" borderId="34" xfId="0" applyFont="1" applyFill="1" applyBorder="1">
      <alignment vertical="center"/>
    </xf>
    <xf numFmtId="0" fontId="21" fillId="0" borderId="34" xfId="0" applyFont="1" applyBorder="1">
      <alignment vertical="center"/>
    </xf>
    <xf numFmtId="0" fontId="21" fillId="6" borderId="37" xfId="0" applyFont="1" applyFill="1" applyBorder="1">
      <alignment vertical="center"/>
    </xf>
    <xf numFmtId="0" fontId="2" fillId="0" borderId="38" xfId="0" applyFont="1" applyBorder="1" applyAlignment="1">
      <alignment horizontal="center" vertical="center"/>
    </xf>
    <xf numFmtId="0" fontId="2" fillId="5" borderId="39" xfId="0" applyFont="1" applyFill="1" applyBorder="1">
      <alignment vertical="center"/>
    </xf>
    <xf numFmtId="14" fontId="2" fillId="0" borderId="37" xfId="0" applyNumberFormat="1" applyFont="1" applyBorder="1">
      <alignment vertical="center"/>
    </xf>
    <xf numFmtId="14" fontId="8" fillId="0" borderId="37" xfId="0" applyNumberFormat="1" applyFont="1" applyBorder="1">
      <alignment vertical="center"/>
    </xf>
    <xf numFmtId="0" fontId="21" fillId="0" borderId="34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0" borderId="34" xfId="0" applyFont="1" applyBorder="1">
      <alignment vertical="center"/>
    </xf>
    <xf numFmtId="14" fontId="8" fillId="0" borderId="34" xfId="0" applyNumberFormat="1" applyFont="1" applyBorder="1">
      <alignment vertical="center"/>
    </xf>
    <xf numFmtId="0" fontId="8" fillId="0" borderId="40" xfId="0" applyFont="1" applyBorder="1">
      <alignment vertical="center"/>
    </xf>
    <xf numFmtId="0" fontId="21" fillId="6" borderId="41" xfId="0" applyFont="1" applyFill="1" applyBorder="1">
      <alignment vertical="center"/>
    </xf>
    <xf numFmtId="0" fontId="21" fillId="0" borderId="39" xfId="0" applyFont="1" applyBorder="1">
      <alignment vertical="center"/>
    </xf>
    <xf numFmtId="0" fontId="2" fillId="0" borderId="42" xfId="0" applyFont="1" applyBorder="1" applyAlignment="1">
      <alignment horizontal="center" vertical="center"/>
    </xf>
    <xf numFmtId="14" fontId="8" fillId="0" borderId="41" xfId="0" applyNumberFormat="1" applyFont="1" applyBorder="1">
      <alignment vertical="center"/>
    </xf>
    <xf numFmtId="0" fontId="2" fillId="0" borderId="39" xfId="0" applyFont="1" applyBorder="1" applyAlignment="1">
      <alignment horizontal="center" vertical="center"/>
    </xf>
    <xf numFmtId="0" fontId="2" fillId="4" borderId="34" xfId="0" applyFont="1" applyFill="1" applyBorder="1">
      <alignment vertical="center"/>
    </xf>
    <xf numFmtId="14" fontId="17" fillId="4" borderId="32" xfId="3" applyNumberFormat="1" applyFont="1" applyFill="1" applyBorder="1" applyAlignment="1">
      <alignment horizontal="left" vertical="center"/>
    </xf>
    <xf numFmtId="0" fontId="17" fillId="4" borderId="32" xfId="3" applyFont="1" applyFill="1" applyBorder="1" applyAlignment="1">
      <alignment horizontal="left" vertical="center"/>
    </xf>
    <xf numFmtId="0" fontId="17" fillId="4" borderId="32" xfId="3" applyFont="1" applyFill="1" applyBorder="1" applyAlignment="1">
      <alignment vertical="center"/>
    </xf>
    <xf numFmtId="0" fontId="17" fillId="4" borderId="32" xfId="3" applyFont="1" applyFill="1" applyBorder="1" applyAlignment="1">
      <alignment horizontal="center" vertical="center" wrapText="1"/>
    </xf>
    <xf numFmtId="49" fontId="17" fillId="4" borderId="32" xfId="3" applyNumberFormat="1" applyFont="1" applyFill="1" applyBorder="1" applyAlignment="1">
      <alignment horizontal="center" vertical="center"/>
    </xf>
    <xf numFmtId="14" fontId="17" fillId="4" borderId="33" xfId="3" applyNumberFormat="1" applyFont="1" applyFill="1" applyBorder="1" applyAlignment="1">
      <alignment horizontal="left" vertical="center"/>
    </xf>
    <xf numFmtId="0" fontId="17" fillId="4" borderId="33" xfId="3" applyFont="1" applyFill="1" applyBorder="1" applyAlignment="1">
      <alignment horizontal="left" vertical="center"/>
    </xf>
    <xf numFmtId="0" fontId="17" fillId="4" borderId="33" xfId="3" applyFont="1" applyFill="1" applyBorder="1" applyAlignment="1">
      <alignment vertical="center"/>
    </xf>
    <xf numFmtId="0" fontId="17" fillId="4" borderId="33" xfId="3" applyFont="1" applyFill="1" applyBorder="1" applyAlignment="1">
      <alignment horizontal="center" vertical="center" wrapText="1"/>
    </xf>
    <xf numFmtId="49" fontId="17" fillId="4" borderId="33" xfId="3" applyNumberFormat="1" applyFont="1" applyFill="1" applyBorder="1" applyAlignment="1">
      <alignment horizontal="center" vertical="center"/>
    </xf>
    <xf numFmtId="0" fontId="10" fillId="3" borderId="30" xfId="3" applyFont="1" applyFill="1" applyBorder="1" applyAlignment="1">
      <alignment horizontal="center" vertical="center"/>
    </xf>
    <xf numFmtId="14" fontId="17" fillId="4" borderId="31" xfId="3" applyNumberFormat="1" applyFont="1" applyFill="1" applyBorder="1" applyAlignment="1">
      <alignment horizontal="left" vertical="center"/>
    </xf>
    <xf numFmtId="0" fontId="17" fillId="4" borderId="31" xfId="3" applyFont="1" applyFill="1" applyBorder="1" applyAlignment="1">
      <alignment horizontal="left" vertical="center"/>
    </xf>
    <xf numFmtId="0" fontId="17" fillId="4" borderId="31" xfId="3" applyFont="1" applyFill="1" applyBorder="1" applyAlignment="1">
      <alignment vertical="center"/>
    </xf>
    <xf numFmtId="0" fontId="17" fillId="4" borderId="31" xfId="3" applyFont="1" applyFill="1" applyBorder="1" applyAlignment="1">
      <alignment horizontal="center" vertical="center" wrapText="1"/>
    </xf>
    <xf numFmtId="49" fontId="17" fillId="4" borderId="31" xfId="3" applyNumberFormat="1" applyFont="1" applyFill="1" applyBorder="1" applyAlignment="1">
      <alignment horizontal="center" vertical="center"/>
    </xf>
    <xf numFmtId="49" fontId="17" fillId="4" borderId="31" xfId="3" quotePrefix="1" applyNumberFormat="1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0" fontId="10" fillId="3" borderId="3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/>
    </xf>
    <xf numFmtId="0" fontId="11" fillId="0" borderId="5" xfId="3" applyFont="1" applyBorder="1" applyAlignment="1">
      <alignment horizontal="left" vertical="center"/>
    </xf>
    <xf numFmtId="0" fontId="11" fillId="0" borderId="6" xfId="3" applyFont="1" applyBorder="1" applyAlignment="1">
      <alignment horizontal="left" vertical="center"/>
    </xf>
    <xf numFmtId="0" fontId="11" fillId="0" borderId="7" xfId="3" applyFont="1" applyBorder="1" applyAlignment="1">
      <alignment horizontal="left" vertical="center"/>
    </xf>
    <xf numFmtId="0" fontId="10" fillId="3" borderId="5" xfId="3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/>
    </xf>
    <xf numFmtId="0" fontId="10" fillId="3" borderId="7" xfId="3" applyFont="1" applyFill="1" applyBorder="1" applyAlignment="1">
      <alignment horizontal="center" vertical="center"/>
    </xf>
    <xf numFmtId="0" fontId="10" fillId="3" borderId="8" xfId="3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/>
    </xf>
    <xf numFmtId="0" fontId="10" fillId="3" borderId="10" xfId="3" applyFont="1" applyFill="1" applyBorder="1" applyAlignment="1">
      <alignment horizontal="center" vertical="center"/>
    </xf>
    <xf numFmtId="0" fontId="10" fillId="3" borderId="19" xfId="3" applyFont="1" applyFill="1" applyBorder="1" applyAlignment="1">
      <alignment horizontal="center" vertical="center"/>
    </xf>
    <xf numFmtId="0" fontId="10" fillId="3" borderId="20" xfId="3" applyFont="1" applyFill="1" applyBorder="1" applyAlignment="1">
      <alignment horizontal="center" vertical="center"/>
    </xf>
    <xf numFmtId="0" fontId="10" fillId="3" borderId="21" xfId="3" applyFont="1" applyFill="1" applyBorder="1" applyAlignment="1">
      <alignment horizontal="center" vertical="center"/>
    </xf>
    <xf numFmtId="0" fontId="11" fillId="0" borderId="11" xfId="3" applyFont="1" applyBorder="1" applyAlignment="1">
      <alignment horizontal="left" vertical="center"/>
    </xf>
    <xf numFmtId="0" fontId="11" fillId="0" borderId="12" xfId="3" applyFont="1" applyBorder="1" applyAlignment="1">
      <alignment horizontal="left" vertical="center"/>
    </xf>
    <xf numFmtId="0" fontId="11" fillId="0" borderId="13" xfId="3" applyFont="1" applyBorder="1" applyAlignment="1">
      <alignment horizontal="left" vertical="center"/>
    </xf>
    <xf numFmtId="0" fontId="11" fillId="0" borderId="22" xfId="3" applyFont="1" applyBorder="1" applyAlignment="1">
      <alignment horizontal="left" vertical="center"/>
    </xf>
    <xf numFmtId="0" fontId="11" fillId="0" borderId="23" xfId="3" applyFont="1" applyBorder="1" applyAlignment="1">
      <alignment horizontal="left" vertical="center"/>
    </xf>
    <xf numFmtId="0" fontId="11" fillId="0" borderId="24" xfId="3" applyFont="1" applyBorder="1" applyAlignment="1">
      <alignment horizontal="left" vertical="center"/>
    </xf>
    <xf numFmtId="0" fontId="17" fillId="4" borderId="11" xfId="3" applyFont="1" applyFill="1" applyBorder="1" applyAlignment="1">
      <alignment horizontal="center" vertical="center"/>
    </xf>
    <xf numFmtId="0" fontId="17" fillId="4" borderId="12" xfId="3" applyFont="1" applyFill="1" applyBorder="1" applyAlignment="1">
      <alignment horizontal="center" vertical="center"/>
    </xf>
    <xf numFmtId="0" fontId="17" fillId="4" borderId="13" xfId="3" applyFont="1" applyFill="1" applyBorder="1" applyAlignment="1">
      <alignment horizontal="center" vertical="center"/>
    </xf>
    <xf numFmtId="0" fontId="17" fillId="4" borderId="22" xfId="3" applyFont="1" applyFill="1" applyBorder="1" applyAlignment="1">
      <alignment horizontal="center" vertical="center"/>
    </xf>
    <xf numFmtId="0" fontId="17" fillId="4" borderId="23" xfId="3" applyFont="1" applyFill="1" applyBorder="1" applyAlignment="1">
      <alignment horizontal="center" vertical="center"/>
    </xf>
    <xf numFmtId="0" fontId="17" fillId="4" borderId="24" xfId="3" applyFont="1" applyFill="1" applyBorder="1" applyAlignment="1">
      <alignment horizontal="center" vertical="center"/>
    </xf>
    <xf numFmtId="0" fontId="17" fillId="4" borderId="14" xfId="3" applyFont="1" applyFill="1" applyBorder="1" applyAlignment="1">
      <alignment horizontal="center" vertical="center"/>
    </xf>
    <xf numFmtId="0" fontId="17" fillId="4" borderId="15" xfId="3" applyFont="1" applyFill="1" applyBorder="1" applyAlignment="1">
      <alignment horizontal="center" vertical="center"/>
    </xf>
    <xf numFmtId="176" fontId="18" fillId="4" borderId="16" xfId="3" applyNumberFormat="1" applyFont="1" applyFill="1" applyBorder="1" applyAlignment="1">
      <alignment horizontal="center" vertical="center"/>
    </xf>
    <xf numFmtId="176" fontId="18" fillId="4" borderId="17" xfId="3" applyNumberFormat="1" applyFont="1" applyFill="1" applyBorder="1" applyAlignment="1">
      <alignment horizontal="center" vertical="center"/>
    </xf>
    <xf numFmtId="176" fontId="18" fillId="4" borderId="18" xfId="3" applyNumberFormat="1" applyFont="1" applyFill="1" applyBorder="1" applyAlignment="1">
      <alignment horizontal="center" vertical="center"/>
    </xf>
    <xf numFmtId="0" fontId="18" fillId="4" borderId="14" xfId="3" applyFont="1" applyFill="1" applyBorder="1" applyAlignment="1">
      <alignment horizontal="center" vertical="center"/>
    </xf>
    <xf numFmtId="0" fontId="18" fillId="4" borderId="17" xfId="3" applyFont="1" applyFill="1" applyBorder="1" applyAlignment="1">
      <alignment horizontal="center" vertical="center"/>
    </xf>
    <xf numFmtId="0" fontId="18" fillId="4" borderId="18" xfId="3" applyFont="1" applyFill="1" applyBorder="1" applyAlignment="1">
      <alignment horizontal="center" vertical="center"/>
    </xf>
    <xf numFmtId="0" fontId="17" fillId="4" borderId="25" xfId="3" applyFont="1" applyFill="1" applyBorder="1" applyAlignment="1">
      <alignment horizontal="center" vertical="center"/>
    </xf>
    <xf numFmtId="0" fontId="17" fillId="4" borderId="26" xfId="3" applyFont="1" applyFill="1" applyBorder="1" applyAlignment="1">
      <alignment horizontal="center" vertical="center"/>
    </xf>
    <xf numFmtId="176" fontId="18" fillId="4" borderId="27" xfId="3" applyNumberFormat="1" applyFont="1" applyFill="1" applyBorder="1" applyAlignment="1">
      <alignment horizontal="center" vertical="center"/>
    </xf>
    <xf numFmtId="176" fontId="18" fillId="4" borderId="28" xfId="3" applyNumberFormat="1" applyFont="1" applyFill="1" applyBorder="1" applyAlignment="1">
      <alignment horizontal="center" vertical="center"/>
    </xf>
    <xf numFmtId="176" fontId="18" fillId="4" borderId="29" xfId="3" applyNumberFormat="1" applyFont="1" applyFill="1" applyBorder="1" applyAlignment="1">
      <alignment horizontal="center" vertical="center"/>
    </xf>
    <xf numFmtId="0" fontId="18" fillId="4" borderId="25" xfId="3" applyFont="1" applyFill="1" applyBorder="1" applyAlignment="1">
      <alignment horizontal="center" vertical="center"/>
    </xf>
    <xf numFmtId="0" fontId="18" fillId="4" borderId="28" xfId="3" applyFont="1" applyFill="1" applyBorder="1" applyAlignment="1">
      <alignment horizontal="center" vertical="center"/>
    </xf>
    <xf numFmtId="0" fontId="18" fillId="4" borderId="29" xfId="3" applyFont="1" applyFill="1" applyBorder="1" applyAlignment="1">
      <alignment horizontal="center" vertical="center"/>
    </xf>
  </cellXfs>
  <cellStyles count="5">
    <cellStyle name="標準" xfId="0" builtinId="0"/>
    <cellStyle name="標準 2" xfId="1" xr:uid="{CD63CC1B-683C-435F-9078-B7AE186C3235}"/>
    <cellStyle name="標準 2 2" xfId="3" xr:uid="{A051E29D-615E-4DEF-9606-86275EB0007B}"/>
    <cellStyle name="標準 3" xfId="2" xr:uid="{1A2D2245-A9D2-40A8-953B-ECD3D73FCA76}"/>
    <cellStyle name="標準 4" xfId="4" xr:uid="{73FF6445-23BD-4F3E-BCA9-9C3B697DA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7C84-7F34-4409-8D0D-573AD756B741}">
  <dimension ref="A1:BO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9"/>
  </cols>
  <sheetData>
    <row r="1" spans="1:67" s="10" customFormat="1" ht="15" customHeight="1" thickBot="1">
      <c r="A1" s="59" t="s">
        <v>0</v>
      </c>
      <c r="B1" s="60"/>
      <c r="C1" s="60"/>
      <c r="D1" s="60"/>
      <c r="E1" s="61"/>
      <c r="F1" s="62" t="s">
        <v>1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5" t="s">
        <v>2</v>
      </c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7"/>
      <c r="AR1" s="65" t="s">
        <v>3</v>
      </c>
      <c r="AS1" s="66"/>
      <c r="AT1" s="66"/>
      <c r="AU1" s="66"/>
      <c r="AV1" s="66"/>
      <c r="AW1" s="66"/>
      <c r="AX1" s="66"/>
      <c r="AY1" s="66"/>
      <c r="AZ1" s="67"/>
      <c r="BA1" s="65" t="s">
        <v>4</v>
      </c>
      <c r="BB1" s="66"/>
      <c r="BC1" s="66"/>
      <c r="BD1" s="66"/>
      <c r="BE1" s="66"/>
      <c r="BF1" s="66"/>
      <c r="BG1" s="66"/>
      <c r="BH1" s="67"/>
      <c r="BI1" s="9"/>
      <c r="BJ1" s="9"/>
      <c r="BK1" s="9"/>
      <c r="BL1" s="9"/>
      <c r="BM1" s="9"/>
      <c r="BN1" s="9"/>
      <c r="BO1" s="9"/>
    </row>
    <row r="2" spans="1:67" s="10" customFormat="1" ht="15" customHeight="1">
      <c r="A2" s="68" t="s">
        <v>5</v>
      </c>
      <c r="B2" s="69"/>
      <c r="C2" s="69"/>
      <c r="D2" s="69"/>
      <c r="E2" s="70"/>
      <c r="F2" s="74" t="s">
        <v>6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80" t="s">
        <v>7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2"/>
      <c r="AR2" s="86" t="s">
        <v>8</v>
      </c>
      <c r="AS2" s="87"/>
      <c r="AT2" s="88">
        <f>A6</f>
        <v>45510</v>
      </c>
      <c r="AU2" s="89"/>
      <c r="AV2" s="89"/>
      <c r="AW2" s="89"/>
      <c r="AX2" s="89"/>
      <c r="AY2" s="89"/>
      <c r="AZ2" s="90"/>
      <c r="BA2" s="91" t="str">
        <f>AZ6</f>
        <v>JBS石岡</v>
      </c>
      <c r="BB2" s="92"/>
      <c r="BC2" s="92"/>
      <c r="BD2" s="92"/>
      <c r="BE2" s="92"/>
      <c r="BF2" s="92"/>
      <c r="BG2" s="92"/>
      <c r="BH2" s="93"/>
      <c r="BI2" s="9"/>
      <c r="BJ2" s="9"/>
      <c r="BK2" s="9"/>
      <c r="BL2" s="9"/>
      <c r="BM2" s="9"/>
      <c r="BN2" s="9"/>
      <c r="BO2" s="9"/>
    </row>
    <row r="3" spans="1:67" s="10" customFormat="1" ht="15" customHeight="1" thickBot="1">
      <c r="A3" s="71"/>
      <c r="B3" s="72"/>
      <c r="C3" s="72"/>
      <c r="D3" s="72"/>
      <c r="E3" s="73"/>
      <c r="F3" s="77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5"/>
      <c r="AR3" s="94" t="s">
        <v>9</v>
      </c>
      <c r="AS3" s="95"/>
      <c r="AT3" s="96">
        <f t="array" aca="1" ref="AT3" ca="1">IF(OR(COUNTA(A:E)=3),"",INDIRECT("A"&amp;COUNTA(A:E)+2))</f>
        <v>45617</v>
      </c>
      <c r="AU3" s="97"/>
      <c r="AV3" s="97"/>
      <c r="AW3" s="97"/>
      <c r="AX3" s="97"/>
      <c r="AY3" s="97"/>
      <c r="AZ3" s="98"/>
      <c r="BA3" s="99" t="str">
        <f t="array" aca="1" ref="BA3" ca="1">IF(COUNTA(AZ5:BD100000)=1,"",INDIRECT("変更履歴!AZ"&amp;COUNTA(AZ5:BD100000)+4))</f>
        <v>JBS山田</v>
      </c>
      <c r="BB3" s="100"/>
      <c r="BC3" s="100"/>
      <c r="BD3" s="100"/>
      <c r="BE3" s="100"/>
      <c r="BF3" s="100"/>
      <c r="BG3" s="100"/>
      <c r="BH3" s="101"/>
      <c r="BI3" s="9"/>
      <c r="BJ3" s="9"/>
      <c r="BK3" s="9"/>
      <c r="BL3" s="9"/>
      <c r="BM3" s="9"/>
      <c r="BN3" s="9"/>
      <c r="BO3" s="9"/>
    </row>
    <row r="4" spans="1:67" ht="15" customHeight="1" thickBo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</row>
    <row r="5" spans="1:67" ht="15" customHeight="1" thickBot="1">
      <c r="A5" s="52" t="s">
        <v>10</v>
      </c>
      <c r="B5" s="52"/>
      <c r="C5" s="52"/>
      <c r="D5" s="52"/>
      <c r="E5" s="52"/>
      <c r="F5" s="52" t="s">
        <v>11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 t="s">
        <v>12</v>
      </c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 t="s">
        <v>13</v>
      </c>
      <c r="BA5" s="52"/>
      <c r="BB5" s="52"/>
      <c r="BC5" s="52"/>
      <c r="BD5" s="52"/>
      <c r="BE5" s="52" t="s">
        <v>14</v>
      </c>
      <c r="BF5" s="52"/>
      <c r="BG5" s="52"/>
      <c r="BH5" s="52"/>
    </row>
    <row r="6" spans="1:67" ht="15" customHeight="1">
      <c r="A6" s="53">
        <v>45510</v>
      </c>
      <c r="B6" s="53"/>
      <c r="C6" s="53"/>
      <c r="D6" s="53"/>
      <c r="E6" s="53"/>
      <c r="F6" s="54" t="s">
        <v>15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5" t="s">
        <v>16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6" t="s">
        <v>17</v>
      </c>
      <c r="BA6" s="56"/>
      <c r="BB6" s="56"/>
      <c r="BC6" s="56"/>
      <c r="BD6" s="56"/>
      <c r="BE6" s="57" t="s">
        <v>18</v>
      </c>
      <c r="BF6" s="58"/>
      <c r="BG6" s="58"/>
      <c r="BH6" s="58"/>
    </row>
    <row r="7" spans="1:67" ht="15" customHeight="1">
      <c r="A7" s="42">
        <v>45616</v>
      </c>
      <c r="B7" s="42"/>
      <c r="C7" s="42"/>
      <c r="D7" s="42"/>
      <c r="E7" s="42"/>
      <c r="F7" s="43" t="s">
        <v>19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 t="s">
        <v>20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5" t="s">
        <v>21</v>
      </c>
      <c r="BA7" s="45"/>
      <c r="BB7" s="45"/>
      <c r="BC7" s="45"/>
      <c r="BD7" s="45"/>
      <c r="BE7" s="46" t="s">
        <v>22</v>
      </c>
      <c r="BF7" s="46"/>
      <c r="BG7" s="46"/>
      <c r="BH7" s="46"/>
    </row>
    <row r="8" spans="1:67" ht="15" customHeight="1">
      <c r="A8" s="42">
        <v>45617</v>
      </c>
      <c r="B8" s="42"/>
      <c r="C8" s="42"/>
      <c r="D8" s="42"/>
      <c r="E8" s="42"/>
      <c r="F8" s="43" t="s">
        <v>19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 t="s">
        <v>23</v>
      </c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5" t="s">
        <v>24</v>
      </c>
      <c r="BA8" s="45"/>
      <c r="BB8" s="45"/>
      <c r="BC8" s="45"/>
      <c r="BD8" s="45"/>
      <c r="BE8" s="46" t="s">
        <v>25</v>
      </c>
      <c r="BF8" s="46"/>
      <c r="BG8" s="46"/>
      <c r="BH8" s="46"/>
    </row>
    <row r="9" spans="1:67" ht="15" customHeight="1">
      <c r="A9" s="42"/>
      <c r="B9" s="42"/>
      <c r="C9" s="42"/>
      <c r="D9" s="42"/>
      <c r="E9" s="42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5"/>
      <c r="BA9" s="45"/>
      <c r="BB9" s="45"/>
      <c r="BC9" s="45"/>
      <c r="BD9" s="45"/>
      <c r="BE9" s="46"/>
      <c r="BF9" s="46"/>
      <c r="BG9" s="46"/>
      <c r="BH9" s="46"/>
    </row>
    <row r="10" spans="1:67" ht="15" customHeight="1">
      <c r="A10" s="42"/>
      <c r="B10" s="42"/>
      <c r="C10" s="42"/>
      <c r="D10" s="42"/>
      <c r="E10" s="42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5"/>
      <c r="BA10" s="45"/>
      <c r="BB10" s="45"/>
      <c r="BC10" s="45"/>
      <c r="BD10" s="45"/>
      <c r="BE10" s="46"/>
      <c r="BF10" s="46"/>
      <c r="BG10" s="46"/>
      <c r="BH10" s="46"/>
    </row>
    <row r="11" spans="1:67" ht="15" customHeight="1">
      <c r="A11" s="42"/>
      <c r="B11" s="42"/>
      <c r="C11" s="42"/>
      <c r="D11" s="42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5"/>
      <c r="BA11" s="45"/>
      <c r="BB11" s="45"/>
      <c r="BC11" s="45"/>
      <c r="BD11" s="45"/>
      <c r="BE11" s="46"/>
      <c r="BF11" s="46"/>
      <c r="BG11" s="46"/>
      <c r="BH11" s="46"/>
    </row>
    <row r="12" spans="1:67" ht="15" customHeight="1">
      <c r="A12" s="42"/>
      <c r="B12" s="42"/>
      <c r="C12" s="42"/>
      <c r="D12" s="42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5"/>
      <c r="BA12" s="45"/>
      <c r="BB12" s="45"/>
      <c r="BC12" s="45"/>
      <c r="BD12" s="45"/>
      <c r="BE12" s="46"/>
      <c r="BF12" s="46"/>
      <c r="BG12" s="46"/>
      <c r="BH12" s="46"/>
    </row>
    <row r="13" spans="1:67" ht="15" customHeight="1">
      <c r="A13" s="42"/>
      <c r="B13" s="42"/>
      <c r="C13" s="42"/>
      <c r="D13" s="42"/>
      <c r="E13" s="42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5"/>
      <c r="BA13" s="45"/>
      <c r="BB13" s="45"/>
      <c r="BC13" s="45"/>
      <c r="BD13" s="45"/>
      <c r="BE13" s="46"/>
      <c r="BF13" s="46"/>
      <c r="BG13" s="46"/>
      <c r="BH13" s="46"/>
    </row>
    <row r="14" spans="1:67" ht="15" customHeight="1">
      <c r="A14" s="42"/>
      <c r="B14" s="42"/>
      <c r="C14" s="42"/>
      <c r="D14" s="42"/>
      <c r="E14" s="42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5"/>
      <c r="BA14" s="45"/>
      <c r="BB14" s="45"/>
      <c r="BC14" s="45"/>
      <c r="BD14" s="45"/>
      <c r="BE14" s="46"/>
      <c r="BF14" s="46"/>
      <c r="BG14" s="46"/>
      <c r="BH14" s="46"/>
    </row>
    <row r="15" spans="1:67" ht="15" customHeight="1">
      <c r="A15" s="42"/>
      <c r="B15" s="42"/>
      <c r="C15" s="42"/>
      <c r="D15" s="42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5"/>
      <c r="BA15" s="45"/>
      <c r="BB15" s="45"/>
      <c r="BC15" s="45"/>
      <c r="BD15" s="45"/>
      <c r="BE15" s="46"/>
      <c r="BF15" s="46"/>
      <c r="BG15" s="46"/>
      <c r="BH15" s="46"/>
    </row>
    <row r="16" spans="1:67" ht="15" customHeight="1">
      <c r="A16" s="42"/>
      <c r="B16" s="42"/>
      <c r="C16" s="42"/>
      <c r="D16" s="42"/>
      <c r="E16" s="42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5"/>
      <c r="BA16" s="45"/>
      <c r="BB16" s="45"/>
      <c r="BC16" s="45"/>
      <c r="BD16" s="45"/>
      <c r="BE16" s="46"/>
      <c r="BF16" s="46"/>
      <c r="BG16" s="46"/>
      <c r="BH16" s="46"/>
    </row>
    <row r="17" spans="1:60" ht="15" customHeight="1">
      <c r="A17" s="42"/>
      <c r="B17" s="42"/>
      <c r="C17" s="42"/>
      <c r="D17" s="42"/>
      <c r="E17" s="42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5"/>
      <c r="BA17" s="45"/>
      <c r="BB17" s="45"/>
      <c r="BC17" s="45"/>
      <c r="BD17" s="45"/>
      <c r="BE17" s="46"/>
      <c r="BF17" s="46"/>
      <c r="BG17" s="46"/>
      <c r="BH17" s="46"/>
    </row>
    <row r="18" spans="1:60" ht="15" customHeight="1">
      <c r="A18" s="42"/>
      <c r="B18" s="42"/>
      <c r="C18" s="42"/>
      <c r="D18" s="42"/>
      <c r="E18" s="42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5"/>
      <c r="BA18" s="45"/>
      <c r="BB18" s="45"/>
      <c r="BC18" s="45"/>
      <c r="BD18" s="45"/>
      <c r="BE18" s="46"/>
      <c r="BF18" s="46"/>
      <c r="BG18" s="46"/>
      <c r="BH18" s="46"/>
    </row>
    <row r="19" spans="1:60" ht="15" customHeight="1">
      <c r="A19" s="42"/>
      <c r="B19" s="42"/>
      <c r="C19" s="42"/>
      <c r="D19" s="42"/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5"/>
      <c r="BA19" s="45"/>
      <c r="BB19" s="45"/>
      <c r="BC19" s="45"/>
      <c r="BD19" s="45"/>
      <c r="BE19" s="46"/>
      <c r="BF19" s="46"/>
      <c r="BG19" s="46"/>
      <c r="BH19" s="46"/>
    </row>
    <row r="20" spans="1:60" ht="15" customHeight="1">
      <c r="A20" s="42"/>
      <c r="B20" s="42"/>
      <c r="C20" s="42"/>
      <c r="D20" s="42"/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5"/>
      <c r="BA20" s="45"/>
      <c r="BB20" s="45"/>
      <c r="BC20" s="45"/>
      <c r="BD20" s="45"/>
      <c r="BE20" s="46"/>
      <c r="BF20" s="46"/>
      <c r="BG20" s="46"/>
      <c r="BH20" s="46"/>
    </row>
    <row r="21" spans="1:60" ht="15" customHeight="1">
      <c r="A21" s="42"/>
      <c r="B21" s="42"/>
      <c r="C21" s="42"/>
      <c r="D21" s="42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5"/>
      <c r="BA21" s="45"/>
      <c r="BB21" s="45"/>
      <c r="BC21" s="45"/>
      <c r="BD21" s="45"/>
      <c r="BE21" s="46"/>
      <c r="BF21" s="46"/>
      <c r="BG21" s="46"/>
      <c r="BH21" s="46"/>
    </row>
    <row r="22" spans="1:60" ht="15" customHeight="1" thickBot="1">
      <c r="A22" s="47"/>
      <c r="B22" s="47"/>
      <c r="C22" s="47"/>
      <c r="D22" s="47"/>
      <c r="E22" s="47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50"/>
      <c r="BA22" s="50"/>
      <c r="BB22" s="50"/>
      <c r="BC22" s="50"/>
      <c r="BD22" s="50"/>
      <c r="BE22" s="51"/>
      <c r="BF22" s="51"/>
      <c r="BG22" s="51"/>
      <c r="BH22" s="51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EBBB-B43E-443E-B398-41456DC944E8}">
  <dimension ref="A1:G62"/>
  <sheetViews>
    <sheetView showGridLines="0" tabSelected="1" zoomScale="80" zoomScaleNormal="80" workbookViewId="0">
      <pane ySplit="2" topLeftCell="A41" activePane="bottomLeft" state="frozen"/>
      <selection pane="bottomLeft" activeCell="G63" sqref="G63"/>
    </sheetView>
  </sheetViews>
  <sheetFormatPr defaultColWidth="9" defaultRowHeight="15"/>
  <cols>
    <col min="1" max="1" width="9" style="1"/>
    <col min="2" max="3" width="50.58203125" style="1" customWidth="1"/>
    <col min="4" max="4" width="28.5" style="1" customWidth="1"/>
    <col min="5" max="5" width="11.5" style="13" bestFit="1" customWidth="1"/>
    <col min="6" max="6" width="11.75" style="1" customWidth="1"/>
    <col min="7" max="7" width="14.5" style="1" customWidth="1"/>
    <col min="8" max="16384" width="9" style="1"/>
  </cols>
  <sheetData>
    <row r="1" spans="1:7" ht="19.5">
      <c r="A1" s="6" t="s">
        <v>6</v>
      </c>
    </row>
    <row r="2" spans="1:7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</row>
    <row r="3" spans="1:7">
      <c r="A3" s="3">
        <f xml:space="preserve"> ROW()-2</f>
        <v>1</v>
      </c>
      <c r="B3" s="3" t="s">
        <v>33</v>
      </c>
      <c r="C3" s="3" t="s">
        <v>34</v>
      </c>
      <c r="D3" s="7" t="s">
        <v>35</v>
      </c>
      <c r="E3" s="14" t="s">
        <v>36</v>
      </c>
      <c r="F3" s="4">
        <v>45502</v>
      </c>
      <c r="G3" s="5" t="s">
        <v>37</v>
      </c>
    </row>
    <row r="4" spans="1:7">
      <c r="A4" s="3">
        <f t="shared" ref="A4:A62" si="0" xml:space="preserve"> ROW()-2</f>
        <v>2</v>
      </c>
      <c r="B4" s="3" t="s">
        <v>38</v>
      </c>
      <c r="C4" s="3" t="s">
        <v>39</v>
      </c>
      <c r="D4" s="7" t="s">
        <v>40</v>
      </c>
      <c r="E4" s="14"/>
      <c r="F4" s="4">
        <v>45510</v>
      </c>
      <c r="G4" s="5" t="s">
        <v>41</v>
      </c>
    </row>
    <row r="5" spans="1:7">
      <c r="A5" s="3">
        <f t="shared" si="0"/>
        <v>3</v>
      </c>
      <c r="B5" s="3" t="s">
        <v>42</v>
      </c>
      <c r="C5" s="3" t="s">
        <v>43</v>
      </c>
      <c r="D5" s="7" t="s">
        <v>44</v>
      </c>
      <c r="E5" s="15" t="s">
        <v>45</v>
      </c>
      <c r="F5" s="4">
        <v>45511</v>
      </c>
      <c r="G5" s="5" t="s">
        <v>46</v>
      </c>
    </row>
    <row r="6" spans="1:7">
      <c r="A6" s="3">
        <f t="shared" si="0"/>
        <v>4</v>
      </c>
      <c r="B6" s="3" t="s">
        <v>47</v>
      </c>
      <c r="C6" s="7" t="s">
        <v>48</v>
      </c>
      <c r="D6" s="7" t="s">
        <v>49</v>
      </c>
      <c r="E6" s="14" t="s">
        <v>36</v>
      </c>
      <c r="F6" s="4">
        <v>45511</v>
      </c>
      <c r="G6" s="5" t="s">
        <v>41</v>
      </c>
    </row>
    <row r="7" spans="1:7">
      <c r="A7" s="3">
        <f t="shared" si="0"/>
        <v>5</v>
      </c>
      <c r="B7" s="3" t="s">
        <v>50</v>
      </c>
      <c r="C7" s="3" t="s">
        <v>51</v>
      </c>
      <c r="D7" s="7" t="s">
        <v>52</v>
      </c>
      <c r="E7" s="15" t="s">
        <v>53</v>
      </c>
      <c r="F7" s="4">
        <v>45511</v>
      </c>
      <c r="G7" s="5" t="s">
        <v>41</v>
      </c>
    </row>
    <row r="8" spans="1:7">
      <c r="A8" s="3">
        <f t="shared" si="0"/>
        <v>6</v>
      </c>
      <c r="B8" s="3" t="s">
        <v>54</v>
      </c>
      <c r="C8" s="3" t="s">
        <v>55</v>
      </c>
      <c r="D8" s="7" t="s">
        <v>52</v>
      </c>
      <c r="E8" s="15" t="s">
        <v>45</v>
      </c>
      <c r="F8" s="4">
        <v>45511</v>
      </c>
      <c r="G8" s="5" t="s">
        <v>41</v>
      </c>
    </row>
    <row r="9" spans="1:7">
      <c r="A9" s="3">
        <f t="shared" si="0"/>
        <v>7</v>
      </c>
      <c r="B9" s="3" t="s">
        <v>56</v>
      </c>
      <c r="C9" s="3" t="s">
        <v>57</v>
      </c>
      <c r="D9" s="7" t="s">
        <v>52</v>
      </c>
      <c r="E9" s="15" t="s">
        <v>45</v>
      </c>
      <c r="F9" s="4">
        <v>45511</v>
      </c>
      <c r="G9" s="5" t="s">
        <v>41</v>
      </c>
    </row>
    <row r="10" spans="1:7">
      <c r="A10" s="3">
        <f t="shared" si="0"/>
        <v>8</v>
      </c>
      <c r="B10" s="3" t="s">
        <v>58</v>
      </c>
      <c r="C10" s="3" t="s">
        <v>59</v>
      </c>
      <c r="D10" s="7" t="s">
        <v>60</v>
      </c>
      <c r="E10" s="14"/>
      <c r="F10" s="4">
        <v>45518</v>
      </c>
      <c r="G10" s="5" t="s">
        <v>37</v>
      </c>
    </row>
    <row r="11" spans="1:7">
      <c r="A11" s="3">
        <f t="shared" si="0"/>
        <v>9</v>
      </c>
      <c r="B11" s="3" t="s">
        <v>61</v>
      </c>
      <c r="C11" s="7" t="s">
        <v>62</v>
      </c>
      <c r="D11" s="7" t="s">
        <v>63</v>
      </c>
      <c r="E11" s="14"/>
      <c r="F11" s="4">
        <v>45518</v>
      </c>
      <c r="G11" s="5" t="s">
        <v>64</v>
      </c>
    </row>
    <row r="12" spans="1:7">
      <c r="A12" s="3">
        <f t="shared" si="0"/>
        <v>10</v>
      </c>
      <c r="B12" s="3" t="s">
        <v>65</v>
      </c>
      <c r="C12" s="3" t="s">
        <v>66</v>
      </c>
      <c r="D12" s="7" t="s">
        <v>67</v>
      </c>
      <c r="E12" s="14" t="s">
        <v>36</v>
      </c>
      <c r="F12" s="4">
        <v>45520</v>
      </c>
      <c r="G12" s="5" t="s">
        <v>64</v>
      </c>
    </row>
    <row r="13" spans="1:7">
      <c r="A13" s="3">
        <f t="shared" si="0"/>
        <v>11</v>
      </c>
      <c r="B13" s="3" t="s">
        <v>68</v>
      </c>
      <c r="C13" s="3" t="s">
        <v>69</v>
      </c>
      <c r="D13" s="7" t="s">
        <v>70</v>
      </c>
      <c r="E13" s="14"/>
      <c r="F13" s="4">
        <v>45520</v>
      </c>
      <c r="G13" s="5" t="s">
        <v>64</v>
      </c>
    </row>
    <row r="14" spans="1:7">
      <c r="A14" s="3">
        <f t="shared" si="0"/>
        <v>12</v>
      </c>
      <c r="B14" s="3" t="s">
        <v>71</v>
      </c>
      <c r="C14" s="3" t="s">
        <v>72</v>
      </c>
      <c r="D14" s="7" t="s">
        <v>73</v>
      </c>
      <c r="E14" s="14"/>
      <c r="F14" s="4">
        <v>45520</v>
      </c>
      <c r="G14" s="5" t="s">
        <v>64</v>
      </c>
    </row>
    <row r="15" spans="1:7">
      <c r="A15" s="3">
        <f t="shared" si="0"/>
        <v>13</v>
      </c>
      <c r="B15" s="3" t="s">
        <v>74</v>
      </c>
      <c r="C15" s="3" t="s">
        <v>75</v>
      </c>
      <c r="D15" s="7" t="s">
        <v>73</v>
      </c>
      <c r="E15" s="14"/>
      <c r="F15" s="4">
        <v>45520</v>
      </c>
      <c r="G15" s="5" t="s">
        <v>64</v>
      </c>
    </row>
    <row r="16" spans="1:7">
      <c r="A16" s="3">
        <f t="shared" si="0"/>
        <v>14</v>
      </c>
      <c r="B16" s="3" t="s">
        <v>76</v>
      </c>
      <c r="C16" s="3" t="s">
        <v>77</v>
      </c>
      <c r="D16" s="7" t="s">
        <v>78</v>
      </c>
      <c r="E16" s="14" t="s">
        <v>36</v>
      </c>
      <c r="F16" s="4">
        <v>45531</v>
      </c>
      <c r="G16" s="5" t="s">
        <v>79</v>
      </c>
    </row>
    <row r="17" spans="1:7">
      <c r="A17" s="3">
        <f t="shared" si="0"/>
        <v>15</v>
      </c>
      <c r="B17" s="3" t="s">
        <v>80</v>
      </c>
      <c r="C17" s="3" t="s">
        <v>81</v>
      </c>
      <c r="D17" s="7" t="s">
        <v>82</v>
      </c>
      <c r="E17" s="14"/>
      <c r="F17" s="4">
        <v>45532</v>
      </c>
      <c r="G17" s="5" t="s">
        <v>37</v>
      </c>
    </row>
    <row r="18" spans="1:7">
      <c r="A18" s="3">
        <f t="shared" si="0"/>
        <v>16</v>
      </c>
      <c r="B18" s="3" t="s">
        <v>83</v>
      </c>
      <c r="C18" s="3" t="s">
        <v>84</v>
      </c>
      <c r="D18" s="7" t="s">
        <v>85</v>
      </c>
      <c r="E18" s="14"/>
      <c r="F18" s="4">
        <v>45532</v>
      </c>
      <c r="G18" s="5" t="s">
        <v>37</v>
      </c>
    </row>
    <row r="19" spans="1:7">
      <c r="A19" s="3">
        <f t="shared" si="0"/>
        <v>17</v>
      </c>
      <c r="B19" s="3" t="s">
        <v>86</v>
      </c>
      <c r="C19" s="3" t="s">
        <v>87</v>
      </c>
      <c r="D19" s="7" t="s">
        <v>88</v>
      </c>
      <c r="E19" s="14"/>
      <c r="F19" s="4">
        <v>45533</v>
      </c>
      <c r="G19" s="5" t="s">
        <v>64</v>
      </c>
    </row>
    <row r="20" spans="1:7">
      <c r="A20" s="3">
        <f t="shared" si="0"/>
        <v>18</v>
      </c>
      <c r="B20" s="3" t="s">
        <v>89</v>
      </c>
      <c r="C20" s="3" t="s">
        <v>90</v>
      </c>
      <c r="D20" s="7" t="s">
        <v>91</v>
      </c>
      <c r="E20" s="14"/>
      <c r="F20" s="4">
        <v>45533</v>
      </c>
      <c r="G20" s="5" t="s">
        <v>92</v>
      </c>
    </row>
    <row r="21" spans="1:7">
      <c r="A21" s="3">
        <f t="shared" si="0"/>
        <v>19</v>
      </c>
      <c r="B21" s="3" t="s">
        <v>93</v>
      </c>
      <c r="C21" s="3" t="s">
        <v>94</v>
      </c>
      <c r="D21" s="12"/>
      <c r="E21" s="14"/>
      <c r="F21" s="4">
        <v>45533</v>
      </c>
      <c r="G21" s="5" t="s">
        <v>64</v>
      </c>
    </row>
    <row r="22" spans="1:7">
      <c r="A22" s="3">
        <f t="shared" si="0"/>
        <v>20</v>
      </c>
      <c r="B22" s="3" t="s">
        <v>95</v>
      </c>
      <c r="C22" s="3" t="s">
        <v>96</v>
      </c>
      <c r="D22" s="12"/>
      <c r="E22" s="14"/>
      <c r="F22" s="4">
        <v>45533</v>
      </c>
      <c r="G22" s="5" t="s">
        <v>64</v>
      </c>
    </row>
    <row r="23" spans="1:7">
      <c r="A23" s="3">
        <f t="shared" si="0"/>
        <v>21</v>
      </c>
      <c r="B23" s="3" t="s">
        <v>97</v>
      </c>
      <c r="C23" s="3" t="s">
        <v>98</v>
      </c>
      <c r="D23" s="12"/>
      <c r="E23" s="14"/>
      <c r="F23" s="4">
        <v>45533</v>
      </c>
      <c r="G23" s="5" t="s">
        <v>64</v>
      </c>
    </row>
    <row r="24" spans="1:7">
      <c r="A24" s="3">
        <f t="shared" si="0"/>
        <v>22</v>
      </c>
      <c r="B24" s="3" t="s">
        <v>99</v>
      </c>
      <c r="C24" s="3" t="s">
        <v>100</v>
      </c>
      <c r="D24" s="12"/>
      <c r="E24" s="14"/>
      <c r="F24" s="4">
        <v>45533</v>
      </c>
      <c r="G24" s="5" t="s">
        <v>64</v>
      </c>
    </row>
    <row r="25" spans="1:7">
      <c r="A25" s="3">
        <f t="shared" si="0"/>
        <v>23</v>
      </c>
      <c r="B25" s="3" t="s">
        <v>101</v>
      </c>
      <c r="C25" s="3" t="s">
        <v>102</v>
      </c>
      <c r="D25" s="32" t="s">
        <v>103</v>
      </c>
      <c r="E25" s="14"/>
      <c r="F25" s="4">
        <v>45533</v>
      </c>
      <c r="G25" s="5" t="s">
        <v>64</v>
      </c>
    </row>
    <row r="26" spans="1:7">
      <c r="A26" s="3">
        <f t="shared" si="0"/>
        <v>24</v>
      </c>
      <c r="B26" s="3" t="s">
        <v>104</v>
      </c>
      <c r="C26" s="3" t="s">
        <v>105</v>
      </c>
      <c r="D26" s="12"/>
      <c r="E26" s="14"/>
      <c r="F26" s="4">
        <v>45533</v>
      </c>
      <c r="G26" s="5" t="s">
        <v>64</v>
      </c>
    </row>
    <row r="27" spans="1:7">
      <c r="A27" s="3">
        <f t="shared" si="0"/>
        <v>25</v>
      </c>
      <c r="B27" s="3" t="s">
        <v>106</v>
      </c>
      <c r="C27" s="3" t="s">
        <v>107</v>
      </c>
      <c r="D27" s="12"/>
      <c r="E27" s="14"/>
      <c r="F27" s="4">
        <v>45533</v>
      </c>
      <c r="G27" s="5" t="s">
        <v>64</v>
      </c>
    </row>
    <row r="28" spans="1:7">
      <c r="A28" s="3">
        <f t="shared" si="0"/>
        <v>26</v>
      </c>
      <c r="B28" s="3" t="s">
        <v>108</v>
      </c>
      <c r="C28" s="3" t="s">
        <v>109</v>
      </c>
      <c r="D28" s="7" t="s">
        <v>110</v>
      </c>
      <c r="E28" s="14"/>
      <c r="F28" s="4">
        <v>45533</v>
      </c>
      <c r="G28" s="5" t="s">
        <v>64</v>
      </c>
    </row>
    <row r="29" spans="1:7">
      <c r="A29" s="3">
        <f t="shared" si="0"/>
        <v>27</v>
      </c>
      <c r="B29" s="3" t="s">
        <v>111</v>
      </c>
      <c r="C29" s="3" t="s">
        <v>112</v>
      </c>
      <c r="D29" s="12" t="s">
        <v>113</v>
      </c>
      <c r="E29" s="14"/>
      <c r="F29" s="4">
        <v>45533</v>
      </c>
      <c r="G29" s="5" t="s">
        <v>64</v>
      </c>
    </row>
    <row r="30" spans="1:7">
      <c r="A30" s="3">
        <f t="shared" si="0"/>
        <v>28</v>
      </c>
      <c r="B30" s="3" t="s">
        <v>114</v>
      </c>
      <c r="C30" s="3" t="s">
        <v>115</v>
      </c>
      <c r="D30" s="7" t="s">
        <v>116</v>
      </c>
      <c r="E30" s="14"/>
      <c r="F30" s="4">
        <v>45533</v>
      </c>
      <c r="G30" s="5" t="s">
        <v>92</v>
      </c>
    </row>
    <row r="31" spans="1:7">
      <c r="A31" s="3">
        <f t="shared" si="0"/>
        <v>29</v>
      </c>
      <c r="B31" s="3" t="s">
        <v>117</v>
      </c>
      <c r="C31" s="3" t="s">
        <v>118</v>
      </c>
      <c r="D31" s="32" t="s">
        <v>103</v>
      </c>
      <c r="E31" s="14"/>
      <c r="F31" s="4">
        <v>45533</v>
      </c>
      <c r="G31" s="5" t="s">
        <v>64</v>
      </c>
    </row>
    <row r="32" spans="1:7">
      <c r="A32" s="3">
        <f t="shared" si="0"/>
        <v>30</v>
      </c>
      <c r="B32" s="3" t="s">
        <v>119</v>
      </c>
      <c r="C32" s="3" t="s">
        <v>120</v>
      </c>
      <c r="D32" s="12"/>
      <c r="E32" s="14"/>
      <c r="F32" s="4">
        <v>45533</v>
      </c>
      <c r="G32" s="5" t="s">
        <v>64</v>
      </c>
    </row>
    <row r="33" spans="1:7">
      <c r="A33" s="3">
        <f t="shared" si="0"/>
        <v>31</v>
      </c>
      <c r="B33" s="3" t="s">
        <v>121</v>
      </c>
      <c r="C33" s="3" t="s">
        <v>122</v>
      </c>
      <c r="D33" s="12"/>
      <c r="E33" s="14"/>
      <c r="F33" s="4">
        <v>45533</v>
      </c>
      <c r="G33" s="5" t="s">
        <v>64</v>
      </c>
    </row>
    <row r="34" spans="1:7">
      <c r="A34" s="3">
        <f t="shared" si="0"/>
        <v>32</v>
      </c>
      <c r="B34" s="3" t="s">
        <v>123</v>
      </c>
      <c r="C34" s="3" t="s">
        <v>124</v>
      </c>
      <c r="D34" s="12"/>
      <c r="E34" s="14"/>
      <c r="F34" s="4">
        <v>45533</v>
      </c>
      <c r="G34" s="5" t="s">
        <v>64</v>
      </c>
    </row>
    <row r="35" spans="1:7">
      <c r="A35" s="3">
        <f t="shared" si="0"/>
        <v>33</v>
      </c>
      <c r="B35" s="3" t="s">
        <v>125</v>
      </c>
      <c r="C35" s="3" t="s">
        <v>126</v>
      </c>
      <c r="D35" s="7" t="s">
        <v>127</v>
      </c>
      <c r="E35" s="14"/>
      <c r="F35" s="4">
        <v>45533</v>
      </c>
      <c r="G35" s="8" t="s">
        <v>46</v>
      </c>
    </row>
    <row r="36" spans="1:7">
      <c r="A36" s="3">
        <f t="shared" si="0"/>
        <v>34</v>
      </c>
      <c r="B36" s="3" t="s">
        <v>128</v>
      </c>
      <c r="C36" s="3" t="s">
        <v>129</v>
      </c>
      <c r="D36" s="7" t="s">
        <v>130</v>
      </c>
      <c r="E36" s="14"/>
      <c r="F36" s="4">
        <v>45534</v>
      </c>
      <c r="G36" s="5" t="s">
        <v>92</v>
      </c>
    </row>
    <row r="37" spans="1:7">
      <c r="A37" s="3">
        <f t="shared" si="0"/>
        <v>35</v>
      </c>
      <c r="B37" s="3" t="s">
        <v>131</v>
      </c>
      <c r="C37" s="3" t="s">
        <v>132</v>
      </c>
      <c r="D37" s="7" t="s">
        <v>133</v>
      </c>
      <c r="E37" s="14"/>
      <c r="F37" s="4">
        <v>45534</v>
      </c>
      <c r="G37" s="5" t="s">
        <v>37</v>
      </c>
    </row>
    <row r="38" spans="1:7">
      <c r="A38" s="3">
        <f t="shared" si="0"/>
        <v>36</v>
      </c>
      <c r="B38" s="3"/>
      <c r="C38" s="3" t="s">
        <v>134</v>
      </c>
      <c r="D38" s="7" t="s">
        <v>135</v>
      </c>
      <c r="E38" s="14"/>
      <c r="F38" s="4">
        <v>45609</v>
      </c>
      <c r="G38" s="8" t="s">
        <v>136</v>
      </c>
    </row>
    <row r="39" spans="1:7">
      <c r="A39" s="3">
        <f t="shared" si="0"/>
        <v>37</v>
      </c>
      <c r="B39" s="3"/>
      <c r="C39" s="3" t="s">
        <v>137</v>
      </c>
      <c r="D39" s="7" t="s">
        <v>135</v>
      </c>
      <c r="E39" s="14"/>
      <c r="F39" s="4">
        <v>45609</v>
      </c>
      <c r="G39" s="8" t="s">
        <v>136</v>
      </c>
    </row>
    <row r="40" spans="1:7">
      <c r="A40" s="3">
        <f t="shared" si="0"/>
        <v>38</v>
      </c>
      <c r="B40" s="3" t="s">
        <v>138</v>
      </c>
      <c r="C40" s="3" t="s">
        <v>139</v>
      </c>
      <c r="D40" s="7" t="s">
        <v>140</v>
      </c>
      <c r="E40" s="14"/>
      <c r="F40" s="4">
        <v>45616</v>
      </c>
      <c r="G40" s="8" t="s">
        <v>46</v>
      </c>
    </row>
    <row r="41" spans="1:7">
      <c r="A41" s="3">
        <f t="shared" si="0"/>
        <v>39</v>
      </c>
      <c r="B41" s="3" t="s">
        <v>141</v>
      </c>
      <c r="C41" s="3" t="s">
        <v>142</v>
      </c>
      <c r="D41" s="7" t="s">
        <v>130</v>
      </c>
      <c r="E41" s="14"/>
      <c r="F41" s="4">
        <v>45617</v>
      </c>
      <c r="G41" s="8" t="s">
        <v>24</v>
      </c>
    </row>
    <row r="42" spans="1:7">
      <c r="A42" s="3">
        <f t="shared" si="0"/>
        <v>40</v>
      </c>
      <c r="B42" s="3"/>
      <c r="C42" s="19" t="s">
        <v>143</v>
      </c>
      <c r="D42" s="20" t="s">
        <v>144</v>
      </c>
      <c r="E42" s="21"/>
      <c r="F42" s="22">
        <v>45622</v>
      </c>
      <c r="G42" s="23" t="s">
        <v>145</v>
      </c>
    </row>
    <row r="43" spans="1:7">
      <c r="A43" s="3">
        <f t="shared" si="0"/>
        <v>41</v>
      </c>
      <c r="B43" s="18"/>
      <c r="C43" s="16" t="s">
        <v>146</v>
      </c>
      <c r="D43" s="24"/>
      <c r="E43" s="17"/>
      <c r="F43" s="29">
        <v>45623</v>
      </c>
      <c r="G43" s="31" t="s">
        <v>145</v>
      </c>
    </row>
    <row r="44" spans="1:7">
      <c r="A44" s="3">
        <f t="shared" si="0"/>
        <v>42</v>
      </c>
      <c r="B44" s="18"/>
      <c r="C44" s="16" t="s">
        <v>147</v>
      </c>
      <c r="D44" s="28"/>
      <c r="E44" s="17"/>
      <c r="F44" s="30">
        <v>45623</v>
      </c>
      <c r="G44" s="17" t="s">
        <v>145</v>
      </c>
    </row>
    <row r="45" spans="1:7">
      <c r="A45" s="3">
        <f t="shared" si="0"/>
        <v>43</v>
      </c>
      <c r="B45" s="18"/>
      <c r="C45" s="26" t="s">
        <v>148</v>
      </c>
      <c r="D45" s="25" t="s">
        <v>149</v>
      </c>
      <c r="E45" s="27"/>
      <c r="F45" s="30">
        <v>45623</v>
      </c>
      <c r="G45" s="17" t="s">
        <v>145</v>
      </c>
    </row>
    <row r="46" spans="1:7">
      <c r="A46" s="3">
        <f t="shared" si="0"/>
        <v>44</v>
      </c>
      <c r="B46" s="18"/>
      <c r="C46" s="26" t="s">
        <v>150</v>
      </c>
      <c r="D46" s="25" t="s">
        <v>149</v>
      </c>
      <c r="E46" s="27"/>
      <c r="F46" s="30">
        <v>45623</v>
      </c>
      <c r="G46" s="17" t="s">
        <v>145</v>
      </c>
    </row>
    <row r="47" spans="1:7">
      <c r="A47" s="3">
        <f t="shared" si="0"/>
        <v>45</v>
      </c>
      <c r="B47" s="18"/>
      <c r="C47" s="26" t="s">
        <v>151</v>
      </c>
      <c r="D47" s="25" t="s">
        <v>149</v>
      </c>
      <c r="E47" s="27"/>
      <c r="F47" s="30">
        <v>45623</v>
      </c>
      <c r="G47" s="17" t="s">
        <v>145</v>
      </c>
    </row>
    <row r="48" spans="1:7">
      <c r="A48" s="3">
        <f t="shared" si="0"/>
        <v>46</v>
      </c>
      <c r="B48" s="18"/>
      <c r="C48" s="26" t="s">
        <v>152</v>
      </c>
      <c r="D48" s="25" t="s">
        <v>153</v>
      </c>
      <c r="E48" s="27"/>
      <c r="F48" s="30">
        <v>45623</v>
      </c>
      <c r="G48" s="17" t="s">
        <v>145</v>
      </c>
    </row>
    <row r="49" spans="1:7">
      <c r="A49" s="3">
        <f t="shared" si="0"/>
        <v>47</v>
      </c>
      <c r="B49" s="18"/>
      <c r="C49" s="26" t="s">
        <v>154</v>
      </c>
      <c r="D49" s="25" t="s">
        <v>153</v>
      </c>
      <c r="E49" s="27"/>
      <c r="F49" s="30">
        <v>45623</v>
      </c>
      <c r="G49" s="17" t="s">
        <v>145</v>
      </c>
    </row>
    <row r="50" spans="1:7">
      <c r="A50" s="3">
        <f t="shared" si="0"/>
        <v>48</v>
      </c>
      <c r="B50" s="35"/>
      <c r="C50" s="36" t="s">
        <v>155</v>
      </c>
      <c r="D50" s="37" t="s">
        <v>156</v>
      </c>
      <c r="E50" s="38"/>
      <c r="F50" s="39">
        <v>45636</v>
      </c>
      <c r="G50" s="40" t="s">
        <v>145</v>
      </c>
    </row>
    <row r="51" spans="1:7">
      <c r="A51" s="3">
        <f t="shared" si="0"/>
        <v>49</v>
      </c>
      <c r="B51" s="33"/>
      <c r="C51" s="33" t="s">
        <v>157</v>
      </c>
      <c r="D51" s="33" t="s">
        <v>158</v>
      </c>
      <c r="E51" s="17"/>
      <c r="F51" s="34">
        <v>45635</v>
      </c>
      <c r="G51" s="17" t="s">
        <v>145</v>
      </c>
    </row>
    <row r="52" spans="1:7">
      <c r="A52" s="3">
        <f t="shared" si="0"/>
        <v>50</v>
      </c>
      <c r="B52" s="33" t="s">
        <v>159</v>
      </c>
      <c r="C52" s="33" t="s">
        <v>160</v>
      </c>
      <c r="D52" s="41" t="s">
        <v>161</v>
      </c>
      <c r="E52" s="17"/>
      <c r="F52" s="34">
        <v>45702</v>
      </c>
      <c r="G52" s="17" t="s">
        <v>162</v>
      </c>
    </row>
    <row r="53" spans="1:7">
      <c r="A53" s="3">
        <f t="shared" si="0"/>
        <v>51</v>
      </c>
      <c r="B53" s="33" t="s">
        <v>163</v>
      </c>
      <c r="C53" s="33" t="s">
        <v>164</v>
      </c>
      <c r="D53" s="41" t="s">
        <v>165</v>
      </c>
      <c r="E53" s="17"/>
      <c r="F53" s="34">
        <v>45702</v>
      </c>
      <c r="G53" s="17" t="s">
        <v>162</v>
      </c>
    </row>
    <row r="54" spans="1:7">
      <c r="A54" s="3">
        <f t="shared" si="0"/>
        <v>52</v>
      </c>
      <c r="B54" s="33" t="s">
        <v>166</v>
      </c>
      <c r="C54" s="33" t="s">
        <v>167</v>
      </c>
      <c r="D54" s="41" t="s">
        <v>165</v>
      </c>
      <c r="E54" s="17"/>
      <c r="F54" s="34">
        <v>45702</v>
      </c>
      <c r="G54" s="17" t="s">
        <v>162</v>
      </c>
    </row>
    <row r="55" spans="1:7">
      <c r="A55" s="3">
        <f t="shared" si="0"/>
        <v>53</v>
      </c>
      <c r="B55" s="33" t="s">
        <v>171</v>
      </c>
      <c r="C55" s="33" t="s">
        <v>170</v>
      </c>
      <c r="D55" s="41" t="s">
        <v>168</v>
      </c>
      <c r="E55" s="17"/>
      <c r="F55" s="34">
        <v>45819</v>
      </c>
      <c r="G55" s="17" t="s">
        <v>169</v>
      </c>
    </row>
    <row r="56" spans="1:7">
      <c r="A56" s="3">
        <f t="shared" si="0"/>
        <v>54</v>
      </c>
      <c r="B56" s="33"/>
      <c r="C56" s="33" t="s">
        <v>172</v>
      </c>
      <c r="D56" s="41" t="s">
        <v>173</v>
      </c>
      <c r="E56" s="17"/>
      <c r="F56" s="34">
        <v>46195</v>
      </c>
      <c r="G56" s="17" t="s">
        <v>174</v>
      </c>
    </row>
    <row r="57" spans="1:7">
      <c r="A57" s="3">
        <f t="shared" si="0"/>
        <v>55</v>
      </c>
      <c r="B57" s="33"/>
      <c r="C57" s="33" t="s">
        <v>175</v>
      </c>
      <c r="D57" s="41" t="s">
        <v>173</v>
      </c>
      <c r="E57" s="17"/>
      <c r="F57" s="34">
        <v>46195</v>
      </c>
      <c r="G57" s="17" t="s">
        <v>174</v>
      </c>
    </row>
    <row r="58" spans="1:7">
      <c r="A58" s="3">
        <f t="shared" si="0"/>
        <v>56</v>
      </c>
      <c r="B58" s="33" t="s">
        <v>176</v>
      </c>
      <c r="C58" s="33" t="s">
        <v>177</v>
      </c>
      <c r="D58" s="41" t="s">
        <v>173</v>
      </c>
      <c r="E58" s="17"/>
      <c r="F58" s="34">
        <v>46195</v>
      </c>
      <c r="G58" s="17" t="s">
        <v>174</v>
      </c>
    </row>
    <row r="59" spans="1:7">
      <c r="A59" s="3">
        <f t="shared" si="0"/>
        <v>57</v>
      </c>
      <c r="B59" s="33" t="s">
        <v>178</v>
      </c>
      <c r="C59" s="33" t="s">
        <v>179</v>
      </c>
      <c r="D59" s="41" t="s">
        <v>173</v>
      </c>
      <c r="E59" s="17"/>
      <c r="F59" s="34">
        <v>46195</v>
      </c>
      <c r="G59" s="17" t="s">
        <v>174</v>
      </c>
    </row>
    <row r="60" spans="1:7">
      <c r="A60" s="3">
        <f t="shared" si="0"/>
        <v>58</v>
      </c>
      <c r="B60" s="33" t="s">
        <v>180</v>
      </c>
      <c r="C60" s="33" t="s">
        <v>181</v>
      </c>
      <c r="D60" s="41" t="s">
        <v>182</v>
      </c>
      <c r="E60" s="17"/>
      <c r="F60" s="34">
        <v>46197</v>
      </c>
      <c r="G60" s="17" t="s">
        <v>174</v>
      </c>
    </row>
    <row r="61" spans="1:7">
      <c r="A61" s="3">
        <f t="shared" si="0"/>
        <v>59</v>
      </c>
      <c r="B61" s="33" t="s">
        <v>183</v>
      </c>
      <c r="C61" s="33" t="s">
        <v>184</v>
      </c>
      <c r="D61" s="41" t="s">
        <v>185</v>
      </c>
      <c r="E61" s="17"/>
      <c r="F61" s="34">
        <v>46220</v>
      </c>
      <c r="G61" s="17" t="s">
        <v>186</v>
      </c>
    </row>
    <row r="62" spans="1:7">
      <c r="A62" s="3">
        <f t="shared" si="0"/>
        <v>60</v>
      </c>
      <c r="B62" s="33" t="s">
        <v>187</v>
      </c>
      <c r="C62" s="33" t="s">
        <v>188</v>
      </c>
      <c r="D62" s="41" t="s">
        <v>189</v>
      </c>
      <c r="E62" s="17"/>
      <c r="F62" s="34">
        <v>46234</v>
      </c>
      <c r="G62" s="17" t="s">
        <v>190</v>
      </c>
    </row>
  </sheetData>
  <autoFilter ref="A2:G38" xr:uid="{F23867AA-C860-47FD-B80B-FCBBE1F385F0}"/>
  <phoneticPr fontId="3"/>
  <pageMargins left="0.7" right="0.7" top="0.75" bottom="0.75" header="0.3" footer="0.3"/>
  <pageSetup paperSize="9" orientation="portrait" horizontalDpi="360" verticalDpi="36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9DE9DF-609C-46A0-9BC2-CF5E287491DA}">
  <ds:schemaRefs>
    <ds:schemaRef ds:uri="5bd2875c-1d77-4e59-90f4-883ca6a86c01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0e104af9-8863-48b3-a0f9-b99702920d1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A900976-345A-4D85-9686-B8029A8081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95E1F2-D014-4A61-85D9-ABC03FC36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変更履歴</vt:lpstr>
      <vt:lpstr>テーブル一覧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Yoshii, Kanako</cp:lastModifiedBy>
  <cp:revision/>
  <dcterms:created xsi:type="dcterms:W3CDTF">2021-09-01T05:22:44Z</dcterms:created>
  <dcterms:modified xsi:type="dcterms:W3CDTF">2026-07-31T01:47:50Z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Order">
    <vt:r8>44387100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