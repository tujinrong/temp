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sbpos1.sharepoint.com/sites/msteams_358ee9/Shared Documents/General/04_要件定義/00_要件定義まとめ/"/>
    </mc:Choice>
  </mc:AlternateContent>
  <xr:revisionPtr revIDLastSave="0" documentId="8_{ABB5D6F3-6836-40C3-9C71-67D5DA8B3DA5}" xr6:coauthVersionLast="47" xr6:coauthVersionMax="47" xr10:uidLastSave="{00000000-0000-0000-0000-000000000000}"/>
  <bookViews>
    <workbookView xWindow="-110" yWindow="-110" windowWidth="19420" windowHeight="10300" xr2:uid="{0EEF0233-7466-4176-9838-14DF622D98AE}"/>
  </bookViews>
  <sheets>
    <sheet name="アドオン審査会反映後" sheetId="2" r:id="rId1"/>
    <sheet name="アドオン審査会反映前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2" l="1"/>
  <c r="E38" i="2" s="1"/>
  <c r="D36" i="2"/>
  <c r="D25" i="2"/>
  <c r="K7" i="2" s="1"/>
  <c r="P7" i="2" s="1"/>
  <c r="F44" i="2"/>
  <c r="E44" i="2"/>
  <c r="D44" i="2"/>
  <c r="C44" i="2"/>
  <c r="F38" i="2"/>
  <c r="D38" i="2"/>
  <c r="C38" i="2"/>
  <c r="F32" i="2"/>
  <c r="E32" i="2"/>
  <c r="D32" i="2"/>
  <c r="C32" i="2"/>
  <c r="F26" i="2"/>
  <c r="E26" i="2"/>
  <c r="C26" i="2"/>
  <c r="F20" i="2"/>
  <c r="E20" i="2"/>
  <c r="D20" i="2"/>
  <c r="C20" i="2"/>
  <c r="F14" i="2"/>
  <c r="E14" i="2"/>
  <c r="D14" i="2"/>
  <c r="C14" i="2"/>
  <c r="F8" i="2"/>
  <c r="E8" i="2"/>
  <c r="D8" i="2"/>
  <c r="C8" i="2"/>
  <c r="E25" i="2"/>
  <c r="L7" i="2" s="1"/>
  <c r="E18" i="2"/>
  <c r="D18" i="2"/>
  <c r="L12" i="2"/>
  <c r="K12" i="2"/>
  <c r="O12" i="2"/>
  <c r="J14" i="2"/>
  <c r="M7" i="2"/>
  <c r="M14" i="2" s="1"/>
  <c r="J7" i="2"/>
  <c r="M6" i="2"/>
  <c r="M9" i="2" s="1"/>
  <c r="J6" i="2"/>
  <c r="J9" i="2" s="1"/>
  <c r="P5" i="2"/>
  <c r="M5" i="2"/>
  <c r="L5" i="2"/>
  <c r="K5" i="2"/>
  <c r="O5" i="2" s="1"/>
  <c r="J5" i="2"/>
  <c r="L6" i="2" l="1"/>
  <c r="L9" i="2" s="1"/>
  <c r="K6" i="2"/>
  <c r="D26" i="2"/>
  <c r="K8" i="2" s="1"/>
  <c r="K17" i="2" s="1"/>
  <c r="J8" i="2"/>
  <c r="J17" i="2" s="1"/>
  <c r="M8" i="2"/>
  <c r="M17" i="2" s="1"/>
  <c r="L8" i="2"/>
  <c r="L17" i="2" s="1"/>
  <c r="P6" i="2"/>
  <c r="K9" i="2"/>
  <c r="L14" i="2"/>
  <c r="P12" i="2"/>
  <c r="Q14" i="2"/>
  <c r="K14" i="2"/>
  <c r="O7" i="2"/>
  <c r="O6" i="2"/>
  <c r="Q17" i="2" l="1"/>
  <c r="P17" i="2"/>
  <c r="O17" i="2"/>
  <c r="P8" i="2"/>
  <c r="O8" i="2"/>
  <c r="P14" i="2"/>
  <c r="O14" i="2"/>
  <c r="Q17" i="1" l="1"/>
  <c r="Q14" i="1"/>
  <c r="P14" i="1"/>
  <c r="O14" i="1"/>
  <c r="M14" i="1"/>
  <c r="L14" i="1"/>
  <c r="K14" i="1"/>
  <c r="J14" i="1"/>
  <c r="M6" i="1"/>
  <c r="M9" i="1" s="1"/>
  <c r="M17" i="1"/>
  <c r="L17" i="1"/>
  <c r="J17" i="1"/>
  <c r="P12" i="1"/>
  <c r="O12" i="1"/>
  <c r="P7" i="1"/>
  <c r="O7" i="1"/>
  <c r="P6" i="1"/>
  <c r="P5" i="1"/>
  <c r="O5" i="1"/>
  <c r="M8" i="1"/>
  <c r="L8" i="1"/>
  <c r="K8" i="1"/>
  <c r="P8" i="1" s="1"/>
  <c r="J8" i="1"/>
  <c r="M7" i="1"/>
  <c r="L7" i="1"/>
  <c r="K7" i="1"/>
  <c r="L6" i="1"/>
  <c r="L9" i="1" s="1"/>
  <c r="K6" i="1"/>
  <c r="K9" i="1" s="1"/>
  <c r="J6" i="1"/>
  <c r="J9" i="1" s="1"/>
  <c r="M5" i="1"/>
  <c r="L5" i="1"/>
  <c r="K5" i="1"/>
  <c r="J5" i="1"/>
  <c r="J7" i="1"/>
  <c r="K17" i="1" l="1"/>
  <c r="O8" i="1"/>
  <c r="O6" i="1"/>
  <c r="P17" i="1" l="1"/>
  <c r="O17" i="1"/>
</calcChain>
</file>

<file path=xl/sharedStrings.xml><?xml version="1.0" encoding="utf-8"?>
<sst xmlns="http://schemas.openxmlformats.org/spreadsheetml/2006/main" count="106" uniqueCount="27">
  <si>
    <r>
      <t>RFP</t>
    </r>
    <r>
      <rPr>
        <b/>
        <sz val="18"/>
        <color rgb="FFFFFFFF"/>
        <rFont val="Meiryo UI"/>
        <family val="3"/>
        <charset val="128"/>
      </rPr>
      <t>回答時</t>
    </r>
  </si>
  <si>
    <r>
      <t>当初要件数</t>
    </r>
    <r>
      <rPr>
        <sz val="18"/>
        <color rgb="FF1B365D"/>
        <rFont val="Segoe UI"/>
        <family val="2"/>
      </rPr>
      <t>(RFP)</t>
    </r>
  </si>
  <si>
    <t>追加要件数</t>
  </si>
  <si>
    <t>合計</t>
  </si>
  <si>
    <t>預金管理</t>
    <rPh sb="0" eb="4">
      <t>ヨキンカンリ</t>
    </rPh>
    <phoneticPr fontId="8"/>
  </si>
  <si>
    <t>財務管理</t>
    <rPh sb="0" eb="4">
      <t>ザイムカンリ</t>
    </rPh>
    <phoneticPr fontId="8"/>
  </si>
  <si>
    <t>一般会計・決算</t>
    <rPh sb="0" eb="4">
      <t>イッパンカイケイ</t>
    </rPh>
    <rPh sb="5" eb="7">
      <t>ケッサン</t>
    </rPh>
    <phoneticPr fontId="8"/>
  </si>
  <si>
    <t>固定資産</t>
    <rPh sb="0" eb="4">
      <t>コテイシサン</t>
    </rPh>
    <phoneticPr fontId="8"/>
  </si>
  <si>
    <t>債権</t>
    <rPh sb="0" eb="2">
      <t>サイケン</t>
    </rPh>
    <phoneticPr fontId="8"/>
  </si>
  <si>
    <t>債務</t>
    <rPh sb="0" eb="2">
      <t>サイム</t>
    </rPh>
    <phoneticPr fontId="8"/>
  </si>
  <si>
    <t>予算</t>
    <rPh sb="0" eb="2">
      <t>ヨサン</t>
    </rPh>
    <phoneticPr fontId="8"/>
  </si>
  <si>
    <t>総数</t>
    <rPh sb="0" eb="2">
      <t>ソウスウ</t>
    </rPh>
    <phoneticPr fontId="8"/>
  </si>
  <si>
    <t>標準</t>
    <rPh sb="0" eb="2">
      <t>ヒョウジュン</t>
    </rPh>
    <phoneticPr fontId="8"/>
  </si>
  <si>
    <t>開発</t>
    <rPh sb="0" eb="2">
      <t>カイハツ</t>
    </rPh>
    <phoneticPr fontId="8"/>
  </si>
  <si>
    <t>スコープOUT</t>
    <phoneticPr fontId="8"/>
  </si>
  <si>
    <t>スコープOUTを考慮なし</t>
    <rPh sb="8" eb="10">
      <t>コウリョ</t>
    </rPh>
    <phoneticPr fontId="8"/>
  </si>
  <si>
    <t>スコープOUTを考慮あり</t>
    <rPh sb="8" eb="10">
      <t>コウリョ</t>
    </rPh>
    <phoneticPr fontId="8"/>
  </si>
  <si>
    <t>帳票一覧</t>
    <rPh sb="0" eb="4">
      <t>チョウヒョウイチラン</t>
    </rPh>
    <phoneticPr fontId="8"/>
  </si>
  <si>
    <t>要求事項</t>
    <rPh sb="0" eb="4">
      <t>ヨウキュウジコウ</t>
    </rPh>
    <phoneticPr fontId="8"/>
  </si>
  <si>
    <t>合計</t>
    <rPh sb="0" eb="2">
      <t>ゴウケイ</t>
    </rPh>
    <phoneticPr fontId="8"/>
  </si>
  <si>
    <t>当初の要件数（313件）に対して、標準機能対応件数（250件）でFit率83%</t>
    <rPh sb="0" eb="2">
      <t>トウショ</t>
    </rPh>
    <rPh sb="3" eb="6">
      <t>ヨウケンスウ</t>
    </rPh>
    <rPh sb="10" eb="11">
      <t>ケン</t>
    </rPh>
    <rPh sb="13" eb="14">
      <t>タイ</t>
    </rPh>
    <rPh sb="17" eb="21">
      <t>ヒョウジュンキノウ</t>
    </rPh>
    <rPh sb="21" eb="25">
      <t>タイオウケンスウ</t>
    </rPh>
    <rPh sb="29" eb="30">
      <t>ケン</t>
    </rPh>
    <rPh sb="35" eb="36">
      <t>リツ</t>
    </rPh>
    <phoneticPr fontId="8"/>
  </si>
  <si>
    <t>追加要件数（要件＊帳票）</t>
    <rPh sb="0" eb="5">
      <t>ツイカヨウケンスウ</t>
    </rPh>
    <rPh sb="6" eb="8">
      <t>ヨウケン</t>
    </rPh>
    <rPh sb="9" eb="11">
      <t>チョウヒョウ</t>
    </rPh>
    <phoneticPr fontId="8"/>
  </si>
  <si>
    <t>追加要件数（237件）-スコープアウト（83件）＝154件に対して、開発必要となったものが42件。</t>
    <rPh sb="0" eb="5">
      <t>ツイカヨウケンスウ</t>
    </rPh>
    <rPh sb="9" eb="10">
      <t>ケン</t>
    </rPh>
    <rPh sb="22" eb="23">
      <t>ケン</t>
    </rPh>
    <rPh sb="28" eb="29">
      <t>ケン</t>
    </rPh>
    <rPh sb="30" eb="31">
      <t>タイ</t>
    </rPh>
    <rPh sb="34" eb="36">
      <t>カイハツ</t>
    </rPh>
    <rPh sb="36" eb="38">
      <t>ヒツヨウ</t>
    </rPh>
    <rPh sb="47" eb="48">
      <t>ケン</t>
    </rPh>
    <phoneticPr fontId="8"/>
  </si>
  <si>
    <t>結果、総要件数（550件）-スコープアウト（230件）=320件に対して、標準機能対応件数（254件）でFit率79％</t>
    <rPh sb="0" eb="2">
      <t>ケッカ</t>
    </rPh>
    <rPh sb="3" eb="4">
      <t>ソウ</t>
    </rPh>
    <rPh sb="4" eb="7">
      <t>ヨウケンスウ</t>
    </rPh>
    <rPh sb="25" eb="26">
      <t>ケン</t>
    </rPh>
    <rPh sb="31" eb="32">
      <t>ケン</t>
    </rPh>
    <rPh sb="33" eb="34">
      <t>タイ</t>
    </rPh>
    <rPh sb="37" eb="45">
      <t>ヒョウジュンキノウタイオウケンスウ</t>
    </rPh>
    <rPh sb="49" eb="50">
      <t>ケン</t>
    </rPh>
    <rPh sb="55" eb="56">
      <t>リツ</t>
    </rPh>
    <phoneticPr fontId="8"/>
  </si>
  <si>
    <t>一般会計・決算　⇒Req039が開発不要に。</t>
    <rPh sb="0" eb="4">
      <t>イッパンカイケイ</t>
    </rPh>
    <rPh sb="5" eb="7">
      <t>ケッサン</t>
    </rPh>
    <rPh sb="16" eb="20">
      <t>カイハツフヨウ</t>
    </rPh>
    <phoneticPr fontId="8"/>
  </si>
  <si>
    <t>固定資産　⇒Req379が開発不要に。</t>
    <rPh sb="0" eb="4">
      <t>コテイシサン</t>
    </rPh>
    <rPh sb="13" eb="17">
      <t>カイハツフヨウ</t>
    </rPh>
    <phoneticPr fontId="8"/>
  </si>
  <si>
    <t>債務　⇒Req120,121が開発不要に。</t>
    <rPh sb="0" eb="2">
      <t>サイム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</si>
</sst>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8"/>
      <color rgb="FFFFFFFF"/>
      <name val="Segoe UI"/>
      <family val="2"/>
    </font>
    <font>
      <b/>
      <sz val="18"/>
      <color rgb="FFFFFFFF"/>
      <name val="Meiryo UI"/>
      <family val="3"/>
      <charset val="128"/>
    </font>
    <font>
      <sz val="18"/>
      <color rgb="FF1B365D"/>
      <name val="Meiryo UI"/>
      <family val="3"/>
      <charset val="128"/>
    </font>
    <font>
      <sz val="18"/>
      <color rgb="FF1B365D"/>
      <name val="Segoe UI"/>
      <family val="2"/>
    </font>
    <font>
      <b/>
      <sz val="18"/>
      <color rgb="FF1B365D"/>
      <name val="Meiryo UI"/>
      <family val="3"/>
      <charset val="128"/>
    </font>
    <font>
      <b/>
      <sz val="18"/>
      <color rgb="FF1B365D"/>
      <name val="Segoe UI"/>
      <family val="2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3D4ED"/>
        <bgColor indexed="64"/>
      </patternFill>
    </fill>
    <fill>
      <patternFill patternType="solid">
        <fgColor rgb="FFCCCED2"/>
        <bgColor indexed="64"/>
      </patternFill>
    </fill>
    <fill>
      <patternFill patternType="solid">
        <fgColor rgb="FFE7E8E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B365D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1" fillId="5" borderId="0" xfId="0" applyFont="1" applyFill="1">
      <alignment vertical="center"/>
    </xf>
    <xf numFmtId="0" fontId="3" fillId="6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1" fillId="7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72571</xdr:colOff>
      <xdr:row>7</xdr:row>
      <xdr:rowOff>9072</xdr:rowOff>
    </xdr:from>
    <xdr:to>
      <xdr:col>24</xdr:col>
      <xdr:colOff>281213</xdr:colOff>
      <xdr:row>15</xdr:row>
      <xdr:rowOff>90714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0D143F93-8B40-684A-305D-B1DDBF15DC28}"/>
            </a:ext>
          </a:extLst>
        </xdr:cNvPr>
        <xdr:cNvSpPr/>
      </xdr:nvSpPr>
      <xdr:spPr>
        <a:xfrm>
          <a:off x="23866928" y="1796143"/>
          <a:ext cx="3519714" cy="2349500"/>
        </a:xfrm>
        <a:prstGeom prst="wedgeRoundRectCallout">
          <a:avLst>
            <a:gd name="adj1" fmla="val -103402"/>
            <a:gd name="adj2" fmla="val 2899"/>
            <a:gd name="adj3" fmla="val 1666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アドオン審査会で開発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となったもの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Rep071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⇒　確認中。ノーカウント</a:t>
          </a:r>
        </a:p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支払報告書（資金）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AD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０５９</a:t>
          </a:r>
        </a:p>
        <a:p>
          <a:pPr algn="l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Rep167</a:t>
          </a:r>
        </a:p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固定資産増減台帳　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AD-030</a:t>
          </a:r>
        </a:p>
        <a:p>
          <a:pPr algn="l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Rep067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</a:p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得意先明細書　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AD-001</a:t>
          </a:r>
        </a:p>
        <a:p>
          <a:pPr algn="l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Rep161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⇒　確認中。ノーカウント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支払後手数料　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AD-016★</a:t>
          </a:r>
        </a:p>
        <a:p>
          <a:pPr algn="l"/>
          <a:endParaRPr kumimoji="1" lang="ja-JP" altLang="en-US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72571</xdr:colOff>
      <xdr:row>2</xdr:row>
      <xdr:rowOff>81643</xdr:rowOff>
    </xdr:from>
    <xdr:to>
      <xdr:col>24</xdr:col>
      <xdr:colOff>281213</xdr:colOff>
      <xdr:row>5</xdr:row>
      <xdr:rowOff>145143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B521957B-440E-DE3F-2EFD-90D73EFADCC5}"/>
            </a:ext>
          </a:extLst>
        </xdr:cNvPr>
        <xdr:cNvSpPr/>
      </xdr:nvSpPr>
      <xdr:spPr>
        <a:xfrm>
          <a:off x="23866928" y="462643"/>
          <a:ext cx="3519714" cy="789214"/>
        </a:xfrm>
        <a:prstGeom prst="wedgeRoundRectCallout">
          <a:avLst>
            <a:gd name="adj1" fmla="val -100309"/>
            <a:gd name="adj2" fmla="val 67267"/>
            <a:gd name="adj3" fmla="val 1666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アドオン審査会の結果確認中。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⇒　確認中。ノーカウント</a:t>
          </a:r>
        </a:p>
        <a:p>
          <a:pPr algn="l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Req326,Req355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（債務）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0122-36C9-4112-90B3-4E5994F29F43}">
  <sheetPr>
    <tabColor theme="7"/>
  </sheetPr>
  <dimension ref="B3:Q44"/>
  <sheetViews>
    <sheetView tabSelected="1" zoomScale="70" zoomScaleNormal="70" workbookViewId="0">
      <selection activeCell="A2" sqref="A2"/>
    </sheetView>
  </sheetViews>
  <sheetFormatPr defaultRowHeight="15" x14ac:dyDescent="0.55000000000000004"/>
  <cols>
    <col min="1" max="1" width="2.58203125" style="1" customWidth="1"/>
    <col min="2" max="2" width="23.25" style="1" customWidth="1"/>
    <col min="3" max="3" width="15.5" style="1" customWidth="1"/>
    <col min="4" max="4" width="16.08203125" style="1" customWidth="1"/>
    <col min="5" max="5" width="23.75" style="1" customWidth="1"/>
    <col min="6" max="6" width="19" style="1" customWidth="1"/>
    <col min="7" max="8" width="8.6640625" style="1"/>
    <col min="9" max="9" width="25" style="1" customWidth="1"/>
    <col min="10" max="10" width="21.1640625" style="1" customWidth="1"/>
    <col min="11" max="11" width="21.9140625" style="1" customWidth="1"/>
    <col min="12" max="12" width="25.83203125" style="1" customWidth="1"/>
    <col min="13" max="13" width="27" style="1" customWidth="1"/>
    <col min="14" max="14" width="8.6640625" style="1"/>
    <col min="15" max="15" width="19.4140625" style="1" customWidth="1"/>
    <col min="16" max="16" width="19.5" style="1" customWidth="1"/>
    <col min="17" max="16384" width="8.6640625" style="1"/>
  </cols>
  <sheetData>
    <row r="3" spans="2:17" x14ac:dyDescent="0.55000000000000004">
      <c r="I3" s="1" t="s">
        <v>18</v>
      </c>
    </row>
    <row r="4" spans="2:17" ht="15.5" thickBot="1" x14ac:dyDescent="0.6">
      <c r="B4" s="1" t="s">
        <v>4</v>
      </c>
      <c r="J4" s="1" t="s">
        <v>11</v>
      </c>
      <c r="K4" s="1" t="s">
        <v>12</v>
      </c>
      <c r="L4" s="1" t="s">
        <v>13</v>
      </c>
      <c r="M4" s="1" t="s">
        <v>14</v>
      </c>
      <c r="O4" s="1" t="s">
        <v>16</v>
      </c>
      <c r="P4" s="1" t="s">
        <v>15</v>
      </c>
    </row>
    <row r="5" spans="2:17" ht="26.5" thickBot="1" x14ac:dyDescent="0.6">
      <c r="B5" s="2" t="s">
        <v>0</v>
      </c>
      <c r="C5" s="2">
        <v>16</v>
      </c>
      <c r="D5" s="2">
        <v>14</v>
      </c>
      <c r="E5" s="2">
        <v>0</v>
      </c>
      <c r="F5" s="2">
        <v>2</v>
      </c>
      <c r="I5" s="2" t="s">
        <v>0</v>
      </c>
      <c r="J5" s="2">
        <f>C5+C11+C17+C23+C29+C35+C41</f>
        <v>313</v>
      </c>
      <c r="K5" s="2">
        <f t="shared" ref="K5:M8" si="0">D5+D11+D17+D23+D29+D35+D41</f>
        <v>250</v>
      </c>
      <c r="L5" s="2">
        <f t="shared" si="0"/>
        <v>50</v>
      </c>
      <c r="M5" s="2">
        <f t="shared" si="0"/>
        <v>13</v>
      </c>
      <c r="O5" s="9">
        <f>$K5/($J5-$M5)*100</f>
        <v>83.333333333333343</v>
      </c>
      <c r="P5" s="9">
        <f>$K5/($J5)*100</f>
        <v>79.87220447284345</v>
      </c>
    </row>
    <row r="6" spans="2:17" ht="27" thickTop="1" thickBot="1" x14ac:dyDescent="0.6">
      <c r="B6" s="3" t="s">
        <v>1</v>
      </c>
      <c r="C6" s="4">
        <v>16</v>
      </c>
      <c r="D6" s="4">
        <v>13</v>
      </c>
      <c r="E6" s="4">
        <v>1</v>
      </c>
      <c r="F6" s="4">
        <v>2</v>
      </c>
      <c r="I6" s="3" t="s">
        <v>1</v>
      </c>
      <c r="J6" s="4">
        <f>C6+C12+C18+C24+C30+C36+C42</f>
        <v>313</v>
      </c>
      <c r="K6" s="4">
        <f t="shared" si="0"/>
        <v>150</v>
      </c>
      <c r="L6" s="4">
        <f t="shared" si="0"/>
        <v>16</v>
      </c>
      <c r="M6" s="4">
        <f>F6+F12+F18+F24+F30+F36+F42</f>
        <v>147</v>
      </c>
      <c r="O6" s="1">
        <f>$K6/($J6-$M6)*100</f>
        <v>90.361445783132538</v>
      </c>
      <c r="P6" s="1">
        <f>$K6/($J6)*100</f>
        <v>47.923322683706068</v>
      </c>
    </row>
    <row r="7" spans="2:17" ht="26.5" thickBot="1" x14ac:dyDescent="0.6">
      <c r="B7" s="5" t="s">
        <v>2</v>
      </c>
      <c r="C7" s="6">
        <v>0</v>
      </c>
      <c r="D7" s="6">
        <v>0</v>
      </c>
      <c r="E7" s="6">
        <v>0</v>
      </c>
      <c r="F7" s="6">
        <v>0</v>
      </c>
      <c r="I7" s="5" t="s">
        <v>2</v>
      </c>
      <c r="J7" s="6">
        <f>C7+C13+C19+C25+C31+C37+C43</f>
        <v>67</v>
      </c>
      <c r="K7" s="6">
        <f t="shared" si="0"/>
        <v>29</v>
      </c>
      <c r="L7" s="6">
        <f t="shared" si="0"/>
        <v>19</v>
      </c>
      <c r="M7" s="6">
        <f>F7+F13+F19+F25+F31+F37+F43</f>
        <v>19</v>
      </c>
      <c r="O7" s="1">
        <f>$K7/($J7-$M7)*100</f>
        <v>60.416666666666664</v>
      </c>
      <c r="P7" s="1">
        <f>$K7/($J7)*100</f>
        <v>43.283582089552233</v>
      </c>
    </row>
    <row r="8" spans="2:17" ht="26.5" thickBot="1" x14ac:dyDescent="0.6">
      <c r="B8" s="7" t="s">
        <v>3</v>
      </c>
      <c r="C8" s="8">
        <f>SUM(C6:C7)</f>
        <v>16</v>
      </c>
      <c r="D8" s="8">
        <f t="shared" ref="D8:F8" si="1">SUM(D6:D7)</f>
        <v>13</v>
      </c>
      <c r="E8" s="8">
        <f t="shared" si="1"/>
        <v>1</v>
      </c>
      <c r="F8" s="8">
        <f t="shared" si="1"/>
        <v>2</v>
      </c>
      <c r="I8" s="7" t="s">
        <v>3</v>
      </c>
      <c r="J8" s="8">
        <f>C8+C14+C20+C26+C32+C38+C44</f>
        <v>380</v>
      </c>
      <c r="K8" s="8">
        <f>D8+D14+D20+D26+D32+D38+D44</f>
        <v>179</v>
      </c>
      <c r="L8" s="8">
        <f t="shared" si="0"/>
        <v>35</v>
      </c>
      <c r="M8" s="8">
        <f t="shared" si="0"/>
        <v>166</v>
      </c>
      <c r="O8" s="9">
        <f>$K8/($J8-$M8)*100</f>
        <v>83.644859813084111</v>
      </c>
      <c r="P8" s="9">
        <f>$K8/($J8)*100</f>
        <v>47.10526315789474</v>
      </c>
    </row>
    <row r="9" spans="2:17" x14ac:dyDescent="0.55000000000000004">
      <c r="J9" s="1">
        <f>SUM(J6:J7)</f>
        <v>380</v>
      </c>
      <c r="K9" s="1">
        <f>SUM(K6:K7)</f>
        <v>179</v>
      </c>
      <c r="L9" s="1">
        <f t="shared" ref="L9:M9" si="2">SUM(L6:L7)</f>
        <v>35</v>
      </c>
      <c r="M9" s="1">
        <f t="shared" si="2"/>
        <v>166</v>
      </c>
    </row>
    <row r="10" spans="2:17" ht="15.5" thickBot="1" x14ac:dyDescent="0.6">
      <c r="B10" s="1" t="s">
        <v>5</v>
      </c>
    </row>
    <row r="11" spans="2:17" ht="26.5" thickBot="1" x14ac:dyDescent="0.6">
      <c r="B11" s="2" t="s">
        <v>0</v>
      </c>
      <c r="C11" s="2">
        <v>95</v>
      </c>
      <c r="D11" s="2">
        <v>69</v>
      </c>
      <c r="E11" s="2">
        <v>25</v>
      </c>
      <c r="F11" s="2">
        <v>1</v>
      </c>
      <c r="I11" s="1" t="s">
        <v>17</v>
      </c>
    </row>
    <row r="12" spans="2:17" ht="27" thickTop="1" thickBot="1" x14ac:dyDescent="0.6">
      <c r="B12" s="3" t="s">
        <v>1</v>
      </c>
      <c r="C12" s="4">
        <v>95</v>
      </c>
      <c r="D12" s="4">
        <v>5</v>
      </c>
      <c r="E12" s="4">
        <v>0</v>
      </c>
      <c r="F12" s="4">
        <v>90</v>
      </c>
      <c r="I12" s="10" t="s">
        <v>2</v>
      </c>
      <c r="J12" s="11">
        <v>170</v>
      </c>
      <c r="K12" s="11">
        <f>83+2</f>
        <v>85</v>
      </c>
      <c r="L12" s="11">
        <f>22-2</f>
        <v>20</v>
      </c>
      <c r="M12" s="11">
        <v>64</v>
      </c>
      <c r="O12" s="9">
        <f>$K12/($J12-$M12)*100</f>
        <v>80.188679245283026</v>
      </c>
      <c r="P12" s="9">
        <f>$K12/($J12)*100</f>
        <v>50</v>
      </c>
    </row>
    <row r="13" spans="2:17" ht="26.5" thickBot="1" x14ac:dyDescent="0.6">
      <c r="B13" s="5" t="s">
        <v>2</v>
      </c>
      <c r="C13" s="6">
        <v>0</v>
      </c>
      <c r="D13" s="6">
        <v>0</v>
      </c>
      <c r="E13" s="6">
        <v>0</v>
      </c>
      <c r="F13" s="6">
        <v>0</v>
      </c>
    </row>
    <row r="14" spans="2:17" ht="26.5" thickBot="1" x14ac:dyDescent="0.6">
      <c r="B14" s="7" t="s">
        <v>3</v>
      </c>
      <c r="C14" s="8">
        <f>SUM(C12:C13)</f>
        <v>95</v>
      </c>
      <c r="D14" s="8">
        <f t="shared" ref="D14:F14" si="3">SUM(D12:D13)</f>
        <v>5</v>
      </c>
      <c r="E14" s="8">
        <f t="shared" si="3"/>
        <v>0</v>
      </c>
      <c r="F14" s="8">
        <f t="shared" si="3"/>
        <v>90</v>
      </c>
      <c r="I14" s="1" t="s">
        <v>21</v>
      </c>
      <c r="J14" s="1">
        <f>J7+J12</f>
        <v>237</v>
      </c>
      <c r="K14" s="1">
        <f t="shared" ref="K14:M14" si="4">K7+K12</f>
        <v>114</v>
      </c>
      <c r="L14" s="1">
        <f t="shared" si="4"/>
        <v>39</v>
      </c>
      <c r="M14" s="1">
        <f t="shared" si="4"/>
        <v>83</v>
      </c>
      <c r="O14" s="9">
        <f>$K14/($J14-$M14)*100</f>
        <v>74.025974025974023</v>
      </c>
      <c r="P14" s="9">
        <f>$K14/($J14)*100</f>
        <v>48.101265822784811</v>
      </c>
      <c r="Q14" s="1">
        <f>J14-M14</f>
        <v>154</v>
      </c>
    </row>
    <row r="16" spans="2:17" ht="15.5" thickBot="1" x14ac:dyDescent="0.6">
      <c r="B16" s="1" t="s">
        <v>24</v>
      </c>
    </row>
    <row r="17" spans="2:17" ht="26.5" thickBot="1" x14ac:dyDescent="0.6">
      <c r="B17" s="2" t="s">
        <v>0</v>
      </c>
      <c r="C17" s="2">
        <v>72</v>
      </c>
      <c r="D17" s="2">
        <v>64</v>
      </c>
      <c r="E17" s="2">
        <v>8</v>
      </c>
      <c r="F17" s="2">
        <v>0</v>
      </c>
      <c r="I17" s="1" t="s">
        <v>19</v>
      </c>
      <c r="J17" s="1">
        <f>J8+J12</f>
        <v>550</v>
      </c>
      <c r="K17" s="1">
        <f>K8+K12</f>
        <v>264</v>
      </c>
      <c r="L17" s="1">
        <f>L8+L12</f>
        <v>55</v>
      </c>
      <c r="M17" s="1">
        <f>M8+M12</f>
        <v>230</v>
      </c>
      <c r="O17" s="9">
        <f>$K17/($J17-$M17)*100</f>
        <v>82.5</v>
      </c>
      <c r="P17" s="9">
        <f>$K17/($J17)*100</f>
        <v>48</v>
      </c>
      <c r="Q17" s="1">
        <f>J17-M17</f>
        <v>320</v>
      </c>
    </row>
    <row r="18" spans="2:17" ht="27" thickTop="1" thickBot="1" x14ac:dyDescent="0.6">
      <c r="B18" s="3" t="s">
        <v>1</v>
      </c>
      <c r="C18" s="4">
        <v>72</v>
      </c>
      <c r="D18" s="4">
        <f>58+1</f>
        <v>59</v>
      </c>
      <c r="E18" s="4">
        <f>5-1</f>
        <v>4</v>
      </c>
      <c r="F18" s="4">
        <v>9</v>
      </c>
    </row>
    <row r="19" spans="2:17" ht="26.5" thickBot="1" x14ac:dyDescent="0.6">
      <c r="B19" s="5" t="s">
        <v>2</v>
      </c>
      <c r="C19" s="6">
        <v>2</v>
      </c>
      <c r="D19" s="6">
        <v>1</v>
      </c>
      <c r="E19" s="6">
        <v>1</v>
      </c>
      <c r="F19" s="6">
        <v>0</v>
      </c>
    </row>
    <row r="20" spans="2:17" ht="26.5" thickBot="1" x14ac:dyDescent="0.6">
      <c r="B20" s="7" t="s">
        <v>3</v>
      </c>
      <c r="C20" s="8">
        <f t="shared" ref="C20:F20" si="5">SUM(C18:C19)</f>
        <v>74</v>
      </c>
      <c r="D20" s="8">
        <f t="shared" si="5"/>
        <v>60</v>
      </c>
      <c r="E20" s="8">
        <f t="shared" si="5"/>
        <v>5</v>
      </c>
      <c r="F20" s="8">
        <f t="shared" si="5"/>
        <v>9</v>
      </c>
      <c r="I20" s="12" t="s">
        <v>20</v>
      </c>
      <c r="J20" s="12"/>
      <c r="K20" s="12"/>
      <c r="L20" s="12"/>
    </row>
    <row r="21" spans="2:17" x14ac:dyDescent="0.55000000000000004">
      <c r="I21" s="12" t="s">
        <v>22</v>
      </c>
      <c r="J21" s="12"/>
      <c r="K21" s="12"/>
      <c r="L21" s="12"/>
    </row>
    <row r="22" spans="2:17" ht="15.5" thickBot="1" x14ac:dyDescent="0.6">
      <c r="B22" s="1" t="s">
        <v>25</v>
      </c>
      <c r="I22" s="12" t="s">
        <v>23</v>
      </c>
      <c r="J22" s="12"/>
      <c r="K22" s="12"/>
      <c r="L22" s="12"/>
    </row>
    <row r="23" spans="2:17" ht="26.5" thickBot="1" x14ac:dyDescent="0.6">
      <c r="B23" s="2" t="s">
        <v>0</v>
      </c>
      <c r="C23" s="2">
        <v>52</v>
      </c>
      <c r="D23" s="2">
        <v>44</v>
      </c>
      <c r="E23" s="2">
        <v>8</v>
      </c>
      <c r="F23" s="2">
        <v>0</v>
      </c>
    </row>
    <row r="24" spans="2:17" ht="27" thickTop="1" thickBot="1" x14ac:dyDescent="0.6">
      <c r="B24" s="3" t="s">
        <v>1</v>
      </c>
      <c r="C24" s="4">
        <v>52</v>
      </c>
      <c r="D24" s="4">
        <v>45</v>
      </c>
      <c r="E24" s="4">
        <v>1</v>
      </c>
      <c r="F24" s="4">
        <v>6</v>
      </c>
    </row>
    <row r="25" spans="2:17" ht="26.5" thickBot="1" x14ac:dyDescent="0.6">
      <c r="B25" s="5" t="s">
        <v>2</v>
      </c>
      <c r="C25" s="6">
        <v>5</v>
      </c>
      <c r="D25" s="6">
        <f>3+1</f>
        <v>4</v>
      </c>
      <c r="E25" s="6">
        <f>1-1</f>
        <v>0</v>
      </c>
      <c r="F25" s="6">
        <v>1</v>
      </c>
    </row>
    <row r="26" spans="2:17" ht="26.5" thickBot="1" x14ac:dyDescent="0.6">
      <c r="B26" s="7" t="s">
        <v>3</v>
      </c>
      <c r="C26" s="8">
        <f t="shared" ref="C26" si="6">SUM(C24:C25)</f>
        <v>57</v>
      </c>
      <c r="D26" s="8">
        <f t="shared" ref="D26" si="7">SUM(D24:D25)</f>
        <v>49</v>
      </c>
      <c r="E26" s="8">
        <f t="shared" ref="E26" si="8">SUM(E24:E25)</f>
        <v>1</v>
      </c>
      <c r="F26" s="8">
        <f t="shared" ref="F26" si="9">SUM(F24:F25)</f>
        <v>7</v>
      </c>
    </row>
    <row r="28" spans="2:17" ht="15.5" thickBot="1" x14ac:dyDescent="0.6">
      <c r="B28" s="1" t="s">
        <v>8</v>
      </c>
    </row>
    <row r="29" spans="2:17" ht="26.5" thickBot="1" x14ac:dyDescent="0.6">
      <c r="B29" s="2" t="s">
        <v>0</v>
      </c>
      <c r="C29" s="2">
        <v>44</v>
      </c>
      <c r="D29" s="2">
        <v>40</v>
      </c>
      <c r="E29" s="2">
        <v>2</v>
      </c>
      <c r="F29" s="2">
        <v>2</v>
      </c>
    </row>
    <row r="30" spans="2:17" ht="27" thickTop="1" thickBot="1" x14ac:dyDescent="0.6">
      <c r="B30" s="3" t="s">
        <v>1</v>
      </c>
      <c r="C30" s="4">
        <v>44</v>
      </c>
      <c r="D30" s="4">
        <v>17</v>
      </c>
      <c r="E30" s="4">
        <v>2</v>
      </c>
      <c r="F30" s="4">
        <v>25</v>
      </c>
    </row>
    <row r="31" spans="2:17" ht="26.5" thickBot="1" x14ac:dyDescent="0.6">
      <c r="B31" s="5" t="s">
        <v>2</v>
      </c>
      <c r="C31" s="6">
        <v>10</v>
      </c>
      <c r="D31" s="6">
        <v>6</v>
      </c>
      <c r="E31" s="6">
        <v>0</v>
      </c>
      <c r="F31" s="6">
        <v>4</v>
      </c>
    </row>
    <row r="32" spans="2:17" ht="26.5" thickBot="1" x14ac:dyDescent="0.6">
      <c r="B32" s="7" t="s">
        <v>3</v>
      </c>
      <c r="C32" s="8">
        <f t="shared" ref="C32" si="10">SUM(C30:C31)</f>
        <v>54</v>
      </c>
      <c r="D32" s="8">
        <f t="shared" ref="D32" si="11">SUM(D30:D31)</f>
        <v>23</v>
      </c>
      <c r="E32" s="8">
        <f t="shared" ref="E32" si="12">SUM(E30:E31)</f>
        <v>2</v>
      </c>
      <c r="F32" s="8">
        <f t="shared" ref="F32" si="13">SUM(F30:F31)</f>
        <v>29</v>
      </c>
    </row>
    <row r="34" spans="2:6" ht="15.5" thickBot="1" x14ac:dyDescent="0.6">
      <c r="B34" s="1" t="s">
        <v>26</v>
      </c>
    </row>
    <row r="35" spans="2:6" ht="26.5" thickBot="1" x14ac:dyDescent="0.6">
      <c r="B35" s="2" t="s">
        <v>0</v>
      </c>
      <c r="C35" s="2">
        <v>34</v>
      </c>
      <c r="D35" s="2">
        <v>19</v>
      </c>
      <c r="E35" s="2">
        <v>7</v>
      </c>
      <c r="F35" s="2">
        <v>8</v>
      </c>
    </row>
    <row r="36" spans="2:6" ht="27" thickTop="1" thickBot="1" x14ac:dyDescent="0.6">
      <c r="B36" s="3" t="s">
        <v>1</v>
      </c>
      <c r="C36" s="4">
        <v>34</v>
      </c>
      <c r="D36" s="4">
        <f>9+2</f>
        <v>11</v>
      </c>
      <c r="E36" s="4">
        <f>10-2</f>
        <v>8</v>
      </c>
      <c r="F36" s="4">
        <v>15</v>
      </c>
    </row>
    <row r="37" spans="2:6" ht="26.5" thickBot="1" x14ac:dyDescent="0.6">
      <c r="B37" s="5" t="s">
        <v>2</v>
      </c>
      <c r="C37" s="6">
        <v>32</v>
      </c>
      <c r="D37" s="6">
        <v>11</v>
      </c>
      <c r="E37" s="6">
        <v>15</v>
      </c>
      <c r="F37" s="6">
        <v>6</v>
      </c>
    </row>
    <row r="38" spans="2:6" ht="26.5" thickBot="1" x14ac:dyDescent="0.6">
      <c r="B38" s="7" t="s">
        <v>3</v>
      </c>
      <c r="C38" s="8">
        <f t="shared" ref="C38" si="14">SUM(C36:C37)</f>
        <v>66</v>
      </c>
      <c r="D38" s="8">
        <f t="shared" ref="D38" si="15">SUM(D36:D37)</f>
        <v>22</v>
      </c>
      <c r="E38" s="8">
        <f t="shared" ref="E38" si="16">SUM(E36:E37)</f>
        <v>23</v>
      </c>
      <c r="F38" s="8">
        <f t="shared" ref="F38" si="17">SUM(F36:F37)</f>
        <v>21</v>
      </c>
    </row>
    <row r="40" spans="2:6" ht="15.5" thickBot="1" x14ac:dyDescent="0.6">
      <c r="B40" s="1" t="s">
        <v>10</v>
      </c>
    </row>
    <row r="41" spans="2:6" ht="26.5" thickBot="1" x14ac:dyDescent="0.6">
      <c r="B41" s="2" t="s">
        <v>0</v>
      </c>
      <c r="C41" s="2">
        <v>0</v>
      </c>
      <c r="D41" s="2">
        <v>0</v>
      </c>
      <c r="E41" s="2">
        <v>0</v>
      </c>
      <c r="F41" s="2">
        <v>0</v>
      </c>
    </row>
    <row r="42" spans="2:6" ht="27" thickTop="1" thickBot="1" x14ac:dyDescent="0.6">
      <c r="B42" s="3" t="s">
        <v>1</v>
      </c>
      <c r="C42" s="4">
        <v>0</v>
      </c>
      <c r="D42" s="4">
        <v>0</v>
      </c>
      <c r="E42" s="4">
        <v>0</v>
      </c>
      <c r="F42" s="4">
        <v>0</v>
      </c>
    </row>
    <row r="43" spans="2:6" ht="26.5" thickBot="1" x14ac:dyDescent="0.6">
      <c r="B43" s="5" t="s">
        <v>2</v>
      </c>
      <c r="C43" s="6">
        <v>18</v>
      </c>
      <c r="D43" s="6">
        <v>7</v>
      </c>
      <c r="E43" s="6">
        <v>3</v>
      </c>
      <c r="F43" s="6">
        <v>8</v>
      </c>
    </row>
    <row r="44" spans="2:6" ht="26.5" thickBot="1" x14ac:dyDescent="0.6">
      <c r="B44" s="7" t="s">
        <v>3</v>
      </c>
      <c r="C44" s="8">
        <f t="shared" ref="C44" si="18">SUM(C42:C43)</f>
        <v>18</v>
      </c>
      <c r="D44" s="8">
        <f t="shared" ref="D44" si="19">SUM(D42:D43)</f>
        <v>7</v>
      </c>
      <c r="E44" s="8">
        <f t="shared" ref="E44" si="20">SUM(E42:E43)</f>
        <v>3</v>
      </c>
      <c r="F44" s="8">
        <f t="shared" ref="F44" si="21">SUM(F42:F43)</f>
        <v>8</v>
      </c>
    </row>
  </sheetData>
  <phoneticPr fontId="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61E2-7EC6-4562-9389-1790B71DF0D3}">
  <dimension ref="B3:Q44"/>
  <sheetViews>
    <sheetView topLeftCell="B4" zoomScale="70" zoomScaleNormal="70" workbookViewId="0">
      <selection activeCell="D45" sqref="D45"/>
    </sheetView>
  </sheetViews>
  <sheetFormatPr defaultRowHeight="15" x14ac:dyDescent="0.55000000000000004"/>
  <cols>
    <col min="1" max="1" width="2.58203125" style="1" customWidth="1"/>
    <col min="2" max="2" width="23.25" style="1" customWidth="1"/>
    <col min="3" max="3" width="15.5" style="1" customWidth="1"/>
    <col min="4" max="4" width="16.08203125" style="1" customWidth="1"/>
    <col min="5" max="5" width="23.75" style="1" customWidth="1"/>
    <col min="6" max="6" width="19" style="1" customWidth="1"/>
    <col min="7" max="8" width="8.6640625" style="1"/>
    <col min="9" max="9" width="25" style="1" customWidth="1"/>
    <col min="10" max="10" width="21.1640625" style="1" customWidth="1"/>
    <col min="11" max="11" width="21.9140625" style="1" customWidth="1"/>
    <col min="12" max="12" width="25.83203125" style="1" customWidth="1"/>
    <col min="13" max="13" width="27" style="1" customWidth="1"/>
    <col min="14" max="14" width="8.6640625" style="1"/>
    <col min="15" max="15" width="19.4140625" style="1" customWidth="1"/>
    <col min="16" max="16" width="19.5" style="1" customWidth="1"/>
    <col min="17" max="16384" width="8.6640625" style="1"/>
  </cols>
  <sheetData>
    <row r="3" spans="2:17" x14ac:dyDescent="0.55000000000000004">
      <c r="I3" s="1" t="s">
        <v>18</v>
      </c>
    </row>
    <row r="4" spans="2:17" ht="15.5" thickBot="1" x14ac:dyDescent="0.6">
      <c r="B4" s="1" t="s">
        <v>4</v>
      </c>
      <c r="J4" s="1" t="s">
        <v>11</v>
      </c>
      <c r="K4" s="1" t="s">
        <v>12</v>
      </c>
      <c r="L4" s="1" t="s">
        <v>13</v>
      </c>
      <c r="M4" s="1" t="s">
        <v>14</v>
      </c>
      <c r="O4" s="1" t="s">
        <v>16</v>
      </c>
      <c r="P4" s="1" t="s">
        <v>15</v>
      </c>
    </row>
    <row r="5" spans="2:17" ht="26.5" thickBot="1" x14ac:dyDescent="0.6">
      <c r="B5" s="2" t="s">
        <v>0</v>
      </c>
      <c r="C5" s="2">
        <v>16</v>
      </c>
      <c r="D5" s="2">
        <v>14</v>
      </c>
      <c r="E5" s="2">
        <v>0</v>
      </c>
      <c r="F5" s="2">
        <v>2</v>
      </c>
      <c r="I5" s="2" t="s">
        <v>0</v>
      </c>
      <c r="J5" s="2">
        <f>C5+C11+C17+C23+C29+C35+C41</f>
        <v>313</v>
      </c>
      <c r="K5" s="2">
        <f t="shared" ref="K5:M5" si="0">D5+D11+D17+D23+D29+D35+D41</f>
        <v>250</v>
      </c>
      <c r="L5" s="2">
        <f t="shared" si="0"/>
        <v>50</v>
      </c>
      <c r="M5" s="2">
        <f t="shared" si="0"/>
        <v>13</v>
      </c>
      <c r="O5" s="9">
        <f>$K5/($J5-$M5)*100</f>
        <v>83.333333333333343</v>
      </c>
      <c r="P5" s="9">
        <f>$K5/($J5)*100</f>
        <v>79.87220447284345</v>
      </c>
    </row>
    <row r="6" spans="2:17" ht="27" thickTop="1" thickBot="1" x14ac:dyDescent="0.6">
      <c r="B6" s="3" t="s">
        <v>1</v>
      </c>
      <c r="C6" s="4">
        <v>16</v>
      </c>
      <c r="D6" s="4">
        <v>13</v>
      </c>
      <c r="E6" s="4">
        <v>1</v>
      </c>
      <c r="F6" s="4">
        <v>2</v>
      </c>
      <c r="I6" s="3" t="s">
        <v>1</v>
      </c>
      <c r="J6" s="4">
        <f>C6+C12+C18+C24+C30+C36+C42</f>
        <v>313</v>
      </c>
      <c r="K6" s="4">
        <f t="shared" ref="K6:L6" si="1">D6+D12+D18+D24+D30+D36+D42</f>
        <v>147</v>
      </c>
      <c r="L6" s="4">
        <f t="shared" si="1"/>
        <v>19</v>
      </c>
      <c r="M6" s="4">
        <f>F6+F12+F18+F24+F30+F36+F42</f>
        <v>147</v>
      </c>
      <c r="O6" s="1">
        <f>$K6/($J6-$M6)*100</f>
        <v>88.554216867469876</v>
      </c>
      <c r="P6" s="1">
        <f>$K6/($J6)*100</f>
        <v>46.964856230031948</v>
      </c>
    </row>
    <row r="7" spans="2:17" ht="26.5" thickBot="1" x14ac:dyDescent="0.6">
      <c r="B7" s="5" t="s">
        <v>2</v>
      </c>
      <c r="C7" s="6">
        <v>0</v>
      </c>
      <c r="D7" s="6">
        <v>0</v>
      </c>
      <c r="E7" s="6">
        <v>0</v>
      </c>
      <c r="F7" s="6">
        <v>0</v>
      </c>
      <c r="I7" s="5" t="s">
        <v>2</v>
      </c>
      <c r="J7" s="6">
        <f>C7+C13+C19+C25+C31+C37+C43</f>
        <v>67</v>
      </c>
      <c r="K7" s="6">
        <f t="shared" ref="K7:L7" si="2">D7+D13+D19+D25+D31+D37+D43</f>
        <v>28</v>
      </c>
      <c r="L7" s="6">
        <f t="shared" si="2"/>
        <v>20</v>
      </c>
      <c r="M7" s="6">
        <f>F7+F13+F19+F25+F31+F37+F43</f>
        <v>19</v>
      </c>
      <c r="O7" s="1">
        <f>$K7/($J7-$M7)*100</f>
        <v>58.333333333333336</v>
      </c>
      <c r="P7" s="1">
        <f>$K7/($J7)*100</f>
        <v>41.791044776119399</v>
      </c>
    </row>
    <row r="8" spans="2:17" ht="26.5" thickBot="1" x14ac:dyDescent="0.6">
      <c r="B8" s="7" t="s">
        <v>3</v>
      </c>
      <c r="C8" s="8">
        <v>16</v>
      </c>
      <c r="D8" s="8">
        <v>13</v>
      </c>
      <c r="E8" s="8">
        <v>1</v>
      </c>
      <c r="F8" s="8">
        <v>2</v>
      </c>
      <c r="I8" s="7" t="s">
        <v>3</v>
      </c>
      <c r="J8" s="8">
        <f>C8+C14+C20+C26+C32+C38+C44</f>
        <v>380</v>
      </c>
      <c r="K8" s="8">
        <f t="shared" ref="K8:M8" si="3">D8+D14+D20+D26+D32+D38+D44</f>
        <v>175</v>
      </c>
      <c r="L8" s="8">
        <f t="shared" si="3"/>
        <v>39</v>
      </c>
      <c r="M8" s="8">
        <f t="shared" si="3"/>
        <v>166</v>
      </c>
      <c r="O8" s="9">
        <f>$K8/($J8-$M8)*100</f>
        <v>81.775700934579447</v>
      </c>
      <c r="P8" s="9">
        <f>$K8/($J8)*100</f>
        <v>46.05263157894737</v>
      </c>
    </row>
    <row r="9" spans="2:17" x14ac:dyDescent="0.55000000000000004">
      <c r="J9" s="1">
        <f>SUM(J6:J7)</f>
        <v>380</v>
      </c>
      <c r="K9" s="1">
        <f t="shared" ref="K9:M9" si="4">SUM(K6:K7)</f>
        <v>175</v>
      </c>
      <c r="L9" s="1">
        <f t="shared" si="4"/>
        <v>39</v>
      </c>
      <c r="M9" s="1">
        <f t="shared" si="4"/>
        <v>166</v>
      </c>
    </row>
    <row r="10" spans="2:17" ht="15.5" thickBot="1" x14ac:dyDescent="0.6">
      <c r="B10" s="1" t="s">
        <v>5</v>
      </c>
    </row>
    <row r="11" spans="2:17" ht="26.5" thickBot="1" x14ac:dyDescent="0.6">
      <c r="B11" s="2" t="s">
        <v>0</v>
      </c>
      <c r="C11" s="2">
        <v>95</v>
      </c>
      <c r="D11" s="2">
        <v>69</v>
      </c>
      <c r="E11" s="2">
        <v>25</v>
      </c>
      <c r="F11" s="2">
        <v>1</v>
      </c>
      <c r="I11" s="1" t="s">
        <v>17</v>
      </c>
    </row>
    <row r="12" spans="2:17" ht="27" thickTop="1" thickBot="1" x14ac:dyDescent="0.6">
      <c r="B12" s="3" t="s">
        <v>1</v>
      </c>
      <c r="C12" s="4">
        <v>95</v>
      </c>
      <c r="D12" s="4">
        <v>5</v>
      </c>
      <c r="E12" s="4">
        <v>0</v>
      </c>
      <c r="F12" s="4">
        <v>90</v>
      </c>
      <c r="I12" s="10" t="s">
        <v>2</v>
      </c>
      <c r="J12" s="11">
        <v>170</v>
      </c>
      <c r="K12" s="11">
        <v>83</v>
      </c>
      <c r="L12" s="11">
        <v>22</v>
      </c>
      <c r="M12" s="11">
        <v>64</v>
      </c>
      <c r="O12" s="9">
        <f>$K12/($J12-$M12)*100</f>
        <v>78.301886792452834</v>
      </c>
      <c r="P12" s="9">
        <f>$K12/($J12)*100</f>
        <v>48.823529411764703</v>
      </c>
    </row>
    <row r="13" spans="2:17" ht="26.5" thickBot="1" x14ac:dyDescent="0.6">
      <c r="B13" s="5" t="s">
        <v>2</v>
      </c>
      <c r="C13" s="6">
        <v>0</v>
      </c>
      <c r="D13" s="6">
        <v>0</v>
      </c>
      <c r="E13" s="6">
        <v>0</v>
      </c>
      <c r="F13" s="6">
        <v>0</v>
      </c>
    </row>
    <row r="14" spans="2:17" ht="26.5" thickBot="1" x14ac:dyDescent="0.6">
      <c r="B14" s="7" t="s">
        <v>3</v>
      </c>
      <c r="C14" s="8">
        <v>95</v>
      </c>
      <c r="D14" s="8">
        <v>5</v>
      </c>
      <c r="E14" s="8">
        <v>0</v>
      </c>
      <c r="F14" s="8">
        <v>90</v>
      </c>
      <c r="I14" s="1" t="s">
        <v>21</v>
      </c>
      <c r="J14" s="1">
        <f>J7+J12</f>
        <v>237</v>
      </c>
      <c r="K14" s="1">
        <f t="shared" ref="K14:M14" si="5">K7+K12</f>
        <v>111</v>
      </c>
      <c r="L14" s="1">
        <f t="shared" si="5"/>
        <v>42</v>
      </c>
      <c r="M14" s="1">
        <f t="shared" si="5"/>
        <v>83</v>
      </c>
      <c r="O14" s="9">
        <f>$K14/($J14-$M14)*100</f>
        <v>72.077922077922068</v>
      </c>
      <c r="P14" s="9">
        <f>$K14/($J14)*100</f>
        <v>46.835443037974684</v>
      </c>
      <c r="Q14" s="1">
        <f>J14-M14</f>
        <v>154</v>
      </c>
    </row>
    <row r="16" spans="2:17" ht="15.5" thickBot="1" x14ac:dyDescent="0.6">
      <c r="B16" s="1" t="s">
        <v>6</v>
      </c>
    </row>
    <row r="17" spans="2:17" ht="26.5" thickBot="1" x14ac:dyDescent="0.6">
      <c r="B17" s="2" t="s">
        <v>0</v>
      </c>
      <c r="C17" s="2">
        <v>72</v>
      </c>
      <c r="D17" s="2">
        <v>64</v>
      </c>
      <c r="E17" s="2">
        <v>8</v>
      </c>
      <c r="F17" s="2">
        <v>0</v>
      </c>
      <c r="I17" s="1" t="s">
        <v>19</v>
      </c>
      <c r="J17" s="1">
        <f>J8+J12</f>
        <v>550</v>
      </c>
      <c r="K17" s="1">
        <f>K8+K12</f>
        <v>258</v>
      </c>
      <c r="L17" s="1">
        <f>L8+L12</f>
        <v>61</v>
      </c>
      <c r="M17" s="1">
        <f>M8+M12</f>
        <v>230</v>
      </c>
      <c r="O17" s="9">
        <f>$K17/($J17-$M17)*100</f>
        <v>80.625</v>
      </c>
      <c r="P17" s="9">
        <f>$K17/($J17)*100</f>
        <v>46.909090909090914</v>
      </c>
      <c r="Q17" s="1">
        <f>J17-M17</f>
        <v>320</v>
      </c>
    </row>
    <row r="18" spans="2:17" ht="27" thickTop="1" thickBot="1" x14ac:dyDescent="0.6">
      <c r="B18" s="3" t="s">
        <v>1</v>
      </c>
      <c r="C18" s="4">
        <v>72</v>
      </c>
      <c r="D18" s="4">
        <v>58</v>
      </c>
      <c r="E18" s="4">
        <v>5</v>
      </c>
      <c r="F18" s="4">
        <v>9</v>
      </c>
    </row>
    <row r="19" spans="2:17" ht="26.5" thickBot="1" x14ac:dyDescent="0.6">
      <c r="B19" s="5" t="s">
        <v>2</v>
      </c>
      <c r="C19" s="6">
        <v>2</v>
      </c>
      <c r="D19" s="6">
        <v>1</v>
      </c>
      <c r="E19" s="6">
        <v>1</v>
      </c>
      <c r="F19" s="6">
        <v>0</v>
      </c>
    </row>
    <row r="20" spans="2:17" ht="26.5" thickBot="1" x14ac:dyDescent="0.6">
      <c r="B20" s="7" t="s">
        <v>3</v>
      </c>
      <c r="C20" s="8">
        <v>74</v>
      </c>
      <c r="D20" s="8">
        <v>59</v>
      </c>
      <c r="E20" s="8">
        <v>6</v>
      </c>
      <c r="F20" s="8">
        <v>9</v>
      </c>
      <c r="I20" s="12" t="s">
        <v>20</v>
      </c>
      <c r="J20" s="12"/>
      <c r="K20" s="12"/>
      <c r="L20" s="12"/>
    </row>
    <row r="21" spans="2:17" x14ac:dyDescent="0.55000000000000004">
      <c r="I21" s="12" t="s">
        <v>22</v>
      </c>
      <c r="J21" s="12"/>
      <c r="K21" s="12"/>
      <c r="L21" s="12"/>
    </row>
    <row r="22" spans="2:17" ht="15.5" thickBot="1" x14ac:dyDescent="0.6">
      <c r="B22" s="1" t="s">
        <v>7</v>
      </c>
      <c r="I22" s="12" t="s">
        <v>23</v>
      </c>
      <c r="J22" s="12"/>
      <c r="K22" s="12"/>
      <c r="L22" s="12"/>
    </row>
    <row r="23" spans="2:17" ht="26.5" thickBot="1" x14ac:dyDescent="0.6">
      <c r="B23" s="2" t="s">
        <v>0</v>
      </c>
      <c r="C23" s="2">
        <v>52</v>
      </c>
      <c r="D23" s="2">
        <v>44</v>
      </c>
      <c r="E23" s="2">
        <v>8</v>
      </c>
      <c r="F23" s="2">
        <v>0</v>
      </c>
    </row>
    <row r="24" spans="2:17" ht="27" thickTop="1" thickBot="1" x14ac:dyDescent="0.6">
      <c r="B24" s="3" t="s">
        <v>1</v>
      </c>
      <c r="C24" s="4">
        <v>52</v>
      </c>
      <c r="D24" s="4">
        <v>45</v>
      </c>
      <c r="E24" s="4">
        <v>1</v>
      </c>
      <c r="F24" s="4">
        <v>6</v>
      </c>
    </row>
    <row r="25" spans="2:17" ht="26.5" thickBot="1" x14ac:dyDescent="0.6">
      <c r="B25" s="5" t="s">
        <v>2</v>
      </c>
      <c r="C25" s="6">
        <v>5</v>
      </c>
      <c r="D25" s="6">
        <v>3</v>
      </c>
      <c r="E25" s="6">
        <v>1</v>
      </c>
      <c r="F25" s="6">
        <v>1</v>
      </c>
    </row>
    <row r="26" spans="2:17" ht="26.5" thickBot="1" x14ac:dyDescent="0.6">
      <c r="B26" s="7" t="s">
        <v>3</v>
      </c>
      <c r="C26" s="8">
        <v>57</v>
      </c>
      <c r="D26" s="8">
        <v>48</v>
      </c>
      <c r="E26" s="8">
        <v>2</v>
      </c>
      <c r="F26" s="8">
        <v>7</v>
      </c>
    </row>
    <row r="28" spans="2:17" ht="15.5" thickBot="1" x14ac:dyDescent="0.6">
      <c r="B28" s="1" t="s">
        <v>8</v>
      </c>
    </row>
    <row r="29" spans="2:17" ht="26.5" thickBot="1" x14ac:dyDescent="0.6">
      <c r="B29" s="2" t="s">
        <v>0</v>
      </c>
      <c r="C29" s="2">
        <v>44</v>
      </c>
      <c r="D29" s="2">
        <v>40</v>
      </c>
      <c r="E29" s="2">
        <v>2</v>
      </c>
      <c r="F29" s="2">
        <v>2</v>
      </c>
    </row>
    <row r="30" spans="2:17" ht="27" thickTop="1" thickBot="1" x14ac:dyDescent="0.6">
      <c r="B30" s="3" t="s">
        <v>1</v>
      </c>
      <c r="C30" s="4">
        <v>44</v>
      </c>
      <c r="D30" s="4">
        <v>17</v>
      </c>
      <c r="E30" s="4">
        <v>2</v>
      </c>
      <c r="F30" s="4">
        <v>25</v>
      </c>
    </row>
    <row r="31" spans="2:17" ht="26.5" thickBot="1" x14ac:dyDescent="0.6">
      <c r="B31" s="5" t="s">
        <v>2</v>
      </c>
      <c r="C31" s="6">
        <v>10</v>
      </c>
      <c r="D31" s="6">
        <v>6</v>
      </c>
      <c r="E31" s="6">
        <v>0</v>
      </c>
      <c r="F31" s="6">
        <v>4</v>
      </c>
    </row>
    <row r="32" spans="2:17" ht="26.5" thickBot="1" x14ac:dyDescent="0.6">
      <c r="B32" s="7" t="s">
        <v>3</v>
      </c>
      <c r="C32" s="8">
        <v>54</v>
      </c>
      <c r="D32" s="8">
        <v>23</v>
      </c>
      <c r="E32" s="8">
        <v>2</v>
      </c>
      <c r="F32" s="8">
        <v>29</v>
      </c>
    </row>
    <row r="34" spans="2:6" ht="15.5" thickBot="1" x14ac:dyDescent="0.6">
      <c r="B34" s="1" t="s">
        <v>9</v>
      </c>
    </row>
    <row r="35" spans="2:6" ht="26.5" thickBot="1" x14ac:dyDescent="0.6">
      <c r="B35" s="2" t="s">
        <v>0</v>
      </c>
      <c r="C35" s="2">
        <v>34</v>
      </c>
      <c r="D35" s="2">
        <v>19</v>
      </c>
      <c r="E35" s="2">
        <v>7</v>
      </c>
      <c r="F35" s="2">
        <v>8</v>
      </c>
    </row>
    <row r="36" spans="2:6" ht="27" thickTop="1" thickBot="1" x14ac:dyDescent="0.6">
      <c r="B36" s="3" t="s">
        <v>1</v>
      </c>
      <c r="C36" s="4">
        <v>34</v>
      </c>
      <c r="D36" s="4">
        <v>9</v>
      </c>
      <c r="E36" s="4">
        <v>10</v>
      </c>
      <c r="F36" s="4">
        <v>15</v>
      </c>
    </row>
    <row r="37" spans="2:6" ht="26.5" thickBot="1" x14ac:dyDescent="0.6">
      <c r="B37" s="5" t="s">
        <v>2</v>
      </c>
      <c r="C37" s="6">
        <v>32</v>
      </c>
      <c r="D37" s="6">
        <v>11</v>
      </c>
      <c r="E37" s="6">
        <v>15</v>
      </c>
      <c r="F37" s="6">
        <v>6</v>
      </c>
    </row>
    <row r="38" spans="2:6" ht="26.5" thickBot="1" x14ac:dyDescent="0.6">
      <c r="B38" s="7" t="s">
        <v>3</v>
      </c>
      <c r="C38" s="8">
        <v>66</v>
      </c>
      <c r="D38" s="8">
        <v>20</v>
      </c>
      <c r="E38" s="8">
        <v>25</v>
      </c>
      <c r="F38" s="8">
        <v>21</v>
      </c>
    </row>
    <row r="40" spans="2:6" ht="15.5" thickBot="1" x14ac:dyDescent="0.6">
      <c r="B40" s="1" t="s">
        <v>10</v>
      </c>
    </row>
    <row r="41" spans="2:6" ht="26.5" thickBot="1" x14ac:dyDescent="0.6">
      <c r="B41" s="2" t="s">
        <v>0</v>
      </c>
      <c r="C41" s="2">
        <v>0</v>
      </c>
      <c r="D41" s="2">
        <v>0</v>
      </c>
      <c r="E41" s="2">
        <v>0</v>
      </c>
      <c r="F41" s="2">
        <v>0</v>
      </c>
    </row>
    <row r="42" spans="2:6" ht="27" thickTop="1" thickBot="1" x14ac:dyDescent="0.6">
      <c r="B42" s="3" t="s">
        <v>1</v>
      </c>
      <c r="C42" s="4">
        <v>0</v>
      </c>
      <c r="D42" s="4">
        <v>0</v>
      </c>
      <c r="E42" s="4">
        <v>0</v>
      </c>
      <c r="F42" s="4">
        <v>0</v>
      </c>
    </row>
    <row r="43" spans="2:6" ht="26.5" thickBot="1" x14ac:dyDescent="0.6">
      <c r="B43" s="5" t="s">
        <v>2</v>
      </c>
      <c r="C43" s="6">
        <v>18</v>
      </c>
      <c r="D43" s="6">
        <v>7</v>
      </c>
      <c r="E43" s="6">
        <v>3</v>
      </c>
      <c r="F43" s="6">
        <v>8</v>
      </c>
    </row>
    <row r="44" spans="2:6" ht="26.5" thickBot="1" x14ac:dyDescent="0.6">
      <c r="B44" s="7" t="s">
        <v>3</v>
      </c>
      <c r="C44" s="8">
        <v>18</v>
      </c>
      <c r="D44" s="8">
        <v>7</v>
      </c>
      <c r="E44" s="8">
        <v>3</v>
      </c>
      <c r="F44" s="8">
        <v>8</v>
      </c>
    </row>
  </sheetData>
  <phoneticPr fontId="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7D8DE12D48B47B0D44EEF0BC44240" ma:contentTypeVersion="3" ma:contentTypeDescription="Create a new document." ma:contentTypeScope="" ma:versionID="16c51bd49fd1e4ed1770dd35df481b43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153b58a2c46f1fad70237535d3299674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EDB396-3A95-4DAC-AE38-E8353DC479FE}">
  <ds:schemaRefs>
    <ds:schemaRef ds:uri="1df7edc7-a6f5-4c90-ac32-5bbbd499fd6a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1f1f8a3f-673e-4aee-b429-7a8185133956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A180112-F807-42EF-929F-152B77DD53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572D5E-9DFB-4036-94EC-CDCB2F6F75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アドオン審査会反映後</vt:lpstr>
      <vt:lpstr>アドオン審査会反映前</vt:lpstr>
    </vt:vector>
  </TitlesOfParts>
  <Company>Japan Business Systems,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Akinobu, Saki</dc:creator>
  <cp:lastModifiedBy>Akinobu, Saki</cp:lastModifiedBy>
  <dcterms:created xsi:type="dcterms:W3CDTF">2024-05-10T05:55:05Z</dcterms:created>
  <dcterms:modified xsi:type="dcterms:W3CDTF">2024-05-10T08:42:08Z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</Properties>
</file>