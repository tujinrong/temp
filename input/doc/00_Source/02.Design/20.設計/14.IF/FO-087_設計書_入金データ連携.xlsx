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2.基本設計書 (Basic Design)/"/>
    </mc:Choice>
  </mc:AlternateContent>
  <xr:revisionPtr revIDLastSave="321" documentId="1_{0DC4B38F-FF50-4FC5-91FB-FBAEE271B91A}" xr6:coauthVersionLast="47" xr6:coauthVersionMax="47" xr10:uidLastSave="{AAC74C6F-0FDA-4091-B5F4-7315B3375FDD}"/>
  <bookViews>
    <workbookView xWindow="-110" yWindow="-110" windowWidth="22780" windowHeight="14540" tabRatio="889" xr2:uid="{00000000-000D-0000-FFFF-FFFF00000000}"/>
  </bookViews>
  <sheets>
    <sheet name="表紙" sheetId="21" r:id="rId1"/>
    <sheet name="変更履歴" sheetId="30" r:id="rId2"/>
    <sheet name="処理概要" sheetId="5" r:id="rId3"/>
    <sheet name="テーブル一覧" sheetId="23" r:id="rId4"/>
    <sheet name="DFD" sheetId="4" r:id="rId5"/>
    <sheet name="イベント説明" sheetId="8" r:id="rId6"/>
    <sheet name="画面レイアウト" sheetId="9" r:id="rId7"/>
    <sheet name="画面項目説明" sheetId="11" r:id="rId8"/>
    <sheet name="ファイルレイアウト(区切り)" sheetId="48" r:id="rId9"/>
    <sheet name="テーブル出力仕様(インターフェース件数管理)" sheetId="19" state="hidden" r:id="rId10"/>
    <sheet name="補足説明(画面マッピング)" sheetId="42" r:id="rId11"/>
    <sheet name="補足説明(機能関連図)" sheetId="41" r:id="rId12"/>
    <sheet name="補足説明(汎用パラメータ)" sheetId="47" state="hidden" r:id="rId13"/>
    <sheet name="補足説明(画面項目イメージ)" sheetId="49" r:id="rId14"/>
    <sheet name="レビュー指摘事項" sheetId="31" r:id="rId15"/>
    <sheet name="オブジェクト一覧" sheetId="27" r:id="rId16"/>
    <sheet name="プログラムフロー図" sheetId="29" r:id="rId17"/>
    <sheet name="マスタ" sheetId="20" state="hidden" r:id="rId18"/>
  </sheets>
  <definedNames>
    <definedName name="_Fill" localSheetId="14" hidden="1">#REF!</definedName>
    <definedName name="_Fill" localSheetId="1" hidden="1">#REF!</definedName>
    <definedName name="_Fill" localSheetId="12" hidden="1">#REF!</definedName>
    <definedName name="_Fill" hidden="1">#REF!</definedName>
    <definedName name="_xlnm._FilterDatabase" localSheetId="8" hidden="1">'ファイルレイアウト(区切り)'!$A$8:$BJ$18</definedName>
    <definedName name="AS2DocOpenMode" hidden="1">"AS2DocumentEdit"</definedName>
    <definedName name="bbb" localSheetId="12" hidden="1">#REF!</definedName>
    <definedName name="bbb" hidden="1">#REF!</definedName>
    <definedName name="HTML_CodePage" hidden="1">932</definedName>
    <definedName name="HTML_Control" localSheetId="8" hidden="1">{"'分担ﾙｰﾙ'!$A$1:$M$72","'分担ﾙｰﾙ'!$A$19:$M$71"}</definedName>
    <definedName name="HTML_Control" localSheetId="14" hidden="1">{"'分担ﾙｰﾙ'!$A$1:$M$72","'分担ﾙｰﾙ'!$A$19:$M$71"}</definedName>
    <definedName name="HTML_Control" localSheetId="0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13" hidden="1">{"'分担ﾙｰﾙ'!$A$1:$M$72","'分担ﾙｰﾙ'!$A$19:$M$71"}</definedName>
    <definedName name="HTML_Control" localSheetId="12" hidden="1">{"'分担ﾙｰﾙ'!$A$1:$M$72","'分担ﾙｰﾙ'!$A$19:$M$71"}</definedName>
    <definedName name="HTML_Control" hidden="1">{"'分担ﾙｰﾙ'!$A$1:$M$72","'分担ﾙｰﾙ'!$A$19:$M$71"}</definedName>
    <definedName name="HTML_Control1" localSheetId="8" hidden="1">{"'分担ﾙｰﾙ'!$A$1:$M$72","'分担ﾙｰﾙ'!$A$19:$M$71"}</definedName>
    <definedName name="HTML_Control1" localSheetId="14" hidden="1">{"'分担ﾙｰﾙ'!$A$1:$M$72","'分担ﾙｰﾙ'!$A$19:$M$71"}</definedName>
    <definedName name="HTML_Control1" localSheetId="0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13" hidden="1">{"'分担ﾙｰﾙ'!$A$1:$M$72","'分担ﾙｰﾙ'!$A$19:$M$71"}</definedName>
    <definedName name="HTML_Control1" localSheetId="12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o">マスタ!$A$3:$A$5</definedName>
    <definedName name="_xlnm.Print_Area" localSheetId="4">DFD!$A$1:$BI$61</definedName>
    <definedName name="_xlnm.Print_Area" localSheetId="12">'補足説明(汎用パラメータ)'!$A$1:$BI$25</definedName>
    <definedName name="Visivility">マスタ!$F$3:$F$4</definedName>
    <definedName name="あああ" localSheetId="8" hidden="1">#REF!</definedName>
    <definedName name="あああ" localSheetId="14" hidden="1">#REF!</definedName>
    <definedName name="あああ" localSheetId="1" hidden="1">#REF!</definedName>
    <definedName name="あああ" localSheetId="12" hidden="1">#REF!</definedName>
    <definedName name="あああ" hidden="1">#REF!</definedName>
    <definedName name="えええ" localSheetId="8" hidden="1">{"'9.項目'!$B$5:$AW$60"}</definedName>
    <definedName name="えええ" localSheetId="14" hidden="1">{"'9.項目'!$B$5:$AW$60"}</definedName>
    <definedName name="えええ" localSheetId="0" hidden="1">{"'9.項目'!$B$5:$AW$60"}</definedName>
    <definedName name="えええ" localSheetId="1" hidden="1">{"'9.項目'!$B$5:$AW$60"}</definedName>
    <definedName name="えええ" localSheetId="13" hidden="1">{"'9.項目'!$B$5:$AW$60"}</definedName>
    <definedName name="えええ" localSheetId="12" hidden="1">{"'9.項目'!$B$5:$AW$60"}</definedName>
    <definedName name="えええ" hidden="1">{"'9.項目'!$B$5:$AW$60"}</definedName>
    <definedName name="オブジェクト">マスタ!$H$7:$H$20</definedName>
    <definedName name="オブジェクト一覧">マスタ!$H$3:$H$20</definedName>
    <definedName name="テーブル種別">マスタ!$G$3:$G$4</definedName>
    <definedName name="マスタ">マスタ!$H$3:$H$20</definedName>
    <definedName name="横位置">マスタ!$C$3:$C$6</definedName>
    <definedName name="作成日">DATE(2000,3,21)</definedName>
    <definedName name="縦位置">マスタ!$D$3:$D$6</definedName>
    <definedName name="書式">マスタ!$B$3:$B$5</definedName>
    <definedName name="折り返して全体を表示する">マスタ!$E$3:$E$4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23" l="1"/>
  <c r="A10" i="23"/>
  <c r="A9" i="23"/>
  <c r="A14" i="23" l="1"/>
  <c r="A13" i="23"/>
  <c r="A12" i="23"/>
  <c r="A14" i="48" l="1"/>
  <c r="A13" i="48"/>
  <c r="A12" i="48"/>
  <c r="A11" i="48"/>
  <c r="A16" i="23" l="1"/>
  <c r="A15" i="23"/>
  <c r="A6" i="23" l="1"/>
  <c r="A10" i="48" l="1"/>
  <c r="A18" i="48" l="1"/>
  <c r="A17" i="48"/>
  <c r="A16" i="48"/>
  <c r="A9" i="48"/>
  <c r="AT3" i="49"/>
  <c r="BB2" i="49"/>
  <c r="AT2" i="49"/>
  <c r="AE2" i="49"/>
  <c r="W2" i="49"/>
  <c r="Q2" i="49"/>
  <c r="F2" i="49"/>
  <c r="BB1" i="49"/>
  <c r="AT1" i="49"/>
  <c r="AE1" i="49"/>
  <c r="W1" i="49"/>
  <c r="Q1" i="49"/>
  <c r="F1" i="49"/>
  <c r="AT3" i="23" l="1"/>
  <c r="BB2" i="23"/>
  <c r="AT2" i="23"/>
  <c r="AE2" i="23"/>
  <c r="W2" i="23"/>
  <c r="Q2" i="23"/>
  <c r="F2" i="23"/>
  <c r="BB1" i="23"/>
  <c r="AT1" i="23"/>
  <c r="AE1" i="23"/>
  <c r="W1" i="23"/>
  <c r="Q1" i="23"/>
  <c r="F1" i="23"/>
  <c r="A7" i="23" l="1"/>
  <c r="A8" i="23"/>
  <c r="A17" i="23"/>
  <c r="A18" i="23"/>
  <c r="A19" i="23"/>
  <c r="A15" i="48" l="1"/>
  <c r="AT3" i="48"/>
  <c r="BB2" i="48"/>
  <c r="AT2" i="48"/>
  <c r="AE2" i="48"/>
  <c r="W2" i="48"/>
  <c r="Q2" i="48"/>
  <c r="F2" i="48"/>
  <c r="BB1" i="48"/>
  <c r="AT1" i="48"/>
  <c r="AE1" i="48"/>
  <c r="W1" i="48"/>
  <c r="Q1" i="48"/>
  <c r="F1" i="48"/>
  <c r="A12" i="19" l="1"/>
  <c r="AT3" i="47" l="1"/>
  <c r="BB2" i="47"/>
  <c r="AT2" i="47"/>
  <c r="AE2" i="47"/>
  <c r="W2" i="47"/>
  <c r="Q2" i="47"/>
  <c r="F2" i="47"/>
  <c r="BB1" i="47"/>
  <c r="AT1" i="47"/>
  <c r="AE1" i="47"/>
  <c r="W1" i="47"/>
  <c r="Q1" i="47"/>
  <c r="F1" i="47"/>
  <c r="B14" i="21" l="1"/>
  <c r="AT3" i="42" l="1"/>
  <c r="BB2" i="42"/>
  <c r="AT2" i="42"/>
  <c r="AE2" i="42"/>
  <c r="W2" i="42"/>
  <c r="Q2" i="42"/>
  <c r="F2" i="42"/>
  <c r="BB1" i="42"/>
  <c r="AT1" i="42"/>
  <c r="AE1" i="42"/>
  <c r="W1" i="42"/>
  <c r="Q1" i="42"/>
  <c r="F1" i="42"/>
  <c r="AT3" i="41" l="1"/>
  <c r="BB2" i="41"/>
  <c r="AT2" i="41"/>
  <c r="AE2" i="41"/>
  <c r="W2" i="41"/>
  <c r="Q2" i="41"/>
  <c r="F2" i="41"/>
  <c r="BB1" i="41"/>
  <c r="AT1" i="41"/>
  <c r="AE1" i="41"/>
  <c r="W1" i="41"/>
  <c r="Q1" i="41"/>
  <c r="F1" i="41"/>
  <c r="A14" i="19" l="1"/>
  <c r="A15" i="19"/>
  <c r="A11" i="19"/>
  <c r="A16" i="19"/>
  <c r="A10" i="19"/>
  <c r="B22" i="21"/>
  <c r="AT3" i="19" l="1"/>
  <c r="AT2" i="19"/>
  <c r="AE2" i="19"/>
  <c r="W2" i="19"/>
  <c r="Q2" i="19"/>
  <c r="BB1" i="19"/>
  <c r="AT1" i="19"/>
  <c r="AE1" i="19"/>
  <c r="W1" i="19"/>
  <c r="Q1" i="19"/>
  <c r="F1" i="19"/>
  <c r="F2" i="19" l="1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18" i="19" l="1"/>
  <c r="A17" i="19"/>
  <c r="A9" i="19"/>
  <c r="A30" i="23"/>
  <c r="A29" i="23"/>
  <c r="A28" i="23"/>
  <c r="A27" i="23"/>
  <c r="A26" i="23"/>
  <c r="A25" i="23"/>
  <c r="A24" i="23"/>
  <c r="A23" i="23"/>
  <c r="A22" i="23"/>
  <c r="A21" i="23"/>
  <c r="A20" i="23"/>
  <c r="A37" i="31"/>
  <c r="A31" i="31"/>
  <c r="A30" i="31"/>
  <c r="A29" i="31"/>
  <c r="A28" i="31"/>
  <c r="A27" i="31"/>
  <c r="A26" i="31"/>
  <c r="A13" i="19"/>
  <c r="A7" i="31" l="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32" i="31"/>
  <c r="A33" i="31"/>
  <c r="A34" i="31"/>
  <c r="A35" i="31"/>
  <c r="A36" i="31"/>
  <c r="A38" i="31"/>
  <c r="A39" i="31"/>
  <c r="A40" i="31"/>
  <c r="A6" i="31"/>
  <c r="AT3" i="31"/>
  <c r="AT2" i="31"/>
  <c r="AE2" i="31"/>
  <c r="W2" i="31"/>
  <c r="Q2" i="31"/>
  <c r="F2" i="31"/>
  <c r="BB1" i="31"/>
  <c r="AT1" i="31"/>
  <c r="AE1" i="31"/>
  <c r="W1" i="31"/>
  <c r="Q1" i="31"/>
  <c r="F1" i="31"/>
  <c r="AT3" i="29" l="1"/>
  <c r="AT2" i="29"/>
  <c r="AE2" i="29"/>
  <c r="W2" i="29"/>
  <c r="Q2" i="29"/>
  <c r="F2" i="29"/>
  <c r="BB1" i="29"/>
  <c r="AT1" i="29"/>
  <c r="AE1" i="29"/>
  <c r="W1" i="29"/>
  <c r="Q1" i="29"/>
  <c r="F1" i="29"/>
  <c r="A7" i="27" l="1"/>
  <c r="A6" i="27"/>
  <c r="AT3" i="27" l="1"/>
  <c r="AT2" i="27"/>
  <c r="AE2" i="27"/>
  <c r="W2" i="27"/>
  <c r="Q2" i="27"/>
  <c r="F2" i="27"/>
  <c r="BB1" i="27"/>
  <c r="AT1" i="27"/>
  <c r="AE1" i="27"/>
  <c r="W1" i="27"/>
  <c r="Q1" i="27"/>
  <c r="F1" i="27"/>
  <c r="AT3" i="11"/>
  <c r="AT2" i="11"/>
  <c r="AE2" i="11"/>
  <c r="W2" i="11"/>
  <c r="Q2" i="11"/>
  <c r="F2" i="11"/>
  <c r="BB1" i="11"/>
  <c r="AT1" i="11"/>
  <c r="AE1" i="11"/>
  <c r="W1" i="11"/>
  <c r="Q1" i="11"/>
  <c r="F1" i="11"/>
  <c r="AT3" i="9"/>
  <c r="AT2" i="9"/>
  <c r="AE2" i="9"/>
  <c r="W2" i="9"/>
  <c r="Q2" i="9"/>
  <c r="F2" i="9"/>
  <c r="BB1" i="9"/>
  <c r="AT1" i="9"/>
  <c r="AE1" i="9"/>
  <c r="W1" i="9"/>
  <c r="Q1" i="9"/>
  <c r="F1" i="9"/>
  <c r="AT3" i="8"/>
  <c r="AT2" i="8"/>
  <c r="AE2" i="8"/>
  <c r="W2" i="8"/>
  <c r="Q2" i="8"/>
  <c r="F2" i="8"/>
  <c r="BB1" i="8"/>
  <c r="AT1" i="8"/>
  <c r="AE1" i="8"/>
  <c r="W1" i="8"/>
  <c r="Q1" i="8"/>
  <c r="F1" i="8"/>
  <c r="AT3" i="4"/>
  <c r="AT2" i="4"/>
  <c r="AE2" i="4"/>
  <c r="W2" i="4"/>
  <c r="Q2" i="4"/>
  <c r="F2" i="4"/>
  <c r="BB1" i="4"/>
  <c r="AT1" i="4"/>
  <c r="AE1" i="4"/>
  <c r="W1" i="4"/>
  <c r="Q1" i="4"/>
  <c r="F1" i="4"/>
  <c r="AT3" i="5"/>
  <c r="AT2" i="5"/>
  <c r="BB1" i="5"/>
  <c r="AT1" i="5"/>
  <c r="AE1" i="5"/>
  <c r="W1" i="5"/>
  <c r="Q1" i="5"/>
  <c r="F1" i="5"/>
  <c r="AE2" i="5"/>
  <c r="W2" i="5"/>
  <c r="Q2" i="5"/>
  <c r="F2" i="5"/>
  <c r="BB2" i="30"/>
  <c r="AV2" i="30"/>
  <c r="BB3" i="30" a="1"/>
  <c r="B24" i="21"/>
  <c r="AV3" i="30" a="1"/>
  <c r="AV2" i="23" l="1"/>
  <c r="AV2" i="49"/>
  <c r="AV2" i="48"/>
  <c r="AV2" i="47"/>
  <c r="AV2" i="42"/>
  <c r="AV2" i="41"/>
  <c r="AV2" i="19"/>
  <c r="F31" i="21"/>
  <c r="BB2" i="19"/>
  <c r="AV2" i="29"/>
  <c r="AV2" i="31"/>
  <c r="BB2" i="4"/>
  <c r="BB2" i="29"/>
  <c r="BB2" i="31"/>
  <c r="BB2" i="27"/>
  <c r="BB2" i="11"/>
  <c r="BB2" i="8"/>
  <c r="AV2" i="9"/>
  <c r="F30" i="21"/>
  <c r="AV2" i="8"/>
  <c r="AV2" i="11"/>
  <c r="AV2" i="5"/>
  <c r="AV2" i="4"/>
  <c r="AV2" i="27"/>
  <c r="BB2" i="5"/>
  <c r="BB2" i="9"/>
  <c r="BB3" i="30"/>
  <c r="AV3" i="30"/>
  <c r="AV3" i="23" l="1"/>
  <c r="AV3" i="49"/>
  <c r="BB3" i="23"/>
  <c r="BB3" i="49"/>
  <c r="AV3" i="48"/>
  <c r="BB3" i="48"/>
  <c r="AV3" i="47"/>
  <c r="BB3" i="47"/>
  <c r="BB3" i="41"/>
  <c r="BB3" i="42"/>
  <c r="AV3" i="41"/>
  <c r="AV3" i="42"/>
  <c r="AV3" i="19"/>
  <c r="BB3" i="19"/>
  <c r="AV3" i="31"/>
  <c r="BB3" i="31"/>
  <c r="AV3" i="27"/>
  <c r="AV3" i="29"/>
  <c r="BB3" i="27"/>
  <c r="BB3" i="29"/>
  <c r="AV3" i="9"/>
  <c r="AV3" i="11"/>
  <c r="BB3" i="9"/>
  <c r="BB3" i="11"/>
  <c r="AV3" i="4"/>
  <c r="AV3" i="8"/>
  <c r="BB3" i="4"/>
  <c r="BB3" i="8"/>
  <c r="AV3" i="5"/>
  <c r="BB3" i="5"/>
</calcChain>
</file>

<file path=xl/sharedStrings.xml><?xml version="1.0" encoding="utf-8"?>
<sst xmlns="http://schemas.openxmlformats.org/spreadsheetml/2006/main" count="609" uniqueCount="433">
  <si>
    <t>サンスター株式会社　御中</t>
    <rPh sb="5" eb="9">
      <t>カブシキガイシャ</t>
    </rPh>
    <rPh sb="10" eb="12">
      <t>オンチュウ</t>
    </rPh>
    <phoneticPr fontId="2"/>
  </si>
  <si>
    <t>会計システム刷新プロジェクト（LIBRA）</t>
    <rPh sb="0" eb="2">
      <t>カイケイ</t>
    </rPh>
    <rPh sb="6" eb="8">
      <t>サッシン</t>
    </rPh>
    <phoneticPr fontId="2"/>
  </si>
  <si>
    <t>＜機能ID&gt;_＜画面名＞画面を入力</t>
  </si>
  <si>
    <t>日本ビジネスシステムズ株式会社</t>
    <rPh sb="0" eb="2">
      <t>ニホン</t>
    </rPh>
    <rPh sb="11" eb="15">
      <t>カブシキガイシャ</t>
    </rPh>
    <phoneticPr fontId="2"/>
  </si>
  <si>
    <t>作成者</t>
    <rPh sb="0" eb="3">
      <t>サクセイシャ</t>
    </rPh>
    <phoneticPr fontId="2"/>
  </si>
  <si>
    <t>JBS承認者</t>
    <rPh sb="3" eb="6">
      <t>ショウニンシャ</t>
    </rPh>
    <phoneticPr fontId="2"/>
  </si>
  <si>
    <t>基本設計部確認者</t>
    <rPh sb="0" eb="5">
      <t>キホンセッケイブ</t>
    </rPh>
    <rPh sb="5" eb="7">
      <t>カクニン</t>
    </rPh>
    <rPh sb="7" eb="8">
      <t>シャ</t>
    </rPh>
    <phoneticPr fontId="2"/>
  </si>
  <si>
    <t>JBS加藤</t>
    <rPh sb="3" eb="5">
      <t>カトウ</t>
    </rPh>
    <phoneticPr fontId="2"/>
  </si>
  <si>
    <t>サンスター佐保</t>
    <phoneticPr fontId="2"/>
  </si>
  <si>
    <t>設計書</t>
    <rPh sb="0" eb="3">
      <t>セッケイショ</t>
    </rPh>
    <phoneticPr fontId="3"/>
  </si>
  <si>
    <t>システム名</t>
    <rPh sb="4" eb="5">
      <t>メイ</t>
    </rPh>
    <phoneticPr fontId="2"/>
  </si>
  <si>
    <t>機能分類</t>
    <rPh sb="0" eb="2">
      <t>キノウ</t>
    </rPh>
    <rPh sb="2" eb="4">
      <t>ブンルイ</t>
    </rPh>
    <phoneticPr fontId="3"/>
  </si>
  <si>
    <t>機能ＩＤ</t>
    <rPh sb="0" eb="2">
      <t>キノウ</t>
    </rPh>
    <phoneticPr fontId="3"/>
  </si>
  <si>
    <t>機能名称</t>
    <rPh sb="0" eb="2">
      <t>キノウ</t>
    </rPh>
    <phoneticPr fontId="3"/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</si>
  <si>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</si>
  <si>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3"/>
  </si>
  <si>
    <t>Dynamics365 for Finance and Operations</t>
  </si>
  <si>
    <t>債権・債務</t>
    <rPh sb="0" eb="2">
      <t>サイケン</t>
    </rPh>
    <rPh sb="3" eb="5">
      <t>サイム</t>
    </rPh>
    <phoneticPr fontId="2"/>
  </si>
  <si>
    <t>FO-087</t>
    <phoneticPr fontId="3"/>
  </si>
  <si>
    <t>入金データ連携</t>
    <rPh sb="0" eb="2">
      <t>ニュウキン</t>
    </rPh>
    <rPh sb="5" eb="7">
      <t>レンケイ</t>
    </rPh>
    <phoneticPr fontId="2"/>
  </si>
  <si>
    <t>作成</t>
    <rPh sb="0" eb="2">
      <t>サクセイ</t>
    </rPh>
    <phoneticPr fontId="3"/>
  </si>
  <si>
    <t>更新</t>
    <rPh sb="0" eb="2">
      <t>コウシン</t>
    </rPh>
    <phoneticPr fontId="3"/>
  </si>
  <si>
    <t>（表紙同様値）</t>
  </si>
  <si>
    <t>変更年月日</t>
    <rPh sb="0" eb="2">
      <t>ヘンコウ</t>
    </rPh>
    <rPh sb="2" eb="5">
      <t>ネンガッピ</t>
    </rPh>
    <phoneticPr fontId="19"/>
  </si>
  <si>
    <t>変更箇所</t>
    <rPh sb="0" eb="2">
      <t>ヘンコウ</t>
    </rPh>
    <rPh sb="2" eb="4">
      <t>カショ</t>
    </rPh>
    <phoneticPr fontId="19"/>
  </si>
  <si>
    <t>変更内容</t>
    <rPh sb="0" eb="2">
      <t>ヘンコウ</t>
    </rPh>
    <rPh sb="2" eb="4">
      <t>ナイヨウ</t>
    </rPh>
    <phoneticPr fontId="19"/>
  </si>
  <si>
    <t>変更者</t>
    <rPh sb="0" eb="2">
      <t>ヘンコウ</t>
    </rPh>
    <rPh sb="2" eb="3">
      <t>シャ</t>
    </rPh>
    <phoneticPr fontId="19"/>
  </si>
  <si>
    <t>版数</t>
    <rPh sb="0" eb="1">
      <t>ハン</t>
    </rPh>
    <rPh sb="1" eb="2">
      <t>スウ</t>
    </rPh>
    <phoneticPr fontId="19"/>
  </si>
  <si>
    <t>新規作成</t>
    <rPh sb="0" eb="2">
      <t>シンキ</t>
    </rPh>
    <rPh sb="2" eb="4">
      <t>サクセイ</t>
    </rPh>
    <phoneticPr fontId="2"/>
  </si>
  <si>
    <t>新規作成</t>
    <rPh sb="0" eb="4">
      <t>シンキサクセイ</t>
    </rPh>
    <phoneticPr fontId="17"/>
  </si>
  <si>
    <t>JBS石岡</t>
    <rPh sb="3" eb="5">
      <t>イシオカ</t>
    </rPh>
    <phoneticPr fontId="2"/>
  </si>
  <si>
    <t>1.0</t>
    <phoneticPr fontId="2"/>
  </si>
  <si>
    <t>シート：イベント説明</t>
    <rPh sb="8" eb="10">
      <t>セツメイ</t>
    </rPh>
    <phoneticPr fontId="2"/>
  </si>
  <si>
    <t>・48,49行目の項目名を修正（画面.月　→　画面.会計期間）
・全体的に物理名を追記</t>
    <rPh sb="6" eb="8">
      <t>ギョウメ</t>
    </rPh>
    <rPh sb="9" eb="12">
      <t>コウモクメイ</t>
    </rPh>
    <rPh sb="13" eb="15">
      <t>シュウセイ</t>
    </rPh>
    <rPh sb="16" eb="18">
      <t>ガメン</t>
    </rPh>
    <rPh sb="19" eb="20">
      <t>ツキ</t>
    </rPh>
    <rPh sb="23" eb="25">
      <t>ガメン</t>
    </rPh>
    <rPh sb="26" eb="30">
      <t>カイケイキカン</t>
    </rPh>
    <rPh sb="33" eb="35">
      <t>ゼンタイ</t>
    </rPh>
    <rPh sb="35" eb="36">
      <t>テキ</t>
    </rPh>
    <rPh sb="37" eb="40">
      <t>ブツリメイ</t>
    </rPh>
    <rPh sb="41" eb="43">
      <t>ツイキ</t>
    </rPh>
    <phoneticPr fontId="2"/>
  </si>
  <si>
    <t>1.1</t>
    <phoneticPr fontId="2"/>
  </si>
  <si>
    <t>シート：画面項目説明</t>
    <rPh sb="4" eb="8">
      <t>ガメンコウモク</t>
    </rPh>
    <rPh sb="8" eb="10">
      <t>セツメイ</t>
    </rPh>
    <phoneticPr fontId="2"/>
  </si>
  <si>
    <t>会計年度を必須に変更</t>
    <rPh sb="0" eb="2">
      <t>カイケイ</t>
    </rPh>
    <rPh sb="2" eb="4">
      <t>ネンド</t>
    </rPh>
    <rPh sb="5" eb="7">
      <t>ヒッス</t>
    </rPh>
    <rPh sb="8" eb="10">
      <t>ヘンコウ</t>
    </rPh>
    <phoneticPr fontId="2"/>
  </si>
  <si>
    <t>シート：ファイルレイアウト(区切り)</t>
    <rPh sb="14" eb="16">
      <t>クギ</t>
    </rPh>
    <phoneticPr fontId="2"/>
  </si>
  <si>
    <t>物理名を追記</t>
    <phoneticPr fontId="2"/>
  </si>
  <si>
    <t>1.2</t>
    <phoneticPr fontId="2"/>
  </si>
  <si>
    <t>シート：イベント説明</t>
    <phoneticPr fontId="2"/>
  </si>
  <si>
    <t>会計期間の必須チェック追加</t>
    <rPh sb="0" eb="2">
      <t>カイケイ</t>
    </rPh>
    <rPh sb="2" eb="4">
      <t>キカン</t>
    </rPh>
    <rPh sb="5" eb="7">
      <t>ヒッス</t>
    </rPh>
    <rPh sb="11" eb="13">
      <t>ツイカ</t>
    </rPh>
    <phoneticPr fontId="2"/>
  </si>
  <si>
    <t>1.3</t>
    <phoneticPr fontId="2"/>
  </si>
  <si>
    <t>基本設計書</t>
    <rPh sb="0" eb="2">
      <t>キホン</t>
    </rPh>
    <phoneticPr fontId="3"/>
  </si>
  <si>
    <t>開発目的</t>
    <rPh sb="0" eb="2">
      <t>カイハツ</t>
    </rPh>
    <rPh sb="2" eb="4">
      <t>モクテキ</t>
    </rPh>
    <phoneticPr fontId="2"/>
  </si>
  <si>
    <t xml:space="preserve">1. </t>
    <phoneticPr fontId="2"/>
  </si>
  <si>
    <t>連携先システム(SLJ販売システム)にて今回入金額や請求残高を含めた請求書出力するため</t>
    <rPh sb="0" eb="3">
      <t>レンケイサキ</t>
    </rPh>
    <rPh sb="11" eb="13">
      <t>ハンバイ</t>
    </rPh>
    <rPh sb="20" eb="22">
      <t>コンカイ</t>
    </rPh>
    <rPh sb="22" eb="24">
      <t>ニュウキン</t>
    </rPh>
    <rPh sb="24" eb="25">
      <t>ガク</t>
    </rPh>
    <rPh sb="26" eb="28">
      <t>セイキュウ</t>
    </rPh>
    <rPh sb="28" eb="30">
      <t>ザンダカ</t>
    </rPh>
    <rPh sb="31" eb="32">
      <t>フク</t>
    </rPh>
    <rPh sb="37" eb="39">
      <t>シュツリョク</t>
    </rPh>
    <phoneticPr fontId="2"/>
  </si>
  <si>
    <t>前提条件</t>
    <rPh sb="0" eb="2">
      <t>ゼンテイ</t>
    </rPh>
    <rPh sb="2" eb="4">
      <t>ジョウケン</t>
    </rPh>
    <phoneticPr fontId="2"/>
  </si>
  <si>
    <t>出力単位はログインしている法人ごととする。</t>
    <rPh sb="0" eb="2">
      <t>シュツリョク</t>
    </rPh>
    <rPh sb="2" eb="4">
      <t>タンイ</t>
    </rPh>
    <rPh sb="13" eb="15">
      <t>ホウジン</t>
    </rPh>
    <phoneticPr fontId="2"/>
  </si>
  <si>
    <t>※(手動実行時)データ出力する際は、事前にFO画面右上部で法人を「SLJ」に切り替えていただいたうえで本機能を実行すること。</t>
    <phoneticPr fontId="2"/>
  </si>
  <si>
    <t xml:space="preserve">2. </t>
    <phoneticPr fontId="2"/>
  </si>
  <si>
    <t>本機能で出力されるファイルの格納先はブラウザ指定先とする。</t>
    <rPh sb="0" eb="3">
      <t>ホンキノウ</t>
    </rPh>
    <rPh sb="4" eb="6">
      <t>シュツリョク</t>
    </rPh>
    <rPh sb="14" eb="16">
      <t>カクノウ</t>
    </rPh>
    <rPh sb="16" eb="17">
      <t>サキ</t>
    </rPh>
    <rPh sb="22" eb="25">
      <t>シテイサキ</t>
    </rPh>
    <phoneticPr fontId="2"/>
  </si>
  <si>
    <t xml:space="preserve">3. </t>
    <phoneticPr fontId="2"/>
  </si>
  <si>
    <t>決済データについて、文書=DZ(得意先入金)となる仕訳データを抽出対象とする。</t>
    <rPh sb="0" eb="2">
      <t>ケッサイ</t>
    </rPh>
    <rPh sb="10" eb="12">
      <t>ブンショ</t>
    </rPh>
    <rPh sb="16" eb="19">
      <t>トクイサキ</t>
    </rPh>
    <rPh sb="19" eb="21">
      <t>ニュウキン</t>
    </rPh>
    <rPh sb="25" eb="27">
      <t>シワケ</t>
    </rPh>
    <rPh sb="31" eb="33">
      <t>チュウシュツ</t>
    </rPh>
    <rPh sb="33" eb="35">
      <t>タイショウ</t>
    </rPh>
    <phoneticPr fontId="2"/>
  </si>
  <si>
    <t>(現:伝票タイプ)</t>
    <rPh sb="1" eb="2">
      <t>ゲン</t>
    </rPh>
    <rPh sb="3" eb="5">
      <t>デンピョウ</t>
    </rPh>
    <phoneticPr fontId="2"/>
  </si>
  <si>
    <t>使用タイミング</t>
    <rPh sb="0" eb="2">
      <t>シヨウ</t>
    </rPh>
    <phoneticPr fontId="2"/>
  </si>
  <si>
    <t>月次</t>
    <rPh sb="0" eb="2">
      <t>ゲツジ</t>
    </rPh>
    <phoneticPr fontId="2"/>
  </si>
  <si>
    <t>開発内容</t>
    <rPh sb="0" eb="2">
      <t>カイハツ</t>
    </rPh>
    <rPh sb="2" eb="4">
      <t>ナイヨウ</t>
    </rPh>
    <phoneticPr fontId="2"/>
  </si>
  <si>
    <t>SLJ販売システムへ連携する入金(未決済/決済)情報の出力指示画面を新設する。</t>
    <rPh sb="3" eb="5">
      <t>ハンバイ</t>
    </rPh>
    <rPh sb="10" eb="12">
      <t>レンケイ</t>
    </rPh>
    <rPh sb="14" eb="16">
      <t>ニュウキン</t>
    </rPh>
    <rPh sb="17" eb="20">
      <t>ミケッサイ</t>
    </rPh>
    <rPh sb="21" eb="23">
      <t>ケッサイ</t>
    </rPh>
    <rPh sb="24" eb="26">
      <t>ジョウホウ</t>
    </rPh>
    <rPh sb="26" eb="28">
      <t>シュツリョク</t>
    </rPh>
    <rPh sb="28" eb="30">
      <t>シジ</t>
    </rPh>
    <rPh sb="30" eb="32">
      <t>ガメン</t>
    </rPh>
    <rPh sb="33" eb="35">
      <t>シンセツ</t>
    </rPh>
    <phoneticPr fontId="2"/>
  </si>
  <si>
    <t>指定した会計年度や会計期間をもとに未決済/決済データを取得し、ファイル出力を行う。</t>
    <rPh sb="0" eb="2">
      <t>シテイ</t>
    </rPh>
    <rPh sb="4" eb="8">
      <t>カイケイネンド</t>
    </rPh>
    <rPh sb="9" eb="13">
      <t>カイケイキカン</t>
    </rPh>
    <rPh sb="27" eb="29">
      <t>シュトク</t>
    </rPh>
    <rPh sb="35" eb="37">
      <t>シュツリョク</t>
    </rPh>
    <rPh sb="38" eb="39">
      <t>オコナ</t>
    </rPh>
    <phoneticPr fontId="2"/>
  </si>
  <si>
    <t>制限事項</t>
    <rPh sb="0" eb="2">
      <t>セイゲン</t>
    </rPh>
    <rPh sb="2" eb="4">
      <t>ジコウ</t>
    </rPh>
    <phoneticPr fontId="2"/>
  </si>
  <si>
    <t>特になし</t>
    <rPh sb="0" eb="1">
      <t>トク</t>
    </rPh>
    <phoneticPr fontId="2"/>
  </si>
  <si>
    <t>No.</t>
    <phoneticPr fontId="2"/>
  </si>
  <si>
    <t>種別</t>
    <rPh sb="0" eb="2">
      <t>シュベツ</t>
    </rPh>
    <phoneticPr fontId="2"/>
  </si>
  <si>
    <t>論理名</t>
    <rPh sb="0" eb="2">
      <t>ロンリ</t>
    </rPh>
    <rPh sb="2" eb="3">
      <t>メイ</t>
    </rPh>
    <phoneticPr fontId="2"/>
  </si>
  <si>
    <t>物理名</t>
    <rPh sb="0" eb="2">
      <t>ブツリ</t>
    </rPh>
    <rPh sb="2" eb="3">
      <t>メイ</t>
    </rPh>
    <phoneticPr fontId="2"/>
  </si>
  <si>
    <t>I/O</t>
  </si>
  <si>
    <t>備考</t>
    <rPh sb="0" eb="2">
      <t>ビコウ</t>
    </rPh>
    <phoneticPr fontId="2"/>
  </si>
  <si>
    <t>テーブル</t>
  </si>
  <si>
    <t>一般仕訳入力</t>
    <phoneticPr fontId="2"/>
  </si>
  <si>
    <t>GeneralJournalEntry</t>
    <phoneticPr fontId="2"/>
  </si>
  <si>
    <t>I</t>
  </si>
  <si>
    <t>一般仕訳帳勘定項目</t>
    <phoneticPr fontId="2"/>
  </si>
  <si>
    <t>GeneralJournalAccountEntry</t>
    <phoneticPr fontId="2"/>
  </si>
  <si>
    <t>主勘定</t>
    <phoneticPr fontId="2"/>
  </si>
  <si>
    <t>MainAccount</t>
    <phoneticPr fontId="2"/>
  </si>
  <si>
    <t>分析コード値</t>
    <phoneticPr fontId="2"/>
  </si>
  <si>
    <t>DimensionAttributeLevelValueView</t>
    <phoneticPr fontId="2"/>
  </si>
  <si>
    <t>分析コード</t>
    <phoneticPr fontId="2"/>
  </si>
  <si>
    <t>DimensionAttributeValue</t>
    <phoneticPr fontId="2"/>
  </si>
  <si>
    <t>DimensionAttribute</t>
    <phoneticPr fontId="2"/>
  </si>
  <si>
    <t>イベント</t>
    <phoneticPr fontId="2"/>
  </si>
  <si>
    <t>機能</t>
    <rPh sb="0" eb="2">
      <t>キノウ</t>
    </rPh>
    <phoneticPr fontId="2"/>
  </si>
  <si>
    <t>DB</t>
    <phoneticPr fontId="2"/>
  </si>
  <si>
    <t>凡例</t>
    <rPh sb="0" eb="2">
      <t>ハンレイ</t>
    </rPh>
    <phoneticPr fontId="2"/>
  </si>
  <si>
    <t>記号</t>
    <rPh sb="0" eb="2">
      <t>キゴウ</t>
    </rPh>
    <phoneticPr fontId="2"/>
  </si>
  <si>
    <t>※DBが複数ある場合は複数DBをまとめるために使用</t>
    <phoneticPr fontId="2"/>
  </si>
  <si>
    <t>イベント名</t>
    <rPh sb="4" eb="5">
      <t>メイ</t>
    </rPh>
    <phoneticPr fontId="2"/>
  </si>
  <si>
    <t>処理内容</t>
    <rPh sb="0" eb="2">
      <t>ショリ</t>
    </rPh>
    <rPh sb="2" eb="4">
      <t>ナイヨウ</t>
    </rPh>
    <phoneticPr fontId="2"/>
  </si>
  <si>
    <t>メッセージ</t>
    <phoneticPr fontId="2"/>
  </si>
  <si>
    <t>ID</t>
    <phoneticPr fontId="2"/>
  </si>
  <si>
    <t>1.</t>
    <phoneticPr fontId="2"/>
  </si>
  <si>
    <t>画面初期表示</t>
    <rPh sb="0" eb="2">
      <t>ガメン</t>
    </rPh>
    <rPh sb="2" eb="6">
      <t>ショキヒョウジ</t>
    </rPh>
    <phoneticPr fontId="2"/>
  </si>
  <si>
    <t>1-1.</t>
    <phoneticPr fontId="2"/>
  </si>
  <si>
    <t>画面表示処理</t>
    <rPh sb="0" eb="2">
      <t>ガメン</t>
    </rPh>
    <rPh sb="2" eb="4">
      <t>ヒョウジ</t>
    </rPh>
    <rPh sb="4" eb="6">
      <t>ショリ</t>
    </rPh>
    <phoneticPr fontId="2"/>
  </si>
  <si>
    <t>対象モジュール：</t>
    <rPh sb="0" eb="2">
      <t>タイショウ</t>
    </rPh>
    <phoneticPr fontId="2"/>
  </si>
  <si>
    <t>Classes/SJ_ARCashApplicationOutput</t>
    <phoneticPr fontId="2"/>
  </si>
  <si>
    <t>対象メソッド：</t>
    <rPh sb="0" eb="2">
      <t>タイショウ</t>
    </rPh>
    <phoneticPr fontId="2"/>
  </si>
  <si>
    <t>dialog()</t>
    <phoneticPr fontId="2"/>
  </si>
  <si>
    <t>「画面レイアウト」シート通りに表示する。</t>
    <phoneticPr fontId="2"/>
  </si>
  <si>
    <t>2.</t>
    <phoneticPr fontId="2"/>
  </si>
  <si>
    <t>OKボタン押下時</t>
    <rPh sb="5" eb="8">
      <t>オウカジ</t>
    </rPh>
    <phoneticPr fontId="2"/>
  </si>
  <si>
    <t>2-1.</t>
    <phoneticPr fontId="2"/>
  </si>
  <si>
    <t>データ入力チェック</t>
    <rPh sb="3" eb="5">
      <t>ニュウリョク</t>
    </rPh>
    <phoneticPr fontId="2"/>
  </si>
  <si>
    <t>validate()</t>
    <phoneticPr fontId="2"/>
  </si>
  <si>
    <t>2-1-1.</t>
    <phoneticPr fontId="2"/>
  </si>
  <si>
    <t>会計年度の必須チェック</t>
    <rPh sb="0" eb="4">
      <t>カイケイネンド</t>
    </rPh>
    <rPh sb="5" eb="7">
      <t>ヒッス</t>
    </rPh>
    <phoneticPr fontId="2"/>
  </si>
  <si>
    <t>[画面.会計年度]が空欄の場合、警告メッセージを出力する。</t>
    <rPh sb="1" eb="3">
      <t>ガメン</t>
    </rPh>
    <rPh sb="4" eb="6">
      <t>カイケイ</t>
    </rPh>
    <rPh sb="6" eb="8">
      <t>ネンド</t>
    </rPh>
    <rPh sb="10" eb="12">
      <t>クウラン</t>
    </rPh>
    <rPh sb="13" eb="15">
      <t>バアイ</t>
    </rPh>
    <rPh sb="16" eb="18">
      <t>ケイコク</t>
    </rPh>
    <rPh sb="24" eb="26">
      <t>シュツリョク</t>
    </rPh>
    <phoneticPr fontId="2"/>
  </si>
  <si>
    <t>情報ログ</t>
    <rPh sb="0" eb="2">
      <t>ジョウホウ</t>
    </rPh>
    <phoneticPr fontId="2"/>
  </si>
  <si>
    <t>%1 が指定されていません。</t>
    <rPh sb="4" eb="6">
      <t>シテイ</t>
    </rPh>
    <phoneticPr fontId="2"/>
  </si>
  <si>
    <t>SYS321809</t>
  </si>
  <si>
    <t>warning</t>
    <phoneticPr fontId="2"/>
  </si>
  <si>
    <t>%1：</t>
    <phoneticPr fontId="2"/>
  </si>
  <si>
    <t>"会計年度"</t>
    <phoneticPr fontId="2"/>
  </si>
  <si>
    <t>SJ00647</t>
    <phoneticPr fontId="2"/>
  </si>
  <si>
    <t>2-1-2.</t>
    <phoneticPr fontId="2"/>
  </si>
  <si>
    <t>会計期間の必須チェック</t>
    <rPh sb="0" eb="2">
      <t>カイケイ</t>
    </rPh>
    <rPh sb="2" eb="4">
      <t>キカン</t>
    </rPh>
    <rPh sb="5" eb="7">
      <t>ヒッス</t>
    </rPh>
    <phoneticPr fontId="2"/>
  </si>
  <si>
    <t>[画面.会計期間]が空欄の場合、警告メッセージを出力する。</t>
    <rPh sb="1" eb="3">
      <t>ガメン</t>
    </rPh>
    <rPh sb="4" eb="6">
      <t>カイケイ</t>
    </rPh>
    <rPh sb="6" eb="8">
      <t>キカン</t>
    </rPh>
    <rPh sb="10" eb="12">
      <t>クウラン</t>
    </rPh>
    <rPh sb="13" eb="15">
      <t>バアイ</t>
    </rPh>
    <rPh sb="16" eb="18">
      <t>ケイコク</t>
    </rPh>
    <rPh sb="24" eb="26">
      <t>シュツリョク</t>
    </rPh>
    <phoneticPr fontId="2"/>
  </si>
  <si>
    <t>"会計期間"</t>
    <rPh sb="3" eb="5">
      <t>キカン</t>
    </rPh>
    <phoneticPr fontId="2"/>
  </si>
  <si>
    <t>SJ00648</t>
    <phoneticPr fontId="2"/>
  </si>
  <si>
    <t>2-2.</t>
    <phoneticPr fontId="2"/>
  </si>
  <si>
    <t>対象データ取得</t>
    <rPh sb="0" eb="2">
      <t>タイショウ</t>
    </rPh>
    <rPh sb="5" eb="7">
      <t>シュトク</t>
    </rPh>
    <phoneticPr fontId="2"/>
  </si>
  <si>
    <t>run()</t>
    <phoneticPr fontId="2"/>
  </si>
  <si>
    <t>2-2-1.</t>
    <phoneticPr fontId="2"/>
  </si>
  <si>
    <t>未決済/決済データ</t>
    <rPh sb="0" eb="1">
      <t>ミ</t>
    </rPh>
    <rPh sb="1" eb="3">
      <t>ケッサイ</t>
    </rPh>
    <rPh sb="4" eb="6">
      <t>ケッサイ</t>
    </rPh>
    <phoneticPr fontId="2"/>
  </si>
  <si>
    <t>実装時に記載</t>
    <rPh sb="0" eb="3">
      <t>ジッソウジ</t>
    </rPh>
    <rPh sb="4" eb="6">
      <t>キサイ</t>
    </rPh>
    <phoneticPr fontId="2"/>
  </si>
  <si>
    <t>以下の条件で対象データを取得し、保持する。</t>
    <rPh sb="0" eb="2">
      <t>イカ</t>
    </rPh>
    <rPh sb="3" eb="5">
      <t>ジョウケン</t>
    </rPh>
    <rPh sb="6" eb="8">
      <t>タイショウ</t>
    </rPh>
    <rPh sb="12" eb="14">
      <t>シュトク</t>
    </rPh>
    <rPh sb="16" eb="18">
      <t>ホジ</t>
    </rPh>
    <phoneticPr fontId="2"/>
  </si>
  <si>
    <t>取得内容は「ファイルレイアウト（区切り）」シートを参照。</t>
    <rPh sb="0" eb="2">
      <t>シュトク</t>
    </rPh>
    <rPh sb="2" eb="4">
      <t>ナイヨウ</t>
    </rPh>
    <rPh sb="16" eb="18">
      <t>クギ</t>
    </rPh>
    <rPh sb="25" eb="27">
      <t>サンショウ</t>
    </rPh>
    <phoneticPr fontId="2"/>
  </si>
  <si>
    <t>対象テーブル：</t>
    <rPh sb="0" eb="2">
      <t>タイショウ</t>
    </rPh>
    <phoneticPr fontId="2"/>
  </si>
  <si>
    <t>[一般仕訳入力(GeneralJournalEntry)]</t>
    <phoneticPr fontId="2"/>
  </si>
  <si>
    <t>[一般仕訳帳勘定項目(GeneralJournalAccountEntry)]</t>
    <phoneticPr fontId="2"/>
  </si>
  <si>
    <t>[主勘定(MainAccount)]</t>
    <phoneticPr fontId="2"/>
  </si>
  <si>
    <t>結合条件：</t>
    <rPh sb="0" eb="4">
      <t>ケツゴウジョウケン</t>
    </rPh>
    <phoneticPr fontId="2"/>
  </si>
  <si>
    <t>[一般仕訳入力.レコードID(RecId)]</t>
    <phoneticPr fontId="2"/>
  </si>
  <si>
    <t>=</t>
    <phoneticPr fontId="2"/>
  </si>
  <si>
    <t>[一般仕訳帳勘定項目.参照(GeneralJournalEntry)]</t>
    <rPh sb="1" eb="10">
      <t>イッパンシワケチョウカンジョウコウモク</t>
    </rPh>
    <phoneticPr fontId="2"/>
  </si>
  <si>
    <t>[一般仕訳帳勘定項目.主勘定(MainAccount)]</t>
    <rPh sb="3" eb="10">
      <t>シワケチョウカンジョウコウモク</t>
    </rPh>
    <rPh sb="11" eb="14">
      <t>シュカンジョウ</t>
    </rPh>
    <phoneticPr fontId="2"/>
  </si>
  <si>
    <t>[主勘定.レコードID(RecId)]</t>
    <rPh sb="1" eb="4">
      <t>シュカンジョウ</t>
    </rPh>
    <phoneticPr fontId="2"/>
  </si>
  <si>
    <t>抽出条件：</t>
    <rPh sb="0" eb="2">
      <t>チュウシュツ</t>
    </rPh>
    <rPh sb="2" eb="4">
      <t>ジョウケン</t>
    </rPh>
    <phoneticPr fontId="2"/>
  </si>
  <si>
    <r>
      <rPr>
        <b/>
        <sz val="10"/>
        <rFont val="Meiryo UI"/>
        <family val="3"/>
        <charset val="128"/>
      </rPr>
      <t>(</t>
    </r>
    <r>
      <rPr>
        <sz val="10"/>
        <rFont val="Meiryo UI"/>
        <family val="3"/>
        <charset val="128"/>
      </rPr>
      <t>[一般仕訳入力.日付(AccountingDate)]</t>
    </r>
    <rPh sb="9" eb="11">
      <t>ヒヅケ</t>
    </rPh>
    <phoneticPr fontId="2"/>
  </si>
  <si>
    <t>&gt;=</t>
    <phoneticPr fontId="2"/>
  </si>
  <si>
    <r>
      <t>[画面.</t>
    </r>
    <r>
      <rPr>
        <sz val="10"/>
        <color rgb="FFFF0000"/>
        <rFont val="Meiryo UI"/>
        <family val="3"/>
        <charset val="128"/>
      </rPr>
      <t>会計期間</t>
    </r>
    <r>
      <rPr>
        <sz val="10"/>
        <rFont val="Meiryo UI"/>
        <family val="3"/>
        <charset val="128"/>
      </rPr>
      <t>]の1日</t>
    </r>
    <rPh sb="4" eb="6">
      <t>カイケイ</t>
    </rPh>
    <rPh sb="6" eb="8">
      <t>キカン</t>
    </rPh>
    <rPh sb="11" eb="12">
      <t>ニチ</t>
    </rPh>
    <phoneticPr fontId="2"/>
  </si>
  <si>
    <t>and</t>
    <phoneticPr fontId="2"/>
  </si>
  <si>
    <t>[一般仕訳入力.日付(AccountingDate)]</t>
    <rPh sb="8" eb="10">
      <t>ヒヅケ</t>
    </rPh>
    <phoneticPr fontId="2"/>
  </si>
  <si>
    <t>&lt;=</t>
    <phoneticPr fontId="2"/>
  </si>
  <si>
    <r>
      <t>[画面.</t>
    </r>
    <r>
      <rPr>
        <sz val="10"/>
        <color rgb="FFFF0000"/>
        <rFont val="Meiryo UI"/>
        <family val="3"/>
        <charset val="128"/>
      </rPr>
      <t>会計期間</t>
    </r>
    <r>
      <rPr>
        <sz val="10"/>
        <rFont val="Meiryo UI"/>
        <family val="3"/>
        <charset val="128"/>
      </rPr>
      <t>]の末日</t>
    </r>
    <r>
      <rPr>
        <b/>
        <sz val="10"/>
        <rFont val="Meiryo UI"/>
        <family val="3"/>
        <charset val="128"/>
      </rPr>
      <t>)</t>
    </r>
    <rPh sb="1" eb="3">
      <t>ガメン</t>
    </rPh>
    <rPh sb="4" eb="6">
      <t>カイケイ</t>
    </rPh>
    <rPh sb="6" eb="8">
      <t>キカン</t>
    </rPh>
    <rPh sb="10" eb="12">
      <t>マツジツ</t>
    </rPh>
    <rPh sb="11" eb="12">
      <t>ヒ</t>
    </rPh>
    <phoneticPr fontId="2"/>
  </si>
  <si>
    <t>※未決済データを抽出するための条件</t>
    <rPh sb="1" eb="4">
      <t>ミケッサイ</t>
    </rPh>
    <rPh sb="8" eb="10">
      <t>チュウシュツ</t>
    </rPh>
    <rPh sb="15" eb="17">
      <t>ジョウケン</t>
    </rPh>
    <phoneticPr fontId="2"/>
  </si>
  <si>
    <r>
      <rPr>
        <b/>
        <sz val="10"/>
        <rFont val="Meiryo UI"/>
        <family val="3"/>
        <charset val="128"/>
      </rPr>
      <t>(</t>
    </r>
    <r>
      <rPr>
        <sz val="10"/>
        <rFont val="Meiryo UI"/>
        <family val="3"/>
        <charset val="128"/>
      </rPr>
      <t>[一般仕訳入力.トランザクション タイプ(JournalCategory)]</t>
    </r>
    <phoneticPr fontId="2"/>
  </si>
  <si>
    <t>【LedgerTransType::Payment(15:支払)】</t>
    <rPh sb="29" eb="31">
      <t>シハライ</t>
    </rPh>
    <phoneticPr fontId="2"/>
  </si>
  <si>
    <t>[一般仕訳入力.文書(DocumentNumber)]</t>
    <rPh sb="3" eb="5">
      <t>シワケ</t>
    </rPh>
    <rPh sb="5" eb="7">
      <t>ニュウリョク</t>
    </rPh>
    <rPh sb="8" eb="10">
      <t>ブンショ</t>
    </rPh>
    <phoneticPr fontId="2"/>
  </si>
  <si>
    <t>"DZ"(得意先入金)</t>
    <phoneticPr fontId="2"/>
  </si>
  <si>
    <t>[一般仕訳帳勘定項目.転記タイプ(PostingType)]</t>
    <rPh sb="3" eb="6">
      <t>シワケチョウ</t>
    </rPh>
    <rPh sb="6" eb="10">
      <t>カンジョウコウモク</t>
    </rPh>
    <rPh sb="11" eb="13">
      <t>テンキ</t>
    </rPh>
    <phoneticPr fontId="2"/>
  </si>
  <si>
    <r>
      <t>【LedgerPostingType::CustBalance(31:顧客残高)】</t>
    </r>
    <r>
      <rPr>
        <b/>
        <sz val="10"/>
        <rFont val="Meiryo UI"/>
        <family val="3"/>
        <charset val="128"/>
      </rPr>
      <t>)</t>
    </r>
    <rPh sb="35" eb="39">
      <t>コキャクザンダカ</t>
    </rPh>
    <phoneticPr fontId="2"/>
  </si>
  <si>
    <t>or</t>
    <phoneticPr fontId="2"/>
  </si>
  <si>
    <t>※決済データを抽出するための条件</t>
    <rPh sb="1" eb="3">
      <t>ケッサイ</t>
    </rPh>
    <rPh sb="7" eb="9">
      <t>チュウシュツ</t>
    </rPh>
    <rPh sb="14" eb="16">
      <t>ジョウケン</t>
    </rPh>
    <phoneticPr fontId="2"/>
  </si>
  <si>
    <r>
      <rPr>
        <b/>
        <sz val="10"/>
        <rFont val="Meiryo UI"/>
        <family val="3"/>
        <charset val="128"/>
      </rPr>
      <t>((</t>
    </r>
    <r>
      <rPr>
        <sz val="10"/>
        <rFont val="Meiryo UI"/>
        <family val="3"/>
        <charset val="128"/>
      </rPr>
      <t>[一般仕訳入力.トランザクション タイプ(JournalCategory)]</t>
    </r>
    <phoneticPr fontId="2"/>
  </si>
  <si>
    <t>【LedgerTransType::Cust(8:顧客)】</t>
    <rPh sb="25" eb="27">
      <t>コキャク</t>
    </rPh>
    <phoneticPr fontId="2"/>
  </si>
  <si>
    <t>[一般仕訳入力.トランザクション タイプ(JournalCategory)]</t>
    <phoneticPr fontId="2"/>
  </si>
  <si>
    <r>
      <t>【LedgerTransType::CustVendNetting(188:相殺決済)】</t>
    </r>
    <r>
      <rPr>
        <b/>
        <sz val="10"/>
        <rFont val="Meiryo UI"/>
        <family val="3"/>
        <charset val="128"/>
      </rPr>
      <t>)</t>
    </r>
    <rPh sb="38" eb="40">
      <t>ソウサイ</t>
    </rPh>
    <rPh sb="40" eb="42">
      <t>ケッサイ</t>
    </rPh>
    <phoneticPr fontId="2"/>
  </si>
  <si>
    <t>ソート条件：</t>
    <rPh sb="3" eb="5">
      <t>ジョウケン</t>
    </rPh>
    <phoneticPr fontId="2"/>
  </si>
  <si>
    <t>[一般仕訳入力.日付(AccountingDate)]</t>
  </si>
  <si>
    <t>昇順</t>
    <rPh sb="0" eb="2">
      <t>ショウジュン</t>
    </rPh>
    <phoneticPr fontId="2"/>
  </si>
  <si>
    <t>[一般仕訳入力.伝票(SubledgerVoucher)]</t>
    <rPh sb="3" eb="5">
      <t>シワケ</t>
    </rPh>
    <rPh sb="5" eb="7">
      <t>ニュウリョク</t>
    </rPh>
    <rPh sb="8" eb="10">
      <t>デンピョウ</t>
    </rPh>
    <phoneticPr fontId="2"/>
  </si>
  <si>
    <t>対象データが存在しない場合、メッセージを出力し処理を終了する。</t>
    <rPh sb="0" eb="2">
      <t>タイショウ</t>
    </rPh>
    <rPh sb="6" eb="8">
      <t>ソンザイ</t>
    </rPh>
    <rPh sb="11" eb="13">
      <t>バアイ</t>
    </rPh>
    <rPh sb="20" eb="22">
      <t>シュツリョク</t>
    </rPh>
    <rPh sb="23" eb="25">
      <t>ショリ</t>
    </rPh>
    <rPh sb="26" eb="28">
      <t>シュウリョウ</t>
    </rPh>
    <phoneticPr fontId="2"/>
  </si>
  <si>
    <t>対象データは存在しません。</t>
    <rPh sb="0" eb="2">
      <t>タイショウ</t>
    </rPh>
    <rPh sb="6" eb="8">
      <t>ソンザイ</t>
    </rPh>
    <phoneticPr fontId="2"/>
  </si>
  <si>
    <t>SJ00181</t>
  </si>
  <si>
    <t>info</t>
    <phoneticPr fontId="2"/>
  </si>
  <si>
    <t>2-2-2.</t>
    <phoneticPr fontId="2"/>
  </si>
  <si>
    <t>分析コード(顧客)</t>
    <rPh sb="0" eb="2">
      <t>ブンセキ</t>
    </rPh>
    <rPh sb="6" eb="8">
      <t>コキャク</t>
    </rPh>
    <phoneticPr fontId="2"/>
  </si>
  <si>
    <t>2-2-2-1.</t>
    <phoneticPr fontId="2"/>
  </si>
  <si>
    <t>分析コード名を取得</t>
    <rPh sb="0" eb="2">
      <t>ブンセキ</t>
    </rPh>
    <rPh sb="5" eb="6">
      <t>メイ</t>
    </rPh>
    <rPh sb="7" eb="9">
      <t>シュトク</t>
    </rPh>
    <phoneticPr fontId="2"/>
  </si>
  <si>
    <t>[分析コード(DimensionAttribute)]</t>
    <rPh sb="1" eb="3">
      <t>ブンセキ</t>
    </rPh>
    <phoneticPr fontId="2"/>
  </si>
  <si>
    <t>抽出項目：</t>
    <rPh sb="0" eb="4">
      <t>チュウシュツコウモク</t>
    </rPh>
    <phoneticPr fontId="2"/>
  </si>
  <si>
    <t>[分析コード.レコードID(RecId)]</t>
    <rPh sb="1" eb="3">
      <t>ブンセキ</t>
    </rPh>
    <phoneticPr fontId="2"/>
  </si>
  <si>
    <t>抽出条件：</t>
    <rPh sb="0" eb="4">
      <t>チュウシュツジョウケン</t>
    </rPh>
    <phoneticPr fontId="2"/>
  </si>
  <si>
    <t>[分析コード.分析コード名(Name)]</t>
    <rPh sb="1" eb="3">
      <t>ブンセキ</t>
    </rPh>
    <rPh sb="7" eb="9">
      <t>ブンセキ</t>
    </rPh>
    <rPh sb="12" eb="13">
      <t>メイ</t>
    </rPh>
    <phoneticPr fontId="2"/>
  </si>
  <si>
    <t>"Customer"</t>
    <phoneticPr fontId="2"/>
  </si>
  <si>
    <t>2-2-2-2.</t>
    <phoneticPr fontId="2"/>
  </si>
  <si>
    <t>分析コード値を取得</t>
    <rPh sb="0" eb="2">
      <t>ブンセキ</t>
    </rPh>
    <rPh sb="5" eb="6">
      <t>アタイ</t>
    </rPh>
    <rPh sb="7" eb="9">
      <t>シュトク</t>
    </rPh>
    <phoneticPr fontId="2"/>
  </si>
  <si>
    <t>分析コードの組み合わせ情報と分析コード名をもとに、分析コード値を取得する。</t>
    <rPh sb="0" eb="2">
      <t>ブンセキ</t>
    </rPh>
    <rPh sb="6" eb="7">
      <t>ク</t>
    </rPh>
    <rPh sb="8" eb="9">
      <t>ア</t>
    </rPh>
    <rPh sb="11" eb="13">
      <t>ジョウホウ</t>
    </rPh>
    <rPh sb="14" eb="16">
      <t>ブンセキ</t>
    </rPh>
    <rPh sb="19" eb="20">
      <t>メイ</t>
    </rPh>
    <phoneticPr fontId="2"/>
  </si>
  <si>
    <t>Classes/SJ_CommonUtil</t>
    <phoneticPr fontId="2"/>
  </si>
  <si>
    <t>getLedgerDimensionValue()</t>
    <phoneticPr fontId="2"/>
  </si>
  <si>
    <t>引数1：</t>
    <rPh sb="0" eb="2">
      <t>ヒキスウ</t>
    </rPh>
    <phoneticPr fontId="2"/>
  </si>
  <si>
    <t>[一般仕訳帳勘定項目.勘定科目(LedgerDimension)]</t>
    <rPh sb="1" eb="6">
      <t>イッパンシワケチョウ</t>
    </rPh>
    <rPh sb="6" eb="10">
      <t>カンジョウコウモク</t>
    </rPh>
    <rPh sb="11" eb="15">
      <t>カンジョウカモク</t>
    </rPh>
    <phoneticPr fontId="2"/>
  </si>
  <si>
    <t>引数2：</t>
    <rPh sb="0" eb="2">
      <t>ヒキスウ</t>
    </rPh>
    <phoneticPr fontId="2"/>
  </si>
  <si>
    <t>2-2-2-1で取得したレコードID</t>
    <rPh sb="8" eb="10">
      <t>シュトク</t>
    </rPh>
    <phoneticPr fontId="2"/>
  </si>
  <si>
    <t>1)</t>
    <phoneticPr fontId="2"/>
  </si>
  <si>
    <t>主勘定以外の分析コードの組み合わせ(分析コード セット)を取得</t>
    <rPh sb="0" eb="1">
      <t>シュ</t>
    </rPh>
    <rPh sb="1" eb="3">
      <t>カンジョウ</t>
    </rPh>
    <rPh sb="3" eb="5">
      <t>イガイ</t>
    </rPh>
    <rPh sb="6" eb="8">
      <t>ブンセキ</t>
    </rPh>
    <rPh sb="12" eb="13">
      <t>ク</t>
    </rPh>
    <rPh sb="14" eb="15">
      <t>ア</t>
    </rPh>
    <rPh sb="29" eb="31">
      <t>シュトク</t>
    </rPh>
    <phoneticPr fontId="2"/>
  </si>
  <si>
    <t>Classes/DimensionAttributeValueSetStorage</t>
    <phoneticPr fontId="2"/>
  </si>
  <si>
    <t>getDefaultDimensionFromDimensionCombination()</t>
    <phoneticPr fontId="2"/>
  </si>
  <si>
    <t>引数：</t>
    <rPh sb="0" eb="2">
      <t>ヒキスウ</t>
    </rPh>
    <phoneticPr fontId="2"/>
  </si>
  <si>
    <t>[2-2-2-2.引数1]</t>
    <rPh sb="9" eb="11">
      <t>ヒキスウ</t>
    </rPh>
    <phoneticPr fontId="2"/>
  </si>
  <si>
    <t>2)</t>
    <phoneticPr fontId="2"/>
  </si>
  <si>
    <t>分析コードの組み合わせ情報をインスタンス化</t>
    <rPh sb="0" eb="2">
      <t>ブンセキ</t>
    </rPh>
    <rPh sb="6" eb="7">
      <t>ク</t>
    </rPh>
    <rPh sb="8" eb="9">
      <t>ア</t>
    </rPh>
    <rPh sb="11" eb="13">
      <t>ジョウホウ</t>
    </rPh>
    <rPh sb="20" eb="21">
      <t>カ</t>
    </rPh>
    <phoneticPr fontId="2"/>
  </si>
  <si>
    <t>find()</t>
    <phoneticPr fontId="2"/>
  </si>
  <si>
    <t>2-2-2-1-1)で取得した分析コード セット情報</t>
    <rPh sb="11" eb="13">
      <t>シュトク</t>
    </rPh>
    <rPh sb="15" eb="17">
      <t>ブンセキ</t>
    </rPh>
    <rPh sb="24" eb="26">
      <t>ジョウホウ</t>
    </rPh>
    <phoneticPr fontId="2"/>
  </si>
  <si>
    <t>3)</t>
    <phoneticPr fontId="2"/>
  </si>
  <si>
    <t>getDisplayValueByDimensionAttribute()</t>
    <phoneticPr fontId="2"/>
  </si>
  <si>
    <t>[2-2-2-2.引数2]</t>
    <rPh sb="9" eb="11">
      <t>ヒキスウ</t>
    </rPh>
    <phoneticPr fontId="2"/>
  </si>
  <si>
    <t>2-3.</t>
    <phoneticPr fontId="2"/>
  </si>
  <si>
    <t>ファイル出力</t>
    <rPh sb="4" eb="6">
      <t>シュツリョク</t>
    </rPh>
    <phoneticPr fontId="2"/>
  </si>
  <si>
    <t>2-2で保持したデータをもとにCSVファイルを出力する。</t>
    <rPh sb="4" eb="6">
      <t>ホジ</t>
    </rPh>
    <rPh sb="23" eb="25">
      <t>シュツリョク</t>
    </rPh>
    <phoneticPr fontId="2"/>
  </si>
  <si>
    <t>出力内容は「ファイルレイアウト(区切り)」シートを参照。</t>
    <rPh sb="0" eb="4">
      <t>シュツリョクナイヨウ</t>
    </rPh>
    <rPh sb="16" eb="18">
      <t>クギ</t>
    </rPh>
    <rPh sb="25" eb="27">
      <t>サンショウ</t>
    </rPh>
    <phoneticPr fontId="2"/>
  </si>
  <si>
    <t>2-4.</t>
    <phoneticPr fontId="2"/>
  </si>
  <si>
    <t>メッセージ出力</t>
    <rPh sb="5" eb="7">
      <t>シュツリョク</t>
    </rPh>
    <phoneticPr fontId="2"/>
  </si>
  <si>
    <t>処理が正常に終了した場合、メッセージを出力し処理を終了する。</t>
    <rPh sb="0" eb="2">
      <t>ショリ</t>
    </rPh>
    <rPh sb="3" eb="5">
      <t>セイジョウ</t>
    </rPh>
    <rPh sb="6" eb="8">
      <t>シュウリョウ</t>
    </rPh>
    <rPh sb="10" eb="12">
      <t>バアイ</t>
    </rPh>
    <phoneticPr fontId="2"/>
  </si>
  <si>
    <t>%1が出力されました。</t>
    <rPh sb="3" eb="5">
      <t>シュツリョク</t>
    </rPh>
    <phoneticPr fontId="2"/>
  </si>
  <si>
    <t>SJ00187</t>
  </si>
  <si>
    <t>[2-3.ファイル名]</t>
    <phoneticPr fontId="2"/>
  </si>
  <si>
    <t>%1処理が正常に終了しました。</t>
    <rPh sb="2" eb="4">
      <t>ショリ</t>
    </rPh>
    <rPh sb="5" eb="7">
      <t>セイジョウ</t>
    </rPh>
    <rPh sb="8" eb="10">
      <t>シュウリョウ</t>
    </rPh>
    <phoneticPr fontId="2"/>
  </si>
  <si>
    <t>SJ00185</t>
  </si>
  <si>
    <t>"入金データ連携"</t>
    <rPh sb="1" eb="3">
      <t>ニュウキン</t>
    </rPh>
    <rPh sb="6" eb="8">
      <t>レンケイ</t>
    </rPh>
    <phoneticPr fontId="2"/>
  </si>
  <si>
    <t>SJ00278</t>
  </si>
  <si>
    <t>処理が異常終了した場合、エラーメッセージを出力し処理を終了する。</t>
    <rPh sb="0" eb="2">
      <t>ショリ</t>
    </rPh>
    <rPh sb="3" eb="7">
      <t>イジョウシュウリョウ</t>
    </rPh>
    <rPh sb="9" eb="11">
      <t>バアイ</t>
    </rPh>
    <phoneticPr fontId="2"/>
  </si>
  <si>
    <t>%1処理が異常終了しました。</t>
    <rPh sb="2" eb="4">
      <t>ショリ</t>
    </rPh>
    <rPh sb="5" eb="7">
      <t>イジョウ</t>
    </rPh>
    <rPh sb="7" eb="9">
      <t>シュウリョウ</t>
    </rPh>
    <phoneticPr fontId="2"/>
  </si>
  <si>
    <t>SJ00186</t>
    <phoneticPr fontId="2"/>
  </si>
  <si>
    <t>error</t>
    <phoneticPr fontId="2"/>
  </si>
  <si>
    <t>3.</t>
    <phoneticPr fontId="2"/>
  </si>
  <si>
    <t>キャンセルボタン押下時</t>
  </si>
  <si>
    <t>3-1.</t>
    <phoneticPr fontId="2"/>
  </si>
  <si>
    <t>画面を閉じる(D365FO標準処理)</t>
  </si>
  <si>
    <t>ダイアログ画面を閉じる。</t>
    <rPh sb="5" eb="7">
      <t>ガメン</t>
    </rPh>
    <rPh sb="8" eb="9">
      <t>ト</t>
    </rPh>
    <phoneticPr fontId="2"/>
  </si>
  <si>
    <t>パス</t>
    <phoneticPr fontId="2"/>
  </si>
  <si>
    <t>[売掛金管理] &gt; [定期処理] &gt; [入金データ連携]</t>
    <rPh sb="1" eb="3">
      <t>ウリカケ</t>
    </rPh>
    <rPh sb="3" eb="4">
      <t>キン</t>
    </rPh>
    <rPh sb="4" eb="6">
      <t>カンリ</t>
    </rPh>
    <rPh sb="11" eb="13">
      <t>テイキ</t>
    </rPh>
    <rPh sb="13" eb="15">
      <t>ショリ</t>
    </rPh>
    <rPh sb="20" eb="22">
      <t>ニュウキン</t>
    </rPh>
    <rPh sb="25" eb="27">
      <t>レンケイ</t>
    </rPh>
    <phoneticPr fontId="2"/>
  </si>
  <si>
    <t>フォーム名</t>
    <rPh sb="4" eb="5">
      <t>メイ</t>
    </rPh>
    <phoneticPr fontId="2"/>
  </si>
  <si>
    <t>Class/SJ_ARCashApplicationOutput</t>
    <phoneticPr fontId="2"/>
  </si>
  <si>
    <t>タブ名</t>
    <rPh sb="2" eb="3">
      <t>メイ</t>
    </rPh>
    <phoneticPr fontId="2"/>
  </si>
  <si>
    <t>パラメータータブ</t>
    <phoneticPr fontId="2"/>
  </si>
  <si>
    <t>コントロール</t>
    <phoneticPr fontId="2"/>
  </si>
  <si>
    <t>項目名</t>
    <rPh sb="0" eb="2">
      <t>コウモク</t>
    </rPh>
    <rPh sb="2" eb="3">
      <t>メイ</t>
    </rPh>
    <phoneticPr fontId="2"/>
  </si>
  <si>
    <t>種類</t>
    <rPh sb="0" eb="2">
      <t>シュルイ</t>
    </rPh>
    <phoneticPr fontId="2"/>
  </si>
  <si>
    <t>入力</t>
    <rPh sb="0" eb="2">
      <t>ニュウリョク</t>
    </rPh>
    <phoneticPr fontId="2"/>
  </si>
  <si>
    <t>必須</t>
    <rPh sb="0" eb="2">
      <t>ヒッス</t>
    </rPh>
    <phoneticPr fontId="2"/>
  </si>
  <si>
    <t>項目説明（概要）</t>
    <rPh sb="0" eb="2">
      <t>コウモク</t>
    </rPh>
    <rPh sb="2" eb="4">
      <t>セツメイ</t>
    </rPh>
    <rPh sb="5" eb="7">
      <t>ガイヨウ</t>
    </rPh>
    <phoneticPr fontId="2"/>
  </si>
  <si>
    <t>タイトル</t>
    <phoneticPr fontId="2"/>
  </si>
  <si>
    <t>×</t>
    <phoneticPr fontId="2"/>
  </si>
  <si>
    <t>＜タイトル＞</t>
    <phoneticPr fontId="2"/>
  </si>
  <si>
    <t>・Caption：入金データ連携</t>
    <rPh sb="9" eb="11">
      <t>ニュウキン</t>
    </rPh>
    <rPh sb="14" eb="16">
      <t>レンケイ</t>
    </rPh>
    <phoneticPr fontId="2"/>
  </si>
  <si>
    <t>ボディ</t>
    <phoneticPr fontId="2"/>
  </si>
  <si>
    <t>会計年度</t>
    <rPh sb="0" eb="4">
      <t>カイケイネンド</t>
    </rPh>
    <phoneticPr fontId="2"/>
  </si>
  <si>
    <t>ListBox</t>
    <phoneticPr fontId="2"/>
  </si>
  <si>
    <t>〇</t>
    <phoneticPr fontId="2"/>
  </si>
  <si>
    <t>＜入力内容＞</t>
    <rPh sb="1" eb="5">
      <t>ニュウリョクナイヨウ</t>
    </rPh>
    <phoneticPr fontId="2"/>
  </si>
  <si>
    <t>　出力対象とする会計年度を指定</t>
    <rPh sb="1" eb="3">
      <t>シュツリョク</t>
    </rPh>
    <rPh sb="3" eb="5">
      <t>タイショウ</t>
    </rPh>
    <rPh sb="8" eb="12">
      <t>カイケイネンド</t>
    </rPh>
    <rPh sb="13" eb="15">
      <t>シテイ</t>
    </rPh>
    <phoneticPr fontId="2"/>
  </si>
  <si>
    <t>＜初期値＞</t>
    <rPh sb="1" eb="4">
      <t>ショキチ</t>
    </rPh>
    <phoneticPr fontId="2"/>
  </si>
  <si>
    <t>　システム日付が該当する[会計暦年.名前]</t>
    <rPh sb="5" eb="7">
      <t>ヒヅケ</t>
    </rPh>
    <rPh sb="8" eb="10">
      <t>ガイトウ</t>
    </rPh>
    <rPh sb="13" eb="15">
      <t>カイケイ</t>
    </rPh>
    <rPh sb="15" eb="17">
      <t>レキネン</t>
    </rPh>
    <rPh sb="18" eb="20">
      <t>ナマエ</t>
    </rPh>
    <phoneticPr fontId="2"/>
  </si>
  <si>
    <t>＜ルックアップ＞</t>
    <phoneticPr fontId="2"/>
  </si>
  <si>
    <t>　標準の会計年度のルックアップを使用</t>
    <rPh sb="1" eb="3">
      <t>ヒョウジュン</t>
    </rPh>
    <rPh sb="4" eb="6">
      <t>カイケイ</t>
    </rPh>
    <rPh sb="6" eb="8">
      <t>ネンド</t>
    </rPh>
    <rPh sb="16" eb="18">
      <t>シヨウ</t>
    </rPh>
    <phoneticPr fontId="2"/>
  </si>
  <si>
    <t>　※「補足説明(画面項目イメージ)」を参照</t>
    <phoneticPr fontId="2"/>
  </si>
  <si>
    <t>＜チェック内容＞</t>
    <rPh sb="5" eb="7">
      <t>ナイヨウ</t>
    </rPh>
    <phoneticPr fontId="2"/>
  </si>
  <si>
    <t>　ルックアップと同じ</t>
    <rPh sb="8" eb="9">
      <t>オナ</t>
    </rPh>
    <phoneticPr fontId="2"/>
  </si>
  <si>
    <t>　※標準EDT：FiscalYearNameにて実装</t>
    <rPh sb="2" eb="4">
      <t>ヒョウジュン</t>
    </rPh>
    <rPh sb="24" eb="26">
      <t>ジッソウ</t>
    </rPh>
    <phoneticPr fontId="2"/>
  </si>
  <si>
    <t>会計期間</t>
    <rPh sb="0" eb="4">
      <t>カイケイキカン</t>
    </rPh>
    <phoneticPr fontId="2"/>
  </si>
  <si>
    <t>コンボボックス</t>
    <phoneticPr fontId="2"/>
  </si>
  <si>
    <t>　出力対象とする会計期間(月)を指定</t>
    <rPh sb="1" eb="3">
      <t>シュツリョク</t>
    </rPh>
    <rPh sb="3" eb="5">
      <t>タイショウ</t>
    </rPh>
    <rPh sb="8" eb="12">
      <t>カイケイキカン</t>
    </rPh>
    <rPh sb="13" eb="14">
      <t>ツキ</t>
    </rPh>
    <rPh sb="16" eb="18">
      <t>シテイ</t>
    </rPh>
    <phoneticPr fontId="2"/>
  </si>
  <si>
    <t>　システム日付(MM)</t>
    <rPh sb="5" eb="7">
      <t>ヒヅケ</t>
    </rPh>
    <phoneticPr fontId="2"/>
  </si>
  <si>
    <t>　標準の月のコンボボックスを使用（標準BaseEnum：FiscalPeriodMonthを使用）</t>
    <rPh sb="4" eb="5">
      <t>ツキ</t>
    </rPh>
    <rPh sb="46" eb="48">
      <t>シヨウ</t>
    </rPh>
    <phoneticPr fontId="2"/>
  </si>
  <si>
    <t>　　「1」</t>
    <phoneticPr fontId="2"/>
  </si>
  <si>
    <t>　　「2」</t>
    <phoneticPr fontId="2"/>
  </si>
  <si>
    <t>　　「3」</t>
    <phoneticPr fontId="2"/>
  </si>
  <si>
    <t>　　「4」</t>
    <phoneticPr fontId="2"/>
  </si>
  <si>
    <t>　　「5」</t>
    <phoneticPr fontId="2"/>
  </si>
  <si>
    <t>　　「6」</t>
    <phoneticPr fontId="2"/>
  </si>
  <si>
    <t>　　</t>
    <phoneticPr fontId="2"/>
  </si>
  <si>
    <t>　　「7」</t>
    <phoneticPr fontId="2"/>
  </si>
  <si>
    <t>　　「8」</t>
    <phoneticPr fontId="2"/>
  </si>
  <si>
    <t>　　「9」</t>
    <phoneticPr fontId="2"/>
  </si>
  <si>
    <t>　　「10」</t>
    <phoneticPr fontId="2"/>
  </si>
  <si>
    <t>　　「11」</t>
    <phoneticPr fontId="2"/>
  </si>
  <si>
    <t>　　「12」　から選択</t>
    <rPh sb="9" eb="11">
      <t>センタク</t>
    </rPh>
    <phoneticPr fontId="2"/>
  </si>
  <si>
    <t>ボタングループ</t>
    <phoneticPr fontId="2"/>
  </si>
  <si>
    <t>OK</t>
    <phoneticPr fontId="2"/>
  </si>
  <si>
    <t>ボタン</t>
    <phoneticPr fontId="2"/>
  </si>
  <si>
    <t>＜後処理＞</t>
    <rPh sb="1" eb="4">
      <t>アトショリ</t>
    </rPh>
    <phoneticPr fontId="2"/>
  </si>
  <si>
    <t>　イベント説明 「2.OKボタン押下時」を参照</t>
    <rPh sb="5" eb="7">
      <t>セツメイ</t>
    </rPh>
    <rPh sb="16" eb="19">
      <t>オウカジ</t>
    </rPh>
    <rPh sb="21" eb="23">
      <t>サンショウ</t>
    </rPh>
    <phoneticPr fontId="2"/>
  </si>
  <si>
    <t>キャンセル</t>
    <phoneticPr fontId="2"/>
  </si>
  <si>
    <t>　画面を閉じる（D365FO標準処理）</t>
    <rPh sb="1" eb="3">
      <t>ガメン</t>
    </rPh>
    <rPh sb="4" eb="5">
      <t>ト</t>
    </rPh>
    <rPh sb="14" eb="16">
      <t>ヒョウジュン</t>
    </rPh>
    <rPh sb="16" eb="18">
      <t>ショリ</t>
    </rPh>
    <phoneticPr fontId="2"/>
  </si>
  <si>
    <t>顧客</t>
    <rPh sb="0" eb="2">
      <t>コキャク</t>
    </rPh>
    <phoneticPr fontId="2"/>
  </si>
  <si>
    <t>財務分析コード.Customer(顧客)より選択</t>
    <rPh sb="0" eb="4">
      <t>ザイムブンセキ</t>
    </rPh>
    <rPh sb="17" eb="19">
      <t>コキャク</t>
    </rPh>
    <rPh sb="22" eb="24">
      <t>センタク</t>
    </rPh>
    <phoneticPr fontId="2"/>
  </si>
  <si>
    <t>標準EDTに準拠</t>
  </si>
  <si>
    <t>仕入先</t>
    <rPh sb="0" eb="3">
      <t>シイレサキ</t>
    </rPh>
    <phoneticPr fontId="2"/>
  </si>
  <si>
    <t>財務分析コード.Vendor(仕入先)より選択</t>
    <rPh sb="0" eb="4">
      <t>ザイムブンセキ</t>
    </rPh>
    <rPh sb="15" eb="18">
      <t>シイレサキ</t>
    </rPh>
    <rPh sb="21" eb="23">
      <t>センタク</t>
    </rPh>
    <phoneticPr fontId="2"/>
  </si>
  <si>
    <t>対象法人</t>
    <rPh sb="0" eb="4">
      <t>タイショウホウジン</t>
    </rPh>
    <phoneticPr fontId="2"/>
  </si>
  <si>
    <t>財務分析コード.XXXX(対象法人)より選択</t>
    <rPh sb="0" eb="4">
      <t>ザイムブンセキ</t>
    </rPh>
    <rPh sb="13" eb="17">
      <t>タイショウホウジン</t>
    </rPh>
    <rPh sb="20" eb="22">
      <t>センタク</t>
    </rPh>
    <phoneticPr fontId="2"/>
  </si>
  <si>
    <t>指図コード</t>
    <rPh sb="0" eb="2">
      <t>サシズ</t>
    </rPh>
    <phoneticPr fontId="2"/>
  </si>
  <si>
    <t>財務分析コード.XXXX(指図コード)より選択</t>
    <rPh sb="0" eb="4">
      <t>ザイムブンセキ</t>
    </rPh>
    <rPh sb="13" eb="15">
      <t>サシズ</t>
    </rPh>
    <rPh sb="21" eb="23">
      <t>センタク</t>
    </rPh>
    <phoneticPr fontId="2"/>
  </si>
  <si>
    <t>文字コード：UTF-8</t>
    <rPh sb="0" eb="2">
      <t>モジ</t>
    </rPh>
    <phoneticPr fontId="2"/>
  </si>
  <si>
    <t>ファイル名称：TO_IncomingPayment.csv</t>
    <rPh sb="4" eb="6">
      <t>メイショウ</t>
    </rPh>
    <phoneticPr fontId="2"/>
  </si>
  <si>
    <t>区切り文字：コンマ</t>
    <rPh sb="0" eb="2">
      <t>クギ</t>
    </rPh>
    <rPh sb="3" eb="5">
      <t>モジ</t>
    </rPh>
    <phoneticPr fontId="2"/>
  </si>
  <si>
    <t>文字列：囲い文字無し</t>
    <rPh sb="0" eb="2">
      <t>モジ</t>
    </rPh>
    <rPh sb="2" eb="3">
      <t>レツ</t>
    </rPh>
    <rPh sb="4" eb="5">
      <t>カコ</t>
    </rPh>
    <rPh sb="6" eb="9">
      <t>モジナ</t>
    </rPh>
    <phoneticPr fontId="2"/>
  </si>
  <si>
    <t>改行コード：CRLF</t>
    <rPh sb="0" eb="2">
      <t>カイギョウ</t>
    </rPh>
    <phoneticPr fontId="2"/>
  </si>
  <si>
    <t>ソート：伝票番号、転記日付</t>
    <rPh sb="4" eb="6">
      <t>デンピョウ</t>
    </rPh>
    <rPh sb="6" eb="8">
      <t>バンゴウ</t>
    </rPh>
    <rPh sb="9" eb="13">
      <t>テンキヒヅケ</t>
    </rPh>
    <phoneticPr fontId="2"/>
  </si>
  <si>
    <t>タイトル行：なし</t>
    <rPh sb="4" eb="5">
      <t>ギョウ</t>
    </rPh>
    <phoneticPr fontId="2"/>
  </si>
  <si>
    <t>フィールド名</t>
    <rPh sb="5" eb="6">
      <t>メイ</t>
    </rPh>
    <phoneticPr fontId="2"/>
  </si>
  <si>
    <t>説明</t>
    <phoneticPr fontId="2"/>
  </si>
  <si>
    <t>属性</t>
    <rPh sb="0" eb="2">
      <t>ゾクセイ</t>
    </rPh>
    <phoneticPr fontId="2"/>
  </si>
  <si>
    <t>桁数</t>
    <rPh sb="0" eb="2">
      <t>ケタスウ</t>
    </rPh>
    <phoneticPr fontId="2"/>
  </si>
  <si>
    <t>備考</t>
    <phoneticPr fontId="2"/>
  </si>
  <si>
    <t>会社コード</t>
    <rPh sb="0" eb="2">
      <t>カイシャ</t>
    </rPh>
    <phoneticPr fontId="2"/>
  </si>
  <si>
    <t>ログインしている会社コード</t>
    <rPh sb="8" eb="10">
      <t>カイシャ</t>
    </rPh>
    <phoneticPr fontId="2"/>
  </si>
  <si>
    <t>STRING</t>
    <phoneticPr fontId="2"/>
  </si>
  <si>
    <t>[一般仕訳帳勘定項目.勘定科目(LedgerDimension)]の顧客</t>
    <rPh sb="0" eb="2">
      <t>イッパン</t>
    </rPh>
    <rPh sb="2" eb="5">
      <t>シワケチョウ</t>
    </rPh>
    <rPh sb="5" eb="7">
      <t>カンジョウ</t>
    </rPh>
    <rPh sb="7" eb="11">
      <t>カンジョウカモク</t>
    </rPh>
    <rPh sb="31" eb="33">
      <t>コキャク</t>
    </rPh>
    <phoneticPr fontId="2"/>
  </si>
  <si>
    <t>[画面.会計年度]</t>
    <phoneticPr fontId="2"/>
  </si>
  <si>
    <t>伝票番号</t>
    <rPh sb="0" eb="2">
      <t>デンピョウ</t>
    </rPh>
    <rPh sb="2" eb="4">
      <t>バンゴウ</t>
    </rPh>
    <phoneticPr fontId="2"/>
  </si>
  <si>
    <t>[一般仕訳入力.伝票(SubledgerVoucher)]</t>
    <phoneticPr fontId="2"/>
  </si>
  <si>
    <t>[画面.会計期間]</t>
    <phoneticPr fontId="2"/>
  </si>
  <si>
    <t>ENUM</t>
    <phoneticPr fontId="2"/>
  </si>
  <si>
    <t>ー</t>
    <phoneticPr fontId="2"/>
  </si>
  <si>
    <t>借方/貸方フラグ</t>
    <rPh sb="0" eb="2">
      <t>カリカタ</t>
    </rPh>
    <rPh sb="3" eb="5">
      <t>カシカタ</t>
    </rPh>
    <phoneticPr fontId="2"/>
  </si>
  <si>
    <t>■[一般仕訳帳勘定項目.貸方]=「いいえ」の場合
　固定値「借方」
■[一般仕訳帳勘定項目.貸方]=「はい」の場合
　固定値「貸方」</t>
    <rPh sb="22" eb="24">
      <t>バアイ</t>
    </rPh>
    <rPh sb="26" eb="29">
      <t>コテイチ</t>
    </rPh>
    <rPh sb="56" eb="58">
      <t>バアイ</t>
    </rPh>
    <rPh sb="60" eb="63">
      <t>コテイチ</t>
    </rPh>
    <phoneticPr fontId="2"/>
  </si>
  <si>
    <t>主勘定</t>
    <rPh sb="0" eb="3">
      <t>シュカンジョウ</t>
    </rPh>
    <phoneticPr fontId="2"/>
  </si>
  <si>
    <t>[一般仕訳帳勘定項目.主勘定(MainAccount)]に紐づく[主勘定.主勘定(MainAccountId)]</t>
    <rPh sb="11" eb="14">
      <t>シュカンジョウ</t>
    </rPh>
    <phoneticPr fontId="2"/>
  </si>
  <si>
    <t>金額</t>
    <rPh sb="0" eb="2">
      <t>キンガク</t>
    </rPh>
    <phoneticPr fontId="2"/>
  </si>
  <si>
    <t>[一般仕訳帳勘定項目.金額(AccountingCurrencyAmount)]</t>
    <phoneticPr fontId="2"/>
  </si>
  <si>
    <t>REAL</t>
    <phoneticPr fontId="2"/>
  </si>
  <si>
    <t>転記日付</t>
    <rPh sb="0" eb="2">
      <t>テンキ</t>
    </rPh>
    <phoneticPr fontId="2"/>
  </si>
  <si>
    <t>[一般仕訳入力.日付(AccountingDate)]</t>
    <phoneticPr fontId="2"/>
  </si>
  <si>
    <t>DATE</t>
    <phoneticPr fontId="2"/>
  </si>
  <si>
    <t>YYYYMMDD</t>
    <phoneticPr fontId="2"/>
  </si>
  <si>
    <t>明細テキスト</t>
    <rPh sb="0" eb="2">
      <t>メイサイ</t>
    </rPh>
    <phoneticPr fontId="2"/>
  </si>
  <si>
    <t>[一般仕訳帳勘定項目.説明(Text)]</t>
    <phoneticPr fontId="2"/>
  </si>
  <si>
    <t>テーブル名</t>
    <rPh sb="4" eb="5">
      <t>メイ</t>
    </rPh>
    <phoneticPr fontId="2"/>
  </si>
  <si>
    <t>SJ_InterfaceNumberManagement</t>
    <phoneticPr fontId="2"/>
  </si>
  <si>
    <t>ラベル</t>
    <phoneticPr fontId="2"/>
  </si>
  <si>
    <t>インターフェース件数管理</t>
    <rPh sb="8" eb="12">
      <t>ケンスウカンリ</t>
    </rPh>
    <phoneticPr fontId="2"/>
  </si>
  <si>
    <t>拡張名</t>
    <rPh sb="0" eb="2">
      <t>カクチョウ</t>
    </rPh>
    <rPh sb="2" eb="3">
      <t>メイ</t>
    </rPh>
    <phoneticPr fontId="2"/>
  </si>
  <si>
    <t>説明</t>
    <rPh sb="0" eb="2">
      <t>セツメイ</t>
    </rPh>
    <phoneticPr fontId="2"/>
  </si>
  <si>
    <t>会社</t>
    <rPh sb="0" eb="2">
      <t>カイシャ</t>
    </rPh>
    <phoneticPr fontId="2"/>
  </si>
  <si>
    <t>CompanyId</t>
    <phoneticPr fontId="2"/>
  </si>
  <si>
    <t>ログインしている法人</t>
    <rPh sb="8" eb="10">
      <t>ホウジン</t>
    </rPh>
    <phoneticPr fontId="2"/>
  </si>
  <si>
    <t>バッチ ジョブID</t>
    <phoneticPr fontId="2"/>
  </si>
  <si>
    <t>BatchJobId</t>
    <phoneticPr fontId="2"/>
  </si>
  <si>
    <t>""(ブランク)</t>
    <phoneticPr fontId="2"/>
  </si>
  <si>
    <t>機能ID</t>
    <rPh sb="0" eb="2">
      <t>キノウ</t>
    </rPh>
    <phoneticPr fontId="2"/>
  </si>
  <si>
    <t>FunctionId</t>
    <phoneticPr fontId="2"/>
  </si>
  <si>
    <t>固定値「FO-087」</t>
    <rPh sb="0" eb="3">
      <t>コテイチ</t>
    </rPh>
    <phoneticPr fontId="2"/>
  </si>
  <si>
    <t>処理名</t>
    <rPh sb="0" eb="3">
      <t>ショリメイ</t>
    </rPh>
    <phoneticPr fontId="2"/>
  </si>
  <si>
    <t>ProcessingName</t>
    <phoneticPr fontId="2"/>
  </si>
  <si>
    <t>固定値「入金データ連携」</t>
    <rPh sb="0" eb="3">
      <t>コテイチ</t>
    </rPh>
    <rPh sb="4" eb="6">
      <t>ニュウキン</t>
    </rPh>
    <rPh sb="9" eb="11">
      <t>レンケイ</t>
    </rPh>
    <phoneticPr fontId="2"/>
  </si>
  <si>
    <t>処理開始日時</t>
    <rPh sb="0" eb="2">
      <t>ショリ</t>
    </rPh>
    <rPh sb="2" eb="4">
      <t>カイシ</t>
    </rPh>
    <rPh sb="4" eb="6">
      <t>ニチジ</t>
    </rPh>
    <phoneticPr fontId="2"/>
  </si>
  <si>
    <t>RunFromDateTime</t>
    <phoneticPr fontId="2"/>
  </si>
  <si>
    <t>処理開始時に取得したシステム日時(YYYY/MM/DD hh:mm:ss)</t>
    <phoneticPr fontId="2"/>
  </si>
  <si>
    <t>処理終了日時</t>
    <rPh sb="0" eb="2">
      <t>ショリ</t>
    </rPh>
    <rPh sb="2" eb="4">
      <t>シュウリョウ</t>
    </rPh>
    <rPh sb="4" eb="6">
      <t>ニチジ</t>
    </rPh>
    <phoneticPr fontId="2"/>
  </si>
  <si>
    <t>RunToDateTime</t>
    <phoneticPr fontId="2"/>
  </si>
  <si>
    <t>処理終了時に取得したシステム日時(YYYY/MM/DD hh:mm:ss)</t>
    <rPh sb="2" eb="4">
      <t>シュウリョウ</t>
    </rPh>
    <phoneticPr fontId="2"/>
  </si>
  <si>
    <t>明細件数</t>
    <rPh sb="0" eb="2">
      <t>メイサイ</t>
    </rPh>
    <rPh sb="2" eb="4">
      <t>ケンスウ</t>
    </rPh>
    <phoneticPr fontId="2"/>
  </si>
  <si>
    <t>LineNumber</t>
    <phoneticPr fontId="2"/>
  </si>
  <si>
    <t>出力対象となる行数</t>
    <rPh sb="0" eb="2">
      <t>シュツリョク</t>
    </rPh>
    <rPh sb="2" eb="4">
      <t>タイショウ</t>
    </rPh>
    <rPh sb="7" eb="9">
      <t>ギョウスウ</t>
    </rPh>
    <phoneticPr fontId="2"/>
  </si>
  <si>
    <t>ファイル名</t>
    <rPh sb="4" eb="5">
      <t>メイ</t>
    </rPh>
    <phoneticPr fontId="2"/>
  </si>
  <si>
    <t>FileName</t>
    <phoneticPr fontId="2"/>
  </si>
  <si>
    <t>出力されたファイル名</t>
    <rPh sb="0" eb="2">
      <t>シュツリョク</t>
    </rPh>
    <rPh sb="9" eb="10">
      <t>メイ</t>
    </rPh>
    <phoneticPr fontId="2"/>
  </si>
  <si>
    <t>補足</t>
    <rPh sb="0" eb="2">
      <t>ホソク</t>
    </rPh>
    <phoneticPr fontId="2"/>
  </si>
  <si>
    <t>■伝票トランザクション</t>
    <rPh sb="1" eb="3">
      <t>デンピョウ</t>
    </rPh>
    <phoneticPr fontId="2"/>
  </si>
  <si>
    <t>■機能関連図</t>
    <rPh sb="1" eb="6">
      <t>キノウカンレンズ</t>
    </rPh>
    <phoneticPr fontId="2"/>
  </si>
  <si>
    <t>■汎用パラメータについて</t>
    <rPh sb="1" eb="3">
      <t>ハンヨウ</t>
    </rPh>
    <phoneticPr fontId="2"/>
  </si>
  <si>
    <t>事前に本機能で使用する下記汎用パラメータを設定する。</t>
    <rPh sb="0" eb="2">
      <t>ジゼン</t>
    </rPh>
    <rPh sb="3" eb="4">
      <t>ホン</t>
    </rPh>
    <rPh sb="4" eb="6">
      <t>キノウ</t>
    </rPh>
    <rPh sb="7" eb="9">
      <t>シヨウ</t>
    </rPh>
    <rPh sb="11" eb="13">
      <t>カキ</t>
    </rPh>
    <rPh sb="13" eb="15">
      <t>ハンヨウ</t>
    </rPh>
    <rPh sb="21" eb="23">
      <t>セッテイ</t>
    </rPh>
    <phoneticPr fontId="3"/>
  </si>
  <si>
    <t>機能ID(FeatureId)</t>
    <phoneticPr fontId="2"/>
  </si>
  <si>
    <t>項目ID(ItemId)</t>
    <phoneticPr fontId="2"/>
  </si>
  <si>
    <t>Key(Key)</t>
    <phoneticPr fontId="2"/>
  </si>
  <si>
    <t>値(Value)</t>
    <rPh sb="0" eb="1">
      <t>アタイ</t>
    </rPh>
    <phoneticPr fontId="2"/>
  </si>
  <si>
    <t>説明(Description)</t>
    <rPh sb="0" eb="2">
      <t>セツメイ</t>
    </rPh>
    <phoneticPr fontId="2"/>
  </si>
  <si>
    <t>FO-081</t>
    <phoneticPr fontId="2"/>
  </si>
  <si>
    <t>001</t>
    <phoneticPr fontId="2"/>
  </si>
  <si>
    <t>108,121,211</t>
    <phoneticPr fontId="2"/>
  </si>
  <si>
    <t>連携対象外となる固定資産グループ</t>
    <rPh sb="0" eb="2">
      <t>レンケイ</t>
    </rPh>
    <rPh sb="2" eb="4">
      <t>タイショウ</t>
    </rPh>
    <rPh sb="4" eb="5">
      <t>ガイ</t>
    </rPh>
    <rPh sb="8" eb="12">
      <t>コテイシサン</t>
    </rPh>
    <phoneticPr fontId="2"/>
  </si>
  <si>
    <t>■画面項目イメージ</t>
    <rPh sb="1" eb="3">
      <t>ガメン</t>
    </rPh>
    <rPh sb="3" eb="5">
      <t>コウモク</t>
    </rPh>
    <phoneticPr fontId="2"/>
  </si>
  <si>
    <t>ログインしている法人に紐づく[元帳.会計カレンダー]として登録されているデータが表示される</t>
    <rPh sb="8" eb="10">
      <t>ホウジン</t>
    </rPh>
    <rPh sb="11" eb="12">
      <t>ヒモ</t>
    </rPh>
    <rPh sb="15" eb="17">
      <t>モトチョウ</t>
    </rPh>
    <rPh sb="18" eb="20">
      <t>カイケイ</t>
    </rPh>
    <rPh sb="29" eb="31">
      <t>トウロク</t>
    </rPh>
    <rPh sb="40" eb="42">
      <t>ヒョウジ</t>
    </rPh>
    <phoneticPr fontId="2"/>
  </si>
  <si>
    <t>＜元帳＞</t>
    <rPh sb="1" eb="3">
      <t>モトチョウ</t>
    </rPh>
    <phoneticPr fontId="2"/>
  </si>
  <si>
    <t>＜会計年度ルックアップイメージ＞</t>
    <rPh sb="1" eb="5">
      <t>カイケイネンド</t>
    </rPh>
    <phoneticPr fontId="2"/>
  </si>
  <si>
    <t>＜参考ソースコード＞</t>
    <rPh sb="1" eb="3">
      <t>サンコウ</t>
    </rPh>
    <phoneticPr fontId="2"/>
  </si>
  <si>
    <t>レビュー事項</t>
    <rPh sb="4" eb="6">
      <t>ジコウ</t>
    </rPh>
    <phoneticPr fontId="2"/>
  </si>
  <si>
    <t>対応内容</t>
    <rPh sb="0" eb="2">
      <t>タイオウ</t>
    </rPh>
    <rPh sb="2" eb="4">
      <t>ナイヨウ</t>
    </rPh>
    <phoneticPr fontId="2"/>
  </si>
  <si>
    <t>指摘日</t>
    <rPh sb="0" eb="2">
      <t>シテキ</t>
    </rPh>
    <rPh sb="2" eb="3">
      <t>ヒ</t>
    </rPh>
    <phoneticPr fontId="2"/>
  </si>
  <si>
    <t>指摘者</t>
    <rPh sb="0" eb="3">
      <t>シテキシャ</t>
    </rPh>
    <phoneticPr fontId="2"/>
  </si>
  <si>
    <t>対応日</t>
    <rPh sb="0" eb="2">
      <t>タイオウ</t>
    </rPh>
    <rPh sb="2" eb="3">
      <t>ヒ</t>
    </rPh>
    <phoneticPr fontId="2"/>
  </si>
  <si>
    <t>対応者</t>
    <rPh sb="0" eb="2">
      <t>タイオウ</t>
    </rPh>
    <rPh sb="2" eb="3">
      <t>シャ</t>
    </rPh>
    <phoneticPr fontId="2"/>
  </si>
  <si>
    <t>確認日</t>
    <rPh sb="0" eb="2">
      <t>カクニン</t>
    </rPh>
    <rPh sb="2" eb="3">
      <t>ビ</t>
    </rPh>
    <phoneticPr fontId="2"/>
  </si>
  <si>
    <t>確認者</t>
    <rPh sb="0" eb="2">
      <t>カクニン</t>
    </rPh>
    <rPh sb="2" eb="3">
      <t>シャ</t>
    </rPh>
    <phoneticPr fontId="2"/>
  </si>
  <si>
    <t>販売管理システム(SLJ販売システム)刷新PJの状況次第では本機能が取下げになる可能性がある。</t>
    <rPh sb="0" eb="2">
      <t>ハンバイ</t>
    </rPh>
    <rPh sb="2" eb="4">
      <t>カンリ</t>
    </rPh>
    <rPh sb="12" eb="14">
      <t>ハンバイ</t>
    </rPh>
    <rPh sb="19" eb="21">
      <t>サッシン</t>
    </rPh>
    <rPh sb="24" eb="26">
      <t>ジョウキョウ</t>
    </rPh>
    <rPh sb="26" eb="28">
      <t>シダイ</t>
    </rPh>
    <rPh sb="30" eb="31">
      <t>ホン</t>
    </rPh>
    <rPh sb="31" eb="33">
      <t>キノウ</t>
    </rPh>
    <rPh sb="34" eb="36">
      <t>トリサ</t>
    </rPh>
    <rPh sb="40" eb="43">
      <t>カノウセイサッシン</t>
    </rPh>
    <phoneticPr fontId="2"/>
  </si>
  <si>
    <t>基本設計時点では現行仕様をもとに設計を進める。
※シート「補足説明(機能関連図)」に追記</t>
    <rPh sb="0" eb="4">
      <t>キホンセッケイ</t>
    </rPh>
    <rPh sb="4" eb="6">
      <t>ジテン</t>
    </rPh>
    <rPh sb="8" eb="10">
      <t>ゲンコウ</t>
    </rPh>
    <rPh sb="10" eb="12">
      <t>シヨウ</t>
    </rPh>
    <rPh sb="16" eb="18">
      <t>セッケイ</t>
    </rPh>
    <rPh sb="19" eb="20">
      <t>スス</t>
    </rPh>
    <rPh sb="42" eb="44">
      <t>ツイキ</t>
    </rPh>
    <phoneticPr fontId="2"/>
  </si>
  <si>
    <t>サンスター佐保</t>
    <rPh sb="5" eb="7">
      <t>サホ</t>
    </rPh>
    <phoneticPr fontId="2"/>
  </si>
  <si>
    <t>項目の名称（会計年度、会計期間）を統一いただきたい。</t>
    <rPh sb="0" eb="2">
      <t>コウモク</t>
    </rPh>
    <rPh sb="3" eb="5">
      <t>メイショウ</t>
    </rPh>
    <rPh sb="6" eb="10">
      <t>カイケイネンド</t>
    </rPh>
    <rPh sb="11" eb="15">
      <t>カイケイキカン</t>
    </rPh>
    <rPh sb="17" eb="19">
      <t>トウイツ</t>
    </rPh>
    <phoneticPr fontId="2"/>
  </si>
  <si>
    <t>左記の通りに修正。
シート：「画面レイアウト」「画面項目説明」「ファイルレイアウト(区切り)」
※他IF機能の項目名については、修正対応後に各設計書のシート「レビュー指摘事項」にその旨を記載予定。</t>
    <rPh sb="0" eb="2">
      <t>サキ</t>
    </rPh>
    <rPh sb="3" eb="4">
      <t>トオ</t>
    </rPh>
    <rPh sb="6" eb="8">
      <t>シュウセイ</t>
    </rPh>
    <rPh sb="15" eb="17">
      <t>ガメン</t>
    </rPh>
    <rPh sb="24" eb="30">
      <t>ガメンコウモクセツメイ</t>
    </rPh>
    <rPh sb="42" eb="44">
      <t>クギ</t>
    </rPh>
    <phoneticPr fontId="2"/>
  </si>
  <si>
    <t>サンスター佐保</t>
  </si>
  <si>
    <t>[インターフェース件数管理]テーブルの管理対象はAzure Filesを介した自動連携のIF機能のみとする。</t>
    <rPh sb="9" eb="13">
      <t>ケンスウカンリ</t>
    </rPh>
    <rPh sb="19" eb="23">
      <t>カンリタイショウ</t>
    </rPh>
    <rPh sb="36" eb="37">
      <t>カイ</t>
    </rPh>
    <rPh sb="39" eb="43">
      <t>ジドウレンケイ</t>
    </rPh>
    <rPh sb="46" eb="48">
      <t>キノウ</t>
    </rPh>
    <phoneticPr fontId="2"/>
  </si>
  <si>
    <t>左記の通りに修正。
シート：「DFD」
※他IF機能の項目名については、修正対応後に各設計書のシート「レビュー指摘事項」にその旨を記載予定。</t>
    <rPh sb="0" eb="2">
      <t>サキ</t>
    </rPh>
    <rPh sb="3" eb="4">
      <t>トオ</t>
    </rPh>
    <rPh sb="6" eb="8">
      <t>シュウセイ</t>
    </rPh>
    <phoneticPr fontId="2"/>
  </si>
  <si>
    <t>詳細設計書</t>
    <rPh sb="0" eb="5">
      <t>ショウサイセッケイショ</t>
    </rPh>
    <phoneticPr fontId="3"/>
  </si>
  <si>
    <t>オブジェクト名</t>
    <rPh sb="6" eb="7">
      <t>メイ</t>
    </rPh>
    <phoneticPr fontId="2"/>
  </si>
  <si>
    <t>概要</t>
    <rPh sb="0" eb="2">
      <t>ガイヨウ</t>
    </rPh>
    <phoneticPr fontId="2"/>
  </si>
  <si>
    <t>詳細設計書</t>
    <rPh sb="0" eb="2">
      <t>ショウサイ</t>
    </rPh>
    <rPh sb="2" eb="5">
      <t>セッケイショ</t>
    </rPh>
    <phoneticPr fontId="3"/>
  </si>
  <si>
    <t>プログラムフロー図</t>
    <rPh sb="8" eb="9">
      <t>ズ</t>
    </rPh>
    <phoneticPr fontId="2"/>
  </si>
  <si>
    <t>IO</t>
    <phoneticPr fontId="2"/>
  </si>
  <si>
    <t>書式</t>
    <rPh sb="0" eb="2">
      <t>ショシキ</t>
    </rPh>
    <phoneticPr fontId="2"/>
  </si>
  <si>
    <t>横位置</t>
    <rPh sb="0" eb="1">
      <t>ヨコ</t>
    </rPh>
    <rPh sb="1" eb="3">
      <t>イチ</t>
    </rPh>
    <phoneticPr fontId="2"/>
  </si>
  <si>
    <t>縦位置</t>
    <rPh sb="0" eb="1">
      <t>タテ</t>
    </rPh>
    <rPh sb="1" eb="3">
      <t>イチ</t>
    </rPh>
    <phoneticPr fontId="2"/>
  </si>
  <si>
    <t>折り返して全体を表示する</t>
    <rPh sb="0" eb="1">
      <t>オ</t>
    </rPh>
    <rPh sb="2" eb="3">
      <t>カエ</t>
    </rPh>
    <rPh sb="5" eb="7">
      <t>ゼンタイ</t>
    </rPh>
    <rPh sb="8" eb="10">
      <t>ヒョウジ</t>
    </rPh>
    <phoneticPr fontId="2"/>
  </si>
  <si>
    <t>表示/非表示
Visivility</t>
    <phoneticPr fontId="2"/>
  </si>
  <si>
    <t>テーブル種別</t>
    <rPh sb="4" eb="6">
      <t>シュベツ</t>
    </rPh>
    <phoneticPr fontId="2"/>
  </si>
  <si>
    <t>オブジェクト</t>
    <phoneticPr fontId="2"/>
  </si>
  <si>
    <t>I/O</t>
    <phoneticPr fontId="2"/>
  </si>
  <si>
    <t>テキスト</t>
    <phoneticPr fontId="2"/>
  </si>
  <si>
    <t>標準</t>
    <rPh sb="0" eb="2">
      <t>ヒョウジュン</t>
    </rPh>
    <phoneticPr fontId="2"/>
  </si>
  <si>
    <t>表示</t>
    <rPh sb="0" eb="2">
      <t>ヒョウジ</t>
    </rPh>
    <phoneticPr fontId="2"/>
  </si>
  <si>
    <t>テーブル</t>
    <phoneticPr fontId="2"/>
  </si>
  <si>
    <t>Class</t>
    <phoneticPr fontId="2"/>
  </si>
  <si>
    <t>I</t>
    <phoneticPr fontId="2"/>
  </si>
  <si>
    <t>日付</t>
    <rPh sb="0" eb="2">
      <t>ヒヅケ</t>
    </rPh>
    <phoneticPr fontId="2"/>
  </si>
  <si>
    <t>中央詰</t>
    <rPh sb="0" eb="2">
      <t>チュウオウ</t>
    </rPh>
    <rPh sb="2" eb="3">
      <t>ヅ</t>
    </rPh>
    <phoneticPr fontId="2"/>
  </si>
  <si>
    <t>非表示</t>
    <rPh sb="0" eb="3">
      <t>ヒヒョウジ</t>
    </rPh>
    <phoneticPr fontId="2"/>
  </si>
  <si>
    <t>ビュー</t>
    <phoneticPr fontId="2"/>
  </si>
  <si>
    <t>Form Class</t>
    <phoneticPr fontId="2"/>
  </si>
  <si>
    <t>O</t>
    <phoneticPr fontId="2"/>
  </si>
  <si>
    <t>数値</t>
    <rPh sb="0" eb="2">
      <t>スウチ</t>
    </rPh>
    <phoneticPr fontId="2"/>
  </si>
  <si>
    <t>左詰</t>
    <rPh sb="0" eb="1">
      <t>ヒダリ</t>
    </rPh>
    <rPh sb="1" eb="2">
      <t>ヅ</t>
    </rPh>
    <phoneticPr fontId="2"/>
  </si>
  <si>
    <t>上詰</t>
    <rPh sb="0" eb="1">
      <t>ウエ</t>
    </rPh>
    <rPh sb="1" eb="2">
      <t>ヅ</t>
    </rPh>
    <phoneticPr fontId="2"/>
  </si>
  <si>
    <t>Table Class</t>
  </si>
  <si>
    <t>右詰</t>
    <rPh sb="0" eb="1">
      <t>ミギ</t>
    </rPh>
    <rPh sb="1" eb="2">
      <t>ツ</t>
    </rPh>
    <phoneticPr fontId="2"/>
  </si>
  <si>
    <t>下詰</t>
    <rPh sb="0" eb="1">
      <t>シタ</t>
    </rPh>
    <rPh sb="1" eb="2">
      <t>ツ</t>
    </rPh>
    <phoneticPr fontId="2"/>
  </si>
  <si>
    <t>Macro</t>
    <phoneticPr fontId="2"/>
  </si>
  <si>
    <t>Enum</t>
    <phoneticPr fontId="2"/>
  </si>
  <si>
    <t>EDT</t>
    <phoneticPr fontId="2"/>
  </si>
  <si>
    <t>Queries</t>
    <phoneticPr fontId="2"/>
  </si>
  <si>
    <t>Data Entities</t>
    <phoneticPr fontId="2"/>
  </si>
  <si>
    <t>Maps</t>
    <phoneticPr fontId="2"/>
  </si>
  <si>
    <t>Forms</t>
    <phoneticPr fontId="2"/>
  </si>
  <si>
    <t>Menus</t>
    <phoneticPr fontId="2"/>
  </si>
  <si>
    <t>Menu Items(Display)</t>
    <phoneticPr fontId="2"/>
  </si>
  <si>
    <t>Menu Items(Output)</t>
    <phoneticPr fontId="2"/>
  </si>
  <si>
    <t>Menu Items(Action)</t>
    <phoneticPr fontId="2"/>
  </si>
  <si>
    <t>Repoters</t>
    <phoneticPr fontId="2"/>
  </si>
  <si>
    <t>Security Roles</t>
    <phoneticPr fontId="2"/>
  </si>
  <si>
    <t>Security Duties</t>
    <phoneticPr fontId="2"/>
  </si>
  <si>
    <t>Security Policies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</si>
</sst>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5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9"/>
      <color rgb="FFFFFFFF"/>
      <name val="Meiryo UI"/>
      <family val="3"/>
      <charset val="128"/>
    </font>
    <font>
      <sz val="9"/>
      <color theme="1"/>
      <name val="メイリオ"/>
      <family val="2"/>
      <charset val="128"/>
    </font>
    <font>
      <sz val="6"/>
      <name val="メイリオ"/>
      <family val="2"/>
      <charset val="128"/>
    </font>
    <font>
      <sz val="10"/>
      <color indexed="8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9"/>
      <name val="Meiryo UI"/>
      <family val="3"/>
      <charset val="128"/>
    </font>
    <font>
      <sz val="10"/>
      <color rgb="FF0000FF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10"/>
      <color theme="1"/>
      <name val="Meiryo UI"/>
      <family val="3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0"/>
      <color theme="1"/>
      <name val="Arial Unicode MS"/>
      <family val="3"/>
      <charset val="128"/>
    </font>
    <font>
      <b/>
      <sz val="1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10"/>
      <color rgb="FFFF0000"/>
      <name val="Meiryo UI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4"/>
        <bgColor rgb="FF4472C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medium">
        <color indexed="64"/>
      </right>
      <top style="thin">
        <color theme="6"/>
      </top>
      <bottom style="medium">
        <color indexed="64"/>
      </bottom>
      <diagonal/>
    </border>
    <border>
      <left/>
      <right/>
      <top style="thin">
        <color theme="6"/>
      </top>
      <bottom style="medium">
        <color indexed="64"/>
      </bottom>
      <diagonal/>
    </border>
    <border>
      <left style="medium">
        <color indexed="64"/>
      </left>
      <right/>
      <top style="thin">
        <color theme="6"/>
      </top>
      <bottom style="medium">
        <color indexed="64"/>
      </bottom>
      <diagonal/>
    </border>
    <border>
      <left/>
      <right style="medium">
        <color indexed="64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medium">
        <color indexed="64"/>
      </left>
      <right/>
      <top style="thin">
        <color theme="6"/>
      </top>
      <bottom style="thin">
        <color theme="6"/>
      </bottom>
      <diagonal/>
    </border>
    <border>
      <left/>
      <right style="medium">
        <color indexed="64"/>
      </right>
      <top/>
      <bottom style="thin">
        <color theme="6"/>
      </bottom>
      <diagonal/>
    </border>
    <border>
      <left style="medium">
        <color indexed="64"/>
      </left>
      <right/>
      <top/>
      <bottom style="thin">
        <color theme="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6"/>
      </bottom>
      <diagonal/>
    </border>
    <border>
      <left/>
      <right/>
      <top style="medium">
        <color indexed="64"/>
      </top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 style="thin">
        <color theme="6"/>
      </bottom>
      <diagonal/>
    </border>
  </borders>
  <cellStyleXfs count="60">
    <xf numFmtId="0" fontId="0" fillId="0" borderId="0"/>
    <xf numFmtId="0" fontId="16" fillId="0" borderId="0">
      <alignment vertical="center"/>
    </xf>
    <xf numFmtId="0" fontId="1" fillId="0" borderId="0">
      <alignment vertical="center"/>
    </xf>
    <xf numFmtId="0" fontId="24" fillId="0" borderId="0"/>
    <xf numFmtId="0" fontId="27" fillId="0" borderId="0"/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4" borderId="103" applyNumberFormat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7" fillId="26" borderId="104" applyNumberFormat="0" applyFont="0" applyAlignment="0" applyProtection="0">
      <alignment vertical="center"/>
    </xf>
    <xf numFmtId="0" fontId="34" fillId="0" borderId="105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7" borderId="106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07" applyNumberFormat="0" applyFill="0" applyAlignment="0" applyProtection="0">
      <alignment vertical="center"/>
    </xf>
    <xf numFmtId="0" fontId="39" fillId="0" borderId="108" applyNumberFormat="0" applyFill="0" applyAlignment="0" applyProtection="0">
      <alignment vertical="center"/>
    </xf>
    <xf numFmtId="0" fontId="40" fillId="0" borderId="10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0" applyNumberFormat="0" applyFill="0" applyAlignment="0" applyProtection="0">
      <alignment vertical="center"/>
    </xf>
    <xf numFmtId="0" fontId="42" fillId="27" borderId="11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1" borderId="106" applyNumberFormat="0" applyAlignment="0" applyProtection="0">
      <alignment vertical="center"/>
    </xf>
    <xf numFmtId="0" fontId="27" fillId="0" borderId="0"/>
    <xf numFmtId="0" fontId="27" fillId="0" borderId="0"/>
    <xf numFmtId="0" fontId="28" fillId="0" borderId="0">
      <alignment vertical="center"/>
    </xf>
    <xf numFmtId="0" fontId="45" fillId="8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0" borderId="0"/>
    <xf numFmtId="0" fontId="46" fillId="0" borderId="0"/>
    <xf numFmtId="38" fontId="46" fillId="0" borderId="0" applyFont="0" applyFill="0" applyBorder="0" applyAlignment="0" applyProtection="0"/>
    <xf numFmtId="0" fontId="4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6" fillId="0" borderId="0">
      <alignment vertical="center"/>
    </xf>
    <xf numFmtId="0" fontId="46" fillId="0" borderId="0"/>
    <xf numFmtId="0" fontId="26" fillId="0" borderId="0" applyBorder="0"/>
    <xf numFmtId="0" fontId="26" fillId="0" borderId="0"/>
  </cellStyleXfs>
  <cellXfs count="505">
    <xf numFmtId="0" fontId="0" fillId="0" borderId="0" xfId="0"/>
    <xf numFmtId="0" fontId="5" fillId="0" borderId="0" xfId="0" applyFont="1" applyAlignment="1">
      <alignment vertical="center"/>
    </xf>
    <xf numFmtId="0" fontId="6" fillId="0" borderId="2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12" xfId="0" applyFont="1" applyBorder="1" applyAlignment="1">
      <alignment vertical="center"/>
    </xf>
    <xf numFmtId="0" fontId="7" fillId="0" borderId="23" xfId="0" applyFont="1" applyBorder="1"/>
    <xf numFmtId="0" fontId="7" fillId="0" borderId="10" xfId="0" applyFont="1" applyBorder="1"/>
    <xf numFmtId="0" fontId="7" fillId="0" borderId="25" xfId="0" applyFont="1" applyBorder="1"/>
    <xf numFmtId="0" fontId="7" fillId="0" borderId="22" xfId="0" applyFont="1" applyBorder="1"/>
    <xf numFmtId="0" fontId="7" fillId="0" borderId="24" xfId="0" applyFont="1" applyBorder="1"/>
    <xf numFmtId="0" fontId="7" fillId="0" borderId="45" xfId="0" applyFont="1" applyBorder="1"/>
    <xf numFmtId="0" fontId="7" fillId="0" borderId="46" xfId="0" applyFont="1" applyBorder="1"/>
    <xf numFmtId="0" fontId="7" fillId="0" borderId="42" xfId="0" applyFont="1" applyBorder="1"/>
    <xf numFmtId="0" fontId="5" fillId="0" borderId="22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7" fillId="0" borderId="0" xfId="0" applyFont="1"/>
    <xf numFmtId="0" fontId="7" fillId="0" borderId="28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27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20" xfId="0" applyFont="1" applyBorder="1"/>
    <xf numFmtId="0" fontId="7" fillId="0" borderId="21" xfId="0" applyFont="1" applyBorder="1"/>
    <xf numFmtId="0" fontId="7" fillId="0" borderId="11" xfId="0" applyFont="1" applyBorder="1"/>
    <xf numFmtId="0" fontId="7" fillId="0" borderId="23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49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2" xfId="0" quotePrefix="1" applyFont="1" applyBorder="1" applyAlignment="1">
      <alignment vertical="center"/>
    </xf>
    <xf numFmtId="49" fontId="5" fillId="0" borderId="23" xfId="0" applyNumberFormat="1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5" fillId="0" borderId="25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0" xfId="0" quotePrefix="1" applyFont="1" applyAlignment="1">
      <alignment horizontal="right" vertical="center"/>
    </xf>
    <xf numFmtId="0" fontId="8" fillId="3" borderId="39" xfId="0" applyFont="1" applyFill="1" applyBorder="1" applyAlignment="1">
      <alignment vertical="center"/>
    </xf>
    <xf numFmtId="0" fontId="8" fillId="3" borderId="40" xfId="0" applyFont="1" applyFill="1" applyBorder="1" applyAlignment="1">
      <alignment vertical="center"/>
    </xf>
    <xf numFmtId="0" fontId="8" fillId="3" borderId="41" xfId="0" applyFont="1" applyFill="1" applyBorder="1" applyAlignment="1">
      <alignment vertical="center"/>
    </xf>
    <xf numFmtId="0" fontId="8" fillId="3" borderId="37" xfId="0" applyFont="1" applyFill="1" applyBorder="1" applyAlignment="1">
      <alignment vertical="center"/>
    </xf>
    <xf numFmtId="0" fontId="8" fillId="3" borderId="26" xfId="0" applyFont="1" applyFill="1" applyBorder="1" applyAlignment="1">
      <alignment vertical="center"/>
    </xf>
    <xf numFmtId="0" fontId="8" fillId="3" borderId="35" xfId="0" applyFont="1" applyFill="1" applyBorder="1" applyAlignment="1">
      <alignment vertical="center"/>
    </xf>
    <xf numFmtId="0" fontId="8" fillId="3" borderId="38" xfId="0" applyFont="1" applyFill="1" applyBorder="1" applyAlignment="1">
      <alignment vertical="center"/>
    </xf>
    <xf numFmtId="0" fontId="8" fillId="3" borderId="34" xfId="0" applyFont="1" applyFill="1" applyBorder="1" applyAlignment="1">
      <alignment vertical="center"/>
    </xf>
    <xf numFmtId="0" fontId="8" fillId="3" borderId="44" xfId="0" applyFont="1" applyFill="1" applyBorder="1" applyAlignment="1">
      <alignment vertical="center"/>
    </xf>
    <xf numFmtId="49" fontId="23" fillId="0" borderId="0" xfId="0" applyNumberFormat="1" applyFont="1" applyAlignment="1">
      <alignment horizontal="left" vertical="center"/>
    </xf>
    <xf numFmtId="0" fontId="23" fillId="0" borderId="2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7" fillId="0" borderId="0" xfId="3" applyFont="1" applyAlignment="1">
      <alignment vertical="center"/>
    </xf>
    <xf numFmtId="0" fontId="7" fillId="0" borderId="0" xfId="3" applyFont="1" applyAlignment="1">
      <alignment horizontal="right" vertical="center"/>
    </xf>
    <xf numFmtId="0" fontId="5" fillId="0" borderId="0" xfId="3" applyFont="1"/>
    <xf numFmtId="0" fontId="5" fillId="0" borderId="0" xfId="3" quotePrefix="1" applyFont="1"/>
    <xf numFmtId="0" fontId="5" fillId="0" borderId="0" xfId="3" applyFont="1" applyAlignment="1">
      <alignment vertical="center"/>
    </xf>
    <xf numFmtId="0" fontId="5" fillId="0" borderId="0" xfId="3" applyFont="1" applyAlignment="1">
      <alignment horizontal="right" vertical="center"/>
    </xf>
    <xf numFmtId="0" fontId="5" fillId="0" borderId="10" xfId="3" applyFont="1" applyBorder="1" applyAlignment="1">
      <alignment vertical="center"/>
    </xf>
    <xf numFmtId="0" fontId="5" fillId="0" borderId="24" xfId="3" applyFont="1" applyBorder="1" applyAlignment="1">
      <alignment vertical="center"/>
    </xf>
    <xf numFmtId="49" fontId="5" fillId="0" borderId="11" xfId="0" applyNumberFormat="1" applyFont="1" applyBorder="1" applyAlignment="1">
      <alignment vertical="center"/>
    </xf>
    <xf numFmtId="49" fontId="5" fillId="0" borderId="31" xfId="0" applyNumberFormat="1" applyFont="1" applyBorder="1" applyAlignment="1">
      <alignment vertical="center"/>
    </xf>
    <xf numFmtId="49" fontId="5" fillId="0" borderId="12" xfId="0" applyNumberFormat="1" applyFont="1" applyBorder="1" applyAlignment="1">
      <alignment vertical="center"/>
    </xf>
    <xf numFmtId="49" fontId="5" fillId="0" borderId="14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36" xfId="0" quotePrefix="1" applyFont="1" applyBorder="1" applyAlignment="1">
      <alignment vertical="center"/>
    </xf>
    <xf numFmtId="49" fontId="5" fillId="0" borderId="13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5" fillId="0" borderId="32" xfId="0" applyNumberFormat="1" applyFont="1" applyBorder="1" applyAlignment="1">
      <alignment vertical="center"/>
    </xf>
    <xf numFmtId="49" fontId="5" fillId="0" borderId="27" xfId="0" applyNumberFormat="1" applyFont="1" applyBorder="1" applyAlignment="1">
      <alignment vertical="center"/>
    </xf>
    <xf numFmtId="49" fontId="5" fillId="0" borderId="43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49" fillId="0" borderId="0" xfId="56" applyFont="1">
      <alignment vertical="center"/>
    </xf>
    <xf numFmtId="0" fontId="4" fillId="0" borderId="0" xfId="56" applyFont="1">
      <alignment vertical="center"/>
    </xf>
    <xf numFmtId="20" fontId="4" fillId="0" borderId="0" xfId="56" applyNumberFormat="1" applyFont="1">
      <alignment vertical="center"/>
    </xf>
    <xf numFmtId="0" fontId="50" fillId="28" borderId="6" xfId="0" applyFont="1" applyFill="1" applyBorder="1" applyAlignment="1">
      <alignment vertical="center"/>
    </xf>
    <xf numFmtId="0" fontId="50" fillId="28" borderId="27" xfId="0" applyFont="1" applyFill="1" applyBorder="1" applyAlignment="1">
      <alignment vertical="center"/>
    </xf>
    <xf numFmtId="22" fontId="5" fillId="0" borderId="0" xfId="0" quotePrefix="1" applyNumberFormat="1" applyFont="1" applyAlignment="1">
      <alignment horizontal="left" vertical="top"/>
    </xf>
    <xf numFmtId="0" fontId="5" fillId="0" borderId="0" xfId="0" quotePrefix="1" applyFont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49" fontId="5" fillId="0" borderId="22" xfId="0" applyNumberFormat="1" applyFont="1" applyBorder="1" applyAlignment="1">
      <alignment vertical="top"/>
    </xf>
    <xf numFmtId="0" fontId="5" fillId="0" borderId="0" xfId="0" applyFont="1"/>
    <xf numFmtId="49" fontId="5" fillId="0" borderId="28" xfId="0" applyNumberFormat="1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12" xfId="0" applyFont="1" applyBorder="1" applyAlignment="1">
      <alignment vertical="top"/>
    </xf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quotePrefix="1" applyFont="1" applyAlignment="1">
      <alignment vertical="top"/>
    </xf>
    <xf numFmtId="0" fontId="5" fillId="0" borderId="0" xfId="3" applyFont="1" applyAlignment="1">
      <alignment vertical="center" wrapText="1"/>
    </xf>
    <xf numFmtId="0" fontId="5" fillId="0" borderId="12" xfId="0" applyFont="1" applyBorder="1" applyAlignment="1">
      <alignment horizontal="left" vertical="center"/>
    </xf>
    <xf numFmtId="0" fontId="49" fillId="0" borderId="0" xfId="0" applyFont="1" applyAlignment="1">
      <alignment vertical="top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/>
    </xf>
    <xf numFmtId="0" fontId="5" fillId="2" borderId="2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20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2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4" fontId="20" fillId="4" borderId="74" xfId="1" applyNumberFormat="1" applyFont="1" applyFill="1" applyBorder="1" applyAlignment="1">
      <alignment horizontal="left" vertical="center"/>
    </xf>
    <xf numFmtId="14" fontId="20" fillId="4" borderId="70" xfId="1" applyNumberFormat="1" applyFont="1" applyFill="1" applyBorder="1" applyAlignment="1">
      <alignment horizontal="left" vertical="center"/>
    </xf>
    <xf numFmtId="14" fontId="20" fillId="4" borderId="71" xfId="1" applyNumberFormat="1" applyFont="1" applyFill="1" applyBorder="1" applyAlignment="1">
      <alignment horizontal="left" vertical="center"/>
    </xf>
    <xf numFmtId="0" fontId="20" fillId="4" borderId="74" xfId="1" applyFont="1" applyFill="1" applyBorder="1" applyAlignment="1">
      <alignment horizontal="left" vertical="center"/>
    </xf>
    <xf numFmtId="0" fontId="20" fillId="4" borderId="70" xfId="1" applyFont="1" applyFill="1" applyBorder="1" applyAlignment="1">
      <alignment horizontal="left" vertical="center"/>
    </xf>
    <xf numFmtId="0" fontId="20" fillId="4" borderId="81" xfId="1" applyFont="1" applyFill="1" applyBorder="1" applyAlignment="1">
      <alignment horizontal="left" vertical="center"/>
    </xf>
    <xf numFmtId="0" fontId="20" fillId="4" borderId="72" xfId="1" applyFont="1" applyFill="1" applyBorder="1" applyAlignment="1">
      <alignment vertical="center" wrapText="1"/>
    </xf>
    <xf numFmtId="0" fontId="20" fillId="4" borderId="74" xfId="1" applyFont="1" applyFill="1" applyBorder="1" applyAlignment="1">
      <alignment horizontal="center" vertical="center" wrapText="1"/>
    </xf>
    <xf numFmtId="0" fontId="20" fillId="4" borderId="70" xfId="1" applyFont="1" applyFill="1" applyBorder="1" applyAlignment="1">
      <alignment horizontal="center" vertical="center" wrapText="1"/>
    </xf>
    <xf numFmtId="0" fontId="20" fillId="4" borderId="81" xfId="1" applyFont="1" applyFill="1" applyBorder="1" applyAlignment="1">
      <alignment horizontal="center" vertical="center" wrapText="1"/>
    </xf>
    <xf numFmtId="49" fontId="20" fillId="4" borderId="73" xfId="1" applyNumberFormat="1" applyFont="1" applyFill="1" applyBorder="1" applyAlignment="1">
      <alignment horizontal="center" vertical="center"/>
    </xf>
    <xf numFmtId="49" fontId="20" fillId="4" borderId="70" xfId="1" applyNumberFormat="1" applyFont="1" applyFill="1" applyBorder="1" applyAlignment="1">
      <alignment horizontal="center" vertical="center"/>
    </xf>
    <xf numFmtId="49" fontId="20" fillId="4" borderId="81" xfId="1" applyNumberFormat="1" applyFont="1" applyFill="1" applyBorder="1" applyAlignment="1">
      <alignment horizontal="center" vertical="center"/>
    </xf>
    <xf numFmtId="0" fontId="4" fillId="4" borderId="67" xfId="1" applyFont="1" applyFill="1" applyBorder="1" applyAlignment="1">
      <alignment horizontal="center" vertical="center"/>
    </xf>
    <xf numFmtId="0" fontId="4" fillId="4" borderId="94" xfId="1" applyFont="1" applyFill="1" applyBorder="1" applyAlignment="1">
      <alignment horizontal="center" vertical="center"/>
    </xf>
    <xf numFmtId="0" fontId="4" fillId="4" borderId="68" xfId="1" applyFont="1" applyFill="1" applyBorder="1" applyAlignment="1">
      <alignment horizontal="center" vertical="center"/>
    </xf>
    <xf numFmtId="0" fontId="4" fillId="4" borderId="69" xfId="1" applyFont="1" applyFill="1" applyBorder="1" applyAlignment="1">
      <alignment horizontal="center" vertical="center"/>
    </xf>
    <xf numFmtId="0" fontId="8" fillId="3" borderId="55" xfId="1" applyFont="1" applyFill="1" applyBorder="1" applyAlignment="1">
      <alignment horizontal="center" vertical="center"/>
    </xf>
    <xf numFmtId="0" fontId="8" fillId="3" borderId="56" xfId="1" applyFont="1" applyFill="1" applyBorder="1" applyAlignment="1">
      <alignment horizontal="center" vertical="center"/>
    </xf>
    <xf numFmtId="0" fontId="8" fillId="3" borderId="90" xfId="1" applyFont="1" applyFill="1" applyBorder="1" applyAlignment="1">
      <alignment horizontal="center" vertical="center"/>
    </xf>
    <xf numFmtId="0" fontId="8" fillId="3" borderId="18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57" xfId="1" applyFont="1" applyFill="1" applyBorder="1" applyAlignment="1">
      <alignment horizontal="center" vertical="center"/>
    </xf>
    <xf numFmtId="0" fontId="8" fillId="3" borderId="91" xfId="1" applyFont="1" applyFill="1" applyBorder="1" applyAlignment="1">
      <alignment horizontal="center" vertical="center"/>
    </xf>
    <xf numFmtId="0" fontId="13" fillId="3" borderId="55" xfId="1" applyFont="1" applyFill="1" applyBorder="1" applyAlignment="1">
      <alignment horizontal="center" vertical="center"/>
    </xf>
    <xf numFmtId="0" fontId="13" fillId="3" borderId="91" xfId="1" applyFont="1" applyFill="1" applyBorder="1" applyAlignment="1">
      <alignment horizontal="center" vertical="center"/>
    </xf>
    <xf numFmtId="0" fontId="13" fillId="3" borderId="56" xfId="1" applyFont="1" applyFill="1" applyBorder="1" applyAlignment="1">
      <alignment horizontal="center" vertical="center"/>
    </xf>
    <xf numFmtId="0" fontId="13" fillId="3" borderId="57" xfId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0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 wrapText="1"/>
    </xf>
    <xf numFmtId="0" fontId="4" fillId="0" borderId="24" xfId="0" quotePrefix="1" applyFont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center" wrapText="1"/>
    </xf>
    <xf numFmtId="0" fontId="4" fillId="0" borderId="25" xfId="0" quotePrefix="1" applyFont="1" applyBorder="1" applyAlignment="1">
      <alignment horizontal="center" vertical="center" wrapText="1"/>
    </xf>
    <xf numFmtId="0" fontId="18" fillId="4" borderId="58" xfId="1" applyFont="1" applyFill="1" applyBorder="1" applyAlignment="1">
      <alignment horizontal="center" vertical="center"/>
    </xf>
    <xf numFmtId="0" fontId="18" fillId="4" borderId="59" xfId="1" applyFont="1" applyFill="1" applyBorder="1" applyAlignment="1">
      <alignment horizontal="center" vertical="center"/>
    </xf>
    <xf numFmtId="176" fontId="4" fillId="4" borderId="59" xfId="1" applyNumberFormat="1" applyFont="1" applyFill="1" applyBorder="1" applyAlignment="1">
      <alignment horizontal="center" vertical="center"/>
    </xf>
    <xf numFmtId="176" fontId="4" fillId="4" borderId="60" xfId="1" applyNumberFormat="1" applyFont="1" applyFill="1" applyBorder="1" applyAlignment="1">
      <alignment horizontal="center" vertical="center"/>
    </xf>
    <xf numFmtId="0" fontId="4" fillId="4" borderId="61" xfId="1" applyFont="1" applyFill="1" applyBorder="1" applyAlignment="1">
      <alignment horizontal="center" vertical="center"/>
    </xf>
    <xf numFmtId="0" fontId="4" fillId="4" borderId="93" xfId="1" applyFont="1" applyFill="1" applyBorder="1" applyAlignment="1">
      <alignment horizontal="center" vertical="center"/>
    </xf>
    <xf numFmtId="0" fontId="4" fillId="4" borderId="62" xfId="1" applyFont="1" applyFill="1" applyBorder="1" applyAlignment="1">
      <alignment horizontal="center" vertical="center"/>
    </xf>
    <xf numFmtId="0" fontId="4" fillId="4" borderId="63" xfId="1" applyFont="1" applyFill="1" applyBorder="1" applyAlignment="1">
      <alignment horizontal="center" vertical="center"/>
    </xf>
    <xf numFmtId="0" fontId="18" fillId="4" borderId="64" xfId="1" applyFont="1" applyFill="1" applyBorder="1" applyAlignment="1">
      <alignment horizontal="center" vertical="center"/>
    </xf>
    <xf numFmtId="0" fontId="18" fillId="4" borderId="65" xfId="1" applyFont="1" applyFill="1" applyBorder="1" applyAlignment="1">
      <alignment horizontal="center" vertical="center"/>
    </xf>
    <xf numFmtId="176" fontId="4" fillId="4" borderId="65" xfId="1" applyNumberFormat="1" applyFont="1" applyFill="1" applyBorder="1" applyAlignment="1">
      <alignment horizontal="center" vertical="center"/>
    </xf>
    <xf numFmtId="176" fontId="4" fillId="4" borderId="66" xfId="1" applyNumberFormat="1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52" xfId="1" applyFont="1" applyFill="1" applyBorder="1" applyAlignment="1">
      <alignment horizontal="center" vertical="center"/>
    </xf>
    <xf numFmtId="0" fontId="13" fillId="3" borderId="53" xfId="1" applyFont="1" applyFill="1" applyBorder="1" applyAlignment="1">
      <alignment horizontal="center" vertical="center"/>
    </xf>
    <xf numFmtId="0" fontId="13" fillId="3" borderId="54" xfId="1" applyFont="1" applyFill="1" applyBorder="1" applyAlignment="1">
      <alignment horizontal="center" vertical="center"/>
    </xf>
    <xf numFmtId="14" fontId="20" fillId="4" borderId="83" xfId="1" applyNumberFormat="1" applyFont="1" applyFill="1" applyBorder="1" applyAlignment="1">
      <alignment horizontal="left" vertical="center"/>
    </xf>
    <xf numFmtId="14" fontId="20" fillId="4" borderId="84" xfId="1" applyNumberFormat="1" applyFont="1" applyFill="1" applyBorder="1" applyAlignment="1">
      <alignment horizontal="left" vertical="center"/>
    </xf>
    <xf numFmtId="14" fontId="20" fillId="4" borderId="85" xfId="1" applyNumberFormat="1" applyFont="1" applyFill="1" applyBorder="1" applyAlignment="1">
      <alignment horizontal="left" vertical="center"/>
    </xf>
    <xf numFmtId="0" fontId="20" fillId="4" borderId="83" xfId="1" applyFont="1" applyFill="1" applyBorder="1" applyAlignment="1">
      <alignment horizontal="left" vertical="center"/>
    </xf>
    <xf numFmtId="0" fontId="20" fillId="4" borderId="86" xfId="1" applyFont="1" applyFill="1" applyBorder="1" applyAlignment="1">
      <alignment horizontal="left" vertical="center"/>
    </xf>
    <xf numFmtId="0" fontId="20" fillId="4" borderId="87" xfId="1" applyFont="1" applyFill="1" applyBorder="1" applyAlignment="1">
      <alignment horizontal="left" vertical="center"/>
    </xf>
    <xf numFmtId="0" fontId="20" fillId="4" borderId="83" xfId="1" applyFont="1" applyFill="1" applyBorder="1" applyAlignment="1">
      <alignment horizontal="center" vertical="center" wrapText="1"/>
    </xf>
    <xf numFmtId="0" fontId="20" fillId="4" borderId="84" xfId="1" applyFont="1" applyFill="1" applyBorder="1" applyAlignment="1">
      <alignment horizontal="center" vertical="center" wrapText="1"/>
    </xf>
    <xf numFmtId="0" fontId="20" fillId="4" borderId="88" xfId="1" applyFont="1" applyFill="1" applyBorder="1" applyAlignment="1">
      <alignment horizontal="center" vertical="center" wrapText="1"/>
    </xf>
    <xf numFmtId="49" fontId="20" fillId="4" borderId="89" xfId="1" applyNumberFormat="1" applyFont="1" applyFill="1" applyBorder="1" applyAlignment="1">
      <alignment horizontal="center" vertical="center"/>
    </xf>
    <xf numFmtId="49" fontId="20" fillId="4" borderId="84" xfId="1" applyNumberFormat="1" applyFont="1" applyFill="1" applyBorder="1" applyAlignment="1">
      <alignment horizontal="center" vertical="center"/>
    </xf>
    <xf numFmtId="49" fontId="20" fillId="4" borderId="88" xfId="1" applyNumberFormat="1" applyFont="1" applyFill="1" applyBorder="1" applyAlignment="1">
      <alignment horizontal="center" vertical="center"/>
    </xf>
    <xf numFmtId="0" fontId="20" fillId="4" borderId="74" xfId="1" applyFont="1" applyFill="1" applyBorder="1" applyAlignment="1">
      <alignment horizontal="left" vertical="center" wrapText="1"/>
    </xf>
    <xf numFmtId="0" fontId="21" fillId="4" borderId="72" xfId="1" applyFont="1" applyFill="1" applyBorder="1" applyAlignment="1">
      <alignment vertical="center" wrapText="1"/>
    </xf>
    <xf numFmtId="0" fontId="20" fillId="4" borderId="112" xfId="1" applyFont="1" applyFill="1" applyBorder="1" applyAlignment="1">
      <alignment horizontal="center" vertical="center" wrapText="1"/>
    </xf>
    <xf numFmtId="0" fontId="20" fillId="4" borderId="72" xfId="1" applyFont="1" applyFill="1" applyBorder="1" applyAlignment="1">
      <alignment horizontal="center" vertical="center" wrapText="1"/>
    </xf>
    <xf numFmtId="0" fontId="20" fillId="4" borderId="113" xfId="1" applyFont="1" applyFill="1" applyBorder="1" applyAlignment="1">
      <alignment horizontal="center" vertical="center" wrapText="1"/>
    </xf>
    <xf numFmtId="49" fontId="20" fillId="4" borderId="112" xfId="1" applyNumberFormat="1" applyFont="1" applyFill="1" applyBorder="1" applyAlignment="1">
      <alignment horizontal="center" vertical="center"/>
    </xf>
    <xf numFmtId="49" fontId="20" fillId="4" borderId="72" xfId="1" applyNumberFormat="1" applyFont="1" applyFill="1" applyBorder="1" applyAlignment="1">
      <alignment horizontal="center" vertical="center"/>
    </xf>
    <xf numFmtId="49" fontId="20" fillId="4" borderId="113" xfId="1" applyNumberFormat="1" applyFont="1" applyFill="1" applyBorder="1" applyAlignment="1">
      <alignment horizontal="center" vertical="center"/>
    </xf>
    <xf numFmtId="14" fontId="20" fillId="4" borderId="64" xfId="1" applyNumberFormat="1" applyFont="1" applyFill="1" applyBorder="1" applyAlignment="1">
      <alignment horizontal="left" vertical="center"/>
    </xf>
    <xf numFmtId="14" fontId="20" fillId="4" borderId="65" xfId="1" applyNumberFormat="1" applyFont="1" applyFill="1" applyBorder="1" applyAlignment="1">
      <alignment horizontal="left" vertical="center"/>
    </xf>
    <xf numFmtId="14" fontId="20" fillId="4" borderId="75" xfId="1" applyNumberFormat="1" applyFont="1" applyFill="1" applyBorder="1" applyAlignment="1">
      <alignment horizontal="left" vertical="center"/>
    </xf>
    <xf numFmtId="0" fontId="20" fillId="4" borderId="64" xfId="1" applyFont="1" applyFill="1" applyBorder="1" applyAlignment="1">
      <alignment horizontal="left" vertical="center"/>
    </xf>
    <xf numFmtId="0" fontId="20" fillId="4" borderId="65" xfId="1" applyFont="1" applyFill="1" applyBorder="1" applyAlignment="1">
      <alignment horizontal="left" vertical="center"/>
    </xf>
    <xf numFmtId="0" fontId="20" fillId="4" borderId="66" xfId="1" applyFont="1" applyFill="1" applyBorder="1" applyAlignment="1">
      <alignment horizontal="left" vertical="center"/>
    </xf>
    <xf numFmtId="0" fontId="20" fillId="4" borderId="64" xfId="1" applyFont="1" applyFill="1" applyBorder="1" applyAlignment="1">
      <alignment horizontal="center" vertical="center" wrapText="1"/>
    </xf>
    <xf numFmtId="0" fontId="20" fillId="4" borderId="65" xfId="1" applyFont="1" applyFill="1" applyBorder="1" applyAlignment="1">
      <alignment horizontal="center" vertical="center" wrapText="1"/>
    </xf>
    <xf numFmtId="0" fontId="20" fillId="4" borderId="66" xfId="1" applyFont="1" applyFill="1" applyBorder="1" applyAlignment="1">
      <alignment horizontal="center" vertical="center" wrapText="1"/>
    </xf>
    <xf numFmtId="49" fontId="20" fillId="4" borderId="82" xfId="1" applyNumberFormat="1" applyFont="1" applyFill="1" applyBorder="1" applyAlignment="1">
      <alignment horizontal="center" vertical="center"/>
    </xf>
    <xf numFmtId="49" fontId="20" fillId="4" borderId="65" xfId="1" applyNumberFormat="1" applyFont="1" applyFill="1" applyBorder="1" applyAlignment="1">
      <alignment horizontal="center" vertical="center"/>
    </xf>
    <xf numFmtId="49" fontId="20" fillId="4" borderId="66" xfId="1" applyNumberFormat="1" applyFont="1" applyFill="1" applyBorder="1" applyAlignment="1">
      <alignment horizontal="center" vertical="center"/>
    </xf>
    <xf numFmtId="176" fontId="4" fillId="4" borderId="75" xfId="1" applyNumberFormat="1" applyFont="1" applyFill="1" applyBorder="1" applyAlignment="1">
      <alignment horizontal="center" vertical="center"/>
    </xf>
    <xf numFmtId="176" fontId="4" fillId="4" borderId="76" xfId="1" applyNumberFormat="1" applyFont="1" applyFill="1" applyBorder="1" applyAlignment="1">
      <alignment horizontal="center" vertical="center"/>
    </xf>
    <xf numFmtId="176" fontId="4" fillId="4" borderId="77" xfId="1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4" fillId="4" borderId="78" xfId="1" applyFont="1" applyFill="1" applyBorder="1" applyAlignment="1">
      <alignment horizontal="center" vertical="center"/>
    </xf>
    <xf numFmtId="0" fontId="4" fillId="4" borderId="79" xfId="1" applyFont="1" applyFill="1" applyBorder="1" applyAlignment="1">
      <alignment horizontal="center" vertical="center"/>
    </xf>
    <xf numFmtId="0" fontId="4" fillId="4" borderId="80" xfId="1" applyFont="1" applyFill="1" applyBorder="1" applyAlignment="1">
      <alignment horizontal="center" vertical="center"/>
    </xf>
    <xf numFmtId="0" fontId="5" fillId="0" borderId="37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0" borderId="38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right" vertical="center"/>
    </xf>
    <xf numFmtId="0" fontId="5" fillId="0" borderId="32" xfId="0" applyFont="1" applyBorder="1" applyAlignment="1">
      <alignment horizontal="right" vertical="center"/>
    </xf>
    <xf numFmtId="0" fontId="5" fillId="0" borderId="37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8" xfId="0" applyFont="1" applyBorder="1" applyAlignment="1">
      <alignment horizontal="right" vertical="center"/>
    </xf>
    <xf numFmtId="0" fontId="5" fillId="0" borderId="44" xfId="0" applyFont="1" applyBorder="1" applyAlignment="1">
      <alignment horizontal="right" vertical="center"/>
    </xf>
    <xf numFmtId="0" fontId="8" fillId="3" borderId="18" xfId="0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37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5" fillId="0" borderId="39" xfId="0" applyFont="1" applyBorder="1" applyAlignment="1">
      <alignment horizontal="right" vertical="center"/>
    </xf>
    <xf numFmtId="0" fontId="5" fillId="0" borderId="41" xfId="0" applyFont="1" applyBorder="1" applyAlignment="1">
      <alignment horizontal="right" vertical="center"/>
    </xf>
    <xf numFmtId="0" fontId="5" fillId="0" borderId="3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8" fillId="3" borderId="1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49" fontId="8" fillId="3" borderId="18" xfId="0" applyNumberFormat="1" applyFont="1" applyFill="1" applyBorder="1" applyAlignment="1">
      <alignment horizontal="center" vertical="center"/>
    </xf>
    <xf numFmtId="49" fontId="8" fillId="3" borderId="16" xfId="0" applyNumberFormat="1" applyFont="1" applyFill="1" applyBorder="1" applyAlignment="1">
      <alignment horizontal="center" vertical="center"/>
    </xf>
    <xf numFmtId="49" fontId="8" fillId="3" borderId="17" xfId="0" applyNumberFormat="1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horizontal="center" vertical="center"/>
    </xf>
    <xf numFmtId="49" fontId="8" fillId="3" borderId="19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1" fillId="0" borderId="22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114" xfId="0" applyFont="1" applyBorder="1" applyAlignment="1">
      <alignment vertical="center"/>
    </xf>
    <xf numFmtId="0" fontId="5" fillId="0" borderId="115" xfId="0" applyFont="1" applyBorder="1" applyAlignment="1">
      <alignment vertical="center"/>
    </xf>
    <xf numFmtId="4" fontId="5" fillId="0" borderId="100" xfId="3" applyNumberFormat="1" applyFont="1" applyBorder="1" applyAlignment="1">
      <alignment horizontal="left" vertical="top"/>
    </xf>
    <xf numFmtId="4" fontId="5" fillId="0" borderId="99" xfId="3" applyNumberFormat="1" applyFont="1" applyBorder="1" applyAlignment="1">
      <alignment horizontal="left" vertical="top"/>
    </xf>
    <xf numFmtId="4" fontId="5" fillId="0" borderId="98" xfId="3" applyNumberFormat="1" applyFont="1" applyBorder="1" applyAlignment="1">
      <alignment horizontal="left" vertical="top"/>
    </xf>
    <xf numFmtId="0" fontId="5" fillId="0" borderId="100" xfId="3" applyFont="1" applyBorder="1" applyAlignment="1">
      <alignment horizontal="right" vertical="center"/>
    </xf>
    <xf numFmtId="0" fontId="5" fillId="0" borderId="98" xfId="3" applyFont="1" applyBorder="1" applyAlignment="1">
      <alignment horizontal="right" vertical="center"/>
    </xf>
    <xf numFmtId="0" fontId="25" fillId="0" borderId="100" xfId="3" applyFont="1" applyBorder="1" applyAlignment="1">
      <alignment horizontal="left" vertical="top"/>
    </xf>
    <xf numFmtId="0" fontId="25" fillId="0" borderId="99" xfId="3" applyFont="1" applyBorder="1" applyAlignment="1">
      <alignment horizontal="left" vertical="top"/>
    </xf>
    <xf numFmtId="0" fontId="25" fillId="0" borderId="98" xfId="3" applyFont="1" applyBorder="1" applyAlignment="1">
      <alignment horizontal="left" vertical="top"/>
    </xf>
    <xf numFmtId="0" fontId="5" fillId="0" borderId="100" xfId="3" applyFont="1" applyBorder="1" applyAlignment="1">
      <alignment horizontal="left" vertical="top" wrapText="1"/>
    </xf>
    <xf numFmtId="0" fontId="5" fillId="0" borderId="99" xfId="3" applyFont="1" applyBorder="1" applyAlignment="1">
      <alignment horizontal="left" vertical="top" wrapText="1"/>
    </xf>
    <xf numFmtId="0" fontId="5" fillId="0" borderId="98" xfId="3" applyFont="1" applyBorder="1" applyAlignment="1">
      <alignment horizontal="left" vertical="top" wrapText="1"/>
    </xf>
    <xf numFmtId="0" fontId="5" fillId="0" borderId="100" xfId="3" applyFont="1" applyBorder="1" applyAlignment="1">
      <alignment horizontal="center" vertical="top"/>
    </xf>
    <xf numFmtId="0" fontId="5" fillId="0" borderId="99" xfId="3" applyFont="1" applyBorder="1" applyAlignment="1">
      <alignment horizontal="center" vertical="top"/>
    </xf>
    <xf numFmtId="0" fontId="5" fillId="0" borderId="98" xfId="3" applyFont="1" applyBorder="1" applyAlignment="1">
      <alignment horizontal="center" vertical="top"/>
    </xf>
    <xf numFmtId="0" fontId="5" fillId="0" borderId="100" xfId="3" applyFont="1" applyBorder="1" applyAlignment="1">
      <alignment horizontal="left" vertical="top"/>
    </xf>
    <xf numFmtId="0" fontId="5" fillId="0" borderId="99" xfId="3" applyFont="1" applyBorder="1" applyAlignment="1">
      <alignment horizontal="left" vertical="top"/>
    </xf>
    <xf numFmtId="0" fontId="5" fillId="0" borderId="98" xfId="3" applyFont="1" applyBorder="1" applyAlignment="1">
      <alignment horizontal="left" vertical="top"/>
    </xf>
    <xf numFmtId="0" fontId="5" fillId="0" borderId="102" xfId="3" applyFont="1" applyBorder="1" applyAlignment="1">
      <alignment horizontal="right" vertical="center"/>
    </xf>
    <xf numFmtId="0" fontId="5" fillId="0" borderId="101" xfId="3" applyFont="1" applyBorder="1" applyAlignment="1">
      <alignment horizontal="right" vertical="center"/>
    </xf>
    <xf numFmtId="0" fontId="5" fillId="0" borderId="97" xfId="3" applyFont="1" applyBorder="1" applyAlignment="1">
      <alignment horizontal="left" vertical="top"/>
    </xf>
    <xf numFmtId="0" fontId="5" fillId="0" borderId="96" xfId="3" applyFont="1" applyBorder="1" applyAlignment="1">
      <alignment horizontal="left" vertical="top"/>
    </xf>
    <xf numFmtId="0" fontId="5" fillId="0" borderId="95" xfId="3" applyFont="1" applyBorder="1" applyAlignment="1">
      <alignment horizontal="left" vertical="top"/>
    </xf>
    <xf numFmtId="0" fontId="5" fillId="0" borderId="97" xfId="3" applyFont="1" applyBorder="1" applyAlignment="1">
      <alignment horizontal="right" vertical="center"/>
    </xf>
    <xf numFmtId="0" fontId="5" fillId="0" borderId="95" xfId="3" applyFont="1" applyBorder="1" applyAlignment="1">
      <alignment horizontal="right" vertical="center"/>
    </xf>
    <xf numFmtId="0" fontId="25" fillId="0" borderId="97" xfId="3" applyFont="1" applyBorder="1" applyAlignment="1">
      <alignment horizontal="left" vertical="top"/>
    </xf>
    <xf numFmtId="0" fontId="25" fillId="0" borderId="96" xfId="3" applyFont="1" applyBorder="1" applyAlignment="1">
      <alignment horizontal="left" vertical="top"/>
    </xf>
    <xf numFmtId="0" fontId="25" fillId="0" borderId="95" xfId="3" applyFont="1" applyBorder="1" applyAlignment="1">
      <alignment horizontal="left" vertical="top"/>
    </xf>
    <xf numFmtId="0" fontId="5" fillId="0" borderId="97" xfId="3" applyFont="1" applyBorder="1" applyAlignment="1">
      <alignment horizontal="center" vertical="top"/>
    </xf>
    <xf numFmtId="0" fontId="5" fillId="0" borderId="96" xfId="3" applyFont="1" applyBorder="1" applyAlignment="1">
      <alignment horizontal="center" vertical="top"/>
    </xf>
    <xf numFmtId="0" fontId="5" fillId="0" borderId="95" xfId="3" applyFont="1" applyBorder="1" applyAlignment="1">
      <alignment horizontal="center" vertical="top"/>
    </xf>
    <xf numFmtId="0" fontId="5" fillId="0" borderId="116" xfId="0" applyFont="1" applyBorder="1" applyAlignment="1">
      <alignment vertical="center"/>
    </xf>
    <xf numFmtId="0" fontId="5" fillId="0" borderId="117" xfId="0" applyFont="1" applyBorder="1" applyAlignment="1">
      <alignment vertical="center"/>
    </xf>
    <xf numFmtId="4" fontId="5" fillId="0" borderId="100" xfId="3" applyNumberFormat="1" applyFont="1" applyBorder="1" applyAlignment="1">
      <alignment horizontal="left" vertical="top" wrapText="1"/>
    </xf>
    <xf numFmtId="4" fontId="5" fillId="0" borderId="99" xfId="3" applyNumberFormat="1" applyFont="1" applyBorder="1" applyAlignment="1">
      <alignment horizontal="left" vertical="top" wrapText="1"/>
    </xf>
    <xf numFmtId="4" fontId="5" fillId="0" borderId="98" xfId="3" applyNumberFormat="1" applyFont="1" applyBorder="1" applyAlignment="1">
      <alignment horizontal="left" vertical="top" wrapText="1"/>
    </xf>
    <xf numFmtId="4" fontId="5" fillId="0" borderId="97" xfId="3" applyNumberFormat="1" applyFont="1" applyBorder="1" applyAlignment="1">
      <alignment horizontal="left" vertical="top"/>
    </xf>
    <xf numFmtId="4" fontId="5" fillId="0" borderId="96" xfId="3" applyNumberFormat="1" applyFont="1" applyBorder="1" applyAlignment="1">
      <alignment horizontal="left" vertical="top"/>
    </xf>
    <xf numFmtId="4" fontId="5" fillId="0" borderId="95" xfId="3" applyNumberFormat="1" applyFont="1" applyBorder="1" applyAlignment="1">
      <alignment horizontal="left" vertical="top"/>
    </xf>
    <xf numFmtId="0" fontId="5" fillId="0" borderId="119" xfId="3" applyFont="1" applyBorder="1" applyAlignment="1">
      <alignment vertical="top"/>
    </xf>
    <xf numFmtId="0" fontId="5" fillId="0" borderId="120" xfId="3" applyFont="1" applyBorder="1" applyAlignment="1">
      <alignment vertical="top"/>
    </xf>
    <xf numFmtId="0" fontId="5" fillId="0" borderId="121" xfId="3" applyFont="1" applyBorder="1" applyAlignment="1">
      <alignment vertical="top"/>
    </xf>
    <xf numFmtId="0" fontId="5" fillId="0" borderId="100" xfId="3" quotePrefix="1" applyFont="1" applyBorder="1" applyAlignment="1">
      <alignment horizontal="left" vertical="top" wrapText="1"/>
    </xf>
    <xf numFmtId="0" fontId="5" fillId="0" borderId="99" xfId="3" quotePrefix="1" applyFont="1" applyBorder="1" applyAlignment="1">
      <alignment horizontal="left" vertical="top" wrapText="1"/>
    </xf>
    <xf numFmtId="0" fontId="5" fillId="0" borderId="98" xfId="3" quotePrefix="1" applyFont="1" applyBorder="1" applyAlignment="1">
      <alignment horizontal="left" vertical="top" wrapText="1"/>
    </xf>
    <xf numFmtId="0" fontId="8" fillId="3" borderId="18" xfId="3" applyFont="1" applyFill="1" applyBorder="1" applyAlignment="1">
      <alignment horizontal="center" vertical="center"/>
    </xf>
    <xf numFmtId="0" fontId="8" fillId="3" borderId="19" xfId="3" applyFont="1" applyFill="1" applyBorder="1" applyAlignment="1">
      <alignment horizontal="center" vertical="center"/>
    </xf>
    <xf numFmtId="0" fontId="8" fillId="3" borderId="18" xfId="3" applyFont="1" applyFill="1" applyBorder="1" applyAlignment="1">
      <alignment horizontal="center" vertical="top"/>
    </xf>
    <xf numFmtId="0" fontId="8" fillId="3" borderId="15" xfId="3" applyFont="1" applyFill="1" applyBorder="1" applyAlignment="1">
      <alignment horizontal="center" vertical="top"/>
    </xf>
    <xf numFmtId="0" fontId="8" fillId="3" borderId="19" xfId="3" applyFont="1" applyFill="1" applyBorder="1" applyAlignment="1">
      <alignment horizontal="center" vertical="top"/>
    </xf>
    <xf numFmtId="0" fontId="4" fillId="4" borderId="38" xfId="3" applyFont="1" applyFill="1" applyBorder="1" applyAlignment="1">
      <alignment vertical="center"/>
    </xf>
    <xf numFmtId="0" fontId="4" fillId="4" borderId="34" xfId="3" applyFont="1" applyFill="1" applyBorder="1" applyAlignment="1">
      <alignment vertical="center"/>
    </xf>
    <xf numFmtId="0" fontId="4" fillId="4" borderId="44" xfId="3" applyFont="1" applyFill="1" applyBorder="1" applyAlignment="1">
      <alignment vertical="center"/>
    </xf>
    <xf numFmtId="0" fontId="5" fillId="0" borderId="38" xfId="3" applyFont="1" applyBorder="1" applyAlignment="1">
      <alignment horizontal="left" vertical="center"/>
    </xf>
    <xf numFmtId="0" fontId="5" fillId="0" borderId="34" xfId="3" applyFont="1" applyBorder="1" applyAlignment="1">
      <alignment horizontal="left" vertical="center"/>
    </xf>
    <xf numFmtId="0" fontId="5" fillId="0" borderId="44" xfId="3" applyFont="1" applyBorder="1" applyAlignment="1">
      <alignment horizontal="left" vertical="center"/>
    </xf>
    <xf numFmtId="0" fontId="5" fillId="0" borderId="15" xfId="3" applyFont="1" applyBorder="1" applyAlignment="1">
      <alignment horizontal="left" vertical="center"/>
    </xf>
    <xf numFmtId="0" fontId="5" fillId="0" borderId="19" xfId="3" applyFont="1" applyBorder="1" applyAlignment="1">
      <alignment horizontal="left" vertical="center"/>
    </xf>
    <xf numFmtId="0" fontId="4" fillId="4" borderId="37" xfId="3" applyFont="1" applyFill="1" applyBorder="1" applyAlignment="1">
      <alignment vertical="center"/>
    </xf>
    <xf numFmtId="0" fontId="4" fillId="4" borderId="26" xfId="3" applyFont="1" applyFill="1" applyBorder="1" applyAlignment="1">
      <alignment vertical="center"/>
    </xf>
    <xf numFmtId="0" fontId="4" fillId="4" borderId="35" xfId="3" applyFont="1" applyFill="1" applyBorder="1" applyAlignment="1">
      <alignment vertical="center"/>
    </xf>
    <xf numFmtId="0" fontId="5" fillId="0" borderId="37" xfId="3" applyFont="1" applyBorder="1" applyAlignment="1">
      <alignment horizontal="left" vertical="center"/>
    </xf>
    <xf numFmtId="0" fontId="5" fillId="0" borderId="26" xfId="3" applyFont="1" applyBorder="1" applyAlignment="1">
      <alignment horizontal="left" vertical="center"/>
    </xf>
    <xf numFmtId="0" fontId="5" fillId="0" borderId="35" xfId="3" applyFont="1" applyBorder="1" applyAlignment="1">
      <alignment horizontal="left" vertical="center"/>
    </xf>
    <xf numFmtId="0" fontId="4" fillId="4" borderId="39" xfId="3" applyFont="1" applyFill="1" applyBorder="1" applyAlignment="1">
      <alignment vertical="center"/>
    </xf>
    <xf numFmtId="0" fontId="4" fillId="4" borderId="40" xfId="3" applyFont="1" applyFill="1" applyBorder="1" applyAlignment="1">
      <alignment vertical="center"/>
    </xf>
    <xf numFmtId="0" fontId="4" fillId="4" borderId="41" xfId="3" applyFont="1" applyFill="1" applyBorder="1" applyAlignment="1">
      <alignment vertical="center"/>
    </xf>
    <xf numFmtId="0" fontId="4" fillId="0" borderId="39" xfId="3" applyFont="1" applyBorder="1" applyAlignment="1">
      <alignment horizontal="left" vertical="center"/>
    </xf>
    <xf numFmtId="0" fontId="4" fillId="0" borderId="40" xfId="3" applyFont="1" applyBorder="1" applyAlignment="1">
      <alignment horizontal="left" vertical="center"/>
    </xf>
    <xf numFmtId="0" fontId="4" fillId="0" borderId="41" xfId="3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right" vertical="center"/>
    </xf>
    <xf numFmtId="0" fontId="5" fillId="0" borderId="25" xfId="0" applyFont="1" applyBorder="1" applyAlignment="1">
      <alignment horizontal="right" vertical="center"/>
    </xf>
    <xf numFmtId="0" fontId="5" fillId="0" borderId="1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3" xfId="56" applyFont="1" applyBorder="1" applyAlignment="1">
      <alignment horizontal="left" vertical="center"/>
    </xf>
    <xf numFmtId="0" fontId="4" fillId="0" borderId="26" xfId="56" applyFont="1" applyBorder="1" applyAlignment="1">
      <alignment horizontal="left" vertical="center"/>
    </xf>
    <xf numFmtId="0" fontId="4" fillId="0" borderId="4" xfId="56" applyFont="1" applyBorder="1" applyAlignment="1">
      <alignment horizontal="left" vertical="center"/>
    </xf>
    <xf numFmtId="49" fontId="4" fillId="0" borderId="3" xfId="56" quotePrefix="1" applyNumberFormat="1" applyFont="1" applyBorder="1" applyAlignment="1">
      <alignment horizontal="left" vertical="center"/>
    </xf>
    <xf numFmtId="49" fontId="4" fillId="0" borderId="26" xfId="56" quotePrefix="1" applyNumberFormat="1" applyFont="1" applyBorder="1" applyAlignment="1">
      <alignment horizontal="left" vertical="center"/>
    </xf>
    <xf numFmtId="49" fontId="4" fillId="0" borderId="4" xfId="56" quotePrefix="1" applyNumberFormat="1" applyFont="1" applyBorder="1" applyAlignment="1">
      <alignment horizontal="left" vertical="center"/>
    </xf>
    <xf numFmtId="0" fontId="4" fillId="0" borderId="3" xfId="56" quotePrefix="1" applyFont="1" applyBorder="1" applyAlignment="1">
      <alignment horizontal="left" vertical="center"/>
    </xf>
    <xf numFmtId="0" fontId="4" fillId="0" borderId="26" xfId="56" quotePrefix="1" applyFont="1" applyBorder="1" applyAlignment="1">
      <alignment horizontal="left" vertical="center"/>
    </xf>
    <xf numFmtId="0" fontId="4" fillId="0" borderId="4" xfId="56" quotePrefix="1" applyFont="1" applyBorder="1" applyAlignment="1">
      <alignment horizontal="left" vertical="center"/>
    </xf>
    <xf numFmtId="0" fontId="5" fillId="0" borderId="3" xfId="0" quotePrefix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3" xfId="56" applyFont="1" applyBorder="1" applyAlignment="1">
      <alignment horizontal="left" vertical="top" wrapText="1"/>
    </xf>
    <xf numFmtId="0" fontId="4" fillId="0" borderId="26" xfId="56" applyFont="1" applyBorder="1" applyAlignment="1">
      <alignment horizontal="left" vertical="top" wrapText="1"/>
    </xf>
    <xf numFmtId="0" fontId="4" fillId="0" borderId="4" xfId="56" applyFont="1" applyBorder="1" applyAlignment="1">
      <alignment horizontal="left" vertical="top" wrapText="1"/>
    </xf>
    <xf numFmtId="0" fontId="5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0" fillId="28" borderId="3" xfId="0" applyFont="1" applyFill="1" applyBorder="1" applyAlignment="1">
      <alignment horizontal="left" vertical="center"/>
    </xf>
    <xf numFmtId="0" fontId="50" fillId="28" borderId="26" xfId="0" applyFont="1" applyFill="1" applyBorder="1" applyAlignment="1">
      <alignment horizontal="left" vertical="center"/>
    </xf>
    <xf numFmtId="0" fontId="50" fillId="28" borderId="4" xfId="0" applyFont="1" applyFill="1" applyBorder="1" applyAlignment="1">
      <alignment horizontal="left" vertical="center"/>
    </xf>
    <xf numFmtId="0" fontId="50" fillId="28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26" xfId="0" applyFont="1" applyBorder="1" applyAlignment="1">
      <alignment horizontal="left" vertical="center"/>
    </xf>
    <xf numFmtId="0" fontId="22" fillId="0" borderId="3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right" vertical="center"/>
    </xf>
    <xf numFmtId="0" fontId="22" fillId="0" borderId="33" xfId="0" applyFont="1" applyBorder="1" applyAlignment="1">
      <alignment horizontal="left" vertical="center"/>
    </xf>
    <xf numFmtId="0" fontId="22" fillId="0" borderId="34" xfId="0" applyFont="1" applyBorder="1" applyAlignment="1">
      <alignment horizontal="left" vertical="center"/>
    </xf>
    <xf numFmtId="0" fontId="22" fillId="0" borderId="44" xfId="0" applyFont="1" applyBorder="1" applyAlignment="1">
      <alignment horizontal="left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0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8" fillId="5" borderId="39" xfId="0" applyFont="1" applyFill="1" applyBorder="1" applyAlignment="1">
      <alignment horizontal="right" vertical="center"/>
    </xf>
    <xf numFmtId="0" fontId="8" fillId="5" borderId="48" xfId="0" applyFont="1" applyFill="1" applyBorder="1" applyAlignment="1">
      <alignment horizontal="right" vertical="center"/>
    </xf>
    <xf numFmtId="0" fontId="8" fillId="5" borderId="9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0" xfId="0" applyFont="1" applyBorder="1" applyAlignment="1">
      <alignment horizontal="right" vertical="center"/>
    </xf>
    <xf numFmtId="0" fontId="5" fillId="0" borderId="33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7" xfId="0" quotePrefix="1" applyFont="1" applyBorder="1" applyAlignment="1">
      <alignment horizontal="right" vertical="center"/>
    </xf>
    <xf numFmtId="0" fontId="5" fillId="0" borderId="4" xfId="0" quotePrefix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38" xfId="0" quotePrefix="1" applyFont="1" applyBorder="1" applyAlignment="1">
      <alignment horizontal="right" vertical="center"/>
    </xf>
    <xf numFmtId="0" fontId="5" fillId="0" borderId="30" xfId="0" quotePrefix="1" applyFont="1" applyBorder="1" applyAlignment="1">
      <alignment horizontal="right" vertical="center"/>
    </xf>
    <xf numFmtId="49" fontId="8" fillId="3" borderId="20" xfId="0" applyNumberFormat="1" applyFont="1" applyFill="1" applyBorder="1" applyAlignment="1">
      <alignment horizontal="center" vertical="center"/>
    </xf>
    <xf numFmtId="49" fontId="8" fillId="3" borderId="31" xfId="0" applyNumberFormat="1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49" fontId="8" fillId="3" borderId="47" xfId="0" applyNumberFormat="1" applyFont="1" applyFill="1" applyBorder="1" applyAlignment="1">
      <alignment horizontal="center" vertical="center"/>
    </xf>
    <xf numFmtId="49" fontId="8" fillId="3" borderId="40" xfId="0" applyNumberFormat="1" applyFont="1" applyFill="1" applyBorder="1" applyAlignment="1">
      <alignment horizontal="center" vertical="center"/>
    </xf>
    <xf numFmtId="49" fontId="8" fillId="3" borderId="48" xfId="0" applyNumberFormat="1" applyFont="1" applyFill="1" applyBorder="1" applyAlignment="1">
      <alignment horizontal="center" vertical="center"/>
    </xf>
    <xf numFmtId="49" fontId="8" fillId="3" borderId="41" xfId="0" applyNumberFormat="1" applyFont="1" applyFill="1" applyBorder="1" applyAlignment="1">
      <alignment horizontal="center" vertical="center"/>
    </xf>
    <xf numFmtId="0" fontId="5" fillId="0" borderId="5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20" fillId="4" borderId="86" xfId="1" applyFont="1" applyFill="1" applyBorder="1" applyAlignment="1">
      <alignment vertical="center"/>
    </xf>
    <xf numFmtId="0" fontId="21" fillId="4" borderId="72" xfId="1" applyFont="1" applyFill="1" applyBorder="1" applyAlignment="1">
      <alignment vertical="center"/>
    </xf>
    <xf numFmtId="0" fontId="20" fillId="4" borderId="72" xfId="1" applyFont="1" applyFill="1" applyBorder="1" applyAlignment="1">
      <alignment vertical="center"/>
    </xf>
    <xf numFmtId="0" fontId="20" fillId="4" borderId="76" xfId="1" applyFont="1" applyFill="1" applyBorder="1" applyAlignment="1">
      <alignment vertical="center"/>
    </xf>
  </cellXfs>
  <cellStyles count="60">
    <cellStyle name="20% - アクセント 1 2" xfId="5" xr:uid="{6F7CE648-3406-4753-90A2-239C7DEB7581}"/>
    <cellStyle name="20% - アクセント 2 2" xfId="6" xr:uid="{81E84961-D45D-410C-B830-4CE4E7328539}"/>
    <cellStyle name="20% - アクセント 3 2" xfId="7" xr:uid="{8EA1D319-DBEB-4B31-BCF1-12B0C9404580}"/>
    <cellStyle name="20% - アクセント 4 2" xfId="8" xr:uid="{713EC594-5BB1-4FAD-8CED-854F746B00C0}"/>
    <cellStyle name="20% - アクセント 5 2" xfId="9" xr:uid="{3098BA85-52B1-4B70-B63A-03238D1123FB}"/>
    <cellStyle name="20% - アクセント 6 2" xfId="10" xr:uid="{80FFCBC6-6740-4DEC-B283-AB156DC5BBE1}"/>
    <cellStyle name="40% - アクセント 1 2" xfId="11" xr:uid="{CA415FA7-E5AB-4540-B5CF-1CAB09464392}"/>
    <cellStyle name="40% - アクセント 2 2" xfId="12" xr:uid="{CA86911B-66F3-4475-8028-D4F95F86DB37}"/>
    <cellStyle name="40% - アクセント 3 2" xfId="13" xr:uid="{B0D26C1A-EA3A-45DA-BF9F-A178FA5FFDD3}"/>
    <cellStyle name="40% - アクセント 4 2" xfId="14" xr:uid="{9FE189F2-F5A0-46A1-9312-33B672AB8308}"/>
    <cellStyle name="40% - アクセント 5 2" xfId="15" xr:uid="{2A173C88-A5FF-4F9B-B97B-ECD2CB7991DB}"/>
    <cellStyle name="40% - アクセント 6 2" xfId="16" xr:uid="{465A48C8-C590-40D0-BA8B-AD7484E54EE8}"/>
    <cellStyle name="60% - アクセント 1 2" xfId="17" xr:uid="{D743700A-A07F-443E-82F0-3340D879B432}"/>
    <cellStyle name="60% - アクセント 2 2" xfId="18" xr:uid="{0DA23633-D300-42A6-BFA6-8E59C6068600}"/>
    <cellStyle name="60% - アクセント 3 2" xfId="19" xr:uid="{45ECC468-3874-4B4D-A0CF-7A51382DFD04}"/>
    <cellStyle name="60% - アクセント 4 2" xfId="20" xr:uid="{47D69249-FCFD-4716-A826-0B2837732A50}"/>
    <cellStyle name="60% - アクセント 5 2" xfId="21" xr:uid="{6FBE9A8D-F529-4245-BE4A-E27362A8A703}"/>
    <cellStyle name="60% - アクセント 6 2" xfId="22" xr:uid="{2191947F-7EAF-4AC9-B156-8A9112E3F657}"/>
    <cellStyle name="IBM(401K)" xfId="58" xr:uid="{F3C13391-7CA2-4DF7-85AF-0091FC0F985E}"/>
    <cellStyle name="J401K" xfId="59" xr:uid="{AB2360D1-9113-4351-AAC4-C37B8BEC5F74}"/>
    <cellStyle name="Normal" xfId="0" builtinId="0"/>
    <cellStyle name="アクセント 1 2" xfId="23" xr:uid="{F4CC47AF-3CAB-4A35-A85E-09C720B58314}"/>
    <cellStyle name="アクセント 2 2" xfId="24" xr:uid="{B259FC50-1608-4810-9BCB-98CD6E300BF5}"/>
    <cellStyle name="アクセント 3 2" xfId="25" xr:uid="{DFFCCABF-C649-4693-A888-642F1470D3C3}"/>
    <cellStyle name="アクセント 4 2" xfId="26" xr:uid="{0632F4AB-2748-4986-AD61-771A7A2C0747}"/>
    <cellStyle name="アクセント 5 2" xfId="27" xr:uid="{FAC397C8-0309-4B60-A676-1E265F568CF4}"/>
    <cellStyle name="アクセント 6 2" xfId="28" xr:uid="{C66B8BA9-7FDC-4BB8-9922-D0F23C754E60}"/>
    <cellStyle name="タイトル 2" xfId="29" xr:uid="{B3CAEA93-84FF-4618-8318-80D78C4F4C51}"/>
    <cellStyle name="チェック セル 2" xfId="30" xr:uid="{06530312-EE47-43F5-8011-75034D8722CB}"/>
    <cellStyle name="どちらでもない 2" xfId="31" xr:uid="{965C6770-E586-406A-8BEF-74CE7A115A35}"/>
    <cellStyle name="メモ 2" xfId="32" xr:uid="{E4C9EE04-AC97-437C-91CF-D7978995782D}"/>
    <cellStyle name="リンク セル 2" xfId="33" xr:uid="{2B8CC1C8-E0A4-4E6B-B9CC-EBC810B60F95}"/>
    <cellStyle name="悪い 2" xfId="34" xr:uid="{3AB78B54-E4CD-48DC-994C-7D0153430F69}"/>
    <cellStyle name="計算 2" xfId="35" xr:uid="{0E636D88-1D88-4243-B050-BABBDCA1B268}"/>
    <cellStyle name="警告文 2" xfId="36" xr:uid="{F12E7BC3-6574-4A89-BDE3-A50099D0780F}"/>
    <cellStyle name="桁区切り 2" xfId="52" xr:uid="{9D64EFEC-F163-4DC1-9FB7-B1674F115EEF}"/>
    <cellStyle name="見出し 1 2" xfId="37" xr:uid="{AB93A8DD-0E31-4B8A-AC30-89063CC3EDF6}"/>
    <cellStyle name="見出し 2 2" xfId="38" xr:uid="{CED99A8F-6D6E-4F92-A285-1A7135B0BC03}"/>
    <cellStyle name="見出し 3 2" xfId="39" xr:uid="{78C0E8B3-1D3C-4EF0-B754-70B3105C6C07}"/>
    <cellStyle name="見出し 4 2" xfId="40" xr:uid="{34A84436-2E34-4448-A7D6-F84E5556DD05}"/>
    <cellStyle name="集計 2" xfId="41" xr:uid="{71890D28-9F08-44B0-A915-AE6DC82D6791}"/>
    <cellStyle name="出力 2" xfId="42" xr:uid="{8DEB6655-61F4-404B-A050-43ED36AB40AB}"/>
    <cellStyle name="説明文 2" xfId="43" xr:uid="{B73BD199-C4CE-41EF-97A9-5D94173763A1}"/>
    <cellStyle name="入力 2" xfId="44" xr:uid="{DE0FE164-67D4-411C-AC9F-C2DFB7C2A155}"/>
    <cellStyle name="標準 2" xfId="1" xr:uid="{ADD629DB-9BAF-4E7B-A4F3-D474DD1A057C}"/>
    <cellStyle name="標準 2 2" xfId="2" xr:uid="{CFF8D597-AD42-4216-9BC2-56164E145A4E}"/>
    <cellStyle name="標準 2 2 2" xfId="3" xr:uid="{90FF6260-A35C-46CF-96ED-37D64A25A59D}"/>
    <cellStyle name="標準 2 2 2 2" xfId="50" xr:uid="{686A1A2A-5390-4098-B975-EECF5B404A4A}"/>
    <cellStyle name="標準 2 2 3" xfId="46" xr:uid="{2BE34422-C007-4709-94B6-46CCA6D16479}"/>
    <cellStyle name="標準 2 3" xfId="45" xr:uid="{6E234935-CF81-466C-AA8A-84AED64DF069}"/>
    <cellStyle name="標準 2 4" xfId="53" xr:uid="{CAE571BE-E11E-4725-B99C-88816E0A62F3}"/>
    <cellStyle name="標準 2_標準構造取扱手順" xfId="49" xr:uid="{93029D87-6322-4A1B-B2A8-8487ECDD771E}"/>
    <cellStyle name="標準 3" xfId="47" xr:uid="{565118A0-BBBC-4DB6-8FD8-C8043B506181}"/>
    <cellStyle name="標準 3 2" xfId="54" xr:uid="{9BF80923-32B9-4159-A0BF-54338A29E259}"/>
    <cellStyle name="標準 4" xfId="4" xr:uid="{A962C7A6-B8A2-4B15-9F5F-13EC1029E0CC}"/>
    <cellStyle name="標準 4 2 2" xfId="55" xr:uid="{3BC711BA-3531-454A-96D2-53BCD7B5A17F}"/>
    <cellStyle name="標準 5" xfId="51" xr:uid="{DC831D4A-6856-41F2-99F1-C6251F20F893}"/>
    <cellStyle name="標準 6" xfId="57" xr:uid="{859A98BA-8743-412B-A80F-3D19A3A3E593}"/>
    <cellStyle name="標準_27_画面仕様書_F_メインメニュー_20111124" xfId="56" xr:uid="{C2053F19-71A8-4E8E-922C-BBCC2386664E}"/>
    <cellStyle name="良い 2" xfId="48" xr:uid="{9A05B880-2389-4160-9987-0784FF55AEEC}"/>
  </cellStyles>
  <dxfs count="0"/>
  <tableStyles count="0" defaultTableStyle="TableStyleMedium2" defaultPivotStyle="PivotStyleLight16"/>
  <colors>
    <mruColors>
      <color rgb="FFFFFF66"/>
      <color rgb="FFCCCCFF"/>
      <color rgb="FFCC99FF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4" Type="http://schemas.openxmlformats.org/officeDocument/2006/relationships/image" Target="../media/image8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0</xdr:rowOff>
    </xdr:from>
    <xdr:to>
      <xdr:col>12</xdr:col>
      <xdr:colOff>176892</xdr:colOff>
      <xdr:row>59</xdr:row>
      <xdr:rowOff>106135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C08893D-DDA4-4E31-A416-DF4C36DB0464}"/>
            </a:ext>
          </a:extLst>
        </xdr:cNvPr>
        <xdr:cNvSpPr/>
      </xdr:nvSpPr>
      <xdr:spPr>
        <a:xfrm>
          <a:off x="190500" y="12573000"/>
          <a:ext cx="227239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[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番号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処理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]</a:t>
          </a:r>
        </a:p>
      </xdr:txBody>
    </xdr:sp>
    <xdr:clientData/>
  </xdr:twoCellAnchor>
  <xdr:twoCellAnchor>
    <xdr:from>
      <xdr:col>54</xdr:col>
      <xdr:colOff>28575</xdr:colOff>
      <xdr:row>59</xdr:row>
      <xdr:rowOff>8664</xdr:rowOff>
    </xdr:from>
    <xdr:to>
      <xdr:col>58</xdr:col>
      <xdr:colOff>180975</xdr:colOff>
      <xdr:row>59</xdr:row>
      <xdr:rowOff>9525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09D08FA-45C6-4FDD-BFB9-B83A6FE78F94}"/>
            </a:ext>
          </a:extLst>
        </xdr:cNvPr>
        <xdr:cNvCxnSpPr>
          <a:cxnSpLocks/>
        </xdr:cNvCxnSpPr>
      </xdr:nvCxnSpPr>
      <xdr:spPr>
        <a:xfrm>
          <a:off x="10315575" y="12772164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114300</xdr:colOff>
      <xdr:row>57</xdr:row>
      <xdr:rowOff>95250</xdr:rowOff>
    </xdr:from>
    <xdr:to>
      <xdr:col>49</xdr:col>
      <xdr:colOff>38099</xdr:colOff>
      <xdr:row>59</xdr:row>
      <xdr:rowOff>123825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1B2B09E-5110-4025-A739-8C782B7677D9}"/>
            </a:ext>
          </a:extLst>
        </xdr:cNvPr>
        <xdr:cNvSpPr/>
      </xdr:nvSpPr>
      <xdr:spPr>
        <a:xfrm>
          <a:off x="7353300" y="12477750"/>
          <a:ext cx="2019299" cy="4095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76200</xdr:colOff>
      <xdr:row>57</xdr:row>
      <xdr:rowOff>76200</xdr:rowOff>
    </xdr:from>
    <xdr:to>
      <xdr:col>35</xdr:col>
      <xdr:colOff>332</xdr:colOff>
      <xdr:row>60</xdr:row>
      <xdr:rowOff>94250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A5238906-7878-47F5-8AB3-A715F2F1BCDC}"/>
            </a:ext>
          </a:extLst>
        </xdr:cNvPr>
        <xdr:cNvGrpSpPr/>
      </xdr:nvGrpSpPr>
      <xdr:grpSpPr>
        <a:xfrm>
          <a:off x="5600700" y="10934700"/>
          <a:ext cx="1067132" cy="589550"/>
          <a:chOff x="5600700" y="13982700"/>
          <a:chExt cx="1067132" cy="589550"/>
        </a:xfrm>
      </xdr:grpSpPr>
      <xdr:sp macro="" textlink="">
        <xdr:nvSpPr>
          <xdr:cNvPr id="13" name="円柱 12">
            <a:extLst>
              <a:ext uri="{FF2B5EF4-FFF2-40B4-BE49-F238E27FC236}">
                <a16:creationId xmlns:a16="http://schemas.microsoft.com/office/drawing/2014/main" id="{175C4FD3-BE4C-4050-A2B9-825A3B3065FB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B5CFD373-AFBB-4F4B-8567-5631CD9401DE}"/>
              </a:ext>
            </a:extLst>
          </xdr:cNvPr>
          <xdr:cNvSpPr txBox="1"/>
        </xdr:nvSpPr>
        <xdr:spPr>
          <a:xfrm>
            <a:off x="5705475" y="14116050"/>
            <a:ext cx="857250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[DB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論理名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]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17</xdr:col>
      <xdr:colOff>190499</xdr:colOff>
      <xdr:row>57</xdr:row>
      <xdr:rowOff>66675</xdr:rowOff>
    </xdr:from>
    <xdr:to>
      <xdr:col>23</xdr:col>
      <xdr:colOff>152401</xdr:colOff>
      <xdr:row>60</xdr:row>
      <xdr:rowOff>133350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E7053BC-1EEA-4562-BD9A-2F31A9975422}"/>
            </a:ext>
          </a:extLst>
        </xdr:cNvPr>
        <xdr:cNvGrpSpPr/>
      </xdr:nvGrpSpPr>
      <xdr:grpSpPr>
        <a:xfrm>
          <a:off x="3428999" y="10925175"/>
          <a:ext cx="1104902" cy="638175"/>
          <a:chOff x="3428999" y="12449175"/>
          <a:chExt cx="1104902" cy="638175"/>
        </a:xfrm>
      </xdr:grpSpPr>
      <xdr:sp macro="" textlink="">
        <xdr:nvSpPr>
          <xdr:cNvPr id="16" name="フローチャート: 書類 15">
            <a:extLst>
              <a:ext uri="{FF2B5EF4-FFF2-40B4-BE49-F238E27FC236}">
                <a16:creationId xmlns:a16="http://schemas.microsoft.com/office/drawing/2014/main" id="{EA4DD5CE-EE6D-41AB-B650-5818F0F01422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D746A278-7878-4EC4-B35D-12EE1F0F5779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データファイル名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(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形式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)]</a:t>
            </a:r>
          </a:p>
        </xdr:txBody>
      </xdr:sp>
    </xdr:grpSp>
    <xdr:clientData/>
  </xdr:twoCellAnchor>
  <xdr:twoCellAnchor>
    <xdr:from>
      <xdr:col>1</xdr:col>
      <xdr:colOff>0</xdr:colOff>
      <xdr:row>6</xdr:row>
      <xdr:rowOff>177800</xdr:rowOff>
    </xdr:from>
    <xdr:to>
      <xdr:col>12</xdr:col>
      <xdr:colOff>183242</xdr:colOff>
      <xdr:row>8</xdr:row>
      <xdr:rowOff>93435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66BC492-F436-4B51-8BB8-08EB3FE9971B}"/>
            </a:ext>
          </a:extLst>
        </xdr:cNvPr>
        <xdr:cNvSpPr/>
      </xdr:nvSpPr>
      <xdr:spPr>
        <a:xfrm>
          <a:off x="190500" y="1320800"/>
          <a:ext cx="227874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画面初期表示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0</xdr:colOff>
      <xdr:row>6</xdr:row>
      <xdr:rowOff>177800</xdr:rowOff>
    </xdr:from>
    <xdr:to>
      <xdr:col>27</xdr:col>
      <xdr:colOff>183242</xdr:colOff>
      <xdr:row>8</xdr:row>
      <xdr:rowOff>93435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BD28742-AA97-4579-A93E-91DDC94FA092}"/>
            </a:ext>
          </a:extLst>
        </xdr:cNvPr>
        <xdr:cNvSpPr/>
      </xdr:nvSpPr>
      <xdr:spPr>
        <a:xfrm>
          <a:off x="3048000" y="1320800"/>
          <a:ext cx="227874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画面表示処理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180067</xdr:colOff>
      <xdr:row>7</xdr:row>
      <xdr:rowOff>137205</xdr:rowOff>
    </xdr:from>
    <xdr:to>
      <xdr:col>16</xdr:col>
      <xdr:colOff>0</xdr:colOff>
      <xdr:row>7</xdr:row>
      <xdr:rowOff>137205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A3F269D-A43E-4450-BECF-1CF71E228CE8}"/>
            </a:ext>
          </a:extLst>
        </xdr:cNvPr>
        <xdr:cNvCxnSpPr>
          <a:cxnSpLocks/>
          <a:stCxn id="2" idx="3"/>
          <a:endCxn id="3" idx="1"/>
        </xdr:cNvCxnSpPr>
      </xdr:nvCxnSpPr>
      <xdr:spPr>
        <a:xfrm>
          <a:off x="2466067" y="1470705"/>
          <a:ext cx="58193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38</xdr:row>
      <xdr:rowOff>97065</xdr:rowOff>
    </xdr:from>
    <xdr:to>
      <xdr:col>27</xdr:col>
      <xdr:colOff>180067</xdr:colOff>
      <xdr:row>40</xdr:row>
      <xdr:rowOff>9525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99FA152-C413-408E-AF94-B6FB9DAE9989}"/>
            </a:ext>
          </a:extLst>
        </xdr:cNvPr>
        <xdr:cNvSpPr/>
      </xdr:nvSpPr>
      <xdr:spPr>
        <a:xfrm>
          <a:off x="3048000" y="6764565"/>
          <a:ext cx="2275567" cy="29346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2-3.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ファイル出力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0</xdr:colOff>
      <xdr:row>44</xdr:row>
      <xdr:rowOff>54430</xdr:rowOff>
    </xdr:from>
    <xdr:to>
      <xdr:col>27</xdr:col>
      <xdr:colOff>183242</xdr:colOff>
      <xdr:row>45</xdr:row>
      <xdr:rowOff>160565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EA4026F-C0E3-42F6-85B5-CF6FC8432B2A}"/>
            </a:ext>
          </a:extLst>
        </xdr:cNvPr>
        <xdr:cNvSpPr/>
      </xdr:nvSpPr>
      <xdr:spPr>
        <a:xfrm>
          <a:off x="3048000" y="11293930"/>
          <a:ext cx="227874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2-4.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メッセージ出力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177800</xdr:colOff>
      <xdr:row>17</xdr:row>
      <xdr:rowOff>60325</xdr:rowOff>
    </xdr:from>
    <xdr:to>
      <xdr:col>27</xdr:col>
      <xdr:colOff>183242</xdr:colOff>
      <xdr:row>18</xdr:row>
      <xdr:rowOff>179160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7945A046-0A88-4F38-87F4-E0C5FE0F2E28}"/>
            </a:ext>
          </a:extLst>
        </xdr:cNvPr>
        <xdr:cNvSpPr/>
      </xdr:nvSpPr>
      <xdr:spPr>
        <a:xfrm>
          <a:off x="3035300" y="2346325"/>
          <a:ext cx="2291442" cy="3093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対象データ取得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12</xdr:col>
      <xdr:colOff>189592</xdr:colOff>
      <xdr:row>50</xdr:row>
      <xdr:rowOff>112485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2E02106A-9D09-406F-BE84-A48F3A54A674}"/>
            </a:ext>
          </a:extLst>
        </xdr:cNvPr>
        <xdr:cNvSpPr/>
      </xdr:nvSpPr>
      <xdr:spPr>
        <a:xfrm>
          <a:off x="190500" y="13144500"/>
          <a:ext cx="2285092" cy="30298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キャンセルボタン押下時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19050</xdr:colOff>
      <xdr:row>49</xdr:row>
      <xdr:rowOff>0</xdr:rowOff>
    </xdr:from>
    <xdr:to>
      <xdr:col>28</xdr:col>
      <xdr:colOff>18142</xdr:colOff>
      <xdr:row>50</xdr:row>
      <xdr:rowOff>112485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04B150E4-3FBC-4847-9F7C-522920B92571}"/>
            </a:ext>
          </a:extLst>
        </xdr:cNvPr>
        <xdr:cNvSpPr/>
      </xdr:nvSpPr>
      <xdr:spPr>
        <a:xfrm>
          <a:off x="3067050" y="13144500"/>
          <a:ext cx="2285092" cy="30298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画面を閉じる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(D365FO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標準処理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</xdr:txBody>
    </xdr:sp>
    <xdr:clientData/>
  </xdr:twoCellAnchor>
  <xdr:twoCellAnchor>
    <xdr:from>
      <xdr:col>12</xdr:col>
      <xdr:colOff>189592</xdr:colOff>
      <xdr:row>49</xdr:row>
      <xdr:rowOff>151493</xdr:rowOff>
    </xdr:from>
    <xdr:to>
      <xdr:col>16</xdr:col>
      <xdr:colOff>19050</xdr:colOff>
      <xdr:row>49</xdr:row>
      <xdr:rowOff>151493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F7E0146-CB14-46F7-9AB9-44A7C4AB64D9}"/>
            </a:ext>
          </a:extLst>
        </xdr:cNvPr>
        <xdr:cNvCxnSpPr>
          <a:cxnSpLocks/>
          <a:stCxn id="47" idx="3"/>
          <a:endCxn id="49" idx="1"/>
        </xdr:cNvCxnSpPr>
      </xdr:nvCxnSpPr>
      <xdr:spPr>
        <a:xfrm>
          <a:off x="2475592" y="13295993"/>
          <a:ext cx="59145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152400</xdr:colOff>
      <xdr:row>37</xdr:row>
      <xdr:rowOff>133350</xdr:rowOff>
    </xdr:from>
    <xdr:to>
      <xdr:col>46</xdr:col>
      <xdr:colOff>114302</xdr:colOff>
      <xdr:row>41</xdr:row>
      <xdr:rowOff>9525</xdr:rowOff>
    </xdr:to>
    <xdr:grpSp>
      <xdr:nvGrpSpPr>
        <xdr:cNvPr id="82" name="グループ化 33">
          <a:extLst>
            <a:ext uri="{FF2B5EF4-FFF2-40B4-BE49-F238E27FC236}">
              <a16:creationId xmlns:a16="http://schemas.microsoft.com/office/drawing/2014/main" id="{93DD4F70-F892-207A-5DD1-88B300145831}"/>
            </a:ext>
          </a:extLst>
        </xdr:cNvPr>
        <xdr:cNvGrpSpPr/>
      </xdr:nvGrpSpPr>
      <xdr:grpSpPr>
        <a:xfrm>
          <a:off x="7772400" y="7181850"/>
          <a:ext cx="1104902" cy="638175"/>
          <a:chOff x="3428999" y="12449175"/>
          <a:chExt cx="1104902" cy="638175"/>
        </a:xfrm>
      </xdr:grpSpPr>
      <xdr:sp macro="" textlink="">
        <xdr:nvSpPr>
          <xdr:cNvPr id="83" name="フローチャート: 書類 52">
            <a:extLst>
              <a:ext uri="{FF2B5EF4-FFF2-40B4-BE49-F238E27FC236}">
                <a16:creationId xmlns:a16="http://schemas.microsoft.com/office/drawing/2014/main" id="{75A381B8-892D-1D01-9C9E-15724CFC58DB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4" name="テキスト ボックス 53">
            <a:extLst>
              <a:ext uri="{FF2B5EF4-FFF2-40B4-BE49-F238E27FC236}">
                <a16:creationId xmlns:a16="http://schemas.microsoft.com/office/drawing/2014/main" id="{141C552D-44B7-0B58-0D9F-04D7D6B340BF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TO_IncomingPayment.csv</a:t>
            </a:r>
          </a:p>
        </xdr:txBody>
      </xdr:sp>
    </xdr:grpSp>
    <xdr:clientData/>
  </xdr:twoCellAnchor>
  <xdr:twoCellAnchor>
    <xdr:from>
      <xdr:col>21</xdr:col>
      <xdr:colOff>185284</xdr:colOff>
      <xdr:row>40</xdr:row>
      <xdr:rowOff>9525</xdr:rowOff>
    </xdr:from>
    <xdr:to>
      <xdr:col>21</xdr:col>
      <xdr:colOff>186871</xdr:colOff>
      <xdr:row>44</xdr:row>
      <xdr:rowOff>54430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4A51E938-DAD0-4062-B52A-02E0A93A39FB}"/>
            </a:ext>
          </a:extLst>
        </xdr:cNvPr>
        <xdr:cNvCxnSpPr>
          <a:cxnSpLocks/>
          <a:stCxn id="29" idx="2"/>
          <a:endCxn id="40" idx="0"/>
        </xdr:cNvCxnSpPr>
      </xdr:nvCxnSpPr>
      <xdr:spPr>
        <a:xfrm>
          <a:off x="4185784" y="8963025"/>
          <a:ext cx="1587" cy="214040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183242</xdr:colOff>
      <xdr:row>39</xdr:row>
      <xdr:rowOff>49213</xdr:rowOff>
    </xdr:from>
    <xdr:to>
      <xdr:col>40</xdr:col>
      <xdr:colOff>152400</xdr:colOff>
      <xdr:row>39</xdr:row>
      <xdr:rowOff>50120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2CB0E231-B64D-49A1-A29B-BB894D09EFA6}"/>
            </a:ext>
          </a:extLst>
        </xdr:cNvPr>
        <xdr:cNvCxnSpPr>
          <a:cxnSpLocks/>
          <a:stCxn id="29" idx="3"/>
          <a:endCxn id="84" idx="1"/>
        </xdr:cNvCxnSpPr>
      </xdr:nvCxnSpPr>
      <xdr:spPr>
        <a:xfrm flipV="1">
          <a:off x="5323567" y="8243888"/>
          <a:ext cx="2448833" cy="90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161925</xdr:colOff>
      <xdr:row>11</xdr:row>
      <xdr:rowOff>44450</xdr:rowOff>
    </xdr:from>
    <xdr:to>
      <xdr:col>12</xdr:col>
      <xdr:colOff>161017</xdr:colOff>
      <xdr:row>12</xdr:row>
      <xdr:rowOff>163285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4D8DE26B-B9F3-E7BB-5C92-9519E9165715}"/>
            </a:ext>
          </a:extLst>
        </xdr:cNvPr>
        <xdr:cNvSpPr/>
      </xdr:nvSpPr>
      <xdr:spPr>
        <a:xfrm>
          <a:off x="161925" y="2139950"/>
          <a:ext cx="2285092" cy="3093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2.OK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ボタン押下時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164192</xdr:colOff>
      <xdr:row>12</xdr:row>
      <xdr:rowOff>8618</xdr:rowOff>
    </xdr:from>
    <xdr:to>
      <xdr:col>15</xdr:col>
      <xdr:colOff>177800</xdr:colOff>
      <xdr:row>12</xdr:row>
      <xdr:rowOff>8618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68782281-F260-E6A0-E7B5-FC794F7AA0F2}"/>
            </a:ext>
          </a:extLst>
        </xdr:cNvPr>
        <xdr:cNvCxnSpPr>
          <a:cxnSpLocks/>
          <a:stCxn id="18" idx="3"/>
          <a:endCxn id="31" idx="1"/>
        </xdr:cNvCxnSpPr>
      </xdr:nvCxnSpPr>
      <xdr:spPr>
        <a:xfrm>
          <a:off x="2450192" y="2294618"/>
          <a:ext cx="58510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180522</xdr:colOff>
      <xdr:row>18</xdr:row>
      <xdr:rowOff>179159</xdr:rowOff>
    </xdr:from>
    <xdr:to>
      <xdr:col>26</xdr:col>
      <xdr:colOff>180522</xdr:colOff>
      <xdr:row>23</xdr:row>
      <xdr:rowOff>155574</xdr:rowOff>
    </xdr:to>
    <xdr:cxnSp macro="">
      <xdr:nvCxnSpPr>
        <xdr:cNvPr id="27" name="直線矢印コネクタ 31">
          <a:extLst>
            <a:ext uri="{FF2B5EF4-FFF2-40B4-BE49-F238E27FC236}">
              <a16:creationId xmlns:a16="http://schemas.microsoft.com/office/drawing/2014/main" id="{A0204220-1098-4F45-B32A-439C872993E1}"/>
            </a:ext>
          </a:extLst>
        </xdr:cNvPr>
        <xdr:cNvCxnSpPr>
          <a:cxnSpLocks/>
          <a:stCxn id="74" idx="2"/>
          <a:endCxn id="151" idx="0"/>
        </xdr:cNvCxnSpPr>
      </xdr:nvCxnSpPr>
      <xdr:spPr>
        <a:xfrm rot="16200000" flipH="1">
          <a:off x="4192814" y="2643867"/>
          <a:ext cx="928915" cy="9525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183242</xdr:colOff>
      <xdr:row>24</xdr:row>
      <xdr:rowOff>119743</xdr:rowOff>
    </xdr:from>
    <xdr:to>
      <xdr:col>41</xdr:col>
      <xdr:colOff>47625</xdr:colOff>
      <xdr:row>24</xdr:row>
      <xdr:rowOff>120151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9804E5C7-412D-9184-959F-5A901E7A8FCD}"/>
            </a:ext>
          </a:extLst>
        </xdr:cNvPr>
        <xdr:cNvCxnSpPr>
          <a:cxnSpLocks/>
          <a:stCxn id="38" idx="2"/>
          <a:endCxn id="151" idx="3"/>
        </xdr:cNvCxnSpPr>
      </xdr:nvCxnSpPr>
      <xdr:spPr>
        <a:xfrm flipH="1" flipV="1">
          <a:off x="6279242" y="3739243"/>
          <a:ext cx="1578883" cy="40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19050</xdr:colOff>
      <xdr:row>22</xdr:row>
      <xdr:rowOff>123825</xdr:rowOff>
    </xdr:from>
    <xdr:to>
      <xdr:col>59</xdr:col>
      <xdr:colOff>158750</xdr:colOff>
      <xdr:row>26</xdr:row>
      <xdr:rowOff>180975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1B5C7E6-F267-B311-9BCF-2480C9DFE10D}"/>
            </a:ext>
          </a:extLst>
        </xdr:cNvPr>
        <xdr:cNvSpPr/>
      </xdr:nvSpPr>
      <xdr:spPr>
        <a:xfrm>
          <a:off x="7639050" y="3362325"/>
          <a:ext cx="3759200" cy="8191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47625</xdr:colOff>
      <xdr:row>23</xdr:row>
      <xdr:rowOff>15876</xdr:rowOff>
    </xdr:from>
    <xdr:to>
      <xdr:col>46</xdr:col>
      <xdr:colOff>162257</xdr:colOff>
      <xdr:row>26</xdr:row>
      <xdr:rowOff>53976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EB670DBF-928C-0C8D-BC27-221957435571}"/>
            </a:ext>
          </a:extLst>
        </xdr:cNvPr>
        <xdr:cNvGrpSpPr/>
      </xdr:nvGrpSpPr>
      <xdr:grpSpPr>
        <a:xfrm>
          <a:off x="7858125" y="4397376"/>
          <a:ext cx="1067132" cy="609600"/>
          <a:chOff x="5600700" y="13982700"/>
          <a:chExt cx="1067132" cy="609600"/>
        </a:xfrm>
      </xdr:grpSpPr>
      <xdr:sp macro="" textlink="">
        <xdr:nvSpPr>
          <xdr:cNvPr id="38" name="円柱 37">
            <a:extLst>
              <a:ext uri="{FF2B5EF4-FFF2-40B4-BE49-F238E27FC236}">
                <a16:creationId xmlns:a16="http://schemas.microsoft.com/office/drawing/2014/main" id="{210997FA-1B89-D7F8-6180-1C2071A099D5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9" name="テキスト ボックス 38">
            <a:extLst>
              <a:ext uri="{FF2B5EF4-FFF2-40B4-BE49-F238E27FC236}">
                <a16:creationId xmlns:a16="http://schemas.microsoft.com/office/drawing/2014/main" id="{2042D668-096D-FFDD-EC64-AF6DC104DE7A}"/>
              </a:ext>
            </a:extLst>
          </xdr:cNvPr>
          <xdr:cNvSpPr txBox="1"/>
        </xdr:nvSpPr>
        <xdr:spPr>
          <a:xfrm>
            <a:off x="5629276" y="14116050"/>
            <a:ext cx="1000124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一般仕訳入力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47</xdr:col>
      <xdr:colOff>9525</xdr:colOff>
      <xdr:row>23</xdr:row>
      <xdr:rowOff>28576</xdr:rowOff>
    </xdr:from>
    <xdr:to>
      <xdr:col>52</xdr:col>
      <xdr:colOff>124157</xdr:colOff>
      <xdr:row>26</xdr:row>
      <xdr:rowOff>66676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E0BCAB13-09B1-46A6-F94F-9463F3ABD1E9}"/>
            </a:ext>
          </a:extLst>
        </xdr:cNvPr>
        <xdr:cNvGrpSpPr/>
      </xdr:nvGrpSpPr>
      <xdr:grpSpPr>
        <a:xfrm>
          <a:off x="8963025" y="4410076"/>
          <a:ext cx="1067132" cy="609600"/>
          <a:chOff x="5600700" y="13982700"/>
          <a:chExt cx="1067132" cy="609600"/>
        </a:xfrm>
      </xdr:grpSpPr>
      <xdr:sp macro="" textlink="">
        <xdr:nvSpPr>
          <xdr:cNvPr id="43" name="円柱 42">
            <a:extLst>
              <a:ext uri="{FF2B5EF4-FFF2-40B4-BE49-F238E27FC236}">
                <a16:creationId xmlns:a16="http://schemas.microsoft.com/office/drawing/2014/main" id="{EE034299-0CF2-A08B-9A5B-28E3EC126896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30C147D3-29DF-4B2B-98DE-7699BEDF3E82}"/>
              </a:ext>
            </a:extLst>
          </xdr:cNvPr>
          <xdr:cNvSpPr txBox="1"/>
        </xdr:nvSpPr>
        <xdr:spPr>
          <a:xfrm>
            <a:off x="5629276" y="14116050"/>
            <a:ext cx="1000124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一般仕訳帳</a:t>
            </a:r>
            <a:br>
              <a:rPr lang="en-US" altLang="ja-JP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</a:b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勘定項目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52</xdr:col>
      <xdr:colOff>180975</xdr:colOff>
      <xdr:row>23</xdr:row>
      <xdr:rowOff>28576</xdr:rowOff>
    </xdr:from>
    <xdr:to>
      <xdr:col>58</xdr:col>
      <xdr:colOff>105107</xdr:colOff>
      <xdr:row>26</xdr:row>
      <xdr:rowOff>66676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E19F5211-9373-0F49-1B02-94CB3DD963B1}"/>
            </a:ext>
          </a:extLst>
        </xdr:cNvPr>
        <xdr:cNvGrpSpPr/>
      </xdr:nvGrpSpPr>
      <xdr:grpSpPr>
        <a:xfrm>
          <a:off x="10086975" y="4410076"/>
          <a:ext cx="1067132" cy="609600"/>
          <a:chOff x="5600700" y="13982700"/>
          <a:chExt cx="1067132" cy="609600"/>
        </a:xfrm>
      </xdr:grpSpPr>
      <xdr:sp macro="" textlink="">
        <xdr:nvSpPr>
          <xdr:cNvPr id="46" name="円柱 45">
            <a:extLst>
              <a:ext uri="{FF2B5EF4-FFF2-40B4-BE49-F238E27FC236}">
                <a16:creationId xmlns:a16="http://schemas.microsoft.com/office/drawing/2014/main" id="{0FAE835E-C7B5-F870-1E58-60FDB9DC753C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FD877F3C-FD07-C0B7-F3F9-638736CAA55F}"/>
              </a:ext>
            </a:extLst>
          </xdr:cNvPr>
          <xdr:cNvSpPr txBox="1"/>
        </xdr:nvSpPr>
        <xdr:spPr>
          <a:xfrm>
            <a:off x="5629276" y="14116050"/>
            <a:ext cx="1000124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主勘定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20</xdr:col>
      <xdr:colOff>177800</xdr:colOff>
      <xdr:row>23</xdr:row>
      <xdr:rowOff>155575</xdr:rowOff>
    </xdr:from>
    <xdr:to>
      <xdr:col>32</xdr:col>
      <xdr:colOff>183242</xdr:colOff>
      <xdr:row>25</xdr:row>
      <xdr:rowOff>83910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E9A11709-28C0-1157-778D-3636168842A4}"/>
            </a:ext>
          </a:extLst>
        </xdr:cNvPr>
        <xdr:cNvSpPr/>
      </xdr:nvSpPr>
      <xdr:spPr>
        <a:xfrm>
          <a:off x="3987800" y="3584575"/>
          <a:ext cx="2291442" cy="3093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2-2-1.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未決済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決済データ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177800</xdr:colOff>
      <xdr:row>31</xdr:row>
      <xdr:rowOff>73025</xdr:rowOff>
    </xdr:from>
    <xdr:to>
      <xdr:col>32</xdr:col>
      <xdr:colOff>183242</xdr:colOff>
      <xdr:row>33</xdr:row>
      <xdr:rowOff>1360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448E34D7-3B7F-C80D-E139-4E25260AAB6C}"/>
            </a:ext>
          </a:extLst>
        </xdr:cNvPr>
        <xdr:cNvSpPr/>
      </xdr:nvSpPr>
      <xdr:spPr>
        <a:xfrm>
          <a:off x="3987800" y="5978525"/>
          <a:ext cx="2291442" cy="3093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2-2-2.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分析コード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顧客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</xdr:txBody>
    </xdr:sp>
    <xdr:clientData/>
  </xdr:twoCellAnchor>
  <xdr:twoCellAnchor>
    <xdr:from>
      <xdr:col>32</xdr:col>
      <xdr:colOff>180067</xdr:colOff>
      <xdr:row>32</xdr:row>
      <xdr:rowOff>33063</xdr:rowOff>
    </xdr:from>
    <xdr:to>
      <xdr:col>41</xdr:col>
      <xdr:colOff>73342</xdr:colOff>
      <xdr:row>32</xdr:row>
      <xdr:rowOff>37193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4B9A36A4-ACB2-0A9D-6C41-49FF6A70DB05}"/>
            </a:ext>
          </a:extLst>
        </xdr:cNvPr>
        <xdr:cNvCxnSpPr>
          <a:cxnSpLocks/>
          <a:stCxn id="6" idx="2"/>
          <a:endCxn id="152" idx="3"/>
        </xdr:cNvCxnSpPr>
      </xdr:nvCxnSpPr>
      <xdr:spPr>
        <a:xfrm flipH="1">
          <a:off x="6276067" y="6129063"/>
          <a:ext cx="1607775" cy="413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180521</xdr:colOff>
      <xdr:row>25</xdr:row>
      <xdr:rowOff>83910</xdr:rowOff>
    </xdr:from>
    <xdr:to>
      <xdr:col>26</xdr:col>
      <xdr:colOff>180521</xdr:colOff>
      <xdr:row>31</xdr:row>
      <xdr:rowOff>73025</xdr:rowOff>
    </xdr:to>
    <xdr:cxnSp macro="">
      <xdr:nvCxnSpPr>
        <xdr:cNvPr id="186" name="直線矢印コネクタ 31">
          <a:extLst>
            <a:ext uri="{FF2B5EF4-FFF2-40B4-BE49-F238E27FC236}">
              <a16:creationId xmlns:a16="http://schemas.microsoft.com/office/drawing/2014/main" id="{0D095270-CE56-9C6D-B4DC-77C07106DAED}"/>
            </a:ext>
          </a:extLst>
        </xdr:cNvPr>
        <xdr:cNvCxnSpPr>
          <a:cxnSpLocks/>
          <a:stCxn id="151" idx="2"/>
          <a:endCxn id="152" idx="0"/>
        </xdr:cNvCxnSpPr>
      </xdr:nvCxnSpPr>
      <xdr:spPr>
        <a:xfrm>
          <a:off x="5133521" y="3893910"/>
          <a:ext cx="0" cy="20846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185285</xdr:colOff>
      <xdr:row>33</xdr:row>
      <xdr:rowOff>1360</xdr:rowOff>
    </xdr:from>
    <xdr:to>
      <xdr:col>26</xdr:col>
      <xdr:colOff>180522</xdr:colOff>
      <xdr:row>38</xdr:row>
      <xdr:rowOff>97065</xdr:rowOff>
    </xdr:to>
    <xdr:cxnSp macro="">
      <xdr:nvCxnSpPr>
        <xdr:cNvPr id="189" name="直線矢印コネクタ 31">
          <a:extLst>
            <a:ext uri="{FF2B5EF4-FFF2-40B4-BE49-F238E27FC236}">
              <a16:creationId xmlns:a16="http://schemas.microsoft.com/office/drawing/2014/main" id="{C41181F8-8889-4B36-AF92-7B474FE7178F}"/>
            </a:ext>
          </a:extLst>
        </xdr:cNvPr>
        <xdr:cNvCxnSpPr>
          <a:cxnSpLocks/>
          <a:stCxn id="152" idx="2"/>
          <a:endCxn id="29" idx="0"/>
        </xdr:cNvCxnSpPr>
      </xdr:nvCxnSpPr>
      <xdr:spPr>
        <a:xfrm rot="5400000">
          <a:off x="3468801" y="7004844"/>
          <a:ext cx="2381705" cy="94773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73342</xdr:colOff>
      <xdr:row>30</xdr:row>
      <xdr:rowOff>126619</xdr:rowOff>
    </xdr:from>
    <xdr:to>
      <xdr:col>46</xdr:col>
      <xdr:colOff>160607</xdr:colOff>
      <xdr:row>33</xdr:row>
      <xdr:rowOff>149605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9E6BB50F-2EBB-4577-B018-6F50D0ABCC5C}"/>
            </a:ext>
          </a:extLst>
        </xdr:cNvPr>
        <xdr:cNvGrpSpPr/>
      </xdr:nvGrpSpPr>
      <xdr:grpSpPr>
        <a:xfrm>
          <a:off x="7883842" y="5841619"/>
          <a:ext cx="1039765" cy="594486"/>
          <a:chOff x="5600700" y="13982700"/>
          <a:chExt cx="1067132" cy="609649"/>
        </a:xfrm>
      </xdr:grpSpPr>
      <xdr:sp macro="" textlink="">
        <xdr:nvSpPr>
          <xdr:cNvPr id="6" name="円柱 5">
            <a:extLst>
              <a:ext uri="{FF2B5EF4-FFF2-40B4-BE49-F238E27FC236}">
                <a16:creationId xmlns:a16="http://schemas.microsoft.com/office/drawing/2014/main" id="{92035744-FAE1-3A70-0CA1-66D61FE1D337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0A64CDB4-CB2C-6499-5E39-2FBE1753E2E3}"/>
              </a:ext>
            </a:extLst>
          </xdr:cNvPr>
          <xdr:cNvSpPr txBox="1"/>
        </xdr:nvSpPr>
        <xdr:spPr>
          <a:xfrm>
            <a:off x="5629164" y="14066576"/>
            <a:ext cx="997183" cy="5257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分析コード値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40</xdr:col>
      <xdr:colOff>39107</xdr:colOff>
      <xdr:row>30</xdr:row>
      <xdr:rowOff>351</xdr:rowOff>
    </xdr:from>
    <xdr:to>
      <xdr:col>59</xdr:col>
      <xdr:colOff>173618</xdr:colOff>
      <xdr:row>34</xdr:row>
      <xdr:rowOff>94900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80A5B8E-88A6-4DF5-82D5-AE2969AA0D16}"/>
            </a:ext>
          </a:extLst>
        </xdr:cNvPr>
        <xdr:cNvSpPr/>
      </xdr:nvSpPr>
      <xdr:spPr>
        <a:xfrm>
          <a:off x="7659107" y="5715351"/>
          <a:ext cx="3754011" cy="85654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180975</xdr:colOff>
      <xdr:row>11</xdr:row>
      <xdr:rowOff>47625</xdr:rowOff>
    </xdr:from>
    <xdr:to>
      <xdr:col>27</xdr:col>
      <xdr:colOff>180067</xdr:colOff>
      <xdr:row>12</xdr:row>
      <xdr:rowOff>160110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3F96554F-5313-370E-3046-D3A0F9E4BB53}"/>
            </a:ext>
          </a:extLst>
        </xdr:cNvPr>
        <xdr:cNvSpPr/>
      </xdr:nvSpPr>
      <xdr:spPr>
        <a:xfrm>
          <a:off x="3038475" y="2143125"/>
          <a:ext cx="2285092" cy="30298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データ入力チェック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180521</xdr:colOff>
      <xdr:row>12</xdr:row>
      <xdr:rowOff>163285</xdr:rowOff>
    </xdr:from>
    <xdr:to>
      <xdr:col>21</xdr:col>
      <xdr:colOff>180521</xdr:colOff>
      <xdr:row>17</xdr:row>
      <xdr:rowOff>63500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FA96370B-73E6-4E59-9E16-FC2DAA2790FD}"/>
            </a:ext>
          </a:extLst>
        </xdr:cNvPr>
        <xdr:cNvCxnSpPr>
          <a:cxnSpLocks/>
          <a:stCxn id="31" idx="2"/>
          <a:endCxn id="74" idx="0"/>
        </xdr:cNvCxnSpPr>
      </xdr:nvCxnSpPr>
      <xdr:spPr>
        <a:xfrm>
          <a:off x="4181021" y="2449285"/>
          <a:ext cx="0" cy="8527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22412</xdr:colOff>
      <xdr:row>30</xdr:row>
      <xdr:rowOff>134470</xdr:rowOff>
    </xdr:from>
    <xdr:to>
      <xdr:col>53</xdr:col>
      <xdr:colOff>60514</xdr:colOff>
      <xdr:row>33</xdr:row>
      <xdr:rowOff>153520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85C98BFB-BBA2-46EA-8A6A-50CCABD195FE}"/>
            </a:ext>
          </a:extLst>
        </xdr:cNvPr>
        <xdr:cNvGrpSpPr/>
      </xdr:nvGrpSpPr>
      <xdr:grpSpPr>
        <a:xfrm>
          <a:off x="8975912" y="5849470"/>
          <a:ext cx="1181102" cy="590550"/>
          <a:chOff x="5542088" y="13982700"/>
          <a:chExt cx="1198178" cy="609649"/>
        </a:xfrm>
      </xdr:grpSpPr>
      <xdr:sp macro="" textlink="">
        <xdr:nvSpPr>
          <xdr:cNvPr id="30" name="円柱 29">
            <a:extLst>
              <a:ext uri="{FF2B5EF4-FFF2-40B4-BE49-F238E27FC236}">
                <a16:creationId xmlns:a16="http://schemas.microsoft.com/office/drawing/2014/main" id="{AD76EBC8-AD85-A548-A84A-FC15F024E0AD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C7F01074-AAEB-C99A-04F8-777613FBF55B}"/>
              </a:ext>
            </a:extLst>
          </xdr:cNvPr>
          <xdr:cNvSpPr txBox="1"/>
        </xdr:nvSpPr>
        <xdr:spPr>
          <a:xfrm>
            <a:off x="5542088" y="14066576"/>
            <a:ext cx="1198178" cy="5257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分析コード</a:t>
            </a:r>
            <a:br>
              <a:rPr lang="en-US" altLang="ja-JP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</a:br>
            <a:r>
              <a:rPr lang="en-US" altLang="ja-JP" sz="6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(DimensionAttributeValue)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53</xdr:col>
      <xdr:colOff>32874</xdr:colOff>
      <xdr:row>30</xdr:row>
      <xdr:rowOff>134470</xdr:rowOff>
    </xdr:from>
    <xdr:to>
      <xdr:col>58</xdr:col>
      <xdr:colOff>134778</xdr:colOff>
      <xdr:row>33</xdr:row>
      <xdr:rowOff>153520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6FCBA57C-2E2D-4DA7-8552-79FCC3861D55}"/>
            </a:ext>
          </a:extLst>
        </xdr:cNvPr>
        <xdr:cNvGrpSpPr/>
      </xdr:nvGrpSpPr>
      <xdr:grpSpPr>
        <a:xfrm>
          <a:off x="10129374" y="5849470"/>
          <a:ext cx="1054404" cy="590550"/>
          <a:chOff x="5600700" y="13982700"/>
          <a:chExt cx="1067132" cy="609649"/>
        </a:xfrm>
      </xdr:grpSpPr>
      <xdr:sp macro="" textlink="">
        <xdr:nvSpPr>
          <xdr:cNvPr id="51" name="円柱 50">
            <a:extLst>
              <a:ext uri="{FF2B5EF4-FFF2-40B4-BE49-F238E27FC236}">
                <a16:creationId xmlns:a16="http://schemas.microsoft.com/office/drawing/2014/main" id="{72F59292-2909-090F-1FB0-880CCAB18603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2" name="テキスト ボックス 51">
            <a:extLst>
              <a:ext uri="{FF2B5EF4-FFF2-40B4-BE49-F238E27FC236}">
                <a16:creationId xmlns:a16="http://schemas.microsoft.com/office/drawing/2014/main" id="{38FEF77D-878C-EE29-CBE4-71FCFF0965FC}"/>
              </a:ext>
            </a:extLst>
          </xdr:cNvPr>
          <xdr:cNvSpPr txBox="1"/>
        </xdr:nvSpPr>
        <xdr:spPr>
          <a:xfrm>
            <a:off x="5629164" y="14066576"/>
            <a:ext cx="997183" cy="5257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分析コード</a:t>
            </a:r>
            <a:br>
              <a:rPr lang="en-US" altLang="ja-JP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</a:br>
            <a:r>
              <a:rPr lang="en-US" altLang="ja-JP" sz="6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(DimensionAttribute)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59343</xdr:colOff>
      <xdr:row>9</xdr:row>
      <xdr:rowOff>164038</xdr:rowOff>
    </xdr:from>
    <xdr:to>
      <xdr:col>43</xdr:col>
      <xdr:colOff>76197</xdr:colOff>
      <xdr:row>49</xdr:row>
      <xdr:rowOff>36311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1DFC73B-E612-C054-655B-F807CAEA8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5843" y="1878538"/>
          <a:ext cx="5731854" cy="749227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7</xdr:row>
      <xdr:rowOff>133350</xdr:rowOff>
    </xdr:from>
    <xdr:to>
      <xdr:col>57</xdr:col>
      <xdr:colOff>95250</xdr:colOff>
      <xdr:row>22</xdr:row>
      <xdr:rowOff>72079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6391DF1-B180-45F3-8FD2-102CAB539A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652"/>
        <a:stretch/>
      </xdr:blipFill>
      <xdr:spPr>
        <a:xfrm>
          <a:off x="412750" y="1466850"/>
          <a:ext cx="10541000" cy="279622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55</xdr:col>
      <xdr:colOff>47625</xdr:colOff>
      <xdr:row>11</xdr:row>
      <xdr:rowOff>15875</xdr:rowOff>
    </xdr:from>
    <xdr:to>
      <xdr:col>57</xdr:col>
      <xdr:colOff>82550</xdr:colOff>
      <xdr:row>13</xdr:row>
      <xdr:rowOff>16329</xdr:rowOff>
    </xdr:to>
    <xdr:sp macro="" textlink="">
      <xdr:nvSpPr>
        <xdr:cNvPr id="11" name="吹き出し: 角を丸めた四角形 10">
          <a:extLst>
            <a:ext uri="{FF2B5EF4-FFF2-40B4-BE49-F238E27FC236}">
              <a16:creationId xmlns:a16="http://schemas.microsoft.com/office/drawing/2014/main" id="{D747E7CB-F9FF-4FED-88BE-2B4E2BB50926}"/>
            </a:ext>
          </a:extLst>
        </xdr:cNvPr>
        <xdr:cNvSpPr/>
      </xdr:nvSpPr>
      <xdr:spPr>
        <a:xfrm>
          <a:off x="10525125" y="2111375"/>
          <a:ext cx="415925" cy="381454"/>
        </a:xfrm>
        <a:prstGeom prst="wedgeRoundRectCallout">
          <a:avLst>
            <a:gd name="adj1" fmla="val -28307"/>
            <a:gd name="adj2" fmla="val 6811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155575</xdr:colOff>
      <xdr:row>10</xdr:row>
      <xdr:rowOff>177800</xdr:rowOff>
    </xdr:from>
    <xdr:to>
      <xdr:col>10</xdr:col>
      <xdr:colOff>58510</xdr:colOff>
      <xdr:row>13</xdr:row>
      <xdr:rowOff>454</xdr:rowOff>
    </xdr:to>
    <xdr:sp macro="" textlink="">
      <xdr:nvSpPr>
        <xdr:cNvPr id="26" name="吹き出し: 角を丸めた四角形 25">
          <a:extLst>
            <a:ext uri="{FF2B5EF4-FFF2-40B4-BE49-F238E27FC236}">
              <a16:creationId xmlns:a16="http://schemas.microsoft.com/office/drawing/2014/main" id="{0E5DCD1C-F06B-4FD7-CED5-C0C17EE1314D}"/>
            </a:ext>
          </a:extLst>
        </xdr:cNvPr>
        <xdr:cNvSpPr/>
      </xdr:nvSpPr>
      <xdr:spPr>
        <a:xfrm>
          <a:off x="1489075" y="2082800"/>
          <a:ext cx="474435" cy="394154"/>
        </a:xfrm>
        <a:prstGeom prst="wedgeRoundRectCallout">
          <a:avLst>
            <a:gd name="adj1" fmla="val -35605"/>
            <a:gd name="adj2" fmla="val 6986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149225</xdr:colOff>
      <xdr:row>10</xdr:row>
      <xdr:rowOff>174625</xdr:rowOff>
    </xdr:from>
    <xdr:to>
      <xdr:col>43</xdr:col>
      <xdr:colOff>74385</xdr:colOff>
      <xdr:row>13</xdr:row>
      <xdr:rowOff>6804</xdr:rowOff>
    </xdr:to>
    <xdr:sp macro="" textlink="">
      <xdr:nvSpPr>
        <xdr:cNvPr id="17" name="吹き出し: 角を丸めた四角形 16">
          <a:extLst>
            <a:ext uri="{FF2B5EF4-FFF2-40B4-BE49-F238E27FC236}">
              <a16:creationId xmlns:a16="http://schemas.microsoft.com/office/drawing/2014/main" id="{3B4F9463-D9B7-9263-0720-CDC4A5B511CB}"/>
            </a:ext>
          </a:extLst>
        </xdr:cNvPr>
        <xdr:cNvSpPr/>
      </xdr:nvSpPr>
      <xdr:spPr>
        <a:xfrm>
          <a:off x="7769225" y="2079625"/>
          <a:ext cx="496660" cy="403679"/>
        </a:xfrm>
        <a:prstGeom prst="wedgeRoundRectCallout">
          <a:avLst>
            <a:gd name="adj1" fmla="val -33743"/>
            <a:gd name="adj2" fmla="val 67008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168275</xdr:colOff>
      <xdr:row>10</xdr:row>
      <xdr:rowOff>177800</xdr:rowOff>
    </xdr:from>
    <xdr:to>
      <xdr:col>13</xdr:col>
      <xdr:colOff>87085</xdr:colOff>
      <xdr:row>13</xdr:row>
      <xdr:rowOff>9979</xdr:rowOff>
    </xdr:to>
    <xdr:sp macro="" textlink="">
      <xdr:nvSpPr>
        <xdr:cNvPr id="30" name="吹き出し: 角を丸めた四角形 29">
          <a:extLst>
            <a:ext uri="{FF2B5EF4-FFF2-40B4-BE49-F238E27FC236}">
              <a16:creationId xmlns:a16="http://schemas.microsoft.com/office/drawing/2014/main" id="{7647849B-A72F-4170-9FB3-280D8B696CA1}"/>
            </a:ext>
          </a:extLst>
        </xdr:cNvPr>
        <xdr:cNvSpPr/>
      </xdr:nvSpPr>
      <xdr:spPr>
        <a:xfrm>
          <a:off x="2073275" y="2082800"/>
          <a:ext cx="490310" cy="403679"/>
        </a:xfrm>
        <a:prstGeom prst="wedgeRoundRectCallout">
          <a:avLst>
            <a:gd name="adj1" fmla="val -28365"/>
            <a:gd name="adj2" fmla="val 67007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130175</xdr:colOff>
      <xdr:row>10</xdr:row>
      <xdr:rowOff>168275</xdr:rowOff>
    </xdr:from>
    <xdr:to>
      <xdr:col>19</xdr:col>
      <xdr:colOff>55335</xdr:colOff>
      <xdr:row>13</xdr:row>
      <xdr:rowOff>454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93013673-484C-4540-74C9-89D77846B612}"/>
            </a:ext>
          </a:extLst>
        </xdr:cNvPr>
        <xdr:cNvSpPr/>
      </xdr:nvSpPr>
      <xdr:spPr>
        <a:xfrm>
          <a:off x="3178175" y="2073275"/>
          <a:ext cx="496660" cy="403679"/>
        </a:xfrm>
        <a:prstGeom prst="wedgeRoundRectCallout">
          <a:avLst>
            <a:gd name="adj1" fmla="val -33743"/>
            <a:gd name="adj2" fmla="val 67008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60325</xdr:colOff>
      <xdr:row>11</xdr:row>
      <xdr:rowOff>9525</xdr:rowOff>
    </xdr:from>
    <xdr:to>
      <xdr:col>50</xdr:col>
      <xdr:colOff>95250</xdr:colOff>
      <xdr:row>13</xdr:row>
      <xdr:rowOff>9979</xdr:rowOff>
    </xdr:to>
    <xdr:sp macro="" textlink="">
      <xdr:nvSpPr>
        <xdr:cNvPr id="13" name="吹き出し: 角を丸めた四角形 12">
          <a:extLst>
            <a:ext uri="{FF2B5EF4-FFF2-40B4-BE49-F238E27FC236}">
              <a16:creationId xmlns:a16="http://schemas.microsoft.com/office/drawing/2014/main" id="{7BDA1CBE-6725-1999-4B29-6CB2B2256793}"/>
            </a:ext>
          </a:extLst>
        </xdr:cNvPr>
        <xdr:cNvSpPr/>
      </xdr:nvSpPr>
      <xdr:spPr>
        <a:xfrm>
          <a:off x="9204325" y="2105025"/>
          <a:ext cx="415925" cy="381454"/>
        </a:xfrm>
        <a:prstGeom prst="wedgeRoundRectCallout">
          <a:avLst>
            <a:gd name="adj1" fmla="val -28307"/>
            <a:gd name="adj2" fmla="val 6811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174625</xdr:colOff>
      <xdr:row>11</xdr:row>
      <xdr:rowOff>9525</xdr:rowOff>
    </xdr:from>
    <xdr:to>
      <xdr:col>48</xdr:col>
      <xdr:colOff>19050</xdr:colOff>
      <xdr:row>13</xdr:row>
      <xdr:rowOff>9979</xdr:rowOff>
    </xdr:to>
    <xdr:sp macro="" textlink="">
      <xdr:nvSpPr>
        <xdr:cNvPr id="14" name="吹き出し: 角を丸めた四角形 13">
          <a:extLst>
            <a:ext uri="{FF2B5EF4-FFF2-40B4-BE49-F238E27FC236}">
              <a16:creationId xmlns:a16="http://schemas.microsoft.com/office/drawing/2014/main" id="{ED06B750-5A79-02C4-2A55-B99E51BA423F}"/>
            </a:ext>
          </a:extLst>
        </xdr:cNvPr>
        <xdr:cNvSpPr/>
      </xdr:nvSpPr>
      <xdr:spPr>
        <a:xfrm>
          <a:off x="8747125" y="2105025"/>
          <a:ext cx="415925" cy="381454"/>
        </a:xfrm>
        <a:prstGeom prst="wedgeRoundRectCallout">
          <a:avLst>
            <a:gd name="adj1" fmla="val -28307"/>
            <a:gd name="adj2" fmla="val 6811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117475</xdr:colOff>
      <xdr:row>11</xdr:row>
      <xdr:rowOff>28575</xdr:rowOff>
    </xdr:from>
    <xdr:to>
      <xdr:col>32</xdr:col>
      <xdr:colOff>152400</xdr:colOff>
      <xdr:row>13</xdr:row>
      <xdr:rowOff>29029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C61488B5-4CC9-91B7-50E3-7C92B1EC1519}"/>
            </a:ext>
          </a:extLst>
        </xdr:cNvPr>
        <xdr:cNvSpPr/>
      </xdr:nvSpPr>
      <xdr:spPr>
        <a:xfrm>
          <a:off x="5832475" y="2124075"/>
          <a:ext cx="415925" cy="381454"/>
        </a:xfrm>
        <a:prstGeom prst="wedgeRoundRectCallout">
          <a:avLst>
            <a:gd name="adj1" fmla="val -28307"/>
            <a:gd name="adj2" fmla="val 6811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8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85725</xdr:colOff>
      <xdr:row>11</xdr:row>
      <xdr:rowOff>22225</xdr:rowOff>
    </xdr:from>
    <xdr:to>
      <xdr:col>25</xdr:col>
      <xdr:colOff>120650</xdr:colOff>
      <xdr:row>13</xdr:row>
      <xdr:rowOff>22679</xdr:rowOff>
    </xdr:to>
    <xdr:sp macro="" textlink="">
      <xdr:nvSpPr>
        <xdr:cNvPr id="18" name="吹き出し: 角を丸めた四角形 17">
          <a:extLst>
            <a:ext uri="{FF2B5EF4-FFF2-40B4-BE49-F238E27FC236}">
              <a16:creationId xmlns:a16="http://schemas.microsoft.com/office/drawing/2014/main" id="{30486ED6-8F45-59B6-19D6-8278CB3E7214}"/>
            </a:ext>
          </a:extLst>
        </xdr:cNvPr>
        <xdr:cNvSpPr/>
      </xdr:nvSpPr>
      <xdr:spPr>
        <a:xfrm>
          <a:off x="4467225" y="2117725"/>
          <a:ext cx="415925" cy="381454"/>
        </a:xfrm>
        <a:prstGeom prst="wedgeRoundRectCallout">
          <a:avLst>
            <a:gd name="adj1" fmla="val -28307"/>
            <a:gd name="adj2" fmla="val 6811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42</xdr:col>
      <xdr:colOff>95250</xdr:colOff>
      <xdr:row>15</xdr:row>
      <xdr:rowOff>76200</xdr:rowOff>
    </xdr:from>
    <xdr:to>
      <xdr:col>45</xdr:col>
      <xdr:colOff>181067</xdr:colOff>
      <xdr:row>16</xdr:row>
      <xdr:rowOff>139700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4E1B59E-68D7-6272-70BD-478D7D111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50" y="2933700"/>
          <a:ext cx="657317" cy="254000"/>
        </a:xfrm>
        <a:prstGeom prst="rect">
          <a:avLst/>
        </a:prstGeom>
      </xdr:spPr>
    </xdr:pic>
    <xdr:clientData/>
  </xdr:twoCellAnchor>
  <xdr:twoCellAnchor>
    <xdr:from>
      <xdr:col>43</xdr:col>
      <xdr:colOff>50800</xdr:colOff>
      <xdr:row>15</xdr:row>
      <xdr:rowOff>0</xdr:rowOff>
    </xdr:from>
    <xdr:to>
      <xdr:col>45</xdr:col>
      <xdr:colOff>82550</xdr:colOff>
      <xdr:row>16</xdr:row>
      <xdr:rowOff>82550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1891217-785F-D4A1-4AC9-71E6BFB37F8A}"/>
            </a:ext>
          </a:extLst>
        </xdr:cNvPr>
        <xdr:cNvSpPr txBox="1"/>
      </xdr:nvSpPr>
      <xdr:spPr>
        <a:xfrm>
          <a:off x="8242300" y="2857500"/>
          <a:ext cx="4127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DZ</a:t>
          </a:r>
          <a:endParaRPr kumimoji="1" lang="ja-JP" altLang="en-US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50800</xdr:colOff>
      <xdr:row>15</xdr:row>
      <xdr:rowOff>158750</xdr:rowOff>
    </xdr:from>
    <xdr:to>
      <xdr:col>45</xdr:col>
      <xdr:colOff>82550</xdr:colOff>
      <xdr:row>17</xdr:row>
      <xdr:rowOff>50800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6D09A55B-894F-47FA-2318-D84D8A4A0BD3}"/>
            </a:ext>
          </a:extLst>
        </xdr:cNvPr>
        <xdr:cNvSpPr txBox="1"/>
      </xdr:nvSpPr>
      <xdr:spPr>
        <a:xfrm>
          <a:off x="8242300" y="3016250"/>
          <a:ext cx="4127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DZ</a:t>
          </a:r>
          <a:endParaRPr kumimoji="1" lang="ja-JP" altLang="en-US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50800</xdr:colOff>
      <xdr:row>16</xdr:row>
      <xdr:rowOff>127000</xdr:rowOff>
    </xdr:from>
    <xdr:to>
      <xdr:col>45</xdr:col>
      <xdr:colOff>82550</xdr:colOff>
      <xdr:row>18</xdr:row>
      <xdr:rowOff>19050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E2CC5A2F-E9CE-646F-8C4A-C96A9FBF332E}"/>
            </a:ext>
          </a:extLst>
        </xdr:cNvPr>
        <xdr:cNvSpPr txBox="1"/>
      </xdr:nvSpPr>
      <xdr:spPr>
        <a:xfrm>
          <a:off x="8242300" y="3175000"/>
          <a:ext cx="4127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DZ</a:t>
          </a:r>
          <a:endParaRPr kumimoji="1" lang="ja-JP" altLang="en-US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50800</xdr:colOff>
      <xdr:row>17</xdr:row>
      <xdr:rowOff>101600</xdr:rowOff>
    </xdr:from>
    <xdr:to>
      <xdr:col>45</xdr:col>
      <xdr:colOff>82550</xdr:colOff>
      <xdr:row>18</xdr:row>
      <xdr:rowOff>184150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5F65C60E-BED6-97D7-8A53-C6798723CF1B}"/>
            </a:ext>
          </a:extLst>
        </xdr:cNvPr>
        <xdr:cNvSpPr txBox="1"/>
      </xdr:nvSpPr>
      <xdr:spPr>
        <a:xfrm>
          <a:off x="8242300" y="3340100"/>
          <a:ext cx="4127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DZ</a:t>
          </a:r>
          <a:endParaRPr kumimoji="1" lang="ja-JP" altLang="en-US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43</xdr:col>
      <xdr:colOff>95250</xdr:colOff>
      <xdr:row>14</xdr:row>
      <xdr:rowOff>114300</xdr:rowOff>
    </xdr:from>
    <xdr:to>
      <xdr:col>46</xdr:col>
      <xdr:colOff>0</xdr:colOff>
      <xdr:row>15</xdr:row>
      <xdr:rowOff>12700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9FBD973-AF2E-96E4-2C41-BE0E733A3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0" y="2781300"/>
          <a:ext cx="476250" cy="88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61260</xdr:colOff>
      <xdr:row>9</xdr:row>
      <xdr:rowOff>171450</xdr:rowOff>
    </xdr:from>
    <xdr:to>
      <xdr:col>38</xdr:col>
      <xdr:colOff>82176</xdr:colOff>
      <xdr:row>30</xdr:row>
      <xdr:rowOff>124315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295BC3F-2E49-4334-9FE0-3E7CFD986C37}"/>
            </a:ext>
          </a:extLst>
        </xdr:cNvPr>
        <xdr:cNvSpPr/>
      </xdr:nvSpPr>
      <xdr:spPr>
        <a:xfrm>
          <a:off x="4064935" y="1695450"/>
          <a:ext cx="3259416" cy="39501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38101</xdr:colOff>
      <xdr:row>9</xdr:row>
      <xdr:rowOff>161925</xdr:rowOff>
    </xdr:from>
    <xdr:to>
      <xdr:col>19</xdr:col>
      <xdr:colOff>74705</xdr:colOff>
      <xdr:row>30</xdr:row>
      <xdr:rowOff>117965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D8E32AC-075E-4832-8400-E974F886426B}"/>
            </a:ext>
          </a:extLst>
        </xdr:cNvPr>
        <xdr:cNvSpPr/>
      </xdr:nvSpPr>
      <xdr:spPr>
        <a:xfrm>
          <a:off x="228601" y="1876425"/>
          <a:ext cx="3465604" cy="3956540"/>
        </a:xfrm>
        <a:prstGeom prst="rect">
          <a:avLst/>
        </a:prstGeom>
        <a:solidFill>
          <a:srgbClr val="CC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82550</xdr:colOff>
      <xdr:row>9</xdr:row>
      <xdr:rowOff>152400</xdr:rowOff>
    </xdr:from>
    <xdr:to>
      <xdr:col>6</xdr:col>
      <xdr:colOff>130362</xdr:colOff>
      <xdr:row>11</xdr:row>
      <xdr:rowOff>143435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897545C-6D25-44D8-9E51-6D83C7C43478}"/>
            </a:ext>
          </a:extLst>
        </xdr:cNvPr>
        <xdr:cNvSpPr txBox="1"/>
      </xdr:nvSpPr>
      <xdr:spPr>
        <a:xfrm>
          <a:off x="276225" y="1676400"/>
          <a:ext cx="997137" cy="36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latin typeface="Meiryo UI" panose="020B0604030504040204" pitchFamily="50" charset="-128"/>
              <a:ea typeface="Meiryo UI" panose="020B0604030504040204" pitchFamily="50" charset="-128"/>
            </a:rPr>
            <a:t>FO</a:t>
          </a:r>
          <a:endParaRPr kumimoji="1" lang="ja-JP" altLang="en-US" sz="14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68921</xdr:colOff>
      <xdr:row>13</xdr:row>
      <xdr:rowOff>95250</xdr:rowOff>
    </xdr:from>
    <xdr:to>
      <xdr:col>10</xdr:col>
      <xdr:colOff>66675</xdr:colOff>
      <xdr:row>17</xdr:row>
      <xdr:rowOff>85725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C44927D-9FCB-41A0-B2DE-F0A6FC383030}"/>
            </a:ext>
          </a:extLst>
        </xdr:cNvPr>
        <xdr:cNvSpPr/>
      </xdr:nvSpPr>
      <xdr:spPr>
        <a:xfrm>
          <a:off x="446746" y="2381250"/>
          <a:ext cx="1521754" cy="7493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FO-087</a:t>
          </a:r>
          <a:br>
            <a:rPr kumimoji="1" lang="en-US" altLang="ja-JP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入金データ連携</a:t>
          </a:r>
        </a:p>
      </xdr:txBody>
    </xdr:sp>
    <xdr:clientData/>
  </xdr:twoCellAnchor>
  <xdr:twoCellAnchor>
    <xdr:from>
      <xdr:col>10</xdr:col>
      <xdr:colOff>66675</xdr:colOff>
      <xdr:row>15</xdr:row>
      <xdr:rowOff>84605</xdr:rowOff>
    </xdr:from>
    <xdr:to>
      <xdr:col>27</xdr:col>
      <xdr:colOff>30821</xdr:colOff>
      <xdr:row>15</xdr:row>
      <xdr:rowOff>90488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EEFAF41-CEE6-42E6-9D1A-6DAEAF00D9A8}"/>
            </a:ext>
          </a:extLst>
        </xdr:cNvPr>
        <xdr:cNvCxnSpPr>
          <a:cxnSpLocks/>
          <a:stCxn id="6" idx="3"/>
          <a:endCxn id="27" idx="1"/>
        </xdr:cNvCxnSpPr>
      </xdr:nvCxnSpPr>
      <xdr:spPr>
        <a:xfrm flipV="1">
          <a:off x="1968500" y="2754780"/>
          <a:ext cx="3202646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67799</xdr:colOff>
      <xdr:row>17</xdr:row>
      <xdr:rowOff>85725</xdr:rowOff>
    </xdr:from>
    <xdr:to>
      <xdr:col>7</xdr:col>
      <xdr:colOff>48374</xdr:colOff>
      <xdr:row>20</xdr:row>
      <xdr:rowOff>180601</xdr:rowOff>
    </xdr:to>
    <xdr:cxnSp macro="">
      <xdr:nvCxnSpPr>
        <xdr:cNvPr id="8" name="直線矢印コネクタ 17">
          <a:extLst>
            <a:ext uri="{FF2B5EF4-FFF2-40B4-BE49-F238E27FC236}">
              <a16:creationId xmlns:a16="http://schemas.microsoft.com/office/drawing/2014/main" id="{F5184FB0-09A4-464A-9668-40845ABEB380}"/>
            </a:ext>
          </a:extLst>
        </xdr:cNvPr>
        <xdr:cNvCxnSpPr>
          <a:cxnSpLocks/>
          <a:stCxn id="19" idx="2"/>
          <a:endCxn id="6" idx="2"/>
        </xdr:cNvCxnSpPr>
      </xdr:nvCxnSpPr>
      <xdr:spPr>
        <a:xfrm rot="10800000">
          <a:off x="1207624" y="3130550"/>
          <a:ext cx="171075" cy="672726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67799</xdr:colOff>
      <xdr:row>17</xdr:row>
      <xdr:rowOff>85726</xdr:rowOff>
    </xdr:from>
    <xdr:to>
      <xdr:col>7</xdr:col>
      <xdr:colOff>57151</xdr:colOff>
      <xdr:row>23</xdr:row>
      <xdr:rowOff>187326</xdr:rowOff>
    </xdr:to>
    <xdr:cxnSp macro="">
      <xdr:nvCxnSpPr>
        <xdr:cNvPr id="9" name="直線矢印コネクタ 17">
          <a:extLst>
            <a:ext uri="{FF2B5EF4-FFF2-40B4-BE49-F238E27FC236}">
              <a16:creationId xmlns:a16="http://schemas.microsoft.com/office/drawing/2014/main" id="{CC38DAAF-692E-4683-8C05-3D839023CF39}"/>
            </a:ext>
          </a:extLst>
        </xdr:cNvPr>
        <xdr:cNvCxnSpPr>
          <a:cxnSpLocks/>
          <a:stCxn id="17" idx="1"/>
          <a:endCxn id="6" idx="2"/>
        </xdr:cNvCxnSpPr>
      </xdr:nvCxnSpPr>
      <xdr:spPr>
        <a:xfrm rot="10800000">
          <a:off x="1207624" y="3130551"/>
          <a:ext cx="183027" cy="1247775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67799</xdr:colOff>
      <xdr:row>17</xdr:row>
      <xdr:rowOff>85725</xdr:rowOff>
    </xdr:from>
    <xdr:to>
      <xdr:col>7</xdr:col>
      <xdr:colOff>75973</xdr:colOff>
      <xdr:row>26</xdr:row>
      <xdr:rowOff>76200</xdr:rowOff>
    </xdr:to>
    <xdr:cxnSp macro="">
      <xdr:nvCxnSpPr>
        <xdr:cNvPr id="10" name="直線矢印コネクタ 17">
          <a:extLst>
            <a:ext uri="{FF2B5EF4-FFF2-40B4-BE49-F238E27FC236}">
              <a16:creationId xmlns:a16="http://schemas.microsoft.com/office/drawing/2014/main" id="{7904129D-3F47-4E5B-BB9D-252E3474F7FB}"/>
            </a:ext>
          </a:extLst>
        </xdr:cNvPr>
        <xdr:cNvCxnSpPr>
          <a:cxnSpLocks/>
          <a:stCxn id="13" idx="1"/>
          <a:endCxn id="6" idx="2"/>
        </xdr:cNvCxnSpPr>
      </xdr:nvCxnSpPr>
      <xdr:spPr>
        <a:xfrm rot="10800000">
          <a:off x="1207624" y="3130550"/>
          <a:ext cx="201849" cy="1708150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51547</xdr:colOff>
      <xdr:row>24</xdr:row>
      <xdr:rowOff>31001</xdr:rowOff>
    </xdr:from>
    <xdr:to>
      <xdr:col>12</xdr:col>
      <xdr:colOff>38100</xdr:colOff>
      <xdr:row>27</xdr:row>
      <xdr:rowOff>171450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44FC8E55-1A39-4197-B291-33A2E18F26A7}"/>
            </a:ext>
          </a:extLst>
        </xdr:cNvPr>
        <xdr:cNvGrpSpPr/>
      </xdr:nvGrpSpPr>
      <xdr:grpSpPr>
        <a:xfrm>
          <a:off x="1385047" y="4603001"/>
          <a:ext cx="939053" cy="711949"/>
          <a:chOff x="3137647" y="3656851"/>
          <a:chExt cx="1091453" cy="711949"/>
        </a:xfrm>
      </xdr:grpSpPr>
      <xdr:sp macro="" textlink="">
        <xdr:nvSpPr>
          <xdr:cNvPr id="12" name="フローチャート: 磁気ディスク 11">
            <a:extLst>
              <a:ext uri="{FF2B5EF4-FFF2-40B4-BE49-F238E27FC236}">
                <a16:creationId xmlns:a16="http://schemas.microsoft.com/office/drawing/2014/main" id="{151D7F2C-004E-AB5C-7EC0-6FD8020BEB44}"/>
              </a:ext>
            </a:extLst>
          </xdr:cNvPr>
          <xdr:cNvSpPr/>
        </xdr:nvSpPr>
        <xdr:spPr>
          <a:xfrm>
            <a:off x="3137647" y="3656851"/>
            <a:ext cx="1083235" cy="672353"/>
          </a:xfrm>
          <a:prstGeom prst="flowChartMagneticDisk">
            <a:avLst/>
          </a:prstGeom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4FB57538-D28E-C5D8-017A-0CA0C67FA96F}"/>
              </a:ext>
            </a:extLst>
          </xdr:cNvPr>
          <xdr:cNvSpPr txBox="1"/>
        </xdr:nvSpPr>
        <xdr:spPr>
          <a:xfrm>
            <a:off x="3166036" y="3797300"/>
            <a:ext cx="1063064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一般仕訳帳勘定項目</a:t>
            </a:r>
          </a:p>
        </xdr:txBody>
      </xdr:sp>
    </xdr:grpSp>
    <xdr:clientData/>
  </xdr:twoCellAnchor>
  <xdr:twoCellAnchor>
    <xdr:from>
      <xdr:col>9</xdr:col>
      <xdr:colOff>1306</xdr:colOff>
      <xdr:row>27</xdr:row>
      <xdr:rowOff>88899</xdr:rowOff>
    </xdr:from>
    <xdr:to>
      <xdr:col>10</xdr:col>
      <xdr:colOff>69850</xdr:colOff>
      <xdr:row>29</xdr:row>
      <xdr:rowOff>115606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5B8D01F-5985-44B0-8CB9-FCD8FE3DB04C}"/>
            </a:ext>
          </a:extLst>
        </xdr:cNvPr>
        <xdr:cNvSpPr txBox="1"/>
      </xdr:nvSpPr>
      <xdr:spPr>
        <a:xfrm rot="5400000">
          <a:off x="1638300" y="5116230"/>
          <a:ext cx="410882" cy="255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kumimoji="1" lang="en-US" altLang="ja-JP" sz="1600" b="1">
              <a:latin typeface="Meiryo UI" panose="020B0604030504040204" pitchFamily="50" charset="-128"/>
              <a:ea typeface="Meiryo UI" panose="020B0604030504040204" pitchFamily="50" charset="-128"/>
            </a:rPr>
            <a:t>...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41836</xdr:colOff>
      <xdr:row>21</xdr:row>
      <xdr:rowOff>135590</xdr:rowOff>
    </xdr:from>
    <xdr:to>
      <xdr:col>12</xdr:col>
      <xdr:colOff>31281</xdr:colOff>
      <xdr:row>25</xdr:row>
      <xdr:rowOff>114300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1422C90-7672-40D0-A55F-F7D8FAF45774}"/>
            </a:ext>
          </a:extLst>
        </xdr:cNvPr>
        <xdr:cNvGrpSpPr/>
      </xdr:nvGrpSpPr>
      <xdr:grpSpPr>
        <a:xfrm>
          <a:off x="1375336" y="4136090"/>
          <a:ext cx="941945" cy="740710"/>
          <a:chOff x="1718236" y="3659840"/>
          <a:chExt cx="1094814" cy="740710"/>
        </a:xfrm>
      </xdr:grpSpPr>
      <xdr:sp macro="" textlink="">
        <xdr:nvSpPr>
          <xdr:cNvPr id="16" name="フローチャート: 磁気ディスク 15">
            <a:extLst>
              <a:ext uri="{FF2B5EF4-FFF2-40B4-BE49-F238E27FC236}">
                <a16:creationId xmlns:a16="http://schemas.microsoft.com/office/drawing/2014/main" id="{4A93F58E-25AE-BA61-7FF1-A5975FF0EEAC}"/>
              </a:ext>
            </a:extLst>
          </xdr:cNvPr>
          <xdr:cNvSpPr/>
        </xdr:nvSpPr>
        <xdr:spPr>
          <a:xfrm>
            <a:off x="1718236" y="3659840"/>
            <a:ext cx="1094814" cy="672353"/>
          </a:xfrm>
          <a:prstGeom prst="flowChartMagneticDisk">
            <a:avLst/>
          </a:prstGeom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646E4FDD-16A4-2EC1-2EF1-B0868FDAFA65}"/>
              </a:ext>
            </a:extLst>
          </xdr:cNvPr>
          <xdr:cNvSpPr txBox="1"/>
        </xdr:nvSpPr>
        <xdr:spPr>
          <a:xfrm>
            <a:off x="1736035" y="3784600"/>
            <a:ext cx="1062798" cy="615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一般仕訳</a:t>
            </a:r>
            <a:b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</a:b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入力</a:t>
            </a:r>
          </a:p>
        </xdr:txBody>
      </xdr:sp>
    </xdr:grpSp>
    <xdr:clientData/>
  </xdr:twoCellAnchor>
  <xdr:twoCellAnchor>
    <xdr:from>
      <xdr:col>7</xdr:col>
      <xdr:colOff>45198</xdr:colOff>
      <xdr:row>19</xdr:row>
      <xdr:rowOff>38099</xdr:rowOff>
    </xdr:from>
    <xdr:to>
      <xdr:col>12</xdr:col>
      <xdr:colOff>24680</xdr:colOff>
      <xdr:row>22</xdr:row>
      <xdr:rowOff>138952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149FAC5C-0449-4B8D-866A-2B6D39FA11F4}"/>
            </a:ext>
          </a:extLst>
        </xdr:cNvPr>
        <xdr:cNvGrpSpPr/>
      </xdr:nvGrpSpPr>
      <xdr:grpSpPr>
        <a:xfrm>
          <a:off x="1378698" y="3657599"/>
          <a:ext cx="931982" cy="672353"/>
          <a:chOff x="597647" y="3619499"/>
          <a:chExt cx="1083235" cy="672353"/>
        </a:xfrm>
      </xdr:grpSpPr>
      <xdr:sp macro="" textlink="">
        <xdr:nvSpPr>
          <xdr:cNvPr id="19" name="フローチャート: 磁気ディスク 18">
            <a:extLst>
              <a:ext uri="{FF2B5EF4-FFF2-40B4-BE49-F238E27FC236}">
                <a16:creationId xmlns:a16="http://schemas.microsoft.com/office/drawing/2014/main" id="{A2B484FA-24C9-0DAE-98A6-9A8EE4D07942}"/>
              </a:ext>
            </a:extLst>
          </xdr:cNvPr>
          <xdr:cNvSpPr/>
        </xdr:nvSpPr>
        <xdr:spPr>
          <a:xfrm>
            <a:off x="597647" y="3619499"/>
            <a:ext cx="1083235" cy="672353"/>
          </a:xfrm>
          <a:prstGeom prst="flowChartMagneticDisk">
            <a:avLst/>
          </a:prstGeom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5A99ED32-B83E-FD3A-0DFC-48EE95C841B4}"/>
              </a:ext>
            </a:extLst>
          </xdr:cNvPr>
          <xdr:cNvSpPr txBox="1"/>
        </xdr:nvSpPr>
        <xdr:spPr>
          <a:xfrm>
            <a:off x="768350" y="3879850"/>
            <a:ext cx="717550" cy="311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主勘定</a:t>
            </a:r>
          </a:p>
        </xdr:txBody>
      </xdr:sp>
    </xdr:grpSp>
    <xdr:clientData/>
  </xdr:twoCellAnchor>
  <xdr:twoCellAnchor>
    <xdr:from>
      <xdr:col>30</xdr:col>
      <xdr:colOff>15875</xdr:colOff>
      <xdr:row>9</xdr:row>
      <xdr:rowOff>112057</xdr:rowOff>
    </xdr:from>
    <xdr:to>
      <xdr:col>41</xdr:col>
      <xdr:colOff>14942</xdr:colOff>
      <xdr:row>13</xdr:row>
      <xdr:rowOff>62564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8365AF06-9633-4378-ADC9-045A8844C477}"/>
            </a:ext>
          </a:extLst>
        </xdr:cNvPr>
        <xdr:cNvSpPr/>
      </xdr:nvSpPr>
      <xdr:spPr>
        <a:xfrm>
          <a:off x="5730875" y="1636057"/>
          <a:ext cx="2091392" cy="715682"/>
        </a:xfrm>
        <a:prstGeom prst="wedgeRectCallout">
          <a:avLst>
            <a:gd name="adj1" fmla="val -32054"/>
            <a:gd name="adj2" fmla="val 71558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ブラウザ指定となるダウンロード先にファイルがダウンロードされる</a:t>
          </a:r>
        </a:p>
      </xdr:txBody>
    </xdr:sp>
    <xdr:clientData/>
  </xdr:twoCellAnchor>
  <xdr:twoCellAnchor>
    <xdr:from>
      <xdr:col>1</xdr:col>
      <xdr:colOff>165100</xdr:colOff>
      <xdr:row>13</xdr:row>
      <xdr:rowOff>0</xdr:rowOff>
    </xdr:from>
    <xdr:to>
      <xdr:col>14</xdr:col>
      <xdr:colOff>19050</xdr:colOff>
      <xdr:row>29</xdr:row>
      <xdr:rowOff>107950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8BD1EDB-EAEE-48DF-B56E-497CD77D74FB}"/>
            </a:ext>
          </a:extLst>
        </xdr:cNvPr>
        <xdr:cNvSpPr/>
      </xdr:nvSpPr>
      <xdr:spPr>
        <a:xfrm>
          <a:off x="352425" y="2286000"/>
          <a:ext cx="2333625" cy="3152775"/>
        </a:xfrm>
        <a:prstGeom prst="rect">
          <a:avLst/>
        </a:prstGeom>
        <a:noFill/>
        <a:ln w="381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171450</xdr:colOff>
      <xdr:row>11</xdr:row>
      <xdr:rowOff>44450</xdr:rowOff>
    </xdr:from>
    <xdr:to>
      <xdr:col>11</xdr:col>
      <xdr:colOff>177800</xdr:colOff>
      <xdr:row>13</xdr:row>
      <xdr:rowOff>44450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32413CE9-7395-4F33-B083-D29DB46A7FA9}"/>
            </a:ext>
          </a:extLst>
        </xdr:cNvPr>
        <xdr:cNvSpPr txBox="1"/>
      </xdr:nvSpPr>
      <xdr:spPr>
        <a:xfrm>
          <a:off x="933450" y="1952625"/>
          <a:ext cx="13430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本機能の対象範囲</a:t>
          </a:r>
        </a:p>
      </xdr:txBody>
    </xdr:sp>
    <xdr:clientData/>
  </xdr:twoCellAnchor>
  <xdr:twoCellAnchor>
    <xdr:from>
      <xdr:col>43</xdr:col>
      <xdr:colOff>14941</xdr:colOff>
      <xdr:row>9</xdr:row>
      <xdr:rowOff>161925</xdr:rowOff>
    </xdr:from>
    <xdr:to>
      <xdr:col>59</xdr:col>
      <xdr:colOff>160058</xdr:colOff>
      <xdr:row>30</xdr:row>
      <xdr:rowOff>114300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87E6A52-D381-4879-83D0-8A0602FC991E}"/>
            </a:ext>
          </a:extLst>
        </xdr:cNvPr>
        <xdr:cNvSpPr/>
      </xdr:nvSpPr>
      <xdr:spPr>
        <a:xfrm>
          <a:off x="8206441" y="1876425"/>
          <a:ext cx="3193117" cy="39528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SLJ</a:t>
          </a: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販売システム</a:t>
          </a:r>
        </a:p>
      </xdr:txBody>
    </xdr:sp>
    <xdr:clientData/>
  </xdr:twoCellAnchor>
  <xdr:twoCellAnchor>
    <xdr:from>
      <xdr:col>49</xdr:col>
      <xdr:colOff>71344</xdr:colOff>
      <xdr:row>14</xdr:row>
      <xdr:rowOff>107950</xdr:rowOff>
    </xdr:from>
    <xdr:to>
      <xdr:col>53</xdr:col>
      <xdr:colOff>176677</xdr:colOff>
      <xdr:row>16</xdr:row>
      <xdr:rowOff>89800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174C8ED1-0090-409D-A702-C0D48E5161C0}"/>
            </a:ext>
          </a:extLst>
        </xdr:cNvPr>
        <xdr:cNvSpPr/>
      </xdr:nvSpPr>
      <xdr:spPr>
        <a:xfrm>
          <a:off x="9402669" y="2581275"/>
          <a:ext cx="873683" cy="3628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ファイル取込</a:t>
          </a:r>
        </a:p>
      </xdr:txBody>
    </xdr:sp>
    <xdr:clientData/>
  </xdr:twoCellAnchor>
  <xdr:oneCellAnchor>
    <xdr:from>
      <xdr:col>27</xdr:col>
      <xdr:colOff>30821</xdr:colOff>
      <xdr:row>13</xdr:row>
      <xdr:rowOff>15875</xdr:rowOff>
    </xdr:from>
    <xdr:ext cx="914400" cy="914400"/>
    <xdr:pic>
      <xdr:nvPicPr>
        <xdr:cNvPr id="27" name="グラフィックス 26" descr="開いたフォルダー 単色塗りつぶし">
          <a:extLst>
            <a:ext uri="{FF2B5EF4-FFF2-40B4-BE49-F238E27FC236}">
              <a16:creationId xmlns:a16="http://schemas.microsoft.com/office/drawing/2014/main" id="{A14CD7A6-8C48-49FE-8EE2-2CC193F9B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71146" y="2301875"/>
          <a:ext cx="914400" cy="914400"/>
        </a:xfrm>
        <a:prstGeom prst="rect">
          <a:avLst/>
        </a:prstGeom>
      </xdr:spPr>
    </xdr:pic>
    <xdr:clientData/>
  </xdr:oneCellAnchor>
  <xdr:twoCellAnchor editAs="oneCell">
    <xdr:from>
      <xdr:col>2</xdr:col>
      <xdr:colOff>9524</xdr:colOff>
      <xdr:row>17</xdr:row>
      <xdr:rowOff>69849</xdr:rowOff>
    </xdr:from>
    <xdr:to>
      <xdr:col>5</xdr:col>
      <xdr:colOff>149224</xdr:colOff>
      <xdr:row>21</xdr:row>
      <xdr:rowOff>15874</xdr:rowOff>
    </xdr:to>
    <xdr:pic>
      <xdr:nvPicPr>
        <xdr:cNvPr id="29" name="グラフィックス 28" descr="ユーザー 枠線">
          <a:extLst>
            <a:ext uri="{FF2B5EF4-FFF2-40B4-BE49-F238E27FC236}">
              <a16:creationId xmlns:a16="http://schemas.microsoft.com/office/drawing/2014/main" id="{A8FD6507-51EE-490B-A018-A67BC34E7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90524" y="3308349"/>
          <a:ext cx="711200" cy="708025"/>
        </a:xfrm>
        <a:prstGeom prst="rect">
          <a:avLst/>
        </a:prstGeom>
      </xdr:spPr>
    </xdr:pic>
    <xdr:clientData/>
  </xdr:twoCellAnchor>
  <xdr:twoCellAnchor editAs="oneCell">
    <xdr:from>
      <xdr:col>25</xdr:col>
      <xdr:colOff>68921</xdr:colOff>
      <xdr:row>16</xdr:row>
      <xdr:rowOff>111125</xdr:rowOff>
    </xdr:from>
    <xdr:to>
      <xdr:col>29</xdr:col>
      <xdr:colOff>24470</xdr:colOff>
      <xdr:row>20</xdr:row>
      <xdr:rowOff>66675</xdr:rowOff>
    </xdr:to>
    <xdr:pic>
      <xdr:nvPicPr>
        <xdr:cNvPr id="30" name="グラフィックス 29" descr="ユーザー 枠線">
          <a:extLst>
            <a:ext uri="{FF2B5EF4-FFF2-40B4-BE49-F238E27FC236}">
              <a16:creationId xmlns:a16="http://schemas.microsoft.com/office/drawing/2014/main" id="{8EFA3683-B2C4-4BFA-BB80-3B2685DDD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28246" y="2968625"/>
          <a:ext cx="717549" cy="717550"/>
        </a:xfrm>
        <a:prstGeom prst="rect">
          <a:avLst/>
        </a:prstGeom>
      </xdr:spPr>
    </xdr:pic>
    <xdr:clientData/>
  </xdr:twoCellAnchor>
  <xdr:twoCellAnchor>
    <xdr:from>
      <xdr:col>45</xdr:col>
      <xdr:colOff>90393</xdr:colOff>
      <xdr:row>19</xdr:row>
      <xdr:rowOff>139700</xdr:rowOff>
    </xdr:from>
    <xdr:to>
      <xdr:col>52</xdr:col>
      <xdr:colOff>186203</xdr:colOff>
      <xdr:row>22</xdr:row>
      <xdr:rowOff>168275</xdr:rowOff>
    </xdr:to>
    <xdr:sp macro="" textlink="">
      <xdr:nvSpPr>
        <xdr:cNvPr id="31" name="吹き出し: 四角形 30">
          <a:extLst>
            <a:ext uri="{FF2B5EF4-FFF2-40B4-BE49-F238E27FC236}">
              <a16:creationId xmlns:a16="http://schemas.microsoft.com/office/drawing/2014/main" id="{EECB4AFA-9757-4320-9FAB-04ED08350813}"/>
            </a:ext>
          </a:extLst>
        </xdr:cNvPr>
        <xdr:cNvSpPr/>
      </xdr:nvSpPr>
      <xdr:spPr>
        <a:xfrm>
          <a:off x="8659718" y="3571875"/>
          <a:ext cx="1429310" cy="596900"/>
        </a:xfrm>
        <a:prstGeom prst="wedgeRectCallout">
          <a:avLst>
            <a:gd name="adj1" fmla="val 22129"/>
            <a:gd name="adj2" fmla="val -73671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手動アップロード</a:t>
          </a:r>
        </a:p>
      </xdr:txBody>
    </xdr:sp>
    <xdr:clientData/>
  </xdr:twoCellAnchor>
  <xdr:twoCellAnchor>
    <xdr:from>
      <xdr:col>31</xdr:col>
      <xdr:colOff>168280</xdr:colOff>
      <xdr:row>15</xdr:row>
      <xdr:rowOff>84605</xdr:rowOff>
    </xdr:from>
    <xdr:to>
      <xdr:col>49</xdr:col>
      <xdr:colOff>71344</xdr:colOff>
      <xdr:row>15</xdr:row>
      <xdr:rowOff>98876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BAADC009-8CBB-460B-8130-C8E85697EF84}"/>
            </a:ext>
          </a:extLst>
        </xdr:cNvPr>
        <xdr:cNvCxnSpPr>
          <a:cxnSpLocks/>
          <a:stCxn id="27" idx="3"/>
          <a:endCxn id="25" idx="1"/>
        </xdr:cNvCxnSpPr>
      </xdr:nvCxnSpPr>
      <xdr:spPr>
        <a:xfrm>
          <a:off x="6073780" y="2754780"/>
          <a:ext cx="3328889" cy="1427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45</xdr:col>
      <xdr:colOff>91328</xdr:colOff>
      <xdr:row>15</xdr:row>
      <xdr:rowOff>148479</xdr:rowOff>
    </xdr:from>
    <xdr:to>
      <xdr:col>49</xdr:col>
      <xdr:colOff>50053</xdr:colOff>
      <xdr:row>19</xdr:row>
      <xdr:rowOff>107205</xdr:rowOff>
    </xdr:to>
    <xdr:pic>
      <xdr:nvPicPr>
        <xdr:cNvPr id="33" name="グラフィックス 32" descr="ユーザー 枠線">
          <a:extLst>
            <a:ext uri="{FF2B5EF4-FFF2-40B4-BE49-F238E27FC236}">
              <a16:creationId xmlns:a16="http://schemas.microsoft.com/office/drawing/2014/main" id="{AE9874EC-08C5-4D9B-A723-EA14F03AD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660653" y="2812304"/>
          <a:ext cx="720725" cy="720726"/>
        </a:xfrm>
        <a:prstGeom prst="rect">
          <a:avLst/>
        </a:prstGeom>
      </xdr:spPr>
    </xdr:pic>
    <xdr:clientData/>
  </xdr:twoCellAnchor>
  <xdr:twoCellAnchor>
    <xdr:from>
      <xdr:col>21</xdr:col>
      <xdr:colOff>119903</xdr:colOff>
      <xdr:row>9</xdr:row>
      <xdr:rowOff>152399</xdr:rowOff>
    </xdr:from>
    <xdr:to>
      <xdr:col>28</xdr:col>
      <xdr:colOff>29883</xdr:colOff>
      <xdr:row>13</xdr:row>
      <xdr:rowOff>171822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66697370-31E0-42A4-A7B1-3940150500EA}"/>
            </a:ext>
          </a:extLst>
        </xdr:cNvPr>
        <xdr:cNvSpPr txBox="1"/>
      </xdr:nvSpPr>
      <xdr:spPr>
        <a:xfrm>
          <a:off x="4123578" y="1676399"/>
          <a:ext cx="1237130" cy="781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ブラウザ指定の</a:t>
          </a:r>
          <a:endParaRPr kumimoji="1"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ダウンロード先</a:t>
          </a:r>
        </a:p>
      </xdr:txBody>
    </xdr:sp>
    <xdr:clientData/>
  </xdr:twoCellAnchor>
  <xdr:twoCellAnchor>
    <xdr:from>
      <xdr:col>44</xdr:col>
      <xdr:colOff>142875</xdr:colOff>
      <xdr:row>5</xdr:row>
      <xdr:rowOff>47625</xdr:rowOff>
    </xdr:from>
    <xdr:to>
      <xdr:col>57</xdr:col>
      <xdr:colOff>30817</xdr:colOff>
      <xdr:row>9</xdr:row>
      <xdr:rowOff>75264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34C0F5E4-43D2-0B85-1CDD-BD030CC8074C}"/>
            </a:ext>
          </a:extLst>
        </xdr:cNvPr>
        <xdr:cNvSpPr/>
      </xdr:nvSpPr>
      <xdr:spPr>
        <a:xfrm>
          <a:off x="8524875" y="1000125"/>
          <a:ext cx="2364442" cy="789639"/>
        </a:xfrm>
        <a:prstGeom prst="wedgeRectCallout">
          <a:avLst>
            <a:gd name="adj1" fmla="val -25608"/>
            <a:gd name="adj2" fmla="val 71558"/>
          </a:avLst>
        </a:prstGeom>
        <a:solidFill>
          <a:srgbClr val="FF000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刷新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PJ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の状況次第では本機能が取下げになる可能性がある</a:t>
          </a:r>
        </a:p>
      </xdr:txBody>
    </xdr:sp>
    <xdr:clientData/>
  </xdr:twoCellAnchor>
  <xdr:twoCellAnchor>
    <xdr:from>
      <xdr:col>30</xdr:col>
      <xdr:colOff>64619</xdr:colOff>
      <xdr:row>16</xdr:row>
      <xdr:rowOff>77881</xdr:rowOff>
    </xdr:from>
    <xdr:to>
      <xdr:col>34</xdr:col>
      <xdr:colOff>150717</xdr:colOff>
      <xdr:row>18</xdr:row>
      <xdr:rowOff>184150</xdr:rowOff>
    </xdr:to>
    <xdr:sp macro="" textlink="">
      <xdr:nvSpPr>
        <xdr:cNvPr id="26" name="フローチャート: 書類 25">
          <a:extLst>
            <a:ext uri="{FF2B5EF4-FFF2-40B4-BE49-F238E27FC236}">
              <a16:creationId xmlns:a16="http://schemas.microsoft.com/office/drawing/2014/main" id="{25A276D5-8D62-4B7D-A0E7-AFFBBAD9CB7E}"/>
            </a:ext>
          </a:extLst>
        </xdr:cNvPr>
        <xdr:cNvSpPr/>
      </xdr:nvSpPr>
      <xdr:spPr>
        <a:xfrm>
          <a:off x="5779619" y="3125881"/>
          <a:ext cx="848098" cy="487269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TO_IncomingPayment.csv</a:t>
          </a:r>
          <a:endParaRPr kumimoji="1" lang="ja-JP" altLang="en-US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13</xdr:row>
      <xdr:rowOff>0</xdr:rowOff>
    </xdr:from>
    <xdr:to>
      <xdr:col>45</xdr:col>
      <xdr:colOff>114300</xdr:colOff>
      <xdr:row>14</xdr:row>
      <xdr:rowOff>114300</xdr:rowOff>
    </xdr:to>
    <xdr:sp macro="" textlink="">
      <xdr:nvSpPr>
        <xdr:cNvPr id="2" name="AutoShape 1" descr="data:image/png;charset=utf-8;base64,iVBORw0KGgoAAAANSUhEUgAAAaMAAABoCAYAAABczZ83AAAAAXNSR0IArs4c6QAAAARnQU1BAACxjwv8YQUAAAAJcEhZcwAADsMAAA7DAcdvqGQAABaLSURBVHhe7Z1NrFzlecfvIossuuiiiy4qXZ+xjW0wwZG66KISXbCoqi6yaFTunTEfhgQKtBSThA9TqYq6qFpF3XQRpVXTqlKVpr4fcwlpQAWTRGpCmhACKU4hjRJQEgJU2Fwbg40znd9h/jeP37znzPfMtf3/Sz/dM+95P5/zvs8zZ2becxcsy7Isy7Isa+ZaazaOr7V2fGrtDxd39JIsy7Isa3ZaaS7+1sM3NE59/fa9Z9vN4szDrcY3VpYWr//sjYvv72WxLMuyrOlqdbn45Ndu2/v2//3ZBzuvPXSgc/yeqzr/cfOuzbXl4lR7eeenV1qN/b2slmVZljUdbbQa33nh3v0dglHkx/df0/mvO/ac694pne5yfGWpuPXzH77yV3rFLMuyLGsyIrh074DOvXrkwkAUef2hD3YIVscO7T7dzXtmo1X8Cx/t9aqwLMuyrPG00iz+4LGbd5/MBaEcP33gms7Td+47/4WDjdPtZuOHq83i8MbSFb/Wq86yLMuyhlf3TucfCC65wNOPH3z86s5XPnLFmfXlxpn2wcbG0eXiul61lmVZljW41pvFqz/8xAeywWZQXnnwQOe5P7my88UbGqeorxucHlpp7vqNXhOWZVmWVa12a+eubvA4kwswo0Jg+8/b9pzp1vt2u1U8ubpc/P6xa699X69Jy7Isy7pQq0vFXV/+yBWnckFlXPhBxPN/elXn0Zt2bq63ipPeUGtZlmVl1b1zOUbAyAWTSfLSfdd0nvqjPWe5C2u3Gt/yhlrLsiyrFMFgrbnjbX4dlwsg02BrQ+2h3WyofasbmP7OG2oty7IuY601F3/nkRsam7mgMQvYUPvNO/aWG2o3WsX3VpcXb/eGWsuyrMtMq83ir/noLBcoZsnWhtpb3ttQu95qfM4bai3Lsi4TbbQa//P9j12dDRDzQhtquWNjQ+3acuMT3lBrWZZ1ierzH178dR4BxHc4uaCwHehtqD2tDbUr1y/+bq/7lmVZ1qWg1euL1uO3DP4IoHnysyPvbaj99xt3nmRDbbtZ/Lk31FqWZV0C4nuZZ/74yqzz385oQ233rq7cUMtz9byh1rIs6yLVerNx4uX7xnsE0Dzh48WtDbXdsbCh9ujS4t7e8CzLsqztrrXlxQMPt4rTOSd/MUJQ3dpQ29z5TT6C9IZay7Ksba7Vpcb9X/3onrdyjv1ihrul7x3ev7Whdq1ZfIbA2xu2ZVmWtZ200Wo8xVMQcg79UoENtd/yhlrLsqztKf1XV36hlnPilxpsqH3x3v2dJ2/d/eZac8c73lBrWZa1DcRenUdv2nlR/KR70rCh9tt37Tv/yMHGm+1W8bI31FqWZc1J663i0zwPLuesLyfYUPvVj+45td69W2o3iy96Q61lWdYMxR0BjjjnoC9HtKH2SzfuPNENSq+vLDf+whtqLcuypij+sd3a8o6zfI+Sc8yXO+E/1L7VPtj4ijfUWpZlTUErS8Wtx27d/WbOEZtfoA21j92080021K4uF3/jDbWWZVkTEt+NPHf3xfcIoHmiDbXtVuM0G2rXlhdv8oZay7KsEcXHTWwEZf9Nzumaevhokw21jx/afWK9WWyyofbfrm/8Zs+8lmVZ1iBib83DB+f3X10vJX7ywIFyQ+3GweJUuaF2qbhr7cbFX+2Z2rIsy6rS6nLxya/dtvftnHM1oxM21L7Nhlr+lXvP5JZlWVaqjWbju/xr75xDNePzyoMHtjbUbjSLl9hQyz8w7JnfsizL4iMkHgH06pG8IzWTJW6o3WgVX2BDrX8iblnWZa+VpcXrH7v54vivrpcS5Ybau3+xoZaPSr2h1rKsy1ZdR/hPT9+573zOYZrZ8CM21N6+53T5H2q9odayrMtR683iVZ4ukHOSZrZsbai9edcba80dm95QO6KI5KtLjd9uNxt/u3GweG69VbzGr0i6Bu0YY7Yn7VZxNucYzXxhQ+037th7hg21uet2KfLerw6L1zaajee7d4n/eHS5uG7oO0Sea7XebDz1pZt2vv70nXvPff9jV5f/wMpfihpjjBkE4gVxgx95fPvOfeeIJ+1m8ezAd4drzeKOdnPHif++e5/fYRljjJkYx++56t3u3fvJ1WZxuBdy8ureDR3l800/RsQYY8w04KkWjx/afZIfd2Q/tuOOiECUK2yMMcZMkicO7dpcbxZHeiHoPfEdER/N+Y7IGGPMLOBJFhutYnOl1dhfBiJuk/ixgr8jMsYYM0teOLy/0707erH8uI6fb/Mrh1xGY4wxZprwrzrWlhY/tMA+In6+nctkjDHGTBMeo7TeKlYW2NDKPqJcJmOMMWaavHTfNZ12s/jpAjtk/cMFY4wx84DNsTxpfoFHNvjJCsYYY+YFjw/iv0JmTxpjjDGzYCLB6OenT3TOfP1zW69P/v2hzruv/+iCNDMa6J3jT2bPGTMtWMNvHftM5/zJVzpvfOr3snmmzTCqWyP4p7P/+1T2nKD8sIrlsRHtnH7kr8pj/pKOH3znmUcuyGvyjB2MmLBo81/vK1E60gXpB+Woh4umi5nLJ9595YWS2N60YbL+/OyZsp+58yn079xLzw69kAdRv+BEP1kEuXN1DFuutEl3AY5yHSiLoxul7CDOZVIwH9M3W5cKjI3rQOBRGnZl3rIWmQs6juXGZdD1Poy0Jvg7rNJ2Yz067rcumB8IW8b8SH0bBOw/6LqYpR/kOtVpFH+TMnYwohMYj2PE5NUxA4h5U5iQLPRUOMW6C0gb0qychCZnvzEJbMLY9JqFRx2RQfqOyFv1OgcTusyHQ+lO1kGD6LDl6Aca1CYRXcPcuTpYeGjSDrIKjXEWC37W5K4f61mOhfnLuWHfUFUx7HpHaTp9S+dbzKcxDSPVQ72DKOd4We9K57hKaVl8AH3WGwLmGfaIvqOKUfwga5w+5KDNqnmuIFvFJPzwWMFIF4/O8Do9Lg3ddRpcHKULziFFdkQeBi0jY7hYJkLbWizpuWk4DvqGcu3lQLH/OTEBdB47DSuVBdpKFzqvsSW2rnIoo5YD2USvyYt9quxPOud17dSO7ER6fJeeQ/MGx6ZrQbvYb1JOM6K5SLsc9+vfqFBv6hyAtUO7uTLjkpvTapfjSa6jUdY7Is8oacB86PfGNoIdEH8pg0jnWDaJx4K5iDQn61RVNr65wj6qC+rmNedZR/xNz+WuHzbWNY5gJ5Reg1kycjAqL3TPieliIyYbA0oVja0LpkWm1zEP9aC4+DFuP4egfnExc+dHRZMzd9FTtNhiH3ITYxCQ7Jt7LWiLdPoHmmTYA0dQNcmGLYftyce10jtAjknThEa58VJvFPlJo33aU32kxfKc1yLSnJOUl7ooH9vLQV6NtWoeUWeuLeqvm3vjonYjsin9zZUZFvqPPYH6EWtKaYwZ9HoS64i+q534ut96R/ShTjrPX5UTOT8UleZXv/ireknnGFulx1D6m3CNmCPxPMr1LYK9GT+2xkZxHSFex/XA8ST9IPXQBvkpl8szC0YORhhD4liTKYrJwEARF0plyRsHzqRE0eAYEcUJGydX6iQhOrRJLKKIJif106e6iRAnde58HYMoN7npD+kC+0Zh87TMKOV0PTV5kZym7IKoK5ZTWWyiucJrpatseb5bX7QdNi8Xea+c5oTmA8eaL+m8YE5ULXJEwI35gbz0X3M81km/IrHcNCjt3CV3bhTo8zDCBrl6hmHU9V6+TubRoGm6E6tTzA+D2iYGm3JsvXnFGJgrcV6g3FoQzHnqk1L/wl/qj+tQ8x6l8x2G9YNqv2o+c+3I0w/y1Y21HyMHIwymSUUH5JiYvBgDMTgmnI5VFkUj6oLqNWhipIMjXcaJ6bSjPqQORoaKhqsiLpAI/UjFWDVpIlpYafoooEEvcOm4euOkb0xIXufyRoYtJxtpUZBXadgD1fW5bCssLl3rfgtHDkY21zXRefqP5PSAthBjTB0FY0W5awia3zqv+qPSMpMG0W7uHOm6bv3IzWvZL9pE+WO+eG6U9tAo6z2+zimei+U0T2gDKV1o3Gl6RPM492YlQl1qT2PoJ/JhH+wUlQssIJvHNOrIpVOv5ny/voPWcFXbwPUCxioQ7cQ0+jJIm1WMHIwEoiNVx1I6OZVPgQvHoPOw9U6ply9CmehwyKuJlzOGnE757rprsDpyixY0FiYBbeiCU2dVXvpY5ehSoq0GVa4eoI+a8GjQCTJMOeVB0WaUR1WBhToR+ZSmumJajnLxhSAmm+k19aR1kBbfbUfU16p206BM38kr+gXPcVH/qhzFuPM6zmmloWjjyKjtIdrieJj1Hl+j2E/aiOd0rHqon7Q6qS7olzenWB7pevUT+bADdqRdfATHQF2ax4yFa4Fyc2BYP5iitYgol5sjVSCuQe7cqEw1GGmwMrLQhOVYkyB12roIdQbiQijfsMYcFvUzLgicXM4hadyUAV6nNqgi2iZFkz32IaJ3OTnV2WbYcthdwRjFc/36SLno4MmnMnULSDaN9pZzjPmGQXXm+qp3xnXvGKeN7KI1NWnSOc21RlXBe1RGXe9IY88pnos20rHaUno8n0sXWg/qYznfu/4lDaARlJtHKPatCs1Ftamggmg3Bp2UUfygbFAGxN4nAJStW4NiWvNyasGIySej4EAYtAzNa0QelC54GarKKWN88uiCcSHqLtYkUJ9yEy5FF0sTQ4uc8VBPJO23bFKnXB9yzhp7k47tqyboKOWwN2PLBQONXX3UNQfZkLqpV9dPor0q+6ZBTGlVc6Qfah9y57VAq+yW0s/OVZA/nRNCc0Hv8oF2cvVMAjm0eM0mwajrHXFOeWK/sIPmSswXUb1VSvOD5q9En7iuzJM6u6Dc3EW5vqXgB5BsQ1tVa0GM4gc5r+vMuJSftlRPvzmmdd+vf8My8WCUTrQ4+JjOBGVQGnhp2K4DwMGgaKhImadnNPJGJzpNNLEHuQBMJBSdZ5w0UWl9TP50UQry5sqA+pezWR3DlsN5Iq6DysbzsY+lw+/aQIuYMlxXjpkTjJN2ISodvwIDc4U6mWOaU5yLeesoHX83P/Ujrgdpubz0O14/yjBfY55IOdYBF3NEc2VQVc2NcZGN0/U7KUZZ78OIuRjLQm5+1qUDfWDucl00xyT6WnVtUW5dolzfctBenHN1lLYb0g/GMlyL1N5xDmvNpjB+NI15ONFgxISqkpxQHRgIw2K03HnAgGWeAS/wpNAEzk24HPQx57y44NRRVY8cZZ1yZalXoo5ImjcySjm1n1vUqo/xo6o3FdiGc3JSiOteBpqkbeqULTnWgiFfru4q1Dfapa2qsowPxXmoPvKXcQPOgzqVJ/Ytpm9nsD92RLLxrKC9uvU+jHL+IJ2faeCPeZkLXHecLeXky+gfNqKP0fnHucMxyq1LlOtbDtpAuXpSaLO03YB1QzmG3nhy50E2yJ2TPbFDVbAah4kGIwbBYKPoeLpoL0Z0IQaZKONQFwhou64P2FgLXML2ubyRUcvJJrl0xsDfKodPupwgiu/Iq8rMCuyLLeKCo0+pjVA6r3ldFYC3G3FMg7yznjVIvqWOqny5+amAwrhjenmua4fSX3XnJfMxtQn2Kud2sjbq1iUaZAzAfNuu14K+MW7m9rR8+djByBhjjBkXByNjjDFzx8HIGGPM3HEwMsYYM3ccjIwxxswdByNjjDFzx8HIGGPM3HEwMsYYM3ccjIwxxswdByNjjDFzZ+bBSI/oGEaxPI/k4JEZPHqDYz2Co3z8TMUzriYB7VQ9BoO26x6RwZh5jEa/5znFx+MgXutRI6lyjxhRXtkEyCd7bcfHjBhjDEw0GBEMeH5RdIb9UHDSMQ44zRPRU2Nx7DE/yjnoFPKM8nwlnlmFU49p5bOkuul6Jl88F8EmOk+7/YJSZJBgxHFO2EbnaBcN07YxxsyKiQYjHj6I+t2hVDnYVLnARCBROsdVqgpq6mPuXB3Ulws4PFCROuODMXH45BepckGzKqDkAjvK1SG7xjLcDSGOCZoORsaY7chEg1F599Aldy4SnaacMOkcK4jEYyHHyl/VUaVYlrsC8gMBBQggelI06f2cNHmRXlOnysdAJBSIsAciL2MapK1+IAUj2W8YpfUZY8y8mVgwUqDIPZo9RYGEv3KmpMcAFI+h/K6o59gpF++QAMlBp5AvinpIIz/16g6LtKqP7/TxIH91d4Xqvoch6NBWVb/SoES+qKp/44Cq6kTYR69l65jHGGO2GxMLRnLQVc48IgfZTzHYlN+79IIRAYA7jeh0UZ3TJy91IAUB/vKR4tb5bnuxzoi+c5EYb7+xKsip3wouaos7tNxdVYS8OcWx1onxIfKVAXiKP/IwxphRmVgwwuHG71S4g9DHWHUQCBD5c+cFzld3J1UOOlUaWOhfvNtQPXV3N0DQUUChH/0CCCg4YwPyq+8EBER95FFgBOqOoq+DBKMIiuNWENWda7+xGmPMPJhIMJKji++65YzTIJM63EEUy6NRglEMZEqTo45pKQpE3OX0uxMSuhvR2KmfQIgIRqQPEtBAY419VB16XWVT8nFex/HNgjHGbCcmEowUeOK7fJwtzg9HXuV4uWuI5coyvTuGNK9AueCBqu4WoOxLcMbUIUefBsxIbmz9YBzqi4KgglGu70J3TRKv1ce6crSl9pQXFIz0cWHdOI0xZp6MHYxwvAjHxx2SHGP5HU/PAeeCi5ysRHmcJsGozvGjnGNGcsgppCOccfzITaLdKmdPv2IQG4YYXDXeqnaAthRAdJwrxzF9lp00vlSxLo0hBn76xbkquxljzKwYKxjhyOpUOsGe408DDM4Qp0q6flgg4Tir3sWjnENHlcHomUdK580xbdEv2lcglUjPlUWUx3nThpx4SfgOKiUGEsZJ2dQOEdUZj1VH/K6H9pFeU6/GjigDlNdHkYi2sS3nyrH0PlZlDIN+BGmMMdNgrGCEM8ORlc6weywnGPMQVHCKcsIKQqRTDiePcJLlnVW3HgUw0sivuhQ80jYAySHXgROmTdqSU6dNPjJUIEiJ/Yyin3U/0lB/GUdpox60kytHelQaTKKokzLUVyf6Xdq0mx8QdTJ2BTiuYc6mxhgzK8YKRqNSOsauI5dTju/6ASdeOu3krgOHicYJRtQdnX4MCjHwTQrGlgtkpKV56RdwzFjUN+wQRdmqOxmEfRhLeffTswn5ZXNe8+aAevoFVGOMmQVzCUbGGGNMxMHIGGPM3HEwMsYYM3ccjIwxxswdByNjjDFzpwxGa8vFudceOpDNYIwxxkybMhitt4rXfnz/NdkMxhhjzDThZmh1ecf5hY1m4/kffPzqbCZjjDFmmrx83wc63BR174wa//z0nfvO5zIZY4wx0+S7d1/VaR8s1haOLhfXPXrzzjdymYwxxphp8sQtV5xYW1r80MKxa699X7tZPHv8nqvezWU0xhhjpsGL9+7vtFvFy5+9cfH9C+jo0uLebsLJnzzgX9UZY4yZPj87cqDz8MHG5try4oEyEEmrzeLw44d2n8wVMsYYYybJl2/d/dZ6s/jLXgi6UO2Dja88cWjX5isP+g7JGGPM5OGOiEC00Wp8h6+JeuHnQnGiG6mObLSKzRcO789WZIwxxowC3xHx0Rx3RJWBKGql1djfzfzi44d2n3ju7ivL34G/eiRfuTHGGJODDa3ED36+za/m+LHCL31H1E9ELX5ut94qVtiQxGODeGSDMcYYMxg7zhM/2EdEPNn61dwvaWHh/wGqt86h4mWQNgAAAABJRU5ErkJggg==">
          <a:extLst>
            <a:ext uri="{FF2B5EF4-FFF2-40B4-BE49-F238E27FC236}">
              <a16:creationId xmlns:a16="http://schemas.microsoft.com/office/drawing/2014/main" id="{E95D0454-77EC-40FE-ACE0-072FC338D08D}"/>
            </a:ext>
          </a:extLst>
        </xdr:cNvPr>
        <xdr:cNvSpPr>
          <a:spLocks noChangeAspect="1" noChangeArrowheads="1"/>
        </xdr:cNvSpPr>
      </xdr:nvSpPr>
      <xdr:spPr bwMode="auto">
        <a:xfrm>
          <a:off x="87630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57150</xdr:colOff>
      <xdr:row>10</xdr:row>
      <xdr:rowOff>70410</xdr:rowOff>
    </xdr:from>
    <xdr:to>
      <xdr:col>52</xdr:col>
      <xdr:colOff>87574</xdr:colOff>
      <xdr:row>27</xdr:row>
      <xdr:rowOff>162112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1EAACD-2597-48E0-B3A7-4C4DB379E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2650" y="1972235"/>
          <a:ext cx="4030924" cy="333020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140129</xdr:colOff>
      <xdr:row>10</xdr:row>
      <xdr:rowOff>35483</xdr:rowOff>
    </xdr:from>
    <xdr:to>
      <xdr:col>29</xdr:col>
      <xdr:colOff>120650</xdr:colOff>
      <xdr:row>28</xdr:row>
      <xdr:rowOff>28576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DAE776E-947F-4C73-85F2-48962FD801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48619" b="28035"/>
        <a:stretch/>
      </xdr:blipFill>
      <xdr:spPr>
        <a:xfrm>
          <a:off x="524304" y="1940483"/>
          <a:ext cx="5124021" cy="342209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16</xdr:col>
      <xdr:colOff>158750</xdr:colOff>
      <xdr:row>14</xdr:row>
      <xdr:rowOff>88900</xdr:rowOff>
    </xdr:from>
    <xdr:to>
      <xdr:col>21</xdr:col>
      <xdr:colOff>114300</xdr:colOff>
      <xdr:row>16</xdr:row>
      <xdr:rowOff>69850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2244DC0-5DEA-4164-8FBB-BF3945A74CB4}"/>
            </a:ext>
          </a:extLst>
        </xdr:cNvPr>
        <xdr:cNvSpPr/>
      </xdr:nvSpPr>
      <xdr:spPr>
        <a:xfrm>
          <a:off x="3209925" y="2752725"/>
          <a:ext cx="904875" cy="3619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63500</xdr:colOff>
      <xdr:row>19</xdr:row>
      <xdr:rowOff>165100</xdr:rowOff>
    </xdr:from>
    <xdr:to>
      <xdr:col>51</xdr:col>
      <xdr:colOff>19050</xdr:colOff>
      <xdr:row>27</xdr:row>
      <xdr:rowOff>139700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8537B3C-F5A9-4B31-A7CF-B9561612DCA7}"/>
            </a:ext>
          </a:extLst>
        </xdr:cNvPr>
        <xdr:cNvSpPr/>
      </xdr:nvSpPr>
      <xdr:spPr>
        <a:xfrm>
          <a:off x="6353175" y="3781425"/>
          <a:ext cx="3381375" cy="15049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135603</xdr:colOff>
      <xdr:row>32</xdr:row>
      <xdr:rowOff>60018</xdr:rowOff>
    </xdr:from>
    <xdr:to>
      <xdr:col>40</xdr:col>
      <xdr:colOff>161156</xdr:colOff>
      <xdr:row>45</xdr:row>
      <xdr:rowOff>7152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126CD07-2637-47F3-A8E8-07EB9EAB1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603" y="6156018"/>
          <a:ext cx="7264553" cy="242363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6</xdr:row>
      <xdr:rowOff>142875</xdr:rowOff>
    </xdr:from>
    <xdr:to>
      <xdr:col>46</xdr:col>
      <xdr:colOff>85725</xdr:colOff>
      <xdr:row>12</xdr:row>
      <xdr:rowOff>28575</xdr:rowOff>
    </xdr:to>
    <xdr:sp macro="" textlink="">
      <xdr:nvSpPr>
        <xdr:cNvPr id="2" name="吹き出し: 角を丸めた四角形 31">
          <a:extLst>
            <a:ext uri="{FF2B5EF4-FFF2-40B4-BE49-F238E27FC236}">
              <a16:creationId xmlns:a16="http://schemas.microsoft.com/office/drawing/2014/main" id="{E311A80D-3C76-4000-A2D5-5A97DA9D2D82}"/>
            </a:ext>
          </a:extLst>
        </xdr:cNvPr>
        <xdr:cNvSpPr/>
      </xdr:nvSpPr>
      <xdr:spPr>
        <a:xfrm>
          <a:off x="1571625" y="1285875"/>
          <a:ext cx="7277100" cy="1028700"/>
        </a:xfrm>
        <a:prstGeom prst="wedgeRoundRectCallout">
          <a:avLst>
            <a:gd name="adj1" fmla="val -19224"/>
            <a:gd name="adj2" fmla="val -46417"/>
            <a:gd name="adj3" fmla="val 16667"/>
          </a:avLst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 b="1">
              <a:solidFill>
                <a:schemeClr val="bg1"/>
              </a:solidFill>
            </a:rPr>
            <a:t>詳細設計・開発時に記載</a:t>
          </a:r>
          <a:endParaRPr kumimoji="1" lang="en-US" altLang="ja-JP" sz="4000" b="1">
            <a:solidFill>
              <a:schemeClr val="bg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31</xdr:row>
      <xdr:rowOff>9525</xdr:rowOff>
    </xdr:from>
    <xdr:to>
      <xdr:col>8</xdr:col>
      <xdr:colOff>1007</xdr:colOff>
      <xdr:row>33</xdr:row>
      <xdr:rowOff>0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69097F7D-ABEA-4AAA-AA1A-36932E089374}"/>
            </a:ext>
          </a:extLst>
        </xdr:cNvPr>
        <xdr:cNvGrpSpPr/>
      </xdr:nvGrpSpPr>
      <xdr:grpSpPr>
        <a:xfrm>
          <a:off x="400050" y="5915025"/>
          <a:ext cx="1124957" cy="371475"/>
          <a:chOff x="381000" y="6477000"/>
          <a:chExt cx="1123950" cy="371475"/>
        </a:xfrm>
      </xdr:grpSpPr>
      <xdr:sp macro="" textlink="">
        <xdr:nvSpPr>
          <xdr:cNvPr id="66" name="四角形: 角を丸くする 65">
            <a:extLst>
              <a:ext uri="{FF2B5EF4-FFF2-40B4-BE49-F238E27FC236}">
                <a16:creationId xmlns:a16="http://schemas.microsoft.com/office/drawing/2014/main" id="{B3097AC4-DFB5-4BE0-9F60-7EA7F9868FA8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84887489-462A-4FC7-9268-B0A952C33EC7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開始</a:t>
            </a:r>
          </a:p>
        </xdr:txBody>
      </xdr:sp>
    </xdr:grpSp>
    <xdr:clientData/>
  </xdr:twoCellAnchor>
  <xdr:twoCellAnchor>
    <xdr:from>
      <xdr:col>11</xdr:col>
      <xdr:colOff>161925</xdr:colOff>
      <xdr:row>31</xdr:row>
      <xdr:rowOff>19050</xdr:rowOff>
    </xdr:from>
    <xdr:to>
      <xdr:col>17</xdr:col>
      <xdr:colOff>142875</xdr:colOff>
      <xdr:row>33</xdr:row>
      <xdr:rowOff>9525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DD8A9F87-C7C8-48FA-8721-30013F3C2DF3}"/>
            </a:ext>
          </a:extLst>
        </xdr:cNvPr>
        <xdr:cNvGrpSpPr/>
      </xdr:nvGrpSpPr>
      <xdr:grpSpPr>
        <a:xfrm>
          <a:off x="2257425" y="5924550"/>
          <a:ext cx="1123950" cy="371475"/>
          <a:chOff x="381000" y="6477000"/>
          <a:chExt cx="1123950" cy="371475"/>
        </a:xfrm>
      </xdr:grpSpPr>
      <xdr:sp macro="" textlink="">
        <xdr:nvSpPr>
          <xdr:cNvPr id="69" name="四角形: 角を丸くする 68">
            <a:extLst>
              <a:ext uri="{FF2B5EF4-FFF2-40B4-BE49-F238E27FC236}">
                <a16:creationId xmlns:a16="http://schemas.microsoft.com/office/drawing/2014/main" id="{2CD358FD-591E-4950-BA48-F37DE0453B32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65D6141A-6EB3-4E5F-9272-7375427D60FF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終了</a:t>
            </a:r>
          </a:p>
        </xdr:txBody>
      </xdr:sp>
    </xdr:grpSp>
    <xdr:clientData/>
  </xdr:twoCellAnchor>
  <xdr:twoCellAnchor>
    <xdr:from>
      <xdr:col>21</xdr:col>
      <xdr:colOff>132504</xdr:colOff>
      <xdr:row>30</xdr:row>
      <xdr:rowOff>171448</xdr:rowOff>
    </xdr:from>
    <xdr:to>
      <xdr:col>28</xdr:col>
      <xdr:colOff>37704</xdr:colOff>
      <xdr:row>33</xdr:row>
      <xdr:rowOff>5471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CB4D0A76-0595-4A3B-8FF6-39621B8E9C57}"/>
            </a:ext>
          </a:extLst>
        </xdr:cNvPr>
        <xdr:cNvGrpSpPr/>
      </xdr:nvGrpSpPr>
      <xdr:grpSpPr>
        <a:xfrm>
          <a:off x="4133004" y="5886448"/>
          <a:ext cx="1238700" cy="405523"/>
          <a:chOff x="4133004" y="6457948"/>
          <a:chExt cx="1238700" cy="405523"/>
        </a:xfrm>
      </xdr:grpSpPr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9C9EC2E7-130B-459B-B169-C954CFCEADFD}"/>
              </a:ext>
            </a:extLst>
          </xdr:cNvPr>
          <xdr:cNvSpPr/>
        </xdr:nvSpPr>
        <xdr:spPr>
          <a:xfrm>
            <a:off x="4133004" y="6457948"/>
            <a:ext cx="1238700" cy="40552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CAB7EEF0-B2AB-42D9-BB41-FC9B98B7A2E6}"/>
              </a:ext>
            </a:extLst>
          </xdr:cNvPr>
          <xdr:cNvSpPr txBox="1"/>
        </xdr:nvSpPr>
        <xdr:spPr>
          <a:xfrm>
            <a:off x="4145757" y="6465095"/>
            <a:ext cx="1216818" cy="3857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31</xdr:col>
      <xdr:colOff>80635</xdr:colOff>
      <xdr:row>30</xdr:row>
      <xdr:rowOff>85675</xdr:rowOff>
    </xdr:from>
    <xdr:to>
      <xdr:col>38</xdr:col>
      <xdr:colOff>95754</xdr:colOff>
      <xdr:row>33</xdr:row>
      <xdr:rowOff>95754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FF0D0B22-6536-4027-B86A-174FC6CCB3DC}"/>
            </a:ext>
          </a:extLst>
        </xdr:cNvPr>
        <xdr:cNvGrpSpPr/>
      </xdr:nvGrpSpPr>
      <xdr:grpSpPr>
        <a:xfrm>
          <a:off x="5986135" y="5800675"/>
          <a:ext cx="1348619" cy="581579"/>
          <a:chOff x="6017381" y="6405437"/>
          <a:chExt cx="1355675" cy="584603"/>
        </a:xfrm>
      </xdr:grpSpPr>
      <xdr:sp macro="" textlink="">
        <xdr:nvSpPr>
          <xdr:cNvPr id="75" name="ひし形 74">
            <a:extLst>
              <a:ext uri="{FF2B5EF4-FFF2-40B4-BE49-F238E27FC236}">
                <a16:creationId xmlns:a16="http://schemas.microsoft.com/office/drawing/2014/main" id="{E18A5881-AD07-4725-A486-3699BC026356}"/>
              </a:ext>
            </a:extLst>
          </xdr:cNvPr>
          <xdr:cNvSpPr/>
        </xdr:nvSpPr>
        <xdr:spPr>
          <a:xfrm>
            <a:off x="6028662" y="6407868"/>
            <a:ext cx="1337699" cy="579287"/>
          </a:xfrm>
          <a:prstGeom prst="diamond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88F0D330-3FC2-44F7-901F-FB10BFFF772C}"/>
              </a:ext>
            </a:extLst>
          </xdr:cNvPr>
          <xdr:cNvSpPr txBox="1"/>
        </xdr:nvSpPr>
        <xdr:spPr>
          <a:xfrm>
            <a:off x="6017381" y="6405437"/>
            <a:ext cx="1355675" cy="584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条件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41</xdr:col>
      <xdr:colOff>176389</xdr:colOff>
      <xdr:row>30</xdr:row>
      <xdr:rowOff>155789</xdr:rowOff>
    </xdr:from>
    <xdr:to>
      <xdr:col>47</xdr:col>
      <xdr:colOff>176389</xdr:colOff>
      <xdr:row>33</xdr:row>
      <xdr:rowOff>25115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B0A9875-3176-4593-A59D-BAB5BA7D8786}"/>
            </a:ext>
          </a:extLst>
        </xdr:cNvPr>
        <xdr:cNvGrpSpPr/>
      </xdr:nvGrpSpPr>
      <xdr:grpSpPr>
        <a:xfrm>
          <a:off x="7986889" y="5870789"/>
          <a:ext cx="1143000" cy="440826"/>
          <a:chOff x="8028214" y="6489874"/>
          <a:chExt cx="1149048" cy="443850"/>
        </a:xfrm>
      </xdr:grpSpPr>
      <xdr:sp macro="" textlink="">
        <xdr:nvSpPr>
          <xdr:cNvPr id="78" name="四角形: 上の 2 つの角を切り取る 77">
            <a:extLst>
              <a:ext uri="{FF2B5EF4-FFF2-40B4-BE49-F238E27FC236}">
                <a16:creationId xmlns:a16="http://schemas.microsoft.com/office/drawing/2014/main" id="{9D644EB0-5787-498F-BD60-4A379AC39818}"/>
              </a:ext>
            </a:extLst>
          </xdr:cNvPr>
          <xdr:cNvSpPr/>
        </xdr:nvSpPr>
        <xdr:spPr>
          <a:xfrm>
            <a:off x="8036794" y="6489874"/>
            <a:ext cx="1131534" cy="443850"/>
          </a:xfrm>
          <a:prstGeom prst="snip2SameRect">
            <a:avLst>
              <a:gd name="adj1" fmla="val 38096"/>
              <a:gd name="adj2" fmla="val 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9" name="テキスト ボックス 78">
            <a:extLst>
              <a:ext uri="{FF2B5EF4-FFF2-40B4-BE49-F238E27FC236}">
                <a16:creationId xmlns:a16="http://schemas.microsoft.com/office/drawing/2014/main" id="{DE7B027C-905D-4E00-8DA2-58A98252C25F}"/>
              </a:ext>
            </a:extLst>
          </xdr:cNvPr>
          <xdr:cNvSpPr txBox="1"/>
        </xdr:nvSpPr>
        <xdr:spPr>
          <a:xfrm>
            <a:off x="8028214" y="6546548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52</xdr:col>
      <xdr:colOff>16710</xdr:colOff>
      <xdr:row>30</xdr:row>
      <xdr:rowOff>162950</xdr:rowOff>
    </xdr:from>
    <xdr:to>
      <xdr:col>58</xdr:col>
      <xdr:colOff>18510</xdr:colOff>
      <xdr:row>33</xdr:row>
      <xdr:rowOff>32276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2922C360-5833-485E-917F-717FA438C598}"/>
            </a:ext>
          </a:extLst>
        </xdr:cNvPr>
        <xdr:cNvGrpSpPr/>
      </xdr:nvGrpSpPr>
      <xdr:grpSpPr>
        <a:xfrm>
          <a:off x="9922710" y="5877950"/>
          <a:ext cx="1144800" cy="440826"/>
          <a:chOff x="9948334" y="6489874"/>
          <a:chExt cx="1149048" cy="443850"/>
        </a:xfrm>
      </xdr:grpSpPr>
      <xdr:sp macro="" textlink="">
        <xdr:nvSpPr>
          <xdr:cNvPr id="81" name="四角形: 上の 2 つの角を切り取る 80">
            <a:extLst>
              <a:ext uri="{FF2B5EF4-FFF2-40B4-BE49-F238E27FC236}">
                <a16:creationId xmlns:a16="http://schemas.microsoft.com/office/drawing/2014/main" id="{A2EF9082-CC53-4BD4-AABE-1C051C7FB242}"/>
              </a:ext>
            </a:extLst>
          </xdr:cNvPr>
          <xdr:cNvSpPr/>
        </xdr:nvSpPr>
        <xdr:spPr>
          <a:xfrm>
            <a:off x="9951874" y="6489874"/>
            <a:ext cx="1131533" cy="443850"/>
          </a:xfrm>
          <a:prstGeom prst="snip2SameRect">
            <a:avLst>
              <a:gd name="adj1" fmla="val 0"/>
              <a:gd name="adj2" fmla="val 375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329B5029-1526-46E5-A57A-981F1B8F1306}"/>
              </a:ext>
            </a:extLst>
          </xdr:cNvPr>
          <xdr:cNvSpPr txBox="1"/>
        </xdr:nvSpPr>
        <xdr:spPr>
          <a:xfrm>
            <a:off x="9948334" y="6496151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57559</xdr:colOff>
      <xdr:row>34</xdr:row>
      <xdr:rowOff>136261</xdr:rowOff>
    </xdr:from>
    <xdr:to>
      <xdr:col>27</xdr:col>
      <xdr:colOff>127525</xdr:colOff>
      <xdr:row>37</xdr:row>
      <xdr:rowOff>68563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1EC54B6E-5700-4FF1-B143-3813EB67E72E}"/>
            </a:ext>
          </a:extLst>
        </xdr:cNvPr>
        <xdr:cNvGrpSpPr/>
      </xdr:nvGrpSpPr>
      <xdr:grpSpPr>
        <a:xfrm>
          <a:off x="4248559" y="6613261"/>
          <a:ext cx="1022466" cy="503802"/>
          <a:chOff x="4263571" y="7214893"/>
          <a:chExt cx="1027505" cy="506825"/>
        </a:xfrm>
      </xdr:grpSpPr>
      <xdr:sp macro="" textlink="">
        <xdr:nvSpPr>
          <xdr:cNvPr id="84" name="フローチャート: 他ページ結合子 83">
            <a:extLst>
              <a:ext uri="{FF2B5EF4-FFF2-40B4-BE49-F238E27FC236}">
                <a16:creationId xmlns:a16="http://schemas.microsoft.com/office/drawing/2014/main" id="{B131A4CB-D6C3-46D6-AFC0-A57FDC8C86D0}"/>
              </a:ext>
            </a:extLst>
          </xdr:cNvPr>
          <xdr:cNvSpPr/>
        </xdr:nvSpPr>
        <xdr:spPr>
          <a:xfrm>
            <a:off x="4264264" y="7214893"/>
            <a:ext cx="1026812" cy="506825"/>
          </a:xfrm>
          <a:prstGeom prst="flowChartOffpage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ja-JP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30975A29-82CF-4FF4-8204-D9B8A13104CF}"/>
              </a:ext>
            </a:extLst>
          </xdr:cNvPr>
          <xdr:cNvSpPr txBox="1"/>
        </xdr:nvSpPr>
        <xdr:spPr>
          <a:xfrm>
            <a:off x="4263571" y="7231944"/>
            <a:ext cx="1023056" cy="360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13</xdr:col>
      <xdr:colOff>5772</xdr:colOff>
      <xdr:row>34</xdr:row>
      <xdr:rowOff>40318</xdr:rowOff>
    </xdr:from>
    <xdr:to>
      <xdr:col>16</xdr:col>
      <xdr:colOff>104507</xdr:colOff>
      <xdr:row>37</xdr:row>
      <xdr:rowOff>151192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A69027DD-1DA3-443E-97EB-F9E32EA312B5}"/>
            </a:ext>
          </a:extLst>
        </xdr:cNvPr>
        <xdr:cNvGrpSpPr/>
      </xdr:nvGrpSpPr>
      <xdr:grpSpPr>
        <a:xfrm>
          <a:off x="2482272" y="6517318"/>
          <a:ext cx="670235" cy="682374"/>
          <a:chOff x="2516860" y="7126111"/>
          <a:chExt cx="673259" cy="685397"/>
        </a:xfrm>
      </xdr:grpSpPr>
      <xdr:sp macro="" textlink="">
        <xdr:nvSpPr>
          <xdr:cNvPr id="87" name="フローチャート: 結合子 86">
            <a:extLst>
              <a:ext uri="{FF2B5EF4-FFF2-40B4-BE49-F238E27FC236}">
                <a16:creationId xmlns:a16="http://schemas.microsoft.com/office/drawing/2014/main" id="{9FC354E9-F774-428F-AC64-A8D889E6B898}"/>
              </a:ext>
            </a:extLst>
          </xdr:cNvPr>
          <xdr:cNvSpPr>
            <a:spLocks noChangeAspect="1"/>
          </xdr:cNvSpPr>
        </xdr:nvSpPr>
        <xdr:spPr>
          <a:xfrm>
            <a:off x="2516860" y="7132101"/>
            <a:ext cx="672410" cy="672409"/>
          </a:xfrm>
          <a:prstGeom prst="flowChart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rIns="36000" rtlCol="0" anchor="ctr" anchorCtr="1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34363D54-9E45-4731-B8A0-D3DD01765B53}"/>
              </a:ext>
            </a:extLst>
          </xdr:cNvPr>
          <xdr:cNvSpPr txBox="1"/>
        </xdr:nvSpPr>
        <xdr:spPr>
          <a:xfrm>
            <a:off x="2524881" y="7126111"/>
            <a:ext cx="665238" cy="6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0</xdr:col>
      <xdr:colOff>159561</xdr:colOff>
      <xdr:row>34</xdr:row>
      <xdr:rowOff>154798</xdr:rowOff>
    </xdr:from>
    <xdr:to>
      <xdr:col>9</xdr:col>
      <xdr:colOff>45261</xdr:colOff>
      <xdr:row>37</xdr:row>
      <xdr:rowOff>59548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DD05DF0A-EE77-4B78-B557-132D1B746BC8}"/>
            </a:ext>
          </a:extLst>
        </xdr:cNvPr>
        <xdr:cNvGrpSpPr/>
      </xdr:nvGrpSpPr>
      <xdr:grpSpPr>
        <a:xfrm>
          <a:off x="159561" y="6631798"/>
          <a:ext cx="1600200" cy="476250"/>
          <a:chOff x="152400" y="7233431"/>
          <a:chExt cx="1609271" cy="479273"/>
        </a:xfrm>
      </xdr:grpSpPr>
      <xdr:sp macro="" textlink="">
        <xdr:nvSpPr>
          <xdr:cNvPr id="90" name="フローチャート: データ 89">
            <a:extLst>
              <a:ext uri="{FF2B5EF4-FFF2-40B4-BE49-F238E27FC236}">
                <a16:creationId xmlns:a16="http://schemas.microsoft.com/office/drawing/2014/main" id="{59AD1333-4847-42DE-8D55-C12EA1A3763B}"/>
              </a:ext>
            </a:extLst>
          </xdr:cNvPr>
          <xdr:cNvSpPr/>
        </xdr:nvSpPr>
        <xdr:spPr>
          <a:xfrm>
            <a:off x="152400" y="7233431"/>
            <a:ext cx="1609271" cy="479273"/>
          </a:xfrm>
          <a:prstGeom prst="flowChartInputOutpu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1" name="テキスト ボックス 90">
            <a:extLst>
              <a:ext uri="{FF2B5EF4-FFF2-40B4-BE49-F238E27FC236}">
                <a16:creationId xmlns:a16="http://schemas.microsoft.com/office/drawing/2014/main" id="{6A9BB429-110B-4699-B15A-04AA40615226}"/>
              </a:ext>
            </a:extLst>
          </xdr:cNvPr>
          <xdr:cNvSpPr txBox="1"/>
        </xdr:nvSpPr>
        <xdr:spPr>
          <a:xfrm>
            <a:off x="468689" y="7236985"/>
            <a:ext cx="972660" cy="463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入出力内容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123825</xdr:colOff>
      <xdr:row>36</xdr:row>
      <xdr:rowOff>9525</xdr:rowOff>
    </xdr:from>
    <xdr:to>
      <xdr:col>36</xdr:col>
      <xdr:colOff>85725</xdr:colOff>
      <xdr:row>36</xdr:row>
      <xdr:rowOff>10386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099A5149-1AC9-4457-A1F7-E82056D94192}"/>
            </a:ext>
          </a:extLst>
        </xdr:cNvPr>
        <xdr:cNvCxnSpPr>
          <a:cxnSpLocks/>
        </xdr:cNvCxnSpPr>
      </xdr:nvCxnSpPr>
      <xdr:spPr>
        <a:xfrm>
          <a:off x="6219825" y="6867525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7</xdr:row>
      <xdr:rowOff>57150</xdr:rowOff>
    </xdr:from>
    <xdr:to>
      <xdr:col>47</xdr:col>
      <xdr:colOff>66675</xdr:colOff>
      <xdr:row>12</xdr:row>
      <xdr:rowOff>133350</xdr:rowOff>
    </xdr:to>
    <xdr:sp macro="" textlink="">
      <xdr:nvSpPr>
        <xdr:cNvPr id="2" name="吹き出し: 角を丸めた四角形 31">
          <a:extLst>
            <a:ext uri="{FF2B5EF4-FFF2-40B4-BE49-F238E27FC236}">
              <a16:creationId xmlns:a16="http://schemas.microsoft.com/office/drawing/2014/main" id="{559B6CC6-02CC-4E89-9F4A-DEB91B348447}"/>
            </a:ext>
          </a:extLst>
        </xdr:cNvPr>
        <xdr:cNvSpPr/>
      </xdr:nvSpPr>
      <xdr:spPr>
        <a:xfrm>
          <a:off x="1743075" y="1390650"/>
          <a:ext cx="7277100" cy="1028700"/>
        </a:xfrm>
        <a:prstGeom prst="wedgeRoundRectCallout">
          <a:avLst>
            <a:gd name="adj1" fmla="val -19224"/>
            <a:gd name="adj2" fmla="val -46417"/>
            <a:gd name="adj3" fmla="val 16667"/>
          </a:avLst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 b="1">
              <a:solidFill>
                <a:schemeClr val="bg1"/>
              </a:solidFill>
            </a:rPr>
            <a:t>詳細設計・開発時に記載</a:t>
          </a:r>
          <a:endParaRPr kumimoji="1" lang="en-US" altLang="ja-JP" sz="40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CCCCFF"/>
        </a:solidFill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ACDD-94CD-4589-A523-91D283294AB3}">
  <sheetPr codeName="Sheet1"/>
  <dimension ref="A2:AE35"/>
  <sheetViews>
    <sheetView showGridLines="0" tabSelected="1" zoomScaleNormal="100" workbookViewId="0"/>
  </sheetViews>
  <sheetFormatPr defaultColWidth="2.5" defaultRowHeight="15"/>
  <cols>
    <col min="1" max="16384" width="2.5" style="40"/>
  </cols>
  <sheetData>
    <row r="2" spans="1:31"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31">
      <c r="B3" s="41" t="s">
        <v>0</v>
      </c>
    </row>
    <row r="4" spans="1:31" ht="15.75" customHeight="1">
      <c r="A4" s="42"/>
      <c r="B4" s="42"/>
      <c r="C4" s="42"/>
      <c r="D4" s="42"/>
      <c r="E4" s="42"/>
      <c r="F4" s="42"/>
      <c r="G4" s="42"/>
      <c r="H4" s="42"/>
      <c r="I4" s="42"/>
      <c r="J4" s="149"/>
      <c r="K4" s="149"/>
      <c r="L4" s="149"/>
    </row>
    <row r="5" spans="1:31" ht="15.75" customHeight="1">
      <c r="A5" s="43"/>
      <c r="B5" s="43"/>
      <c r="C5" s="43"/>
      <c r="D5" s="43"/>
      <c r="E5" s="43"/>
      <c r="F5" s="43"/>
      <c r="G5" s="43"/>
      <c r="H5" s="43"/>
      <c r="I5" s="43"/>
      <c r="J5" s="150"/>
      <c r="K5" s="150"/>
      <c r="L5" s="150"/>
    </row>
    <row r="10" spans="1:31" ht="15" customHeight="1">
      <c r="B10" s="151" t="s">
        <v>1</v>
      </c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3"/>
    </row>
    <row r="11" spans="1:31" ht="15" customHeight="1">
      <c r="B11" s="154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6"/>
    </row>
    <row r="12" spans="1:31" ht="15" customHeight="1">
      <c r="B12" s="154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6"/>
    </row>
    <row r="13" spans="1:31" ht="15" customHeight="1">
      <c r="B13" s="154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6"/>
    </row>
    <row r="14" spans="1:31">
      <c r="B14" s="157" t="str">
        <f>変更履歴!W2&amp;"_設計書_"&amp;変更履歴!AE2</f>
        <v>FO-087_設計書_入金データ連携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58"/>
    </row>
    <row r="15" spans="1:31">
      <c r="B15" s="157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58"/>
    </row>
    <row r="16" spans="1:31">
      <c r="B16" s="159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1"/>
    </row>
    <row r="21" spans="2:31">
      <c r="AA21" s="27" t="s">
        <v>2</v>
      </c>
    </row>
    <row r="22" spans="2:31" ht="15" customHeight="1">
      <c r="B22" s="145" t="str">
        <f ca="1">"第"&amp;IF(COUNTA(変更履歴!BF5:BI10000)=1,"",INDIRECT("変更履歴!BF"&amp;COUNTA(変更履歴!BF5:BI10000)+4))&amp;"版"</f>
        <v>第1.3版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</row>
    <row r="23" spans="2:31" ht="15" customHeight="1"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</row>
    <row r="24" spans="2:31">
      <c r="B24" s="148">
        <f ca="1">IF(OR(COUNTA(変更履歴!A:E)=2),"",INDIRECT("変更履歴!A"&amp;COUNTA(変更履歴!A:E)+3))</f>
        <v>45624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</row>
    <row r="25" spans="2:31"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</row>
    <row r="26" spans="2:31">
      <c r="B26" s="145" t="s">
        <v>3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</row>
    <row r="27" spans="2:31"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</row>
    <row r="29" spans="2:31">
      <c r="F29" s="140" t="s">
        <v>4</v>
      </c>
      <c r="G29" s="140"/>
      <c r="H29" s="140"/>
      <c r="I29" s="140"/>
      <c r="J29" s="140"/>
      <c r="K29" s="140"/>
      <c r="O29" s="146" t="s">
        <v>5</v>
      </c>
      <c r="P29" s="140"/>
      <c r="Q29" s="140"/>
      <c r="R29" s="140"/>
      <c r="V29" s="142" t="s">
        <v>6</v>
      </c>
      <c r="W29" s="142"/>
      <c r="X29" s="142"/>
      <c r="Y29" s="142"/>
      <c r="Z29" s="142"/>
      <c r="AA29" s="142"/>
    </row>
    <row r="30" spans="2:31">
      <c r="F30" s="143">
        <f>変更履歴!AV2</f>
        <v>45492</v>
      </c>
      <c r="G30" s="144"/>
      <c r="H30" s="144"/>
      <c r="I30" s="144"/>
      <c r="J30" s="144"/>
      <c r="K30" s="144"/>
      <c r="L30" s="19"/>
      <c r="N30" s="143">
        <v>45505</v>
      </c>
      <c r="O30" s="144"/>
      <c r="P30" s="144"/>
      <c r="Q30" s="144"/>
      <c r="R30" s="144"/>
      <c r="S30" s="147"/>
      <c r="V30" s="143">
        <v>45509</v>
      </c>
      <c r="W30" s="144"/>
      <c r="X30" s="144"/>
      <c r="Y30" s="144"/>
      <c r="Z30" s="144"/>
      <c r="AA30" s="144"/>
      <c r="AB30" s="19"/>
    </row>
    <row r="31" spans="2:31" ht="15" customHeight="1">
      <c r="F31" s="133" t="str">
        <f>変更履歴!BB2</f>
        <v>JBS石岡</v>
      </c>
      <c r="G31" s="134"/>
      <c r="H31" s="134"/>
      <c r="I31" s="134"/>
      <c r="J31" s="134"/>
      <c r="K31" s="134"/>
      <c r="L31" s="19"/>
      <c r="N31" s="133" t="s">
        <v>7</v>
      </c>
      <c r="O31" s="134"/>
      <c r="P31" s="134"/>
      <c r="Q31" s="134"/>
      <c r="R31" s="134"/>
      <c r="S31" s="135"/>
      <c r="V31" s="133" t="s">
        <v>8</v>
      </c>
      <c r="W31" s="134"/>
      <c r="X31" s="134"/>
      <c r="Y31" s="134"/>
      <c r="Z31" s="134"/>
      <c r="AA31" s="134"/>
      <c r="AB31" s="19"/>
    </row>
    <row r="32" spans="2:31">
      <c r="F32" s="136"/>
      <c r="G32" s="137"/>
      <c r="H32" s="137"/>
      <c r="I32" s="137"/>
      <c r="J32" s="137"/>
      <c r="K32" s="137"/>
      <c r="L32" s="19"/>
      <c r="N32" s="136"/>
      <c r="O32" s="137"/>
      <c r="P32" s="137"/>
      <c r="Q32" s="137"/>
      <c r="R32" s="137"/>
      <c r="S32" s="138"/>
      <c r="V32" s="136"/>
      <c r="W32" s="137"/>
      <c r="X32" s="137"/>
      <c r="Y32" s="137"/>
      <c r="Z32" s="137"/>
      <c r="AA32" s="137"/>
      <c r="AB32" s="19"/>
    </row>
    <row r="33" spans="6:28">
      <c r="F33" s="136"/>
      <c r="G33" s="137"/>
      <c r="H33" s="137"/>
      <c r="I33" s="137"/>
      <c r="J33" s="137"/>
      <c r="K33" s="137"/>
      <c r="L33" s="19"/>
      <c r="N33" s="136"/>
      <c r="O33" s="137"/>
      <c r="P33" s="137"/>
      <c r="Q33" s="137"/>
      <c r="R33" s="137"/>
      <c r="S33" s="138"/>
      <c r="V33" s="136"/>
      <c r="W33" s="137"/>
      <c r="X33" s="137"/>
      <c r="Y33" s="137"/>
      <c r="Z33" s="137"/>
      <c r="AA33" s="137"/>
      <c r="AB33" s="19"/>
    </row>
    <row r="34" spans="6:28">
      <c r="F34" s="136"/>
      <c r="G34" s="137"/>
      <c r="H34" s="137"/>
      <c r="I34" s="137"/>
      <c r="J34" s="137"/>
      <c r="K34" s="137"/>
      <c r="L34" s="19"/>
      <c r="N34" s="136"/>
      <c r="O34" s="137"/>
      <c r="P34" s="137"/>
      <c r="Q34" s="137"/>
      <c r="R34" s="137"/>
      <c r="S34" s="138"/>
      <c r="V34" s="136"/>
      <c r="W34" s="137"/>
      <c r="X34" s="137"/>
      <c r="Y34" s="137"/>
      <c r="Z34" s="137"/>
      <c r="AA34" s="137"/>
      <c r="AB34" s="19"/>
    </row>
    <row r="35" spans="6:28">
      <c r="F35" s="139"/>
      <c r="G35" s="140"/>
      <c r="H35" s="140"/>
      <c r="I35" s="140"/>
      <c r="J35" s="140"/>
      <c r="K35" s="140"/>
      <c r="L35" s="19"/>
      <c r="N35" s="139"/>
      <c r="O35" s="140"/>
      <c r="P35" s="140"/>
      <c r="Q35" s="140"/>
      <c r="R35" s="140"/>
      <c r="S35" s="141"/>
      <c r="V35" s="139"/>
      <c r="W35" s="140"/>
      <c r="X35" s="140"/>
      <c r="Y35" s="140"/>
      <c r="Z35" s="140"/>
      <c r="AA35" s="140"/>
      <c r="AB35" s="19"/>
    </row>
  </sheetData>
  <mergeCells count="15">
    <mergeCell ref="B24:AE25"/>
    <mergeCell ref="J4:L5"/>
    <mergeCell ref="B10:AE13"/>
    <mergeCell ref="B14:AE16"/>
    <mergeCell ref="B22:AE23"/>
    <mergeCell ref="N31:S35"/>
    <mergeCell ref="V31:AA35"/>
    <mergeCell ref="V29:AA29"/>
    <mergeCell ref="V30:AA30"/>
    <mergeCell ref="B26:AE27"/>
    <mergeCell ref="F29:K29"/>
    <mergeCell ref="O29:R29"/>
    <mergeCell ref="F30:K30"/>
    <mergeCell ref="N30:S30"/>
    <mergeCell ref="F31:K3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1000-8ED4-49DE-896E-CA6035270F90}">
  <sheetPr codeName="Sheet2"/>
  <dimension ref="A1:BP40"/>
  <sheetViews>
    <sheetView showGridLines="0" zoomScaleNormal="100" workbookViewId="0">
      <pane ySplit="5" topLeftCell="A6" activePane="bottomLeft" state="frozen"/>
      <selection pane="bottomLeft" activeCell="A6" sqref="A6:E6"/>
      <selection activeCell="A6" sqref="A6"/>
    </sheetView>
  </sheetViews>
  <sheetFormatPr defaultColWidth="2.5" defaultRowHeight="15" customHeight="1"/>
  <cols>
    <col min="1" max="47" width="2.5" style="1"/>
    <col min="48" max="48" width="2.5" style="1" customWidth="1"/>
    <col min="49" max="16384" width="2.5" style="1"/>
  </cols>
  <sheetData>
    <row r="1" spans="1:68" s="38" customFormat="1" ht="15" customHeight="1" thickBot="1">
      <c r="A1" s="215" t="s">
        <v>9</v>
      </c>
      <c r="B1" s="216"/>
      <c r="C1" s="216"/>
      <c r="D1" s="216"/>
      <c r="E1" s="217"/>
      <c r="F1" s="224" t="s">
        <v>10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">
        <v>11</v>
      </c>
      <c r="R1" s="228"/>
      <c r="S1" s="228"/>
      <c r="T1" s="228"/>
      <c r="U1" s="228"/>
      <c r="V1" s="229"/>
      <c r="W1" s="224" t="s">
        <v>12</v>
      </c>
      <c r="X1" s="225"/>
      <c r="Y1" s="225"/>
      <c r="Z1" s="225"/>
      <c r="AA1" s="225"/>
      <c r="AB1" s="225"/>
      <c r="AC1" s="225"/>
      <c r="AD1" s="226"/>
      <c r="AE1" s="224" t="s">
        <v>13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">
        <v>14</v>
      </c>
      <c r="AU1" s="231"/>
      <c r="AV1" s="231"/>
      <c r="AW1" s="231"/>
      <c r="AX1" s="231"/>
      <c r="AY1" s="231"/>
      <c r="AZ1" s="231"/>
      <c r="BA1" s="232"/>
      <c r="BB1" s="187" t="s">
        <v>15</v>
      </c>
      <c r="BC1" s="188"/>
      <c r="BD1" s="189"/>
      <c r="BE1" s="189"/>
      <c r="BF1" s="189"/>
      <c r="BG1" s="189"/>
      <c r="BH1" s="189"/>
      <c r="BI1" s="190"/>
      <c r="BJ1" s="40"/>
      <c r="BK1" s="40"/>
      <c r="BL1" s="40"/>
      <c r="BM1" s="40"/>
      <c r="BN1" s="40"/>
      <c r="BO1" s="40"/>
      <c r="BP1" s="40"/>
    </row>
    <row r="2" spans="1:68" s="38" customFormat="1" ht="15" customHeight="1">
      <c r="A2" s="218"/>
      <c r="B2" s="219"/>
      <c r="C2" s="219"/>
      <c r="D2" s="219"/>
      <c r="E2" s="220"/>
      <c r="F2" s="191" t="s">
        <v>16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">
        <v>17</v>
      </c>
      <c r="R2" s="192"/>
      <c r="S2" s="192"/>
      <c r="T2" s="192"/>
      <c r="U2" s="192"/>
      <c r="V2" s="193"/>
      <c r="W2" s="197" t="s">
        <v>18</v>
      </c>
      <c r="X2" s="198"/>
      <c r="Y2" s="198"/>
      <c r="Z2" s="198"/>
      <c r="AA2" s="198"/>
      <c r="AB2" s="198"/>
      <c r="AC2" s="198"/>
      <c r="AD2" s="199"/>
      <c r="AE2" s="191" t="s">
        <v>19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">
        <v>20</v>
      </c>
      <c r="AU2" s="204"/>
      <c r="AV2" s="205">
        <f>A6</f>
        <v>45492</v>
      </c>
      <c r="AW2" s="205"/>
      <c r="AX2" s="205"/>
      <c r="AY2" s="205"/>
      <c r="AZ2" s="205"/>
      <c r="BA2" s="206"/>
      <c r="BB2" s="207" t="str">
        <f>AZ6</f>
        <v>JBS石岡</v>
      </c>
      <c r="BC2" s="208"/>
      <c r="BD2" s="209"/>
      <c r="BE2" s="209"/>
      <c r="BF2" s="209"/>
      <c r="BG2" s="209"/>
      <c r="BH2" s="209"/>
      <c r="BI2" s="210"/>
      <c r="BJ2" s="40"/>
      <c r="BK2" s="40"/>
      <c r="BL2" s="40"/>
      <c r="BM2" s="40"/>
      <c r="BN2" s="40"/>
      <c r="BO2" s="40"/>
      <c r="BP2" s="40"/>
    </row>
    <row r="3" spans="1:68" s="38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">
        <v>21</v>
      </c>
      <c r="AU3" s="212"/>
      <c r="AV3" s="213">
        <f t="array" aca="1" ref="AV3" ca="1">IF(OR(COUNTA(A:E)=2),"",INDIRECT("A"&amp;COUNTA(A:E)+3))</f>
        <v>45624</v>
      </c>
      <c r="AW3" s="213"/>
      <c r="AX3" s="213"/>
      <c r="AY3" s="213"/>
      <c r="AZ3" s="213"/>
      <c r="BA3" s="214"/>
      <c r="BB3" s="175" t="str">
        <f t="array" aca="1" ref="BB3" ca="1">IF(COUNTA(AZ5:BE100018)=1,"",INDIRECT("AZ"&amp;COUNTA(AZ5:BE100018)+4))</f>
        <v>JBS加藤</v>
      </c>
      <c r="BC3" s="176"/>
      <c r="BD3" s="177"/>
      <c r="BE3" s="177"/>
      <c r="BF3" s="177"/>
      <c r="BG3" s="177"/>
      <c r="BH3" s="177"/>
      <c r="BI3" s="178"/>
      <c r="BJ3" s="40"/>
      <c r="BK3" s="40"/>
      <c r="BL3" s="40"/>
      <c r="BM3" s="40"/>
      <c r="BN3" s="40"/>
      <c r="BO3" s="40"/>
      <c r="BP3" s="40"/>
    </row>
    <row r="4" spans="1:68" ht="15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9" t="s">
        <v>22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8" s="73" customFormat="1" ht="15" customHeight="1" thickBot="1">
      <c r="A5" s="179" t="s">
        <v>23</v>
      </c>
      <c r="B5" s="180"/>
      <c r="C5" s="180"/>
      <c r="D5" s="180"/>
      <c r="E5" s="181"/>
      <c r="F5" s="182" t="s">
        <v>24</v>
      </c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4"/>
      <c r="T5" s="183" t="s">
        <v>25</v>
      </c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79" t="s">
        <v>26</v>
      </c>
      <c r="BA5" s="180"/>
      <c r="BB5" s="180"/>
      <c r="BC5" s="180"/>
      <c r="BD5" s="180"/>
      <c r="BE5" s="185"/>
      <c r="BF5" s="186" t="s">
        <v>27</v>
      </c>
      <c r="BG5" s="186"/>
      <c r="BH5" s="180"/>
      <c r="BI5" s="185"/>
    </row>
    <row r="6" spans="1:68" ht="15" customHeight="1">
      <c r="A6" s="233">
        <v>45492</v>
      </c>
      <c r="B6" s="234"/>
      <c r="C6" s="234"/>
      <c r="D6" s="234"/>
      <c r="E6" s="235"/>
      <c r="F6" s="236" t="s">
        <v>28</v>
      </c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8"/>
      <c r="T6" s="501" t="s">
        <v>29</v>
      </c>
      <c r="U6" s="501"/>
      <c r="V6" s="501"/>
      <c r="W6" s="501"/>
      <c r="X6" s="501"/>
      <c r="Y6" s="501"/>
      <c r="Z6" s="501"/>
      <c r="AA6" s="501"/>
      <c r="AB6" s="501"/>
      <c r="AC6" s="501"/>
      <c r="AD6" s="501"/>
      <c r="AE6" s="501"/>
      <c r="AF6" s="501"/>
      <c r="AG6" s="501"/>
      <c r="AH6" s="501"/>
      <c r="AI6" s="501"/>
      <c r="AJ6" s="501"/>
      <c r="AK6" s="501"/>
      <c r="AL6" s="501"/>
      <c r="AM6" s="501"/>
      <c r="AN6" s="501"/>
      <c r="AO6" s="501"/>
      <c r="AP6" s="501"/>
      <c r="AQ6" s="501"/>
      <c r="AR6" s="501"/>
      <c r="AS6" s="501"/>
      <c r="AT6" s="501"/>
      <c r="AU6" s="501"/>
      <c r="AV6" s="501"/>
      <c r="AW6" s="501"/>
      <c r="AX6" s="501"/>
      <c r="AY6" s="501"/>
      <c r="AZ6" s="239" t="s">
        <v>30</v>
      </c>
      <c r="BA6" s="240"/>
      <c r="BB6" s="240"/>
      <c r="BC6" s="240"/>
      <c r="BD6" s="240"/>
      <c r="BE6" s="241"/>
      <c r="BF6" s="242" t="s">
        <v>31</v>
      </c>
      <c r="BG6" s="242"/>
      <c r="BH6" s="243"/>
      <c r="BI6" s="244"/>
    </row>
    <row r="7" spans="1:68" ht="30.6" customHeight="1">
      <c r="A7" s="162">
        <v>45623</v>
      </c>
      <c r="B7" s="163"/>
      <c r="C7" s="163"/>
      <c r="D7" s="163"/>
      <c r="E7" s="164"/>
      <c r="F7" s="245" t="s">
        <v>32</v>
      </c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7"/>
      <c r="T7" s="246" t="s">
        <v>33</v>
      </c>
      <c r="U7" s="502"/>
      <c r="V7" s="502"/>
      <c r="W7" s="502"/>
      <c r="X7" s="502"/>
      <c r="Y7" s="502"/>
      <c r="Z7" s="502"/>
      <c r="AA7" s="502"/>
      <c r="AB7" s="502"/>
      <c r="AC7" s="502"/>
      <c r="AD7" s="502"/>
      <c r="AE7" s="502"/>
      <c r="AF7" s="502"/>
      <c r="AG7" s="502"/>
      <c r="AH7" s="502"/>
      <c r="AI7" s="502"/>
      <c r="AJ7" s="502"/>
      <c r="AK7" s="502"/>
      <c r="AL7" s="502"/>
      <c r="AM7" s="502"/>
      <c r="AN7" s="502"/>
      <c r="AO7" s="502"/>
      <c r="AP7" s="502"/>
      <c r="AQ7" s="502"/>
      <c r="AR7" s="502"/>
      <c r="AS7" s="502"/>
      <c r="AT7" s="502"/>
      <c r="AU7" s="502"/>
      <c r="AV7" s="502"/>
      <c r="AW7" s="502"/>
      <c r="AX7" s="502"/>
      <c r="AY7" s="502"/>
      <c r="AZ7" s="247" t="s">
        <v>7</v>
      </c>
      <c r="BA7" s="248"/>
      <c r="BB7" s="248"/>
      <c r="BC7" s="248"/>
      <c r="BD7" s="248"/>
      <c r="BE7" s="249"/>
      <c r="BF7" s="250" t="s">
        <v>34</v>
      </c>
      <c r="BG7" s="251"/>
      <c r="BH7" s="251"/>
      <c r="BI7" s="252"/>
    </row>
    <row r="8" spans="1:68" ht="13.5">
      <c r="A8" s="162">
        <v>45623</v>
      </c>
      <c r="B8" s="163"/>
      <c r="C8" s="163"/>
      <c r="D8" s="163"/>
      <c r="E8" s="164"/>
      <c r="F8" s="245" t="s">
        <v>35</v>
      </c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7"/>
      <c r="T8" s="246" t="s">
        <v>36</v>
      </c>
      <c r="U8" s="502"/>
      <c r="V8" s="502"/>
      <c r="W8" s="502"/>
      <c r="X8" s="502"/>
      <c r="Y8" s="502"/>
      <c r="Z8" s="502"/>
      <c r="AA8" s="502"/>
      <c r="AB8" s="502"/>
      <c r="AC8" s="502"/>
      <c r="AD8" s="502"/>
      <c r="AE8" s="502"/>
      <c r="AF8" s="502"/>
      <c r="AG8" s="502"/>
      <c r="AH8" s="502"/>
      <c r="AI8" s="502"/>
      <c r="AJ8" s="502"/>
      <c r="AK8" s="502"/>
      <c r="AL8" s="502"/>
      <c r="AM8" s="502"/>
      <c r="AN8" s="502"/>
      <c r="AO8" s="502"/>
      <c r="AP8" s="502"/>
      <c r="AQ8" s="502"/>
      <c r="AR8" s="502"/>
      <c r="AS8" s="502"/>
      <c r="AT8" s="502"/>
      <c r="AU8" s="502"/>
      <c r="AV8" s="502"/>
      <c r="AW8" s="502"/>
      <c r="AX8" s="502"/>
      <c r="AY8" s="502"/>
      <c r="AZ8" s="247" t="s">
        <v>7</v>
      </c>
      <c r="BA8" s="248"/>
      <c r="BB8" s="248"/>
      <c r="BC8" s="248"/>
      <c r="BD8" s="248"/>
      <c r="BE8" s="249"/>
      <c r="BF8" s="250" t="s">
        <v>34</v>
      </c>
      <c r="BG8" s="251"/>
      <c r="BH8" s="251"/>
      <c r="BI8" s="252"/>
    </row>
    <row r="9" spans="1:68" ht="13.5">
      <c r="A9" s="162">
        <v>45623</v>
      </c>
      <c r="B9" s="163"/>
      <c r="C9" s="163"/>
      <c r="D9" s="163"/>
      <c r="E9" s="164"/>
      <c r="F9" s="245" t="s">
        <v>37</v>
      </c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7"/>
      <c r="T9" s="168" t="s">
        <v>38</v>
      </c>
      <c r="U9" s="503"/>
      <c r="V9" s="503"/>
      <c r="W9" s="503"/>
      <c r="X9" s="503"/>
      <c r="Y9" s="503"/>
      <c r="Z9" s="503"/>
      <c r="AA9" s="503"/>
      <c r="AB9" s="503"/>
      <c r="AC9" s="503"/>
      <c r="AD9" s="503"/>
      <c r="AE9" s="503"/>
      <c r="AF9" s="503"/>
      <c r="AG9" s="503"/>
      <c r="AH9" s="503"/>
      <c r="AI9" s="503"/>
      <c r="AJ9" s="503"/>
      <c r="AK9" s="503"/>
      <c r="AL9" s="503"/>
      <c r="AM9" s="503"/>
      <c r="AN9" s="503"/>
      <c r="AO9" s="503"/>
      <c r="AP9" s="503"/>
      <c r="AQ9" s="503"/>
      <c r="AR9" s="503"/>
      <c r="AS9" s="503"/>
      <c r="AT9" s="503"/>
      <c r="AU9" s="503"/>
      <c r="AV9" s="503"/>
      <c r="AW9" s="503"/>
      <c r="AX9" s="503"/>
      <c r="AY9" s="503"/>
      <c r="AZ9" s="247" t="s">
        <v>7</v>
      </c>
      <c r="BA9" s="248"/>
      <c r="BB9" s="248"/>
      <c r="BC9" s="248"/>
      <c r="BD9" s="248"/>
      <c r="BE9" s="249"/>
      <c r="BF9" s="172" t="s">
        <v>39</v>
      </c>
      <c r="BG9" s="172"/>
      <c r="BH9" s="173"/>
      <c r="BI9" s="174"/>
    </row>
    <row r="10" spans="1:68" ht="13.5">
      <c r="A10" s="162">
        <v>45624</v>
      </c>
      <c r="B10" s="163"/>
      <c r="C10" s="163"/>
      <c r="D10" s="163"/>
      <c r="E10" s="164"/>
      <c r="F10" s="165" t="s">
        <v>40</v>
      </c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7"/>
      <c r="T10" s="168" t="s">
        <v>41</v>
      </c>
      <c r="U10" s="503"/>
      <c r="V10" s="503"/>
      <c r="W10" s="503"/>
      <c r="X10" s="503"/>
      <c r="Y10" s="503"/>
      <c r="Z10" s="503"/>
      <c r="AA10" s="503"/>
      <c r="AB10" s="503"/>
      <c r="AC10" s="503"/>
      <c r="AD10" s="503"/>
      <c r="AE10" s="503"/>
      <c r="AF10" s="503"/>
      <c r="AG10" s="503"/>
      <c r="AH10" s="503"/>
      <c r="AI10" s="503"/>
      <c r="AJ10" s="503"/>
      <c r="AK10" s="503"/>
      <c r="AL10" s="503"/>
      <c r="AM10" s="503"/>
      <c r="AN10" s="503"/>
      <c r="AO10" s="503"/>
      <c r="AP10" s="503"/>
      <c r="AQ10" s="503"/>
      <c r="AR10" s="503"/>
      <c r="AS10" s="503"/>
      <c r="AT10" s="503"/>
      <c r="AU10" s="503"/>
      <c r="AV10" s="503"/>
      <c r="AW10" s="503"/>
      <c r="AX10" s="503"/>
      <c r="AY10" s="503"/>
      <c r="AZ10" s="247" t="s">
        <v>7</v>
      </c>
      <c r="BA10" s="248"/>
      <c r="BB10" s="248"/>
      <c r="BC10" s="248"/>
      <c r="BD10" s="248"/>
      <c r="BE10" s="249"/>
      <c r="BF10" s="172" t="s">
        <v>42</v>
      </c>
      <c r="BG10" s="172"/>
      <c r="BH10" s="173"/>
      <c r="BI10" s="174"/>
    </row>
    <row r="11" spans="1:68" ht="13.5">
      <c r="A11" s="162"/>
      <c r="B11" s="163"/>
      <c r="C11" s="163"/>
      <c r="D11" s="163"/>
      <c r="E11" s="164"/>
      <c r="F11" s="165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7"/>
      <c r="T11" s="168"/>
      <c r="U11" s="503"/>
      <c r="V11" s="503"/>
      <c r="W11" s="503"/>
      <c r="X11" s="503"/>
      <c r="Y11" s="503"/>
      <c r="Z11" s="503"/>
      <c r="AA11" s="503"/>
      <c r="AB11" s="503"/>
      <c r="AC11" s="503"/>
      <c r="AD11" s="503"/>
      <c r="AE11" s="503"/>
      <c r="AF11" s="503"/>
      <c r="AG11" s="503"/>
      <c r="AH11" s="503"/>
      <c r="AI11" s="503"/>
      <c r="AJ11" s="503"/>
      <c r="AK11" s="503"/>
      <c r="AL11" s="503"/>
      <c r="AM11" s="503"/>
      <c r="AN11" s="503"/>
      <c r="AO11" s="503"/>
      <c r="AP11" s="503"/>
      <c r="AQ11" s="503"/>
      <c r="AR11" s="503"/>
      <c r="AS11" s="503"/>
      <c r="AT11" s="503"/>
      <c r="AU11" s="503"/>
      <c r="AV11" s="503"/>
      <c r="AW11" s="503"/>
      <c r="AX11" s="503"/>
      <c r="AY11" s="503"/>
      <c r="AZ11" s="169"/>
      <c r="BA11" s="170"/>
      <c r="BB11" s="170"/>
      <c r="BC11" s="170"/>
      <c r="BD11" s="170"/>
      <c r="BE11" s="171"/>
      <c r="BF11" s="172"/>
      <c r="BG11" s="172"/>
      <c r="BH11" s="173"/>
      <c r="BI11" s="174"/>
    </row>
    <row r="12" spans="1:68" ht="15" customHeight="1">
      <c r="A12" s="162"/>
      <c r="B12" s="163"/>
      <c r="C12" s="163"/>
      <c r="D12" s="163"/>
      <c r="E12" s="164"/>
      <c r="F12" s="165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7"/>
      <c r="T12" s="503"/>
      <c r="U12" s="503"/>
      <c r="V12" s="503"/>
      <c r="W12" s="503"/>
      <c r="X12" s="503"/>
      <c r="Y12" s="503"/>
      <c r="Z12" s="503"/>
      <c r="AA12" s="503"/>
      <c r="AB12" s="503"/>
      <c r="AC12" s="503"/>
      <c r="AD12" s="503"/>
      <c r="AE12" s="503"/>
      <c r="AF12" s="503"/>
      <c r="AG12" s="503"/>
      <c r="AH12" s="503"/>
      <c r="AI12" s="503"/>
      <c r="AJ12" s="503"/>
      <c r="AK12" s="503"/>
      <c r="AL12" s="503"/>
      <c r="AM12" s="503"/>
      <c r="AN12" s="503"/>
      <c r="AO12" s="503"/>
      <c r="AP12" s="503"/>
      <c r="AQ12" s="503"/>
      <c r="AR12" s="503"/>
      <c r="AS12" s="503"/>
      <c r="AT12" s="503"/>
      <c r="AU12" s="503"/>
      <c r="AV12" s="503"/>
      <c r="AW12" s="503"/>
      <c r="AX12" s="503"/>
      <c r="AY12" s="503"/>
      <c r="AZ12" s="169"/>
      <c r="BA12" s="170"/>
      <c r="BB12" s="170"/>
      <c r="BC12" s="170"/>
      <c r="BD12" s="170"/>
      <c r="BE12" s="171"/>
      <c r="BF12" s="172"/>
      <c r="BG12" s="172"/>
      <c r="BH12" s="173"/>
      <c r="BI12" s="174"/>
    </row>
    <row r="13" spans="1:68" ht="13.5">
      <c r="A13" s="162"/>
      <c r="B13" s="163"/>
      <c r="C13" s="163"/>
      <c r="D13" s="163"/>
      <c r="E13" s="164"/>
      <c r="F13" s="165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7"/>
      <c r="T13" s="168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169"/>
      <c r="BA13" s="170"/>
      <c r="BB13" s="170"/>
      <c r="BC13" s="170"/>
      <c r="BD13" s="170"/>
      <c r="BE13" s="171"/>
      <c r="BF13" s="172"/>
      <c r="BG13" s="172"/>
      <c r="BH13" s="173"/>
      <c r="BI13" s="174"/>
    </row>
    <row r="14" spans="1:68" ht="13.5">
      <c r="A14" s="162"/>
      <c r="B14" s="163"/>
      <c r="C14" s="163"/>
      <c r="D14" s="163"/>
      <c r="E14" s="164"/>
      <c r="F14" s="165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7"/>
      <c r="T14" s="168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I14" s="503"/>
      <c r="AJ14" s="503"/>
      <c r="AK14" s="503"/>
      <c r="AL14" s="503"/>
      <c r="AM14" s="503"/>
      <c r="AN14" s="503"/>
      <c r="AO14" s="503"/>
      <c r="AP14" s="503"/>
      <c r="AQ14" s="503"/>
      <c r="AR14" s="503"/>
      <c r="AS14" s="503"/>
      <c r="AT14" s="503"/>
      <c r="AU14" s="503"/>
      <c r="AV14" s="503"/>
      <c r="AW14" s="503"/>
      <c r="AX14" s="503"/>
      <c r="AY14" s="503"/>
      <c r="AZ14" s="169"/>
      <c r="BA14" s="170"/>
      <c r="BB14" s="170"/>
      <c r="BC14" s="170"/>
      <c r="BD14" s="170"/>
      <c r="BE14" s="171"/>
      <c r="BF14" s="172"/>
      <c r="BG14" s="172"/>
      <c r="BH14" s="173"/>
      <c r="BI14" s="174"/>
    </row>
    <row r="15" spans="1:68" ht="13.5">
      <c r="A15" s="162"/>
      <c r="B15" s="163"/>
      <c r="C15" s="163"/>
      <c r="D15" s="163"/>
      <c r="E15" s="164"/>
      <c r="F15" s="165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7"/>
      <c r="T15" s="168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J15" s="503"/>
      <c r="AK15" s="503"/>
      <c r="AL15" s="503"/>
      <c r="AM15" s="503"/>
      <c r="AN15" s="503"/>
      <c r="AO15" s="503"/>
      <c r="AP15" s="503"/>
      <c r="AQ15" s="503"/>
      <c r="AR15" s="503"/>
      <c r="AS15" s="503"/>
      <c r="AT15" s="503"/>
      <c r="AU15" s="503"/>
      <c r="AV15" s="503"/>
      <c r="AW15" s="503"/>
      <c r="AX15" s="503"/>
      <c r="AY15" s="503"/>
      <c r="AZ15" s="169"/>
      <c r="BA15" s="170"/>
      <c r="BB15" s="170"/>
      <c r="BC15" s="170"/>
      <c r="BD15" s="170"/>
      <c r="BE15" s="171"/>
      <c r="BF15" s="172"/>
      <c r="BG15" s="172"/>
      <c r="BH15" s="173"/>
      <c r="BI15" s="174"/>
    </row>
    <row r="16" spans="1:68" ht="13.5">
      <c r="A16" s="162"/>
      <c r="B16" s="163"/>
      <c r="C16" s="163"/>
      <c r="D16" s="163"/>
      <c r="E16" s="164"/>
      <c r="F16" s="165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7"/>
      <c r="T16" s="168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I16" s="503"/>
      <c r="AJ16" s="503"/>
      <c r="AK16" s="503"/>
      <c r="AL16" s="503"/>
      <c r="AM16" s="503"/>
      <c r="AN16" s="503"/>
      <c r="AO16" s="503"/>
      <c r="AP16" s="503"/>
      <c r="AQ16" s="503"/>
      <c r="AR16" s="503"/>
      <c r="AS16" s="503"/>
      <c r="AT16" s="503"/>
      <c r="AU16" s="503"/>
      <c r="AV16" s="503"/>
      <c r="AW16" s="503"/>
      <c r="AX16" s="503"/>
      <c r="AY16" s="503"/>
      <c r="AZ16" s="169"/>
      <c r="BA16" s="170"/>
      <c r="BB16" s="170"/>
      <c r="BC16" s="170"/>
      <c r="BD16" s="170"/>
      <c r="BE16" s="171"/>
      <c r="BF16" s="172"/>
      <c r="BG16" s="172"/>
      <c r="BH16" s="173"/>
      <c r="BI16" s="174"/>
    </row>
    <row r="17" spans="1:61" ht="13.5">
      <c r="A17" s="162"/>
      <c r="B17" s="163"/>
      <c r="C17" s="163"/>
      <c r="D17" s="163"/>
      <c r="E17" s="164"/>
      <c r="F17" s="165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7"/>
      <c r="T17" s="168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O17" s="503"/>
      <c r="AP17" s="503"/>
      <c r="AQ17" s="503"/>
      <c r="AR17" s="503"/>
      <c r="AS17" s="503"/>
      <c r="AT17" s="503"/>
      <c r="AU17" s="503"/>
      <c r="AV17" s="503"/>
      <c r="AW17" s="503"/>
      <c r="AX17" s="503"/>
      <c r="AY17" s="503"/>
      <c r="AZ17" s="169"/>
      <c r="BA17" s="170"/>
      <c r="BB17" s="170"/>
      <c r="BC17" s="170"/>
      <c r="BD17" s="170"/>
      <c r="BE17" s="171"/>
      <c r="BF17" s="172"/>
      <c r="BG17" s="172"/>
      <c r="BH17" s="173"/>
      <c r="BI17" s="174"/>
    </row>
    <row r="18" spans="1:61" ht="13.5">
      <c r="A18" s="162"/>
      <c r="B18" s="163"/>
      <c r="C18" s="163"/>
      <c r="D18" s="163"/>
      <c r="E18" s="164"/>
      <c r="F18" s="165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7"/>
      <c r="T18" s="168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K18" s="503"/>
      <c r="AL18" s="503"/>
      <c r="AM18" s="503"/>
      <c r="AN18" s="503"/>
      <c r="AO18" s="503"/>
      <c r="AP18" s="503"/>
      <c r="AQ18" s="503"/>
      <c r="AR18" s="503"/>
      <c r="AS18" s="503"/>
      <c r="AT18" s="503"/>
      <c r="AU18" s="503"/>
      <c r="AV18" s="503"/>
      <c r="AW18" s="503"/>
      <c r="AX18" s="503"/>
      <c r="AY18" s="503"/>
      <c r="AZ18" s="169"/>
      <c r="BA18" s="170"/>
      <c r="BB18" s="170"/>
      <c r="BC18" s="170"/>
      <c r="BD18" s="170"/>
      <c r="BE18" s="171"/>
      <c r="BF18" s="172"/>
      <c r="BG18" s="172"/>
      <c r="BH18" s="173"/>
      <c r="BI18" s="174"/>
    </row>
    <row r="19" spans="1:61" ht="13.5">
      <c r="A19" s="162"/>
      <c r="B19" s="163"/>
      <c r="C19" s="163"/>
      <c r="D19" s="163"/>
      <c r="E19" s="164"/>
      <c r="F19" s="165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7"/>
      <c r="T19" s="168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I19" s="503"/>
      <c r="AJ19" s="503"/>
      <c r="AK19" s="503"/>
      <c r="AL19" s="503"/>
      <c r="AM19" s="503"/>
      <c r="AN19" s="503"/>
      <c r="AO19" s="503"/>
      <c r="AP19" s="503"/>
      <c r="AQ19" s="503"/>
      <c r="AR19" s="503"/>
      <c r="AS19" s="503"/>
      <c r="AT19" s="503"/>
      <c r="AU19" s="503"/>
      <c r="AV19" s="503"/>
      <c r="AW19" s="503"/>
      <c r="AX19" s="503"/>
      <c r="AY19" s="503"/>
      <c r="AZ19" s="169"/>
      <c r="BA19" s="170"/>
      <c r="BB19" s="170"/>
      <c r="BC19" s="170"/>
      <c r="BD19" s="170"/>
      <c r="BE19" s="171"/>
      <c r="BF19" s="172"/>
      <c r="BG19" s="172"/>
      <c r="BH19" s="173"/>
      <c r="BI19" s="174"/>
    </row>
    <row r="20" spans="1:61" ht="13.5">
      <c r="A20" s="162"/>
      <c r="B20" s="163"/>
      <c r="C20" s="163"/>
      <c r="D20" s="163"/>
      <c r="E20" s="164"/>
      <c r="F20" s="165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7"/>
      <c r="T20" s="168"/>
      <c r="U20" s="503"/>
      <c r="V20" s="503"/>
      <c r="W20" s="503"/>
      <c r="X20" s="503"/>
      <c r="Y20" s="503"/>
      <c r="Z20" s="503"/>
      <c r="AA20" s="503"/>
      <c r="AB20" s="503"/>
      <c r="AC20" s="503"/>
      <c r="AD20" s="503"/>
      <c r="AE20" s="503"/>
      <c r="AF20" s="503"/>
      <c r="AG20" s="503"/>
      <c r="AH20" s="503"/>
      <c r="AI20" s="503"/>
      <c r="AJ20" s="503"/>
      <c r="AK20" s="503"/>
      <c r="AL20" s="503"/>
      <c r="AM20" s="503"/>
      <c r="AN20" s="503"/>
      <c r="AO20" s="503"/>
      <c r="AP20" s="503"/>
      <c r="AQ20" s="503"/>
      <c r="AR20" s="503"/>
      <c r="AS20" s="503"/>
      <c r="AT20" s="503"/>
      <c r="AU20" s="503"/>
      <c r="AV20" s="503"/>
      <c r="AW20" s="503"/>
      <c r="AX20" s="503"/>
      <c r="AY20" s="503"/>
      <c r="AZ20" s="169"/>
      <c r="BA20" s="170"/>
      <c r="BB20" s="170"/>
      <c r="BC20" s="170"/>
      <c r="BD20" s="170"/>
      <c r="BE20" s="171"/>
      <c r="BF20" s="172"/>
      <c r="BG20" s="172"/>
      <c r="BH20" s="173"/>
      <c r="BI20" s="174"/>
    </row>
    <row r="21" spans="1:61" ht="13.5">
      <c r="A21" s="162"/>
      <c r="B21" s="163"/>
      <c r="C21" s="163"/>
      <c r="D21" s="163"/>
      <c r="E21" s="164"/>
      <c r="F21" s="165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7"/>
      <c r="T21" s="168"/>
      <c r="U21" s="503"/>
      <c r="V21" s="503"/>
      <c r="W21" s="503"/>
      <c r="X21" s="503"/>
      <c r="Y21" s="503"/>
      <c r="Z21" s="503"/>
      <c r="AA21" s="503"/>
      <c r="AB21" s="503"/>
      <c r="AC21" s="503"/>
      <c r="AD21" s="503"/>
      <c r="AE21" s="503"/>
      <c r="AF21" s="503"/>
      <c r="AG21" s="503"/>
      <c r="AH21" s="503"/>
      <c r="AI21" s="503"/>
      <c r="AJ21" s="503"/>
      <c r="AK21" s="503"/>
      <c r="AL21" s="503"/>
      <c r="AM21" s="503"/>
      <c r="AN21" s="503"/>
      <c r="AO21" s="503"/>
      <c r="AP21" s="503"/>
      <c r="AQ21" s="503"/>
      <c r="AR21" s="503"/>
      <c r="AS21" s="503"/>
      <c r="AT21" s="503"/>
      <c r="AU21" s="503"/>
      <c r="AV21" s="503"/>
      <c r="AW21" s="503"/>
      <c r="AX21" s="503"/>
      <c r="AY21" s="503"/>
      <c r="AZ21" s="169"/>
      <c r="BA21" s="170"/>
      <c r="BB21" s="170"/>
      <c r="BC21" s="170"/>
      <c r="BD21" s="170"/>
      <c r="BE21" s="171"/>
      <c r="BF21" s="172"/>
      <c r="BG21" s="172"/>
      <c r="BH21" s="173"/>
      <c r="BI21" s="174"/>
    </row>
    <row r="22" spans="1:61" ht="13.5">
      <c r="A22" s="162"/>
      <c r="B22" s="163"/>
      <c r="C22" s="163"/>
      <c r="D22" s="163"/>
      <c r="E22" s="164"/>
      <c r="F22" s="165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7"/>
      <c r="T22" s="168"/>
      <c r="U22" s="503"/>
      <c r="V22" s="503"/>
      <c r="W22" s="503"/>
      <c r="X22" s="503"/>
      <c r="Y22" s="503"/>
      <c r="Z22" s="503"/>
      <c r="AA22" s="503"/>
      <c r="AB22" s="503"/>
      <c r="AC22" s="503"/>
      <c r="AD22" s="503"/>
      <c r="AE22" s="503"/>
      <c r="AF22" s="503"/>
      <c r="AG22" s="503"/>
      <c r="AH22" s="503"/>
      <c r="AI22" s="503"/>
      <c r="AJ22" s="503"/>
      <c r="AK22" s="503"/>
      <c r="AL22" s="503"/>
      <c r="AM22" s="503"/>
      <c r="AN22" s="503"/>
      <c r="AO22" s="503"/>
      <c r="AP22" s="503"/>
      <c r="AQ22" s="503"/>
      <c r="AR22" s="503"/>
      <c r="AS22" s="503"/>
      <c r="AT22" s="503"/>
      <c r="AU22" s="503"/>
      <c r="AV22" s="503"/>
      <c r="AW22" s="503"/>
      <c r="AX22" s="503"/>
      <c r="AY22" s="503"/>
      <c r="AZ22" s="169"/>
      <c r="BA22" s="170"/>
      <c r="BB22" s="170"/>
      <c r="BC22" s="170"/>
      <c r="BD22" s="170"/>
      <c r="BE22" s="171"/>
      <c r="BF22" s="172"/>
      <c r="BG22" s="172"/>
      <c r="BH22" s="173"/>
      <c r="BI22" s="174"/>
    </row>
    <row r="23" spans="1:61" ht="13.5">
      <c r="A23" s="162"/>
      <c r="B23" s="163"/>
      <c r="C23" s="163"/>
      <c r="D23" s="163"/>
      <c r="E23" s="164"/>
      <c r="F23" s="165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7"/>
      <c r="T23" s="168"/>
      <c r="U23" s="503"/>
      <c r="V23" s="503"/>
      <c r="W23" s="503"/>
      <c r="X23" s="503"/>
      <c r="Y23" s="503"/>
      <c r="Z23" s="503"/>
      <c r="AA23" s="503"/>
      <c r="AB23" s="503"/>
      <c r="AC23" s="503"/>
      <c r="AD23" s="503"/>
      <c r="AE23" s="503"/>
      <c r="AF23" s="503"/>
      <c r="AG23" s="503"/>
      <c r="AH23" s="503"/>
      <c r="AI23" s="503"/>
      <c r="AJ23" s="503"/>
      <c r="AK23" s="503"/>
      <c r="AL23" s="503"/>
      <c r="AM23" s="503"/>
      <c r="AN23" s="503"/>
      <c r="AO23" s="503"/>
      <c r="AP23" s="503"/>
      <c r="AQ23" s="503"/>
      <c r="AR23" s="503"/>
      <c r="AS23" s="503"/>
      <c r="AT23" s="503"/>
      <c r="AU23" s="503"/>
      <c r="AV23" s="503"/>
      <c r="AW23" s="503"/>
      <c r="AX23" s="503"/>
      <c r="AY23" s="503"/>
      <c r="AZ23" s="169"/>
      <c r="BA23" s="170"/>
      <c r="BB23" s="170"/>
      <c r="BC23" s="170"/>
      <c r="BD23" s="170"/>
      <c r="BE23" s="171"/>
      <c r="BF23" s="172"/>
      <c r="BG23" s="172"/>
      <c r="BH23" s="173"/>
      <c r="BI23" s="174"/>
    </row>
    <row r="24" spans="1:61" ht="13.5">
      <c r="A24" s="162"/>
      <c r="B24" s="163"/>
      <c r="C24" s="163"/>
      <c r="D24" s="163"/>
      <c r="E24" s="164"/>
      <c r="F24" s="165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7"/>
      <c r="T24" s="168"/>
      <c r="U24" s="503"/>
      <c r="V24" s="503"/>
      <c r="W24" s="503"/>
      <c r="X24" s="503"/>
      <c r="Y24" s="503"/>
      <c r="Z24" s="503"/>
      <c r="AA24" s="503"/>
      <c r="AB24" s="503"/>
      <c r="AC24" s="503"/>
      <c r="AD24" s="503"/>
      <c r="AE24" s="503"/>
      <c r="AF24" s="503"/>
      <c r="AG24" s="503"/>
      <c r="AH24" s="503"/>
      <c r="AI24" s="503"/>
      <c r="AJ24" s="503"/>
      <c r="AK24" s="503"/>
      <c r="AL24" s="503"/>
      <c r="AM24" s="503"/>
      <c r="AN24" s="503"/>
      <c r="AO24" s="503"/>
      <c r="AP24" s="503"/>
      <c r="AQ24" s="503"/>
      <c r="AR24" s="503"/>
      <c r="AS24" s="503"/>
      <c r="AT24" s="503"/>
      <c r="AU24" s="503"/>
      <c r="AV24" s="503"/>
      <c r="AW24" s="503"/>
      <c r="AX24" s="503"/>
      <c r="AY24" s="503"/>
      <c r="AZ24" s="169"/>
      <c r="BA24" s="170"/>
      <c r="BB24" s="170"/>
      <c r="BC24" s="170"/>
      <c r="BD24" s="170"/>
      <c r="BE24" s="171"/>
      <c r="BF24" s="172"/>
      <c r="BG24" s="172"/>
      <c r="BH24" s="173"/>
      <c r="BI24" s="174"/>
    </row>
    <row r="25" spans="1:61" ht="13.5">
      <c r="A25" s="162"/>
      <c r="B25" s="163"/>
      <c r="C25" s="163"/>
      <c r="D25" s="163"/>
      <c r="E25" s="164"/>
      <c r="F25" s="165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7"/>
      <c r="T25" s="168"/>
      <c r="U25" s="503"/>
      <c r="V25" s="503"/>
      <c r="W25" s="503"/>
      <c r="X25" s="503"/>
      <c r="Y25" s="503"/>
      <c r="Z25" s="503"/>
      <c r="AA25" s="503"/>
      <c r="AB25" s="503"/>
      <c r="AC25" s="503"/>
      <c r="AD25" s="503"/>
      <c r="AE25" s="503"/>
      <c r="AF25" s="503"/>
      <c r="AG25" s="503"/>
      <c r="AH25" s="503"/>
      <c r="AI25" s="503"/>
      <c r="AJ25" s="503"/>
      <c r="AK25" s="503"/>
      <c r="AL25" s="503"/>
      <c r="AM25" s="503"/>
      <c r="AN25" s="503"/>
      <c r="AO25" s="503"/>
      <c r="AP25" s="503"/>
      <c r="AQ25" s="503"/>
      <c r="AR25" s="503"/>
      <c r="AS25" s="503"/>
      <c r="AT25" s="503"/>
      <c r="AU25" s="503"/>
      <c r="AV25" s="503"/>
      <c r="AW25" s="503"/>
      <c r="AX25" s="503"/>
      <c r="AY25" s="503"/>
      <c r="AZ25" s="169"/>
      <c r="BA25" s="170"/>
      <c r="BB25" s="170"/>
      <c r="BC25" s="170"/>
      <c r="BD25" s="170"/>
      <c r="BE25" s="171"/>
      <c r="BF25" s="172"/>
      <c r="BG25" s="172"/>
      <c r="BH25" s="173"/>
      <c r="BI25" s="174"/>
    </row>
    <row r="26" spans="1:61" ht="13.5">
      <c r="A26" s="162"/>
      <c r="B26" s="163"/>
      <c r="C26" s="163"/>
      <c r="D26" s="163"/>
      <c r="E26" s="164"/>
      <c r="F26" s="165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7"/>
      <c r="T26" s="168"/>
      <c r="U26" s="503"/>
      <c r="V26" s="503"/>
      <c r="W26" s="503"/>
      <c r="X26" s="503"/>
      <c r="Y26" s="503"/>
      <c r="Z26" s="503"/>
      <c r="AA26" s="503"/>
      <c r="AB26" s="503"/>
      <c r="AC26" s="503"/>
      <c r="AD26" s="503"/>
      <c r="AE26" s="503"/>
      <c r="AF26" s="503"/>
      <c r="AG26" s="503"/>
      <c r="AH26" s="503"/>
      <c r="AI26" s="503"/>
      <c r="AJ26" s="503"/>
      <c r="AK26" s="503"/>
      <c r="AL26" s="503"/>
      <c r="AM26" s="503"/>
      <c r="AN26" s="503"/>
      <c r="AO26" s="503"/>
      <c r="AP26" s="503"/>
      <c r="AQ26" s="503"/>
      <c r="AR26" s="503"/>
      <c r="AS26" s="503"/>
      <c r="AT26" s="503"/>
      <c r="AU26" s="503"/>
      <c r="AV26" s="503"/>
      <c r="AW26" s="503"/>
      <c r="AX26" s="503"/>
      <c r="AY26" s="503"/>
      <c r="AZ26" s="169"/>
      <c r="BA26" s="170"/>
      <c r="BB26" s="170"/>
      <c r="BC26" s="170"/>
      <c r="BD26" s="170"/>
      <c r="BE26" s="171"/>
      <c r="BF26" s="172"/>
      <c r="BG26" s="172"/>
      <c r="BH26" s="173"/>
      <c r="BI26" s="174"/>
    </row>
    <row r="27" spans="1:61" ht="13.5">
      <c r="A27" s="162"/>
      <c r="B27" s="163"/>
      <c r="C27" s="163"/>
      <c r="D27" s="163"/>
      <c r="E27" s="164"/>
      <c r="F27" s="165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7"/>
      <c r="T27" s="168"/>
      <c r="U27" s="503"/>
      <c r="V27" s="503"/>
      <c r="W27" s="503"/>
      <c r="X27" s="503"/>
      <c r="Y27" s="503"/>
      <c r="Z27" s="503"/>
      <c r="AA27" s="503"/>
      <c r="AB27" s="503"/>
      <c r="AC27" s="503"/>
      <c r="AD27" s="503"/>
      <c r="AE27" s="503"/>
      <c r="AF27" s="503"/>
      <c r="AG27" s="503"/>
      <c r="AH27" s="503"/>
      <c r="AI27" s="503"/>
      <c r="AJ27" s="503"/>
      <c r="AK27" s="503"/>
      <c r="AL27" s="503"/>
      <c r="AM27" s="503"/>
      <c r="AN27" s="503"/>
      <c r="AO27" s="503"/>
      <c r="AP27" s="503"/>
      <c r="AQ27" s="503"/>
      <c r="AR27" s="503"/>
      <c r="AS27" s="503"/>
      <c r="AT27" s="503"/>
      <c r="AU27" s="503"/>
      <c r="AV27" s="503"/>
      <c r="AW27" s="503"/>
      <c r="AX27" s="503"/>
      <c r="AY27" s="503"/>
      <c r="AZ27" s="169"/>
      <c r="BA27" s="170"/>
      <c r="BB27" s="170"/>
      <c r="BC27" s="170"/>
      <c r="BD27" s="170"/>
      <c r="BE27" s="171"/>
      <c r="BF27" s="172"/>
      <c r="BG27" s="172"/>
      <c r="BH27" s="173"/>
      <c r="BI27" s="174"/>
    </row>
    <row r="28" spans="1:61" ht="13.5">
      <c r="A28" s="162"/>
      <c r="B28" s="163"/>
      <c r="C28" s="163"/>
      <c r="D28" s="163"/>
      <c r="E28" s="164"/>
      <c r="F28" s="165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7"/>
      <c r="T28" s="168"/>
      <c r="U28" s="503"/>
      <c r="V28" s="503"/>
      <c r="W28" s="503"/>
      <c r="X28" s="503"/>
      <c r="Y28" s="503"/>
      <c r="Z28" s="503"/>
      <c r="AA28" s="503"/>
      <c r="AB28" s="503"/>
      <c r="AC28" s="503"/>
      <c r="AD28" s="503"/>
      <c r="AE28" s="503"/>
      <c r="AF28" s="503"/>
      <c r="AG28" s="503"/>
      <c r="AH28" s="503"/>
      <c r="AI28" s="503"/>
      <c r="AJ28" s="503"/>
      <c r="AK28" s="503"/>
      <c r="AL28" s="503"/>
      <c r="AM28" s="503"/>
      <c r="AN28" s="503"/>
      <c r="AO28" s="503"/>
      <c r="AP28" s="503"/>
      <c r="AQ28" s="503"/>
      <c r="AR28" s="503"/>
      <c r="AS28" s="503"/>
      <c r="AT28" s="503"/>
      <c r="AU28" s="503"/>
      <c r="AV28" s="503"/>
      <c r="AW28" s="503"/>
      <c r="AX28" s="503"/>
      <c r="AY28" s="503"/>
      <c r="AZ28" s="169"/>
      <c r="BA28" s="170"/>
      <c r="BB28" s="170"/>
      <c r="BC28" s="170"/>
      <c r="BD28" s="170"/>
      <c r="BE28" s="171"/>
      <c r="BF28" s="172"/>
      <c r="BG28" s="172"/>
      <c r="BH28" s="173"/>
      <c r="BI28" s="174"/>
    </row>
    <row r="29" spans="1:61" ht="13.5">
      <c r="A29" s="162"/>
      <c r="B29" s="163"/>
      <c r="C29" s="163"/>
      <c r="D29" s="163"/>
      <c r="E29" s="164"/>
      <c r="F29" s="165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7"/>
      <c r="T29" s="168"/>
      <c r="U29" s="503"/>
      <c r="V29" s="503"/>
      <c r="W29" s="503"/>
      <c r="X29" s="503"/>
      <c r="Y29" s="503"/>
      <c r="Z29" s="503"/>
      <c r="AA29" s="503"/>
      <c r="AB29" s="503"/>
      <c r="AC29" s="503"/>
      <c r="AD29" s="503"/>
      <c r="AE29" s="503"/>
      <c r="AF29" s="503"/>
      <c r="AG29" s="503"/>
      <c r="AH29" s="503"/>
      <c r="AI29" s="503"/>
      <c r="AJ29" s="503"/>
      <c r="AK29" s="503"/>
      <c r="AL29" s="503"/>
      <c r="AM29" s="503"/>
      <c r="AN29" s="503"/>
      <c r="AO29" s="503"/>
      <c r="AP29" s="503"/>
      <c r="AQ29" s="503"/>
      <c r="AR29" s="503"/>
      <c r="AS29" s="503"/>
      <c r="AT29" s="503"/>
      <c r="AU29" s="503"/>
      <c r="AV29" s="503"/>
      <c r="AW29" s="503"/>
      <c r="AX29" s="503"/>
      <c r="AY29" s="503"/>
      <c r="AZ29" s="169"/>
      <c r="BA29" s="170"/>
      <c r="BB29" s="170"/>
      <c r="BC29" s="170"/>
      <c r="BD29" s="170"/>
      <c r="BE29" s="171"/>
      <c r="BF29" s="172"/>
      <c r="BG29" s="172"/>
      <c r="BH29" s="173"/>
      <c r="BI29" s="174"/>
    </row>
    <row r="30" spans="1:61" ht="13.5">
      <c r="A30" s="162"/>
      <c r="B30" s="163"/>
      <c r="C30" s="163"/>
      <c r="D30" s="163"/>
      <c r="E30" s="164"/>
      <c r="F30" s="165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7"/>
      <c r="T30" s="168"/>
      <c r="U30" s="503"/>
      <c r="V30" s="503"/>
      <c r="W30" s="503"/>
      <c r="X30" s="503"/>
      <c r="Y30" s="503"/>
      <c r="Z30" s="503"/>
      <c r="AA30" s="503"/>
      <c r="AB30" s="503"/>
      <c r="AC30" s="503"/>
      <c r="AD30" s="503"/>
      <c r="AE30" s="503"/>
      <c r="AF30" s="503"/>
      <c r="AG30" s="503"/>
      <c r="AH30" s="503"/>
      <c r="AI30" s="503"/>
      <c r="AJ30" s="503"/>
      <c r="AK30" s="503"/>
      <c r="AL30" s="503"/>
      <c r="AM30" s="503"/>
      <c r="AN30" s="503"/>
      <c r="AO30" s="503"/>
      <c r="AP30" s="503"/>
      <c r="AQ30" s="503"/>
      <c r="AR30" s="503"/>
      <c r="AS30" s="503"/>
      <c r="AT30" s="503"/>
      <c r="AU30" s="503"/>
      <c r="AV30" s="503"/>
      <c r="AW30" s="503"/>
      <c r="AX30" s="503"/>
      <c r="AY30" s="503"/>
      <c r="AZ30" s="169"/>
      <c r="BA30" s="170"/>
      <c r="BB30" s="170"/>
      <c r="BC30" s="170"/>
      <c r="BD30" s="170"/>
      <c r="BE30" s="171"/>
      <c r="BF30" s="172"/>
      <c r="BG30" s="172"/>
      <c r="BH30" s="173"/>
      <c r="BI30" s="174"/>
    </row>
    <row r="31" spans="1:61" ht="13.5">
      <c r="A31" s="162"/>
      <c r="B31" s="163"/>
      <c r="C31" s="163"/>
      <c r="D31" s="163"/>
      <c r="E31" s="164"/>
      <c r="F31" s="165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7"/>
      <c r="T31" s="168"/>
      <c r="U31" s="503"/>
      <c r="V31" s="503"/>
      <c r="W31" s="503"/>
      <c r="X31" s="503"/>
      <c r="Y31" s="503"/>
      <c r="Z31" s="503"/>
      <c r="AA31" s="503"/>
      <c r="AB31" s="503"/>
      <c r="AC31" s="503"/>
      <c r="AD31" s="503"/>
      <c r="AE31" s="503"/>
      <c r="AF31" s="503"/>
      <c r="AG31" s="503"/>
      <c r="AH31" s="503"/>
      <c r="AI31" s="503"/>
      <c r="AJ31" s="503"/>
      <c r="AK31" s="503"/>
      <c r="AL31" s="503"/>
      <c r="AM31" s="503"/>
      <c r="AN31" s="503"/>
      <c r="AO31" s="503"/>
      <c r="AP31" s="503"/>
      <c r="AQ31" s="503"/>
      <c r="AR31" s="503"/>
      <c r="AS31" s="503"/>
      <c r="AT31" s="503"/>
      <c r="AU31" s="503"/>
      <c r="AV31" s="503"/>
      <c r="AW31" s="503"/>
      <c r="AX31" s="503"/>
      <c r="AY31" s="503"/>
      <c r="AZ31" s="169"/>
      <c r="BA31" s="170"/>
      <c r="BB31" s="170"/>
      <c r="BC31" s="170"/>
      <c r="BD31" s="170"/>
      <c r="BE31" s="171"/>
      <c r="BF31" s="172"/>
      <c r="BG31" s="172"/>
      <c r="BH31" s="173"/>
      <c r="BI31" s="174"/>
    </row>
    <row r="32" spans="1:61" ht="13.5">
      <c r="A32" s="162"/>
      <c r="B32" s="163"/>
      <c r="C32" s="163"/>
      <c r="D32" s="163"/>
      <c r="E32" s="164"/>
      <c r="F32" s="165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7"/>
      <c r="T32" s="168"/>
      <c r="U32" s="503"/>
      <c r="V32" s="503"/>
      <c r="W32" s="503"/>
      <c r="X32" s="503"/>
      <c r="Y32" s="503"/>
      <c r="Z32" s="503"/>
      <c r="AA32" s="503"/>
      <c r="AB32" s="503"/>
      <c r="AC32" s="503"/>
      <c r="AD32" s="503"/>
      <c r="AE32" s="503"/>
      <c r="AF32" s="503"/>
      <c r="AG32" s="503"/>
      <c r="AH32" s="503"/>
      <c r="AI32" s="503"/>
      <c r="AJ32" s="503"/>
      <c r="AK32" s="503"/>
      <c r="AL32" s="503"/>
      <c r="AM32" s="503"/>
      <c r="AN32" s="503"/>
      <c r="AO32" s="503"/>
      <c r="AP32" s="503"/>
      <c r="AQ32" s="503"/>
      <c r="AR32" s="503"/>
      <c r="AS32" s="503"/>
      <c r="AT32" s="503"/>
      <c r="AU32" s="503"/>
      <c r="AV32" s="503"/>
      <c r="AW32" s="503"/>
      <c r="AX32" s="503"/>
      <c r="AY32" s="503"/>
      <c r="AZ32" s="169"/>
      <c r="BA32" s="170"/>
      <c r="BB32" s="170"/>
      <c r="BC32" s="170"/>
      <c r="BD32" s="170"/>
      <c r="BE32" s="171"/>
      <c r="BF32" s="172"/>
      <c r="BG32" s="172"/>
      <c r="BH32" s="173"/>
      <c r="BI32" s="174"/>
    </row>
    <row r="33" spans="1:61" ht="13.5">
      <c r="A33" s="162"/>
      <c r="B33" s="163"/>
      <c r="C33" s="163"/>
      <c r="D33" s="163"/>
      <c r="E33" s="164"/>
      <c r="F33" s="165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7"/>
      <c r="T33" s="168"/>
      <c r="U33" s="503"/>
      <c r="V33" s="503"/>
      <c r="W33" s="503"/>
      <c r="X33" s="503"/>
      <c r="Y33" s="503"/>
      <c r="Z33" s="503"/>
      <c r="AA33" s="503"/>
      <c r="AB33" s="503"/>
      <c r="AC33" s="503"/>
      <c r="AD33" s="503"/>
      <c r="AE33" s="503"/>
      <c r="AF33" s="503"/>
      <c r="AG33" s="503"/>
      <c r="AH33" s="503"/>
      <c r="AI33" s="503"/>
      <c r="AJ33" s="503"/>
      <c r="AK33" s="503"/>
      <c r="AL33" s="503"/>
      <c r="AM33" s="503"/>
      <c r="AN33" s="503"/>
      <c r="AO33" s="503"/>
      <c r="AP33" s="503"/>
      <c r="AQ33" s="503"/>
      <c r="AR33" s="503"/>
      <c r="AS33" s="503"/>
      <c r="AT33" s="503"/>
      <c r="AU33" s="503"/>
      <c r="AV33" s="503"/>
      <c r="AW33" s="503"/>
      <c r="AX33" s="503"/>
      <c r="AY33" s="503"/>
      <c r="AZ33" s="169"/>
      <c r="BA33" s="170"/>
      <c r="BB33" s="170"/>
      <c r="BC33" s="170"/>
      <c r="BD33" s="170"/>
      <c r="BE33" s="171"/>
      <c r="BF33" s="172"/>
      <c r="BG33" s="172"/>
      <c r="BH33" s="173"/>
      <c r="BI33" s="174"/>
    </row>
    <row r="34" spans="1:61" ht="13.5">
      <c r="A34" s="162"/>
      <c r="B34" s="163"/>
      <c r="C34" s="163"/>
      <c r="D34" s="163"/>
      <c r="E34" s="164"/>
      <c r="F34" s="165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7"/>
      <c r="T34" s="168"/>
      <c r="U34" s="503"/>
      <c r="V34" s="503"/>
      <c r="W34" s="503"/>
      <c r="X34" s="503"/>
      <c r="Y34" s="503"/>
      <c r="Z34" s="503"/>
      <c r="AA34" s="503"/>
      <c r="AB34" s="503"/>
      <c r="AC34" s="503"/>
      <c r="AD34" s="503"/>
      <c r="AE34" s="503"/>
      <c r="AF34" s="503"/>
      <c r="AG34" s="503"/>
      <c r="AH34" s="503"/>
      <c r="AI34" s="503"/>
      <c r="AJ34" s="503"/>
      <c r="AK34" s="503"/>
      <c r="AL34" s="503"/>
      <c r="AM34" s="503"/>
      <c r="AN34" s="503"/>
      <c r="AO34" s="503"/>
      <c r="AP34" s="503"/>
      <c r="AQ34" s="503"/>
      <c r="AR34" s="503"/>
      <c r="AS34" s="503"/>
      <c r="AT34" s="503"/>
      <c r="AU34" s="503"/>
      <c r="AV34" s="503"/>
      <c r="AW34" s="503"/>
      <c r="AX34" s="503"/>
      <c r="AY34" s="503"/>
      <c r="AZ34" s="169"/>
      <c r="BA34" s="170"/>
      <c r="BB34" s="170"/>
      <c r="BC34" s="170"/>
      <c r="BD34" s="170"/>
      <c r="BE34" s="171"/>
      <c r="BF34" s="172"/>
      <c r="BG34" s="172"/>
      <c r="BH34" s="173"/>
      <c r="BI34" s="174"/>
    </row>
    <row r="35" spans="1:61" ht="13.5">
      <c r="A35" s="162"/>
      <c r="B35" s="163"/>
      <c r="C35" s="163"/>
      <c r="D35" s="163"/>
      <c r="E35" s="164"/>
      <c r="F35" s="165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7"/>
      <c r="T35" s="168"/>
      <c r="U35" s="503"/>
      <c r="V35" s="503"/>
      <c r="W35" s="503"/>
      <c r="X35" s="503"/>
      <c r="Y35" s="503"/>
      <c r="Z35" s="503"/>
      <c r="AA35" s="503"/>
      <c r="AB35" s="503"/>
      <c r="AC35" s="503"/>
      <c r="AD35" s="503"/>
      <c r="AE35" s="503"/>
      <c r="AF35" s="503"/>
      <c r="AG35" s="503"/>
      <c r="AH35" s="503"/>
      <c r="AI35" s="503"/>
      <c r="AJ35" s="503"/>
      <c r="AK35" s="503"/>
      <c r="AL35" s="503"/>
      <c r="AM35" s="503"/>
      <c r="AN35" s="503"/>
      <c r="AO35" s="503"/>
      <c r="AP35" s="503"/>
      <c r="AQ35" s="503"/>
      <c r="AR35" s="503"/>
      <c r="AS35" s="503"/>
      <c r="AT35" s="503"/>
      <c r="AU35" s="503"/>
      <c r="AV35" s="503"/>
      <c r="AW35" s="503"/>
      <c r="AX35" s="503"/>
      <c r="AY35" s="503"/>
      <c r="AZ35" s="169"/>
      <c r="BA35" s="170"/>
      <c r="BB35" s="170"/>
      <c r="BC35" s="170"/>
      <c r="BD35" s="170"/>
      <c r="BE35" s="171"/>
      <c r="BF35" s="172"/>
      <c r="BG35" s="172"/>
      <c r="BH35" s="173"/>
      <c r="BI35" s="174"/>
    </row>
    <row r="36" spans="1:61" ht="13.5">
      <c r="A36" s="162"/>
      <c r="B36" s="163"/>
      <c r="C36" s="163"/>
      <c r="D36" s="163"/>
      <c r="E36" s="164"/>
      <c r="F36" s="165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7"/>
      <c r="T36" s="168"/>
      <c r="U36" s="503"/>
      <c r="V36" s="503"/>
      <c r="W36" s="503"/>
      <c r="X36" s="503"/>
      <c r="Y36" s="503"/>
      <c r="Z36" s="503"/>
      <c r="AA36" s="503"/>
      <c r="AB36" s="503"/>
      <c r="AC36" s="503"/>
      <c r="AD36" s="503"/>
      <c r="AE36" s="503"/>
      <c r="AF36" s="503"/>
      <c r="AG36" s="503"/>
      <c r="AH36" s="503"/>
      <c r="AI36" s="503"/>
      <c r="AJ36" s="503"/>
      <c r="AK36" s="503"/>
      <c r="AL36" s="503"/>
      <c r="AM36" s="503"/>
      <c r="AN36" s="503"/>
      <c r="AO36" s="503"/>
      <c r="AP36" s="503"/>
      <c r="AQ36" s="503"/>
      <c r="AR36" s="503"/>
      <c r="AS36" s="503"/>
      <c r="AT36" s="503"/>
      <c r="AU36" s="503"/>
      <c r="AV36" s="503"/>
      <c r="AW36" s="503"/>
      <c r="AX36" s="503"/>
      <c r="AY36" s="503"/>
      <c r="AZ36" s="169"/>
      <c r="BA36" s="170"/>
      <c r="BB36" s="170"/>
      <c r="BC36" s="170"/>
      <c r="BD36" s="170"/>
      <c r="BE36" s="171"/>
      <c r="BF36" s="172"/>
      <c r="BG36" s="172"/>
      <c r="BH36" s="173"/>
      <c r="BI36" s="174"/>
    </row>
    <row r="37" spans="1:61" ht="13.5">
      <c r="A37" s="162"/>
      <c r="B37" s="163"/>
      <c r="C37" s="163"/>
      <c r="D37" s="163"/>
      <c r="E37" s="164"/>
      <c r="F37" s="165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7"/>
      <c r="T37" s="168"/>
      <c r="U37" s="503"/>
      <c r="V37" s="503"/>
      <c r="W37" s="503"/>
      <c r="X37" s="503"/>
      <c r="Y37" s="503"/>
      <c r="Z37" s="503"/>
      <c r="AA37" s="503"/>
      <c r="AB37" s="503"/>
      <c r="AC37" s="503"/>
      <c r="AD37" s="503"/>
      <c r="AE37" s="503"/>
      <c r="AF37" s="503"/>
      <c r="AG37" s="503"/>
      <c r="AH37" s="503"/>
      <c r="AI37" s="503"/>
      <c r="AJ37" s="503"/>
      <c r="AK37" s="503"/>
      <c r="AL37" s="503"/>
      <c r="AM37" s="503"/>
      <c r="AN37" s="503"/>
      <c r="AO37" s="503"/>
      <c r="AP37" s="503"/>
      <c r="AQ37" s="503"/>
      <c r="AR37" s="503"/>
      <c r="AS37" s="503"/>
      <c r="AT37" s="503"/>
      <c r="AU37" s="503"/>
      <c r="AV37" s="503"/>
      <c r="AW37" s="503"/>
      <c r="AX37" s="503"/>
      <c r="AY37" s="503"/>
      <c r="AZ37" s="169"/>
      <c r="BA37" s="170"/>
      <c r="BB37" s="170"/>
      <c r="BC37" s="170"/>
      <c r="BD37" s="170"/>
      <c r="BE37" s="171"/>
      <c r="BF37" s="172"/>
      <c r="BG37" s="172"/>
      <c r="BH37" s="173"/>
      <c r="BI37" s="174"/>
    </row>
    <row r="38" spans="1:61" ht="13.5">
      <c r="A38" s="162"/>
      <c r="B38" s="163"/>
      <c r="C38" s="163"/>
      <c r="D38" s="163"/>
      <c r="E38" s="164"/>
      <c r="F38" s="165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7"/>
      <c r="T38" s="168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169"/>
      <c r="BA38" s="170"/>
      <c r="BB38" s="170"/>
      <c r="BC38" s="170"/>
      <c r="BD38" s="170"/>
      <c r="BE38" s="171"/>
      <c r="BF38" s="172"/>
      <c r="BG38" s="172"/>
      <c r="BH38" s="173"/>
      <c r="BI38" s="174"/>
    </row>
    <row r="39" spans="1:61" ht="15" customHeight="1">
      <c r="A39" s="162"/>
      <c r="B39" s="163"/>
      <c r="C39" s="163"/>
      <c r="D39" s="163"/>
      <c r="E39" s="164"/>
      <c r="F39" s="165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7"/>
      <c r="T39" s="503"/>
      <c r="U39" s="503"/>
      <c r="V39" s="503"/>
      <c r="W39" s="503"/>
      <c r="X39" s="503"/>
      <c r="Y39" s="503"/>
      <c r="Z39" s="503"/>
      <c r="AA39" s="503"/>
      <c r="AB39" s="503"/>
      <c r="AC39" s="503"/>
      <c r="AD39" s="503"/>
      <c r="AE39" s="503"/>
      <c r="AF39" s="503"/>
      <c r="AG39" s="503"/>
      <c r="AH39" s="503"/>
      <c r="AI39" s="503"/>
      <c r="AJ39" s="503"/>
      <c r="AK39" s="503"/>
      <c r="AL39" s="503"/>
      <c r="AM39" s="503"/>
      <c r="AN39" s="503"/>
      <c r="AO39" s="503"/>
      <c r="AP39" s="503"/>
      <c r="AQ39" s="503"/>
      <c r="AR39" s="503"/>
      <c r="AS39" s="503"/>
      <c r="AT39" s="503"/>
      <c r="AU39" s="503"/>
      <c r="AV39" s="503"/>
      <c r="AW39" s="503"/>
      <c r="AX39" s="503"/>
      <c r="AY39" s="503"/>
      <c r="AZ39" s="169"/>
      <c r="BA39" s="170"/>
      <c r="BB39" s="170"/>
      <c r="BC39" s="170"/>
      <c r="BD39" s="170"/>
      <c r="BE39" s="171"/>
      <c r="BF39" s="172"/>
      <c r="BG39" s="172"/>
      <c r="BH39" s="173"/>
      <c r="BI39" s="174"/>
    </row>
    <row r="40" spans="1:61" ht="15" customHeight="1" thickBot="1">
      <c r="A40" s="253"/>
      <c r="B40" s="254"/>
      <c r="C40" s="254"/>
      <c r="D40" s="254"/>
      <c r="E40" s="255"/>
      <c r="F40" s="256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7"/>
      <c r="S40" s="258"/>
      <c r="T40" s="504"/>
      <c r="U40" s="504"/>
      <c r="V40" s="504"/>
      <c r="W40" s="504"/>
      <c r="X40" s="504"/>
      <c r="Y40" s="504"/>
      <c r="Z40" s="504"/>
      <c r="AA40" s="504"/>
      <c r="AB40" s="504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  <c r="AQ40" s="504"/>
      <c r="AR40" s="504"/>
      <c r="AS40" s="504"/>
      <c r="AT40" s="504"/>
      <c r="AU40" s="504"/>
      <c r="AV40" s="504"/>
      <c r="AW40" s="504"/>
      <c r="AX40" s="504"/>
      <c r="AY40" s="504"/>
      <c r="AZ40" s="259"/>
      <c r="BA40" s="260"/>
      <c r="BB40" s="260"/>
      <c r="BC40" s="260"/>
      <c r="BD40" s="260"/>
      <c r="BE40" s="261"/>
      <c r="BF40" s="262"/>
      <c r="BG40" s="262"/>
      <c r="BH40" s="263"/>
      <c r="BI40" s="264"/>
    </row>
  </sheetData>
  <mergeCells count="197">
    <mergeCell ref="A36:E36"/>
    <mergeCell ref="F36:S36"/>
    <mergeCell ref="T36:AY36"/>
    <mergeCell ref="AZ36:BE36"/>
    <mergeCell ref="BF36:BI36"/>
    <mergeCell ref="A40:E40"/>
    <mergeCell ref="F40:S40"/>
    <mergeCell ref="T40:AY40"/>
    <mergeCell ref="AZ40:BE40"/>
    <mergeCell ref="BF40:BI40"/>
    <mergeCell ref="A39:E39"/>
    <mergeCell ref="F39:S39"/>
    <mergeCell ref="T39:AY39"/>
    <mergeCell ref="AZ39:BE39"/>
    <mergeCell ref="BF39:BI39"/>
    <mergeCell ref="BF38:BI38"/>
    <mergeCell ref="AZ38:BE38"/>
    <mergeCell ref="T38:AY38"/>
    <mergeCell ref="F38:S38"/>
    <mergeCell ref="A38:E38"/>
    <mergeCell ref="BF33:BI33"/>
    <mergeCell ref="A34:E34"/>
    <mergeCell ref="F34:S34"/>
    <mergeCell ref="T34:AY34"/>
    <mergeCell ref="AZ34:BE34"/>
    <mergeCell ref="BF34:BI34"/>
    <mergeCell ref="A35:E35"/>
    <mergeCell ref="F35:S35"/>
    <mergeCell ref="T35:AY35"/>
    <mergeCell ref="AZ35:BE35"/>
    <mergeCell ref="BF35:BI35"/>
    <mergeCell ref="A12:E12"/>
    <mergeCell ref="F12:S12"/>
    <mergeCell ref="T12:AY12"/>
    <mergeCell ref="AZ12:BE12"/>
    <mergeCell ref="BF12:BI12"/>
    <mergeCell ref="A13:E13"/>
    <mergeCell ref="F13:S13"/>
    <mergeCell ref="T13:AY13"/>
    <mergeCell ref="AZ13:BE13"/>
    <mergeCell ref="BF13:BI13"/>
    <mergeCell ref="A10:E10"/>
    <mergeCell ref="F10:S10"/>
    <mergeCell ref="T10:AY10"/>
    <mergeCell ref="AZ10:BE10"/>
    <mergeCell ref="BF10:BI10"/>
    <mergeCell ref="A11:E11"/>
    <mergeCell ref="F11:S11"/>
    <mergeCell ref="T11:AY11"/>
    <mergeCell ref="AZ11:BE11"/>
    <mergeCell ref="BF11:BI11"/>
    <mergeCell ref="A8:E8"/>
    <mergeCell ref="F8:S8"/>
    <mergeCell ref="T8:AY8"/>
    <mergeCell ref="AZ8:BE8"/>
    <mergeCell ref="BF8:BI8"/>
    <mergeCell ref="A9:E9"/>
    <mergeCell ref="F9:S9"/>
    <mergeCell ref="T9:AY9"/>
    <mergeCell ref="AZ9:BE9"/>
    <mergeCell ref="BF9:BI9"/>
    <mergeCell ref="A6:E6"/>
    <mergeCell ref="F6:S6"/>
    <mergeCell ref="T6:AY6"/>
    <mergeCell ref="AZ6:BE6"/>
    <mergeCell ref="BF6:BI6"/>
    <mergeCell ref="A7:E7"/>
    <mergeCell ref="F7:S7"/>
    <mergeCell ref="T7:AY7"/>
    <mergeCell ref="AZ7:BE7"/>
    <mergeCell ref="BF7:BI7"/>
    <mergeCell ref="BB3:BI3"/>
    <mergeCell ref="A5:E5"/>
    <mergeCell ref="F5:S5"/>
    <mergeCell ref="T5:AY5"/>
    <mergeCell ref="AZ5:BE5"/>
    <mergeCell ref="BF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  <mergeCell ref="A14:E14"/>
    <mergeCell ref="F14:S14"/>
    <mergeCell ref="T14:AY14"/>
    <mergeCell ref="AZ14:BE14"/>
    <mergeCell ref="BF14:BI14"/>
    <mergeCell ref="A15:E15"/>
    <mergeCell ref="F15:S15"/>
    <mergeCell ref="T15:AY15"/>
    <mergeCell ref="AZ15:BE15"/>
    <mergeCell ref="BF15:BI15"/>
    <mergeCell ref="A16:E16"/>
    <mergeCell ref="F16:S16"/>
    <mergeCell ref="T16:AY16"/>
    <mergeCell ref="AZ16:BE16"/>
    <mergeCell ref="BF16:BI16"/>
    <mergeCell ref="A17:E17"/>
    <mergeCell ref="F17:S17"/>
    <mergeCell ref="T17:AY17"/>
    <mergeCell ref="AZ17:BE17"/>
    <mergeCell ref="BF17:BI17"/>
    <mergeCell ref="A18:E18"/>
    <mergeCell ref="F18:S18"/>
    <mergeCell ref="T18:AY18"/>
    <mergeCell ref="AZ18:BE18"/>
    <mergeCell ref="BF18:BI18"/>
    <mergeCell ref="A19:E19"/>
    <mergeCell ref="F19:S19"/>
    <mergeCell ref="T19:AY19"/>
    <mergeCell ref="AZ19:BE19"/>
    <mergeCell ref="BF19:BI19"/>
    <mergeCell ref="A20:E20"/>
    <mergeCell ref="F20:S20"/>
    <mergeCell ref="T20:AY20"/>
    <mergeCell ref="AZ20:BE20"/>
    <mergeCell ref="BF20:BI20"/>
    <mergeCell ref="A21:E21"/>
    <mergeCell ref="F21:S21"/>
    <mergeCell ref="T21:AY21"/>
    <mergeCell ref="AZ21:BE21"/>
    <mergeCell ref="BF21:BI21"/>
    <mergeCell ref="A22:E22"/>
    <mergeCell ref="F22:S22"/>
    <mergeCell ref="T22:AY22"/>
    <mergeCell ref="AZ22:BE22"/>
    <mergeCell ref="BF22:BI22"/>
    <mergeCell ref="A23:E23"/>
    <mergeCell ref="F23:S23"/>
    <mergeCell ref="T23:AY23"/>
    <mergeCell ref="AZ23:BE23"/>
    <mergeCell ref="BF23:BI23"/>
    <mergeCell ref="A24:E24"/>
    <mergeCell ref="F24:S24"/>
    <mergeCell ref="T24:AY24"/>
    <mergeCell ref="AZ24:BE24"/>
    <mergeCell ref="BF24:BI24"/>
    <mergeCell ref="A25:E25"/>
    <mergeCell ref="F25:S25"/>
    <mergeCell ref="T25:AY25"/>
    <mergeCell ref="AZ25:BE25"/>
    <mergeCell ref="BF25:BI25"/>
    <mergeCell ref="A26:E26"/>
    <mergeCell ref="F26:S26"/>
    <mergeCell ref="T26:AY26"/>
    <mergeCell ref="AZ26:BE26"/>
    <mergeCell ref="BF26:BI26"/>
    <mergeCell ref="A27:E27"/>
    <mergeCell ref="F27:S27"/>
    <mergeCell ref="T27:AY27"/>
    <mergeCell ref="AZ27:BE27"/>
    <mergeCell ref="BF27:BI27"/>
    <mergeCell ref="A28:E28"/>
    <mergeCell ref="F28:S28"/>
    <mergeCell ref="T28:AY28"/>
    <mergeCell ref="AZ28:BE28"/>
    <mergeCell ref="BF28:BI28"/>
    <mergeCell ref="A29:E29"/>
    <mergeCell ref="F29:S29"/>
    <mergeCell ref="T29:AY29"/>
    <mergeCell ref="AZ29:BE29"/>
    <mergeCell ref="BF29:BI29"/>
    <mergeCell ref="A30:E30"/>
    <mergeCell ref="F30:S30"/>
    <mergeCell ref="T30:AY30"/>
    <mergeCell ref="AZ30:BE30"/>
    <mergeCell ref="BF30:BI30"/>
    <mergeCell ref="A37:E37"/>
    <mergeCell ref="F37:S37"/>
    <mergeCell ref="T37:AY37"/>
    <mergeCell ref="AZ37:BE37"/>
    <mergeCell ref="BF37:BI37"/>
    <mergeCell ref="A31:E31"/>
    <mergeCell ref="F31:S31"/>
    <mergeCell ref="T31:AY31"/>
    <mergeCell ref="AZ31:BE31"/>
    <mergeCell ref="BF31:BI31"/>
    <mergeCell ref="A32:E32"/>
    <mergeCell ref="F32:S32"/>
    <mergeCell ref="T32:AY32"/>
    <mergeCell ref="AZ32:BE32"/>
    <mergeCell ref="BF32:BI32"/>
    <mergeCell ref="A33:E33"/>
    <mergeCell ref="F33:S33"/>
    <mergeCell ref="T33:AY33"/>
    <mergeCell ref="AZ33:BE3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581A-4BE4-4DB7-82AA-E5B6D12C77B6}">
  <sheetPr codeName="Sheet3"/>
  <dimension ref="A1:BI42"/>
  <sheetViews>
    <sheetView showGridLines="0" zoomScale="115" zoomScaleNormal="115" workbookViewId="0">
      <selection sqref="A1:E3"/>
    </sheetView>
  </sheetViews>
  <sheetFormatPr defaultColWidth="2.5" defaultRowHeight="15" customHeight="1"/>
  <cols>
    <col min="1" max="16384" width="2.5" style="40"/>
  </cols>
  <sheetData>
    <row r="1" spans="1:61" s="1" customFormat="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s="1" customFormat="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s="1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s="1" customFormat="1" ht="15" customHeight="1">
      <c r="A5" s="2" t="s">
        <v>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4"/>
    </row>
    <row r="6" spans="1:61" s="1" customFormat="1" ht="15" customHeight="1">
      <c r="A6" s="15"/>
      <c r="B6" s="5" t="s">
        <v>45</v>
      </c>
      <c r="C6" s="1" t="s">
        <v>46</v>
      </c>
      <c r="BI6" s="24"/>
    </row>
    <row r="7" spans="1:61" s="1" customFormat="1" ht="15" customHeight="1">
      <c r="A7" s="15"/>
      <c r="B7" s="5"/>
      <c r="BI7" s="24"/>
    </row>
    <row r="8" spans="1:61" s="1" customFormat="1" ht="15" customHeight="1">
      <c r="A8" s="15"/>
      <c r="B8" s="5"/>
      <c r="BI8" s="24"/>
    </row>
    <row r="9" spans="1:61" s="1" customFormat="1" ht="15" customHeight="1">
      <c r="A9" s="16" t="s">
        <v>47</v>
      </c>
      <c r="BI9" s="24"/>
    </row>
    <row r="10" spans="1:61" s="1" customFormat="1" ht="15" customHeight="1">
      <c r="A10" s="15"/>
      <c r="B10" s="5" t="s">
        <v>45</v>
      </c>
      <c r="C10" s="1" t="s">
        <v>48</v>
      </c>
      <c r="BI10" s="24"/>
    </row>
    <row r="11" spans="1:61" s="1" customFormat="1" ht="15" customHeight="1">
      <c r="A11" s="15"/>
      <c r="C11" s="1" t="s">
        <v>49</v>
      </c>
      <c r="BI11" s="24"/>
    </row>
    <row r="12" spans="1:61" s="1" customFormat="1" ht="15" customHeight="1">
      <c r="A12" s="15"/>
      <c r="B12" s="5" t="s">
        <v>50</v>
      </c>
      <c r="C12" s="1" t="s">
        <v>51</v>
      </c>
      <c r="BI12" s="24"/>
    </row>
    <row r="13" spans="1:61" s="1" customFormat="1" ht="15" customHeight="1">
      <c r="A13" s="15"/>
      <c r="B13" s="5" t="s">
        <v>52</v>
      </c>
      <c r="C13" s="1" t="s">
        <v>53</v>
      </c>
      <c r="BI13" s="24"/>
    </row>
    <row r="14" spans="1:61" s="1" customFormat="1" ht="15" customHeight="1">
      <c r="A14" s="15"/>
      <c r="B14" s="5"/>
      <c r="H14" s="1" t="s">
        <v>54</v>
      </c>
      <c r="BI14" s="24"/>
    </row>
    <row r="15" spans="1:61" s="1" customFormat="1" ht="15" customHeight="1">
      <c r="A15" s="15"/>
      <c r="B15" s="5"/>
      <c r="BI15" s="24"/>
    </row>
    <row r="16" spans="1:61" s="1" customFormat="1" ht="15" customHeight="1">
      <c r="A16" s="16" t="s">
        <v>55</v>
      </c>
      <c r="BI16" s="24"/>
    </row>
    <row r="17" spans="1:61" s="1" customFormat="1" ht="15" customHeight="1">
      <c r="A17" s="15"/>
      <c r="B17" s="5" t="s">
        <v>45</v>
      </c>
      <c r="C17" s="1" t="s">
        <v>56</v>
      </c>
      <c r="BI17" s="24"/>
    </row>
    <row r="18" spans="1:61" s="1" customFormat="1" ht="15" customHeight="1">
      <c r="A18" s="15"/>
      <c r="B18" s="5"/>
      <c r="BI18" s="24"/>
    </row>
    <row r="19" spans="1:61" s="1" customFormat="1" ht="15" customHeight="1">
      <c r="A19" s="15"/>
      <c r="B19" s="5"/>
      <c r="BI19" s="24"/>
    </row>
    <row r="20" spans="1:61" s="1" customFormat="1" ht="15" customHeight="1">
      <c r="A20" s="16" t="s">
        <v>57</v>
      </c>
      <c r="BI20" s="24"/>
    </row>
    <row r="21" spans="1:61" s="1" customFormat="1" ht="15" customHeight="1">
      <c r="A21" s="15"/>
      <c r="B21" s="5" t="s">
        <v>45</v>
      </c>
      <c r="C21" s="1" t="s">
        <v>58</v>
      </c>
      <c r="BI21" s="24"/>
    </row>
    <row r="22" spans="1:61" s="1" customFormat="1" ht="15" customHeight="1">
      <c r="A22" s="15"/>
      <c r="B22" s="5" t="s">
        <v>50</v>
      </c>
      <c r="C22" s="1" t="s">
        <v>59</v>
      </c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6" t="s">
        <v>60</v>
      </c>
      <c r="BI26" s="24"/>
    </row>
    <row r="27" spans="1:61" s="1" customFormat="1" ht="15" customHeight="1">
      <c r="A27" s="15"/>
      <c r="B27" s="5" t="s">
        <v>45</v>
      </c>
      <c r="C27" s="1" t="s">
        <v>61</v>
      </c>
      <c r="BI27" s="24"/>
    </row>
    <row r="28" spans="1:61" s="1" customFormat="1" ht="15" customHeight="1">
      <c r="A28" s="15"/>
      <c r="B28" s="5"/>
      <c r="BI28" s="24"/>
    </row>
    <row r="29" spans="1:61" s="1" customFormat="1" ht="15" customHeight="1" thickBot="1">
      <c r="A29" s="1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6"/>
    </row>
    <row r="30" spans="1:61" s="1" customFormat="1" ht="15" customHeight="1"/>
    <row r="31" spans="1:61" s="1" customFormat="1" ht="15" customHeight="1"/>
    <row r="32" spans="1:61" s="1" customFormat="1" ht="15" customHeight="1"/>
    <row r="33" s="1" customFormat="1" ht="15" customHeight="1"/>
    <row r="34" s="1" customFormat="1" ht="15" customHeight="1"/>
    <row r="35" s="1" customFormat="1" ht="15" customHeight="1"/>
    <row r="36" s="1" customFormat="1" ht="15" customHeight="1"/>
    <row r="37" s="1" customFormat="1" ht="15" customHeight="1"/>
    <row r="38" s="1" customFormat="1" ht="15" customHeight="1"/>
    <row r="39" s="1" customFormat="1" ht="15" customHeight="1"/>
    <row r="40" s="1" customFormat="1" ht="15" customHeight="1"/>
    <row r="41" s="1" customFormat="1" ht="15" customHeight="1"/>
    <row r="42" s="1" customFormat="1" ht="15" customHeight="1"/>
  </sheetData>
  <mergeCells count="18">
    <mergeCell ref="AV2:BA2"/>
    <mergeCell ref="BB2:BI2"/>
    <mergeCell ref="AT3:AU3"/>
    <mergeCell ref="AV3:BA3"/>
    <mergeCell ref="A4:H4"/>
    <mergeCell ref="BB3:BI3"/>
    <mergeCell ref="BB1:BI1"/>
    <mergeCell ref="A1:E3"/>
    <mergeCell ref="F1:P1"/>
    <mergeCell ref="Q1:V1"/>
    <mergeCell ref="W1:AD1"/>
    <mergeCell ref="AE1:AS1"/>
    <mergeCell ref="AT1:BA1"/>
    <mergeCell ref="F2:P3"/>
    <mergeCell ref="Q2:V3"/>
    <mergeCell ref="W2:AD3"/>
    <mergeCell ref="AE2:AS3"/>
    <mergeCell ref="AT2:AU2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8814-B2D9-4DA6-AC9E-028D89350E4F}">
  <sheetPr codeName="Sheet4"/>
  <dimension ref="A1:BI40"/>
  <sheetViews>
    <sheetView showGridLines="0" zoomScaleNormal="100" workbookViewId="0">
      <pane ySplit="5" topLeftCell="A6" activePane="bottomLeft" state="frozen"/>
      <selection pane="bottomLeft" activeCell="A6" sqref="A6:B6"/>
      <selection activeCell="A6" sqref="A6"/>
    </sheetView>
  </sheetViews>
  <sheetFormatPr defaultColWidth="2.5" defaultRowHeight="15" customHeight="1"/>
  <cols>
    <col min="1" max="16384" width="2.5" style="40"/>
  </cols>
  <sheetData>
    <row r="1" spans="1:61" s="1" customFormat="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s="1" customFormat="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s="1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s="73" customFormat="1" ht="15" customHeight="1" thickBot="1">
      <c r="A5" s="289" t="s">
        <v>62</v>
      </c>
      <c r="B5" s="289"/>
      <c r="C5" s="301" t="s">
        <v>63</v>
      </c>
      <c r="D5" s="301"/>
      <c r="E5" s="301"/>
      <c r="F5" s="301"/>
      <c r="G5" s="301"/>
      <c r="H5" s="301"/>
      <c r="I5" s="301"/>
      <c r="J5" s="301"/>
      <c r="K5" s="302" t="s">
        <v>64</v>
      </c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289" t="s">
        <v>65</v>
      </c>
      <c r="AD5" s="289"/>
      <c r="AE5" s="289"/>
      <c r="AF5" s="289"/>
      <c r="AG5" s="289"/>
      <c r="AH5" s="289"/>
      <c r="AI5" s="289"/>
      <c r="AJ5" s="289"/>
      <c r="AK5" s="289"/>
      <c r="AL5" s="289"/>
      <c r="AM5" s="289"/>
      <c r="AN5" s="289"/>
      <c r="AO5" s="289"/>
      <c r="AP5" s="289"/>
      <c r="AQ5" s="289"/>
      <c r="AR5" s="289"/>
      <c r="AS5" s="289" t="s">
        <v>66</v>
      </c>
      <c r="AT5" s="289"/>
      <c r="AU5" s="289" t="s">
        <v>67</v>
      </c>
      <c r="AV5" s="289"/>
      <c r="AW5" s="289"/>
      <c r="AX5" s="289"/>
      <c r="AY5" s="289"/>
      <c r="AZ5" s="289"/>
      <c r="BA5" s="289"/>
      <c r="BB5" s="289"/>
      <c r="BC5" s="289"/>
      <c r="BD5" s="289"/>
      <c r="BE5" s="289"/>
      <c r="BF5" s="289"/>
      <c r="BG5" s="289"/>
      <c r="BH5" s="289"/>
      <c r="BI5" s="300"/>
    </row>
    <row r="6" spans="1:61" s="1" customFormat="1" ht="15" customHeight="1">
      <c r="A6" s="295">
        <f t="shared" ref="A6:A14" si="0">ROW()-5</f>
        <v>1</v>
      </c>
      <c r="B6" s="296"/>
      <c r="C6" s="284" t="s">
        <v>68</v>
      </c>
      <c r="D6" s="285"/>
      <c r="E6" s="285"/>
      <c r="F6" s="285"/>
      <c r="G6" s="285"/>
      <c r="H6" s="285"/>
      <c r="I6" s="285"/>
      <c r="J6" s="286"/>
      <c r="K6" s="303" t="s">
        <v>69</v>
      </c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5"/>
      <c r="AC6" s="303" t="s">
        <v>70</v>
      </c>
      <c r="AD6" s="304"/>
      <c r="AE6" s="304"/>
      <c r="AF6" s="304"/>
      <c r="AG6" s="304"/>
      <c r="AH6" s="304"/>
      <c r="AI6" s="304"/>
      <c r="AJ6" s="304"/>
      <c r="AK6" s="304"/>
      <c r="AL6" s="304"/>
      <c r="AM6" s="304"/>
      <c r="AN6" s="304"/>
      <c r="AO6" s="304"/>
      <c r="AP6" s="304"/>
      <c r="AQ6" s="304"/>
      <c r="AR6" s="305"/>
      <c r="AS6" s="306" t="s">
        <v>71</v>
      </c>
      <c r="AT6" s="307"/>
      <c r="AU6" s="303"/>
      <c r="AV6" s="304"/>
      <c r="AW6" s="304"/>
      <c r="AX6" s="304"/>
      <c r="AY6" s="304"/>
      <c r="AZ6" s="304"/>
      <c r="BA6" s="304"/>
      <c r="BB6" s="304"/>
      <c r="BC6" s="304"/>
      <c r="BD6" s="304"/>
      <c r="BE6" s="304"/>
      <c r="BF6" s="304"/>
      <c r="BG6" s="304"/>
      <c r="BH6" s="304"/>
      <c r="BI6" s="305"/>
    </row>
    <row r="7" spans="1:61" s="1" customFormat="1" ht="15" customHeight="1">
      <c r="A7" s="282">
        <f t="shared" si="0"/>
        <v>2</v>
      </c>
      <c r="B7" s="283"/>
      <c r="C7" s="284" t="s">
        <v>68</v>
      </c>
      <c r="D7" s="285"/>
      <c r="E7" s="285"/>
      <c r="F7" s="285"/>
      <c r="G7" s="285"/>
      <c r="H7" s="285"/>
      <c r="I7" s="285"/>
      <c r="J7" s="286"/>
      <c r="K7" s="272" t="s">
        <v>72</v>
      </c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4"/>
      <c r="AC7" s="272" t="s">
        <v>73</v>
      </c>
      <c r="AD7" s="273"/>
      <c r="AE7" s="273"/>
      <c r="AF7" s="273"/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4"/>
      <c r="AS7" s="280" t="s">
        <v>71</v>
      </c>
      <c r="AT7" s="281"/>
      <c r="AU7" s="272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4"/>
    </row>
    <row r="8" spans="1:61" s="1" customFormat="1" ht="15" customHeight="1">
      <c r="A8" s="282">
        <f t="shared" si="0"/>
        <v>3</v>
      </c>
      <c r="B8" s="283"/>
      <c r="C8" s="284" t="s">
        <v>68</v>
      </c>
      <c r="D8" s="285"/>
      <c r="E8" s="285"/>
      <c r="F8" s="285"/>
      <c r="G8" s="285"/>
      <c r="H8" s="285"/>
      <c r="I8" s="285"/>
      <c r="J8" s="286"/>
      <c r="K8" s="297" t="s">
        <v>74</v>
      </c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9"/>
      <c r="AC8" s="297" t="s">
        <v>75</v>
      </c>
      <c r="AD8" s="298"/>
      <c r="AE8" s="298"/>
      <c r="AF8" s="298"/>
      <c r="AG8" s="298"/>
      <c r="AH8" s="298"/>
      <c r="AI8" s="298"/>
      <c r="AJ8" s="298"/>
      <c r="AK8" s="298"/>
      <c r="AL8" s="298"/>
      <c r="AM8" s="298"/>
      <c r="AN8" s="298"/>
      <c r="AO8" s="298"/>
      <c r="AP8" s="298"/>
      <c r="AQ8" s="298"/>
      <c r="AR8" s="299"/>
      <c r="AS8" s="280" t="s">
        <v>71</v>
      </c>
      <c r="AT8" s="281"/>
      <c r="AU8" s="272"/>
      <c r="AV8" s="273"/>
      <c r="AW8" s="273"/>
      <c r="AX8" s="273"/>
      <c r="AY8" s="273"/>
      <c r="AZ8" s="273"/>
      <c r="BA8" s="273"/>
      <c r="BB8" s="273"/>
      <c r="BC8" s="273"/>
      <c r="BD8" s="273"/>
      <c r="BE8" s="273"/>
      <c r="BF8" s="273"/>
      <c r="BG8" s="273"/>
      <c r="BH8" s="273"/>
      <c r="BI8" s="274"/>
    </row>
    <row r="9" spans="1:61" s="1" customFormat="1" ht="15" customHeight="1">
      <c r="A9" s="282">
        <f t="shared" si="0"/>
        <v>4</v>
      </c>
      <c r="B9" s="283"/>
      <c r="C9" s="284" t="s">
        <v>68</v>
      </c>
      <c r="D9" s="285"/>
      <c r="E9" s="285"/>
      <c r="F9" s="285"/>
      <c r="G9" s="285"/>
      <c r="H9" s="285"/>
      <c r="I9" s="285"/>
      <c r="J9" s="286"/>
      <c r="K9" s="272" t="s">
        <v>76</v>
      </c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  <c r="AC9" s="272" t="s">
        <v>77</v>
      </c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4"/>
      <c r="AS9" s="280" t="s">
        <v>71</v>
      </c>
      <c r="AT9" s="281"/>
      <c r="AU9" s="272"/>
      <c r="AV9" s="273"/>
      <c r="AW9" s="273"/>
      <c r="AX9" s="273"/>
      <c r="AY9" s="273"/>
      <c r="AZ9" s="273"/>
      <c r="BA9" s="273"/>
      <c r="BB9" s="273"/>
      <c r="BC9" s="273"/>
      <c r="BD9" s="273"/>
      <c r="BE9" s="273"/>
      <c r="BF9" s="273"/>
      <c r="BG9" s="273"/>
      <c r="BH9" s="273"/>
      <c r="BI9" s="274"/>
    </row>
    <row r="10" spans="1:61" s="1" customFormat="1" ht="15" customHeight="1">
      <c r="A10" s="282">
        <f t="shared" si="0"/>
        <v>5</v>
      </c>
      <c r="B10" s="283"/>
      <c r="C10" s="284" t="s">
        <v>68</v>
      </c>
      <c r="D10" s="285"/>
      <c r="E10" s="285"/>
      <c r="F10" s="285"/>
      <c r="G10" s="285"/>
      <c r="H10" s="285"/>
      <c r="I10" s="285"/>
      <c r="J10" s="286"/>
      <c r="K10" s="272" t="s">
        <v>78</v>
      </c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  <c r="AC10" s="272" t="s">
        <v>79</v>
      </c>
      <c r="AD10" s="273"/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4"/>
      <c r="AS10" s="280" t="s">
        <v>71</v>
      </c>
      <c r="AT10" s="281"/>
      <c r="AU10" s="272"/>
      <c r="AV10" s="273"/>
      <c r="AW10" s="273"/>
      <c r="AX10" s="273"/>
      <c r="AY10" s="273"/>
      <c r="AZ10" s="273"/>
      <c r="BA10" s="273"/>
      <c r="BB10" s="273"/>
      <c r="BC10" s="273"/>
      <c r="BD10" s="273"/>
      <c r="BE10" s="273"/>
      <c r="BF10" s="273"/>
      <c r="BG10" s="273"/>
      <c r="BH10" s="273"/>
      <c r="BI10" s="274"/>
    </row>
    <row r="11" spans="1:61" s="1" customFormat="1" ht="15" customHeight="1">
      <c r="A11" s="282">
        <f t="shared" si="0"/>
        <v>6</v>
      </c>
      <c r="B11" s="283"/>
      <c r="C11" s="284" t="s">
        <v>68</v>
      </c>
      <c r="D11" s="285"/>
      <c r="E11" s="285"/>
      <c r="F11" s="285"/>
      <c r="G11" s="285"/>
      <c r="H11" s="285"/>
      <c r="I11" s="285"/>
      <c r="J11" s="286"/>
      <c r="K11" s="272" t="s">
        <v>78</v>
      </c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4"/>
      <c r="AC11" s="272" t="s">
        <v>80</v>
      </c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4"/>
      <c r="AS11" s="280" t="s">
        <v>71</v>
      </c>
      <c r="AT11" s="281"/>
      <c r="AU11" s="272"/>
      <c r="AV11" s="273"/>
      <c r="AW11" s="273"/>
      <c r="AX11" s="273"/>
      <c r="AY11" s="273"/>
      <c r="AZ11" s="273"/>
      <c r="BA11" s="273"/>
      <c r="BB11" s="273"/>
      <c r="BC11" s="273"/>
      <c r="BD11" s="273"/>
      <c r="BE11" s="273"/>
      <c r="BF11" s="273"/>
      <c r="BG11" s="273"/>
      <c r="BH11" s="273"/>
      <c r="BI11" s="274"/>
    </row>
    <row r="12" spans="1:61" s="1" customFormat="1" ht="15" customHeight="1">
      <c r="A12" s="282">
        <f t="shared" si="0"/>
        <v>7</v>
      </c>
      <c r="B12" s="283"/>
      <c r="C12" s="284"/>
      <c r="D12" s="284"/>
      <c r="E12" s="284"/>
      <c r="F12" s="284"/>
      <c r="G12" s="284"/>
      <c r="H12" s="284"/>
      <c r="I12" s="284"/>
      <c r="J12" s="284"/>
      <c r="K12" s="272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4"/>
      <c r="AC12" s="272"/>
      <c r="AD12" s="273"/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4"/>
      <c r="AS12" s="280"/>
      <c r="AT12" s="281"/>
      <c r="AU12" s="272"/>
      <c r="AV12" s="273"/>
      <c r="AW12" s="273"/>
      <c r="AX12" s="273"/>
      <c r="AY12" s="273"/>
      <c r="AZ12" s="273"/>
      <c r="BA12" s="273"/>
      <c r="BB12" s="273"/>
      <c r="BC12" s="273"/>
      <c r="BD12" s="273"/>
      <c r="BE12" s="273"/>
      <c r="BF12" s="273"/>
      <c r="BG12" s="273"/>
      <c r="BH12" s="273"/>
      <c r="BI12" s="274"/>
    </row>
    <row r="13" spans="1:61" s="1" customFormat="1" ht="15" customHeight="1">
      <c r="A13" s="282">
        <f t="shared" si="0"/>
        <v>8</v>
      </c>
      <c r="B13" s="283"/>
      <c r="C13" s="284"/>
      <c r="D13" s="284"/>
      <c r="E13" s="284"/>
      <c r="F13" s="284"/>
      <c r="G13" s="284"/>
      <c r="H13" s="284"/>
      <c r="I13" s="284"/>
      <c r="J13" s="284"/>
      <c r="K13" s="272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  <c r="AA13" s="273"/>
      <c r="AB13" s="274"/>
      <c r="AC13" s="272"/>
      <c r="AD13" s="273"/>
      <c r="AE13" s="273"/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4"/>
      <c r="AS13" s="280"/>
      <c r="AT13" s="281"/>
      <c r="AU13" s="272"/>
      <c r="AV13" s="273"/>
      <c r="AW13" s="273"/>
      <c r="AX13" s="273"/>
      <c r="AY13" s="273"/>
      <c r="AZ13" s="273"/>
      <c r="BA13" s="273"/>
      <c r="BB13" s="273"/>
      <c r="BC13" s="273"/>
      <c r="BD13" s="273"/>
      <c r="BE13" s="273"/>
      <c r="BF13" s="273"/>
      <c r="BG13" s="273"/>
      <c r="BH13" s="273"/>
      <c r="BI13" s="274"/>
    </row>
    <row r="14" spans="1:61" s="1" customFormat="1" ht="15" customHeight="1">
      <c r="A14" s="282">
        <f t="shared" si="0"/>
        <v>9</v>
      </c>
      <c r="B14" s="283"/>
      <c r="C14" s="284"/>
      <c r="D14" s="284"/>
      <c r="E14" s="284"/>
      <c r="F14" s="284"/>
      <c r="G14" s="284"/>
      <c r="H14" s="284"/>
      <c r="I14" s="284"/>
      <c r="J14" s="284"/>
      <c r="K14" s="272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  <c r="AA14" s="273"/>
      <c r="AB14" s="274"/>
      <c r="AC14" s="272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4"/>
      <c r="AS14" s="280"/>
      <c r="AT14" s="281"/>
      <c r="AU14" s="272"/>
      <c r="AV14" s="273"/>
      <c r="AW14" s="273"/>
      <c r="AX14" s="273"/>
      <c r="AY14" s="273"/>
      <c r="AZ14" s="273"/>
      <c r="BA14" s="273"/>
      <c r="BB14" s="273"/>
      <c r="BC14" s="273"/>
      <c r="BD14" s="273"/>
      <c r="BE14" s="273"/>
      <c r="BF14" s="273"/>
      <c r="BG14" s="273"/>
      <c r="BH14" s="273"/>
      <c r="BI14" s="274"/>
    </row>
    <row r="15" spans="1:61" s="1" customFormat="1" ht="15" customHeight="1">
      <c r="A15" s="282">
        <f t="shared" ref="A15:A19" si="1">ROW()-5</f>
        <v>10</v>
      </c>
      <c r="B15" s="283"/>
      <c r="C15" s="284"/>
      <c r="D15" s="284"/>
      <c r="E15" s="284"/>
      <c r="F15" s="284"/>
      <c r="G15" s="284"/>
      <c r="H15" s="284"/>
      <c r="I15" s="284"/>
      <c r="J15" s="284"/>
      <c r="K15" s="272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  <c r="AA15" s="273"/>
      <c r="AB15" s="274"/>
      <c r="AC15" s="272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4"/>
      <c r="AS15" s="280"/>
      <c r="AT15" s="281"/>
      <c r="AU15" s="272"/>
      <c r="AV15" s="273"/>
      <c r="AW15" s="273"/>
      <c r="AX15" s="273"/>
      <c r="AY15" s="273"/>
      <c r="AZ15" s="273"/>
      <c r="BA15" s="273"/>
      <c r="BB15" s="273"/>
      <c r="BC15" s="273"/>
      <c r="BD15" s="273"/>
      <c r="BE15" s="273"/>
      <c r="BF15" s="273"/>
      <c r="BG15" s="273"/>
      <c r="BH15" s="273"/>
      <c r="BI15" s="274"/>
    </row>
    <row r="16" spans="1:61" s="1" customFormat="1" ht="15" customHeight="1">
      <c r="A16" s="282">
        <f t="shared" si="1"/>
        <v>11</v>
      </c>
      <c r="B16" s="283"/>
      <c r="C16" s="284"/>
      <c r="D16" s="285"/>
      <c r="E16" s="285"/>
      <c r="F16" s="285"/>
      <c r="G16" s="285"/>
      <c r="H16" s="285"/>
      <c r="I16" s="285"/>
      <c r="J16" s="286"/>
      <c r="K16" s="272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  <c r="AA16" s="273"/>
      <c r="AB16" s="274"/>
      <c r="AC16" s="272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4"/>
      <c r="AS16" s="280"/>
      <c r="AT16" s="281"/>
      <c r="AU16" s="272"/>
      <c r="AV16" s="273"/>
      <c r="AW16" s="273"/>
      <c r="AX16" s="273"/>
      <c r="AY16" s="273"/>
      <c r="AZ16" s="273"/>
      <c r="BA16" s="273"/>
      <c r="BB16" s="273"/>
      <c r="BC16" s="273"/>
      <c r="BD16" s="273"/>
      <c r="BE16" s="273"/>
      <c r="BF16" s="273"/>
      <c r="BG16" s="273"/>
      <c r="BH16" s="273"/>
      <c r="BI16" s="274"/>
    </row>
    <row r="17" spans="1:61" s="1" customFormat="1" ht="15" customHeight="1">
      <c r="A17" s="282">
        <f t="shared" si="1"/>
        <v>12</v>
      </c>
      <c r="B17" s="283"/>
      <c r="C17" s="284"/>
      <c r="D17" s="285"/>
      <c r="E17" s="285"/>
      <c r="F17" s="285"/>
      <c r="G17" s="285"/>
      <c r="H17" s="285"/>
      <c r="I17" s="285"/>
      <c r="J17" s="286"/>
      <c r="K17" s="272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  <c r="AA17" s="273"/>
      <c r="AB17" s="274"/>
      <c r="AC17" s="272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4"/>
      <c r="AS17" s="280"/>
      <c r="AT17" s="281"/>
      <c r="AU17" s="272"/>
      <c r="AV17" s="273"/>
      <c r="AW17" s="273"/>
      <c r="AX17" s="273"/>
      <c r="AY17" s="273"/>
      <c r="AZ17" s="273"/>
      <c r="BA17" s="273"/>
      <c r="BB17" s="273"/>
      <c r="BC17" s="273"/>
      <c r="BD17" s="273"/>
      <c r="BE17" s="273"/>
      <c r="BF17" s="273"/>
      <c r="BG17" s="273"/>
      <c r="BH17" s="273"/>
      <c r="BI17" s="274"/>
    </row>
    <row r="18" spans="1:61" s="1" customFormat="1" ht="15" customHeight="1">
      <c r="A18" s="282">
        <f t="shared" si="1"/>
        <v>13</v>
      </c>
      <c r="B18" s="283"/>
      <c r="C18" s="284"/>
      <c r="D18" s="285"/>
      <c r="E18" s="285"/>
      <c r="F18" s="285"/>
      <c r="G18" s="285"/>
      <c r="H18" s="285"/>
      <c r="I18" s="285"/>
      <c r="J18" s="286"/>
      <c r="K18" s="272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  <c r="AA18" s="273"/>
      <c r="AB18" s="274"/>
      <c r="AC18" s="272"/>
      <c r="AD18" s="273"/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4"/>
      <c r="AS18" s="280"/>
      <c r="AT18" s="281"/>
      <c r="AU18" s="272"/>
      <c r="AV18" s="273"/>
      <c r="AW18" s="273"/>
      <c r="AX18" s="273"/>
      <c r="AY18" s="273"/>
      <c r="AZ18" s="273"/>
      <c r="BA18" s="273"/>
      <c r="BB18" s="273"/>
      <c r="BC18" s="273"/>
      <c r="BD18" s="273"/>
      <c r="BE18" s="273"/>
      <c r="BF18" s="273"/>
      <c r="BG18" s="273"/>
      <c r="BH18" s="273"/>
      <c r="BI18" s="274"/>
    </row>
    <row r="19" spans="1:61" s="1" customFormat="1" ht="15" customHeight="1">
      <c r="A19" s="282">
        <f t="shared" si="1"/>
        <v>14</v>
      </c>
      <c r="B19" s="283"/>
      <c r="C19" s="284"/>
      <c r="D19" s="285"/>
      <c r="E19" s="285"/>
      <c r="F19" s="285"/>
      <c r="G19" s="285"/>
      <c r="H19" s="285"/>
      <c r="I19" s="285"/>
      <c r="J19" s="286"/>
      <c r="K19" s="272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  <c r="AA19" s="273"/>
      <c r="AB19" s="274"/>
      <c r="AC19" s="272"/>
      <c r="AD19" s="273"/>
      <c r="AE19" s="273"/>
      <c r="AF19" s="273"/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4"/>
      <c r="AS19" s="280"/>
      <c r="AT19" s="281"/>
      <c r="AU19" s="272"/>
      <c r="AV19" s="273"/>
      <c r="AW19" s="273"/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4"/>
    </row>
    <row r="20" spans="1:61" s="1" customFormat="1" ht="15" customHeight="1">
      <c r="A20" s="282">
        <f t="shared" ref="A20:A30" si="2">ROW()-5</f>
        <v>15</v>
      </c>
      <c r="B20" s="283"/>
      <c r="C20" s="284"/>
      <c r="D20" s="285"/>
      <c r="E20" s="285"/>
      <c r="F20" s="285"/>
      <c r="G20" s="285"/>
      <c r="H20" s="285"/>
      <c r="I20" s="285"/>
      <c r="J20" s="286"/>
      <c r="K20" s="272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  <c r="AA20" s="273"/>
      <c r="AB20" s="274"/>
      <c r="AC20" s="272"/>
      <c r="AD20" s="273"/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4"/>
      <c r="AS20" s="280"/>
      <c r="AT20" s="281"/>
      <c r="AU20" s="272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4"/>
    </row>
    <row r="21" spans="1:61" s="1" customFormat="1" ht="15" customHeight="1">
      <c r="A21" s="282">
        <f t="shared" si="2"/>
        <v>16</v>
      </c>
      <c r="B21" s="283"/>
      <c r="C21" s="284"/>
      <c r="D21" s="285"/>
      <c r="E21" s="285"/>
      <c r="F21" s="285"/>
      <c r="G21" s="285"/>
      <c r="H21" s="285"/>
      <c r="I21" s="285"/>
      <c r="J21" s="286"/>
      <c r="K21" s="272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  <c r="AA21" s="273"/>
      <c r="AB21" s="274"/>
      <c r="AC21" s="272"/>
      <c r="AD21" s="273"/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4"/>
      <c r="AS21" s="280"/>
      <c r="AT21" s="281"/>
      <c r="AU21" s="272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/>
      <c r="BF21" s="273"/>
      <c r="BG21" s="273"/>
      <c r="BH21" s="273"/>
      <c r="BI21" s="274"/>
    </row>
    <row r="22" spans="1:61" s="1" customFormat="1" ht="15" customHeight="1">
      <c r="A22" s="282">
        <f t="shared" si="2"/>
        <v>17</v>
      </c>
      <c r="B22" s="283"/>
      <c r="C22" s="284"/>
      <c r="D22" s="285"/>
      <c r="E22" s="285"/>
      <c r="F22" s="285"/>
      <c r="G22" s="285"/>
      <c r="H22" s="285"/>
      <c r="I22" s="285"/>
      <c r="J22" s="286"/>
      <c r="K22" s="272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  <c r="AA22" s="273"/>
      <c r="AB22" s="274"/>
      <c r="AC22" s="272"/>
      <c r="AD22" s="273"/>
      <c r="AE22" s="273"/>
      <c r="AF22" s="273"/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4"/>
      <c r="AS22" s="280"/>
      <c r="AT22" s="281"/>
      <c r="AU22" s="272"/>
      <c r="AV22" s="273"/>
      <c r="AW22" s="273"/>
      <c r="AX22" s="273"/>
      <c r="AY22" s="273"/>
      <c r="AZ22" s="273"/>
      <c r="BA22" s="273"/>
      <c r="BB22" s="273"/>
      <c r="BC22" s="273"/>
      <c r="BD22" s="273"/>
      <c r="BE22" s="273"/>
      <c r="BF22" s="273"/>
      <c r="BG22" s="273"/>
      <c r="BH22" s="273"/>
      <c r="BI22" s="274"/>
    </row>
    <row r="23" spans="1:61" s="1" customFormat="1" ht="15" customHeight="1">
      <c r="A23" s="282">
        <f t="shared" si="2"/>
        <v>18</v>
      </c>
      <c r="B23" s="283"/>
      <c r="C23" s="284"/>
      <c r="D23" s="285"/>
      <c r="E23" s="285"/>
      <c r="F23" s="285"/>
      <c r="G23" s="285"/>
      <c r="H23" s="285"/>
      <c r="I23" s="285"/>
      <c r="J23" s="286"/>
      <c r="K23" s="272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  <c r="AA23" s="273"/>
      <c r="AB23" s="274"/>
      <c r="AC23" s="272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4"/>
      <c r="AS23" s="280"/>
      <c r="AT23" s="281"/>
      <c r="AU23" s="272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4"/>
    </row>
    <row r="24" spans="1:61" s="1" customFormat="1" ht="15" customHeight="1">
      <c r="A24" s="282">
        <f t="shared" si="2"/>
        <v>19</v>
      </c>
      <c r="B24" s="283"/>
      <c r="C24" s="284"/>
      <c r="D24" s="285"/>
      <c r="E24" s="285"/>
      <c r="F24" s="285"/>
      <c r="G24" s="285"/>
      <c r="H24" s="285"/>
      <c r="I24" s="285"/>
      <c r="J24" s="286"/>
      <c r="K24" s="272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  <c r="AA24" s="273"/>
      <c r="AB24" s="274"/>
      <c r="AC24" s="272"/>
      <c r="AD24" s="273"/>
      <c r="AE24" s="273"/>
      <c r="AF24" s="273"/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4"/>
      <c r="AS24" s="280"/>
      <c r="AT24" s="281"/>
      <c r="AU24" s="272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4"/>
    </row>
    <row r="25" spans="1:61" s="1" customFormat="1" ht="15" customHeight="1">
      <c r="A25" s="282">
        <f t="shared" si="2"/>
        <v>20</v>
      </c>
      <c r="B25" s="283"/>
      <c r="C25" s="284"/>
      <c r="D25" s="285"/>
      <c r="E25" s="285"/>
      <c r="F25" s="285"/>
      <c r="G25" s="285"/>
      <c r="H25" s="285"/>
      <c r="I25" s="285"/>
      <c r="J25" s="286"/>
      <c r="K25" s="272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  <c r="AC25" s="272"/>
      <c r="AD25" s="273"/>
      <c r="AE25" s="273"/>
      <c r="AF25" s="273"/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4"/>
      <c r="AS25" s="280"/>
      <c r="AT25" s="281"/>
      <c r="AU25" s="272"/>
      <c r="AV25" s="273"/>
      <c r="AW25" s="273"/>
      <c r="AX25" s="273"/>
      <c r="AY25" s="273"/>
      <c r="AZ25" s="273"/>
      <c r="BA25" s="273"/>
      <c r="BB25" s="273"/>
      <c r="BC25" s="273"/>
      <c r="BD25" s="273"/>
      <c r="BE25" s="273"/>
      <c r="BF25" s="273"/>
      <c r="BG25" s="273"/>
      <c r="BH25" s="273"/>
      <c r="BI25" s="274"/>
    </row>
    <row r="26" spans="1:61" s="1" customFormat="1" ht="15" customHeight="1">
      <c r="A26" s="282">
        <f t="shared" si="2"/>
        <v>21</v>
      </c>
      <c r="B26" s="283"/>
      <c r="C26" s="284"/>
      <c r="D26" s="285"/>
      <c r="E26" s="285"/>
      <c r="F26" s="285"/>
      <c r="G26" s="285"/>
      <c r="H26" s="285"/>
      <c r="I26" s="285"/>
      <c r="J26" s="286"/>
      <c r="K26" s="272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  <c r="AA26" s="273"/>
      <c r="AB26" s="274"/>
      <c r="AC26" s="272"/>
      <c r="AD26" s="273"/>
      <c r="AE26" s="273"/>
      <c r="AF26" s="273"/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4"/>
      <c r="AS26" s="280"/>
      <c r="AT26" s="281"/>
      <c r="AU26" s="272"/>
      <c r="AV26" s="273"/>
      <c r="AW26" s="273"/>
      <c r="AX26" s="273"/>
      <c r="AY26" s="273"/>
      <c r="AZ26" s="273"/>
      <c r="BA26" s="273"/>
      <c r="BB26" s="273"/>
      <c r="BC26" s="273"/>
      <c r="BD26" s="273"/>
      <c r="BE26" s="273"/>
      <c r="BF26" s="273"/>
      <c r="BG26" s="273"/>
      <c r="BH26" s="273"/>
      <c r="BI26" s="274"/>
    </row>
    <row r="27" spans="1:61" s="1" customFormat="1" ht="15" customHeight="1">
      <c r="A27" s="282">
        <f t="shared" si="2"/>
        <v>22</v>
      </c>
      <c r="B27" s="283"/>
      <c r="C27" s="284"/>
      <c r="D27" s="285"/>
      <c r="E27" s="285"/>
      <c r="F27" s="285"/>
      <c r="G27" s="285"/>
      <c r="H27" s="285"/>
      <c r="I27" s="285"/>
      <c r="J27" s="286"/>
      <c r="K27" s="272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  <c r="AA27" s="273"/>
      <c r="AB27" s="274"/>
      <c r="AC27" s="272"/>
      <c r="AD27" s="273"/>
      <c r="AE27" s="273"/>
      <c r="AF27" s="273"/>
      <c r="AG27" s="273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4"/>
      <c r="AS27" s="280"/>
      <c r="AT27" s="281"/>
      <c r="AU27" s="272"/>
      <c r="AV27" s="273"/>
      <c r="AW27" s="273"/>
      <c r="AX27" s="273"/>
      <c r="AY27" s="273"/>
      <c r="AZ27" s="273"/>
      <c r="BA27" s="273"/>
      <c r="BB27" s="273"/>
      <c r="BC27" s="273"/>
      <c r="BD27" s="273"/>
      <c r="BE27" s="273"/>
      <c r="BF27" s="273"/>
      <c r="BG27" s="273"/>
      <c r="BH27" s="273"/>
      <c r="BI27" s="274"/>
    </row>
    <row r="28" spans="1:61" s="1" customFormat="1" ht="15" customHeight="1">
      <c r="A28" s="282">
        <f t="shared" si="2"/>
        <v>23</v>
      </c>
      <c r="B28" s="283"/>
      <c r="C28" s="284"/>
      <c r="D28" s="285"/>
      <c r="E28" s="285"/>
      <c r="F28" s="285"/>
      <c r="G28" s="285"/>
      <c r="H28" s="285"/>
      <c r="I28" s="285"/>
      <c r="J28" s="286"/>
      <c r="K28" s="272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  <c r="AA28" s="273"/>
      <c r="AB28" s="274"/>
      <c r="AC28" s="272"/>
      <c r="AD28" s="273"/>
      <c r="AE28" s="273"/>
      <c r="AF28" s="273"/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4"/>
      <c r="AS28" s="280"/>
      <c r="AT28" s="281"/>
      <c r="AU28" s="272"/>
      <c r="AV28" s="273"/>
      <c r="AW28" s="273"/>
      <c r="AX28" s="273"/>
      <c r="AY28" s="273"/>
      <c r="AZ28" s="273"/>
      <c r="BA28" s="273"/>
      <c r="BB28" s="273"/>
      <c r="BC28" s="273"/>
      <c r="BD28" s="273"/>
      <c r="BE28" s="273"/>
      <c r="BF28" s="273"/>
      <c r="BG28" s="273"/>
      <c r="BH28" s="273"/>
      <c r="BI28" s="274"/>
    </row>
    <row r="29" spans="1:61" s="1" customFormat="1" ht="15" customHeight="1">
      <c r="A29" s="293">
        <f t="shared" si="2"/>
        <v>24</v>
      </c>
      <c r="B29" s="294"/>
      <c r="C29" s="284"/>
      <c r="D29" s="285"/>
      <c r="E29" s="285"/>
      <c r="F29" s="285"/>
      <c r="G29" s="285"/>
      <c r="H29" s="285"/>
      <c r="I29" s="285"/>
      <c r="J29" s="286"/>
      <c r="K29" s="272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4"/>
      <c r="AC29" s="272"/>
      <c r="AD29" s="273"/>
      <c r="AE29" s="273"/>
      <c r="AF29" s="273"/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4"/>
      <c r="AS29" s="280"/>
      <c r="AT29" s="281"/>
      <c r="AU29" s="272"/>
      <c r="AV29" s="273"/>
      <c r="AW29" s="273"/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4"/>
    </row>
    <row r="30" spans="1:61" s="1" customFormat="1" ht="15" customHeight="1" thickBot="1">
      <c r="A30" s="287">
        <f t="shared" si="2"/>
        <v>25</v>
      </c>
      <c r="B30" s="288"/>
      <c r="C30" s="290"/>
      <c r="D30" s="291"/>
      <c r="E30" s="291"/>
      <c r="F30" s="291"/>
      <c r="G30" s="291"/>
      <c r="H30" s="291"/>
      <c r="I30" s="291"/>
      <c r="J30" s="292"/>
      <c r="K30" s="275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7"/>
      <c r="AC30" s="275"/>
      <c r="AD30" s="276"/>
      <c r="AE30" s="276"/>
      <c r="AF30" s="276"/>
      <c r="AG30" s="276"/>
      <c r="AH30" s="276"/>
      <c r="AI30" s="276"/>
      <c r="AJ30" s="276"/>
      <c r="AK30" s="276"/>
      <c r="AL30" s="276"/>
      <c r="AM30" s="276"/>
      <c r="AN30" s="276"/>
      <c r="AO30" s="276"/>
      <c r="AP30" s="276"/>
      <c r="AQ30" s="276"/>
      <c r="AR30" s="277"/>
      <c r="AS30" s="278"/>
      <c r="AT30" s="279"/>
      <c r="AU30" s="275"/>
      <c r="AV30" s="276"/>
      <c r="AW30" s="276"/>
      <c r="AX30" s="276"/>
      <c r="AY30" s="276"/>
      <c r="AZ30" s="276"/>
      <c r="BA30" s="276"/>
      <c r="BB30" s="276"/>
      <c r="BC30" s="276"/>
      <c r="BD30" s="276"/>
      <c r="BE30" s="276"/>
      <c r="BF30" s="276"/>
      <c r="BG30" s="276"/>
      <c r="BH30" s="276"/>
      <c r="BI30" s="277"/>
    </row>
    <row r="31" spans="1:61" s="1" customFormat="1" ht="15" customHeight="1"/>
    <row r="32" spans="1:61" s="1" customFormat="1" ht="1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1:61" s="1" customFormat="1" ht="1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</row>
    <row r="34" spans="1:61" s="1" customFormat="1" ht="1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</row>
    <row r="35" spans="1:61" s="1" customFormat="1" ht="1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</row>
    <row r="36" spans="1:61" s="1" customFormat="1" ht="1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</row>
    <row r="37" spans="1:61" s="1" customFormat="1" ht="1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</row>
    <row r="38" spans="1:61" s="1" customFormat="1" ht="1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</row>
    <row r="39" spans="1:61" s="1" customFormat="1" ht="1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</row>
    <row r="40" spans="1:61" s="1" customFormat="1" ht="1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</row>
  </sheetData>
  <mergeCells count="174">
    <mergeCell ref="K16:AB16"/>
    <mergeCell ref="AC16:AR16"/>
    <mergeCell ref="AS16:AT16"/>
    <mergeCell ref="AU16:BI16"/>
    <mergeCell ref="A15:B15"/>
    <mergeCell ref="C15:J15"/>
    <mergeCell ref="K15:AB15"/>
    <mergeCell ref="AC15:AR15"/>
    <mergeCell ref="AS15:AT15"/>
    <mergeCell ref="AU15:BI15"/>
    <mergeCell ref="AS17:AT17"/>
    <mergeCell ref="AU17:BI17"/>
    <mergeCell ref="AC17:AR17"/>
    <mergeCell ref="K17:AB17"/>
    <mergeCell ref="AS18:AT18"/>
    <mergeCell ref="AU18:BI18"/>
    <mergeCell ref="AC18:AR18"/>
    <mergeCell ref="K18:AB18"/>
    <mergeCell ref="AS19:AT19"/>
    <mergeCell ref="AU19:BI19"/>
    <mergeCell ref="AC19:AR19"/>
    <mergeCell ref="K19:AB19"/>
    <mergeCell ref="AT1:BA1"/>
    <mergeCell ref="BB1:BI1"/>
    <mergeCell ref="AT2:AU2"/>
    <mergeCell ref="AV2:BA2"/>
    <mergeCell ref="BB2:BI2"/>
    <mergeCell ref="AT3:AU3"/>
    <mergeCell ref="AV3:BA3"/>
    <mergeCell ref="BB3:BI3"/>
    <mergeCell ref="A1:E3"/>
    <mergeCell ref="F1:P1"/>
    <mergeCell ref="Q1:V1"/>
    <mergeCell ref="W1:AD1"/>
    <mergeCell ref="AE1:AS1"/>
    <mergeCell ref="F2:P3"/>
    <mergeCell ref="Q2:V3"/>
    <mergeCell ref="W2:AD3"/>
    <mergeCell ref="AE2:AS3"/>
    <mergeCell ref="AU5:BI5"/>
    <mergeCell ref="AS26:AT26"/>
    <mergeCell ref="AS27:AT27"/>
    <mergeCell ref="AS29:AT29"/>
    <mergeCell ref="C26:J26"/>
    <mergeCell ref="C27:J27"/>
    <mergeCell ref="C5:J5"/>
    <mergeCell ref="K5:AB5"/>
    <mergeCell ref="AC5:AR5"/>
    <mergeCell ref="C28:J28"/>
    <mergeCell ref="C18:J18"/>
    <mergeCell ref="C19:J19"/>
    <mergeCell ref="C20:J20"/>
    <mergeCell ref="C21:J21"/>
    <mergeCell ref="AS25:AT25"/>
    <mergeCell ref="C6:J6"/>
    <mergeCell ref="K6:AB6"/>
    <mergeCell ref="AC6:AR6"/>
    <mergeCell ref="AS6:AT6"/>
    <mergeCell ref="AU6:BI6"/>
    <mergeCell ref="C7:J7"/>
    <mergeCell ref="K7:AB7"/>
    <mergeCell ref="AC7:AR7"/>
    <mergeCell ref="K21:AB21"/>
    <mergeCell ref="A4:H4"/>
    <mergeCell ref="A30:B30"/>
    <mergeCell ref="AS5:AT5"/>
    <mergeCell ref="C29:J29"/>
    <mergeCell ref="C30:J30"/>
    <mergeCell ref="A5:B5"/>
    <mergeCell ref="A26:B26"/>
    <mergeCell ref="A27:B27"/>
    <mergeCell ref="A29:B29"/>
    <mergeCell ref="A6:B6"/>
    <mergeCell ref="A7:B7"/>
    <mergeCell ref="AS7:AT7"/>
    <mergeCell ref="A8:B8"/>
    <mergeCell ref="C8:J8"/>
    <mergeCell ref="K8:AB8"/>
    <mergeCell ref="AC8:AR8"/>
    <mergeCell ref="A28:B28"/>
    <mergeCell ref="A22:B22"/>
    <mergeCell ref="C25:J25"/>
    <mergeCell ref="C22:J22"/>
    <mergeCell ref="C23:J23"/>
    <mergeCell ref="C24:J24"/>
    <mergeCell ref="A23:B23"/>
    <mergeCell ref="A24:B24"/>
    <mergeCell ref="A25:B25"/>
    <mergeCell ref="C9:J9"/>
    <mergeCell ref="C17:J17"/>
    <mergeCell ref="A11:B11"/>
    <mergeCell ref="C11:J11"/>
    <mergeCell ref="A13:B13"/>
    <mergeCell ref="C13:J13"/>
    <mergeCell ref="A9:B9"/>
    <mergeCell ref="A10:B10"/>
    <mergeCell ref="C10:J10"/>
    <mergeCell ref="A12:B12"/>
    <mergeCell ref="C12:J12"/>
    <mergeCell ref="A14:B14"/>
    <mergeCell ref="C14:J14"/>
    <mergeCell ref="A18:B18"/>
    <mergeCell ref="A19:B19"/>
    <mergeCell ref="A20:B20"/>
    <mergeCell ref="A21:B21"/>
    <mergeCell ref="A17:B17"/>
    <mergeCell ref="A16:B16"/>
    <mergeCell ref="C16:J16"/>
    <mergeCell ref="AU7:BI7"/>
    <mergeCell ref="AS8:AT8"/>
    <mergeCell ref="AU8:BI8"/>
    <mergeCell ref="K10:AB10"/>
    <mergeCell ref="AC10:AR10"/>
    <mergeCell ref="K9:AB9"/>
    <mergeCell ref="AC9:AR9"/>
    <mergeCell ref="AU9:BI9"/>
    <mergeCell ref="AS9:AT9"/>
    <mergeCell ref="AS14:AT14"/>
    <mergeCell ref="AU14:BI14"/>
    <mergeCell ref="AS10:AT10"/>
    <mergeCell ref="AU10:BI10"/>
    <mergeCell ref="K11:AB11"/>
    <mergeCell ref="AC11:AR11"/>
    <mergeCell ref="AS11:AT11"/>
    <mergeCell ref="AU11:BI11"/>
    <mergeCell ref="K12:AB12"/>
    <mergeCell ref="AC12:AR12"/>
    <mergeCell ref="AS12:AT12"/>
    <mergeCell ref="AU12:BI12"/>
    <mergeCell ref="K13:AB13"/>
    <mergeCell ref="AC13:AR13"/>
    <mergeCell ref="AS13:AT13"/>
    <mergeCell ref="AU13:BI13"/>
    <mergeCell ref="K14:AB14"/>
    <mergeCell ref="AC14:AR14"/>
    <mergeCell ref="K22:AB22"/>
    <mergeCell ref="AC22:AR22"/>
    <mergeCell ref="AU22:BI22"/>
    <mergeCell ref="K20:AB20"/>
    <mergeCell ref="AC20:AR20"/>
    <mergeCell ref="AU20:BI20"/>
    <mergeCell ref="AS22:AT22"/>
    <mergeCell ref="AS20:AT20"/>
    <mergeCell ref="AS21:AT21"/>
    <mergeCell ref="AC21:AR21"/>
    <mergeCell ref="AU21:BI21"/>
    <mergeCell ref="AU25:BI25"/>
    <mergeCell ref="K26:AB26"/>
    <mergeCell ref="AC26:AR26"/>
    <mergeCell ref="AU26:BI26"/>
    <mergeCell ref="K23:AB23"/>
    <mergeCell ref="AC23:AR23"/>
    <mergeCell ref="AU23:BI23"/>
    <mergeCell ref="K24:AB24"/>
    <mergeCell ref="AC24:AR24"/>
    <mergeCell ref="AU24:BI24"/>
    <mergeCell ref="AS23:AT23"/>
    <mergeCell ref="AS24:AT24"/>
    <mergeCell ref="K25:AB25"/>
    <mergeCell ref="AC25:AR25"/>
    <mergeCell ref="K29:AB29"/>
    <mergeCell ref="AC29:AR29"/>
    <mergeCell ref="AU29:BI29"/>
    <mergeCell ref="K30:AB30"/>
    <mergeCell ref="AC30:AR30"/>
    <mergeCell ref="AU30:BI30"/>
    <mergeCell ref="K27:AB27"/>
    <mergeCell ref="AC27:AR27"/>
    <mergeCell ref="AU27:BI27"/>
    <mergeCell ref="K28:AB28"/>
    <mergeCell ref="AC28:AR28"/>
    <mergeCell ref="AU28:BI28"/>
    <mergeCell ref="AS30:AT30"/>
    <mergeCell ref="AS28:AT28"/>
  </mergeCells>
  <phoneticPr fontId="2"/>
  <dataValidations count="2">
    <dataValidation type="list" allowBlank="1" showInputMessage="1" showErrorMessage="1" sqref="C16:J30 C9:J10 D8:J15 C6:C15" xr:uid="{AF9A0E33-F197-4220-AEA2-36DFEC1C8293}">
      <formula1>テーブル種別</formula1>
    </dataValidation>
    <dataValidation type="list" allowBlank="1" showInputMessage="1" showErrorMessage="1" sqref="AS12:AT30 AS9:AT10 AT7:AT11 AS6:AS11" xr:uid="{F5C93658-8A23-4FAA-8DE6-CA2A7E0CAA6B}">
      <formula1>io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B976-2B89-4B7F-BD27-7C3E5AB4FCB4}">
  <sheetPr codeName="Sheet5"/>
  <dimension ref="A1:BJ61"/>
  <sheetViews>
    <sheetView showGridLines="0" zoomScaleNormal="10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2.5" defaultRowHeight="15" customHeight="1"/>
  <cols>
    <col min="1" max="16384" width="2.5" style="40"/>
  </cols>
  <sheetData>
    <row r="1" spans="1:62" s="1" customFormat="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2" s="1" customFormat="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2" s="1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2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2" s="73" customFormat="1" ht="15" customHeight="1" thickBot="1">
      <c r="A5" s="289" t="s">
        <v>81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2"/>
      <c r="O5" s="308" t="s">
        <v>82</v>
      </c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2"/>
      <c r="AN5" s="308" t="s">
        <v>83</v>
      </c>
      <c r="AO5" s="309"/>
      <c r="AP5" s="309"/>
      <c r="AQ5" s="309"/>
      <c r="AR5" s="309"/>
      <c r="AS5" s="309"/>
      <c r="AT5" s="309"/>
      <c r="AU5" s="309"/>
      <c r="AV5" s="309"/>
      <c r="AW5" s="309"/>
      <c r="AX5" s="309"/>
      <c r="AY5" s="309"/>
      <c r="AZ5" s="309"/>
      <c r="BA5" s="309"/>
      <c r="BB5" s="309"/>
      <c r="BC5" s="309"/>
      <c r="BD5" s="309"/>
      <c r="BE5" s="309"/>
      <c r="BF5" s="309"/>
      <c r="BG5" s="309"/>
      <c r="BH5" s="309"/>
      <c r="BI5" s="310"/>
      <c r="BJ5" s="72"/>
    </row>
    <row r="6" spans="1:62" s="1" customFormat="1" ht="15" customHeight="1">
      <c r="A6" s="15"/>
      <c r="N6" s="6"/>
      <c r="O6" s="23"/>
      <c r="AM6" s="6"/>
      <c r="AN6" s="23"/>
      <c r="AY6" s="3"/>
      <c r="AZ6" s="3"/>
      <c r="BA6" s="3"/>
      <c r="BI6" s="24"/>
    </row>
    <row r="7" spans="1:62" s="1" customFormat="1" ht="15" customHeight="1">
      <c r="A7" s="15"/>
      <c r="N7" s="6"/>
      <c r="O7" s="23"/>
      <c r="AM7" s="6"/>
      <c r="AN7" s="23"/>
      <c r="BI7" s="24"/>
    </row>
    <row r="8" spans="1:62" s="1" customFormat="1" ht="15" customHeight="1">
      <c r="A8" s="15"/>
      <c r="N8" s="6"/>
      <c r="O8" s="23"/>
      <c r="AM8" s="6"/>
      <c r="AN8" s="23"/>
      <c r="BI8" s="24"/>
    </row>
    <row r="9" spans="1:62" s="1" customFormat="1" ht="15" customHeight="1">
      <c r="A9" s="15"/>
      <c r="N9" s="6"/>
      <c r="O9" s="23"/>
      <c r="AM9" s="6"/>
      <c r="AN9" s="23"/>
      <c r="BI9" s="24"/>
    </row>
    <row r="10" spans="1:62" s="1" customFormat="1" ht="15" customHeight="1">
      <c r="A10" s="15"/>
      <c r="N10" s="6"/>
      <c r="O10" s="23"/>
      <c r="AM10" s="6"/>
      <c r="AN10" s="23"/>
      <c r="BI10" s="24"/>
    </row>
    <row r="11" spans="1:62" s="1" customFormat="1" ht="15" customHeight="1">
      <c r="A11" s="15"/>
      <c r="N11" s="6"/>
      <c r="O11" s="23"/>
      <c r="AM11" s="6"/>
      <c r="AN11" s="23"/>
      <c r="BI11" s="24"/>
    </row>
    <row r="12" spans="1:62" s="1" customFormat="1" ht="15" customHeight="1">
      <c r="A12" s="15"/>
      <c r="N12" s="6"/>
      <c r="O12" s="23"/>
      <c r="AM12" s="6"/>
      <c r="AN12" s="23"/>
      <c r="BI12" s="24"/>
    </row>
    <row r="13" spans="1:62" s="1" customFormat="1" ht="15" customHeight="1">
      <c r="A13" s="15"/>
      <c r="N13" s="6"/>
      <c r="O13" s="23"/>
      <c r="AM13" s="6"/>
      <c r="AN13" s="23"/>
      <c r="BI13" s="24"/>
    </row>
    <row r="14" spans="1:62" s="1" customFormat="1" ht="15" customHeight="1">
      <c r="A14" s="15"/>
      <c r="N14" s="6"/>
      <c r="O14" s="23"/>
      <c r="AM14" s="6"/>
      <c r="AN14" s="23"/>
      <c r="BI14" s="24"/>
    </row>
    <row r="15" spans="1:62" s="1" customFormat="1" ht="15" customHeight="1">
      <c r="A15" s="15"/>
      <c r="N15" s="6"/>
      <c r="O15" s="23"/>
      <c r="AM15" s="6"/>
      <c r="AN15" s="23"/>
      <c r="BI15" s="24"/>
    </row>
    <row r="16" spans="1:62" s="1" customFormat="1" ht="15" customHeight="1">
      <c r="A16" s="15"/>
      <c r="N16" s="6"/>
      <c r="O16" s="23"/>
      <c r="AM16" s="6"/>
      <c r="AN16" s="23"/>
      <c r="BI16" s="24"/>
    </row>
    <row r="17" spans="1:61" s="1" customFormat="1" ht="15" customHeight="1">
      <c r="A17" s="15"/>
      <c r="N17" s="6"/>
      <c r="O17" s="23"/>
      <c r="AM17" s="6"/>
      <c r="AN17" s="23"/>
      <c r="BI17" s="24"/>
    </row>
    <row r="18" spans="1:61" s="1" customFormat="1" ht="15" customHeight="1">
      <c r="A18" s="15"/>
      <c r="N18" s="6"/>
      <c r="O18" s="23"/>
      <c r="AM18" s="6"/>
      <c r="AN18" s="23"/>
      <c r="BI18" s="24"/>
    </row>
    <row r="19" spans="1:61" s="1" customFormat="1" ht="15" customHeight="1">
      <c r="A19" s="15"/>
      <c r="N19" s="6"/>
      <c r="O19" s="23"/>
      <c r="AM19" s="6"/>
      <c r="AN19" s="23"/>
      <c r="BI19" s="24"/>
    </row>
    <row r="20" spans="1:61" s="1" customFormat="1" ht="15" customHeight="1">
      <c r="A20" s="15"/>
      <c r="N20" s="6"/>
      <c r="O20" s="23"/>
      <c r="AM20" s="6"/>
      <c r="AN20" s="23"/>
      <c r="BI20" s="24"/>
    </row>
    <row r="21" spans="1:61" s="1" customFormat="1" ht="15" customHeight="1">
      <c r="A21" s="15"/>
      <c r="N21" s="6"/>
      <c r="O21" s="23"/>
      <c r="AM21" s="6"/>
      <c r="AN21" s="23"/>
      <c r="BI21" s="24"/>
    </row>
    <row r="22" spans="1:61" s="1" customFormat="1" ht="15" customHeight="1">
      <c r="A22" s="15"/>
      <c r="N22" s="6"/>
      <c r="O22" s="23"/>
      <c r="AM22" s="6"/>
      <c r="AN22" s="23"/>
      <c r="BI22" s="24"/>
    </row>
    <row r="23" spans="1:61" s="1" customFormat="1" ht="15" customHeight="1">
      <c r="A23" s="15"/>
      <c r="N23" s="6"/>
      <c r="O23" s="23"/>
      <c r="AM23" s="6"/>
      <c r="AN23" s="23"/>
      <c r="BI23" s="24"/>
    </row>
    <row r="24" spans="1:61" s="1" customFormat="1" ht="15" customHeight="1">
      <c r="A24" s="15"/>
      <c r="N24" s="6"/>
      <c r="O24" s="23"/>
      <c r="AM24" s="6"/>
      <c r="AN24" s="23"/>
      <c r="BI24" s="24"/>
    </row>
    <row r="25" spans="1:61" s="1" customFormat="1" ht="15" customHeight="1">
      <c r="A25" s="15"/>
      <c r="N25" s="6"/>
      <c r="O25" s="23"/>
      <c r="AM25" s="6"/>
      <c r="AN25" s="23"/>
      <c r="BI25" s="24"/>
    </row>
    <row r="26" spans="1:61" s="1" customFormat="1" ht="15" customHeight="1">
      <c r="A26" s="15"/>
      <c r="N26" s="6"/>
      <c r="O26" s="23"/>
      <c r="AM26" s="6"/>
      <c r="AN26" s="23"/>
      <c r="BI26" s="24"/>
    </row>
    <row r="27" spans="1:61" s="1" customFormat="1" ht="15" customHeight="1">
      <c r="A27" s="15"/>
      <c r="N27" s="6"/>
      <c r="O27" s="23"/>
      <c r="AM27" s="6"/>
      <c r="AN27" s="23"/>
      <c r="BI27" s="24"/>
    </row>
    <row r="28" spans="1:61" s="1" customFormat="1" ht="15" customHeight="1">
      <c r="A28" s="15"/>
      <c r="N28" s="6"/>
      <c r="O28" s="23"/>
      <c r="AM28" s="6"/>
      <c r="AN28" s="23"/>
      <c r="BI28" s="24"/>
    </row>
    <row r="29" spans="1:61" s="1" customFormat="1" ht="15" customHeight="1">
      <c r="A29" s="15"/>
      <c r="N29" s="6"/>
      <c r="O29" s="23"/>
      <c r="AM29" s="6"/>
      <c r="AN29" s="23"/>
      <c r="BI29" s="24"/>
    </row>
    <row r="30" spans="1:61" s="1" customFormat="1" ht="15" customHeight="1">
      <c r="A30" s="15"/>
      <c r="N30" s="6"/>
      <c r="O30" s="23"/>
      <c r="AM30" s="6"/>
      <c r="AN30" s="23"/>
      <c r="BI30" s="24"/>
    </row>
    <row r="31" spans="1:61" s="1" customFormat="1" ht="15" customHeight="1">
      <c r="A31" s="15"/>
      <c r="N31" s="6"/>
      <c r="O31" s="23"/>
      <c r="AM31" s="6"/>
      <c r="AN31" s="23"/>
      <c r="BI31" s="24"/>
    </row>
    <row r="32" spans="1:61" s="1" customFormat="1" ht="15" customHeight="1">
      <c r="A32" s="15"/>
      <c r="N32" s="6"/>
      <c r="O32" s="23"/>
      <c r="AM32" s="6"/>
      <c r="AN32" s="23"/>
      <c r="BI32" s="24"/>
    </row>
    <row r="33" spans="1:61" s="1" customFormat="1" ht="15" customHeight="1">
      <c r="A33" s="15"/>
      <c r="N33" s="6"/>
      <c r="O33" s="23"/>
      <c r="AM33" s="6"/>
      <c r="AN33" s="23"/>
      <c r="BI33" s="24"/>
    </row>
    <row r="34" spans="1:61" s="1" customFormat="1" ht="15" customHeight="1">
      <c r="A34" s="15"/>
      <c r="N34" s="6"/>
      <c r="O34" s="23"/>
      <c r="AM34" s="6"/>
      <c r="AN34" s="23"/>
      <c r="BI34" s="24"/>
    </row>
    <row r="35" spans="1:61" s="1" customFormat="1" ht="15" customHeight="1">
      <c r="A35" s="15"/>
      <c r="N35" s="6"/>
      <c r="O35" s="23"/>
      <c r="AM35" s="6"/>
      <c r="AN35" s="23"/>
      <c r="BI35" s="24"/>
    </row>
    <row r="36" spans="1:61" s="1" customFormat="1" ht="15" customHeight="1">
      <c r="A36" s="15"/>
      <c r="N36" s="6"/>
      <c r="O36" s="23"/>
      <c r="AM36" s="6"/>
      <c r="AN36" s="23"/>
      <c r="BI36" s="24"/>
    </row>
    <row r="37" spans="1:61" s="1" customFormat="1" ht="15" customHeight="1">
      <c r="A37" s="15"/>
      <c r="N37" s="6"/>
      <c r="O37" s="23"/>
      <c r="AM37" s="6"/>
      <c r="AN37" s="23"/>
      <c r="BI37" s="24"/>
    </row>
    <row r="38" spans="1:61" s="1" customFormat="1" ht="15" customHeight="1">
      <c r="A38" s="15"/>
      <c r="N38" s="6"/>
      <c r="O38" s="23"/>
      <c r="AM38" s="6"/>
      <c r="AN38" s="23"/>
      <c r="BI38" s="24"/>
    </row>
    <row r="39" spans="1:61" s="1" customFormat="1" ht="15" customHeight="1">
      <c r="A39" s="15"/>
      <c r="N39" s="6"/>
      <c r="O39" s="23"/>
      <c r="AM39" s="6"/>
      <c r="AN39" s="23"/>
      <c r="BI39" s="24"/>
    </row>
    <row r="40" spans="1:61" s="1" customFormat="1" ht="15" customHeight="1">
      <c r="A40" s="15"/>
      <c r="N40" s="6"/>
      <c r="O40" s="23"/>
      <c r="AM40" s="6"/>
      <c r="AN40" s="23"/>
      <c r="BI40" s="24"/>
    </row>
    <row r="41" spans="1:61" s="1" customFormat="1" ht="15" customHeight="1">
      <c r="A41" s="15"/>
      <c r="N41" s="6"/>
      <c r="O41" s="23"/>
      <c r="AM41" s="6"/>
      <c r="AN41" s="23"/>
      <c r="BI41" s="24"/>
    </row>
    <row r="42" spans="1:61" s="1" customFormat="1" ht="15" customHeight="1">
      <c r="A42" s="15"/>
      <c r="N42" s="6"/>
      <c r="O42" s="23"/>
      <c r="AM42" s="6"/>
      <c r="AN42" s="23"/>
      <c r="BI42" s="24"/>
    </row>
    <row r="43" spans="1:61" s="1" customFormat="1" ht="15" customHeight="1">
      <c r="A43" s="15"/>
      <c r="N43" s="6"/>
      <c r="O43" s="23"/>
      <c r="AM43" s="6"/>
      <c r="AN43" s="23"/>
      <c r="BI43" s="24"/>
    </row>
    <row r="44" spans="1:61" s="1" customFormat="1" ht="15" customHeight="1">
      <c r="A44" s="15"/>
      <c r="N44" s="6"/>
      <c r="O44" s="23"/>
      <c r="AM44" s="6"/>
      <c r="AN44" s="23"/>
      <c r="BI44" s="24"/>
    </row>
    <row r="45" spans="1:61" s="1" customFormat="1" ht="15" customHeight="1">
      <c r="A45" s="15"/>
      <c r="N45" s="6"/>
      <c r="O45" s="23"/>
      <c r="AM45" s="6"/>
      <c r="AN45" s="23"/>
      <c r="BI45" s="24"/>
    </row>
    <row r="46" spans="1:61" s="1" customFormat="1" ht="15" customHeight="1">
      <c r="A46" s="15"/>
      <c r="N46" s="6"/>
      <c r="O46" s="23"/>
      <c r="AM46" s="6"/>
      <c r="AN46" s="23"/>
      <c r="BI46" s="24"/>
    </row>
    <row r="47" spans="1:61" s="1" customFormat="1" ht="15" customHeight="1">
      <c r="A47" s="15"/>
      <c r="N47" s="6"/>
      <c r="O47" s="23"/>
      <c r="AM47" s="6"/>
      <c r="AN47" s="23"/>
      <c r="BI47" s="24"/>
    </row>
    <row r="48" spans="1:61" s="1" customFormat="1" ht="15" customHeight="1">
      <c r="A48" s="15"/>
      <c r="N48" s="6"/>
      <c r="O48" s="23"/>
      <c r="AM48" s="6"/>
      <c r="AN48" s="23"/>
      <c r="BI48" s="24"/>
    </row>
    <row r="49" spans="1:61" s="1" customFormat="1" ht="15" customHeight="1">
      <c r="A49" s="15"/>
      <c r="N49" s="6"/>
      <c r="O49" s="23"/>
      <c r="AM49" s="6"/>
      <c r="AN49" s="23"/>
      <c r="BI49" s="24"/>
    </row>
    <row r="50" spans="1:61" s="1" customFormat="1" ht="15" customHeight="1">
      <c r="A50" s="15"/>
      <c r="N50" s="6"/>
      <c r="O50" s="23"/>
      <c r="AM50" s="6"/>
      <c r="AN50" s="23"/>
      <c r="BI50" s="24"/>
    </row>
    <row r="51" spans="1:61" s="1" customFormat="1" ht="15" customHeight="1">
      <c r="A51" s="15"/>
      <c r="N51" s="6"/>
      <c r="O51" s="23"/>
      <c r="AM51" s="6"/>
      <c r="AN51" s="23"/>
      <c r="BI51" s="24"/>
    </row>
    <row r="52" spans="1:61" s="1" customFormat="1" ht="15" customHeight="1">
      <c r="A52" s="15"/>
      <c r="N52" s="6"/>
      <c r="O52" s="23"/>
      <c r="AM52" s="6"/>
      <c r="AN52" s="23"/>
      <c r="BI52" s="24"/>
    </row>
    <row r="53" spans="1:61" s="1" customFormat="1" ht="15" customHeight="1">
      <c r="A53" s="15"/>
      <c r="N53" s="6"/>
      <c r="O53" s="23"/>
      <c r="AM53" s="6"/>
      <c r="AN53" s="23"/>
      <c r="BI53" s="24"/>
    </row>
    <row r="54" spans="1:61" s="1" customFormat="1" ht="15" customHeight="1">
      <c r="A54" s="15"/>
      <c r="N54" s="6"/>
      <c r="O54" s="23"/>
      <c r="AM54" s="6"/>
      <c r="AN54" s="23"/>
      <c r="BI54" s="24"/>
    </row>
    <row r="55" spans="1:61" ht="15" customHeight="1" thickBot="1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7"/>
      <c r="O55" s="48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7"/>
      <c r="AN55" s="48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9"/>
    </row>
    <row r="56" spans="1:61" s="1" customFormat="1" ht="15" customHeight="1" thickBot="1">
      <c r="A56" s="289" t="s">
        <v>84</v>
      </c>
      <c r="B56" s="309"/>
      <c r="C56" s="309"/>
      <c r="D56" s="309"/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  <c r="AA56" s="309"/>
      <c r="AB56" s="309"/>
      <c r="AC56" s="309"/>
      <c r="AD56" s="309"/>
      <c r="AE56" s="309"/>
      <c r="AF56" s="309"/>
      <c r="AG56" s="309"/>
      <c r="AH56" s="309"/>
      <c r="AI56" s="309"/>
      <c r="AJ56" s="309"/>
      <c r="AK56" s="309"/>
      <c r="AL56" s="309"/>
      <c r="AM56" s="309"/>
      <c r="AN56" s="309"/>
      <c r="AO56" s="309"/>
      <c r="AP56" s="309"/>
      <c r="AQ56" s="309"/>
      <c r="AR56" s="309"/>
      <c r="AS56" s="309"/>
      <c r="AT56" s="309"/>
      <c r="AU56" s="309"/>
      <c r="AV56" s="309"/>
      <c r="AW56" s="309"/>
      <c r="AX56" s="309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 s="310"/>
    </row>
    <row r="57" spans="1:61" s="1" customFormat="1" ht="15" customHeight="1">
      <c r="A57" s="306" t="s">
        <v>85</v>
      </c>
      <c r="B57" s="311"/>
      <c r="C57" s="311"/>
      <c r="D57" s="311"/>
      <c r="E57" s="311"/>
      <c r="F57" s="311"/>
      <c r="G57" s="311"/>
      <c r="H57" s="311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1"/>
      <c r="AA57" s="311"/>
      <c r="AB57" s="311"/>
      <c r="AC57" s="311"/>
      <c r="AD57" s="311"/>
      <c r="AE57" s="311"/>
      <c r="AF57" s="311"/>
      <c r="AG57" s="311"/>
      <c r="AH57" s="311"/>
      <c r="AI57" s="311"/>
      <c r="AJ57" s="311"/>
      <c r="AK57" s="311"/>
      <c r="AL57" s="311"/>
      <c r="AM57" s="311"/>
      <c r="AN57" s="311"/>
      <c r="AO57" s="311"/>
      <c r="AP57" s="311"/>
      <c r="AQ57" s="311"/>
      <c r="AR57" s="311"/>
      <c r="AS57" s="311"/>
      <c r="AT57" s="311"/>
      <c r="AU57" s="311"/>
      <c r="AV57" s="311"/>
      <c r="AW57" s="311"/>
      <c r="AX57" s="311"/>
      <c r="AY57" s="311"/>
      <c r="AZ57" s="311"/>
      <c r="BA57" s="311"/>
      <c r="BB57" s="311"/>
      <c r="BC57" s="311"/>
      <c r="BD57" s="311"/>
      <c r="BE57" s="311"/>
      <c r="BF57" s="311"/>
      <c r="BG57" s="311"/>
      <c r="BH57" s="311"/>
      <c r="BI57" s="307"/>
    </row>
    <row r="58" spans="1:61" s="1" customFormat="1" ht="15" customHeight="1">
      <c r="A58" s="15"/>
      <c r="N58" s="50"/>
      <c r="AB58" s="50"/>
      <c r="AK58" s="50"/>
      <c r="AZ58" s="50"/>
      <c r="BI58" s="24"/>
    </row>
    <row r="59" spans="1:61" s="1" customFormat="1" ht="15" customHeight="1">
      <c r="A59" s="15"/>
      <c r="N59" s="6"/>
      <c r="AB59" s="6"/>
      <c r="AK59" s="6"/>
      <c r="AZ59" s="6"/>
      <c r="BI59" s="24"/>
    </row>
    <row r="60" spans="1:61" s="1" customFormat="1" ht="15" customHeight="1">
      <c r="A60" s="15"/>
      <c r="N60" s="6"/>
      <c r="AB60" s="6"/>
      <c r="AK60" s="6"/>
      <c r="AZ60" s="6"/>
      <c r="BI60" s="24"/>
    </row>
    <row r="61" spans="1:61" s="1" customFormat="1" ht="15" customHeight="1" thickBot="1">
      <c r="A61" s="17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51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51"/>
      <c r="AC61" s="25"/>
      <c r="AD61" s="25"/>
      <c r="AE61" s="25"/>
      <c r="AF61" s="25"/>
      <c r="AG61" s="25"/>
      <c r="AH61" s="25"/>
      <c r="AI61" s="25"/>
      <c r="AJ61" s="25"/>
      <c r="AK61" s="51"/>
      <c r="AL61" s="25" t="s">
        <v>86</v>
      </c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51"/>
      <c r="BA61" s="25"/>
      <c r="BB61" s="25"/>
      <c r="BC61" s="25"/>
      <c r="BD61" s="25"/>
      <c r="BE61" s="25"/>
      <c r="BF61" s="25"/>
      <c r="BG61" s="25"/>
      <c r="BH61" s="25"/>
      <c r="BI61" s="26"/>
    </row>
  </sheetData>
  <mergeCells count="23">
    <mergeCell ref="A56:BI56"/>
    <mergeCell ref="A57:BI57"/>
    <mergeCell ref="A1:E3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5:N5"/>
    <mergeCell ref="BB3:BI3"/>
    <mergeCell ref="AN5:BI5"/>
    <mergeCell ref="O5:AM5"/>
    <mergeCell ref="A4:H4"/>
    <mergeCell ref="F1:P1"/>
    <mergeCell ref="Q1:V1"/>
    <mergeCell ref="W1:AD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858B-683A-4DBF-A066-0AD8CA833074}">
  <sheetPr codeName="Sheet6"/>
  <dimension ref="A1:BY152"/>
  <sheetViews>
    <sheetView showGridLines="0" zoomScale="115" zoomScaleNormal="115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2.5" defaultRowHeight="15" customHeight="1"/>
  <cols>
    <col min="1" max="37" width="2.5" style="1"/>
    <col min="38" max="42" width="2.5" style="5"/>
    <col min="43" max="16384" width="2.5" style="1"/>
  </cols>
  <sheetData>
    <row r="1" spans="1:6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ht="15" customHeight="1" thickBot="1">
      <c r="A4" s="268"/>
      <c r="B4" s="268"/>
      <c r="C4" s="268"/>
      <c r="D4" s="268"/>
      <c r="E4" s="268"/>
      <c r="F4" s="268"/>
      <c r="G4" s="268"/>
      <c r="H4" s="268"/>
      <c r="AL4" s="1"/>
      <c r="AM4" s="1"/>
      <c r="AN4" s="1"/>
      <c r="AO4" s="1"/>
      <c r="AP4" s="1"/>
    </row>
    <row r="5" spans="1:61" s="71" customFormat="1" ht="15" customHeight="1" thickBot="1">
      <c r="A5" s="318" t="s">
        <v>62</v>
      </c>
      <c r="B5" s="319"/>
      <c r="C5" s="320" t="s">
        <v>87</v>
      </c>
      <c r="D5" s="321"/>
      <c r="E5" s="321"/>
      <c r="F5" s="321"/>
      <c r="G5" s="321"/>
      <c r="H5" s="321"/>
      <c r="I5" s="320" t="s">
        <v>88</v>
      </c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  <c r="AA5" s="321"/>
      <c r="AB5" s="321"/>
      <c r="AC5" s="321"/>
      <c r="AD5" s="321"/>
      <c r="AE5" s="321"/>
      <c r="AF5" s="321"/>
      <c r="AG5" s="321"/>
      <c r="AH5" s="321"/>
      <c r="AI5" s="321"/>
      <c r="AJ5" s="321"/>
      <c r="AK5" s="321"/>
      <c r="AL5" s="321"/>
      <c r="AM5" s="321"/>
      <c r="AN5" s="319"/>
      <c r="AO5" s="320" t="s">
        <v>63</v>
      </c>
      <c r="AP5" s="321"/>
      <c r="AQ5" s="319"/>
      <c r="AR5" s="320" t="s">
        <v>89</v>
      </c>
      <c r="AS5" s="321"/>
      <c r="AT5" s="321"/>
      <c r="AU5" s="321"/>
      <c r="AV5" s="321"/>
      <c r="AW5" s="321"/>
      <c r="AX5" s="321"/>
      <c r="AY5" s="321"/>
      <c r="AZ5" s="321"/>
      <c r="BA5" s="321"/>
      <c r="BB5" s="321"/>
      <c r="BC5" s="321"/>
      <c r="BD5" s="321"/>
      <c r="BE5" s="319"/>
      <c r="BF5" s="320" t="s">
        <v>90</v>
      </c>
      <c r="BG5" s="321"/>
      <c r="BH5" s="321"/>
      <c r="BI5" s="322"/>
    </row>
    <row r="6" spans="1:61" ht="15" customHeight="1">
      <c r="A6" s="52" t="s">
        <v>91</v>
      </c>
      <c r="B6" s="6"/>
      <c r="C6" s="23" t="s">
        <v>92</v>
      </c>
      <c r="I6" s="23"/>
      <c r="AL6" s="1"/>
      <c r="AM6" s="1"/>
      <c r="AN6" s="6"/>
      <c r="AO6" s="23"/>
      <c r="AP6" s="1"/>
      <c r="AQ6" s="6"/>
      <c r="BD6" s="82"/>
      <c r="BE6" s="83"/>
      <c r="BF6" s="5"/>
      <c r="BG6" s="5"/>
      <c r="BH6" s="5"/>
      <c r="BI6" s="53"/>
    </row>
    <row r="7" spans="1:61" ht="15" customHeight="1">
      <c r="A7" s="52"/>
      <c r="B7" s="6"/>
      <c r="C7" s="23"/>
      <c r="I7" s="23"/>
      <c r="J7" s="1" t="s">
        <v>93</v>
      </c>
      <c r="L7" s="1" t="s">
        <v>94</v>
      </c>
      <c r="AL7" s="1"/>
      <c r="AM7" s="1"/>
      <c r="AN7" s="6"/>
      <c r="AO7" s="23"/>
      <c r="AP7" s="1"/>
      <c r="AQ7" s="6"/>
      <c r="BD7" s="5"/>
      <c r="BE7" s="84"/>
      <c r="BF7" s="5"/>
      <c r="BG7" s="5"/>
      <c r="BH7" s="5"/>
      <c r="BI7" s="53"/>
    </row>
    <row r="8" spans="1:61" ht="15" customHeight="1">
      <c r="A8" s="52"/>
      <c r="B8" s="6"/>
      <c r="C8" s="23"/>
      <c r="I8" s="23"/>
      <c r="AL8" s="1"/>
      <c r="AM8" s="1"/>
      <c r="AN8" s="6"/>
      <c r="AO8" s="23"/>
      <c r="AP8" s="1"/>
      <c r="AQ8" s="6"/>
      <c r="BD8" s="5"/>
      <c r="BE8" s="84"/>
      <c r="BF8" s="5"/>
      <c r="BG8" s="5"/>
      <c r="BH8" s="5"/>
      <c r="BI8" s="53"/>
    </row>
    <row r="9" spans="1:61" ht="15" customHeight="1">
      <c r="A9" s="52"/>
      <c r="B9" s="6"/>
      <c r="C9" s="23"/>
      <c r="I9" s="23"/>
      <c r="K9" s="1" t="s">
        <v>95</v>
      </c>
      <c r="P9" s="1" t="s">
        <v>96</v>
      </c>
      <c r="AL9" s="1"/>
      <c r="AM9" s="1"/>
      <c r="AN9" s="6"/>
      <c r="AO9" s="23"/>
      <c r="AP9" s="1"/>
      <c r="AQ9" s="6"/>
      <c r="BD9" s="5"/>
      <c r="BE9" s="84"/>
      <c r="BF9" s="5"/>
      <c r="BG9" s="5"/>
      <c r="BH9" s="5"/>
      <c r="BI9" s="53"/>
    </row>
    <row r="10" spans="1:61" ht="15" customHeight="1">
      <c r="A10" s="52"/>
      <c r="B10" s="6"/>
      <c r="C10" s="23"/>
      <c r="I10" s="23"/>
      <c r="K10" s="1" t="s">
        <v>97</v>
      </c>
      <c r="P10" s="1" t="s">
        <v>98</v>
      </c>
      <c r="AL10" s="1"/>
      <c r="AM10" s="1"/>
      <c r="AN10" s="6"/>
      <c r="AO10" s="23"/>
      <c r="AP10" s="1"/>
      <c r="AQ10" s="6"/>
      <c r="BD10" s="5"/>
      <c r="BE10" s="84"/>
      <c r="BF10" s="5"/>
      <c r="BG10" s="5"/>
      <c r="BH10" s="5"/>
      <c r="BI10" s="53"/>
    </row>
    <row r="11" spans="1:61" ht="15" customHeight="1">
      <c r="A11" s="52"/>
      <c r="B11" s="6"/>
      <c r="C11" s="23"/>
      <c r="I11" s="23"/>
      <c r="AL11" s="1"/>
      <c r="AM11" s="1"/>
      <c r="AN11" s="6"/>
      <c r="AO11" s="23"/>
      <c r="AP11" s="1"/>
      <c r="AQ11" s="6"/>
      <c r="BD11" s="5"/>
      <c r="BE11" s="84"/>
      <c r="BF11" s="5"/>
      <c r="BG11" s="5"/>
      <c r="BH11" s="5"/>
      <c r="BI11" s="53"/>
    </row>
    <row r="12" spans="1:61" ht="15" customHeight="1">
      <c r="A12" s="52"/>
      <c r="B12" s="6"/>
      <c r="C12" s="23"/>
      <c r="I12" s="23"/>
      <c r="L12" s="1" t="s">
        <v>99</v>
      </c>
      <c r="AL12" s="1"/>
      <c r="AM12" s="1"/>
      <c r="AN12" s="6"/>
      <c r="AO12" s="23"/>
      <c r="AP12" s="1"/>
      <c r="AQ12" s="6"/>
      <c r="BD12" s="5"/>
      <c r="BE12" s="84"/>
      <c r="BF12" s="5"/>
      <c r="BG12" s="5"/>
      <c r="BH12" s="5"/>
      <c r="BI12" s="53"/>
    </row>
    <row r="13" spans="1:61" ht="15" customHeight="1">
      <c r="A13" s="52"/>
      <c r="B13" s="6"/>
      <c r="C13" s="23"/>
      <c r="I13" s="23"/>
      <c r="AL13" s="1"/>
      <c r="AM13" s="1"/>
      <c r="AN13" s="6"/>
      <c r="AO13" s="23"/>
      <c r="AP13" s="1"/>
      <c r="AQ13" s="6"/>
      <c r="BD13" s="5"/>
      <c r="BE13" s="84"/>
      <c r="BF13" s="5"/>
      <c r="BG13" s="5"/>
      <c r="BH13" s="5"/>
      <c r="BI13" s="53"/>
    </row>
    <row r="14" spans="1:61" ht="15" customHeight="1">
      <c r="A14" s="94"/>
      <c r="B14" s="88"/>
      <c r="C14" s="86"/>
      <c r="D14" s="87"/>
      <c r="E14" s="87"/>
      <c r="F14" s="87"/>
      <c r="G14" s="87"/>
      <c r="H14" s="87"/>
      <c r="I14" s="86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8"/>
      <c r="AO14" s="86"/>
      <c r="AP14" s="87"/>
      <c r="AQ14" s="88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95"/>
      <c r="BE14" s="96"/>
      <c r="BF14" s="95"/>
      <c r="BG14" s="95"/>
      <c r="BH14" s="95"/>
      <c r="BI14" s="97"/>
    </row>
    <row r="15" spans="1:61" ht="15" customHeight="1">
      <c r="A15" s="52" t="s">
        <v>100</v>
      </c>
      <c r="B15" s="6"/>
      <c r="C15" s="23" t="s">
        <v>101</v>
      </c>
      <c r="I15" s="23"/>
      <c r="AL15" s="1"/>
      <c r="AM15" s="1"/>
      <c r="AN15" s="6"/>
      <c r="AO15" s="23"/>
      <c r="AP15" s="1"/>
      <c r="AQ15" s="6"/>
      <c r="BD15" s="5"/>
      <c r="BE15" s="84"/>
      <c r="BF15" s="5"/>
      <c r="BG15" s="5"/>
      <c r="BH15" s="5"/>
      <c r="BI15" s="53"/>
    </row>
    <row r="16" spans="1:61" ht="15" customHeight="1">
      <c r="A16" s="52"/>
      <c r="B16" s="6"/>
      <c r="C16" s="23"/>
      <c r="I16" s="23"/>
      <c r="J16" s="1" t="s">
        <v>102</v>
      </c>
      <c r="L16" s="1" t="s">
        <v>103</v>
      </c>
      <c r="AL16" s="1"/>
      <c r="AM16" s="1"/>
      <c r="AN16" s="6"/>
      <c r="AO16" s="23"/>
      <c r="AP16" s="1"/>
      <c r="AQ16" s="6"/>
      <c r="BD16" s="5"/>
      <c r="BE16" s="84"/>
      <c r="BF16" s="5"/>
      <c r="BG16" s="5"/>
      <c r="BH16" s="5"/>
      <c r="BI16" s="53"/>
    </row>
    <row r="17" spans="1:61" ht="15" customHeight="1">
      <c r="A17" s="52"/>
      <c r="B17" s="6"/>
      <c r="C17" s="23"/>
      <c r="I17" s="23"/>
      <c r="AL17" s="1"/>
      <c r="AM17" s="1"/>
      <c r="AN17" s="6"/>
      <c r="AO17" s="23"/>
      <c r="AP17" s="1"/>
      <c r="AQ17" s="6"/>
      <c r="BD17" s="5"/>
      <c r="BE17" s="84"/>
      <c r="BF17" s="5"/>
      <c r="BG17" s="5"/>
      <c r="BH17" s="5"/>
      <c r="BI17" s="53"/>
    </row>
    <row r="18" spans="1:61" ht="15" customHeight="1">
      <c r="A18" s="52"/>
      <c r="B18" s="6"/>
      <c r="C18" s="23"/>
      <c r="I18" s="23"/>
      <c r="K18" s="1" t="s">
        <v>95</v>
      </c>
      <c r="P18" s="1" t="s">
        <v>96</v>
      </c>
      <c r="AL18" s="1"/>
      <c r="AM18" s="1"/>
      <c r="AN18" s="6"/>
      <c r="AO18" s="23"/>
      <c r="AP18" s="1"/>
      <c r="AQ18" s="6"/>
      <c r="BD18" s="5"/>
      <c r="BE18" s="84"/>
      <c r="BF18" s="5"/>
      <c r="BG18" s="5"/>
      <c r="BH18" s="5"/>
      <c r="BI18" s="53"/>
    </row>
    <row r="19" spans="1:61" ht="15" customHeight="1">
      <c r="A19" s="52"/>
      <c r="B19" s="6"/>
      <c r="C19" s="23"/>
      <c r="I19" s="23"/>
      <c r="K19" s="1" t="s">
        <v>97</v>
      </c>
      <c r="P19" s="1" t="s">
        <v>104</v>
      </c>
      <c r="AL19" s="1"/>
      <c r="AM19" s="1"/>
      <c r="AN19" s="6"/>
      <c r="AO19" s="23"/>
      <c r="AP19" s="1"/>
      <c r="AQ19" s="6"/>
      <c r="BD19" s="5"/>
      <c r="BE19" s="84"/>
      <c r="BF19" s="5"/>
      <c r="BG19" s="5"/>
      <c r="BH19" s="5"/>
      <c r="BI19" s="53"/>
    </row>
    <row r="20" spans="1:61" ht="15" customHeight="1">
      <c r="A20" s="52"/>
      <c r="B20" s="6"/>
      <c r="C20" s="23"/>
      <c r="I20" s="23"/>
      <c r="AL20" s="1"/>
      <c r="AM20" s="1"/>
      <c r="AN20" s="6"/>
      <c r="AO20" s="23"/>
      <c r="AP20" s="1"/>
      <c r="AQ20" s="6"/>
      <c r="BD20" s="5"/>
      <c r="BE20" s="84"/>
      <c r="BF20" s="5"/>
      <c r="BG20" s="5"/>
      <c r="BH20" s="5"/>
      <c r="BI20" s="53"/>
    </row>
    <row r="21" spans="1:61" ht="15" customHeight="1">
      <c r="A21" s="52"/>
      <c r="B21" s="6"/>
      <c r="C21" s="23"/>
      <c r="I21" s="23"/>
      <c r="K21" s="1" t="s">
        <v>105</v>
      </c>
      <c r="N21" s="1" t="s">
        <v>106</v>
      </c>
      <c r="AL21" s="1"/>
      <c r="AM21" s="1"/>
      <c r="AN21" s="6"/>
      <c r="AO21" s="23"/>
      <c r="AP21" s="1"/>
      <c r="AQ21" s="6"/>
      <c r="BD21" s="5"/>
      <c r="BE21" s="84"/>
      <c r="BF21" s="5"/>
      <c r="BG21" s="5"/>
      <c r="BH21" s="5"/>
      <c r="BI21" s="53"/>
    </row>
    <row r="22" spans="1:61" ht="15" customHeight="1">
      <c r="A22" s="52"/>
      <c r="B22" s="6"/>
      <c r="C22" s="23"/>
      <c r="I22" s="23"/>
      <c r="AL22" s="1"/>
      <c r="AM22" s="1"/>
      <c r="AN22" s="6"/>
      <c r="AO22" s="23"/>
      <c r="AP22" s="1"/>
      <c r="AQ22" s="6"/>
      <c r="BD22" s="5"/>
      <c r="BE22" s="84"/>
      <c r="BF22" s="5"/>
      <c r="BG22" s="5"/>
      <c r="BH22" s="5"/>
      <c r="BI22" s="53"/>
    </row>
    <row r="23" spans="1:61" ht="15" customHeight="1">
      <c r="A23" s="52"/>
      <c r="B23" s="6"/>
      <c r="C23" s="23"/>
      <c r="I23" s="23"/>
      <c r="L23" s="1" t="s">
        <v>107</v>
      </c>
      <c r="AL23" s="1"/>
      <c r="AM23" s="1"/>
      <c r="AN23" s="6"/>
      <c r="AO23" s="89" t="s">
        <v>108</v>
      </c>
      <c r="AP23" s="34"/>
      <c r="AQ23" s="90"/>
      <c r="AR23" s="21" t="s">
        <v>109</v>
      </c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98"/>
      <c r="BE23" s="124"/>
      <c r="BF23" s="98" t="s">
        <v>110</v>
      </c>
      <c r="BG23" s="98"/>
      <c r="BH23" s="98"/>
      <c r="BI23" s="99"/>
    </row>
    <row r="24" spans="1:61" ht="15" customHeight="1">
      <c r="A24" s="52"/>
      <c r="B24" s="6"/>
      <c r="C24" s="23"/>
      <c r="I24" s="23"/>
      <c r="AL24" s="1"/>
      <c r="AM24" s="1"/>
      <c r="AN24" s="6"/>
      <c r="AO24" s="23" t="s">
        <v>111</v>
      </c>
      <c r="AP24" s="1"/>
      <c r="AQ24" s="6"/>
      <c r="BD24" s="5"/>
      <c r="BE24" s="84"/>
      <c r="BF24" s="5"/>
      <c r="BG24" s="5"/>
      <c r="BH24" s="5"/>
      <c r="BI24" s="53"/>
    </row>
    <row r="25" spans="1:61" ht="15" customHeight="1">
      <c r="A25" s="52"/>
      <c r="B25" s="6"/>
      <c r="C25" s="23"/>
      <c r="I25" s="23"/>
      <c r="AL25" s="1"/>
      <c r="AM25" s="1"/>
      <c r="AN25" s="6"/>
      <c r="AO25" s="86"/>
      <c r="AP25" s="87"/>
      <c r="AQ25" s="88"/>
      <c r="AR25" s="87" t="s">
        <v>112</v>
      </c>
      <c r="AS25" s="87"/>
      <c r="AT25" s="87" t="s">
        <v>113</v>
      </c>
      <c r="AU25" s="87"/>
      <c r="AV25" s="87"/>
      <c r="AW25" s="87"/>
      <c r="AX25" s="87"/>
      <c r="AY25" s="87"/>
      <c r="AZ25" s="87"/>
      <c r="BA25" s="87"/>
      <c r="BB25" s="87"/>
      <c r="BC25" s="87"/>
      <c r="BD25" s="95"/>
      <c r="BE25" s="96"/>
      <c r="BF25" s="95" t="s">
        <v>114</v>
      </c>
      <c r="BG25" s="95"/>
      <c r="BH25" s="95"/>
      <c r="BI25" s="97"/>
    </row>
    <row r="26" spans="1:61" ht="15" customHeight="1">
      <c r="A26" s="52"/>
      <c r="B26" s="6"/>
      <c r="C26" s="23"/>
      <c r="I26" s="23"/>
      <c r="AL26" s="1"/>
      <c r="AM26" s="1"/>
      <c r="AN26" s="6"/>
      <c r="AO26" s="23"/>
      <c r="AP26" s="1"/>
      <c r="AQ26" s="6"/>
      <c r="BD26" s="5"/>
      <c r="BE26" s="84"/>
      <c r="BF26" s="5"/>
      <c r="BG26" s="5"/>
      <c r="BH26" s="5"/>
      <c r="BI26" s="53"/>
    </row>
    <row r="27" spans="1:61" ht="15" customHeight="1">
      <c r="A27" s="52"/>
      <c r="B27" s="6"/>
      <c r="C27" s="23"/>
      <c r="I27" s="23"/>
      <c r="K27" s="1" t="s">
        <v>115</v>
      </c>
      <c r="N27" s="1" t="s">
        <v>116</v>
      </c>
      <c r="AL27" s="1"/>
      <c r="AM27" s="1"/>
      <c r="AN27" s="6"/>
      <c r="AO27" s="23"/>
      <c r="AP27" s="1"/>
      <c r="AQ27" s="6"/>
      <c r="BD27" s="5"/>
      <c r="BE27" s="84"/>
      <c r="BF27" s="5"/>
      <c r="BG27" s="5"/>
      <c r="BH27" s="5"/>
      <c r="BI27" s="53"/>
    </row>
    <row r="28" spans="1:61" ht="15" customHeight="1">
      <c r="A28" s="52"/>
      <c r="B28" s="6"/>
      <c r="C28" s="23"/>
      <c r="I28" s="23"/>
      <c r="AL28" s="1"/>
      <c r="AM28" s="1"/>
      <c r="AN28" s="6"/>
      <c r="AO28" s="23"/>
      <c r="AP28" s="1"/>
      <c r="AQ28" s="6"/>
      <c r="BD28" s="5"/>
      <c r="BE28" s="84"/>
      <c r="BF28" s="5"/>
      <c r="BG28" s="5"/>
      <c r="BH28" s="5"/>
      <c r="BI28" s="53"/>
    </row>
    <row r="29" spans="1:61" ht="15" customHeight="1">
      <c r="A29" s="52"/>
      <c r="B29" s="6"/>
      <c r="C29" s="23"/>
      <c r="I29" s="23"/>
      <c r="L29" s="1" t="s">
        <v>117</v>
      </c>
      <c r="AL29" s="1"/>
      <c r="AM29" s="1"/>
      <c r="AN29" s="6"/>
      <c r="AO29" s="89" t="s">
        <v>108</v>
      </c>
      <c r="AP29" s="34"/>
      <c r="AQ29" s="90"/>
      <c r="AR29" s="21" t="s">
        <v>109</v>
      </c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98"/>
      <c r="BE29" s="124"/>
      <c r="BF29" s="98" t="s">
        <v>110</v>
      </c>
      <c r="BG29" s="98"/>
      <c r="BH29" s="98"/>
      <c r="BI29" s="99"/>
    </row>
    <row r="30" spans="1:61" ht="15" customHeight="1">
      <c r="A30" s="52"/>
      <c r="B30" s="6"/>
      <c r="C30" s="23"/>
      <c r="I30" s="23"/>
      <c r="AL30" s="1"/>
      <c r="AM30" s="1"/>
      <c r="AN30" s="6"/>
      <c r="AO30" s="23" t="s">
        <v>111</v>
      </c>
      <c r="AP30" s="1"/>
      <c r="AQ30" s="6"/>
      <c r="BD30" s="5"/>
      <c r="BE30" s="84"/>
      <c r="BF30" s="5"/>
      <c r="BG30" s="5"/>
      <c r="BH30" s="5"/>
      <c r="BI30" s="53"/>
    </row>
    <row r="31" spans="1:61" ht="15" customHeight="1">
      <c r="A31" s="52"/>
      <c r="B31" s="6"/>
      <c r="C31" s="23"/>
      <c r="I31" s="23"/>
      <c r="AL31" s="1"/>
      <c r="AM31" s="1"/>
      <c r="AN31" s="6"/>
      <c r="AO31" s="86"/>
      <c r="AP31" s="87"/>
      <c r="AQ31" s="88"/>
      <c r="AR31" s="87" t="s">
        <v>112</v>
      </c>
      <c r="AS31" s="87"/>
      <c r="AT31" s="87" t="s">
        <v>118</v>
      </c>
      <c r="AU31" s="87"/>
      <c r="AV31" s="87"/>
      <c r="AW31" s="87"/>
      <c r="AX31" s="87"/>
      <c r="AY31" s="87"/>
      <c r="AZ31" s="87"/>
      <c r="BA31" s="87"/>
      <c r="BB31" s="87"/>
      <c r="BC31" s="87"/>
      <c r="BD31" s="95"/>
      <c r="BE31" s="96"/>
      <c r="BF31" s="95" t="s">
        <v>119</v>
      </c>
      <c r="BG31" s="95"/>
      <c r="BH31" s="95"/>
      <c r="BI31" s="97"/>
    </row>
    <row r="32" spans="1:61" ht="15" customHeight="1">
      <c r="A32" s="52"/>
      <c r="B32" s="6"/>
      <c r="C32" s="23"/>
      <c r="I32" s="23"/>
      <c r="AL32" s="1"/>
      <c r="AM32" s="1"/>
      <c r="AN32" s="6"/>
      <c r="AO32" s="23"/>
      <c r="AP32" s="1"/>
      <c r="AQ32" s="6"/>
      <c r="BD32" s="5"/>
      <c r="BE32" s="84"/>
      <c r="BF32" s="5"/>
      <c r="BG32" s="5"/>
      <c r="BH32" s="5"/>
      <c r="BI32" s="53"/>
    </row>
    <row r="33" spans="1:77" ht="15" customHeight="1">
      <c r="A33" s="52"/>
      <c r="B33" s="6"/>
      <c r="C33" s="23"/>
      <c r="I33" s="23"/>
      <c r="J33" s="1" t="s">
        <v>120</v>
      </c>
      <c r="L33" s="1" t="s">
        <v>121</v>
      </c>
      <c r="AL33" s="1"/>
      <c r="AM33" s="1"/>
      <c r="AN33" s="6"/>
      <c r="AO33" s="23"/>
      <c r="AP33" s="1"/>
      <c r="AQ33" s="6"/>
      <c r="BD33" s="5"/>
      <c r="BE33" s="84"/>
      <c r="BF33" s="5"/>
      <c r="BG33" s="5"/>
      <c r="BH33" s="5"/>
      <c r="BI33" s="53"/>
    </row>
    <row r="34" spans="1:77" ht="15" customHeight="1">
      <c r="A34" s="52"/>
      <c r="B34" s="6"/>
      <c r="C34" s="23"/>
      <c r="I34" s="23"/>
      <c r="AL34" s="1"/>
      <c r="AM34" s="1"/>
      <c r="AN34" s="6"/>
      <c r="AO34" s="23"/>
      <c r="AP34" s="1"/>
      <c r="AQ34" s="6"/>
      <c r="BD34" s="5"/>
      <c r="BE34" s="84"/>
      <c r="BF34" s="5"/>
      <c r="BG34" s="5"/>
      <c r="BH34" s="5"/>
      <c r="BI34" s="53"/>
    </row>
    <row r="35" spans="1:77" ht="15" customHeight="1">
      <c r="A35" s="52"/>
      <c r="B35" s="6"/>
      <c r="C35" s="23"/>
      <c r="I35" s="23"/>
      <c r="K35" s="1" t="s">
        <v>95</v>
      </c>
      <c r="P35" s="1" t="s">
        <v>96</v>
      </c>
      <c r="AL35" s="1"/>
      <c r="AM35" s="1"/>
      <c r="AN35" s="6"/>
      <c r="AO35" s="23"/>
      <c r="AP35" s="1"/>
      <c r="AQ35" s="6"/>
      <c r="BD35" s="5"/>
      <c r="BE35" s="84"/>
      <c r="BF35" s="5"/>
      <c r="BG35" s="5"/>
      <c r="BH35" s="5"/>
      <c r="BI35" s="53"/>
    </row>
    <row r="36" spans="1:77" ht="15" customHeight="1">
      <c r="A36" s="52"/>
      <c r="B36" s="6"/>
      <c r="C36" s="23"/>
      <c r="I36" s="23"/>
      <c r="K36" s="1" t="s">
        <v>97</v>
      </c>
      <c r="P36" s="1" t="s">
        <v>122</v>
      </c>
      <c r="AL36" s="1"/>
      <c r="AM36" s="1"/>
      <c r="AN36" s="6"/>
      <c r="AO36" s="23"/>
      <c r="AP36" s="1"/>
      <c r="AQ36" s="6"/>
      <c r="BD36" s="5"/>
      <c r="BE36" s="84"/>
      <c r="BF36" s="5"/>
      <c r="BG36" s="5"/>
      <c r="BH36" s="5"/>
      <c r="BI36" s="53"/>
    </row>
    <row r="37" spans="1:77" ht="15" customHeight="1">
      <c r="A37" s="52"/>
      <c r="C37" s="23"/>
      <c r="I37" s="23"/>
      <c r="AL37" s="1"/>
      <c r="AM37" s="1"/>
      <c r="AN37" s="6"/>
      <c r="AO37" s="23"/>
      <c r="AP37" s="1"/>
      <c r="AQ37" s="6"/>
      <c r="BD37" s="5"/>
      <c r="BE37" s="84"/>
      <c r="BF37" s="5"/>
      <c r="BG37" s="5"/>
      <c r="BH37" s="5"/>
      <c r="BI37" s="53"/>
    </row>
    <row r="38" spans="1:77" ht="15" customHeight="1">
      <c r="A38" s="52"/>
      <c r="C38" s="23"/>
      <c r="I38" s="23"/>
      <c r="K38" s="1" t="s">
        <v>123</v>
      </c>
      <c r="N38" s="1" t="s">
        <v>124</v>
      </c>
      <c r="AL38" s="1"/>
      <c r="AM38" s="1"/>
      <c r="AN38" s="6"/>
      <c r="AO38" s="23"/>
      <c r="AP38" s="1"/>
      <c r="AQ38" s="6"/>
      <c r="BD38" s="5"/>
      <c r="BE38" s="84"/>
      <c r="BF38" s="5"/>
      <c r="BG38" s="5"/>
      <c r="BH38" s="5"/>
      <c r="BI38" s="53"/>
    </row>
    <row r="39" spans="1:77" ht="15" customHeight="1">
      <c r="A39" s="52"/>
      <c r="C39" s="23"/>
      <c r="I39" s="23"/>
      <c r="AL39" s="1"/>
      <c r="AM39" s="1"/>
      <c r="AN39" s="6"/>
      <c r="AO39" s="23"/>
      <c r="AP39" s="1"/>
      <c r="AQ39" s="6"/>
      <c r="BD39" s="5"/>
      <c r="BE39" s="84"/>
      <c r="BF39" s="5"/>
      <c r="BG39" s="5"/>
      <c r="BH39" s="5"/>
      <c r="BI39" s="53"/>
    </row>
    <row r="40" spans="1:77" ht="15" customHeight="1">
      <c r="A40" s="52"/>
      <c r="B40" s="6"/>
      <c r="C40" s="23"/>
      <c r="I40" s="23"/>
      <c r="L40" s="1" t="s">
        <v>95</v>
      </c>
      <c r="Q40" s="1" t="s">
        <v>96</v>
      </c>
      <c r="AL40" s="1"/>
      <c r="AM40" s="1"/>
      <c r="AN40" s="6"/>
      <c r="AO40" s="23"/>
      <c r="AP40" s="1"/>
      <c r="AQ40" s="6"/>
      <c r="BD40" s="5"/>
      <c r="BE40" s="84"/>
      <c r="BF40" s="5"/>
      <c r="BG40" s="5"/>
      <c r="BH40" s="5"/>
      <c r="BI40" s="53"/>
    </row>
    <row r="41" spans="1:77" ht="15" customHeight="1">
      <c r="A41" s="52"/>
      <c r="B41" s="6"/>
      <c r="C41" s="23"/>
      <c r="I41" s="23"/>
      <c r="L41" s="1" t="s">
        <v>97</v>
      </c>
      <c r="Q41" s="1" t="s">
        <v>125</v>
      </c>
      <c r="AL41" s="1"/>
      <c r="AM41" s="1"/>
      <c r="AN41" s="6"/>
      <c r="AO41" s="23"/>
      <c r="AP41" s="1"/>
      <c r="AQ41" s="6"/>
      <c r="BD41" s="5"/>
      <c r="BE41" s="84"/>
      <c r="BF41" s="5"/>
      <c r="BG41" s="5"/>
      <c r="BH41" s="5"/>
      <c r="BI41" s="53"/>
    </row>
    <row r="42" spans="1:77" ht="15" customHeight="1">
      <c r="A42" s="52"/>
      <c r="B42" s="6"/>
      <c r="C42" s="23"/>
      <c r="I42" s="23"/>
      <c r="AL42" s="1"/>
      <c r="AM42" s="1"/>
      <c r="AN42" s="6"/>
      <c r="AO42" s="23"/>
      <c r="AP42" s="1"/>
      <c r="AQ42" s="6"/>
      <c r="BD42" s="5"/>
      <c r="BE42" s="84"/>
      <c r="BF42" s="5"/>
      <c r="BG42" s="5"/>
      <c r="BH42" s="5"/>
      <c r="BI42" s="53"/>
    </row>
    <row r="43" spans="1:77" ht="15" customHeight="1">
      <c r="A43" s="52"/>
      <c r="B43" s="6"/>
      <c r="C43" s="23"/>
      <c r="I43" s="23"/>
      <c r="L43" s="1" t="s">
        <v>126</v>
      </c>
      <c r="AL43" s="1"/>
      <c r="AM43" s="1"/>
      <c r="AN43" s="6"/>
      <c r="AO43" s="23"/>
      <c r="AP43" s="1"/>
      <c r="AQ43" s="6"/>
      <c r="BD43" s="5"/>
      <c r="BE43" s="84"/>
      <c r="BF43" s="5"/>
      <c r="BG43" s="5"/>
      <c r="BH43" s="5"/>
      <c r="BI43" s="53"/>
    </row>
    <row r="44" spans="1:77" ht="15" customHeight="1">
      <c r="A44" s="52"/>
      <c r="B44" s="6"/>
      <c r="C44" s="23"/>
      <c r="I44" s="23"/>
      <c r="L44" s="1" t="s">
        <v>127</v>
      </c>
      <c r="AL44" s="1"/>
      <c r="AM44" s="1"/>
      <c r="AN44" s="6"/>
      <c r="AO44" s="23"/>
      <c r="AP44" s="1"/>
      <c r="AQ44" s="6"/>
      <c r="BD44" s="5"/>
      <c r="BE44" s="84"/>
      <c r="BF44" s="5"/>
      <c r="BG44" s="5"/>
      <c r="BH44" s="5"/>
      <c r="BI44" s="53"/>
    </row>
    <row r="45" spans="1:77" ht="15" customHeight="1">
      <c r="A45" s="52"/>
      <c r="B45" s="6"/>
      <c r="C45" s="23"/>
      <c r="I45" s="23"/>
      <c r="AL45" s="1"/>
      <c r="AM45" s="1"/>
      <c r="AN45" s="6"/>
      <c r="AO45" s="23"/>
      <c r="AP45" s="1"/>
      <c r="AQ45" s="6"/>
      <c r="BD45" s="5"/>
      <c r="BE45" s="84"/>
      <c r="BF45" s="5"/>
      <c r="BG45" s="5"/>
      <c r="BH45" s="5"/>
      <c r="BI45" s="53"/>
    </row>
    <row r="46" spans="1:77" s="112" customFormat="1" ht="15" customHeight="1">
      <c r="A46" s="111"/>
      <c r="C46" s="113"/>
      <c r="D46" s="114"/>
      <c r="E46" s="114"/>
      <c r="F46" s="114"/>
      <c r="G46" s="114"/>
      <c r="H46" s="115"/>
      <c r="I46" s="114"/>
      <c r="J46" s="114"/>
      <c r="L46" s="117" t="s">
        <v>128</v>
      </c>
      <c r="M46" s="117"/>
      <c r="N46" s="117"/>
      <c r="O46" s="117"/>
      <c r="P46" s="117" t="s">
        <v>129</v>
      </c>
      <c r="R46" s="117"/>
      <c r="S46" s="117"/>
      <c r="T46" s="117"/>
      <c r="U46" s="116"/>
      <c r="V46" s="117"/>
      <c r="W46" s="117"/>
      <c r="X46" s="117"/>
      <c r="Y46" s="117"/>
      <c r="Z46" s="117"/>
      <c r="AA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6"/>
      <c r="AO46" s="23"/>
      <c r="AP46" s="1"/>
      <c r="AQ46" s="6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5"/>
      <c r="BE46" s="84"/>
      <c r="BF46" s="5"/>
      <c r="BG46" s="5"/>
      <c r="BH46" s="5"/>
      <c r="BI46" s="53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</row>
    <row r="47" spans="1:77" s="112" customFormat="1" ht="15" customHeight="1">
      <c r="A47" s="111"/>
      <c r="C47" s="113"/>
      <c r="D47" s="114"/>
      <c r="E47" s="114"/>
      <c r="F47" s="114"/>
      <c r="G47" s="114"/>
      <c r="H47" s="115"/>
      <c r="I47" s="114"/>
      <c r="J47" s="114"/>
      <c r="L47" s="117"/>
      <c r="M47" s="117"/>
      <c r="N47" s="117"/>
      <c r="O47" s="117"/>
      <c r="P47" s="117" t="s">
        <v>130</v>
      </c>
      <c r="R47" s="117"/>
      <c r="S47" s="117"/>
      <c r="T47" s="117"/>
      <c r="U47" s="116"/>
      <c r="V47" s="117"/>
      <c r="W47" s="117"/>
      <c r="X47" s="117"/>
      <c r="Y47" s="117"/>
      <c r="Z47" s="117"/>
      <c r="AA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6"/>
      <c r="AO47" s="23"/>
      <c r="AP47" s="1"/>
      <c r="AQ47" s="6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5"/>
      <c r="BE47" s="84"/>
      <c r="BF47" s="5"/>
      <c r="BG47" s="5"/>
      <c r="BH47" s="5"/>
      <c r="BI47" s="53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 spans="1:77" ht="15" customHeight="1">
      <c r="A48" s="52"/>
      <c r="B48" s="6"/>
      <c r="C48" s="23"/>
      <c r="I48" s="23"/>
      <c r="P48" s="1" t="s">
        <v>131</v>
      </c>
      <c r="AL48" s="1"/>
      <c r="AM48" s="1"/>
      <c r="AN48" s="6"/>
      <c r="AO48" s="23"/>
      <c r="AP48" s="1"/>
      <c r="AQ48" s="6"/>
      <c r="BD48" s="5"/>
      <c r="BE48" s="84"/>
      <c r="BF48" s="5"/>
      <c r="BG48" s="5"/>
      <c r="BH48" s="5"/>
      <c r="BI48" s="53"/>
    </row>
    <row r="49" spans="1:77" ht="15" customHeight="1">
      <c r="A49" s="52"/>
      <c r="B49" s="6"/>
      <c r="C49" s="23"/>
      <c r="I49" s="23"/>
      <c r="AL49" s="1"/>
      <c r="AM49" s="1"/>
      <c r="AN49" s="6"/>
      <c r="AO49" s="23"/>
      <c r="AP49" s="1"/>
      <c r="AQ49" s="6"/>
      <c r="BD49" s="5"/>
      <c r="BE49" s="84"/>
      <c r="BF49" s="5"/>
      <c r="BG49" s="5"/>
      <c r="BH49" s="5"/>
      <c r="BI49" s="53"/>
    </row>
    <row r="50" spans="1:77" ht="15" customHeight="1">
      <c r="A50" s="52"/>
      <c r="B50" s="6"/>
      <c r="C50" s="23"/>
      <c r="I50" s="23"/>
      <c r="L50" s="1" t="s">
        <v>132</v>
      </c>
      <c r="AL50" s="1"/>
      <c r="AM50" s="1"/>
      <c r="AN50" s="6"/>
      <c r="AO50" s="23"/>
      <c r="AP50" s="1"/>
      <c r="AQ50" s="6"/>
      <c r="BD50" s="5"/>
      <c r="BE50" s="84"/>
      <c r="BF50" s="5"/>
      <c r="BG50" s="5"/>
      <c r="BH50" s="5"/>
      <c r="BI50" s="53"/>
    </row>
    <row r="51" spans="1:77" ht="15" customHeight="1">
      <c r="A51" s="52"/>
      <c r="B51" s="6"/>
      <c r="C51" s="23"/>
      <c r="I51" s="23"/>
      <c r="P51" s="1" t="s">
        <v>133</v>
      </c>
      <c r="AH51" s="1" t="s">
        <v>134</v>
      </c>
      <c r="AJ51" s="1" t="s">
        <v>135</v>
      </c>
      <c r="AL51" s="1"/>
      <c r="AM51" s="1"/>
      <c r="AN51" s="1"/>
      <c r="AO51" s="23"/>
      <c r="AP51" s="1"/>
      <c r="AQ51" s="6"/>
      <c r="BD51" s="5"/>
      <c r="BE51" s="84"/>
      <c r="BF51" s="5"/>
      <c r="BG51" s="5"/>
      <c r="BH51" s="5"/>
      <c r="BI51" s="53"/>
    </row>
    <row r="52" spans="1:77" ht="15" customHeight="1">
      <c r="A52" s="52"/>
      <c r="B52" s="6"/>
      <c r="C52" s="23"/>
      <c r="I52" s="23"/>
      <c r="P52" s="1" t="s">
        <v>136</v>
      </c>
      <c r="AH52" s="1" t="s">
        <v>134</v>
      </c>
      <c r="AJ52" s="1" t="s">
        <v>137</v>
      </c>
      <c r="AL52" s="1"/>
      <c r="AM52" s="1"/>
      <c r="AN52" s="1"/>
      <c r="AO52" s="23"/>
      <c r="AP52" s="1"/>
      <c r="AQ52" s="6"/>
      <c r="BD52" s="5"/>
      <c r="BE52" s="84"/>
      <c r="BF52" s="5"/>
      <c r="BG52" s="5"/>
      <c r="BH52" s="5"/>
      <c r="BI52" s="53"/>
    </row>
    <row r="53" spans="1:77" s="112" customFormat="1" ht="15" customHeight="1">
      <c r="A53" s="111"/>
      <c r="C53" s="113"/>
      <c r="D53" s="114"/>
      <c r="E53" s="114"/>
      <c r="F53" s="114"/>
      <c r="G53" s="114"/>
      <c r="H53" s="115"/>
      <c r="I53" s="114"/>
      <c r="J53" s="114"/>
      <c r="L53" s="116"/>
      <c r="M53" s="117"/>
      <c r="N53" s="117"/>
      <c r="O53" s="117"/>
      <c r="P53" s="117"/>
      <c r="Q53" s="117"/>
      <c r="R53" s="117"/>
      <c r="S53" s="117"/>
      <c r="T53" s="117"/>
      <c r="U53" s="116"/>
      <c r="V53" s="117"/>
      <c r="W53" s="117"/>
      <c r="X53" s="117"/>
      <c r="Y53" s="117"/>
      <c r="Z53" s="117"/>
      <c r="AH53" s="117"/>
      <c r="AJ53" s="117"/>
      <c r="AK53" s="117"/>
      <c r="AL53" s="117"/>
      <c r="AM53" s="117"/>
      <c r="AN53" s="117"/>
      <c r="AO53" s="23"/>
      <c r="AP53" s="1"/>
      <c r="AQ53" s="6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5"/>
      <c r="BE53" s="84"/>
      <c r="BF53" s="5"/>
      <c r="BG53" s="5"/>
      <c r="BH53" s="5"/>
      <c r="BI53" s="53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</row>
    <row r="54" spans="1:77" s="112" customFormat="1" ht="15" customHeight="1">
      <c r="A54" s="111"/>
      <c r="C54" s="113"/>
      <c r="D54" s="114"/>
      <c r="E54" s="114"/>
      <c r="F54" s="114"/>
      <c r="G54" s="114"/>
      <c r="H54" s="115"/>
      <c r="I54" s="114"/>
      <c r="J54" s="114"/>
      <c r="L54" s="117" t="s">
        <v>138</v>
      </c>
      <c r="M54" s="117"/>
      <c r="N54" s="117"/>
      <c r="O54" s="117"/>
      <c r="P54" s="117" t="s">
        <v>139</v>
      </c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H54" s="117" t="s">
        <v>140</v>
      </c>
      <c r="AJ54" s="117" t="s">
        <v>141</v>
      </c>
      <c r="AN54" s="117"/>
      <c r="AO54" s="23"/>
      <c r="AP54" s="1"/>
      <c r="AQ54" s="6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5"/>
      <c r="BE54" s="84"/>
      <c r="BF54" s="5"/>
      <c r="BG54" s="5"/>
      <c r="BH54" s="5"/>
      <c r="BI54" s="53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 spans="1:77" s="112" customFormat="1" ht="15" customHeight="1">
      <c r="A55" s="111"/>
      <c r="C55" s="113"/>
      <c r="D55" s="114"/>
      <c r="E55" s="114"/>
      <c r="F55" s="114"/>
      <c r="G55" s="114"/>
      <c r="H55" s="115"/>
      <c r="I55" s="114"/>
      <c r="J55" s="114"/>
      <c r="L55" s="117"/>
      <c r="M55" s="117"/>
      <c r="N55" s="117" t="s">
        <v>142</v>
      </c>
      <c r="O55" s="117"/>
      <c r="P55" s="117" t="s">
        <v>143</v>
      </c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H55" s="117" t="s">
        <v>144</v>
      </c>
      <c r="AJ55" s="117" t="s">
        <v>145</v>
      </c>
      <c r="AN55" s="117"/>
      <c r="AO55" s="23"/>
      <c r="AP55" s="1"/>
      <c r="AQ55" s="6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5"/>
      <c r="BE55" s="84"/>
      <c r="BF55" s="5"/>
      <c r="BG55" s="5"/>
      <c r="BH55" s="5"/>
      <c r="BI55" s="53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</row>
    <row r="56" spans="1:77" s="112" customFormat="1" ht="15" customHeight="1">
      <c r="A56" s="111"/>
      <c r="C56" s="113"/>
      <c r="D56" s="114"/>
      <c r="E56" s="114"/>
      <c r="F56" s="114"/>
      <c r="G56" s="114"/>
      <c r="H56" s="115"/>
      <c r="I56" s="114"/>
      <c r="J56" s="114"/>
      <c r="L56" s="117"/>
      <c r="M56" s="117"/>
      <c r="N56" s="121" t="s">
        <v>146</v>
      </c>
      <c r="O56" s="117"/>
      <c r="P56" s="117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H56" s="117"/>
      <c r="AJ56" s="117"/>
      <c r="AN56" s="117"/>
      <c r="AO56" s="23"/>
      <c r="AP56" s="1"/>
      <c r="AQ56" s="6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5"/>
      <c r="BE56" s="84"/>
      <c r="BF56" s="5"/>
      <c r="BG56" s="5"/>
      <c r="BH56" s="5"/>
      <c r="BI56" s="53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spans="1:77" s="112" customFormat="1" ht="15" customHeight="1">
      <c r="A57" s="111"/>
      <c r="C57" s="113"/>
      <c r="D57" s="114"/>
      <c r="E57" s="114"/>
      <c r="F57" s="114"/>
      <c r="G57" s="114"/>
      <c r="H57" s="115"/>
      <c r="I57" s="114"/>
      <c r="J57" s="114"/>
      <c r="L57" s="117"/>
      <c r="M57" s="117"/>
      <c r="N57" s="117" t="s">
        <v>142</v>
      </c>
      <c r="O57" s="117"/>
      <c r="P57" s="117" t="s">
        <v>147</v>
      </c>
      <c r="Q57" s="117"/>
      <c r="R57" s="117"/>
      <c r="S57" s="117"/>
      <c r="T57" s="116"/>
      <c r="U57" s="117"/>
      <c r="V57" s="117"/>
      <c r="W57" s="117"/>
      <c r="X57" s="117"/>
      <c r="Y57" s="117"/>
      <c r="Z57" s="117"/>
      <c r="AH57" s="116" t="s">
        <v>134</v>
      </c>
      <c r="AJ57" s="117" t="s">
        <v>148</v>
      </c>
      <c r="AN57" s="117"/>
      <c r="AO57" s="23"/>
      <c r="AP57" s="1"/>
      <c r="AQ57" s="6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5"/>
      <c r="BE57" s="84"/>
      <c r="BF57" s="5"/>
      <c r="BG57" s="5"/>
      <c r="BH57" s="5"/>
      <c r="BI57" s="53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</row>
    <row r="58" spans="1:77" s="112" customFormat="1" ht="15" customHeight="1">
      <c r="A58" s="111"/>
      <c r="C58" s="113"/>
      <c r="D58" s="114"/>
      <c r="E58" s="114"/>
      <c r="F58" s="114"/>
      <c r="G58" s="114"/>
      <c r="H58" s="115"/>
      <c r="I58" s="114"/>
      <c r="J58" s="114"/>
      <c r="L58" s="117"/>
      <c r="M58" s="117"/>
      <c r="N58" s="117" t="s">
        <v>142</v>
      </c>
      <c r="O58" s="117"/>
      <c r="P58" s="117" t="s">
        <v>149</v>
      </c>
      <c r="Q58" s="117"/>
      <c r="R58" s="117"/>
      <c r="S58" s="117"/>
      <c r="T58" s="116"/>
      <c r="U58" s="117"/>
      <c r="V58" s="117"/>
      <c r="W58" s="117"/>
      <c r="X58" s="117"/>
      <c r="Y58" s="117"/>
      <c r="Z58" s="117"/>
      <c r="AH58" s="116" t="s">
        <v>134</v>
      </c>
      <c r="AJ58" s="117" t="s">
        <v>150</v>
      </c>
      <c r="AL58" s="117"/>
      <c r="AM58" s="116"/>
      <c r="AN58" s="118"/>
      <c r="AO58" s="23"/>
      <c r="AP58" s="1"/>
      <c r="AQ58" s="6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5"/>
      <c r="BE58" s="84"/>
      <c r="BF58" s="5"/>
      <c r="BG58" s="5"/>
      <c r="BH58" s="5"/>
      <c r="BI58" s="53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</row>
    <row r="59" spans="1:77" s="112" customFormat="1" ht="15" customHeight="1">
      <c r="A59" s="111"/>
      <c r="C59" s="113"/>
      <c r="D59" s="114"/>
      <c r="E59" s="114"/>
      <c r="F59" s="114"/>
      <c r="G59" s="114"/>
      <c r="H59" s="115"/>
      <c r="I59" s="114"/>
      <c r="J59" s="114"/>
      <c r="L59" s="117"/>
      <c r="M59" s="117"/>
      <c r="N59" s="117" t="s">
        <v>142</v>
      </c>
      <c r="O59" s="117"/>
      <c r="P59" s="117" t="s">
        <v>151</v>
      </c>
      <c r="Q59" s="117"/>
      <c r="R59" s="117"/>
      <c r="S59" s="117"/>
      <c r="T59" s="116"/>
      <c r="U59" s="117"/>
      <c r="V59" s="117"/>
      <c r="W59" s="117"/>
      <c r="X59" s="117"/>
      <c r="Y59" s="117"/>
      <c r="Z59" s="117"/>
      <c r="AH59" s="116" t="s">
        <v>134</v>
      </c>
      <c r="AJ59" s="117" t="s">
        <v>152</v>
      </c>
      <c r="AN59" s="117"/>
      <c r="AO59" s="23"/>
      <c r="AP59" s="1"/>
      <c r="AQ59" s="6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5"/>
      <c r="BE59" s="84"/>
      <c r="BF59" s="5"/>
      <c r="BG59" s="5"/>
      <c r="BH59" s="5"/>
      <c r="BI59" s="53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</row>
    <row r="60" spans="1:77" s="112" customFormat="1" ht="15" customHeight="1">
      <c r="A60" s="111"/>
      <c r="C60" s="113"/>
      <c r="D60" s="114"/>
      <c r="E60" s="114"/>
      <c r="F60" s="114"/>
      <c r="G60" s="114"/>
      <c r="H60" s="115"/>
      <c r="I60" s="114"/>
      <c r="J60" s="114"/>
      <c r="L60" s="117"/>
      <c r="M60" s="117"/>
      <c r="N60" s="117" t="s">
        <v>153</v>
      </c>
      <c r="O60" s="117"/>
      <c r="P60" s="117"/>
      <c r="Q60" s="117"/>
      <c r="R60" s="117"/>
      <c r="S60" s="117"/>
      <c r="T60" s="116"/>
      <c r="U60" s="117"/>
      <c r="V60" s="117"/>
      <c r="W60" s="117"/>
      <c r="X60" s="117"/>
      <c r="Y60" s="117"/>
      <c r="Z60" s="117"/>
      <c r="AH60" s="116"/>
      <c r="AJ60" s="117"/>
      <c r="AN60" s="117"/>
      <c r="AO60" s="23"/>
      <c r="AP60" s="1"/>
      <c r="AQ60" s="6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5"/>
      <c r="BE60" s="84"/>
      <c r="BF60" s="5"/>
      <c r="BG60" s="5"/>
      <c r="BH60" s="5"/>
      <c r="BI60" s="53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</row>
    <row r="61" spans="1:77" s="112" customFormat="1" ht="15" customHeight="1">
      <c r="A61" s="111"/>
      <c r="C61" s="113"/>
      <c r="D61" s="114"/>
      <c r="E61" s="114"/>
      <c r="F61" s="114"/>
      <c r="G61" s="114"/>
      <c r="H61" s="115"/>
      <c r="I61" s="114"/>
      <c r="J61" s="114"/>
      <c r="L61" s="117"/>
      <c r="M61" s="117"/>
      <c r="N61" s="121" t="s">
        <v>154</v>
      </c>
      <c r="O61" s="117"/>
      <c r="P61" s="117"/>
      <c r="Q61" s="117"/>
      <c r="R61" s="117"/>
      <c r="S61" s="117"/>
      <c r="T61" s="116"/>
      <c r="U61" s="117"/>
      <c r="V61" s="117"/>
      <c r="W61" s="117"/>
      <c r="X61" s="117"/>
      <c r="Y61" s="117"/>
      <c r="Z61" s="117"/>
      <c r="AH61" s="116"/>
      <c r="AJ61" s="117"/>
      <c r="AN61" s="117"/>
      <c r="AO61" s="23"/>
      <c r="AP61" s="1"/>
      <c r="AQ61" s="6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5"/>
      <c r="BE61" s="84"/>
      <c r="BF61" s="5"/>
      <c r="BG61" s="5"/>
      <c r="BH61" s="5"/>
      <c r="BI61" s="53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</row>
    <row r="62" spans="1:77" s="112" customFormat="1" ht="15" customHeight="1">
      <c r="A62" s="111"/>
      <c r="C62" s="113"/>
      <c r="D62" s="114"/>
      <c r="E62" s="114"/>
      <c r="F62" s="114"/>
      <c r="G62" s="114"/>
      <c r="H62" s="115"/>
      <c r="I62" s="114"/>
      <c r="J62" s="114"/>
      <c r="L62" s="117"/>
      <c r="M62" s="117"/>
      <c r="N62" s="117" t="s">
        <v>142</v>
      </c>
      <c r="O62" s="117"/>
      <c r="P62" s="117" t="s">
        <v>155</v>
      </c>
      <c r="Q62" s="117"/>
      <c r="R62" s="117"/>
      <c r="S62" s="117"/>
      <c r="T62" s="116"/>
      <c r="U62" s="117"/>
      <c r="V62" s="117"/>
      <c r="W62" s="117"/>
      <c r="X62" s="117"/>
      <c r="Y62" s="117"/>
      <c r="Z62" s="117"/>
      <c r="AH62" s="116" t="s">
        <v>134</v>
      </c>
      <c r="AJ62" s="117" t="s">
        <v>156</v>
      </c>
      <c r="AN62" s="117"/>
      <c r="AO62" s="23"/>
      <c r="AP62" s="1"/>
      <c r="AQ62" s="6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5"/>
      <c r="BE62" s="84"/>
      <c r="BF62" s="5"/>
      <c r="BG62" s="5"/>
      <c r="BH62" s="5"/>
      <c r="BI62" s="53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</row>
    <row r="63" spans="1:77" s="112" customFormat="1" ht="15" customHeight="1">
      <c r="A63" s="111"/>
      <c r="C63" s="113"/>
      <c r="D63" s="114"/>
      <c r="E63" s="114"/>
      <c r="F63" s="114"/>
      <c r="G63" s="114"/>
      <c r="H63" s="115"/>
      <c r="I63" s="114"/>
      <c r="J63" s="114"/>
      <c r="L63" s="117"/>
      <c r="M63" s="117"/>
      <c r="N63" s="117" t="s">
        <v>153</v>
      </c>
      <c r="O63" s="117"/>
      <c r="P63" s="117" t="s">
        <v>157</v>
      </c>
      <c r="Q63" s="117"/>
      <c r="R63" s="117"/>
      <c r="S63" s="117"/>
      <c r="T63" s="116"/>
      <c r="U63" s="117"/>
      <c r="V63" s="117"/>
      <c r="W63" s="117"/>
      <c r="X63" s="117"/>
      <c r="Y63" s="117"/>
      <c r="Z63" s="117"/>
      <c r="AH63" s="116" t="s">
        <v>134</v>
      </c>
      <c r="AJ63" s="117" t="s">
        <v>158</v>
      </c>
      <c r="AN63" s="117"/>
      <c r="AO63" s="23"/>
      <c r="AP63" s="1"/>
      <c r="AQ63" s="6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5"/>
      <c r="BE63" s="84"/>
      <c r="BF63" s="5"/>
      <c r="BG63" s="5"/>
      <c r="BH63" s="5"/>
      <c r="BI63" s="53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</row>
    <row r="64" spans="1:77" s="112" customFormat="1" ht="15" customHeight="1">
      <c r="A64" s="111"/>
      <c r="C64" s="113"/>
      <c r="D64" s="114"/>
      <c r="E64" s="114"/>
      <c r="F64" s="114"/>
      <c r="G64" s="114"/>
      <c r="H64" s="115"/>
      <c r="I64" s="114"/>
      <c r="J64" s="114"/>
      <c r="L64" s="117"/>
      <c r="M64" s="117"/>
      <c r="N64" s="117" t="s">
        <v>142</v>
      </c>
      <c r="O64" s="117"/>
      <c r="P64" s="117" t="s">
        <v>151</v>
      </c>
      <c r="Q64" s="117"/>
      <c r="R64" s="117"/>
      <c r="S64" s="117"/>
      <c r="T64" s="116"/>
      <c r="U64" s="117"/>
      <c r="V64" s="117"/>
      <c r="W64" s="117"/>
      <c r="X64" s="117"/>
      <c r="Y64" s="117"/>
      <c r="Z64" s="117"/>
      <c r="AH64" s="116" t="s">
        <v>134</v>
      </c>
      <c r="AJ64" s="117" t="s">
        <v>152</v>
      </c>
      <c r="AN64" s="117"/>
      <c r="AO64" s="23"/>
      <c r="AP64" s="1"/>
      <c r="AQ64" s="6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5"/>
      <c r="BE64" s="84"/>
      <c r="BF64" s="5"/>
      <c r="BG64" s="5"/>
      <c r="BH64" s="5"/>
      <c r="BI64" s="53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</row>
    <row r="65" spans="1:77" s="112" customFormat="1" ht="15" customHeight="1">
      <c r="A65" s="111"/>
      <c r="C65" s="113"/>
      <c r="D65" s="114"/>
      <c r="E65" s="114"/>
      <c r="F65" s="114"/>
      <c r="G65" s="114"/>
      <c r="H65" s="115"/>
      <c r="I65" s="114"/>
      <c r="J65" s="114"/>
      <c r="L65" s="116"/>
      <c r="AO65" s="23"/>
      <c r="AP65" s="1"/>
      <c r="AQ65" s="6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5"/>
      <c r="BE65" s="84"/>
      <c r="BF65" s="5"/>
      <c r="BG65" s="5"/>
      <c r="BH65" s="5"/>
      <c r="BI65" s="53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</row>
    <row r="66" spans="1:77" ht="15" customHeight="1">
      <c r="A66" s="52"/>
      <c r="C66" s="23"/>
      <c r="I66" s="23"/>
      <c r="L66" s="1" t="s">
        <v>159</v>
      </c>
      <c r="P66" s="117" t="s">
        <v>160</v>
      </c>
      <c r="AD66" s="1" t="s">
        <v>161</v>
      </c>
      <c r="AL66" s="1"/>
      <c r="AM66" s="1"/>
      <c r="AN66" s="1"/>
      <c r="AO66" s="23"/>
      <c r="AP66" s="1"/>
      <c r="AQ66" s="6"/>
      <c r="BD66" s="5"/>
      <c r="BE66" s="84"/>
      <c r="BF66" s="5"/>
      <c r="BG66" s="5"/>
      <c r="BH66" s="5"/>
      <c r="BI66" s="53"/>
    </row>
    <row r="67" spans="1:77" ht="15" customHeight="1">
      <c r="A67" s="52"/>
      <c r="C67" s="23"/>
      <c r="I67" s="23"/>
      <c r="P67" s="117" t="s">
        <v>162</v>
      </c>
      <c r="AD67" s="1" t="s">
        <v>161</v>
      </c>
      <c r="AL67" s="1"/>
      <c r="AM67" s="1"/>
      <c r="AN67" s="1"/>
      <c r="AO67" s="23"/>
      <c r="AP67" s="1"/>
      <c r="AQ67" s="6"/>
      <c r="BD67" s="5"/>
      <c r="BE67" s="84"/>
      <c r="BF67" s="5"/>
      <c r="BG67" s="5"/>
      <c r="BH67" s="5"/>
      <c r="BI67" s="53"/>
    </row>
    <row r="68" spans="1:77" ht="15" customHeight="1">
      <c r="A68" s="52"/>
      <c r="C68" s="23"/>
      <c r="I68" s="23"/>
      <c r="P68" s="117"/>
      <c r="AL68" s="1"/>
      <c r="AM68" s="1"/>
      <c r="AN68" s="6"/>
      <c r="AO68" s="23"/>
      <c r="AP68" s="1"/>
      <c r="AQ68" s="6"/>
      <c r="BD68" s="5"/>
      <c r="BE68" s="84"/>
      <c r="BF68" s="5"/>
      <c r="BG68" s="5"/>
      <c r="BH68" s="5"/>
      <c r="BI68" s="53"/>
    </row>
    <row r="69" spans="1:77" ht="15" customHeight="1">
      <c r="A69" s="52"/>
      <c r="C69" s="23"/>
      <c r="I69" s="23"/>
      <c r="O69" s="117"/>
      <c r="AL69" s="1"/>
      <c r="AM69" s="1"/>
      <c r="AN69" s="6"/>
      <c r="AO69" s="23"/>
      <c r="AP69" s="1"/>
      <c r="AQ69" s="6"/>
      <c r="BD69" s="5"/>
      <c r="BE69" s="84"/>
      <c r="BF69" s="5"/>
      <c r="BG69" s="5"/>
      <c r="BH69" s="5"/>
      <c r="BI69" s="53"/>
    </row>
    <row r="70" spans="1:77" ht="15" customHeight="1">
      <c r="A70" s="52"/>
      <c r="B70" s="6"/>
      <c r="C70" s="23"/>
      <c r="I70" s="23"/>
      <c r="AL70" s="1"/>
      <c r="AM70" s="1"/>
      <c r="AN70" s="6"/>
      <c r="AO70" s="23"/>
      <c r="AP70" s="1"/>
      <c r="AQ70" s="6"/>
      <c r="BD70" s="5"/>
      <c r="BE70" s="84"/>
      <c r="BF70" s="5"/>
      <c r="BG70" s="5"/>
      <c r="BH70" s="5"/>
      <c r="BI70" s="53"/>
    </row>
    <row r="71" spans="1:77" ht="15" customHeight="1">
      <c r="A71" s="52"/>
      <c r="B71" s="6"/>
      <c r="C71" s="23"/>
      <c r="I71" s="23"/>
      <c r="L71" s="1" t="s">
        <v>163</v>
      </c>
      <c r="AL71" s="1"/>
      <c r="AM71" s="1"/>
      <c r="AN71" s="6"/>
      <c r="AO71" s="89" t="s">
        <v>108</v>
      </c>
      <c r="AP71" s="34"/>
      <c r="AQ71" s="90"/>
      <c r="AR71" s="312" t="s">
        <v>164</v>
      </c>
      <c r="AS71" s="313"/>
      <c r="AT71" s="313"/>
      <c r="AU71" s="313"/>
      <c r="AV71" s="313"/>
      <c r="AW71" s="313"/>
      <c r="AX71" s="313"/>
      <c r="AY71" s="313"/>
      <c r="AZ71" s="313"/>
      <c r="BA71" s="313"/>
      <c r="BB71" s="313"/>
      <c r="BC71" s="313"/>
      <c r="BD71" s="313"/>
      <c r="BE71" s="314"/>
      <c r="BF71" s="98" t="s">
        <v>165</v>
      </c>
      <c r="BG71" s="98"/>
      <c r="BH71" s="98"/>
      <c r="BI71" s="99"/>
    </row>
    <row r="72" spans="1:77" ht="15" customHeight="1">
      <c r="A72" s="52"/>
      <c r="B72" s="6"/>
      <c r="C72" s="23"/>
      <c r="I72" s="23"/>
      <c r="AL72" s="1"/>
      <c r="AM72" s="1"/>
      <c r="AN72" s="6"/>
      <c r="AO72" s="23" t="s">
        <v>166</v>
      </c>
      <c r="AP72" s="1"/>
      <c r="AQ72" s="6"/>
      <c r="AR72" s="23"/>
      <c r="BE72" s="6"/>
      <c r="BF72" s="5"/>
      <c r="BG72" s="5"/>
      <c r="BH72" s="5"/>
      <c r="BI72" s="53"/>
    </row>
    <row r="73" spans="1:77" ht="15" customHeight="1">
      <c r="A73" s="52"/>
      <c r="B73" s="6"/>
      <c r="C73" s="23"/>
      <c r="I73" s="23"/>
      <c r="AL73" s="1"/>
      <c r="AM73" s="1"/>
      <c r="AN73" s="6"/>
      <c r="AO73" s="86"/>
      <c r="AP73" s="87"/>
      <c r="AQ73" s="88"/>
      <c r="AR73" s="91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3"/>
      <c r="BF73" s="95"/>
      <c r="BG73" s="95"/>
      <c r="BH73" s="95"/>
      <c r="BI73" s="97"/>
    </row>
    <row r="74" spans="1:77" ht="15" customHeight="1">
      <c r="A74" s="52"/>
      <c r="B74" s="6"/>
      <c r="C74" s="23"/>
      <c r="I74" s="23"/>
      <c r="AL74" s="1"/>
      <c r="AM74" s="1"/>
      <c r="AN74" s="6"/>
      <c r="AO74" s="23"/>
      <c r="AP74" s="1"/>
      <c r="AQ74" s="6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120"/>
      <c r="BF74" s="5"/>
      <c r="BG74" s="5"/>
      <c r="BH74" s="5"/>
      <c r="BI74" s="53"/>
    </row>
    <row r="75" spans="1:77" ht="15" customHeight="1">
      <c r="A75" s="52"/>
      <c r="B75" s="6"/>
      <c r="C75" s="23"/>
      <c r="I75" s="23"/>
      <c r="AL75" s="1"/>
      <c r="AM75" s="1"/>
      <c r="AN75" s="6"/>
      <c r="AO75" s="23"/>
      <c r="AP75" s="1"/>
      <c r="AQ75" s="6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120"/>
      <c r="BF75" s="5"/>
      <c r="BG75" s="5"/>
      <c r="BH75" s="5"/>
      <c r="BI75" s="53"/>
    </row>
    <row r="76" spans="1:77" ht="15" customHeight="1">
      <c r="A76" s="52"/>
      <c r="B76" s="6"/>
      <c r="C76" s="23"/>
      <c r="I76" s="23"/>
      <c r="K76" s="1" t="s">
        <v>167</v>
      </c>
      <c r="N76" s="1" t="s">
        <v>168</v>
      </c>
      <c r="AL76" s="1"/>
      <c r="AM76" s="1"/>
      <c r="AN76" s="6"/>
      <c r="AO76" s="23"/>
      <c r="AP76" s="1"/>
      <c r="AQ76" s="6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120"/>
      <c r="BF76" s="5"/>
      <c r="BG76" s="5"/>
      <c r="BH76" s="5"/>
      <c r="BI76" s="53"/>
    </row>
    <row r="77" spans="1:77" ht="15" customHeight="1">
      <c r="A77" s="52"/>
      <c r="B77" s="6"/>
      <c r="C77" s="23"/>
      <c r="I77" s="23"/>
      <c r="AL77" s="1"/>
      <c r="AM77" s="1"/>
      <c r="AN77" s="6"/>
      <c r="AO77" s="23"/>
      <c r="AP77" s="1"/>
      <c r="AQ77" s="6"/>
      <c r="BD77" s="5"/>
      <c r="BE77" s="84"/>
      <c r="BF77" s="5"/>
      <c r="BG77" s="5"/>
      <c r="BH77" s="5"/>
      <c r="BI77" s="53"/>
    </row>
    <row r="78" spans="1:77" ht="15" customHeight="1">
      <c r="A78" s="52"/>
      <c r="B78" s="6"/>
      <c r="C78" s="23"/>
      <c r="I78" s="23"/>
      <c r="L78" s="1" t="s">
        <v>95</v>
      </c>
      <c r="Q78" s="1" t="s">
        <v>96</v>
      </c>
      <c r="AL78" s="1"/>
      <c r="AM78" s="1"/>
      <c r="AN78" s="6"/>
      <c r="AO78" s="23"/>
      <c r="AP78" s="1"/>
      <c r="AQ78" s="6"/>
      <c r="BD78" s="5"/>
      <c r="BE78" s="84"/>
      <c r="BF78" s="5"/>
      <c r="BG78" s="5"/>
      <c r="BH78" s="5"/>
      <c r="BI78" s="53"/>
    </row>
    <row r="79" spans="1:77" ht="15" customHeight="1">
      <c r="A79" s="52"/>
      <c r="B79" s="6"/>
      <c r="C79" s="23"/>
      <c r="I79" s="23"/>
      <c r="L79" s="1" t="s">
        <v>97</v>
      </c>
      <c r="Q79" s="1" t="s">
        <v>125</v>
      </c>
      <c r="AL79" s="1"/>
      <c r="AM79" s="1"/>
      <c r="AN79" s="6"/>
      <c r="AO79" s="23"/>
      <c r="AP79" s="1"/>
      <c r="AQ79" s="6"/>
      <c r="BD79" s="5"/>
      <c r="BE79" s="84"/>
      <c r="BF79" s="5"/>
      <c r="BG79" s="5"/>
      <c r="BH79" s="5"/>
      <c r="BI79" s="53"/>
    </row>
    <row r="80" spans="1:77" ht="15" customHeight="1">
      <c r="A80" s="52"/>
      <c r="B80" s="6"/>
      <c r="C80" s="23"/>
      <c r="I80" s="23"/>
      <c r="AL80" s="1"/>
      <c r="AM80" s="1"/>
      <c r="AN80" s="6"/>
      <c r="AO80" s="23"/>
      <c r="AP80" s="1"/>
      <c r="AQ80" s="6"/>
      <c r="BD80" s="5"/>
      <c r="BE80" s="84"/>
      <c r="BF80" s="5"/>
      <c r="BG80" s="5"/>
      <c r="BH80" s="5"/>
      <c r="BI80" s="53"/>
    </row>
    <row r="81" spans="1:61" ht="15" customHeight="1">
      <c r="A81" s="52"/>
      <c r="B81" s="6"/>
      <c r="C81" s="23"/>
      <c r="I81" s="23"/>
      <c r="L81" s="1" t="s">
        <v>169</v>
      </c>
      <c r="O81" s="1" t="s">
        <v>170</v>
      </c>
      <c r="AL81" s="1"/>
      <c r="AM81" s="1"/>
      <c r="AN81" s="6"/>
      <c r="AO81" s="23"/>
      <c r="AP81" s="1"/>
      <c r="AQ81" s="6"/>
      <c r="BD81" s="5"/>
      <c r="BE81" s="84"/>
      <c r="BF81" s="5"/>
      <c r="BG81" s="5"/>
      <c r="BH81" s="5"/>
      <c r="BI81" s="53"/>
    </row>
    <row r="82" spans="1:61" ht="15" customHeight="1">
      <c r="A82" s="52"/>
      <c r="B82" s="6"/>
      <c r="C82" s="23"/>
      <c r="I82" s="23"/>
      <c r="AL82" s="1"/>
      <c r="AM82" s="1"/>
      <c r="AN82" s="6"/>
      <c r="AO82" s="23"/>
      <c r="AP82" s="1"/>
      <c r="AQ82" s="6"/>
      <c r="BD82" s="5"/>
      <c r="BE82" s="84"/>
      <c r="BF82" s="5"/>
      <c r="BG82" s="5"/>
      <c r="BH82" s="5"/>
      <c r="BI82" s="53"/>
    </row>
    <row r="83" spans="1:61" ht="15" customHeight="1">
      <c r="A83" s="52"/>
      <c r="B83" s="6"/>
      <c r="C83" s="23"/>
      <c r="I83" s="23"/>
      <c r="M83" s="1" t="s">
        <v>128</v>
      </c>
      <c r="Q83" s="1" t="s">
        <v>171</v>
      </c>
      <c r="AL83" s="1"/>
      <c r="AM83" s="1"/>
      <c r="AN83" s="6"/>
      <c r="AO83" s="23"/>
      <c r="AP83" s="1"/>
      <c r="AQ83" s="6"/>
      <c r="BD83" s="5"/>
      <c r="BE83" s="84"/>
      <c r="BF83" s="5"/>
      <c r="BG83" s="5"/>
      <c r="BH83" s="5"/>
      <c r="BI83" s="53"/>
    </row>
    <row r="84" spans="1:61" ht="15" customHeight="1">
      <c r="A84" s="52"/>
      <c r="B84" s="6"/>
      <c r="C84" s="23"/>
      <c r="I84" s="23"/>
      <c r="AL84" s="1"/>
      <c r="AM84" s="1"/>
      <c r="AN84" s="6"/>
      <c r="AO84" s="23"/>
      <c r="AP84" s="1"/>
      <c r="AQ84" s="6"/>
      <c r="BD84" s="5"/>
      <c r="BE84" s="84"/>
      <c r="BF84" s="5"/>
      <c r="BG84" s="5"/>
      <c r="BH84" s="5"/>
      <c r="BI84" s="53"/>
    </row>
    <row r="85" spans="1:61" ht="15" customHeight="1">
      <c r="A85" s="52"/>
      <c r="B85" s="6"/>
      <c r="C85" s="23"/>
      <c r="I85" s="23"/>
      <c r="M85" s="1" t="s">
        <v>172</v>
      </c>
      <c r="Q85" s="1" t="s">
        <v>173</v>
      </c>
      <c r="AL85" s="1"/>
      <c r="AM85" s="1"/>
      <c r="AN85" s="6"/>
      <c r="AO85" s="23"/>
      <c r="AP85" s="1"/>
      <c r="AQ85" s="6"/>
      <c r="BD85" s="5"/>
      <c r="BE85" s="84"/>
      <c r="BF85" s="5"/>
      <c r="BG85" s="5"/>
      <c r="BH85" s="5"/>
      <c r="BI85" s="53"/>
    </row>
    <row r="86" spans="1:61" ht="15" customHeight="1">
      <c r="A86" s="52"/>
      <c r="B86" s="6"/>
      <c r="C86" s="23"/>
      <c r="I86" s="23"/>
      <c r="AL86" s="1"/>
      <c r="AM86" s="1"/>
      <c r="AN86" s="6"/>
      <c r="AO86" s="23"/>
      <c r="AP86" s="1"/>
      <c r="AQ86" s="6"/>
      <c r="BD86" s="5"/>
      <c r="BE86" s="84"/>
      <c r="BF86" s="5"/>
      <c r="BG86" s="5"/>
      <c r="BH86" s="5"/>
      <c r="BI86" s="53"/>
    </row>
    <row r="87" spans="1:61" ht="15" customHeight="1">
      <c r="A87" s="52"/>
      <c r="B87" s="6"/>
      <c r="C87" s="23"/>
      <c r="I87" s="23"/>
      <c r="M87" s="1" t="s">
        <v>174</v>
      </c>
      <c r="Q87" s="1" t="s">
        <v>175</v>
      </c>
      <c r="AB87" s="1" t="s">
        <v>134</v>
      </c>
      <c r="AD87" s="1" t="s">
        <v>176</v>
      </c>
      <c r="AL87" s="1"/>
      <c r="AM87" s="1"/>
      <c r="AN87" s="6"/>
      <c r="AO87" s="23"/>
      <c r="AP87" s="1"/>
      <c r="AQ87" s="6"/>
      <c r="BD87" s="5"/>
      <c r="BE87" s="84"/>
      <c r="BF87" s="5"/>
      <c r="BG87" s="5"/>
      <c r="BH87" s="5"/>
      <c r="BI87" s="53"/>
    </row>
    <row r="88" spans="1:61" ht="15" customHeight="1">
      <c r="A88" s="52"/>
      <c r="B88" s="6"/>
      <c r="C88" s="23"/>
      <c r="I88" s="23"/>
      <c r="AL88" s="1"/>
      <c r="AM88" s="1"/>
      <c r="AN88" s="6"/>
      <c r="AO88" s="23"/>
      <c r="AP88" s="1"/>
      <c r="AQ88" s="6"/>
      <c r="BD88" s="5"/>
      <c r="BE88" s="84"/>
      <c r="BF88" s="5"/>
      <c r="BG88" s="5"/>
      <c r="BH88" s="5"/>
      <c r="BI88" s="53"/>
    </row>
    <row r="89" spans="1:61" ht="15" customHeight="1">
      <c r="A89" s="52"/>
      <c r="B89" s="6"/>
      <c r="C89" s="23"/>
      <c r="I89" s="23"/>
      <c r="AL89" s="1"/>
      <c r="AM89" s="1"/>
      <c r="AN89" s="6"/>
      <c r="AO89" s="23"/>
      <c r="AP89" s="1"/>
      <c r="AQ89" s="6"/>
      <c r="BD89" s="5"/>
      <c r="BE89" s="84"/>
      <c r="BF89" s="5"/>
      <c r="BG89" s="5"/>
      <c r="BH89" s="5"/>
      <c r="BI89" s="53"/>
    </row>
    <row r="90" spans="1:61" ht="15" customHeight="1">
      <c r="A90" s="52"/>
      <c r="B90" s="6"/>
      <c r="C90" s="23"/>
      <c r="I90" s="23"/>
      <c r="L90" s="1" t="s">
        <v>177</v>
      </c>
      <c r="O90" s="1" t="s">
        <v>178</v>
      </c>
      <c r="AL90" s="1"/>
      <c r="AM90" s="1"/>
      <c r="AN90" s="6"/>
      <c r="AO90" s="23"/>
      <c r="AP90" s="1"/>
      <c r="AQ90" s="6"/>
      <c r="BD90" s="5"/>
      <c r="BE90" s="84"/>
      <c r="BF90" s="5"/>
      <c r="BG90" s="5"/>
      <c r="BH90" s="5"/>
      <c r="BI90" s="53"/>
    </row>
    <row r="91" spans="1:61" ht="15" customHeight="1">
      <c r="A91" s="52"/>
      <c r="B91" s="6"/>
      <c r="C91" s="23"/>
      <c r="I91" s="23"/>
      <c r="AL91" s="1"/>
      <c r="AM91" s="1"/>
      <c r="AN91" s="6"/>
      <c r="AO91" s="23"/>
      <c r="AP91" s="1"/>
      <c r="AQ91" s="6"/>
      <c r="BD91" s="5"/>
      <c r="BE91" s="84"/>
      <c r="BF91" s="5"/>
      <c r="BG91" s="5"/>
      <c r="BH91" s="5"/>
      <c r="BI91" s="53"/>
    </row>
    <row r="92" spans="1:61" ht="15" customHeight="1">
      <c r="A92" s="52"/>
      <c r="B92" s="6"/>
      <c r="C92" s="23"/>
      <c r="I92" s="23"/>
      <c r="M92" s="1" t="s">
        <v>179</v>
      </c>
      <c r="AL92" s="1"/>
      <c r="AM92" s="1"/>
      <c r="AN92" s="6"/>
      <c r="AO92" s="23"/>
      <c r="AP92" s="1"/>
      <c r="AQ92" s="6"/>
      <c r="BD92" s="5"/>
      <c r="BE92" s="84"/>
      <c r="BF92" s="5"/>
      <c r="BG92" s="5"/>
      <c r="BH92" s="5"/>
      <c r="BI92" s="53"/>
    </row>
    <row r="93" spans="1:61" ht="15" customHeight="1">
      <c r="A93" s="52"/>
      <c r="B93" s="6"/>
      <c r="C93" s="23"/>
      <c r="I93" s="23"/>
      <c r="AL93" s="1"/>
      <c r="AM93" s="1"/>
      <c r="AN93" s="6"/>
      <c r="AO93" s="23"/>
      <c r="AP93" s="1"/>
      <c r="AQ93" s="6"/>
      <c r="BD93" s="5"/>
      <c r="BE93" s="84"/>
      <c r="BF93" s="5"/>
      <c r="BG93" s="5"/>
      <c r="BH93" s="5"/>
      <c r="BI93" s="53"/>
    </row>
    <row r="94" spans="1:61" ht="15" customHeight="1">
      <c r="A94" s="52"/>
      <c r="B94" s="6"/>
      <c r="C94" s="23"/>
      <c r="I94" s="23"/>
      <c r="M94" s="1" t="s">
        <v>95</v>
      </c>
      <c r="R94" s="1" t="s">
        <v>180</v>
      </c>
      <c r="AL94" s="1"/>
      <c r="AM94" s="1"/>
      <c r="AN94" s="6"/>
      <c r="AO94" s="23"/>
      <c r="AP94" s="1"/>
      <c r="AQ94" s="6"/>
      <c r="BD94" s="5"/>
      <c r="BE94" s="84"/>
      <c r="BF94" s="5"/>
      <c r="BG94" s="5"/>
      <c r="BH94" s="5"/>
      <c r="BI94" s="53"/>
    </row>
    <row r="95" spans="1:61" ht="15" customHeight="1">
      <c r="A95" s="52"/>
      <c r="B95" s="6"/>
      <c r="C95" s="23"/>
      <c r="I95" s="23"/>
      <c r="M95" s="1" t="s">
        <v>97</v>
      </c>
      <c r="R95" s="1" t="s">
        <v>181</v>
      </c>
      <c r="AL95" s="1"/>
      <c r="AM95" s="1"/>
      <c r="AN95" s="6"/>
      <c r="AO95" s="23"/>
      <c r="AP95" s="1"/>
      <c r="AQ95" s="6"/>
      <c r="BD95" s="5"/>
      <c r="BE95" s="84"/>
      <c r="BF95" s="5"/>
      <c r="BG95" s="5"/>
      <c r="BH95" s="5"/>
      <c r="BI95" s="53"/>
    </row>
    <row r="96" spans="1:61" ht="15" customHeight="1">
      <c r="A96" s="52"/>
      <c r="B96" s="6"/>
      <c r="C96" s="23"/>
      <c r="I96" s="23"/>
      <c r="M96" s="1" t="s">
        <v>182</v>
      </c>
      <c r="R96" s="1" t="s">
        <v>183</v>
      </c>
      <c r="AL96" s="1"/>
      <c r="AM96" s="1"/>
      <c r="AN96" s="6"/>
      <c r="AO96" s="23"/>
      <c r="AP96" s="1"/>
      <c r="AQ96" s="6"/>
      <c r="BD96" s="5"/>
      <c r="BE96" s="84"/>
      <c r="BF96" s="5"/>
      <c r="BG96" s="5"/>
      <c r="BH96" s="5"/>
      <c r="BI96" s="53"/>
    </row>
    <row r="97" spans="1:61" ht="15" customHeight="1">
      <c r="A97" s="52"/>
      <c r="B97" s="6"/>
      <c r="C97" s="23"/>
      <c r="I97" s="23"/>
      <c r="M97" s="1" t="s">
        <v>184</v>
      </c>
      <c r="R97" s="1" t="s">
        <v>185</v>
      </c>
      <c r="AL97" s="1"/>
      <c r="AM97" s="1"/>
      <c r="AN97" s="6"/>
      <c r="AO97" s="23"/>
      <c r="AP97" s="1"/>
      <c r="AQ97" s="6"/>
      <c r="BD97" s="5"/>
      <c r="BE97" s="84"/>
      <c r="BF97" s="5"/>
      <c r="BG97" s="5"/>
      <c r="BH97" s="5"/>
      <c r="BI97" s="53"/>
    </row>
    <row r="98" spans="1:61" ht="15" customHeight="1">
      <c r="A98" s="52"/>
      <c r="B98" s="6"/>
      <c r="C98" s="23"/>
      <c r="I98" s="23"/>
      <c r="AL98" s="1"/>
      <c r="AM98" s="1"/>
      <c r="AN98" s="6"/>
      <c r="AO98" s="23"/>
      <c r="AP98" s="1"/>
      <c r="AQ98" s="6"/>
      <c r="BD98" s="5"/>
      <c r="BE98" s="84"/>
      <c r="BF98" s="5"/>
      <c r="BG98" s="5"/>
      <c r="BH98" s="5"/>
      <c r="BI98" s="53"/>
    </row>
    <row r="99" spans="1:61" ht="15" customHeight="1">
      <c r="A99" s="52"/>
      <c r="B99" s="6"/>
      <c r="C99" s="23"/>
      <c r="I99" s="23"/>
      <c r="AL99" s="1"/>
      <c r="AM99" s="1"/>
      <c r="AN99" s="6"/>
      <c r="AO99" s="23"/>
      <c r="AP99" s="1"/>
      <c r="AQ99" s="6"/>
      <c r="BD99" s="5"/>
      <c r="BE99" s="84"/>
      <c r="BF99" s="5"/>
      <c r="BG99" s="5"/>
      <c r="BH99" s="5"/>
      <c r="BI99" s="53"/>
    </row>
    <row r="100" spans="1:61" ht="15" customHeight="1">
      <c r="A100" s="52"/>
      <c r="B100" s="6"/>
      <c r="C100" s="23"/>
      <c r="I100" s="23"/>
      <c r="M100" s="1" t="s">
        <v>186</v>
      </c>
      <c r="N100" s="1" t="s">
        <v>187</v>
      </c>
      <c r="AL100" s="1"/>
      <c r="AM100" s="1"/>
      <c r="AN100" s="6"/>
      <c r="AO100" s="23"/>
      <c r="AP100" s="1"/>
      <c r="AQ100" s="6"/>
      <c r="BD100" s="5"/>
      <c r="BE100" s="84"/>
      <c r="BF100" s="5"/>
      <c r="BG100" s="5"/>
      <c r="BH100" s="5"/>
      <c r="BI100" s="53"/>
    </row>
    <row r="101" spans="1:61" ht="15" customHeight="1">
      <c r="A101" s="52"/>
      <c r="B101" s="6"/>
      <c r="C101" s="23"/>
      <c r="I101" s="23"/>
      <c r="AL101" s="1"/>
      <c r="AM101" s="1"/>
      <c r="AN101" s="6"/>
      <c r="AO101" s="23"/>
      <c r="AP101" s="1"/>
      <c r="AQ101" s="6"/>
      <c r="BD101" s="5"/>
      <c r="BE101" s="84"/>
      <c r="BF101" s="5"/>
      <c r="BG101" s="5"/>
      <c r="BH101" s="5"/>
      <c r="BI101" s="53"/>
    </row>
    <row r="102" spans="1:61" ht="15" customHeight="1">
      <c r="A102" s="52"/>
      <c r="B102" s="6"/>
      <c r="C102" s="23"/>
      <c r="I102" s="23"/>
      <c r="N102" s="1" t="s">
        <v>95</v>
      </c>
      <c r="S102" s="1" t="s">
        <v>188</v>
      </c>
      <c r="AL102" s="1"/>
      <c r="AM102" s="1"/>
      <c r="AN102" s="6"/>
      <c r="AO102" s="23"/>
      <c r="AP102" s="1"/>
      <c r="AQ102" s="6"/>
      <c r="BD102" s="5"/>
      <c r="BE102" s="84"/>
      <c r="BF102" s="5"/>
      <c r="BG102" s="5"/>
      <c r="BH102" s="5"/>
      <c r="BI102" s="53"/>
    </row>
    <row r="103" spans="1:61" ht="15" customHeight="1">
      <c r="A103" s="52"/>
      <c r="B103" s="6"/>
      <c r="C103" s="23"/>
      <c r="I103" s="23"/>
      <c r="N103" s="1" t="s">
        <v>97</v>
      </c>
      <c r="S103" s="1" t="s">
        <v>189</v>
      </c>
      <c r="AL103" s="1"/>
      <c r="AM103" s="1"/>
      <c r="AN103" s="6"/>
      <c r="AO103" s="23"/>
      <c r="AP103" s="1"/>
      <c r="AQ103" s="6"/>
      <c r="BD103" s="5"/>
      <c r="BE103" s="84"/>
      <c r="BF103" s="5"/>
      <c r="BG103" s="5"/>
      <c r="BH103" s="5"/>
      <c r="BI103" s="53"/>
    </row>
    <row r="104" spans="1:61" ht="15" customHeight="1">
      <c r="A104" s="52"/>
      <c r="B104" s="6"/>
      <c r="C104" s="23"/>
      <c r="I104" s="23"/>
      <c r="N104" s="1" t="s">
        <v>190</v>
      </c>
      <c r="S104" s="1" t="s">
        <v>191</v>
      </c>
      <c r="AL104" s="1"/>
      <c r="AM104" s="1"/>
      <c r="AN104" s="6"/>
      <c r="AO104" s="23"/>
      <c r="AP104" s="1"/>
      <c r="AQ104" s="6"/>
      <c r="BD104" s="5"/>
      <c r="BE104" s="84"/>
      <c r="BF104" s="5"/>
      <c r="BG104" s="5"/>
      <c r="BH104" s="5"/>
      <c r="BI104" s="53"/>
    </row>
    <row r="105" spans="1:61" ht="15" customHeight="1">
      <c r="A105" s="52"/>
      <c r="B105" s="6"/>
      <c r="C105" s="23"/>
      <c r="I105" s="23"/>
      <c r="AL105" s="1"/>
      <c r="AM105" s="1"/>
      <c r="AN105" s="6"/>
      <c r="AO105" s="23"/>
      <c r="AP105" s="1"/>
      <c r="AQ105" s="6"/>
      <c r="BD105" s="5"/>
      <c r="BE105" s="84"/>
      <c r="BF105" s="5"/>
      <c r="BG105" s="5"/>
      <c r="BH105" s="5"/>
      <c r="BI105" s="53"/>
    </row>
    <row r="106" spans="1:61" ht="15" customHeight="1">
      <c r="A106" s="52"/>
      <c r="B106" s="6"/>
      <c r="C106" s="23"/>
      <c r="I106" s="23"/>
      <c r="M106" s="1" t="s">
        <v>192</v>
      </c>
      <c r="N106" s="1" t="s">
        <v>193</v>
      </c>
      <c r="AL106" s="1"/>
      <c r="AM106" s="1"/>
      <c r="AN106" s="6"/>
      <c r="AO106" s="23"/>
      <c r="AP106" s="1"/>
      <c r="AQ106" s="6"/>
      <c r="BD106" s="5"/>
      <c r="BE106" s="84"/>
      <c r="BF106" s="5"/>
      <c r="BG106" s="5"/>
      <c r="BH106" s="5"/>
      <c r="BI106" s="53"/>
    </row>
    <row r="107" spans="1:61" ht="15" customHeight="1">
      <c r="A107" s="52"/>
      <c r="B107" s="6"/>
      <c r="C107" s="23"/>
      <c r="I107" s="23"/>
      <c r="AL107" s="1"/>
      <c r="AM107" s="1"/>
      <c r="AN107" s="6"/>
      <c r="AO107" s="23"/>
      <c r="AP107" s="1"/>
      <c r="AQ107" s="6"/>
      <c r="BD107" s="5"/>
      <c r="BE107" s="84"/>
      <c r="BF107" s="5"/>
      <c r="BG107" s="5"/>
      <c r="BH107" s="5"/>
      <c r="BI107" s="53"/>
    </row>
    <row r="108" spans="1:61" ht="15" customHeight="1">
      <c r="A108" s="52"/>
      <c r="B108" s="6"/>
      <c r="C108" s="23"/>
      <c r="I108" s="23"/>
      <c r="N108" s="1" t="s">
        <v>95</v>
      </c>
      <c r="S108" s="1" t="s">
        <v>188</v>
      </c>
      <c r="AL108" s="1"/>
      <c r="AM108" s="1"/>
      <c r="AN108" s="6"/>
      <c r="AO108" s="23"/>
      <c r="AP108" s="1"/>
      <c r="AQ108" s="6"/>
      <c r="BD108" s="5"/>
      <c r="BE108" s="84"/>
      <c r="BF108" s="5"/>
      <c r="BG108" s="5"/>
      <c r="BH108" s="5"/>
      <c r="BI108" s="53"/>
    </row>
    <row r="109" spans="1:61" ht="15" customHeight="1">
      <c r="A109" s="52"/>
      <c r="B109" s="6"/>
      <c r="C109" s="23"/>
      <c r="I109" s="23"/>
      <c r="N109" s="1" t="s">
        <v>97</v>
      </c>
      <c r="S109" s="1" t="s">
        <v>194</v>
      </c>
      <c r="AL109" s="1"/>
      <c r="AM109" s="1"/>
      <c r="AN109" s="6"/>
      <c r="AO109" s="23"/>
      <c r="AP109" s="1"/>
      <c r="AQ109" s="6"/>
      <c r="BD109" s="5"/>
      <c r="BE109" s="84"/>
      <c r="BF109" s="5"/>
      <c r="BG109" s="5"/>
      <c r="BH109" s="5"/>
      <c r="BI109" s="53"/>
    </row>
    <row r="110" spans="1:61" ht="15" customHeight="1">
      <c r="A110" s="52"/>
      <c r="B110" s="6"/>
      <c r="C110" s="23"/>
      <c r="I110" s="23"/>
      <c r="N110" s="1" t="s">
        <v>190</v>
      </c>
      <c r="S110" s="1" t="s">
        <v>195</v>
      </c>
      <c r="AL110" s="1"/>
      <c r="AM110" s="1"/>
      <c r="AN110" s="6"/>
      <c r="AO110" s="23"/>
      <c r="AP110" s="1"/>
      <c r="AQ110" s="6"/>
      <c r="BD110" s="5"/>
      <c r="BE110" s="84"/>
      <c r="BF110" s="5"/>
      <c r="BG110" s="5"/>
      <c r="BH110" s="5"/>
      <c r="BI110" s="53"/>
    </row>
    <row r="111" spans="1:61" ht="15" customHeight="1">
      <c r="A111" s="52"/>
      <c r="B111" s="6"/>
      <c r="C111" s="23"/>
      <c r="I111" s="23"/>
      <c r="AL111" s="1"/>
      <c r="AM111" s="1"/>
      <c r="AN111" s="6"/>
      <c r="AO111" s="23"/>
      <c r="AP111" s="1"/>
      <c r="AQ111" s="6"/>
      <c r="BD111" s="5"/>
      <c r="BE111" s="84"/>
      <c r="BF111" s="5"/>
      <c r="BG111" s="5"/>
      <c r="BH111" s="5"/>
      <c r="BI111" s="53"/>
    </row>
    <row r="112" spans="1:61" ht="15" customHeight="1">
      <c r="A112" s="52"/>
      <c r="B112" s="6"/>
      <c r="C112" s="23"/>
      <c r="I112" s="23"/>
      <c r="M112" s="1" t="s">
        <v>196</v>
      </c>
      <c r="N112" s="1" t="s">
        <v>178</v>
      </c>
      <c r="AL112" s="1"/>
      <c r="AM112" s="1"/>
      <c r="AN112" s="6"/>
      <c r="AO112" s="23"/>
      <c r="AP112" s="1"/>
      <c r="AQ112" s="6"/>
      <c r="BD112" s="5"/>
      <c r="BE112" s="84"/>
      <c r="BF112" s="5"/>
      <c r="BG112" s="5"/>
      <c r="BH112" s="5"/>
      <c r="BI112" s="53"/>
    </row>
    <row r="113" spans="1:61" ht="15" customHeight="1">
      <c r="A113" s="52"/>
      <c r="B113" s="6"/>
      <c r="C113" s="23"/>
      <c r="I113" s="23"/>
      <c r="AL113" s="1"/>
      <c r="AM113" s="1"/>
      <c r="AN113" s="6"/>
      <c r="AO113" s="23"/>
      <c r="AP113" s="1"/>
      <c r="AQ113" s="6"/>
      <c r="BD113" s="5"/>
      <c r="BE113" s="84"/>
      <c r="BF113" s="5"/>
      <c r="BG113" s="5"/>
      <c r="BH113" s="5"/>
      <c r="BI113" s="53"/>
    </row>
    <row r="114" spans="1:61" ht="15" customHeight="1">
      <c r="A114" s="52"/>
      <c r="B114" s="6"/>
      <c r="C114" s="23"/>
      <c r="I114" s="23"/>
      <c r="N114" s="1" t="s">
        <v>95</v>
      </c>
      <c r="S114" s="1" t="s">
        <v>188</v>
      </c>
      <c r="AL114" s="1"/>
      <c r="AM114" s="1"/>
      <c r="AN114" s="6"/>
      <c r="AO114" s="23"/>
      <c r="AP114" s="1"/>
      <c r="AQ114" s="6"/>
      <c r="BD114" s="5"/>
      <c r="BE114" s="84"/>
      <c r="BF114" s="5"/>
      <c r="BG114" s="5"/>
      <c r="BH114" s="5"/>
      <c r="BI114" s="53"/>
    </row>
    <row r="115" spans="1:61" ht="15" customHeight="1">
      <c r="A115" s="52"/>
      <c r="B115" s="6"/>
      <c r="C115" s="23"/>
      <c r="I115" s="23"/>
      <c r="N115" s="1" t="s">
        <v>97</v>
      </c>
      <c r="S115" s="1" t="s">
        <v>197</v>
      </c>
      <c r="AL115" s="1"/>
      <c r="AM115" s="1"/>
      <c r="AN115" s="6"/>
      <c r="AO115" s="23"/>
      <c r="AP115" s="1"/>
      <c r="AQ115" s="6"/>
      <c r="BD115" s="5"/>
      <c r="BE115" s="84"/>
      <c r="BF115" s="5"/>
      <c r="BG115" s="5"/>
      <c r="BH115" s="5"/>
      <c r="BI115" s="53"/>
    </row>
    <row r="116" spans="1:61" ht="15" customHeight="1">
      <c r="A116" s="52"/>
      <c r="B116" s="6"/>
      <c r="C116" s="23"/>
      <c r="I116" s="23"/>
      <c r="N116" s="1" t="s">
        <v>190</v>
      </c>
      <c r="S116" s="1" t="s">
        <v>198</v>
      </c>
      <c r="AL116" s="1"/>
      <c r="AM116" s="1"/>
      <c r="AN116" s="6"/>
      <c r="AO116" s="23"/>
      <c r="AP116" s="1"/>
      <c r="AQ116" s="6"/>
      <c r="BD116" s="5"/>
      <c r="BE116" s="84"/>
      <c r="BF116" s="5"/>
      <c r="BG116" s="5"/>
      <c r="BH116" s="5"/>
      <c r="BI116" s="53"/>
    </row>
    <row r="117" spans="1:61" ht="15" customHeight="1">
      <c r="A117" s="52"/>
      <c r="B117" s="6"/>
      <c r="C117" s="23"/>
      <c r="I117" s="23"/>
      <c r="AL117" s="1"/>
      <c r="AM117" s="1"/>
      <c r="AN117" s="6"/>
      <c r="AO117" s="23"/>
      <c r="AP117" s="1"/>
      <c r="AQ117" s="6"/>
      <c r="BD117" s="5"/>
      <c r="BE117" s="84"/>
      <c r="BF117" s="5"/>
      <c r="BG117" s="5"/>
      <c r="BH117" s="5"/>
      <c r="BI117" s="53"/>
    </row>
    <row r="118" spans="1:61" ht="15" customHeight="1">
      <c r="A118" s="52"/>
      <c r="B118" s="6"/>
      <c r="C118" s="23"/>
      <c r="I118" s="23"/>
      <c r="AL118" s="1"/>
      <c r="AM118" s="1"/>
      <c r="AN118" s="6"/>
      <c r="AO118" s="23"/>
      <c r="AP118" s="1"/>
      <c r="AQ118" s="6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120"/>
      <c r="BF118" s="5"/>
      <c r="BG118" s="5"/>
      <c r="BH118" s="5"/>
      <c r="BI118" s="53"/>
    </row>
    <row r="119" spans="1:61" ht="15" customHeight="1">
      <c r="A119" s="52"/>
      <c r="B119" s="6"/>
      <c r="C119" s="23"/>
      <c r="I119" s="23"/>
      <c r="AL119" s="1"/>
      <c r="AM119" s="1"/>
      <c r="AN119" s="6"/>
      <c r="AO119" s="23"/>
      <c r="AP119" s="1"/>
      <c r="AQ119" s="6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120"/>
      <c r="BF119" s="5"/>
      <c r="BG119" s="5"/>
      <c r="BH119" s="5"/>
      <c r="BI119" s="53"/>
    </row>
    <row r="120" spans="1:61" ht="15" customHeight="1">
      <c r="A120" s="52"/>
      <c r="B120" s="6"/>
      <c r="C120" s="23"/>
      <c r="I120" s="23"/>
      <c r="AL120" s="1"/>
      <c r="AM120" s="1"/>
      <c r="AN120" s="6"/>
      <c r="AO120" s="23"/>
      <c r="AP120" s="1"/>
      <c r="AQ120" s="6"/>
      <c r="BD120" s="5"/>
      <c r="BE120" s="84"/>
      <c r="BF120" s="5"/>
      <c r="BG120" s="5"/>
      <c r="BH120" s="5"/>
      <c r="BI120" s="53"/>
    </row>
    <row r="121" spans="1:61" ht="15" customHeight="1">
      <c r="A121" s="52"/>
      <c r="B121" s="6"/>
      <c r="C121" s="23"/>
      <c r="I121" s="23"/>
      <c r="AL121" s="1"/>
      <c r="AM121" s="1"/>
      <c r="AN121" s="6"/>
      <c r="AO121" s="23"/>
      <c r="AP121" s="1"/>
      <c r="AQ121" s="6"/>
      <c r="BD121" s="5"/>
      <c r="BE121" s="84"/>
      <c r="BF121" s="5"/>
      <c r="BG121" s="5"/>
      <c r="BH121" s="5"/>
      <c r="BI121" s="53"/>
    </row>
    <row r="122" spans="1:61" ht="15" customHeight="1">
      <c r="A122" s="52"/>
      <c r="B122" s="6"/>
      <c r="C122" s="23"/>
      <c r="I122" s="23"/>
      <c r="J122" s="1" t="s">
        <v>199</v>
      </c>
      <c r="L122" s="1" t="s">
        <v>200</v>
      </c>
      <c r="AL122" s="1"/>
      <c r="AM122" s="1"/>
      <c r="AN122" s="6"/>
      <c r="AO122" s="23"/>
      <c r="AP122" s="1"/>
      <c r="AQ122" s="6"/>
      <c r="BD122" s="5"/>
      <c r="BE122" s="84"/>
      <c r="BF122" s="5"/>
      <c r="BG122" s="5"/>
      <c r="BH122" s="5"/>
      <c r="BI122" s="53"/>
    </row>
    <row r="123" spans="1:61" ht="15" customHeight="1">
      <c r="A123" s="52"/>
      <c r="B123" s="6"/>
      <c r="C123" s="23"/>
      <c r="I123" s="23"/>
      <c r="AL123" s="1"/>
      <c r="AM123" s="1"/>
      <c r="AN123" s="6"/>
      <c r="AO123" s="23"/>
      <c r="AP123" s="1"/>
      <c r="AQ123" s="6"/>
      <c r="BD123" s="5"/>
      <c r="BE123" s="84"/>
      <c r="BF123" s="5"/>
      <c r="BG123" s="5"/>
      <c r="BH123" s="5"/>
      <c r="BI123" s="53"/>
    </row>
    <row r="124" spans="1:61" ht="15" customHeight="1">
      <c r="A124" s="52"/>
      <c r="B124" s="6"/>
      <c r="C124" s="23"/>
      <c r="I124" s="23"/>
      <c r="K124" s="1" t="s">
        <v>95</v>
      </c>
      <c r="P124" s="1" t="s">
        <v>96</v>
      </c>
      <c r="AL124" s="1"/>
      <c r="AM124" s="1"/>
      <c r="AN124" s="6"/>
      <c r="AO124" s="23"/>
      <c r="AP124" s="1"/>
      <c r="AQ124" s="6"/>
      <c r="BD124" s="5"/>
      <c r="BE124" s="84"/>
      <c r="BF124" s="5"/>
      <c r="BG124" s="5"/>
      <c r="BH124" s="5"/>
      <c r="BI124" s="53"/>
    </row>
    <row r="125" spans="1:61" ht="15" customHeight="1">
      <c r="A125" s="52"/>
      <c r="B125" s="6"/>
      <c r="C125" s="23"/>
      <c r="I125" s="23"/>
      <c r="K125" s="1" t="s">
        <v>97</v>
      </c>
      <c r="P125" s="1" t="s">
        <v>125</v>
      </c>
      <c r="AL125" s="1"/>
      <c r="AM125" s="1"/>
      <c r="AN125" s="6"/>
      <c r="AO125" s="23"/>
      <c r="AP125" s="1"/>
      <c r="AQ125" s="6"/>
      <c r="BD125" s="5"/>
      <c r="BE125" s="84"/>
      <c r="BF125" s="5"/>
      <c r="BG125" s="5"/>
      <c r="BH125" s="5"/>
      <c r="BI125" s="53"/>
    </row>
    <row r="126" spans="1:61" ht="15" customHeight="1">
      <c r="A126" s="52"/>
      <c r="B126" s="6"/>
      <c r="C126" s="23"/>
      <c r="I126" s="23"/>
      <c r="AL126" s="1"/>
      <c r="AM126" s="1"/>
      <c r="AN126" s="6"/>
      <c r="AO126" s="23"/>
      <c r="AP126" s="1"/>
      <c r="AQ126" s="6"/>
      <c r="BD126" s="5"/>
      <c r="BE126" s="84"/>
      <c r="BF126" s="5"/>
      <c r="BG126" s="5"/>
      <c r="BH126" s="5"/>
      <c r="BI126" s="53"/>
    </row>
    <row r="127" spans="1:61" ht="15" customHeight="1">
      <c r="A127" s="52"/>
      <c r="B127" s="6"/>
      <c r="C127" s="23"/>
      <c r="I127" s="23"/>
      <c r="K127" s="1" t="s">
        <v>201</v>
      </c>
      <c r="AL127" s="1"/>
      <c r="AM127" s="1"/>
      <c r="AN127" s="6"/>
      <c r="AO127" s="23"/>
      <c r="AP127" s="1"/>
      <c r="AQ127" s="6"/>
      <c r="BE127" s="84"/>
      <c r="BF127" s="5"/>
      <c r="BG127" s="5"/>
      <c r="BH127" s="5"/>
      <c r="BI127" s="53"/>
    </row>
    <row r="128" spans="1:61" ht="15" customHeight="1">
      <c r="A128" s="52"/>
      <c r="B128" s="6"/>
      <c r="C128" s="23"/>
      <c r="I128" s="23"/>
      <c r="K128" s="1" t="s">
        <v>202</v>
      </c>
      <c r="AL128" s="1"/>
      <c r="AM128" s="1"/>
      <c r="AN128" s="6"/>
      <c r="AO128" s="23"/>
      <c r="AP128" s="1"/>
      <c r="AQ128" s="6"/>
      <c r="BE128" s="84"/>
      <c r="BF128" s="5"/>
      <c r="BG128" s="5"/>
      <c r="BH128" s="5"/>
      <c r="BI128" s="53"/>
    </row>
    <row r="129" spans="1:61" ht="15" customHeight="1">
      <c r="A129" s="52"/>
      <c r="B129" s="6"/>
      <c r="C129" s="23"/>
      <c r="I129" s="23"/>
      <c r="AL129" s="1"/>
      <c r="AM129" s="1"/>
      <c r="AN129" s="6"/>
      <c r="AO129" s="23"/>
      <c r="AP129" s="1"/>
      <c r="AQ129" s="6"/>
      <c r="BD129" s="5"/>
      <c r="BE129" s="84"/>
      <c r="BF129" s="5"/>
      <c r="BG129" s="5"/>
      <c r="BH129" s="5"/>
      <c r="BI129" s="53"/>
    </row>
    <row r="130" spans="1:61" ht="15" customHeight="1">
      <c r="A130" s="52"/>
      <c r="B130" s="6"/>
      <c r="C130" s="23"/>
      <c r="I130" s="23"/>
      <c r="AL130" s="1"/>
      <c r="AM130" s="1"/>
      <c r="AN130" s="6"/>
      <c r="AO130" s="23"/>
      <c r="AP130" s="1"/>
      <c r="AQ130" s="6"/>
      <c r="BD130" s="5"/>
      <c r="BE130" s="84"/>
      <c r="BF130" s="5"/>
      <c r="BG130" s="5"/>
      <c r="BH130" s="5"/>
      <c r="BI130" s="53"/>
    </row>
    <row r="131" spans="1:61" ht="15" customHeight="1">
      <c r="A131" s="52"/>
      <c r="B131" s="6"/>
      <c r="C131" s="23"/>
      <c r="I131" s="23"/>
      <c r="J131" s="1" t="s">
        <v>203</v>
      </c>
      <c r="L131" s="1" t="s">
        <v>204</v>
      </c>
      <c r="AL131" s="1"/>
      <c r="AM131" s="1"/>
      <c r="AN131" s="6"/>
      <c r="AO131" s="23"/>
      <c r="AP131" s="1"/>
      <c r="AQ131" s="6"/>
      <c r="BD131" s="5"/>
      <c r="BE131" s="84"/>
      <c r="BF131" s="5"/>
      <c r="BG131" s="5"/>
      <c r="BH131" s="5"/>
      <c r="BI131" s="53"/>
    </row>
    <row r="132" spans="1:61" ht="15" customHeight="1">
      <c r="A132" s="52"/>
      <c r="B132" s="6"/>
      <c r="C132" s="23"/>
      <c r="I132" s="23"/>
      <c r="AL132" s="1"/>
      <c r="AM132" s="1"/>
      <c r="AN132" s="6"/>
      <c r="AO132" s="23"/>
      <c r="AP132" s="1"/>
      <c r="AQ132" s="6"/>
      <c r="AR132" s="86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95"/>
      <c r="BE132" s="96"/>
      <c r="BF132" s="5"/>
      <c r="BG132" s="5"/>
      <c r="BH132" s="5"/>
      <c r="BI132" s="53"/>
    </row>
    <row r="133" spans="1:61" ht="15" customHeight="1">
      <c r="A133" s="52"/>
      <c r="B133" s="6"/>
      <c r="C133" s="23"/>
      <c r="I133" s="23"/>
      <c r="K133" s="1" t="s">
        <v>205</v>
      </c>
      <c r="AL133" s="1"/>
      <c r="AM133" s="1"/>
      <c r="AN133" s="6"/>
      <c r="AO133" s="89" t="s">
        <v>108</v>
      </c>
      <c r="AP133" s="34"/>
      <c r="AQ133" s="90"/>
      <c r="AR133" s="315" t="s">
        <v>206</v>
      </c>
      <c r="AS133" s="316"/>
      <c r="AT133" s="316"/>
      <c r="AU133" s="316"/>
      <c r="AV133" s="316"/>
      <c r="AW133" s="316"/>
      <c r="AX133" s="316"/>
      <c r="AY133" s="316"/>
      <c r="AZ133" s="316"/>
      <c r="BA133" s="316"/>
      <c r="BB133" s="316"/>
      <c r="BC133" s="316"/>
      <c r="BD133" s="316"/>
      <c r="BE133" s="317"/>
      <c r="BF133" s="98" t="s">
        <v>207</v>
      </c>
      <c r="BG133" s="98"/>
      <c r="BH133" s="98"/>
      <c r="BI133" s="99"/>
    </row>
    <row r="134" spans="1:61" ht="15" customHeight="1">
      <c r="A134" s="52"/>
      <c r="B134" s="6"/>
      <c r="C134" s="23"/>
      <c r="I134" s="23"/>
      <c r="AL134" s="1"/>
      <c r="AM134" s="1"/>
      <c r="AN134" s="6"/>
      <c r="AO134" s="23" t="s">
        <v>166</v>
      </c>
      <c r="AP134" s="1"/>
      <c r="AQ134" s="6"/>
      <c r="AR134" s="315"/>
      <c r="AS134" s="316"/>
      <c r="AT134" s="316"/>
      <c r="AU134" s="316"/>
      <c r="AV134" s="316"/>
      <c r="AW134" s="316"/>
      <c r="AX134" s="316"/>
      <c r="AY134" s="316"/>
      <c r="AZ134" s="316"/>
      <c r="BA134" s="316"/>
      <c r="BB134" s="316"/>
      <c r="BC134" s="316"/>
      <c r="BD134" s="316"/>
      <c r="BE134" s="317"/>
      <c r="BF134" s="5"/>
      <c r="BG134" s="5"/>
      <c r="BH134" s="5"/>
      <c r="BI134" s="53"/>
    </row>
    <row r="135" spans="1:61" ht="15" customHeight="1">
      <c r="A135" s="52"/>
      <c r="B135" s="6"/>
      <c r="C135" s="23"/>
      <c r="I135" s="23"/>
      <c r="AL135" s="1"/>
      <c r="AM135" s="1"/>
      <c r="AN135" s="6"/>
      <c r="AO135" s="86"/>
      <c r="AP135" s="87"/>
      <c r="AQ135" s="88"/>
      <c r="AR135" s="86" t="s">
        <v>112</v>
      </c>
      <c r="AS135" s="87"/>
      <c r="AT135" s="87" t="s">
        <v>208</v>
      </c>
      <c r="AU135" s="87"/>
      <c r="AV135" s="87"/>
      <c r="AW135" s="87"/>
      <c r="AX135" s="87"/>
      <c r="AY135" s="87"/>
      <c r="AZ135" s="87"/>
      <c r="BA135" s="87"/>
      <c r="BB135" s="87"/>
      <c r="BC135" s="87"/>
      <c r="BD135" s="95"/>
      <c r="BE135" s="96"/>
      <c r="BF135" s="95"/>
      <c r="BG135" s="95"/>
      <c r="BH135" s="95"/>
      <c r="BI135" s="97"/>
    </row>
    <row r="136" spans="1:61" ht="15" customHeight="1">
      <c r="A136" s="52"/>
      <c r="B136" s="6"/>
      <c r="C136" s="23"/>
      <c r="I136" s="23"/>
      <c r="AL136" s="1"/>
      <c r="AM136" s="1"/>
      <c r="AN136" s="6"/>
      <c r="AO136" s="23"/>
      <c r="AP136" s="1"/>
      <c r="AQ136" s="6"/>
      <c r="BD136" s="5"/>
      <c r="BE136" s="84"/>
      <c r="BF136" s="5"/>
      <c r="BG136" s="5"/>
      <c r="BH136" s="5"/>
      <c r="BI136" s="53"/>
    </row>
    <row r="137" spans="1:61" ht="15" customHeight="1">
      <c r="A137" s="52"/>
      <c r="B137" s="6"/>
      <c r="C137" s="23"/>
      <c r="I137" s="23"/>
      <c r="AL137" s="1"/>
      <c r="AM137" s="1"/>
      <c r="AN137" s="6"/>
      <c r="AO137" s="89" t="s">
        <v>108</v>
      </c>
      <c r="AP137" s="34"/>
      <c r="AQ137" s="90"/>
      <c r="AR137" s="312" t="s">
        <v>209</v>
      </c>
      <c r="AS137" s="313"/>
      <c r="AT137" s="313"/>
      <c r="AU137" s="313"/>
      <c r="AV137" s="313"/>
      <c r="AW137" s="313"/>
      <c r="AX137" s="313"/>
      <c r="AY137" s="313"/>
      <c r="AZ137" s="313"/>
      <c r="BA137" s="313"/>
      <c r="BB137" s="313"/>
      <c r="BC137" s="313"/>
      <c r="BD137" s="313"/>
      <c r="BE137" s="314"/>
      <c r="BF137" s="98" t="s">
        <v>210</v>
      </c>
      <c r="BG137" s="98"/>
      <c r="BH137" s="98"/>
      <c r="BI137" s="99"/>
    </row>
    <row r="138" spans="1:61" ht="15" customHeight="1">
      <c r="A138" s="52"/>
      <c r="B138" s="6"/>
      <c r="C138" s="23"/>
      <c r="I138" s="23"/>
      <c r="AL138" s="1"/>
      <c r="AM138" s="1"/>
      <c r="AN138" s="6"/>
      <c r="AO138" s="23" t="s">
        <v>166</v>
      </c>
      <c r="AP138" s="1"/>
      <c r="AQ138" s="6"/>
      <c r="AR138" s="23"/>
      <c r="BE138" s="6"/>
      <c r="BF138" s="5"/>
      <c r="BG138" s="5"/>
      <c r="BH138" s="5"/>
      <c r="BI138" s="53"/>
    </row>
    <row r="139" spans="1:61" ht="15" customHeight="1">
      <c r="A139" s="52"/>
      <c r="B139" s="6"/>
      <c r="C139" s="23"/>
      <c r="I139" s="23"/>
      <c r="AL139" s="1"/>
      <c r="AM139" s="1"/>
      <c r="AN139" s="6"/>
      <c r="AO139" s="86"/>
      <c r="AP139" s="87"/>
      <c r="AQ139" s="88"/>
      <c r="AR139" s="91" t="s">
        <v>112</v>
      </c>
      <c r="AS139" s="92"/>
      <c r="AT139" s="92" t="s">
        <v>211</v>
      </c>
      <c r="AU139" s="92"/>
      <c r="AV139" s="92"/>
      <c r="AW139" s="92"/>
      <c r="AX139" s="92"/>
      <c r="AY139" s="92"/>
      <c r="AZ139" s="92"/>
      <c r="BA139" s="92"/>
      <c r="BB139" s="92"/>
      <c r="BC139" s="92"/>
      <c r="BD139" s="92"/>
      <c r="BE139" s="93"/>
      <c r="BF139" s="95" t="s">
        <v>212</v>
      </c>
      <c r="BG139" s="95"/>
      <c r="BH139" s="95"/>
      <c r="BI139" s="97"/>
    </row>
    <row r="140" spans="1:61" ht="15" customHeight="1">
      <c r="A140" s="52"/>
      <c r="B140" s="6"/>
      <c r="C140" s="23"/>
      <c r="I140" s="23"/>
      <c r="AL140" s="1"/>
      <c r="AM140" s="1"/>
      <c r="AN140" s="6"/>
      <c r="AO140" s="23"/>
      <c r="AP140" s="1"/>
      <c r="AQ140" s="6"/>
      <c r="BD140" s="5"/>
      <c r="BE140" s="84"/>
      <c r="BF140" s="5"/>
      <c r="BG140" s="5"/>
      <c r="BH140" s="5"/>
      <c r="BI140" s="53"/>
    </row>
    <row r="141" spans="1:61" ht="15" customHeight="1">
      <c r="A141" s="52"/>
      <c r="B141" s="6"/>
      <c r="C141" s="23"/>
      <c r="I141" s="23"/>
      <c r="AL141" s="1"/>
      <c r="AM141" s="1"/>
      <c r="AN141" s="6"/>
      <c r="AO141" s="23"/>
      <c r="AP141" s="1"/>
      <c r="AQ141" s="6"/>
      <c r="BD141" s="5"/>
      <c r="BE141" s="84"/>
      <c r="BF141" s="5"/>
      <c r="BG141" s="5"/>
      <c r="BH141" s="5"/>
      <c r="BI141" s="53"/>
    </row>
    <row r="142" spans="1:61" ht="15" customHeight="1">
      <c r="A142" s="52"/>
      <c r="B142" s="6"/>
      <c r="C142" s="23"/>
      <c r="I142" s="23"/>
      <c r="K142" s="1" t="s">
        <v>213</v>
      </c>
      <c r="AL142" s="1"/>
      <c r="AM142" s="1"/>
      <c r="AN142" s="6"/>
      <c r="AO142" s="89" t="s">
        <v>108</v>
      </c>
      <c r="AP142" s="34"/>
      <c r="AQ142" s="90"/>
      <c r="AR142" s="312" t="s">
        <v>214</v>
      </c>
      <c r="AS142" s="313"/>
      <c r="AT142" s="313"/>
      <c r="AU142" s="313"/>
      <c r="AV142" s="313"/>
      <c r="AW142" s="313"/>
      <c r="AX142" s="313"/>
      <c r="AY142" s="313"/>
      <c r="AZ142" s="313"/>
      <c r="BA142" s="313"/>
      <c r="BB142" s="313"/>
      <c r="BC142" s="313"/>
      <c r="BD142" s="313"/>
      <c r="BE142" s="314"/>
      <c r="BF142" s="98" t="s">
        <v>215</v>
      </c>
      <c r="BG142" s="98"/>
      <c r="BH142" s="98"/>
      <c r="BI142" s="99"/>
    </row>
    <row r="143" spans="1:61" ht="15" customHeight="1">
      <c r="A143" s="52"/>
      <c r="B143" s="6"/>
      <c r="C143" s="23"/>
      <c r="I143" s="23"/>
      <c r="AL143" s="1"/>
      <c r="AM143" s="1"/>
      <c r="AN143" s="6"/>
      <c r="AO143" s="23" t="s">
        <v>216</v>
      </c>
      <c r="AP143" s="1"/>
      <c r="AQ143" s="6"/>
      <c r="AR143" s="23"/>
      <c r="BE143" s="6"/>
      <c r="BF143" s="5"/>
      <c r="BG143" s="5"/>
      <c r="BH143" s="5"/>
      <c r="BI143" s="53"/>
    </row>
    <row r="144" spans="1:61" ht="15" customHeight="1">
      <c r="A144" s="52"/>
      <c r="B144" s="6"/>
      <c r="C144" s="23"/>
      <c r="I144" s="23"/>
      <c r="AL144" s="1"/>
      <c r="AM144" s="1"/>
      <c r="AN144" s="6"/>
      <c r="AO144" s="86"/>
      <c r="AP144" s="87"/>
      <c r="AQ144" s="88"/>
      <c r="AR144" s="91" t="s">
        <v>112</v>
      </c>
      <c r="AS144" s="92"/>
      <c r="AT144" s="92" t="s">
        <v>211</v>
      </c>
      <c r="AU144" s="92"/>
      <c r="AV144" s="92"/>
      <c r="AW144" s="92"/>
      <c r="AX144" s="92"/>
      <c r="AY144" s="92"/>
      <c r="AZ144" s="92"/>
      <c r="BA144" s="92"/>
      <c r="BB144" s="92"/>
      <c r="BC144" s="92"/>
      <c r="BD144" s="92"/>
      <c r="BE144" s="93"/>
      <c r="BF144" s="95" t="s">
        <v>212</v>
      </c>
      <c r="BG144" s="95"/>
      <c r="BH144" s="95"/>
      <c r="BI144" s="97"/>
    </row>
    <row r="145" spans="1:61" ht="15" customHeight="1">
      <c r="A145" s="52"/>
      <c r="B145" s="6"/>
      <c r="C145" s="23"/>
      <c r="I145" s="23"/>
      <c r="AL145" s="1"/>
      <c r="AM145" s="1"/>
      <c r="AN145" s="6"/>
      <c r="AO145" s="23"/>
      <c r="AP145" s="1"/>
      <c r="AQ145" s="6"/>
      <c r="BD145" s="5"/>
      <c r="BE145" s="84"/>
      <c r="BF145" s="5"/>
      <c r="BG145" s="5"/>
      <c r="BH145" s="5"/>
      <c r="BI145" s="53"/>
    </row>
    <row r="146" spans="1:61" ht="15" customHeight="1">
      <c r="A146" s="52"/>
      <c r="B146" s="6"/>
      <c r="C146" s="23"/>
      <c r="I146" s="23"/>
      <c r="AL146" s="1"/>
      <c r="AM146" s="1"/>
      <c r="AN146" s="6"/>
      <c r="AO146" s="23"/>
      <c r="AP146" s="1"/>
      <c r="AQ146" s="6"/>
      <c r="BD146" s="5"/>
      <c r="BE146" s="84"/>
      <c r="BF146" s="5"/>
      <c r="BG146" s="5"/>
      <c r="BH146" s="5"/>
      <c r="BI146" s="53"/>
    </row>
    <row r="147" spans="1:61" ht="15" customHeight="1">
      <c r="A147" s="94"/>
      <c r="B147" s="88"/>
      <c r="C147" s="86"/>
      <c r="D147" s="87"/>
      <c r="E147" s="87"/>
      <c r="F147" s="87"/>
      <c r="G147" s="87"/>
      <c r="H147" s="87"/>
      <c r="I147" s="86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8"/>
      <c r="AO147" s="86"/>
      <c r="AP147" s="87"/>
      <c r="AQ147" s="88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95"/>
      <c r="BE147" s="96"/>
      <c r="BF147" s="95"/>
      <c r="BG147" s="95"/>
      <c r="BH147" s="95"/>
      <c r="BI147" s="97"/>
    </row>
    <row r="148" spans="1:61" ht="15" customHeight="1">
      <c r="A148" s="52" t="s">
        <v>217</v>
      </c>
      <c r="B148" s="6"/>
      <c r="C148" s="23" t="s">
        <v>218</v>
      </c>
      <c r="I148" s="23"/>
      <c r="AL148" s="1"/>
      <c r="AM148" s="1"/>
      <c r="AN148" s="6"/>
      <c r="AO148" s="23"/>
      <c r="AP148" s="1"/>
      <c r="AQ148" s="6"/>
      <c r="BD148" s="5"/>
      <c r="BE148" s="84"/>
      <c r="BF148" s="5"/>
      <c r="BG148" s="5"/>
      <c r="BH148" s="5"/>
      <c r="BI148" s="53"/>
    </row>
    <row r="149" spans="1:61" ht="15" customHeight="1">
      <c r="A149" s="52"/>
      <c r="B149" s="6"/>
      <c r="C149" s="23"/>
      <c r="I149" s="23"/>
      <c r="J149" s="1" t="s">
        <v>219</v>
      </c>
      <c r="L149" s="1" t="s">
        <v>220</v>
      </c>
      <c r="AL149" s="1"/>
      <c r="AM149" s="1"/>
      <c r="AN149" s="6"/>
      <c r="AO149" s="23"/>
      <c r="AP149" s="1"/>
      <c r="AQ149" s="6"/>
      <c r="BD149" s="5"/>
      <c r="BE149" s="84"/>
      <c r="BF149" s="5"/>
      <c r="BG149" s="5"/>
      <c r="BH149" s="5"/>
      <c r="BI149" s="53"/>
    </row>
    <row r="150" spans="1:61" ht="15" customHeight="1">
      <c r="A150" s="52"/>
      <c r="B150" s="6"/>
      <c r="C150" s="23"/>
      <c r="I150" s="23"/>
      <c r="AL150" s="1"/>
      <c r="AM150" s="1"/>
      <c r="AN150" s="6"/>
      <c r="AO150" s="23"/>
      <c r="AP150" s="1"/>
      <c r="AQ150" s="6"/>
      <c r="BD150" s="5"/>
      <c r="BE150" s="84"/>
      <c r="BF150" s="5"/>
      <c r="BG150" s="5"/>
      <c r="BH150" s="5"/>
      <c r="BI150" s="53"/>
    </row>
    <row r="151" spans="1:61" ht="15" customHeight="1">
      <c r="A151" s="52"/>
      <c r="B151" s="6"/>
      <c r="C151" s="23"/>
      <c r="I151" s="23"/>
      <c r="K151" s="1" t="s">
        <v>221</v>
      </c>
      <c r="AL151" s="1"/>
      <c r="AM151" s="1"/>
      <c r="AN151" s="6"/>
      <c r="AO151" s="23"/>
      <c r="AP151" s="1"/>
      <c r="AQ151" s="6"/>
      <c r="BD151" s="5"/>
      <c r="BE151" s="84"/>
      <c r="BF151" s="5"/>
      <c r="BG151" s="5"/>
      <c r="BH151" s="5"/>
      <c r="BI151" s="53"/>
    </row>
    <row r="152" spans="1:61" ht="15" customHeight="1" thickBot="1">
      <c r="A152" s="17"/>
      <c r="B152" s="51"/>
      <c r="C152" s="54"/>
      <c r="D152" s="25"/>
      <c r="E152" s="25"/>
      <c r="F152" s="25"/>
      <c r="G152" s="25"/>
      <c r="H152" s="25"/>
      <c r="I152" s="54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51"/>
      <c r="AO152" s="54"/>
      <c r="AP152" s="25"/>
      <c r="AQ152" s="51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55"/>
      <c r="BE152" s="85"/>
      <c r="BF152" s="55"/>
      <c r="BG152" s="55"/>
      <c r="BH152" s="55"/>
      <c r="BI152" s="56"/>
    </row>
  </sheetData>
  <mergeCells count="29">
    <mergeCell ref="BF5:BI5"/>
    <mergeCell ref="AR5:BE5"/>
    <mergeCell ref="AV2:BA2"/>
    <mergeCell ref="BB2:BI2"/>
    <mergeCell ref="AV3:BA3"/>
    <mergeCell ref="BB3:BI3"/>
    <mergeCell ref="AT2:AU2"/>
    <mergeCell ref="AT3:AU3"/>
    <mergeCell ref="A5:B5"/>
    <mergeCell ref="A4:H4"/>
    <mergeCell ref="C5:H5"/>
    <mergeCell ref="AT1:BA1"/>
    <mergeCell ref="BB1:BI1"/>
    <mergeCell ref="AO5:AQ5"/>
    <mergeCell ref="I5:AN5"/>
    <mergeCell ref="A1:E3"/>
    <mergeCell ref="F1:P1"/>
    <mergeCell ref="Q1:V1"/>
    <mergeCell ref="W1:AD1"/>
    <mergeCell ref="AE1:AS1"/>
    <mergeCell ref="F2:P3"/>
    <mergeCell ref="Q2:V3"/>
    <mergeCell ref="W2:AD3"/>
    <mergeCell ref="AE2:AS3"/>
    <mergeCell ref="AR142:BE142"/>
    <mergeCell ref="AR134:BE134"/>
    <mergeCell ref="AR133:BE133"/>
    <mergeCell ref="AR137:BE137"/>
    <mergeCell ref="AR71:BE7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2214-FE2B-4A53-A3CA-84909A38E840}">
  <sheetPr codeName="Sheet7"/>
  <dimension ref="A1:BI54"/>
  <sheetViews>
    <sheetView showGridLines="0" zoomScaleNormal="100" workbookViewId="0">
      <pane ySplit="6" topLeftCell="A7" activePane="bottomLeft" state="frozen"/>
      <selection pane="bottomLeft" activeCell="A7" sqref="A7"/>
      <selection activeCell="A6" sqref="A6"/>
    </sheetView>
  </sheetViews>
  <sheetFormatPr defaultColWidth="2.5" defaultRowHeight="15" customHeight="1"/>
  <cols>
    <col min="1" max="16384" width="2.5" style="40"/>
  </cols>
  <sheetData>
    <row r="1" spans="1:61" s="1" customFormat="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s="1" customFormat="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s="1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3"/>
      <c r="B4" s="3"/>
      <c r="C4" s="3"/>
      <c r="D4" s="3"/>
      <c r="E4" s="3"/>
      <c r="F4" s="3"/>
      <c r="G4" s="3"/>
      <c r="H4" s="3"/>
    </row>
    <row r="5" spans="1:61" s="1" customFormat="1" ht="15" customHeight="1" thickBot="1">
      <c r="A5" s="323" t="s">
        <v>222</v>
      </c>
      <c r="B5" s="324"/>
      <c r="C5" s="324"/>
      <c r="D5" s="324"/>
      <c r="E5" s="324"/>
      <c r="F5" s="324"/>
      <c r="G5" s="324"/>
      <c r="H5" s="325"/>
      <c r="I5" s="57"/>
      <c r="J5" s="57" t="s">
        <v>223</v>
      </c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8"/>
    </row>
    <row r="6" spans="1:61" s="1" customFormat="1" ht="15" customHeight="1" thickBot="1">
      <c r="A6" s="326" t="s">
        <v>224</v>
      </c>
      <c r="B6" s="327"/>
      <c r="C6" s="327"/>
      <c r="D6" s="327"/>
      <c r="E6" s="327"/>
      <c r="F6" s="327"/>
      <c r="G6" s="327"/>
      <c r="H6" s="328"/>
      <c r="I6" s="25"/>
      <c r="J6" s="25" t="s">
        <v>225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6"/>
    </row>
    <row r="7" spans="1:61" s="1" customFormat="1" ht="15" customHeight="1" thickBot="1">
      <c r="A7" s="15"/>
      <c r="BI7" s="24"/>
    </row>
    <row r="8" spans="1:61" s="1" customFormat="1" ht="15" customHeight="1" thickBot="1">
      <c r="A8" s="323" t="s">
        <v>226</v>
      </c>
      <c r="B8" s="324"/>
      <c r="C8" s="324"/>
      <c r="D8" s="324"/>
      <c r="E8" s="324"/>
      <c r="F8" s="324"/>
      <c r="G8" s="324"/>
      <c r="H8" s="325"/>
      <c r="I8" s="59"/>
      <c r="J8" s="57" t="s">
        <v>227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8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ht="15" customHeight="1">
      <c r="A13" s="33"/>
      <c r="BI13" s="32"/>
    </row>
    <row r="14" spans="1:61" ht="15" customHeight="1">
      <c r="A14" s="33"/>
      <c r="BI14" s="32"/>
    </row>
    <row r="15" spans="1:61" ht="15" customHeight="1">
      <c r="A15" s="33"/>
      <c r="BI15" s="32"/>
    </row>
    <row r="16" spans="1:61" ht="15" customHeight="1">
      <c r="A16" s="33"/>
      <c r="BI16" s="32"/>
    </row>
    <row r="17" spans="1:61" ht="15" customHeight="1">
      <c r="A17" s="33"/>
      <c r="BI17" s="32"/>
    </row>
    <row r="18" spans="1:61" ht="15" customHeight="1">
      <c r="A18" s="33"/>
      <c r="BI18" s="32"/>
    </row>
    <row r="19" spans="1:61" ht="15" customHeight="1">
      <c r="A19" s="33"/>
      <c r="BI19" s="32"/>
    </row>
    <row r="20" spans="1:61" ht="15" customHeight="1">
      <c r="A20" s="33"/>
      <c r="BI20" s="32"/>
    </row>
    <row r="21" spans="1:61" ht="15" customHeight="1">
      <c r="A21" s="33"/>
      <c r="BI21" s="32"/>
    </row>
    <row r="22" spans="1:61" ht="15" customHeight="1">
      <c r="A22" s="33"/>
      <c r="BI22" s="32"/>
    </row>
    <row r="23" spans="1:61" ht="15" customHeight="1">
      <c r="A23" s="33"/>
      <c r="BI23" s="32"/>
    </row>
    <row r="24" spans="1:61" ht="15" customHeight="1">
      <c r="A24" s="33"/>
      <c r="BI24" s="32"/>
    </row>
    <row r="25" spans="1:61" ht="15" customHeight="1">
      <c r="A25" s="33"/>
      <c r="BI25" s="32"/>
    </row>
    <row r="26" spans="1:61" ht="15" customHeight="1">
      <c r="A26" s="33"/>
      <c r="BI26" s="32"/>
    </row>
    <row r="27" spans="1:61" ht="15" customHeight="1">
      <c r="A27" s="33"/>
      <c r="BI27" s="32"/>
    </row>
    <row r="28" spans="1:61" ht="15" customHeight="1">
      <c r="A28" s="33"/>
      <c r="BI28" s="32"/>
    </row>
    <row r="29" spans="1:61" ht="15" customHeight="1">
      <c r="A29" s="33"/>
      <c r="BI29" s="32"/>
    </row>
    <row r="30" spans="1:61" ht="15" customHeight="1">
      <c r="A30" s="33"/>
      <c r="BI30" s="32"/>
    </row>
    <row r="31" spans="1:61" ht="15" customHeight="1">
      <c r="A31" s="33"/>
      <c r="BI31" s="32"/>
    </row>
    <row r="32" spans="1:61" ht="15" customHeight="1">
      <c r="A32" s="33"/>
      <c r="BI32" s="32"/>
    </row>
    <row r="33" spans="1:61" ht="15" customHeight="1">
      <c r="A33" s="33"/>
      <c r="BI33" s="32"/>
    </row>
    <row r="34" spans="1:61" ht="15" customHeight="1">
      <c r="A34" s="33"/>
      <c r="BI34" s="32"/>
    </row>
    <row r="35" spans="1:61" ht="15" customHeight="1">
      <c r="A35" s="33"/>
      <c r="BI35" s="32"/>
    </row>
    <row r="36" spans="1:61" ht="15" customHeight="1">
      <c r="A36" s="33"/>
      <c r="BI36" s="32"/>
    </row>
    <row r="37" spans="1:61" ht="15" customHeight="1">
      <c r="A37" s="33"/>
      <c r="BI37" s="32"/>
    </row>
    <row r="38" spans="1:61" ht="15" customHeight="1">
      <c r="A38" s="33"/>
      <c r="BI38" s="32"/>
    </row>
    <row r="39" spans="1:61" ht="15" customHeight="1">
      <c r="A39" s="33"/>
      <c r="BI39" s="32"/>
    </row>
    <row r="40" spans="1:61" ht="15" customHeight="1">
      <c r="A40" s="33"/>
      <c r="BI40" s="32"/>
    </row>
    <row r="41" spans="1:61" ht="15" customHeight="1">
      <c r="A41" s="33"/>
      <c r="BI41" s="32"/>
    </row>
    <row r="42" spans="1:61" ht="15" customHeight="1">
      <c r="A42" s="33"/>
      <c r="BI42" s="32"/>
    </row>
    <row r="43" spans="1:61" ht="15" customHeight="1">
      <c r="A43" s="33"/>
      <c r="BI43" s="32"/>
    </row>
    <row r="44" spans="1:61" ht="15" customHeight="1">
      <c r="A44" s="33"/>
      <c r="BI44" s="32"/>
    </row>
    <row r="45" spans="1:61" s="1" customFormat="1" ht="15" customHeight="1">
      <c r="A45" s="15"/>
      <c r="BI45" s="24"/>
    </row>
    <row r="46" spans="1:61" s="1" customFormat="1" ht="15" customHeight="1">
      <c r="A46" s="15"/>
      <c r="BI46" s="24"/>
    </row>
    <row r="47" spans="1:61" ht="15" customHeight="1">
      <c r="A47" s="33"/>
      <c r="BI47" s="32"/>
    </row>
    <row r="48" spans="1:61" ht="15" customHeight="1">
      <c r="A48" s="33"/>
      <c r="BI48" s="32"/>
    </row>
    <row r="49" spans="1:61" ht="15" customHeight="1">
      <c r="A49" s="33"/>
      <c r="BI49" s="32"/>
    </row>
    <row r="50" spans="1:61" ht="15" customHeight="1">
      <c r="A50" s="33"/>
      <c r="BI50" s="32"/>
    </row>
    <row r="51" spans="1:61" ht="15" customHeight="1">
      <c r="A51" s="33"/>
      <c r="BI51" s="32"/>
    </row>
    <row r="52" spans="1:61" ht="15" customHeight="1">
      <c r="A52" s="33"/>
      <c r="BI52" s="32"/>
    </row>
    <row r="53" spans="1:61" ht="15" customHeight="1">
      <c r="A53" s="33"/>
      <c r="BI53" s="32"/>
    </row>
    <row r="54" spans="1:61" ht="15" customHeight="1" thickBot="1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9"/>
    </row>
  </sheetData>
  <mergeCells count="20">
    <mergeCell ref="A6:H6"/>
    <mergeCell ref="A8:H8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Q1:V1"/>
    <mergeCell ref="W1:AD1"/>
    <mergeCell ref="F1:P1"/>
    <mergeCell ref="AE1:AS1"/>
    <mergeCell ref="AT1:BA1"/>
    <mergeCell ref="A5:H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1F4B-1B0F-4B71-9CA1-004084418863}">
  <sheetPr codeName="Sheet8"/>
  <dimension ref="A1:BI77"/>
  <sheetViews>
    <sheetView showGridLines="0" zoomScaleNormal="10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2.5" defaultRowHeight="15" customHeight="1"/>
  <cols>
    <col min="1" max="22" width="2.5" style="1"/>
    <col min="23" max="24" width="2.5" style="44"/>
    <col min="25" max="16384" width="2.5" style="1"/>
  </cols>
  <sheetData>
    <row r="1" spans="1:6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ht="15" customHeight="1" thickBot="1">
      <c r="A5" s="289" t="s">
        <v>228</v>
      </c>
      <c r="B5" s="309"/>
      <c r="C5" s="309"/>
      <c r="D5" s="309"/>
      <c r="E5" s="309"/>
      <c r="F5" s="309"/>
      <c r="G5" s="309"/>
      <c r="H5" s="289" t="s">
        <v>229</v>
      </c>
      <c r="I5" s="309"/>
      <c r="J5" s="309"/>
      <c r="K5" s="309"/>
      <c r="L5" s="309"/>
      <c r="M5" s="309"/>
      <c r="N5" s="309"/>
      <c r="O5" s="309"/>
      <c r="P5" s="310"/>
      <c r="Q5" s="309" t="s">
        <v>230</v>
      </c>
      <c r="R5" s="309"/>
      <c r="S5" s="309"/>
      <c r="T5" s="309"/>
      <c r="U5" s="289" t="s">
        <v>231</v>
      </c>
      <c r="V5" s="310"/>
      <c r="W5" s="309" t="s">
        <v>232</v>
      </c>
      <c r="X5" s="310"/>
      <c r="Y5" s="289" t="s">
        <v>233</v>
      </c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  <c r="AT5" s="309"/>
      <c r="AU5" s="309"/>
      <c r="AV5" s="309"/>
      <c r="AW5" s="309"/>
      <c r="AX5" s="309"/>
      <c r="AY5" s="309"/>
      <c r="AZ5" s="309"/>
      <c r="BA5" s="310"/>
      <c r="BB5" s="309" t="s">
        <v>67</v>
      </c>
      <c r="BC5" s="309"/>
      <c r="BD5" s="309"/>
      <c r="BE5" s="309"/>
      <c r="BF5" s="309"/>
      <c r="BG5" s="309"/>
      <c r="BH5" s="309"/>
      <c r="BI5" s="310"/>
    </row>
    <row r="6" spans="1:61" ht="15" customHeight="1">
      <c r="A6" s="15" t="s">
        <v>234</v>
      </c>
      <c r="Q6" s="60" t="s">
        <v>234</v>
      </c>
      <c r="R6" s="3"/>
      <c r="S6" s="3"/>
      <c r="T6" s="4"/>
      <c r="U6" s="329" t="s">
        <v>235</v>
      </c>
      <c r="V6" s="330"/>
      <c r="W6" s="333" t="s">
        <v>235</v>
      </c>
      <c r="X6" s="334"/>
      <c r="Y6" s="1" t="s">
        <v>236</v>
      </c>
      <c r="BB6" s="60"/>
      <c r="BC6" s="3"/>
      <c r="BD6" s="3"/>
      <c r="BE6" s="3"/>
      <c r="BF6" s="3"/>
      <c r="BG6" s="3"/>
      <c r="BH6" s="3"/>
      <c r="BI6" s="4"/>
    </row>
    <row r="7" spans="1:61" ht="15" customHeight="1">
      <c r="A7" s="15"/>
      <c r="Q7" s="15"/>
      <c r="T7" s="24"/>
      <c r="U7" s="329"/>
      <c r="V7" s="330"/>
      <c r="W7" s="329"/>
      <c r="X7" s="330"/>
      <c r="Y7" s="1" t="s">
        <v>237</v>
      </c>
      <c r="BB7" s="15"/>
      <c r="BI7" s="24"/>
    </row>
    <row r="8" spans="1:61" ht="15" customHeight="1" thickBot="1">
      <c r="A8" s="17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17"/>
      <c r="R8" s="25"/>
      <c r="S8" s="25"/>
      <c r="T8" s="26"/>
      <c r="U8" s="331"/>
      <c r="V8" s="332"/>
      <c r="W8" s="331"/>
      <c r="X8" s="332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6"/>
      <c r="BB8" s="17"/>
      <c r="BC8" s="25"/>
      <c r="BD8" s="25"/>
      <c r="BE8" s="25"/>
      <c r="BF8" s="25"/>
      <c r="BG8" s="25"/>
      <c r="BH8" s="25"/>
      <c r="BI8" s="26"/>
    </row>
    <row r="9" spans="1:61" ht="15" customHeight="1">
      <c r="A9" s="127" t="s">
        <v>238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336"/>
      <c r="V9" s="33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8"/>
    </row>
    <row r="10" spans="1:61" ht="15" customHeight="1" thickBot="1">
      <c r="A10" s="125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335"/>
      <c r="V10" s="335"/>
      <c r="W10" s="335"/>
      <c r="X10" s="335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8"/>
    </row>
    <row r="11" spans="1:61" ht="15" customHeight="1" thickBot="1">
      <c r="A11" s="125"/>
      <c r="B11" s="126"/>
      <c r="C11" s="126"/>
      <c r="D11" s="126"/>
      <c r="E11" s="127" t="s">
        <v>227</v>
      </c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337"/>
      <c r="V11" s="337"/>
      <c r="W11" s="337"/>
      <c r="X11" s="337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30"/>
    </row>
    <row r="12" spans="1:61" ht="15" customHeight="1">
      <c r="A12" s="125"/>
      <c r="B12" s="126"/>
      <c r="C12" s="126"/>
      <c r="D12" s="126"/>
      <c r="E12" s="125"/>
      <c r="F12" s="126"/>
      <c r="G12" s="126"/>
      <c r="H12" s="338" t="s">
        <v>239</v>
      </c>
      <c r="I12" s="339"/>
      <c r="J12" s="339"/>
      <c r="K12" s="339"/>
      <c r="L12" s="339"/>
      <c r="M12" s="339"/>
      <c r="N12" s="339"/>
      <c r="O12" s="339"/>
      <c r="P12" s="340"/>
      <c r="Q12" s="338" t="s">
        <v>240</v>
      </c>
      <c r="R12" s="339"/>
      <c r="S12" s="339"/>
      <c r="T12" s="340"/>
      <c r="U12" s="329" t="s">
        <v>241</v>
      </c>
      <c r="V12" s="330"/>
      <c r="W12" s="341" t="s">
        <v>241</v>
      </c>
      <c r="X12" s="342"/>
      <c r="Y12" s="343" t="s">
        <v>242</v>
      </c>
      <c r="Z12" s="268"/>
      <c r="AA12" s="268"/>
      <c r="AB12" s="268"/>
      <c r="AC12" s="268"/>
      <c r="AD12" s="268"/>
      <c r="AE12" s="268"/>
      <c r="AF12" s="268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268"/>
      <c r="AZ12" s="268"/>
      <c r="BA12" s="344"/>
      <c r="BB12" s="60"/>
      <c r="BC12" s="3"/>
      <c r="BD12" s="3"/>
      <c r="BE12" s="3"/>
      <c r="BF12" s="3"/>
      <c r="BG12" s="3"/>
      <c r="BH12" s="3"/>
      <c r="BI12" s="4"/>
    </row>
    <row r="13" spans="1:61" ht="15" customHeight="1">
      <c r="A13" s="125"/>
      <c r="B13" s="126"/>
      <c r="C13" s="126"/>
      <c r="D13" s="126"/>
      <c r="E13" s="125"/>
      <c r="F13" s="126"/>
      <c r="G13" s="126"/>
      <c r="H13" s="345"/>
      <c r="I13" s="346"/>
      <c r="J13" s="346"/>
      <c r="K13" s="346"/>
      <c r="L13" s="346"/>
      <c r="M13" s="346"/>
      <c r="N13" s="346"/>
      <c r="O13" s="346"/>
      <c r="P13" s="347"/>
      <c r="Q13" s="345"/>
      <c r="R13" s="346"/>
      <c r="S13" s="346"/>
      <c r="T13" s="347"/>
      <c r="U13" s="329"/>
      <c r="V13" s="330"/>
      <c r="W13" s="329"/>
      <c r="X13" s="330"/>
      <c r="Y13" s="345" t="s">
        <v>243</v>
      </c>
      <c r="Z13" s="346"/>
      <c r="AA13" s="346"/>
      <c r="AB13" s="346"/>
      <c r="AC13" s="346"/>
      <c r="AD13" s="346"/>
      <c r="AE13" s="346"/>
      <c r="AF13" s="346"/>
      <c r="AG13" s="346"/>
      <c r="AH13" s="346"/>
      <c r="AI13" s="346"/>
      <c r="AJ13" s="346"/>
      <c r="AK13" s="346"/>
      <c r="AL13" s="346"/>
      <c r="AM13" s="346"/>
      <c r="AN13" s="346"/>
      <c r="AO13" s="346"/>
      <c r="AP13" s="346"/>
      <c r="AQ13" s="346"/>
      <c r="AR13" s="346"/>
      <c r="AS13" s="346"/>
      <c r="AT13" s="346"/>
      <c r="AU13" s="346"/>
      <c r="AV13" s="346"/>
      <c r="AW13" s="346"/>
      <c r="AX13" s="346"/>
      <c r="AY13" s="346"/>
      <c r="AZ13" s="346"/>
      <c r="BA13" s="347"/>
      <c r="BB13" s="15"/>
      <c r="BI13" s="24"/>
    </row>
    <row r="14" spans="1:61" ht="15" customHeight="1">
      <c r="A14" s="125"/>
      <c r="B14" s="126"/>
      <c r="C14" s="126"/>
      <c r="D14" s="126"/>
      <c r="E14" s="125"/>
      <c r="F14" s="126"/>
      <c r="G14" s="126"/>
      <c r="H14" s="345"/>
      <c r="I14" s="346"/>
      <c r="J14" s="346"/>
      <c r="K14" s="346"/>
      <c r="L14" s="346"/>
      <c r="M14" s="346"/>
      <c r="N14" s="346"/>
      <c r="O14" s="346"/>
      <c r="P14" s="347"/>
      <c r="Q14" s="345"/>
      <c r="R14" s="346"/>
      <c r="S14" s="346"/>
      <c r="T14" s="347"/>
      <c r="U14" s="329"/>
      <c r="V14" s="330"/>
      <c r="W14" s="329"/>
      <c r="X14" s="330"/>
      <c r="Y14" s="345"/>
      <c r="Z14" s="346"/>
      <c r="AA14" s="346"/>
      <c r="AB14" s="346"/>
      <c r="AC14" s="346"/>
      <c r="AD14" s="346"/>
      <c r="AE14" s="346"/>
      <c r="AF14" s="346"/>
      <c r="AG14" s="346"/>
      <c r="AH14" s="346"/>
      <c r="AI14" s="346"/>
      <c r="AJ14" s="346"/>
      <c r="AK14" s="346"/>
      <c r="AL14" s="346"/>
      <c r="AM14" s="346"/>
      <c r="AN14" s="346"/>
      <c r="AO14" s="346"/>
      <c r="AP14" s="346"/>
      <c r="AQ14" s="346"/>
      <c r="AR14" s="346"/>
      <c r="AS14" s="346"/>
      <c r="AT14" s="346"/>
      <c r="AU14" s="346"/>
      <c r="AV14" s="346"/>
      <c r="AW14" s="346"/>
      <c r="AX14" s="346"/>
      <c r="AY14" s="346"/>
      <c r="AZ14" s="346"/>
      <c r="BA14" s="347"/>
      <c r="BB14" s="15"/>
      <c r="BI14" s="24"/>
    </row>
    <row r="15" spans="1:61" ht="15" customHeight="1">
      <c r="A15" s="125"/>
      <c r="B15" s="126"/>
      <c r="C15" s="126"/>
      <c r="D15" s="126"/>
      <c r="E15" s="125"/>
      <c r="F15" s="126"/>
      <c r="G15" s="126"/>
      <c r="H15" s="345"/>
      <c r="I15" s="346"/>
      <c r="J15" s="346"/>
      <c r="K15" s="346"/>
      <c r="L15" s="346"/>
      <c r="M15" s="346"/>
      <c r="N15" s="346"/>
      <c r="O15" s="346"/>
      <c r="P15" s="347"/>
      <c r="Q15" s="345"/>
      <c r="R15" s="346"/>
      <c r="S15" s="346"/>
      <c r="T15" s="347"/>
      <c r="U15" s="329"/>
      <c r="V15" s="330"/>
      <c r="W15" s="329"/>
      <c r="X15" s="330"/>
      <c r="Y15" s="345" t="s">
        <v>244</v>
      </c>
      <c r="Z15" s="346"/>
      <c r="AA15" s="346"/>
      <c r="AB15" s="346"/>
      <c r="AC15" s="346"/>
      <c r="AD15" s="346"/>
      <c r="AE15" s="346"/>
      <c r="AF15" s="346"/>
      <c r="AG15" s="346"/>
      <c r="AH15" s="346"/>
      <c r="AI15" s="346"/>
      <c r="AJ15" s="346"/>
      <c r="AK15" s="346"/>
      <c r="AL15" s="346"/>
      <c r="AM15" s="346"/>
      <c r="AN15" s="346"/>
      <c r="AO15" s="346"/>
      <c r="AP15" s="346"/>
      <c r="AQ15" s="346"/>
      <c r="AR15" s="346"/>
      <c r="AS15" s="346"/>
      <c r="AT15" s="346"/>
      <c r="AU15" s="346"/>
      <c r="AV15" s="346"/>
      <c r="AW15" s="346"/>
      <c r="AX15" s="346"/>
      <c r="AY15" s="346"/>
      <c r="AZ15" s="346"/>
      <c r="BA15" s="347"/>
      <c r="BB15" s="15"/>
      <c r="BI15" s="24"/>
    </row>
    <row r="16" spans="1:61" ht="15" customHeight="1">
      <c r="A16" s="125"/>
      <c r="B16" s="126"/>
      <c r="C16" s="126"/>
      <c r="D16" s="126"/>
      <c r="E16" s="125"/>
      <c r="F16" s="126"/>
      <c r="G16" s="126"/>
      <c r="H16" s="345"/>
      <c r="I16" s="346"/>
      <c r="J16" s="346"/>
      <c r="K16" s="346"/>
      <c r="L16" s="346"/>
      <c r="M16" s="346"/>
      <c r="N16" s="346"/>
      <c r="O16" s="346"/>
      <c r="P16" s="347"/>
      <c r="Q16" s="345"/>
      <c r="R16" s="346"/>
      <c r="S16" s="346"/>
      <c r="T16" s="347"/>
      <c r="U16" s="329"/>
      <c r="V16" s="330"/>
      <c r="W16" s="329"/>
      <c r="X16" s="330"/>
      <c r="Y16" s="345" t="s">
        <v>245</v>
      </c>
      <c r="Z16" s="346"/>
      <c r="AA16" s="346"/>
      <c r="AB16" s="346"/>
      <c r="AC16" s="346"/>
      <c r="AD16" s="346"/>
      <c r="AE16" s="346"/>
      <c r="AF16" s="346"/>
      <c r="AG16" s="346"/>
      <c r="AH16" s="346"/>
      <c r="AI16" s="346"/>
      <c r="AJ16" s="346"/>
      <c r="AK16" s="346"/>
      <c r="AL16" s="346"/>
      <c r="AM16" s="346"/>
      <c r="AN16" s="346"/>
      <c r="AO16" s="346"/>
      <c r="AP16" s="346"/>
      <c r="AQ16" s="346"/>
      <c r="AR16" s="346"/>
      <c r="AS16" s="346"/>
      <c r="AT16" s="346"/>
      <c r="AU16" s="346"/>
      <c r="AV16" s="346"/>
      <c r="AW16" s="346"/>
      <c r="AX16" s="346"/>
      <c r="AY16" s="346"/>
      <c r="AZ16" s="346"/>
      <c r="BA16" s="347"/>
      <c r="BB16" s="15"/>
      <c r="BI16" s="24"/>
    </row>
    <row r="17" spans="1:61" ht="15" customHeight="1">
      <c r="A17" s="125"/>
      <c r="B17" s="126"/>
      <c r="C17" s="126"/>
      <c r="D17" s="126"/>
      <c r="E17" s="125"/>
      <c r="F17" s="126"/>
      <c r="G17" s="126"/>
      <c r="H17" s="345"/>
      <c r="I17" s="346"/>
      <c r="J17" s="346"/>
      <c r="K17" s="346"/>
      <c r="L17" s="346"/>
      <c r="M17" s="346"/>
      <c r="N17" s="346"/>
      <c r="O17" s="346"/>
      <c r="P17" s="347"/>
      <c r="Q17" s="345"/>
      <c r="R17" s="346"/>
      <c r="S17" s="346"/>
      <c r="T17" s="347"/>
      <c r="U17" s="329"/>
      <c r="V17" s="330"/>
      <c r="W17" s="329"/>
      <c r="X17" s="330"/>
      <c r="Y17" s="345"/>
      <c r="Z17" s="346"/>
      <c r="AA17" s="346"/>
      <c r="AB17" s="346"/>
      <c r="AC17" s="346"/>
      <c r="AD17" s="346"/>
      <c r="AE17" s="346"/>
      <c r="AF17" s="346"/>
      <c r="AG17" s="346"/>
      <c r="AH17" s="346"/>
      <c r="AI17" s="346"/>
      <c r="AJ17" s="346"/>
      <c r="AK17" s="346"/>
      <c r="AL17" s="346"/>
      <c r="AM17" s="346"/>
      <c r="AN17" s="346"/>
      <c r="AO17" s="346"/>
      <c r="AP17" s="346"/>
      <c r="AQ17" s="346"/>
      <c r="AR17" s="346"/>
      <c r="AS17" s="346"/>
      <c r="AT17" s="346"/>
      <c r="AU17" s="346"/>
      <c r="AV17" s="346"/>
      <c r="AW17" s="346"/>
      <c r="AX17" s="346"/>
      <c r="AY17" s="346"/>
      <c r="AZ17" s="346"/>
      <c r="BA17" s="347"/>
      <c r="BB17" s="15"/>
      <c r="BI17" s="24"/>
    </row>
    <row r="18" spans="1:61" ht="15" customHeight="1">
      <c r="A18" s="125"/>
      <c r="B18" s="126"/>
      <c r="C18" s="126"/>
      <c r="D18" s="126"/>
      <c r="E18" s="125"/>
      <c r="F18" s="126"/>
      <c r="G18" s="126"/>
      <c r="H18" s="345"/>
      <c r="I18" s="346"/>
      <c r="J18" s="346"/>
      <c r="K18" s="346"/>
      <c r="L18" s="346"/>
      <c r="M18" s="346"/>
      <c r="N18" s="346"/>
      <c r="O18" s="346"/>
      <c r="P18" s="347"/>
      <c r="Q18" s="345"/>
      <c r="R18" s="346"/>
      <c r="S18" s="346"/>
      <c r="T18" s="347"/>
      <c r="U18" s="329"/>
      <c r="V18" s="330"/>
      <c r="W18" s="329"/>
      <c r="X18" s="330"/>
      <c r="Y18" s="345" t="s">
        <v>246</v>
      </c>
      <c r="Z18" s="346"/>
      <c r="AA18" s="346"/>
      <c r="AB18" s="346"/>
      <c r="AC18" s="346"/>
      <c r="AD18" s="346"/>
      <c r="AE18" s="346"/>
      <c r="AF18" s="346"/>
      <c r="AG18" s="346"/>
      <c r="AH18" s="346"/>
      <c r="AI18" s="346"/>
      <c r="AJ18" s="346"/>
      <c r="AK18" s="346"/>
      <c r="AL18" s="346"/>
      <c r="AM18" s="346"/>
      <c r="AN18" s="346"/>
      <c r="AO18" s="346"/>
      <c r="AP18" s="346"/>
      <c r="AQ18" s="346"/>
      <c r="AR18" s="346"/>
      <c r="AS18" s="346"/>
      <c r="AT18" s="346"/>
      <c r="AU18" s="346"/>
      <c r="AV18" s="346"/>
      <c r="AW18" s="346"/>
      <c r="AX18" s="346"/>
      <c r="AY18" s="346"/>
      <c r="AZ18" s="346"/>
      <c r="BA18" s="347"/>
      <c r="BB18" s="15"/>
      <c r="BI18" s="24"/>
    </row>
    <row r="19" spans="1:61" ht="15" customHeight="1">
      <c r="A19" s="125"/>
      <c r="B19" s="126"/>
      <c r="C19" s="126"/>
      <c r="D19" s="126"/>
      <c r="E19" s="125"/>
      <c r="F19" s="126"/>
      <c r="G19" s="126"/>
      <c r="H19" s="345"/>
      <c r="I19" s="346"/>
      <c r="J19" s="346"/>
      <c r="K19" s="346"/>
      <c r="L19" s="346"/>
      <c r="M19" s="346"/>
      <c r="N19" s="346"/>
      <c r="O19" s="346"/>
      <c r="P19" s="347"/>
      <c r="Q19" s="345"/>
      <c r="R19" s="346"/>
      <c r="S19" s="346"/>
      <c r="T19" s="347"/>
      <c r="U19" s="329"/>
      <c r="V19" s="330"/>
      <c r="W19" s="329"/>
      <c r="X19" s="330"/>
      <c r="Y19" s="345" t="s">
        <v>247</v>
      </c>
      <c r="Z19" s="346"/>
      <c r="AA19" s="346"/>
      <c r="AB19" s="346"/>
      <c r="AC19" s="346"/>
      <c r="AD19" s="346"/>
      <c r="AE19" s="346"/>
      <c r="AF19" s="346"/>
      <c r="AG19" s="346"/>
      <c r="AH19" s="346"/>
      <c r="AI19" s="346"/>
      <c r="AJ19" s="346"/>
      <c r="AK19" s="346"/>
      <c r="AL19" s="346"/>
      <c r="AM19" s="346"/>
      <c r="AN19" s="346"/>
      <c r="AO19" s="346"/>
      <c r="AP19" s="346"/>
      <c r="AQ19" s="346"/>
      <c r="AR19" s="346"/>
      <c r="AS19" s="346"/>
      <c r="AT19" s="346"/>
      <c r="AU19" s="346"/>
      <c r="AV19" s="346"/>
      <c r="AW19" s="346"/>
      <c r="AX19" s="346"/>
      <c r="AY19" s="346"/>
      <c r="AZ19" s="346"/>
      <c r="BA19" s="347"/>
      <c r="BB19" s="15"/>
      <c r="BI19" s="24"/>
    </row>
    <row r="20" spans="1:61" ht="15" customHeight="1">
      <c r="A20" s="125"/>
      <c r="B20" s="126"/>
      <c r="C20" s="126"/>
      <c r="D20" s="126"/>
      <c r="E20" s="125"/>
      <c r="F20" s="126"/>
      <c r="G20" s="126"/>
      <c r="H20" s="345"/>
      <c r="I20" s="346"/>
      <c r="J20" s="346"/>
      <c r="K20" s="346"/>
      <c r="L20" s="346"/>
      <c r="M20" s="346"/>
      <c r="N20" s="346"/>
      <c r="O20" s="346"/>
      <c r="P20" s="347"/>
      <c r="Q20" s="345"/>
      <c r="R20" s="346"/>
      <c r="S20" s="346"/>
      <c r="T20" s="347"/>
      <c r="U20" s="329"/>
      <c r="V20" s="330"/>
      <c r="W20" s="329"/>
      <c r="X20" s="330"/>
      <c r="Y20" s="345" t="s">
        <v>248</v>
      </c>
      <c r="Z20" s="346"/>
      <c r="AA20" s="346"/>
      <c r="AB20" s="346"/>
      <c r="AC20" s="346"/>
      <c r="AD20" s="346"/>
      <c r="AE20" s="346"/>
      <c r="AF20" s="346"/>
      <c r="AG20" s="346"/>
      <c r="AH20" s="346"/>
      <c r="AI20" s="346"/>
      <c r="AJ20" s="346"/>
      <c r="AK20" s="346"/>
      <c r="AL20" s="346"/>
      <c r="AM20" s="346"/>
      <c r="AN20" s="346"/>
      <c r="AO20" s="346"/>
      <c r="AP20" s="346"/>
      <c r="AQ20" s="346"/>
      <c r="AR20" s="346"/>
      <c r="AS20" s="346"/>
      <c r="AT20" s="346"/>
      <c r="AU20" s="346"/>
      <c r="AV20" s="346"/>
      <c r="AW20" s="346"/>
      <c r="AX20" s="346"/>
      <c r="AY20" s="346"/>
      <c r="AZ20" s="346"/>
      <c r="BA20" s="347"/>
      <c r="BB20" s="15"/>
      <c r="BI20" s="24"/>
    </row>
    <row r="21" spans="1:61" ht="15" customHeight="1">
      <c r="A21" s="125"/>
      <c r="B21" s="126"/>
      <c r="C21" s="126"/>
      <c r="D21" s="126"/>
      <c r="E21" s="125"/>
      <c r="F21" s="126"/>
      <c r="G21" s="126"/>
      <c r="H21" s="345"/>
      <c r="I21" s="346"/>
      <c r="J21" s="346"/>
      <c r="K21" s="346"/>
      <c r="L21" s="346"/>
      <c r="M21" s="346"/>
      <c r="N21" s="346"/>
      <c r="O21" s="346"/>
      <c r="P21" s="347"/>
      <c r="Q21" s="345"/>
      <c r="R21" s="346"/>
      <c r="S21" s="346"/>
      <c r="T21" s="347"/>
      <c r="U21" s="122"/>
      <c r="V21" s="123"/>
      <c r="W21" s="122"/>
      <c r="X21" s="123"/>
      <c r="Y21" s="345"/>
      <c r="Z21" s="346"/>
      <c r="AA21" s="346"/>
      <c r="AB21" s="346"/>
      <c r="AC21" s="346"/>
      <c r="AD21" s="346"/>
      <c r="AE21" s="346"/>
      <c r="AF21" s="346"/>
      <c r="AG21" s="346"/>
      <c r="AH21" s="346"/>
      <c r="AI21" s="346"/>
      <c r="AJ21" s="346"/>
      <c r="AK21" s="346"/>
      <c r="AL21" s="346"/>
      <c r="AM21" s="346"/>
      <c r="AN21" s="346"/>
      <c r="AO21" s="346"/>
      <c r="AP21" s="346"/>
      <c r="AQ21" s="346"/>
      <c r="AR21" s="346"/>
      <c r="AS21" s="346"/>
      <c r="AT21" s="346"/>
      <c r="AU21" s="346"/>
      <c r="AV21" s="346"/>
      <c r="AW21" s="346"/>
      <c r="AX21" s="346"/>
      <c r="AY21" s="346"/>
      <c r="AZ21" s="346"/>
      <c r="BA21" s="347"/>
      <c r="BB21" s="15"/>
      <c r="BI21" s="24"/>
    </row>
    <row r="22" spans="1:61" ht="15" customHeight="1">
      <c r="A22" s="125"/>
      <c r="B22" s="126"/>
      <c r="C22" s="126"/>
      <c r="D22" s="126"/>
      <c r="E22" s="125"/>
      <c r="F22" s="126"/>
      <c r="G22" s="126"/>
      <c r="H22" s="345"/>
      <c r="I22" s="346"/>
      <c r="J22" s="346"/>
      <c r="K22" s="346"/>
      <c r="L22" s="346"/>
      <c r="M22" s="346"/>
      <c r="N22" s="346"/>
      <c r="O22" s="346"/>
      <c r="P22" s="347"/>
      <c r="Q22" s="345"/>
      <c r="R22" s="346"/>
      <c r="S22" s="346"/>
      <c r="T22" s="347"/>
      <c r="U22" s="122"/>
      <c r="V22" s="123"/>
      <c r="W22" s="122"/>
      <c r="X22" s="123"/>
      <c r="Y22" s="345" t="s">
        <v>249</v>
      </c>
      <c r="Z22" s="346"/>
      <c r="AA22" s="346"/>
      <c r="AB22" s="346"/>
      <c r="AC22" s="346"/>
      <c r="AD22" s="346"/>
      <c r="AE22" s="346"/>
      <c r="AF22" s="346"/>
      <c r="AG22" s="346"/>
      <c r="AH22" s="346"/>
      <c r="AI22" s="346"/>
      <c r="AJ22" s="346"/>
      <c r="AK22" s="346"/>
      <c r="AL22" s="346"/>
      <c r="AM22" s="346"/>
      <c r="AN22" s="346"/>
      <c r="AO22" s="346"/>
      <c r="AP22" s="346"/>
      <c r="AQ22" s="346"/>
      <c r="AR22" s="346"/>
      <c r="AS22" s="346"/>
      <c r="AT22" s="346"/>
      <c r="AU22" s="346"/>
      <c r="AV22" s="346"/>
      <c r="AW22" s="346"/>
      <c r="AX22" s="346"/>
      <c r="AY22" s="346"/>
      <c r="AZ22" s="346"/>
      <c r="BA22" s="347"/>
      <c r="BB22" s="15"/>
      <c r="BI22" s="24"/>
    </row>
    <row r="23" spans="1:61" ht="15" customHeight="1">
      <c r="A23" s="125"/>
      <c r="B23" s="126"/>
      <c r="C23" s="126"/>
      <c r="D23" s="126"/>
      <c r="E23" s="125"/>
      <c r="F23" s="126"/>
      <c r="G23" s="126"/>
      <c r="H23" s="345"/>
      <c r="I23" s="346"/>
      <c r="J23" s="346"/>
      <c r="K23" s="346"/>
      <c r="L23" s="346"/>
      <c r="M23" s="346"/>
      <c r="N23" s="346"/>
      <c r="O23" s="346"/>
      <c r="P23" s="347"/>
      <c r="Q23" s="345"/>
      <c r="R23" s="346"/>
      <c r="S23" s="346"/>
      <c r="T23" s="347"/>
      <c r="U23" s="122"/>
      <c r="V23" s="123"/>
      <c r="W23" s="122"/>
      <c r="X23" s="123"/>
      <c r="Y23" s="345" t="s">
        <v>250</v>
      </c>
      <c r="Z23" s="346"/>
      <c r="AA23" s="346"/>
      <c r="AB23" s="346"/>
      <c r="AC23" s="346"/>
      <c r="AD23" s="346"/>
      <c r="AE23" s="346"/>
      <c r="AF23" s="346"/>
      <c r="AG23" s="346"/>
      <c r="AH23" s="346"/>
      <c r="AI23" s="346"/>
      <c r="AJ23" s="346"/>
      <c r="AK23" s="346"/>
      <c r="AL23" s="346"/>
      <c r="AM23" s="346"/>
      <c r="AN23" s="346"/>
      <c r="AO23" s="346"/>
      <c r="AP23" s="346"/>
      <c r="AQ23" s="346"/>
      <c r="AR23" s="346"/>
      <c r="AS23" s="346"/>
      <c r="AT23" s="346"/>
      <c r="AU23" s="346"/>
      <c r="AV23" s="346"/>
      <c r="AW23" s="346"/>
      <c r="AX23" s="346"/>
      <c r="AY23" s="346"/>
      <c r="AZ23" s="346"/>
      <c r="BA23" s="347"/>
      <c r="BB23" s="15"/>
      <c r="BI23" s="24"/>
    </row>
    <row r="24" spans="1:61" ht="15" customHeight="1">
      <c r="A24" s="125"/>
      <c r="B24" s="126"/>
      <c r="C24" s="126"/>
      <c r="D24" s="126"/>
      <c r="E24" s="125"/>
      <c r="F24" s="126"/>
      <c r="G24" s="126"/>
      <c r="H24" s="345"/>
      <c r="I24" s="346"/>
      <c r="J24" s="346"/>
      <c r="K24" s="346"/>
      <c r="L24" s="346"/>
      <c r="M24" s="346"/>
      <c r="N24" s="346"/>
      <c r="O24" s="346"/>
      <c r="P24" s="347"/>
      <c r="Q24" s="345"/>
      <c r="R24" s="346"/>
      <c r="S24" s="346"/>
      <c r="T24" s="347"/>
      <c r="U24" s="122"/>
      <c r="V24" s="123"/>
      <c r="W24" s="122"/>
      <c r="X24" s="123"/>
      <c r="Y24" s="345" t="s">
        <v>251</v>
      </c>
      <c r="Z24" s="346"/>
      <c r="AA24" s="346"/>
      <c r="AB24" s="346"/>
      <c r="AC24" s="346"/>
      <c r="AD24" s="346"/>
      <c r="AE24" s="346"/>
      <c r="AF24" s="346"/>
      <c r="AG24" s="346"/>
      <c r="AH24" s="346"/>
      <c r="AI24" s="346"/>
      <c r="AJ24" s="346"/>
      <c r="AK24" s="346"/>
      <c r="AL24" s="346"/>
      <c r="AM24" s="346"/>
      <c r="AN24" s="346"/>
      <c r="AO24" s="346"/>
      <c r="AP24" s="346"/>
      <c r="AQ24" s="346"/>
      <c r="AR24" s="346"/>
      <c r="AS24" s="346"/>
      <c r="AT24" s="346"/>
      <c r="AU24" s="346"/>
      <c r="AV24" s="346"/>
      <c r="AW24" s="346"/>
      <c r="AX24" s="346"/>
      <c r="AY24" s="346"/>
      <c r="AZ24" s="346"/>
      <c r="BA24" s="347"/>
      <c r="BB24" s="15"/>
      <c r="BI24" s="24"/>
    </row>
    <row r="25" spans="1:61" ht="15" customHeight="1" thickBot="1">
      <c r="A25" s="125"/>
      <c r="B25" s="126"/>
      <c r="C25" s="126"/>
      <c r="D25" s="126"/>
      <c r="E25" s="125"/>
      <c r="F25" s="126"/>
      <c r="G25" s="126"/>
      <c r="H25" s="348"/>
      <c r="I25" s="349"/>
      <c r="J25" s="349"/>
      <c r="K25" s="349"/>
      <c r="L25" s="349"/>
      <c r="M25" s="349"/>
      <c r="N25" s="349"/>
      <c r="O25" s="349"/>
      <c r="P25" s="350"/>
      <c r="Q25" s="348"/>
      <c r="R25" s="349"/>
      <c r="S25" s="349"/>
      <c r="T25" s="350"/>
      <c r="U25" s="331"/>
      <c r="V25" s="332"/>
      <c r="W25" s="331"/>
      <c r="X25" s="332"/>
      <c r="Y25" s="348"/>
      <c r="Z25" s="349"/>
      <c r="AA25" s="349"/>
      <c r="AB25" s="349"/>
      <c r="AC25" s="349"/>
      <c r="AD25" s="349"/>
      <c r="AE25" s="349"/>
      <c r="AF25" s="349"/>
      <c r="AG25" s="349"/>
      <c r="AH25" s="349"/>
      <c r="AI25" s="349"/>
      <c r="AJ25" s="349"/>
      <c r="AK25" s="349"/>
      <c r="AL25" s="349"/>
      <c r="AM25" s="349"/>
      <c r="AN25" s="349"/>
      <c r="AO25" s="349"/>
      <c r="AP25" s="349"/>
      <c r="AQ25" s="349"/>
      <c r="AR25" s="349"/>
      <c r="AS25" s="349"/>
      <c r="AT25" s="349"/>
      <c r="AU25" s="349"/>
      <c r="AV25" s="349"/>
      <c r="AW25" s="349"/>
      <c r="AX25" s="349"/>
      <c r="AY25" s="349"/>
      <c r="AZ25" s="349"/>
      <c r="BA25" s="350"/>
      <c r="BB25" s="17"/>
      <c r="BC25" s="25"/>
      <c r="BD25" s="25"/>
      <c r="BE25" s="25"/>
      <c r="BF25" s="25"/>
      <c r="BG25" s="25"/>
      <c r="BH25" s="25"/>
      <c r="BI25" s="26"/>
    </row>
    <row r="26" spans="1:61" ht="15" customHeight="1">
      <c r="A26" s="125"/>
      <c r="B26" s="126"/>
      <c r="C26" s="126"/>
      <c r="D26" s="126"/>
      <c r="E26" s="125"/>
      <c r="F26" s="126"/>
      <c r="G26" s="126"/>
      <c r="H26" s="338" t="s">
        <v>252</v>
      </c>
      <c r="I26" s="339"/>
      <c r="J26" s="339"/>
      <c r="K26" s="339"/>
      <c r="L26" s="339"/>
      <c r="M26" s="339"/>
      <c r="N26" s="339"/>
      <c r="O26" s="339"/>
      <c r="P26" s="340"/>
      <c r="Q26" s="338" t="s">
        <v>253</v>
      </c>
      <c r="R26" s="339"/>
      <c r="S26" s="339"/>
      <c r="T26" s="340"/>
      <c r="U26" s="329" t="s">
        <v>241</v>
      </c>
      <c r="V26" s="330"/>
      <c r="W26" s="333" t="s">
        <v>241</v>
      </c>
      <c r="X26" s="334"/>
      <c r="Y26" s="343" t="s">
        <v>242</v>
      </c>
      <c r="Z26" s="268"/>
      <c r="AA26" s="268"/>
      <c r="AB26" s="268"/>
      <c r="AC26" s="268"/>
      <c r="AD26" s="268"/>
      <c r="AE26" s="268"/>
      <c r="AF26" s="268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8"/>
      <c r="AY26" s="268"/>
      <c r="AZ26" s="268"/>
      <c r="BA26" s="344"/>
      <c r="BB26" s="60"/>
      <c r="BC26" s="3"/>
      <c r="BD26" s="3"/>
      <c r="BE26" s="3"/>
      <c r="BF26" s="3"/>
      <c r="BG26" s="3"/>
      <c r="BH26" s="3"/>
      <c r="BI26" s="4"/>
    </row>
    <row r="27" spans="1:61" ht="15" customHeight="1">
      <c r="A27" s="125"/>
      <c r="B27" s="126"/>
      <c r="C27" s="126"/>
      <c r="D27" s="126"/>
      <c r="E27" s="125"/>
      <c r="F27" s="126"/>
      <c r="G27" s="126"/>
      <c r="H27" s="345"/>
      <c r="I27" s="346"/>
      <c r="J27" s="346"/>
      <c r="K27" s="346"/>
      <c r="L27" s="346"/>
      <c r="M27" s="346"/>
      <c r="N27" s="346"/>
      <c r="O27" s="346"/>
      <c r="P27" s="347"/>
      <c r="Q27" s="345"/>
      <c r="R27" s="346"/>
      <c r="S27" s="346"/>
      <c r="T27" s="347"/>
      <c r="U27" s="329"/>
      <c r="V27" s="330"/>
      <c r="W27" s="329"/>
      <c r="X27" s="330"/>
      <c r="Y27" s="345" t="s">
        <v>254</v>
      </c>
      <c r="Z27" s="346"/>
      <c r="AA27" s="346"/>
      <c r="AB27" s="346"/>
      <c r="AC27" s="346"/>
      <c r="AD27" s="346"/>
      <c r="AE27" s="346"/>
      <c r="AF27" s="346"/>
      <c r="AG27" s="346"/>
      <c r="AH27" s="346"/>
      <c r="AI27" s="346"/>
      <c r="AJ27" s="346"/>
      <c r="AK27" s="346"/>
      <c r="AL27" s="346"/>
      <c r="AM27" s="346"/>
      <c r="AN27" s="346"/>
      <c r="AO27" s="346"/>
      <c r="AP27" s="346"/>
      <c r="AQ27" s="346"/>
      <c r="AR27" s="346"/>
      <c r="AS27" s="346"/>
      <c r="AT27" s="346"/>
      <c r="AU27" s="346"/>
      <c r="AV27" s="346"/>
      <c r="AW27" s="346"/>
      <c r="AX27" s="346"/>
      <c r="AY27" s="346"/>
      <c r="AZ27" s="346"/>
      <c r="BA27" s="347"/>
      <c r="BB27" s="15"/>
      <c r="BI27" s="24"/>
    </row>
    <row r="28" spans="1:61" ht="15" customHeight="1">
      <c r="A28" s="125"/>
      <c r="B28" s="126"/>
      <c r="C28" s="126"/>
      <c r="D28" s="126"/>
      <c r="E28" s="125"/>
      <c r="F28" s="126"/>
      <c r="G28" s="126"/>
      <c r="H28" s="345"/>
      <c r="I28" s="346"/>
      <c r="J28" s="346"/>
      <c r="K28" s="346"/>
      <c r="L28" s="346"/>
      <c r="M28" s="346"/>
      <c r="N28" s="346"/>
      <c r="O28" s="346"/>
      <c r="P28" s="347"/>
      <c r="Q28" s="345"/>
      <c r="R28" s="346"/>
      <c r="S28" s="346"/>
      <c r="T28" s="347"/>
      <c r="U28" s="329"/>
      <c r="V28" s="330"/>
      <c r="W28" s="329"/>
      <c r="X28" s="330"/>
      <c r="Y28" s="345"/>
      <c r="Z28" s="346"/>
      <c r="AA28" s="346"/>
      <c r="AB28" s="346"/>
      <c r="AC28" s="346"/>
      <c r="AD28" s="346"/>
      <c r="AE28" s="346"/>
      <c r="AF28" s="346"/>
      <c r="AG28" s="346"/>
      <c r="AH28" s="346"/>
      <c r="AI28" s="346"/>
      <c r="AJ28" s="346"/>
      <c r="AK28" s="346"/>
      <c r="AL28" s="346"/>
      <c r="AM28" s="346"/>
      <c r="AN28" s="346"/>
      <c r="AO28" s="346"/>
      <c r="AP28" s="346"/>
      <c r="AQ28" s="346"/>
      <c r="AR28" s="346"/>
      <c r="AS28" s="346"/>
      <c r="AT28" s="346"/>
      <c r="AU28" s="346"/>
      <c r="AV28" s="346"/>
      <c r="AW28" s="346"/>
      <c r="AX28" s="346"/>
      <c r="AY28" s="346"/>
      <c r="AZ28" s="346"/>
      <c r="BA28" s="347"/>
      <c r="BB28" s="15"/>
      <c r="BI28" s="24"/>
    </row>
    <row r="29" spans="1:61" ht="15" customHeight="1">
      <c r="A29" s="125"/>
      <c r="B29" s="126"/>
      <c r="C29" s="126"/>
      <c r="D29" s="126"/>
      <c r="E29" s="125"/>
      <c r="F29" s="126"/>
      <c r="G29" s="126"/>
      <c r="H29" s="345"/>
      <c r="I29" s="346"/>
      <c r="J29" s="346"/>
      <c r="K29" s="346"/>
      <c r="L29" s="346"/>
      <c r="M29" s="346"/>
      <c r="N29" s="346"/>
      <c r="O29" s="346"/>
      <c r="P29" s="347"/>
      <c r="Q29" s="345"/>
      <c r="R29" s="346"/>
      <c r="S29" s="346"/>
      <c r="T29" s="347"/>
      <c r="U29" s="329"/>
      <c r="V29" s="330"/>
      <c r="W29" s="329"/>
      <c r="X29" s="330"/>
      <c r="Y29" s="345" t="s">
        <v>244</v>
      </c>
      <c r="Z29" s="346"/>
      <c r="AA29" s="346"/>
      <c r="AB29" s="346"/>
      <c r="AC29" s="346"/>
      <c r="AD29" s="346"/>
      <c r="AE29" s="346"/>
      <c r="AF29" s="346"/>
      <c r="AG29" s="346"/>
      <c r="AH29" s="346"/>
      <c r="AI29" s="346"/>
      <c r="AJ29" s="346"/>
      <c r="AK29" s="346"/>
      <c r="AL29" s="346"/>
      <c r="AM29" s="346"/>
      <c r="AN29" s="346"/>
      <c r="AO29" s="346"/>
      <c r="AP29" s="346"/>
      <c r="AQ29" s="346"/>
      <c r="AR29" s="346"/>
      <c r="AS29" s="346"/>
      <c r="AT29" s="346"/>
      <c r="AU29" s="346"/>
      <c r="AV29" s="346"/>
      <c r="AW29" s="346"/>
      <c r="AX29" s="346"/>
      <c r="AY29" s="346"/>
      <c r="AZ29" s="346"/>
      <c r="BA29" s="347"/>
      <c r="BB29" s="15"/>
      <c r="BI29" s="24"/>
    </row>
    <row r="30" spans="1:61" ht="15" customHeight="1">
      <c r="A30" s="125"/>
      <c r="B30" s="126"/>
      <c r="C30" s="126"/>
      <c r="D30" s="126"/>
      <c r="E30" s="125"/>
      <c r="F30" s="126"/>
      <c r="G30" s="126"/>
      <c r="H30" s="345"/>
      <c r="I30" s="346"/>
      <c r="J30" s="346"/>
      <c r="K30" s="346"/>
      <c r="L30" s="346"/>
      <c r="M30" s="346"/>
      <c r="N30" s="346"/>
      <c r="O30" s="346"/>
      <c r="P30" s="347"/>
      <c r="Q30" s="345"/>
      <c r="R30" s="346"/>
      <c r="S30" s="346"/>
      <c r="T30" s="347"/>
      <c r="U30" s="329"/>
      <c r="V30" s="330"/>
      <c r="W30" s="329"/>
      <c r="X30" s="330"/>
      <c r="Y30" s="345" t="s">
        <v>255</v>
      </c>
      <c r="Z30" s="346"/>
      <c r="AA30" s="346"/>
      <c r="AB30" s="346"/>
      <c r="AC30" s="346"/>
      <c r="AD30" s="346"/>
      <c r="AE30" s="346"/>
      <c r="AF30" s="346"/>
      <c r="AG30" s="346"/>
      <c r="AH30" s="346"/>
      <c r="AI30" s="346"/>
      <c r="AJ30" s="346"/>
      <c r="AK30" s="346"/>
      <c r="AL30" s="346"/>
      <c r="AM30" s="346"/>
      <c r="AN30" s="346"/>
      <c r="AO30" s="346"/>
      <c r="AP30" s="346"/>
      <c r="AQ30" s="346"/>
      <c r="AR30" s="346"/>
      <c r="AS30" s="346"/>
      <c r="AT30" s="346"/>
      <c r="AU30" s="346"/>
      <c r="AV30" s="346"/>
      <c r="AW30" s="346"/>
      <c r="AX30" s="346"/>
      <c r="AY30" s="346"/>
      <c r="AZ30" s="346"/>
      <c r="BA30" s="347"/>
      <c r="BB30" s="15"/>
      <c r="BI30" s="24"/>
    </row>
    <row r="31" spans="1:61" ht="15" customHeight="1">
      <c r="A31" s="125"/>
      <c r="B31" s="126"/>
      <c r="C31" s="126"/>
      <c r="D31" s="126"/>
      <c r="E31" s="125"/>
      <c r="F31" s="126"/>
      <c r="G31" s="126"/>
      <c r="H31" s="345"/>
      <c r="I31" s="346"/>
      <c r="J31" s="346"/>
      <c r="K31" s="346"/>
      <c r="L31" s="346"/>
      <c r="M31" s="346"/>
      <c r="N31" s="346"/>
      <c r="O31" s="346"/>
      <c r="P31" s="347"/>
      <c r="Q31" s="345"/>
      <c r="R31" s="346"/>
      <c r="S31" s="346"/>
      <c r="T31" s="347"/>
      <c r="U31" s="329"/>
      <c r="V31" s="330"/>
      <c r="W31" s="329"/>
      <c r="X31" s="330"/>
      <c r="Y31" s="345"/>
      <c r="Z31" s="346"/>
      <c r="AA31" s="346"/>
      <c r="AB31" s="346"/>
      <c r="AC31" s="346"/>
      <c r="AD31" s="346"/>
      <c r="AE31" s="346"/>
      <c r="AF31" s="346"/>
      <c r="AG31" s="346"/>
      <c r="AH31" s="346"/>
      <c r="AI31" s="346"/>
      <c r="AJ31" s="346"/>
      <c r="AK31" s="346"/>
      <c r="AL31" s="346"/>
      <c r="AM31" s="346"/>
      <c r="AN31" s="346"/>
      <c r="AO31" s="346"/>
      <c r="AP31" s="346"/>
      <c r="AQ31" s="346"/>
      <c r="AR31" s="346"/>
      <c r="AS31" s="346"/>
      <c r="AT31" s="346"/>
      <c r="AU31" s="346"/>
      <c r="AV31" s="346"/>
      <c r="AW31" s="346"/>
      <c r="AX31" s="346"/>
      <c r="AY31" s="346"/>
      <c r="AZ31" s="346"/>
      <c r="BA31" s="347"/>
      <c r="BB31" s="15"/>
      <c r="BI31" s="24"/>
    </row>
    <row r="32" spans="1:61" ht="15" customHeight="1">
      <c r="A32" s="125"/>
      <c r="B32" s="126"/>
      <c r="C32" s="126"/>
      <c r="D32" s="126"/>
      <c r="E32" s="125"/>
      <c r="F32" s="126"/>
      <c r="G32" s="126"/>
      <c r="H32" s="345"/>
      <c r="I32" s="346"/>
      <c r="J32" s="346"/>
      <c r="K32" s="346"/>
      <c r="L32" s="346"/>
      <c r="M32" s="346"/>
      <c r="N32" s="346"/>
      <c r="O32" s="346"/>
      <c r="P32" s="347"/>
      <c r="Q32" s="345"/>
      <c r="R32" s="346"/>
      <c r="S32" s="346"/>
      <c r="T32" s="347"/>
      <c r="U32" s="329"/>
      <c r="V32" s="330"/>
      <c r="W32" s="329"/>
      <c r="X32" s="330"/>
      <c r="Y32" s="345" t="s">
        <v>246</v>
      </c>
      <c r="Z32" s="346"/>
      <c r="AA32" s="346"/>
      <c r="AB32" s="346"/>
      <c r="AC32" s="346"/>
      <c r="AD32" s="346"/>
      <c r="AE32" s="346"/>
      <c r="AF32" s="346"/>
      <c r="AG32" s="346"/>
      <c r="AH32" s="346"/>
      <c r="AI32" s="346"/>
      <c r="AJ32" s="346"/>
      <c r="AK32" s="346"/>
      <c r="AL32" s="346"/>
      <c r="AM32" s="346"/>
      <c r="AN32" s="346"/>
      <c r="AO32" s="346"/>
      <c r="AP32" s="346"/>
      <c r="AQ32" s="346"/>
      <c r="AR32" s="346"/>
      <c r="AS32" s="346"/>
      <c r="AT32" s="346"/>
      <c r="AU32" s="346"/>
      <c r="AV32" s="346"/>
      <c r="AW32" s="346"/>
      <c r="AX32" s="346"/>
      <c r="AY32" s="346"/>
      <c r="AZ32" s="346"/>
      <c r="BA32" s="347"/>
      <c r="BB32" s="15"/>
      <c r="BI32" s="24"/>
    </row>
    <row r="33" spans="1:61" ht="15" customHeight="1">
      <c r="A33" s="125"/>
      <c r="B33" s="126"/>
      <c r="C33" s="126"/>
      <c r="D33" s="126"/>
      <c r="E33" s="125"/>
      <c r="F33" s="126"/>
      <c r="G33" s="126"/>
      <c r="H33" s="345"/>
      <c r="I33" s="346"/>
      <c r="J33" s="346"/>
      <c r="K33" s="346"/>
      <c r="L33" s="346"/>
      <c r="M33" s="346"/>
      <c r="N33" s="346"/>
      <c r="O33" s="346"/>
      <c r="P33" s="347"/>
      <c r="Q33" s="345"/>
      <c r="R33" s="346"/>
      <c r="S33" s="346"/>
      <c r="T33" s="347"/>
      <c r="U33" s="329"/>
      <c r="V33" s="330"/>
      <c r="W33" s="329"/>
      <c r="X33" s="330"/>
      <c r="Y33" s="345" t="s">
        <v>256</v>
      </c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6"/>
      <c r="AL33" s="346"/>
      <c r="AM33" s="346"/>
      <c r="AN33" s="346"/>
      <c r="AO33" s="346"/>
      <c r="AP33" s="346"/>
      <c r="AQ33" s="346"/>
      <c r="AR33" s="346"/>
      <c r="AS33" s="346"/>
      <c r="AT33" s="346"/>
      <c r="AU33" s="346"/>
      <c r="AV33" s="346"/>
      <c r="AW33" s="346"/>
      <c r="AX33" s="346"/>
      <c r="AY33" s="346"/>
      <c r="AZ33" s="346"/>
      <c r="BA33" s="347"/>
      <c r="BB33" s="15"/>
      <c r="BI33" s="24"/>
    </row>
    <row r="34" spans="1:61" ht="15" customHeight="1">
      <c r="A34" s="125"/>
      <c r="B34" s="126"/>
      <c r="C34" s="126"/>
      <c r="D34" s="126"/>
      <c r="E34" s="125"/>
      <c r="F34" s="126"/>
      <c r="G34" s="126"/>
      <c r="H34" s="345"/>
      <c r="I34" s="346"/>
      <c r="J34" s="346"/>
      <c r="K34" s="346"/>
      <c r="L34" s="346"/>
      <c r="M34" s="346"/>
      <c r="N34" s="346"/>
      <c r="O34" s="346"/>
      <c r="P34" s="347"/>
      <c r="Q34" s="345"/>
      <c r="R34" s="346"/>
      <c r="S34" s="346"/>
      <c r="T34" s="347"/>
      <c r="U34" s="329"/>
      <c r="V34" s="330"/>
      <c r="W34" s="329"/>
      <c r="X34" s="330"/>
      <c r="Y34" s="345" t="s">
        <v>257</v>
      </c>
      <c r="Z34" s="346"/>
      <c r="AA34" s="346"/>
      <c r="AB34" s="346"/>
      <c r="AC34" s="346"/>
      <c r="AD34" s="346"/>
      <c r="AE34" s="346"/>
      <c r="AF34" s="346"/>
      <c r="AG34" s="346"/>
      <c r="AH34" s="346"/>
      <c r="AI34" s="346"/>
      <c r="AJ34" s="346"/>
      <c r="AK34" s="346"/>
      <c r="AL34" s="346"/>
      <c r="AM34" s="346"/>
      <c r="AN34" s="346"/>
      <c r="AO34" s="346"/>
      <c r="AP34" s="346"/>
      <c r="AQ34" s="346"/>
      <c r="AR34" s="346"/>
      <c r="AS34" s="346"/>
      <c r="AT34" s="346"/>
      <c r="AU34" s="346"/>
      <c r="AV34" s="346"/>
      <c r="AW34" s="346"/>
      <c r="AX34" s="346"/>
      <c r="AY34" s="346"/>
      <c r="AZ34" s="346"/>
      <c r="BA34" s="347"/>
      <c r="BB34" s="15"/>
      <c r="BI34" s="24"/>
    </row>
    <row r="35" spans="1:61" ht="15" customHeight="1">
      <c r="A35" s="125"/>
      <c r="B35" s="126"/>
      <c r="C35" s="126"/>
      <c r="D35" s="126"/>
      <c r="E35" s="125"/>
      <c r="F35" s="126"/>
      <c r="G35" s="126"/>
      <c r="H35" s="345"/>
      <c r="I35" s="346"/>
      <c r="J35" s="346"/>
      <c r="K35" s="346"/>
      <c r="L35" s="346"/>
      <c r="M35" s="346"/>
      <c r="N35" s="346"/>
      <c r="O35" s="346"/>
      <c r="P35" s="347"/>
      <c r="Q35" s="345"/>
      <c r="R35" s="346"/>
      <c r="S35" s="346"/>
      <c r="T35" s="347"/>
      <c r="U35" s="329"/>
      <c r="V35" s="330"/>
      <c r="W35" s="329"/>
      <c r="X35" s="330"/>
      <c r="Y35" s="345" t="s">
        <v>258</v>
      </c>
      <c r="Z35" s="346"/>
      <c r="AA35" s="346"/>
      <c r="AB35" s="346"/>
      <c r="AC35" s="346"/>
      <c r="AD35" s="346"/>
      <c r="AE35" s="346"/>
      <c r="AF35" s="346"/>
      <c r="AG35" s="346"/>
      <c r="AH35" s="346"/>
      <c r="AI35" s="346"/>
      <c r="AJ35" s="346"/>
      <c r="AK35" s="346"/>
      <c r="AL35" s="346"/>
      <c r="AM35" s="346"/>
      <c r="AN35" s="346"/>
      <c r="AO35" s="346"/>
      <c r="AP35" s="346"/>
      <c r="AQ35" s="346"/>
      <c r="AR35" s="346"/>
      <c r="AS35" s="346"/>
      <c r="AT35" s="346"/>
      <c r="AU35" s="346"/>
      <c r="AV35" s="346"/>
      <c r="AW35" s="346"/>
      <c r="AX35" s="346"/>
      <c r="AY35" s="346"/>
      <c r="AZ35" s="346"/>
      <c r="BA35" s="347"/>
      <c r="BB35" s="15"/>
      <c r="BI35" s="24"/>
    </row>
    <row r="36" spans="1:61" ht="15" customHeight="1">
      <c r="A36" s="125"/>
      <c r="B36" s="126"/>
      <c r="C36" s="126"/>
      <c r="D36" s="126"/>
      <c r="E36" s="125"/>
      <c r="F36" s="126"/>
      <c r="G36" s="126"/>
      <c r="H36" s="345"/>
      <c r="I36" s="346"/>
      <c r="J36" s="346"/>
      <c r="K36" s="346"/>
      <c r="L36" s="346"/>
      <c r="M36" s="346"/>
      <c r="N36" s="346"/>
      <c r="O36" s="346"/>
      <c r="P36" s="347"/>
      <c r="Q36" s="345"/>
      <c r="R36" s="346"/>
      <c r="S36" s="346"/>
      <c r="T36" s="347"/>
      <c r="U36" s="329"/>
      <c r="V36" s="330"/>
      <c r="W36" s="329"/>
      <c r="X36" s="330"/>
      <c r="Y36" s="345" t="s">
        <v>259</v>
      </c>
      <c r="Z36" s="346"/>
      <c r="AA36" s="346"/>
      <c r="AB36" s="346"/>
      <c r="AC36" s="346"/>
      <c r="AD36" s="346"/>
      <c r="AE36" s="346"/>
      <c r="AF36" s="346"/>
      <c r="AG36" s="346"/>
      <c r="AH36" s="346"/>
      <c r="AI36" s="346"/>
      <c r="AJ36" s="346"/>
      <c r="AK36" s="346"/>
      <c r="AL36" s="346"/>
      <c r="AM36" s="346"/>
      <c r="AN36" s="346"/>
      <c r="AO36" s="346"/>
      <c r="AP36" s="346"/>
      <c r="AQ36" s="346"/>
      <c r="AR36" s="346"/>
      <c r="AS36" s="346"/>
      <c r="AT36" s="346"/>
      <c r="AU36" s="346"/>
      <c r="AV36" s="346"/>
      <c r="AW36" s="346"/>
      <c r="AX36" s="346"/>
      <c r="AY36" s="346"/>
      <c r="AZ36" s="346"/>
      <c r="BA36" s="347"/>
      <c r="BB36" s="15"/>
      <c r="BI36" s="24"/>
    </row>
    <row r="37" spans="1:61" ht="15" customHeight="1">
      <c r="A37" s="125"/>
      <c r="B37" s="126"/>
      <c r="C37" s="126"/>
      <c r="D37" s="126"/>
      <c r="E37" s="125"/>
      <c r="F37" s="126"/>
      <c r="G37" s="126"/>
      <c r="H37" s="345"/>
      <c r="I37" s="346"/>
      <c r="J37" s="346"/>
      <c r="K37" s="346"/>
      <c r="L37" s="346"/>
      <c r="M37" s="346"/>
      <c r="N37" s="346"/>
      <c r="O37" s="346"/>
      <c r="P37" s="347"/>
      <c r="Q37" s="345"/>
      <c r="R37" s="346"/>
      <c r="S37" s="346"/>
      <c r="T37" s="347"/>
      <c r="U37" s="329"/>
      <c r="V37" s="330"/>
      <c r="W37" s="329"/>
      <c r="X37" s="330"/>
      <c r="Y37" s="345" t="s">
        <v>260</v>
      </c>
      <c r="Z37" s="346"/>
      <c r="AA37" s="346"/>
      <c r="AB37" s="346"/>
      <c r="AC37" s="346"/>
      <c r="AD37" s="346"/>
      <c r="AE37" s="346"/>
      <c r="AF37" s="346"/>
      <c r="AG37" s="346"/>
      <c r="AH37" s="346"/>
      <c r="AI37" s="346"/>
      <c r="AJ37" s="346"/>
      <c r="AK37" s="346"/>
      <c r="AL37" s="346"/>
      <c r="AM37" s="346"/>
      <c r="AN37" s="346"/>
      <c r="AO37" s="346"/>
      <c r="AP37" s="346"/>
      <c r="AQ37" s="346"/>
      <c r="AR37" s="346"/>
      <c r="AS37" s="346"/>
      <c r="AT37" s="346"/>
      <c r="AU37" s="346"/>
      <c r="AV37" s="346"/>
      <c r="AW37" s="346"/>
      <c r="AX37" s="346"/>
      <c r="AY37" s="346"/>
      <c r="AZ37" s="346"/>
      <c r="BA37" s="347"/>
      <c r="BB37" s="15"/>
      <c r="BI37" s="24"/>
    </row>
    <row r="38" spans="1:61" ht="15" customHeight="1">
      <c r="A38" s="125"/>
      <c r="B38" s="126"/>
      <c r="C38" s="126"/>
      <c r="D38" s="126"/>
      <c r="E38" s="125"/>
      <c r="F38" s="126"/>
      <c r="G38" s="126"/>
      <c r="H38" s="345"/>
      <c r="I38" s="346"/>
      <c r="J38" s="346"/>
      <c r="K38" s="346"/>
      <c r="L38" s="346"/>
      <c r="M38" s="346"/>
      <c r="N38" s="346"/>
      <c r="O38" s="346"/>
      <c r="P38" s="347"/>
      <c r="Q38" s="345"/>
      <c r="R38" s="346"/>
      <c r="S38" s="346"/>
      <c r="T38" s="347"/>
      <c r="U38" s="329"/>
      <c r="V38" s="330"/>
      <c r="W38" s="329"/>
      <c r="X38" s="330"/>
      <c r="Y38" s="345" t="s">
        <v>261</v>
      </c>
      <c r="Z38" s="346"/>
      <c r="AA38" s="346"/>
      <c r="AB38" s="346"/>
      <c r="AC38" s="346"/>
      <c r="AD38" s="346"/>
      <c r="AE38" s="346"/>
      <c r="AF38" s="346"/>
      <c r="AG38" s="346"/>
      <c r="AH38" s="346"/>
      <c r="AI38" s="346"/>
      <c r="AJ38" s="346"/>
      <c r="AK38" s="346"/>
      <c r="AL38" s="346"/>
      <c r="AM38" s="346"/>
      <c r="AN38" s="346"/>
      <c r="AO38" s="346"/>
      <c r="AP38" s="346"/>
      <c r="AQ38" s="346"/>
      <c r="AR38" s="346"/>
      <c r="AS38" s="346"/>
      <c r="AT38" s="346"/>
      <c r="AU38" s="346"/>
      <c r="AV38" s="346"/>
      <c r="AW38" s="346"/>
      <c r="AX38" s="346"/>
      <c r="AY38" s="346"/>
      <c r="AZ38" s="346"/>
      <c r="BA38" s="347"/>
      <c r="BB38" s="15"/>
      <c r="BI38" s="24"/>
    </row>
    <row r="39" spans="1:61" ht="15" customHeight="1">
      <c r="A39" s="125"/>
      <c r="B39" s="126"/>
      <c r="C39" s="126"/>
      <c r="D39" s="126"/>
      <c r="E39" s="125"/>
      <c r="F39" s="126"/>
      <c r="G39" s="126"/>
      <c r="H39" s="345"/>
      <c r="I39" s="346"/>
      <c r="J39" s="346"/>
      <c r="K39" s="346"/>
      <c r="L39" s="346"/>
      <c r="M39" s="346"/>
      <c r="N39" s="346"/>
      <c r="O39" s="346"/>
      <c r="P39" s="347"/>
      <c r="Q39" s="345"/>
      <c r="R39" s="346"/>
      <c r="S39" s="346"/>
      <c r="T39" s="347"/>
      <c r="U39" s="329"/>
      <c r="V39" s="330"/>
      <c r="W39" s="329"/>
      <c r="X39" s="330"/>
      <c r="Y39" s="345" t="s">
        <v>262</v>
      </c>
      <c r="Z39" s="346"/>
      <c r="AA39" s="346"/>
      <c r="AB39" s="346"/>
      <c r="AC39" s="346"/>
      <c r="AD39" s="346"/>
      <c r="AE39" s="346"/>
      <c r="AF39" s="346"/>
      <c r="AG39" s="346"/>
      <c r="AH39" s="346"/>
      <c r="AI39" s="346"/>
      <c r="AJ39" s="346"/>
      <c r="AK39" s="346"/>
      <c r="AL39" s="346"/>
      <c r="AM39" s="346"/>
      <c r="AN39" s="346"/>
      <c r="AO39" s="346"/>
      <c r="AP39" s="346"/>
      <c r="AQ39" s="346"/>
      <c r="AR39" s="346"/>
      <c r="AS39" s="346"/>
      <c r="AT39" s="346"/>
      <c r="AU39" s="346"/>
      <c r="AV39" s="346"/>
      <c r="AW39" s="346"/>
      <c r="AX39" s="346"/>
      <c r="AY39" s="346"/>
      <c r="AZ39" s="346"/>
      <c r="BA39" s="347"/>
      <c r="BB39" s="15"/>
      <c r="BI39" s="24"/>
    </row>
    <row r="40" spans="1:61" ht="15" customHeight="1">
      <c r="A40" s="125"/>
      <c r="B40" s="126"/>
      <c r="C40" s="126"/>
      <c r="D40" s="126"/>
      <c r="E40" s="125"/>
      <c r="F40" s="126"/>
      <c r="G40" s="126"/>
      <c r="H40" s="345"/>
      <c r="I40" s="346"/>
      <c r="J40" s="346"/>
      <c r="K40" s="346"/>
      <c r="L40" s="346"/>
      <c r="M40" s="346"/>
      <c r="N40" s="346"/>
      <c r="O40" s="346"/>
      <c r="P40" s="347"/>
      <c r="Q40" s="345"/>
      <c r="R40" s="346"/>
      <c r="S40" s="346"/>
      <c r="T40" s="347"/>
      <c r="U40" s="329"/>
      <c r="V40" s="330"/>
      <c r="W40" s="329" t="s">
        <v>263</v>
      </c>
      <c r="X40" s="330"/>
      <c r="Y40" s="345" t="s">
        <v>264</v>
      </c>
      <c r="Z40" s="346"/>
      <c r="AA40" s="346"/>
      <c r="AB40" s="346"/>
      <c r="AC40" s="346"/>
      <c r="AD40" s="346"/>
      <c r="AE40" s="346"/>
      <c r="AF40" s="346"/>
      <c r="AG40" s="346"/>
      <c r="AH40" s="346"/>
      <c r="AI40" s="346"/>
      <c r="AJ40" s="346"/>
      <c r="AK40" s="346"/>
      <c r="AL40" s="346"/>
      <c r="AM40" s="346"/>
      <c r="AN40" s="346"/>
      <c r="AO40" s="346"/>
      <c r="AP40" s="346"/>
      <c r="AQ40" s="346"/>
      <c r="AR40" s="346"/>
      <c r="AS40" s="346"/>
      <c r="AT40" s="346"/>
      <c r="AU40" s="346"/>
      <c r="AV40" s="346"/>
      <c r="AW40" s="346"/>
      <c r="AX40" s="346"/>
      <c r="AY40" s="346"/>
      <c r="AZ40" s="346"/>
      <c r="BA40" s="347"/>
      <c r="BB40" s="15"/>
      <c r="BI40" s="24"/>
    </row>
    <row r="41" spans="1:61" ht="15" customHeight="1">
      <c r="A41" s="125"/>
      <c r="B41" s="126"/>
      <c r="C41" s="126"/>
      <c r="D41" s="126"/>
      <c r="E41" s="125"/>
      <c r="F41" s="126"/>
      <c r="G41" s="126"/>
      <c r="H41" s="345"/>
      <c r="I41" s="346"/>
      <c r="J41" s="346"/>
      <c r="K41" s="346"/>
      <c r="L41" s="346"/>
      <c r="M41" s="346"/>
      <c r="N41" s="346"/>
      <c r="O41" s="346"/>
      <c r="P41" s="347"/>
      <c r="Q41" s="345"/>
      <c r="R41" s="346"/>
      <c r="S41" s="346"/>
      <c r="T41" s="347"/>
      <c r="U41" s="329"/>
      <c r="V41" s="330"/>
      <c r="W41" s="329"/>
      <c r="X41" s="330"/>
      <c r="Y41" s="345" t="s">
        <v>265</v>
      </c>
      <c r="Z41" s="346"/>
      <c r="AA41" s="346"/>
      <c r="AB41" s="346"/>
      <c r="AC41" s="346"/>
      <c r="AD41" s="346"/>
      <c r="AE41" s="346"/>
      <c r="AF41" s="346"/>
      <c r="AG41" s="346"/>
      <c r="AH41" s="346"/>
      <c r="AI41" s="346"/>
      <c r="AJ41" s="346"/>
      <c r="AK41" s="346"/>
      <c r="AL41" s="346"/>
      <c r="AM41" s="346"/>
      <c r="AN41" s="346"/>
      <c r="AO41" s="346"/>
      <c r="AP41" s="346"/>
      <c r="AQ41" s="346"/>
      <c r="AR41" s="346"/>
      <c r="AS41" s="346"/>
      <c r="AT41" s="346"/>
      <c r="AU41" s="346"/>
      <c r="AV41" s="346"/>
      <c r="AW41" s="346"/>
      <c r="AX41" s="346"/>
      <c r="AY41" s="346"/>
      <c r="AZ41" s="346"/>
      <c r="BA41" s="347"/>
      <c r="BB41" s="15"/>
      <c r="BI41" s="24"/>
    </row>
    <row r="42" spans="1:61" ht="15" customHeight="1">
      <c r="A42" s="125"/>
      <c r="B42" s="126"/>
      <c r="C42" s="126"/>
      <c r="D42" s="126"/>
      <c r="E42" s="125"/>
      <c r="F42" s="126"/>
      <c r="G42" s="126"/>
      <c r="H42" s="345"/>
      <c r="I42" s="346"/>
      <c r="J42" s="346"/>
      <c r="K42" s="346"/>
      <c r="L42" s="346"/>
      <c r="M42" s="346"/>
      <c r="N42" s="346"/>
      <c r="O42" s="346"/>
      <c r="P42" s="347"/>
      <c r="Q42" s="345"/>
      <c r="R42" s="346"/>
      <c r="S42" s="346"/>
      <c r="T42" s="347"/>
      <c r="U42" s="329"/>
      <c r="V42" s="330"/>
      <c r="W42" s="329"/>
      <c r="X42" s="330"/>
      <c r="Y42" s="345" t="s">
        <v>266</v>
      </c>
      <c r="Z42" s="346"/>
      <c r="AA42" s="346"/>
      <c r="AB42" s="346"/>
      <c r="AC42" s="346"/>
      <c r="AD42" s="346"/>
      <c r="AE42" s="346"/>
      <c r="AF42" s="346"/>
      <c r="AG42" s="346"/>
      <c r="AH42" s="346"/>
      <c r="AI42" s="346"/>
      <c r="AJ42" s="346"/>
      <c r="AK42" s="346"/>
      <c r="AL42" s="346"/>
      <c r="AM42" s="346"/>
      <c r="AN42" s="346"/>
      <c r="AO42" s="346"/>
      <c r="AP42" s="346"/>
      <c r="AQ42" s="346"/>
      <c r="AR42" s="346"/>
      <c r="AS42" s="346"/>
      <c r="AT42" s="346"/>
      <c r="AU42" s="346"/>
      <c r="AV42" s="346"/>
      <c r="AW42" s="346"/>
      <c r="AX42" s="346"/>
      <c r="AY42" s="346"/>
      <c r="AZ42" s="346"/>
      <c r="BA42" s="347"/>
      <c r="BB42" s="15"/>
      <c r="BI42" s="24"/>
    </row>
    <row r="43" spans="1:61" ht="15" customHeight="1">
      <c r="A43" s="125"/>
      <c r="B43" s="126"/>
      <c r="C43" s="126"/>
      <c r="D43" s="126"/>
      <c r="E43" s="125"/>
      <c r="F43" s="126"/>
      <c r="G43" s="126"/>
      <c r="H43" s="345"/>
      <c r="I43" s="346"/>
      <c r="J43" s="346"/>
      <c r="K43" s="346"/>
      <c r="L43" s="346"/>
      <c r="M43" s="346"/>
      <c r="N43" s="346"/>
      <c r="O43" s="346"/>
      <c r="P43" s="347"/>
      <c r="Q43" s="345"/>
      <c r="R43" s="346"/>
      <c r="S43" s="346"/>
      <c r="T43" s="347"/>
      <c r="U43" s="329"/>
      <c r="V43" s="330"/>
      <c r="W43" s="329"/>
      <c r="X43" s="330"/>
      <c r="Y43" s="345" t="s">
        <v>267</v>
      </c>
      <c r="Z43" s="346"/>
      <c r="AA43" s="346"/>
      <c r="AB43" s="346"/>
      <c r="AC43" s="346"/>
      <c r="AD43" s="346"/>
      <c r="AE43" s="346"/>
      <c r="AF43" s="346"/>
      <c r="AG43" s="346"/>
      <c r="AH43" s="346"/>
      <c r="AI43" s="346"/>
      <c r="AJ43" s="346"/>
      <c r="AK43" s="346"/>
      <c r="AL43" s="346"/>
      <c r="AM43" s="346"/>
      <c r="AN43" s="346"/>
      <c r="AO43" s="346"/>
      <c r="AP43" s="346"/>
      <c r="AQ43" s="346"/>
      <c r="AR43" s="346"/>
      <c r="AS43" s="346"/>
      <c r="AT43" s="346"/>
      <c r="AU43" s="346"/>
      <c r="AV43" s="346"/>
      <c r="AW43" s="346"/>
      <c r="AX43" s="346"/>
      <c r="AY43" s="346"/>
      <c r="AZ43" s="346"/>
      <c r="BA43" s="347"/>
      <c r="BB43" s="15"/>
      <c r="BI43" s="24"/>
    </row>
    <row r="44" spans="1:61" ht="15" customHeight="1">
      <c r="A44" s="125"/>
      <c r="B44" s="126"/>
      <c r="C44" s="126"/>
      <c r="D44" s="126"/>
      <c r="E44" s="125"/>
      <c r="F44" s="126"/>
      <c r="G44" s="126"/>
      <c r="H44" s="345"/>
      <c r="I44" s="346"/>
      <c r="J44" s="346"/>
      <c r="K44" s="346"/>
      <c r="L44" s="346"/>
      <c r="M44" s="346"/>
      <c r="N44" s="346"/>
      <c r="O44" s="346"/>
      <c r="P44" s="347"/>
      <c r="Q44" s="345"/>
      <c r="R44" s="346"/>
      <c r="S44" s="346"/>
      <c r="T44" s="347"/>
      <c r="U44" s="329"/>
      <c r="V44" s="330"/>
      <c r="W44" s="329"/>
      <c r="X44" s="330"/>
      <c r="Y44" s="345" t="s">
        <v>268</v>
      </c>
      <c r="Z44" s="346"/>
      <c r="AA44" s="346"/>
      <c r="AB44" s="346"/>
      <c r="AC44" s="346"/>
      <c r="AD44" s="346"/>
      <c r="AE44" s="346"/>
      <c r="AF44" s="346"/>
      <c r="AG44" s="346"/>
      <c r="AH44" s="346"/>
      <c r="AI44" s="346"/>
      <c r="AJ44" s="346"/>
      <c r="AK44" s="346"/>
      <c r="AL44" s="346"/>
      <c r="AM44" s="346"/>
      <c r="AN44" s="346"/>
      <c r="AO44" s="346"/>
      <c r="AP44" s="346"/>
      <c r="AQ44" s="346"/>
      <c r="AR44" s="346"/>
      <c r="AS44" s="346"/>
      <c r="AT44" s="346"/>
      <c r="AU44" s="346"/>
      <c r="AV44" s="346"/>
      <c r="AW44" s="346"/>
      <c r="AX44" s="346"/>
      <c r="AY44" s="346"/>
      <c r="AZ44" s="346"/>
      <c r="BA44" s="347"/>
      <c r="BB44" s="15"/>
      <c r="BI44" s="24"/>
    </row>
    <row r="45" spans="1:61" ht="13.5">
      <c r="A45" s="125"/>
      <c r="B45" s="126"/>
      <c r="C45" s="126"/>
      <c r="D45" s="126"/>
      <c r="E45" s="125"/>
      <c r="F45" s="126"/>
      <c r="G45" s="126"/>
      <c r="H45" s="345"/>
      <c r="I45" s="346"/>
      <c r="J45" s="346"/>
      <c r="K45" s="346"/>
      <c r="L45" s="346"/>
      <c r="M45" s="346"/>
      <c r="N45" s="346"/>
      <c r="O45" s="346"/>
      <c r="P45" s="347"/>
      <c r="Q45" s="345"/>
      <c r="R45" s="346"/>
      <c r="S45" s="346"/>
      <c r="T45" s="347"/>
      <c r="U45" s="329"/>
      <c r="V45" s="330"/>
      <c r="W45" s="329"/>
      <c r="X45" s="330"/>
      <c r="Y45" s="345" t="s">
        <v>269</v>
      </c>
      <c r="Z45" s="346"/>
      <c r="AA45" s="346"/>
      <c r="AB45" s="346"/>
      <c r="AC45" s="346"/>
      <c r="AD45" s="346"/>
      <c r="AE45" s="346"/>
      <c r="AF45" s="346"/>
      <c r="AG45" s="346"/>
      <c r="AH45" s="346"/>
      <c r="AI45" s="346"/>
      <c r="AJ45" s="346"/>
      <c r="AK45" s="346"/>
      <c r="AL45" s="346"/>
      <c r="AM45" s="346"/>
      <c r="AN45" s="346"/>
      <c r="AO45" s="346"/>
      <c r="AP45" s="346"/>
      <c r="AQ45" s="346"/>
      <c r="AR45" s="346"/>
      <c r="AS45" s="346"/>
      <c r="AT45" s="346"/>
      <c r="AU45" s="346"/>
      <c r="AV45" s="346"/>
      <c r="AW45" s="346"/>
      <c r="AX45" s="346"/>
      <c r="AY45" s="346"/>
      <c r="AZ45" s="346"/>
      <c r="BA45" s="347"/>
      <c r="BB45" s="15"/>
      <c r="BI45" s="24"/>
    </row>
    <row r="46" spans="1:61" ht="15" customHeight="1" thickBot="1">
      <c r="A46" s="125"/>
      <c r="B46" s="126"/>
      <c r="C46" s="126"/>
      <c r="D46" s="126"/>
      <c r="E46" s="125"/>
      <c r="F46" s="126"/>
      <c r="G46" s="126"/>
      <c r="H46" s="348"/>
      <c r="I46" s="349"/>
      <c r="J46" s="349"/>
      <c r="K46" s="349"/>
      <c r="L46" s="349"/>
      <c r="M46" s="349"/>
      <c r="N46" s="349"/>
      <c r="O46" s="349"/>
      <c r="P46" s="350"/>
      <c r="Q46" s="348"/>
      <c r="R46" s="349"/>
      <c r="S46" s="349"/>
      <c r="T46" s="350"/>
      <c r="U46" s="331"/>
      <c r="V46" s="332"/>
      <c r="W46" s="331"/>
      <c r="X46" s="332"/>
      <c r="Y46" s="348"/>
      <c r="Z46" s="349"/>
      <c r="AA46" s="349"/>
      <c r="AB46" s="349"/>
      <c r="AC46" s="349"/>
      <c r="AD46" s="349"/>
      <c r="AE46" s="349"/>
      <c r="AF46" s="349"/>
      <c r="AG46" s="349"/>
      <c r="AH46" s="349"/>
      <c r="AI46" s="349"/>
      <c r="AJ46" s="349"/>
      <c r="AK46" s="349"/>
      <c r="AL46" s="349"/>
      <c r="AM46" s="349"/>
      <c r="AN46" s="349"/>
      <c r="AO46" s="349"/>
      <c r="AP46" s="349"/>
      <c r="AQ46" s="349"/>
      <c r="AR46" s="349"/>
      <c r="AS46" s="349"/>
      <c r="AT46" s="349"/>
      <c r="AU46" s="349"/>
      <c r="AV46" s="349"/>
      <c r="AW46" s="349"/>
      <c r="AX46" s="349"/>
      <c r="AY46" s="349"/>
      <c r="AZ46" s="349"/>
      <c r="BA46" s="350"/>
      <c r="BB46" s="17"/>
      <c r="BC46" s="25"/>
      <c r="BD46" s="25"/>
      <c r="BE46" s="25"/>
      <c r="BF46" s="25"/>
      <c r="BG46" s="25"/>
      <c r="BH46" s="25"/>
      <c r="BI46" s="26"/>
    </row>
    <row r="47" spans="1:61" ht="15" customHeight="1" thickBot="1">
      <c r="A47" s="125"/>
      <c r="B47" s="126"/>
      <c r="C47" s="126"/>
      <c r="D47" s="126"/>
      <c r="E47" s="127" t="s">
        <v>270</v>
      </c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337"/>
      <c r="V47" s="337"/>
      <c r="W47" s="337"/>
      <c r="X47" s="337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30"/>
    </row>
    <row r="48" spans="1:61" ht="15" customHeight="1">
      <c r="A48" s="125"/>
      <c r="B48" s="126"/>
      <c r="C48" s="126"/>
      <c r="D48" s="126"/>
      <c r="E48" s="125"/>
      <c r="F48" s="126"/>
      <c r="G48" s="126"/>
      <c r="H48" s="338" t="s">
        <v>271</v>
      </c>
      <c r="I48" s="339"/>
      <c r="J48" s="339"/>
      <c r="K48" s="339"/>
      <c r="L48" s="339"/>
      <c r="M48" s="339"/>
      <c r="N48" s="339"/>
      <c r="O48" s="339"/>
      <c r="P48" s="340"/>
      <c r="Q48" s="338" t="s">
        <v>272</v>
      </c>
      <c r="R48" s="339"/>
      <c r="S48" s="339"/>
      <c r="T48" s="340"/>
      <c r="U48" s="329" t="s">
        <v>241</v>
      </c>
      <c r="V48" s="330"/>
      <c r="W48" s="333" t="s">
        <v>235</v>
      </c>
      <c r="X48" s="334"/>
      <c r="Y48" s="338" t="s">
        <v>273</v>
      </c>
      <c r="Z48" s="339"/>
      <c r="AA48" s="339"/>
      <c r="AB48" s="339"/>
      <c r="AC48" s="339"/>
      <c r="AD48" s="339"/>
      <c r="AE48" s="339"/>
      <c r="AF48" s="339"/>
      <c r="AG48" s="339"/>
      <c r="AH48" s="339"/>
      <c r="AI48" s="339"/>
      <c r="AJ48" s="339"/>
      <c r="AK48" s="339"/>
      <c r="AL48" s="339"/>
      <c r="AM48" s="339"/>
      <c r="AN48" s="339"/>
      <c r="AO48" s="339"/>
      <c r="AP48" s="339"/>
      <c r="AQ48" s="339"/>
      <c r="AR48" s="339"/>
      <c r="AS48" s="339"/>
      <c r="AT48" s="339"/>
      <c r="AU48" s="339"/>
      <c r="AV48" s="339"/>
      <c r="AW48" s="339"/>
      <c r="AX48" s="339"/>
      <c r="AY48" s="339"/>
      <c r="AZ48" s="339"/>
      <c r="BA48" s="340"/>
      <c r="BB48" s="60"/>
      <c r="BC48" s="3"/>
      <c r="BD48" s="3"/>
      <c r="BE48" s="3"/>
      <c r="BF48" s="3"/>
      <c r="BG48" s="3"/>
      <c r="BH48" s="3"/>
      <c r="BI48" s="4"/>
    </row>
    <row r="49" spans="1:61" ht="15" customHeight="1">
      <c r="A49" s="125"/>
      <c r="B49" s="126"/>
      <c r="C49" s="126"/>
      <c r="D49" s="126"/>
      <c r="E49" s="125"/>
      <c r="F49" s="126"/>
      <c r="G49" s="126"/>
      <c r="H49" s="345"/>
      <c r="I49" s="346"/>
      <c r="J49" s="346"/>
      <c r="K49" s="346"/>
      <c r="L49" s="346"/>
      <c r="M49" s="346"/>
      <c r="N49" s="346"/>
      <c r="O49" s="346"/>
      <c r="P49" s="347"/>
      <c r="Q49" s="345"/>
      <c r="R49" s="346"/>
      <c r="S49" s="346"/>
      <c r="T49" s="347"/>
      <c r="U49" s="329"/>
      <c r="V49" s="330"/>
      <c r="W49" s="329"/>
      <c r="X49" s="330"/>
      <c r="Y49" s="345" t="s">
        <v>274</v>
      </c>
      <c r="Z49" s="346"/>
      <c r="AA49" s="346"/>
      <c r="AB49" s="346"/>
      <c r="AC49" s="346"/>
      <c r="AD49" s="346"/>
      <c r="AE49" s="346"/>
      <c r="AF49" s="346"/>
      <c r="AG49" s="346"/>
      <c r="AH49" s="346"/>
      <c r="AI49" s="346"/>
      <c r="AJ49" s="346"/>
      <c r="AK49" s="346"/>
      <c r="AL49" s="346"/>
      <c r="AM49" s="346"/>
      <c r="AN49" s="346"/>
      <c r="AO49" s="346"/>
      <c r="AP49" s="346"/>
      <c r="AQ49" s="346"/>
      <c r="AR49" s="346"/>
      <c r="AS49" s="346"/>
      <c r="AT49" s="346"/>
      <c r="AU49" s="346"/>
      <c r="AV49" s="346"/>
      <c r="AW49" s="346"/>
      <c r="AX49" s="346"/>
      <c r="AY49" s="346"/>
      <c r="AZ49" s="346"/>
      <c r="BA49" s="347"/>
      <c r="BB49" s="15"/>
      <c r="BI49" s="24"/>
    </row>
    <row r="50" spans="1:61" ht="15" customHeight="1" thickBot="1">
      <c r="A50" s="125"/>
      <c r="B50" s="126"/>
      <c r="C50" s="126"/>
      <c r="D50" s="126"/>
      <c r="E50" s="125"/>
      <c r="F50" s="126"/>
      <c r="G50" s="126"/>
      <c r="H50" s="348"/>
      <c r="I50" s="349"/>
      <c r="J50" s="349"/>
      <c r="K50" s="349"/>
      <c r="L50" s="349"/>
      <c r="M50" s="349"/>
      <c r="N50" s="349"/>
      <c r="O50" s="349"/>
      <c r="P50" s="350"/>
      <c r="Q50" s="348"/>
      <c r="R50" s="349"/>
      <c r="S50" s="349"/>
      <c r="T50" s="350"/>
      <c r="U50" s="331"/>
      <c r="V50" s="332"/>
      <c r="W50" s="331"/>
      <c r="X50" s="332"/>
      <c r="Y50" s="348"/>
      <c r="Z50" s="349"/>
      <c r="AA50" s="349"/>
      <c r="AB50" s="349"/>
      <c r="AC50" s="349"/>
      <c r="AD50" s="349"/>
      <c r="AE50" s="349"/>
      <c r="AF50" s="349"/>
      <c r="AG50" s="349"/>
      <c r="AH50" s="349"/>
      <c r="AI50" s="349"/>
      <c r="AJ50" s="349"/>
      <c r="AK50" s="349"/>
      <c r="AL50" s="349"/>
      <c r="AM50" s="349"/>
      <c r="AN50" s="349"/>
      <c r="AO50" s="349"/>
      <c r="AP50" s="349"/>
      <c r="AQ50" s="349"/>
      <c r="AR50" s="349"/>
      <c r="AS50" s="349"/>
      <c r="AT50" s="349"/>
      <c r="AU50" s="349"/>
      <c r="AV50" s="349"/>
      <c r="AW50" s="349"/>
      <c r="AX50" s="349"/>
      <c r="AY50" s="349"/>
      <c r="AZ50" s="349"/>
      <c r="BA50" s="350"/>
      <c r="BB50" s="17"/>
      <c r="BC50" s="25"/>
      <c r="BD50" s="25"/>
      <c r="BE50" s="25"/>
      <c r="BF50" s="25"/>
      <c r="BG50" s="25"/>
      <c r="BH50" s="25"/>
      <c r="BI50" s="26"/>
    </row>
    <row r="51" spans="1:61" ht="15" customHeight="1">
      <c r="A51" s="125"/>
      <c r="B51" s="126"/>
      <c r="C51" s="126"/>
      <c r="D51" s="126"/>
      <c r="E51" s="125"/>
      <c r="F51" s="126"/>
      <c r="G51" s="126"/>
      <c r="H51" s="338" t="s">
        <v>275</v>
      </c>
      <c r="I51" s="339"/>
      <c r="J51" s="339"/>
      <c r="K51" s="339"/>
      <c r="L51" s="339"/>
      <c r="M51" s="339"/>
      <c r="N51" s="339"/>
      <c r="O51" s="339"/>
      <c r="P51" s="340"/>
      <c r="Q51" s="338" t="s">
        <v>272</v>
      </c>
      <c r="R51" s="339"/>
      <c r="S51" s="339"/>
      <c r="T51" s="340"/>
      <c r="U51" s="329" t="s">
        <v>241</v>
      </c>
      <c r="V51" s="330"/>
      <c r="W51" s="329" t="s">
        <v>235</v>
      </c>
      <c r="X51" s="330"/>
      <c r="Y51" s="338" t="s">
        <v>273</v>
      </c>
      <c r="Z51" s="339"/>
      <c r="AA51" s="339"/>
      <c r="AB51" s="339"/>
      <c r="AC51" s="339"/>
      <c r="AD51" s="339"/>
      <c r="AE51" s="339"/>
      <c r="AF51" s="339"/>
      <c r="AG51" s="339"/>
      <c r="AH51" s="339"/>
      <c r="AI51" s="339"/>
      <c r="AJ51" s="339"/>
      <c r="AK51" s="339"/>
      <c r="AL51" s="339"/>
      <c r="AM51" s="339"/>
      <c r="AN51" s="339"/>
      <c r="AO51" s="339"/>
      <c r="AP51" s="339"/>
      <c r="AQ51" s="339"/>
      <c r="AR51" s="339"/>
      <c r="AS51" s="339"/>
      <c r="AT51" s="339"/>
      <c r="AU51" s="339"/>
      <c r="AV51" s="339"/>
      <c r="AW51" s="339"/>
      <c r="AX51" s="339"/>
      <c r="AY51" s="339"/>
      <c r="AZ51" s="339"/>
      <c r="BA51" s="340"/>
      <c r="BB51" s="60"/>
      <c r="BC51" s="3"/>
      <c r="BD51" s="3"/>
      <c r="BE51" s="3"/>
      <c r="BF51" s="3"/>
      <c r="BG51" s="3"/>
      <c r="BH51" s="3"/>
      <c r="BI51" s="4"/>
    </row>
    <row r="52" spans="1:61" ht="15" customHeight="1">
      <c r="A52" s="125"/>
      <c r="B52" s="126"/>
      <c r="C52" s="126"/>
      <c r="D52" s="126"/>
      <c r="E52" s="125"/>
      <c r="F52" s="126"/>
      <c r="G52" s="126"/>
      <c r="H52" s="345"/>
      <c r="I52" s="346"/>
      <c r="J52" s="346"/>
      <c r="K52" s="346"/>
      <c r="L52" s="346"/>
      <c r="M52" s="346"/>
      <c r="N52" s="346"/>
      <c r="O52" s="346"/>
      <c r="P52" s="347"/>
      <c r="Q52" s="345"/>
      <c r="R52" s="346"/>
      <c r="S52" s="346"/>
      <c r="T52" s="347"/>
      <c r="U52" s="329"/>
      <c r="V52" s="330"/>
      <c r="W52" s="329"/>
      <c r="X52" s="330"/>
      <c r="Y52" s="345" t="s">
        <v>276</v>
      </c>
      <c r="Z52" s="346"/>
      <c r="AA52" s="346"/>
      <c r="AB52" s="346"/>
      <c r="AC52" s="346"/>
      <c r="AD52" s="346"/>
      <c r="AE52" s="346"/>
      <c r="AF52" s="346"/>
      <c r="AG52" s="346"/>
      <c r="AH52" s="346"/>
      <c r="AI52" s="346"/>
      <c r="AJ52" s="346"/>
      <c r="AK52" s="346"/>
      <c r="AL52" s="346"/>
      <c r="AM52" s="346"/>
      <c r="AN52" s="346"/>
      <c r="AO52" s="346"/>
      <c r="AP52" s="346"/>
      <c r="AQ52" s="346"/>
      <c r="AR52" s="346"/>
      <c r="AS52" s="346"/>
      <c r="AT52" s="346"/>
      <c r="AU52" s="346"/>
      <c r="AV52" s="346"/>
      <c r="AW52" s="346"/>
      <c r="AX52" s="346"/>
      <c r="AY52" s="346"/>
      <c r="AZ52" s="346"/>
      <c r="BA52" s="347"/>
      <c r="BB52" s="15"/>
      <c r="BI52" s="24"/>
    </row>
    <row r="53" spans="1:61" ht="15" hidden="1" customHeight="1" thickBot="1">
      <c r="A53" s="125"/>
      <c r="B53" s="126"/>
      <c r="C53" s="126"/>
      <c r="D53" s="126"/>
      <c r="E53" s="125"/>
      <c r="F53" s="126"/>
      <c r="G53" s="126"/>
      <c r="H53" s="17"/>
      <c r="I53" s="25"/>
      <c r="J53" s="25"/>
      <c r="K53" s="25"/>
      <c r="L53" s="25"/>
      <c r="M53" s="25"/>
      <c r="N53" s="25"/>
      <c r="O53" s="25"/>
      <c r="P53" s="25"/>
      <c r="Q53" s="17"/>
      <c r="R53" s="25"/>
      <c r="S53" s="25"/>
      <c r="T53" s="26"/>
      <c r="U53" s="331"/>
      <c r="V53" s="332"/>
      <c r="W53" s="331"/>
      <c r="X53" s="332"/>
      <c r="Y53" s="348"/>
      <c r="Z53" s="349"/>
      <c r="AA53" s="349"/>
      <c r="AB53" s="349"/>
      <c r="AC53" s="349"/>
      <c r="AD53" s="349"/>
      <c r="AE53" s="349"/>
      <c r="AF53" s="349"/>
      <c r="AG53" s="349"/>
      <c r="AH53" s="349"/>
      <c r="AI53" s="349"/>
      <c r="AJ53" s="349"/>
      <c r="AK53" s="349"/>
      <c r="AL53" s="349"/>
      <c r="AM53" s="349"/>
      <c r="AN53" s="349"/>
      <c r="AO53" s="349"/>
      <c r="AP53" s="349"/>
      <c r="AQ53" s="349"/>
      <c r="AR53" s="349"/>
      <c r="AS53" s="349"/>
      <c r="AT53" s="349"/>
      <c r="AU53" s="349"/>
      <c r="AV53" s="349"/>
      <c r="AW53" s="349"/>
      <c r="AX53" s="349"/>
      <c r="AY53" s="349"/>
      <c r="AZ53" s="349"/>
      <c r="BA53" s="350"/>
      <c r="BB53" s="17"/>
      <c r="BC53" s="25"/>
      <c r="BD53" s="25"/>
      <c r="BE53" s="25"/>
      <c r="BF53" s="25"/>
      <c r="BG53" s="25"/>
      <c r="BH53" s="25"/>
      <c r="BI53" s="26"/>
    </row>
    <row r="54" spans="1:61" ht="15" hidden="1" customHeight="1">
      <c r="A54" s="125"/>
      <c r="B54" s="126"/>
      <c r="C54" s="126"/>
      <c r="D54" s="126"/>
      <c r="E54" s="125"/>
      <c r="F54" s="126"/>
      <c r="G54" s="126"/>
      <c r="H54" s="15" t="s">
        <v>277</v>
      </c>
      <c r="Q54" s="60" t="s">
        <v>240</v>
      </c>
      <c r="T54" s="24"/>
      <c r="U54" s="329" t="s">
        <v>241</v>
      </c>
      <c r="V54" s="330"/>
      <c r="W54" s="329" t="s">
        <v>241</v>
      </c>
      <c r="X54" s="330"/>
      <c r="Y54" s="345" t="s">
        <v>242</v>
      </c>
      <c r="Z54" s="346"/>
      <c r="AA54" s="346"/>
      <c r="AB54" s="346"/>
      <c r="AC54" s="346"/>
      <c r="AD54" s="346"/>
      <c r="AE54" s="346"/>
      <c r="AF54" s="346"/>
      <c r="AG54" s="346"/>
      <c r="AH54" s="346"/>
      <c r="AI54" s="346"/>
      <c r="AJ54" s="346"/>
      <c r="AK54" s="346"/>
      <c r="AL54" s="346"/>
      <c r="AM54" s="346"/>
      <c r="AN54" s="346"/>
      <c r="AO54" s="346"/>
      <c r="AP54" s="346"/>
      <c r="AQ54" s="346"/>
      <c r="AR54" s="346"/>
      <c r="AS54" s="346"/>
      <c r="AT54" s="346"/>
      <c r="AU54" s="346"/>
      <c r="AV54" s="346"/>
      <c r="AW54" s="346"/>
      <c r="AX54" s="346"/>
      <c r="AY54" s="346"/>
      <c r="AZ54" s="346"/>
      <c r="BA54" s="347"/>
      <c r="BB54" s="15"/>
      <c r="BI54" s="24"/>
    </row>
    <row r="55" spans="1:61" ht="15" hidden="1" customHeight="1">
      <c r="A55" s="125"/>
      <c r="B55" s="126"/>
      <c r="C55" s="126"/>
      <c r="D55" s="126"/>
      <c r="E55" s="125"/>
      <c r="F55" s="126"/>
      <c r="G55" s="126"/>
      <c r="H55" s="15"/>
      <c r="Q55" s="15"/>
      <c r="T55" s="24"/>
      <c r="U55" s="329"/>
      <c r="V55" s="330"/>
      <c r="W55" s="329"/>
      <c r="X55" s="330"/>
      <c r="Y55" s="348" t="s">
        <v>278</v>
      </c>
      <c r="Z55" s="349"/>
      <c r="AA55" s="349"/>
      <c r="AB55" s="349"/>
      <c r="AC55" s="349"/>
      <c r="AD55" s="349"/>
      <c r="AE55" s="349"/>
      <c r="AF55" s="349"/>
      <c r="AG55" s="349"/>
      <c r="AH55" s="349"/>
      <c r="AI55" s="349"/>
      <c r="AJ55" s="349"/>
      <c r="AK55" s="349"/>
      <c r="AL55" s="349"/>
      <c r="AM55" s="349"/>
      <c r="AN55" s="349"/>
      <c r="AO55" s="349"/>
      <c r="AP55" s="349"/>
      <c r="AQ55" s="349"/>
      <c r="AR55" s="349"/>
      <c r="AS55" s="349"/>
      <c r="AT55" s="349"/>
      <c r="AU55" s="349"/>
      <c r="AV55" s="349"/>
      <c r="AW55" s="349"/>
      <c r="AX55" s="349"/>
      <c r="AY55" s="349"/>
      <c r="AZ55" s="349"/>
      <c r="BA55" s="350"/>
      <c r="BB55" s="15"/>
      <c r="BI55" s="24"/>
    </row>
    <row r="56" spans="1:61" ht="13.5" hidden="1">
      <c r="A56" s="125"/>
      <c r="B56" s="126"/>
      <c r="C56" s="126"/>
      <c r="D56" s="126"/>
      <c r="E56" s="125"/>
      <c r="F56" s="126"/>
      <c r="G56" s="126"/>
      <c r="H56" s="15"/>
      <c r="Q56" s="15"/>
      <c r="T56" s="24"/>
      <c r="U56" s="329"/>
      <c r="V56" s="330"/>
      <c r="W56" s="329"/>
      <c r="X56" s="330"/>
      <c r="Y56" s="345"/>
      <c r="Z56" s="346"/>
      <c r="AA56" s="346"/>
      <c r="AB56" s="346"/>
      <c r="AC56" s="346"/>
      <c r="AD56" s="346"/>
      <c r="AE56" s="346"/>
      <c r="AF56" s="346"/>
      <c r="AG56" s="346"/>
      <c r="AH56" s="346"/>
      <c r="AI56" s="346"/>
      <c r="AJ56" s="346"/>
      <c r="AK56" s="346"/>
      <c r="AL56" s="346"/>
      <c r="AM56" s="346"/>
      <c r="AN56" s="346"/>
      <c r="AO56" s="346"/>
      <c r="AP56" s="346"/>
      <c r="AQ56" s="346"/>
      <c r="AR56" s="346"/>
      <c r="AS56" s="346"/>
      <c r="AT56" s="346"/>
      <c r="AU56" s="346"/>
      <c r="AV56" s="346"/>
      <c r="AW56" s="346"/>
      <c r="AX56" s="346"/>
      <c r="AY56" s="346"/>
      <c r="AZ56" s="346"/>
      <c r="BA56" s="347"/>
      <c r="BB56" s="15"/>
      <c r="BI56" s="24"/>
    </row>
    <row r="57" spans="1:61" ht="15" hidden="1" customHeight="1">
      <c r="A57" s="125"/>
      <c r="B57" s="126"/>
      <c r="C57" s="126"/>
      <c r="D57" s="126"/>
      <c r="E57" s="125"/>
      <c r="F57" s="126"/>
      <c r="G57" s="126"/>
      <c r="H57" s="15"/>
      <c r="Q57" s="15"/>
      <c r="T57" s="24"/>
      <c r="U57" s="329"/>
      <c r="V57" s="330"/>
      <c r="W57" s="329"/>
      <c r="X57" s="330"/>
      <c r="Y57" s="348" t="s">
        <v>246</v>
      </c>
      <c r="Z57" s="349"/>
      <c r="AA57" s="349"/>
      <c r="AB57" s="349"/>
      <c r="AC57" s="349"/>
      <c r="AD57" s="349"/>
      <c r="AE57" s="349"/>
      <c r="AF57" s="349"/>
      <c r="AG57" s="349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  <c r="AR57" s="349"/>
      <c r="AS57" s="349"/>
      <c r="AT57" s="349"/>
      <c r="AU57" s="349"/>
      <c r="AV57" s="349"/>
      <c r="AW57" s="349"/>
      <c r="AX57" s="349"/>
      <c r="AY57" s="349"/>
      <c r="AZ57" s="349"/>
      <c r="BA57" s="350"/>
      <c r="BB57" s="15"/>
      <c r="BI57" s="24"/>
    </row>
    <row r="58" spans="1:61" ht="15" hidden="1" customHeight="1">
      <c r="A58" s="125"/>
      <c r="B58" s="126"/>
      <c r="C58" s="126"/>
      <c r="D58" s="126"/>
      <c r="E58" s="125"/>
      <c r="F58" s="126"/>
      <c r="G58" s="126"/>
      <c r="H58" s="15"/>
      <c r="Q58" s="15"/>
      <c r="T58" s="24"/>
      <c r="U58" s="329"/>
      <c r="V58" s="330"/>
      <c r="W58" s="329"/>
      <c r="X58" s="330"/>
      <c r="Y58" s="345" t="s">
        <v>279</v>
      </c>
      <c r="Z58" s="346"/>
      <c r="AA58" s="346"/>
      <c r="AB58" s="346"/>
      <c r="AC58" s="346"/>
      <c r="AD58" s="346"/>
      <c r="AE58" s="346"/>
      <c r="AF58" s="346"/>
      <c r="AG58" s="346"/>
      <c r="AH58" s="346"/>
      <c r="AI58" s="346"/>
      <c r="AJ58" s="346"/>
      <c r="AK58" s="346"/>
      <c r="AL58" s="346"/>
      <c r="AM58" s="346"/>
      <c r="AN58" s="346"/>
      <c r="AO58" s="346"/>
      <c r="AP58" s="346"/>
      <c r="AQ58" s="346"/>
      <c r="AR58" s="346"/>
      <c r="AS58" s="346"/>
      <c r="AT58" s="346"/>
      <c r="AU58" s="346"/>
      <c r="AV58" s="346"/>
      <c r="AW58" s="346"/>
      <c r="AX58" s="346"/>
      <c r="AY58" s="346"/>
      <c r="AZ58" s="346"/>
      <c r="BA58" s="347"/>
      <c r="BB58" s="15"/>
      <c r="BI58" s="24"/>
    </row>
    <row r="59" spans="1:61" ht="15" hidden="1" customHeight="1" thickBot="1">
      <c r="A59" s="125"/>
      <c r="B59" s="126"/>
      <c r="C59" s="126"/>
      <c r="D59" s="126"/>
      <c r="E59" s="125"/>
      <c r="F59" s="126"/>
      <c r="G59" s="126"/>
      <c r="H59" s="17"/>
      <c r="I59" s="25"/>
      <c r="J59" s="25"/>
      <c r="K59" s="25"/>
      <c r="L59" s="25"/>
      <c r="M59" s="25"/>
      <c r="N59" s="25"/>
      <c r="O59" s="25"/>
      <c r="P59" s="25"/>
      <c r="Q59" s="17"/>
      <c r="R59" s="25"/>
      <c r="S59" s="25"/>
      <c r="T59" s="26"/>
      <c r="U59" s="331"/>
      <c r="V59" s="332"/>
      <c r="W59" s="331"/>
      <c r="X59" s="332"/>
      <c r="Y59" s="348"/>
      <c r="Z59" s="349"/>
      <c r="AA59" s="349"/>
      <c r="AB59" s="349"/>
      <c r="AC59" s="349"/>
      <c r="AD59" s="349"/>
      <c r="AE59" s="349"/>
      <c r="AF59" s="349"/>
      <c r="AG59" s="349"/>
      <c r="AH59" s="349"/>
      <c r="AI59" s="349"/>
      <c r="AJ59" s="349"/>
      <c r="AK59" s="349"/>
      <c r="AL59" s="349"/>
      <c r="AM59" s="349"/>
      <c r="AN59" s="349"/>
      <c r="AO59" s="349"/>
      <c r="AP59" s="349"/>
      <c r="AQ59" s="349"/>
      <c r="AR59" s="349"/>
      <c r="AS59" s="349"/>
      <c r="AT59" s="349"/>
      <c r="AU59" s="349"/>
      <c r="AV59" s="349"/>
      <c r="AW59" s="349"/>
      <c r="AX59" s="349"/>
      <c r="AY59" s="349"/>
      <c r="AZ59" s="349"/>
      <c r="BA59" s="350"/>
      <c r="BB59" s="17"/>
      <c r="BC59" s="25"/>
      <c r="BD59" s="25"/>
      <c r="BE59" s="25"/>
      <c r="BF59" s="25"/>
      <c r="BG59" s="25"/>
      <c r="BH59" s="25"/>
      <c r="BI59" s="26"/>
    </row>
    <row r="60" spans="1:61" ht="15" hidden="1" customHeight="1">
      <c r="A60" s="125"/>
      <c r="B60" s="126"/>
      <c r="C60" s="126"/>
      <c r="D60" s="126"/>
      <c r="E60" s="125"/>
      <c r="F60" s="126"/>
      <c r="G60" s="126"/>
      <c r="H60" s="15" t="s">
        <v>280</v>
      </c>
      <c r="Q60" s="60" t="s">
        <v>240</v>
      </c>
      <c r="T60" s="24"/>
      <c r="U60" s="329" t="s">
        <v>241</v>
      </c>
      <c r="V60" s="330"/>
      <c r="W60" s="329" t="s">
        <v>241</v>
      </c>
      <c r="X60" s="330"/>
      <c r="Y60" s="345" t="s">
        <v>242</v>
      </c>
      <c r="Z60" s="346"/>
      <c r="AA60" s="346"/>
      <c r="AB60" s="346"/>
      <c r="AC60" s="346"/>
      <c r="AD60" s="346"/>
      <c r="AE60" s="346"/>
      <c r="AF60" s="346"/>
      <c r="AG60" s="346"/>
      <c r="AH60" s="346"/>
      <c r="AI60" s="346"/>
      <c r="AJ60" s="346"/>
      <c r="AK60" s="346"/>
      <c r="AL60" s="346"/>
      <c r="AM60" s="346"/>
      <c r="AN60" s="346"/>
      <c r="AO60" s="346"/>
      <c r="AP60" s="346"/>
      <c r="AQ60" s="346"/>
      <c r="AR60" s="346"/>
      <c r="AS60" s="346"/>
      <c r="AT60" s="346"/>
      <c r="AU60" s="346"/>
      <c r="AV60" s="346"/>
      <c r="AW60" s="346"/>
      <c r="AX60" s="346"/>
      <c r="AY60" s="346"/>
      <c r="AZ60" s="346"/>
      <c r="BA60" s="347"/>
      <c r="BB60" s="15"/>
      <c r="BI60" s="24"/>
    </row>
    <row r="61" spans="1:61" ht="15" hidden="1" customHeight="1">
      <c r="A61" s="125"/>
      <c r="B61" s="126"/>
      <c r="C61" s="126"/>
      <c r="D61" s="126"/>
      <c r="E61" s="125"/>
      <c r="F61" s="126"/>
      <c r="G61" s="126"/>
      <c r="H61" s="15"/>
      <c r="Q61" s="15"/>
      <c r="T61" s="24"/>
      <c r="U61" s="329"/>
      <c r="V61" s="330"/>
      <c r="W61" s="329"/>
      <c r="X61" s="330"/>
      <c r="Y61" s="348" t="s">
        <v>281</v>
      </c>
      <c r="Z61" s="349"/>
      <c r="AA61" s="349"/>
      <c r="AB61" s="349"/>
      <c r="AC61" s="349"/>
      <c r="AD61" s="349"/>
      <c r="AE61" s="349"/>
      <c r="AF61" s="349"/>
      <c r="AG61" s="349"/>
      <c r="AH61" s="349"/>
      <c r="AI61" s="349"/>
      <c r="AJ61" s="349"/>
      <c r="AK61" s="349"/>
      <c r="AL61" s="349"/>
      <c r="AM61" s="349"/>
      <c r="AN61" s="349"/>
      <c r="AO61" s="349"/>
      <c r="AP61" s="349"/>
      <c r="AQ61" s="349"/>
      <c r="AR61" s="349"/>
      <c r="AS61" s="349"/>
      <c r="AT61" s="349"/>
      <c r="AU61" s="349"/>
      <c r="AV61" s="349"/>
      <c r="AW61" s="349"/>
      <c r="AX61" s="349"/>
      <c r="AY61" s="349"/>
      <c r="AZ61" s="349"/>
      <c r="BA61" s="350"/>
      <c r="BB61" s="15"/>
      <c r="BI61" s="24"/>
    </row>
    <row r="62" spans="1:61" ht="13.5" hidden="1">
      <c r="A62" s="125"/>
      <c r="B62" s="126"/>
      <c r="C62" s="126"/>
      <c r="D62" s="126"/>
      <c r="E62" s="125"/>
      <c r="F62" s="126"/>
      <c r="G62" s="126"/>
      <c r="H62" s="15"/>
      <c r="Q62" s="15"/>
      <c r="T62" s="24"/>
      <c r="U62" s="329"/>
      <c r="V62" s="330"/>
      <c r="W62" s="329"/>
      <c r="X62" s="330"/>
      <c r="Y62" s="345"/>
      <c r="Z62" s="346"/>
      <c r="AA62" s="346"/>
      <c r="AB62" s="346"/>
      <c r="AC62" s="346"/>
      <c r="AD62" s="346"/>
      <c r="AE62" s="346"/>
      <c r="AF62" s="346"/>
      <c r="AG62" s="346"/>
      <c r="AH62" s="346"/>
      <c r="AI62" s="346"/>
      <c r="AJ62" s="346"/>
      <c r="AK62" s="346"/>
      <c r="AL62" s="346"/>
      <c r="AM62" s="346"/>
      <c r="AN62" s="346"/>
      <c r="AO62" s="346"/>
      <c r="AP62" s="346"/>
      <c r="AQ62" s="346"/>
      <c r="AR62" s="346"/>
      <c r="AS62" s="346"/>
      <c r="AT62" s="346"/>
      <c r="AU62" s="346"/>
      <c r="AV62" s="346"/>
      <c r="AW62" s="346"/>
      <c r="AX62" s="346"/>
      <c r="AY62" s="346"/>
      <c r="AZ62" s="346"/>
      <c r="BA62" s="347"/>
      <c r="BB62" s="15"/>
      <c r="BI62" s="24"/>
    </row>
    <row r="63" spans="1:61" ht="15" hidden="1" customHeight="1">
      <c r="A63" s="125"/>
      <c r="B63" s="126"/>
      <c r="C63" s="126"/>
      <c r="D63" s="126"/>
      <c r="E63" s="125"/>
      <c r="F63" s="126"/>
      <c r="G63" s="126"/>
      <c r="H63" s="15"/>
      <c r="Q63" s="15"/>
      <c r="T63" s="24"/>
      <c r="U63" s="329"/>
      <c r="V63" s="330"/>
      <c r="W63" s="329"/>
      <c r="X63" s="330"/>
      <c r="Y63" s="348" t="s">
        <v>246</v>
      </c>
      <c r="Z63" s="349"/>
      <c r="AA63" s="349"/>
      <c r="AB63" s="349"/>
      <c r="AC63" s="349"/>
      <c r="AD63" s="349"/>
      <c r="AE63" s="349"/>
      <c r="AF63" s="349"/>
      <c r="AG63" s="349"/>
      <c r="AH63" s="349"/>
      <c r="AI63" s="349"/>
      <c r="AJ63" s="349"/>
      <c r="AK63" s="349"/>
      <c r="AL63" s="349"/>
      <c r="AM63" s="349"/>
      <c r="AN63" s="349"/>
      <c r="AO63" s="349"/>
      <c r="AP63" s="349"/>
      <c r="AQ63" s="349"/>
      <c r="AR63" s="349"/>
      <c r="AS63" s="349"/>
      <c r="AT63" s="349"/>
      <c r="AU63" s="349"/>
      <c r="AV63" s="349"/>
      <c r="AW63" s="349"/>
      <c r="AX63" s="349"/>
      <c r="AY63" s="349"/>
      <c r="AZ63" s="349"/>
      <c r="BA63" s="350"/>
      <c r="BB63" s="15"/>
      <c r="BI63" s="24"/>
    </row>
    <row r="64" spans="1:61" ht="15" hidden="1" customHeight="1">
      <c r="A64" s="125"/>
      <c r="B64" s="126"/>
      <c r="C64" s="126"/>
      <c r="D64" s="126"/>
      <c r="E64" s="125"/>
      <c r="F64" s="126"/>
      <c r="G64" s="126"/>
      <c r="H64" s="15"/>
      <c r="Q64" s="15"/>
      <c r="T64" s="24"/>
      <c r="U64" s="329"/>
      <c r="V64" s="330"/>
      <c r="W64" s="329"/>
      <c r="X64" s="330"/>
      <c r="Y64" s="345" t="s">
        <v>279</v>
      </c>
      <c r="Z64" s="346"/>
      <c r="AA64" s="346"/>
      <c r="AB64" s="346"/>
      <c r="AC64" s="346"/>
      <c r="AD64" s="346"/>
      <c r="AE64" s="346"/>
      <c r="AF64" s="346"/>
      <c r="AG64" s="346"/>
      <c r="AH64" s="346"/>
      <c r="AI64" s="346"/>
      <c r="AJ64" s="346"/>
      <c r="AK64" s="346"/>
      <c r="AL64" s="346"/>
      <c r="AM64" s="346"/>
      <c r="AN64" s="346"/>
      <c r="AO64" s="346"/>
      <c r="AP64" s="346"/>
      <c r="AQ64" s="346"/>
      <c r="AR64" s="346"/>
      <c r="AS64" s="346"/>
      <c r="AT64" s="346"/>
      <c r="AU64" s="346"/>
      <c r="AV64" s="346"/>
      <c r="AW64" s="346"/>
      <c r="AX64" s="346"/>
      <c r="AY64" s="346"/>
      <c r="AZ64" s="346"/>
      <c r="BA64" s="347"/>
      <c r="BB64" s="15"/>
      <c r="BI64" s="24"/>
    </row>
    <row r="65" spans="1:61" ht="15" hidden="1" customHeight="1" thickBot="1">
      <c r="A65" s="125"/>
      <c r="B65" s="126"/>
      <c r="C65" s="126"/>
      <c r="D65" s="126"/>
      <c r="E65" s="125"/>
      <c r="F65" s="126"/>
      <c r="G65" s="126"/>
      <c r="H65" s="17"/>
      <c r="I65" s="25"/>
      <c r="J65" s="25"/>
      <c r="K65" s="25"/>
      <c r="L65" s="25"/>
      <c r="M65" s="25"/>
      <c r="N65" s="25"/>
      <c r="O65" s="25"/>
      <c r="P65" s="25"/>
      <c r="Q65" s="17"/>
      <c r="R65" s="25"/>
      <c r="S65" s="25"/>
      <c r="T65" s="26"/>
      <c r="U65" s="331"/>
      <c r="V65" s="332"/>
      <c r="W65" s="331"/>
      <c r="X65" s="332"/>
      <c r="Y65" s="348"/>
      <c r="Z65" s="349"/>
      <c r="AA65" s="349"/>
      <c r="AB65" s="349"/>
      <c r="AC65" s="349"/>
      <c r="AD65" s="349"/>
      <c r="AE65" s="349"/>
      <c r="AF65" s="349"/>
      <c r="AG65" s="349"/>
      <c r="AH65" s="349"/>
      <c r="AI65" s="349"/>
      <c r="AJ65" s="349"/>
      <c r="AK65" s="349"/>
      <c r="AL65" s="349"/>
      <c r="AM65" s="349"/>
      <c r="AN65" s="349"/>
      <c r="AO65" s="349"/>
      <c r="AP65" s="349"/>
      <c r="AQ65" s="349"/>
      <c r="AR65" s="349"/>
      <c r="AS65" s="349"/>
      <c r="AT65" s="349"/>
      <c r="AU65" s="349"/>
      <c r="AV65" s="349"/>
      <c r="AW65" s="349"/>
      <c r="AX65" s="349"/>
      <c r="AY65" s="349"/>
      <c r="AZ65" s="349"/>
      <c r="BA65" s="350"/>
      <c r="BB65" s="17"/>
      <c r="BC65" s="25"/>
      <c r="BD65" s="25"/>
      <c r="BE65" s="25"/>
      <c r="BF65" s="25"/>
      <c r="BG65" s="25"/>
      <c r="BH65" s="25"/>
      <c r="BI65" s="26"/>
    </row>
    <row r="66" spans="1:61" ht="15" hidden="1" customHeight="1">
      <c r="A66" s="125"/>
      <c r="B66" s="126"/>
      <c r="C66" s="126"/>
      <c r="D66" s="126"/>
      <c r="E66" s="125"/>
      <c r="F66" s="126"/>
      <c r="G66" s="126"/>
      <c r="H66" s="15" t="s">
        <v>282</v>
      </c>
      <c r="Q66" s="60" t="s">
        <v>240</v>
      </c>
      <c r="T66" s="24"/>
      <c r="U66" s="329" t="s">
        <v>241</v>
      </c>
      <c r="V66" s="330"/>
      <c r="W66" s="329" t="s">
        <v>241</v>
      </c>
      <c r="X66" s="330"/>
      <c r="Y66" s="345" t="s">
        <v>242</v>
      </c>
      <c r="Z66" s="346"/>
      <c r="AA66" s="346"/>
      <c r="AB66" s="346"/>
      <c r="AC66" s="346"/>
      <c r="AD66" s="346"/>
      <c r="AE66" s="346"/>
      <c r="AF66" s="346"/>
      <c r="AG66" s="346"/>
      <c r="AH66" s="346"/>
      <c r="AI66" s="346"/>
      <c r="AJ66" s="346"/>
      <c r="AK66" s="346"/>
      <c r="AL66" s="346"/>
      <c r="AM66" s="346"/>
      <c r="AN66" s="346"/>
      <c r="AO66" s="346"/>
      <c r="AP66" s="346"/>
      <c r="AQ66" s="346"/>
      <c r="AR66" s="346"/>
      <c r="AS66" s="346"/>
      <c r="AT66" s="346"/>
      <c r="AU66" s="346"/>
      <c r="AV66" s="346"/>
      <c r="AW66" s="346"/>
      <c r="AX66" s="346"/>
      <c r="AY66" s="346"/>
      <c r="AZ66" s="346"/>
      <c r="BA66" s="347"/>
      <c r="BB66" s="15"/>
      <c r="BI66" s="24"/>
    </row>
    <row r="67" spans="1:61" ht="15" hidden="1" customHeight="1">
      <c r="A67" s="125"/>
      <c r="B67" s="126"/>
      <c r="C67" s="126"/>
      <c r="D67" s="126"/>
      <c r="E67" s="125"/>
      <c r="F67" s="126"/>
      <c r="G67" s="126"/>
      <c r="H67" s="15"/>
      <c r="Q67" s="15"/>
      <c r="T67" s="24"/>
      <c r="U67" s="329"/>
      <c r="V67" s="330"/>
      <c r="W67" s="329"/>
      <c r="X67" s="330"/>
      <c r="Y67" s="348" t="s">
        <v>283</v>
      </c>
      <c r="Z67" s="349"/>
      <c r="AA67" s="349"/>
      <c r="AB67" s="349"/>
      <c r="AC67" s="349"/>
      <c r="AD67" s="349"/>
      <c r="AE67" s="349"/>
      <c r="AF67" s="349"/>
      <c r="AG67" s="349"/>
      <c r="AH67" s="349"/>
      <c r="AI67" s="349"/>
      <c r="AJ67" s="349"/>
      <c r="AK67" s="349"/>
      <c r="AL67" s="349"/>
      <c r="AM67" s="349"/>
      <c r="AN67" s="349"/>
      <c r="AO67" s="349"/>
      <c r="AP67" s="349"/>
      <c r="AQ67" s="349"/>
      <c r="AR67" s="349"/>
      <c r="AS67" s="349"/>
      <c r="AT67" s="349"/>
      <c r="AU67" s="349"/>
      <c r="AV67" s="349"/>
      <c r="AW67" s="349"/>
      <c r="AX67" s="349"/>
      <c r="AY67" s="349"/>
      <c r="AZ67" s="349"/>
      <c r="BA67" s="350"/>
      <c r="BB67" s="15"/>
      <c r="BI67" s="24"/>
    </row>
    <row r="68" spans="1:61" ht="13.5" hidden="1">
      <c r="A68" s="125"/>
      <c r="B68" s="126"/>
      <c r="C68" s="126"/>
      <c r="D68" s="126"/>
      <c r="E68" s="125"/>
      <c r="F68" s="126"/>
      <c r="G68" s="126"/>
      <c r="H68" s="15"/>
      <c r="Q68" s="15"/>
      <c r="T68" s="24"/>
      <c r="U68" s="329"/>
      <c r="V68" s="330"/>
      <c r="W68" s="329"/>
      <c r="X68" s="330"/>
      <c r="Y68" s="345"/>
      <c r="Z68" s="346"/>
      <c r="AA68" s="346"/>
      <c r="AB68" s="346"/>
      <c r="AC68" s="346"/>
      <c r="AD68" s="346"/>
      <c r="AE68" s="346"/>
      <c r="AF68" s="346"/>
      <c r="AG68" s="346"/>
      <c r="AH68" s="346"/>
      <c r="AI68" s="346"/>
      <c r="AJ68" s="346"/>
      <c r="AK68" s="346"/>
      <c r="AL68" s="346"/>
      <c r="AM68" s="346"/>
      <c r="AN68" s="346"/>
      <c r="AO68" s="346"/>
      <c r="AP68" s="346"/>
      <c r="AQ68" s="346"/>
      <c r="AR68" s="346"/>
      <c r="AS68" s="346"/>
      <c r="AT68" s="346"/>
      <c r="AU68" s="346"/>
      <c r="AV68" s="346"/>
      <c r="AW68" s="346"/>
      <c r="AX68" s="346"/>
      <c r="AY68" s="346"/>
      <c r="AZ68" s="346"/>
      <c r="BA68" s="347"/>
      <c r="BB68" s="15"/>
      <c r="BI68" s="24"/>
    </row>
    <row r="69" spans="1:61" ht="15" hidden="1" customHeight="1">
      <c r="A69" s="125"/>
      <c r="B69" s="126"/>
      <c r="C69" s="126"/>
      <c r="D69" s="126"/>
      <c r="E69" s="125"/>
      <c r="F69" s="126"/>
      <c r="G69" s="126"/>
      <c r="H69" s="15"/>
      <c r="Q69" s="15"/>
      <c r="T69" s="24"/>
      <c r="U69" s="329"/>
      <c r="V69" s="330"/>
      <c r="W69" s="329"/>
      <c r="X69" s="330"/>
      <c r="Y69" s="348" t="s">
        <v>246</v>
      </c>
      <c r="Z69" s="349"/>
      <c r="AA69" s="349"/>
      <c r="AB69" s="349"/>
      <c r="AC69" s="349"/>
      <c r="AD69" s="349"/>
      <c r="AE69" s="349"/>
      <c r="AF69" s="349"/>
      <c r="AG69" s="349"/>
      <c r="AH69" s="349"/>
      <c r="AI69" s="349"/>
      <c r="AJ69" s="349"/>
      <c r="AK69" s="349"/>
      <c r="AL69" s="349"/>
      <c r="AM69" s="349"/>
      <c r="AN69" s="349"/>
      <c r="AO69" s="349"/>
      <c r="AP69" s="349"/>
      <c r="AQ69" s="349"/>
      <c r="AR69" s="349"/>
      <c r="AS69" s="349"/>
      <c r="AT69" s="349"/>
      <c r="AU69" s="349"/>
      <c r="AV69" s="349"/>
      <c r="AW69" s="349"/>
      <c r="AX69" s="349"/>
      <c r="AY69" s="349"/>
      <c r="AZ69" s="349"/>
      <c r="BA69" s="350"/>
      <c r="BB69" s="15"/>
      <c r="BI69" s="24"/>
    </row>
    <row r="70" spans="1:61" ht="15" hidden="1" customHeight="1">
      <c r="A70" s="125"/>
      <c r="B70" s="126"/>
      <c r="C70" s="126"/>
      <c r="D70" s="126"/>
      <c r="E70" s="125"/>
      <c r="F70" s="126"/>
      <c r="G70" s="126"/>
      <c r="H70" s="15"/>
      <c r="Q70" s="15"/>
      <c r="T70" s="24"/>
      <c r="U70" s="329"/>
      <c r="V70" s="330"/>
      <c r="W70" s="329"/>
      <c r="X70" s="330"/>
      <c r="Y70" s="345" t="s">
        <v>279</v>
      </c>
      <c r="Z70" s="346"/>
      <c r="AA70" s="346"/>
      <c r="AB70" s="346"/>
      <c r="AC70" s="346"/>
      <c r="AD70" s="346"/>
      <c r="AE70" s="346"/>
      <c r="AF70" s="346"/>
      <c r="AG70" s="346"/>
      <c r="AH70" s="346"/>
      <c r="AI70" s="346"/>
      <c r="AJ70" s="346"/>
      <c r="AK70" s="346"/>
      <c r="AL70" s="346"/>
      <c r="AM70" s="346"/>
      <c r="AN70" s="346"/>
      <c r="AO70" s="346"/>
      <c r="AP70" s="346"/>
      <c r="AQ70" s="346"/>
      <c r="AR70" s="346"/>
      <c r="AS70" s="346"/>
      <c r="AT70" s="346"/>
      <c r="AU70" s="346"/>
      <c r="AV70" s="346"/>
      <c r="AW70" s="346"/>
      <c r="AX70" s="346"/>
      <c r="AY70" s="346"/>
      <c r="AZ70" s="346"/>
      <c r="BA70" s="347"/>
      <c r="BB70" s="15"/>
      <c r="BI70" s="24"/>
    </row>
    <row r="71" spans="1:61" ht="15" hidden="1" customHeight="1" thickBot="1">
      <c r="A71" s="125"/>
      <c r="B71" s="126"/>
      <c r="C71" s="126"/>
      <c r="D71" s="126"/>
      <c r="E71" s="125"/>
      <c r="F71" s="126"/>
      <c r="G71" s="126"/>
      <c r="H71" s="17"/>
      <c r="I71" s="25"/>
      <c r="J71" s="25"/>
      <c r="K71" s="25"/>
      <c r="L71" s="25"/>
      <c r="M71" s="25"/>
      <c r="N71" s="25"/>
      <c r="O71" s="25"/>
      <c r="P71" s="25"/>
      <c r="Q71" s="17"/>
      <c r="R71" s="25"/>
      <c r="S71" s="25"/>
      <c r="T71" s="26"/>
      <c r="U71" s="331"/>
      <c r="V71" s="332"/>
      <c r="W71" s="331"/>
      <c r="X71" s="332"/>
      <c r="Y71" s="348"/>
      <c r="Z71" s="349"/>
      <c r="AA71" s="349"/>
      <c r="AB71" s="349"/>
      <c r="AC71" s="349"/>
      <c r="AD71" s="349"/>
      <c r="AE71" s="349"/>
      <c r="AF71" s="349"/>
      <c r="AG71" s="349"/>
      <c r="AH71" s="349"/>
      <c r="AI71" s="349"/>
      <c r="AJ71" s="349"/>
      <c r="AK71" s="349"/>
      <c r="AL71" s="349"/>
      <c r="AM71" s="349"/>
      <c r="AN71" s="349"/>
      <c r="AO71" s="349"/>
      <c r="AP71" s="349"/>
      <c r="AQ71" s="349"/>
      <c r="AR71" s="349"/>
      <c r="AS71" s="349"/>
      <c r="AT71" s="349"/>
      <c r="AU71" s="349"/>
      <c r="AV71" s="349"/>
      <c r="AW71" s="349"/>
      <c r="AX71" s="349"/>
      <c r="AY71" s="349"/>
      <c r="AZ71" s="349"/>
      <c r="BA71" s="350"/>
      <c r="BB71" s="17"/>
      <c r="BC71" s="25"/>
      <c r="BD71" s="25"/>
      <c r="BE71" s="25"/>
      <c r="BF71" s="25"/>
      <c r="BG71" s="25"/>
      <c r="BH71" s="25"/>
      <c r="BI71" s="26"/>
    </row>
    <row r="72" spans="1:61" ht="15" hidden="1" customHeight="1">
      <c r="A72" s="125"/>
      <c r="B72" s="126"/>
      <c r="C72" s="126"/>
      <c r="D72" s="126"/>
      <c r="E72" s="125"/>
      <c r="F72" s="126"/>
      <c r="G72" s="126"/>
      <c r="H72" s="15" t="s">
        <v>284</v>
      </c>
      <c r="Q72" s="60" t="s">
        <v>240</v>
      </c>
      <c r="T72" s="24"/>
      <c r="U72" s="329" t="s">
        <v>241</v>
      </c>
      <c r="V72" s="330"/>
      <c r="W72" s="329" t="s">
        <v>241</v>
      </c>
      <c r="X72" s="330"/>
      <c r="Y72" s="345" t="s">
        <v>242</v>
      </c>
      <c r="Z72" s="346"/>
      <c r="AA72" s="346"/>
      <c r="AB72" s="346"/>
      <c r="AC72" s="346"/>
      <c r="AD72" s="346"/>
      <c r="AE72" s="346"/>
      <c r="AF72" s="346"/>
      <c r="AG72" s="346"/>
      <c r="AH72" s="346"/>
      <c r="AI72" s="346"/>
      <c r="AJ72" s="346"/>
      <c r="AK72" s="346"/>
      <c r="AL72" s="346"/>
      <c r="AM72" s="346"/>
      <c r="AN72" s="346"/>
      <c r="AO72" s="346"/>
      <c r="AP72" s="346"/>
      <c r="AQ72" s="346"/>
      <c r="AR72" s="346"/>
      <c r="AS72" s="346"/>
      <c r="AT72" s="346"/>
      <c r="AU72" s="346"/>
      <c r="AV72" s="346"/>
      <c r="AW72" s="346"/>
      <c r="AX72" s="346"/>
      <c r="AY72" s="346"/>
      <c r="AZ72" s="346"/>
      <c r="BA72" s="347"/>
      <c r="BB72" s="15"/>
      <c r="BI72" s="24"/>
    </row>
    <row r="73" spans="1:61" ht="15" hidden="1" customHeight="1">
      <c r="A73" s="125"/>
      <c r="B73" s="126"/>
      <c r="C73" s="126"/>
      <c r="D73" s="126"/>
      <c r="E73" s="125"/>
      <c r="F73" s="126"/>
      <c r="G73" s="126"/>
      <c r="H73" s="15"/>
      <c r="Q73" s="15"/>
      <c r="T73" s="24"/>
      <c r="U73" s="329"/>
      <c r="V73" s="330"/>
      <c r="W73" s="329"/>
      <c r="X73" s="330"/>
      <c r="Y73" s="348" t="s">
        <v>285</v>
      </c>
      <c r="Z73" s="349"/>
      <c r="AA73" s="349"/>
      <c r="AB73" s="349"/>
      <c r="AC73" s="349"/>
      <c r="AD73" s="349"/>
      <c r="AE73" s="349"/>
      <c r="AF73" s="349"/>
      <c r="AG73" s="349"/>
      <c r="AH73" s="349"/>
      <c r="AI73" s="349"/>
      <c r="AJ73" s="349"/>
      <c r="AK73" s="349"/>
      <c r="AL73" s="349"/>
      <c r="AM73" s="349"/>
      <c r="AN73" s="349"/>
      <c r="AO73" s="349"/>
      <c r="AP73" s="349"/>
      <c r="AQ73" s="349"/>
      <c r="AR73" s="349"/>
      <c r="AS73" s="349"/>
      <c r="AT73" s="349"/>
      <c r="AU73" s="349"/>
      <c r="AV73" s="349"/>
      <c r="AW73" s="349"/>
      <c r="AX73" s="349"/>
      <c r="AY73" s="349"/>
      <c r="AZ73" s="349"/>
      <c r="BA73" s="350"/>
      <c r="BB73" s="15"/>
      <c r="BI73" s="24"/>
    </row>
    <row r="74" spans="1:61" ht="13.5" hidden="1">
      <c r="A74" s="125"/>
      <c r="B74" s="126"/>
      <c r="C74" s="126"/>
      <c r="D74" s="126"/>
      <c r="E74" s="125"/>
      <c r="F74" s="126"/>
      <c r="G74" s="126"/>
      <c r="H74" s="15"/>
      <c r="Q74" s="15"/>
      <c r="T74" s="24"/>
      <c r="U74" s="329"/>
      <c r="V74" s="330"/>
      <c r="W74" s="329"/>
      <c r="X74" s="330"/>
      <c r="Y74" s="345"/>
      <c r="Z74" s="346"/>
      <c r="AA74" s="346"/>
      <c r="AB74" s="346"/>
      <c r="AC74" s="346"/>
      <c r="AD74" s="346"/>
      <c r="AE74" s="346"/>
      <c r="AF74" s="346"/>
      <c r="AG74" s="346"/>
      <c r="AH74" s="346"/>
      <c r="AI74" s="346"/>
      <c r="AJ74" s="346"/>
      <c r="AK74" s="346"/>
      <c r="AL74" s="346"/>
      <c r="AM74" s="346"/>
      <c r="AN74" s="346"/>
      <c r="AO74" s="346"/>
      <c r="AP74" s="346"/>
      <c r="AQ74" s="346"/>
      <c r="AR74" s="346"/>
      <c r="AS74" s="346"/>
      <c r="AT74" s="346"/>
      <c r="AU74" s="346"/>
      <c r="AV74" s="346"/>
      <c r="AW74" s="346"/>
      <c r="AX74" s="346"/>
      <c r="AY74" s="346"/>
      <c r="AZ74" s="346"/>
      <c r="BA74" s="347"/>
      <c r="BB74" s="15"/>
      <c r="BI74" s="24"/>
    </row>
    <row r="75" spans="1:61" ht="15" hidden="1" customHeight="1">
      <c r="A75" s="125"/>
      <c r="B75" s="126"/>
      <c r="C75" s="126"/>
      <c r="D75" s="126"/>
      <c r="E75" s="125"/>
      <c r="F75" s="126"/>
      <c r="G75" s="126"/>
      <c r="H75" s="15"/>
      <c r="Q75" s="15"/>
      <c r="T75" s="24"/>
      <c r="U75" s="329"/>
      <c r="V75" s="330"/>
      <c r="W75" s="329"/>
      <c r="X75" s="330"/>
      <c r="Y75" s="348" t="s">
        <v>246</v>
      </c>
      <c r="Z75" s="349"/>
      <c r="AA75" s="349"/>
      <c r="AB75" s="349"/>
      <c r="AC75" s="349"/>
      <c r="AD75" s="349"/>
      <c r="AE75" s="349"/>
      <c r="AF75" s="349"/>
      <c r="AG75" s="349"/>
      <c r="AH75" s="349"/>
      <c r="AI75" s="349"/>
      <c r="AJ75" s="349"/>
      <c r="AK75" s="349"/>
      <c r="AL75" s="349"/>
      <c r="AM75" s="349"/>
      <c r="AN75" s="349"/>
      <c r="AO75" s="349"/>
      <c r="AP75" s="349"/>
      <c r="AQ75" s="349"/>
      <c r="AR75" s="349"/>
      <c r="AS75" s="349"/>
      <c r="AT75" s="349"/>
      <c r="AU75" s="349"/>
      <c r="AV75" s="349"/>
      <c r="AW75" s="349"/>
      <c r="AX75" s="349"/>
      <c r="AY75" s="349"/>
      <c r="AZ75" s="349"/>
      <c r="BA75" s="350"/>
      <c r="BB75" s="15"/>
      <c r="BI75" s="24"/>
    </row>
    <row r="76" spans="1:61" ht="15" hidden="1" customHeight="1">
      <c r="A76" s="125"/>
      <c r="B76" s="126"/>
      <c r="C76" s="126"/>
      <c r="D76" s="126"/>
      <c r="E76" s="125"/>
      <c r="F76" s="126"/>
      <c r="G76" s="126"/>
      <c r="H76" s="15"/>
      <c r="Q76" s="15"/>
      <c r="T76" s="24"/>
      <c r="U76" s="329"/>
      <c r="V76" s="330"/>
      <c r="W76" s="329"/>
      <c r="X76" s="330"/>
      <c r="Y76" s="345" t="s">
        <v>279</v>
      </c>
      <c r="Z76" s="346"/>
      <c r="AA76" s="346"/>
      <c r="AB76" s="346"/>
      <c r="AC76" s="346"/>
      <c r="AD76" s="346"/>
      <c r="AE76" s="346"/>
      <c r="AF76" s="346"/>
      <c r="AG76" s="346"/>
      <c r="AH76" s="346"/>
      <c r="AI76" s="346"/>
      <c r="AJ76" s="346"/>
      <c r="AK76" s="346"/>
      <c r="AL76" s="346"/>
      <c r="AM76" s="346"/>
      <c r="AN76" s="346"/>
      <c r="AO76" s="346"/>
      <c r="AP76" s="346"/>
      <c r="AQ76" s="346"/>
      <c r="AR76" s="346"/>
      <c r="AS76" s="346"/>
      <c r="AT76" s="346"/>
      <c r="AU76" s="346"/>
      <c r="AV76" s="346"/>
      <c r="AW76" s="346"/>
      <c r="AX76" s="346"/>
      <c r="AY76" s="346"/>
      <c r="AZ76" s="346"/>
      <c r="BA76" s="347"/>
      <c r="BB76" s="15"/>
      <c r="BI76" s="24"/>
    </row>
    <row r="77" spans="1:61" ht="15" customHeight="1" thickBot="1">
      <c r="A77" s="131"/>
      <c r="B77" s="132"/>
      <c r="C77" s="132"/>
      <c r="D77" s="132"/>
      <c r="E77" s="131"/>
      <c r="F77" s="132"/>
      <c r="G77" s="132"/>
      <c r="H77" s="348"/>
      <c r="I77" s="349"/>
      <c r="J77" s="349"/>
      <c r="K77" s="349"/>
      <c r="L77" s="349"/>
      <c r="M77" s="349"/>
      <c r="N77" s="349"/>
      <c r="O77" s="349"/>
      <c r="P77" s="350"/>
      <c r="Q77" s="348"/>
      <c r="R77" s="349"/>
      <c r="S77" s="349"/>
      <c r="T77" s="350"/>
      <c r="U77" s="331"/>
      <c r="V77" s="332"/>
      <c r="W77" s="331"/>
      <c r="X77" s="332"/>
      <c r="Y77" s="348"/>
      <c r="Z77" s="349"/>
      <c r="AA77" s="349"/>
      <c r="AB77" s="349"/>
      <c r="AC77" s="349"/>
      <c r="AD77" s="349"/>
      <c r="AE77" s="349"/>
      <c r="AF77" s="349"/>
      <c r="AG77" s="349"/>
      <c r="AH77" s="349"/>
      <c r="AI77" s="349"/>
      <c r="AJ77" s="349"/>
      <c r="AK77" s="349"/>
      <c r="AL77" s="349"/>
      <c r="AM77" s="349"/>
      <c r="AN77" s="349"/>
      <c r="AO77" s="349"/>
      <c r="AP77" s="349"/>
      <c r="AQ77" s="349"/>
      <c r="AR77" s="349"/>
      <c r="AS77" s="349"/>
      <c r="AT77" s="349"/>
      <c r="AU77" s="349"/>
      <c r="AV77" s="349"/>
      <c r="AW77" s="349"/>
      <c r="AX77" s="349"/>
      <c r="AY77" s="349"/>
      <c r="AZ77" s="349"/>
      <c r="BA77" s="350"/>
      <c r="BB77" s="17"/>
      <c r="BC77" s="25"/>
      <c r="BD77" s="25"/>
      <c r="BE77" s="25"/>
      <c r="BF77" s="25"/>
      <c r="BG77" s="25"/>
      <c r="BH77" s="25"/>
      <c r="BI77" s="26"/>
    </row>
  </sheetData>
  <mergeCells count="307">
    <mergeCell ref="Y71:BA71"/>
    <mergeCell ref="Y72:BA72"/>
    <mergeCell ref="Y73:BA73"/>
    <mergeCell ref="Y74:BA74"/>
    <mergeCell ref="Y75:BA75"/>
    <mergeCell ref="Y76:BA76"/>
    <mergeCell ref="H77:P77"/>
    <mergeCell ref="Q77:T77"/>
    <mergeCell ref="Y77:BA77"/>
    <mergeCell ref="U77:V77"/>
    <mergeCell ref="W77:X77"/>
    <mergeCell ref="U74:V74"/>
    <mergeCell ref="W74:X74"/>
    <mergeCell ref="U75:V75"/>
    <mergeCell ref="W75:X75"/>
    <mergeCell ref="U76:V76"/>
    <mergeCell ref="W76:X76"/>
    <mergeCell ref="U72:V72"/>
    <mergeCell ref="W72:X72"/>
    <mergeCell ref="U73:V73"/>
    <mergeCell ref="W73:X73"/>
    <mergeCell ref="Y62:BA62"/>
    <mergeCell ref="Y63:BA63"/>
    <mergeCell ref="Y64:BA64"/>
    <mergeCell ref="Y65:BA65"/>
    <mergeCell ref="Y66:BA66"/>
    <mergeCell ref="Y67:BA67"/>
    <mergeCell ref="Y68:BA68"/>
    <mergeCell ref="Y69:BA69"/>
    <mergeCell ref="Y70:BA70"/>
    <mergeCell ref="Y53:BA53"/>
    <mergeCell ref="Y54:BA54"/>
    <mergeCell ref="Y55:BA55"/>
    <mergeCell ref="Y56:BA56"/>
    <mergeCell ref="Y57:BA57"/>
    <mergeCell ref="Y58:BA58"/>
    <mergeCell ref="Y59:BA59"/>
    <mergeCell ref="Y60:BA60"/>
    <mergeCell ref="Y61:BA61"/>
    <mergeCell ref="H50:P50"/>
    <mergeCell ref="Q50:T50"/>
    <mergeCell ref="Y50:BA50"/>
    <mergeCell ref="H51:P51"/>
    <mergeCell ref="Q51:T51"/>
    <mergeCell ref="Y51:BA51"/>
    <mergeCell ref="H52:P52"/>
    <mergeCell ref="Q52:T52"/>
    <mergeCell ref="Y52:BA52"/>
    <mergeCell ref="U52:V52"/>
    <mergeCell ref="W52:X52"/>
    <mergeCell ref="H46:P46"/>
    <mergeCell ref="Q46:T46"/>
    <mergeCell ref="U46:V46"/>
    <mergeCell ref="W46:X46"/>
    <mergeCell ref="Y46:BA46"/>
    <mergeCell ref="H48:P48"/>
    <mergeCell ref="Q48:T48"/>
    <mergeCell ref="Y48:BA48"/>
    <mergeCell ref="H49:P49"/>
    <mergeCell ref="Q49:T49"/>
    <mergeCell ref="Y49:BA49"/>
    <mergeCell ref="H44:P44"/>
    <mergeCell ref="Q44:T44"/>
    <mergeCell ref="U44:V44"/>
    <mergeCell ref="W44:X44"/>
    <mergeCell ref="Y44:BA44"/>
    <mergeCell ref="H45:P45"/>
    <mergeCell ref="Q45:T45"/>
    <mergeCell ref="U45:V45"/>
    <mergeCell ref="W45:X45"/>
    <mergeCell ref="Y45:BA45"/>
    <mergeCell ref="H42:P42"/>
    <mergeCell ref="Q42:T42"/>
    <mergeCell ref="U42:V42"/>
    <mergeCell ref="W42:X42"/>
    <mergeCell ref="Y42:BA42"/>
    <mergeCell ref="H43:P43"/>
    <mergeCell ref="Q43:T43"/>
    <mergeCell ref="U43:V43"/>
    <mergeCell ref="W43:X43"/>
    <mergeCell ref="Y43:BA43"/>
    <mergeCell ref="H40:P40"/>
    <mergeCell ref="Q40:T40"/>
    <mergeCell ref="U40:V40"/>
    <mergeCell ref="W40:X40"/>
    <mergeCell ref="Y40:BA40"/>
    <mergeCell ref="H41:P41"/>
    <mergeCell ref="Q41:T41"/>
    <mergeCell ref="U41:V41"/>
    <mergeCell ref="W41:X41"/>
    <mergeCell ref="Y41:BA41"/>
    <mergeCell ref="H38:P38"/>
    <mergeCell ref="Q38:T38"/>
    <mergeCell ref="U38:V38"/>
    <mergeCell ref="W38:X38"/>
    <mergeCell ref="Y38:BA38"/>
    <mergeCell ref="H39:P39"/>
    <mergeCell ref="Q39:T39"/>
    <mergeCell ref="U39:V39"/>
    <mergeCell ref="W39:X39"/>
    <mergeCell ref="Y39:BA39"/>
    <mergeCell ref="H36:P36"/>
    <mergeCell ref="Q36:T36"/>
    <mergeCell ref="U36:V36"/>
    <mergeCell ref="W36:X36"/>
    <mergeCell ref="Y36:BA36"/>
    <mergeCell ref="H37:P37"/>
    <mergeCell ref="Q37:T37"/>
    <mergeCell ref="U37:V37"/>
    <mergeCell ref="W37:X37"/>
    <mergeCell ref="Y37:BA37"/>
    <mergeCell ref="H34:P34"/>
    <mergeCell ref="Q34:T34"/>
    <mergeCell ref="U34:V34"/>
    <mergeCell ref="W34:X34"/>
    <mergeCell ref="Y34:BA34"/>
    <mergeCell ref="H35:P35"/>
    <mergeCell ref="Q35:T35"/>
    <mergeCell ref="U35:V35"/>
    <mergeCell ref="W35:X35"/>
    <mergeCell ref="Y35:BA35"/>
    <mergeCell ref="H32:P32"/>
    <mergeCell ref="Q32:T32"/>
    <mergeCell ref="U32:V32"/>
    <mergeCell ref="W32:X32"/>
    <mergeCell ref="Y32:BA32"/>
    <mergeCell ref="H33:P33"/>
    <mergeCell ref="Q33:T33"/>
    <mergeCell ref="U33:V33"/>
    <mergeCell ref="W33:X33"/>
    <mergeCell ref="Y33:BA33"/>
    <mergeCell ref="H30:P30"/>
    <mergeCell ref="Q30:T30"/>
    <mergeCell ref="U30:V30"/>
    <mergeCell ref="W30:X30"/>
    <mergeCell ref="Y30:BA30"/>
    <mergeCell ref="H31:P31"/>
    <mergeCell ref="Q31:T31"/>
    <mergeCell ref="U31:V31"/>
    <mergeCell ref="W31:X31"/>
    <mergeCell ref="Y31:BA31"/>
    <mergeCell ref="H28:P28"/>
    <mergeCell ref="Q28:T28"/>
    <mergeCell ref="U28:V28"/>
    <mergeCell ref="W28:X28"/>
    <mergeCell ref="Y28:BA28"/>
    <mergeCell ref="H29:P29"/>
    <mergeCell ref="Q29:T29"/>
    <mergeCell ref="U29:V29"/>
    <mergeCell ref="W29:X29"/>
    <mergeCell ref="Y29:BA29"/>
    <mergeCell ref="H26:P26"/>
    <mergeCell ref="Q26:T26"/>
    <mergeCell ref="U26:V26"/>
    <mergeCell ref="W26:X26"/>
    <mergeCell ref="Y26:BA26"/>
    <mergeCell ref="H27:P27"/>
    <mergeCell ref="Q27:T27"/>
    <mergeCell ref="U27:V27"/>
    <mergeCell ref="W27:X27"/>
    <mergeCell ref="Y27:BA27"/>
    <mergeCell ref="H23:P23"/>
    <mergeCell ref="Q23:T23"/>
    <mergeCell ref="Y23:BA23"/>
    <mergeCell ref="H24:P24"/>
    <mergeCell ref="Q24:T24"/>
    <mergeCell ref="Y24:BA24"/>
    <mergeCell ref="H25:P25"/>
    <mergeCell ref="Q25:T25"/>
    <mergeCell ref="U25:V25"/>
    <mergeCell ref="W25:X25"/>
    <mergeCell ref="Y25:BA25"/>
    <mergeCell ref="H20:P20"/>
    <mergeCell ref="Q20:T20"/>
    <mergeCell ref="U20:V20"/>
    <mergeCell ref="W20:X20"/>
    <mergeCell ref="Y20:BA20"/>
    <mergeCell ref="H21:P21"/>
    <mergeCell ref="Q21:T21"/>
    <mergeCell ref="Y21:BA21"/>
    <mergeCell ref="H22:P22"/>
    <mergeCell ref="Q22:T22"/>
    <mergeCell ref="Y22:BA22"/>
    <mergeCell ref="H18:P18"/>
    <mergeCell ref="Q18:T18"/>
    <mergeCell ref="U18:V18"/>
    <mergeCell ref="W18:X18"/>
    <mergeCell ref="Y18:BA18"/>
    <mergeCell ref="H19:P19"/>
    <mergeCell ref="Q19:T19"/>
    <mergeCell ref="U19:V19"/>
    <mergeCell ref="W19:X19"/>
    <mergeCell ref="Y19:BA19"/>
    <mergeCell ref="H16:P16"/>
    <mergeCell ref="Q16:T16"/>
    <mergeCell ref="U16:V16"/>
    <mergeCell ref="W16:X16"/>
    <mergeCell ref="Y16:BA16"/>
    <mergeCell ref="H17:P17"/>
    <mergeCell ref="Q17:T17"/>
    <mergeCell ref="U17:V17"/>
    <mergeCell ref="W17:X17"/>
    <mergeCell ref="Y17:BA17"/>
    <mergeCell ref="H14:P14"/>
    <mergeCell ref="Q14:T14"/>
    <mergeCell ref="U14:V14"/>
    <mergeCell ref="W14:X14"/>
    <mergeCell ref="Y14:BA14"/>
    <mergeCell ref="H15:P15"/>
    <mergeCell ref="Q15:T15"/>
    <mergeCell ref="U15:V15"/>
    <mergeCell ref="W15:X15"/>
    <mergeCell ref="Y15:BA15"/>
    <mergeCell ref="H12:P12"/>
    <mergeCell ref="Q12:T12"/>
    <mergeCell ref="U12:V12"/>
    <mergeCell ref="W12:X12"/>
    <mergeCell ref="Y12:BA12"/>
    <mergeCell ref="H13:P13"/>
    <mergeCell ref="Q13:T13"/>
    <mergeCell ref="U13:V13"/>
    <mergeCell ref="W13:X13"/>
    <mergeCell ref="Y13:BA13"/>
    <mergeCell ref="U65:V65"/>
    <mergeCell ref="W65:X65"/>
    <mergeCell ref="U66:V66"/>
    <mergeCell ref="W66:X66"/>
    <mergeCell ref="W57:X57"/>
    <mergeCell ref="U58:V58"/>
    <mergeCell ref="W58:X58"/>
    <mergeCell ref="U62:V62"/>
    <mergeCell ref="W62:X62"/>
    <mergeCell ref="U63:V63"/>
    <mergeCell ref="W63:X63"/>
    <mergeCell ref="U64:V64"/>
    <mergeCell ref="W64:X64"/>
    <mergeCell ref="U60:V60"/>
    <mergeCell ref="W60:X60"/>
    <mergeCell ref="U61:V61"/>
    <mergeCell ref="W61:X61"/>
    <mergeCell ref="U59:V59"/>
    <mergeCell ref="W59:X59"/>
    <mergeCell ref="U53:V53"/>
    <mergeCell ref="W53:X53"/>
    <mergeCell ref="U54:V54"/>
    <mergeCell ref="W54:X54"/>
    <mergeCell ref="U56:V56"/>
    <mergeCell ref="W56:X56"/>
    <mergeCell ref="U57:V57"/>
    <mergeCell ref="U47:V47"/>
    <mergeCell ref="W47:X47"/>
    <mergeCell ref="U48:V48"/>
    <mergeCell ref="W48:X48"/>
    <mergeCell ref="U49:V49"/>
    <mergeCell ref="W49:X49"/>
    <mergeCell ref="U50:V50"/>
    <mergeCell ref="W50:X50"/>
    <mergeCell ref="U51:V51"/>
    <mergeCell ref="W51:X51"/>
    <mergeCell ref="U55:V55"/>
    <mergeCell ref="W55:X55"/>
    <mergeCell ref="F1:P1"/>
    <mergeCell ref="Q1:V1"/>
    <mergeCell ref="W1:AD1"/>
    <mergeCell ref="Q5:T5"/>
    <mergeCell ref="U5:V5"/>
    <mergeCell ref="A4:H4"/>
    <mergeCell ref="H5:P5"/>
    <mergeCell ref="A1:E3"/>
    <mergeCell ref="A5:G5"/>
    <mergeCell ref="F2:P3"/>
    <mergeCell ref="Q2:V3"/>
    <mergeCell ref="W2:AD3"/>
    <mergeCell ref="W10:X10"/>
    <mergeCell ref="AT1:BA1"/>
    <mergeCell ref="W8:X8"/>
    <mergeCell ref="U6:V6"/>
    <mergeCell ref="U7:V7"/>
    <mergeCell ref="U9:V9"/>
    <mergeCell ref="U10:V10"/>
    <mergeCell ref="U8:V8"/>
    <mergeCell ref="U11:V11"/>
    <mergeCell ref="W11:X11"/>
    <mergeCell ref="BB1:BI1"/>
    <mergeCell ref="W5:X5"/>
    <mergeCell ref="W6:X6"/>
    <mergeCell ref="W7:X7"/>
    <mergeCell ref="AT2:AU2"/>
    <mergeCell ref="AV2:BA2"/>
    <mergeCell ref="BB2:BI2"/>
    <mergeCell ref="AT3:AU3"/>
    <mergeCell ref="AV3:BA3"/>
    <mergeCell ref="BB3:BI3"/>
    <mergeCell ref="BB5:BI5"/>
    <mergeCell ref="AE1:AS1"/>
    <mergeCell ref="AE2:AS3"/>
    <mergeCell ref="Y5:BA5"/>
    <mergeCell ref="U70:V70"/>
    <mergeCell ref="W70:X70"/>
    <mergeCell ref="U71:V71"/>
    <mergeCell ref="W71:X71"/>
    <mergeCell ref="U68:V68"/>
    <mergeCell ref="W68:X68"/>
    <mergeCell ref="U69:V69"/>
    <mergeCell ref="W69:X69"/>
    <mergeCell ref="U67:V67"/>
    <mergeCell ref="W67:X67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3027-FFBC-4C26-AF1D-DF643FC44B51}">
  <sheetPr codeName="Sheet9"/>
  <dimension ref="A1:CC67"/>
  <sheetViews>
    <sheetView showGridLines="0" zoomScale="115" zoomScaleNormal="115" workbookViewId="0">
      <pane ySplit="8" topLeftCell="A9" activePane="bottomLeft" state="frozen"/>
      <selection pane="bottomLeft" activeCell="A9" sqref="A9:B9"/>
      <selection activeCell="A6" sqref="A6"/>
    </sheetView>
  </sheetViews>
  <sheetFormatPr defaultColWidth="2.5" defaultRowHeight="15" customHeight="1"/>
  <cols>
    <col min="1" max="49" width="2.5" style="74"/>
    <col min="50" max="50" width="2.5" style="78"/>
    <col min="51" max="51" width="3.25" style="78" bestFit="1" customWidth="1"/>
    <col min="52" max="79" width="2.5" style="74"/>
    <col min="80" max="80" width="3.125" style="75" bestFit="1" customWidth="1"/>
    <col min="81" max="81" width="2.5" style="75"/>
    <col min="82" max="16384" width="2.5" style="74"/>
  </cols>
  <sheetData>
    <row r="1" spans="1:81" s="1" customFormat="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81" s="1" customFormat="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81" s="1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81" s="78" customFormat="1" ht="15" customHeight="1" thickBot="1">
      <c r="CB4" s="79"/>
      <c r="CC4" s="79"/>
    </row>
    <row r="5" spans="1:81" s="78" customFormat="1" ht="15" customHeight="1">
      <c r="A5" s="416" t="s">
        <v>286</v>
      </c>
      <c r="B5" s="417"/>
      <c r="C5" s="417"/>
      <c r="D5" s="417"/>
      <c r="E5" s="417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418"/>
      <c r="Q5" s="419" t="s">
        <v>287</v>
      </c>
      <c r="R5" s="420"/>
      <c r="S5" s="420"/>
      <c r="T5" s="420"/>
      <c r="U5" s="420"/>
      <c r="V5" s="420"/>
      <c r="W5" s="420"/>
      <c r="X5" s="420"/>
      <c r="Y5" s="420"/>
      <c r="Z5" s="420"/>
      <c r="AA5" s="420"/>
      <c r="AB5" s="420"/>
      <c r="AC5" s="420"/>
      <c r="AD5" s="420"/>
      <c r="AE5" s="420"/>
      <c r="AF5" s="420"/>
      <c r="AG5" s="420"/>
      <c r="AH5" s="420"/>
      <c r="AI5" s="420"/>
      <c r="AJ5" s="420"/>
      <c r="AK5" s="420"/>
      <c r="AL5" s="420"/>
      <c r="AM5" s="420"/>
      <c r="AN5" s="420"/>
      <c r="AO5" s="420"/>
      <c r="AP5" s="420"/>
      <c r="AQ5" s="420"/>
      <c r="AR5" s="420"/>
      <c r="AS5" s="421"/>
      <c r="AX5" s="79"/>
      <c r="AY5" s="79"/>
    </row>
    <row r="6" spans="1:81" s="78" customFormat="1" ht="15" customHeight="1" thickBot="1">
      <c r="A6" s="410" t="s">
        <v>288</v>
      </c>
      <c r="B6" s="411"/>
      <c r="C6" s="411"/>
      <c r="D6" s="411"/>
      <c r="E6" s="411"/>
      <c r="F6" s="411"/>
      <c r="G6" s="411"/>
      <c r="H6" s="411"/>
      <c r="I6" s="411"/>
      <c r="J6" s="411"/>
      <c r="K6" s="411"/>
      <c r="L6" s="411"/>
      <c r="M6" s="411"/>
      <c r="N6" s="411"/>
      <c r="O6" s="411"/>
      <c r="P6" s="412"/>
      <c r="Q6" s="413" t="s">
        <v>289</v>
      </c>
      <c r="R6" s="414"/>
      <c r="S6" s="414"/>
      <c r="T6" s="414"/>
      <c r="U6" s="414"/>
      <c r="V6" s="414"/>
      <c r="W6" s="414"/>
      <c r="X6" s="414"/>
      <c r="Y6" s="414"/>
      <c r="Z6" s="414"/>
      <c r="AA6" s="414"/>
      <c r="AB6" s="414"/>
      <c r="AC6" s="414"/>
      <c r="AD6" s="414"/>
      <c r="AE6" s="414"/>
      <c r="AF6" s="414"/>
      <c r="AG6" s="414"/>
      <c r="AH6" s="414"/>
      <c r="AI6" s="414"/>
      <c r="AJ6" s="414"/>
      <c r="AK6" s="414"/>
      <c r="AL6" s="414"/>
      <c r="AM6" s="414"/>
      <c r="AN6" s="414"/>
      <c r="AO6" s="414"/>
      <c r="AP6" s="414"/>
      <c r="AQ6" s="414"/>
      <c r="AR6" s="414"/>
      <c r="AS6" s="415"/>
      <c r="AT6" s="81"/>
      <c r="AU6" s="80"/>
      <c r="AV6" s="80"/>
      <c r="AW6" s="80"/>
      <c r="AX6" s="79"/>
      <c r="AY6" s="79"/>
    </row>
    <row r="7" spans="1:81" s="78" customFormat="1" ht="15" customHeight="1" thickBot="1">
      <c r="A7" s="402" t="s">
        <v>290</v>
      </c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4"/>
      <c r="Q7" s="405" t="s">
        <v>291</v>
      </c>
      <c r="R7" s="406"/>
      <c r="S7" s="406"/>
      <c r="T7" s="406"/>
      <c r="U7" s="406"/>
      <c r="V7" s="406"/>
      <c r="W7" s="406"/>
      <c r="X7" s="406"/>
      <c r="Y7" s="406"/>
      <c r="Z7" s="406"/>
      <c r="AA7" s="406"/>
      <c r="AB7" s="406"/>
      <c r="AC7" s="406"/>
      <c r="AD7" s="406"/>
      <c r="AE7" s="406"/>
      <c r="AF7" s="406"/>
      <c r="AG7" s="406"/>
      <c r="AH7" s="406"/>
      <c r="AI7" s="406"/>
      <c r="AJ7" s="406"/>
      <c r="AK7" s="406"/>
      <c r="AL7" s="406"/>
      <c r="AM7" s="406"/>
      <c r="AN7" s="406"/>
      <c r="AO7" s="406"/>
      <c r="AP7" s="406"/>
      <c r="AQ7" s="406"/>
      <c r="AR7" s="406"/>
      <c r="AS7" s="407"/>
      <c r="AT7" s="408" t="s">
        <v>292</v>
      </c>
      <c r="AU7" s="408"/>
      <c r="AV7" s="408"/>
      <c r="AW7" s="408"/>
      <c r="AX7" s="408"/>
      <c r="AY7" s="408"/>
      <c r="AZ7" s="408"/>
      <c r="BA7" s="408"/>
      <c r="BB7" s="408"/>
      <c r="BC7" s="408"/>
      <c r="BD7" s="408"/>
      <c r="BE7" s="408"/>
      <c r="BF7" s="408"/>
      <c r="BG7" s="408"/>
      <c r="BH7" s="408"/>
      <c r="BI7" s="409"/>
    </row>
    <row r="8" spans="1:81" s="76" customFormat="1" ht="15" customHeight="1" thickBot="1">
      <c r="A8" s="397" t="s">
        <v>62</v>
      </c>
      <c r="B8" s="398"/>
      <c r="C8" s="399" t="s">
        <v>293</v>
      </c>
      <c r="D8" s="400"/>
      <c r="E8" s="400"/>
      <c r="F8" s="400"/>
      <c r="G8" s="400"/>
      <c r="H8" s="400"/>
      <c r="I8" s="400"/>
      <c r="J8" s="400"/>
      <c r="K8" s="400"/>
      <c r="L8" s="400"/>
      <c r="M8" s="400"/>
      <c r="N8" s="400"/>
      <c r="O8" s="400"/>
      <c r="P8" s="401"/>
      <c r="Q8" s="399" t="s">
        <v>294</v>
      </c>
      <c r="R8" s="400"/>
      <c r="S8" s="400"/>
      <c r="T8" s="400"/>
      <c r="U8" s="400"/>
      <c r="V8" s="400"/>
      <c r="W8" s="400"/>
      <c r="X8" s="400"/>
      <c r="Y8" s="400"/>
      <c r="Z8" s="400"/>
      <c r="AA8" s="400"/>
      <c r="AB8" s="400"/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/>
      <c r="AP8" s="400"/>
      <c r="AQ8" s="400"/>
      <c r="AR8" s="400"/>
      <c r="AS8" s="401"/>
      <c r="AT8" s="399" t="s">
        <v>295</v>
      </c>
      <c r="AU8" s="400"/>
      <c r="AV8" s="400"/>
      <c r="AW8" s="401"/>
      <c r="AX8" s="400" t="s">
        <v>296</v>
      </c>
      <c r="AY8" s="400"/>
      <c r="AZ8" s="399" t="s">
        <v>297</v>
      </c>
      <c r="BA8" s="400"/>
      <c r="BB8" s="400"/>
      <c r="BC8" s="400"/>
      <c r="BD8" s="400"/>
      <c r="BE8" s="400"/>
      <c r="BF8" s="400"/>
      <c r="BG8" s="400"/>
      <c r="BH8" s="400"/>
      <c r="BI8" s="401"/>
    </row>
    <row r="9" spans="1:81" s="76" customFormat="1" ht="15" customHeight="1">
      <c r="A9" s="356">
        <f t="shared" ref="A9:A18" si="0">ROW()-8</f>
        <v>1</v>
      </c>
      <c r="B9" s="357"/>
      <c r="C9" s="358" t="s">
        <v>298</v>
      </c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60"/>
      <c r="Q9" s="391" t="s">
        <v>299</v>
      </c>
      <c r="R9" s="392"/>
      <c r="S9" s="392"/>
      <c r="T9" s="392"/>
      <c r="U9" s="392"/>
      <c r="V9" s="392"/>
      <c r="W9" s="392"/>
      <c r="X9" s="392"/>
      <c r="Y9" s="392"/>
      <c r="Z9" s="392"/>
      <c r="AA9" s="392"/>
      <c r="AB9" s="392"/>
      <c r="AC9" s="392"/>
      <c r="AD9" s="392"/>
      <c r="AE9" s="392"/>
      <c r="AF9" s="392"/>
      <c r="AG9" s="392"/>
      <c r="AH9" s="392"/>
      <c r="AI9" s="392"/>
      <c r="AJ9" s="392"/>
      <c r="AK9" s="392"/>
      <c r="AL9" s="392"/>
      <c r="AM9" s="392"/>
      <c r="AN9" s="392"/>
      <c r="AO9" s="392"/>
      <c r="AP9" s="392"/>
      <c r="AQ9" s="392"/>
      <c r="AR9" s="392"/>
      <c r="AS9" s="393"/>
      <c r="AT9" s="364" t="s">
        <v>300</v>
      </c>
      <c r="AU9" s="365"/>
      <c r="AV9" s="365"/>
      <c r="AW9" s="366"/>
      <c r="AX9" s="351">
        <v>4</v>
      </c>
      <c r="AY9" s="352"/>
      <c r="AZ9" s="385"/>
      <c r="BA9" s="386"/>
      <c r="BB9" s="386"/>
      <c r="BC9" s="386"/>
      <c r="BD9" s="386"/>
      <c r="BE9" s="386"/>
      <c r="BF9" s="386"/>
      <c r="BG9" s="386"/>
      <c r="BH9" s="386"/>
      <c r="BI9" s="387"/>
      <c r="BL9" s="77"/>
      <c r="BM9" s="100"/>
    </row>
    <row r="10" spans="1:81" s="76" customFormat="1" ht="15" customHeight="1">
      <c r="A10" s="356">
        <f t="shared" si="0"/>
        <v>2</v>
      </c>
      <c r="B10" s="357"/>
      <c r="C10" s="358" t="s">
        <v>277</v>
      </c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9"/>
      <c r="O10" s="359"/>
      <c r="P10" s="360"/>
      <c r="Q10" s="394" t="s">
        <v>301</v>
      </c>
      <c r="R10" s="395"/>
      <c r="S10" s="395"/>
      <c r="T10" s="395"/>
      <c r="U10" s="395"/>
      <c r="V10" s="395"/>
      <c r="W10" s="395"/>
      <c r="X10" s="395"/>
      <c r="Y10" s="395"/>
      <c r="Z10" s="395"/>
      <c r="AA10" s="395"/>
      <c r="AB10" s="395"/>
      <c r="AC10" s="395"/>
      <c r="AD10" s="395"/>
      <c r="AE10" s="395"/>
      <c r="AF10" s="395"/>
      <c r="AG10" s="395"/>
      <c r="AH10" s="395"/>
      <c r="AI10" s="395"/>
      <c r="AJ10" s="395"/>
      <c r="AK10" s="395"/>
      <c r="AL10" s="395"/>
      <c r="AM10" s="395"/>
      <c r="AN10" s="395"/>
      <c r="AO10" s="395"/>
      <c r="AP10" s="395"/>
      <c r="AQ10" s="395"/>
      <c r="AR10" s="395"/>
      <c r="AS10" s="396"/>
      <c r="AT10" s="364" t="s">
        <v>300</v>
      </c>
      <c r="AU10" s="365"/>
      <c r="AV10" s="365"/>
      <c r="AW10" s="366"/>
      <c r="AX10" s="351">
        <v>20</v>
      </c>
      <c r="AY10" s="352"/>
      <c r="AZ10" s="385"/>
      <c r="BA10" s="386"/>
      <c r="BB10" s="386"/>
      <c r="BC10" s="386"/>
      <c r="BD10" s="386"/>
      <c r="BE10" s="386"/>
      <c r="BF10" s="386"/>
      <c r="BG10" s="386"/>
      <c r="BH10" s="386"/>
      <c r="BI10" s="387"/>
      <c r="BL10" s="77"/>
      <c r="BM10" s="100"/>
    </row>
    <row r="11" spans="1:81" s="76" customFormat="1" ht="15" customHeight="1">
      <c r="A11" s="370">
        <f t="shared" si="0"/>
        <v>3</v>
      </c>
      <c r="B11" s="371"/>
      <c r="C11" s="358" t="s">
        <v>239</v>
      </c>
      <c r="D11" s="359"/>
      <c r="E11" s="359"/>
      <c r="F11" s="359"/>
      <c r="G11" s="359"/>
      <c r="H11" s="359"/>
      <c r="I11" s="359"/>
      <c r="J11" s="359"/>
      <c r="K11" s="359"/>
      <c r="L11" s="359"/>
      <c r="M11" s="359"/>
      <c r="N11" s="359"/>
      <c r="O11" s="359"/>
      <c r="P11" s="360"/>
      <c r="Q11" s="367" t="s">
        <v>302</v>
      </c>
      <c r="R11" s="368"/>
      <c r="S11" s="368"/>
      <c r="T11" s="368"/>
      <c r="U11" s="368"/>
      <c r="V11" s="368"/>
      <c r="W11" s="368"/>
      <c r="X11" s="368"/>
      <c r="Y11" s="368"/>
      <c r="Z11" s="368"/>
      <c r="AA11" s="368"/>
      <c r="AB11" s="368"/>
      <c r="AC11" s="368"/>
      <c r="AD11" s="368"/>
      <c r="AE11" s="368"/>
      <c r="AF11" s="368"/>
      <c r="AG11" s="368"/>
      <c r="AH11" s="368"/>
      <c r="AI11" s="368"/>
      <c r="AJ11" s="368"/>
      <c r="AK11" s="368"/>
      <c r="AL11" s="368"/>
      <c r="AM11" s="368"/>
      <c r="AN11" s="368"/>
      <c r="AO11" s="368"/>
      <c r="AP11" s="368"/>
      <c r="AQ11" s="368"/>
      <c r="AR11" s="368"/>
      <c r="AS11" s="369"/>
      <c r="AT11" s="364" t="s">
        <v>300</v>
      </c>
      <c r="AU11" s="365"/>
      <c r="AV11" s="365"/>
      <c r="AW11" s="366"/>
      <c r="AX11" s="351">
        <v>4</v>
      </c>
      <c r="AY11" s="352"/>
      <c r="AZ11" s="353"/>
      <c r="BA11" s="354"/>
      <c r="BB11" s="354"/>
      <c r="BC11" s="354"/>
      <c r="BD11" s="354"/>
      <c r="BE11" s="354"/>
      <c r="BF11" s="354"/>
      <c r="BG11" s="354"/>
      <c r="BH11" s="354"/>
      <c r="BI11" s="355"/>
      <c r="BL11" s="77"/>
      <c r="BM11" s="100"/>
    </row>
    <row r="12" spans="1:81" s="76" customFormat="1" ht="15" customHeight="1">
      <c r="A12" s="356">
        <f t="shared" si="0"/>
        <v>4</v>
      </c>
      <c r="B12" s="357"/>
      <c r="C12" s="358" t="s">
        <v>303</v>
      </c>
      <c r="D12" s="359"/>
      <c r="E12" s="359"/>
      <c r="F12" s="359"/>
      <c r="G12" s="359"/>
      <c r="H12" s="359"/>
      <c r="I12" s="359"/>
      <c r="J12" s="359"/>
      <c r="K12" s="359"/>
      <c r="L12" s="359"/>
      <c r="M12" s="359"/>
      <c r="N12" s="359"/>
      <c r="O12" s="359"/>
      <c r="P12" s="360"/>
      <c r="Q12" s="367" t="s">
        <v>304</v>
      </c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68"/>
      <c r="AP12" s="368"/>
      <c r="AQ12" s="368"/>
      <c r="AR12" s="368"/>
      <c r="AS12" s="369"/>
      <c r="AT12" s="364" t="s">
        <v>300</v>
      </c>
      <c r="AU12" s="365"/>
      <c r="AV12" s="365"/>
      <c r="AW12" s="366"/>
      <c r="AX12" s="351">
        <v>20</v>
      </c>
      <c r="AY12" s="352"/>
      <c r="AZ12" s="353"/>
      <c r="BA12" s="354"/>
      <c r="BB12" s="354"/>
      <c r="BC12" s="354"/>
      <c r="BD12" s="354"/>
      <c r="BE12" s="354"/>
      <c r="BF12" s="354"/>
      <c r="BG12" s="354"/>
      <c r="BH12" s="354"/>
      <c r="BI12" s="355"/>
      <c r="BL12" s="77"/>
      <c r="BM12" s="100"/>
    </row>
    <row r="13" spans="1:81" s="76" customFormat="1" ht="15" customHeight="1">
      <c r="A13" s="356">
        <f t="shared" si="0"/>
        <v>5</v>
      </c>
      <c r="B13" s="357"/>
      <c r="C13" s="358" t="s">
        <v>252</v>
      </c>
      <c r="D13" s="359"/>
      <c r="E13" s="359"/>
      <c r="F13" s="359"/>
      <c r="G13" s="359"/>
      <c r="H13" s="359"/>
      <c r="I13" s="359"/>
      <c r="J13" s="359"/>
      <c r="K13" s="359"/>
      <c r="L13" s="359"/>
      <c r="M13" s="359"/>
      <c r="N13" s="359"/>
      <c r="O13" s="359"/>
      <c r="P13" s="360"/>
      <c r="Q13" s="367" t="s">
        <v>305</v>
      </c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8"/>
      <c r="AE13" s="368"/>
      <c r="AF13" s="368"/>
      <c r="AG13" s="368"/>
      <c r="AH13" s="368"/>
      <c r="AI13" s="368"/>
      <c r="AJ13" s="368"/>
      <c r="AK13" s="368"/>
      <c r="AL13" s="368"/>
      <c r="AM13" s="368"/>
      <c r="AN13" s="368"/>
      <c r="AO13" s="368"/>
      <c r="AP13" s="368"/>
      <c r="AQ13" s="368"/>
      <c r="AR13" s="368"/>
      <c r="AS13" s="369"/>
      <c r="AT13" s="364" t="s">
        <v>306</v>
      </c>
      <c r="AU13" s="365"/>
      <c r="AV13" s="365"/>
      <c r="AW13" s="366"/>
      <c r="AX13" s="351" t="s">
        <v>307</v>
      </c>
      <c r="AY13" s="352"/>
      <c r="AZ13" s="353"/>
      <c r="BA13" s="354"/>
      <c r="BB13" s="354"/>
      <c r="BC13" s="354"/>
      <c r="BD13" s="354"/>
      <c r="BE13" s="354"/>
      <c r="BF13" s="354"/>
      <c r="BG13" s="354"/>
      <c r="BH13" s="354"/>
      <c r="BI13" s="355"/>
      <c r="BL13" s="77"/>
      <c r="BM13" s="100"/>
    </row>
    <row r="14" spans="1:81" s="76" customFormat="1" ht="69.599999999999994" customHeight="1">
      <c r="A14" s="356">
        <f t="shared" si="0"/>
        <v>6</v>
      </c>
      <c r="B14" s="357"/>
      <c r="C14" s="358" t="s">
        <v>308</v>
      </c>
      <c r="D14" s="359"/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59"/>
      <c r="P14" s="360"/>
      <c r="Q14" s="361" t="s">
        <v>309</v>
      </c>
      <c r="R14" s="362"/>
      <c r="S14" s="362"/>
      <c r="T14" s="362"/>
      <c r="U14" s="362"/>
      <c r="V14" s="362"/>
      <c r="W14" s="362"/>
      <c r="X14" s="362"/>
      <c r="Y14" s="362"/>
      <c r="Z14" s="362"/>
      <c r="AA14" s="362"/>
      <c r="AB14" s="362"/>
      <c r="AC14" s="362"/>
      <c r="AD14" s="362"/>
      <c r="AE14" s="362"/>
      <c r="AF14" s="362"/>
      <c r="AG14" s="362"/>
      <c r="AH14" s="362"/>
      <c r="AI14" s="362"/>
      <c r="AJ14" s="362"/>
      <c r="AK14" s="362"/>
      <c r="AL14" s="362"/>
      <c r="AM14" s="362"/>
      <c r="AN14" s="362"/>
      <c r="AO14" s="362"/>
      <c r="AP14" s="362"/>
      <c r="AQ14" s="362"/>
      <c r="AR14" s="362"/>
      <c r="AS14" s="363"/>
      <c r="AT14" s="364" t="s">
        <v>306</v>
      </c>
      <c r="AU14" s="365"/>
      <c r="AV14" s="365"/>
      <c r="AW14" s="366"/>
      <c r="AX14" s="351" t="s">
        <v>307</v>
      </c>
      <c r="AY14" s="352"/>
      <c r="AZ14" s="353"/>
      <c r="BA14" s="354"/>
      <c r="BB14" s="354"/>
      <c r="BC14" s="354"/>
      <c r="BD14" s="354"/>
      <c r="BE14" s="354"/>
      <c r="BF14" s="354"/>
      <c r="BG14" s="354"/>
      <c r="BH14" s="354"/>
      <c r="BI14" s="355"/>
      <c r="BL14" s="77"/>
      <c r="BM14" s="100"/>
    </row>
    <row r="15" spans="1:81" s="76" customFormat="1" ht="15" customHeight="1">
      <c r="A15" s="370">
        <f t="shared" si="0"/>
        <v>7</v>
      </c>
      <c r="B15" s="371"/>
      <c r="C15" s="358" t="s">
        <v>310</v>
      </c>
      <c r="D15" s="359"/>
      <c r="E15" s="359"/>
      <c r="F15" s="359"/>
      <c r="G15" s="359"/>
      <c r="H15" s="359"/>
      <c r="I15" s="359"/>
      <c r="J15" s="359"/>
      <c r="K15" s="359"/>
      <c r="L15" s="359"/>
      <c r="M15" s="359"/>
      <c r="N15" s="359"/>
      <c r="O15" s="359"/>
      <c r="P15" s="360"/>
      <c r="Q15" s="367" t="s">
        <v>311</v>
      </c>
      <c r="R15" s="368"/>
      <c r="S15" s="368"/>
      <c r="T15" s="368"/>
      <c r="U15" s="368"/>
      <c r="V15" s="368"/>
      <c r="W15" s="368"/>
      <c r="X15" s="368"/>
      <c r="Y15" s="368"/>
      <c r="Z15" s="368"/>
      <c r="AA15" s="368"/>
      <c r="AB15" s="368"/>
      <c r="AC15" s="368"/>
      <c r="AD15" s="368"/>
      <c r="AE15" s="368"/>
      <c r="AF15" s="368"/>
      <c r="AG15" s="368"/>
      <c r="AH15" s="368"/>
      <c r="AI15" s="368"/>
      <c r="AJ15" s="368"/>
      <c r="AK15" s="368"/>
      <c r="AL15" s="368"/>
      <c r="AM15" s="368"/>
      <c r="AN15" s="368"/>
      <c r="AO15" s="368"/>
      <c r="AP15" s="368"/>
      <c r="AQ15" s="368"/>
      <c r="AR15" s="368"/>
      <c r="AS15" s="369"/>
      <c r="AT15" s="364" t="s">
        <v>300</v>
      </c>
      <c r="AU15" s="365"/>
      <c r="AV15" s="365"/>
      <c r="AW15" s="366"/>
      <c r="AX15" s="351">
        <v>20</v>
      </c>
      <c r="AY15" s="352"/>
      <c r="AZ15" s="353"/>
      <c r="BA15" s="354"/>
      <c r="BB15" s="354"/>
      <c r="BC15" s="354"/>
      <c r="BD15" s="354"/>
      <c r="BE15" s="354"/>
      <c r="BF15" s="354"/>
      <c r="BG15" s="354"/>
      <c r="BH15" s="354"/>
      <c r="BI15" s="355"/>
      <c r="BL15" s="77"/>
      <c r="BM15" s="100"/>
    </row>
    <row r="16" spans="1:81" s="76" customFormat="1" ht="15" customHeight="1">
      <c r="A16" s="356">
        <f t="shared" si="0"/>
        <v>8</v>
      </c>
      <c r="B16" s="357"/>
      <c r="C16" s="358" t="s">
        <v>312</v>
      </c>
      <c r="D16" s="359"/>
      <c r="E16" s="359"/>
      <c r="F16" s="359"/>
      <c r="G16" s="359"/>
      <c r="H16" s="359"/>
      <c r="I16" s="359"/>
      <c r="J16" s="359"/>
      <c r="K16" s="359"/>
      <c r="L16" s="359"/>
      <c r="M16" s="359"/>
      <c r="N16" s="359"/>
      <c r="O16" s="359"/>
      <c r="P16" s="360"/>
      <c r="Q16" s="367" t="s">
        <v>313</v>
      </c>
      <c r="R16" s="368"/>
      <c r="S16" s="368"/>
      <c r="T16" s="368"/>
      <c r="U16" s="368"/>
      <c r="V16" s="368"/>
      <c r="W16" s="368"/>
      <c r="X16" s="368"/>
      <c r="Y16" s="368"/>
      <c r="Z16" s="368"/>
      <c r="AA16" s="368"/>
      <c r="AB16" s="368"/>
      <c r="AC16" s="368"/>
      <c r="AD16" s="368"/>
      <c r="AE16" s="368"/>
      <c r="AF16" s="368"/>
      <c r="AG16" s="368"/>
      <c r="AH16" s="368"/>
      <c r="AI16" s="368"/>
      <c r="AJ16" s="368"/>
      <c r="AK16" s="368"/>
      <c r="AL16" s="368"/>
      <c r="AM16" s="368"/>
      <c r="AN16" s="368"/>
      <c r="AO16" s="368"/>
      <c r="AP16" s="368"/>
      <c r="AQ16" s="368"/>
      <c r="AR16" s="368"/>
      <c r="AS16" s="369"/>
      <c r="AT16" s="364" t="s">
        <v>314</v>
      </c>
      <c r="AU16" s="365"/>
      <c r="AV16" s="365"/>
      <c r="AW16" s="366"/>
      <c r="AX16" s="351" t="s">
        <v>307</v>
      </c>
      <c r="AY16" s="352"/>
      <c r="AZ16" s="353"/>
      <c r="BA16" s="354"/>
      <c r="BB16" s="354"/>
      <c r="BC16" s="354"/>
      <c r="BD16" s="354"/>
      <c r="BE16" s="354"/>
      <c r="BF16" s="354"/>
      <c r="BG16" s="354"/>
      <c r="BH16" s="354"/>
      <c r="BI16" s="355"/>
      <c r="BL16" s="77"/>
      <c r="BM16" s="100"/>
    </row>
    <row r="17" spans="1:81" s="76" customFormat="1" ht="15" customHeight="1">
      <c r="A17" s="356">
        <f t="shared" si="0"/>
        <v>9</v>
      </c>
      <c r="B17" s="357"/>
      <c r="C17" s="358" t="s">
        <v>315</v>
      </c>
      <c r="D17" s="359"/>
      <c r="E17" s="359"/>
      <c r="F17" s="359"/>
      <c r="G17" s="359"/>
      <c r="H17" s="359"/>
      <c r="I17" s="359"/>
      <c r="J17" s="359"/>
      <c r="K17" s="359"/>
      <c r="L17" s="359"/>
      <c r="M17" s="359"/>
      <c r="N17" s="359"/>
      <c r="O17" s="359"/>
      <c r="P17" s="360"/>
      <c r="Q17" s="367" t="s">
        <v>316</v>
      </c>
      <c r="R17" s="368"/>
      <c r="S17" s="368"/>
      <c r="T17" s="368"/>
      <c r="U17" s="368"/>
      <c r="V17" s="368"/>
      <c r="W17" s="368"/>
      <c r="X17" s="368"/>
      <c r="Y17" s="368"/>
      <c r="Z17" s="368"/>
      <c r="AA17" s="368"/>
      <c r="AB17" s="368"/>
      <c r="AC17" s="368"/>
      <c r="AD17" s="368"/>
      <c r="AE17" s="368"/>
      <c r="AF17" s="368"/>
      <c r="AG17" s="368"/>
      <c r="AH17" s="368"/>
      <c r="AI17" s="368"/>
      <c r="AJ17" s="368"/>
      <c r="AK17" s="368"/>
      <c r="AL17" s="368"/>
      <c r="AM17" s="368"/>
      <c r="AN17" s="368"/>
      <c r="AO17" s="368"/>
      <c r="AP17" s="368"/>
      <c r="AQ17" s="368"/>
      <c r="AR17" s="368"/>
      <c r="AS17" s="369"/>
      <c r="AT17" s="364" t="s">
        <v>317</v>
      </c>
      <c r="AU17" s="365"/>
      <c r="AV17" s="365"/>
      <c r="AW17" s="366"/>
      <c r="AX17" s="351" t="s">
        <v>307</v>
      </c>
      <c r="AY17" s="352"/>
      <c r="AZ17" s="353" t="s">
        <v>318</v>
      </c>
      <c r="BA17" s="354"/>
      <c r="BB17" s="354"/>
      <c r="BC17" s="354"/>
      <c r="BD17" s="354"/>
      <c r="BE17" s="354"/>
      <c r="BF17" s="354"/>
      <c r="BG17" s="354"/>
      <c r="BH17" s="354"/>
      <c r="BI17" s="355"/>
      <c r="BL17" s="77"/>
      <c r="BM17" s="100"/>
    </row>
    <row r="18" spans="1:81" s="76" customFormat="1" ht="15" customHeight="1" thickBot="1">
      <c r="A18" s="375">
        <f t="shared" si="0"/>
        <v>10</v>
      </c>
      <c r="B18" s="376"/>
      <c r="C18" s="377" t="s">
        <v>319</v>
      </c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9"/>
      <c r="Q18" s="372" t="s">
        <v>320</v>
      </c>
      <c r="R18" s="373"/>
      <c r="S18" s="373"/>
      <c r="T18" s="373"/>
      <c r="U18" s="373"/>
      <c r="V18" s="373"/>
      <c r="W18" s="373"/>
      <c r="X18" s="373"/>
      <c r="Y18" s="373"/>
      <c r="Z18" s="373"/>
      <c r="AA18" s="373"/>
      <c r="AB18" s="373"/>
      <c r="AC18" s="373"/>
      <c r="AD18" s="373"/>
      <c r="AE18" s="373"/>
      <c r="AF18" s="373"/>
      <c r="AG18" s="373"/>
      <c r="AH18" s="373"/>
      <c r="AI18" s="373"/>
      <c r="AJ18" s="373"/>
      <c r="AK18" s="373"/>
      <c r="AL18" s="373"/>
      <c r="AM18" s="373"/>
      <c r="AN18" s="373"/>
      <c r="AO18" s="373"/>
      <c r="AP18" s="373"/>
      <c r="AQ18" s="373"/>
      <c r="AR18" s="373"/>
      <c r="AS18" s="374"/>
      <c r="AT18" s="380" t="s">
        <v>300</v>
      </c>
      <c r="AU18" s="381"/>
      <c r="AV18" s="381"/>
      <c r="AW18" s="382"/>
      <c r="AX18" s="383">
        <v>60</v>
      </c>
      <c r="AY18" s="384"/>
      <c r="AZ18" s="388"/>
      <c r="BA18" s="389"/>
      <c r="BB18" s="389"/>
      <c r="BC18" s="389"/>
      <c r="BD18" s="389"/>
      <c r="BE18" s="389"/>
      <c r="BF18" s="389"/>
      <c r="BG18" s="389"/>
      <c r="BH18" s="389"/>
      <c r="BI18" s="390"/>
      <c r="BL18" s="77"/>
      <c r="BM18" s="100"/>
    </row>
    <row r="19" spans="1:81" s="78" customFormat="1" ht="15" customHeight="1">
      <c r="CB19" s="79"/>
      <c r="CC19" s="79"/>
    </row>
    <row r="20" spans="1:81" s="78" customFormat="1" ht="15" customHeight="1">
      <c r="CB20" s="79"/>
      <c r="CC20" s="79"/>
    </row>
    <row r="21" spans="1:81" s="78" customFormat="1" ht="15" customHeight="1">
      <c r="CB21" s="79"/>
      <c r="CC21" s="79"/>
    </row>
    <row r="22" spans="1:81" s="78" customFormat="1" ht="15" customHeight="1">
      <c r="CB22" s="79"/>
      <c r="CC22" s="79"/>
    </row>
    <row r="23" spans="1:81" s="78" customFormat="1" ht="15" customHeight="1">
      <c r="CB23" s="79"/>
      <c r="CC23" s="79"/>
    </row>
    <row r="24" spans="1:81" s="78" customFormat="1" ht="15" customHeight="1">
      <c r="CB24" s="79"/>
      <c r="CC24" s="79"/>
    </row>
    <row r="25" spans="1:81" s="78" customFormat="1" ht="15" customHeight="1">
      <c r="CB25" s="79"/>
      <c r="CC25" s="79"/>
    </row>
    <row r="26" spans="1:81" s="78" customFormat="1" ht="15" customHeight="1">
      <c r="CB26" s="79"/>
      <c r="CC26" s="79"/>
    </row>
    <row r="27" spans="1:81" s="78" customFormat="1" ht="15" customHeight="1">
      <c r="R27" s="119"/>
      <c r="CB27" s="79"/>
      <c r="CC27" s="79"/>
    </row>
    <row r="28" spans="1:81" s="78" customFormat="1" ht="15" customHeight="1">
      <c r="CB28" s="79"/>
      <c r="CC28" s="79"/>
    </row>
    <row r="29" spans="1:81" s="78" customFormat="1" ht="15" customHeight="1">
      <c r="CB29" s="79"/>
      <c r="CC29" s="79"/>
    </row>
    <row r="30" spans="1:81" s="78" customFormat="1" ht="15" customHeight="1">
      <c r="CB30" s="79"/>
      <c r="CC30" s="79"/>
    </row>
    <row r="31" spans="1:81" s="78" customFormat="1" ht="15" customHeight="1">
      <c r="CB31" s="79"/>
      <c r="CC31" s="79"/>
    </row>
    <row r="32" spans="1:81" s="78" customFormat="1" ht="15" customHeight="1">
      <c r="CB32" s="79"/>
      <c r="CC32" s="79"/>
    </row>
    <row r="33" spans="80:81" s="78" customFormat="1" ht="15" customHeight="1">
      <c r="CB33" s="79"/>
      <c r="CC33" s="79"/>
    </row>
    <row r="34" spans="80:81" s="78" customFormat="1" ht="15" customHeight="1">
      <c r="CB34" s="79"/>
      <c r="CC34" s="79"/>
    </row>
    <row r="35" spans="80:81" s="78" customFormat="1" ht="15" customHeight="1">
      <c r="CB35" s="79"/>
      <c r="CC35" s="79"/>
    </row>
    <row r="36" spans="80:81" s="78" customFormat="1" ht="15" customHeight="1">
      <c r="CB36" s="79"/>
      <c r="CC36" s="79"/>
    </row>
    <row r="37" spans="80:81" s="78" customFormat="1" ht="15" customHeight="1">
      <c r="CB37" s="79"/>
      <c r="CC37" s="79"/>
    </row>
    <row r="38" spans="80:81" s="78" customFormat="1" ht="15" customHeight="1">
      <c r="CB38" s="79"/>
      <c r="CC38" s="79"/>
    </row>
    <row r="39" spans="80:81" s="78" customFormat="1" ht="15" customHeight="1">
      <c r="CB39" s="79"/>
      <c r="CC39" s="79"/>
    </row>
    <row r="40" spans="80:81" s="78" customFormat="1" ht="15" customHeight="1">
      <c r="CB40" s="79"/>
      <c r="CC40" s="79"/>
    </row>
    <row r="41" spans="80:81" s="78" customFormat="1" ht="15" customHeight="1">
      <c r="CB41" s="79"/>
      <c r="CC41" s="79"/>
    </row>
    <row r="42" spans="80:81" s="78" customFormat="1" ht="15" customHeight="1">
      <c r="CB42" s="79"/>
      <c r="CC42" s="79"/>
    </row>
    <row r="43" spans="80:81" s="78" customFormat="1" ht="15" customHeight="1">
      <c r="CB43" s="79"/>
      <c r="CC43" s="79"/>
    </row>
    <row r="44" spans="80:81" s="78" customFormat="1" ht="15" customHeight="1">
      <c r="CB44" s="79"/>
      <c r="CC44" s="79"/>
    </row>
    <row r="45" spans="80:81" s="78" customFormat="1" ht="15" customHeight="1">
      <c r="CB45" s="79"/>
      <c r="CC45" s="79"/>
    </row>
    <row r="46" spans="80:81" s="78" customFormat="1" ht="15" customHeight="1">
      <c r="CB46" s="79"/>
      <c r="CC46" s="79"/>
    </row>
    <row r="47" spans="80:81" s="78" customFormat="1" ht="15" customHeight="1">
      <c r="CB47" s="79"/>
      <c r="CC47" s="79"/>
    </row>
    <row r="48" spans="80:81" s="78" customFormat="1" ht="15" customHeight="1">
      <c r="CB48" s="79"/>
      <c r="CC48" s="79"/>
    </row>
    <row r="49" spans="80:81" s="78" customFormat="1" ht="15" customHeight="1">
      <c r="CB49" s="79"/>
      <c r="CC49" s="79"/>
    </row>
    <row r="50" spans="80:81" s="78" customFormat="1" ht="15" customHeight="1">
      <c r="CB50" s="79"/>
      <c r="CC50" s="79"/>
    </row>
    <row r="51" spans="80:81" s="78" customFormat="1" ht="15" customHeight="1">
      <c r="CB51" s="79"/>
      <c r="CC51" s="79"/>
    </row>
    <row r="52" spans="80:81" s="78" customFormat="1" ht="15" customHeight="1">
      <c r="CB52" s="79"/>
      <c r="CC52" s="79"/>
    </row>
    <row r="53" spans="80:81" s="78" customFormat="1" ht="15" customHeight="1">
      <c r="CB53" s="79"/>
      <c r="CC53" s="79"/>
    </row>
    <row r="54" spans="80:81" s="78" customFormat="1" ht="15" customHeight="1">
      <c r="CB54" s="79"/>
      <c r="CC54" s="79"/>
    </row>
    <row r="55" spans="80:81" s="78" customFormat="1" ht="15" customHeight="1">
      <c r="CB55" s="79"/>
      <c r="CC55" s="79"/>
    </row>
    <row r="56" spans="80:81" s="78" customFormat="1" ht="15" customHeight="1">
      <c r="CB56" s="79"/>
      <c r="CC56" s="79"/>
    </row>
    <row r="57" spans="80:81" s="78" customFormat="1" ht="15" customHeight="1">
      <c r="CB57" s="79"/>
      <c r="CC57" s="79"/>
    </row>
    <row r="58" spans="80:81" s="78" customFormat="1" ht="15" customHeight="1">
      <c r="CB58" s="79"/>
      <c r="CC58" s="79"/>
    </row>
    <row r="59" spans="80:81" s="78" customFormat="1" ht="15" customHeight="1">
      <c r="CB59" s="79"/>
      <c r="CC59" s="79"/>
    </row>
    <row r="60" spans="80:81" s="78" customFormat="1" ht="15" customHeight="1">
      <c r="CB60" s="79"/>
      <c r="CC60" s="79"/>
    </row>
    <row r="61" spans="80:81" s="78" customFormat="1" ht="15" customHeight="1">
      <c r="CB61" s="79"/>
      <c r="CC61" s="79"/>
    </row>
    <row r="62" spans="80:81" s="78" customFormat="1" ht="15" customHeight="1">
      <c r="CB62" s="79"/>
      <c r="CC62" s="79"/>
    </row>
    <row r="63" spans="80:81" s="78" customFormat="1" ht="15" customHeight="1">
      <c r="CB63" s="79"/>
      <c r="CC63" s="79"/>
    </row>
    <row r="64" spans="80:81" s="78" customFormat="1" ht="15" customHeight="1">
      <c r="CB64" s="79"/>
      <c r="CC64" s="79"/>
    </row>
    <row r="65" spans="80:81" s="78" customFormat="1" ht="15" customHeight="1">
      <c r="CB65" s="79"/>
      <c r="CC65" s="79"/>
    </row>
    <row r="66" spans="80:81" s="78" customFormat="1" ht="15" customHeight="1">
      <c r="CB66" s="79"/>
      <c r="CC66" s="79"/>
    </row>
    <row r="67" spans="80:81" s="78" customFormat="1" ht="15" customHeight="1">
      <c r="CB67" s="79"/>
      <c r="CC67" s="79"/>
    </row>
  </sheetData>
  <mergeCells count="90">
    <mergeCell ref="A6:P6"/>
    <mergeCell ref="Q6:AS6"/>
    <mergeCell ref="A1:E3"/>
    <mergeCell ref="F1:P1"/>
    <mergeCell ref="Q1:V1"/>
    <mergeCell ref="A5:P5"/>
    <mergeCell ref="Q5:AS5"/>
    <mergeCell ref="W2:AD3"/>
    <mergeCell ref="AE2:AS3"/>
    <mergeCell ref="AT2:AU2"/>
    <mergeCell ref="AV2:BA2"/>
    <mergeCell ref="BB2:BI2"/>
    <mergeCell ref="AT3:AU3"/>
    <mergeCell ref="AV3:BA3"/>
    <mergeCell ref="BB3:BI3"/>
    <mergeCell ref="AZ9:BI9"/>
    <mergeCell ref="W1:AD1"/>
    <mergeCell ref="AE1:AS1"/>
    <mergeCell ref="AT1:BA1"/>
    <mergeCell ref="A8:B8"/>
    <mergeCell ref="C8:P8"/>
    <mergeCell ref="AT8:AW8"/>
    <mergeCell ref="AX8:AY8"/>
    <mergeCell ref="AZ8:BI8"/>
    <mergeCell ref="A7:P7"/>
    <mergeCell ref="Q7:AS7"/>
    <mergeCell ref="Q8:AS8"/>
    <mergeCell ref="AT7:BI7"/>
    <mergeCell ref="BB1:BI1"/>
    <mergeCell ref="F2:P3"/>
    <mergeCell ref="Q2:V3"/>
    <mergeCell ref="A10:B10"/>
    <mergeCell ref="C10:P10"/>
    <mergeCell ref="AT10:AW10"/>
    <mergeCell ref="AX10:AY10"/>
    <mergeCell ref="A9:B9"/>
    <mergeCell ref="C9:P9"/>
    <mergeCell ref="AT9:AW9"/>
    <mergeCell ref="AX9:AY9"/>
    <mergeCell ref="Q9:AS9"/>
    <mergeCell ref="Q10:AS10"/>
    <mergeCell ref="AZ10:BI10"/>
    <mergeCell ref="AZ18:BI18"/>
    <mergeCell ref="A15:B15"/>
    <mergeCell ref="C15:P15"/>
    <mergeCell ref="AT15:AW15"/>
    <mergeCell ref="AX15:AY15"/>
    <mergeCell ref="AZ15:BI15"/>
    <mergeCell ref="A16:B16"/>
    <mergeCell ref="C16:P16"/>
    <mergeCell ref="AT16:AW16"/>
    <mergeCell ref="AX16:AY16"/>
    <mergeCell ref="AZ16:BI16"/>
    <mergeCell ref="A17:B17"/>
    <mergeCell ref="C17:P17"/>
    <mergeCell ref="AT17:AW17"/>
    <mergeCell ref="AX17:AY17"/>
    <mergeCell ref="Q17:AS17"/>
    <mergeCell ref="Q18:AS18"/>
    <mergeCell ref="AZ17:BI17"/>
    <mergeCell ref="A18:B18"/>
    <mergeCell ref="C18:P18"/>
    <mergeCell ref="AT18:AW18"/>
    <mergeCell ref="AX18:AY18"/>
    <mergeCell ref="Q16:AS16"/>
    <mergeCell ref="A11:B11"/>
    <mergeCell ref="C11:P11"/>
    <mergeCell ref="Q11:AS11"/>
    <mergeCell ref="AT11:AW11"/>
    <mergeCell ref="A13:B13"/>
    <mergeCell ref="C13:P13"/>
    <mergeCell ref="Q13:AS13"/>
    <mergeCell ref="AT13:AW13"/>
    <mergeCell ref="Q15:AS15"/>
    <mergeCell ref="AX11:AY11"/>
    <mergeCell ref="AZ11:BI11"/>
    <mergeCell ref="A12:B12"/>
    <mergeCell ref="C12:P12"/>
    <mergeCell ref="Q12:AS12"/>
    <mergeCell ref="AT12:AW12"/>
    <mergeCell ref="AX12:AY12"/>
    <mergeCell ref="AZ12:BI12"/>
    <mergeCell ref="AX13:AY13"/>
    <mergeCell ref="AZ13:BI13"/>
    <mergeCell ref="A14:B14"/>
    <mergeCell ref="C14:P14"/>
    <mergeCell ref="Q14:AS14"/>
    <mergeCell ref="AT14:AW14"/>
    <mergeCell ref="AX14:AY14"/>
    <mergeCell ref="AZ14:BI14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EAE9-123A-437F-A008-5B5A529C1E78}">
  <sheetPr codeName="Sheet10"/>
  <dimension ref="A1:BI18"/>
  <sheetViews>
    <sheetView showGridLines="0" zoomScaleNormal="100" workbookViewId="0">
      <selection sqref="A1:E3"/>
    </sheetView>
  </sheetViews>
  <sheetFormatPr defaultColWidth="2.5" defaultRowHeight="15" customHeight="1"/>
  <cols>
    <col min="1" max="16384" width="2.5" style="40"/>
  </cols>
  <sheetData>
    <row r="1" spans="1:61" s="1" customFormat="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s="1" customFormat="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s="1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s="20" customFormat="1" ht="15" customHeight="1" thickBot="1">
      <c r="A4" s="425"/>
      <c r="B4" s="425"/>
      <c r="C4" s="425"/>
      <c r="D4" s="425"/>
      <c r="E4" s="425"/>
      <c r="F4" s="425"/>
      <c r="G4" s="425"/>
      <c r="H4" s="425"/>
      <c r="I4" s="425"/>
    </row>
    <row r="5" spans="1:61" s="1" customFormat="1" ht="15" customHeight="1">
      <c r="A5" s="62" t="s">
        <v>321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4"/>
      <c r="M5" s="36"/>
      <c r="N5" s="36" t="s">
        <v>322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7"/>
    </row>
    <row r="6" spans="1:61" s="1" customFormat="1" ht="15" customHeight="1">
      <c r="A6" s="65" t="s">
        <v>323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7"/>
      <c r="M6" s="34"/>
      <c r="N6" s="34" t="s">
        <v>324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5"/>
    </row>
    <row r="7" spans="1:61" s="1" customFormat="1" ht="15" customHeight="1" thickBot="1">
      <c r="A7" s="68" t="s">
        <v>325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70"/>
      <c r="M7" s="21"/>
      <c r="N7" s="21" t="s">
        <v>307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</row>
    <row r="8" spans="1:61" s="1" customFormat="1" ht="15" customHeight="1" thickBot="1">
      <c r="A8" s="289" t="s">
        <v>62</v>
      </c>
      <c r="B8" s="310"/>
      <c r="C8" s="289" t="s">
        <v>64</v>
      </c>
      <c r="D8" s="309"/>
      <c r="E8" s="309"/>
      <c r="F8" s="309"/>
      <c r="G8" s="309"/>
      <c r="H8" s="309"/>
      <c r="I8" s="309"/>
      <c r="J8" s="309"/>
      <c r="K8" s="309"/>
      <c r="L8" s="310"/>
      <c r="M8" s="289" t="s">
        <v>65</v>
      </c>
      <c r="N8" s="309"/>
      <c r="O8" s="309"/>
      <c r="P8" s="309"/>
      <c r="Q8" s="309"/>
      <c r="R8" s="309"/>
      <c r="S8" s="309"/>
      <c r="T8" s="309"/>
      <c r="U8" s="309"/>
      <c r="V8" s="310"/>
      <c r="W8" s="289" t="s">
        <v>326</v>
      </c>
      <c r="X8" s="309"/>
      <c r="Y8" s="309"/>
      <c r="Z8" s="309"/>
      <c r="AA8" s="309"/>
      <c r="AB8" s="309"/>
      <c r="AC8" s="309"/>
      <c r="AD8" s="309"/>
      <c r="AE8" s="309"/>
      <c r="AF8" s="309"/>
      <c r="AG8" s="309"/>
      <c r="AH8" s="309"/>
      <c r="AI8" s="309"/>
      <c r="AJ8" s="309"/>
      <c r="AK8" s="309"/>
      <c r="AL8" s="309"/>
      <c r="AM8" s="309"/>
      <c r="AN8" s="309"/>
      <c r="AO8" s="309"/>
      <c r="AP8" s="309"/>
      <c r="AQ8" s="309"/>
      <c r="AR8" s="309"/>
      <c r="AS8" s="309"/>
      <c r="AT8" s="309"/>
      <c r="AU8" s="309"/>
      <c r="AV8" s="309"/>
      <c r="AW8" s="309"/>
      <c r="AX8" s="309"/>
      <c r="AY8" s="310"/>
      <c r="AZ8" s="289" t="s">
        <v>67</v>
      </c>
      <c r="BA8" s="309"/>
      <c r="BB8" s="309"/>
      <c r="BC8" s="309"/>
      <c r="BD8" s="309"/>
      <c r="BE8" s="309"/>
      <c r="BF8" s="309"/>
      <c r="BG8" s="309"/>
      <c r="BH8" s="309"/>
      <c r="BI8" s="310"/>
    </row>
    <row r="9" spans="1:61" s="1" customFormat="1" ht="13.5">
      <c r="A9" s="282">
        <f t="shared" ref="A9:A18" si="0">ROW()-8</f>
        <v>1</v>
      </c>
      <c r="B9" s="283"/>
      <c r="C9" s="272" t="s">
        <v>327</v>
      </c>
      <c r="D9" s="273"/>
      <c r="E9" s="273"/>
      <c r="F9" s="273"/>
      <c r="G9" s="273"/>
      <c r="H9" s="273"/>
      <c r="I9" s="273"/>
      <c r="J9" s="273"/>
      <c r="K9" s="273"/>
      <c r="L9" s="274"/>
      <c r="M9" s="272" t="s">
        <v>328</v>
      </c>
      <c r="N9" s="273"/>
      <c r="O9" s="273"/>
      <c r="P9" s="273"/>
      <c r="Q9" s="273"/>
      <c r="R9" s="273"/>
      <c r="S9" s="273"/>
      <c r="T9" s="273"/>
      <c r="U9" s="273"/>
      <c r="V9" s="274"/>
      <c r="W9" s="272" t="s">
        <v>329</v>
      </c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4"/>
      <c r="AZ9" s="272"/>
      <c r="BA9" s="273"/>
      <c r="BB9" s="273"/>
      <c r="BC9" s="273"/>
      <c r="BD9" s="273"/>
      <c r="BE9" s="273"/>
      <c r="BF9" s="273"/>
      <c r="BG9" s="273"/>
      <c r="BH9" s="273"/>
      <c r="BI9" s="274"/>
    </row>
    <row r="10" spans="1:61" s="1" customFormat="1" ht="13.5">
      <c r="A10" s="282">
        <f t="shared" si="0"/>
        <v>2</v>
      </c>
      <c r="B10" s="283"/>
      <c r="C10" s="272" t="s">
        <v>330</v>
      </c>
      <c r="D10" s="273"/>
      <c r="E10" s="273"/>
      <c r="F10" s="273"/>
      <c r="G10" s="273"/>
      <c r="H10" s="273"/>
      <c r="I10" s="273"/>
      <c r="J10" s="273"/>
      <c r="K10" s="273"/>
      <c r="L10" s="274"/>
      <c r="M10" s="272" t="s">
        <v>331</v>
      </c>
      <c r="N10" s="273"/>
      <c r="O10" s="273"/>
      <c r="P10" s="273"/>
      <c r="Q10" s="273"/>
      <c r="R10" s="273"/>
      <c r="S10" s="273"/>
      <c r="T10" s="273"/>
      <c r="U10" s="273"/>
      <c r="V10" s="274"/>
      <c r="W10" s="422" t="s">
        <v>332</v>
      </c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3"/>
      <c r="AS10" s="273"/>
      <c r="AT10" s="273"/>
      <c r="AU10" s="273"/>
      <c r="AV10" s="273"/>
      <c r="AW10" s="273"/>
      <c r="AX10" s="273"/>
      <c r="AY10" s="274"/>
      <c r="AZ10" s="272"/>
      <c r="BA10" s="273"/>
      <c r="BB10" s="273"/>
      <c r="BC10" s="273"/>
      <c r="BD10" s="273"/>
      <c r="BE10" s="273"/>
      <c r="BF10" s="273"/>
      <c r="BG10" s="273"/>
      <c r="BH10" s="273"/>
      <c r="BI10" s="274"/>
    </row>
    <row r="11" spans="1:61" s="1" customFormat="1" ht="13.5">
      <c r="A11" s="282">
        <f t="shared" ref="A11:A16" si="1">ROW()-8</f>
        <v>3</v>
      </c>
      <c r="B11" s="283"/>
      <c r="C11" s="272" t="s">
        <v>333</v>
      </c>
      <c r="D11" s="273"/>
      <c r="E11" s="273"/>
      <c r="F11" s="273"/>
      <c r="G11" s="273"/>
      <c r="H11" s="273"/>
      <c r="I11" s="273"/>
      <c r="J11" s="273"/>
      <c r="K11" s="273"/>
      <c r="L11" s="274"/>
      <c r="M11" s="272" t="s">
        <v>334</v>
      </c>
      <c r="N11" s="273"/>
      <c r="O11" s="273"/>
      <c r="P11" s="273"/>
      <c r="Q11" s="273"/>
      <c r="R11" s="273"/>
      <c r="S11" s="273"/>
      <c r="T11" s="273"/>
      <c r="U11" s="273"/>
      <c r="V11" s="274"/>
      <c r="W11" s="272" t="s">
        <v>335</v>
      </c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3"/>
      <c r="AU11" s="273"/>
      <c r="AV11" s="273"/>
      <c r="AW11" s="273"/>
      <c r="AX11" s="273"/>
      <c r="AY11" s="274"/>
      <c r="AZ11" s="272"/>
      <c r="BA11" s="273"/>
      <c r="BB11" s="273"/>
      <c r="BC11" s="273"/>
      <c r="BD11" s="273"/>
      <c r="BE11" s="273"/>
      <c r="BF11" s="273"/>
      <c r="BG11" s="273"/>
      <c r="BH11" s="273"/>
      <c r="BI11" s="274"/>
    </row>
    <row r="12" spans="1:61" s="1" customFormat="1" ht="13.5">
      <c r="A12" s="293">
        <f t="shared" si="1"/>
        <v>4</v>
      </c>
      <c r="B12" s="294"/>
      <c r="C12" s="272" t="s">
        <v>336</v>
      </c>
      <c r="D12" s="273"/>
      <c r="E12" s="273"/>
      <c r="F12" s="273"/>
      <c r="G12" s="273"/>
      <c r="H12" s="273"/>
      <c r="I12" s="273"/>
      <c r="J12" s="273"/>
      <c r="K12" s="273"/>
      <c r="L12" s="274"/>
      <c r="M12" s="272" t="s">
        <v>337</v>
      </c>
      <c r="N12" s="273"/>
      <c r="O12" s="273"/>
      <c r="P12" s="273"/>
      <c r="Q12" s="273"/>
      <c r="R12" s="273"/>
      <c r="S12" s="273"/>
      <c r="T12" s="273"/>
      <c r="U12" s="273"/>
      <c r="V12" s="274"/>
      <c r="W12" s="272" t="s">
        <v>338</v>
      </c>
      <c r="X12" s="273"/>
      <c r="Y12" s="273"/>
      <c r="Z12" s="273"/>
      <c r="AA12" s="273"/>
      <c r="AB12" s="273"/>
      <c r="AC12" s="273"/>
      <c r="AD12" s="273"/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4"/>
      <c r="AZ12" s="272"/>
      <c r="BA12" s="273"/>
      <c r="BB12" s="273"/>
      <c r="BC12" s="273"/>
      <c r="BD12" s="273"/>
      <c r="BE12" s="273"/>
      <c r="BF12" s="273"/>
      <c r="BG12" s="273"/>
      <c r="BH12" s="273"/>
      <c r="BI12" s="274"/>
    </row>
    <row r="13" spans="1:61" s="1" customFormat="1" ht="15" customHeight="1">
      <c r="A13" s="282">
        <f>ROW()-8</f>
        <v>5</v>
      </c>
      <c r="B13" s="283"/>
      <c r="C13" s="297" t="s">
        <v>339</v>
      </c>
      <c r="D13" s="298"/>
      <c r="E13" s="298"/>
      <c r="F13" s="298"/>
      <c r="G13" s="298"/>
      <c r="H13" s="298"/>
      <c r="I13" s="298"/>
      <c r="J13" s="298"/>
      <c r="K13" s="298"/>
      <c r="L13" s="299"/>
      <c r="M13" s="297" t="s">
        <v>340</v>
      </c>
      <c r="N13" s="298"/>
      <c r="O13" s="298"/>
      <c r="P13" s="298"/>
      <c r="Q13" s="298"/>
      <c r="R13" s="298"/>
      <c r="S13" s="298"/>
      <c r="T13" s="298"/>
      <c r="U13" s="298"/>
      <c r="V13" s="299"/>
      <c r="W13" s="297" t="s">
        <v>341</v>
      </c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  <c r="AN13" s="298"/>
      <c r="AO13" s="298"/>
      <c r="AP13" s="298"/>
      <c r="AQ13" s="298"/>
      <c r="AR13" s="298"/>
      <c r="AS13" s="298"/>
      <c r="AT13" s="298"/>
      <c r="AU13" s="298"/>
      <c r="AV13" s="298"/>
      <c r="AW13" s="298"/>
      <c r="AX13" s="298"/>
      <c r="AY13" s="299"/>
      <c r="AZ13" s="297"/>
      <c r="BA13" s="298"/>
      <c r="BB13" s="298"/>
      <c r="BC13" s="298"/>
      <c r="BD13" s="298"/>
      <c r="BE13" s="298"/>
      <c r="BF13" s="298"/>
      <c r="BG13" s="298"/>
      <c r="BH13" s="298"/>
      <c r="BI13" s="299"/>
    </row>
    <row r="14" spans="1:61" s="1" customFormat="1" ht="13.5">
      <c r="A14" s="282">
        <f t="shared" si="1"/>
        <v>6</v>
      </c>
      <c r="B14" s="283"/>
      <c r="C14" s="272" t="s">
        <v>342</v>
      </c>
      <c r="D14" s="273"/>
      <c r="E14" s="273"/>
      <c r="F14" s="273"/>
      <c r="G14" s="273"/>
      <c r="H14" s="273"/>
      <c r="I14" s="273"/>
      <c r="J14" s="273"/>
      <c r="K14" s="273"/>
      <c r="L14" s="274"/>
      <c r="M14" s="272" t="s">
        <v>343</v>
      </c>
      <c r="N14" s="273"/>
      <c r="O14" s="273"/>
      <c r="P14" s="273"/>
      <c r="Q14" s="273"/>
      <c r="R14" s="273"/>
      <c r="S14" s="273"/>
      <c r="T14" s="273"/>
      <c r="U14" s="273"/>
      <c r="V14" s="274"/>
      <c r="W14" s="272" t="s">
        <v>344</v>
      </c>
      <c r="X14" s="273"/>
      <c r="Y14" s="273"/>
      <c r="Z14" s="273"/>
      <c r="AA14" s="273"/>
      <c r="AB14" s="273"/>
      <c r="AC14" s="273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4"/>
      <c r="AZ14" s="272"/>
      <c r="BA14" s="273"/>
      <c r="BB14" s="273"/>
      <c r="BC14" s="273"/>
      <c r="BD14" s="273"/>
      <c r="BE14" s="273"/>
      <c r="BF14" s="273"/>
      <c r="BG14" s="273"/>
      <c r="BH14" s="273"/>
      <c r="BI14" s="274"/>
    </row>
    <row r="15" spans="1:61" s="1" customFormat="1" ht="13.5">
      <c r="A15" s="282">
        <f t="shared" si="1"/>
        <v>7</v>
      </c>
      <c r="B15" s="283"/>
      <c r="C15" s="272" t="s">
        <v>345</v>
      </c>
      <c r="D15" s="273"/>
      <c r="E15" s="273"/>
      <c r="F15" s="273"/>
      <c r="G15" s="273"/>
      <c r="H15" s="273"/>
      <c r="I15" s="273"/>
      <c r="J15" s="273"/>
      <c r="K15" s="273"/>
      <c r="L15" s="274"/>
      <c r="M15" s="272" t="s">
        <v>346</v>
      </c>
      <c r="N15" s="273"/>
      <c r="O15" s="273"/>
      <c r="P15" s="273"/>
      <c r="Q15" s="273"/>
      <c r="R15" s="273"/>
      <c r="S15" s="273"/>
      <c r="T15" s="273"/>
      <c r="U15" s="273"/>
      <c r="V15" s="274"/>
      <c r="W15" s="272" t="s">
        <v>347</v>
      </c>
      <c r="X15" s="273"/>
      <c r="Y15" s="273"/>
      <c r="Z15" s="273"/>
      <c r="AA15" s="273"/>
      <c r="AB15" s="273"/>
      <c r="AC15" s="273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4"/>
      <c r="AZ15" s="272"/>
      <c r="BA15" s="273"/>
      <c r="BB15" s="273"/>
      <c r="BC15" s="273"/>
      <c r="BD15" s="273"/>
      <c r="BE15" s="273"/>
      <c r="BF15" s="273"/>
      <c r="BG15" s="273"/>
      <c r="BH15" s="273"/>
      <c r="BI15" s="274"/>
    </row>
    <row r="16" spans="1:61" s="1" customFormat="1" ht="13.5">
      <c r="A16" s="282">
        <f t="shared" si="1"/>
        <v>8</v>
      </c>
      <c r="B16" s="283"/>
      <c r="C16" s="272" t="s">
        <v>348</v>
      </c>
      <c r="D16" s="273"/>
      <c r="E16" s="273"/>
      <c r="F16" s="273"/>
      <c r="G16" s="273"/>
      <c r="H16" s="273"/>
      <c r="I16" s="273"/>
      <c r="J16" s="273"/>
      <c r="K16" s="273"/>
      <c r="L16" s="274"/>
      <c r="M16" s="272" t="s">
        <v>349</v>
      </c>
      <c r="N16" s="273"/>
      <c r="O16" s="273"/>
      <c r="P16" s="273"/>
      <c r="Q16" s="273"/>
      <c r="R16" s="273"/>
      <c r="S16" s="273"/>
      <c r="T16" s="273"/>
      <c r="U16" s="273"/>
      <c r="V16" s="274"/>
      <c r="W16" s="272" t="s">
        <v>350</v>
      </c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4"/>
      <c r="AZ16" s="272"/>
      <c r="BA16" s="273"/>
      <c r="BB16" s="273"/>
      <c r="BC16" s="273"/>
      <c r="BD16" s="273"/>
      <c r="BE16" s="273"/>
      <c r="BF16" s="273"/>
      <c r="BG16" s="273"/>
      <c r="BH16" s="273"/>
      <c r="BI16" s="274"/>
    </row>
    <row r="17" spans="1:61" s="1" customFormat="1" ht="13.5">
      <c r="A17" s="282">
        <f t="shared" si="0"/>
        <v>9</v>
      </c>
      <c r="B17" s="283"/>
      <c r="C17" s="272"/>
      <c r="D17" s="273"/>
      <c r="E17" s="273"/>
      <c r="F17" s="273"/>
      <c r="G17" s="273"/>
      <c r="H17" s="273"/>
      <c r="I17" s="273"/>
      <c r="J17" s="273"/>
      <c r="K17" s="273"/>
      <c r="L17" s="274"/>
      <c r="M17" s="272"/>
      <c r="N17" s="273"/>
      <c r="O17" s="273"/>
      <c r="P17" s="273"/>
      <c r="Q17" s="273"/>
      <c r="R17" s="273"/>
      <c r="S17" s="273"/>
      <c r="T17" s="273"/>
      <c r="U17" s="273"/>
      <c r="V17" s="274"/>
      <c r="W17" s="272"/>
      <c r="X17" s="273"/>
      <c r="Y17" s="273"/>
      <c r="Z17" s="273"/>
      <c r="AA17" s="273"/>
      <c r="AB17" s="273"/>
      <c r="AC17" s="273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4"/>
      <c r="AZ17" s="272"/>
      <c r="BA17" s="273"/>
      <c r="BB17" s="273"/>
      <c r="BC17" s="273"/>
      <c r="BD17" s="273"/>
      <c r="BE17" s="273"/>
      <c r="BF17" s="273"/>
      <c r="BG17" s="273"/>
      <c r="BH17" s="273"/>
      <c r="BI17" s="274"/>
    </row>
    <row r="18" spans="1:61" s="1" customFormat="1" ht="14.1" thickBot="1">
      <c r="A18" s="423">
        <f t="shared" si="0"/>
        <v>10</v>
      </c>
      <c r="B18" s="424"/>
      <c r="C18" s="275"/>
      <c r="D18" s="276"/>
      <c r="E18" s="276"/>
      <c r="F18" s="276"/>
      <c r="G18" s="276"/>
      <c r="H18" s="276"/>
      <c r="I18" s="276"/>
      <c r="J18" s="276"/>
      <c r="K18" s="276"/>
      <c r="L18" s="277"/>
      <c r="M18" s="275"/>
      <c r="N18" s="276"/>
      <c r="O18" s="276"/>
      <c r="P18" s="276"/>
      <c r="Q18" s="276"/>
      <c r="R18" s="276"/>
      <c r="S18" s="276"/>
      <c r="T18" s="276"/>
      <c r="U18" s="276"/>
      <c r="V18" s="277"/>
      <c r="W18" s="275"/>
      <c r="X18" s="276"/>
      <c r="Y18" s="276"/>
      <c r="Z18" s="276"/>
      <c r="AA18" s="276"/>
      <c r="AB18" s="276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6"/>
      <c r="AS18" s="276"/>
      <c r="AT18" s="276"/>
      <c r="AU18" s="276"/>
      <c r="AV18" s="276"/>
      <c r="AW18" s="276"/>
      <c r="AX18" s="276"/>
      <c r="AY18" s="277"/>
      <c r="AZ18" s="275"/>
      <c r="BA18" s="276"/>
      <c r="BB18" s="276"/>
      <c r="BC18" s="276"/>
      <c r="BD18" s="276"/>
      <c r="BE18" s="276"/>
      <c r="BF18" s="276"/>
      <c r="BG18" s="276"/>
      <c r="BH18" s="276"/>
      <c r="BI18" s="277"/>
    </row>
  </sheetData>
  <mergeCells count="73">
    <mergeCell ref="A10:B10"/>
    <mergeCell ref="A8:B8"/>
    <mergeCell ref="A11:B11"/>
    <mergeCell ref="A9:B9"/>
    <mergeCell ref="A12:B12"/>
    <mergeCell ref="C8:L8"/>
    <mergeCell ref="M8:V8"/>
    <mergeCell ref="C15:L15"/>
    <mergeCell ref="C11:L11"/>
    <mergeCell ref="M13:V13"/>
    <mergeCell ref="C10:L10"/>
    <mergeCell ref="M10:V10"/>
    <mergeCell ref="C9:L9"/>
    <mergeCell ref="M9:V9"/>
    <mergeCell ref="M11:V11"/>
    <mergeCell ref="F1:P1"/>
    <mergeCell ref="Q1:V1"/>
    <mergeCell ref="F2:P3"/>
    <mergeCell ref="Q2:V3"/>
    <mergeCell ref="A4:I4"/>
    <mergeCell ref="BB1:BI1"/>
    <mergeCell ref="AZ8:BI8"/>
    <mergeCell ref="AE2:AS3"/>
    <mergeCell ref="AE1:AS1"/>
    <mergeCell ref="W1:AD1"/>
    <mergeCell ref="AZ11:BI11"/>
    <mergeCell ref="W11:AY11"/>
    <mergeCell ref="W16:AY16"/>
    <mergeCell ref="C13:L13"/>
    <mergeCell ref="A1:E3"/>
    <mergeCell ref="AT1:BA1"/>
    <mergeCell ref="AT2:AU2"/>
    <mergeCell ref="AV2:BA2"/>
    <mergeCell ref="AZ9:BI9"/>
    <mergeCell ref="W2:AD3"/>
    <mergeCell ref="BB2:BI2"/>
    <mergeCell ref="AT3:AU3"/>
    <mergeCell ref="AV3:BA3"/>
    <mergeCell ref="BB3:BI3"/>
    <mergeCell ref="W8:AY8"/>
    <mergeCell ref="W9:AY9"/>
    <mergeCell ref="M16:V16"/>
    <mergeCell ref="M14:V14"/>
    <mergeCell ref="C14:L14"/>
    <mergeCell ref="C16:L16"/>
    <mergeCell ref="AZ14:BI14"/>
    <mergeCell ref="AZ15:BI15"/>
    <mergeCell ref="M15:V15"/>
    <mergeCell ref="W15:AY15"/>
    <mergeCell ref="AZ16:BI16"/>
    <mergeCell ref="W14:AY14"/>
    <mergeCell ref="A18:B18"/>
    <mergeCell ref="A17:B17"/>
    <mergeCell ref="A13:B13"/>
    <mergeCell ref="A15:B15"/>
    <mergeCell ref="A16:B16"/>
    <mergeCell ref="A14:B14"/>
    <mergeCell ref="W10:AY10"/>
    <mergeCell ref="AZ10:BI10"/>
    <mergeCell ref="C18:L18"/>
    <mergeCell ref="M18:V18"/>
    <mergeCell ref="W18:AY18"/>
    <mergeCell ref="AZ18:BI18"/>
    <mergeCell ref="C12:L12"/>
    <mergeCell ref="M12:V12"/>
    <mergeCell ref="W12:AY12"/>
    <mergeCell ref="AZ12:BI12"/>
    <mergeCell ref="C17:L17"/>
    <mergeCell ref="M17:V17"/>
    <mergeCell ref="W17:AY17"/>
    <mergeCell ref="AZ17:BI17"/>
    <mergeCell ref="W13:AY13"/>
    <mergeCell ref="AZ13:BI1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6B2B-D471-419A-B786-D46D3A808E37}">
  <sheetPr codeName="Sheet11"/>
  <dimension ref="A1:BI43"/>
  <sheetViews>
    <sheetView showGridLines="0" zoomScaleNormal="10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2.5" defaultRowHeight="15" customHeight="1"/>
  <cols>
    <col min="1" max="16384" width="2.5" style="40"/>
  </cols>
  <sheetData>
    <row r="1" spans="1:61" s="1" customFormat="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s="1" customFormat="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s="1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s="1" customFormat="1" ht="15" customHeight="1" thickBot="1">
      <c r="A5" s="289" t="s">
        <v>351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  <c r="AT5" s="309"/>
      <c r="AU5" s="309"/>
      <c r="AV5" s="309"/>
      <c r="AW5" s="309"/>
      <c r="AX5" s="309"/>
      <c r="AY5" s="309"/>
      <c r="AZ5" s="309"/>
      <c r="BA5" s="309"/>
      <c r="BB5" s="309"/>
      <c r="BC5" s="309"/>
      <c r="BD5" s="309"/>
      <c r="BE5" s="309"/>
      <c r="BF5" s="309"/>
      <c r="BG5" s="309"/>
      <c r="BH5" s="309"/>
      <c r="BI5" s="310"/>
    </row>
    <row r="6" spans="1:61" s="1" customFormat="1" ht="15" customHeight="1">
      <c r="A6" s="108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10"/>
    </row>
    <row r="7" spans="1:61" s="1" customFormat="1" ht="15" customHeight="1">
      <c r="A7" s="15"/>
      <c r="B7" s="1" t="s">
        <v>352</v>
      </c>
      <c r="BI7" s="24"/>
    </row>
    <row r="8" spans="1:61" s="1" customFormat="1" ht="15" customHeight="1">
      <c r="A8" s="15"/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>
      <c r="A38" s="15"/>
      <c r="BI38" s="24"/>
    </row>
    <row r="39" spans="1:61" s="1" customFormat="1" ht="15" customHeight="1">
      <c r="A39" s="15"/>
      <c r="BI39" s="24"/>
    </row>
    <row r="40" spans="1:61" s="1" customFormat="1" ht="15" customHeight="1">
      <c r="A40" s="15"/>
      <c r="BI40" s="24"/>
    </row>
    <row r="41" spans="1:61" s="1" customFormat="1" ht="15" customHeight="1">
      <c r="A41" s="15"/>
      <c r="BI41" s="24"/>
    </row>
    <row r="42" spans="1:61" s="1" customFormat="1" ht="15" customHeight="1">
      <c r="A42" s="15"/>
      <c r="BI42" s="24"/>
    </row>
    <row r="43" spans="1:61" s="1" customFormat="1" ht="15" customHeight="1" thickBot="1">
      <c r="A43" s="17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6"/>
    </row>
  </sheetData>
  <mergeCells count="19">
    <mergeCell ref="A4:H4"/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  <mergeCell ref="BB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AAA1-7B08-4F70-B7CD-52F67641BB41}">
  <sheetPr codeName="Sheet12"/>
  <dimension ref="A1:BI36"/>
  <sheetViews>
    <sheetView showGridLines="0" zoomScale="115" zoomScaleNormal="115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2.5" defaultRowHeight="15" customHeight="1"/>
  <cols>
    <col min="1" max="16384" width="2.5" style="40"/>
  </cols>
  <sheetData>
    <row r="1" spans="1:61" s="1" customFormat="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s="1" customFormat="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s="1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s="1" customFormat="1" ht="15" customHeight="1" thickBot="1">
      <c r="A5" s="289" t="s">
        <v>351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  <c r="AT5" s="309"/>
      <c r="AU5" s="309"/>
      <c r="AV5" s="309"/>
      <c r="AW5" s="309"/>
      <c r="AX5" s="309"/>
      <c r="AY5" s="309"/>
      <c r="AZ5" s="309"/>
      <c r="BA5" s="309"/>
      <c r="BB5" s="309"/>
      <c r="BC5" s="309"/>
      <c r="BD5" s="309"/>
      <c r="BE5" s="309"/>
      <c r="BF5" s="309"/>
      <c r="BG5" s="309"/>
      <c r="BH5" s="309"/>
      <c r="BI5" s="310"/>
    </row>
    <row r="6" spans="1:61" s="1" customFormat="1" ht="15" customHeight="1">
      <c r="A6" s="15"/>
      <c r="BI6" s="24"/>
    </row>
    <row r="7" spans="1:61" s="1" customFormat="1" ht="15" customHeight="1">
      <c r="A7" s="15"/>
      <c r="BI7" s="24"/>
    </row>
    <row r="8" spans="1:61" s="1" customFormat="1" ht="15" customHeight="1">
      <c r="A8" s="15"/>
      <c r="B8" s="1" t="s">
        <v>353</v>
      </c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 thickBot="1">
      <c r="A36" s="17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6"/>
    </row>
  </sheetData>
  <mergeCells count="19">
    <mergeCell ref="A4:H4"/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  <mergeCell ref="BB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ACAC-EB8A-4D61-8AEC-6675DD0DC420}">
  <sheetPr codeName="Sheet13"/>
  <dimension ref="A1:BI26"/>
  <sheetViews>
    <sheetView showGridLines="0" zoomScaleNormal="100" workbookViewId="0">
      <selection activeCell="X20" sqref="X20"/>
    </sheetView>
  </sheetViews>
  <sheetFormatPr defaultColWidth="2.5" defaultRowHeight="15" customHeight="1"/>
  <cols>
    <col min="1" max="16384" width="2.5" style="40"/>
  </cols>
  <sheetData>
    <row r="1" spans="1:61" s="1" customFormat="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s="1" customFormat="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s="1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/>
    <row r="5" spans="1:61" s="1" customFormat="1" ht="15" customHeight="1" thickBot="1">
      <c r="A5" s="289" t="s">
        <v>351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  <c r="AT5" s="309"/>
      <c r="AU5" s="309"/>
      <c r="AV5" s="309"/>
      <c r="AW5" s="309"/>
      <c r="AX5" s="309"/>
      <c r="AY5" s="309"/>
      <c r="AZ5" s="309"/>
      <c r="BA5" s="309"/>
      <c r="BB5" s="309"/>
      <c r="BC5" s="309"/>
      <c r="BD5" s="309"/>
      <c r="BE5" s="309"/>
      <c r="BF5" s="309"/>
      <c r="BG5" s="309"/>
      <c r="BH5" s="309"/>
      <c r="BI5" s="310"/>
    </row>
    <row r="6" spans="1:61" s="1" customFormat="1" ht="15" customHeight="1">
      <c r="A6" s="15"/>
      <c r="BI6" s="24"/>
    </row>
    <row r="7" spans="1:61" s="1" customFormat="1" ht="15" customHeight="1">
      <c r="A7" s="15"/>
      <c r="B7" s="102" t="s">
        <v>354</v>
      </c>
      <c r="C7" s="102"/>
      <c r="BI7" s="24"/>
    </row>
    <row r="8" spans="1:61" s="1" customFormat="1" ht="15" customHeight="1">
      <c r="A8" s="15"/>
      <c r="B8" s="101"/>
      <c r="C8" s="102" t="s">
        <v>355</v>
      </c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3"/>
      <c r="AW8" s="103"/>
      <c r="AX8" s="103"/>
      <c r="BI8" s="24"/>
    </row>
    <row r="9" spans="1:61" s="1" customFormat="1" ht="15" customHeight="1">
      <c r="A9" s="15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3"/>
      <c r="AW9" s="103"/>
      <c r="AX9" s="103"/>
      <c r="BI9" s="24"/>
    </row>
    <row r="10" spans="1:61" s="1" customFormat="1" ht="15" customHeight="1">
      <c r="A10" s="15"/>
      <c r="C10" s="104" t="s">
        <v>356</v>
      </c>
      <c r="D10" s="105"/>
      <c r="E10" s="105"/>
      <c r="F10" s="105"/>
      <c r="G10" s="105"/>
      <c r="H10" s="105"/>
      <c r="I10" s="105"/>
      <c r="J10" s="104" t="s">
        <v>357</v>
      </c>
      <c r="K10" s="104"/>
      <c r="L10" s="104"/>
      <c r="M10" s="104"/>
      <c r="N10" s="104"/>
      <c r="O10" s="104"/>
      <c r="P10" s="443" t="s">
        <v>358</v>
      </c>
      <c r="Q10" s="444"/>
      <c r="R10" s="444"/>
      <c r="S10" s="444"/>
      <c r="T10" s="444"/>
      <c r="U10" s="445"/>
      <c r="V10" s="446" t="s">
        <v>359</v>
      </c>
      <c r="W10" s="446"/>
      <c r="X10" s="446"/>
      <c r="Y10" s="446"/>
      <c r="Z10" s="446"/>
      <c r="AA10" s="446"/>
      <c r="AB10" s="446"/>
      <c r="AC10" s="446"/>
      <c r="AD10" s="446"/>
      <c r="AE10" s="446"/>
      <c r="AF10" s="443" t="s">
        <v>360</v>
      </c>
      <c r="AG10" s="444"/>
      <c r="AH10" s="444"/>
      <c r="AI10" s="444"/>
      <c r="AJ10" s="444"/>
      <c r="AK10" s="444"/>
      <c r="AL10" s="444"/>
      <c r="AM10" s="444"/>
      <c r="AN10" s="444"/>
      <c r="AO10" s="444"/>
      <c r="AP10" s="444"/>
      <c r="AQ10" s="444"/>
      <c r="AR10" s="444"/>
      <c r="AS10" s="444"/>
      <c r="AT10" s="444"/>
      <c r="AU10" s="444"/>
      <c r="AV10" s="444"/>
      <c r="AW10" s="444"/>
      <c r="AX10" s="444"/>
      <c r="AY10" s="444"/>
      <c r="AZ10" s="444"/>
      <c r="BA10" s="444"/>
      <c r="BB10" s="444"/>
      <c r="BC10" s="444"/>
      <c r="BI10" s="24"/>
    </row>
    <row r="11" spans="1:61" s="1" customFormat="1" ht="15" customHeight="1">
      <c r="A11" s="15"/>
      <c r="C11" s="427" t="s">
        <v>361</v>
      </c>
      <c r="D11" s="428"/>
      <c r="E11" s="428"/>
      <c r="F11" s="428"/>
      <c r="G11" s="428"/>
      <c r="H11" s="428"/>
      <c r="I11" s="429"/>
      <c r="J11" s="430" t="s">
        <v>362</v>
      </c>
      <c r="K11" s="431"/>
      <c r="L11" s="431"/>
      <c r="M11" s="431"/>
      <c r="N11" s="431"/>
      <c r="O11" s="432"/>
      <c r="P11" s="433">
        <v>1</v>
      </c>
      <c r="Q11" s="428"/>
      <c r="R11" s="428"/>
      <c r="S11" s="428"/>
      <c r="T11" s="428"/>
      <c r="U11" s="429"/>
      <c r="V11" s="441" t="s">
        <v>363</v>
      </c>
      <c r="W11" s="442"/>
      <c r="X11" s="442"/>
      <c r="Y11" s="442"/>
      <c r="Z11" s="442"/>
      <c r="AA11" s="442"/>
      <c r="AB11" s="442"/>
      <c r="AC11" s="442"/>
      <c r="AD11" s="442"/>
      <c r="AE11" s="442"/>
      <c r="AF11" s="438" t="s">
        <v>364</v>
      </c>
      <c r="AG11" s="439"/>
      <c r="AH11" s="439"/>
      <c r="AI11" s="439"/>
      <c r="AJ11" s="439"/>
      <c r="AK11" s="439"/>
      <c r="AL11" s="439"/>
      <c r="AM11" s="439"/>
      <c r="AN11" s="439"/>
      <c r="AO11" s="439"/>
      <c r="AP11" s="439"/>
      <c r="AQ11" s="439"/>
      <c r="AR11" s="439"/>
      <c r="AS11" s="439"/>
      <c r="AT11" s="439"/>
      <c r="AU11" s="439"/>
      <c r="AV11" s="439"/>
      <c r="AW11" s="439"/>
      <c r="AX11" s="439"/>
      <c r="AY11" s="439"/>
      <c r="AZ11" s="439"/>
      <c r="BA11" s="439"/>
      <c r="BB11" s="439"/>
      <c r="BC11" s="440"/>
      <c r="BI11" s="24"/>
    </row>
    <row r="12" spans="1:61" s="1" customFormat="1" ht="15" customHeight="1">
      <c r="A12" s="15"/>
      <c r="C12" s="427"/>
      <c r="D12" s="428"/>
      <c r="E12" s="428"/>
      <c r="F12" s="428"/>
      <c r="G12" s="428"/>
      <c r="H12" s="428"/>
      <c r="I12" s="429"/>
      <c r="J12" s="430"/>
      <c r="K12" s="431"/>
      <c r="L12" s="431"/>
      <c r="M12" s="431"/>
      <c r="N12" s="431"/>
      <c r="O12" s="432"/>
      <c r="P12" s="433"/>
      <c r="Q12" s="428"/>
      <c r="R12" s="428"/>
      <c r="S12" s="428"/>
      <c r="T12" s="428"/>
      <c r="U12" s="429"/>
      <c r="V12" s="441"/>
      <c r="W12" s="442"/>
      <c r="X12" s="442"/>
      <c r="Y12" s="442"/>
      <c r="Z12" s="442"/>
      <c r="AA12" s="442"/>
      <c r="AB12" s="442"/>
      <c r="AC12" s="442"/>
      <c r="AD12" s="442"/>
      <c r="AE12" s="442"/>
      <c r="AF12" s="438"/>
      <c r="AG12" s="439"/>
      <c r="AH12" s="439"/>
      <c r="AI12" s="439"/>
      <c r="AJ12" s="439"/>
      <c r="AK12" s="439"/>
      <c r="AL12" s="439"/>
      <c r="AM12" s="439"/>
      <c r="AN12" s="439"/>
      <c r="AO12" s="439"/>
      <c r="AP12" s="439"/>
      <c r="AQ12" s="439"/>
      <c r="AR12" s="439"/>
      <c r="AS12" s="439"/>
      <c r="AT12" s="439"/>
      <c r="AU12" s="439"/>
      <c r="AV12" s="439"/>
      <c r="AW12" s="439"/>
      <c r="AX12" s="439"/>
      <c r="AY12" s="439"/>
      <c r="AZ12" s="439"/>
      <c r="BA12" s="439"/>
      <c r="BB12" s="439"/>
      <c r="BC12" s="440"/>
      <c r="BI12" s="24"/>
    </row>
    <row r="13" spans="1:61" s="1" customFormat="1" ht="15" customHeight="1">
      <c r="A13" s="15"/>
      <c r="C13" s="427"/>
      <c r="D13" s="428"/>
      <c r="E13" s="428"/>
      <c r="F13" s="428"/>
      <c r="G13" s="428"/>
      <c r="H13" s="428"/>
      <c r="I13" s="429"/>
      <c r="J13" s="430"/>
      <c r="K13" s="431"/>
      <c r="L13" s="431"/>
      <c r="M13" s="431"/>
      <c r="N13" s="431"/>
      <c r="O13" s="432"/>
      <c r="P13" s="433"/>
      <c r="Q13" s="434"/>
      <c r="R13" s="434"/>
      <c r="S13" s="434"/>
      <c r="T13" s="434"/>
      <c r="U13" s="435"/>
      <c r="V13" s="436"/>
      <c r="W13" s="285"/>
      <c r="X13" s="285"/>
      <c r="Y13" s="285"/>
      <c r="Z13" s="285"/>
      <c r="AA13" s="285"/>
      <c r="AB13" s="285"/>
      <c r="AC13" s="285"/>
      <c r="AD13" s="285"/>
      <c r="AE13" s="437"/>
      <c r="AF13" s="438"/>
      <c r="AG13" s="439"/>
      <c r="AH13" s="439"/>
      <c r="AI13" s="439"/>
      <c r="AJ13" s="439"/>
      <c r="AK13" s="439"/>
      <c r="AL13" s="439"/>
      <c r="AM13" s="439"/>
      <c r="AN13" s="439"/>
      <c r="AO13" s="439"/>
      <c r="AP13" s="439"/>
      <c r="AQ13" s="439"/>
      <c r="AR13" s="439"/>
      <c r="AS13" s="439"/>
      <c r="AT13" s="439"/>
      <c r="AU13" s="439"/>
      <c r="AV13" s="439"/>
      <c r="AW13" s="439"/>
      <c r="AX13" s="439"/>
      <c r="AY13" s="439"/>
      <c r="AZ13" s="439"/>
      <c r="BA13" s="439"/>
      <c r="BB13" s="439"/>
      <c r="BC13" s="440"/>
      <c r="BI13" s="24"/>
    </row>
    <row r="14" spans="1:61" s="1" customFormat="1" ht="15" customHeight="1">
      <c r="A14" s="15"/>
      <c r="C14" s="427"/>
      <c r="D14" s="428"/>
      <c r="E14" s="428"/>
      <c r="F14" s="428"/>
      <c r="G14" s="428"/>
      <c r="H14" s="428"/>
      <c r="I14" s="429"/>
      <c r="J14" s="430"/>
      <c r="K14" s="431"/>
      <c r="L14" s="431"/>
      <c r="M14" s="431"/>
      <c r="N14" s="431"/>
      <c r="O14" s="432"/>
      <c r="P14" s="433"/>
      <c r="Q14" s="434"/>
      <c r="R14" s="434"/>
      <c r="S14" s="434"/>
      <c r="T14" s="434"/>
      <c r="U14" s="435"/>
      <c r="V14" s="436"/>
      <c r="W14" s="285"/>
      <c r="X14" s="285"/>
      <c r="Y14" s="285"/>
      <c r="Z14" s="285"/>
      <c r="AA14" s="285"/>
      <c r="AB14" s="285"/>
      <c r="AC14" s="285"/>
      <c r="AD14" s="285"/>
      <c r="AE14" s="437"/>
      <c r="AF14" s="438"/>
      <c r="AG14" s="439"/>
      <c r="AH14" s="439"/>
      <c r="AI14" s="439"/>
      <c r="AJ14" s="439"/>
      <c r="AK14" s="439"/>
      <c r="AL14" s="439"/>
      <c r="AM14" s="439"/>
      <c r="AN14" s="439"/>
      <c r="AO14" s="439"/>
      <c r="AP14" s="439"/>
      <c r="AQ14" s="439"/>
      <c r="AR14" s="439"/>
      <c r="AS14" s="439"/>
      <c r="AT14" s="439"/>
      <c r="AU14" s="439"/>
      <c r="AV14" s="439"/>
      <c r="AW14" s="439"/>
      <c r="AX14" s="439"/>
      <c r="AY14" s="439"/>
      <c r="AZ14" s="439"/>
      <c r="BA14" s="439"/>
      <c r="BB14" s="439"/>
      <c r="BC14" s="440"/>
      <c r="BI14" s="24"/>
    </row>
    <row r="15" spans="1:61" s="1" customFormat="1" ht="15" customHeight="1">
      <c r="A15" s="15"/>
      <c r="C15" s="427"/>
      <c r="D15" s="428"/>
      <c r="E15" s="428"/>
      <c r="F15" s="428"/>
      <c r="G15" s="428"/>
      <c r="H15" s="428"/>
      <c r="I15" s="429"/>
      <c r="J15" s="430"/>
      <c r="K15" s="431"/>
      <c r="L15" s="431"/>
      <c r="M15" s="431"/>
      <c r="N15" s="431"/>
      <c r="O15" s="432"/>
      <c r="P15" s="433"/>
      <c r="Q15" s="434"/>
      <c r="R15" s="434"/>
      <c r="S15" s="434"/>
      <c r="T15" s="434"/>
      <c r="U15" s="435"/>
      <c r="V15" s="436"/>
      <c r="W15" s="285"/>
      <c r="X15" s="285"/>
      <c r="Y15" s="285"/>
      <c r="Z15" s="285"/>
      <c r="AA15" s="285"/>
      <c r="AB15" s="285"/>
      <c r="AC15" s="285"/>
      <c r="AD15" s="285"/>
      <c r="AE15" s="437"/>
      <c r="AF15" s="438"/>
      <c r="AG15" s="439"/>
      <c r="AH15" s="439"/>
      <c r="AI15" s="439"/>
      <c r="AJ15" s="439"/>
      <c r="AK15" s="439"/>
      <c r="AL15" s="439"/>
      <c r="AM15" s="439"/>
      <c r="AN15" s="439"/>
      <c r="AO15" s="439"/>
      <c r="AP15" s="439"/>
      <c r="AQ15" s="439"/>
      <c r="AR15" s="439"/>
      <c r="AS15" s="439"/>
      <c r="AT15" s="439"/>
      <c r="AU15" s="439"/>
      <c r="AV15" s="439"/>
      <c r="AW15" s="439"/>
      <c r="AX15" s="439"/>
      <c r="AY15" s="439"/>
      <c r="AZ15" s="439"/>
      <c r="BA15" s="439"/>
      <c r="BB15" s="439"/>
      <c r="BC15" s="440"/>
      <c r="BI15" s="24"/>
    </row>
    <row r="16" spans="1:61" s="1" customFormat="1" ht="15" customHeight="1">
      <c r="A16" s="15"/>
      <c r="C16" s="427"/>
      <c r="D16" s="428"/>
      <c r="E16" s="428"/>
      <c r="F16" s="428"/>
      <c r="G16" s="428"/>
      <c r="H16" s="428"/>
      <c r="I16" s="429"/>
      <c r="J16" s="430"/>
      <c r="K16" s="431"/>
      <c r="L16" s="431"/>
      <c r="M16" s="431"/>
      <c r="N16" s="431"/>
      <c r="O16" s="432"/>
      <c r="P16" s="433"/>
      <c r="Q16" s="434"/>
      <c r="R16" s="434"/>
      <c r="S16" s="434"/>
      <c r="T16" s="434"/>
      <c r="U16" s="435"/>
      <c r="V16" s="436"/>
      <c r="W16" s="285"/>
      <c r="X16" s="285"/>
      <c r="Y16" s="285"/>
      <c r="Z16" s="285"/>
      <c r="AA16" s="285"/>
      <c r="AB16" s="285"/>
      <c r="AC16" s="285"/>
      <c r="AD16" s="285"/>
      <c r="AE16" s="437"/>
      <c r="AF16" s="438"/>
      <c r="AG16" s="439"/>
      <c r="AH16" s="439"/>
      <c r="AI16" s="439"/>
      <c r="AJ16" s="439"/>
      <c r="AK16" s="439"/>
      <c r="AL16" s="439"/>
      <c r="AM16" s="439"/>
      <c r="AN16" s="439"/>
      <c r="AO16" s="439"/>
      <c r="AP16" s="439"/>
      <c r="AQ16" s="439"/>
      <c r="AR16" s="439"/>
      <c r="AS16" s="439"/>
      <c r="AT16" s="439"/>
      <c r="AU16" s="439"/>
      <c r="AV16" s="439"/>
      <c r="AW16" s="439"/>
      <c r="AX16" s="439"/>
      <c r="AY16" s="439"/>
      <c r="AZ16" s="439"/>
      <c r="BA16" s="439"/>
      <c r="BB16" s="439"/>
      <c r="BC16" s="440"/>
      <c r="BI16" s="24"/>
    </row>
    <row r="17" spans="1:61" s="1" customFormat="1" ht="15" customHeight="1">
      <c r="A17" s="15"/>
      <c r="C17" s="427"/>
      <c r="D17" s="428"/>
      <c r="E17" s="428"/>
      <c r="F17" s="428"/>
      <c r="G17" s="428"/>
      <c r="H17" s="428"/>
      <c r="I17" s="429"/>
      <c r="J17" s="430"/>
      <c r="K17" s="431"/>
      <c r="L17" s="431"/>
      <c r="M17" s="431"/>
      <c r="N17" s="431"/>
      <c r="O17" s="432"/>
      <c r="P17" s="433"/>
      <c r="Q17" s="434"/>
      <c r="R17" s="434"/>
      <c r="S17" s="434"/>
      <c r="T17" s="434"/>
      <c r="U17" s="435"/>
      <c r="V17" s="436"/>
      <c r="W17" s="285"/>
      <c r="X17" s="285"/>
      <c r="Y17" s="285"/>
      <c r="Z17" s="285"/>
      <c r="AA17" s="285"/>
      <c r="AB17" s="285"/>
      <c r="AC17" s="285"/>
      <c r="AD17" s="285"/>
      <c r="AE17" s="437"/>
      <c r="AF17" s="438"/>
      <c r="AG17" s="439"/>
      <c r="AH17" s="439"/>
      <c r="AI17" s="439"/>
      <c r="AJ17" s="439"/>
      <c r="AK17" s="439"/>
      <c r="AL17" s="439"/>
      <c r="AM17" s="439"/>
      <c r="AN17" s="439"/>
      <c r="AO17" s="439"/>
      <c r="AP17" s="439"/>
      <c r="AQ17" s="439"/>
      <c r="AR17" s="439"/>
      <c r="AS17" s="439"/>
      <c r="AT17" s="439"/>
      <c r="AU17" s="439"/>
      <c r="AV17" s="439"/>
      <c r="AW17" s="439"/>
      <c r="AX17" s="439"/>
      <c r="AY17" s="439"/>
      <c r="AZ17" s="439"/>
      <c r="BA17" s="439"/>
      <c r="BB17" s="439"/>
      <c r="BC17" s="440"/>
      <c r="BI17" s="24"/>
    </row>
    <row r="18" spans="1:61" s="1" customFormat="1" ht="15" customHeight="1">
      <c r="A18" s="15"/>
      <c r="C18" s="102"/>
      <c r="D18" s="103"/>
      <c r="BI18" s="24"/>
    </row>
    <row r="19" spans="1:61" s="1" customFormat="1" ht="15" customHeight="1">
      <c r="A19" s="15"/>
      <c r="M19" s="20"/>
      <c r="N19" s="20"/>
      <c r="O19" s="20"/>
      <c r="P19" s="106"/>
      <c r="Q19" s="106"/>
      <c r="R19" s="106"/>
      <c r="S19" s="106"/>
      <c r="T19" s="106"/>
      <c r="U19" s="106"/>
      <c r="V19" s="106"/>
      <c r="BI19" s="24"/>
    </row>
    <row r="20" spans="1:61" s="1" customFormat="1" ht="15" customHeight="1">
      <c r="A20" s="15"/>
      <c r="M20" s="20"/>
      <c r="N20" s="20"/>
      <c r="O20" s="20"/>
      <c r="P20" s="106"/>
      <c r="Q20" s="106"/>
      <c r="R20" s="106"/>
      <c r="S20" s="106"/>
      <c r="T20" s="106"/>
      <c r="U20" s="106"/>
      <c r="V20" s="106"/>
      <c r="BI20" s="24"/>
    </row>
    <row r="21" spans="1:61" s="1" customFormat="1" ht="15" customHeight="1">
      <c r="A21" s="15"/>
      <c r="B21" s="20"/>
      <c r="C21" s="20"/>
      <c r="D21" s="20"/>
      <c r="E21" s="20"/>
      <c r="F21" s="107"/>
      <c r="J21" s="20"/>
      <c r="K21" s="20"/>
      <c r="L21" s="20"/>
      <c r="M21" s="20"/>
      <c r="N21" s="20"/>
      <c r="O21" s="20"/>
      <c r="P21" s="106"/>
      <c r="Q21" s="106"/>
      <c r="R21" s="106"/>
      <c r="S21" s="106"/>
      <c r="T21" s="106"/>
      <c r="U21" s="106"/>
      <c r="V21" s="106"/>
      <c r="BI21" s="24"/>
    </row>
    <row r="22" spans="1:61" s="1" customFormat="1" ht="15" customHeight="1">
      <c r="A22" s="15"/>
      <c r="B22" s="20"/>
      <c r="C22" s="20"/>
      <c r="D22" s="20"/>
      <c r="E22" s="20"/>
      <c r="F22" s="107"/>
      <c r="J22" s="20"/>
      <c r="K22" s="20"/>
      <c r="L22" s="20"/>
      <c r="M22" s="20"/>
      <c r="N22" s="20"/>
      <c r="O22" s="20"/>
      <c r="P22" s="106"/>
      <c r="Q22" s="106"/>
      <c r="R22" s="106"/>
      <c r="S22" s="106"/>
      <c r="T22" s="106"/>
      <c r="U22" s="106"/>
      <c r="V22" s="106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 thickBot="1">
      <c r="A25" s="1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6"/>
    </row>
    <row r="26" spans="1:61" ht="15" customHeight="1">
      <c r="A26" s="137"/>
      <c r="B26" s="137"/>
      <c r="C26" s="426"/>
      <c r="D26" s="426"/>
      <c r="E26" s="426"/>
      <c r="F26" s="426"/>
      <c r="G26" s="426"/>
      <c r="H26" s="426"/>
      <c r="I26" s="426"/>
      <c r="J26" s="426"/>
      <c r="K26" s="426"/>
      <c r="L26" s="426"/>
      <c r="M26" s="426"/>
      <c r="N26" s="426"/>
      <c r="O26" s="426"/>
      <c r="P26" s="426"/>
      <c r="Q26" s="426"/>
      <c r="R26" s="426"/>
      <c r="S26" s="426"/>
      <c r="T26" s="426"/>
      <c r="U26" s="426"/>
      <c r="V26" s="137"/>
      <c r="W26" s="137"/>
      <c r="X26" s="137"/>
      <c r="Y26" s="137"/>
      <c r="Z26" s="137"/>
      <c r="AA26" s="137"/>
      <c r="AB26" s="137"/>
      <c r="AC26" s="137"/>
      <c r="AD26" s="137"/>
      <c r="AE26" s="426"/>
      <c r="AF26" s="426"/>
      <c r="AG26" s="426"/>
      <c r="AH26" s="426"/>
      <c r="AI26" s="426"/>
      <c r="AJ26" s="426"/>
      <c r="AK26" s="426"/>
      <c r="AL26" s="426"/>
      <c r="AM26" s="426"/>
      <c r="AN26" s="426"/>
      <c r="AO26" s="426"/>
      <c r="AP26" s="426"/>
      <c r="AQ26" s="426"/>
      <c r="AR26" s="426"/>
      <c r="AS26" s="426"/>
      <c r="AT26" s="426"/>
      <c r="AU26" s="426"/>
      <c r="AV26" s="426"/>
      <c r="AW26" s="426"/>
      <c r="AX26" s="426"/>
      <c r="AY26" s="426"/>
      <c r="AZ26" s="426"/>
      <c r="BA26" s="426"/>
      <c r="BB26" s="426"/>
      <c r="BC26" s="426"/>
      <c r="BD26" s="426"/>
      <c r="BE26" s="426"/>
      <c r="BF26" s="426"/>
      <c r="BG26" s="426"/>
      <c r="BH26" s="426"/>
      <c r="BI26" s="426"/>
    </row>
  </sheetData>
  <mergeCells count="62">
    <mergeCell ref="Q1:V1"/>
    <mergeCell ref="W1:AD1"/>
    <mergeCell ref="AE1:AS1"/>
    <mergeCell ref="AT1:BA1"/>
    <mergeCell ref="BB3:BI3"/>
    <mergeCell ref="C11:I11"/>
    <mergeCell ref="J11:O11"/>
    <mergeCell ref="P11:U11"/>
    <mergeCell ref="V11:AE11"/>
    <mergeCell ref="AF11:BC11"/>
    <mergeCell ref="A5:BI5"/>
    <mergeCell ref="P10:U10"/>
    <mergeCell ref="V10:AE10"/>
    <mergeCell ref="AF10:BC10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C13:I13"/>
    <mergeCell ref="J13:O13"/>
    <mergeCell ref="P13:U13"/>
    <mergeCell ref="V13:AE13"/>
    <mergeCell ref="AF13:BC13"/>
    <mergeCell ref="C12:I12"/>
    <mergeCell ref="J12:O12"/>
    <mergeCell ref="P12:U12"/>
    <mergeCell ref="V12:AE12"/>
    <mergeCell ref="AF12:BC12"/>
    <mergeCell ref="C15:I15"/>
    <mergeCell ref="J15:O15"/>
    <mergeCell ref="P15:U15"/>
    <mergeCell ref="V15:AE15"/>
    <mergeCell ref="AF15:BC15"/>
    <mergeCell ref="C14:I14"/>
    <mergeCell ref="J14:O14"/>
    <mergeCell ref="P14:U14"/>
    <mergeCell ref="V14:AE14"/>
    <mergeCell ref="AF14:BC14"/>
    <mergeCell ref="AQ26:BI26"/>
    <mergeCell ref="C16:I16"/>
    <mergeCell ref="J16:O16"/>
    <mergeCell ref="P16:U16"/>
    <mergeCell ref="V16:AE16"/>
    <mergeCell ref="AF16:BC16"/>
    <mergeCell ref="C17:I17"/>
    <mergeCell ref="J17:O17"/>
    <mergeCell ref="P17:U17"/>
    <mergeCell ref="V17:AE17"/>
    <mergeCell ref="AF17:BC17"/>
    <mergeCell ref="A26:B26"/>
    <mergeCell ref="C26:H26"/>
    <mergeCell ref="I26:U26"/>
    <mergeCell ref="V26:AD26"/>
    <mergeCell ref="AE26:AP26"/>
  </mergeCells>
  <phoneticPr fontId="2"/>
  <dataValidations disablePrompts="1" count="2">
    <dataValidation type="list" allowBlank="1" showInputMessage="1" showErrorMessage="1" sqref="C26" xr:uid="{A194F319-71E1-4A57-BA34-AE369A068AFD}">
      <formula1>ヘッダー明細行</formula1>
    </dataValidation>
    <dataValidation type="list" allowBlank="1" showInputMessage="1" showErrorMessage="1" sqref="AE26" xr:uid="{B10A87F1-4D0E-464E-AACF-1299AFA50287}">
      <formula1>取得元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4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1E16-80D2-4552-8335-C7673069727C}">
  <sheetPr codeName="Sheet14"/>
  <dimension ref="A1:BI50"/>
  <sheetViews>
    <sheetView showGridLines="0" zoomScaleNormal="10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2.5" defaultRowHeight="15" customHeight="1"/>
  <cols>
    <col min="1" max="16384" width="2.5" style="40"/>
  </cols>
  <sheetData>
    <row r="1" spans="1:61" s="1" customFormat="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s="1" customFormat="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s="1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s="1" customFormat="1" ht="15" customHeight="1" thickBot="1">
      <c r="A5" s="289" t="s">
        <v>351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  <c r="AT5" s="309"/>
      <c r="AU5" s="309"/>
      <c r="AV5" s="309"/>
      <c r="AW5" s="309"/>
      <c r="AX5" s="309"/>
      <c r="AY5" s="309"/>
      <c r="AZ5" s="309"/>
      <c r="BA5" s="309"/>
      <c r="BB5" s="309"/>
      <c r="BC5" s="309"/>
      <c r="BD5" s="309"/>
      <c r="BE5" s="309"/>
      <c r="BF5" s="309"/>
      <c r="BG5" s="309"/>
      <c r="BH5" s="309"/>
      <c r="BI5" s="310"/>
    </row>
    <row r="6" spans="1:61" s="1" customFormat="1" ht="15" customHeight="1">
      <c r="A6" s="15"/>
      <c r="BI6" s="24"/>
    </row>
    <row r="7" spans="1:61" s="1" customFormat="1" ht="15" customHeight="1">
      <c r="A7" s="15"/>
      <c r="B7" s="1" t="s">
        <v>365</v>
      </c>
      <c r="BI7" s="24"/>
    </row>
    <row r="8" spans="1:61" s="1" customFormat="1" ht="15" customHeight="1">
      <c r="A8" s="15"/>
      <c r="C8" s="1" t="s">
        <v>366</v>
      </c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C10" s="1" t="s">
        <v>367</v>
      </c>
      <c r="AF10" s="1" t="s">
        <v>368</v>
      </c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C32" s="1" t="s">
        <v>369</v>
      </c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>
      <c r="A38" s="15"/>
      <c r="BI38" s="24"/>
    </row>
    <row r="39" spans="1:61" s="1" customFormat="1" ht="15" customHeight="1">
      <c r="A39" s="15"/>
      <c r="BI39" s="24"/>
    </row>
    <row r="40" spans="1:61" s="1" customFormat="1" ht="15" customHeight="1">
      <c r="A40" s="15"/>
      <c r="BI40" s="24"/>
    </row>
    <row r="41" spans="1:61" s="1" customFormat="1" ht="15" customHeight="1">
      <c r="A41" s="15"/>
      <c r="BI41" s="24"/>
    </row>
    <row r="42" spans="1:61" s="1" customFormat="1" ht="15" customHeight="1">
      <c r="A42" s="15"/>
      <c r="BI42" s="24"/>
    </row>
    <row r="43" spans="1:61" s="1" customFormat="1" ht="15" customHeight="1">
      <c r="A43" s="15"/>
      <c r="BI43" s="24"/>
    </row>
    <row r="44" spans="1:61" s="1" customFormat="1" ht="15" customHeight="1">
      <c r="A44" s="15"/>
      <c r="BI44" s="24"/>
    </row>
    <row r="45" spans="1:61" s="1" customFormat="1" ht="15" customHeight="1">
      <c r="A45" s="15"/>
      <c r="BI45" s="24"/>
    </row>
    <row r="46" spans="1:61" s="1" customFormat="1" ht="15" customHeight="1">
      <c r="A46" s="15"/>
      <c r="BI46" s="24"/>
    </row>
    <row r="47" spans="1:61" s="1" customFormat="1" ht="15" customHeight="1">
      <c r="A47" s="15"/>
      <c r="BI47" s="24"/>
    </row>
    <row r="48" spans="1:61" s="1" customFormat="1" ht="15" customHeight="1">
      <c r="A48" s="15"/>
      <c r="BI48" s="24"/>
    </row>
    <row r="49" spans="1:61" s="1" customFormat="1" ht="15" customHeight="1">
      <c r="A49" s="15"/>
      <c r="BI49" s="24"/>
    </row>
    <row r="50" spans="1:61" s="1" customFormat="1" ht="15" customHeight="1" thickBot="1">
      <c r="A50" s="17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6"/>
    </row>
  </sheetData>
  <mergeCells count="19">
    <mergeCell ref="BB3:BI3"/>
    <mergeCell ref="A4:H4"/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1AAE-0EAC-4224-9BBB-EAA67AA8D42A}">
  <sheetPr codeName="Sheet15"/>
  <dimension ref="A1:BI40"/>
  <sheetViews>
    <sheetView showGridLines="0" zoomScaleNormal="100" workbookViewId="0">
      <pane ySplit="5" topLeftCell="A6" activePane="bottomLeft" state="frozen"/>
      <selection pane="bottomLeft" activeCell="A6" sqref="A6:B6"/>
      <selection activeCell="A6" sqref="A6"/>
    </sheetView>
  </sheetViews>
  <sheetFormatPr defaultColWidth="2.5" defaultRowHeight="15" customHeight="1"/>
  <cols>
    <col min="1" max="57" width="2.5" style="1"/>
    <col min="58" max="59" width="2.5" style="1" customWidth="1"/>
    <col min="60" max="16384" width="2.5" style="1"/>
  </cols>
  <sheetData>
    <row r="1" spans="1:61" ht="15" customHeight="1" thickBot="1">
      <c r="A1" s="215" t="s">
        <v>43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ht="15" customHeight="1" thickBot="1"/>
    <row r="5" spans="1:61" ht="15" customHeight="1">
      <c r="A5" s="467" t="s">
        <v>62</v>
      </c>
      <c r="B5" s="468"/>
      <c r="C5" s="461" t="s">
        <v>370</v>
      </c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3"/>
      <c r="Q5" s="461" t="s">
        <v>371</v>
      </c>
      <c r="R5" s="462"/>
      <c r="S5" s="462"/>
      <c r="T5" s="462"/>
      <c r="U5" s="462"/>
      <c r="V5" s="462"/>
      <c r="W5" s="462"/>
      <c r="X5" s="462"/>
      <c r="Y5" s="462"/>
      <c r="Z5" s="462"/>
      <c r="AA5" s="462"/>
      <c r="AB5" s="462"/>
      <c r="AC5" s="462"/>
      <c r="AD5" s="462"/>
      <c r="AE5" s="463"/>
      <c r="AF5" s="469" t="s">
        <v>372</v>
      </c>
      <c r="AG5" s="469"/>
      <c r="AH5" s="469"/>
      <c r="AI5" s="469"/>
      <c r="AJ5" s="469"/>
      <c r="AK5" s="469" t="s">
        <v>373</v>
      </c>
      <c r="AL5" s="469"/>
      <c r="AM5" s="469"/>
      <c r="AN5" s="469"/>
      <c r="AO5" s="469"/>
      <c r="AP5" s="469" t="s">
        <v>374</v>
      </c>
      <c r="AQ5" s="469"/>
      <c r="AR5" s="469"/>
      <c r="AS5" s="469"/>
      <c r="AT5" s="469"/>
      <c r="AU5" s="469" t="s">
        <v>375</v>
      </c>
      <c r="AV5" s="469"/>
      <c r="AW5" s="469"/>
      <c r="AX5" s="469"/>
      <c r="AY5" s="469"/>
      <c r="AZ5" s="461" t="s">
        <v>376</v>
      </c>
      <c r="BA5" s="462"/>
      <c r="BB5" s="462"/>
      <c r="BC5" s="462"/>
      <c r="BD5" s="463"/>
      <c r="BE5" s="461" t="s">
        <v>377</v>
      </c>
      <c r="BF5" s="462"/>
      <c r="BG5" s="462"/>
      <c r="BH5" s="462"/>
      <c r="BI5" s="464"/>
    </row>
    <row r="6" spans="1:61" ht="31.5" customHeight="1">
      <c r="A6" s="293">
        <f xml:space="preserve"> ROW()-5</f>
        <v>1</v>
      </c>
      <c r="B6" s="457"/>
      <c r="C6" s="452" t="s">
        <v>378</v>
      </c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  <c r="Q6" s="452" t="s">
        <v>379</v>
      </c>
      <c r="R6" s="453"/>
      <c r="S6" s="453"/>
      <c r="T6" s="453"/>
      <c r="U6" s="453"/>
      <c r="V6" s="453"/>
      <c r="W6" s="453"/>
      <c r="X6" s="453"/>
      <c r="Y6" s="453"/>
      <c r="Z6" s="453"/>
      <c r="AA6" s="453"/>
      <c r="AB6" s="453"/>
      <c r="AC6" s="453"/>
      <c r="AD6" s="453"/>
      <c r="AE6" s="454"/>
      <c r="AF6" s="447">
        <v>45506</v>
      </c>
      <c r="AG6" s="448"/>
      <c r="AH6" s="448"/>
      <c r="AI6" s="448"/>
      <c r="AJ6" s="448"/>
      <c r="AK6" s="448" t="s">
        <v>380</v>
      </c>
      <c r="AL6" s="448"/>
      <c r="AM6" s="448"/>
      <c r="AN6" s="448"/>
      <c r="AO6" s="448"/>
      <c r="AP6" s="447">
        <v>45506</v>
      </c>
      <c r="AQ6" s="448"/>
      <c r="AR6" s="448"/>
      <c r="AS6" s="448"/>
      <c r="AT6" s="448"/>
      <c r="AU6" s="448" t="s">
        <v>30</v>
      </c>
      <c r="AV6" s="448"/>
      <c r="AW6" s="448"/>
      <c r="AX6" s="448"/>
      <c r="AY6" s="448"/>
      <c r="AZ6" s="465">
        <v>45509</v>
      </c>
      <c r="BA6" s="466"/>
      <c r="BB6" s="466"/>
      <c r="BC6" s="466"/>
      <c r="BD6" s="466"/>
      <c r="BE6" s="449" t="s">
        <v>8</v>
      </c>
      <c r="BF6" s="450"/>
      <c r="BG6" s="450"/>
      <c r="BH6" s="450"/>
      <c r="BI6" s="451"/>
    </row>
    <row r="7" spans="1:61" ht="75.95" customHeight="1">
      <c r="A7" s="293">
        <f t="shared" ref="A7:A40" si="0" xml:space="preserve"> ROW()-5</f>
        <v>2</v>
      </c>
      <c r="B7" s="457"/>
      <c r="C7" s="452" t="s">
        <v>381</v>
      </c>
      <c r="D7" s="453"/>
      <c r="E7" s="453"/>
      <c r="F7" s="453"/>
      <c r="G7" s="453"/>
      <c r="H7" s="453"/>
      <c r="I7" s="453"/>
      <c r="J7" s="453"/>
      <c r="K7" s="453"/>
      <c r="L7" s="453"/>
      <c r="M7" s="453"/>
      <c r="N7" s="453"/>
      <c r="O7" s="453"/>
      <c r="P7" s="454"/>
      <c r="Q7" s="452" t="s">
        <v>382</v>
      </c>
      <c r="R7" s="453"/>
      <c r="S7" s="453"/>
      <c r="T7" s="453"/>
      <c r="U7" s="453"/>
      <c r="V7" s="453"/>
      <c r="W7" s="453"/>
      <c r="X7" s="453"/>
      <c r="Y7" s="453"/>
      <c r="Z7" s="453"/>
      <c r="AA7" s="453"/>
      <c r="AB7" s="453"/>
      <c r="AC7" s="453"/>
      <c r="AD7" s="453"/>
      <c r="AE7" s="454"/>
      <c r="AF7" s="447">
        <v>45506</v>
      </c>
      <c r="AG7" s="448"/>
      <c r="AH7" s="448"/>
      <c r="AI7" s="448"/>
      <c r="AJ7" s="448"/>
      <c r="AK7" s="448" t="s">
        <v>380</v>
      </c>
      <c r="AL7" s="448"/>
      <c r="AM7" s="448"/>
      <c r="AN7" s="448"/>
      <c r="AO7" s="448"/>
      <c r="AP7" s="447">
        <v>45506</v>
      </c>
      <c r="AQ7" s="448"/>
      <c r="AR7" s="448"/>
      <c r="AS7" s="448"/>
      <c r="AT7" s="448"/>
      <c r="AU7" s="448" t="s">
        <v>30</v>
      </c>
      <c r="AV7" s="448"/>
      <c r="AW7" s="448"/>
      <c r="AX7" s="448"/>
      <c r="AY7" s="448"/>
      <c r="AZ7" s="465">
        <v>45509</v>
      </c>
      <c r="BA7" s="466"/>
      <c r="BB7" s="466"/>
      <c r="BC7" s="466"/>
      <c r="BD7" s="466"/>
      <c r="BE7" s="449" t="s">
        <v>383</v>
      </c>
      <c r="BF7" s="450"/>
      <c r="BG7" s="450"/>
      <c r="BH7" s="450"/>
      <c r="BI7" s="451"/>
    </row>
    <row r="8" spans="1:61" ht="61.5" customHeight="1">
      <c r="A8" s="293">
        <f t="shared" si="0"/>
        <v>3</v>
      </c>
      <c r="B8" s="457"/>
      <c r="C8" s="452" t="s">
        <v>384</v>
      </c>
      <c r="D8" s="453"/>
      <c r="E8" s="453"/>
      <c r="F8" s="453"/>
      <c r="G8" s="453"/>
      <c r="H8" s="453"/>
      <c r="I8" s="453"/>
      <c r="J8" s="453"/>
      <c r="K8" s="453"/>
      <c r="L8" s="453"/>
      <c r="M8" s="453"/>
      <c r="N8" s="453"/>
      <c r="O8" s="453"/>
      <c r="P8" s="454"/>
      <c r="Q8" s="452" t="s">
        <v>385</v>
      </c>
      <c r="R8" s="453"/>
      <c r="S8" s="453"/>
      <c r="T8" s="453"/>
      <c r="U8" s="453"/>
      <c r="V8" s="453"/>
      <c r="W8" s="453"/>
      <c r="X8" s="453"/>
      <c r="Y8" s="453"/>
      <c r="Z8" s="453"/>
      <c r="AA8" s="453"/>
      <c r="AB8" s="453"/>
      <c r="AC8" s="453"/>
      <c r="AD8" s="453"/>
      <c r="AE8" s="454"/>
      <c r="AF8" s="447">
        <v>45506</v>
      </c>
      <c r="AG8" s="448"/>
      <c r="AH8" s="448"/>
      <c r="AI8" s="448"/>
      <c r="AJ8" s="448"/>
      <c r="AK8" s="448" t="s">
        <v>380</v>
      </c>
      <c r="AL8" s="448"/>
      <c r="AM8" s="448"/>
      <c r="AN8" s="448"/>
      <c r="AO8" s="448"/>
      <c r="AP8" s="447">
        <v>45506</v>
      </c>
      <c r="AQ8" s="448"/>
      <c r="AR8" s="448"/>
      <c r="AS8" s="448"/>
      <c r="AT8" s="448"/>
      <c r="AU8" s="448" t="s">
        <v>30</v>
      </c>
      <c r="AV8" s="448"/>
      <c r="AW8" s="448"/>
      <c r="AX8" s="448"/>
      <c r="AY8" s="448"/>
      <c r="AZ8" s="465">
        <v>45509</v>
      </c>
      <c r="BA8" s="466"/>
      <c r="BB8" s="466"/>
      <c r="BC8" s="466"/>
      <c r="BD8" s="466"/>
      <c r="BE8" s="449" t="s">
        <v>383</v>
      </c>
      <c r="BF8" s="450"/>
      <c r="BG8" s="450"/>
      <c r="BH8" s="450"/>
      <c r="BI8" s="451"/>
    </row>
    <row r="9" spans="1:61" ht="13.5">
      <c r="A9" s="293">
        <f t="shared" si="0"/>
        <v>4</v>
      </c>
      <c r="B9" s="457"/>
      <c r="C9" s="452"/>
      <c r="D9" s="453"/>
      <c r="E9" s="453"/>
      <c r="F9" s="453"/>
      <c r="G9" s="453"/>
      <c r="H9" s="453"/>
      <c r="I9" s="453"/>
      <c r="J9" s="453"/>
      <c r="K9" s="453"/>
      <c r="L9" s="453"/>
      <c r="M9" s="453"/>
      <c r="N9" s="453"/>
      <c r="O9" s="453"/>
      <c r="P9" s="454"/>
      <c r="Q9" s="452"/>
      <c r="R9" s="453"/>
      <c r="S9" s="453"/>
      <c r="T9" s="453"/>
      <c r="U9" s="453"/>
      <c r="V9" s="453"/>
      <c r="W9" s="453"/>
      <c r="X9" s="453"/>
      <c r="Y9" s="453"/>
      <c r="Z9" s="453"/>
      <c r="AA9" s="453"/>
      <c r="AB9" s="453"/>
      <c r="AC9" s="453"/>
      <c r="AD9" s="453"/>
      <c r="AE9" s="454"/>
      <c r="AF9" s="447"/>
      <c r="AG9" s="448"/>
      <c r="AH9" s="448"/>
      <c r="AI9" s="448"/>
      <c r="AJ9" s="448"/>
      <c r="AK9" s="448"/>
      <c r="AL9" s="448"/>
      <c r="AM9" s="448"/>
      <c r="AN9" s="448"/>
      <c r="AO9" s="448"/>
      <c r="AP9" s="447"/>
      <c r="AQ9" s="448"/>
      <c r="AR9" s="448"/>
      <c r="AS9" s="448"/>
      <c r="AT9" s="448"/>
      <c r="AU9" s="448"/>
      <c r="AV9" s="448"/>
      <c r="AW9" s="448"/>
      <c r="AX9" s="448"/>
      <c r="AY9" s="448"/>
      <c r="AZ9" s="465"/>
      <c r="BA9" s="466"/>
      <c r="BB9" s="466"/>
      <c r="BC9" s="466"/>
      <c r="BD9" s="466"/>
      <c r="BE9" s="449"/>
      <c r="BF9" s="450"/>
      <c r="BG9" s="450"/>
      <c r="BH9" s="450"/>
      <c r="BI9" s="451"/>
    </row>
    <row r="10" spans="1:61" ht="13.5">
      <c r="A10" s="293">
        <f t="shared" si="0"/>
        <v>5</v>
      </c>
      <c r="B10" s="457"/>
      <c r="C10" s="452"/>
      <c r="D10" s="453"/>
      <c r="E10" s="453"/>
      <c r="F10" s="453"/>
      <c r="G10" s="453"/>
      <c r="H10" s="453"/>
      <c r="I10" s="453"/>
      <c r="J10" s="453"/>
      <c r="K10" s="453"/>
      <c r="L10" s="453"/>
      <c r="M10" s="453"/>
      <c r="N10" s="453"/>
      <c r="O10" s="453"/>
      <c r="P10" s="454"/>
      <c r="Q10" s="452"/>
      <c r="R10" s="453"/>
      <c r="S10" s="453"/>
      <c r="T10" s="453"/>
      <c r="U10" s="453"/>
      <c r="V10" s="453"/>
      <c r="W10" s="453"/>
      <c r="X10" s="453"/>
      <c r="Y10" s="453"/>
      <c r="Z10" s="453"/>
      <c r="AA10" s="453"/>
      <c r="AB10" s="453"/>
      <c r="AC10" s="453"/>
      <c r="AD10" s="453"/>
      <c r="AE10" s="454"/>
      <c r="AF10" s="447"/>
      <c r="AG10" s="448"/>
      <c r="AH10" s="448"/>
      <c r="AI10" s="448"/>
      <c r="AJ10" s="448"/>
      <c r="AK10" s="448"/>
      <c r="AL10" s="448"/>
      <c r="AM10" s="448"/>
      <c r="AN10" s="448"/>
      <c r="AO10" s="448"/>
      <c r="AP10" s="447"/>
      <c r="AQ10" s="448"/>
      <c r="AR10" s="448"/>
      <c r="AS10" s="448"/>
      <c r="AT10" s="448"/>
      <c r="AU10" s="448"/>
      <c r="AV10" s="448"/>
      <c r="AW10" s="448"/>
      <c r="AX10" s="448"/>
      <c r="AY10" s="448"/>
      <c r="AZ10" s="447"/>
      <c r="BA10" s="448"/>
      <c r="BB10" s="448"/>
      <c r="BC10" s="448"/>
      <c r="BD10" s="448"/>
      <c r="BE10" s="449"/>
      <c r="BF10" s="450"/>
      <c r="BG10" s="450"/>
      <c r="BH10" s="450"/>
      <c r="BI10" s="451"/>
    </row>
    <row r="11" spans="1:61" ht="13.5">
      <c r="A11" s="293">
        <f t="shared" si="0"/>
        <v>6</v>
      </c>
      <c r="B11" s="457"/>
      <c r="C11" s="452"/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4"/>
      <c r="Q11" s="452"/>
      <c r="R11" s="453"/>
      <c r="S11" s="453"/>
      <c r="T11" s="453"/>
      <c r="U11" s="453"/>
      <c r="V11" s="453"/>
      <c r="W11" s="453"/>
      <c r="X11" s="453"/>
      <c r="Y11" s="453"/>
      <c r="Z11" s="453"/>
      <c r="AA11" s="453"/>
      <c r="AB11" s="453"/>
      <c r="AC11" s="453"/>
      <c r="AD11" s="453"/>
      <c r="AE11" s="454"/>
      <c r="AF11" s="447"/>
      <c r="AG11" s="448"/>
      <c r="AH11" s="448"/>
      <c r="AI11" s="448"/>
      <c r="AJ11" s="448"/>
      <c r="AK11" s="448"/>
      <c r="AL11" s="448"/>
      <c r="AM11" s="448"/>
      <c r="AN11" s="448"/>
      <c r="AO11" s="448"/>
      <c r="AP11" s="447"/>
      <c r="AQ11" s="448"/>
      <c r="AR11" s="448"/>
      <c r="AS11" s="448"/>
      <c r="AT11" s="448"/>
      <c r="AU11" s="448"/>
      <c r="AV11" s="448"/>
      <c r="AW11" s="448"/>
      <c r="AX11" s="448"/>
      <c r="AY11" s="448"/>
      <c r="AZ11" s="447"/>
      <c r="BA11" s="448"/>
      <c r="BB11" s="448"/>
      <c r="BC11" s="448"/>
      <c r="BD11" s="448"/>
      <c r="BE11" s="449"/>
      <c r="BF11" s="450"/>
      <c r="BG11" s="450"/>
      <c r="BH11" s="450"/>
      <c r="BI11" s="451"/>
    </row>
    <row r="12" spans="1:61" ht="13.5">
      <c r="A12" s="293">
        <f t="shared" si="0"/>
        <v>7</v>
      </c>
      <c r="B12" s="457"/>
      <c r="C12" s="452"/>
      <c r="D12" s="453"/>
      <c r="E12" s="453"/>
      <c r="F12" s="453"/>
      <c r="G12" s="453"/>
      <c r="H12" s="453"/>
      <c r="I12" s="453"/>
      <c r="J12" s="453"/>
      <c r="K12" s="453"/>
      <c r="L12" s="453"/>
      <c r="M12" s="453"/>
      <c r="N12" s="453"/>
      <c r="O12" s="453"/>
      <c r="P12" s="454"/>
      <c r="Q12" s="452"/>
      <c r="R12" s="453"/>
      <c r="S12" s="453"/>
      <c r="T12" s="453"/>
      <c r="U12" s="453"/>
      <c r="V12" s="453"/>
      <c r="W12" s="453"/>
      <c r="X12" s="453"/>
      <c r="Y12" s="453"/>
      <c r="Z12" s="453"/>
      <c r="AA12" s="453"/>
      <c r="AB12" s="453"/>
      <c r="AC12" s="453"/>
      <c r="AD12" s="453"/>
      <c r="AE12" s="454"/>
      <c r="AF12" s="447"/>
      <c r="AG12" s="448"/>
      <c r="AH12" s="448"/>
      <c r="AI12" s="448"/>
      <c r="AJ12" s="448"/>
      <c r="AK12" s="448"/>
      <c r="AL12" s="448"/>
      <c r="AM12" s="448"/>
      <c r="AN12" s="448"/>
      <c r="AO12" s="448"/>
      <c r="AP12" s="447"/>
      <c r="AQ12" s="448"/>
      <c r="AR12" s="448"/>
      <c r="AS12" s="448"/>
      <c r="AT12" s="448"/>
      <c r="AU12" s="448"/>
      <c r="AV12" s="448"/>
      <c r="AW12" s="448"/>
      <c r="AX12" s="448"/>
      <c r="AY12" s="448"/>
      <c r="AZ12" s="447"/>
      <c r="BA12" s="448"/>
      <c r="BB12" s="448"/>
      <c r="BC12" s="448"/>
      <c r="BD12" s="448"/>
      <c r="BE12" s="449"/>
      <c r="BF12" s="450"/>
      <c r="BG12" s="450"/>
      <c r="BH12" s="450"/>
      <c r="BI12" s="451"/>
    </row>
    <row r="13" spans="1:61" ht="13.5">
      <c r="A13" s="293">
        <f t="shared" si="0"/>
        <v>8</v>
      </c>
      <c r="B13" s="457"/>
      <c r="C13" s="452"/>
      <c r="D13" s="453"/>
      <c r="E13" s="453"/>
      <c r="F13" s="453"/>
      <c r="G13" s="453"/>
      <c r="H13" s="453"/>
      <c r="I13" s="453"/>
      <c r="J13" s="453"/>
      <c r="K13" s="453"/>
      <c r="L13" s="453"/>
      <c r="M13" s="453"/>
      <c r="N13" s="453"/>
      <c r="O13" s="453"/>
      <c r="P13" s="454"/>
      <c r="Q13" s="452"/>
      <c r="R13" s="453"/>
      <c r="S13" s="453"/>
      <c r="T13" s="453"/>
      <c r="U13" s="453"/>
      <c r="V13" s="453"/>
      <c r="W13" s="453"/>
      <c r="X13" s="453"/>
      <c r="Y13" s="453"/>
      <c r="Z13" s="453"/>
      <c r="AA13" s="453"/>
      <c r="AB13" s="453"/>
      <c r="AC13" s="453"/>
      <c r="AD13" s="453"/>
      <c r="AE13" s="454"/>
      <c r="AF13" s="447"/>
      <c r="AG13" s="448"/>
      <c r="AH13" s="448"/>
      <c r="AI13" s="448"/>
      <c r="AJ13" s="448"/>
      <c r="AK13" s="448"/>
      <c r="AL13" s="448"/>
      <c r="AM13" s="448"/>
      <c r="AN13" s="448"/>
      <c r="AO13" s="448"/>
      <c r="AP13" s="447"/>
      <c r="AQ13" s="448"/>
      <c r="AR13" s="448"/>
      <c r="AS13" s="448"/>
      <c r="AT13" s="448"/>
      <c r="AU13" s="448"/>
      <c r="AV13" s="448"/>
      <c r="AW13" s="448"/>
      <c r="AX13" s="448"/>
      <c r="AY13" s="448"/>
      <c r="AZ13" s="447"/>
      <c r="BA13" s="448"/>
      <c r="BB13" s="448"/>
      <c r="BC13" s="448"/>
      <c r="BD13" s="448"/>
      <c r="BE13" s="449"/>
      <c r="BF13" s="450"/>
      <c r="BG13" s="450"/>
      <c r="BH13" s="450"/>
      <c r="BI13" s="451"/>
    </row>
    <row r="14" spans="1:61" ht="13.5">
      <c r="A14" s="293">
        <f t="shared" si="0"/>
        <v>9</v>
      </c>
      <c r="B14" s="457"/>
      <c r="C14" s="452"/>
      <c r="D14" s="453"/>
      <c r="E14" s="453"/>
      <c r="F14" s="453"/>
      <c r="G14" s="453"/>
      <c r="H14" s="453"/>
      <c r="I14" s="453"/>
      <c r="J14" s="453"/>
      <c r="K14" s="453"/>
      <c r="L14" s="453"/>
      <c r="M14" s="453"/>
      <c r="N14" s="453"/>
      <c r="O14" s="453"/>
      <c r="P14" s="454"/>
      <c r="Q14" s="452"/>
      <c r="R14" s="453"/>
      <c r="S14" s="453"/>
      <c r="T14" s="453"/>
      <c r="U14" s="453"/>
      <c r="V14" s="453"/>
      <c r="W14" s="453"/>
      <c r="X14" s="453"/>
      <c r="Y14" s="453"/>
      <c r="Z14" s="453"/>
      <c r="AA14" s="453"/>
      <c r="AB14" s="453"/>
      <c r="AC14" s="453"/>
      <c r="AD14" s="453"/>
      <c r="AE14" s="454"/>
      <c r="AF14" s="447"/>
      <c r="AG14" s="448"/>
      <c r="AH14" s="448"/>
      <c r="AI14" s="448"/>
      <c r="AJ14" s="448"/>
      <c r="AK14" s="448"/>
      <c r="AL14" s="448"/>
      <c r="AM14" s="448"/>
      <c r="AN14" s="448"/>
      <c r="AO14" s="448"/>
      <c r="AP14" s="447"/>
      <c r="AQ14" s="448"/>
      <c r="AR14" s="448"/>
      <c r="AS14" s="448"/>
      <c r="AT14" s="448"/>
      <c r="AU14" s="448"/>
      <c r="AV14" s="448"/>
      <c r="AW14" s="448"/>
      <c r="AX14" s="448"/>
      <c r="AY14" s="448"/>
      <c r="AZ14" s="465"/>
      <c r="BA14" s="466"/>
      <c r="BB14" s="466"/>
      <c r="BC14" s="466"/>
      <c r="BD14" s="466"/>
      <c r="BE14" s="449"/>
      <c r="BF14" s="450"/>
      <c r="BG14" s="450"/>
      <c r="BH14" s="450"/>
      <c r="BI14" s="451"/>
    </row>
    <row r="15" spans="1:61" ht="13.5">
      <c r="A15" s="293">
        <f t="shared" si="0"/>
        <v>10</v>
      </c>
      <c r="B15" s="457"/>
      <c r="C15" s="452"/>
      <c r="D15" s="453"/>
      <c r="E15" s="453"/>
      <c r="F15" s="453"/>
      <c r="G15" s="453"/>
      <c r="H15" s="453"/>
      <c r="I15" s="453"/>
      <c r="J15" s="453"/>
      <c r="K15" s="453"/>
      <c r="L15" s="453"/>
      <c r="M15" s="453"/>
      <c r="N15" s="453"/>
      <c r="O15" s="453"/>
      <c r="P15" s="454"/>
      <c r="Q15" s="452"/>
      <c r="R15" s="453"/>
      <c r="S15" s="453"/>
      <c r="T15" s="453"/>
      <c r="U15" s="453"/>
      <c r="V15" s="453"/>
      <c r="W15" s="453"/>
      <c r="X15" s="453"/>
      <c r="Y15" s="453"/>
      <c r="Z15" s="453"/>
      <c r="AA15" s="453"/>
      <c r="AB15" s="453"/>
      <c r="AC15" s="453"/>
      <c r="AD15" s="453"/>
      <c r="AE15" s="454"/>
      <c r="AF15" s="447"/>
      <c r="AG15" s="448"/>
      <c r="AH15" s="448"/>
      <c r="AI15" s="448"/>
      <c r="AJ15" s="448"/>
      <c r="AK15" s="448"/>
      <c r="AL15" s="448"/>
      <c r="AM15" s="448"/>
      <c r="AN15" s="448"/>
      <c r="AO15" s="448"/>
      <c r="AP15" s="447"/>
      <c r="AQ15" s="448"/>
      <c r="AR15" s="448"/>
      <c r="AS15" s="448"/>
      <c r="AT15" s="448"/>
      <c r="AU15" s="448"/>
      <c r="AV15" s="448"/>
      <c r="AW15" s="448"/>
      <c r="AX15" s="448"/>
      <c r="AY15" s="448"/>
      <c r="AZ15" s="447"/>
      <c r="BA15" s="448"/>
      <c r="BB15" s="448"/>
      <c r="BC15" s="448"/>
      <c r="BD15" s="448"/>
      <c r="BE15" s="449"/>
      <c r="BF15" s="450"/>
      <c r="BG15" s="450"/>
      <c r="BH15" s="450"/>
      <c r="BI15" s="451"/>
    </row>
    <row r="16" spans="1:61" ht="13.5">
      <c r="A16" s="293">
        <f t="shared" si="0"/>
        <v>11</v>
      </c>
      <c r="B16" s="457"/>
      <c r="C16" s="452"/>
      <c r="D16" s="453"/>
      <c r="E16" s="453"/>
      <c r="F16" s="453"/>
      <c r="G16" s="453"/>
      <c r="H16" s="453"/>
      <c r="I16" s="453"/>
      <c r="J16" s="453"/>
      <c r="K16" s="453"/>
      <c r="L16" s="453"/>
      <c r="M16" s="453"/>
      <c r="N16" s="453"/>
      <c r="O16" s="453"/>
      <c r="P16" s="454"/>
      <c r="Q16" s="452"/>
      <c r="R16" s="453"/>
      <c r="S16" s="453"/>
      <c r="T16" s="453"/>
      <c r="U16" s="453"/>
      <c r="V16" s="453"/>
      <c r="W16" s="453"/>
      <c r="X16" s="453"/>
      <c r="Y16" s="453"/>
      <c r="Z16" s="453"/>
      <c r="AA16" s="453"/>
      <c r="AB16" s="453"/>
      <c r="AC16" s="453"/>
      <c r="AD16" s="453"/>
      <c r="AE16" s="454"/>
      <c r="AF16" s="447"/>
      <c r="AG16" s="448"/>
      <c r="AH16" s="448"/>
      <c r="AI16" s="448"/>
      <c r="AJ16" s="448"/>
      <c r="AK16" s="448"/>
      <c r="AL16" s="448"/>
      <c r="AM16" s="448"/>
      <c r="AN16" s="448"/>
      <c r="AO16" s="448"/>
      <c r="AP16" s="447"/>
      <c r="AQ16" s="448"/>
      <c r="AR16" s="448"/>
      <c r="AS16" s="448"/>
      <c r="AT16" s="448"/>
      <c r="AU16" s="448"/>
      <c r="AV16" s="448"/>
      <c r="AW16" s="448"/>
      <c r="AX16" s="448"/>
      <c r="AY16" s="448"/>
      <c r="AZ16" s="447"/>
      <c r="BA16" s="448"/>
      <c r="BB16" s="448"/>
      <c r="BC16" s="448"/>
      <c r="BD16" s="448"/>
      <c r="BE16" s="449"/>
      <c r="BF16" s="450"/>
      <c r="BG16" s="450"/>
      <c r="BH16" s="450"/>
      <c r="BI16" s="451"/>
    </row>
    <row r="17" spans="1:61" ht="13.5">
      <c r="A17" s="293">
        <f t="shared" si="0"/>
        <v>12</v>
      </c>
      <c r="B17" s="457"/>
      <c r="C17" s="452"/>
      <c r="D17" s="453"/>
      <c r="E17" s="453"/>
      <c r="F17" s="453"/>
      <c r="G17" s="453"/>
      <c r="H17" s="453"/>
      <c r="I17" s="453"/>
      <c r="J17" s="453"/>
      <c r="K17" s="453"/>
      <c r="L17" s="453"/>
      <c r="M17" s="453"/>
      <c r="N17" s="453"/>
      <c r="O17" s="453"/>
      <c r="P17" s="454"/>
      <c r="Q17" s="452"/>
      <c r="R17" s="453"/>
      <c r="S17" s="453"/>
      <c r="T17" s="453"/>
      <c r="U17" s="453"/>
      <c r="V17" s="453"/>
      <c r="W17" s="453"/>
      <c r="X17" s="453"/>
      <c r="Y17" s="453"/>
      <c r="Z17" s="453"/>
      <c r="AA17" s="453"/>
      <c r="AB17" s="453"/>
      <c r="AC17" s="453"/>
      <c r="AD17" s="453"/>
      <c r="AE17" s="454"/>
      <c r="AF17" s="447"/>
      <c r="AG17" s="448"/>
      <c r="AH17" s="448"/>
      <c r="AI17" s="448"/>
      <c r="AJ17" s="448"/>
      <c r="AK17" s="448"/>
      <c r="AL17" s="448"/>
      <c r="AM17" s="448"/>
      <c r="AN17" s="448"/>
      <c r="AO17" s="448"/>
      <c r="AP17" s="447"/>
      <c r="AQ17" s="448"/>
      <c r="AR17" s="448"/>
      <c r="AS17" s="448"/>
      <c r="AT17" s="448"/>
      <c r="AU17" s="448"/>
      <c r="AV17" s="448"/>
      <c r="AW17" s="448"/>
      <c r="AX17" s="448"/>
      <c r="AY17" s="448"/>
      <c r="AZ17" s="465"/>
      <c r="BA17" s="466"/>
      <c r="BB17" s="466"/>
      <c r="BC17" s="466"/>
      <c r="BD17" s="466"/>
      <c r="BE17" s="449"/>
      <c r="BF17" s="450"/>
      <c r="BG17" s="450"/>
      <c r="BH17" s="450"/>
      <c r="BI17" s="451"/>
    </row>
    <row r="18" spans="1:61" ht="13.5">
      <c r="A18" s="293">
        <f t="shared" si="0"/>
        <v>13</v>
      </c>
      <c r="B18" s="457"/>
      <c r="C18" s="452"/>
      <c r="D18" s="453"/>
      <c r="E18" s="453"/>
      <c r="F18" s="453"/>
      <c r="G18" s="453"/>
      <c r="H18" s="453"/>
      <c r="I18" s="453"/>
      <c r="J18" s="453"/>
      <c r="K18" s="453"/>
      <c r="L18" s="453"/>
      <c r="M18" s="453"/>
      <c r="N18" s="453"/>
      <c r="O18" s="453"/>
      <c r="P18" s="454"/>
      <c r="Q18" s="452"/>
      <c r="R18" s="453"/>
      <c r="S18" s="453"/>
      <c r="T18" s="453"/>
      <c r="U18" s="453"/>
      <c r="V18" s="453"/>
      <c r="W18" s="453"/>
      <c r="X18" s="453"/>
      <c r="Y18" s="453"/>
      <c r="Z18" s="453"/>
      <c r="AA18" s="453"/>
      <c r="AB18" s="453"/>
      <c r="AC18" s="453"/>
      <c r="AD18" s="453"/>
      <c r="AE18" s="454"/>
      <c r="AF18" s="465"/>
      <c r="AG18" s="466"/>
      <c r="AH18" s="466"/>
      <c r="AI18" s="466"/>
      <c r="AJ18" s="466"/>
      <c r="AK18" s="466"/>
      <c r="AL18" s="466"/>
      <c r="AM18" s="466"/>
      <c r="AN18" s="466"/>
      <c r="AO18" s="466"/>
      <c r="AP18" s="447"/>
      <c r="AQ18" s="448"/>
      <c r="AR18" s="448"/>
      <c r="AS18" s="448"/>
      <c r="AT18" s="448"/>
      <c r="AU18" s="448"/>
      <c r="AV18" s="448"/>
      <c r="AW18" s="448"/>
      <c r="AX18" s="448"/>
      <c r="AY18" s="448"/>
      <c r="AZ18" s="465"/>
      <c r="BA18" s="466"/>
      <c r="BB18" s="466"/>
      <c r="BC18" s="466"/>
      <c r="BD18" s="466"/>
      <c r="BE18" s="449"/>
      <c r="BF18" s="450"/>
      <c r="BG18" s="450"/>
      <c r="BH18" s="450"/>
      <c r="BI18" s="451"/>
    </row>
    <row r="19" spans="1:61" ht="13.5">
      <c r="A19" s="293">
        <f t="shared" si="0"/>
        <v>14</v>
      </c>
      <c r="B19" s="457"/>
      <c r="C19" s="452"/>
      <c r="D19" s="453"/>
      <c r="E19" s="453"/>
      <c r="F19" s="453"/>
      <c r="G19" s="453"/>
      <c r="H19" s="453"/>
      <c r="I19" s="453"/>
      <c r="J19" s="453"/>
      <c r="K19" s="453"/>
      <c r="L19" s="453"/>
      <c r="M19" s="453"/>
      <c r="N19" s="453"/>
      <c r="O19" s="453"/>
      <c r="P19" s="454"/>
      <c r="Q19" s="452"/>
      <c r="R19" s="453"/>
      <c r="S19" s="453"/>
      <c r="T19" s="453"/>
      <c r="U19" s="453"/>
      <c r="V19" s="453"/>
      <c r="W19" s="453"/>
      <c r="X19" s="453"/>
      <c r="Y19" s="453"/>
      <c r="Z19" s="453"/>
      <c r="AA19" s="453"/>
      <c r="AB19" s="453"/>
      <c r="AC19" s="453"/>
      <c r="AD19" s="453"/>
      <c r="AE19" s="454"/>
      <c r="AF19" s="465"/>
      <c r="AG19" s="466"/>
      <c r="AH19" s="466"/>
      <c r="AI19" s="466"/>
      <c r="AJ19" s="466"/>
      <c r="AK19" s="466"/>
      <c r="AL19" s="466"/>
      <c r="AM19" s="466"/>
      <c r="AN19" s="466"/>
      <c r="AO19" s="466"/>
      <c r="AP19" s="447"/>
      <c r="AQ19" s="448"/>
      <c r="AR19" s="448"/>
      <c r="AS19" s="448"/>
      <c r="AT19" s="448"/>
      <c r="AU19" s="448"/>
      <c r="AV19" s="448"/>
      <c r="AW19" s="448"/>
      <c r="AX19" s="448"/>
      <c r="AY19" s="448"/>
      <c r="AZ19" s="465"/>
      <c r="BA19" s="466"/>
      <c r="BB19" s="466"/>
      <c r="BC19" s="466"/>
      <c r="BD19" s="466"/>
      <c r="BE19" s="449"/>
      <c r="BF19" s="450"/>
      <c r="BG19" s="450"/>
      <c r="BH19" s="450"/>
      <c r="BI19" s="451"/>
    </row>
    <row r="20" spans="1:61" ht="13.5">
      <c r="A20" s="293">
        <f t="shared" si="0"/>
        <v>15</v>
      </c>
      <c r="B20" s="457"/>
      <c r="C20" s="452"/>
      <c r="D20" s="453"/>
      <c r="E20" s="453"/>
      <c r="F20" s="453"/>
      <c r="G20" s="453"/>
      <c r="H20" s="453"/>
      <c r="I20" s="453"/>
      <c r="J20" s="453"/>
      <c r="K20" s="453"/>
      <c r="L20" s="453"/>
      <c r="M20" s="453"/>
      <c r="N20" s="453"/>
      <c r="O20" s="453"/>
      <c r="P20" s="454"/>
      <c r="Q20" s="452"/>
      <c r="R20" s="453"/>
      <c r="S20" s="453"/>
      <c r="T20" s="453"/>
      <c r="U20" s="453"/>
      <c r="V20" s="453"/>
      <c r="W20" s="453"/>
      <c r="X20" s="453"/>
      <c r="Y20" s="453"/>
      <c r="Z20" s="453"/>
      <c r="AA20" s="453"/>
      <c r="AB20" s="453"/>
      <c r="AC20" s="453"/>
      <c r="AD20" s="453"/>
      <c r="AE20" s="454"/>
      <c r="AF20" s="465"/>
      <c r="AG20" s="466"/>
      <c r="AH20" s="466"/>
      <c r="AI20" s="466"/>
      <c r="AJ20" s="466"/>
      <c r="AK20" s="466"/>
      <c r="AL20" s="466"/>
      <c r="AM20" s="466"/>
      <c r="AN20" s="466"/>
      <c r="AO20" s="466"/>
      <c r="AP20" s="447"/>
      <c r="AQ20" s="448"/>
      <c r="AR20" s="448"/>
      <c r="AS20" s="448"/>
      <c r="AT20" s="448"/>
      <c r="AU20" s="448"/>
      <c r="AV20" s="448"/>
      <c r="AW20" s="448"/>
      <c r="AX20" s="448"/>
      <c r="AY20" s="448"/>
      <c r="AZ20" s="465"/>
      <c r="BA20" s="466"/>
      <c r="BB20" s="466"/>
      <c r="BC20" s="466"/>
      <c r="BD20" s="466"/>
      <c r="BE20" s="449"/>
      <c r="BF20" s="450"/>
      <c r="BG20" s="450"/>
      <c r="BH20" s="450"/>
      <c r="BI20" s="451"/>
    </row>
    <row r="21" spans="1:61" ht="13.5">
      <c r="A21" s="293">
        <f t="shared" si="0"/>
        <v>16</v>
      </c>
      <c r="B21" s="457"/>
      <c r="C21" s="452"/>
      <c r="D21" s="453"/>
      <c r="E21" s="453"/>
      <c r="F21" s="453"/>
      <c r="G21" s="453"/>
      <c r="H21" s="453"/>
      <c r="I21" s="453"/>
      <c r="J21" s="453"/>
      <c r="K21" s="453"/>
      <c r="L21" s="453"/>
      <c r="M21" s="453"/>
      <c r="N21" s="453"/>
      <c r="O21" s="453"/>
      <c r="P21" s="454"/>
      <c r="Q21" s="452"/>
      <c r="R21" s="453"/>
      <c r="S21" s="453"/>
      <c r="T21" s="453"/>
      <c r="U21" s="453"/>
      <c r="V21" s="453"/>
      <c r="W21" s="453"/>
      <c r="X21" s="453"/>
      <c r="Y21" s="453"/>
      <c r="Z21" s="453"/>
      <c r="AA21" s="453"/>
      <c r="AB21" s="453"/>
      <c r="AC21" s="453"/>
      <c r="AD21" s="453"/>
      <c r="AE21" s="454"/>
      <c r="AF21" s="447"/>
      <c r="AG21" s="448"/>
      <c r="AH21" s="448"/>
      <c r="AI21" s="448"/>
      <c r="AJ21" s="448"/>
      <c r="AK21" s="466"/>
      <c r="AL21" s="466"/>
      <c r="AM21" s="466"/>
      <c r="AN21" s="466"/>
      <c r="AO21" s="466"/>
      <c r="AP21" s="447"/>
      <c r="AQ21" s="448"/>
      <c r="AR21" s="448"/>
      <c r="AS21" s="448"/>
      <c r="AT21" s="448"/>
      <c r="AU21" s="448"/>
      <c r="AV21" s="448"/>
      <c r="AW21" s="448"/>
      <c r="AX21" s="448"/>
      <c r="AY21" s="448"/>
      <c r="AZ21" s="447"/>
      <c r="BA21" s="448"/>
      <c r="BB21" s="448"/>
      <c r="BC21" s="448"/>
      <c r="BD21" s="448"/>
      <c r="BE21" s="449"/>
      <c r="BF21" s="450"/>
      <c r="BG21" s="450"/>
      <c r="BH21" s="450"/>
      <c r="BI21" s="451"/>
    </row>
    <row r="22" spans="1:61" ht="13.5">
      <c r="A22" s="293">
        <f t="shared" si="0"/>
        <v>17</v>
      </c>
      <c r="B22" s="457"/>
      <c r="C22" s="452"/>
      <c r="D22" s="453"/>
      <c r="E22" s="453"/>
      <c r="F22" s="453"/>
      <c r="G22" s="453"/>
      <c r="H22" s="453"/>
      <c r="I22" s="453"/>
      <c r="J22" s="453"/>
      <c r="K22" s="453"/>
      <c r="L22" s="453"/>
      <c r="M22" s="453"/>
      <c r="N22" s="453"/>
      <c r="O22" s="453"/>
      <c r="P22" s="454"/>
      <c r="Q22" s="452"/>
      <c r="R22" s="453"/>
      <c r="S22" s="453"/>
      <c r="T22" s="453"/>
      <c r="U22" s="453"/>
      <c r="V22" s="453"/>
      <c r="W22" s="453"/>
      <c r="X22" s="453"/>
      <c r="Y22" s="453"/>
      <c r="Z22" s="453"/>
      <c r="AA22" s="453"/>
      <c r="AB22" s="453"/>
      <c r="AC22" s="453"/>
      <c r="AD22" s="453"/>
      <c r="AE22" s="454"/>
      <c r="AF22" s="447"/>
      <c r="AG22" s="448"/>
      <c r="AH22" s="448"/>
      <c r="AI22" s="448"/>
      <c r="AJ22" s="448"/>
      <c r="AK22" s="466"/>
      <c r="AL22" s="466"/>
      <c r="AM22" s="466"/>
      <c r="AN22" s="466"/>
      <c r="AO22" s="466"/>
      <c r="AP22" s="447"/>
      <c r="AQ22" s="448"/>
      <c r="AR22" s="448"/>
      <c r="AS22" s="448"/>
      <c r="AT22" s="448"/>
      <c r="AU22" s="448"/>
      <c r="AV22" s="448"/>
      <c r="AW22" s="448"/>
      <c r="AX22" s="448"/>
      <c r="AY22" s="448"/>
      <c r="AZ22" s="447"/>
      <c r="BA22" s="448"/>
      <c r="BB22" s="448"/>
      <c r="BC22" s="448"/>
      <c r="BD22" s="448"/>
      <c r="BE22" s="449"/>
      <c r="BF22" s="450"/>
      <c r="BG22" s="450"/>
      <c r="BH22" s="450"/>
      <c r="BI22" s="451"/>
    </row>
    <row r="23" spans="1:61" ht="13.5">
      <c r="A23" s="293">
        <f t="shared" si="0"/>
        <v>18</v>
      </c>
      <c r="B23" s="457"/>
      <c r="C23" s="452"/>
      <c r="D23" s="453"/>
      <c r="E23" s="453"/>
      <c r="F23" s="453"/>
      <c r="G23" s="453"/>
      <c r="H23" s="453"/>
      <c r="I23" s="453"/>
      <c r="J23" s="453"/>
      <c r="K23" s="453"/>
      <c r="L23" s="453"/>
      <c r="M23" s="453"/>
      <c r="N23" s="453"/>
      <c r="O23" s="453"/>
      <c r="P23" s="454"/>
      <c r="Q23" s="452"/>
      <c r="R23" s="453"/>
      <c r="S23" s="453"/>
      <c r="T23" s="453"/>
      <c r="U23" s="453"/>
      <c r="V23" s="453"/>
      <c r="W23" s="453"/>
      <c r="X23" s="453"/>
      <c r="Y23" s="453"/>
      <c r="Z23" s="453"/>
      <c r="AA23" s="453"/>
      <c r="AB23" s="453"/>
      <c r="AC23" s="453"/>
      <c r="AD23" s="453"/>
      <c r="AE23" s="454"/>
      <c r="AF23" s="447"/>
      <c r="AG23" s="448"/>
      <c r="AH23" s="448"/>
      <c r="AI23" s="448"/>
      <c r="AJ23" s="448"/>
      <c r="AK23" s="466"/>
      <c r="AL23" s="466"/>
      <c r="AM23" s="466"/>
      <c r="AN23" s="466"/>
      <c r="AO23" s="466"/>
      <c r="AP23" s="447"/>
      <c r="AQ23" s="448"/>
      <c r="AR23" s="448"/>
      <c r="AS23" s="448"/>
      <c r="AT23" s="448"/>
      <c r="AU23" s="448"/>
      <c r="AV23" s="448"/>
      <c r="AW23" s="448"/>
      <c r="AX23" s="448"/>
      <c r="AY23" s="448"/>
      <c r="AZ23" s="447"/>
      <c r="BA23" s="448"/>
      <c r="BB23" s="448"/>
      <c r="BC23" s="448"/>
      <c r="BD23" s="448"/>
      <c r="BE23" s="449"/>
      <c r="BF23" s="450"/>
      <c r="BG23" s="450"/>
      <c r="BH23" s="450"/>
      <c r="BI23" s="451"/>
    </row>
    <row r="24" spans="1:61" ht="13.5">
      <c r="A24" s="293">
        <f t="shared" si="0"/>
        <v>19</v>
      </c>
      <c r="B24" s="457"/>
      <c r="C24" s="452"/>
      <c r="D24" s="453"/>
      <c r="E24" s="453"/>
      <c r="F24" s="453"/>
      <c r="G24" s="453"/>
      <c r="H24" s="453"/>
      <c r="I24" s="453"/>
      <c r="J24" s="453"/>
      <c r="K24" s="453"/>
      <c r="L24" s="453"/>
      <c r="M24" s="453"/>
      <c r="N24" s="453"/>
      <c r="O24" s="453"/>
      <c r="P24" s="454"/>
      <c r="Q24" s="452"/>
      <c r="R24" s="453"/>
      <c r="S24" s="453"/>
      <c r="T24" s="453"/>
      <c r="U24" s="453"/>
      <c r="V24" s="453"/>
      <c r="W24" s="453"/>
      <c r="X24" s="453"/>
      <c r="Y24" s="453"/>
      <c r="Z24" s="453"/>
      <c r="AA24" s="453"/>
      <c r="AB24" s="453"/>
      <c r="AC24" s="453"/>
      <c r="AD24" s="453"/>
      <c r="AE24" s="454"/>
      <c r="AF24" s="447"/>
      <c r="AG24" s="448"/>
      <c r="AH24" s="448"/>
      <c r="AI24" s="448"/>
      <c r="AJ24" s="448"/>
      <c r="AK24" s="466"/>
      <c r="AL24" s="466"/>
      <c r="AM24" s="466"/>
      <c r="AN24" s="466"/>
      <c r="AO24" s="466"/>
      <c r="AP24" s="447"/>
      <c r="AQ24" s="448"/>
      <c r="AR24" s="448"/>
      <c r="AS24" s="448"/>
      <c r="AT24" s="448"/>
      <c r="AU24" s="448"/>
      <c r="AV24" s="448"/>
      <c r="AW24" s="448"/>
      <c r="AX24" s="448"/>
      <c r="AY24" s="448"/>
      <c r="AZ24" s="447"/>
      <c r="BA24" s="448"/>
      <c r="BB24" s="448"/>
      <c r="BC24" s="448"/>
      <c r="BD24" s="448"/>
      <c r="BE24" s="449"/>
      <c r="BF24" s="450"/>
      <c r="BG24" s="450"/>
      <c r="BH24" s="450"/>
      <c r="BI24" s="451"/>
    </row>
    <row r="25" spans="1:61" ht="13.5">
      <c r="A25" s="293">
        <f t="shared" si="0"/>
        <v>20</v>
      </c>
      <c r="B25" s="457"/>
      <c r="C25" s="452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  <c r="O25" s="453"/>
      <c r="P25" s="454"/>
      <c r="Q25" s="452"/>
      <c r="R25" s="453"/>
      <c r="S25" s="453"/>
      <c r="T25" s="453"/>
      <c r="U25" s="453"/>
      <c r="V25" s="453"/>
      <c r="W25" s="453"/>
      <c r="X25" s="453"/>
      <c r="Y25" s="453"/>
      <c r="Z25" s="453"/>
      <c r="AA25" s="453"/>
      <c r="AB25" s="453"/>
      <c r="AC25" s="453"/>
      <c r="AD25" s="453"/>
      <c r="AE25" s="454"/>
      <c r="AF25" s="447"/>
      <c r="AG25" s="448"/>
      <c r="AH25" s="448"/>
      <c r="AI25" s="448"/>
      <c r="AJ25" s="448"/>
      <c r="AK25" s="466"/>
      <c r="AL25" s="466"/>
      <c r="AM25" s="466"/>
      <c r="AN25" s="466"/>
      <c r="AO25" s="466"/>
      <c r="AP25" s="447"/>
      <c r="AQ25" s="448"/>
      <c r="AR25" s="448"/>
      <c r="AS25" s="448"/>
      <c r="AT25" s="448"/>
      <c r="AU25" s="448"/>
      <c r="AV25" s="448"/>
      <c r="AW25" s="448"/>
      <c r="AX25" s="448"/>
      <c r="AY25" s="448"/>
      <c r="AZ25" s="447"/>
      <c r="BA25" s="448"/>
      <c r="BB25" s="448"/>
      <c r="BC25" s="448"/>
      <c r="BD25" s="448"/>
      <c r="BE25" s="449"/>
      <c r="BF25" s="450"/>
      <c r="BG25" s="450"/>
      <c r="BH25" s="450"/>
      <c r="BI25" s="451"/>
    </row>
    <row r="26" spans="1:61" ht="13.5">
      <c r="A26" s="293">
        <f t="shared" si="0"/>
        <v>21</v>
      </c>
      <c r="B26" s="457"/>
      <c r="C26" s="452"/>
      <c r="D26" s="453"/>
      <c r="E26" s="453"/>
      <c r="F26" s="453"/>
      <c r="G26" s="453"/>
      <c r="H26" s="453"/>
      <c r="I26" s="453"/>
      <c r="J26" s="453"/>
      <c r="K26" s="453"/>
      <c r="L26" s="453"/>
      <c r="M26" s="453"/>
      <c r="N26" s="453"/>
      <c r="O26" s="453"/>
      <c r="P26" s="454"/>
      <c r="Q26" s="452"/>
      <c r="R26" s="453"/>
      <c r="S26" s="453"/>
      <c r="T26" s="453"/>
      <c r="U26" s="453"/>
      <c r="V26" s="453"/>
      <c r="W26" s="453"/>
      <c r="X26" s="453"/>
      <c r="Y26" s="453"/>
      <c r="Z26" s="453"/>
      <c r="AA26" s="453"/>
      <c r="AB26" s="453"/>
      <c r="AC26" s="453"/>
      <c r="AD26" s="453"/>
      <c r="AE26" s="454"/>
      <c r="AF26" s="447"/>
      <c r="AG26" s="448"/>
      <c r="AH26" s="448"/>
      <c r="AI26" s="448"/>
      <c r="AJ26" s="448"/>
      <c r="AK26" s="455"/>
      <c r="AL26" s="273"/>
      <c r="AM26" s="273"/>
      <c r="AN26" s="273"/>
      <c r="AO26" s="456"/>
      <c r="AP26" s="447"/>
      <c r="AQ26" s="448"/>
      <c r="AR26" s="448"/>
      <c r="AS26" s="448"/>
      <c r="AT26" s="448"/>
      <c r="AU26" s="448"/>
      <c r="AV26" s="448"/>
      <c r="AW26" s="448"/>
      <c r="AX26" s="448"/>
      <c r="AY26" s="448"/>
      <c r="AZ26" s="447"/>
      <c r="BA26" s="448"/>
      <c r="BB26" s="448"/>
      <c r="BC26" s="448"/>
      <c r="BD26" s="448"/>
      <c r="BE26" s="449"/>
      <c r="BF26" s="450"/>
      <c r="BG26" s="450"/>
      <c r="BH26" s="450"/>
      <c r="BI26" s="451"/>
    </row>
    <row r="27" spans="1:61" ht="13.5">
      <c r="A27" s="293">
        <f t="shared" si="0"/>
        <v>22</v>
      </c>
      <c r="B27" s="457"/>
      <c r="C27" s="452"/>
      <c r="D27" s="453"/>
      <c r="E27" s="453"/>
      <c r="F27" s="453"/>
      <c r="G27" s="453"/>
      <c r="H27" s="453"/>
      <c r="I27" s="453"/>
      <c r="J27" s="453"/>
      <c r="K27" s="453"/>
      <c r="L27" s="453"/>
      <c r="M27" s="453"/>
      <c r="N27" s="453"/>
      <c r="O27" s="453"/>
      <c r="P27" s="454"/>
      <c r="Q27" s="452"/>
      <c r="R27" s="453"/>
      <c r="S27" s="453"/>
      <c r="T27" s="453"/>
      <c r="U27" s="453"/>
      <c r="V27" s="453"/>
      <c r="W27" s="453"/>
      <c r="X27" s="453"/>
      <c r="Y27" s="453"/>
      <c r="Z27" s="453"/>
      <c r="AA27" s="453"/>
      <c r="AB27" s="453"/>
      <c r="AC27" s="453"/>
      <c r="AD27" s="453"/>
      <c r="AE27" s="454"/>
      <c r="AF27" s="447"/>
      <c r="AG27" s="448"/>
      <c r="AH27" s="448"/>
      <c r="AI27" s="448"/>
      <c r="AJ27" s="448"/>
      <c r="AK27" s="455"/>
      <c r="AL27" s="273"/>
      <c r="AM27" s="273"/>
      <c r="AN27" s="273"/>
      <c r="AO27" s="456"/>
      <c r="AP27" s="447"/>
      <c r="AQ27" s="448"/>
      <c r="AR27" s="448"/>
      <c r="AS27" s="448"/>
      <c r="AT27" s="448"/>
      <c r="AU27" s="448"/>
      <c r="AV27" s="448"/>
      <c r="AW27" s="448"/>
      <c r="AX27" s="448"/>
      <c r="AY27" s="448"/>
      <c r="AZ27" s="447"/>
      <c r="BA27" s="448"/>
      <c r="BB27" s="448"/>
      <c r="BC27" s="448"/>
      <c r="BD27" s="448"/>
      <c r="BE27" s="449"/>
      <c r="BF27" s="450"/>
      <c r="BG27" s="450"/>
      <c r="BH27" s="450"/>
      <c r="BI27" s="451"/>
    </row>
    <row r="28" spans="1:61" ht="13.5">
      <c r="A28" s="293">
        <f t="shared" si="0"/>
        <v>23</v>
      </c>
      <c r="B28" s="457"/>
      <c r="C28" s="452"/>
      <c r="D28" s="453"/>
      <c r="E28" s="453"/>
      <c r="F28" s="453"/>
      <c r="G28" s="453"/>
      <c r="H28" s="453"/>
      <c r="I28" s="453"/>
      <c r="J28" s="453"/>
      <c r="K28" s="453"/>
      <c r="L28" s="453"/>
      <c r="M28" s="453"/>
      <c r="N28" s="453"/>
      <c r="O28" s="453"/>
      <c r="P28" s="454"/>
      <c r="Q28" s="452"/>
      <c r="R28" s="453"/>
      <c r="S28" s="453"/>
      <c r="T28" s="453"/>
      <c r="U28" s="453"/>
      <c r="V28" s="453"/>
      <c r="W28" s="453"/>
      <c r="X28" s="453"/>
      <c r="Y28" s="453"/>
      <c r="Z28" s="453"/>
      <c r="AA28" s="453"/>
      <c r="AB28" s="453"/>
      <c r="AC28" s="453"/>
      <c r="AD28" s="453"/>
      <c r="AE28" s="454"/>
      <c r="AF28" s="447"/>
      <c r="AG28" s="448"/>
      <c r="AH28" s="448"/>
      <c r="AI28" s="448"/>
      <c r="AJ28" s="448"/>
      <c r="AK28" s="455"/>
      <c r="AL28" s="273"/>
      <c r="AM28" s="273"/>
      <c r="AN28" s="273"/>
      <c r="AO28" s="456"/>
      <c r="AP28" s="447"/>
      <c r="AQ28" s="448"/>
      <c r="AR28" s="448"/>
      <c r="AS28" s="448"/>
      <c r="AT28" s="448"/>
      <c r="AU28" s="448"/>
      <c r="AV28" s="448"/>
      <c r="AW28" s="448"/>
      <c r="AX28" s="448"/>
      <c r="AY28" s="448"/>
      <c r="AZ28" s="447"/>
      <c r="BA28" s="448"/>
      <c r="BB28" s="448"/>
      <c r="BC28" s="448"/>
      <c r="BD28" s="448"/>
      <c r="BE28" s="449"/>
      <c r="BF28" s="450"/>
      <c r="BG28" s="450"/>
      <c r="BH28" s="450"/>
      <c r="BI28" s="451"/>
    </row>
    <row r="29" spans="1:61" ht="13.5">
      <c r="A29" s="293">
        <f t="shared" si="0"/>
        <v>24</v>
      </c>
      <c r="B29" s="457"/>
      <c r="C29" s="452"/>
      <c r="D29" s="453"/>
      <c r="E29" s="453"/>
      <c r="F29" s="453"/>
      <c r="G29" s="453"/>
      <c r="H29" s="453"/>
      <c r="I29" s="453"/>
      <c r="J29" s="453"/>
      <c r="K29" s="453"/>
      <c r="L29" s="453"/>
      <c r="M29" s="453"/>
      <c r="N29" s="453"/>
      <c r="O29" s="453"/>
      <c r="P29" s="454"/>
      <c r="Q29" s="452"/>
      <c r="R29" s="453"/>
      <c r="S29" s="453"/>
      <c r="T29" s="453"/>
      <c r="U29" s="453"/>
      <c r="V29" s="453"/>
      <c r="W29" s="453"/>
      <c r="X29" s="453"/>
      <c r="Y29" s="453"/>
      <c r="Z29" s="453"/>
      <c r="AA29" s="453"/>
      <c r="AB29" s="453"/>
      <c r="AC29" s="453"/>
      <c r="AD29" s="453"/>
      <c r="AE29" s="454"/>
      <c r="AF29" s="447"/>
      <c r="AG29" s="448"/>
      <c r="AH29" s="448"/>
      <c r="AI29" s="448"/>
      <c r="AJ29" s="448"/>
      <c r="AK29" s="455"/>
      <c r="AL29" s="273"/>
      <c r="AM29" s="273"/>
      <c r="AN29" s="273"/>
      <c r="AO29" s="456"/>
      <c r="AP29" s="447"/>
      <c r="AQ29" s="448"/>
      <c r="AR29" s="448"/>
      <c r="AS29" s="448"/>
      <c r="AT29" s="448"/>
      <c r="AU29" s="448"/>
      <c r="AV29" s="448"/>
      <c r="AW29" s="448"/>
      <c r="AX29" s="448"/>
      <c r="AY29" s="448"/>
      <c r="AZ29" s="447"/>
      <c r="BA29" s="448"/>
      <c r="BB29" s="448"/>
      <c r="BC29" s="448"/>
      <c r="BD29" s="448"/>
      <c r="BE29" s="449"/>
      <c r="BF29" s="450"/>
      <c r="BG29" s="450"/>
      <c r="BH29" s="450"/>
      <c r="BI29" s="451"/>
    </row>
    <row r="30" spans="1:61" ht="13.5">
      <c r="A30" s="293">
        <f t="shared" si="0"/>
        <v>25</v>
      </c>
      <c r="B30" s="457"/>
      <c r="C30" s="452"/>
      <c r="D30" s="453"/>
      <c r="E30" s="453"/>
      <c r="F30" s="453"/>
      <c r="G30" s="453"/>
      <c r="H30" s="453"/>
      <c r="I30" s="453"/>
      <c r="J30" s="453"/>
      <c r="K30" s="453"/>
      <c r="L30" s="453"/>
      <c r="M30" s="453"/>
      <c r="N30" s="453"/>
      <c r="O30" s="453"/>
      <c r="P30" s="454"/>
      <c r="Q30" s="452"/>
      <c r="R30" s="453"/>
      <c r="S30" s="453"/>
      <c r="T30" s="453"/>
      <c r="U30" s="453"/>
      <c r="V30" s="453"/>
      <c r="W30" s="453"/>
      <c r="X30" s="453"/>
      <c r="Y30" s="453"/>
      <c r="Z30" s="453"/>
      <c r="AA30" s="453"/>
      <c r="AB30" s="453"/>
      <c r="AC30" s="453"/>
      <c r="AD30" s="453"/>
      <c r="AE30" s="454"/>
      <c r="AF30" s="447"/>
      <c r="AG30" s="448"/>
      <c r="AH30" s="448"/>
      <c r="AI30" s="448"/>
      <c r="AJ30" s="448"/>
      <c r="AK30" s="455"/>
      <c r="AL30" s="273"/>
      <c r="AM30" s="273"/>
      <c r="AN30" s="273"/>
      <c r="AO30" s="456"/>
      <c r="AP30" s="447"/>
      <c r="AQ30" s="448"/>
      <c r="AR30" s="448"/>
      <c r="AS30" s="448"/>
      <c r="AT30" s="448"/>
      <c r="AU30" s="448"/>
      <c r="AV30" s="448"/>
      <c r="AW30" s="448"/>
      <c r="AX30" s="448"/>
      <c r="AY30" s="448"/>
      <c r="AZ30" s="447"/>
      <c r="BA30" s="448"/>
      <c r="BB30" s="448"/>
      <c r="BC30" s="448"/>
      <c r="BD30" s="448"/>
      <c r="BE30" s="449"/>
      <c r="BF30" s="450"/>
      <c r="BG30" s="450"/>
      <c r="BH30" s="450"/>
      <c r="BI30" s="451"/>
    </row>
    <row r="31" spans="1:61" ht="13.5">
      <c r="A31" s="293">
        <f t="shared" si="0"/>
        <v>26</v>
      </c>
      <c r="B31" s="457"/>
      <c r="C31" s="452"/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4"/>
      <c r="Q31" s="452"/>
      <c r="R31" s="453"/>
      <c r="S31" s="453"/>
      <c r="T31" s="453"/>
      <c r="U31" s="453"/>
      <c r="V31" s="453"/>
      <c r="W31" s="453"/>
      <c r="X31" s="453"/>
      <c r="Y31" s="453"/>
      <c r="Z31" s="453"/>
      <c r="AA31" s="453"/>
      <c r="AB31" s="453"/>
      <c r="AC31" s="453"/>
      <c r="AD31" s="453"/>
      <c r="AE31" s="454"/>
      <c r="AF31" s="447"/>
      <c r="AG31" s="448"/>
      <c r="AH31" s="448"/>
      <c r="AI31" s="448"/>
      <c r="AJ31" s="448"/>
      <c r="AK31" s="455"/>
      <c r="AL31" s="273"/>
      <c r="AM31" s="273"/>
      <c r="AN31" s="273"/>
      <c r="AO31" s="456"/>
      <c r="AP31" s="447"/>
      <c r="AQ31" s="448"/>
      <c r="AR31" s="448"/>
      <c r="AS31" s="448"/>
      <c r="AT31" s="448"/>
      <c r="AU31" s="448"/>
      <c r="AV31" s="448"/>
      <c r="AW31" s="448"/>
      <c r="AX31" s="448"/>
      <c r="AY31" s="448"/>
      <c r="AZ31" s="447"/>
      <c r="BA31" s="448"/>
      <c r="BB31" s="448"/>
      <c r="BC31" s="448"/>
      <c r="BD31" s="448"/>
      <c r="BE31" s="449"/>
      <c r="BF31" s="450"/>
      <c r="BG31" s="450"/>
      <c r="BH31" s="450"/>
      <c r="BI31" s="451"/>
    </row>
    <row r="32" spans="1:61" ht="13.5">
      <c r="A32" s="293">
        <f t="shared" si="0"/>
        <v>27</v>
      </c>
      <c r="B32" s="457"/>
      <c r="C32" s="452"/>
      <c r="D32" s="453"/>
      <c r="E32" s="453"/>
      <c r="F32" s="453"/>
      <c r="G32" s="453"/>
      <c r="H32" s="453"/>
      <c r="I32" s="453"/>
      <c r="J32" s="453"/>
      <c r="K32" s="453"/>
      <c r="L32" s="453"/>
      <c r="M32" s="453"/>
      <c r="N32" s="453"/>
      <c r="O32" s="453"/>
      <c r="P32" s="454"/>
      <c r="Q32" s="452"/>
      <c r="R32" s="453"/>
      <c r="S32" s="453"/>
      <c r="T32" s="453"/>
      <c r="U32" s="453"/>
      <c r="V32" s="453"/>
      <c r="W32" s="453"/>
      <c r="X32" s="453"/>
      <c r="Y32" s="453"/>
      <c r="Z32" s="453"/>
      <c r="AA32" s="453"/>
      <c r="AB32" s="453"/>
      <c r="AC32" s="453"/>
      <c r="AD32" s="453"/>
      <c r="AE32" s="454"/>
      <c r="AF32" s="447"/>
      <c r="AG32" s="448"/>
      <c r="AH32" s="448"/>
      <c r="AI32" s="448"/>
      <c r="AJ32" s="448"/>
      <c r="AK32" s="455"/>
      <c r="AL32" s="273"/>
      <c r="AM32" s="273"/>
      <c r="AN32" s="273"/>
      <c r="AO32" s="456"/>
      <c r="AP32" s="447"/>
      <c r="AQ32" s="448"/>
      <c r="AR32" s="448"/>
      <c r="AS32" s="448"/>
      <c r="AT32" s="448"/>
      <c r="AU32" s="448"/>
      <c r="AV32" s="448"/>
      <c r="AW32" s="448"/>
      <c r="AX32" s="448"/>
      <c r="AY32" s="448"/>
      <c r="AZ32" s="447"/>
      <c r="BA32" s="448"/>
      <c r="BB32" s="448"/>
      <c r="BC32" s="448"/>
      <c r="BD32" s="448"/>
      <c r="BE32" s="449"/>
      <c r="BF32" s="450"/>
      <c r="BG32" s="450"/>
      <c r="BH32" s="450"/>
      <c r="BI32" s="451"/>
    </row>
    <row r="33" spans="1:61" ht="13.5">
      <c r="A33" s="293">
        <f t="shared" si="0"/>
        <v>28</v>
      </c>
      <c r="B33" s="457"/>
      <c r="C33" s="452"/>
      <c r="D33" s="453"/>
      <c r="E33" s="453"/>
      <c r="F33" s="453"/>
      <c r="G33" s="453"/>
      <c r="H33" s="453"/>
      <c r="I33" s="453"/>
      <c r="J33" s="453"/>
      <c r="K33" s="453"/>
      <c r="L33" s="453"/>
      <c r="M33" s="453"/>
      <c r="N33" s="453"/>
      <c r="O33" s="453"/>
      <c r="P33" s="454"/>
      <c r="Q33" s="452"/>
      <c r="R33" s="453"/>
      <c r="S33" s="453"/>
      <c r="T33" s="453"/>
      <c r="U33" s="453"/>
      <c r="V33" s="453"/>
      <c r="W33" s="453"/>
      <c r="X33" s="453"/>
      <c r="Y33" s="453"/>
      <c r="Z33" s="453"/>
      <c r="AA33" s="453"/>
      <c r="AB33" s="453"/>
      <c r="AC33" s="453"/>
      <c r="AD33" s="453"/>
      <c r="AE33" s="454"/>
      <c r="AF33" s="447"/>
      <c r="AG33" s="448"/>
      <c r="AH33" s="448"/>
      <c r="AI33" s="448"/>
      <c r="AJ33" s="448"/>
      <c r="AK33" s="470"/>
      <c r="AL33" s="470"/>
      <c r="AM33" s="470"/>
      <c r="AN33" s="470"/>
      <c r="AO33" s="470"/>
      <c r="AP33" s="447"/>
      <c r="AQ33" s="448"/>
      <c r="AR33" s="448"/>
      <c r="AS33" s="448"/>
      <c r="AT33" s="448"/>
      <c r="AU33" s="448"/>
      <c r="AV33" s="448"/>
      <c r="AW33" s="448"/>
      <c r="AX33" s="448"/>
      <c r="AY33" s="448"/>
      <c r="AZ33" s="447"/>
      <c r="BA33" s="448"/>
      <c r="BB33" s="448"/>
      <c r="BC33" s="448"/>
      <c r="BD33" s="448"/>
      <c r="BE33" s="449"/>
      <c r="BF33" s="450"/>
      <c r="BG33" s="450"/>
      <c r="BH33" s="450"/>
      <c r="BI33" s="451"/>
    </row>
    <row r="34" spans="1:61" ht="13.5">
      <c r="A34" s="293">
        <f t="shared" si="0"/>
        <v>29</v>
      </c>
      <c r="B34" s="457"/>
      <c r="C34" s="452"/>
      <c r="D34" s="453"/>
      <c r="E34" s="453"/>
      <c r="F34" s="453"/>
      <c r="G34" s="453"/>
      <c r="H34" s="453"/>
      <c r="I34" s="453"/>
      <c r="J34" s="453"/>
      <c r="K34" s="453"/>
      <c r="L34" s="453"/>
      <c r="M34" s="453"/>
      <c r="N34" s="453"/>
      <c r="O34" s="453"/>
      <c r="P34" s="454"/>
      <c r="Q34" s="452"/>
      <c r="R34" s="453"/>
      <c r="S34" s="453"/>
      <c r="T34" s="453"/>
      <c r="U34" s="453"/>
      <c r="V34" s="453"/>
      <c r="W34" s="453"/>
      <c r="X34" s="453"/>
      <c r="Y34" s="453"/>
      <c r="Z34" s="453"/>
      <c r="AA34" s="453"/>
      <c r="AB34" s="453"/>
      <c r="AC34" s="453"/>
      <c r="AD34" s="453"/>
      <c r="AE34" s="454"/>
      <c r="AF34" s="447"/>
      <c r="AG34" s="448"/>
      <c r="AH34" s="448"/>
      <c r="AI34" s="448"/>
      <c r="AJ34" s="448"/>
      <c r="AK34" s="448"/>
      <c r="AL34" s="448"/>
      <c r="AM34" s="448"/>
      <c r="AN34" s="448"/>
      <c r="AO34" s="448"/>
      <c r="AP34" s="447"/>
      <c r="AQ34" s="448"/>
      <c r="AR34" s="448"/>
      <c r="AS34" s="448"/>
      <c r="AT34" s="448"/>
      <c r="AU34" s="448"/>
      <c r="AV34" s="448"/>
      <c r="AW34" s="448"/>
      <c r="AX34" s="448"/>
      <c r="AY34" s="448"/>
      <c r="AZ34" s="447"/>
      <c r="BA34" s="448"/>
      <c r="BB34" s="448"/>
      <c r="BC34" s="448"/>
      <c r="BD34" s="448"/>
      <c r="BE34" s="449"/>
      <c r="BF34" s="450"/>
      <c r="BG34" s="450"/>
      <c r="BH34" s="450"/>
      <c r="BI34" s="451"/>
    </row>
    <row r="35" spans="1:61" ht="13.5">
      <c r="A35" s="293">
        <f t="shared" si="0"/>
        <v>30</v>
      </c>
      <c r="B35" s="457"/>
      <c r="C35" s="452"/>
      <c r="D35" s="453"/>
      <c r="E35" s="453"/>
      <c r="F35" s="453"/>
      <c r="G35" s="453"/>
      <c r="H35" s="453"/>
      <c r="I35" s="453"/>
      <c r="J35" s="453"/>
      <c r="K35" s="453"/>
      <c r="L35" s="453"/>
      <c r="M35" s="453"/>
      <c r="N35" s="453"/>
      <c r="O35" s="453"/>
      <c r="P35" s="454"/>
      <c r="Q35" s="452"/>
      <c r="R35" s="453"/>
      <c r="S35" s="453"/>
      <c r="T35" s="453"/>
      <c r="U35" s="453"/>
      <c r="V35" s="453"/>
      <c r="W35" s="453"/>
      <c r="X35" s="453"/>
      <c r="Y35" s="453"/>
      <c r="Z35" s="453"/>
      <c r="AA35" s="453"/>
      <c r="AB35" s="453"/>
      <c r="AC35" s="453"/>
      <c r="AD35" s="453"/>
      <c r="AE35" s="454"/>
      <c r="AF35" s="447"/>
      <c r="AG35" s="448"/>
      <c r="AH35" s="448"/>
      <c r="AI35" s="448"/>
      <c r="AJ35" s="448"/>
      <c r="AK35" s="448"/>
      <c r="AL35" s="448"/>
      <c r="AM35" s="448"/>
      <c r="AN35" s="448"/>
      <c r="AO35" s="448"/>
      <c r="AP35" s="447"/>
      <c r="AQ35" s="448"/>
      <c r="AR35" s="448"/>
      <c r="AS35" s="448"/>
      <c r="AT35" s="448"/>
      <c r="AU35" s="448"/>
      <c r="AV35" s="448"/>
      <c r="AW35" s="448"/>
      <c r="AX35" s="448"/>
      <c r="AY35" s="448"/>
      <c r="AZ35" s="447"/>
      <c r="BA35" s="448"/>
      <c r="BB35" s="448"/>
      <c r="BC35" s="448"/>
      <c r="BD35" s="448"/>
      <c r="BE35" s="449"/>
      <c r="BF35" s="450"/>
      <c r="BG35" s="450"/>
      <c r="BH35" s="450"/>
      <c r="BI35" s="451"/>
    </row>
    <row r="36" spans="1:61" ht="13.5">
      <c r="A36" s="293">
        <f t="shared" si="0"/>
        <v>31</v>
      </c>
      <c r="B36" s="457"/>
      <c r="C36" s="452"/>
      <c r="D36" s="453"/>
      <c r="E36" s="453"/>
      <c r="F36" s="453"/>
      <c r="G36" s="453"/>
      <c r="H36" s="453"/>
      <c r="I36" s="453"/>
      <c r="J36" s="453"/>
      <c r="K36" s="453"/>
      <c r="L36" s="453"/>
      <c r="M36" s="453"/>
      <c r="N36" s="453"/>
      <c r="O36" s="453"/>
      <c r="P36" s="454"/>
      <c r="Q36" s="452"/>
      <c r="R36" s="453"/>
      <c r="S36" s="453"/>
      <c r="T36" s="453"/>
      <c r="U36" s="453"/>
      <c r="V36" s="453"/>
      <c r="W36" s="453"/>
      <c r="X36" s="453"/>
      <c r="Y36" s="453"/>
      <c r="Z36" s="453"/>
      <c r="AA36" s="453"/>
      <c r="AB36" s="453"/>
      <c r="AC36" s="453"/>
      <c r="AD36" s="453"/>
      <c r="AE36" s="454"/>
      <c r="AF36" s="447"/>
      <c r="AG36" s="448"/>
      <c r="AH36" s="448"/>
      <c r="AI36" s="448"/>
      <c r="AJ36" s="448"/>
      <c r="AK36" s="448"/>
      <c r="AL36" s="448"/>
      <c r="AM36" s="448"/>
      <c r="AN36" s="448"/>
      <c r="AO36" s="448"/>
      <c r="AP36" s="447"/>
      <c r="AQ36" s="448"/>
      <c r="AR36" s="448"/>
      <c r="AS36" s="448"/>
      <c r="AT36" s="448"/>
      <c r="AU36" s="448"/>
      <c r="AV36" s="448"/>
      <c r="AW36" s="448"/>
      <c r="AX36" s="448"/>
      <c r="AY36" s="448"/>
      <c r="AZ36" s="447"/>
      <c r="BA36" s="448"/>
      <c r="BB36" s="448"/>
      <c r="BC36" s="448"/>
      <c r="BD36" s="448"/>
      <c r="BE36" s="449"/>
      <c r="BF36" s="450"/>
      <c r="BG36" s="450"/>
      <c r="BH36" s="450"/>
      <c r="BI36" s="451"/>
    </row>
    <row r="37" spans="1:61" ht="13.5">
      <c r="A37" s="293">
        <f t="shared" si="0"/>
        <v>32</v>
      </c>
      <c r="B37" s="457"/>
      <c r="C37" s="452"/>
      <c r="D37" s="453"/>
      <c r="E37" s="453"/>
      <c r="F37" s="453"/>
      <c r="G37" s="453"/>
      <c r="H37" s="453"/>
      <c r="I37" s="453"/>
      <c r="J37" s="453"/>
      <c r="K37" s="453"/>
      <c r="L37" s="453"/>
      <c r="M37" s="453"/>
      <c r="N37" s="453"/>
      <c r="O37" s="453"/>
      <c r="P37" s="454"/>
      <c r="Q37" s="452"/>
      <c r="R37" s="453"/>
      <c r="S37" s="453"/>
      <c r="T37" s="453"/>
      <c r="U37" s="453"/>
      <c r="V37" s="453"/>
      <c r="W37" s="453"/>
      <c r="X37" s="453"/>
      <c r="Y37" s="453"/>
      <c r="Z37" s="453"/>
      <c r="AA37" s="453"/>
      <c r="AB37" s="453"/>
      <c r="AC37" s="453"/>
      <c r="AD37" s="453"/>
      <c r="AE37" s="454"/>
      <c r="AF37" s="447"/>
      <c r="AG37" s="448"/>
      <c r="AH37" s="448"/>
      <c r="AI37" s="448"/>
      <c r="AJ37" s="448"/>
      <c r="AK37" s="448"/>
      <c r="AL37" s="448"/>
      <c r="AM37" s="448"/>
      <c r="AN37" s="448"/>
      <c r="AO37" s="448"/>
      <c r="AP37" s="447"/>
      <c r="AQ37" s="448"/>
      <c r="AR37" s="448"/>
      <c r="AS37" s="448"/>
      <c r="AT37" s="448"/>
      <c r="AU37" s="448"/>
      <c r="AV37" s="448"/>
      <c r="AW37" s="448"/>
      <c r="AX37" s="448"/>
      <c r="AY37" s="448"/>
      <c r="AZ37" s="447"/>
      <c r="BA37" s="448"/>
      <c r="BB37" s="448"/>
      <c r="BC37" s="448"/>
      <c r="BD37" s="448"/>
      <c r="BE37" s="449"/>
      <c r="BF37" s="450"/>
      <c r="BG37" s="450"/>
      <c r="BH37" s="450"/>
      <c r="BI37" s="451"/>
    </row>
    <row r="38" spans="1:61" ht="13.5">
      <c r="A38" s="293">
        <f t="shared" si="0"/>
        <v>33</v>
      </c>
      <c r="B38" s="457"/>
      <c r="C38" s="452"/>
      <c r="D38" s="453"/>
      <c r="E38" s="453"/>
      <c r="F38" s="453"/>
      <c r="G38" s="453"/>
      <c r="H38" s="453"/>
      <c r="I38" s="453"/>
      <c r="J38" s="453"/>
      <c r="K38" s="453"/>
      <c r="L38" s="453"/>
      <c r="M38" s="453"/>
      <c r="N38" s="453"/>
      <c r="O38" s="453"/>
      <c r="P38" s="454"/>
      <c r="Q38" s="452"/>
      <c r="R38" s="453"/>
      <c r="S38" s="453"/>
      <c r="T38" s="453"/>
      <c r="U38" s="453"/>
      <c r="V38" s="453"/>
      <c r="W38" s="453"/>
      <c r="X38" s="453"/>
      <c r="Y38" s="453"/>
      <c r="Z38" s="453"/>
      <c r="AA38" s="453"/>
      <c r="AB38" s="453"/>
      <c r="AC38" s="453"/>
      <c r="AD38" s="453"/>
      <c r="AE38" s="454"/>
      <c r="AF38" s="447"/>
      <c r="AG38" s="448"/>
      <c r="AH38" s="448"/>
      <c r="AI38" s="448"/>
      <c r="AJ38" s="448"/>
      <c r="AK38" s="448"/>
      <c r="AL38" s="448"/>
      <c r="AM38" s="448"/>
      <c r="AN38" s="448"/>
      <c r="AO38" s="448"/>
      <c r="AP38" s="447"/>
      <c r="AQ38" s="448"/>
      <c r="AR38" s="448"/>
      <c r="AS38" s="448"/>
      <c r="AT38" s="448"/>
      <c r="AU38" s="448"/>
      <c r="AV38" s="448"/>
      <c r="AW38" s="448"/>
      <c r="AX38" s="448"/>
      <c r="AY38" s="448"/>
      <c r="AZ38" s="447"/>
      <c r="BA38" s="448"/>
      <c r="BB38" s="448"/>
      <c r="BC38" s="448"/>
      <c r="BD38" s="448"/>
      <c r="BE38" s="449"/>
      <c r="BF38" s="450"/>
      <c r="BG38" s="450"/>
      <c r="BH38" s="450"/>
      <c r="BI38" s="451"/>
    </row>
    <row r="39" spans="1:61" ht="13.5">
      <c r="A39" s="293">
        <f t="shared" si="0"/>
        <v>34</v>
      </c>
      <c r="B39" s="457"/>
      <c r="C39" s="452"/>
      <c r="D39" s="453"/>
      <c r="E39" s="453"/>
      <c r="F39" s="453"/>
      <c r="G39" s="453"/>
      <c r="H39" s="453"/>
      <c r="I39" s="453"/>
      <c r="J39" s="453"/>
      <c r="K39" s="453"/>
      <c r="L39" s="453"/>
      <c r="M39" s="453"/>
      <c r="N39" s="453"/>
      <c r="O39" s="453"/>
      <c r="P39" s="454"/>
      <c r="Q39" s="452"/>
      <c r="R39" s="453"/>
      <c r="S39" s="453"/>
      <c r="T39" s="453"/>
      <c r="U39" s="453"/>
      <c r="V39" s="453"/>
      <c r="W39" s="453"/>
      <c r="X39" s="453"/>
      <c r="Y39" s="453"/>
      <c r="Z39" s="453"/>
      <c r="AA39" s="453"/>
      <c r="AB39" s="453"/>
      <c r="AC39" s="453"/>
      <c r="AD39" s="453"/>
      <c r="AE39" s="454"/>
      <c r="AF39" s="447"/>
      <c r="AG39" s="448"/>
      <c r="AH39" s="448"/>
      <c r="AI39" s="448"/>
      <c r="AJ39" s="448"/>
      <c r="AK39" s="448"/>
      <c r="AL39" s="448"/>
      <c r="AM39" s="448"/>
      <c r="AN39" s="448"/>
      <c r="AO39" s="448"/>
      <c r="AP39" s="447"/>
      <c r="AQ39" s="448"/>
      <c r="AR39" s="448"/>
      <c r="AS39" s="448"/>
      <c r="AT39" s="448"/>
      <c r="AU39" s="448"/>
      <c r="AV39" s="448"/>
      <c r="AW39" s="448"/>
      <c r="AX39" s="448"/>
      <c r="AY39" s="448"/>
      <c r="AZ39" s="447"/>
      <c r="BA39" s="448"/>
      <c r="BB39" s="448"/>
      <c r="BC39" s="448"/>
      <c r="BD39" s="448"/>
      <c r="BE39" s="449"/>
      <c r="BF39" s="450"/>
      <c r="BG39" s="450"/>
      <c r="BH39" s="450"/>
      <c r="BI39" s="451"/>
    </row>
    <row r="40" spans="1:61" ht="14.1" thickBot="1">
      <c r="A40" s="287">
        <f t="shared" si="0"/>
        <v>35</v>
      </c>
      <c r="B40" s="473"/>
      <c r="C40" s="474"/>
      <c r="D40" s="475"/>
      <c r="E40" s="475"/>
      <c r="F40" s="475"/>
      <c r="G40" s="475"/>
      <c r="H40" s="475"/>
      <c r="I40" s="475"/>
      <c r="J40" s="475"/>
      <c r="K40" s="475"/>
      <c r="L40" s="475"/>
      <c r="M40" s="475"/>
      <c r="N40" s="475"/>
      <c r="O40" s="475"/>
      <c r="P40" s="476"/>
      <c r="Q40" s="474"/>
      <c r="R40" s="475"/>
      <c r="S40" s="475"/>
      <c r="T40" s="475"/>
      <c r="U40" s="475"/>
      <c r="V40" s="475"/>
      <c r="W40" s="475"/>
      <c r="X40" s="475"/>
      <c r="Y40" s="475"/>
      <c r="Z40" s="475"/>
      <c r="AA40" s="475"/>
      <c r="AB40" s="475"/>
      <c r="AC40" s="475"/>
      <c r="AD40" s="475"/>
      <c r="AE40" s="476"/>
      <c r="AF40" s="471"/>
      <c r="AG40" s="472"/>
      <c r="AH40" s="472"/>
      <c r="AI40" s="472"/>
      <c r="AJ40" s="472"/>
      <c r="AK40" s="472"/>
      <c r="AL40" s="472"/>
      <c r="AM40" s="472"/>
      <c r="AN40" s="472"/>
      <c r="AO40" s="472"/>
      <c r="AP40" s="471"/>
      <c r="AQ40" s="472"/>
      <c r="AR40" s="472"/>
      <c r="AS40" s="472"/>
      <c r="AT40" s="472"/>
      <c r="AU40" s="472"/>
      <c r="AV40" s="472"/>
      <c r="AW40" s="472"/>
      <c r="AX40" s="472"/>
      <c r="AY40" s="472"/>
      <c r="AZ40" s="471"/>
      <c r="BA40" s="472"/>
      <c r="BB40" s="472"/>
      <c r="BC40" s="472"/>
      <c r="BD40" s="472"/>
      <c r="BE40" s="458"/>
      <c r="BF40" s="459"/>
      <c r="BG40" s="459"/>
      <c r="BH40" s="459"/>
      <c r="BI40" s="460"/>
    </row>
  </sheetData>
  <mergeCells count="341">
    <mergeCell ref="AZ40:BD40"/>
    <mergeCell ref="A40:B40"/>
    <mergeCell ref="C40:P40"/>
    <mergeCell ref="AF40:AJ40"/>
    <mergeCell ref="AK40:AO40"/>
    <mergeCell ref="AP40:AT40"/>
    <mergeCell ref="AU40:AY40"/>
    <mergeCell ref="Q40:AE40"/>
    <mergeCell ref="A38:B38"/>
    <mergeCell ref="C38:P38"/>
    <mergeCell ref="AF38:AJ38"/>
    <mergeCell ref="AK38:AO38"/>
    <mergeCell ref="AP38:AT38"/>
    <mergeCell ref="AU38:AY38"/>
    <mergeCell ref="AZ38:BD38"/>
    <mergeCell ref="Q38:AE38"/>
    <mergeCell ref="A39:B39"/>
    <mergeCell ref="C39:P39"/>
    <mergeCell ref="AF39:AJ39"/>
    <mergeCell ref="AK39:AO39"/>
    <mergeCell ref="AP39:AT39"/>
    <mergeCell ref="AU39:AY39"/>
    <mergeCell ref="AZ39:BD39"/>
    <mergeCell ref="Q39:AE39"/>
    <mergeCell ref="AU35:AY35"/>
    <mergeCell ref="AZ35:BD35"/>
    <mergeCell ref="A36:B36"/>
    <mergeCell ref="C36:P36"/>
    <mergeCell ref="AF36:AJ36"/>
    <mergeCell ref="AK36:AO36"/>
    <mergeCell ref="AP36:AT36"/>
    <mergeCell ref="AU36:AY36"/>
    <mergeCell ref="A35:B35"/>
    <mergeCell ref="C35:P35"/>
    <mergeCell ref="AF35:AJ35"/>
    <mergeCell ref="AK35:AO35"/>
    <mergeCell ref="AP35:AT35"/>
    <mergeCell ref="AZ36:BD36"/>
    <mergeCell ref="Q35:AE35"/>
    <mergeCell ref="Q36:AE36"/>
    <mergeCell ref="A33:B33"/>
    <mergeCell ref="C33:P33"/>
    <mergeCell ref="AF33:AJ33"/>
    <mergeCell ref="AK33:AO33"/>
    <mergeCell ref="AP33:AT33"/>
    <mergeCell ref="AU33:AY33"/>
    <mergeCell ref="AZ33:BD33"/>
    <mergeCell ref="A34:B34"/>
    <mergeCell ref="C34:P34"/>
    <mergeCell ref="AF34:AJ34"/>
    <mergeCell ref="AK34:AO34"/>
    <mergeCell ref="AP34:AT34"/>
    <mergeCell ref="AU34:AY34"/>
    <mergeCell ref="AZ34:BD34"/>
    <mergeCell ref="Q34:AE34"/>
    <mergeCell ref="AU25:AY25"/>
    <mergeCell ref="AZ25:BD25"/>
    <mergeCell ref="A32:B32"/>
    <mergeCell ref="C32:P32"/>
    <mergeCell ref="AF32:AJ32"/>
    <mergeCell ref="AK32:AO32"/>
    <mergeCell ref="AP32:AT32"/>
    <mergeCell ref="AU32:AY32"/>
    <mergeCell ref="A25:B25"/>
    <mergeCell ref="C25:P25"/>
    <mergeCell ref="AF25:AJ25"/>
    <mergeCell ref="AK25:AO25"/>
    <mergeCell ref="AP25:AT25"/>
    <mergeCell ref="AZ32:BD32"/>
    <mergeCell ref="A26:B26"/>
    <mergeCell ref="C26:P26"/>
    <mergeCell ref="AF26:AJ26"/>
    <mergeCell ref="AK26:AO26"/>
    <mergeCell ref="AP26:AT26"/>
    <mergeCell ref="A29:B29"/>
    <mergeCell ref="C29:P29"/>
    <mergeCell ref="AF29:AJ29"/>
    <mergeCell ref="AK29:AO29"/>
    <mergeCell ref="AP29:AT29"/>
    <mergeCell ref="A23:B23"/>
    <mergeCell ref="C23:P23"/>
    <mergeCell ref="AF23:AJ23"/>
    <mergeCell ref="AK23:AO23"/>
    <mergeCell ref="AP23:AT23"/>
    <mergeCell ref="AU23:AY23"/>
    <mergeCell ref="AZ23:BD23"/>
    <mergeCell ref="Q23:AE23"/>
    <mergeCell ref="A24:B24"/>
    <mergeCell ref="C24:P24"/>
    <mergeCell ref="AF24:AJ24"/>
    <mergeCell ref="AK24:AO24"/>
    <mergeCell ref="AP24:AT24"/>
    <mergeCell ref="AU24:AY24"/>
    <mergeCell ref="AZ24:BD24"/>
    <mergeCell ref="Q24:AE24"/>
    <mergeCell ref="AU21:AY21"/>
    <mergeCell ref="AZ21:BD21"/>
    <mergeCell ref="A22:B22"/>
    <mergeCell ref="C22:P22"/>
    <mergeCell ref="AF22:AJ22"/>
    <mergeCell ref="AK22:AO22"/>
    <mergeCell ref="AP22:AT22"/>
    <mergeCell ref="AU22:AY22"/>
    <mergeCell ref="A21:B21"/>
    <mergeCell ref="C21:P21"/>
    <mergeCell ref="AF21:AJ21"/>
    <mergeCell ref="AK21:AO21"/>
    <mergeCell ref="AP21:AT21"/>
    <mergeCell ref="AZ22:BD22"/>
    <mergeCell ref="Q21:AE21"/>
    <mergeCell ref="Q22:AE22"/>
    <mergeCell ref="AF19:AJ19"/>
    <mergeCell ref="AK19:AO19"/>
    <mergeCell ref="AP19:AT19"/>
    <mergeCell ref="AU19:AY19"/>
    <mergeCell ref="AZ19:BD19"/>
    <mergeCell ref="Q19:AE19"/>
    <mergeCell ref="A20:B20"/>
    <mergeCell ref="C20:P20"/>
    <mergeCell ref="AF20:AJ20"/>
    <mergeCell ref="AK20:AO20"/>
    <mergeCell ref="AP20:AT20"/>
    <mergeCell ref="AU20:AY20"/>
    <mergeCell ref="AZ20:BD20"/>
    <mergeCell ref="Q20:AE20"/>
    <mergeCell ref="AU17:AY17"/>
    <mergeCell ref="AZ17:BD17"/>
    <mergeCell ref="A18:B18"/>
    <mergeCell ref="C18:P18"/>
    <mergeCell ref="AF18:AJ18"/>
    <mergeCell ref="AK18:AO18"/>
    <mergeCell ref="AP18:AT18"/>
    <mergeCell ref="AU18:AY18"/>
    <mergeCell ref="A17:B17"/>
    <mergeCell ref="C17:P17"/>
    <mergeCell ref="AF17:AJ17"/>
    <mergeCell ref="AK17:AO17"/>
    <mergeCell ref="AP17:AT17"/>
    <mergeCell ref="AZ18:BD18"/>
    <mergeCell ref="Q17:AE17"/>
    <mergeCell ref="Q18:AE18"/>
    <mergeCell ref="AF15:AJ15"/>
    <mergeCell ref="AK15:AO15"/>
    <mergeCell ref="AP15:AT15"/>
    <mergeCell ref="AU15:AY15"/>
    <mergeCell ref="AZ15:BD15"/>
    <mergeCell ref="Q15:AE15"/>
    <mergeCell ref="A16:B16"/>
    <mergeCell ref="C16:P16"/>
    <mergeCell ref="AF16:AJ16"/>
    <mergeCell ref="AK16:AO16"/>
    <mergeCell ref="AP16:AT16"/>
    <mergeCell ref="AU16:AY16"/>
    <mergeCell ref="AZ16:BD16"/>
    <mergeCell ref="Q16:AE16"/>
    <mergeCell ref="AF14:AJ14"/>
    <mergeCell ref="AK14:AO14"/>
    <mergeCell ref="AP14:AT14"/>
    <mergeCell ref="AU14:AY14"/>
    <mergeCell ref="AZ14:BD14"/>
    <mergeCell ref="Q14:AE14"/>
    <mergeCell ref="A12:B12"/>
    <mergeCell ref="C12:P12"/>
    <mergeCell ref="AF12:AJ12"/>
    <mergeCell ref="AK12:AO12"/>
    <mergeCell ref="AP12:AT12"/>
    <mergeCell ref="AU12:AY12"/>
    <mergeCell ref="AZ12:BD12"/>
    <mergeCell ref="A13:B13"/>
    <mergeCell ref="C13:P13"/>
    <mergeCell ref="AF13:AJ13"/>
    <mergeCell ref="AK13:AO13"/>
    <mergeCell ref="AP13:AT13"/>
    <mergeCell ref="AU13:AY13"/>
    <mergeCell ref="AZ13:BD13"/>
    <mergeCell ref="AU10:AY10"/>
    <mergeCell ref="AZ10:BD10"/>
    <mergeCell ref="A11:B11"/>
    <mergeCell ref="C11:P11"/>
    <mergeCell ref="AF11:AJ11"/>
    <mergeCell ref="AK11:AO11"/>
    <mergeCell ref="AP11:AT11"/>
    <mergeCell ref="AU11:AY11"/>
    <mergeCell ref="A10:B10"/>
    <mergeCell ref="C10:P10"/>
    <mergeCell ref="AF10:AJ10"/>
    <mergeCell ref="AK10:AO10"/>
    <mergeCell ref="AP10:AT10"/>
    <mergeCell ref="AZ11:BD11"/>
    <mergeCell ref="AF8:AJ8"/>
    <mergeCell ref="AK8:AO8"/>
    <mergeCell ref="AP8:AT8"/>
    <mergeCell ref="AU8:AY8"/>
    <mergeCell ref="AZ8:BD8"/>
    <mergeCell ref="A9:B9"/>
    <mergeCell ref="C9:P9"/>
    <mergeCell ref="AF9:AJ9"/>
    <mergeCell ref="AK9:AO9"/>
    <mergeCell ref="AP9:AT9"/>
    <mergeCell ref="AU9:AY9"/>
    <mergeCell ref="AZ9:BD9"/>
    <mergeCell ref="A1:E3"/>
    <mergeCell ref="AU6:AY6"/>
    <mergeCell ref="AZ6:BD6"/>
    <mergeCell ref="A7:B7"/>
    <mergeCell ref="C7:P7"/>
    <mergeCell ref="AF7:AJ7"/>
    <mergeCell ref="AK7:AO7"/>
    <mergeCell ref="AP7:AT7"/>
    <mergeCell ref="AU7:AY7"/>
    <mergeCell ref="A6:B6"/>
    <mergeCell ref="C6:P6"/>
    <mergeCell ref="AF6:AJ6"/>
    <mergeCell ref="AK6:AO6"/>
    <mergeCell ref="AP6:AT6"/>
    <mergeCell ref="AZ7:BD7"/>
    <mergeCell ref="A5:B5"/>
    <mergeCell ref="C5:P5"/>
    <mergeCell ref="AF5:AJ5"/>
    <mergeCell ref="AK5:AO5"/>
    <mergeCell ref="AP5:AT5"/>
    <mergeCell ref="AU5:AY5"/>
    <mergeCell ref="AZ5:BD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Q1:V1"/>
    <mergeCell ref="W1:AD1"/>
    <mergeCell ref="AE1:AS1"/>
    <mergeCell ref="AT1:BA1"/>
    <mergeCell ref="BB3:BI3"/>
    <mergeCell ref="Q5:AE5"/>
    <mergeCell ref="BE5:BI5"/>
    <mergeCell ref="AU26:AY26"/>
    <mergeCell ref="AZ26:BD26"/>
    <mergeCell ref="A27:B27"/>
    <mergeCell ref="C27:P27"/>
    <mergeCell ref="AF27:AJ27"/>
    <mergeCell ref="AK27:AO27"/>
    <mergeCell ref="AP27:AT27"/>
    <mergeCell ref="AU27:AY27"/>
    <mergeCell ref="AZ27:BD27"/>
    <mergeCell ref="BE6:BI6"/>
    <mergeCell ref="BE7:BI7"/>
    <mergeCell ref="BE8:BI8"/>
    <mergeCell ref="BE9:BI9"/>
    <mergeCell ref="BE10:BI10"/>
    <mergeCell ref="BE11:BI11"/>
    <mergeCell ref="BE12:BI12"/>
    <mergeCell ref="BE13:BI13"/>
    <mergeCell ref="BE14:BI14"/>
    <mergeCell ref="BE15:BI15"/>
    <mergeCell ref="BE16:BI16"/>
    <mergeCell ref="BE17:BI17"/>
    <mergeCell ref="BE18:BI18"/>
    <mergeCell ref="AU29:AY29"/>
    <mergeCell ref="AZ29:BD29"/>
    <mergeCell ref="A28:B28"/>
    <mergeCell ref="C28:P28"/>
    <mergeCell ref="AF28:AJ28"/>
    <mergeCell ref="AK28:AO28"/>
    <mergeCell ref="AP28:AT28"/>
    <mergeCell ref="AU28:AY28"/>
    <mergeCell ref="AZ28:BD28"/>
    <mergeCell ref="BE19:BI19"/>
    <mergeCell ref="BE20:BI20"/>
    <mergeCell ref="BE21:BI21"/>
    <mergeCell ref="BE22:BI22"/>
    <mergeCell ref="BE32:BI32"/>
    <mergeCell ref="BE33:BI33"/>
    <mergeCell ref="BE34:BI34"/>
    <mergeCell ref="BE35:BI35"/>
    <mergeCell ref="BE36:BI36"/>
    <mergeCell ref="BE38:BI38"/>
    <mergeCell ref="BE39:BI39"/>
    <mergeCell ref="BE40:BI40"/>
    <mergeCell ref="BE23:BI23"/>
    <mergeCell ref="BE24:BI24"/>
    <mergeCell ref="BE25:BI25"/>
    <mergeCell ref="BE26:BI26"/>
    <mergeCell ref="BE27:BI27"/>
    <mergeCell ref="BE28:BI28"/>
    <mergeCell ref="BE29:BI29"/>
    <mergeCell ref="BE30:BI30"/>
    <mergeCell ref="BE31:BI31"/>
    <mergeCell ref="A37:B37"/>
    <mergeCell ref="C37:P37"/>
    <mergeCell ref="Q37:AE37"/>
    <mergeCell ref="Q6:AE6"/>
    <mergeCell ref="Q7:AE7"/>
    <mergeCell ref="Q8:AE8"/>
    <mergeCell ref="Q9:AE9"/>
    <mergeCell ref="Q10:AE10"/>
    <mergeCell ref="Q11:AE11"/>
    <mergeCell ref="Q12:AE12"/>
    <mergeCell ref="Q13:AE13"/>
    <mergeCell ref="Q25:AE25"/>
    <mergeCell ref="A31:B31"/>
    <mergeCell ref="C31:P31"/>
    <mergeCell ref="A30:B30"/>
    <mergeCell ref="C30:P30"/>
    <mergeCell ref="A8:B8"/>
    <mergeCell ref="C8:P8"/>
    <mergeCell ref="A14:B14"/>
    <mergeCell ref="C14:P14"/>
    <mergeCell ref="A15:B15"/>
    <mergeCell ref="C15:P15"/>
    <mergeCell ref="A19:B19"/>
    <mergeCell ref="C19:P19"/>
    <mergeCell ref="AF37:AJ37"/>
    <mergeCell ref="AK37:AO37"/>
    <mergeCell ref="AP37:AT37"/>
    <mergeCell ref="AU37:AY37"/>
    <mergeCell ref="AZ37:BD37"/>
    <mergeCell ref="BE37:BI37"/>
    <mergeCell ref="Q26:AE26"/>
    <mergeCell ref="Q27:AE27"/>
    <mergeCell ref="Q28:AE28"/>
    <mergeCell ref="Q29:AE29"/>
    <mergeCell ref="Q30:AE30"/>
    <mergeCell ref="Q31:AE31"/>
    <mergeCell ref="Q32:AE32"/>
    <mergeCell ref="Q33:AE33"/>
    <mergeCell ref="AF31:AJ31"/>
    <mergeCell ref="AK31:AO31"/>
    <mergeCell ref="AP31:AT31"/>
    <mergeCell ref="AU31:AY31"/>
    <mergeCell ref="AZ31:BD31"/>
    <mergeCell ref="AF30:AJ30"/>
    <mergeCell ref="AK30:AO30"/>
    <mergeCell ref="AP30:AT30"/>
    <mergeCell ref="AU30:AY30"/>
    <mergeCell ref="AZ30:BD30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20B9-1C53-4702-A840-5DF44434728F}">
  <sheetPr codeName="Sheet16"/>
  <dimension ref="A1:BJ39"/>
  <sheetViews>
    <sheetView showGridLines="0" zoomScaleNormal="100" workbookViewId="0">
      <pane ySplit="5" topLeftCell="A6" activePane="bottomLeft" state="frozen"/>
      <selection pane="bottomLeft" activeCell="A6" sqref="A6:B6"/>
      <selection activeCell="A6" sqref="A6"/>
    </sheetView>
  </sheetViews>
  <sheetFormatPr defaultColWidth="2.5" defaultRowHeight="15" customHeight="1"/>
  <cols>
    <col min="1" max="16384" width="2.5" style="40"/>
  </cols>
  <sheetData>
    <row r="1" spans="1:61" s="1" customFormat="1" ht="15" customHeight="1" thickBot="1">
      <c r="A1" s="215" t="s">
        <v>386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s="1" customFormat="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s="1" customFormat="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/>
    <row r="5" spans="1:61" s="1" customFormat="1" ht="15" customHeight="1">
      <c r="A5" s="488" t="s">
        <v>62</v>
      </c>
      <c r="B5" s="489"/>
      <c r="C5" s="493" t="s">
        <v>387</v>
      </c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5"/>
      <c r="S5" s="493" t="s">
        <v>295</v>
      </c>
      <c r="T5" s="494"/>
      <c r="U5" s="494"/>
      <c r="V5" s="494"/>
      <c r="W5" s="494"/>
      <c r="X5" s="494"/>
      <c r="Y5" s="494"/>
      <c r="Z5" s="494"/>
      <c r="AA5" s="493" t="s">
        <v>388</v>
      </c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4"/>
      <c r="AZ5" s="494"/>
      <c r="BA5" s="494"/>
      <c r="BB5" s="494"/>
      <c r="BC5" s="495"/>
      <c r="BD5" s="493" t="s">
        <v>67</v>
      </c>
      <c r="BE5" s="494"/>
      <c r="BF5" s="494"/>
      <c r="BG5" s="494"/>
      <c r="BH5" s="494"/>
      <c r="BI5" s="496"/>
    </row>
    <row r="6" spans="1:61" s="1" customFormat="1" ht="15" customHeight="1">
      <c r="A6" s="479">
        <f>ROW()-5</f>
        <v>1</v>
      </c>
      <c r="B6" s="480"/>
      <c r="C6" s="455"/>
      <c r="D6" s="273"/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456"/>
      <c r="S6" s="481"/>
      <c r="T6" s="482"/>
      <c r="U6" s="482"/>
      <c r="V6" s="482"/>
      <c r="W6" s="482"/>
      <c r="X6" s="482"/>
      <c r="Y6" s="482"/>
      <c r="Z6" s="483"/>
      <c r="AA6" s="484"/>
      <c r="AB6" s="298"/>
      <c r="AC6" s="298"/>
      <c r="AD6" s="298"/>
      <c r="AE6" s="298"/>
      <c r="AF6" s="298"/>
      <c r="AG6" s="298"/>
      <c r="AH6" s="298"/>
      <c r="AI6" s="298"/>
      <c r="AJ6" s="298"/>
      <c r="AK6" s="298"/>
      <c r="AL6" s="298"/>
      <c r="AM6" s="298"/>
      <c r="AN6" s="298"/>
      <c r="AO6" s="298"/>
      <c r="AP6" s="298"/>
      <c r="AQ6" s="298"/>
      <c r="AR6" s="298"/>
      <c r="AS6" s="298"/>
      <c r="AT6" s="298"/>
      <c r="AU6" s="298"/>
      <c r="AV6" s="298"/>
      <c r="AW6" s="298"/>
      <c r="AX6" s="298"/>
      <c r="AY6" s="298"/>
      <c r="AZ6" s="298"/>
      <c r="BA6" s="298"/>
      <c r="BB6" s="298"/>
      <c r="BC6" s="485"/>
      <c r="BD6" s="455"/>
      <c r="BE6" s="273"/>
      <c r="BF6" s="273"/>
      <c r="BG6" s="273"/>
      <c r="BH6" s="273"/>
      <c r="BI6" s="274"/>
    </row>
    <row r="7" spans="1:61" s="1" customFormat="1" ht="15" customHeight="1">
      <c r="A7" s="479">
        <f t="shared" ref="A7:A38" si="0">ROW()-5</f>
        <v>2</v>
      </c>
      <c r="B7" s="480"/>
      <c r="C7" s="455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456"/>
      <c r="S7" s="481"/>
      <c r="T7" s="482"/>
      <c r="U7" s="482"/>
      <c r="V7" s="482"/>
      <c r="W7" s="482"/>
      <c r="X7" s="482"/>
      <c r="Y7" s="482"/>
      <c r="Z7" s="483"/>
      <c r="AA7" s="455"/>
      <c r="AB7" s="273"/>
      <c r="AC7" s="273"/>
      <c r="AD7" s="273"/>
      <c r="AE7" s="273"/>
      <c r="AF7" s="273"/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456"/>
      <c r="BD7" s="455"/>
      <c r="BE7" s="273"/>
      <c r="BF7" s="273"/>
      <c r="BG7" s="273"/>
      <c r="BH7" s="273"/>
      <c r="BI7" s="274"/>
    </row>
    <row r="8" spans="1:61" s="1" customFormat="1" ht="15" customHeight="1">
      <c r="A8" s="479">
        <f t="shared" si="0"/>
        <v>3</v>
      </c>
      <c r="B8" s="480"/>
      <c r="C8" s="455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456"/>
      <c r="S8" s="481"/>
      <c r="T8" s="482"/>
      <c r="U8" s="482"/>
      <c r="V8" s="482"/>
      <c r="W8" s="482"/>
      <c r="X8" s="482"/>
      <c r="Y8" s="482"/>
      <c r="Z8" s="483"/>
      <c r="AA8" s="455"/>
      <c r="AB8" s="273"/>
      <c r="AC8" s="273"/>
      <c r="AD8" s="273"/>
      <c r="AE8" s="273"/>
      <c r="AF8" s="273"/>
      <c r="AG8" s="273"/>
      <c r="AH8" s="273"/>
      <c r="AI8" s="273"/>
      <c r="AJ8" s="273"/>
      <c r="AK8" s="273"/>
      <c r="AL8" s="273"/>
      <c r="AM8" s="273"/>
      <c r="AN8" s="273"/>
      <c r="AO8" s="273"/>
      <c r="AP8" s="273"/>
      <c r="AQ8" s="273"/>
      <c r="AR8" s="273"/>
      <c r="AS8" s="273"/>
      <c r="AT8" s="273"/>
      <c r="AU8" s="273"/>
      <c r="AV8" s="273"/>
      <c r="AW8" s="273"/>
      <c r="AX8" s="273"/>
      <c r="AY8" s="273"/>
      <c r="AZ8" s="273"/>
      <c r="BA8" s="273"/>
      <c r="BB8" s="273"/>
      <c r="BC8" s="456"/>
      <c r="BD8" s="455"/>
      <c r="BE8" s="273"/>
      <c r="BF8" s="273"/>
      <c r="BG8" s="273"/>
      <c r="BH8" s="273"/>
      <c r="BI8" s="274"/>
    </row>
    <row r="9" spans="1:61" s="1" customFormat="1" ht="15" customHeight="1">
      <c r="A9" s="479">
        <f t="shared" si="0"/>
        <v>4</v>
      </c>
      <c r="B9" s="480"/>
      <c r="C9" s="455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456"/>
      <c r="S9" s="481"/>
      <c r="T9" s="482"/>
      <c r="U9" s="482"/>
      <c r="V9" s="482"/>
      <c r="W9" s="482"/>
      <c r="X9" s="482"/>
      <c r="Y9" s="482"/>
      <c r="Z9" s="483"/>
      <c r="AA9" s="455"/>
      <c r="AB9" s="273"/>
      <c r="AC9" s="273"/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3"/>
      <c r="AZ9" s="273"/>
      <c r="BA9" s="273"/>
      <c r="BB9" s="273"/>
      <c r="BC9" s="456"/>
      <c r="BD9" s="455"/>
      <c r="BE9" s="273"/>
      <c r="BF9" s="273"/>
      <c r="BG9" s="273"/>
      <c r="BH9" s="273"/>
      <c r="BI9" s="274"/>
    </row>
    <row r="10" spans="1:61" s="1" customFormat="1" ht="15" customHeight="1">
      <c r="A10" s="479">
        <f t="shared" si="0"/>
        <v>5</v>
      </c>
      <c r="B10" s="480"/>
      <c r="C10" s="455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456"/>
      <c r="S10" s="481"/>
      <c r="T10" s="482"/>
      <c r="U10" s="482"/>
      <c r="V10" s="482"/>
      <c r="W10" s="482"/>
      <c r="X10" s="482"/>
      <c r="Y10" s="482"/>
      <c r="Z10" s="483"/>
      <c r="AA10" s="455"/>
      <c r="AB10" s="273"/>
      <c r="AC10" s="273"/>
      <c r="AD10" s="273"/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3"/>
      <c r="AS10" s="273"/>
      <c r="AT10" s="273"/>
      <c r="AU10" s="273"/>
      <c r="AV10" s="273"/>
      <c r="AW10" s="273"/>
      <c r="AX10" s="273"/>
      <c r="AY10" s="273"/>
      <c r="AZ10" s="273"/>
      <c r="BA10" s="273"/>
      <c r="BB10" s="273"/>
      <c r="BC10" s="456"/>
      <c r="BD10" s="455"/>
      <c r="BE10" s="273"/>
      <c r="BF10" s="273"/>
      <c r="BG10" s="273"/>
      <c r="BH10" s="273"/>
      <c r="BI10" s="274"/>
    </row>
    <row r="11" spans="1:61" s="1" customFormat="1" ht="15" customHeight="1">
      <c r="A11" s="479">
        <f t="shared" si="0"/>
        <v>6</v>
      </c>
      <c r="B11" s="480"/>
      <c r="C11" s="455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456"/>
      <c r="S11" s="481"/>
      <c r="T11" s="482"/>
      <c r="U11" s="482"/>
      <c r="V11" s="482"/>
      <c r="W11" s="482"/>
      <c r="X11" s="482"/>
      <c r="Y11" s="482"/>
      <c r="Z11" s="483"/>
      <c r="AA11" s="455"/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3"/>
      <c r="AU11" s="273"/>
      <c r="AV11" s="273"/>
      <c r="AW11" s="273"/>
      <c r="AX11" s="273"/>
      <c r="AY11" s="273"/>
      <c r="AZ11" s="273"/>
      <c r="BA11" s="273"/>
      <c r="BB11" s="273"/>
      <c r="BC11" s="456"/>
      <c r="BD11" s="455"/>
      <c r="BE11" s="273"/>
      <c r="BF11" s="273"/>
      <c r="BG11" s="273"/>
      <c r="BH11" s="273"/>
      <c r="BI11" s="274"/>
    </row>
    <row r="12" spans="1:61" s="1" customFormat="1" ht="15" customHeight="1">
      <c r="A12" s="479">
        <f t="shared" si="0"/>
        <v>7</v>
      </c>
      <c r="B12" s="480"/>
      <c r="C12" s="455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456"/>
      <c r="S12" s="481"/>
      <c r="T12" s="482"/>
      <c r="U12" s="482"/>
      <c r="V12" s="482"/>
      <c r="W12" s="482"/>
      <c r="X12" s="482"/>
      <c r="Y12" s="482"/>
      <c r="Z12" s="483"/>
      <c r="AA12" s="455"/>
      <c r="AB12" s="273"/>
      <c r="AC12" s="273"/>
      <c r="AD12" s="273"/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3"/>
      <c r="AZ12" s="273"/>
      <c r="BA12" s="273"/>
      <c r="BB12" s="273"/>
      <c r="BC12" s="456"/>
      <c r="BD12" s="455"/>
      <c r="BE12" s="273"/>
      <c r="BF12" s="273"/>
      <c r="BG12" s="273"/>
      <c r="BH12" s="273"/>
      <c r="BI12" s="274"/>
    </row>
    <row r="13" spans="1:61" s="1" customFormat="1" ht="15" customHeight="1">
      <c r="A13" s="479">
        <f t="shared" si="0"/>
        <v>8</v>
      </c>
      <c r="B13" s="480"/>
      <c r="C13" s="455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456"/>
      <c r="S13" s="481"/>
      <c r="T13" s="482"/>
      <c r="U13" s="482"/>
      <c r="V13" s="482"/>
      <c r="W13" s="482"/>
      <c r="X13" s="482"/>
      <c r="Y13" s="482"/>
      <c r="Z13" s="483"/>
      <c r="AA13" s="455"/>
      <c r="AB13" s="273"/>
      <c r="AC13" s="273"/>
      <c r="AD13" s="273"/>
      <c r="AE13" s="273"/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456"/>
      <c r="BD13" s="455"/>
      <c r="BE13" s="273"/>
      <c r="BF13" s="273"/>
      <c r="BG13" s="273"/>
      <c r="BH13" s="273"/>
      <c r="BI13" s="274"/>
    </row>
    <row r="14" spans="1:61" s="1" customFormat="1" ht="15" customHeight="1">
      <c r="A14" s="479">
        <f t="shared" si="0"/>
        <v>9</v>
      </c>
      <c r="B14" s="480"/>
      <c r="C14" s="455"/>
      <c r="D14" s="273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456"/>
      <c r="S14" s="481"/>
      <c r="T14" s="482"/>
      <c r="U14" s="482"/>
      <c r="V14" s="482"/>
      <c r="W14" s="482"/>
      <c r="X14" s="482"/>
      <c r="Y14" s="482"/>
      <c r="Z14" s="483"/>
      <c r="AA14" s="455"/>
      <c r="AB14" s="273"/>
      <c r="AC14" s="273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456"/>
      <c r="BD14" s="455"/>
      <c r="BE14" s="273"/>
      <c r="BF14" s="273"/>
      <c r="BG14" s="273"/>
      <c r="BH14" s="273"/>
      <c r="BI14" s="274"/>
    </row>
    <row r="15" spans="1:61" s="1" customFormat="1" ht="15" customHeight="1">
      <c r="A15" s="479">
        <f t="shared" si="0"/>
        <v>10</v>
      </c>
      <c r="B15" s="480"/>
      <c r="C15" s="455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3"/>
      <c r="R15" s="456"/>
      <c r="S15" s="481"/>
      <c r="T15" s="482"/>
      <c r="U15" s="482"/>
      <c r="V15" s="482"/>
      <c r="W15" s="482"/>
      <c r="X15" s="482"/>
      <c r="Y15" s="482"/>
      <c r="Z15" s="483"/>
      <c r="AA15" s="455"/>
      <c r="AB15" s="273"/>
      <c r="AC15" s="273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456"/>
      <c r="BD15" s="455"/>
      <c r="BE15" s="273"/>
      <c r="BF15" s="273"/>
      <c r="BG15" s="273"/>
      <c r="BH15" s="273"/>
      <c r="BI15" s="274"/>
    </row>
    <row r="16" spans="1:61" s="1" customFormat="1" ht="15" customHeight="1">
      <c r="A16" s="479">
        <f t="shared" si="0"/>
        <v>11</v>
      </c>
      <c r="B16" s="480"/>
      <c r="C16" s="455"/>
      <c r="D16" s="273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3"/>
      <c r="R16" s="456"/>
      <c r="S16" s="481"/>
      <c r="T16" s="482"/>
      <c r="U16" s="482"/>
      <c r="V16" s="482"/>
      <c r="W16" s="482"/>
      <c r="X16" s="482"/>
      <c r="Y16" s="482"/>
      <c r="Z16" s="483"/>
      <c r="AA16" s="455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  <c r="BB16" s="273"/>
      <c r="BC16" s="456"/>
      <c r="BD16" s="455"/>
      <c r="BE16" s="273"/>
      <c r="BF16" s="273"/>
      <c r="BG16" s="273"/>
      <c r="BH16" s="273"/>
      <c r="BI16" s="274"/>
    </row>
    <row r="17" spans="1:61" s="1" customFormat="1" ht="15" customHeight="1">
      <c r="A17" s="479">
        <f t="shared" si="0"/>
        <v>12</v>
      </c>
      <c r="B17" s="480"/>
      <c r="C17" s="455"/>
      <c r="D17" s="273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3"/>
      <c r="R17" s="456"/>
      <c r="S17" s="481"/>
      <c r="T17" s="482"/>
      <c r="U17" s="482"/>
      <c r="V17" s="482"/>
      <c r="W17" s="482"/>
      <c r="X17" s="482"/>
      <c r="Y17" s="482"/>
      <c r="Z17" s="483"/>
      <c r="AA17" s="455"/>
      <c r="AB17" s="273"/>
      <c r="AC17" s="273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456"/>
      <c r="BD17" s="455"/>
      <c r="BE17" s="273"/>
      <c r="BF17" s="273"/>
      <c r="BG17" s="273"/>
      <c r="BH17" s="273"/>
      <c r="BI17" s="274"/>
    </row>
    <row r="18" spans="1:61" s="1" customFormat="1" ht="15" customHeight="1">
      <c r="A18" s="479">
        <f t="shared" si="0"/>
        <v>13</v>
      </c>
      <c r="B18" s="480"/>
      <c r="C18" s="455"/>
      <c r="D18" s="273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3"/>
      <c r="R18" s="456"/>
      <c r="S18" s="481"/>
      <c r="T18" s="482"/>
      <c r="U18" s="482"/>
      <c r="V18" s="482"/>
      <c r="W18" s="482"/>
      <c r="X18" s="482"/>
      <c r="Y18" s="482"/>
      <c r="Z18" s="483"/>
      <c r="AA18" s="455"/>
      <c r="AB18" s="273"/>
      <c r="AC18" s="273"/>
      <c r="AD18" s="273"/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456"/>
      <c r="BD18" s="455"/>
      <c r="BE18" s="273"/>
      <c r="BF18" s="273"/>
      <c r="BG18" s="273"/>
      <c r="BH18" s="273"/>
      <c r="BI18" s="274"/>
    </row>
    <row r="19" spans="1:61" s="1" customFormat="1" ht="15" customHeight="1">
      <c r="A19" s="479">
        <f t="shared" si="0"/>
        <v>14</v>
      </c>
      <c r="B19" s="480"/>
      <c r="C19" s="455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456"/>
      <c r="S19" s="481"/>
      <c r="T19" s="482"/>
      <c r="U19" s="482"/>
      <c r="V19" s="482"/>
      <c r="W19" s="482"/>
      <c r="X19" s="482"/>
      <c r="Y19" s="482"/>
      <c r="Z19" s="483"/>
      <c r="AA19" s="455"/>
      <c r="AB19" s="273"/>
      <c r="AC19" s="273"/>
      <c r="AD19" s="273"/>
      <c r="AE19" s="273"/>
      <c r="AF19" s="273"/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456"/>
      <c r="BD19" s="455"/>
      <c r="BE19" s="273"/>
      <c r="BF19" s="273"/>
      <c r="BG19" s="273"/>
      <c r="BH19" s="273"/>
      <c r="BI19" s="274"/>
    </row>
    <row r="20" spans="1:61" s="1" customFormat="1" ht="15" customHeight="1">
      <c r="A20" s="479">
        <f t="shared" si="0"/>
        <v>15</v>
      </c>
      <c r="B20" s="480"/>
      <c r="C20" s="455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456"/>
      <c r="S20" s="481"/>
      <c r="T20" s="482"/>
      <c r="U20" s="482"/>
      <c r="V20" s="482"/>
      <c r="W20" s="482"/>
      <c r="X20" s="482"/>
      <c r="Y20" s="482"/>
      <c r="Z20" s="483"/>
      <c r="AA20" s="455"/>
      <c r="AB20" s="273"/>
      <c r="AC20" s="273"/>
      <c r="AD20" s="273"/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456"/>
      <c r="BD20" s="455"/>
      <c r="BE20" s="273"/>
      <c r="BF20" s="273"/>
      <c r="BG20" s="273"/>
      <c r="BH20" s="273"/>
      <c r="BI20" s="274"/>
    </row>
    <row r="21" spans="1:61" s="1" customFormat="1" ht="15" customHeight="1">
      <c r="A21" s="479">
        <f t="shared" si="0"/>
        <v>16</v>
      </c>
      <c r="B21" s="480"/>
      <c r="C21" s="455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456"/>
      <c r="S21" s="481"/>
      <c r="T21" s="482"/>
      <c r="U21" s="482"/>
      <c r="V21" s="482"/>
      <c r="W21" s="482"/>
      <c r="X21" s="482"/>
      <c r="Y21" s="482"/>
      <c r="Z21" s="483"/>
      <c r="AA21" s="455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456"/>
      <c r="BD21" s="455"/>
      <c r="BE21" s="273"/>
      <c r="BF21" s="273"/>
      <c r="BG21" s="273"/>
      <c r="BH21" s="273"/>
      <c r="BI21" s="274"/>
    </row>
    <row r="22" spans="1:61" s="1" customFormat="1" ht="15" customHeight="1">
      <c r="A22" s="479">
        <f t="shared" si="0"/>
        <v>17</v>
      </c>
      <c r="B22" s="480"/>
      <c r="C22" s="455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456"/>
      <c r="S22" s="481"/>
      <c r="T22" s="482"/>
      <c r="U22" s="482"/>
      <c r="V22" s="482"/>
      <c r="W22" s="482"/>
      <c r="X22" s="482"/>
      <c r="Y22" s="482"/>
      <c r="Z22" s="483"/>
      <c r="AA22" s="455"/>
      <c r="AB22" s="273"/>
      <c r="AC22" s="273"/>
      <c r="AD22" s="273"/>
      <c r="AE22" s="273"/>
      <c r="AF22" s="273"/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  <c r="BB22" s="273"/>
      <c r="BC22" s="456"/>
      <c r="BD22" s="455"/>
      <c r="BE22" s="273"/>
      <c r="BF22" s="273"/>
      <c r="BG22" s="273"/>
      <c r="BH22" s="273"/>
      <c r="BI22" s="274"/>
    </row>
    <row r="23" spans="1:61" s="1" customFormat="1" ht="15" customHeight="1">
      <c r="A23" s="479">
        <f t="shared" si="0"/>
        <v>18</v>
      </c>
      <c r="B23" s="480"/>
      <c r="C23" s="455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3"/>
      <c r="R23" s="456"/>
      <c r="S23" s="481"/>
      <c r="T23" s="482"/>
      <c r="U23" s="482"/>
      <c r="V23" s="482"/>
      <c r="W23" s="482"/>
      <c r="X23" s="482"/>
      <c r="Y23" s="482"/>
      <c r="Z23" s="483"/>
      <c r="AA23" s="455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456"/>
      <c r="BD23" s="455"/>
      <c r="BE23" s="273"/>
      <c r="BF23" s="273"/>
      <c r="BG23" s="273"/>
      <c r="BH23" s="273"/>
      <c r="BI23" s="274"/>
    </row>
    <row r="24" spans="1:61" s="1" customFormat="1" ht="15" customHeight="1">
      <c r="A24" s="479">
        <f t="shared" si="0"/>
        <v>19</v>
      </c>
      <c r="B24" s="480"/>
      <c r="C24" s="455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456"/>
      <c r="S24" s="481"/>
      <c r="T24" s="482"/>
      <c r="U24" s="482"/>
      <c r="V24" s="482"/>
      <c r="W24" s="482"/>
      <c r="X24" s="482"/>
      <c r="Y24" s="482"/>
      <c r="Z24" s="483"/>
      <c r="AA24" s="455"/>
      <c r="AB24" s="273"/>
      <c r="AC24" s="273"/>
      <c r="AD24" s="273"/>
      <c r="AE24" s="273"/>
      <c r="AF24" s="273"/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456"/>
      <c r="BD24" s="455"/>
      <c r="BE24" s="273"/>
      <c r="BF24" s="273"/>
      <c r="BG24" s="273"/>
      <c r="BH24" s="273"/>
      <c r="BI24" s="274"/>
    </row>
    <row r="25" spans="1:61" s="1" customFormat="1" ht="15" customHeight="1">
      <c r="A25" s="479">
        <f t="shared" si="0"/>
        <v>20</v>
      </c>
      <c r="B25" s="480"/>
      <c r="C25" s="455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456"/>
      <c r="S25" s="481"/>
      <c r="T25" s="482"/>
      <c r="U25" s="482"/>
      <c r="V25" s="482"/>
      <c r="W25" s="482"/>
      <c r="X25" s="482"/>
      <c r="Y25" s="482"/>
      <c r="Z25" s="483"/>
      <c r="AA25" s="455"/>
      <c r="AB25" s="273"/>
      <c r="AC25" s="273"/>
      <c r="AD25" s="273"/>
      <c r="AE25" s="273"/>
      <c r="AF25" s="273"/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456"/>
      <c r="BD25" s="455"/>
      <c r="BE25" s="273"/>
      <c r="BF25" s="273"/>
      <c r="BG25" s="273"/>
      <c r="BH25" s="273"/>
      <c r="BI25" s="274"/>
    </row>
    <row r="26" spans="1:61" s="1" customFormat="1" ht="15" customHeight="1">
      <c r="A26" s="479">
        <f t="shared" si="0"/>
        <v>21</v>
      </c>
      <c r="B26" s="480"/>
      <c r="C26" s="455"/>
      <c r="D26" s="273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456"/>
      <c r="S26" s="481"/>
      <c r="T26" s="482"/>
      <c r="U26" s="482"/>
      <c r="V26" s="482"/>
      <c r="W26" s="482"/>
      <c r="X26" s="482"/>
      <c r="Y26" s="482"/>
      <c r="Z26" s="483"/>
      <c r="AA26" s="455"/>
      <c r="AB26" s="273"/>
      <c r="AC26" s="273"/>
      <c r="AD26" s="273"/>
      <c r="AE26" s="273"/>
      <c r="AF26" s="273"/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456"/>
      <c r="BD26" s="455"/>
      <c r="BE26" s="273"/>
      <c r="BF26" s="273"/>
      <c r="BG26" s="273"/>
      <c r="BH26" s="273"/>
      <c r="BI26" s="274"/>
    </row>
    <row r="27" spans="1:61" s="1" customFormat="1" ht="15" customHeight="1">
      <c r="A27" s="479">
        <f t="shared" si="0"/>
        <v>22</v>
      </c>
      <c r="B27" s="480"/>
      <c r="C27" s="455"/>
      <c r="D27" s="273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3"/>
      <c r="R27" s="456"/>
      <c r="S27" s="481"/>
      <c r="T27" s="482"/>
      <c r="U27" s="482"/>
      <c r="V27" s="482"/>
      <c r="W27" s="482"/>
      <c r="X27" s="482"/>
      <c r="Y27" s="482"/>
      <c r="Z27" s="483"/>
      <c r="AA27" s="455"/>
      <c r="AB27" s="273"/>
      <c r="AC27" s="273"/>
      <c r="AD27" s="273"/>
      <c r="AE27" s="273"/>
      <c r="AF27" s="273"/>
      <c r="AG27" s="273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  <c r="BB27" s="273"/>
      <c r="BC27" s="456"/>
      <c r="BD27" s="455"/>
      <c r="BE27" s="273"/>
      <c r="BF27" s="273"/>
      <c r="BG27" s="273"/>
      <c r="BH27" s="273"/>
      <c r="BI27" s="274"/>
    </row>
    <row r="28" spans="1:61" s="1" customFormat="1" ht="15" customHeight="1">
      <c r="A28" s="479">
        <f t="shared" si="0"/>
        <v>23</v>
      </c>
      <c r="B28" s="480"/>
      <c r="C28" s="455"/>
      <c r="D28" s="273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3"/>
      <c r="R28" s="456"/>
      <c r="S28" s="481"/>
      <c r="T28" s="482"/>
      <c r="U28" s="482"/>
      <c r="V28" s="482"/>
      <c r="W28" s="482"/>
      <c r="X28" s="482"/>
      <c r="Y28" s="482"/>
      <c r="Z28" s="483"/>
      <c r="AA28" s="455"/>
      <c r="AB28" s="273"/>
      <c r="AC28" s="273"/>
      <c r="AD28" s="273"/>
      <c r="AE28" s="273"/>
      <c r="AF28" s="273"/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456"/>
      <c r="BD28" s="455"/>
      <c r="BE28" s="273"/>
      <c r="BF28" s="273"/>
      <c r="BG28" s="273"/>
      <c r="BH28" s="273"/>
      <c r="BI28" s="274"/>
    </row>
    <row r="29" spans="1:61" s="1" customFormat="1" ht="15" customHeight="1">
      <c r="A29" s="479">
        <f t="shared" si="0"/>
        <v>24</v>
      </c>
      <c r="B29" s="480"/>
      <c r="C29" s="455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456"/>
      <c r="S29" s="481"/>
      <c r="T29" s="482"/>
      <c r="U29" s="482"/>
      <c r="V29" s="482"/>
      <c r="W29" s="482"/>
      <c r="X29" s="482"/>
      <c r="Y29" s="482"/>
      <c r="Z29" s="483"/>
      <c r="AA29" s="455"/>
      <c r="AB29" s="273"/>
      <c r="AC29" s="273"/>
      <c r="AD29" s="273"/>
      <c r="AE29" s="273"/>
      <c r="AF29" s="273"/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456"/>
      <c r="BD29" s="455"/>
      <c r="BE29" s="273"/>
      <c r="BF29" s="273"/>
      <c r="BG29" s="273"/>
      <c r="BH29" s="273"/>
      <c r="BI29" s="274"/>
    </row>
    <row r="30" spans="1:61" s="1" customFormat="1" ht="15" customHeight="1">
      <c r="A30" s="479">
        <f t="shared" si="0"/>
        <v>25</v>
      </c>
      <c r="B30" s="480"/>
      <c r="C30" s="455"/>
      <c r="D30" s="273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3"/>
      <c r="R30" s="456"/>
      <c r="S30" s="481"/>
      <c r="T30" s="482"/>
      <c r="U30" s="482"/>
      <c r="V30" s="482"/>
      <c r="W30" s="482"/>
      <c r="X30" s="482"/>
      <c r="Y30" s="482"/>
      <c r="Z30" s="483"/>
      <c r="AA30" s="455"/>
      <c r="AB30" s="273"/>
      <c r="AC30" s="273"/>
      <c r="AD30" s="273"/>
      <c r="AE30" s="273"/>
      <c r="AF30" s="273"/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3"/>
      <c r="AT30" s="273"/>
      <c r="AU30" s="273"/>
      <c r="AV30" s="273"/>
      <c r="AW30" s="273"/>
      <c r="AX30" s="273"/>
      <c r="AY30" s="273"/>
      <c r="AZ30" s="273"/>
      <c r="BA30" s="273"/>
      <c r="BB30" s="273"/>
      <c r="BC30" s="456"/>
      <c r="BD30" s="455"/>
      <c r="BE30" s="273"/>
      <c r="BF30" s="273"/>
      <c r="BG30" s="273"/>
      <c r="BH30" s="273"/>
      <c r="BI30" s="274"/>
    </row>
    <row r="31" spans="1:61" s="1" customFormat="1" ht="15" customHeight="1">
      <c r="A31" s="479">
        <f t="shared" si="0"/>
        <v>26</v>
      </c>
      <c r="B31" s="480"/>
      <c r="C31" s="455"/>
      <c r="D31" s="273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3"/>
      <c r="R31" s="456"/>
      <c r="S31" s="481"/>
      <c r="T31" s="482"/>
      <c r="U31" s="482"/>
      <c r="V31" s="482"/>
      <c r="W31" s="482"/>
      <c r="X31" s="482"/>
      <c r="Y31" s="482"/>
      <c r="Z31" s="483"/>
      <c r="AA31" s="455"/>
      <c r="AB31" s="273"/>
      <c r="AC31" s="273"/>
      <c r="AD31" s="273"/>
      <c r="AE31" s="273"/>
      <c r="AF31" s="273"/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456"/>
      <c r="BD31" s="455"/>
      <c r="BE31" s="273"/>
      <c r="BF31" s="273"/>
      <c r="BG31" s="273"/>
      <c r="BH31" s="273"/>
      <c r="BI31" s="274"/>
    </row>
    <row r="32" spans="1:61" s="1" customFormat="1" ht="15" customHeight="1">
      <c r="A32" s="479">
        <f t="shared" si="0"/>
        <v>27</v>
      </c>
      <c r="B32" s="480"/>
      <c r="C32" s="455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456"/>
      <c r="S32" s="481"/>
      <c r="T32" s="482"/>
      <c r="U32" s="482"/>
      <c r="V32" s="482"/>
      <c r="W32" s="482"/>
      <c r="X32" s="482"/>
      <c r="Y32" s="482"/>
      <c r="Z32" s="483"/>
      <c r="AA32" s="455"/>
      <c r="AB32" s="273"/>
      <c r="AC32" s="273"/>
      <c r="AD32" s="273"/>
      <c r="AE32" s="273"/>
      <c r="AF32" s="273"/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456"/>
      <c r="BD32" s="455"/>
      <c r="BE32" s="273"/>
      <c r="BF32" s="273"/>
      <c r="BG32" s="273"/>
      <c r="BH32" s="273"/>
      <c r="BI32" s="274"/>
    </row>
    <row r="33" spans="1:62" s="1" customFormat="1" ht="15" customHeight="1">
      <c r="A33" s="479">
        <f t="shared" si="0"/>
        <v>28</v>
      </c>
      <c r="B33" s="480"/>
      <c r="C33" s="455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456"/>
      <c r="S33" s="481"/>
      <c r="T33" s="482"/>
      <c r="U33" s="482"/>
      <c r="V33" s="482"/>
      <c r="W33" s="482"/>
      <c r="X33" s="482"/>
      <c r="Y33" s="482"/>
      <c r="Z33" s="483"/>
      <c r="AA33" s="455"/>
      <c r="AB33" s="273"/>
      <c r="AC33" s="273"/>
      <c r="AD33" s="273"/>
      <c r="AE33" s="273"/>
      <c r="AF33" s="273"/>
      <c r="AG33" s="273"/>
      <c r="AH33" s="273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3"/>
      <c r="AT33" s="273"/>
      <c r="AU33" s="273"/>
      <c r="AV33" s="273"/>
      <c r="AW33" s="273"/>
      <c r="AX33" s="273"/>
      <c r="AY33" s="273"/>
      <c r="AZ33" s="273"/>
      <c r="BA33" s="273"/>
      <c r="BB33" s="273"/>
      <c r="BC33" s="456"/>
      <c r="BD33" s="455"/>
      <c r="BE33" s="273"/>
      <c r="BF33" s="273"/>
      <c r="BG33" s="273"/>
      <c r="BH33" s="273"/>
      <c r="BI33" s="274"/>
    </row>
    <row r="34" spans="1:62" s="1" customFormat="1" ht="15" customHeight="1">
      <c r="A34" s="479">
        <f t="shared" si="0"/>
        <v>29</v>
      </c>
      <c r="B34" s="480"/>
      <c r="C34" s="455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456"/>
      <c r="S34" s="481"/>
      <c r="T34" s="482"/>
      <c r="U34" s="482"/>
      <c r="V34" s="482"/>
      <c r="W34" s="482"/>
      <c r="X34" s="482"/>
      <c r="Y34" s="482"/>
      <c r="Z34" s="483"/>
      <c r="AA34" s="455"/>
      <c r="AB34" s="273"/>
      <c r="AC34" s="273"/>
      <c r="AD34" s="273"/>
      <c r="AE34" s="273"/>
      <c r="AF34" s="273"/>
      <c r="AG34" s="273"/>
      <c r="AH34" s="273"/>
      <c r="AI34" s="273"/>
      <c r="AJ34" s="273"/>
      <c r="AK34" s="273"/>
      <c r="AL34" s="273"/>
      <c r="AM34" s="273"/>
      <c r="AN34" s="273"/>
      <c r="AO34" s="273"/>
      <c r="AP34" s="273"/>
      <c r="AQ34" s="273"/>
      <c r="AR34" s="273"/>
      <c r="AS34" s="273"/>
      <c r="AT34" s="273"/>
      <c r="AU34" s="273"/>
      <c r="AV34" s="273"/>
      <c r="AW34" s="273"/>
      <c r="AX34" s="273"/>
      <c r="AY34" s="273"/>
      <c r="AZ34" s="273"/>
      <c r="BA34" s="273"/>
      <c r="BB34" s="273"/>
      <c r="BC34" s="456"/>
      <c r="BD34" s="455"/>
      <c r="BE34" s="273"/>
      <c r="BF34" s="273"/>
      <c r="BG34" s="273"/>
      <c r="BH34" s="273"/>
      <c r="BI34" s="274"/>
    </row>
    <row r="35" spans="1:62" s="1" customFormat="1" ht="15" customHeight="1">
      <c r="A35" s="479">
        <f t="shared" si="0"/>
        <v>30</v>
      </c>
      <c r="B35" s="480"/>
      <c r="C35" s="455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456"/>
      <c r="S35" s="481"/>
      <c r="T35" s="482"/>
      <c r="U35" s="482"/>
      <c r="V35" s="482"/>
      <c r="W35" s="482"/>
      <c r="X35" s="482"/>
      <c r="Y35" s="482"/>
      <c r="Z35" s="483"/>
      <c r="AA35" s="455"/>
      <c r="AB35" s="273"/>
      <c r="AC35" s="273"/>
      <c r="AD35" s="273"/>
      <c r="AE35" s="273"/>
      <c r="AF35" s="273"/>
      <c r="AG35" s="273"/>
      <c r="AH35" s="273"/>
      <c r="AI35" s="273"/>
      <c r="AJ35" s="273"/>
      <c r="AK35" s="273"/>
      <c r="AL35" s="273"/>
      <c r="AM35" s="273"/>
      <c r="AN35" s="273"/>
      <c r="AO35" s="273"/>
      <c r="AP35" s="273"/>
      <c r="AQ35" s="273"/>
      <c r="AR35" s="273"/>
      <c r="AS35" s="273"/>
      <c r="AT35" s="273"/>
      <c r="AU35" s="273"/>
      <c r="AV35" s="273"/>
      <c r="AW35" s="273"/>
      <c r="AX35" s="273"/>
      <c r="AY35" s="273"/>
      <c r="AZ35" s="273"/>
      <c r="BA35" s="273"/>
      <c r="BB35" s="273"/>
      <c r="BC35" s="456"/>
      <c r="BD35" s="455"/>
      <c r="BE35" s="273"/>
      <c r="BF35" s="273"/>
      <c r="BG35" s="273"/>
      <c r="BH35" s="273"/>
      <c r="BI35" s="274"/>
    </row>
    <row r="36" spans="1:62" s="1" customFormat="1" ht="15" customHeight="1">
      <c r="A36" s="479">
        <f t="shared" si="0"/>
        <v>31</v>
      </c>
      <c r="B36" s="480"/>
      <c r="C36" s="455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456"/>
      <c r="S36" s="481"/>
      <c r="T36" s="482"/>
      <c r="U36" s="482"/>
      <c r="V36" s="482"/>
      <c r="W36" s="482"/>
      <c r="X36" s="482"/>
      <c r="Y36" s="482"/>
      <c r="Z36" s="483"/>
      <c r="AA36" s="455"/>
      <c r="AB36" s="273"/>
      <c r="AC36" s="273"/>
      <c r="AD36" s="273"/>
      <c r="AE36" s="273"/>
      <c r="AF36" s="273"/>
      <c r="AG36" s="273"/>
      <c r="AH36" s="273"/>
      <c r="AI36" s="273"/>
      <c r="AJ36" s="273"/>
      <c r="AK36" s="273"/>
      <c r="AL36" s="273"/>
      <c r="AM36" s="273"/>
      <c r="AN36" s="273"/>
      <c r="AO36" s="273"/>
      <c r="AP36" s="273"/>
      <c r="AQ36" s="273"/>
      <c r="AR36" s="273"/>
      <c r="AS36" s="273"/>
      <c r="AT36" s="273"/>
      <c r="AU36" s="273"/>
      <c r="AV36" s="273"/>
      <c r="AW36" s="273"/>
      <c r="AX36" s="273"/>
      <c r="AY36" s="273"/>
      <c r="AZ36" s="273"/>
      <c r="BA36" s="273"/>
      <c r="BB36" s="273"/>
      <c r="BC36" s="456"/>
      <c r="BD36" s="455"/>
      <c r="BE36" s="273"/>
      <c r="BF36" s="273"/>
      <c r="BG36" s="273"/>
      <c r="BH36" s="273"/>
      <c r="BI36" s="274"/>
    </row>
    <row r="37" spans="1:62" s="1" customFormat="1" ht="15" customHeight="1">
      <c r="A37" s="479">
        <f t="shared" si="0"/>
        <v>32</v>
      </c>
      <c r="B37" s="480"/>
      <c r="C37" s="455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456"/>
      <c r="S37" s="481"/>
      <c r="T37" s="482"/>
      <c r="U37" s="482"/>
      <c r="V37" s="482"/>
      <c r="W37" s="482"/>
      <c r="X37" s="482"/>
      <c r="Y37" s="482"/>
      <c r="Z37" s="483"/>
      <c r="AA37" s="455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456"/>
      <c r="BD37" s="455"/>
      <c r="BE37" s="273"/>
      <c r="BF37" s="273"/>
      <c r="BG37" s="273"/>
      <c r="BH37" s="273"/>
      <c r="BI37" s="274"/>
    </row>
    <row r="38" spans="1:62" s="1" customFormat="1" ht="15" customHeight="1" thickBot="1">
      <c r="A38" s="486">
        <f t="shared" si="0"/>
        <v>33</v>
      </c>
      <c r="B38" s="487"/>
      <c r="C38" s="477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478"/>
      <c r="S38" s="490"/>
      <c r="T38" s="491"/>
      <c r="U38" s="491"/>
      <c r="V38" s="491"/>
      <c r="W38" s="491"/>
      <c r="X38" s="491"/>
      <c r="Y38" s="491"/>
      <c r="Z38" s="492"/>
      <c r="AA38" s="477"/>
      <c r="AB38" s="276"/>
      <c r="AC38" s="276"/>
      <c r="AD38" s="276"/>
      <c r="AE38" s="276"/>
      <c r="AF38" s="276"/>
      <c r="AG38" s="276"/>
      <c r="AH38" s="276"/>
      <c r="AI38" s="276"/>
      <c r="AJ38" s="276"/>
      <c r="AK38" s="276"/>
      <c r="AL38" s="276"/>
      <c r="AM38" s="276"/>
      <c r="AN38" s="276"/>
      <c r="AO38" s="276"/>
      <c r="AP38" s="276"/>
      <c r="AQ38" s="276"/>
      <c r="AR38" s="276"/>
      <c r="AS38" s="276"/>
      <c r="AT38" s="276"/>
      <c r="AU38" s="276"/>
      <c r="AV38" s="276"/>
      <c r="AW38" s="276"/>
      <c r="AX38" s="276"/>
      <c r="AY38" s="276"/>
      <c r="AZ38" s="276"/>
      <c r="BA38" s="276"/>
      <c r="BB38" s="276"/>
      <c r="BC38" s="478"/>
      <c r="BD38" s="477"/>
      <c r="BE38" s="276"/>
      <c r="BF38" s="276"/>
      <c r="BG38" s="276"/>
      <c r="BH38" s="276"/>
      <c r="BI38" s="277"/>
    </row>
    <row r="39" spans="1:62" s="1" customFormat="1" ht="1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</row>
  </sheetData>
  <mergeCells count="187">
    <mergeCell ref="A1:E3"/>
    <mergeCell ref="F1:P1"/>
    <mergeCell ref="Q1:V1"/>
    <mergeCell ref="W1:AD1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AA5:BC5"/>
    <mergeCell ref="C5:R5"/>
    <mergeCell ref="BD37:BI37"/>
    <mergeCell ref="BD36:BI36"/>
    <mergeCell ref="BD10:BI10"/>
    <mergeCell ref="S10:Z10"/>
    <mergeCell ref="S30:Z30"/>
    <mergeCell ref="S36:Z36"/>
    <mergeCell ref="S37:Z37"/>
    <mergeCell ref="C6:R6"/>
    <mergeCell ref="S5:Z5"/>
    <mergeCell ref="S6:Z6"/>
    <mergeCell ref="C12:R12"/>
    <mergeCell ref="S12:Z12"/>
    <mergeCell ref="C13:R13"/>
    <mergeCell ref="BD6:BI6"/>
    <mergeCell ref="BD5:BI5"/>
    <mergeCell ref="BD8:BI8"/>
    <mergeCell ref="BD7:BI7"/>
    <mergeCell ref="BD9:BI9"/>
    <mergeCell ref="BD11:BI11"/>
    <mergeCell ref="BD12:BI12"/>
    <mergeCell ref="BD30:BI30"/>
    <mergeCell ref="BD13:BI13"/>
    <mergeCell ref="A5:B5"/>
    <mergeCell ref="A6:B6"/>
    <mergeCell ref="A7:B7"/>
    <mergeCell ref="A8:B8"/>
    <mergeCell ref="A9:B9"/>
    <mergeCell ref="S38:Z38"/>
    <mergeCell ref="S9:Z9"/>
    <mergeCell ref="C7:R7"/>
    <mergeCell ref="C8:R8"/>
    <mergeCell ref="S7:Z7"/>
    <mergeCell ref="S8:Z8"/>
    <mergeCell ref="C9:R9"/>
    <mergeCell ref="C38:R38"/>
    <mergeCell ref="C10:R10"/>
    <mergeCell ref="C30:R30"/>
    <mergeCell ref="C36:R36"/>
    <mergeCell ref="C37:R37"/>
    <mergeCell ref="C11:R11"/>
    <mergeCell ref="S11:Z11"/>
    <mergeCell ref="S13:Z13"/>
    <mergeCell ref="A14:B14"/>
    <mergeCell ref="C14:R14"/>
    <mergeCell ref="S14:Z14"/>
    <mergeCell ref="C19:R19"/>
    <mergeCell ref="BD14:BI14"/>
    <mergeCell ref="A38:B38"/>
    <mergeCell ref="A10:B10"/>
    <mergeCell ref="A30:B30"/>
    <mergeCell ref="A36:B36"/>
    <mergeCell ref="A37:B37"/>
    <mergeCell ref="A11:B11"/>
    <mergeCell ref="A12:B12"/>
    <mergeCell ref="A13:B13"/>
    <mergeCell ref="A15:B15"/>
    <mergeCell ref="A17:B17"/>
    <mergeCell ref="A19:B19"/>
    <mergeCell ref="A21:B21"/>
    <mergeCell ref="A23:B23"/>
    <mergeCell ref="A24:B24"/>
    <mergeCell ref="A26:B26"/>
    <mergeCell ref="BD38:BI38"/>
    <mergeCell ref="BD33:BI33"/>
    <mergeCell ref="C15:R15"/>
    <mergeCell ref="S15:Z15"/>
    <mergeCell ref="BD15:BI15"/>
    <mergeCell ref="A16:B16"/>
    <mergeCell ref="C16:R16"/>
    <mergeCell ref="S16:Z16"/>
    <mergeCell ref="BD16:BI16"/>
    <mergeCell ref="AA15:BC15"/>
    <mergeCell ref="AA16:BC16"/>
    <mergeCell ref="C17:R17"/>
    <mergeCell ref="S17:Z17"/>
    <mergeCell ref="BD17:BI17"/>
    <mergeCell ref="A18:B18"/>
    <mergeCell ref="C18:R18"/>
    <mergeCell ref="S18:Z18"/>
    <mergeCell ref="BD18:BI18"/>
    <mergeCell ref="AA17:BC17"/>
    <mergeCell ref="AA18:BC18"/>
    <mergeCell ref="S19:Z19"/>
    <mergeCell ref="BD19:BI19"/>
    <mergeCell ref="A20:B20"/>
    <mergeCell ref="C20:R20"/>
    <mergeCell ref="S20:Z20"/>
    <mergeCell ref="BD20:BI20"/>
    <mergeCell ref="AA19:BC19"/>
    <mergeCell ref="AA20:BC20"/>
    <mergeCell ref="C23:R23"/>
    <mergeCell ref="S23:Z23"/>
    <mergeCell ref="BD23:BI23"/>
    <mergeCell ref="AA23:BC23"/>
    <mergeCell ref="C21:R21"/>
    <mergeCell ref="S21:Z21"/>
    <mergeCell ref="BD21:BI21"/>
    <mergeCell ref="A22:B22"/>
    <mergeCell ref="C22:R22"/>
    <mergeCell ref="S22:Z22"/>
    <mergeCell ref="BD22:BI22"/>
    <mergeCell ref="AA21:BC21"/>
    <mergeCell ref="AA22:BC22"/>
    <mergeCell ref="C24:R24"/>
    <mergeCell ref="S24:Z24"/>
    <mergeCell ref="BD24:BI24"/>
    <mergeCell ref="A25:B25"/>
    <mergeCell ref="C25:R25"/>
    <mergeCell ref="S25:Z25"/>
    <mergeCell ref="BD25:BI25"/>
    <mergeCell ref="AA24:BC24"/>
    <mergeCell ref="AA25:BC25"/>
    <mergeCell ref="C26:R26"/>
    <mergeCell ref="S26:Z26"/>
    <mergeCell ref="BD26:BI26"/>
    <mergeCell ref="A27:B27"/>
    <mergeCell ref="C27:R27"/>
    <mergeCell ref="S27:Z27"/>
    <mergeCell ref="BD27:BI27"/>
    <mergeCell ref="AA26:BC26"/>
    <mergeCell ref="AA27:BC27"/>
    <mergeCell ref="A28:B28"/>
    <mergeCell ref="C28:R28"/>
    <mergeCell ref="S28:Z28"/>
    <mergeCell ref="BD28:BI28"/>
    <mergeCell ref="A29:B29"/>
    <mergeCell ref="C29:R29"/>
    <mergeCell ref="S29:Z29"/>
    <mergeCell ref="BD29:BI29"/>
    <mergeCell ref="AA28:BC28"/>
    <mergeCell ref="AA29:BC29"/>
    <mergeCell ref="BD34:BI34"/>
    <mergeCell ref="A35:B35"/>
    <mergeCell ref="C35:R35"/>
    <mergeCell ref="S35:Z35"/>
    <mergeCell ref="BD35:BI35"/>
    <mergeCell ref="A31:B31"/>
    <mergeCell ref="C31:R31"/>
    <mergeCell ref="S31:Z31"/>
    <mergeCell ref="BD31:BI31"/>
    <mergeCell ref="A32:B32"/>
    <mergeCell ref="C32:R32"/>
    <mergeCell ref="S32:Z32"/>
    <mergeCell ref="BD32:BI32"/>
    <mergeCell ref="AA10:BC10"/>
    <mergeCell ref="AA11:BC11"/>
    <mergeCell ref="AA12:BC12"/>
    <mergeCell ref="AA13:BC13"/>
    <mergeCell ref="AA14:BC14"/>
    <mergeCell ref="AA6:BC6"/>
    <mergeCell ref="AA7:BC7"/>
    <mergeCell ref="AA8:BC8"/>
    <mergeCell ref="AA9:BC9"/>
    <mergeCell ref="AA36:BC36"/>
    <mergeCell ref="AA37:BC37"/>
    <mergeCell ref="AA38:BC38"/>
    <mergeCell ref="A33:B33"/>
    <mergeCell ref="C33:R33"/>
    <mergeCell ref="S33:Z33"/>
    <mergeCell ref="AA33:BC33"/>
    <mergeCell ref="AA30:BC30"/>
    <mergeCell ref="AA31:BC31"/>
    <mergeCell ref="AA32:BC32"/>
    <mergeCell ref="AA34:BC34"/>
    <mergeCell ref="AA35:BC35"/>
    <mergeCell ref="A34:B34"/>
    <mergeCell ref="C34:R34"/>
    <mergeCell ref="S34:Z34"/>
  </mergeCells>
  <phoneticPr fontId="2"/>
  <dataValidations count="1">
    <dataValidation type="list" allowBlank="1" showInputMessage="1" showErrorMessage="1" sqref="S6:Z38" xr:uid="{F45C40A7-D7F6-4178-B1D9-F244887307E6}">
      <formula1>オブジェクト一覧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BDFD-A451-4EE7-ACDE-5890AE242007}">
  <sheetPr codeName="Sheet17"/>
  <dimension ref="A1:BI38"/>
  <sheetViews>
    <sheetView showGridLines="0" zoomScaleNormal="10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2.5" defaultRowHeight="15" customHeight="1"/>
  <cols>
    <col min="1" max="16384" width="2.5" style="1"/>
  </cols>
  <sheetData>
    <row r="1" spans="1:61" ht="15" customHeight="1" thickBot="1">
      <c r="A1" s="215" t="s">
        <v>389</v>
      </c>
      <c r="B1" s="216"/>
      <c r="C1" s="216"/>
      <c r="D1" s="216"/>
      <c r="E1" s="217"/>
      <c r="F1" s="224" t="str">
        <f>変更履歴!F1</f>
        <v>システム名</v>
      </c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27" t="str">
        <f>変更履歴!Q1</f>
        <v>機能分類</v>
      </c>
      <c r="R1" s="228"/>
      <c r="S1" s="228"/>
      <c r="T1" s="228"/>
      <c r="U1" s="228"/>
      <c r="V1" s="229"/>
      <c r="W1" s="224" t="str">
        <f>変更履歴!W1</f>
        <v>機能ＩＤ</v>
      </c>
      <c r="X1" s="225"/>
      <c r="Y1" s="225"/>
      <c r="Z1" s="225"/>
      <c r="AA1" s="225"/>
      <c r="AB1" s="225"/>
      <c r="AC1" s="225"/>
      <c r="AD1" s="226"/>
      <c r="AE1" s="224" t="str">
        <f>変更履歴!AE1</f>
        <v>機能名称</v>
      </c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  <c r="AT1" s="230" t="str">
        <f>変更履歴!AT1</f>
        <v>日付</v>
      </c>
      <c r="AU1" s="231"/>
      <c r="AV1" s="231"/>
      <c r="AW1" s="231"/>
      <c r="AX1" s="231"/>
      <c r="AY1" s="231"/>
      <c r="AZ1" s="231"/>
      <c r="BA1" s="232"/>
      <c r="BB1" s="187" t="str">
        <f>変更履歴!BB1</f>
        <v>更新者</v>
      </c>
      <c r="BC1" s="189"/>
      <c r="BD1" s="189"/>
      <c r="BE1" s="189"/>
      <c r="BF1" s="189"/>
      <c r="BG1" s="189"/>
      <c r="BH1" s="189"/>
      <c r="BI1" s="190"/>
    </row>
    <row r="2" spans="1:61" ht="15" customHeight="1">
      <c r="A2" s="218"/>
      <c r="B2" s="219"/>
      <c r="C2" s="219"/>
      <c r="D2" s="219"/>
      <c r="E2" s="220"/>
      <c r="F2" s="191" t="str">
        <f>変更履歴!F2</f>
        <v>Dynamics365 for Finance and Operations</v>
      </c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191" t="str">
        <f>変更履歴!Q2</f>
        <v>債権・債務</v>
      </c>
      <c r="R2" s="192"/>
      <c r="S2" s="192"/>
      <c r="T2" s="192"/>
      <c r="U2" s="192"/>
      <c r="V2" s="193"/>
      <c r="W2" s="197" t="str">
        <f>変更履歴!W2</f>
        <v>FO-087</v>
      </c>
      <c r="X2" s="198"/>
      <c r="Y2" s="198"/>
      <c r="Z2" s="198"/>
      <c r="AA2" s="198"/>
      <c r="AB2" s="198"/>
      <c r="AC2" s="198"/>
      <c r="AD2" s="199"/>
      <c r="AE2" s="191" t="str">
        <f>変更履歴!AE2</f>
        <v>入金データ連携</v>
      </c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T2" s="203" t="str">
        <f>変更履歴!AT2</f>
        <v>作成</v>
      </c>
      <c r="AU2" s="204"/>
      <c r="AV2" s="205">
        <f>変更履歴!AV2</f>
        <v>45492</v>
      </c>
      <c r="AW2" s="205"/>
      <c r="AX2" s="205"/>
      <c r="AY2" s="205"/>
      <c r="AZ2" s="205"/>
      <c r="BA2" s="206"/>
      <c r="BB2" s="207" t="str">
        <f>変更履歴!BB2</f>
        <v>JBS石岡</v>
      </c>
      <c r="BC2" s="209"/>
      <c r="BD2" s="209"/>
      <c r="BE2" s="209"/>
      <c r="BF2" s="209"/>
      <c r="BG2" s="209"/>
      <c r="BH2" s="209"/>
      <c r="BI2" s="210"/>
    </row>
    <row r="3" spans="1:61" ht="15" customHeight="1" thickBot="1">
      <c r="A3" s="221"/>
      <c r="B3" s="222"/>
      <c r="C3" s="222"/>
      <c r="D3" s="222"/>
      <c r="E3" s="223"/>
      <c r="F3" s="194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194"/>
      <c r="R3" s="195"/>
      <c r="S3" s="195"/>
      <c r="T3" s="195"/>
      <c r="U3" s="195"/>
      <c r="V3" s="196"/>
      <c r="W3" s="200"/>
      <c r="X3" s="201"/>
      <c r="Y3" s="201"/>
      <c r="Z3" s="201"/>
      <c r="AA3" s="201"/>
      <c r="AB3" s="201"/>
      <c r="AC3" s="201"/>
      <c r="AD3" s="202"/>
      <c r="AE3" s="1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6"/>
      <c r="AT3" s="211" t="str">
        <f>変更履歴!AT3</f>
        <v>更新</v>
      </c>
      <c r="AU3" s="212"/>
      <c r="AV3" s="265">
        <f ca="1">変更履歴!AV3</f>
        <v>45624</v>
      </c>
      <c r="AW3" s="266"/>
      <c r="AX3" s="266"/>
      <c r="AY3" s="266"/>
      <c r="AZ3" s="266"/>
      <c r="BA3" s="267"/>
      <c r="BB3" s="269" t="str">
        <f ca="1">変更履歴!BB3</f>
        <v>JBS加藤</v>
      </c>
      <c r="BC3" s="270"/>
      <c r="BD3" s="270"/>
      <c r="BE3" s="270"/>
      <c r="BF3" s="270"/>
      <c r="BG3" s="270"/>
      <c r="BH3" s="270"/>
      <c r="BI3" s="271"/>
    </row>
    <row r="4" spans="1:61" ht="15" customHeight="1" thickBot="1"/>
    <row r="5" spans="1:61" ht="15" customHeight="1" thickBot="1">
      <c r="A5" s="289" t="s">
        <v>390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  <c r="AT5" s="309"/>
      <c r="AU5" s="309"/>
      <c r="AV5" s="309"/>
      <c r="AW5" s="309"/>
      <c r="AX5" s="309"/>
      <c r="AY5" s="309"/>
      <c r="AZ5" s="309"/>
      <c r="BA5" s="309"/>
      <c r="BB5" s="309"/>
      <c r="BC5" s="309"/>
      <c r="BD5" s="309"/>
      <c r="BE5" s="309"/>
      <c r="BF5" s="309"/>
      <c r="BG5" s="309"/>
      <c r="BH5" s="309"/>
      <c r="BI5" s="310"/>
    </row>
    <row r="6" spans="1:61" ht="15" customHeight="1">
      <c r="A6" s="15"/>
      <c r="BI6" s="24"/>
    </row>
    <row r="7" spans="1:61" ht="15" customHeight="1">
      <c r="A7" s="15"/>
      <c r="BI7" s="24"/>
    </row>
    <row r="8" spans="1:61" ht="15" customHeight="1">
      <c r="A8" s="15"/>
      <c r="BI8" s="24"/>
    </row>
    <row r="9" spans="1:61" ht="15" customHeight="1">
      <c r="A9" s="15"/>
      <c r="BI9" s="24"/>
    </row>
    <row r="10" spans="1:61" ht="15" customHeight="1">
      <c r="A10" s="15"/>
      <c r="BI10" s="24"/>
    </row>
    <row r="11" spans="1:61" ht="15" customHeight="1">
      <c r="A11" s="15"/>
      <c r="BI11" s="24"/>
    </row>
    <row r="12" spans="1:61" ht="15" customHeight="1">
      <c r="A12" s="15"/>
      <c r="BI12" s="24"/>
    </row>
    <row r="13" spans="1:61" ht="15" customHeight="1">
      <c r="A13" s="15"/>
      <c r="BI13" s="24"/>
    </row>
    <row r="14" spans="1:61" ht="15" customHeight="1">
      <c r="A14" s="15"/>
      <c r="BI14" s="24"/>
    </row>
    <row r="15" spans="1:61" ht="15" customHeight="1">
      <c r="A15" s="15"/>
      <c r="BI15" s="24"/>
    </row>
    <row r="16" spans="1:61" ht="15" customHeight="1">
      <c r="A16" s="15"/>
      <c r="BI16" s="24"/>
    </row>
    <row r="17" spans="1:61" ht="15" customHeight="1">
      <c r="A17" s="15"/>
      <c r="BI17" s="24"/>
    </row>
    <row r="18" spans="1:61" ht="15" customHeight="1">
      <c r="A18" s="15"/>
      <c r="BI18" s="24"/>
    </row>
    <row r="19" spans="1:61" ht="15" customHeight="1">
      <c r="A19" s="15"/>
      <c r="BI19" s="24"/>
    </row>
    <row r="20" spans="1:61" ht="15" customHeight="1">
      <c r="A20" s="15"/>
      <c r="BI20" s="24"/>
    </row>
    <row r="21" spans="1:61" ht="15" customHeight="1">
      <c r="A21" s="15"/>
      <c r="BI21" s="24"/>
    </row>
    <row r="22" spans="1:61" ht="15" customHeight="1">
      <c r="A22" s="15"/>
      <c r="BI22" s="24"/>
    </row>
    <row r="23" spans="1:61" ht="15" customHeight="1">
      <c r="A23" s="15"/>
      <c r="BI23" s="24"/>
    </row>
    <row r="24" spans="1:61" ht="15" customHeight="1">
      <c r="A24" s="15"/>
      <c r="BI24" s="24"/>
    </row>
    <row r="25" spans="1:61" ht="15" customHeight="1">
      <c r="A25" s="15"/>
      <c r="BI25" s="24"/>
    </row>
    <row r="26" spans="1:61" ht="15" customHeight="1">
      <c r="A26" s="15"/>
      <c r="BI26" s="24"/>
    </row>
    <row r="27" spans="1:61" ht="15" customHeight="1">
      <c r="A27" s="15"/>
      <c r="BI27" s="24"/>
    </row>
    <row r="28" spans="1:61" ht="15" customHeight="1" thickBot="1">
      <c r="A28" s="1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6"/>
    </row>
    <row r="29" spans="1:61" ht="15" customHeight="1" thickBot="1">
      <c r="A29" s="289" t="s">
        <v>84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309"/>
      <c r="AE29" s="309"/>
      <c r="AF29" s="309"/>
      <c r="AG29" s="309"/>
      <c r="AH29" s="309"/>
      <c r="AI29" s="309"/>
      <c r="AJ29" s="309"/>
      <c r="AK29" s="309"/>
      <c r="AL29" s="309"/>
      <c r="AM29" s="309"/>
      <c r="AN29" s="309"/>
      <c r="AO29" s="309"/>
      <c r="AP29" s="309"/>
      <c r="AQ29" s="309"/>
      <c r="AR29" s="309"/>
      <c r="AS29" s="309"/>
      <c r="AT29" s="309"/>
      <c r="AU29" s="309"/>
      <c r="AV29" s="309"/>
      <c r="AW29" s="309"/>
      <c r="AX29" s="309"/>
      <c r="AY29" s="309"/>
      <c r="AZ29" s="309"/>
      <c r="BA29" s="309"/>
      <c r="BB29" s="309"/>
      <c r="BC29" s="309"/>
      <c r="BD29" s="309"/>
      <c r="BE29" s="309"/>
      <c r="BF29" s="309"/>
      <c r="BG29" s="309"/>
      <c r="BH29" s="309"/>
      <c r="BI29" s="310"/>
    </row>
    <row r="30" spans="1:61" ht="15" customHeight="1">
      <c r="A30" s="306" t="s">
        <v>85</v>
      </c>
      <c r="B30" s="311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311"/>
      <c r="AF30" s="311"/>
      <c r="AG30" s="311"/>
      <c r="AH30" s="311"/>
      <c r="AI30" s="311"/>
      <c r="AJ30" s="311"/>
      <c r="AK30" s="311"/>
      <c r="AL30" s="311"/>
      <c r="AM30" s="311"/>
      <c r="AN30" s="311"/>
      <c r="AO30" s="311"/>
      <c r="AP30" s="311"/>
      <c r="AQ30" s="311"/>
      <c r="AR30" s="311"/>
      <c r="AS30" s="311"/>
      <c r="AT30" s="311"/>
      <c r="AU30" s="311"/>
      <c r="AV30" s="311"/>
      <c r="AW30" s="311"/>
      <c r="AX30" s="311"/>
      <c r="AY30" s="311"/>
      <c r="AZ30" s="311"/>
      <c r="BA30" s="311"/>
      <c r="BB30" s="311"/>
      <c r="BC30" s="311"/>
      <c r="BD30" s="311"/>
      <c r="BE30" s="311"/>
      <c r="BF30" s="311"/>
      <c r="BG30" s="311"/>
      <c r="BH30" s="311"/>
      <c r="BI30" s="307"/>
    </row>
    <row r="31" spans="1:61" ht="15" customHeight="1">
      <c r="A31" s="497"/>
      <c r="B31" s="442"/>
      <c r="C31" s="442"/>
      <c r="D31" s="442"/>
      <c r="E31" s="442"/>
      <c r="F31" s="442"/>
      <c r="G31" s="442"/>
      <c r="H31" s="442"/>
      <c r="I31" s="442"/>
      <c r="J31" s="442"/>
      <c r="K31" s="442"/>
      <c r="L31" s="442"/>
      <c r="M31" s="442"/>
      <c r="N31" s="442"/>
      <c r="O31" s="442"/>
      <c r="P31" s="442"/>
      <c r="Q31" s="442"/>
      <c r="R31" s="442"/>
      <c r="S31" s="442"/>
      <c r="T31" s="442"/>
      <c r="U31" s="442"/>
      <c r="V31" s="442"/>
      <c r="W31" s="442"/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  <c r="BA31" s="442"/>
      <c r="BB31" s="442"/>
      <c r="BC31" s="442"/>
      <c r="BD31" s="442"/>
      <c r="BE31" s="442"/>
      <c r="BF31" s="442"/>
      <c r="BG31" s="442"/>
      <c r="BH31" s="442"/>
      <c r="BI31" s="500"/>
    </row>
    <row r="32" spans="1:61" ht="15" customHeight="1">
      <c r="A32" s="497"/>
      <c r="B32" s="442"/>
      <c r="C32" s="442"/>
      <c r="D32" s="442"/>
      <c r="E32" s="442"/>
      <c r="F32" s="442"/>
      <c r="G32" s="442"/>
      <c r="H32" s="442"/>
      <c r="I32" s="442"/>
      <c r="J32" s="442"/>
      <c r="K32" s="442"/>
      <c r="L32" s="442"/>
      <c r="M32" s="442"/>
      <c r="N32" s="442"/>
      <c r="O32" s="442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  <c r="BA32" s="442"/>
      <c r="BB32" s="442"/>
      <c r="BC32" s="442"/>
      <c r="BD32" s="442"/>
      <c r="BE32" s="442"/>
      <c r="BF32" s="442"/>
      <c r="BG32" s="442"/>
      <c r="BH32" s="442"/>
      <c r="BI32" s="500"/>
    </row>
    <row r="33" spans="1:61" ht="15" customHeight="1">
      <c r="A33" s="497"/>
      <c r="B33" s="442"/>
      <c r="C33" s="442"/>
      <c r="D33" s="442"/>
      <c r="E33" s="442"/>
      <c r="F33" s="442"/>
      <c r="G33" s="442"/>
      <c r="H33" s="442"/>
      <c r="I33" s="442"/>
      <c r="J33" s="442"/>
      <c r="K33" s="442"/>
      <c r="L33" s="442"/>
      <c r="M33" s="442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  <c r="BA33" s="442"/>
      <c r="BB33" s="442"/>
      <c r="BC33" s="442"/>
      <c r="BD33" s="442"/>
      <c r="BE33" s="442"/>
      <c r="BF33" s="442"/>
      <c r="BG33" s="442"/>
      <c r="BH33" s="442"/>
      <c r="BI33" s="500"/>
    </row>
    <row r="34" spans="1:61" ht="15" customHeight="1">
      <c r="A34" s="497"/>
      <c r="B34" s="442"/>
      <c r="C34" s="442"/>
      <c r="D34" s="442"/>
      <c r="E34" s="442"/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  <c r="BA34" s="442"/>
      <c r="BB34" s="442"/>
      <c r="BC34" s="442"/>
      <c r="BD34" s="442"/>
      <c r="BE34" s="442"/>
      <c r="BF34" s="442"/>
      <c r="BG34" s="442"/>
      <c r="BH34" s="442"/>
      <c r="BI34" s="500"/>
    </row>
    <row r="35" spans="1:61" ht="15" customHeight="1">
      <c r="A35" s="497"/>
      <c r="B35" s="442"/>
      <c r="C35" s="442"/>
      <c r="D35" s="442"/>
      <c r="E35" s="442"/>
      <c r="F35" s="442"/>
      <c r="G35" s="442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2"/>
    </row>
    <row r="36" spans="1:61" ht="15" customHeight="1">
      <c r="A36" s="497"/>
      <c r="B36" s="442"/>
      <c r="C36" s="442"/>
      <c r="D36" s="442"/>
      <c r="E36" s="442"/>
      <c r="F36" s="442"/>
      <c r="G36" s="442"/>
      <c r="H36" s="442"/>
      <c r="I36" s="442"/>
      <c r="J36" s="442"/>
      <c r="K36" s="442"/>
      <c r="L36" s="442"/>
      <c r="M36" s="442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BI36" s="24"/>
    </row>
    <row r="37" spans="1:61" ht="15" customHeight="1">
      <c r="A37" s="497"/>
      <c r="B37" s="442"/>
      <c r="C37" s="442"/>
      <c r="D37" s="442"/>
      <c r="E37" s="442"/>
      <c r="F37" s="442"/>
      <c r="G37" s="442"/>
      <c r="H37" s="442"/>
      <c r="I37" s="442"/>
      <c r="J37" s="442"/>
      <c r="K37" s="442"/>
      <c r="L37" s="442"/>
      <c r="M37" s="442"/>
      <c r="N37" s="442"/>
      <c r="O37" s="442"/>
      <c r="P37" s="442"/>
      <c r="Q37" s="442"/>
      <c r="R37" s="442"/>
      <c r="S37" s="442"/>
      <c r="T37" s="442"/>
      <c r="U37" s="442"/>
      <c r="V37" s="442"/>
      <c r="W37" s="442"/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BI37" s="24"/>
    </row>
    <row r="38" spans="1:61" ht="15" customHeight="1" thickBot="1">
      <c r="A38" s="498"/>
      <c r="B38" s="499"/>
      <c r="C38" s="499"/>
      <c r="D38" s="499"/>
      <c r="E38" s="499"/>
      <c r="F38" s="499"/>
      <c r="G38" s="499"/>
      <c r="H38" s="499"/>
      <c r="I38" s="499"/>
      <c r="J38" s="499"/>
      <c r="K38" s="499"/>
      <c r="L38" s="499"/>
      <c r="M38" s="499"/>
      <c r="N38" s="499"/>
      <c r="O38" s="499"/>
      <c r="P38" s="499"/>
      <c r="Q38" s="499"/>
      <c r="R38" s="499"/>
      <c r="S38" s="499"/>
      <c r="T38" s="499"/>
      <c r="U38" s="499"/>
      <c r="V38" s="499"/>
      <c r="W38" s="499"/>
      <c r="X38" s="499"/>
      <c r="Y38" s="499"/>
      <c r="Z38" s="499"/>
      <c r="AA38" s="499"/>
      <c r="AB38" s="499"/>
      <c r="AC38" s="499"/>
      <c r="AD38" s="499"/>
      <c r="AE38" s="499"/>
      <c r="AF38" s="499"/>
      <c r="AG38" s="499"/>
      <c r="AH38" s="499"/>
      <c r="AI38" s="499"/>
      <c r="AJ38" s="499"/>
      <c r="AK38" s="499"/>
      <c r="AL38" s="499"/>
      <c r="AM38" s="499"/>
      <c r="AN38" s="499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6"/>
    </row>
  </sheetData>
  <mergeCells count="30">
    <mergeCell ref="F1:P1"/>
    <mergeCell ref="Q1:V1"/>
    <mergeCell ref="W1:AD1"/>
    <mergeCell ref="A1:E3"/>
    <mergeCell ref="AE1:AS1"/>
    <mergeCell ref="F2:P3"/>
    <mergeCell ref="Q2:V3"/>
    <mergeCell ref="W2:AD3"/>
    <mergeCell ref="AE2:AS3"/>
    <mergeCell ref="AT1:BA1"/>
    <mergeCell ref="BB1:BI1"/>
    <mergeCell ref="AT2:AU2"/>
    <mergeCell ref="AV2:BA2"/>
    <mergeCell ref="BB2:BI2"/>
    <mergeCell ref="AT3:AU3"/>
    <mergeCell ref="AV3:BA3"/>
    <mergeCell ref="BB3:BI3"/>
    <mergeCell ref="A35:J38"/>
    <mergeCell ref="K35:T38"/>
    <mergeCell ref="U35:AD38"/>
    <mergeCell ref="A5:BI5"/>
    <mergeCell ref="A29:BI29"/>
    <mergeCell ref="A30:BI30"/>
    <mergeCell ref="A31:J34"/>
    <mergeCell ref="K31:T34"/>
    <mergeCell ref="U31:AD34"/>
    <mergeCell ref="AE31:AN34"/>
    <mergeCell ref="AO31:AX34"/>
    <mergeCell ref="AY31:BI34"/>
    <mergeCell ref="AE35:AN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4FE2-F1B3-4C60-BC9F-513F726A97F5}">
  <sheetPr codeName="Sheet18"/>
  <dimension ref="A2:H20"/>
  <sheetViews>
    <sheetView workbookViewId="0"/>
  </sheetViews>
  <sheetFormatPr defaultColWidth="9" defaultRowHeight="15"/>
  <cols>
    <col min="1" max="4" width="9" style="18"/>
    <col min="5" max="5" width="25.5" style="18" customWidth="1"/>
    <col min="6" max="6" width="20.5" style="18" customWidth="1"/>
    <col min="7" max="7" width="13.375" style="18" bestFit="1" customWidth="1"/>
    <col min="8" max="8" width="20.625" style="18" bestFit="1" customWidth="1"/>
    <col min="9" max="16384" width="9" style="18"/>
  </cols>
  <sheetData>
    <row r="2" spans="1:8" ht="30.6" thickBot="1">
      <c r="A2" s="18" t="s">
        <v>391</v>
      </c>
      <c r="B2" s="18" t="s">
        <v>392</v>
      </c>
      <c r="C2" s="18" t="s">
        <v>393</v>
      </c>
      <c r="D2" s="18" t="s">
        <v>394</v>
      </c>
      <c r="E2" s="28" t="s">
        <v>395</v>
      </c>
      <c r="F2" s="28" t="s">
        <v>396</v>
      </c>
      <c r="G2" s="18" t="s">
        <v>397</v>
      </c>
      <c r="H2" s="18" t="s">
        <v>398</v>
      </c>
    </row>
    <row r="3" spans="1:8">
      <c r="A3" s="12" t="s">
        <v>399</v>
      </c>
      <c r="B3" s="29" t="s">
        <v>400</v>
      </c>
      <c r="C3" s="12" t="s">
        <v>401</v>
      </c>
      <c r="D3" s="30" t="s">
        <v>401</v>
      </c>
      <c r="E3" s="12" t="s">
        <v>241</v>
      </c>
      <c r="F3" s="31" t="s">
        <v>402</v>
      </c>
      <c r="G3" s="12" t="s">
        <v>403</v>
      </c>
      <c r="H3" s="12" t="s">
        <v>404</v>
      </c>
    </row>
    <row r="4" spans="1:8" ht="15.6" thickBot="1">
      <c r="A4" s="13" t="s">
        <v>405</v>
      </c>
      <c r="B4" s="10" t="s">
        <v>406</v>
      </c>
      <c r="C4" s="13" t="s">
        <v>407</v>
      </c>
      <c r="D4" s="7" t="s">
        <v>407</v>
      </c>
      <c r="E4" s="14" t="s">
        <v>307</v>
      </c>
      <c r="F4" s="8" t="s">
        <v>408</v>
      </c>
      <c r="G4" s="14" t="s">
        <v>409</v>
      </c>
      <c r="H4" s="13" t="s">
        <v>410</v>
      </c>
    </row>
    <row r="5" spans="1:8" ht="15.6" thickBot="1">
      <c r="A5" s="14" t="s">
        <v>411</v>
      </c>
      <c r="B5" s="11" t="s">
        <v>412</v>
      </c>
      <c r="C5" s="13" t="s">
        <v>413</v>
      </c>
      <c r="D5" s="7" t="s">
        <v>414</v>
      </c>
      <c r="H5" s="13" t="s">
        <v>415</v>
      </c>
    </row>
    <row r="6" spans="1:8" ht="15.6" thickBot="1">
      <c r="C6" s="14" t="s">
        <v>416</v>
      </c>
      <c r="D6" s="9" t="s">
        <v>417</v>
      </c>
      <c r="H6" s="13" t="s">
        <v>418</v>
      </c>
    </row>
    <row r="7" spans="1:8">
      <c r="H7" s="13" t="s">
        <v>419</v>
      </c>
    </row>
    <row r="8" spans="1:8">
      <c r="H8" s="13" t="s">
        <v>420</v>
      </c>
    </row>
    <row r="9" spans="1:8">
      <c r="H9" s="13" t="s">
        <v>421</v>
      </c>
    </row>
    <row r="10" spans="1:8">
      <c r="H10" s="13" t="s">
        <v>422</v>
      </c>
    </row>
    <row r="11" spans="1:8">
      <c r="H11" s="13" t="s">
        <v>423</v>
      </c>
    </row>
    <row r="12" spans="1:8">
      <c r="H12" s="13" t="s">
        <v>424</v>
      </c>
    </row>
    <row r="13" spans="1:8">
      <c r="H13" s="13" t="s">
        <v>425</v>
      </c>
    </row>
    <row r="14" spans="1:8">
      <c r="H14" s="13" t="s">
        <v>426</v>
      </c>
    </row>
    <row r="15" spans="1:8">
      <c r="H15" s="13" t="s">
        <v>427</v>
      </c>
    </row>
    <row r="16" spans="1:8">
      <c r="H16" s="13" t="s">
        <v>428</v>
      </c>
    </row>
    <row r="17" spans="8:8">
      <c r="H17" s="13" t="s">
        <v>429</v>
      </c>
    </row>
    <row r="18" spans="8:8">
      <c r="H18" s="13" t="s">
        <v>430</v>
      </c>
    </row>
    <row r="19" spans="8:8">
      <c r="H19" s="13" t="s">
        <v>431</v>
      </c>
    </row>
    <row r="20" spans="8:8" ht="15.6" thickBot="1">
      <c r="H20" s="14" t="s">
        <v>432</v>
      </c>
    </row>
  </sheetData>
  <phoneticPr fontId="2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13F212-5DE9-4396-8436-3F67368E260C}"/>
</file>

<file path=customXml/itemProps2.xml><?xml version="1.0" encoding="utf-8"?>
<ds:datastoreItem xmlns:ds="http://schemas.openxmlformats.org/officeDocument/2006/customXml" ds:itemID="{CDC09644-FFA4-4F30-A48B-F99A42147C02}"/>
</file>

<file path=customXml/itemProps3.xml><?xml version="1.0" encoding="utf-8"?>
<ds:datastoreItem xmlns:ds="http://schemas.openxmlformats.org/officeDocument/2006/customXml" ds:itemID="{F378F893-0B45-4883-A780-766892CBA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Ishioka, Takumi</dc:creator>
  <cp:keywords/>
  <dc:description/>
  <cp:lastModifiedBy>Danh Bui Cong</cp:lastModifiedBy>
  <cp:revision/>
  <dcterms:created xsi:type="dcterms:W3CDTF">2015-06-05T18:19:34Z</dcterms:created>
  <dcterms:modified xsi:type="dcterms:W3CDTF">2024-11-29T01:50:26Z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Workbook id">
    <vt:lpwstr>747cd6ea-0415-4c70-a927-7fcd14e2e863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Order">
    <vt:r8>44386100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</Properties>
</file>