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1_SSJ/"/>
    </mc:Choice>
  </mc:AlternateContent>
  <xr:revisionPtr revIDLastSave="2154" documentId="14_{E78A5C25-2365-40AC-8A3F-434B8724E648}" xr6:coauthVersionLast="47" xr6:coauthVersionMax="47" xr10:uidLastSave="{847BA1FE-3290-4A15-88E6-DEC50752DFCA}"/>
  <bookViews>
    <workbookView xWindow="-110" yWindow="-110" windowWidth="22780" windowHeight="14540" tabRatio="878" firstSheet="21" activeTab="21" xr2:uid="{FF37A431-138E-498D-9932-FE4CAD8F52B8}"/>
  </bookViews>
  <sheets>
    <sheet name="表紙" sheetId="491" r:id="rId1"/>
    <sheet name="パラメータ設定一覧" sheetId="476" r:id="rId2"/>
    <sheet name="法人" sheetId="202" r:id="rId3"/>
    <sheet name="法人-設定値" sheetId="203" r:id="rId4"/>
    <sheet name="法人-住所" sheetId="477" r:id="rId5"/>
    <sheet name="法人-連絡先情報" sheetId="478" r:id="rId6"/>
    <sheet name="法人-番号順序 " sheetId="204" r:id="rId7"/>
    <sheet name="法人-規制施設" sheetId="479" state="hidden" r:id="rId8"/>
    <sheet name="法人-TransportationPermission" sheetId="480" r:id="rId9"/>
    <sheet name="法人-アドレスの管理（登録ID）" sheetId="497" r:id="rId10"/>
    <sheet name="グローバルアドレス帳パラメーター" sheetId="205" r:id="rId11"/>
    <sheet name="アドレス帳" sheetId="206" r:id="rId12"/>
    <sheet name="名前の順序" sheetId="207" r:id="rId13"/>
    <sheet name="名前の順序-設定値" sheetId="208" r:id="rId14"/>
    <sheet name="住所と連絡先情報の目的" sheetId="209" r:id="rId15"/>
    <sheet name="住所と連絡先情報の目的-設定値" sheetId="210" r:id="rId16"/>
    <sheet name="組織階層" sheetId="254" r:id="rId17"/>
    <sheet name="組織階層-設定値" sheetId="255" r:id="rId18"/>
    <sheet name="組織階層の目的" sheetId="256" r:id="rId19"/>
    <sheet name="組織階層の目的-設定値" sheetId="257" r:id="rId20"/>
    <sheet name="番号順序" sheetId="150" r:id="rId21"/>
    <sheet name="番号順序-設定値" sheetId="151" r:id="rId22"/>
    <sheet name="ドキュメント タイプ" sheetId="481" r:id="rId23"/>
    <sheet name="ドキュメント タイプ-設定値" sheetId="482" r:id="rId24"/>
    <sheet name="組織の電子メール テンプレート" sheetId="487" r:id="rId25"/>
    <sheet name="組織の電子メール テンプレート-設定値" sheetId="488" r:id="rId26"/>
    <sheet name="作業時間カレンダー" sheetId="492" r:id="rId27"/>
    <sheet name="作業時間カレンダー-設定値" sheetId="493" r:id="rId28"/>
    <sheet name="作業時間テンプレート" sheetId="494" r:id="rId29"/>
    <sheet name="作業時間テンプレート-設定値" sheetId="495" r:id="rId30"/>
  </sheets>
  <externalReferences>
    <externalReference r:id="rId31"/>
  </externalReferences>
  <definedNames>
    <definedName name="_Fill" localSheetId="4" hidden="1">[1]テーブル仕様!#REF!</definedName>
    <definedName name="_Fill" localSheetId="5" hidden="1">[1]テーブル仕様!#REF!</definedName>
    <definedName name="_Fill" hidden="1">[1]テーブル仕様!#REF!</definedName>
    <definedName name="_xlnm._FilterDatabase" localSheetId="21" hidden="1">'番号順序-設定値'!$A$7:$AG$34</definedName>
    <definedName name="_Order1" hidden="1">255</definedName>
    <definedName name="_Order2" hidden="1">255</definedName>
    <definedName name="_Regression_X" localSheetId="4" hidden="1">#REF!</definedName>
    <definedName name="_Regression_X" localSheetId="5" hidden="1">#REF!</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localSheetId="4" hidden="1">#REF!</definedName>
    <definedName name="AX" localSheetId="5" hidden="1">#REF!</definedName>
    <definedName name="AX" hidden="1">#REF!</definedName>
    <definedName name="AZ" localSheetId="4" hidden="1">#REF!</definedName>
    <definedName name="AZ" localSheetId="5" hidden="1">#REF!</definedName>
    <definedName name="AZ" hidden="1">#REF!</definedName>
    <definedName name="bbb" localSheetId="0" hidden="1">[1]テーブル仕様!#REF!</definedName>
    <definedName name="bbb" localSheetId="4" hidden="1">[1]テーブル仕様!#REF!</definedName>
    <definedName name="bbb" localSheetId="5" hidden="1">[1]テーブル仕様!#REF!</definedName>
    <definedName name="bbb" hidden="1">[1]テーブル仕様!#REF!</definedName>
    <definedName name="ＧＷメッセージ一覧" localSheetId="4" hidden="1">#REF!</definedName>
    <definedName name="ＧＷメッセージ一覧" localSheetId="5" hidden="1">#REF!</definedName>
    <definedName name="ＧＷメッセージ一覧" hidden="1">#REF!</definedName>
    <definedName name="H" localSheetId="4" hidden="1">{"'Sheet1'!$B$5:$H$34"}</definedName>
    <definedName name="H" localSheetId="5" hidden="1">{"'Sheet1'!$B$5:$H$34"}</definedName>
    <definedName name="H" hidden="1">{"'Sheet1'!$B$5:$H$34"}</definedName>
    <definedName name="HTML_CodePage" hidden="1">932</definedName>
    <definedName name="HTML_Control" localSheetId="0" hidden="1">{"'分担ﾙｰﾙ'!$A$1:$M$72","'分担ﾙｰﾙ'!$A$19:$M$71"}</definedName>
    <definedName name="HTML_Control" localSheetId="4" hidden="1">{"'分担ﾙｰﾙ'!$A$1:$M$72","'分担ﾙｰﾙ'!$A$19:$M$71"}</definedName>
    <definedName name="HTML_Control" localSheetId="5" hidden="1">{"'分担ﾙｰﾙ'!$A$1:$M$72","'分担ﾙｰﾙ'!$A$19:$M$71"}</definedName>
    <definedName name="HTML_Control" hidden="1">{"'分担ﾙｰﾙ'!$A$1:$M$72","'分担ﾙｰﾙ'!$A$19:$M$71"}</definedName>
    <definedName name="HTML_Control_copy" localSheetId="4" hidden="1">{"'Sheet1'!$B$5:$H$34"}</definedName>
    <definedName name="HTML_Control_copy" localSheetId="5" hidden="1">{"'Sheet1'!$B$5:$H$34"}</definedName>
    <definedName name="HTML_Control_copy" hidden="1">{"'Sheet1'!$B$5:$H$34"}</definedName>
    <definedName name="HTML_Control_Copy2" localSheetId="4" hidden="1">{"'Sheet1'!$B$5:$H$34"}</definedName>
    <definedName name="HTML_Control_Copy2" localSheetId="5" hidden="1">{"'Sheet1'!$B$5:$H$34"}</definedName>
    <definedName name="HTML_Control_Copy2" hidden="1">{"'Sheet1'!$B$5:$H$34"}</definedName>
    <definedName name="HTML_Control1" localSheetId="0" hidden="1">{"'分担ﾙｰﾙ'!$A$1:$M$72","'分担ﾙｰﾙ'!$A$19:$M$71"}</definedName>
    <definedName name="HTML_Control1" localSheetId="4" hidden="1">{"'分担ﾙｰﾙ'!$A$1:$M$72","'分担ﾙｰﾙ'!$A$19:$M$71"}</definedName>
    <definedName name="HTML_Control1" localSheetId="5" hidden="1">{"'分担ﾙｰﾙ'!$A$1:$M$72","'分担ﾙｰﾙ'!$A$19:$M$71"}</definedName>
    <definedName name="HTML_Control1" hidden="1">{"'分担ﾙｰﾙ'!$A$1:$M$72","'分担ﾙｰﾙ'!$A$19:$M$71"}</definedName>
    <definedName name="HTML_Control2" localSheetId="4" hidden="1">{"'Sheet1'!$B$5:$H$34"}</definedName>
    <definedName name="HTML_Control2" localSheetId="5"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4" hidden="1">#REF!</definedName>
    <definedName name="ｋ" localSheetId="5" hidden="1">#REF!</definedName>
    <definedName name="ｋ" hidden="1">#REF!</definedName>
    <definedName name="ｐ" localSheetId="4" hidden="1">#REF!</definedName>
    <definedName name="ｐ" localSheetId="5" hidden="1">#REF!</definedName>
    <definedName name="ｐ" hidden="1">#REF!</definedName>
    <definedName name="s" localSheetId="4" hidden="1">{"'Sheet1'!$B$5:$H$34"}</definedName>
    <definedName name="s" localSheetId="5" hidden="1">{"'Sheet1'!$B$5:$H$34"}</definedName>
    <definedName name="s" hidden="1">{"'Sheet1'!$B$5:$H$34"}</definedName>
    <definedName name="t" localSheetId="4" hidden="1">{"'Sheet1'!$B$5:$H$34"}</definedName>
    <definedName name="t" localSheetId="5" hidden="1">{"'Sheet1'!$B$5:$H$34"}</definedName>
    <definedName name="t" hidden="1">{"'Sheet1'!$B$5:$H$34"}</definedName>
    <definedName name="TEST" localSheetId="4" hidden="1">{"'Sheet1'!$B$5:$H$34"}</definedName>
    <definedName name="TEST" localSheetId="5" hidden="1">{"'Sheet1'!$B$5:$H$34"}</definedName>
    <definedName name="TEST" hidden="1">{"'Sheet1'!$B$5:$H$34"}</definedName>
    <definedName name="VV" localSheetId="4" hidden="1">#REF!</definedName>
    <definedName name="VV" localSheetId="5" hidden="1">#REF!</definedName>
    <definedName name="VV" hidden="1">#REF!</definedName>
    <definedName name="ｗ" localSheetId="4" hidden="1">{"'Sheet1'!$B$5:$H$34"}</definedName>
    <definedName name="ｗ" localSheetId="5" hidden="1">{"'Sheet1'!$B$5:$H$34"}</definedName>
    <definedName name="ｗ" hidden="1">{"'Sheet1'!$B$5:$H$34"}</definedName>
    <definedName name="work" localSheetId="4" hidden="1">#REF!</definedName>
    <definedName name="work" localSheetId="5" hidden="1">#REF!</definedName>
    <definedName name="work" hidden="1">#REF!</definedName>
    <definedName name="Z_5FB70CD0_6C58_413B_B7A8_B2222A9FFAB3_.wvu.FilterData" localSheetId="4" hidden="1">#REF!</definedName>
    <definedName name="Z_5FB70CD0_6C58_413B_B7A8_B2222A9FFAB3_.wvu.FilterData" localSheetId="5" hidden="1">#REF!</definedName>
    <definedName name="Z_5FB70CD0_6C58_413B_B7A8_B2222A9FFAB3_.wvu.FilterData" hidden="1">#REF!</definedName>
    <definedName name="Z_85CF1BE9_3199_4F5A_9707_53025D8196D4_.wvu.FilterData" localSheetId="4" hidden="1">#REF!</definedName>
    <definedName name="Z_85CF1BE9_3199_4F5A_9707_53025D8196D4_.wvu.FilterData" localSheetId="5" hidden="1">#REF!</definedName>
    <definedName name="Z_85CF1BE9_3199_4F5A_9707_53025D8196D4_.wvu.FilterData" hidden="1">#REF!</definedName>
    <definedName name="Z_A42E5BFB_D110_4A4D_A35F_734243F40A17_.wvu.FilterData" localSheetId="4" hidden="1">#REF!</definedName>
    <definedName name="Z_A42E5BFB_D110_4A4D_A35F_734243F40A17_.wvu.FilterData" localSheetId="5" hidden="1">#REF!</definedName>
    <definedName name="Z_A42E5BFB_D110_4A4D_A35F_734243F40A17_.wvu.FilterData" hidden="1">#REF!</definedName>
    <definedName name="Z_CF1E67FB_0D25_4F96_A0AC_373637B05BD1_.wvu.FilterData" localSheetId="4" hidden="1">#REF!</definedName>
    <definedName name="Z_CF1E67FB_0D25_4F96_A0AC_373637B05BD1_.wvu.FilterData" localSheetId="5" hidden="1">#REF!</definedName>
    <definedName name="Z_CF1E67FB_0D25_4F96_A0AC_373637B05BD1_.wvu.FilterData" hidden="1">#REF!</definedName>
    <definedName name="Z_CF1E67FB_0D25_4F96_A0AC_373637B05BD1_.wvu.PrintArea" localSheetId="4" hidden="1">#REF!</definedName>
    <definedName name="Z_CF1E67FB_0D25_4F96_A0AC_373637B05BD1_.wvu.PrintArea" localSheetId="5" hidden="1">#REF!</definedName>
    <definedName name="Z_CF1E67FB_0D25_4F96_A0AC_373637B05BD1_.wvu.PrintArea" hidden="1">#REF!</definedName>
    <definedName name="あ" localSheetId="4" hidden="1">#REF!</definedName>
    <definedName name="あ" localSheetId="5" hidden="1">#REF!</definedName>
    <definedName name="あ" hidden="1">#REF!</definedName>
    <definedName name="あああ" localSheetId="0" hidden="1">[1]テーブル仕様!#REF!</definedName>
    <definedName name="あああ" localSheetId="4" hidden="1">[1]テーブル仕様!#REF!</definedName>
    <definedName name="あああ" localSheetId="5" hidden="1">[1]テーブル仕様!#REF!</definedName>
    <definedName name="あああ" hidden="1">[1]テーブル仕様!#REF!</definedName>
    <definedName name="い" localSheetId="4" hidden="1">#REF!</definedName>
    <definedName name="い" localSheetId="5" hidden="1">#REF!</definedName>
    <definedName name="い" hidden="1">#REF!</definedName>
    <definedName name="う" localSheetId="4" hidden="1">#REF!</definedName>
    <definedName name="う" localSheetId="5" hidden="1">#REF!</definedName>
    <definedName name="う" hidden="1">#REF!</definedName>
    <definedName name="ええ" localSheetId="4" hidden="1">{"'Sheet1'!$B$5:$H$34"}</definedName>
    <definedName name="ええ" localSheetId="5" hidden="1">{"'Sheet1'!$B$5:$H$34"}</definedName>
    <definedName name="ええ" hidden="1">{"'Sheet1'!$B$5:$H$34"}</definedName>
    <definedName name="えええ" localSheetId="0" hidden="1">{"'9.項目'!$B$5:$AW$60"}</definedName>
    <definedName name="えええ" localSheetId="4" hidden="1">{"'9.項目'!$B$5:$AW$60"}</definedName>
    <definedName name="えええ" localSheetId="5" hidden="1">{"'9.項目'!$B$5:$AW$60"}</definedName>
    <definedName name="えええ" hidden="1">{"'9.項目'!$B$5:$AW$60"}</definedName>
    <definedName name="お" localSheetId="4" hidden="1">{"'Sheet1'!$B$5:$H$34"}</definedName>
    <definedName name="お" localSheetId="5" hidden="1">{"'Sheet1'!$B$5:$H$34"}</definedName>
    <definedName name="お" hidden="1">{"'Sheet1'!$B$5:$H$34"}</definedName>
    <definedName name="サンプル" localSheetId="4" hidden="1">#REF!</definedName>
    <definedName name="サンプル" localSheetId="5"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hidden="1">#REF!</definedName>
    <definedName name="安藤" localSheetId="4" hidden="1">#REF!</definedName>
    <definedName name="安藤" localSheetId="5" hidden="1">#REF!</definedName>
    <definedName name="安藤" hidden="1">#REF!</definedName>
    <definedName name="関連" localSheetId="4" hidden="1">#REF!</definedName>
    <definedName name="関連" localSheetId="5" hidden="1">#REF!</definedName>
    <definedName name="関連" hidden="1">#REF!</definedName>
    <definedName name="関連表" localSheetId="4" hidden="1">#REF!</definedName>
    <definedName name="関連表" localSheetId="5" hidden="1">#REF!</definedName>
    <definedName name="関連表" hidden="1">#REF!</definedName>
    <definedName name="仕様書" localSheetId="4" hidden="1">#REF!</definedName>
    <definedName name="仕様書" localSheetId="5" hidden="1">#REF!</definedName>
    <definedName name="仕様書" hidden="1">#REF!</definedName>
    <definedName name="束原" localSheetId="4" hidden="1">#REF!</definedName>
    <definedName name="束原" localSheetId="5" hidden="1">#REF!</definedName>
    <definedName name="束原" hidden="1">#REF!</definedName>
    <definedName name="導入時期う" localSheetId="4" hidden="1">#REF!</definedName>
    <definedName name="導入時期う" localSheetId="5"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497" l="1"/>
  <c r="B26" i="497"/>
  <c r="B8" i="497"/>
  <c r="B60" i="497" l="1"/>
  <c r="B59" i="497"/>
  <c r="B58" i="497"/>
  <c r="B57" i="497"/>
  <c r="B56" i="497"/>
  <c r="B55" i="497"/>
  <c r="B54" i="497"/>
  <c r="B53" i="497"/>
  <c r="B52" i="497"/>
  <c r="B51" i="497"/>
  <c r="B50" i="497"/>
  <c r="B49" i="497"/>
  <c r="B48" i="497"/>
  <c r="B47" i="497"/>
  <c r="B46" i="497"/>
  <c r="B45" i="497"/>
  <c r="B43" i="497"/>
  <c r="B42" i="497"/>
  <c r="B41" i="497"/>
  <c r="B40" i="497"/>
  <c r="B39" i="497"/>
  <c r="B38" i="497"/>
  <c r="B37" i="497"/>
  <c r="B36" i="497"/>
  <c r="B35" i="497"/>
  <c r="B34" i="497"/>
  <c r="B33" i="497"/>
  <c r="B32" i="497"/>
  <c r="B31" i="497"/>
  <c r="B30" i="497"/>
  <c r="B29" i="497"/>
  <c r="B28" i="497"/>
  <c r="B27" i="497"/>
  <c r="B25" i="497"/>
  <c r="B61" i="497"/>
  <c r="B24" i="497"/>
  <c r="B23" i="497"/>
  <c r="B22" i="497"/>
  <c r="B21" i="497"/>
  <c r="B20" i="497"/>
  <c r="B19" i="497"/>
  <c r="B18" i="497"/>
  <c r="B17" i="497"/>
  <c r="B16" i="497"/>
  <c r="B15" i="497"/>
  <c r="B14" i="497"/>
  <c r="B13" i="497"/>
  <c r="B12" i="497"/>
  <c r="B11" i="497"/>
  <c r="B10" i="497"/>
  <c r="B9" i="497"/>
  <c r="B7" i="497"/>
  <c r="B35" i="494" l="1"/>
  <c r="B34" i="494"/>
  <c r="B33" i="494"/>
  <c r="B32" i="494"/>
  <c r="B31" i="494"/>
  <c r="B30" i="494"/>
  <c r="B29" i="494"/>
  <c r="B28" i="494"/>
  <c r="B27" i="494"/>
  <c r="B26" i="494"/>
  <c r="B25" i="494"/>
  <c r="B24" i="494"/>
  <c r="B23" i="494"/>
  <c r="B22" i="494"/>
  <c r="B21" i="494"/>
  <c r="B20" i="494"/>
  <c r="B19" i="494"/>
  <c r="B18" i="494"/>
  <c r="B17" i="494"/>
  <c r="B16" i="494"/>
  <c r="B15" i="494"/>
  <c r="B14" i="494"/>
  <c r="B13" i="494"/>
  <c r="B12" i="494"/>
  <c r="B11" i="494"/>
  <c r="B10" i="494"/>
  <c r="B9" i="494"/>
  <c r="B24" i="495"/>
  <c r="B23" i="495"/>
  <c r="B22" i="495"/>
  <c r="B21" i="495"/>
  <c r="B20" i="495"/>
  <c r="B19" i="495"/>
  <c r="B18" i="495"/>
  <c r="B17" i="495"/>
  <c r="B16" i="495"/>
  <c r="B15" i="495"/>
  <c r="B14" i="495"/>
  <c r="B13" i="495"/>
  <c r="B12" i="495"/>
  <c r="B11" i="495"/>
  <c r="B10" i="495"/>
  <c r="B9" i="495"/>
  <c r="B8" i="495"/>
  <c r="B7" i="495"/>
  <c r="B8" i="494"/>
  <c r="B7" i="494"/>
  <c r="B6" i="494"/>
  <c r="B19" i="476"/>
  <c r="B24" i="493" l="1"/>
  <c r="B23" i="493"/>
  <c r="B22" i="493"/>
  <c r="B21" i="493"/>
  <c r="B20" i="493"/>
  <c r="B19" i="493"/>
  <c r="B18" i="493"/>
  <c r="B17" i="493"/>
  <c r="B16" i="493"/>
  <c r="B15" i="493"/>
  <c r="B14" i="493"/>
  <c r="B13" i="493"/>
  <c r="B12" i="493"/>
  <c r="B11" i="493"/>
  <c r="B10" i="493"/>
  <c r="B9" i="493"/>
  <c r="B8" i="493"/>
  <c r="B7" i="493"/>
  <c r="B9" i="492"/>
  <c r="B8" i="492"/>
  <c r="B7" i="492"/>
  <c r="B6" i="492"/>
  <c r="B18" i="476"/>
  <c r="B11" i="478"/>
  <c r="B10" i="478"/>
  <c r="B26" i="210" l="1"/>
  <c r="B24" i="488" l="1"/>
  <c r="B23" i="488"/>
  <c r="B22" i="488"/>
  <c r="B21" i="488"/>
  <c r="B20" i="488"/>
  <c r="B19" i="488"/>
  <c r="B18" i="488"/>
  <c r="B17" i="488"/>
  <c r="B16" i="488"/>
  <c r="B15" i="488"/>
  <c r="B14" i="488"/>
  <c r="B13" i="488"/>
  <c r="B12" i="488"/>
  <c r="B11" i="488"/>
  <c r="B10" i="488"/>
  <c r="B9" i="488"/>
  <c r="B8" i="488"/>
  <c r="B7" i="488"/>
  <c r="B24" i="482"/>
  <c r="B23" i="482"/>
  <c r="B22" i="482"/>
  <c r="B21" i="482"/>
  <c r="B20" i="482"/>
  <c r="B19" i="482"/>
  <c r="B18" i="482"/>
  <c r="B17" i="482"/>
  <c r="B16" i="482"/>
  <c r="B15" i="482"/>
  <c r="B14" i="482"/>
  <c r="B13" i="482"/>
  <c r="B12" i="482"/>
  <c r="B11" i="482"/>
  <c r="B10" i="482"/>
  <c r="B9" i="482"/>
  <c r="B8" i="482"/>
  <c r="B7" i="482"/>
  <c r="B7" i="257"/>
  <c r="B7" i="255"/>
  <c r="B15" i="208"/>
  <c r="B14" i="208"/>
  <c r="B13" i="208"/>
  <c r="B12" i="208"/>
  <c r="B11" i="208"/>
  <c r="B10" i="208"/>
  <c r="B9" i="208"/>
  <c r="B8" i="208"/>
  <c r="B7" i="208"/>
  <c r="B15" i="150"/>
  <c r="B28" i="202" l="1"/>
  <c r="B15" i="487" l="1"/>
  <c r="B14" i="487"/>
  <c r="B13" i="487"/>
  <c r="B12" i="487"/>
  <c r="B11" i="487"/>
  <c r="B10" i="487"/>
  <c r="B9" i="487"/>
  <c r="B8" i="487"/>
  <c r="B7" i="487"/>
  <c r="B6" i="487"/>
  <c r="B16" i="476"/>
  <c r="B10" i="481"/>
  <c r="B11" i="481"/>
  <c r="B12" i="481"/>
  <c r="B13" i="481"/>
  <c r="B14" i="481"/>
  <c r="B9" i="481"/>
  <c r="B8" i="481"/>
  <c r="B7" i="481"/>
  <c r="B6" i="481"/>
  <c r="B13" i="205" l="1"/>
  <c r="B14" i="205"/>
  <c r="B23" i="480"/>
  <c r="B22" i="480"/>
  <c r="B21" i="480"/>
  <c r="B20" i="480"/>
  <c r="B19" i="480"/>
  <c r="B18" i="480"/>
  <c r="B17" i="480"/>
  <c r="B16" i="480"/>
  <c r="B15" i="480"/>
  <c r="B14" i="480"/>
  <c r="B13" i="480"/>
  <c r="B12" i="480"/>
  <c r="B11" i="480"/>
  <c r="B10" i="480"/>
  <c r="B9" i="480"/>
  <c r="B8" i="480"/>
  <c r="B7" i="480"/>
  <c r="B6" i="480"/>
  <c r="B171" i="202"/>
  <c r="B170" i="202"/>
  <c r="B23" i="479"/>
  <c r="B22" i="479"/>
  <c r="B21" i="479"/>
  <c r="B20" i="479"/>
  <c r="B19" i="479"/>
  <c r="B18" i="479"/>
  <c r="B17" i="479"/>
  <c r="B16" i="479"/>
  <c r="B15" i="479"/>
  <c r="B14" i="479"/>
  <c r="B13" i="479"/>
  <c r="B12" i="479"/>
  <c r="B11" i="479"/>
  <c r="B10" i="479"/>
  <c r="B9" i="479"/>
  <c r="B8" i="479"/>
  <c r="B7" i="479"/>
  <c r="B6" i="479"/>
  <c r="B133" i="202"/>
  <c r="B134" i="202"/>
  <c r="B135" i="202"/>
  <c r="B136" i="202"/>
  <c r="B137" i="202"/>
  <c r="B138" i="202"/>
  <c r="B139" i="202"/>
  <c r="B47" i="202"/>
  <c r="B48" i="202"/>
  <c r="B43" i="202"/>
  <c r="B44" i="202"/>
  <c r="B40" i="202"/>
  <c r="B41" i="202"/>
  <c r="B42" i="202"/>
  <c r="B22" i="202"/>
  <c r="B23" i="202"/>
  <c r="B24" i="202"/>
  <c r="B33" i="202"/>
  <c r="B12" i="150"/>
  <c r="B10" i="150"/>
  <c r="B9" i="150"/>
  <c r="B13" i="150"/>
  <c r="B14" i="150"/>
  <c r="B13" i="478"/>
  <c r="B12" i="478"/>
  <c r="B9" i="478"/>
  <c r="B8" i="478"/>
  <c r="B8" i="477"/>
  <c r="B9" i="477"/>
  <c r="B10" i="477"/>
  <c r="B11" i="477"/>
  <c r="B10" i="476"/>
  <c r="B11" i="476"/>
  <c r="B12" i="476"/>
  <c r="B13" i="476"/>
  <c r="B14" i="476"/>
  <c r="B17" i="476"/>
  <c r="B15" i="476"/>
  <c r="B9" i="476"/>
  <c r="B8" i="476"/>
  <c r="B7" i="476"/>
  <c r="B6" i="476"/>
  <c r="B5" i="476"/>
  <c r="B4" i="476"/>
  <c r="B20" i="204" l="1"/>
  <c r="B23" i="204"/>
  <c r="B22" i="204"/>
  <c r="B21" i="204"/>
  <c r="B19" i="204"/>
  <c r="B18" i="204"/>
  <c r="B17" i="204"/>
  <c r="B16" i="204"/>
  <c r="B15" i="204"/>
  <c r="B14" i="204"/>
  <c r="B13" i="204"/>
  <c r="B12" i="204"/>
  <c r="B11" i="204"/>
  <c r="B9" i="256" l="1"/>
  <c r="B8" i="256"/>
  <c r="B7" i="256"/>
  <c r="B6" i="256"/>
  <c r="B8" i="254"/>
  <c r="B7" i="254"/>
  <c r="B6" i="254"/>
  <c r="B25" i="210" l="1"/>
  <c r="B24" i="210"/>
  <c r="B23" i="210"/>
  <c r="B22" i="210"/>
  <c r="B21" i="210"/>
  <c r="B20" i="210"/>
  <c r="B19" i="210"/>
  <c r="B18" i="210"/>
  <c r="B17" i="210"/>
  <c r="B16" i="210"/>
  <c r="B15" i="210"/>
  <c r="B14" i="210"/>
  <c r="B13" i="210"/>
  <c r="B12" i="210"/>
  <c r="B11" i="210"/>
  <c r="B10" i="210"/>
  <c r="B9" i="210"/>
  <c r="B8" i="210"/>
  <c r="B7" i="210"/>
  <c r="B6" i="210"/>
  <c r="B9" i="209"/>
  <c r="B8" i="209"/>
  <c r="B7" i="209"/>
  <c r="B6" i="209"/>
  <c r="B15" i="207"/>
  <c r="B14" i="207"/>
  <c r="B13" i="207"/>
  <c r="B12" i="207"/>
  <c r="B11" i="207"/>
  <c r="B10" i="207"/>
  <c r="B9" i="207"/>
  <c r="B8" i="207"/>
  <c r="B7" i="207"/>
  <c r="B6" i="207"/>
  <c r="B9" i="206"/>
  <c r="B8" i="206"/>
  <c r="B7" i="206"/>
  <c r="B6" i="206"/>
  <c r="B26" i="205"/>
  <c r="B19" i="205"/>
  <c r="B18" i="205"/>
  <c r="B17" i="205"/>
  <c r="B16" i="205"/>
  <c r="B15" i="205"/>
  <c r="B12" i="205"/>
  <c r="B11" i="205"/>
  <c r="B10" i="205"/>
  <c r="B9" i="205"/>
  <c r="B8" i="205"/>
  <c r="B7" i="205"/>
  <c r="B6" i="205"/>
  <c r="B10" i="204"/>
  <c r="B9" i="204"/>
  <c r="B8" i="204"/>
  <c r="B7" i="204"/>
  <c r="B6" i="204"/>
  <c r="B8" i="203"/>
  <c r="B169" i="202"/>
  <c r="B168" i="202"/>
  <c r="B167" i="202"/>
  <c r="B166" i="202"/>
  <c r="B165" i="202"/>
  <c r="B164" i="202"/>
  <c r="B163" i="202"/>
  <c r="B162" i="202"/>
  <c r="B161" i="202"/>
  <c r="B160" i="202"/>
  <c r="B159" i="202"/>
  <c r="B158" i="202"/>
  <c r="B157" i="202"/>
  <c r="B156" i="202"/>
  <c r="B155" i="202"/>
  <c r="B154" i="202"/>
  <c r="B153" i="202"/>
  <c r="B152" i="202"/>
  <c r="B151" i="202"/>
  <c r="B150" i="202"/>
  <c r="B149" i="202"/>
  <c r="B148" i="202"/>
  <c r="B147" i="202"/>
  <c r="B146" i="202"/>
  <c r="B145" i="202"/>
  <c r="B144" i="202"/>
  <c r="B143" i="202"/>
  <c r="B142" i="202"/>
  <c r="B141" i="202"/>
  <c r="B140" i="202"/>
  <c r="B132" i="202"/>
  <c r="B131" i="202"/>
  <c r="B130" i="202"/>
  <c r="B129" i="202"/>
  <c r="B128" i="202"/>
  <c r="B127" i="202"/>
  <c r="B126" i="202"/>
  <c r="B125" i="202"/>
  <c r="B124" i="202"/>
  <c r="B123" i="202"/>
  <c r="B122" i="202"/>
  <c r="B121" i="202"/>
  <c r="B120" i="202"/>
  <c r="B119" i="202"/>
  <c r="B118" i="202"/>
  <c r="B117" i="202"/>
  <c r="B116" i="202"/>
  <c r="B115" i="202"/>
  <c r="B114" i="202"/>
  <c r="B113" i="202"/>
  <c r="B112" i="202"/>
  <c r="B111" i="202"/>
  <c r="B110" i="202"/>
  <c r="B109" i="202"/>
  <c r="B108" i="202"/>
  <c r="B107" i="202"/>
  <c r="B106" i="202"/>
  <c r="B105" i="202"/>
  <c r="B104" i="202"/>
  <c r="B103" i="202"/>
  <c r="B102" i="202"/>
  <c r="B101" i="202"/>
  <c r="B100" i="202"/>
  <c r="B99" i="202"/>
  <c r="B98" i="202"/>
  <c r="B97" i="202"/>
  <c r="B96" i="202"/>
  <c r="B95" i="202"/>
  <c r="B94" i="202"/>
  <c r="B93" i="202"/>
  <c r="B92" i="202"/>
  <c r="B91" i="202"/>
  <c r="B90" i="202"/>
  <c r="B89" i="202"/>
  <c r="B88" i="202"/>
  <c r="B87" i="202"/>
  <c r="B86" i="202"/>
  <c r="B85" i="202"/>
  <c r="B84" i="202"/>
  <c r="B83" i="202"/>
  <c r="B82" i="202"/>
  <c r="B81" i="202"/>
  <c r="B80" i="202"/>
  <c r="B79" i="202"/>
  <c r="B78" i="202"/>
  <c r="B77" i="202"/>
  <c r="B76" i="202"/>
  <c r="B75" i="202"/>
  <c r="B74" i="202"/>
  <c r="B73" i="202"/>
  <c r="B72" i="202"/>
  <c r="B71" i="202"/>
  <c r="B70" i="202"/>
  <c r="B69" i="202"/>
  <c r="B68" i="202"/>
  <c r="B67" i="202"/>
  <c r="B66" i="202"/>
  <c r="B65" i="202"/>
  <c r="B64" i="202"/>
  <c r="B63" i="202"/>
  <c r="B62" i="202"/>
  <c r="B61" i="202"/>
  <c r="B60" i="202"/>
  <c r="B59" i="202"/>
  <c r="B58" i="202"/>
  <c r="B57" i="202"/>
  <c r="B56" i="202"/>
  <c r="B55" i="202"/>
  <c r="B54" i="202"/>
  <c r="B53" i="202"/>
  <c r="B52" i="202"/>
  <c r="B51" i="202"/>
  <c r="B50" i="202"/>
  <c r="B49" i="202"/>
  <c r="B46" i="202"/>
  <c r="B45" i="202"/>
  <c r="B39" i="202"/>
  <c r="B38" i="202"/>
  <c r="B37" i="202"/>
  <c r="B36" i="202"/>
  <c r="B35" i="202"/>
  <c r="B34" i="202"/>
  <c r="B32" i="202"/>
  <c r="B31" i="202"/>
  <c r="B30" i="202"/>
  <c r="B29" i="202"/>
  <c r="B27" i="202"/>
  <c r="B26" i="202"/>
  <c r="B25" i="202"/>
  <c r="B21" i="202"/>
  <c r="B20" i="202"/>
  <c r="B19" i="202"/>
  <c r="B18" i="202"/>
  <c r="B17" i="202"/>
  <c r="B16" i="202"/>
  <c r="B15" i="202"/>
  <c r="B14" i="202"/>
  <c r="B13" i="202"/>
  <c r="B12" i="202"/>
  <c r="B11" i="202"/>
  <c r="B10" i="202"/>
  <c r="B9" i="202"/>
  <c r="B8" i="202"/>
  <c r="B7" i="202"/>
  <c r="B6" i="202"/>
  <c r="B36" i="150" l="1"/>
  <c r="B35" i="150"/>
  <c r="B34" i="150"/>
  <c r="B33" i="150"/>
  <c r="B32" i="150"/>
  <c r="B31" i="150"/>
  <c r="B30" i="150"/>
  <c r="B29" i="150"/>
  <c r="B28" i="150"/>
  <c r="B27" i="150"/>
  <c r="B26" i="150"/>
  <c r="B25" i="150"/>
  <c r="B24" i="150"/>
  <c r="B23" i="150"/>
  <c r="B22" i="150"/>
  <c r="B21" i="150"/>
  <c r="B20" i="150"/>
  <c r="B19" i="150"/>
  <c r="B18" i="150"/>
  <c r="B17" i="150"/>
  <c r="B16" i="150"/>
  <c r="B8" i="150"/>
  <c r="B7" i="150"/>
  <c r="B6" i="150"/>
</calcChain>
</file>

<file path=xl/sharedStrings.xml><?xml version="1.0" encoding="utf-8"?>
<sst xmlns="http://schemas.openxmlformats.org/spreadsheetml/2006/main" count="10843" uniqueCount="1266">
  <si>
    <t>サンスター株式会社　御中</t>
    <phoneticPr fontId="28"/>
  </si>
  <si>
    <t>会計システム刷新プロジェクト（LIBRA）</t>
    <phoneticPr fontId="28"/>
  </si>
  <si>
    <t>FOパラメータ定義書-SSJ_01.組織管理</t>
    <phoneticPr fontId="12"/>
  </si>
  <si>
    <t>第1.0版</t>
  </si>
  <si>
    <t>日本ビジネスシステムズ株式会社</t>
    <rPh sb="0" eb="2">
      <t>ニホン</t>
    </rPh>
    <rPh sb="11" eb="15">
      <t>カブシキガイシャ</t>
    </rPh>
    <phoneticPr fontId="28"/>
  </si>
  <si>
    <t>作成者</t>
    <rPh sb="0" eb="3">
      <t>サクセイシャ</t>
    </rPh>
    <phoneticPr fontId="28"/>
  </si>
  <si>
    <t>JBS承認者</t>
    <rPh sb="3" eb="6">
      <t>ショウニンシャ</t>
    </rPh>
    <phoneticPr fontId="28"/>
  </si>
  <si>
    <t>＜YYYY/MM/DD＞</t>
    <phoneticPr fontId="28"/>
  </si>
  <si>
    <t>JBS石岡</t>
    <rPh sb="3" eb="5">
      <t>イシオカ</t>
    </rPh>
    <phoneticPr fontId="28"/>
  </si>
  <si>
    <t>氏名</t>
    <rPh sb="0" eb="2">
      <t>シメイ</t>
    </rPh>
    <phoneticPr fontId="28"/>
  </si>
  <si>
    <t>パラメータ設定一覧</t>
  </si>
  <si>
    <t>No</t>
  </si>
  <si>
    <t>該当モジュール</t>
  </si>
  <si>
    <t>法人共通/個別</t>
    <rPh sb="0" eb="4">
      <t>ホウジンキョウツウ</t>
    </rPh>
    <rPh sb="5" eb="7">
      <t>コベツ</t>
    </rPh>
    <phoneticPr fontId="12"/>
  </si>
  <si>
    <t>設定項目</t>
  </si>
  <si>
    <t>GC設定担当者</t>
    <rPh sb="2" eb="4">
      <t>セッテイ</t>
    </rPh>
    <rPh sb="4" eb="7">
      <t>タントウシャ</t>
    </rPh>
    <phoneticPr fontId="12"/>
  </si>
  <si>
    <t>GC設定完了日</t>
    <rPh sb="2" eb="4">
      <t>セッテイ</t>
    </rPh>
    <rPh sb="4" eb="7">
      <t>カンリョウビ</t>
    </rPh>
    <phoneticPr fontId="12"/>
  </si>
  <si>
    <t>説明</t>
  </si>
  <si>
    <t>パス</t>
    <phoneticPr fontId="12"/>
  </si>
  <si>
    <t>組織管理</t>
  </si>
  <si>
    <t>共通</t>
  </si>
  <si>
    <t>法人</t>
  </si>
  <si>
    <t>JBS加藤</t>
    <rPh sb="3" eb="5">
      <t>カトウ</t>
    </rPh>
    <phoneticPr fontId="12"/>
  </si>
  <si>
    <t>法人の定義を行う。</t>
    <rPh sb="0" eb="2">
      <t>ホウジン</t>
    </rPh>
    <rPh sb="3" eb="5">
      <t>テイギ</t>
    </rPh>
    <rPh sb="6" eb="7">
      <t>オコナ</t>
    </rPh>
    <phoneticPr fontId="12"/>
  </si>
  <si>
    <t>組織管理＞組織＞法人
Organization administration &gt; Organizations &gt; Legal entities</t>
    <phoneticPr fontId="12"/>
  </si>
  <si>
    <t>グローバルアドレス帳パラメーター</t>
  </si>
  <si>
    <t>グローバルアドレス帳のパラメータ定義となる。
仕入先、取引などを管理する際に必要となるため、パラメータ値を設定する。</t>
  </si>
  <si>
    <t>組織管理＞グローバルアドレス帳＞グローバルアドレス帳パラメーター
Organization administration &gt; Global address book &gt; Global address book parameters</t>
    <phoneticPr fontId="12"/>
  </si>
  <si>
    <t>アドレス帳</t>
  </si>
  <si>
    <t>アドレス帳の種類定義となる。
仕入先、顧客などを定義する。</t>
  </si>
  <si>
    <t>組織管理＞グローバルアドレス帳＞アドレス帳
Organization administration &gt; Global address book &gt; Address book</t>
    <phoneticPr fontId="12"/>
  </si>
  <si>
    <t>名前の順序</t>
  </si>
  <si>
    <t>JBS秋信</t>
    <rPh sb="3" eb="5">
      <t>アキノブ</t>
    </rPh>
    <phoneticPr fontId="12"/>
  </si>
  <si>
    <t>氏名の順序定義となる。グローバルアドレス帳を使用する際に参照する（要件には存在しない）。
「氏 - 名」の順番を設定する。</t>
  </si>
  <si>
    <t>組織管理＞グローバルアドレス帳＞名前の順序
Organization administration &gt; Global address book &gt; Name title and suffix</t>
    <phoneticPr fontId="12"/>
  </si>
  <si>
    <t>住所と連絡先情報の目的</t>
  </si>
  <si>
    <t>住所の識別定義となる。
各住所の「目的」の部分の選択項目を登録する。（デフォルト値があるが、手動で新しい項目の設定も可能）</t>
    <rPh sb="12" eb="13">
      <t>カク</t>
    </rPh>
    <rPh sb="13" eb="15">
      <t>ジュウショ</t>
    </rPh>
    <rPh sb="17" eb="19">
      <t>モクテキ</t>
    </rPh>
    <rPh sb="21" eb="23">
      <t>ブブン</t>
    </rPh>
    <rPh sb="24" eb="26">
      <t>センタク</t>
    </rPh>
    <rPh sb="26" eb="28">
      <t>コウモク</t>
    </rPh>
    <rPh sb="29" eb="31">
      <t>トウロク</t>
    </rPh>
    <rPh sb="40" eb="41">
      <t>チ</t>
    </rPh>
    <rPh sb="46" eb="48">
      <t>シュドウ</t>
    </rPh>
    <rPh sb="49" eb="50">
      <t>アタラ</t>
    </rPh>
    <rPh sb="52" eb="54">
      <t>コウモク</t>
    </rPh>
    <rPh sb="55" eb="57">
      <t>セッテイ</t>
    </rPh>
    <rPh sb="58" eb="60">
      <t>カノウ</t>
    </rPh>
    <phoneticPr fontId="12"/>
  </si>
  <si>
    <t>組織管理＞グローバルアドレス帳＞住所と連絡先情報の目的
Organization administration &gt; Global address book &gt; Address and contact information purpose</t>
    <phoneticPr fontId="12"/>
  </si>
  <si>
    <t>住所の設定</t>
  </si>
  <si>
    <t>「FOパラメータ定義書-法人_99.マスタ」側に記載</t>
    <rPh sb="22" eb="23">
      <t>ガワ</t>
    </rPh>
    <rPh sb="24" eb="26">
      <t>キサイ</t>
    </rPh>
    <phoneticPr fontId="12"/>
  </si>
  <si>
    <t>単位</t>
  </si>
  <si>
    <t>組織階層</t>
  </si>
  <si>
    <t>組織の階層を定義となる。
配分機能で使用する為、店舗倉庫として登録する。</t>
  </si>
  <si>
    <t>組織管理＞組織＞組織階層
Organization administration &gt; Organizations &gt; Organization hierarchies</t>
    <phoneticPr fontId="12"/>
  </si>
  <si>
    <t>組織階層の目的</t>
  </si>
  <si>
    <t>組織階層の目的の定義となる。</t>
  </si>
  <si>
    <t>組織管理＞組織＞組織階層の目的
Organization administration &gt; Organizations &gt; Organization hierarchy purposes</t>
    <phoneticPr fontId="12"/>
  </si>
  <si>
    <t>番号順序</t>
    <rPh sb="0" eb="2">
      <t>バンゴウ</t>
    </rPh>
    <rPh sb="2" eb="4">
      <t>ジュンジョ</t>
    </rPh>
    <phoneticPr fontId="12"/>
  </si>
  <si>
    <t>2024/11/28
※WFのみ</t>
    <phoneticPr fontId="12"/>
  </si>
  <si>
    <t>番号順序の定義となる。</t>
    <rPh sb="0" eb="4">
      <t>バンゴウジュンジョ</t>
    </rPh>
    <rPh sb="5" eb="7">
      <t>テイギ</t>
    </rPh>
    <phoneticPr fontId="12"/>
  </si>
  <si>
    <t>組織管理＞番号順序＞番号順序
Organization administration &gt; Number sequences &gt; Number sequences</t>
    <phoneticPr fontId="12"/>
  </si>
  <si>
    <t>作業単位</t>
    <rPh sb="0" eb="2">
      <t>サギョウ</t>
    </rPh>
    <rPh sb="2" eb="4">
      <t>タンイ</t>
    </rPh>
    <phoneticPr fontId="12"/>
  </si>
  <si>
    <t>ドキュメント タイプ</t>
    <phoneticPr fontId="12"/>
  </si>
  <si>
    <t>添付ファイルなどのドキュメントのタイプの定義となる。</t>
    <rPh sb="0" eb="2">
      <t>テンプ</t>
    </rPh>
    <rPh sb="20" eb="22">
      <t>テイギ</t>
    </rPh>
    <phoneticPr fontId="12"/>
  </si>
  <si>
    <t>組織管理＞ドキュメント管理＞ドキュメント タイプ
Organization administration &gt; Document management &gt; Document types</t>
    <rPh sb="11" eb="13">
      <t>カンリ</t>
    </rPh>
    <phoneticPr fontId="12"/>
  </si>
  <si>
    <t>単位換算</t>
    <rPh sb="0" eb="4">
      <t>タンイカンサン</t>
    </rPh>
    <phoneticPr fontId="12"/>
  </si>
  <si>
    <t>組織管理</t>
    <phoneticPr fontId="12"/>
  </si>
  <si>
    <t>個別</t>
  </si>
  <si>
    <t>組織の電子メールテンプレート</t>
    <phoneticPr fontId="12"/>
  </si>
  <si>
    <t>電子メールテンプレートを定義するための定義となる。
ワークフローを使用する際に、電子メールの送付が必要となる場合は、このパラメータの設定が必要。
※詳細は「D365FO_標準手順書_システム共通(承認ワークフロー)」参照</t>
    <rPh sb="12" eb="14">
      <t>テイギ</t>
    </rPh>
    <rPh sb="19" eb="21">
      <t>テイギ</t>
    </rPh>
    <rPh sb="33" eb="35">
      <t>シヨウ</t>
    </rPh>
    <rPh sb="37" eb="38">
      <t>サイ</t>
    </rPh>
    <rPh sb="40" eb="42">
      <t>デンシ</t>
    </rPh>
    <rPh sb="46" eb="48">
      <t>ソウフ</t>
    </rPh>
    <rPh sb="49" eb="51">
      <t>ヒツヨウ</t>
    </rPh>
    <rPh sb="54" eb="56">
      <t>バアイ</t>
    </rPh>
    <rPh sb="66" eb="68">
      <t>セッテイ</t>
    </rPh>
    <rPh sb="69" eb="71">
      <t>ヒツヨウ</t>
    </rPh>
    <rPh sb="74" eb="76">
      <t>ショウサイ</t>
    </rPh>
    <rPh sb="108" eb="110">
      <t>サンショウ</t>
    </rPh>
    <phoneticPr fontId="12"/>
  </si>
  <si>
    <t>組織管理＞設定＞組織の電子メール テンプレート
Organization administration &gt; Setup &gt; Organization email templates</t>
    <phoneticPr fontId="12"/>
  </si>
  <si>
    <t>作業時間カレンダー</t>
    <rPh sb="0" eb="4">
      <t>サギョウジカン</t>
    </rPh>
    <phoneticPr fontId="12"/>
  </si>
  <si>
    <t>組織管理＞設定＞カレンダー＞カレンダー
Organization administration &gt; Setup &gt; Calendars &gt; Working time calendars</t>
    <rPh sb="0" eb="4">
      <t>ソシキカンリ</t>
    </rPh>
    <rPh sb="5" eb="7">
      <t>セッテイ</t>
    </rPh>
    <phoneticPr fontId="12"/>
  </si>
  <si>
    <t>作業時間テンプレート</t>
    <rPh sb="0" eb="4">
      <t>サギョウジカン</t>
    </rPh>
    <phoneticPr fontId="12"/>
  </si>
  <si>
    <t>組織管理＞設定＞カレンダー＞作業時間テンプレート
Organization administration &gt; Setup &gt; Calendars &gt; Working time templates</t>
    <rPh sb="0" eb="4">
      <t>ソシキカンリ</t>
    </rPh>
    <rPh sb="5" eb="7">
      <t>セッテイ</t>
    </rPh>
    <rPh sb="14" eb="18">
      <t>サギョウジカン</t>
    </rPh>
    <phoneticPr fontId="12"/>
  </si>
  <si>
    <t>組織管理＞組織＞法人</t>
    <phoneticPr fontId="15"/>
  </si>
  <si>
    <t>Organization administration &gt; Organizations &gt; Legal entities</t>
    <phoneticPr fontId="12"/>
  </si>
  <si>
    <t>パラメータ設定一覧へ</t>
  </si>
  <si>
    <t>#</t>
  </si>
  <si>
    <t>タブ</t>
  </si>
  <si>
    <t>タブ説明</t>
    <rPh sb="2" eb="4">
      <t>セツメイ</t>
    </rPh>
    <phoneticPr fontId="20"/>
  </si>
  <si>
    <t>項目分類</t>
    <rPh sb="0" eb="2">
      <t>コウモク</t>
    </rPh>
    <rPh sb="2" eb="4">
      <t>ブンルイ</t>
    </rPh>
    <phoneticPr fontId="15"/>
  </si>
  <si>
    <t>項目</t>
  </si>
  <si>
    <t>項目説明</t>
    <rPh sb="0" eb="2">
      <t>コウモク</t>
    </rPh>
    <rPh sb="2" eb="4">
      <t>セツメイ</t>
    </rPh>
    <phoneticPr fontId="15"/>
  </si>
  <si>
    <t>設定可能値</t>
  </si>
  <si>
    <t>デフォルト値</t>
    <rPh sb="5" eb="6">
      <t>チ</t>
    </rPh>
    <phoneticPr fontId="20"/>
  </si>
  <si>
    <t>備考</t>
  </si>
  <si>
    <t>設定値</t>
  </si>
  <si>
    <t>設定基準</t>
  </si>
  <si>
    <t>概要</t>
    <rPh sb="0" eb="2">
      <t>ガイヨウ</t>
    </rPh>
    <phoneticPr fontId="20"/>
  </si>
  <si>
    <t>名前</t>
    <rPh sb="0" eb="2">
      <t>ナマエ</t>
    </rPh>
    <phoneticPr fontId="12"/>
  </si>
  <si>
    <t>文字列</t>
    <rPh sb="0" eb="3">
      <t>モジレツ</t>
    </rPh>
    <phoneticPr fontId="12"/>
  </si>
  <si>
    <t>ー</t>
  </si>
  <si>
    <t>「法人-設定値」を参照</t>
  </si>
  <si>
    <t>会社</t>
    <rPh sb="0" eb="2">
      <t>カイシャ</t>
    </rPh>
    <phoneticPr fontId="12"/>
  </si>
  <si>
    <t>法人に関連付けられている会社コード ID。会社とは、法人の 1 つのタイプです。会社はユーザーが作成できる唯一の法人であり、すべての法人は会社 ID と関連付けられています。この関連付けは、プログラム内の一部の機能エリアで法人 ID (データモデルでは DataAreaId) が使用されているために設けられています。これらの機能エリアでは、データのセキュリティ区分として法人が使用されています。ユーザーは、現在ログオン中の会社のデータにのみアクセスできます。</t>
  </si>
  <si>
    <t>半角英数字4ケタまでしか入らないため、グループ会社展開など複数社導入を考えると、1000,2000など意味を持たせない数値での管理の方が良い（法人選択時にここの文字列が出てくるため、わかりやすい英字が良い場合はJPMFのように設定する）</t>
    <rPh sb="0" eb="2">
      <t>ハンカク</t>
    </rPh>
    <rPh sb="2" eb="5">
      <t>エイスウジ</t>
    </rPh>
    <rPh sb="12" eb="13">
      <t>ハイ</t>
    </rPh>
    <rPh sb="35" eb="36">
      <t>カンガ</t>
    </rPh>
    <rPh sb="51" eb="53">
      <t>イミ</t>
    </rPh>
    <rPh sb="54" eb="55">
      <t>モ</t>
    </rPh>
    <rPh sb="59" eb="61">
      <t>スウチ</t>
    </rPh>
    <rPh sb="63" eb="65">
      <t>カンリ</t>
    </rPh>
    <rPh sb="66" eb="67">
      <t>ホウ</t>
    </rPh>
    <rPh sb="68" eb="69">
      <t>ヨ</t>
    </rPh>
    <rPh sb="71" eb="73">
      <t>ホウジン</t>
    </rPh>
    <rPh sb="73" eb="76">
      <t>センタクジ</t>
    </rPh>
    <rPh sb="80" eb="83">
      <t>モジレツ</t>
    </rPh>
    <rPh sb="84" eb="85">
      <t>デ</t>
    </rPh>
    <rPh sb="97" eb="99">
      <t>エイジ</t>
    </rPh>
    <rPh sb="100" eb="101">
      <t>ヨ</t>
    </rPh>
    <rPh sb="102" eb="104">
      <t>バアイ</t>
    </rPh>
    <rPh sb="113" eb="115">
      <t>セッテイ</t>
    </rPh>
    <phoneticPr fontId="12"/>
  </si>
  <si>
    <t>カナ名</t>
    <rPh sb="2" eb="3">
      <t>メイ</t>
    </rPh>
    <phoneticPr fontId="12"/>
  </si>
  <si>
    <t>一般</t>
    <rPh sb="0" eb="2">
      <t>イッパン</t>
    </rPh>
    <phoneticPr fontId="12"/>
  </si>
  <si>
    <t>メモ</t>
    <phoneticPr fontId="12"/>
  </si>
  <si>
    <t>法人に関する注記の入力します。</t>
    <phoneticPr fontId="12"/>
  </si>
  <si>
    <t>検索名</t>
    <rPh sb="0" eb="2">
      <t>ケンサク</t>
    </rPh>
    <rPh sb="2" eb="3">
      <t>メイ</t>
    </rPh>
    <phoneticPr fontId="12"/>
  </si>
  <si>
    <t>階層</t>
    <rPh sb="0" eb="2">
      <t>カイソウ</t>
    </rPh>
    <phoneticPr fontId="12"/>
  </si>
  <si>
    <t>選択したオプションは法人が組織階層に属していることを示します。</t>
    <phoneticPr fontId="12"/>
  </si>
  <si>
    <t>はい/いいえ</t>
    <phoneticPr fontId="12"/>
  </si>
  <si>
    <t>いいえ</t>
    <phoneticPr fontId="12"/>
  </si>
  <si>
    <t>組織階層に所属させることで「はい」となる</t>
    <rPh sb="0" eb="2">
      <t>ソシキ</t>
    </rPh>
    <rPh sb="2" eb="4">
      <t>カイソウ</t>
    </rPh>
    <rPh sb="5" eb="7">
      <t>ショゾク</t>
    </rPh>
    <phoneticPr fontId="12"/>
  </si>
  <si>
    <t>財務連結処理に使用</t>
    <phoneticPr fontId="12"/>
  </si>
  <si>
    <t>この法人の元帳が子会社法人の財務データを連結する場合は、このオプションを選択します。</t>
  </si>
  <si>
    <t>財務消去プロセスで使用</t>
    <phoneticPr fontId="12"/>
  </si>
  <si>
    <t>この法人の元帳に作成する消去エントリを有効にするには、このオプションを選択します。[財務連結処理に使用] オプションが選択されていないときに、トランザクションが存在する場合、このフィールドを変更できません。</t>
  </si>
  <si>
    <t>完全名</t>
    <rPh sb="0" eb="2">
      <t>カンゼン</t>
    </rPh>
    <rPh sb="2" eb="3">
      <t>メイ</t>
    </rPh>
    <phoneticPr fontId="12"/>
  </si>
  <si>
    <t>ローカライズされた機能の地域</t>
  </si>
  <si>
    <t>地域（システム定義）</t>
    <phoneticPr fontId="12"/>
  </si>
  <si>
    <t>言語</t>
    <rPh sb="0" eb="2">
      <t>ゲンゴ</t>
    </rPh>
    <phoneticPr fontId="12"/>
  </si>
  <si>
    <t>言語（システム定義）</t>
    <phoneticPr fontId="12"/>
  </si>
  <si>
    <t>会社の住所を使用して検出</t>
    <rPh sb="0" eb="2">
      <t>カイシャ</t>
    </rPh>
    <rPh sb="3" eb="5">
      <t>ジュウショ</t>
    </rPh>
    <rPh sb="6" eb="8">
      <t>シヨウ</t>
    </rPh>
    <rPh sb="10" eb="12">
      <t>ケンシュツ</t>
    </rPh>
    <phoneticPr fontId="12"/>
  </si>
  <si>
    <t>タイムゾーン</t>
    <phoneticPr fontId="12"/>
  </si>
  <si>
    <t>タイムゾーン（システム定義）</t>
    <phoneticPr fontId="12"/>
  </si>
  <si>
    <t>住所</t>
    <rPh sb="0" eb="2">
      <t>ジュウショ</t>
    </rPh>
    <phoneticPr fontId="20"/>
  </si>
  <si>
    <t>名前または説明</t>
    <phoneticPr fontId="12"/>
  </si>
  <si>
    <t>住所</t>
    <rPh sb="0" eb="2">
      <t>ジュウショ</t>
    </rPh>
    <phoneticPr fontId="12"/>
  </si>
  <si>
    <t>番地、郵便番号、市区町村名などを入力します。住所情報は、この後、レポートで使用されます。それぞれのフィールドの外にフォーカスを移動すると、市町村、市区郡、都道府県、および国/地域情報の値が自動的に挿入されます。住所が承認されると、市区町村、郵便番号、郡、都道府県、国の各フィールドにデータが入力されます。これらのフィールドの内容は、検索および並べ替えのみに使用されるため、[アドレス] フィールドの内容に関係なく変更できます。</t>
  </si>
  <si>
    <t>詳細オプションより以下を入力することで反映される
国/地域
郵便番号
住所
市町村
都道府県</t>
    <rPh sb="0" eb="2">
      <t>ショウサイ</t>
    </rPh>
    <rPh sb="9" eb="11">
      <t>イカ</t>
    </rPh>
    <rPh sb="25" eb="26">
      <t>クニ</t>
    </rPh>
    <rPh sb="27" eb="29">
      <t>チイキ</t>
    </rPh>
    <rPh sb="35" eb="37">
      <t>ジュウショ</t>
    </rPh>
    <rPh sb="42" eb="46">
      <t>トドウフケン</t>
    </rPh>
    <phoneticPr fontId="12"/>
  </si>
  <si>
    <t>目的</t>
    <rPh sb="0" eb="2">
      <t>モクテキ</t>
    </rPh>
    <phoneticPr fontId="12"/>
  </si>
  <si>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2"/>
  </si>
  <si>
    <t>主要</t>
    <rPh sb="0" eb="2">
      <t>シュヨウ</t>
    </rPh>
    <phoneticPr fontId="12"/>
  </si>
  <si>
    <t>詳細オプション</t>
    <rPh sb="0" eb="2">
      <t>ショウサイ</t>
    </rPh>
    <phoneticPr fontId="12"/>
  </si>
  <si>
    <t>場所ID</t>
    <rPh sb="0" eb="2">
      <t>バショ</t>
    </rPh>
    <phoneticPr fontId="12"/>
  </si>
  <si>
    <t>業務
委託販売
配送
固定資産
本社
ホーム
請求書
船荷
その他
支払
実際の場所
採用
送金先
サービス
安定した組織
ステートメント
SWIFT
船降</t>
    <phoneticPr fontId="12"/>
  </si>
  <si>
    <t>「法人-住所」を参照</t>
    <rPh sb="4" eb="6">
      <t>ジュウショ</t>
    </rPh>
    <phoneticPr fontId="15"/>
  </si>
  <si>
    <t>国/地域</t>
    <rPh sb="0" eb="1">
      <t>クニ</t>
    </rPh>
    <rPh sb="2" eb="4">
      <t>チイキ</t>
    </rPh>
    <phoneticPr fontId="12"/>
  </si>
  <si>
    <t>国/地域（システム定義）</t>
    <phoneticPr fontId="12"/>
  </si>
  <si>
    <t>「詳細オプション＞詳細」より編集可能</t>
    <rPh sb="1" eb="3">
      <t>ショウサイ</t>
    </rPh>
    <rPh sb="9" eb="11">
      <t>ショウサイ</t>
    </rPh>
    <phoneticPr fontId="12"/>
  </si>
  <si>
    <t>郵便番号</t>
    <rPh sb="0" eb="4">
      <t>ユウビンバンゴウ</t>
    </rPh>
    <phoneticPr fontId="12"/>
  </si>
  <si>
    <t>数字</t>
    <rPh sb="0" eb="2">
      <t>スウジ</t>
    </rPh>
    <phoneticPr fontId="12"/>
  </si>
  <si>
    <t xml:space="preserve">
建物名 (補足)</t>
    <rPh sb="1" eb="3">
      <t>タテモノ</t>
    </rPh>
    <rPh sb="3" eb="4">
      <t>メイ</t>
    </rPh>
    <rPh sb="6" eb="8">
      <t>ホソク</t>
    </rPh>
    <phoneticPr fontId="12"/>
  </si>
  <si>
    <t>住所（カナ）</t>
    <rPh sb="0" eb="2">
      <t>ジュウショ</t>
    </rPh>
    <phoneticPr fontId="12"/>
  </si>
  <si>
    <t>市町村</t>
    <rPh sb="0" eb="3">
      <t>シチョウソンチョウソン</t>
    </rPh>
    <phoneticPr fontId="12"/>
  </si>
  <si>
    <t>市町村（カナ）</t>
    <rPh sb="0" eb="3">
      <t>シチョウソンチョウソン</t>
    </rPh>
    <phoneticPr fontId="12"/>
  </si>
  <si>
    <t>都道府県</t>
    <rPh sb="0" eb="4">
      <t>トドウフケン</t>
    </rPh>
    <phoneticPr fontId="12"/>
  </si>
  <si>
    <t>国/地域に関する基本事項</t>
    <rPh sb="0" eb="1">
      <t>クニ</t>
    </rPh>
    <rPh sb="2" eb="4">
      <t>チイキ</t>
    </rPh>
    <rPh sb="5" eb="6">
      <t>カン</t>
    </rPh>
    <rPh sb="8" eb="10">
      <t>キホン</t>
    </rPh>
    <rPh sb="10" eb="12">
      <t>ジコウ</t>
    </rPh>
    <phoneticPr fontId="12"/>
  </si>
  <si>
    <t>連絡先情報</t>
    <rPh sb="0" eb="2">
      <t>レンラク</t>
    </rPh>
    <rPh sb="2" eb="3">
      <t>サキ</t>
    </rPh>
    <rPh sb="3" eb="5">
      <t>ジョウホウ</t>
    </rPh>
    <phoneticPr fontId="20"/>
  </si>
  <si>
    <t>説明</t>
    <rPh sb="0" eb="2">
      <t>セツメイ</t>
    </rPh>
    <phoneticPr fontId="12"/>
  </si>
  <si>
    <t>タイプ</t>
    <phoneticPr fontId="12"/>
  </si>
  <si>
    <t>電話
電子メールアドレス
URL
テレックス
FAX
Facebook
Twitter
LinkedIn</t>
    <rPh sb="0" eb="2">
      <t>デンワ</t>
    </rPh>
    <rPh sb="3" eb="5">
      <t>デンシ</t>
    </rPh>
    <phoneticPr fontId="12"/>
  </si>
  <si>
    <t>「法人-連絡先情報」を参照</t>
    <rPh sb="4" eb="9">
      <t>レンラクサキジョウホウ</t>
    </rPh>
    <phoneticPr fontId="15"/>
  </si>
  <si>
    <t>連絡先の電話番号/住所</t>
    <rPh sb="0" eb="2">
      <t>レンラク</t>
    </rPh>
    <rPh sb="2" eb="3">
      <t>サキ</t>
    </rPh>
    <rPh sb="4" eb="6">
      <t>デンワ</t>
    </rPh>
    <rPh sb="6" eb="8">
      <t>バンゴウ</t>
    </rPh>
    <rPh sb="9" eb="11">
      <t>ジュウショ</t>
    </rPh>
    <phoneticPr fontId="12"/>
  </si>
  <si>
    <t>選択した通信タイプに基づいて通信番号またはアドレスを入力します。[Tax 1099 データ形式の検証] オプションが [Tax 1099] クイック タブで選択されている場合、[連絡先情報] ページに主な会社の電話番号を入力します。</t>
  </si>
  <si>
    <t>内線</t>
    <rPh sb="0" eb="2">
      <t>ナイセン</t>
    </rPh>
    <phoneticPr fontId="12"/>
  </si>
  <si>
    <t>タイプで以下を設定した場合に設定
電話
FAX</t>
  </si>
  <si>
    <t>[内線] フィールドの電話番号が法人の主な通信番号であることを示すには、このオプションを選択します。</t>
  </si>
  <si>
    <t>詳細</t>
    <rPh sb="0" eb="2">
      <t>ショウサイ</t>
    </rPh>
    <phoneticPr fontId="12"/>
  </si>
  <si>
    <t>国際電話用コード</t>
    <rPh sb="0" eb="2">
      <t>コクサイ</t>
    </rPh>
    <rPh sb="2" eb="4">
      <t>デンワ</t>
    </rPh>
    <rPh sb="4" eb="5">
      <t>ヨウ</t>
    </rPh>
    <phoneticPr fontId="12"/>
  </si>
  <si>
    <t>「詳細」より編集可能
電話
FAX</t>
    <rPh sb="1" eb="3">
      <t>ショウサイ</t>
    </rPh>
    <rPh sb="6" eb="8">
      <t>ヘンシュウ</t>
    </rPh>
    <rPh sb="8" eb="10">
      <t>カノウ</t>
    </rPh>
    <phoneticPr fontId="12"/>
  </si>
  <si>
    <t>連絡先の電話番号/住所</t>
    <phoneticPr fontId="12"/>
  </si>
  <si>
    <t>業務
ホーム
請求書
その他
採用
SMS</t>
    <rPh sb="0" eb="2">
      <t>ギョウム</t>
    </rPh>
    <rPh sb="7" eb="10">
      <t>セイキュウショ</t>
    </rPh>
    <rPh sb="13" eb="14">
      <t>タ</t>
    </rPh>
    <rPh sb="15" eb="17">
      <t>サイヨウ</t>
    </rPh>
    <phoneticPr fontId="12"/>
  </si>
  <si>
    <t>「詳細」より編集可能</t>
    <rPh sb="1" eb="3">
      <t>ショウサイ</t>
    </rPh>
    <rPh sb="6" eb="8">
      <t>ヘンシュウ</t>
    </rPh>
    <rPh sb="8" eb="10">
      <t>カノウ</t>
    </rPh>
    <phoneticPr fontId="12"/>
  </si>
  <si>
    <t>携帯電話</t>
    <rPh sb="0" eb="2">
      <t>ケイタイ</t>
    </rPh>
    <rPh sb="2" eb="4">
      <t>デンワ</t>
    </rPh>
    <phoneticPr fontId="12"/>
  </si>
  <si>
    <t>「詳細」より編集可能
タイプで以下を設定した場合に設定
電話</t>
    <rPh sb="1" eb="3">
      <t>ショウサイ</t>
    </rPh>
    <rPh sb="6" eb="8">
      <t>ヘンシュウ</t>
    </rPh>
    <rPh sb="8" eb="10">
      <t>カノウ</t>
    </rPh>
    <rPh sb="15" eb="17">
      <t>イカ</t>
    </rPh>
    <rPh sb="18" eb="20">
      <t>セッテイ</t>
    </rPh>
    <rPh sb="22" eb="24">
      <t>バアイ</t>
    </rPh>
    <rPh sb="25" eb="27">
      <t>セッテイ</t>
    </rPh>
    <rPh sb="28" eb="30">
      <t>デンワ</t>
    </rPh>
    <phoneticPr fontId="12"/>
  </si>
  <si>
    <t>インスタントメッセージ</t>
  </si>
  <si>
    <t>「詳細」より編集可能
タイプで以下を設定した場合に設定
電子メールアドレス</t>
    <rPh sb="1" eb="3">
      <t>ショウサイ</t>
    </rPh>
    <rPh sb="6" eb="8">
      <t>ヘンシュウ</t>
    </rPh>
    <rPh sb="8" eb="10">
      <t>カノウ</t>
    </rPh>
    <rPh sb="15" eb="17">
      <t>イカ</t>
    </rPh>
    <rPh sb="18" eb="20">
      <t>セッテイ</t>
    </rPh>
    <rPh sb="22" eb="24">
      <t>バアイ</t>
    </rPh>
    <rPh sb="25" eb="27">
      <t>セッテイ</t>
    </rPh>
    <rPh sb="28" eb="30">
      <t>デンシ</t>
    </rPh>
    <phoneticPr fontId="12"/>
  </si>
  <si>
    <t>マーケティングのオプトイン</t>
    <phoneticPr fontId="12"/>
  </si>
  <si>
    <t>この連絡先でマーケティング資料を受け取ることに関する顧客の同意を記録するには、このフィールドを [はい] に設定します。</t>
    <phoneticPr fontId="12"/>
  </si>
  <si>
    <t>国家機関のレポート</t>
  </si>
  <si>
    <t>支店/関連会社</t>
    <phoneticPr fontId="12"/>
  </si>
  <si>
    <t>課税控除番号に使用される支店または関連会社を指定します。</t>
    <phoneticPr fontId="12"/>
  </si>
  <si>
    <t>DUNS 番号</t>
    <phoneticPr fontId="12"/>
  </si>
  <si>
    <t>数値</t>
    <rPh sb="0" eb="2">
      <t>スウチ</t>
    </rPh>
    <phoneticPr fontId="12"/>
  </si>
  <si>
    <t>NAICS</t>
    <phoneticPr fontId="12"/>
  </si>
  <si>
    <t>6桁の数値</t>
    <rPh sb="3" eb="5">
      <t>スウチ</t>
    </rPh>
    <phoneticPr fontId="12"/>
  </si>
  <si>
    <t>税申告担当者</t>
    <phoneticPr fontId="12"/>
  </si>
  <si>
    <t>登録番号</t>
    <rPh sb="0" eb="2">
      <t>トウロク</t>
    </rPh>
    <rPh sb="2" eb="4">
      <t>バンゴウ</t>
    </rPh>
    <phoneticPr fontId="12"/>
  </si>
  <si>
    <t>日本向けの申告</t>
    <rPh sb="0" eb="2">
      <t>ニホン</t>
    </rPh>
    <rPh sb="2" eb="3">
      <t>ム</t>
    </rPh>
    <rPh sb="5" eb="7">
      <t>シンコク</t>
    </rPh>
    <phoneticPr fontId="12"/>
  </si>
  <si>
    <t>経理担当者</t>
    <rPh sb="0" eb="2">
      <t>ケイリ</t>
    </rPh>
    <rPh sb="2" eb="4">
      <t>タントウ</t>
    </rPh>
    <rPh sb="4" eb="5">
      <t>シャ</t>
    </rPh>
    <phoneticPr fontId="12"/>
  </si>
  <si>
    <t>代表者氏名</t>
    <rPh sb="0" eb="3">
      <t>ダイヒョウシャ</t>
    </rPh>
    <rPh sb="3" eb="5">
      <t>シメイ</t>
    </rPh>
    <phoneticPr fontId="12"/>
  </si>
  <si>
    <t>ブラジル</t>
    <phoneticPr fontId="12"/>
  </si>
  <si>
    <t>CNPJ/CPF</t>
    <phoneticPr fontId="12"/>
  </si>
  <si>
    <t>CCM</t>
    <phoneticPr fontId="12"/>
  </si>
  <si>
    <t>IE</t>
    <phoneticPr fontId="12"/>
  </si>
  <si>
    <t>CNAE</t>
    <phoneticPr fontId="12"/>
  </si>
  <si>
    <t>カナダ</t>
    <phoneticPr fontId="12"/>
  </si>
  <si>
    <t>登録番号</t>
    <phoneticPr fontId="12"/>
  </si>
  <si>
    <t>カナダ歳入庁 (CRA) によって会社に提供される登録番号を入力します。</t>
    <phoneticPr fontId="12"/>
  </si>
  <si>
    <t>ソフトウェアの ID コード</t>
  </si>
  <si>
    <t>8 文字の英数字のソフトウェアの ID コードを入力します。最初の 2 つの文字はレターで、最後の 6 つの文字は番号です。これらの値は、商品やサービスの売上税または統合売上税 (GST/HST) の還付を処理できるように正確でなければなりません</t>
  </si>
  <si>
    <t>GST/HST 勘定 ID</t>
    <phoneticPr fontId="12"/>
  </si>
  <si>
    <t>英国</t>
    <rPh sb="0" eb="2">
      <t>エイコク</t>
    </rPh>
    <phoneticPr fontId="12"/>
  </si>
  <si>
    <t>勘定オフィス参照番号</t>
    <phoneticPr fontId="12"/>
  </si>
  <si>
    <t>フランス</t>
    <phoneticPr fontId="12"/>
  </si>
  <si>
    <t>商業登記</t>
    <phoneticPr fontId="12"/>
  </si>
  <si>
    <t>会社が登録されているフランスの機関の名前を入力します (たとえば、Registre du commerce et des sociétés)。</t>
    <phoneticPr fontId="12"/>
  </si>
  <si>
    <t>法定書式</t>
    <phoneticPr fontId="12"/>
  </si>
  <si>
    <t>会社の法的種別を入力します (たとえば、非営利組織、製造会社、金融機関)。</t>
    <phoneticPr fontId="12"/>
  </si>
  <si>
    <t>NAF コード</t>
  </si>
  <si>
    <t>データベースのレコードの固有 ID</t>
  </si>
  <si>
    <t>初期資本</t>
    <phoneticPr fontId="12"/>
  </si>
  <si>
    <t>企業の会計通貨で、事業に投資される初期資本。</t>
    <phoneticPr fontId="12"/>
  </si>
  <si>
    <t>アイスランド</t>
    <phoneticPr fontId="12"/>
  </si>
  <si>
    <t>国内での登録番号</t>
    <phoneticPr fontId="12"/>
  </si>
  <si>
    <t>イタリア</t>
    <phoneticPr fontId="12"/>
  </si>
  <si>
    <t>会計年度コード</t>
  </si>
  <si>
    <t>法的性質</t>
    <phoneticPr fontId="12"/>
  </si>
  <si>
    <t>たとえば、限定された共有パートナーシップ、有限責任会社 (SRL)、または公開有限会社 (SPA) など、政府に登録された法人の法的構造を選択します。</t>
  </si>
  <si>
    <t>CUC</t>
    <phoneticPr fontId="12"/>
  </si>
  <si>
    <t>国外組織</t>
    <rPh sb="0" eb="2">
      <t>コクガイ</t>
    </rPh>
    <rPh sb="2" eb="4">
      <t>ソシキ</t>
    </rPh>
    <phoneticPr fontId="12"/>
  </si>
  <si>
    <t>会社名</t>
    <rPh sb="0" eb="2">
      <t>カイシャ</t>
    </rPh>
    <rPh sb="2" eb="3">
      <t>メイ</t>
    </rPh>
    <phoneticPr fontId="12"/>
  </si>
  <si>
    <t>国/地域</t>
    <phoneticPr fontId="12"/>
  </si>
  <si>
    <t>レポート フォルダー</t>
  </si>
  <si>
    <t>ロシア</t>
    <phoneticPr fontId="12"/>
  </si>
  <si>
    <t>会社の住所への INN/KPP の印刷</t>
    <phoneticPr fontId="12"/>
  </si>
  <si>
    <t>日本</t>
    <rPh sb="0" eb="2">
      <t>ニホン</t>
    </rPh>
    <phoneticPr fontId="12"/>
  </si>
  <si>
    <t>事業開始年月</t>
    <phoneticPr fontId="12"/>
  </si>
  <si>
    <t>年月日</t>
    <rPh sb="0" eb="2">
      <t>ネンゲツ</t>
    </rPh>
    <rPh sb="2" eb="3">
      <t>ニチ</t>
    </rPh>
    <phoneticPr fontId="12"/>
  </si>
  <si>
    <t>初期資本投資</t>
    <phoneticPr fontId="12"/>
  </si>
  <si>
    <t>標準通貨金額 (国の通貨)</t>
    <phoneticPr fontId="12"/>
  </si>
  <si>
    <t>税理士等の氏名</t>
    <phoneticPr fontId="12"/>
  </si>
  <si>
    <t>法人にあってはその名称及び代表者の氏名</t>
    <phoneticPr fontId="12"/>
  </si>
  <si>
    <t>この申告に応答する者の係及び氏名</t>
    <phoneticPr fontId="12"/>
  </si>
  <si>
    <t>事業種目</t>
    <phoneticPr fontId="12"/>
  </si>
  <si>
    <t>ノルウェー</t>
  </si>
  <si>
    <t>販売ドキュメントへの Foretaksregisteret の印刷</t>
    <phoneticPr fontId="12"/>
  </si>
  <si>
    <t>メキシコ</t>
    <phoneticPr fontId="12"/>
  </si>
  <si>
    <t>会社のタイプ</t>
    <phoneticPr fontId="12"/>
  </si>
  <si>
    <t>RFC 番号</t>
    <phoneticPr fontId="12"/>
  </si>
  <si>
    <t>CURP 番号</t>
    <phoneticPr fontId="12"/>
  </si>
  <si>
    <t>州表記</t>
    <phoneticPr fontId="12"/>
  </si>
  <si>
    <t>税の登録をする担当者または会社の州表記番号を入力します。</t>
    <phoneticPr fontId="12"/>
  </si>
  <si>
    <t>法的代表者</t>
    <phoneticPr fontId="12"/>
  </si>
  <si>
    <t>法的代表者の RFC</t>
    <phoneticPr fontId="12"/>
  </si>
  <si>
    <t>法的代表者の CURP</t>
    <phoneticPr fontId="12"/>
  </si>
  <si>
    <t>Tax regime</t>
    <phoneticPr fontId="12"/>
  </si>
  <si>
    <t>External classification code</t>
    <phoneticPr fontId="12"/>
  </si>
  <si>
    <t>TDMI</t>
    <phoneticPr fontId="12"/>
  </si>
  <si>
    <t>銀行口座情報</t>
    <rPh sb="0" eb="2">
      <t>ギンコウ</t>
    </rPh>
    <rPh sb="2" eb="4">
      <t>コウザ</t>
    </rPh>
    <rPh sb="4" eb="6">
      <t>ジョウホウ</t>
    </rPh>
    <phoneticPr fontId="12"/>
  </si>
  <si>
    <t>コード</t>
  </si>
  <si>
    <t>銀行支店コード</t>
    <rPh sb="0" eb="2">
      <t>ギンコウ</t>
    </rPh>
    <rPh sb="2" eb="4">
      <t>シテン</t>
    </rPh>
    <phoneticPr fontId="12"/>
  </si>
  <si>
    <t>中央銀行目的コード</t>
  </si>
  <si>
    <t>支店目的コード（ユーザー定義）</t>
    <rPh sb="0" eb="2">
      <t>シテン</t>
    </rPh>
    <phoneticPr fontId="12"/>
  </si>
  <si>
    <t>通知内容</t>
    <phoneticPr fontId="12"/>
  </si>
  <si>
    <t>FI 債権者 ID</t>
    <phoneticPr fontId="12"/>
  </si>
  <si>
    <t>金融機関によって指定された債権者の固有の ID 番号を入力します。債権者の ID 番号は 8 桁の数値が含まれている必要があります</t>
    <phoneticPr fontId="12"/>
  </si>
  <si>
    <t>8桁の数値</t>
    <phoneticPr fontId="12"/>
  </si>
  <si>
    <t>SIA</t>
    <phoneticPr fontId="12"/>
  </si>
  <si>
    <t>SIA コード</t>
  </si>
  <si>
    <t>為替手形および約束手形送金に使用される会社の Società Interbancaria per l'Automazione (SIA) コードを入力します。SIA コードは、SIA から会社に割り当てられます</t>
  </si>
  <si>
    <t>署名の発行</t>
    <phoneticPr fontId="12"/>
  </si>
  <si>
    <t>銀行での識別に使用される、送金用の会社署名を入力します。署名は、為替手形の送金エクスポート ファイルに格納され、顧客送金レポートに印刷されます。</t>
  </si>
  <si>
    <t>BTL91</t>
    <phoneticPr fontId="12"/>
  </si>
  <si>
    <t>DNB 銀行支店コード</t>
  </si>
  <si>
    <t>対外支払を分類するための DNB (オランダ中央銀行) の登録番号を入力します。</t>
    <phoneticPr fontId="12"/>
  </si>
  <si>
    <t>貿易業者番号</t>
    <phoneticPr fontId="12"/>
  </si>
  <si>
    <t>通過貿易業者であることを示す DNB のコードを入力します。</t>
  </si>
  <si>
    <t>支払指示コード 1</t>
  </si>
  <si>
    <t>支払指示コード 2</t>
  </si>
  <si>
    <t>支払指示コード 3</t>
  </si>
  <si>
    <t>支払指示コード 4</t>
  </si>
  <si>
    <t>銀行口座</t>
    <phoneticPr fontId="12"/>
  </si>
  <si>
    <t>銀行口座（ユーザー定義）</t>
    <rPh sb="0" eb="2">
      <t>ギンコウ</t>
    </rPh>
    <rPh sb="2" eb="4">
      <t>コウザ</t>
    </rPh>
    <phoneticPr fontId="12"/>
  </si>
  <si>
    <t>振替口座</t>
    <phoneticPr fontId="12"/>
  </si>
  <si>
    <t>居住者</t>
    <phoneticPr fontId="12"/>
  </si>
  <si>
    <t>対外貿易およびロジスティクス</t>
    <phoneticPr fontId="12"/>
  </si>
  <si>
    <t>ID</t>
    <phoneticPr fontId="12"/>
  </si>
  <si>
    <t>DVR</t>
    <phoneticPr fontId="12"/>
  </si>
  <si>
    <t>DVR (DatenVerarbeitungsRegister) から支給されたデータ処理登録番号を入力します。</t>
  </si>
  <si>
    <t>配送番号</t>
    <phoneticPr fontId="12"/>
  </si>
  <si>
    <t>会社が通常使用するクーリエ サービス用に指定し、関連する外部レポートで使用される勘定番号を入力します。</t>
  </si>
  <si>
    <t>活動コード</t>
  </si>
  <si>
    <t>財務活動グループの ID を入力します。</t>
  </si>
  <si>
    <t>梱包材費用</t>
    <phoneticPr fontId="12"/>
  </si>
  <si>
    <t>梱包材費用ライセンス番号</t>
    <phoneticPr fontId="12"/>
  </si>
  <si>
    <t>リサイクル会社の梱包材費用ライセンス番号を入力します。これは ARA 届書レポートで使用されます。</t>
  </si>
  <si>
    <t>イントラスタット</t>
    <phoneticPr fontId="12"/>
  </si>
  <si>
    <t>VAT 課税控除番号のエクスポート</t>
  </si>
  <si>
    <t>欧州連合に関連する転送および外部レポートで使用される番号を選択します。フィンランド向けのイントラスタット レポートを印刷するには、輸出番号が必要です。</t>
  </si>
  <si>
    <t>課税控除番号（ユーザー定義）</t>
    <rPh sb="0" eb="2">
      <t>カゼイ</t>
    </rPh>
    <rPh sb="2" eb="4">
      <t>コウジョ</t>
    </rPh>
    <rPh sb="4" eb="6">
      <t>バンゴウ</t>
    </rPh>
    <phoneticPr fontId="12"/>
  </si>
  <si>
    <t>支店番号の内線番号のエクスポート</t>
  </si>
  <si>
    <t>輸出の課税控除番号に使用される支店または関連会社を指定します。</t>
    <phoneticPr fontId="12"/>
  </si>
  <si>
    <t>VAT 課税控除番号のインポート</t>
  </si>
  <si>
    <t>外部レポートおよび欧州連合に関連する転送で使用される番号を選択します。フィンランド向けのイントラスタット レポートを印刷するには、輸入番号が必要です。</t>
  </si>
  <si>
    <t>支店番号の内線番号のインポート</t>
  </si>
  <si>
    <t>輸入の課税控除番号に使用される支店または関連会社を指定します。</t>
    <phoneticPr fontId="12"/>
  </si>
  <si>
    <t>イントラスタット コード</t>
  </si>
  <si>
    <t>ドイツ</t>
    <phoneticPr fontId="12"/>
  </si>
  <si>
    <t>Print corrective invoice on sales credit memo</t>
    <phoneticPr fontId="12"/>
  </si>
  <si>
    <t>開始日</t>
    <phoneticPr fontId="12"/>
  </si>
  <si>
    <t>出荷</t>
    <rPh sb="0" eb="2">
      <t>シュッカ</t>
    </rPh>
    <phoneticPr fontId="12"/>
  </si>
  <si>
    <t>出荷カレンダー</t>
  </si>
  <si>
    <t>カレンダー（ユーザー定義）</t>
  </si>
  <si>
    <t>参照</t>
  </si>
  <si>
    <t>番号順序を使用するドキュメント タイプまたはレコード。</t>
  </si>
  <si>
    <t>（システム自動入力）</t>
    <phoneticPr fontId="12"/>
  </si>
  <si>
    <t>「法人-番号順序」を参照</t>
  </si>
  <si>
    <t>番号順序コード</t>
  </si>
  <si>
    <t>番号順序に対するコードを選択します。リストにあるコードは [番号順序] ページで設定されます</t>
  </si>
  <si>
    <t>番号順序（ユーザー定義）</t>
  </si>
  <si>
    <t>番号を再利用</t>
  </si>
  <si>
    <t>チェック有/チェック無</t>
  </si>
  <si>
    <t>同じ番号の利用元</t>
  </si>
  <si>
    <t>追加の登録</t>
    <rPh sb="0" eb="2">
      <t>ツイカ</t>
    </rPh>
    <rPh sb="3" eb="5">
      <t>トウロク</t>
    </rPh>
    <phoneticPr fontId="12"/>
  </si>
  <si>
    <t>社会保険</t>
    <phoneticPr fontId="12"/>
  </si>
  <si>
    <t>所属のコード</t>
  </si>
  <si>
    <t>字数制限有</t>
    <rPh sb="0" eb="2">
      <t>ジスウ</t>
    </rPh>
    <rPh sb="2" eb="4">
      <t>セイゲン</t>
    </rPh>
    <rPh sb="4" eb="5">
      <t>アリ</t>
    </rPh>
    <phoneticPr fontId="12"/>
  </si>
  <si>
    <t>保険業者の所轄機関</t>
    <phoneticPr fontId="12"/>
  </si>
  <si>
    <t>年金基金</t>
    <phoneticPr fontId="12"/>
  </si>
  <si>
    <t>登録年金基金番号</t>
    <phoneticPr fontId="12"/>
  </si>
  <si>
    <t>その他</t>
    <rPh sb="2" eb="3">
      <t>タ</t>
    </rPh>
    <phoneticPr fontId="12"/>
  </si>
  <si>
    <t>組織の法定書式</t>
    <phoneticPr fontId="12"/>
  </si>
  <si>
    <t>ダッシュボードの画像</t>
    <rPh sb="8" eb="10">
      <t>ガゾウ</t>
    </rPh>
    <phoneticPr fontId="12"/>
  </si>
  <si>
    <t>変更</t>
    <rPh sb="0" eb="2">
      <t>ヘンコウ</t>
    </rPh>
    <phoneticPr fontId="12"/>
  </si>
  <si>
    <t>設定する画像を変更</t>
    <rPh sb="0" eb="2">
      <t>セッテイ</t>
    </rPh>
    <rPh sb="4" eb="6">
      <t>ガゾウ</t>
    </rPh>
    <rPh sb="7" eb="9">
      <t>ヘンコウ</t>
    </rPh>
    <phoneticPr fontId="12"/>
  </si>
  <si>
    <t>ボタン</t>
    <phoneticPr fontId="12"/>
  </si>
  <si>
    <t>「ダッシュボードの会社の画像タイプ」を以下にした場合にクリック可能
バナー
ロゴ</t>
    <rPh sb="19" eb="21">
      <t>イカ</t>
    </rPh>
    <rPh sb="31" eb="33">
      <t>カノウ</t>
    </rPh>
    <phoneticPr fontId="12"/>
  </si>
  <si>
    <t>削除</t>
    <rPh sb="0" eb="2">
      <t>サクジョ</t>
    </rPh>
    <phoneticPr fontId="12"/>
  </si>
  <si>
    <t>設定している画像を削除</t>
    <rPh sb="0" eb="2">
      <t>セッテイ</t>
    </rPh>
    <rPh sb="6" eb="8">
      <t>ガゾウ</t>
    </rPh>
    <rPh sb="9" eb="11">
      <t>サクジョ</t>
    </rPh>
    <phoneticPr fontId="12"/>
  </si>
  <si>
    <t>ダッシュボードの会社の画像タイプ</t>
  </si>
  <si>
    <t>既定
なし
バナー
ロゴ</t>
    <rPh sb="0" eb="2">
      <t>キテイ</t>
    </rPh>
    <phoneticPr fontId="12"/>
  </si>
  <si>
    <t>既定</t>
    <rPh sb="0" eb="2">
      <t>キテイ</t>
    </rPh>
    <phoneticPr fontId="12"/>
  </si>
  <si>
    <t>レポートの会社のロゴ画像</t>
  </si>
  <si>
    <t>既定の出力先</t>
    <rPh sb="0" eb="2">
      <t>キテイ</t>
    </rPh>
    <rPh sb="3" eb="5">
      <t>シュツリョク</t>
    </rPh>
    <rPh sb="5" eb="6">
      <t>サキ</t>
    </rPh>
    <phoneticPr fontId="12"/>
  </si>
  <si>
    <t>出力先</t>
    <phoneticPr fontId="12"/>
  </si>
  <si>
    <t>画面
PDFファイル</t>
    <rPh sb="0" eb="2">
      <t>ガメン</t>
    </rPh>
    <phoneticPr fontId="12"/>
  </si>
  <si>
    <t>画面</t>
    <rPh sb="0" eb="2">
      <t>ガメン</t>
    </rPh>
    <phoneticPr fontId="12"/>
  </si>
  <si>
    <t>規制施設</t>
    <rPh sb="0" eb="4">
      <t>キセイシセツ</t>
    </rPh>
    <phoneticPr fontId="12"/>
  </si>
  <si>
    <t>Regulatory establishment</t>
    <phoneticPr fontId="12"/>
  </si>
  <si>
    <t>Dallas
Denver
New Brunzwick
Seattle</t>
    <phoneticPr fontId="12"/>
  </si>
  <si>
    <t>「法人-規制施設」を参照</t>
  </si>
  <si>
    <t>文字列</t>
    <phoneticPr fontId="12"/>
  </si>
  <si>
    <t>本社</t>
    <rPh sb="0" eb="2">
      <t>ホンシャ</t>
    </rPh>
    <phoneticPr fontId="12"/>
  </si>
  <si>
    <t>文字列</t>
  </si>
  <si>
    <t>ユニット番号</t>
    <rPh sb="4" eb="6">
      <t>バンゴウ</t>
    </rPh>
    <phoneticPr fontId="12"/>
  </si>
  <si>
    <t>雇用主 ID 番号</t>
    <phoneticPr fontId="12"/>
  </si>
  <si>
    <t>業種の説明</t>
    <phoneticPr fontId="12"/>
  </si>
  <si>
    <t>税登録</t>
    <rPh sb="0" eb="1">
      <t>ゼイ</t>
    </rPh>
    <rPh sb="1" eb="3">
      <t>トウロク</t>
    </rPh>
    <phoneticPr fontId="12"/>
  </si>
  <si>
    <t>税務登録番号</t>
    <phoneticPr fontId="12"/>
  </si>
  <si>
    <t>ザカート</t>
  </si>
  <si>
    <t>ザカート ファイル番号</t>
  </si>
  <si>
    <t>事業活動の説明:</t>
    <phoneticPr fontId="12"/>
  </si>
  <si>
    <t>事業活動:</t>
    <phoneticPr fontId="12"/>
  </si>
  <si>
    <t>金税</t>
    <rPh sb="0" eb="1">
      <t>カネ</t>
    </rPh>
    <rPh sb="1" eb="2">
      <t>ゼイ</t>
    </rPh>
    <phoneticPr fontId="12"/>
  </si>
  <si>
    <t>VAT 登録タイプ</t>
    <phoneticPr fontId="12"/>
  </si>
  <si>
    <t>税金 1099</t>
    <phoneticPr fontId="12"/>
  </si>
  <si>
    <t>1099 ソフトウェア仕入先</t>
    <phoneticPr fontId="12"/>
  </si>
  <si>
    <t>1099 送信者</t>
    <phoneticPr fontId="12"/>
  </si>
  <si>
    <t>連邦税 ID</t>
    <phoneticPr fontId="12"/>
  </si>
  <si>
    <t>Tax 1099 データ形式の検証</t>
  </si>
  <si>
    <t>DBA</t>
    <phoneticPr fontId="12"/>
  </si>
  <si>
    <t>名前コントロール</t>
  </si>
  <si>
    <t>TCC</t>
    <phoneticPr fontId="12"/>
  </si>
  <si>
    <t>最終提出インジケーター</t>
  </si>
  <si>
    <t>連邦税/州税の一括提出者</t>
    <phoneticPr fontId="12"/>
  </si>
  <si>
    <t>国外エンティティ インジケーター</t>
  </si>
  <si>
    <t>1099 支払に使用される銀行口座</t>
    <phoneticPr fontId="12"/>
  </si>
  <si>
    <t>税金情報</t>
    <rPh sb="0" eb="2">
      <t>ゼイキン</t>
    </rPh>
    <rPh sb="2" eb="4">
      <t>ジョウホウ</t>
    </rPh>
    <phoneticPr fontId="12"/>
  </si>
  <si>
    <t>PAN 情報</t>
    <phoneticPr fontId="12"/>
  </si>
  <si>
    <t>ステータス</t>
  </si>
  <si>
    <t>PAN (Permanent Account Number)</t>
    <phoneticPr fontId="12"/>
  </si>
  <si>
    <t>課税担当者番号</t>
    <phoneticPr fontId="12"/>
  </si>
  <si>
    <t>サークル番号</t>
  </si>
  <si>
    <t>区番号</t>
    <phoneticPr fontId="12"/>
  </si>
  <si>
    <t>源泉徴収税</t>
    <phoneticPr fontId="12"/>
  </si>
  <si>
    <t>控除担当者のタイプ</t>
    <phoneticPr fontId="12"/>
  </si>
  <si>
    <t>出納勘定オフィス (PAO) コード</t>
  </si>
  <si>
    <t>引出出金担当者 (DDO) コード</t>
  </si>
  <si>
    <t>PAO 登録番号</t>
    <phoneticPr fontId="12"/>
  </si>
  <si>
    <t>DDO 登録番号</t>
    <phoneticPr fontId="12"/>
  </si>
  <si>
    <t>官庁詳細</t>
    <phoneticPr fontId="12"/>
  </si>
  <si>
    <t>官庁コード</t>
  </si>
  <si>
    <t>官庁名</t>
    <phoneticPr fontId="12"/>
  </si>
  <si>
    <t>都道府県コード</t>
  </si>
  <si>
    <t>Transportation permissions</t>
    <phoneticPr fontId="12"/>
  </si>
  <si>
    <t>SAT code</t>
    <phoneticPr fontId="12"/>
  </si>
  <si>
    <t>「法人-TransportationPermission」を参照</t>
  </si>
  <si>
    <t>Transportation permission ID</t>
    <phoneticPr fontId="12"/>
  </si>
  <si>
    <t>Transportation permission unique identifier</t>
    <phoneticPr fontId="12"/>
  </si>
  <si>
    <t>法人-設定値</t>
  </si>
  <si>
    <t>※DATの記載は除外</t>
    <rPh sb="5" eb="7">
      <t>キサイ</t>
    </rPh>
    <rPh sb="8" eb="10">
      <t>ジョガイ</t>
    </rPh>
    <phoneticPr fontId="12"/>
  </si>
  <si>
    <t>一般</t>
    <rPh sb="0" eb="2">
      <t>イッパン</t>
    </rPh>
    <phoneticPr fontId="20"/>
  </si>
  <si>
    <t>連絡先情報</t>
    <rPh sb="0" eb="2">
      <t>レンラク</t>
    </rPh>
    <rPh sb="2" eb="3">
      <t>サキ</t>
    </rPh>
    <rPh sb="3" eb="5">
      <t>ジョウホウ</t>
    </rPh>
    <phoneticPr fontId="12"/>
  </si>
  <si>
    <t>地域（システム定義）</t>
    <rPh sb="0" eb="2">
      <t>チイキ</t>
    </rPh>
    <phoneticPr fontId="12"/>
  </si>
  <si>
    <t>カレンダー
（ユーザー定義）</t>
  </si>
  <si>
    <t>STARLECS株式会社</t>
    <phoneticPr fontId="12"/>
  </si>
  <si>
    <t>SLJ</t>
    <phoneticPr fontId="12"/>
  </si>
  <si>
    <t>スターレックス</t>
    <phoneticPr fontId="12"/>
  </si>
  <si>
    <t>ー</t>
    <phoneticPr fontId="12"/>
  </si>
  <si>
    <t>スターレックス</t>
  </si>
  <si>
    <t>会社の住所を使用して検出</t>
    <phoneticPr fontId="12"/>
  </si>
  <si>
    <t>ja</t>
    <phoneticPr fontId="12"/>
  </si>
  <si>
    <t>(GMT+09:00) Osaka, Sapporo, Tokyo</t>
    <phoneticPr fontId="12"/>
  </si>
  <si>
    <t>※詳細の部分が集約</t>
  </si>
  <si>
    <t>業務</t>
    <rPh sb="0" eb="2">
      <t>ギョウム</t>
    </rPh>
    <phoneticPr fontId="12"/>
  </si>
  <si>
    <t>はい</t>
    <phoneticPr fontId="12"/>
  </si>
  <si>
    <t>JPN</t>
    <phoneticPr fontId="12"/>
  </si>
  <si>
    <t>662-0088</t>
    <phoneticPr fontId="12"/>
  </si>
  <si>
    <t>苦楽園4-8-18</t>
    <phoneticPr fontId="12"/>
  </si>
  <si>
    <t>西宮市</t>
    <phoneticPr fontId="12"/>
  </si>
  <si>
    <t>兵庫県</t>
  </si>
  <si>
    <t>北海道札幌市白石区</t>
  </si>
  <si>
    <t>固定資産</t>
    <rPh sb="0" eb="4">
      <t>コテイシサン</t>
    </rPh>
    <phoneticPr fontId="12"/>
  </si>
  <si>
    <t>札幌市白石区</t>
    <phoneticPr fontId="12"/>
  </si>
  <si>
    <t>北海道</t>
    <phoneticPr fontId="12"/>
  </si>
  <si>
    <t>宮城県仙台市宮城野区</t>
  </si>
  <si>
    <t>仙台市宮城野区</t>
    <phoneticPr fontId="12"/>
  </si>
  <si>
    <t>宮城県</t>
    <phoneticPr fontId="12"/>
  </si>
  <si>
    <t>東京都港区</t>
  </si>
  <si>
    <t>港区</t>
    <phoneticPr fontId="12"/>
  </si>
  <si>
    <t>東京都</t>
    <phoneticPr fontId="12"/>
  </si>
  <si>
    <t>東京都大田区</t>
  </si>
  <si>
    <t>大田区</t>
    <phoneticPr fontId="12"/>
  </si>
  <si>
    <t>山梨県南アルプス市</t>
  </si>
  <si>
    <t>南アルプス市</t>
    <phoneticPr fontId="12"/>
  </si>
  <si>
    <t>山梨県</t>
    <phoneticPr fontId="12"/>
  </si>
  <si>
    <t>長野県軽井沢町</t>
  </si>
  <si>
    <t>軽井沢町</t>
    <phoneticPr fontId="12"/>
  </si>
  <si>
    <t>長野県</t>
    <phoneticPr fontId="12"/>
  </si>
  <si>
    <t>愛知県名古屋市千種区</t>
  </si>
  <si>
    <t>名古屋市千種区</t>
    <phoneticPr fontId="12"/>
  </si>
  <si>
    <t>愛知県</t>
    <phoneticPr fontId="12"/>
  </si>
  <si>
    <t>滋賀県草津市</t>
  </si>
  <si>
    <t>草津市</t>
    <phoneticPr fontId="12"/>
  </si>
  <si>
    <t>滋賀県</t>
    <phoneticPr fontId="12"/>
  </si>
  <si>
    <t>滋賀県米原市</t>
  </si>
  <si>
    <t>米原市</t>
    <phoneticPr fontId="12"/>
  </si>
  <si>
    <t>大阪府豊中市</t>
  </si>
  <si>
    <t>豊中市</t>
    <phoneticPr fontId="12"/>
  </si>
  <si>
    <t>大阪府</t>
    <phoneticPr fontId="12"/>
  </si>
  <si>
    <t>大阪府高槻市</t>
  </si>
  <si>
    <t>高槻市</t>
    <phoneticPr fontId="12"/>
  </si>
  <si>
    <t>大阪府摂津市</t>
  </si>
  <si>
    <t>摂津市</t>
    <phoneticPr fontId="12"/>
  </si>
  <si>
    <t>兵庫県神戸市東灘区</t>
  </si>
  <si>
    <t>神戸市東灘区</t>
    <phoneticPr fontId="12"/>
  </si>
  <si>
    <t>兵庫県</t>
    <phoneticPr fontId="12"/>
  </si>
  <si>
    <t>兵庫県西宮市</t>
  </si>
  <si>
    <t>広島県広島市西区</t>
  </si>
  <si>
    <t>広島市西区</t>
    <phoneticPr fontId="12"/>
  </si>
  <si>
    <t>広島県</t>
    <phoneticPr fontId="12"/>
  </si>
  <si>
    <t>徳島県松茂町</t>
  </si>
  <si>
    <t>松茂町</t>
    <phoneticPr fontId="12"/>
  </si>
  <si>
    <t>徳島県</t>
    <phoneticPr fontId="12"/>
  </si>
  <si>
    <t>福岡県福岡市博多区</t>
  </si>
  <si>
    <t>福岡市博多区</t>
    <phoneticPr fontId="12"/>
  </si>
  <si>
    <t>福岡県</t>
    <phoneticPr fontId="12"/>
  </si>
  <si>
    <t>サンスター技研株式会社</t>
    <phoneticPr fontId="12"/>
  </si>
  <si>
    <t>SEJ</t>
    <phoneticPr fontId="12"/>
  </si>
  <si>
    <t>サンスターギケン</t>
    <phoneticPr fontId="12"/>
  </si>
  <si>
    <t>ギケン</t>
    <phoneticPr fontId="12"/>
  </si>
  <si>
    <t>569-1134</t>
    <phoneticPr fontId="12"/>
  </si>
  <si>
    <t>3-1</t>
    <phoneticPr fontId="12"/>
  </si>
  <si>
    <t>高槻市朝日町</t>
    <phoneticPr fontId="12"/>
  </si>
  <si>
    <t>サンスター株式会社</t>
    <phoneticPr fontId="12"/>
  </si>
  <si>
    <t>SSJ</t>
    <phoneticPr fontId="12"/>
  </si>
  <si>
    <t>サンスター</t>
    <phoneticPr fontId="12"/>
  </si>
  <si>
    <t>法人-住所</t>
    <rPh sb="3" eb="5">
      <t>ジュウショ</t>
    </rPh>
    <phoneticPr fontId="12"/>
  </si>
  <si>
    <t>名前または説明</t>
    <rPh sb="0" eb="2">
      <t>ナマエ</t>
    </rPh>
    <rPh sb="5" eb="7">
      <t>セツメイ</t>
    </rPh>
    <phoneticPr fontId="12"/>
  </si>
  <si>
    <t>建物名 (補足)</t>
    <rPh sb="0" eb="2">
      <t>タテモノ</t>
    </rPh>
    <rPh sb="2" eb="3">
      <t>メイ</t>
    </rPh>
    <rPh sb="5" eb="7">
      <t>ホソク</t>
    </rPh>
    <phoneticPr fontId="12"/>
  </si>
  <si>
    <t>法人-連絡先情報</t>
    <rPh sb="3" eb="6">
      <t>レンラクサキ</t>
    </rPh>
    <rPh sb="6" eb="8">
      <t>ジョウホウ</t>
    </rPh>
    <phoneticPr fontId="12"/>
  </si>
  <si>
    <t>インスタントメッセージ</t>
    <phoneticPr fontId="12"/>
  </si>
  <si>
    <t>国地域（システム定義）</t>
    <rPh sb="0" eb="3">
      <t>クニチイキ</t>
    </rPh>
    <rPh sb="8" eb="10">
      <t>テイギ</t>
    </rPh>
    <phoneticPr fontId="12"/>
  </si>
  <si>
    <t>事務管理グループ</t>
    <rPh sb="0" eb="4">
      <t>ジムカンリ</t>
    </rPh>
    <phoneticPr fontId="12"/>
  </si>
  <si>
    <t>電話</t>
    <rPh sb="0" eb="2">
      <t>デンワ</t>
    </rPh>
    <phoneticPr fontId="12"/>
  </si>
  <si>
    <t>072-682-5619</t>
    <phoneticPr fontId="12"/>
  </si>
  <si>
    <t>支払案内書</t>
    <phoneticPr fontId="12"/>
  </si>
  <si>
    <t>サンスター</t>
  </si>
  <si>
    <t>FAX</t>
    <phoneticPr fontId="12"/>
  </si>
  <si>
    <t>072-682-5607</t>
    <phoneticPr fontId="12"/>
  </si>
  <si>
    <t>サンスターギケン</t>
  </si>
  <si>
    <t xml:space="preserve">法人-番号順序 </t>
  </si>
  <si>
    <t>番号順序コード</t>
    <rPh sb="2" eb="4">
      <t>ジュンジョ</t>
    </rPh>
    <phoneticPr fontId="20"/>
  </si>
  <si>
    <t>説明</t>
    <rPh sb="0" eb="2">
      <t>セツメイ</t>
    </rPh>
    <phoneticPr fontId="20"/>
  </si>
  <si>
    <t>（システム自動入力）</t>
  </si>
  <si>
    <t>チェック有/チェック無</t>
    <phoneticPr fontId="12"/>
  </si>
  <si>
    <t>活動番号</t>
  </si>
  <si>
    <t>チェック無</t>
    <rPh sb="4" eb="5">
      <t>ナシ</t>
    </rPh>
    <phoneticPr fontId="12"/>
  </si>
  <si>
    <t>活動 ID を表す固有キーです。活動を作成するときに使用します。</t>
  </si>
  <si>
    <t>ケース ID</t>
  </si>
  <si>
    <t>ケースに割り当てられる ID 番号</t>
  </si>
  <si>
    <t>連絡先 ID</t>
  </si>
  <si>
    <t>連絡先の固有 ID です。</t>
    <phoneticPr fontId="12"/>
  </si>
  <si>
    <t>システム ID</t>
  </si>
  <si>
    <t>これはシステムの一般的な ID ジェネレーターです。固有 ID を生成するときに、システム全体が参照されます。</t>
  </si>
  <si>
    <t>要素番号</t>
  </si>
  <si>
    <t>要素番号の固有キー</t>
  </si>
  <si>
    <t>階層 ID</t>
  </si>
  <si>
    <t>階層 ID の固有キーです。</t>
  </si>
  <si>
    <t>法人-規制施設</t>
    <rPh sb="3" eb="7">
      <t>キセイシセツ</t>
    </rPh>
    <phoneticPr fontId="12"/>
  </si>
  <si>
    <t>Regulatory establishment</t>
  </si>
  <si>
    <t>DUNS 番号</t>
  </si>
  <si>
    <t>NAICS</t>
  </si>
  <si>
    <t>雇用主 ID 番号</t>
  </si>
  <si>
    <t>業種の説明</t>
  </si>
  <si>
    <t>法人-Transportation permissions</t>
  </si>
  <si>
    <t>法人-アドレスの管理（登録ID）</t>
  </si>
  <si>
    <t>登録ID</t>
    <rPh sb="0" eb="2">
      <t>トウロク</t>
    </rPh>
    <phoneticPr fontId="12"/>
  </si>
  <si>
    <t>登録タイプ</t>
    <rPh sb="0" eb="2">
      <t>トウロク</t>
    </rPh>
    <phoneticPr fontId="12"/>
  </si>
  <si>
    <t>頂</t>
    <phoneticPr fontId="12"/>
  </si>
  <si>
    <t>発行期間</t>
    <rPh sb="0" eb="4">
      <t>ハッコウキカン</t>
    </rPh>
    <phoneticPr fontId="12"/>
  </si>
  <si>
    <t>発行日</t>
    <rPh sb="0" eb="3">
      <t>ハッコウビ</t>
    </rPh>
    <phoneticPr fontId="12"/>
  </si>
  <si>
    <t>JPN_local</t>
    <phoneticPr fontId="12"/>
  </si>
  <si>
    <t>8120901011027</t>
    <phoneticPr fontId="12"/>
  </si>
  <si>
    <t>6120901013652</t>
    <phoneticPr fontId="12"/>
  </si>
  <si>
    <t>9140001072181</t>
    <phoneticPr fontId="12"/>
  </si>
  <si>
    <t>組織管理＞グローバルアドレス帳＞グローバルアドレス帳パラメーター</t>
  </si>
  <si>
    <t>Organization administration &gt; Global address book &gt; Global address book parameters</t>
    <phoneticPr fontId="12"/>
  </si>
  <si>
    <t>関係者レコードの既定値および設定を定義
関係者レコードの既定値および設定の選択</t>
  </si>
  <si>
    <t>既定のパラメーター</t>
    <rPh sb="0" eb="2">
      <t>キテイ</t>
    </rPh>
    <phoneticPr fontId="12"/>
  </si>
  <si>
    <t>名前の順序</t>
    <rPh sb="0" eb="2">
      <t>ナマエ</t>
    </rPh>
    <rPh sb="3" eb="5">
      <t>ジュンジョ</t>
    </rPh>
    <phoneticPr fontId="12"/>
  </si>
  <si>
    <t>FirstLast
FirstLastMiddle
FirstMiddleLast
LastCommaFirst
LastCommaFirstMiddle
LastFast
LastFirstMiddle
LastMiddleFirst
LastSpaceFirst</t>
    <phoneticPr fontId="12"/>
  </si>
  <si>
    <t>FirstMiddleLast</t>
    <phoneticPr fontId="12"/>
  </si>
  <si>
    <t>従業員の登録などで、名前の順序のデフォルト値がこの値となる。</t>
    <rPh sb="0" eb="3">
      <t>ジュウギョウイン</t>
    </rPh>
    <rPh sb="4" eb="6">
      <t>トウロク</t>
    </rPh>
    <rPh sb="10" eb="12">
      <t>ナマエ</t>
    </rPh>
    <rPh sb="13" eb="15">
      <t>ジュンジョ</t>
    </rPh>
    <rPh sb="21" eb="22">
      <t>チ</t>
    </rPh>
    <rPh sb="25" eb="26">
      <t>アタイ</t>
    </rPh>
    <phoneticPr fontId="12"/>
  </si>
  <si>
    <t>関係者情報</t>
    <rPh sb="0" eb="3">
      <t>カンケイシャ</t>
    </rPh>
    <rPh sb="3" eb="5">
      <t>ジョウホウ</t>
    </rPh>
    <phoneticPr fontId="12"/>
  </si>
  <si>
    <t>ロールのない関係者の削除</t>
    <rPh sb="6" eb="8">
      <t>カンケイ</t>
    </rPh>
    <rPh sb="8" eb="9">
      <t>シャ</t>
    </rPh>
    <rPh sb="10" eb="12">
      <t>サクジョ</t>
    </rPh>
    <phoneticPr fontId="12"/>
  </si>
  <si>
    <t>重複チェックを使用</t>
    <rPh sb="0" eb="2">
      <t>ジュウフク</t>
    </rPh>
    <rPh sb="7" eb="9">
      <t>シヨウ</t>
    </rPh>
    <phoneticPr fontId="12"/>
  </si>
  <si>
    <t>新しいレコードの作成時にアドレス帳の重複レコードを検索します。</t>
  </si>
  <si>
    <t>DUNS情報</t>
    <rPh sb="4" eb="6">
      <t>ジョウホウ</t>
    </rPh>
    <phoneticPr fontId="12"/>
  </si>
  <si>
    <t>アドレスにDUNS番号を表示</t>
    <rPh sb="9" eb="11">
      <t>バンゴウ</t>
    </rPh>
    <rPh sb="12" eb="14">
      <t>ヒョウジ</t>
    </rPh>
    <phoneticPr fontId="12"/>
  </si>
  <si>
    <t>固有のDUNS番号の確認</t>
    <rPh sb="0" eb="2">
      <t>コユウ</t>
    </rPh>
    <rPh sb="7" eb="9">
      <t>バンゴウ</t>
    </rPh>
    <rPh sb="10" eb="12">
      <t>カクニン</t>
    </rPh>
    <phoneticPr fontId="12"/>
  </si>
  <si>
    <t>既定のレコードタイプの選択</t>
    <rPh sb="0" eb="2">
      <t>キテイ</t>
    </rPh>
    <rPh sb="11" eb="13">
      <t>センタク</t>
    </rPh>
    <phoneticPr fontId="12"/>
  </si>
  <si>
    <t>関係者</t>
    <rPh sb="0" eb="3">
      <t>カンケイシャ</t>
    </rPh>
    <phoneticPr fontId="12"/>
  </si>
  <si>
    <t>個人
組織</t>
    <rPh sb="0" eb="2">
      <t>コジン</t>
    </rPh>
    <rPh sb="3" eb="5">
      <t>ソシキ</t>
    </rPh>
    <phoneticPr fontId="12"/>
  </si>
  <si>
    <t>組織</t>
    <rPh sb="0" eb="2">
      <t>ソシキ</t>
    </rPh>
    <phoneticPr fontId="12"/>
  </si>
  <si>
    <t>外部管理フィールド</t>
    <rPh sb="0" eb="2">
      <t>ガイブ</t>
    </rPh>
    <rPh sb="2" eb="4">
      <t>カンリ</t>
    </rPh>
    <phoneticPr fontId="12"/>
  </si>
  <si>
    <t>外部管理フィールドの編集を有効化</t>
    <rPh sb="0" eb="2">
      <t>ガイブ</t>
    </rPh>
    <rPh sb="2" eb="4">
      <t>カンリ</t>
    </rPh>
    <rPh sb="10" eb="12">
      <t>ヘンシュウ</t>
    </rPh>
    <rPh sb="13" eb="16">
      <t>ユウコウカ</t>
    </rPh>
    <phoneticPr fontId="12"/>
  </si>
  <si>
    <t>このパラメーターを使用して、外部管理フィールドを編集できます。統合シナリオにおいて、このような値は外部システムで管理されることが見込まれるため、グローバル アドレス帳は外部管理としてマークされます。</t>
  </si>
  <si>
    <t>検証フィールド</t>
    <phoneticPr fontId="12"/>
  </si>
  <si>
    <t>メールアドレス</t>
    <phoneticPr fontId="12"/>
  </si>
  <si>
    <t>このパラメーターを使用して、メール アドレス フィールドの検証を有効化または無効化できます。</t>
    <phoneticPr fontId="12"/>
  </si>
  <si>
    <t>システムが生成したリレーションシップ</t>
    <phoneticPr fontId="12"/>
  </si>
  <si>
    <t>システム リレーションシップを有効化する</t>
    <phoneticPr fontId="12"/>
  </si>
  <si>
    <t>このパラメーターを使用して、システムが生成したリレーションシップを有効化または無効化できます。</t>
    <phoneticPr fontId="12"/>
  </si>
  <si>
    <t>エンティティの既定のレコードタイプを選択</t>
    <rPh sb="7" eb="9">
      <t>キテイ</t>
    </rPh>
    <rPh sb="18" eb="20">
      <t>センタク</t>
    </rPh>
    <phoneticPr fontId="12"/>
  </si>
  <si>
    <t>顧客</t>
    <rPh sb="0" eb="2">
      <t>コキャク</t>
    </rPh>
    <phoneticPr fontId="12"/>
  </si>
  <si>
    <t>仕入先</t>
    <rPh sb="0" eb="3">
      <t>シイレサキ</t>
    </rPh>
    <phoneticPr fontId="12"/>
  </si>
  <si>
    <t>見込顧客</t>
    <rPh sb="0" eb="2">
      <t>ミコミ</t>
    </rPh>
    <rPh sb="2" eb="4">
      <t>コキャク</t>
    </rPh>
    <phoneticPr fontId="12"/>
  </si>
  <si>
    <t>競合他社</t>
    <rPh sb="0" eb="2">
      <t>キョウゴウ</t>
    </rPh>
    <rPh sb="2" eb="4">
      <t>タシャ</t>
    </rPh>
    <phoneticPr fontId="12"/>
  </si>
  <si>
    <t>プライベートな場所のセキュリティ</t>
    <rPh sb="7" eb="9">
      <t>バショ</t>
    </rPh>
    <phoneticPr fontId="12"/>
  </si>
  <si>
    <t>ロール別に個人情報へのアクセスを定義
フォームが含む個人住所と連絡先情報にアクセスできるロールをすべて選択します。これはエンティティに適用されません。エンティティはセキュリティ構成を使用して保護してください。</t>
    <rPh sb="3" eb="4">
      <t>ベツ</t>
    </rPh>
    <rPh sb="5" eb="7">
      <t>コジン</t>
    </rPh>
    <rPh sb="7" eb="9">
      <t>ジョウホウ</t>
    </rPh>
    <rPh sb="16" eb="18">
      <t>テイギ</t>
    </rPh>
    <phoneticPr fontId="12"/>
  </si>
  <si>
    <t>利用可能なロール</t>
    <rPh sb="0" eb="2">
      <t>リヨウ</t>
    </rPh>
    <rPh sb="2" eb="4">
      <t>カノウ</t>
    </rPh>
    <phoneticPr fontId="12"/>
  </si>
  <si>
    <t>Applicant anonymous (external)
Auditor
Product designer
Product design manager
Budget clerk
Budget manager
Collections agent
Collections manager
Chief executive officer
Chief financial officer
Marketing coordinator
Marketing manager
Accounts receivable clerk
Accounts receivable manager
Electronic reporting developer
Electronic reporting functional consultant
Tax accountant
Guest
Contractor
Employee
FMLA administrator
Manager
Training manager
Inventory accountant
Inventory accountant clerk
Materials manager
Quality control clerk
Quality control manager
Receiving clerk
Shipping clerk
Time registration user
Machine operator
Shop supervisor
Waterspider
Accountant
Accounting manager
Accounting supervisor
Financial controller
Accounts payable centralized payments clerk
Accounts payable payments clerk
Accounts receivable centralized payments clerk
Accounts receivable payments clerk
Treasurer
Production manager
Production supervisor
Project accountant
Project assistant
Project manager
Project supervisor
Project timesheet user
Production planner
Retail catalog manager
Retail merchandising manager
Retail operations manager
Retail service
Retail store IT
Retail store manager
Retail warehouse clerk
Retail warehouse manager
Process engineer
Process engineering manager
Service dispatcher
Field service technician
Service delivery manager
BusinessConnector Role
Security administrator
Information technology manager
System user
TestEssentialsRole
Logistics manager
Transportation coordinator
Buying agent
Customer service manager
Purchasing manager
Sales clerk
Sales manager
Sales representative
Accounts payable clerk
Accounts payable manager
Purchasing agent
Purchasing Agent - Public Sector
Vendor account manager
Warehouse mobile device user
Warehouse planner
Warehouse manager
Warehouse worker
Accounts payable positive payment clerk
System document branding administrator
Vendor contact (external)
Customer service representative
Data management administrator
Data management migration user
Data management operations user
Document routing client
Maintenance mode user
Cost accounting manager
Resource manager
Tax engine developer
Tax engine functional consultant
System tracing user
Vendor admin (external)
DiagnosticsValidationRole
Office integration power user
System external user
Cost accountant
Cost accountant clerk
Cost object controller
System health ping role
Timesheet delegate user
Pending worker
Budget contributor
Cost accounting data connector service
Trial administrator
DOM administrator
Vendor prospect (external)
Runtime customization power user
Batch job manager
System report editor
SourceDocumentLineProcessingBatchRole
Electronic messages operator
Maintenance worker
Maintenance clerk
Maintenance manager
Maintenance requester
Feature viewer
Feature manager
External Workflow User
Credit management manager
Credit management clerk
Revenue recognition manager
Electronic reporting for Retail developer
Material handling manager
Electronic document clerk
Electronic document manager
Manage Country of Origin and Dual Use functionality
View Country of Origin and Dual Use functionality
Deleted documents administrator form
Saved views administrator
Maintain and update Customer payment predictions
Retail task manager
Power Automate administrator
Manager of advanced documents notes
Hazardous materials viewer
Hazardous materials manager
Customer intent letter manager
Dataverse Virtual entity integration app
Lease accountant
Lease manager
Finance Insights administrator
Manufacturing execution workload shop supervisor
Manufacturing execution workload machine operator
Scale unit management
Maintains supply chain insights (preview)
Guide Manager
Warehouse manager on workload
Hub scale unit admin
Dataverse Virtual entity authenticated user
Dataverse Virtual entity anonymous user
Expense administrator
Product engineering manager
Integration priority manager
Lease clerk
Kit manager
Kit approver
Landed cost manager
Landed cost agent
Engineering change request clerk
Product engineer
Session token extension configurator
Workload administrator
Material handling interface user
Business events viewer
Business events security role
Message service user
Subscription billing allocation user
Subscription billing deferral user
Subscription billing module user with capabilities including billing, allocation, and deferral features
Subscription billing allocation, deferral, and billing manager
Subscription billing user
Subscription billing manager
Subscription billing allocation manager
Subscription billing deferral manager
Dataverse data sync framework application role.
Recruiting application
Self-service contractor
Restrict access to workers
Self-service employee
Self-service manager
Payroll application
Dynamics Maintenance User Role
System notification administrator
IoT messaging service role
Benefits management assistant
Benefits management flex credit assistant
Benefits management eligibility processor
Monitoring and telemetry administrator
SysMonSecurityRole
Document history administrator
Leave and absence manager
ScaleUnitDataPipelineRole
Scale unit administrator
Learning integration
TrvExpTableMobileEntitySecurityRole
Provides full access to LATAM Globalization objects
View LATAM tax reporting
View Globalization LATAM entities
Maintain Globalization LATAM entities
TrvExpTransMobileV2EntitySecurityRole
TrvExpTransMobileEntitySecurityRole</t>
    <phoneticPr fontId="12"/>
  </si>
  <si>
    <t>「利用可能なロール」から「選択されたロール」へ項目を移動可能。逆に「選択されたロール」から「利用可能なロール」への移動も可能。</t>
    <rPh sb="1" eb="3">
      <t>リヨウ</t>
    </rPh>
    <rPh sb="3" eb="5">
      <t>カノウ</t>
    </rPh>
    <rPh sb="13" eb="15">
      <t>センタク</t>
    </rPh>
    <rPh sb="23" eb="25">
      <t>コウモク</t>
    </rPh>
    <rPh sb="26" eb="28">
      <t>イドウ</t>
    </rPh>
    <rPh sb="28" eb="30">
      <t>カノウ</t>
    </rPh>
    <rPh sb="31" eb="32">
      <t>ギャク</t>
    </rPh>
    <rPh sb="34" eb="36">
      <t>センタク</t>
    </rPh>
    <rPh sb="46" eb="48">
      <t>リヨウ</t>
    </rPh>
    <rPh sb="48" eb="50">
      <t>カノウ</t>
    </rPh>
    <rPh sb="57" eb="59">
      <t>イドウ</t>
    </rPh>
    <rPh sb="60" eb="62">
      <t>カノウ</t>
    </rPh>
    <phoneticPr fontId="12"/>
  </si>
  <si>
    <t>選択されたロール</t>
    <rPh sb="0" eb="2">
      <t>センタク</t>
    </rPh>
    <phoneticPr fontId="12"/>
  </si>
  <si>
    <t>Compensation and benefits manager
Human resource assistant
Human resource manager
Payroll administrator
Payroll manager
Recruiter</t>
    <phoneticPr fontId="12"/>
  </si>
  <si>
    <t>組織管理＞グローバルアドレス帳＞アドレス帳</t>
  </si>
  <si>
    <t>Organization administration &gt; Global address book &gt; Address book</t>
    <phoneticPr fontId="12"/>
  </si>
  <si>
    <t>アドレス帳</t>
    <rPh sb="4" eb="5">
      <t>チョウ</t>
    </rPh>
    <phoneticPr fontId="12"/>
  </si>
  <si>
    <t>-</t>
    <phoneticPr fontId="12"/>
  </si>
  <si>
    <t>選択したアドレス帳の簡単な説明を入力または表示します。</t>
  </si>
  <si>
    <t>アドレス帳にチームを割り当てます</t>
    <rPh sb="4" eb="5">
      <t>チョウ</t>
    </rPh>
    <rPh sb="10" eb="11">
      <t>ワ</t>
    </rPh>
    <rPh sb="12" eb="13">
      <t>ア</t>
    </rPh>
    <phoneticPr fontId="12"/>
  </si>
  <si>
    <t>利用できるチーム</t>
    <rPh sb="0" eb="2">
      <t>リヨウ</t>
    </rPh>
    <phoneticPr fontId="12"/>
  </si>
  <si>
    <t>取立</t>
    <rPh sb="0" eb="2">
      <t>トリタテ</t>
    </rPh>
    <phoneticPr fontId="12"/>
  </si>
  <si>
    <t>「利用できるチーム」から「選択したチーム」へ項目を移動可能。逆に「選択されたロール」から「利用可能なロール」への移動も可能。</t>
    <rPh sb="13" eb="15">
      <t>センタク</t>
    </rPh>
    <phoneticPr fontId="12"/>
  </si>
  <si>
    <t>選択したチーム</t>
    <rPh sb="0" eb="2">
      <t>センタク</t>
    </rPh>
    <phoneticPr fontId="12"/>
  </si>
  <si>
    <t>組織管理＞グローバルアドレス帳＞名前の順序</t>
  </si>
  <si>
    <t>Organization administration &gt; Global address book &gt; Name title and suffix</t>
    <phoneticPr fontId="12"/>
  </si>
  <si>
    <t>FirstLast
FirstLastMiddle
FirstMiddleLast
LastCommaFirst
LastCommaFirstMiddle
LastFast
LastFirstMiddle
LastMiddleFirst
LastSpaceFirst</t>
  </si>
  <si>
    <t>デフォルトでの名前の順序。新規作成可能。</t>
    <rPh sb="7" eb="9">
      <t>ナマエ</t>
    </rPh>
    <rPh sb="10" eb="12">
      <t>ジュンジョ</t>
    </rPh>
    <rPh sb="13" eb="15">
      <t>シンキ</t>
    </rPh>
    <rPh sb="15" eb="17">
      <t>サクセイ</t>
    </rPh>
    <rPh sb="17" eb="19">
      <t>カノウ</t>
    </rPh>
    <phoneticPr fontId="12"/>
  </si>
  <si>
    <t>「名前の順序-設定値」</t>
  </si>
  <si>
    <t>・@SYS300037(FirstLast)
・@SYS115485(FirstLastMiddle)
・@SYS115484(FirstMiddleLast)
・@SYS300039(LastCommaFirst)
・@SYS115490(LastCommaFirstMiddle)
・@SYS300040(LastFast)
・@SYS115489(LastFirstMiddle)
・@SYS115491(LastMiddleFirst)
・@SYS300038(LastSpaceFirst)</t>
    <phoneticPr fontId="12"/>
  </si>
  <si>
    <t>デフォルトで入力されているのはシステム自動入力</t>
    <rPh sb="6" eb="8">
      <t>ニュウリョク</t>
    </rPh>
    <rPh sb="19" eb="23">
      <t>ジドウニュウリョク</t>
    </rPh>
    <phoneticPr fontId="12"/>
  </si>
  <si>
    <t>・なし
・名
・ミドルネーム
・姓の接頭語
・呼称</t>
    <rPh sb="5" eb="6">
      <t>ナ</t>
    </rPh>
    <rPh sb="16" eb="17">
      <t>セイ</t>
    </rPh>
    <rPh sb="18" eb="21">
      <t>セットウゴ</t>
    </rPh>
    <rPh sb="23" eb="25">
      <t>コショウ</t>
    </rPh>
    <phoneticPr fontId="12"/>
  </si>
  <si>
    <t>名前の順序の種類によってデフォルト値は異なる。</t>
    <rPh sb="0" eb="2">
      <t>ナマエ</t>
    </rPh>
    <rPh sb="3" eb="5">
      <t>ジュンジョ</t>
    </rPh>
    <rPh sb="6" eb="8">
      <t>シュルイ</t>
    </rPh>
    <rPh sb="17" eb="18">
      <t>チ</t>
    </rPh>
    <rPh sb="19" eb="20">
      <t>コト</t>
    </rPh>
    <phoneticPr fontId="12"/>
  </si>
  <si>
    <t>区切り</t>
    <rPh sb="0" eb="2">
      <t>クギ</t>
    </rPh>
    <phoneticPr fontId="12"/>
  </si>
  <si>
    <t>・なし
・ミドルネーム
・姓の接頭語
・呼称</t>
    <rPh sb="13" eb="14">
      <t>セイ</t>
    </rPh>
    <rPh sb="15" eb="18">
      <t>セットウゴ</t>
    </rPh>
    <rPh sb="20" eb="22">
      <t>コショウ</t>
    </rPh>
    <phoneticPr fontId="12"/>
  </si>
  <si>
    <t>文字列
or
・なし
・姓の接頭辞
・呼称</t>
    <rPh sb="0" eb="3">
      <t>モジレツ</t>
    </rPh>
    <rPh sb="12" eb="13">
      <t>セイ</t>
    </rPh>
    <rPh sb="14" eb="17">
      <t>セットウジ</t>
    </rPh>
    <rPh sb="19" eb="21">
      <t>コショウ</t>
    </rPh>
    <phoneticPr fontId="12"/>
  </si>
  <si>
    <t>プレビュー</t>
  </si>
  <si>
    <t>設定値のプレビューがここに表示される</t>
    <rPh sb="0" eb="3">
      <t>セッテイチ</t>
    </rPh>
    <rPh sb="13" eb="15">
      <t>ヒョウジ</t>
    </rPh>
    <phoneticPr fontId="12"/>
  </si>
  <si>
    <t>名前の順序-設定値</t>
  </si>
  <si>
    <t>※1~9はデフォルトの設定</t>
    <rPh sb="11" eb="13">
      <t>セッテイ</t>
    </rPh>
    <phoneticPr fontId="12"/>
  </si>
  <si>
    <t>（システム自動入力）</t>
    <rPh sb="5" eb="7">
      <t>ジドウ</t>
    </rPh>
    <rPh sb="7" eb="9">
      <t>ニュウリョク</t>
    </rPh>
    <phoneticPr fontId="12"/>
  </si>
  <si>
    <t>FirstLast</t>
  </si>
  <si>
    <t>名 姓</t>
    <rPh sb="0" eb="1">
      <t>メイ</t>
    </rPh>
    <rPh sb="2" eb="3">
      <t>セイ</t>
    </rPh>
    <phoneticPr fontId="12"/>
  </si>
  <si>
    <t>名</t>
    <rPh sb="0" eb="1">
      <t>メイ</t>
    </rPh>
    <phoneticPr fontId="10"/>
  </si>
  <si>
    <t xml:space="preserve"> </t>
    <phoneticPr fontId="12"/>
  </si>
  <si>
    <t>姓</t>
    <rPh sb="0" eb="1">
      <t>セイ</t>
    </rPh>
    <phoneticPr fontId="10"/>
  </si>
  <si>
    <t>なし</t>
  </si>
  <si>
    <t>名 性</t>
    <rPh sb="0" eb="1">
      <t>メイ</t>
    </rPh>
    <rPh sb="2" eb="3">
      <t>セイ</t>
    </rPh>
    <phoneticPr fontId="10"/>
  </si>
  <si>
    <t>FirstLastMiddle</t>
  </si>
  <si>
    <t>名、姓、ミドルネーム</t>
    <rPh sb="0" eb="1">
      <t>メイ</t>
    </rPh>
    <rPh sb="2" eb="3">
      <t>セイ</t>
    </rPh>
    <phoneticPr fontId="12"/>
  </si>
  <si>
    <t>ミドルネーム</t>
  </si>
  <si>
    <t>名 姓 ミドルネーム</t>
    <rPh sb="2" eb="3">
      <t>セイ</t>
    </rPh>
    <phoneticPr fontId="10"/>
  </si>
  <si>
    <t>FirstMiddleLast</t>
  </si>
  <si>
    <t>名、ミドルネーム、姓</t>
    <rPh sb="0" eb="1">
      <t>メイ</t>
    </rPh>
    <rPh sb="9" eb="10">
      <t>セイ</t>
    </rPh>
    <phoneticPr fontId="12"/>
  </si>
  <si>
    <t>名 ミドルネーム 姓</t>
    <rPh sb="0" eb="1">
      <t>メイ</t>
    </rPh>
    <rPh sb="9" eb="10">
      <t>セイ</t>
    </rPh>
    <phoneticPr fontId="10"/>
  </si>
  <si>
    <t>LastCommaFirst</t>
  </si>
  <si>
    <t>姓、名</t>
    <rPh sb="0" eb="1">
      <t>セイ</t>
    </rPh>
    <rPh sb="2" eb="3">
      <t>メイ</t>
    </rPh>
    <phoneticPr fontId="12"/>
  </si>
  <si>
    <t>,</t>
  </si>
  <si>
    <t>姓, 名</t>
    <rPh sb="0" eb="1">
      <t>セイ</t>
    </rPh>
    <rPh sb="3" eb="4">
      <t>メイ</t>
    </rPh>
    <phoneticPr fontId="10"/>
  </si>
  <si>
    <t>LastCommaFirstMiddle</t>
  </si>
  <si>
    <t>姓、名、ミドルネーム</t>
    <rPh sb="0" eb="1">
      <t>セイ</t>
    </rPh>
    <rPh sb="2" eb="3">
      <t>メイ</t>
    </rPh>
    <phoneticPr fontId="12"/>
  </si>
  <si>
    <t>姓, 名 ミドルネーム</t>
    <rPh sb="0" eb="1">
      <t>セイ</t>
    </rPh>
    <rPh sb="3" eb="4">
      <t>メイ</t>
    </rPh>
    <phoneticPr fontId="10"/>
  </si>
  <si>
    <t>LastFirst</t>
  </si>
  <si>
    <t>姓名</t>
    <rPh sb="0" eb="1">
      <t>セイ</t>
    </rPh>
    <rPh sb="1" eb="2">
      <t>メイ</t>
    </rPh>
    <phoneticPr fontId="10"/>
  </si>
  <si>
    <t>LastFirstMiddle</t>
  </si>
  <si>
    <t>姓 名 ミドルネーム</t>
    <rPh sb="0" eb="1">
      <t>セイ</t>
    </rPh>
    <rPh sb="2" eb="3">
      <t>メイ</t>
    </rPh>
    <phoneticPr fontId="12"/>
  </si>
  <si>
    <t>姓 名 ミドルネーム</t>
  </si>
  <si>
    <t>LastMiddleFirst</t>
  </si>
  <si>
    <t>姓、ミドルネーム、名</t>
    <rPh sb="0" eb="1">
      <t>セイ</t>
    </rPh>
    <rPh sb="9" eb="10">
      <t>メイ</t>
    </rPh>
    <phoneticPr fontId="12"/>
  </si>
  <si>
    <t>姓 ミドルネーム 名</t>
  </si>
  <si>
    <t>LastSpaceFirst</t>
  </si>
  <si>
    <t>姓 名</t>
    <rPh sb="0" eb="1">
      <t>セイ</t>
    </rPh>
    <rPh sb="2" eb="3">
      <t>メイ</t>
    </rPh>
    <phoneticPr fontId="12"/>
  </si>
  <si>
    <t>姓 名</t>
    <rPh sb="0" eb="1">
      <t>セイ</t>
    </rPh>
    <rPh sb="2" eb="3">
      <t>メイ</t>
    </rPh>
    <phoneticPr fontId="10"/>
  </si>
  <si>
    <t>組織管理＞グローバルアドレス帳＞住所と連絡先情報の目的</t>
  </si>
  <si>
    <t>Organisation administration &gt; Global address book &gt; Address and contact information purpose</t>
    <phoneticPr fontId="12"/>
  </si>
  <si>
    <t>住所と連作先情報の目的</t>
    <rPh sb="0" eb="2">
      <t>ジュウショ</t>
    </rPh>
    <rPh sb="3" eb="5">
      <t>レンサク</t>
    </rPh>
    <rPh sb="5" eb="6">
      <t>サキ</t>
    </rPh>
    <rPh sb="6" eb="8">
      <t>ジョウホウ</t>
    </rPh>
    <rPh sb="9" eb="11">
      <t>モクテキ</t>
    </rPh>
    <phoneticPr fontId="12"/>
  </si>
  <si>
    <t>「住所と連絡先情報の目的-設定値」を参照</t>
    <rPh sb="18" eb="20">
      <t>サンショウ</t>
    </rPh>
    <phoneticPr fontId="12"/>
  </si>
  <si>
    <t>配送先住所</t>
    <rPh sb="0" eb="2">
      <t>ハイソウ</t>
    </rPh>
    <rPh sb="2" eb="3">
      <t>サキ</t>
    </rPh>
    <rPh sb="3" eb="5">
      <t>ジュウショ</t>
    </rPh>
    <phoneticPr fontId="12"/>
  </si>
  <si>
    <t>連絡先情報</t>
    <rPh sb="0" eb="3">
      <t>レンラクサキ</t>
    </rPh>
    <rPh sb="3" eb="5">
      <t>ジョウホウ</t>
    </rPh>
    <phoneticPr fontId="12"/>
  </si>
  <si>
    <t>この住所が連絡先情報のタイプに使用される場合は、このオプションを選択します。</t>
    <phoneticPr fontId="12"/>
  </si>
  <si>
    <t>住所と連絡先情報の目的-設定値</t>
  </si>
  <si>
    <t>※1~20はデフォルトの設定</t>
    <rPh sb="12" eb="14">
      <t>セッテイ</t>
    </rPh>
    <phoneticPr fontId="12"/>
  </si>
  <si>
    <t>Business</t>
    <phoneticPr fontId="12"/>
  </si>
  <si>
    <t>業務</t>
  </si>
  <si>
    <t>チェック有</t>
  </si>
  <si>
    <t>Consignment</t>
    <phoneticPr fontId="12"/>
  </si>
  <si>
    <t>委託販売</t>
  </si>
  <si>
    <t>Delivery</t>
    <phoneticPr fontId="12"/>
  </si>
  <si>
    <t>配送</t>
  </si>
  <si>
    <t>Fixed asset</t>
  </si>
  <si>
    <t>固定資産</t>
  </si>
  <si>
    <t>Head company</t>
  </si>
  <si>
    <t>本社</t>
  </si>
  <si>
    <t>Home</t>
  </si>
  <si>
    <t>ホーム</t>
  </si>
  <si>
    <t>Invoice</t>
  </si>
  <si>
    <t>請求書</t>
  </si>
  <si>
    <t>Lading</t>
  </si>
  <si>
    <t>船荷</t>
  </si>
  <si>
    <t>One-time</t>
  </si>
  <si>
    <t>一時</t>
  </si>
  <si>
    <t>Other</t>
  </si>
  <si>
    <t>その他</t>
  </si>
  <si>
    <t>Payment</t>
  </si>
  <si>
    <t>支払</t>
  </si>
  <si>
    <t>Real location</t>
  </si>
  <si>
    <t>実際の場所</t>
  </si>
  <si>
    <t>Recruit</t>
  </si>
  <si>
    <t>採用</t>
  </si>
  <si>
    <t>Remit to</t>
  </si>
  <si>
    <t>送金先</t>
  </si>
  <si>
    <t>Service</t>
  </si>
  <si>
    <t>サービス</t>
  </si>
  <si>
    <t>SMS</t>
  </si>
  <si>
    <t>Stable organization</t>
  </si>
  <si>
    <t>安定した組織</t>
  </si>
  <si>
    <t>Statement</t>
  </si>
  <si>
    <t>ステートメント</t>
  </si>
  <si>
    <t>SWIFT</t>
  </si>
  <si>
    <t>Unlading</t>
  </si>
  <si>
    <t>船降</t>
  </si>
  <si>
    <t>支払案内書</t>
    <rPh sb="0" eb="5">
      <t>シハライアンナイショ</t>
    </rPh>
    <phoneticPr fontId="12"/>
  </si>
  <si>
    <t>組織階層</t>
    <phoneticPr fontId="12"/>
  </si>
  <si>
    <t>組織管理＞組織＞組織階層</t>
    <phoneticPr fontId="15"/>
  </si>
  <si>
    <t>Organization administration &gt; Organizations &gt; Organization hierarchies</t>
    <phoneticPr fontId="12"/>
  </si>
  <si>
    <t>組織階層</t>
    <rPh sb="0" eb="2">
      <t>ソシキ</t>
    </rPh>
    <rPh sb="2" eb="4">
      <t>カイソウ</t>
    </rPh>
    <phoneticPr fontId="12"/>
  </si>
  <si>
    <t>「組織階層-設定値」を参照</t>
  </si>
  <si>
    <t>目的の割り当て</t>
    <rPh sb="0" eb="2">
      <t>モクテキ</t>
    </rPh>
    <rPh sb="3" eb="4">
      <t>ワ</t>
    </rPh>
    <rPh sb="5" eb="6">
      <t>ア</t>
    </rPh>
    <phoneticPr fontId="12"/>
  </si>
  <si>
    <t>・調達内部統制
・経費内部統制
・組織図
・署名権限の内部統制
・仕入先支払の内部統制
・監査内部統制
・集中支払
・セキュリティ
・小売品揃え
・小売補充
・小売レポート
・給付金の適格性制御
・予算計画
・Retail POSの転記
・プロジェクト管理
・割増所得の生成
・小売自動請求
・配分済み注文の管理</t>
    <rPh sb="1" eb="3">
      <t>チョウタツ</t>
    </rPh>
    <rPh sb="3" eb="5">
      <t>ナイブ</t>
    </rPh>
    <rPh sb="5" eb="7">
      <t>トウセイ</t>
    </rPh>
    <rPh sb="9" eb="11">
      <t>ケイヒ</t>
    </rPh>
    <rPh sb="11" eb="13">
      <t>ナイブ</t>
    </rPh>
    <rPh sb="13" eb="15">
      <t>トウセイ</t>
    </rPh>
    <rPh sb="17" eb="20">
      <t>ソシキズ</t>
    </rPh>
    <rPh sb="22" eb="24">
      <t>ショメイ</t>
    </rPh>
    <rPh sb="24" eb="26">
      <t>ケンゲン</t>
    </rPh>
    <rPh sb="27" eb="29">
      <t>ナイブ</t>
    </rPh>
    <rPh sb="29" eb="31">
      <t>トウセイ</t>
    </rPh>
    <rPh sb="45" eb="47">
      <t>カンサ</t>
    </rPh>
    <rPh sb="47" eb="49">
      <t>ナイブ</t>
    </rPh>
    <rPh sb="49" eb="51">
      <t>トウセイ</t>
    </rPh>
    <rPh sb="53" eb="55">
      <t>シュウチュウ</t>
    </rPh>
    <rPh sb="55" eb="57">
      <t>シハライ</t>
    </rPh>
    <rPh sb="67" eb="69">
      <t>コウリ</t>
    </rPh>
    <rPh sb="69" eb="70">
      <t>ヒン</t>
    </rPh>
    <rPh sb="70" eb="71">
      <t>ソロ</t>
    </rPh>
    <rPh sb="74" eb="76">
      <t>コウリ</t>
    </rPh>
    <rPh sb="76" eb="78">
      <t>ホジュウ</t>
    </rPh>
    <rPh sb="80" eb="82">
      <t>コウリ</t>
    </rPh>
    <rPh sb="88" eb="91">
      <t>キュウフキン</t>
    </rPh>
    <rPh sb="92" eb="95">
      <t>テキカクセイ</t>
    </rPh>
    <rPh sb="95" eb="97">
      <t>セイギョ</t>
    </rPh>
    <rPh sb="99" eb="101">
      <t>ヨサン</t>
    </rPh>
    <rPh sb="101" eb="103">
      <t>ケイカク</t>
    </rPh>
    <rPh sb="116" eb="118">
      <t>テンキ</t>
    </rPh>
    <rPh sb="126" eb="128">
      <t>カンリ</t>
    </rPh>
    <rPh sb="130" eb="132">
      <t>ワリマシ</t>
    </rPh>
    <rPh sb="132" eb="134">
      <t>ショトク</t>
    </rPh>
    <rPh sb="135" eb="137">
      <t>セイセイ</t>
    </rPh>
    <rPh sb="147" eb="149">
      <t>ハイブン</t>
    </rPh>
    <rPh sb="149" eb="150">
      <t>ズ</t>
    </rPh>
    <rPh sb="151" eb="153">
      <t>チュウモン</t>
    </rPh>
    <rPh sb="154" eb="156">
      <t>カンリ</t>
    </rPh>
    <phoneticPr fontId="12"/>
  </si>
  <si>
    <t>許可済み組織タイプ</t>
    <rPh sb="0" eb="2">
      <t>キョカ</t>
    </rPh>
    <rPh sb="2" eb="3">
      <t>ズ</t>
    </rPh>
    <rPh sb="4" eb="6">
      <t>ソシキ</t>
    </rPh>
    <phoneticPr fontId="12"/>
  </si>
  <si>
    <t>・部門
・原価部門
・バリューストリーム
・事業単位
・小売チャネル
・法人</t>
    <rPh sb="1" eb="3">
      <t>ブモン</t>
    </rPh>
    <rPh sb="5" eb="7">
      <t>ゲンカ</t>
    </rPh>
    <rPh sb="7" eb="9">
      <t>ブモン</t>
    </rPh>
    <rPh sb="22" eb="24">
      <t>ジギョウ</t>
    </rPh>
    <rPh sb="24" eb="26">
      <t>タンイ</t>
    </rPh>
    <rPh sb="28" eb="30">
      <t>コウリ</t>
    </rPh>
    <rPh sb="36" eb="38">
      <t>ホウジン</t>
    </rPh>
    <phoneticPr fontId="12"/>
  </si>
  <si>
    <t>組織階層-設定値</t>
    <phoneticPr fontId="12"/>
  </si>
  <si>
    <t>SSJ予算計画責任センター</t>
  </si>
  <si>
    <t>セキュリティ</t>
    <phoneticPr fontId="12"/>
  </si>
  <si>
    <t>予算計画</t>
    <rPh sb="0" eb="4">
      <t>ヨサンケイカク</t>
    </rPh>
    <phoneticPr fontId="12"/>
  </si>
  <si>
    <t>組織階層の目的</t>
    <phoneticPr fontId="12"/>
  </si>
  <si>
    <t>組織管理＞組織＞組織階層の目的</t>
    <phoneticPr fontId="15"/>
  </si>
  <si>
    <t>Organization administration &gt; Organizations &gt; Organization hierarchy purposes</t>
    <phoneticPr fontId="12"/>
  </si>
  <si>
    <t>組織階層の目的</t>
    <rPh sb="0" eb="2">
      <t>ソシキ</t>
    </rPh>
    <rPh sb="2" eb="4">
      <t>カイソウ</t>
    </rPh>
    <rPh sb="5" eb="7">
      <t>モクテキ</t>
    </rPh>
    <phoneticPr fontId="12"/>
  </si>
  <si>
    <t>（システム自動入力）
・調達内部統制
・経費内部統制
・組織図
・署名権限の内部統制
・仕入先支払いの内部統制
・監査内部統制
・集中支払
・セキュリティ
・小売品揃え
・小売補充
・小売レポート
・給付金の適格性制御
・予算計画
・Retail POSの転記
・プロジェクト管理
・割増所得の生成
・配分済み注文の管理</t>
    <rPh sb="5" eb="7">
      <t>ジドウ</t>
    </rPh>
    <rPh sb="7" eb="9">
      <t>ニュウリョク</t>
    </rPh>
    <phoneticPr fontId="12"/>
  </si>
  <si>
    <t>「目的」の各項目の名前がデフォルト値として設定される</t>
    <rPh sb="1" eb="3">
      <t>モクテキ</t>
    </rPh>
    <rPh sb="5" eb="8">
      <t>カクコウモク</t>
    </rPh>
    <rPh sb="9" eb="11">
      <t>ナマエ</t>
    </rPh>
    <rPh sb="17" eb="18">
      <t>チ</t>
    </rPh>
    <rPh sb="21" eb="23">
      <t>セッテイ</t>
    </rPh>
    <phoneticPr fontId="12"/>
  </si>
  <si>
    <t>「組織階層の目的-設定値」を参照</t>
  </si>
  <si>
    <t>割り当て済みの階層</t>
    <rPh sb="0" eb="1">
      <t>ワ</t>
    </rPh>
    <rPh sb="2" eb="3">
      <t>ア</t>
    </rPh>
    <rPh sb="4" eb="5">
      <t>ズ</t>
    </rPh>
    <rPh sb="7" eb="9">
      <t>カイソウ</t>
    </rPh>
    <phoneticPr fontId="12"/>
  </si>
  <si>
    <t>「目的」の各項目によってデフォルト値は異なる</t>
    <rPh sb="1" eb="3">
      <t>モクテキ</t>
    </rPh>
    <rPh sb="5" eb="8">
      <t>カクコウモク</t>
    </rPh>
    <rPh sb="17" eb="18">
      <t>チ</t>
    </rPh>
    <rPh sb="19" eb="20">
      <t>コト</t>
    </rPh>
    <phoneticPr fontId="12"/>
  </si>
  <si>
    <t>割り当て済の階層</t>
    <rPh sb="0" eb="1">
      <t>ワ</t>
    </rPh>
    <rPh sb="2" eb="3">
      <t>ア</t>
    </rPh>
    <rPh sb="4" eb="5">
      <t>ズミ</t>
    </rPh>
    <rPh sb="6" eb="8">
      <t>カイソウ</t>
    </rPh>
    <phoneticPr fontId="12"/>
  </si>
  <si>
    <t>・Auto - Business Unit
・Budgeting - Departments
・Contoso Holdings
・Department
・Home - Business Unit
・Retail Stores by Business Unit
・Retail Stores by Region
・Retail Stores by Type (AW)
・Retail Stores by Type (Fabrikam)</t>
    <rPh sb="0" eb="217">
      <t>コウリ</t>
    </rPh>
    <phoneticPr fontId="12"/>
  </si>
  <si>
    <t>組織階層の目的-設定値</t>
    <phoneticPr fontId="12"/>
  </si>
  <si>
    <t>SSJ予算計画責任センター</t>
    <phoneticPr fontId="12"/>
  </si>
  <si>
    <t>SEJ予算計画責任センター</t>
    <phoneticPr fontId="12"/>
  </si>
  <si>
    <t>SLJ予算計画責任センター</t>
    <phoneticPr fontId="12"/>
  </si>
  <si>
    <t>番号順序</t>
    <phoneticPr fontId="12"/>
  </si>
  <si>
    <t>組織管理＞番号順序＞番号順序</t>
    <phoneticPr fontId="15"/>
  </si>
  <si>
    <t>Organization administration &gt; Number sequences &gt; Number sequences</t>
    <phoneticPr fontId="12"/>
  </si>
  <si>
    <t>番号順序コード</t>
    <rPh sb="0" eb="4">
      <t>バンゴウジュンジョ</t>
    </rPh>
    <phoneticPr fontId="12"/>
  </si>
  <si>
    <t>「番号順序-設定値」を参照</t>
    <rPh sb="1" eb="3">
      <t>バンゴウ</t>
    </rPh>
    <rPh sb="3" eb="5">
      <t>ジュンジョ</t>
    </rPh>
    <phoneticPr fontId="12"/>
  </si>
  <si>
    <t>スコープパラメーター</t>
  </si>
  <si>
    <t>スコープ</t>
  </si>
  <si>
    <t>・共有
・会社
・法人
・作業単位
・会社および会計カレンダー期間
・法人および会計カレンダー期間
・作業単位のタイプ</t>
    <rPh sb="1" eb="3">
      <t>キョウユウ</t>
    </rPh>
    <rPh sb="5" eb="7">
      <t>カイシャ</t>
    </rPh>
    <rPh sb="9" eb="11">
      <t>ホウジン</t>
    </rPh>
    <rPh sb="13" eb="15">
      <t>サギョウ</t>
    </rPh>
    <rPh sb="15" eb="17">
      <t>タンイ</t>
    </rPh>
    <rPh sb="19" eb="21">
      <t>カイシャ</t>
    </rPh>
    <rPh sb="24" eb="26">
      <t>カイケイ</t>
    </rPh>
    <rPh sb="31" eb="33">
      <t>キカン</t>
    </rPh>
    <rPh sb="35" eb="37">
      <t>ホウジン</t>
    </rPh>
    <rPh sb="40" eb="42">
      <t>カイケイ</t>
    </rPh>
    <rPh sb="47" eb="49">
      <t>キカン</t>
    </rPh>
    <rPh sb="51" eb="53">
      <t>サギョウ</t>
    </rPh>
    <rPh sb="53" eb="55">
      <t>タンイ</t>
    </rPh>
    <phoneticPr fontId="12"/>
  </si>
  <si>
    <t>共有</t>
    <rPh sb="0" eb="2">
      <t>キョウユウ</t>
    </rPh>
    <phoneticPr fontId="12"/>
  </si>
  <si>
    <t>[スコープ] が「会社」「会社および会計カレンダー期間」の時のみ選択可能。</t>
    <rPh sb="9" eb="11">
      <t>カイシャ</t>
    </rPh>
    <rPh sb="29" eb="30">
      <t>トキ</t>
    </rPh>
    <rPh sb="32" eb="36">
      <t>センタクカノウ</t>
    </rPh>
    <phoneticPr fontId="12"/>
  </si>
  <si>
    <t>法人</t>
    <rPh sb="0" eb="2">
      <t>ホウジン</t>
    </rPh>
    <phoneticPr fontId="12"/>
  </si>
  <si>
    <t>[スコープ] が「法人」「法人および会計カレンダー期間」の時のみ選択可能。</t>
    <rPh sb="9" eb="11">
      <t>ホウジン</t>
    </rPh>
    <rPh sb="29" eb="30">
      <t>トキ</t>
    </rPh>
    <rPh sb="32" eb="36">
      <t>センタクカノウ</t>
    </rPh>
    <phoneticPr fontId="12"/>
  </si>
  <si>
    <t>作業単位</t>
    <rPh sb="0" eb="4">
      <t>サギョウタンイ</t>
    </rPh>
    <phoneticPr fontId="12"/>
  </si>
  <si>
    <t>[スコープ] が「作業単位」の時のみ選択可能。</t>
    <rPh sb="9" eb="13">
      <t>サギョウタンイ</t>
    </rPh>
    <rPh sb="15" eb="16">
      <t>トキ</t>
    </rPh>
    <rPh sb="18" eb="22">
      <t>センタクカノウ</t>
    </rPh>
    <phoneticPr fontId="12"/>
  </si>
  <si>
    <t>会計カレンダー</t>
    <rPh sb="0" eb="2">
      <t>カイケイ</t>
    </rPh>
    <phoneticPr fontId="12"/>
  </si>
  <si>
    <t>番号順序が使用されている会計カレンダーに基づいて番号順序の一覧をフィルタ処理します。このオプションは、[会計カレンダー期間] を含む範囲がある参照でのみ使用できます。</t>
    <phoneticPr fontId="12"/>
  </si>
  <si>
    <t>[スコープ] が「会社および会計カレンダー期間」「法人および会計カレンダー期間」の時のみ選択可能。</t>
    <rPh sb="9" eb="11">
      <t>カイシャ</t>
    </rPh>
    <rPh sb="14" eb="16">
      <t>カイケイ</t>
    </rPh>
    <rPh sb="21" eb="23">
      <t>キカン</t>
    </rPh>
    <rPh sb="41" eb="42">
      <t>トキ</t>
    </rPh>
    <rPh sb="44" eb="48">
      <t>センタクカノウ</t>
    </rPh>
    <phoneticPr fontId="12"/>
  </si>
  <si>
    <t>会計暦年</t>
    <rPh sb="0" eb="2">
      <t>カイケイ</t>
    </rPh>
    <rPh sb="2" eb="4">
      <t>レキネン</t>
    </rPh>
    <phoneticPr fontId="12"/>
  </si>
  <si>
    <t>番号順序が使用されている会計暦年に基づいて番号順序の一覧をフィルタ処理します。このオプションは、[会計カレンダー期間] を含む範囲がある参照でのみ使用できます。</t>
    <phoneticPr fontId="12"/>
  </si>
  <si>
    <t>会計カレンダー期間</t>
    <phoneticPr fontId="12"/>
  </si>
  <si>
    <t>番号順序が使用されている会計カレンダー期間に基づいて番号順序の一覧をフィルタ処理します。このオプションは、[会計カレンダー期間] を含む範囲がある参照でのみ使用できます。</t>
    <phoneticPr fontId="12"/>
  </si>
  <si>
    <t>作業単位のタイプ</t>
    <rPh sb="0" eb="4">
      <t>サギョウタンイ</t>
    </rPh>
    <phoneticPr fontId="12"/>
  </si>
  <si>
    <t>・なし
・部門
・原価部門
・バリューストーム
・事業単位
・小売チャネル</t>
    <rPh sb="5" eb="7">
      <t>ブモン</t>
    </rPh>
    <rPh sb="9" eb="13">
      <t>ゲンカブモン</t>
    </rPh>
    <rPh sb="25" eb="29">
      <t>ジギョウタンイ</t>
    </rPh>
    <rPh sb="31" eb="33">
      <t>コウリ</t>
    </rPh>
    <phoneticPr fontId="12"/>
  </si>
  <si>
    <t>[スコープ] が「作業単位のタイプ」の時のみ選択可能。</t>
    <rPh sb="9" eb="11">
      <t>サギョウ</t>
    </rPh>
    <rPh sb="11" eb="13">
      <t>タンイ</t>
    </rPh>
    <rPh sb="19" eb="20">
      <t>トキ</t>
    </rPh>
    <rPh sb="22" eb="26">
      <t>センタクカノウ</t>
    </rPh>
    <phoneticPr fontId="12"/>
  </si>
  <si>
    <t>区分</t>
    <rPh sb="0" eb="2">
      <t>クブン</t>
    </rPh>
    <phoneticPr fontId="12"/>
  </si>
  <si>
    <t>追加</t>
    <rPh sb="0" eb="2">
      <t>ツイカ</t>
    </rPh>
    <phoneticPr fontId="12"/>
  </si>
  <si>
    <t>・英数字
・定数</t>
    <rPh sb="1" eb="4">
      <t>エイスウジ</t>
    </rPh>
    <rPh sb="6" eb="8">
      <t>テイスウ</t>
    </rPh>
    <phoneticPr fontId="12"/>
  </si>
  <si>
    <t>英数字</t>
    <rPh sb="0" eb="3">
      <t>エイスウジ</t>
    </rPh>
    <phoneticPr fontId="12"/>
  </si>
  <si>
    <t>値</t>
    <rPh sb="0" eb="1">
      <t>アタイ</t>
    </rPh>
    <phoneticPr fontId="12"/>
  </si>
  <si>
    <t>長さ</t>
    <rPh sb="0" eb="1">
      <t>ナガ</t>
    </rPh>
    <phoneticPr fontId="12"/>
  </si>
  <si>
    <t>入力不可</t>
    <rPh sb="0" eb="4">
      <t>ニュウリョクフカ</t>
    </rPh>
    <phoneticPr fontId="12"/>
  </si>
  <si>
    <t>形式</t>
    <rPh sb="0" eb="2">
      <t>ケイシキ</t>
    </rPh>
    <phoneticPr fontId="12"/>
  </si>
  <si>
    <t>区分に対して入力した情報に基づく番号順序の形式のプレビュー。番号のインクリメントの場合、番号の記号 (#) が表示されます。文字のインクリメントの場合、アンパサンド (&amp;) が表示されます。</t>
  </si>
  <si>
    <t>参照</t>
    <rPh sb="0" eb="2">
      <t>サンショウ</t>
    </rPh>
    <phoneticPr fontId="12"/>
  </si>
  <si>
    <t>領域</t>
    <rPh sb="0" eb="2">
      <t>リョウイキ</t>
    </rPh>
    <phoneticPr fontId="12"/>
  </si>
  <si>
    <t>この番号順序を使用することになる参照を選択してください。関連するドキュメントに対して同じ番号を使用するには、番号の再利用オプションを選択します。オプションを使用できない場合、選択した参照に対して番号を再利用することはできません。</t>
  </si>
  <si>
    <t>・小売り用店舗在庫パラメーター
・工順
・旅費交通費
・時刻と出金
・注文処理
・消費税支払
・生産
・生産管理
・税申告
・管理
・組織
・給与
・署名活動
・製品コンプライアンス
・警告
・販売
・販売とマーケティング
・買掛金管理
・購買
・輸送管理
・部品表
・銀行</t>
    <rPh sb="1" eb="3">
      <t>コウ</t>
    </rPh>
    <rPh sb="4" eb="5">
      <t>ヨウ</t>
    </rPh>
    <rPh sb="5" eb="7">
      <t>テンポ</t>
    </rPh>
    <rPh sb="7" eb="9">
      <t>ザイコ</t>
    </rPh>
    <rPh sb="17" eb="19">
      <t>コウジュン</t>
    </rPh>
    <rPh sb="21" eb="23">
      <t>リョヒ</t>
    </rPh>
    <rPh sb="23" eb="26">
      <t>コウツウヒ</t>
    </rPh>
    <rPh sb="28" eb="30">
      <t>ジコク</t>
    </rPh>
    <rPh sb="31" eb="33">
      <t>シュッキン</t>
    </rPh>
    <rPh sb="35" eb="37">
      <t>チュウモン</t>
    </rPh>
    <rPh sb="37" eb="39">
      <t>ショリ</t>
    </rPh>
    <rPh sb="41" eb="44">
      <t>ショウヒゼイ</t>
    </rPh>
    <rPh sb="44" eb="46">
      <t>シハライ</t>
    </rPh>
    <rPh sb="48" eb="50">
      <t>セイサン</t>
    </rPh>
    <rPh sb="52" eb="54">
      <t>セイサン</t>
    </rPh>
    <rPh sb="54" eb="56">
      <t>カンリ</t>
    </rPh>
    <rPh sb="58" eb="59">
      <t>ゼイ</t>
    </rPh>
    <rPh sb="59" eb="61">
      <t>シンコク</t>
    </rPh>
    <rPh sb="63" eb="65">
      <t>カンリ</t>
    </rPh>
    <rPh sb="67" eb="69">
      <t>ソシキ</t>
    </rPh>
    <rPh sb="71" eb="73">
      <t>キュウヨ</t>
    </rPh>
    <rPh sb="75" eb="77">
      <t>ショメイ</t>
    </rPh>
    <rPh sb="77" eb="79">
      <t>カツドウ</t>
    </rPh>
    <rPh sb="81" eb="83">
      <t>セイヒン</t>
    </rPh>
    <rPh sb="93" eb="95">
      <t>ケイコク</t>
    </rPh>
    <rPh sb="97" eb="99">
      <t>ハンバイ</t>
    </rPh>
    <rPh sb="101" eb="103">
      <t>ハンバイ</t>
    </rPh>
    <rPh sb="113" eb="116">
      <t>カイカケキン</t>
    </rPh>
    <rPh sb="116" eb="118">
      <t>カンリ</t>
    </rPh>
    <rPh sb="120" eb="122">
      <t>コウバイ</t>
    </rPh>
    <rPh sb="124" eb="126">
      <t>ユソウ</t>
    </rPh>
    <rPh sb="126" eb="128">
      <t>カンリ</t>
    </rPh>
    <rPh sb="130" eb="132">
      <t>ブヒン</t>
    </rPh>
    <rPh sb="132" eb="133">
      <t>ヒョウ</t>
    </rPh>
    <rPh sb="135" eb="137">
      <t>ギンコウ</t>
    </rPh>
    <phoneticPr fontId="12"/>
  </si>
  <si>
    <t>領域に基づいた文字列（ユーザー定義）</t>
    <rPh sb="0" eb="2">
      <t>リョウイキ</t>
    </rPh>
    <rPh sb="3" eb="4">
      <t>モト</t>
    </rPh>
    <rPh sb="7" eb="10">
      <t>モジレツ</t>
    </rPh>
    <phoneticPr fontId="12"/>
  </si>
  <si>
    <t>番号を再利用</t>
    <rPh sb="0" eb="2">
      <t>バンゴウ</t>
    </rPh>
    <rPh sb="3" eb="6">
      <t>サイリヨウ</t>
    </rPh>
    <phoneticPr fontId="12"/>
  </si>
  <si>
    <t>同じ番号の利用元</t>
    <rPh sb="0" eb="1">
      <t>オナ</t>
    </rPh>
    <rPh sb="2" eb="4">
      <t>バンゴウ</t>
    </rPh>
    <rPh sb="5" eb="7">
      <t>リヨウ</t>
    </rPh>
    <rPh sb="7" eb="8">
      <t>モト</t>
    </rPh>
    <phoneticPr fontId="12"/>
  </si>
  <si>
    <t>入力不可</t>
    <rPh sb="0" eb="2">
      <t>ニュウリョク</t>
    </rPh>
    <rPh sb="2" eb="4">
      <t>フカ</t>
    </rPh>
    <phoneticPr fontId="12"/>
  </si>
  <si>
    <t>設定</t>
    <rPh sb="0" eb="2">
      <t>セッテイ</t>
    </rPh>
    <phoneticPr fontId="12"/>
  </si>
  <si>
    <t>使用中</t>
    <rPh sb="0" eb="3">
      <t>シヨウチュウ</t>
    </rPh>
    <phoneticPr fontId="12"/>
  </si>
  <si>
    <t>停止済</t>
    <rPh sb="0" eb="2">
      <t>テイシ</t>
    </rPh>
    <rPh sb="2" eb="3">
      <t>ズ</t>
    </rPh>
    <phoneticPr fontId="12"/>
  </si>
  <si>
    <t>手動</t>
    <rPh sb="0" eb="2">
      <t>シュドウ</t>
    </rPh>
    <phoneticPr fontId="12"/>
  </si>
  <si>
    <t>継続</t>
    <rPh sb="0" eb="2">
      <t>ケイゾク</t>
    </rPh>
    <phoneticPr fontId="12"/>
  </si>
  <si>
    <t>ユーザーによる変更の許可</t>
    <rPh sb="7" eb="9">
      <t>ヘンコウ</t>
    </rPh>
    <rPh sb="10" eb="12">
      <t>キョカ</t>
    </rPh>
    <phoneticPr fontId="12"/>
  </si>
  <si>
    <t>より小さい番号へ</t>
    <rPh sb="2" eb="3">
      <t>チイ</t>
    </rPh>
    <rPh sb="5" eb="7">
      <t>バンゴウ</t>
    </rPh>
    <phoneticPr fontId="12"/>
  </si>
  <si>
    <t>より大きい場号へ</t>
    <rPh sb="2" eb="3">
      <t>オオ</t>
    </rPh>
    <rPh sb="5" eb="6">
      <t>バ</t>
    </rPh>
    <rPh sb="6" eb="7">
      <t>ゴウ</t>
    </rPh>
    <phoneticPr fontId="12"/>
  </si>
  <si>
    <t>番号の割り当て</t>
    <rPh sb="0" eb="2">
      <t>バンゴウ</t>
    </rPh>
    <rPh sb="3" eb="4">
      <t>ワ</t>
    </rPh>
    <rPh sb="5" eb="6">
      <t>ア</t>
    </rPh>
    <phoneticPr fontId="12"/>
  </si>
  <si>
    <t>最小</t>
    <rPh sb="0" eb="2">
      <t>サイショウ</t>
    </rPh>
    <phoneticPr fontId="12"/>
  </si>
  <si>
    <t>最大</t>
    <rPh sb="0" eb="2">
      <t>サイダイ</t>
    </rPh>
    <phoneticPr fontId="12"/>
  </si>
  <si>
    <t>次</t>
    <rPh sb="0" eb="1">
      <t>ツギ</t>
    </rPh>
    <phoneticPr fontId="12"/>
  </si>
  <si>
    <t>パフォーマンス</t>
  </si>
  <si>
    <t>多くの場合、番号順序が連続的でなければならないという特定の要件はありません。これは、データベースのデータを関連付けることだけを目的とするシステム キーに使用されるすべての番号順序に当てはまります。[連続] チェック ボックスをオンにしていない場合は、[事前割り当て] オプションを有効にできます。事前割り当てを行う番号の数 (10 個など) を指定する必要があります。システムにより一度に 10 個の番号が自動的に選択され、コンピューターのメモリに格納されます。つまり、コンピューター側では、番号が 10 回要求されるたびに、データベースから新しい番号の組み合わせを 1 つ選択することになります。この機能は、システムの全体的な速度向上のために非常に重要です。これは、データベースから番号を選択する処理には、コンピューターのメモリから番号を選択する処理に比べて大幅に時間がかかるからです。</t>
  </si>
  <si>
    <t>事前割り当て有効化</t>
    <rPh sb="0" eb="3">
      <t>ジゼンワ</t>
    </rPh>
    <rPh sb="4" eb="5">
      <t>ア</t>
    </rPh>
    <rPh sb="6" eb="9">
      <t>ユウコウカ</t>
    </rPh>
    <phoneticPr fontId="12"/>
  </si>
  <si>
    <t>事前割り当て</t>
    <rPh sb="0" eb="2">
      <t>ジゼン</t>
    </rPh>
    <rPh sb="2" eb="3">
      <t>ワ</t>
    </rPh>
    <rPh sb="4" eb="5">
      <t>ア</t>
    </rPh>
    <phoneticPr fontId="12"/>
  </si>
  <si>
    <t>割り当てられた番号</t>
    <rPh sb="0" eb="1">
      <t>ワ</t>
    </rPh>
    <rPh sb="2" eb="3">
      <t>ア</t>
    </rPh>
    <rPh sb="7" eb="9">
      <t>バンゴウ</t>
    </rPh>
    <phoneticPr fontId="12"/>
  </si>
  <si>
    <t>番号の数量</t>
    <rPh sb="0" eb="2">
      <t>バンゴウ</t>
    </rPh>
    <rPh sb="3" eb="5">
      <t>スウリョウ</t>
    </rPh>
    <phoneticPr fontId="12"/>
  </si>
  <si>
    <t>番号順序-設定値</t>
    <phoneticPr fontId="12"/>
  </si>
  <si>
    <t>自動採番する際に設定が必要</t>
    <rPh sb="0" eb="2">
      <t>ジドウ</t>
    </rPh>
    <rPh sb="2" eb="4">
      <t>サイバン</t>
    </rPh>
    <rPh sb="6" eb="7">
      <t>サイ</t>
    </rPh>
    <rPh sb="8" eb="10">
      <t>セッテイ</t>
    </rPh>
    <rPh sb="11" eb="13">
      <t>ヒツヨウ</t>
    </rPh>
    <phoneticPr fontId="12"/>
  </si>
  <si>
    <t>他のパラメータ設定で自動反映されるので、入力不要</t>
    <rPh sb="0" eb="1">
      <t>ホカ</t>
    </rPh>
    <rPh sb="7" eb="9">
      <t>セッテイ</t>
    </rPh>
    <rPh sb="10" eb="12">
      <t>ジドウ</t>
    </rPh>
    <rPh sb="12" eb="14">
      <t>ハンエイ</t>
    </rPh>
    <rPh sb="20" eb="22">
      <t>ニュウリョク</t>
    </rPh>
    <rPh sb="22" eb="24">
      <t>フヨウ</t>
    </rPh>
    <phoneticPr fontId="12"/>
  </si>
  <si>
    <t>使用中となったら自動反映のため入力不要</t>
    <rPh sb="0" eb="2">
      <t>シヨウ</t>
    </rPh>
    <rPh sb="2" eb="3">
      <t>チュウ</t>
    </rPh>
    <rPh sb="8" eb="10">
      <t>ジドウ</t>
    </rPh>
    <rPh sb="10" eb="12">
      <t>ハンエイ</t>
    </rPh>
    <rPh sb="15" eb="17">
      <t>ニュウリョク</t>
    </rPh>
    <rPh sb="17" eb="19">
      <t>フヨウ</t>
    </rPh>
    <phoneticPr fontId="12"/>
  </si>
  <si>
    <t>※追加分のみ記載する</t>
    <rPh sb="1" eb="4">
      <t>ツイカブン</t>
    </rPh>
    <rPh sb="6" eb="8">
      <t>キサイ</t>
    </rPh>
    <phoneticPr fontId="12"/>
  </si>
  <si>
    <t>#</t>
    <phoneticPr fontId="12"/>
  </si>
  <si>
    <t>事前割り当ての有効化</t>
    <rPh sb="0" eb="3">
      <t>ジゼンワ</t>
    </rPh>
    <rPh sb="4" eb="5">
      <t>ア</t>
    </rPh>
    <rPh sb="7" eb="10">
      <t>ユウコウカ</t>
    </rPh>
    <phoneticPr fontId="12"/>
  </si>
  <si>
    <t>番号順序コード</t>
    <rPh sb="0" eb="2">
      <t>バンゴウ</t>
    </rPh>
    <rPh sb="2" eb="4">
      <t>ジュンジョ</t>
    </rPh>
    <phoneticPr fontId="12"/>
  </si>
  <si>
    <t>会計暦年</t>
    <phoneticPr fontId="12"/>
  </si>
  <si>
    <t>作業単位のタイプ</t>
    <phoneticPr fontId="12"/>
  </si>
  <si>
    <t>参照　</t>
    <rPh sb="0" eb="2">
      <t>サンショウ</t>
    </rPh>
    <phoneticPr fontId="12"/>
  </si>
  <si>
    <t>同じ番号の利用元</t>
    <rPh sb="0" eb="1">
      <t>オナ</t>
    </rPh>
    <rPh sb="2" eb="4">
      <t>バンゴウ</t>
    </rPh>
    <rPh sb="5" eb="8">
      <t>リヨウモト</t>
    </rPh>
    <phoneticPr fontId="12"/>
  </si>
  <si>
    <t>より大きい番号へ</t>
    <rPh sb="2" eb="3">
      <t>オオ</t>
    </rPh>
    <rPh sb="5" eb="7">
      <t>バンゴウ</t>
    </rPh>
    <phoneticPr fontId="12"/>
  </si>
  <si>
    <t>事前割り当て</t>
    <rPh sb="0" eb="3">
      <t>ジゼンワ</t>
    </rPh>
    <rPh sb="4" eb="5">
      <t>ア</t>
    </rPh>
    <phoneticPr fontId="12"/>
  </si>
  <si>
    <t xml:space="preserve">法人（ユーザー定義）
</t>
    <rPh sb="0" eb="2">
      <t>ホウジン</t>
    </rPh>
    <phoneticPr fontId="12"/>
  </si>
  <si>
    <t xml:space="preserve">作業単位（ユーザー定義）
</t>
    <rPh sb="0" eb="4">
      <t>サギョウタンイ</t>
    </rPh>
    <phoneticPr fontId="12"/>
  </si>
  <si>
    <t xml:space="preserve">会計カレンダー（ユーザー定義）
</t>
    <rPh sb="0" eb="2">
      <t>カイケイ</t>
    </rPh>
    <phoneticPr fontId="12"/>
  </si>
  <si>
    <t xml:space="preserve">会計年度（ユーザー定義）
</t>
    <rPh sb="0" eb="4">
      <t>カイケイネンド</t>
    </rPh>
    <phoneticPr fontId="12"/>
  </si>
  <si>
    <t xml:space="preserve">会計カレンダー期間（ユーザー定義）
</t>
    <rPh sb="0" eb="2">
      <t>カイケイ</t>
    </rPh>
    <rPh sb="7" eb="9">
      <t>キカン</t>
    </rPh>
    <phoneticPr fontId="12"/>
  </si>
  <si>
    <t>英数字/区分</t>
    <rPh sb="0" eb="3">
      <t>エイスウジ</t>
    </rPh>
    <rPh sb="4" eb="6">
      <t>クブン</t>
    </rPh>
    <phoneticPr fontId="12"/>
  </si>
  <si>
    <t>自動入力</t>
    <rPh sb="0" eb="2">
      <t>ジドウ</t>
    </rPh>
    <rPh sb="2" eb="4">
      <t>ニュウリョク</t>
    </rPh>
    <phoneticPr fontId="12"/>
  </si>
  <si>
    <t>数値
(許容範囲:2147483647)</t>
    <rPh sb="0" eb="2">
      <t>スウチ</t>
    </rPh>
    <rPh sb="4" eb="8">
      <t>キョヨウハンイ</t>
    </rPh>
    <phoneticPr fontId="12"/>
  </si>
  <si>
    <t>ワークフ_2</t>
    <phoneticPr fontId="12"/>
  </si>
  <si>
    <t>############</t>
    <phoneticPr fontId="12"/>
  </si>
  <si>
    <t>#########</t>
    <phoneticPr fontId="12"/>
  </si>
  <si>
    <t>いいえ</t>
  </si>
  <si>
    <t>LEASE_SSJ</t>
    <phoneticPr fontId="12"/>
  </si>
  <si>
    <t>リース番号 SSJ</t>
    <phoneticPr fontId="12"/>
  </si>
  <si>
    <t>定数</t>
    <rPh sb="0" eb="2">
      <t>テイスウ</t>
    </rPh>
    <phoneticPr fontId="12"/>
  </si>
  <si>
    <t>LEASE</t>
    <phoneticPr fontId="12"/>
  </si>
  <si>
    <t>LEASE00########-00</t>
    <phoneticPr fontId="12"/>
  </si>
  <si>
    <t>00</t>
    <phoneticPr fontId="12"/>
  </si>
  <si>
    <t>########</t>
    <phoneticPr fontId="12"/>
  </si>
  <si>
    <t>-00</t>
    <phoneticPr fontId="12"/>
  </si>
  <si>
    <t>LEASE_SEJ</t>
    <phoneticPr fontId="12"/>
  </si>
  <si>
    <t>リース番号 SEJ</t>
    <phoneticPr fontId="12"/>
  </si>
  <si>
    <t>LEASE11########-00</t>
    <phoneticPr fontId="12"/>
  </si>
  <si>
    <t>11</t>
    <phoneticPr fontId="12"/>
  </si>
  <si>
    <t>LEASE_SLJ</t>
    <phoneticPr fontId="12"/>
  </si>
  <si>
    <t>リース番号 SLJ</t>
    <phoneticPr fontId="12"/>
  </si>
  <si>
    <t>LEASE22########-00</t>
    <phoneticPr fontId="12"/>
  </si>
  <si>
    <t>22</t>
    <phoneticPr fontId="12"/>
  </si>
  <si>
    <t>ProdID_M</t>
    <phoneticPr fontId="12"/>
  </si>
  <si>
    <t>-</t>
  </si>
  <si>
    <t>生産管理</t>
  </si>
  <si>
    <t>製品番号</t>
    <phoneticPr fontId="12"/>
  </si>
  <si>
    <t>SSJ-ItemID</t>
    <phoneticPr fontId="12"/>
  </si>
  <si>
    <t>会社</t>
    <phoneticPr fontId="12"/>
  </si>
  <si>
    <t>在庫管理</t>
    <phoneticPr fontId="12"/>
  </si>
  <si>
    <t>品目番号</t>
    <phoneticPr fontId="12"/>
  </si>
  <si>
    <t>SEJ-ItemID</t>
    <phoneticPr fontId="12"/>
  </si>
  <si>
    <t>SSJ-LotID</t>
    <phoneticPr fontId="12"/>
  </si>
  <si>
    <t>定数</t>
    <phoneticPr fontId="12"/>
  </si>
  <si>
    <t>LotID</t>
    <phoneticPr fontId="12"/>
  </si>
  <si>
    <t>LotID#########</t>
    <phoneticPr fontId="12"/>
  </si>
  <si>
    <t>ロット ID</t>
  </si>
  <si>
    <t>SEJ-LotID</t>
    <phoneticPr fontId="12"/>
  </si>
  <si>
    <t>SSJ-SOR</t>
    <phoneticPr fontId="12"/>
  </si>
  <si>
    <t>SOR</t>
    <phoneticPr fontId="12"/>
  </si>
  <si>
    <t>SOR#########</t>
    <phoneticPr fontId="12"/>
  </si>
  <si>
    <t>販売</t>
    <phoneticPr fontId="12"/>
  </si>
  <si>
    <t>販売注文</t>
    <phoneticPr fontId="12"/>
  </si>
  <si>
    <t>SEJ-SOR</t>
    <phoneticPr fontId="12"/>
  </si>
  <si>
    <t>SSJ-SIV</t>
    <phoneticPr fontId="12"/>
  </si>
  <si>
    <t>SIV</t>
    <phoneticPr fontId="12"/>
  </si>
  <si>
    <t>SIV#########</t>
    <phoneticPr fontId="12"/>
  </si>
  <si>
    <t>顧客請求書</t>
    <phoneticPr fontId="12"/>
  </si>
  <si>
    <t>SEJ-SIV</t>
    <phoneticPr fontId="12"/>
  </si>
  <si>
    <t>SSJ-SIVVo</t>
    <phoneticPr fontId="12"/>
  </si>
  <si>
    <t>SIVVo</t>
    <phoneticPr fontId="12"/>
  </si>
  <si>
    <t>SIVVo#########</t>
    <phoneticPr fontId="12"/>
  </si>
  <si>
    <t>顧客請求書伝票</t>
    <phoneticPr fontId="12"/>
  </si>
  <si>
    <t>SEJ-SIVVo</t>
    <phoneticPr fontId="12"/>
  </si>
  <si>
    <t>SSJ-SIR</t>
    <phoneticPr fontId="12"/>
  </si>
  <si>
    <t>SIR</t>
    <phoneticPr fontId="12"/>
  </si>
  <si>
    <t>SIR#########</t>
    <phoneticPr fontId="12"/>
  </si>
  <si>
    <t>売上訂正票</t>
    <phoneticPr fontId="12"/>
  </si>
  <si>
    <t>SEJ-SIR</t>
    <phoneticPr fontId="12"/>
  </si>
  <si>
    <t>SSJ-SIRVo</t>
    <phoneticPr fontId="12"/>
  </si>
  <si>
    <t>SIRVo</t>
    <phoneticPr fontId="12"/>
  </si>
  <si>
    <t>SIRVo#########</t>
    <phoneticPr fontId="12"/>
  </si>
  <si>
    <t>売上貸方伝票</t>
    <phoneticPr fontId="12"/>
  </si>
  <si>
    <t>SEJ-SIRVo</t>
    <phoneticPr fontId="12"/>
  </si>
  <si>
    <t>MIGFAA_SSJ</t>
    <phoneticPr fontId="12"/>
  </si>
  <si>
    <t>【システム使用】固定資産残高移行用</t>
    <phoneticPr fontId="12"/>
  </si>
  <si>
    <t>MIGFFA</t>
    <phoneticPr fontId="12"/>
  </si>
  <si>
    <t>MIGFFA#########</t>
    <phoneticPr fontId="12"/>
  </si>
  <si>
    <t>MIGFAA_SEJ</t>
    <phoneticPr fontId="12"/>
  </si>
  <si>
    <t>MIGFAA_SLJ</t>
    <phoneticPr fontId="12"/>
  </si>
  <si>
    <t>APInvIFSEJ</t>
    <phoneticPr fontId="12"/>
  </si>
  <si>
    <t>IF用（請求仕訳帳）</t>
    <phoneticPr fontId="12"/>
  </si>
  <si>
    <t>SEJ</t>
  </si>
  <si>
    <t>APINIF</t>
    <phoneticPr fontId="12"/>
  </si>
  <si>
    <t>APINIF##########</t>
    <phoneticPr fontId="12"/>
  </si>
  <si>
    <t>##########</t>
  </si>
  <si>
    <t>APInvIFSLJ</t>
    <phoneticPr fontId="12"/>
  </si>
  <si>
    <t>SLJ</t>
  </si>
  <si>
    <t>APInvIFSSJ</t>
    <phoneticPr fontId="12"/>
  </si>
  <si>
    <t>SSJ</t>
  </si>
  <si>
    <t>APPM_SEJ</t>
    <phoneticPr fontId="12"/>
  </si>
  <si>
    <t>仕入先出金</t>
    <phoneticPr fontId="12"/>
  </si>
  <si>
    <t>APPM</t>
    <phoneticPr fontId="12"/>
  </si>
  <si>
    <t>APPM##########</t>
    <phoneticPr fontId="12"/>
  </si>
  <si>
    <t>はい</t>
  </si>
  <si>
    <t>APPM_SLJ</t>
    <phoneticPr fontId="12"/>
  </si>
  <si>
    <t>APPM_SSJ</t>
    <phoneticPr fontId="12"/>
  </si>
  <si>
    <t>APT_SEJ</t>
    <phoneticPr fontId="12"/>
  </si>
  <si>
    <t>支払伝票(債務)</t>
    <phoneticPr fontId="12"/>
  </si>
  <si>
    <t>APT</t>
    <phoneticPr fontId="12"/>
  </si>
  <si>
    <t>APT##########</t>
    <phoneticPr fontId="12"/>
  </si>
  <si>
    <t>APT_SLJ</t>
    <phoneticPr fontId="12"/>
  </si>
  <si>
    <t>APT_SSJ</t>
    <phoneticPr fontId="12"/>
  </si>
  <si>
    <t>ARPM_SEJ</t>
    <phoneticPr fontId="12"/>
  </si>
  <si>
    <t>顧客支払</t>
    <phoneticPr fontId="12"/>
  </si>
  <si>
    <t>ARPM</t>
    <phoneticPr fontId="12"/>
  </si>
  <si>
    <t>ARPM##########</t>
    <phoneticPr fontId="12"/>
  </si>
  <si>
    <t>ARPM_SLJ</t>
    <phoneticPr fontId="12"/>
  </si>
  <si>
    <t>ARPM_SSJ</t>
    <phoneticPr fontId="12"/>
  </si>
  <si>
    <t>ART_SEJ</t>
    <phoneticPr fontId="12"/>
  </si>
  <si>
    <t>支払伝票(債権)</t>
    <phoneticPr fontId="12"/>
  </si>
  <si>
    <t>ART</t>
    <phoneticPr fontId="12"/>
  </si>
  <si>
    <t>ART##########</t>
    <phoneticPr fontId="12"/>
  </si>
  <si>
    <t>ART_SLJ</t>
    <phoneticPr fontId="12"/>
  </si>
  <si>
    <t>ART_SSJ</t>
    <phoneticPr fontId="12"/>
  </si>
  <si>
    <t>As101_SEJ</t>
    <phoneticPr fontId="12"/>
  </si>
  <si>
    <t>固定資産101_SEJ</t>
    <phoneticPr fontId="12"/>
  </si>
  <si>
    <t>-</t>
    <phoneticPr fontId="34"/>
  </si>
  <si>
    <t>定数</t>
  </si>
  <si>
    <t>101</t>
    <phoneticPr fontId="12"/>
  </si>
  <si>
    <t>10111#####-00</t>
    <phoneticPr fontId="12"/>
  </si>
  <si>
    <t>いいえ</t>
    <phoneticPr fontId="34"/>
  </si>
  <si>
    <t>11</t>
    <phoneticPr fontId="34"/>
  </si>
  <si>
    <t>#####</t>
    <phoneticPr fontId="34"/>
  </si>
  <si>
    <t>-00</t>
    <phoneticPr fontId="34"/>
  </si>
  <si>
    <t>As101_SLJ</t>
    <phoneticPr fontId="12"/>
  </si>
  <si>
    <t>固定資産101_SLJ</t>
    <phoneticPr fontId="12"/>
  </si>
  <si>
    <t>10122#####-00</t>
    <phoneticPr fontId="12"/>
  </si>
  <si>
    <t>22</t>
    <phoneticPr fontId="34"/>
  </si>
  <si>
    <t>As101_SSJ</t>
    <phoneticPr fontId="12"/>
  </si>
  <si>
    <t>固定資産101_SSJ</t>
    <phoneticPr fontId="12"/>
  </si>
  <si>
    <t>10100#####-00</t>
    <phoneticPr fontId="12"/>
  </si>
  <si>
    <t>00</t>
    <phoneticPr fontId="34"/>
  </si>
  <si>
    <t>As102_SEJ</t>
    <phoneticPr fontId="12"/>
  </si>
  <si>
    <t>固定資産102_SEJ</t>
    <phoneticPr fontId="12"/>
  </si>
  <si>
    <t>102</t>
    <phoneticPr fontId="12"/>
  </si>
  <si>
    <t>10211#####-00</t>
    <phoneticPr fontId="12"/>
  </si>
  <si>
    <t>As102_SLJ</t>
    <phoneticPr fontId="12"/>
  </si>
  <si>
    <t>固定資産102_SLJ</t>
    <phoneticPr fontId="12"/>
  </si>
  <si>
    <t>10222#####-00</t>
    <phoneticPr fontId="12"/>
  </si>
  <si>
    <t>As102_SSJ</t>
    <phoneticPr fontId="12"/>
  </si>
  <si>
    <t>固定資産102_SSJ</t>
    <phoneticPr fontId="12"/>
  </si>
  <si>
    <t>10200#####-00</t>
    <phoneticPr fontId="12"/>
  </si>
  <si>
    <t>As103_SEJ</t>
    <phoneticPr fontId="12"/>
  </si>
  <si>
    <t>固定資産103_SEJ</t>
    <phoneticPr fontId="12"/>
  </si>
  <si>
    <t>103</t>
    <phoneticPr fontId="12"/>
  </si>
  <si>
    <t>10311#####-00</t>
    <phoneticPr fontId="12"/>
  </si>
  <si>
    <t>As103_SLJ</t>
    <phoneticPr fontId="12"/>
  </si>
  <si>
    <t>固定資産103_SLJ</t>
    <phoneticPr fontId="12"/>
  </si>
  <si>
    <t>10322#####-00</t>
    <phoneticPr fontId="12"/>
  </si>
  <si>
    <t>As103_SSJ</t>
    <phoneticPr fontId="12"/>
  </si>
  <si>
    <t>固定資産103_SSJ</t>
    <phoneticPr fontId="12"/>
  </si>
  <si>
    <t>10300#####-00</t>
    <phoneticPr fontId="12"/>
  </si>
  <si>
    <t>As104_SEJ</t>
    <phoneticPr fontId="12"/>
  </si>
  <si>
    <t>固定資産104_SEJ</t>
    <phoneticPr fontId="12"/>
  </si>
  <si>
    <t>104</t>
    <phoneticPr fontId="12"/>
  </si>
  <si>
    <t>10411#####-00</t>
    <phoneticPr fontId="12"/>
  </si>
  <si>
    <t>As104_SLJ</t>
    <phoneticPr fontId="12"/>
  </si>
  <si>
    <t>固定資産104_SLJ</t>
    <phoneticPr fontId="12"/>
  </si>
  <si>
    <t>10422#####-00</t>
    <phoneticPr fontId="12"/>
  </si>
  <si>
    <t>As104_SSJ</t>
    <phoneticPr fontId="12"/>
  </si>
  <si>
    <t>固定資産104_SSJ</t>
    <phoneticPr fontId="12"/>
  </si>
  <si>
    <t>10400#####-00</t>
    <phoneticPr fontId="12"/>
  </si>
  <si>
    <t>As105_SEJ</t>
    <phoneticPr fontId="12"/>
  </si>
  <si>
    <t>固定資産105_SEJ</t>
    <phoneticPr fontId="12"/>
  </si>
  <si>
    <t>105</t>
    <phoneticPr fontId="12"/>
  </si>
  <si>
    <t>10511#####-00</t>
    <phoneticPr fontId="12"/>
  </si>
  <si>
    <t>11</t>
  </si>
  <si>
    <t>#####</t>
  </si>
  <si>
    <t>-00</t>
  </si>
  <si>
    <t>As105_SLJ</t>
    <phoneticPr fontId="12"/>
  </si>
  <si>
    <t>固定資産105_SLJ</t>
    <phoneticPr fontId="12"/>
  </si>
  <si>
    <t>10522#####-00</t>
    <phoneticPr fontId="12"/>
  </si>
  <si>
    <t>As105_SSJ</t>
    <phoneticPr fontId="12"/>
  </si>
  <si>
    <t>固定資産105_SSJ</t>
    <phoneticPr fontId="12"/>
  </si>
  <si>
    <t>105</t>
  </si>
  <si>
    <t>10500#####-00</t>
    <phoneticPr fontId="12"/>
  </si>
  <si>
    <t>00</t>
  </si>
  <si>
    <t>As106_SEJ</t>
    <phoneticPr fontId="12"/>
  </si>
  <si>
    <t>固定資産106_SEJ</t>
    <phoneticPr fontId="12"/>
  </si>
  <si>
    <t>106</t>
  </si>
  <si>
    <t>10611#####-00</t>
    <phoneticPr fontId="12"/>
  </si>
  <si>
    <t>As106_SLJ</t>
    <phoneticPr fontId="12"/>
  </si>
  <si>
    <t>固定資産106_SLJ</t>
    <phoneticPr fontId="12"/>
  </si>
  <si>
    <t>10622#####-00</t>
    <phoneticPr fontId="12"/>
  </si>
  <si>
    <t>22</t>
  </si>
  <si>
    <t>As106_SSJ</t>
    <phoneticPr fontId="12"/>
  </si>
  <si>
    <t>固定資産106_SSJ</t>
    <phoneticPr fontId="12"/>
  </si>
  <si>
    <t>10600#####-00</t>
    <phoneticPr fontId="12"/>
  </si>
  <si>
    <t>As107_SEJ</t>
    <phoneticPr fontId="12"/>
  </si>
  <si>
    <t>固定資産107_SEJ</t>
    <phoneticPr fontId="12"/>
  </si>
  <si>
    <t>107</t>
  </si>
  <si>
    <t>10711#####-00</t>
    <phoneticPr fontId="12"/>
  </si>
  <si>
    <t>As107_SLJ</t>
    <phoneticPr fontId="12"/>
  </si>
  <si>
    <t>固定資産107_SLJ</t>
    <phoneticPr fontId="12"/>
  </si>
  <si>
    <t>10722#####-00</t>
    <phoneticPr fontId="12"/>
  </si>
  <si>
    <t>As107_SSJ</t>
    <phoneticPr fontId="12"/>
  </si>
  <si>
    <t>固定資産107_SSJ</t>
    <phoneticPr fontId="12"/>
  </si>
  <si>
    <t>10700#####-00</t>
    <phoneticPr fontId="12"/>
  </si>
  <si>
    <t>As108_SEJ</t>
    <phoneticPr fontId="12"/>
  </si>
  <si>
    <t>固定資産108_SEJ</t>
    <phoneticPr fontId="12"/>
  </si>
  <si>
    <t>108</t>
  </si>
  <si>
    <t>10811#####-00</t>
    <phoneticPr fontId="12"/>
  </si>
  <si>
    <t>As108_SLJ</t>
    <phoneticPr fontId="12"/>
  </si>
  <si>
    <t>固定資産108_SLJ</t>
    <phoneticPr fontId="12"/>
  </si>
  <si>
    <t>10822#####-00</t>
    <phoneticPr fontId="12"/>
  </si>
  <si>
    <t>As108_SSJ</t>
    <phoneticPr fontId="12"/>
  </si>
  <si>
    <t>固定資産108_SSJ</t>
    <phoneticPr fontId="12"/>
  </si>
  <si>
    <t>10800#####-00</t>
    <phoneticPr fontId="12"/>
  </si>
  <si>
    <t>As109_SEJ</t>
    <phoneticPr fontId="12"/>
  </si>
  <si>
    <t>固定資産109_SEJ</t>
    <phoneticPr fontId="12"/>
  </si>
  <si>
    <t>109</t>
  </si>
  <si>
    <t>10911#####-00</t>
    <phoneticPr fontId="12"/>
  </si>
  <si>
    <t>As109_SLJ</t>
    <phoneticPr fontId="12"/>
  </si>
  <si>
    <t>固定資産109_SLJ</t>
    <phoneticPr fontId="12"/>
  </si>
  <si>
    <t>10922#####-00</t>
    <phoneticPr fontId="12"/>
  </si>
  <si>
    <t>As109_SSJ</t>
    <phoneticPr fontId="12"/>
  </si>
  <si>
    <t>固定資産109_SSJ</t>
    <phoneticPr fontId="12"/>
  </si>
  <si>
    <t>10900#####-00</t>
    <phoneticPr fontId="12"/>
  </si>
  <si>
    <t>As201_SEJ</t>
    <phoneticPr fontId="12"/>
  </si>
  <si>
    <t>固定資産201_SEJ</t>
    <phoneticPr fontId="12"/>
  </si>
  <si>
    <t>201</t>
  </si>
  <si>
    <t>20111#####-00</t>
    <phoneticPr fontId="12"/>
  </si>
  <si>
    <t>As201_SLJ</t>
    <phoneticPr fontId="12"/>
  </si>
  <si>
    <t>固定資産201_SLJ</t>
    <phoneticPr fontId="12"/>
  </si>
  <si>
    <t>20122#####-00</t>
    <phoneticPr fontId="12"/>
  </si>
  <si>
    <t>As201_SSJ</t>
    <phoneticPr fontId="12"/>
  </si>
  <si>
    <t>固定資産201_SSJ</t>
    <phoneticPr fontId="12"/>
  </si>
  <si>
    <t>20100#####-00</t>
    <phoneticPr fontId="12"/>
  </si>
  <si>
    <t>As202_SEJ</t>
    <phoneticPr fontId="12"/>
  </si>
  <si>
    <t>固定資産202_SEJ</t>
    <phoneticPr fontId="12"/>
  </si>
  <si>
    <t>202</t>
  </si>
  <si>
    <t>20211#####-00</t>
    <phoneticPr fontId="12"/>
  </si>
  <si>
    <t>As202_SLJ</t>
    <phoneticPr fontId="12"/>
  </si>
  <si>
    <t>固定資産202_SLJ</t>
    <phoneticPr fontId="12"/>
  </si>
  <si>
    <t>20222#####-00</t>
    <phoneticPr fontId="12"/>
  </si>
  <si>
    <t>As202_SSJ</t>
    <phoneticPr fontId="12"/>
  </si>
  <si>
    <t>固定資産202_SSJ</t>
    <phoneticPr fontId="12"/>
  </si>
  <si>
    <t>20200#####-00</t>
    <phoneticPr fontId="12"/>
  </si>
  <si>
    <t>As203_SEJ</t>
    <phoneticPr fontId="12"/>
  </si>
  <si>
    <t>固定資産203_SEJ</t>
    <phoneticPr fontId="12"/>
  </si>
  <si>
    <t>203</t>
  </si>
  <si>
    <t>20311#####-00</t>
    <phoneticPr fontId="12"/>
  </si>
  <si>
    <t>As203_SLJ</t>
    <phoneticPr fontId="12"/>
  </si>
  <si>
    <t>固定資産203_SLJ</t>
    <phoneticPr fontId="12"/>
  </si>
  <si>
    <t>20322#####-00</t>
    <phoneticPr fontId="12"/>
  </si>
  <si>
    <t>As203_SSJ</t>
    <phoneticPr fontId="12"/>
  </si>
  <si>
    <t>固定資産203_SSJ</t>
    <phoneticPr fontId="12"/>
  </si>
  <si>
    <t>20300#####-00</t>
    <phoneticPr fontId="12"/>
  </si>
  <si>
    <t>As204_SEJ</t>
    <phoneticPr fontId="12"/>
  </si>
  <si>
    <t>固定資産204_SEJ</t>
    <phoneticPr fontId="12"/>
  </si>
  <si>
    <t>204</t>
  </si>
  <si>
    <t>20411#####-00</t>
    <phoneticPr fontId="12"/>
  </si>
  <si>
    <t>As204_SLJ</t>
    <phoneticPr fontId="12"/>
  </si>
  <si>
    <t>固定資産204_SLJ</t>
    <phoneticPr fontId="12"/>
  </si>
  <si>
    <t>20422#####-00</t>
    <phoneticPr fontId="12"/>
  </si>
  <si>
    <t>As204_SSJ</t>
    <phoneticPr fontId="12"/>
  </si>
  <si>
    <t>固定資産204_SSJ</t>
    <phoneticPr fontId="12"/>
  </si>
  <si>
    <t>20400#####-00</t>
    <phoneticPr fontId="12"/>
  </si>
  <si>
    <t>As205_SEJ</t>
    <phoneticPr fontId="12"/>
  </si>
  <si>
    <t>固定資産205_SEJ</t>
    <phoneticPr fontId="12"/>
  </si>
  <si>
    <t>205</t>
  </si>
  <si>
    <t>20511#####-00</t>
    <phoneticPr fontId="12"/>
  </si>
  <si>
    <t>As205_SLJ</t>
    <phoneticPr fontId="12"/>
  </si>
  <si>
    <t>固定資産205_SLJ</t>
    <phoneticPr fontId="12"/>
  </si>
  <si>
    <t>20522#####-00</t>
    <phoneticPr fontId="12"/>
  </si>
  <si>
    <t>As205_SSJ</t>
    <phoneticPr fontId="12"/>
  </si>
  <si>
    <t>固定資産205_SSJ</t>
    <phoneticPr fontId="12"/>
  </si>
  <si>
    <t>20500#####-00</t>
    <phoneticPr fontId="12"/>
  </si>
  <si>
    <t>As206_SEJ</t>
    <phoneticPr fontId="12"/>
  </si>
  <si>
    <t>固定資産206_SEJ</t>
    <phoneticPr fontId="12"/>
  </si>
  <si>
    <t>206</t>
  </si>
  <si>
    <t>20611#####-00</t>
    <phoneticPr fontId="12"/>
  </si>
  <si>
    <t>As206_SLJ</t>
    <phoneticPr fontId="12"/>
  </si>
  <si>
    <t>固定資産206_SLJ</t>
    <phoneticPr fontId="12"/>
  </si>
  <si>
    <t>20622#####-00</t>
    <phoneticPr fontId="12"/>
  </si>
  <si>
    <t>As206_SSJ</t>
    <phoneticPr fontId="12"/>
  </si>
  <si>
    <t>固定資産206_SSJ</t>
    <phoneticPr fontId="12"/>
  </si>
  <si>
    <t>20600#####-00</t>
    <phoneticPr fontId="12"/>
  </si>
  <si>
    <t>As401_SEJ</t>
    <phoneticPr fontId="12"/>
  </si>
  <si>
    <t>固定資産401_SEJ</t>
    <phoneticPr fontId="12"/>
  </si>
  <si>
    <t>401</t>
  </si>
  <si>
    <t>40111#####-00</t>
    <phoneticPr fontId="12"/>
  </si>
  <si>
    <t>As401_SLJ</t>
    <phoneticPr fontId="12"/>
  </si>
  <si>
    <t>固定資産401_SLJ</t>
    <phoneticPr fontId="12"/>
  </si>
  <si>
    <t>40122#####-00</t>
    <phoneticPr fontId="12"/>
  </si>
  <si>
    <t>As401_SSJ</t>
    <phoneticPr fontId="12"/>
  </si>
  <si>
    <t>固定資産401_SSJ</t>
    <phoneticPr fontId="12"/>
  </si>
  <si>
    <t>40100#####-00</t>
    <phoneticPr fontId="12"/>
  </si>
  <si>
    <t>As403_SEJ</t>
    <phoneticPr fontId="12"/>
  </si>
  <si>
    <t>固定資産403_SEJ</t>
    <phoneticPr fontId="12"/>
  </si>
  <si>
    <t>403</t>
  </si>
  <si>
    <t>40311#####-00</t>
    <phoneticPr fontId="12"/>
  </si>
  <si>
    <t>As403_SLJ</t>
    <phoneticPr fontId="12"/>
  </si>
  <si>
    <t>固定資産403_SLJ</t>
    <phoneticPr fontId="12"/>
  </si>
  <si>
    <t>40322#####-00</t>
    <phoneticPr fontId="12"/>
  </si>
  <si>
    <t>As403_SSJ</t>
    <phoneticPr fontId="12"/>
  </si>
  <si>
    <t>固定資産403_SSJ</t>
    <phoneticPr fontId="12"/>
  </si>
  <si>
    <t>40300#####-00</t>
    <phoneticPr fontId="12"/>
  </si>
  <si>
    <t>As405_SEJ</t>
    <phoneticPr fontId="12"/>
  </si>
  <si>
    <t>固定資産405_SEJ</t>
    <phoneticPr fontId="12"/>
  </si>
  <si>
    <t>405</t>
  </si>
  <si>
    <t>40511#####-00</t>
    <phoneticPr fontId="12"/>
  </si>
  <si>
    <t>As405_SLJ</t>
    <phoneticPr fontId="12"/>
  </si>
  <si>
    <t>固定資産405_SLJ</t>
    <phoneticPr fontId="12"/>
  </si>
  <si>
    <t>40522#####-00</t>
    <phoneticPr fontId="12"/>
  </si>
  <si>
    <t>As405_SSJ</t>
    <phoneticPr fontId="12"/>
  </si>
  <si>
    <t>固定資産405_SSJ</t>
    <phoneticPr fontId="12"/>
  </si>
  <si>
    <t>40500#####-00</t>
    <phoneticPr fontId="12"/>
  </si>
  <si>
    <t>EXAP_SEJ</t>
    <phoneticPr fontId="12"/>
  </si>
  <si>
    <t>外貨再評価（AP）</t>
    <phoneticPr fontId="12"/>
  </si>
  <si>
    <t>EXAP</t>
  </si>
  <si>
    <t>EXAP##########</t>
    <phoneticPr fontId="12"/>
  </si>
  <si>
    <t>EXAP_SLJ</t>
    <phoneticPr fontId="12"/>
  </si>
  <si>
    <t>EXAP_SSJ</t>
    <phoneticPr fontId="12"/>
  </si>
  <si>
    <t>EXAR_SEJ</t>
    <phoneticPr fontId="12"/>
  </si>
  <si>
    <t>外貨再評価（AR）</t>
    <phoneticPr fontId="12"/>
  </si>
  <si>
    <t>EXAR</t>
  </si>
  <si>
    <t>EXAR##########</t>
    <phoneticPr fontId="12"/>
  </si>
  <si>
    <t>EXAR_SLJ</t>
    <phoneticPr fontId="12"/>
  </si>
  <si>
    <t>EXAR_SSJ</t>
    <phoneticPr fontId="12"/>
  </si>
  <si>
    <t>EXGL_SEJ</t>
    <phoneticPr fontId="12"/>
  </si>
  <si>
    <t>外貨再評価（GL）</t>
    <phoneticPr fontId="12"/>
  </si>
  <si>
    <t>EXGL</t>
  </si>
  <si>
    <t>EXGL##########</t>
    <phoneticPr fontId="12"/>
  </si>
  <si>
    <t>EXGL_SLJ</t>
    <phoneticPr fontId="12"/>
  </si>
  <si>
    <t>EXGL_SSJ</t>
    <phoneticPr fontId="12"/>
  </si>
  <si>
    <t>FALE_SEJ</t>
    <phoneticPr fontId="12"/>
  </si>
  <si>
    <t>リース仕訳帳</t>
    <phoneticPr fontId="12"/>
  </si>
  <si>
    <t>FALE</t>
  </si>
  <si>
    <t>FALE##########</t>
    <phoneticPr fontId="12"/>
  </si>
  <si>
    <t>FALE_SLJ</t>
    <phoneticPr fontId="12"/>
  </si>
  <si>
    <t>FALE_SSJ</t>
    <phoneticPr fontId="12"/>
  </si>
  <si>
    <t>FALV_SEJ</t>
    <phoneticPr fontId="12"/>
  </si>
  <si>
    <t>固定資産仕訳帳</t>
    <phoneticPr fontId="12"/>
  </si>
  <si>
    <t>FALV</t>
  </si>
  <si>
    <t>FALV##########</t>
    <phoneticPr fontId="12"/>
  </si>
  <si>
    <t>FALV_SLJ</t>
    <phoneticPr fontId="12"/>
  </si>
  <si>
    <t>FALV_SSJ</t>
    <phoneticPr fontId="12"/>
  </si>
  <si>
    <t>GenJrn_SEJ</t>
    <phoneticPr fontId="12"/>
  </si>
  <si>
    <t>決算伝票・総勘定元帳用</t>
    <phoneticPr fontId="12"/>
  </si>
  <si>
    <t>GNJL</t>
  </si>
  <si>
    <t>GNJL##########</t>
    <phoneticPr fontId="12"/>
  </si>
  <si>
    <t>GenJrn_SLJ</t>
    <phoneticPr fontId="12"/>
  </si>
  <si>
    <t>GenJrn_SSJ</t>
    <phoneticPr fontId="12"/>
  </si>
  <si>
    <t>GNJLIF_SEJ</t>
    <phoneticPr fontId="12"/>
  </si>
  <si>
    <t>IF用（一般仕訳帳）</t>
    <phoneticPr fontId="12"/>
  </si>
  <si>
    <t>GNJLIF</t>
  </si>
  <si>
    <t>GNJLIF##########</t>
    <phoneticPr fontId="12"/>
  </si>
  <si>
    <t>はい</t>
    <phoneticPr fontId="34"/>
  </si>
  <si>
    <t>GNJLIF_SLJ</t>
    <phoneticPr fontId="12"/>
  </si>
  <si>
    <t>GNJLIF_SSJ</t>
    <phoneticPr fontId="12"/>
  </si>
  <si>
    <t>ICJL_SEJ</t>
    <phoneticPr fontId="12"/>
  </si>
  <si>
    <t>会社間仕訳帳</t>
    <phoneticPr fontId="12"/>
  </si>
  <si>
    <t>ICJL</t>
  </si>
  <si>
    <t>ICJL##########</t>
    <phoneticPr fontId="12"/>
  </si>
  <si>
    <t>ICJL_SLJ</t>
    <phoneticPr fontId="12"/>
  </si>
  <si>
    <t>ICJL_SSJ</t>
    <phoneticPr fontId="12"/>
  </si>
  <si>
    <t>MIG_SEJ</t>
    <phoneticPr fontId="12"/>
  </si>
  <si>
    <t>【システム使用】残高移行用</t>
    <phoneticPr fontId="12"/>
  </si>
  <si>
    <t>MIG</t>
  </si>
  <si>
    <t>MIG##########</t>
    <phoneticPr fontId="12"/>
  </si>
  <si>
    <t>MIG_SLJ</t>
    <phoneticPr fontId="12"/>
  </si>
  <si>
    <t>MIG_SSJ</t>
    <phoneticPr fontId="12"/>
  </si>
  <si>
    <t>MIGFFA_SEJ</t>
    <phoneticPr fontId="12"/>
  </si>
  <si>
    <t>MIGFFA</t>
  </si>
  <si>
    <t>#########</t>
  </si>
  <si>
    <t>MIGFFA_SLJ</t>
    <phoneticPr fontId="12"/>
  </si>
  <si>
    <t>MIGFFA_SSJ</t>
    <phoneticPr fontId="12"/>
  </si>
  <si>
    <t>NET_SEJ</t>
    <phoneticPr fontId="12"/>
  </si>
  <si>
    <t>相殺契約仕訳帳</t>
    <phoneticPr fontId="12"/>
  </si>
  <si>
    <t>NET</t>
  </si>
  <si>
    <t>NET##########</t>
    <phoneticPr fontId="12"/>
  </si>
  <si>
    <t>NET_SLJ</t>
  </si>
  <si>
    <t>相殺契約仕訳帳</t>
  </si>
  <si>
    <t>会社</t>
    <rPh sb="0" eb="2">
      <t>カイシャ</t>
    </rPh>
    <phoneticPr fontId="34"/>
  </si>
  <si>
    <t>slj</t>
  </si>
  <si>
    <t>NET##########</t>
  </si>
  <si>
    <t>Yes</t>
  </si>
  <si>
    <t>NET_SLJ</t>
    <phoneticPr fontId="12"/>
  </si>
  <si>
    <t>NET_SSJ</t>
    <phoneticPr fontId="12"/>
  </si>
  <si>
    <t>REV_SEJ</t>
    <phoneticPr fontId="12"/>
  </si>
  <si>
    <t>トランザクションのリバース</t>
    <phoneticPr fontId="12"/>
  </si>
  <si>
    <t>REV</t>
  </si>
  <si>
    <t>REV##########</t>
    <phoneticPr fontId="12"/>
  </si>
  <si>
    <t>REV_SLJ</t>
    <phoneticPr fontId="12"/>
  </si>
  <si>
    <t>REV_SSJ</t>
    <phoneticPr fontId="12"/>
  </si>
  <si>
    <t>TR_SEJ</t>
    <phoneticPr fontId="12"/>
  </si>
  <si>
    <t>追跡番号</t>
    <phoneticPr fontId="12"/>
  </si>
  <si>
    <t>TR</t>
  </si>
  <si>
    <t>TR##########</t>
    <phoneticPr fontId="12"/>
  </si>
  <si>
    <t>TR_SLJ</t>
    <phoneticPr fontId="12"/>
  </si>
  <si>
    <t>TR_SSJ</t>
    <phoneticPr fontId="12"/>
  </si>
  <si>
    <t>VDRASEJ</t>
    <phoneticPr fontId="12"/>
  </si>
  <si>
    <t>支払手形　振出</t>
    <phoneticPr fontId="12"/>
  </si>
  <si>
    <t>VDRA</t>
  </si>
  <si>
    <t>VDRA##########</t>
    <phoneticPr fontId="12"/>
  </si>
  <si>
    <t>VDRASLJ</t>
    <phoneticPr fontId="12"/>
  </si>
  <si>
    <t>VDRASSJ</t>
    <phoneticPr fontId="12"/>
  </si>
  <si>
    <t>VSET_SEJ</t>
    <phoneticPr fontId="12"/>
  </si>
  <si>
    <t>支払手形　決済</t>
    <phoneticPr fontId="12"/>
  </si>
  <si>
    <t>VSET</t>
  </si>
  <si>
    <t>VSET##########</t>
    <phoneticPr fontId="12"/>
  </si>
  <si>
    <t>VSET_SLJ</t>
    <phoneticPr fontId="12"/>
  </si>
  <si>
    <t>VSET_SSJ</t>
    <phoneticPr fontId="12"/>
  </si>
  <si>
    <t>WD_SEJ</t>
    <phoneticPr fontId="12"/>
  </si>
  <si>
    <t>【システム使用】引落データ用</t>
    <phoneticPr fontId="12"/>
  </si>
  <si>
    <t>WD</t>
  </si>
  <si>
    <t>WD##########</t>
    <phoneticPr fontId="12"/>
  </si>
  <si>
    <t>WD_SLJ</t>
    <phoneticPr fontId="12"/>
  </si>
  <si>
    <t>WD_SSJ</t>
    <phoneticPr fontId="12"/>
  </si>
  <si>
    <t>人事管理_8</t>
    <phoneticPr fontId="12"/>
  </si>
  <si>
    <t>共有</t>
    <rPh sb="0" eb="2">
      <t>キョウユウ</t>
    </rPh>
    <phoneticPr fontId="34"/>
  </si>
  <si>
    <t>######</t>
    <phoneticPr fontId="34"/>
  </si>
  <si>
    <t>6</t>
    <phoneticPr fontId="34"/>
  </si>
  <si>
    <t>######</t>
    <phoneticPr fontId="12"/>
  </si>
  <si>
    <t>※並行稼働中のみ（~2025/12まで）</t>
  </si>
  <si>
    <t>AsSAP_SSJ</t>
  </si>
  <si>
    <t>固定資産_SSJ（並行稼働中）</t>
  </si>
  <si>
    <t>10</t>
  </si>
  <si>
    <t>##########-##</t>
  </si>
  <si>
    <t>1</t>
  </si>
  <si>
    <t>##</t>
  </si>
  <si>
    <t>2</t>
  </si>
  <si>
    <t>AsSAP_SEJ</t>
  </si>
  <si>
    <t>固定資産_SEJ（並行稼働中）</t>
  </si>
  <si>
    <t>AsSAP_SLJ</t>
  </si>
  <si>
    <t>固定資産_SLJ（並行稼働中）</t>
  </si>
  <si>
    <t>一般会計_44</t>
    <rPh sb="0" eb="4">
      <t>イッパンカイケイ</t>
    </rPh>
    <phoneticPr fontId="34"/>
  </si>
  <si>
    <t>SSJ</t>
    <phoneticPr fontId="34"/>
  </si>
  <si>
    <t>3</t>
    <phoneticPr fontId="34"/>
  </si>
  <si>
    <t>SSJ-########</t>
    <phoneticPr fontId="34"/>
  </si>
  <si>
    <t>########</t>
    <phoneticPr fontId="34"/>
  </si>
  <si>
    <t>8</t>
    <phoneticPr fontId="34"/>
  </si>
  <si>
    <t>一般会計_4</t>
    <rPh sb="0" eb="4">
      <t>イッパンカイケイ</t>
    </rPh>
    <phoneticPr fontId="34"/>
  </si>
  <si>
    <t>一般会計_2</t>
    <rPh sb="0" eb="4">
      <t>イッパンカイケイ</t>
    </rPh>
    <phoneticPr fontId="34"/>
  </si>
  <si>
    <t>SEJ</t>
    <phoneticPr fontId="34"/>
  </si>
  <si>
    <t>SEJ-########</t>
    <phoneticPr fontId="34"/>
  </si>
  <si>
    <t>一般会計_42</t>
    <rPh sb="0" eb="4">
      <t>イッパンカイケイ</t>
    </rPh>
    <phoneticPr fontId="34"/>
  </si>
  <si>
    <t>一般会計_3</t>
    <rPh sb="0" eb="4">
      <t>イッパンカイケイ</t>
    </rPh>
    <phoneticPr fontId="34"/>
  </si>
  <si>
    <t>SLJ</t>
    <phoneticPr fontId="34"/>
  </si>
  <si>
    <t>SLJ-########</t>
    <phoneticPr fontId="34"/>
  </si>
  <si>
    <t>一般会計_43</t>
    <rPh sb="0" eb="4">
      <t>イッパンカイケイ</t>
    </rPh>
    <phoneticPr fontId="34"/>
  </si>
  <si>
    <t>基本設定_15</t>
  </si>
  <si>
    <t>SEJ-########</t>
  </si>
  <si>
    <t>基本設定_17</t>
  </si>
  <si>
    <t>SSJ-########</t>
  </si>
  <si>
    <t>ドキュメント タイプ</t>
  </si>
  <si>
    <t>組織管理＞ドキュメント管理＞ドキュメント タイプ</t>
    <phoneticPr fontId="15"/>
  </si>
  <si>
    <t>Organization administration &gt; Document management &gt; Document types</t>
    <phoneticPr fontId="12"/>
  </si>
  <si>
    <t>「ドキュメント タイプ-設定値」を参照</t>
  </si>
  <si>
    <t>クラス</t>
    <phoneticPr fontId="12"/>
  </si>
  <si>
    <t>・URL の添付
・ファイルの添付
・簡易メモ</t>
    <phoneticPr fontId="12"/>
  </si>
  <si>
    <t>ファイルの添付</t>
    <phoneticPr fontId="12"/>
  </si>
  <si>
    <t>グループ</t>
    <phoneticPr fontId="12"/>
  </si>
  <si>
    <t>・注記
・ファイル
・画像
・文書
・ワークシート
・URL</t>
  </si>
  <si>
    <t>注記</t>
    <rPh sb="0" eb="2">
      <t>チュウキ</t>
    </rPh>
    <phoneticPr fontId="12"/>
  </si>
  <si>
    <t>カテゴリ</t>
    <phoneticPr fontId="12"/>
  </si>
  <si>
    <t>・なし
・詳細
・データ シート
・パンフレット
・カタログ
・図面
・契約
・Q＆A
・分析
・テクニカル
・ガイド
・管理
・メモ
・受入</t>
    <rPh sb="5" eb="7">
      <t>ショウサイ</t>
    </rPh>
    <rPh sb="32" eb="34">
      <t>ズメン</t>
    </rPh>
    <rPh sb="36" eb="38">
      <t>ケイヤク</t>
    </rPh>
    <rPh sb="45" eb="47">
      <t>ブンセキ</t>
    </rPh>
    <rPh sb="61" eb="63">
      <t>カンリ</t>
    </rPh>
    <rPh sb="69" eb="71">
      <t>ウケイレ</t>
    </rPh>
    <phoneticPr fontId="12"/>
  </si>
  <si>
    <t>なし</t>
    <phoneticPr fontId="12"/>
  </si>
  <si>
    <t>場所</t>
    <rPh sb="0" eb="2">
      <t>バショ</t>
    </rPh>
    <phoneticPr fontId="12"/>
  </si>
  <si>
    <t>・Azure Storage
・データベース
・SharePoint</t>
    <phoneticPr fontId="12"/>
  </si>
  <si>
    <t>SharePoint アドレス</t>
    <phoneticPr fontId="12"/>
  </si>
  <si>
    <t>ドキュメント削除オプション</t>
    <rPh sb="6" eb="8">
      <t>サクジョ</t>
    </rPh>
    <phoneticPr fontId="12"/>
  </si>
  <si>
    <t>・ドキュメントのみ
・ドキュメントと物理ファイル</t>
    <rPh sb="18" eb="20">
      <t>ブツリ</t>
    </rPh>
    <phoneticPr fontId="12"/>
  </si>
  <si>
    <t>ドキュメントと物理ファイル</t>
    <phoneticPr fontId="12"/>
  </si>
  <si>
    <t>確認の要求</t>
    <rPh sb="0" eb="2">
      <t>カクニン</t>
    </rPh>
    <rPh sb="3" eb="5">
      <t>ヨウキュウ</t>
    </rPh>
    <phoneticPr fontId="12"/>
  </si>
  <si>
    <t>ドキュメント タイプ-設定値</t>
  </si>
  <si>
    <t>タイプ</t>
  </si>
  <si>
    <t>クラス</t>
  </si>
  <si>
    <t>グループ</t>
  </si>
  <si>
    <t>カテゴリ</t>
  </si>
  <si>
    <t>SharePoint アドレス</t>
  </si>
  <si>
    <t>組織の電子メール テンプレート</t>
  </si>
  <si>
    <t>組織管理＞設定＞組織の電子メール テンプレート</t>
    <phoneticPr fontId="12"/>
  </si>
  <si>
    <t>Organization administration &gt; Setup &gt; Organization email templates</t>
    <phoneticPr fontId="12"/>
  </si>
  <si>
    <t>電子メール ID</t>
    <phoneticPr fontId="12"/>
  </si>
  <si>
    <t>WFEmail</t>
    <phoneticPr fontId="12"/>
  </si>
  <si>
    <t>電子メールの説明</t>
    <phoneticPr fontId="12"/>
  </si>
  <si>
    <t>Workflow Email Template</t>
  </si>
  <si>
    <t>送信者名</t>
    <phoneticPr fontId="12"/>
  </si>
  <si>
    <t>Email Sender</t>
  </si>
  <si>
    <t>送信者の電子メール</t>
    <phoneticPr fontId="12"/>
  </si>
  <si>
    <t>jp.d365.admin@jp.sunstar.com</t>
  </si>
  <si>
    <t>既定の言語コード</t>
    <rPh sb="0" eb="2">
      <t>キテイ</t>
    </rPh>
    <rPh sb="3" eb="5">
      <t>ゲンゴ</t>
    </rPh>
    <phoneticPr fontId="12"/>
  </si>
  <si>
    <t>（システム定義）</t>
    <rPh sb="5" eb="7">
      <t>テイギ</t>
    </rPh>
    <phoneticPr fontId="12"/>
  </si>
  <si>
    <t>ja</t>
  </si>
  <si>
    <t>優先順位</t>
    <rPh sb="0" eb="4">
      <t>ユウセンジュンイ</t>
    </rPh>
    <phoneticPr fontId="12"/>
  </si>
  <si>
    <t>・低
・標準
・高</t>
    <rPh sb="1" eb="2">
      <t>テイ</t>
    </rPh>
    <rPh sb="4" eb="6">
      <t>ヒョウジュン</t>
    </rPh>
    <rPh sb="8" eb="9">
      <t>コウ</t>
    </rPh>
    <phoneticPr fontId="12"/>
  </si>
  <si>
    <t>標準</t>
    <rPh sb="0" eb="2">
      <t>ヒョウジュン</t>
    </rPh>
    <phoneticPr fontId="12"/>
  </si>
  <si>
    <t>バッチ グループ</t>
    <phoneticPr fontId="12"/>
  </si>
  <si>
    <t>バッチグループ（ユーザー定義）</t>
    <rPh sb="12" eb="14">
      <t>テイギ</t>
    </rPh>
    <phoneticPr fontId="12"/>
  </si>
  <si>
    <t>電子メール メッセージのコンテンツ</t>
    <rPh sb="0" eb="2">
      <t>デンシ</t>
    </rPh>
    <phoneticPr fontId="12"/>
  </si>
  <si>
    <t>「組織の電子メール テンプレート-設定値」を参照</t>
    <rPh sb="22" eb="24">
      <t>サンショウ</t>
    </rPh>
    <phoneticPr fontId="12"/>
  </si>
  <si>
    <t>件名</t>
    <rPh sb="0" eb="2">
      <t>ケンメイ</t>
    </rPh>
    <phoneticPr fontId="12"/>
  </si>
  <si>
    <t>本文</t>
    <rPh sb="0" eb="2">
      <t>ホンブン</t>
    </rPh>
    <phoneticPr fontId="12"/>
  </si>
  <si>
    <t>チェック有/チェック無</t>
    <rPh sb="4" eb="5">
      <t>ア</t>
    </rPh>
    <rPh sb="10" eb="11">
      <t>ナ</t>
    </rPh>
    <phoneticPr fontId="12"/>
  </si>
  <si>
    <t>チェック無し</t>
    <rPh sb="4" eb="5">
      <t>ナ</t>
    </rPh>
    <phoneticPr fontId="12"/>
  </si>
  <si>
    <t>組織の電子メール テンプレート-設定値</t>
  </si>
  <si>
    <t>電子メール メッセージのコンテンツ</t>
    <phoneticPr fontId="12"/>
  </si>
  <si>
    <t>※システム定義</t>
    <rPh sb="5" eb="7">
      <t>テイギ</t>
    </rPh>
    <phoneticPr fontId="12"/>
  </si>
  <si>
    <t>%subject%</t>
  </si>
  <si>
    <t>チェック有</t>
    <rPh sb="4" eb="5">
      <t>ア</t>
    </rPh>
    <phoneticPr fontId="12"/>
  </si>
  <si>
    <t>組織管理＞設定＞カレンダー＞カレンダー</t>
    <rPh sb="5" eb="7">
      <t>セッテイ</t>
    </rPh>
    <phoneticPr fontId="12"/>
  </si>
  <si>
    <t>Organization administration &gt; Setup &gt; Calendars &gt; Working time calendars</t>
    <phoneticPr fontId="12"/>
  </si>
  <si>
    <t>カレンダー</t>
    <phoneticPr fontId="12"/>
  </si>
  <si>
    <t>「作業時間カレンダー-設定値」を参照</t>
    <rPh sb="1" eb="5">
      <t>サギョウジカン</t>
    </rPh>
    <rPh sb="16" eb="18">
      <t>サンショウ</t>
    </rPh>
    <phoneticPr fontId="12"/>
  </si>
  <si>
    <t>基準カレンダー</t>
    <rPh sb="0" eb="2">
      <t>キジュン</t>
    </rPh>
    <phoneticPr fontId="12"/>
  </si>
  <si>
    <t>カレンダー（ユーザー定義）</t>
    <rPh sb="10" eb="12">
      <t>テイギ</t>
    </rPh>
    <phoneticPr fontId="12"/>
  </si>
  <si>
    <t>標準作業日（時）</t>
    <rPh sb="0" eb="2">
      <t>ヒョウジュン</t>
    </rPh>
    <rPh sb="2" eb="5">
      <t>サギョウビ</t>
    </rPh>
    <rPh sb="6" eb="7">
      <t>トキ</t>
    </rPh>
    <phoneticPr fontId="12"/>
  </si>
  <si>
    <t>作業時間カレンダー-設定値</t>
    <rPh sb="0" eb="4">
      <t>サギョウジカン</t>
    </rPh>
    <phoneticPr fontId="12"/>
  </si>
  <si>
    <t>※作業時間カレンダー＞作業時間は、実設定値参照</t>
    <rPh sb="1" eb="5">
      <t>サギョウジカン</t>
    </rPh>
    <rPh sb="11" eb="15">
      <t>サギョウジカン</t>
    </rPh>
    <rPh sb="17" eb="20">
      <t>ジツセッテイ</t>
    </rPh>
    <rPh sb="20" eb="21">
      <t>チ</t>
    </rPh>
    <rPh sb="21" eb="23">
      <t>サンショウ</t>
    </rPh>
    <phoneticPr fontId="12"/>
  </si>
  <si>
    <t>WF用</t>
    <rPh sb="2" eb="3">
      <t>ヨウ</t>
    </rPh>
    <phoneticPr fontId="12"/>
  </si>
  <si>
    <t>組織管理＞設定＞カレンダー＞作業時間テンプレート</t>
    <rPh sb="5" eb="7">
      <t>セッテイ</t>
    </rPh>
    <rPh sb="14" eb="18">
      <t>サギョウジカン</t>
    </rPh>
    <phoneticPr fontId="12"/>
  </si>
  <si>
    <t>Organization administration &gt; Setup &gt; Calendars &gt; Working time templates</t>
    <phoneticPr fontId="12"/>
  </si>
  <si>
    <t>「作業時間テンプレート-設定値」を参照</t>
    <rPh sb="1" eb="5">
      <t>サギョウジカン</t>
    </rPh>
    <rPh sb="17" eb="19">
      <t>サンショウ</t>
    </rPh>
    <phoneticPr fontId="12"/>
  </si>
  <si>
    <t>月曜</t>
    <rPh sb="0" eb="2">
      <t>ゲツヨウ</t>
    </rPh>
    <phoneticPr fontId="12"/>
  </si>
  <si>
    <t>開始</t>
    <rPh sb="0" eb="2">
      <t>カイシ</t>
    </rPh>
    <phoneticPr fontId="12"/>
  </si>
  <si>
    <t>時刻</t>
    <rPh sb="0" eb="2">
      <t>ジコク</t>
    </rPh>
    <phoneticPr fontId="12"/>
  </si>
  <si>
    <t>終了</t>
    <rPh sb="0" eb="2">
      <t>シュウリョウ</t>
    </rPh>
    <phoneticPr fontId="12"/>
  </si>
  <si>
    <t>効率</t>
    <rPh sb="0" eb="2">
      <t>コウリツ</t>
    </rPh>
    <phoneticPr fontId="12"/>
  </si>
  <si>
    <t>プロパティ</t>
    <phoneticPr fontId="12"/>
  </si>
  <si>
    <t>プロパティ（ユーザー定義）</t>
    <rPh sb="10" eb="12">
      <t>テイギ</t>
    </rPh>
    <phoneticPr fontId="12"/>
  </si>
  <si>
    <t>火曜</t>
    <rPh sb="0" eb="2">
      <t>カヨウ</t>
    </rPh>
    <phoneticPr fontId="12"/>
  </si>
  <si>
    <t>水曜</t>
    <rPh sb="0" eb="2">
      <t>スイヨウ</t>
    </rPh>
    <phoneticPr fontId="12"/>
  </si>
  <si>
    <t>木曜</t>
    <rPh sb="0" eb="2">
      <t>モクヨウ</t>
    </rPh>
    <phoneticPr fontId="12"/>
  </si>
  <si>
    <t>金曜</t>
    <rPh sb="0" eb="2">
      <t>キンヨウ</t>
    </rPh>
    <phoneticPr fontId="12"/>
  </si>
  <si>
    <t>土曜</t>
    <rPh sb="0" eb="2">
      <t>ドヨウ</t>
    </rPh>
    <phoneticPr fontId="12"/>
  </si>
  <si>
    <t>日曜</t>
    <rPh sb="0" eb="2">
      <t>ニチヨウ</t>
    </rPh>
    <phoneticPr fontId="12"/>
  </si>
  <si>
    <t>作業時間テンプレート-設定値</t>
    <rPh sb="0" eb="4">
      <t>サギョウジカン</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</si>
</sst>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36">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000000"/>
      <name val="Meiryo UI"/>
      <family val="3"/>
      <charset val="128"/>
    </font>
    <font>
      <sz val="11"/>
      <color rgb="FFFA7D00"/>
      <name val="游ゴシック"/>
      <family val="2"/>
      <charset val="128"/>
      <scheme val="minor"/>
    </font>
    <font>
      <sz val="10"/>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2"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thin">
        <color theme="0"/>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s>
  <cellStyleXfs count="23">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9" fontId="23" fillId="0" borderId="0" applyFon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4"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25" fillId="0" borderId="0">
      <alignment vertical="center"/>
    </xf>
    <xf numFmtId="0" fontId="26"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299">
    <xf numFmtId="0" fontId="0" fillId="0" borderId="0" xfId="0">
      <alignment vertical="center"/>
    </xf>
    <xf numFmtId="0" fontId="19" fillId="7" borderId="1" xfId="0" applyFont="1" applyFill="1" applyBorder="1" applyAlignment="1" applyProtection="1">
      <alignment horizontal="left" vertical="top" wrapText="1"/>
      <protection locked="0"/>
    </xf>
    <xf numFmtId="0" fontId="19" fillId="7" borderId="1" xfId="0" applyFont="1" applyFill="1" applyBorder="1" applyAlignment="1" applyProtection="1">
      <alignment vertical="top" wrapText="1"/>
      <protection locked="0"/>
    </xf>
    <xf numFmtId="0" fontId="18" fillId="7" borderId="12" xfId="0" applyFont="1" applyFill="1" applyBorder="1" applyAlignment="1">
      <alignment vertical="top" wrapText="1"/>
    </xf>
    <xf numFmtId="0" fontId="18" fillId="7" borderId="1" xfId="0" applyFont="1" applyFill="1" applyBorder="1" applyAlignment="1">
      <alignment vertical="top" wrapText="1"/>
    </xf>
    <xf numFmtId="0" fontId="19" fillId="8" borderId="1" xfId="0" applyFont="1" applyFill="1" applyBorder="1" applyAlignment="1" applyProtection="1">
      <alignment horizontal="left" vertical="top" wrapText="1"/>
      <protection locked="0"/>
    </xf>
    <xf numFmtId="0" fontId="14" fillId="0" borderId="0" xfId="5" applyFont="1">
      <alignment vertical="center"/>
    </xf>
    <xf numFmtId="0" fontId="14" fillId="0" borderId="0" xfId="7" applyFont="1">
      <alignment vertical="center"/>
    </xf>
    <xf numFmtId="0" fontId="14" fillId="0" borderId="0" xfId="8" applyFont="1">
      <alignment vertical="center"/>
    </xf>
    <xf numFmtId="0" fontId="22" fillId="0" borderId="0" xfId="3" applyProtection="1">
      <alignment vertical="center"/>
    </xf>
    <xf numFmtId="0" fontId="21" fillId="4" borderId="1" xfId="0" applyFont="1" applyFill="1" applyBorder="1" applyAlignment="1">
      <alignment horizontal="center" vertical="top" wrapText="1"/>
    </xf>
    <xf numFmtId="0" fontId="21" fillId="4" borderId="10" xfId="0" applyFont="1" applyFill="1" applyBorder="1" applyAlignment="1">
      <alignment horizontal="center" vertical="top" wrapText="1"/>
    </xf>
    <xf numFmtId="0" fontId="21" fillId="6" borderId="1" xfId="0" applyFont="1" applyFill="1" applyBorder="1" applyAlignment="1">
      <alignment horizontal="center" vertical="top"/>
    </xf>
    <xf numFmtId="0" fontId="19" fillId="0" borderId="14" xfId="0" applyFont="1" applyBorder="1" applyAlignment="1">
      <alignment vertical="top"/>
    </xf>
    <xf numFmtId="0" fontId="19" fillId="0" borderId="10" xfId="0" applyFont="1" applyBorder="1" applyAlignment="1">
      <alignment vertical="top" wrapText="1"/>
    </xf>
    <xf numFmtId="0" fontId="19" fillId="0" borderId="1" xfId="0" applyFont="1" applyBorder="1" applyAlignment="1">
      <alignment vertical="top" wrapText="1"/>
    </xf>
    <xf numFmtId="0" fontId="19" fillId="7" borderId="1" xfId="0" applyFont="1" applyFill="1" applyBorder="1" applyAlignment="1">
      <alignment horizontal="left" vertical="top" wrapText="1"/>
    </xf>
    <xf numFmtId="0" fontId="19" fillId="0" borderId="9" xfId="0" applyFont="1" applyBorder="1" applyAlignment="1">
      <alignment vertical="top" wrapText="1"/>
    </xf>
    <xf numFmtId="0" fontId="21" fillId="4" borderId="1" xfId="0" applyFont="1" applyFill="1" applyBorder="1" applyAlignment="1">
      <alignment horizontal="center" vertical="top"/>
    </xf>
    <xf numFmtId="0" fontId="19" fillId="0" borderId="1" xfId="0" applyFont="1" applyBorder="1" applyAlignment="1">
      <alignment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9" fillId="7" borderId="1" xfId="0" applyFont="1" applyFill="1" applyBorder="1" applyAlignment="1">
      <alignment vertical="top" wrapText="1"/>
    </xf>
    <xf numFmtId="0" fontId="18" fillId="0" borderId="1" xfId="0" applyFont="1" applyBorder="1" applyAlignment="1">
      <alignment vertical="top" wrapText="1"/>
    </xf>
    <xf numFmtId="0" fontId="19" fillId="2" borderId="10" xfId="0" applyFont="1" applyFill="1" applyBorder="1" applyAlignment="1">
      <alignment vertical="top" wrapText="1"/>
    </xf>
    <xf numFmtId="0" fontId="18" fillId="2" borderId="1" xfId="0" applyFont="1" applyFill="1" applyBorder="1" applyAlignment="1">
      <alignment horizontal="left" vertical="top" wrapText="1"/>
    </xf>
    <xf numFmtId="0" fontId="19" fillId="2" borderId="1" xfId="0" applyFont="1" applyFill="1" applyBorder="1" applyAlignment="1">
      <alignment horizontal="left" vertical="top" wrapText="1"/>
    </xf>
    <xf numFmtId="0" fontId="19" fillId="2" borderId="11" xfId="0" applyFont="1" applyFill="1" applyBorder="1" applyAlignment="1">
      <alignment vertical="top" wrapText="1"/>
    </xf>
    <xf numFmtId="0" fontId="18" fillId="2" borderId="1" xfId="0" applyFont="1" applyFill="1" applyBorder="1" applyAlignment="1">
      <alignment vertical="top" wrapText="1"/>
    </xf>
    <xf numFmtId="0" fontId="19" fillId="2" borderId="1" xfId="0" applyFont="1" applyFill="1" applyBorder="1" applyAlignment="1">
      <alignment vertical="top" wrapText="1"/>
    </xf>
    <xf numFmtId="0" fontId="19" fillId="2" borderId="9" xfId="0" applyFont="1" applyFill="1" applyBorder="1" applyAlignment="1">
      <alignment vertical="top" wrapText="1"/>
    </xf>
    <xf numFmtId="0" fontId="19" fillId="2" borderId="10" xfId="0" applyFont="1" applyFill="1" applyBorder="1" applyAlignment="1">
      <alignment horizontal="left" vertical="top" wrapText="1"/>
    </xf>
    <xf numFmtId="0" fontId="19" fillId="2" borderId="11" xfId="0" applyFont="1" applyFill="1" applyBorder="1" applyAlignment="1">
      <alignment horizontal="left" vertical="top" wrapText="1"/>
    </xf>
    <xf numFmtId="0" fontId="19" fillId="2" borderId="1" xfId="0" quotePrefix="1" applyFont="1" applyFill="1" applyBorder="1" applyAlignment="1">
      <alignment horizontal="left" vertical="top" wrapText="1"/>
    </xf>
    <xf numFmtId="0" fontId="18" fillId="6" borderId="12" xfId="0" applyFont="1" applyFill="1" applyBorder="1" applyAlignment="1">
      <alignment vertical="top" wrapText="1"/>
    </xf>
    <xf numFmtId="0" fontId="19" fillId="0" borderId="5" xfId="0" applyFont="1" applyBorder="1" applyAlignment="1">
      <alignment vertical="top" wrapText="1"/>
    </xf>
    <xf numFmtId="0" fontId="19" fillId="0" borderId="6" xfId="0" applyFont="1" applyBorder="1" applyAlignment="1">
      <alignment vertical="top" wrapText="1"/>
    </xf>
    <xf numFmtId="0" fontId="19" fillId="0" borderId="1" xfId="0" applyFont="1" applyBorder="1" applyAlignment="1">
      <alignment horizontal="left" vertical="center" wrapText="1"/>
    </xf>
    <xf numFmtId="0" fontId="19" fillId="0" borderId="0" xfId="0" applyFont="1">
      <alignment vertical="center"/>
    </xf>
    <xf numFmtId="0" fontId="18" fillId="0" borderId="1" xfId="0" applyFont="1" applyBorder="1" applyAlignment="1">
      <alignment horizontal="left" vertical="center" wrapText="1"/>
    </xf>
    <xf numFmtId="0" fontId="19" fillId="0" borderId="0" xfId="0" applyFont="1" applyAlignment="1">
      <alignment horizontal="left" vertical="center"/>
    </xf>
    <xf numFmtId="0" fontId="21" fillId="4" borderId="1" xfId="0" applyFont="1" applyFill="1" applyBorder="1" applyAlignment="1">
      <alignment horizontal="center" vertical="center" wrapText="1"/>
    </xf>
    <xf numFmtId="0" fontId="0" fillId="0" borderId="0" xfId="0" applyAlignment="1">
      <alignment horizontal="left" vertical="center"/>
    </xf>
    <xf numFmtId="0" fontId="19" fillId="0" borderId="2" xfId="0" applyFont="1" applyBorder="1" applyAlignment="1">
      <alignment vertical="top" wrapText="1"/>
    </xf>
    <xf numFmtId="0" fontId="19" fillId="5" borderId="1" xfId="0" applyFont="1" applyFill="1" applyBorder="1" applyAlignment="1">
      <alignment horizontal="left" vertical="top" wrapText="1"/>
    </xf>
    <xf numFmtId="0" fontId="18" fillId="2" borderId="10" xfId="0" applyFont="1" applyFill="1" applyBorder="1" applyAlignment="1">
      <alignment horizontal="left" vertical="top" wrapText="1"/>
    </xf>
    <xf numFmtId="0" fontId="19" fillId="8" borderId="10" xfId="0" applyFont="1" applyFill="1" applyBorder="1" applyAlignment="1">
      <alignment vertical="top" wrapText="1"/>
    </xf>
    <xf numFmtId="0" fontId="19"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19" fillId="8" borderId="11" xfId="0" applyFont="1" applyFill="1" applyBorder="1" applyAlignment="1">
      <alignment vertical="top" wrapText="1"/>
    </xf>
    <xf numFmtId="0" fontId="19" fillId="8" borderId="9" xfId="0" applyFont="1" applyFill="1" applyBorder="1" applyAlignment="1">
      <alignment vertical="top" wrapText="1"/>
    </xf>
    <xf numFmtId="9" fontId="19" fillId="8" borderId="10" xfId="4" applyFont="1" applyFill="1" applyBorder="1" applyAlignment="1" applyProtection="1">
      <alignment vertical="top" wrapText="1"/>
    </xf>
    <xf numFmtId="0" fontId="19" fillId="8" borderId="1" xfId="0" applyFont="1" applyFill="1" applyBorder="1" applyAlignment="1">
      <alignment vertical="top" wrapText="1"/>
    </xf>
    <xf numFmtId="0" fontId="19" fillId="0" borderId="14" xfId="0" applyFont="1" applyBorder="1" applyAlignment="1">
      <alignment vertical="top" wrapText="1"/>
    </xf>
    <xf numFmtId="0" fontId="19" fillId="0" borderId="4" xfId="0" applyFont="1" applyBorder="1" applyAlignment="1">
      <alignment vertical="top" wrapText="1"/>
    </xf>
    <xf numFmtId="0" fontId="18" fillId="0" borderId="1" xfId="0" applyFont="1" applyBorder="1" applyAlignment="1">
      <alignment vertical="center" wrapText="1"/>
    </xf>
    <xf numFmtId="0" fontId="19" fillId="2" borderId="1" xfId="0" applyFont="1" applyFill="1" applyBorder="1" applyAlignment="1">
      <alignment vertical="center" wrapText="1"/>
    </xf>
    <xf numFmtId="0" fontId="0" fillId="10" borderId="0" xfId="0" applyFill="1">
      <alignment vertical="center"/>
    </xf>
    <xf numFmtId="0" fontId="0" fillId="9" borderId="0" xfId="0" applyFill="1">
      <alignment vertical="center"/>
    </xf>
    <xf numFmtId="0" fontId="18" fillId="9" borderId="1" xfId="0" applyFont="1" applyFill="1" applyBorder="1" applyAlignment="1">
      <alignment vertical="top" wrapText="1"/>
    </xf>
    <xf numFmtId="0" fontId="0" fillId="0" borderId="1" xfId="0" applyBorder="1">
      <alignment vertical="center"/>
    </xf>
    <xf numFmtId="0" fontId="14" fillId="0" borderId="0" xfId="19" applyFont="1">
      <alignment vertical="center"/>
    </xf>
    <xf numFmtId="0" fontId="0" fillId="4" borderId="1" xfId="0" applyFill="1" applyBorder="1">
      <alignment vertical="center"/>
    </xf>
    <xf numFmtId="0" fontId="0" fillId="0" borderId="0" xfId="0" applyAlignment="1">
      <alignment vertical="center" wrapText="1"/>
    </xf>
    <xf numFmtId="0" fontId="14" fillId="0" borderId="0" xfId="20" applyFont="1">
      <alignment vertical="center"/>
    </xf>
    <xf numFmtId="0" fontId="18" fillId="6" borderId="2" xfId="0" applyFont="1" applyFill="1" applyBorder="1" applyAlignment="1">
      <alignment vertical="center" wrapText="1"/>
    </xf>
    <xf numFmtId="0" fontId="18" fillId="6" borderId="3" xfId="0" applyFont="1" applyFill="1" applyBorder="1" applyAlignment="1">
      <alignment vertical="center" wrapText="1"/>
    </xf>
    <xf numFmtId="0" fontId="18" fillId="6" borderId="4" xfId="0" applyFont="1" applyFill="1" applyBorder="1" applyAlignment="1">
      <alignment vertical="center" wrapText="1"/>
    </xf>
    <xf numFmtId="0" fontId="18" fillId="6" borderId="6" xfId="0" applyFont="1" applyFill="1" applyBorder="1" applyAlignment="1">
      <alignment vertical="center" wrapText="1"/>
    </xf>
    <xf numFmtId="0" fontId="18" fillId="6" borderId="7" xfId="0" applyFont="1" applyFill="1" applyBorder="1" applyAlignment="1">
      <alignment vertical="center" wrapText="1"/>
    </xf>
    <xf numFmtId="0" fontId="18" fillId="6" borderId="8" xfId="0" applyFont="1" applyFill="1" applyBorder="1"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19" fillId="0" borderId="11" xfId="0" applyFont="1" applyBorder="1" applyAlignment="1">
      <alignment vertical="top" wrapText="1"/>
    </xf>
    <xf numFmtId="0" fontId="16" fillId="0" borderId="0" xfId="0" applyFont="1" applyAlignment="1"/>
    <xf numFmtId="0" fontId="16" fillId="2" borderId="0" xfId="11" applyFont="1" applyFill="1"/>
    <xf numFmtId="0" fontId="27" fillId="0" borderId="0" xfId="0" applyFont="1" applyAlignment="1"/>
    <xf numFmtId="0" fontId="27" fillId="0" borderId="0" xfId="0" applyFont="1">
      <alignment vertical="center"/>
    </xf>
    <xf numFmtId="0" fontId="29" fillId="0" borderId="0" xfId="0" applyFont="1" applyAlignment="1"/>
    <xf numFmtId="0" fontId="29" fillId="0" borderId="19" xfId="0" applyFont="1" applyBorder="1" applyAlignment="1"/>
    <xf numFmtId="0" fontId="16" fillId="0" borderId="0" xfId="0" applyFont="1">
      <alignment vertical="center"/>
    </xf>
    <xf numFmtId="0" fontId="16" fillId="0" borderId="5" xfId="0" applyFont="1" applyBorder="1">
      <alignment vertical="center"/>
    </xf>
    <xf numFmtId="0" fontId="0" fillId="0" borderId="1" xfId="0" applyBorder="1" applyAlignment="1">
      <alignment horizontal="center" vertical="center" wrapText="1"/>
    </xf>
    <xf numFmtId="0" fontId="22" fillId="0" borderId="1" xfId="3" applyBorder="1">
      <alignment vertical="center"/>
    </xf>
    <xf numFmtId="0" fontId="0" fillId="0" borderId="1" xfId="0" applyBorder="1" applyAlignment="1">
      <alignment vertical="center" wrapText="1"/>
    </xf>
    <xf numFmtId="0" fontId="0" fillId="8" borderId="1" xfId="0" applyFill="1" applyBorder="1">
      <alignment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wrapText="1"/>
    </xf>
    <xf numFmtId="0" fontId="14" fillId="0" borderId="0" xfId="7" applyFont="1" applyAlignment="1">
      <alignment vertical="top"/>
    </xf>
    <xf numFmtId="0" fontId="0" fillId="0" borderId="0" xfId="0" applyAlignment="1">
      <alignment vertical="top"/>
    </xf>
    <xf numFmtId="0" fontId="19" fillId="0" borderId="0" xfId="0" applyFont="1" applyAlignment="1">
      <alignment vertical="top"/>
    </xf>
    <xf numFmtId="0" fontId="19" fillId="0" borderId="0" xfId="0" applyFont="1" applyAlignment="1">
      <alignment horizontal="left" vertical="top"/>
    </xf>
    <xf numFmtId="0" fontId="22" fillId="0" borderId="0" xfId="3" applyAlignment="1" applyProtection="1">
      <alignment vertical="top"/>
    </xf>
    <xf numFmtId="0" fontId="18" fillId="6" borderId="10" xfId="0" applyFont="1" applyFill="1" applyBorder="1" applyAlignment="1">
      <alignment vertical="center" wrapText="1"/>
    </xf>
    <xf numFmtId="0" fontId="18" fillId="6" borderId="1" xfId="0" applyFont="1" applyFill="1" applyBorder="1" applyAlignment="1">
      <alignment vertical="top" wrapText="1"/>
    </xf>
    <xf numFmtId="0" fontId="18" fillId="6" borderId="9" xfId="0" applyFont="1" applyFill="1" applyBorder="1" applyAlignment="1">
      <alignment vertical="top" wrapText="1"/>
    </xf>
    <xf numFmtId="0" fontId="18" fillId="6" borderId="14" xfId="0" applyFont="1" applyFill="1" applyBorder="1" applyAlignment="1">
      <alignment vertical="top" wrapText="1"/>
    </xf>
    <xf numFmtId="0" fontId="18" fillId="6" borderId="15" xfId="0" applyFont="1" applyFill="1" applyBorder="1" applyAlignment="1">
      <alignment vertical="top" wrapText="1"/>
    </xf>
    <xf numFmtId="0" fontId="18" fillId="6" borderId="13" xfId="0" applyFont="1" applyFill="1" applyBorder="1" applyAlignment="1">
      <alignment vertical="top" wrapText="1"/>
    </xf>
    <xf numFmtId="0" fontId="19" fillId="0" borderId="10" xfId="0" applyFont="1" applyBorder="1" applyAlignment="1">
      <alignment vertical="top"/>
    </xf>
    <xf numFmtId="0" fontId="19" fillId="0" borderId="11" xfId="0" applyFont="1" applyBorder="1" applyAlignment="1">
      <alignment vertical="top"/>
    </xf>
    <xf numFmtId="0" fontId="18" fillId="0" borderId="10" xfId="0" applyFont="1" applyBorder="1" applyAlignment="1">
      <alignment horizontal="left" vertical="top" wrapText="1"/>
    </xf>
    <xf numFmtId="0" fontId="18" fillId="0" borderId="10" xfId="0" applyFont="1" applyBorder="1" applyAlignment="1">
      <alignment vertical="top" wrapText="1"/>
    </xf>
    <xf numFmtId="0" fontId="18" fillId="0" borderId="11" xfId="0" applyFont="1" applyBorder="1" applyAlignment="1">
      <alignment vertical="top" wrapText="1"/>
    </xf>
    <xf numFmtId="0" fontId="18" fillId="6" borderId="13" xfId="0" applyFont="1" applyFill="1" applyBorder="1" applyAlignment="1">
      <alignment vertical="center" wrapText="1"/>
    </xf>
    <xf numFmtId="0" fontId="18" fillId="6" borderId="14" xfId="0" applyFont="1" applyFill="1" applyBorder="1" applyAlignment="1">
      <alignment vertical="center" wrapText="1"/>
    </xf>
    <xf numFmtId="0" fontId="18" fillId="6" borderId="15" xfId="0" applyFont="1" applyFill="1" applyBorder="1" applyAlignment="1">
      <alignment vertical="center" wrapText="1"/>
    </xf>
    <xf numFmtId="0" fontId="18" fillId="6" borderId="3" xfId="0" applyFont="1" applyFill="1" applyBorder="1" applyAlignment="1">
      <alignment vertical="top" wrapText="1"/>
    </xf>
    <xf numFmtId="0" fontId="18" fillId="6" borderId="2" xfId="0" applyFont="1" applyFill="1" applyBorder="1" applyAlignment="1">
      <alignment vertical="top" wrapText="1"/>
    </xf>
    <xf numFmtId="0" fontId="18" fillId="6" borderId="6" xfId="0" applyFont="1" applyFill="1" applyBorder="1" applyAlignment="1">
      <alignment vertical="top" wrapText="1"/>
    </xf>
    <xf numFmtId="0" fontId="18" fillId="6" borderId="7" xfId="0" applyFont="1" applyFill="1" applyBorder="1" applyAlignment="1">
      <alignment vertical="top" wrapText="1"/>
    </xf>
    <xf numFmtId="0" fontId="18" fillId="6" borderId="8" xfId="0" applyFont="1" applyFill="1" applyBorder="1" applyAlignment="1">
      <alignment vertical="top" wrapText="1"/>
    </xf>
    <xf numFmtId="0" fontId="18" fillId="6" borderId="14" xfId="0" applyFont="1" applyFill="1" applyBorder="1" applyAlignment="1">
      <alignment vertical="top"/>
    </xf>
    <xf numFmtId="0" fontId="18" fillId="6" borderId="15" xfId="0" applyFont="1" applyFill="1" applyBorder="1" applyAlignment="1">
      <alignment vertical="top"/>
    </xf>
    <xf numFmtId="0" fontId="18" fillId="6" borderId="2" xfId="0" applyFont="1" applyFill="1" applyBorder="1" applyAlignment="1">
      <alignment vertical="top"/>
    </xf>
    <xf numFmtId="0" fontId="18" fillId="6" borderId="3" xfId="0" applyFont="1" applyFill="1" applyBorder="1" applyAlignment="1">
      <alignment vertical="top"/>
    </xf>
    <xf numFmtId="0" fontId="19" fillId="3" borderId="1" xfId="0" applyFont="1" applyFill="1" applyBorder="1" applyAlignment="1" applyProtection="1">
      <protection locked="0"/>
    </xf>
    <xf numFmtId="0" fontId="19" fillId="3" borderId="12" xfId="0" applyFont="1" applyFill="1" applyBorder="1" applyAlignment="1" applyProtection="1">
      <protection locked="0"/>
    </xf>
    <xf numFmtId="0" fontId="19" fillId="0" borderId="1" xfId="0" applyFont="1" applyBorder="1" applyProtection="1">
      <alignment vertical="center"/>
      <protection locked="0"/>
    </xf>
    <xf numFmtId="0" fontId="19" fillId="2" borderId="12" xfId="0" applyFont="1" applyFill="1" applyBorder="1" applyAlignment="1" applyProtection="1">
      <protection locked="0"/>
    </xf>
    <xf numFmtId="0" fontId="19" fillId="2" borderId="1" xfId="0" applyFont="1" applyFill="1" applyBorder="1" applyAlignment="1" applyProtection="1">
      <protection locked="0"/>
    </xf>
    <xf numFmtId="0" fontId="19" fillId="3" borderId="1" xfId="0" applyFont="1" applyFill="1" applyBorder="1" applyProtection="1">
      <alignment vertical="center"/>
      <protection locked="0"/>
    </xf>
    <xf numFmtId="0" fontId="19" fillId="3" borderId="13" xfId="0" applyFont="1" applyFill="1" applyBorder="1" applyProtection="1">
      <alignment vertical="center"/>
      <protection locked="0"/>
    </xf>
    <xf numFmtId="0" fontId="19" fillId="0" borderId="1" xfId="0" applyFont="1" applyBorder="1" applyAlignment="1" applyProtection="1">
      <alignment vertical="center" wrapText="1"/>
      <protection locked="0"/>
    </xf>
    <xf numFmtId="0" fontId="19" fillId="3" borderId="1" xfId="0" applyFont="1" applyFill="1" applyBorder="1" applyAlignment="1" applyProtection="1">
      <alignment vertical="top"/>
      <protection locked="0"/>
    </xf>
    <xf numFmtId="0" fontId="19" fillId="3" borderId="1" xfId="0" applyFont="1" applyFill="1" applyBorder="1" applyAlignment="1"/>
    <xf numFmtId="0" fontId="19" fillId="3" borderId="12" xfId="0" applyFont="1" applyFill="1" applyBorder="1" applyAlignment="1"/>
    <xf numFmtId="0" fontId="19" fillId="2" borderId="13" xfId="0" applyFont="1" applyFill="1" applyBorder="1" applyAlignment="1"/>
    <xf numFmtId="0" fontId="19" fillId="3" borderId="13" xfId="0" applyFont="1" applyFill="1" applyBorder="1" applyAlignment="1"/>
    <xf numFmtId="0" fontId="19" fillId="2" borderId="12" xfId="0" applyFont="1" applyFill="1" applyBorder="1" applyAlignment="1"/>
    <xf numFmtId="0" fontId="19" fillId="0" borderId="1" xfId="0" applyFont="1" applyBorder="1" applyAlignment="1" applyProtection="1">
      <protection locked="0"/>
    </xf>
    <xf numFmtId="0" fontId="19" fillId="3" borderId="1" xfId="0" applyFont="1" applyFill="1" applyBorder="1" applyAlignment="1" applyProtection="1">
      <alignment vertical="top" wrapText="1"/>
      <protection locked="0"/>
    </xf>
    <xf numFmtId="0" fontId="19" fillId="0" borderId="11" xfId="0" applyFont="1" applyBorder="1">
      <alignment vertical="center"/>
    </xf>
    <xf numFmtId="0" fontId="19" fillId="0" borderId="10" xfId="0" applyFont="1" applyBorder="1">
      <alignment vertical="center"/>
    </xf>
    <xf numFmtId="0" fontId="19" fillId="0" borderId="9" xfId="0" applyFont="1" applyBorder="1">
      <alignment vertical="center"/>
    </xf>
    <xf numFmtId="0" fontId="19" fillId="6" borderId="2" xfId="0" applyFont="1" applyFill="1" applyBorder="1">
      <alignment vertical="center"/>
    </xf>
    <xf numFmtId="0" fontId="19" fillId="6" borderId="3" xfId="0" applyFont="1" applyFill="1" applyBorder="1">
      <alignment vertical="center"/>
    </xf>
    <xf numFmtId="0" fontId="19" fillId="6" borderId="4" xfId="0" applyFont="1" applyFill="1" applyBorder="1">
      <alignment vertical="center"/>
    </xf>
    <xf numFmtId="0" fontId="19" fillId="9" borderId="2" xfId="0" applyFont="1" applyFill="1" applyBorder="1">
      <alignment vertical="center"/>
    </xf>
    <xf numFmtId="0" fontId="19" fillId="9" borderId="3" xfId="0" applyFont="1" applyFill="1" applyBorder="1">
      <alignment vertical="center"/>
    </xf>
    <xf numFmtId="0" fontId="19" fillId="9" borderId="4" xfId="0" applyFont="1" applyFill="1" applyBorder="1">
      <alignment vertical="center"/>
    </xf>
    <xf numFmtId="0" fontId="19" fillId="6" borderId="15" xfId="0" applyFont="1" applyFill="1" applyBorder="1">
      <alignment vertical="center"/>
    </xf>
    <xf numFmtId="0" fontId="19" fillId="6" borderId="13" xfId="0" applyFont="1" applyFill="1" applyBorder="1">
      <alignment vertical="center"/>
    </xf>
    <xf numFmtId="0" fontId="19" fillId="6" borderId="14" xfId="0" applyFont="1" applyFill="1" applyBorder="1">
      <alignment vertical="center"/>
    </xf>
    <xf numFmtId="0" fontId="19" fillId="6" borderId="6" xfId="0" applyFont="1" applyFill="1" applyBorder="1">
      <alignment vertical="center"/>
    </xf>
    <xf numFmtId="0" fontId="19" fillId="6" borderId="8" xfId="0" applyFont="1" applyFill="1" applyBorder="1">
      <alignment vertical="center"/>
    </xf>
    <xf numFmtId="0" fontId="19" fillId="6" borderId="7" xfId="0" applyFont="1" applyFill="1" applyBorder="1">
      <alignment vertical="center"/>
    </xf>
    <xf numFmtId="0" fontId="19" fillId="9" borderId="6" xfId="0" applyFont="1" applyFill="1" applyBorder="1">
      <alignment vertical="center"/>
    </xf>
    <xf numFmtId="0" fontId="19" fillId="9" borderId="7" xfId="0" applyFont="1" applyFill="1" applyBorder="1">
      <alignment vertical="center"/>
    </xf>
    <xf numFmtId="0" fontId="19" fillId="9" borderId="8" xfId="0" applyFont="1" applyFill="1" applyBorder="1">
      <alignment vertical="center"/>
    </xf>
    <xf numFmtId="0" fontId="19" fillId="6" borderId="1" xfId="0" applyFont="1" applyFill="1" applyBorder="1" applyAlignment="1">
      <alignment vertical="top"/>
    </xf>
    <xf numFmtId="0" fontId="19" fillId="6" borderId="1" xfId="0" applyFont="1" applyFill="1" applyBorder="1" applyAlignment="1">
      <alignment vertical="top" wrapText="1"/>
    </xf>
    <xf numFmtId="0" fontId="19" fillId="0" borderId="16" xfId="0" applyFont="1" applyBorder="1" applyProtection="1">
      <alignment vertical="center"/>
      <protection locked="0"/>
    </xf>
    <xf numFmtId="49" fontId="19" fillId="0" borderId="16" xfId="0" applyNumberFormat="1" applyFont="1" applyBorder="1" applyProtection="1">
      <alignment vertical="center"/>
      <protection locked="0"/>
    </xf>
    <xf numFmtId="0" fontId="19" fillId="9" borderId="1" xfId="0" applyFont="1" applyFill="1" applyBorder="1" applyProtection="1">
      <alignment vertical="center"/>
      <protection locked="0"/>
    </xf>
    <xf numFmtId="0" fontId="19" fillId="9" borderId="1" xfId="0" applyFont="1" applyFill="1" applyBorder="1" applyAlignment="1" applyProtection="1">
      <alignment horizontal="center" vertical="center"/>
      <protection locked="0"/>
    </xf>
    <xf numFmtId="0" fontId="19" fillId="0" borderId="17" xfId="0" applyFont="1" applyBorder="1" applyProtection="1">
      <alignment vertical="center"/>
      <protection locked="0"/>
    </xf>
    <xf numFmtId="49" fontId="19" fillId="0" borderId="17" xfId="0" applyNumberFormat="1" applyFont="1" applyBorder="1" applyProtection="1">
      <alignment vertical="center"/>
      <protection locked="0"/>
    </xf>
    <xf numFmtId="0" fontId="19" fillId="0" borderId="18" xfId="0" applyFont="1" applyBorder="1" applyProtection="1">
      <alignment vertical="center"/>
      <protection locked="0"/>
    </xf>
    <xf numFmtId="49" fontId="19" fillId="0" borderId="18" xfId="0" applyNumberFormat="1" applyFont="1" applyBorder="1" applyProtection="1">
      <alignment vertical="center"/>
      <protection locked="0"/>
    </xf>
    <xf numFmtId="49" fontId="19" fillId="0" borderId="0" xfId="0" applyNumberFormat="1" applyFont="1">
      <alignment vertical="center"/>
    </xf>
    <xf numFmtId="0" fontId="19" fillId="9" borderId="0" xfId="0" applyFont="1" applyFill="1">
      <alignment vertical="center"/>
    </xf>
    <xf numFmtId="0" fontId="18" fillId="6" borderId="15" xfId="0" applyFont="1" applyFill="1" applyBorder="1" applyAlignment="1">
      <alignment horizontal="left" vertical="center" wrapText="1"/>
    </xf>
    <xf numFmtId="0" fontId="18" fillId="6" borderId="13" xfId="0" applyFont="1" applyFill="1" applyBorder="1" applyAlignment="1">
      <alignment horizontal="left" vertical="center" wrapText="1"/>
    </xf>
    <xf numFmtId="0" fontId="18" fillId="6" borderId="2" xfId="0" applyFont="1" applyFill="1" applyBorder="1">
      <alignment vertical="center"/>
    </xf>
    <xf numFmtId="0" fontId="19" fillId="0" borderId="10" xfId="0" applyFont="1" applyBorder="1" applyProtection="1">
      <alignment vertical="center"/>
      <protection locked="0"/>
    </xf>
    <xf numFmtId="0" fontId="19" fillId="0" borderId="11" xfId="0" applyFont="1" applyBorder="1" applyProtection="1">
      <alignment vertical="center"/>
      <protection locked="0"/>
    </xf>
    <xf numFmtId="0" fontId="19" fillId="0" borderId="9" xfId="0" applyFont="1" applyBorder="1" applyProtection="1">
      <alignment vertical="center"/>
      <protection locked="0"/>
    </xf>
    <xf numFmtId="0" fontId="33" fillId="0" borderId="16" xfId="0" applyFont="1" applyBorder="1" applyAlignment="1">
      <alignment vertical="center" wrapText="1"/>
    </xf>
    <xf numFmtId="0" fontId="19" fillId="3" borderId="10" xfId="0" applyFont="1" applyFill="1" applyBorder="1" applyAlignment="1" applyProtection="1">
      <protection locked="0"/>
    </xf>
    <xf numFmtId="0" fontId="19" fillId="3" borderId="9" xfId="0" applyFont="1" applyFill="1" applyBorder="1" applyAlignment="1" applyProtection="1">
      <protection locked="0"/>
    </xf>
    <xf numFmtId="0" fontId="19" fillId="3" borderId="11" xfId="0" applyFont="1" applyFill="1" applyBorder="1" applyAlignment="1" applyProtection="1">
      <protection locked="0"/>
    </xf>
    <xf numFmtId="0" fontId="19" fillId="0" borderId="9" xfId="0" applyFont="1" applyBorder="1" applyAlignment="1">
      <alignment vertical="top"/>
    </xf>
    <xf numFmtId="0" fontId="19" fillId="3" borderId="10" xfId="0" applyFont="1" applyFill="1" applyBorder="1" applyAlignment="1" applyProtection="1">
      <alignment vertical="top"/>
      <protection locked="0"/>
    </xf>
    <xf numFmtId="0" fontId="19" fillId="3" borderId="9" xfId="0" applyFont="1" applyFill="1" applyBorder="1" applyAlignment="1" applyProtection="1">
      <alignment vertical="top"/>
      <protection locked="0"/>
    </xf>
    <xf numFmtId="0" fontId="19" fillId="3" borderId="11" xfId="0" applyFont="1" applyFill="1" applyBorder="1" applyAlignment="1" applyProtection="1">
      <alignment vertical="top"/>
      <protection locked="0"/>
    </xf>
    <xf numFmtId="0" fontId="18" fillId="6" borderId="1" xfId="0" applyFont="1" applyFill="1" applyBorder="1" applyAlignment="1">
      <alignment horizontal="left" vertical="top" wrapText="1"/>
    </xf>
    <xf numFmtId="0" fontId="18" fillId="7" borderId="1" xfId="0" applyFont="1" applyFill="1" applyBorder="1" applyAlignment="1">
      <alignment horizontal="left" vertical="center" wrapText="1"/>
    </xf>
    <xf numFmtId="18" fontId="19" fillId="0" borderId="1" xfId="0" applyNumberFormat="1" applyFont="1" applyBorder="1" applyAlignment="1">
      <alignment horizontal="left" vertical="center" wrapText="1"/>
    </xf>
    <xf numFmtId="46" fontId="19" fillId="0" borderId="1" xfId="0" applyNumberFormat="1" applyFont="1" applyBorder="1" applyAlignment="1">
      <alignment horizontal="left" vertical="center" wrapText="1"/>
    </xf>
    <xf numFmtId="18" fontId="19" fillId="8" borderId="1" xfId="0" applyNumberFormat="1" applyFont="1" applyFill="1" applyBorder="1" applyAlignment="1">
      <alignment horizontal="left" vertical="center" wrapText="1"/>
    </xf>
    <xf numFmtId="46" fontId="19" fillId="8" borderId="1" xfId="0" applyNumberFormat="1" applyFont="1" applyFill="1" applyBorder="1" applyAlignment="1">
      <alignment horizontal="left" vertical="center" wrapText="1"/>
    </xf>
    <xf numFmtId="0" fontId="19" fillId="8" borderId="1" xfId="0" applyFont="1" applyFill="1" applyBorder="1" applyAlignment="1" applyProtection="1">
      <alignment vertical="top" wrapText="1"/>
      <protection locked="0"/>
    </xf>
    <xf numFmtId="0" fontId="22" fillId="0" borderId="0" xfId="3" applyFill="1" applyProtection="1">
      <alignment vertical="center"/>
    </xf>
    <xf numFmtId="14" fontId="0" fillId="0" borderId="1" xfId="0" applyNumberFormat="1" applyBorder="1" applyAlignment="1">
      <alignment horizontal="center" vertical="center"/>
    </xf>
    <xf numFmtId="0" fontId="33" fillId="0" borderId="1" xfId="0" applyFont="1" applyBorder="1" applyAlignment="1">
      <alignment vertical="center" wrapText="1"/>
    </xf>
    <xf numFmtId="0" fontId="19" fillId="3" borderId="14" xfId="0" applyFont="1" applyFill="1" applyBorder="1" applyAlignment="1"/>
    <xf numFmtId="176" fontId="0" fillId="0" borderId="14" xfId="0" applyNumberFormat="1" applyBorder="1">
      <alignment vertical="center"/>
    </xf>
    <xf numFmtId="0" fontId="19" fillId="3" borderId="10" xfId="0" applyFont="1" applyFill="1" applyBorder="1" applyAlignment="1"/>
    <xf numFmtId="0" fontId="19" fillId="3" borderId="11" xfId="0" applyFont="1" applyFill="1" applyBorder="1" applyAlignment="1"/>
    <xf numFmtId="0" fontId="19" fillId="3" borderId="9" xfId="0" applyFont="1" applyFill="1" applyBorder="1" applyAlignment="1"/>
    <xf numFmtId="49" fontId="19" fillId="0" borderId="1" xfId="0" applyNumberFormat="1" applyFont="1" applyBorder="1" applyProtection="1">
      <alignment vertical="center"/>
      <protection locked="0"/>
    </xf>
    <xf numFmtId="0" fontId="19" fillId="0" borderId="21" xfId="0" applyFont="1" applyBorder="1" applyProtection="1">
      <alignment vertical="center"/>
      <protection locked="0"/>
    </xf>
    <xf numFmtId="49" fontId="19" fillId="0" borderId="21" xfId="0" applyNumberFormat="1" applyFont="1" applyBorder="1" applyProtection="1">
      <alignment vertical="center"/>
      <protection locked="0"/>
    </xf>
    <xf numFmtId="49" fontId="0" fillId="0" borderId="14" xfId="0" applyNumberFormat="1" applyBorder="1" applyAlignment="1">
      <alignment horizontal="left" vertical="center"/>
    </xf>
    <xf numFmtId="0" fontId="19" fillId="3" borderId="10" xfId="0" applyFont="1" applyFill="1" applyBorder="1" applyProtection="1">
      <alignment vertical="center"/>
      <protection locked="0"/>
    </xf>
    <xf numFmtId="0" fontId="19" fillId="3" borderId="11" xfId="0" applyFont="1" applyFill="1" applyBorder="1" applyProtection="1">
      <alignment vertical="center"/>
      <protection locked="0"/>
    </xf>
    <xf numFmtId="0" fontId="19" fillId="3" borderId="9" xfId="0" applyFont="1" applyFill="1" applyBorder="1" applyProtection="1">
      <alignment vertical="center"/>
      <protection locked="0"/>
    </xf>
    <xf numFmtId="49" fontId="19" fillId="0" borderId="16" xfId="0" applyNumberFormat="1" applyFont="1" applyBorder="1" applyAlignment="1" applyProtection="1">
      <alignment vertical="center" wrapText="1"/>
      <protection locked="0"/>
    </xf>
    <xf numFmtId="49" fontId="19" fillId="0" borderId="21" xfId="0" applyNumberFormat="1" applyFont="1" applyBorder="1" applyAlignment="1" applyProtection="1">
      <alignment vertical="center" wrapText="1"/>
      <protection locked="0"/>
    </xf>
    <xf numFmtId="49" fontId="19" fillId="0" borderId="22" xfId="0" applyNumberFormat="1" applyFont="1" applyBorder="1" applyProtection="1">
      <alignment vertical="center"/>
      <protection locked="0"/>
    </xf>
    <xf numFmtId="49" fontId="19" fillId="0" borderId="22" xfId="0" applyNumberFormat="1" applyFont="1" applyBorder="1" applyAlignment="1" applyProtection="1">
      <alignment vertical="center" wrapText="1"/>
      <protection locked="0"/>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20"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20"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14" fontId="16" fillId="0" borderId="14" xfId="0" applyNumberFormat="1" applyFont="1" applyBorder="1" applyAlignment="1">
      <alignment horizontal="center" vertical="center"/>
    </xf>
    <xf numFmtId="14" fontId="16" fillId="0" borderId="15" xfId="0" applyNumberFormat="1" applyFont="1" applyBorder="1" applyAlignment="1">
      <alignment horizontal="center" vertical="center"/>
    </xf>
    <xf numFmtId="14" fontId="16" fillId="0" borderId="13" xfId="0" applyNumberFormat="1" applyFont="1" applyBorder="1" applyAlignment="1">
      <alignment horizontal="center" vertical="center"/>
    </xf>
    <xf numFmtId="0" fontId="32" fillId="0" borderId="0" xfId="0" applyFont="1" applyAlignment="1">
      <alignment horizontal="center" vertical="center"/>
    </xf>
    <xf numFmtId="0" fontId="30" fillId="0" borderId="0" xfId="0" applyFont="1" applyAlignment="1">
      <alignment horizontal="center"/>
    </xf>
    <xf numFmtId="0" fontId="30" fillId="0" borderId="19" xfId="0" applyFont="1" applyBorder="1" applyAlignment="1">
      <alignment horizont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20"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20" xfId="0" applyFont="1" applyBorder="1" applyAlignment="1">
      <alignment horizontal="center" vertical="center"/>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14" fontId="32" fillId="0" borderId="0" xfId="0" applyNumberFormat="1" applyFont="1" applyAlignment="1">
      <alignment horizontal="center" vertical="center"/>
    </xf>
    <xf numFmtId="0" fontId="18" fillId="6" borderId="14" xfId="0" applyFont="1" applyFill="1" applyBorder="1" applyAlignment="1">
      <alignment vertical="top" wrapText="1"/>
    </xf>
    <xf numFmtId="0" fontId="18" fillId="6" borderId="1" xfId="0" applyFont="1" applyFill="1" applyBorder="1" applyAlignment="1">
      <alignment vertical="top" wrapText="1"/>
    </xf>
    <xf numFmtId="0" fontId="18" fillId="6" borderId="10" xfId="0" applyFont="1" applyFill="1" applyBorder="1" applyAlignment="1">
      <alignment vertical="top" wrapText="1"/>
    </xf>
    <xf numFmtId="0" fontId="18" fillId="6" borderId="9" xfId="0" applyFont="1" applyFill="1" applyBorder="1" applyAlignment="1">
      <alignment vertical="top" wrapText="1"/>
    </xf>
    <xf numFmtId="0" fontId="18" fillId="6" borderId="10" xfId="0" applyFont="1" applyFill="1" applyBorder="1" applyAlignment="1">
      <alignment vertical="center" wrapText="1"/>
    </xf>
    <xf numFmtId="0" fontId="18" fillId="6" borderId="9" xfId="0" applyFont="1" applyFill="1" applyBorder="1" applyAlignment="1">
      <alignment vertical="center" wrapText="1"/>
    </xf>
    <xf numFmtId="0" fontId="19" fillId="0" borderId="10" xfId="0" applyFont="1" applyBorder="1" applyAlignment="1">
      <alignment vertical="top"/>
    </xf>
    <xf numFmtId="0" fontId="19" fillId="0" borderId="11" xfId="0" applyFont="1" applyBorder="1" applyAlignment="1">
      <alignment vertical="top"/>
    </xf>
    <xf numFmtId="0" fontId="19" fillId="0" borderId="9" xfId="0" applyFont="1" applyBorder="1" applyAlignment="1">
      <alignment vertical="top"/>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9"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0" borderId="9" xfId="0" applyFont="1" applyBorder="1" applyAlignment="1">
      <alignment horizontal="left" vertical="top" wrapText="1"/>
    </xf>
    <xf numFmtId="0" fontId="19" fillId="7" borderId="10" xfId="0" applyFont="1" applyFill="1" applyBorder="1" applyAlignment="1" applyProtection="1">
      <alignment horizontal="left" vertical="top" wrapText="1"/>
      <protection locked="0"/>
    </xf>
    <xf numFmtId="0" fontId="19" fillId="7" borderId="11" xfId="0" applyFont="1" applyFill="1" applyBorder="1" applyAlignment="1" applyProtection="1">
      <alignment horizontal="left" vertical="top" wrapText="1"/>
      <protection locked="0"/>
    </xf>
    <xf numFmtId="0" fontId="19" fillId="7" borderId="9" xfId="0" applyFont="1" applyFill="1" applyBorder="1" applyAlignment="1" applyProtection="1">
      <alignment horizontal="left" vertical="top" wrapText="1"/>
      <protection locked="0"/>
    </xf>
    <xf numFmtId="0" fontId="19" fillId="0" borderId="11" xfId="0" applyFont="1" applyBorder="1" applyAlignment="1">
      <alignment vertical="top" wrapText="1"/>
    </xf>
    <xf numFmtId="0" fontId="18" fillId="0" borderId="10" xfId="0" applyFont="1" applyBorder="1" applyAlignment="1">
      <alignment vertical="top" wrapText="1"/>
    </xf>
    <xf numFmtId="0" fontId="18" fillId="0" borderId="11" xfId="0" applyFont="1" applyBorder="1" applyAlignment="1">
      <alignment vertical="top" wrapText="1"/>
    </xf>
    <xf numFmtId="0" fontId="18" fillId="0" borderId="9" xfId="0" applyFont="1" applyBorder="1" applyAlignment="1">
      <alignment vertical="top" wrapText="1"/>
    </xf>
    <xf numFmtId="0" fontId="19" fillId="0" borderId="10" xfId="0" applyFont="1" applyBorder="1" applyAlignment="1">
      <alignment horizontal="center" vertical="top" wrapText="1"/>
    </xf>
    <xf numFmtId="0" fontId="19" fillId="0" borderId="11" xfId="0" applyFont="1" applyBorder="1" applyAlignment="1">
      <alignment horizontal="center" vertical="top" wrapText="1"/>
    </xf>
    <xf numFmtId="0" fontId="19" fillId="3" borderId="10" xfId="0" applyFont="1" applyFill="1" applyBorder="1" applyAlignment="1" applyProtection="1">
      <alignment horizontal="right" vertical="center"/>
      <protection locked="0"/>
    </xf>
    <xf numFmtId="0" fontId="19" fillId="3" borderId="11" xfId="0" applyFont="1" applyFill="1" applyBorder="1" applyAlignment="1" applyProtection="1">
      <alignment horizontal="right" vertical="center"/>
      <protection locked="0"/>
    </xf>
    <xf numFmtId="0" fontId="19" fillId="3" borderId="9" xfId="0" applyFont="1" applyFill="1" applyBorder="1" applyAlignment="1" applyProtection="1">
      <alignment horizontal="right" vertical="center"/>
      <protection locked="0"/>
    </xf>
    <xf numFmtId="0" fontId="35" fillId="0" borderId="10" xfId="0" applyFont="1" applyBorder="1" applyAlignment="1" applyProtection="1">
      <alignment vertical="center" wrapText="1"/>
      <protection locked="0"/>
    </xf>
    <xf numFmtId="0" fontId="35" fillId="0" borderId="11" xfId="0" applyFont="1" applyBorder="1" applyAlignment="1" applyProtection="1">
      <alignment vertical="center" wrapText="1"/>
      <protection locked="0"/>
    </xf>
    <xf numFmtId="0" fontId="35" fillId="0" borderId="9" xfId="0" applyFont="1" applyBorder="1" applyAlignment="1" applyProtection="1">
      <alignment vertical="center" wrapText="1"/>
      <protection locked="0"/>
    </xf>
    <xf numFmtId="0" fontId="19" fillId="0" borderId="10" xfId="0" applyFont="1" applyBorder="1" applyAlignment="1" applyProtection="1">
      <alignment horizontal="right" vertical="center"/>
      <protection locked="0"/>
    </xf>
    <xf numFmtId="0" fontId="19" fillId="0" borderId="11" xfId="0" applyFont="1" applyBorder="1" applyAlignment="1" applyProtection="1">
      <alignment horizontal="right" vertical="center"/>
      <protection locked="0"/>
    </xf>
    <xf numFmtId="0" fontId="19" fillId="0" borderId="9" xfId="0" applyFont="1" applyBorder="1" applyAlignment="1" applyProtection="1">
      <alignment horizontal="right" vertical="center"/>
      <protection locked="0"/>
    </xf>
    <xf numFmtId="0" fontId="19" fillId="3" borderId="1" xfId="0" applyFont="1" applyFill="1" applyBorder="1" applyAlignment="1" applyProtection="1">
      <alignment horizontal="right" vertical="center"/>
      <protection locked="0"/>
    </xf>
    <xf numFmtId="0" fontId="19" fillId="0" borderId="10" xfId="0" applyFont="1" applyBorder="1" applyAlignment="1" applyProtection="1">
      <alignment horizontal="left" vertical="center"/>
      <protection locked="0"/>
    </xf>
    <xf numFmtId="0" fontId="19" fillId="0" borderId="11" xfId="0" applyFont="1" applyBorder="1" applyAlignment="1" applyProtection="1">
      <alignment horizontal="left" vertical="center"/>
      <protection locked="0"/>
    </xf>
    <xf numFmtId="0" fontId="19" fillId="0" borderId="9" xfId="0" applyFont="1" applyBorder="1" applyAlignment="1" applyProtection="1">
      <alignment horizontal="left" vertical="center"/>
      <protection locked="0"/>
    </xf>
    <xf numFmtId="0" fontId="19" fillId="6" borderId="14" xfId="0" applyFont="1" applyFill="1" applyBorder="1" applyAlignment="1">
      <alignment vertical="center"/>
    </xf>
    <xf numFmtId="0" fontId="19" fillId="6" borderId="1" xfId="0" applyFont="1" applyFill="1" applyBorder="1" applyAlignment="1">
      <alignment vertical="center"/>
    </xf>
    <xf numFmtId="0" fontId="19" fillId="6" borderId="10" xfId="0" applyFont="1" applyFill="1" applyBorder="1" applyAlignment="1">
      <alignment vertical="center"/>
    </xf>
    <xf numFmtId="0" fontId="19" fillId="6" borderId="9" xfId="0" applyFont="1" applyFill="1" applyBorder="1" applyAlignment="1">
      <alignment vertical="center"/>
    </xf>
    <xf numFmtId="0" fontId="19" fillId="6" borderId="11" xfId="0" applyFont="1" applyFill="1" applyBorder="1" applyAlignment="1">
      <alignment vertical="center"/>
    </xf>
    <xf numFmtId="0" fontId="19" fillId="3" borderId="10" xfId="0" applyFont="1" applyFill="1" applyBorder="1" applyAlignment="1" applyProtection="1">
      <alignment vertical="center"/>
      <protection locked="0"/>
    </xf>
    <xf numFmtId="0" fontId="19" fillId="0" borderId="1" xfId="0" applyFont="1" applyBorder="1" applyAlignment="1">
      <alignment vertical="center"/>
    </xf>
    <xf numFmtId="0" fontId="19" fillId="0" borderId="10" xfId="0" applyFont="1" applyBorder="1" applyAlignment="1" applyProtection="1">
      <alignment vertical="center"/>
      <protection locked="0"/>
    </xf>
    <xf numFmtId="0" fontId="19" fillId="3" borderId="11" xfId="0" applyFont="1" applyFill="1" applyBorder="1" applyAlignment="1" applyProtection="1">
      <alignment vertical="center"/>
      <protection locked="0"/>
    </xf>
    <xf numFmtId="0" fontId="19" fillId="0" borderId="11" xfId="0" applyFont="1" applyBorder="1" applyAlignment="1" applyProtection="1">
      <alignment vertical="center"/>
      <protection locked="0"/>
    </xf>
    <xf numFmtId="0" fontId="19" fillId="3" borderId="9" xfId="0" applyFont="1" applyFill="1" applyBorder="1" applyAlignment="1" applyProtection="1">
      <alignment vertical="center"/>
      <protection locked="0"/>
    </xf>
    <xf numFmtId="0" fontId="19" fillId="0" borderId="9" xfId="0" applyFont="1" applyBorder="1" applyAlignment="1" applyProtection="1">
      <alignment vertical="center"/>
      <protection locked="0"/>
    </xf>
    <xf numFmtId="0" fontId="19" fillId="3" borderId="1" xfId="0" applyFont="1" applyFill="1" applyBorder="1" applyAlignment="1" applyProtection="1">
      <alignment vertical="center"/>
      <protection locked="0"/>
    </xf>
    <xf numFmtId="0" fontId="0" fillId="0" borderId="11" xfId="0" applyBorder="1" applyAlignment="1">
      <alignment vertical="center"/>
    </xf>
    <xf numFmtId="0" fontId="0" fillId="0" borderId="9" xfId="0" applyBorder="1" applyAlignment="1">
      <alignment vertical="center"/>
    </xf>
    <xf numFmtId="0" fontId="35" fillId="0" borderId="10" xfId="0" applyFont="1" applyBorder="1" applyAlignment="1" applyProtection="1">
      <alignment vertical="center"/>
      <protection locked="0"/>
    </xf>
    <xf numFmtId="0" fontId="35" fillId="0" borderId="11" xfId="0" applyFont="1" applyBorder="1" applyAlignment="1" applyProtection="1">
      <alignment vertical="center"/>
      <protection locked="0"/>
    </xf>
    <xf numFmtId="0" fontId="35" fillId="0" borderId="9" xfId="0" applyFont="1" applyBorder="1" applyAlignment="1" applyProtection="1">
      <alignment vertical="center"/>
      <protection locked="0"/>
    </xf>
    <xf numFmtId="0" fontId="35" fillId="0" borderId="0" xfId="0" applyFo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9" fillId="0" borderId="9" xfId="0" applyFont="1" applyBorder="1" applyAlignment="1">
      <alignment vertical="center"/>
    </xf>
  </cellXfs>
  <cellStyles count="23">
    <cellStyle name="Normal 2" xfId="2" xr:uid="{27607F87-74DF-431C-BA9A-A29AE75CBB21}"/>
    <cellStyle name="パーセント" xfId="4" builtinId="5"/>
    <cellStyle name="ハイパーリンク" xfId="3" builtinId="8"/>
    <cellStyle name="標準" xfId="0" builtinId="0"/>
    <cellStyle name="標準 2" xfId="1" xr:uid="{9C6C678F-D78D-45ED-8C3A-9DDD1CABF8D9}"/>
    <cellStyle name="標準 2 2" xfId="5" xr:uid="{7D5CCFCA-9FFD-487C-A232-A75349CBE837}"/>
    <cellStyle name="標準 2 2 2" xfId="6" xr:uid="{47B1882D-DD95-48A9-9F73-2F557752BE23}"/>
    <cellStyle name="標準 2 2 2 2" xfId="7" xr:uid="{0AE5EB88-0695-4E71-968D-CFB0874A97CC}"/>
    <cellStyle name="標準 2 2 2 2 2" xfId="8" xr:uid="{4D13E008-9907-4DAC-B7DF-40C7D5469D4F}"/>
    <cellStyle name="標準 2 2 2 2 2 2" xfId="9" xr:uid="{E79910AA-DE7C-4F12-9866-043680C6BD24}"/>
    <cellStyle name="標準 2 2 2 2 2 3" xfId="10" xr:uid="{F21DC37F-6F2E-4EF0-B13D-E8150630710F}"/>
    <cellStyle name="標準 2 2 2 2 3" xfId="15" xr:uid="{0BC89B50-B996-4F32-A12A-F6A89F010291}"/>
    <cellStyle name="標準 2 2 2 2 3 3" xfId="19" xr:uid="{C64ED288-437C-4989-8AA9-9AF0ED7E2436}"/>
    <cellStyle name="標準 2 2 2 3 2" xfId="17" xr:uid="{D0CECAE1-B9B6-48E1-B86E-99F8DC4C48BB}"/>
    <cellStyle name="標準 2 2 3" xfId="12" xr:uid="{AB8DAD6B-6F07-4F84-AFF4-9001F04CD5BE}"/>
    <cellStyle name="標準 2 2 4" xfId="14" xr:uid="{FAA0CA57-CC80-47D6-86EC-D6EBE1EFFACE}"/>
    <cellStyle name="標準 2 3" xfId="13" xr:uid="{1C014ACD-DAA1-4DF1-9B40-427746B15741}"/>
    <cellStyle name="標準 2 4" xfId="16" xr:uid="{9F25C8E6-9714-4DB7-8282-F332EBEF3C83}"/>
    <cellStyle name="標準 2 5" xfId="20" xr:uid="{61AEE34D-F39A-40DA-B7E2-EA692E3F7590}"/>
    <cellStyle name="標準 2 6" xfId="21" xr:uid="{1C441B75-B284-42F9-9CF7-F98393D593E2}"/>
    <cellStyle name="標準 2 6 2" xfId="22" xr:uid="{F1437579-E44C-4B25-AF36-705E0127B1E0}"/>
    <cellStyle name="標準 3" xfId="11" xr:uid="{942EA3AA-1AAC-488E-A27D-5DABE16255B0}"/>
    <cellStyle name="標準 3 3" xfId="18" xr:uid="{64B06E6E-9B38-4C99-AD83-EC1A9044B1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zoomScaleNormal="100" zoomScaleSheetLayoutView="100" workbookViewId="0">
      <selection activeCell="B14" sqref="B14"/>
    </sheetView>
  </sheetViews>
  <sheetFormatPr defaultColWidth="2.21875" defaultRowHeight="15" customHeight="1"/>
  <cols>
    <col min="1" max="16384" width="2.21875" style="75"/>
  </cols>
  <sheetData>
    <row r="1" spans="1:37" ht="1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row>
    <row r="2" spans="1:37" ht="15" customHeight="1">
      <c r="A2" s="74"/>
      <c r="B2" s="74"/>
      <c r="C2" s="76"/>
      <c r="D2" s="76"/>
      <c r="E2" s="76"/>
      <c r="F2" s="76"/>
      <c r="G2" s="76"/>
      <c r="H2" s="76"/>
      <c r="I2" s="76"/>
      <c r="J2" s="76"/>
      <c r="K2" s="76"/>
      <c r="L2" s="76"/>
      <c r="M2" s="76"/>
      <c r="N2" s="76"/>
      <c r="O2" s="76"/>
      <c r="P2" s="76"/>
      <c r="Q2" s="76"/>
      <c r="R2" s="74"/>
      <c r="S2" s="74"/>
      <c r="T2" s="74"/>
      <c r="U2" s="74"/>
      <c r="V2" s="74"/>
      <c r="W2" s="74"/>
      <c r="X2" s="74"/>
      <c r="Y2" s="74"/>
      <c r="Z2" s="74"/>
      <c r="AA2" s="74"/>
      <c r="AB2" s="74"/>
      <c r="AC2" s="74"/>
      <c r="AD2" s="74"/>
      <c r="AE2" s="74"/>
      <c r="AF2" s="74"/>
      <c r="AG2" s="74"/>
      <c r="AH2" s="74"/>
      <c r="AI2" s="74"/>
      <c r="AJ2" s="74"/>
      <c r="AK2" s="74"/>
    </row>
    <row r="3" spans="1:37" ht="15" customHeight="1">
      <c r="A3" s="74"/>
      <c r="B3" s="77"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row>
    <row r="4" spans="1:37" ht="15" customHeight="1">
      <c r="A4" s="78"/>
      <c r="B4" s="78"/>
      <c r="C4" s="78"/>
      <c r="D4" s="78"/>
      <c r="E4" s="78"/>
      <c r="F4" s="78"/>
      <c r="G4" s="78"/>
      <c r="H4" s="78"/>
      <c r="I4" s="78"/>
      <c r="J4" s="225"/>
      <c r="K4" s="225"/>
      <c r="L4" s="225"/>
      <c r="M4" s="74"/>
      <c r="N4" s="74"/>
      <c r="O4" s="74"/>
      <c r="P4" s="74"/>
      <c r="Q4" s="74"/>
      <c r="R4" s="74"/>
      <c r="S4" s="74"/>
      <c r="T4" s="74"/>
      <c r="U4" s="74"/>
      <c r="V4" s="74"/>
      <c r="W4" s="74"/>
      <c r="X4" s="74"/>
      <c r="Y4" s="74"/>
      <c r="Z4" s="74"/>
      <c r="AA4" s="74"/>
      <c r="AB4" s="74"/>
      <c r="AC4" s="74"/>
      <c r="AD4" s="74"/>
      <c r="AE4" s="74"/>
      <c r="AF4" s="74"/>
      <c r="AG4" s="74"/>
      <c r="AH4" s="74"/>
      <c r="AI4" s="74"/>
      <c r="AJ4" s="74"/>
      <c r="AK4" s="74"/>
    </row>
    <row r="5" spans="1:37" ht="15" customHeight="1">
      <c r="A5" s="79"/>
      <c r="B5" s="79"/>
      <c r="C5" s="79"/>
      <c r="D5" s="79"/>
      <c r="E5" s="79"/>
      <c r="F5" s="79"/>
      <c r="G5" s="79"/>
      <c r="H5" s="79"/>
      <c r="I5" s="79"/>
      <c r="J5" s="226"/>
      <c r="K5" s="226"/>
      <c r="L5" s="226"/>
      <c r="M5" s="74"/>
      <c r="N5" s="74"/>
      <c r="O5" s="74"/>
      <c r="P5" s="74"/>
      <c r="Q5" s="74"/>
      <c r="R5" s="74"/>
      <c r="S5" s="74"/>
      <c r="T5" s="74"/>
      <c r="U5" s="74"/>
      <c r="V5" s="74"/>
      <c r="W5" s="74"/>
      <c r="X5" s="74"/>
      <c r="Y5" s="74"/>
      <c r="Z5" s="74"/>
      <c r="AA5" s="74"/>
      <c r="AB5" s="74"/>
      <c r="AC5" s="74"/>
      <c r="AD5" s="74"/>
      <c r="AE5" s="74"/>
      <c r="AF5" s="74"/>
      <c r="AG5" s="74"/>
      <c r="AH5" s="74"/>
      <c r="AI5" s="74"/>
      <c r="AJ5" s="74"/>
      <c r="AK5" s="74"/>
    </row>
    <row r="6" spans="1:37" ht="15" customHeight="1">
      <c r="A6" s="74"/>
      <c r="B6" s="74"/>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row>
    <row r="7" spans="1:37" ht="1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row>
    <row r="8" spans="1:37" ht="1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row>
    <row r="9" spans="1:37" ht="1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row>
    <row r="10" spans="1:37" ht="15" customHeight="1">
      <c r="A10" s="74"/>
      <c r="B10" s="227" t="s">
        <v>1</v>
      </c>
      <c r="C10" s="228"/>
      <c r="D10" s="228"/>
      <c r="E10" s="228"/>
      <c r="F10" s="228"/>
      <c r="G10" s="228"/>
      <c r="H10" s="228"/>
      <c r="I10" s="228"/>
      <c r="J10" s="228"/>
      <c r="K10" s="228"/>
      <c r="L10" s="228"/>
      <c r="M10" s="228"/>
      <c r="N10" s="228"/>
      <c r="O10" s="228"/>
      <c r="P10" s="228"/>
      <c r="Q10" s="228"/>
      <c r="R10" s="228"/>
      <c r="S10" s="228"/>
      <c r="T10" s="228"/>
      <c r="U10" s="228"/>
      <c r="V10" s="228"/>
      <c r="W10" s="228"/>
      <c r="X10" s="228"/>
      <c r="Y10" s="228"/>
      <c r="Z10" s="228"/>
      <c r="AA10" s="228"/>
      <c r="AB10" s="228"/>
      <c r="AC10" s="228"/>
      <c r="AD10" s="228"/>
      <c r="AE10" s="229"/>
      <c r="AF10" s="74"/>
      <c r="AG10" s="74"/>
      <c r="AH10" s="74"/>
      <c r="AI10" s="74"/>
      <c r="AJ10" s="74"/>
      <c r="AK10" s="74"/>
    </row>
    <row r="11" spans="1:37" ht="15" customHeight="1">
      <c r="A11" s="74"/>
      <c r="B11" s="230"/>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2"/>
      <c r="AF11" s="74"/>
      <c r="AG11" s="74"/>
      <c r="AH11" s="74"/>
      <c r="AI11" s="74"/>
      <c r="AJ11" s="74"/>
      <c r="AK11" s="74"/>
    </row>
    <row r="12" spans="1:37" ht="15" customHeight="1">
      <c r="A12" s="74"/>
      <c r="B12" s="230"/>
      <c r="C12" s="231"/>
      <c r="D12" s="231"/>
      <c r="E12" s="2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2"/>
      <c r="AF12" s="74"/>
      <c r="AG12" s="74"/>
      <c r="AH12" s="74"/>
      <c r="AI12" s="74"/>
      <c r="AJ12" s="74"/>
      <c r="AK12" s="74"/>
    </row>
    <row r="13" spans="1:37" ht="15" customHeight="1">
      <c r="A13" s="74"/>
      <c r="B13" s="230"/>
      <c r="C13" s="231"/>
      <c r="D13" s="231"/>
      <c r="E13" s="231"/>
      <c r="F13" s="231"/>
      <c r="G13" s="231"/>
      <c r="H13" s="231"/>
      <c r="I13" s="231"/>
      <c r="J13" s="231"/>
      <c r="K13" s="231"/>
      <c r="L13" s="231"/>
      <c r="M13" s="231"/>
      <c r="N13" s="231"/>
      <c r="O13" s="231"/>
      <c r="P13" s="231"/>
      <c r="Q13" s="231"/>
      <c r="R13" s="231"/>
      <c r="S13" s="231"/>
      <c r="T13" s="231"/>
      <c r="U13" s="231"/>
      <c r="V13" s="231"/>
      <c r="W13" s="231"/>
      <c r="X13" s="231"/>
      <c r="Y13" s="231"/>
      <c r="Z13" s="231"/>
      <c r="AA13" s="231"/>
      <c r="AB13" s="231"/>
      <c r="AC13" s="231"/>
      <c r="AD13" s="231"/>
      <c r="AE13" s="232"/>
      <c r="AF13" s="74"/>
      <c r="AG13" s="74"/>
      <c r="AH13" s="74"/>
      <c r="AI13" s="74"/>
      <c r="AJ13" s="74"/>
      <c r="AK13" s="74"/>
    </row>
    <row r="14" spans="1:37" ht="15" customHeight="1">
      <c r="A14" s="74"/>
      <c r="B14" s="233" t="s">
        <v>2</v>
      </c>
      <c r="C14" s="234"/>
      <c r="D14" s="234"/>
      <c r="E14" s="234"/>
      <c r="F14" s="234"/>
      <c r="G14" s="234"/>
      <c r="H14" s="234"/>
      <c r="I14" s="234"/>
      <c r="J14" s="234"/>
      <c r="K14" s="234"/>
      <c r="L14" s="234"/>
      <c r="M14" s="234"/>
      <c r="N14" s="234"/>
      <c r="O14" s="234"/>
      <c r="P14" s="234"/>
      <c r="Q14" s="234"/>
      <c r="R14" s="234"/>
      <c r="S14" s="234"/>
      <c r="T14" s="234"/>
      <c r="U14" s="234"/>
      <c r="V14" s="234"/>
      <c r="W14" s="234"/>
      <c r="X14" s="234"/>
      <c r="Y14" s="234"/>
      <c r="Z14" s="234"/>
      <c r="AA14" s="234"/>
      <c r="AB14" s="234"/>
      <c r="AC14" s="234"/>
      <c r="AD14" s="234"/>
      <c r="AE14" s="235"/>
      <c r="AF14" s="74"/>
      <c r="AG14" s="74"/>
      <c r="AH14" s="74"/>
      <c r="AI14" s="74"/>
      <c r="AJ14" s="74"/>
      <c r="AK14" s="74"/>
    </row>
    <row r="15" spans="1:37" ht="15" customHeight="1">
      <c r="A15" s="74"/>
      <c r="B15" s="233"/>
      <c r="C15" s="234"/>
      <c r="D15" s="234"/>
      <c r="E15" s="234"/>
      <c r="F15" s="234"/>
      <c r="G15" s="234"/>
      <c r="H15" s="234"/>
      <c r="I15" s="234"/>
      <c r="J15" s="234"/>
      <c r="K15" s="234"/>
      <c r="L15" s="234"/>
      <c r="M15" s="234"/>
      <c r="N15" s="234"/>
      <c r="O15" s="234"/>
      <c r="P15" s="234"/>
      <c r="Q15" s="234"/>
      <c r="R15" s="234"/>
      <c r="S15" s="234"/>
      <c r="T15" s="234"/>
      <c r="U15" s="234"/>
      <c r="V15" s="234"/>
      <c r="W15" s="234"/>
      <c r="X15" s="234"/>
      <c r="Y15" s="234"/>
      <c r="Z15" s="234"/>
      <c r="AA15" s="234"/>
      <c r="AB15" s="234"/>
      <c r="AC15" s="234"/>
      <c r="AD15" s="234"/>
      <c r="AE15" s="235"/>
      <c r="AF15" s="74"/>
      <c r="AG15" s="74"/>
      <c r="AH15" s="74"/>
      <c r="AI15" s="74"/>
      <c r="AJ15" s="74"/>
      <c r="AK15" s="74"/>
    </row>
    <row r="16" spans="1:37" ht="15" customHeight="1">
      <c r="A16" s="74"/>
      <c r="B16" s="236"/>
      <c r="C16" s="237"/>
      <c r="D16" s="237"/>
      <c r="E16" s="237"/>
      <c r="F16" s="237"/>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8"/>
      <c r="AF16" s="74"/>
      <c r="AG16" s="74"/>
      <c r="AH16" s="74"/>
      <c r="AI16" s="74"/>
      <c r="AJ16" s="74"/>
      <c r="AK16" s="74"/>
    </row>
    <row r="17" spans="1:37" ht="1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row>
    <row r="18" spans="1:37" ht="1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row>
    <row r="19" spans="1:37" ht="1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row>
    <row r="20" spans="1:37" ht="1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row>
    <row r="21" spans="1:37" ht="1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row>
    <row r="22" spans="1:37" ht="15" customHeight="1">
      <c r="A22" s="74"/>
      <c r="B22" s="224" t="s">
        <v>3</v>
      </c>
      <c r="C22" s="224"/>
      <c r="D22" s="224"/>
      <c r="E22" s="224"/>
      <c r="F22" s="224"/>
      <c r="G22" s="224"/>
      <c r="H22" s="224"/>
      <c r="I22" s="224"/>
      <c r="J22" s="224"/>
      <c r="K22" s="224"/>
      <c r="L22" s="224"/>
      <c r="M22" s="224"/>
      <c r="N22" s="224"/>
      <c r="O22" s="224"/>
      <c r="P22" s="224"/>
      <c r="Q22" s="224"/>
      <c r="R22" s="224"/>
      <c r="S22" s="224"/>
      <c r="T22" s="224"/>
      <c r="U22" s="224"/>
      <c r="V22" s="224"/>
      <c r="W22" s="224"/>
      <c r="X22" s="224"/>
      <c r="Y22" s="224"/>
      <c r="Z22" s="224"/>
      <c r="AA22" s="224"/>
      <c r="AB22" s="224"/>
      <c r="AC22" s="224"/>
      <c r="AD22" s="224"/>
      <c r="AE22" s="224"/>
      <c r="AF22" s="74"/>
      <c r="AG22" s="74"/>
      <c r="AH22" s="74"/>
      <c r="AI22" s="74"/>
      <c r="AJ22" s="74"/>
      <c r="AK22" s="74"/>
    </row>
    <row r="23" spans="1:37" ht="15" customHeight="1">
      <c r="A23" s="74"/>
      <c r="B23" s="224"/>
      <c r="C23" s="224"/>
      <c r="D23" s="224"/>
      <c r="E23" s="224"/>
      <c r="F23" s="224"/>
      <c r="G23" s="224"/>
      <c r="H23" s="224"/>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74"/>
      <c r="AG23" s="74"/>
      <c r="AH23" s="74"/>
      <c r="AI23" s="74"/>
      <c r="AJ23" s="74"/>
      <c r="AK23" s="74"/>
    </row>
    <row r="24" spans="1:37" ht="15" customHeight="1">
      <c r="A24" s="74"/>
      <c r="B24" s="239">
        <v>45546</v>
      </c>
      <c r="C24" s="239"/>
      <c r="D24" s="239"/>
      <c r="E24" s="239"/>
      <c r="F24" s="239"/>
      <c r="G24" s="239"/>
      <c r="H24" s="239"/>
      <c r="I24" s="239"/>
      <c r="J24" s="239"/>
      <c r="K24" s="239"/>
      <c r="L24" s="239"/>
      <c r="M24" s="239"/>
      <c r="N24" s="239"/>
      <c r="O24" s="239"/>
      <c r="P24" s="239"/>
      <c r="Q24" s="239"/>
      <c r="R24" s="239"/>
      <c r="S24" s="239"/>
      <c r="T24" s="239"/>
      <c r="U24" s="239"/>
      <c r="V24" s="239"/>
      <c r="W24" s="239"/>
      <c r="X24" s="239"/>
      <c r="Y24" s="239"/>
      <c r="Z24" s="239"/>
      <c r="AA24" s="239"/>
      <c r="AB24" s="239"/>
      <c r="AC24" s="239"/>
      <c r="AD24" s="239"/>
      <c r="AE24" s="239"/>
      <c r="AF24" s="74"/>
      <c r="AG24" s="74"/>
      <c r="AH24" s="74"/>
      <c r="AI24" s="74"/>
      <c r="AJ24" s="74"/>
      <c r="AK24" s="74"/>
    </row>
    <row r="25" spans="1:37" ht="15" customHeight="1">
      <c r="A25" s="74"/>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c r="Z25" s="239"/>
      <c r="AA25" s="239"/>
      <c r="AB25" s="239"/>
      <c r="AC25" s="239"/>
      <c r="AD25" s="239"/>
      <c r="AE25" s="239"/>
      <c r="AF25" s="74"/>
      <c r="AG25" s="74"/>
      <c r="AH25" s="74"/>
      <c r="AI25" s="74"/>
      <c r="AJ25" s="74"/>
      <c r="AK25" s="74"/>
    </row>
    <row r="26" spans="1:37" ht="15" customHeight="1">
      <c r="A26" s="74"/>
      <c r="B26" s="224" t="s">
        <v>4</v>
      </c>
      <c r="C26" s="224"/>
      <c r="D26" s="224"/>
      <c r="E26" s="224"/>
      <c r="F26" s="224"/>
      <c r="G26" s="224"/>
      <c r="H26" s="224"/>
      <c r="I26" s="224"/>
      <c r="J26" s="224"/>
      <c r="K26" s="224"/>
      <c r="L26" s="224"/>
      <c r="M26" s="224"/>
      <c r="N26" s="224"/>
      <c r="O26" s="224"/>
      <c r="P26" s="224"/>
      <c r="Q26" s="224"/>
      <c r="R26" s="224"/>
      <c r="S26" s="224"/>
      <c r="T26" s="224"/>
      <c r="U26" s="224"/>
      <c r="V26" s="224"/>
      <c r="W26" s="224"/>
      <c r="X26" s="224"/>
      <c r="Y26" s="224"/>
      <c r="Z26" s="224"/>
      <c r="AA26" s="224"/>
      <c r="AB26" s="224"/>
      <c r="AC26" s="224"/>
      <c r="AD26" s="224"/>
      <c r="AE26" s="224"/>
      <c r="AF26" s="74"/>
      <c r="AG26" s="74"/>
      <c r="AH26" s="74"/>
      <c r="AI26" s="74"/>
      <c r="AJ26" s="74"/>
      <c r="AK26" s="74"/>
    </row>
    <row r="27" spans="1:37" ht="15" customHeight="1">
      <c r="A27" s="74"/>
      <c r="B27" s="224"/>
      <c r="C27" s="224"/>
      <c r="D27" s="224"/>
      <c r="E27" s="224"/>
      <c r="F27" s="224"/>
      <c r="G27" s="224"/>
      <c r="H27" s="224"/>
      <c r="I27" s="224"/>
      <c r="J27" s="224"/>
      <c r="K27" s="224"/>
      <c r="L27" s="224"/>
      <c r="M27" s="224"/>
      <c r="N27" s="224"/>
      <c r="O27" s="224"/>
      <c r="P27" s="224"/>
      <c r="Q27" s="224"/>
      <c r="R27" s="224"/>
      <c r="S27" s="224"/>
      <c r="T27" s="224"/>
      <c r="U27" s="224"/>
      <c r="V27" s="224"/>
      <c r="W27" s="224"/>
      <c r="X27" s="224"/>
      <c r="Y27" s="224"/>
      <c r="Z27" s="224"/>
      <c r="AA27" s="224"/>
      <c r="AB27" s="224"/>
      <c r="AC27" s="224"/>
      <c r="AD27" s="224"/>
      <c r="AE27" s="224"/>
      <c r="AF27" s="74"/>
      <c r="AG27" s="74"/>
      <c r="AH27" s="74"/>
      <c r="AI27" s="74"/>
      <c r="AJ27" s="74"/>
      <c r="AK27" s="74"/>
    </row>
    <row r="28" spans="1:37" ht="1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row>
    <row r="29" spans="1:37" ht="15" customHeight="1">
      <c r="A29" s="74"/>
      <c r="B29" s="74"/>
      <c r="C29" s="74"/>
      <c r="D29" s="74"/>
      <c r="E29" s="74"/>
      <c r="F29" s="219" t="s">
        <v>5</v>
      </c>
      <c r="G29" s="219"/>
      <c r="H29" s="219"/>
      <c r="I29" s="219"/>
      <c r="J29" s="219"/>
      <c r="K29" s="219"/>
      <c r="L29" s="80"/>
      <c r="M29" s="80"/>
      <c r="N29" s="80"/>
      <c r="O29" s="211" t="s">
        <v>6</v>
      </c>
      <c r="P29" s="219"/>
      <c r="Q29" s="219"/>
      <c r="R29" s="219"/>
      <c r="S29" s="80"/>
      <c r="T29" s="80"/>
      <c r="U29" s="80"/>
      <c r="V29" s="74"/>
      <c r="W29" s="74"/>
      <c r="X29" s="74"/>
      <c r="Y29" s="74"/>
      <c r="Z29" s="74"/>
      <c r="AA29" s="74"/>
      <c r="AB29" s="74"/>
      <c r="AC29" s="74"/>
      <c r="AD29" s="74"/>
      <c r="AE29" s="74"/>
      <c r="AF29" s="74"/>
      <c r="AG29" s="74"/>
      <c r="AH29" s="74"/>
      <c r="AI29" s="74"/>
      <c r="AJ29" s="74"/>
      <c r="AK29" s="74"/>
    </row>
    <row r="30" spans="1:37">
      <c r="A30" s="74"/>
      <c r="B30" s="74"/>
      <c r="C30" s="74"/>
      <c r="D30" s="74"/>
      <c r="E30" s="74"/>
      <c r="F30" s="221">
        <v>45546</v>
      </c>
      <c r="G30" s="222"/>
      <c r="H30" s="222"/>
      <c r="I30" s="222"/>
      <c r="J30" s="222"/>
      <c r="K30" s="222"/>
      <c r="L30" s="81"/>
      <c r="M30" s="80"/>
      <c r="N30" s="221" t="s">
        <v>7</v>
      </c>
      <c r="O30" s="222"/>
      <c r="P30" s="222"/>
      <c r="Q30" s="222"/>
      <c r="R30" s="222"/>
      <c r="S30" s="223"/>
      <c r="T30" s="80"/>
      <c r="U30" s="80"/>
      <c r="V30" s="74"/>
      <c r="W30" s="74"/>
      <c r="X30" s="74"/>
      <c r="Y30" s="74"/>
      <c r="Z30" s="74"/>
      <c r="AA30" s="74"/>
      <c r="AB30" s="74"/>
      <c r="AC30" s="74"/>
      <c r="AD30" s="74"/>
      <c r="AE30" s="74"/>
      <c r="AF30" s="74"/>
      <c r="AG30" s="74"/>
      <c r="AH30" s="74"/>
      <c r="AI30" s="74"/>
      <c r="AJ30" s="74"/>
      <c r="AK30" s="74"/>
    </row>
    <row r="31" spans="1:37" ht="15" customHeight="1">
      <c r="A31" s="74"/>
      <c r="B31" s="74"/>
      <c r="C31" s="74"/>
      <c r="D31" s="74"/>
      <c r="E31" s="74"/>
      <c r="F31" s="204" t="s">
        <v>8</v>
      </c>
      <c r="G31" s="205"/>
      <c r="H31" s="205"/>
      <c r="I31" s="205"/>
      <c r="J31" s="205"/>
      <c r="K31" s="206"/>
      <c r="L31" s="81"/>
      <c r="M31" s="80"/>
      <c r="N31" s="204" t="s">
        <v>9</v>
      </c>
      <c r="O31" s="213"/>
      <c r="P31" s="213"/>
      <c r="Q31" s="213"/>
      <c r="R31" s="213"/>
      <c r="S31" s="214"/>
      <c r="T31" s="80"/>
      <c r="U31" s="80"/>
      <c r="V31" s="74"/>
      <c r="W31" s="74"/>
      <c r="X31" s="74"/>
      <c r="Y31" s="74"/>
      <c r="Z31" s="74"/>
      <c r="AA31" s="74"/>
      <c r="AB31" s="74"/>
      <c r="AC31" s="74"/>
      <c r="AD31" s="74"/>
      <c r="AE31" s="74"/>
      <c r="AF31" s="74"/>
      <c r="AG31" s="74"/>
      <c r="AH31" s="74"/>
      <c r="AI31" s="74"/>
      <c r="AJ31" s="74"/>
      <c r="AK31" s="74"/>
    </row>
    <row r="32" spans="1:37">
      <c r="A32" s="74"/>
      <c r="B32" s="74"/>
      <c r="C32" s="74"/>
      <c r="D32" s="74"/>
      <c r="E32" s="74"/>
      <c r="F32" s="207"/>
      <c r="G32" s="208"/>
      <c r="H32" s="208"/>
      <c r="I32" s="208"/>
      <c r="J32" s="208"/>
      <c r="K32" s="209"/>
      <c r="L32" s="81"/>
      <c r="M32" s="80"/>
      <c r="N32" s="215"/>
      <c r="O32" s="216"/>
      <c r="P32" s="216"/>
      <c r="Q32" s="216"/>
      <c r="R32" s="216"/>
      <c r="S32" s="217"/>
      <c r="T32" s="80"/>
      <c r="U32" s="80"/>
      <c r="V32" s="74"/>
      <c r="W32" s="74"/>
      <c r="X32" s="74"/>
      <c r="Y32" s="74"/>
      <c r="Z32" s="74"/>
      <c r="AA32" s="74"/>
      <c r="AB32" s="74"/>
      <c r="AC32" s="74"/>
      <c r="AD32" s="74"/>
      <c r="AE32" s="74"/>
      <c r="AF32" s="74"/>
      <c r="AG32" s="74"/>
      <c r="AH32" s="74"/>
      <c r="AI32" s="74"/>
      <c r="AJ32" s="74"/>
      <c r="AK32" s="74"/>
    </row>
    <row r="33" spans="1:37">
      <c r="A33" s="74"/>
      <c r="B33" s="74"/>
      <c r="C33" s="74"/>
      <c r="D33" s="74"/>
      <c r="E33" s="74"/>
      <c r="F33" s="207"/>
      <c r="G33" s="208"/>
      <c r="H33" s="208"/>
      <c r="I33" s="208"/>
      <c r="J33" s="208"/>
      <c r="K33" s="209"/>
      <c r="L33" s="81"/>
      <c r="M33" s="80"/>
      <c r="N33" s="215"/>
      <c r="O33" s="216"/>
      <c r="P33" s="216"/>
      <c r="Q33" s="216"/>
      <c r="R33" s="216"/>
      <c r="S33" s="217"/>
      <c r="T33" s="80"/>
      <c r="U33" s="80"/>
      <c r="V33" s="74"/>
      <c r="W33" s="74"/>
      <c r="X33" s="74"/>
      <c r="Y33" s="74"/>
      <c r="Z33" s="74"/>
      <c r="AA33" s="74"/>
      <c r="AB33" s="74"/>
      <c r="AC33" s="74"/>
      <c r="AD33" s="74"/>
      <c r="AE33" s="74"/>
      <c r="AF33" s="74"/>
      <c r="AG33" s="74"/>
      <c r="AH33" s="74"/>
      <c r="AI33" s="74"/>
      <c r="AJ33" s="74"/>
      <c r="AK33" s="74"/>
    </row>
    <row r="34" spans="1:37">
      <c r="A34" s="74"/>
      <c r="B34" s="74"/>
      <c r="C34" s="74"/>
      <c r="D34" s="74"/>
      <c r="E34" s="74"/>
      <c r="F34" s="207"/>
      <c r="G34" s="208"/>
      <c r="H34" s="208"/>
      <c r="I34" s="208"/>
      <c r="J34" s="208"/>
      <c r="K34" s="209"/>
      <c r="L34" s="81"/>
      <c r="M34" s="80"/>
      <c r="N34" s="215"/>
      <c r="O34" s="216"/>
      <c r="P34" s="216"/>
      <c r="Q34" s="216"/>
      <c r="R34" s="216"/>
      <c r="S34" s="217"/>
      <c r="T34" s="80"/>
      <c r="U34" s="80"/>
      <c r="V34" s="74"/>
      <c r="W34" s="74"/>
      <c r="X34" s="74"/>
      <c r="Y34" s="74"/>
      <c r="Z34" s="74"/>
      <c r="AA34" s="74"/>
      <c r="AB34" s="74"/>
      <c r="AC34" s="74"/>
      <c r="AD34" s="74"/>
      <c r="AE34" s="74"/>
      <c r="AF34" s="74"/>
      <c r="AG34" s="74"/>
      <c r="AH34" s="74"/>
      <c r="AI34" s="74"/>
      <c r="AJ34" s="74"/>
      <c r="AK34" s="74"/>
    </row>
    <row r="35" spans="1:37">
      <c r="A35" s="74"/>
      <c r="B35" s="74"/>
      <c r="C35" s="74"/>
      <c r="D35" s="74"/>
      <c r="E35" s="74"/>
      <c r="F35" s="210"/>
      <c r="G35" s="211"/>
      <c r="H35" s="211"/>
      <c r="I35" s="211"/>
      <c r="J35" s="211"/>
      <c r="K35" s="212"/>
      <c r="L35" s="81"/>
      <c r="M35" s="80"/>
      <c r="N35" s="218"/>
      <c r="O35" s="219"/>
      <c r="P35" s="219"/>
      <c r="Q35" s="219"/>
      <c r="R35" s="219"/>
      <c r="S35" s="220"/>
      <c r="T35" s="80"/>
      <c r="U35" s="80"/>
      <c r="V35" s="74"/>
      <c r="W35" s="74"/>
      <c r="X35" s="74"/>
      <c r="Y35" s="74"/>
      <c r="Z35" s="74"/>
      <c r="AA35" s="74"/>
      <c r="AB35" s="74"/>
      <c r="AC35" s="74"/>
      <c r="AD35" s="74"/>
      <c r="AE35" s="74"/>
      <c r="AF35" s="74"/>
      <c r="AG35" s="74"/>
      <c r="AH35" s="74"/>
      <c r="AI35" s="74"/>
      <c r="AJ35" s="74"/>
      <c r="AK35" s="74"/>
    </row>
    <row r="36" spans="1:37" ht="1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row>
    <row r="37" spans="1:37" ht="1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20"/>
  <sheetViews>
    <sheetView showGridLines="0" zoomScaleNormal="100" zoomScaleSheetLayoutView="100" workbookViewId="0">
      <pane ySplit="3" topLeftCell="A8" activePane="bottomLeft" state="frozen"/>
      <selection pane="bottomLeft" activeCell="E15" sqref="E15"/>
    </sheetView>
  </sheetViews>
  <sheetFormatPr defaultColWidth="8.77734375" defaultRowHeight="15"/>
  <cols>
    <col min="1" max="1" width="2.77734375" customWidth="1"/>
    <col min="2" max="2" width="3.77734375" bestFit="1" customWidth="1"/>
    <col min="3" max="3" width="16" bestFit="1" customWidth="1"/>
    <col min="4" max="4" width="12.21875" style="71" bestFit="1" customWidth="1"/>
    <col min="5" max="5" width="24.44140625" bestFit="1" customWidth="1"/>
    <col min="6" max="7" width="12.21875" style="71" bestFit="1" customWidth="1"/>
    <col min="8" max="8" width="68.21875" bestFit="1" customWidth="1"/>
    <col min="9" max="9" width="59.21875" customWidth="1"/>
    <col min="10" max="10" width="19.6640625" customWidth="1"/>
  </cols>
  <sheetData>
    <row r="1" spans="1:10" ht="19.5">
      <c r="A1" s="61" t="s">
        <v>10</v>
      </c>
      <c r="E1" s="9"/>
    </row>
    <row r="3" spans="1:10">
      <c r="B3" s="62" t="s">
        <v>11</v>
      </c>
      <c r="C3" s="62" t="s">
        <v>12</v>
      </c>
      <c r="D3" s="72" t="s">
        <v>13</v>
      </c>
      <c r="E3" s="62" t="s">
        <v>14</v>
      </c>
      <c r="F3" s="72" t="s">
        <v>15</v>
      </c>
      <c r="G3" s="72" t="s">
        <v>16</v>
      </c>
      <c r="H3" s="62" t="s">
        <v>17</v>
      </c>
      <c r="I3" s="62" t="s">
        <v>18</v>
      </c>
    </row>
    <row r="4" spans="1:10" ht="30">
      <c r="B4" s="60">
        <f t="shared" ref="B4:B19" si="0">ROW()-3</f>
        <v>1</v>
      </c>
      <c r="C4" s="60" t="s">
        <v>19</v>
      </c>
      <c r="D4" s="82" t="s">
        <v>20</v>
      </c>
      <c r="E4" s="83" t="s">
        <v>21</v>
      </c>
      <c r="F4" s="82" t="s">
        <v>22</v>
      </c>
      <c r="G4" s="89">
        <v>45644</v>
      </c>
      <c r="H4" s="84" t="s">
        <v>23</v>
      </c>
      <c r="I4" s="84" t="s">
        <v>24</v>
      </c>
      <c r="J4" s="63"/>
    </row>
    <row r="5" spans="1:10" ht="45">
      <c r="B5" s="60">
        <f t="shared" si="0"/>
        <v>2</v>
      </c>
      <c r="C5" s="60" t="s">
        <v>19</v>
      </c>
      <c r="D5" s="82" t="s">
        <v>20</v>
      </c>
      <c r="E5" s="83" t="s">
        <v>25</v>
      </c>
      <c r="F5" s="82"/>
      <c r="G5" s="82"/>
      <c r="H5" s="84" t="s">
        <v>26</v>
      </c>
      <c r="I5" s="84" t="s">
        <v>27</v>
      </c>
      <c r="J5" s="63"/>
    </row>
    <row r="6" spans="1:10" ht="30">
      <c r="B6" s="60">
        <f t="shared" si="0"/>
        <v>3</v>
      </c>
      <c r="C6" s="60" t="s">
        <v>19</v>
      </c>
      <c r="D6" s="82" t="s">
        <v>20</v>
      </c>
      <c r="E6" s="83" t="s">
        <v>28</v>
      </c>
      <c r="F6" s="82"/>
      <c r="G6" s="82"/>
      <c r="H6" s="84" t="s">
        <v>29</v>
      </c>
      <c r="I6" s="84" t="s">
        <v>30</v>
      </c>
      <c r="J6" s="63"/>
    </row>
    <row r="7" spans="1:10" ht="30">
      <c r="B7" s="60">
        <f t="shared" si="0"/>
        <v>4</v>
      </c>
      <c r="C7" s="60" t="s">
        <v>19</v>
      </c>
      <c r="D7" s="82" t="s">
        <v>20</v>
      </c>
      <c r="E7" s="83" t="s">
        <v>31</v>
      </c>
      <c r="F7" s="82" t="s">
        <v>32</v>
      </c>
      <c r="G7" s="89">
        <v>45601</v>
      </c>
      <c r="H7" s="84" t="s">
        <v>33</v>
      </c>
      <c r="I7" s="84" t="s">
        <v>34</v>
      </c>
      <c r="J7" s="63"/>
    </row>
    <row r="8" spans="1:10" ht="45">
      <c r="B8" s="60">
        <f t="shared" si="0"/>
        <v>5</v>
      </c>
      <c r="C8" s="60" t="s">
        <v>19</v>
      </c>
      <c r="D8" s="82" t="s">
        <v>20</v>
      </c>
      <c r="E8" s="83" t="s">
        <v>35</v>
      </c>
      <c r="F8" s="82" t="s">
        <v>32</v>
      </c>
      <c r="G8" s="89">
        <v>45601</v>
      </c>
      <c r="H8" s="84" t="s">
        <v>36</v>
      </c>
      <c r="I8" s="84" t="s">
        <v>37</v>
      </c>
      <c r="J8" s="63"/>
    </row>
    <row r="9" spans="1:10">
      <c r="B9" s="85">
        <f t="shared" si="0"/>
        <v>6</v>
      </c>
      <c r="C9" s="85" t="s">
        <v>19</v>
      </c>
      <c r="D9" s="86" t="s">
        <v>20</v>
      </c>
      <c r="E9" s="85" t="s">
        <v>38</v>
      </c>
      <c r="F9" s="86"/>
      <c r="G9" s="86"/>
      <c r="H9" s="87" t="s">
        <v>39</v>
      </c>
      <c r="I9" s="87" t="s">
        <v>39</v>
      </c>
      <c r="J9" s="63"/>
    </row>
    <row r="10" spans="1:10">
      <c r="B10" s="85">
        <f t="shared" si="0"/>
        <v>7</v>
      </c>
      <c r="C10" s="85" t="s">
        <v>19</v>
      </c>
      <c r="D10" s="86" t="s">
        <v>20</v>
      </c>
      <c r="E10" s="85" t="s">
        <v>40</v>
      </c>
      <c r="F10" s="86"/>
      <c r="G10" s="86"/>
      <c r="H10" s="87" t="s">
        <v>39</v>
      </c>
      <c r="I10" s="87" t="s">
        <v>39</v>
      </c>
      <c r="J10" s="63"/>
    </row>
    <row r="11" spans="1:10" ht="30">
      <c r="B11" s="60">
        <f t="shared" si="0"/>
        <v>8</v>
      </c>
      <c r="C11" s="60" t="s">
        <v>19</v>
      </c>
      <c r="D11" s="82" t="s">
        <v>20</v>
      </c>
      <c r="E11" s="83" t="s">
        <v>41</v>
      </c>
      <c r="F11" s="82" t="s">
        <v>32</v>
      </c>
      <c r="G11" s="89">
        <v>45630</v>
      </c>
      <c r="H11" s="84" t="s">
        <v>42</v>
      </c>
      <c r="I11" s="84" t="s">
        <v>43</v>
      </c>
      <c r="J11" s="63"/>
    </row>
    <row r="12" spans="1:10" ht="45">
      <c r="B12" s="60">
        <f t="shared" si="0"/>
        <v>9</v>
      </c>
      <c r="C12" s="60" t="s">
        <v>19</v>
      </c>
      <c r="D12" s="82" t="s">
        <v>20</v>
      </c>
      <c r="E12" s="83" t="s">
        <v>44</v>
      </c>
      <c r="F12" s="82" t="s">
        <v>32</v>
      </c>
      <c r="G12" s="89">
        <v>45630</v>
      </c>
      <c r="H12" s="84" t="s">
        <v>45</v>
      </c>
      <c r="I12" s="84" t="s">
        <v>46</v>
      </c>
      <c r="J12" s="63"/>
    </row>
    <row r="13" spans="1:10" ht="30">
      <c r="B13" s="60">
        <f t="shared" si="0"/>
        <v>10</v>
      </c>
      <c r="C13" s="60" t="s">
        <v>19</v>
      </c>
      <c r="D13" s="82" t="s">
        <v>20</v>
      </c>
      <c r="E13" s="83" t="s">
        <v>47</v>
      </c>
      <c r="F13" s="82" t="s">
        <v>32</v>
      </c>
      <c r="G13" s="82" t="s">
        <v>48</v>
      </c>
      <c r="H13" s="84" t="s">
        <v>49</v>
      </c>
      <c r="I13" s="84" t="s">
        <v>50</v>
      </c>
      <c r="J13" s="63"/>
    </row>
    <row r="14" spans="1:10">
      <c r="B14" s="85">
        <f t="shared" si="0"/>
        <v>11</v>
      </c>
      <c r="C14" s="85" t="s">
        <v>19</v>
      </c>
      <c r="D14" s="86" t="s">
        <v>20</v>
      </c>
      <c r="E14" s="85" t="s">
        <v>51</v>
      </c>
      <c r="F14" s="86"/>
      <c r="G14" s="86"/>
      <c r="H14" s="87" t="s">
        <v>39</v>
      </c>
      <c r="I14" s="87" t="s">
        <v>39</v>
      </c>
      <c r="J14" s="63"/>
    </row>
    <row r="15" spans="1:10" ht="30">
      <c r="B15" s="60">
        <f t="shared" si="0"/>
        <v>12</v>
      </c>
      <c r="C15" s="60" t="s">
        <v>19</v>
      </c>
      <c r="D15" s="82" t="s">
        <v>20</v>
      </c>
      <c r="E15" s="83" t="s">
        <v>52</v>
      </c>
      <c r="F15" s="82"/>
      <c r="G15" s="82"/>
      <c r="H15" s="84" t="s">
        <v>53</v>
      </c>
      <c r="I15" s="84" t="s">
        <v>54</v>
      </c>
      <c r="J15" s="63"/>
    </row>
    <row r="16" spans="1:10">
      <c r="B16" s="85">
        <f t="shared" si="0"/>
        <v>13</v>
      </c>
      <c r="C16" s="85" t="s">
        <v>19</v>
      </c>
      <c r="D16" s="86" t="s">
        <v>20</v>
      </c>
      <c r="E16" s="85" t="s">
        <v>55</v>
      </c>
      <c r="F16" s="86"/>
      <c r="G16" s="86"/>
      <c r="H16" s="87" t="s">
        <v>39</v>
      </c>
      <c r="I16" s="87" t="s">
        <v>39</v>
      </c>
      <c r="J16" s="63"/>
    </row>
    <row r="17" spans="2:10" ht="45">
      <c r="B17" s="60">
        <f t="shared" si="0"/>
        <v>14</v>
      </c>
      <c r="C17" s="60" t="s">
        <v>56</v>
      </c>
      <c r="D17" s="88" t="s">
        <v>57</v>
      </c>
      <c r="E17" s="83" t="s">
        <v>58</v>
      </c>
      <c r="F17" s="82" t="s">
        <v>32</v>
      </c>
      <c r="G17" s="186">
        <v>45770</v>
      </c>
      <c r="H17" s="84" t="s">
        <v>59</v>
      </c>
      <c r="I17" s="84" t="s">
        <v>60</v>
      </c>
      <c r="J17" s="63"/>
    </row>
    <row r="18" spans="2:10" ht="30">
      <c r="B18" s="60">
        <f t="shared" si="0"/>
        <v>15</v>
      </c>
      <c r="C18" s="60" t="s">
        <v>56</v>
      </c>
      <c r="D18" s="88" t="s">
        <v>57</v>
      </c>
      <c r="E18" s="83" t="s">
        <v>61</v>
      </c>
      <c r="F18" s="82" t="s">
        <v>32</v>
      </c>
      <c r="G18" s="186">
        <v>45635</v>
      </c>
      <c r="H18" s="84"/>
      <c r="I18" s="84" t="s">
        <v>62</v>
      </c>
      <c r="J18" s="63"/>
    </row>
    <row r="19" spans="2:10" ht="45">
      <c r="B19" s="60">
        <f t="shared" si="0"/>
        <v>16</v>
      </c>
      <c r="C19" s="60" t="s">
        <v>56</v>
      </c>
      <c r="D19" s="88" t="s">
        <v>57</v>
      </c>
      <c r="E19" s="83" t="s">
        <v>63</v>
      </c>
      <c r="F19" s="82" t="s">
        <v>32</v>
      </c>
      <c r="G19" s="186">
        <v>45635</v>
      </c>
      <c r="H19" s="84"/>
      <c r="I19" s="84" t="s">
        <v>64</v>
      </c>
      <c r="J19" s="63"/>
    </row>
    <row r="20" spans="2:10">
      <c r="H20" s="42"/>
    </row>
  </sheetData>
  <phoneticPr fontId="12"/>
  <dataValidations count="1">
    <dataValidation type="list" allowBlank="1" showInputMessage="1" showErrorMessage="1" sqref="D4:D19" xr:uid="{6376AE48-76DB-420D-9EEF-81D72B62136E}">
      <formula1>"共通,個別"</formula1>
    </dataValidation>
  </dataValidations>
  <hyperlinks>
    <hyperlink ref="E4" location="法人!A1" display="法人" xr:uid="{CCF651ED-525C-4C29-94F3-2688366F18C4}"/>
    <hyperlink ref="E5" location="グローバルアドレス帳パラメーター!A1" display="グローバルアドレス帳パラメーター" xr:uid="{CB3D5D29-C153-484E-B961-8353041CECC7}"/>
    <hyperlink ref="E6" location="アドレス帳!A1" display="アドレス帳" xr:uid="{EDB331C3-9841-4377-8C59-158C08F4FC63}"/>
    <hyperlink ref="E7" location="名前の順序!A1" display="名前の順序" xr:uid="{5B1B70CE-C5DC-4D8E-BE21-6A29D11F825F}"/>
    <hyperlink ref="E8" location="住所と連絡先情報の目的!A1" display="住所と連絡先情報の目的" xr:uid="{62C8B0C9-364B-48CA-94CF-360AB0F222C6}"/>
    <hyperlink ref="E11" location="組織階層!A1" display="組織階層" xr:uid="{E9A1CC0F-8795-4565-B900-0C156F7EAEC0}"/>
    <hyperlink ref="E12" location="組織階層の目的!A1" display="組織階層の目的" xr:uid="{AD2FCCA5-FEC8-49FE-9A9C-06D249C1D76B}"/>
    <hyperlink ref="E13" location="番号順序!A1" display="番号順序" xr:uid="{CEEDC4BF-0974-45F0-BDAC-B32314002E4A}"/>
    <hyperlink ref="E15" location="'ドキュメント タイプ'!A1" display="ドキュメント タイプ" xr:uid="{9C73F332-F44C-44F0-A875-FE04D434E1ED}"/>
    <hyperlink ref="E17" location="'組織の電子メール テンプレート'!A1" display="組織の電子メールテンプレート" xr:uid="{E69487F6-2F07-4956-AB70-81C71597E688}"/>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763E-E08D-4172-A62E-364FB86B6246}">
  <sheetPr codeName="Sheet121"/>
  <dimension ref="A1:L171"/>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38" customWidth="1"/>
    <col min="2" max="2" width="3.77734375" style="38" bestFit="1" customWidth="1"/>
    <col min="3" max="3" width="16.77734375" style="38" customWidth="1"/>
    <col min="4" max="4" width="19.21875" style="38" customWidth="1"/>
    <col min="5" max="5" width="8.77734375" style="38" bestFit="1" customWidth="1"/>
    <col min="6" max="6" width="21" style="38" customWidth="1"/>
    <col min="7" max="7" width="44.6640625" style="38" customWidth="1"/>
    <col min="8" max="8" width="27.5546875" style="38" customWidth="1"/>
    <col min="9" max="9" width="17.44140625" style="38" customWidth="1"/>
    <col min="10" max="10" width="22.44140625" style="38" customWidth="1"/>
    <col min="11" max="11" width="18.21875" style="38" customWidth="1"/>
    <col min="12" max="12" width="13.21875" style="38" customWidth="1"/>
    <col min="13" max="16384" width="8.77734375" style="38"/>
  </cols>
  <sheetData>
    <row r="1" spans="1:12" customFormat="1" ht="19.5">
      <c r="A1" s="7" t="s">
        <v>21</v>
      </c>
    </row>
    <row r="2" spans="1:12" customFormat="1" ht="15">
      <c r="B2" t="s">
        <v>65</v>
      </c>
    </row>
    <row r="3" spans="1:12" customFormat="1" ht="15">
      <c r="B3" t="s">
        <v>66</v>
      </c>
    </row>
    <row r="4" spans="1:12" customFormat="1" ht="15">
      <c r="A4" s="9" t="s">
        <v>67</v>
      </c>
    </row>
    <row r="5" spans="1:12">
      <c r="B5" s="10" t="s">
        <v>68</v>
      </c>
      <c r="C5" s="10" t="s">
        <v>69</v>
      </c>
      <c r="D5" s="10" t="s">
        <v>70</v>
      </c>
      <c r="E5" s="10" t="s">
        <v>71</v>
      </c>
      <c r="F5" s="18" t="s">
        <v>72</v>
      </c>
      <c r="G5" s="18" t="s">
        <v>73</v>
      </c>
      <c r="H5" s="10" t="s">
        <v>74</v>
      </c>
      <c r="I5" s="10" t="s">
        <v>75</v>
      </c>
      <c r="J5" s="10" t="s">
        <v>76</v>
      </c>
      <c r="K5" s="12" t="s">
        <v>77</v>
      </c>
      <c r="L5" s="12" t="s">
        <v>78</v>
      </c>
    </row>
    <row r="6" spans="1:12">
      <c r="B6" s="19">
        <f>ROW() - 5</f>
        <v>1</v>
      </c>
      <c r="C6" s="14" t="s">
        <v>79</v>
      </c>
      <c r="D6" s="14"/>
      <c r="E6" s="14"/>
      <c r="F6" s="20" t="s">
        <v>80</v>
      </c>
      <c r="G6" s="20"/>
      <c r="H6" s="20" t="s">
        <v>81</v>
      </c>
      <c r="I6" s="21" t="s">
        <v>82</v>
      </c>
      <c r="J6" s="21"/>
      <c r="K6" s="16" t="s">
        <v>83</v>
      </c>
      <c r="L6" s="22"/>
    </row>
    <row r="7" spans="1:12" ht="94.5">
      <c r="B7" s="19">
        <f t="shared" ref="B7:B81" si="0">ROW() - 5</f>
        <v>2</v>
      </c>
      <c r="C7" s="73"/>
      <c r="D7" s="73"/>
      <c r="E7" s="73"/>
      <c r="F7" s="20" t="s">
        <v>84</v>
      </c>
      <c r="G7" s="20" t="s">
        <v>85</v>
      </c>
      <c r="H7" s="20" t="s">
        <v>81</v>
      </c>
      <c r="I7" s="21" t="s">
        <v>82</v>
      </c>
      <c r="J7" s="21" t="s">
        <v>86</v>
      </c>
      <c r="K7" s="1" t="s">
        <v>83</v>
      </c>
      <c r="L7" s="2"/>
    </row>
    <row r="8" spans="1:12">
      <c r="B8" s="19">
        <f t="shared" si="0"/>
        <v>3</v>
      </c>
      <c r="C8" s="73"/>
      <c r="D8" s="73"/>
      <c r="E8" s="17"/>
      <c r="F8" s="23" t="s">
        <v>87</v>
      </c>
      <c r="G8" s="23"/>
      <c r="H8" s="20" t="s">
        <v>81</v>
      </c>
      <c r="I8" s="15" t="s">
        <v>82</v>
      </c>
      <c r="J8" s="15"/>
      <c r="K8" s="1" t="s">
        <v>83</v>
      </c>
      <c r="L8" s="2"/>
    </row>
    <row r="9" spans="1:12">
      <c r="B9" s="19">
        <f t="shared" si="0"/>
        <v>4</v>
      </c>
      <c r="C9" s="24" t="s">
        <v>88</v>
      </c>
      <c r="D9" s="24"/>
      <c r="E9" s="24"/>
      <c r="F9" s="25" t="s">
        <v>89</v>
      </c>
      <c r="G9" s="25" t="s">
        <v>90</v>
      </c>
      <c r="H9" s="20" t="s">
        <v>81</v>
      </c>
      <c r="I9" s="26" t="s">
        <v>82</v>
      </c>
      <c r="J9" s="26"/>
      <c r="K9" s="1" t="s">
        <v>83</v>
      </c>
      <c r="L9" s="2"/>
    </row>
    <row r="10" spans="1:12">
      <c r="B10" s="19">
        <f t="shared" si="0"/>
        <v>5</v>
      </c>
      <c r="C10" s="27"/>
      <c r="D10" s="27"/>
      <c r="E10" s="27"/>
      <c r="F10" s="28" t="s">
        <v>91</v>
      </c>
      <c r="G10" s="28"/>
      <c r="H10" s="20" t="s">
        <v>81</v>
      </c>
      <c r="I10" s="28" t="s">
        <v>82</v>
      </c>
      <c r="J10" s="28"/>
      <c r="K10" s="1" t="s">
        <v>83</v>
      </c>
      <c r="L10" s="2"/>
    </row>
    <row r="11" spans="1:12" ht="27">
      <c r="B11" s="19">
        <f t="shared" si="0"/>
        <v>6</v>
      </c>
      <c r="C11" s="27"/>
      <c r="D11" s="27"/>
      <c r="E11" s="27"/>
      <c r="F11" s="25" t="s">
        <v>92</v>
      </c>
      <c r="G11" s="25" t="s">
        <v>93</v>
      </c>
      <c r="H11" s="20" t="s">
        <v>94</v>
      </c>
      <c r="I11" s="26" t="s">
        <v>95</v>
      </c>
      <c r="J11" s="44" t="s">
        <v>96</v>
      </c>
      <c r="K11" s="1" t="s">
        <v>83</v>
      </c>
      <c r="L11" s="2"/>
    </row>
    <row r="12" spans="1:12" ht="27">
      <c r="B12" s="19">
        <f t="shared" si="0"/>
        <v>7</v>
      </c>
      <c r="C12" s="27"/>
      <c r="D12" s="27"/>
      <c r="E12" s="27"/>
      <c r="F12" s="25" t="s">
        <v>97</v>
      </c>
      <c r="G12" s="25" t="s">
        <v>98</v>
      </c>
      <c r="H12" s="20" t="s">
        <v>94</v>
      </c>
      <c r="I12" s="26" t="s">
        <v>95</v>
      </c>
      <c r="J12" s="26"/>
      <c r="K12" s="1" t="s">
        <v>83</v>
      </c>
      <c r="L12" s="2"/>
    </row>
    <row r="13" spans="1:12" ht="40.5">
      <c r="B13" s="19">
        <f t="shared" si="0"/>
        <v>8</v>
      </c>
      <c r="C13" s="27"/>
      <c r="D13" s="27"/>
      <c r="E13" s="27"/>
      <c r="F13" s="28" t="s">
        <v>99</v>
      </c>
      <c r="G13" s="28" t="s">
        <v>100</v>
      </c>
      <c r="H13" s="20" t="s">
        <v>94</v>
      </c>
      <c r="I13" s="26" t="s">
        <v>95</v>
      </c>
      <c r="J13" s="29"/>
      <c r="K13" s="1" t="s">
        <v>83</v>
      </c>
      <c r="L13" s="1"/>
    </row>
    <row r="14" spans="1:12">
      <c r="B14" s="19">
        <f t="shared" si="0"/>
        <v>9</v>
      </c>
      <c r="C14" s="27"/>
      <c r="D14" s="27"/>
      <c r="E14" s="27"/>
      <c r="F14" s="28" t="s">
        <v>101</v>
      </c>
      <c r="G14" s="28"/>
      <c r="H14" s="25"/>
      <c r="I14" s="29" t="s">
        <v>82</v>
      </c>
      <c r="J14" s="29"/>
      <c r="K14" s="1" t="s">
        <v>83</v>
      </c>
      <c r="L14" s="2"/>
    </row>
    <row r="15" spans="1:12">
      <c r="B15" s="19">
        <f t="shared" si="0"/>
        <v>10</v>
      </c>
      <c r="C15" s="27"/>
      <c r="D15" s="27"/>
      <c r="E15" s="27"/>
      <c r="F15" s="26" t="s">
        <v>102</v>
      </c>
      <c r="G15" s="26"/>
      <c r="H15" s="25" t="s">
        <v>103</v>
      </c>
      <c r="I15" s="29" t="s">
        <v>82</v>
      </c>
      <c r="J15" s="26"/>
      <c r="K15" s="1" t="s">
        <v>83</v>
      </c>
      <c r="L15" s="2"/>
    </row>
    <row r="16" spans="1:12">
      <c r="B16" s="19">
        <f t="shared" si="0"/>
        <v>11</v>
      </c>
      <c r="C16" s="27"/>
      <c r="D16" s="27"/>
      <c r="E16" s="27"/>
      <c r="F16" s="26" t="s">
        <v>104</v>
      </c>
      <c r="G16" s="26"/>
      <c r="H16" s="25" t="s">
        <v>105</v>
      </c>
      <c r="I16" s="29" t="s">
        <v>106</v>
      </c>
      <c r="J16" s="26"/>
      <c r="K16" s="1" t="s">
        <v>83</v>
      </c>
      <c r="L16" s="2"/>
    </row>
    <row r="17" spans="2:12">
      <c r="B17" s="19">
        <f t="shared" si="0"/>
        <v>12</v>
      </c>
      <c r="C17" s="27"/>
      <c r="D17" s="27"/>
      <c r="E17" s="27"/>
      <c r="F17" s="26" t="s">
        <v>107</v>
      </c>
      <c r="G17" s="26"/>
      <c r="H17" s="25" t="s">
        <v>108</v>
      </c>
      <c r="I17" s="29" t="s">
        <v>82</v>
      </c>
      <c r="J17" s="26"/>
      <c r="K17" s="1" t="s">
        <v>83</v>
      </c>
      <c r="L17" s="2"/>
    </row>
    <row r="18" spans="2:12">
      <c r="B18" s="19">
        <f t="shared" si="0"/>
        <v>13</v>
      </c>
      <c r="C18" s="24" t="s">
        <v>109</v>
      </c>
      <c r="D18" s="24"/>
      <c r="E18" s="24"/>
      <c r="F18" s="26" t="s">
        <v>110</v>
      </c>
      <c r="G18" s="26"/>
      <c r="H18" s="20" t="s">
        <v>81</v>
      </c>
      <c r="I18" s="29" t="s">
        <v>82</v>
      </c>
      <c r="J18" s="26"/>
      <c r="K18" s="1" t="s">
        <v>83</v>
      </c>
      <c r="L18" s="2"/>
    </row>
    <row r="19" spans="2:12" ht="94.5">
      <c r="B19" s="19">
        <f t="shared" si="0"/>
        <v>14</v>
      </c>
      <c r="C19" s="27"/>
      <c r="D19" s="27"/>
      <c r="E19" s="27"/>
      <c r="F19" s="26" t="s">
        <v>111</v>
      </c>
      <c r="G19" s="26" t="s">
        <v>112</v>
      </c>
      <c r="H19" s="20" t="s">
        <v>81</v>
      </c>
      <c r="I19" s="29" t="s">
        <v>82</v>
      </c>
      <c r="J19" s="26" t="s">
        <v>113</v>
      </c>
      <c r="K19" s="1" t="s">
        <v>83</v>
      </c>
      <c r="L19" s="2"/>
    </row>
    <row r="20" spans="2:12" ht="243">
      <c r="B20" s="19">
        <f t="shared" si="0"/>
        <v>15</v>
      </c>
      <c r="C20" s="27"/>
      <c r="D20" s="27"/>
      <c r="E20" s="27"/>
      <c r="F20" s="26" t="s">
        <v>114</v>
      </c>
      <c r="G20" s="26"/>
      <c r="H20" s="26" t="s">
        <v>115</v>
      </c>
      <c r="I20" s="29" t="s">
        <v>82</v>
      </c>
      <c r="J20" s="26"/>
      <c r="K20" s="1" t="s">
        <v>83</v>
      </c>
      <c r="L20" s="2"/>
    </row>
    <row r="21" spans="2:12">
      <c r="B21" s="19">
        <f t="shared" si="0"/>
        <v>16</v>
      </c>
      <c r="C21" s="27"/>
      <c r="D21" s="27"/>
      <c r="E21" s="30"/>
      <c r="F21" s="26" t="s">
        <v>116</v>
      </c>
      <c r="G21" s="26"/>
      <c r="H21" s="26" t="s">
        <v>94</v>
      </c>
      <c r="I21" s="29" t="s">
        <v>82</v>
      </c>
      <c r="J21" s="26"/>
      <c r="K21" s="1" t="s">
        <v>83</v>
      </c>
      <c r="L21" s="2"/>
    </row>
    <row r="22" spans="2:12">
      <c r="B22" s="19">
        <f t="shared" si="0"/>
        <v>17</v>
      </c>
      <c r="C22" s="27"/>
      <c r="D22" s="27"/>
      <c r="E22" s="27" t="s">
        <v>117</v>
      </c>
      <c r="F22" s="26" t="s">
        <v>118</v>
      </c>
      <c r="G22" s="26"/>
      <c r="H22" s="26" t="s">
        <v>81</v>
      </c>
      <c r="I22" s="29" t="s">
        <v>82</v>
      </c>
      <c r="J22" s="26"/>
      <c r="K22" s="1" t="s">
        <v>83</v>
      </c>
      <c r="L22" s="2"/>
    </row>
    <row r="23" spans="2:12">
      <c r="B23" s="19">
        <f t="shared" si="0"/>
        <v>18</v>
      </c>
      <c r="C23" s="27"/>
      <c r="D23" s="27"/>
      <c r="E23" s="27"/>
      <c r="F23" s="26" t="s">
        <v>110</v>
      </c>
      <c r="G23" s="26"/>
      <c r="H23" s="26" t="s">
        <v>81</v>
      </c>
      <c r="I23" s="29" t="s">
        <v>82</v>
      </c>
      <c r="J23" s="26"/>
      <c r="K23" s="1" t="s">
        <v>83</v>
      </c>
      <c r="L23" s="2"/>
    </row>
    <row r="24" spans="2:12" ht="250.35" customHeight="1">
      <c r="B24" s="19">
        <f t="shared" si="0"/>
        <v>19</v>
      </c>
      <c r="C24" s="27"/>
      <c r="D24" s="27"/>
      <c r="E24" s="27"/>
      <c r="F24" s="26" t="s">
        <v>114</v>
      </c>
      <c r="G24" s="26"/>
      <c r="H24" s="26" t="s">
        <v>119</v>
      </c>
      <c r="I24" s="29" t="s">
        <v>82</v>
      </c>
      <c r="J24" s="26"/>
      <c r="K24" s="1" t="s">
        <v>120</v>
      </c>
      <c r="L24" s="2"/>
    </row>
    <row r="25" spans="2:12">
      <c r="B25" s="19">
        <f t="shared" si="0"/>
        <v>20</v>
      </c>
      <c r="C25" s="27"/>
      <c r="D25" s="27"/>
      <c r="E25" s="27"/>
      <c r="F25" s="26" t="s">
        <v>121</v>
      </c>
      <c r="G25" s="26"/>
      <c r="H25" s="26" t="s">
        <v>122</v>
      </c>
      <c r="I25" s="29" t="s">
        <v>82</v>
      </c>
      <c r="J25" s="26" t="s">
        <v>123</v>
      </c>
      <c r="K25" s="1" t="s">
        <v>120</v>
      </c>
      <c r="L25" s="2"/>
    </row>
    <row r="26" spans="2:12">
      <c r="B26" s="19">
        <f t="shared" si="0"/>
        <v>21</v>
      </c>
      <c r="C26" s="27"/>
      <c r="D26" s="27"/>
      <c r="E26" s="27"/>
      <c r="F26" s="26" t="s">
        <v>124</v>
      </c>
      <c r="G26" s="26"/>
      <c r="H26" s="26" t="s">
        <v>125</v>
      </c>
      <c r="I26" s="29" t="s">
        <v>82</v>
      </c>
      <c r="J26" s="26" t="s">
        <v>123</v>
      </c>
      <c r="K26" s="1" t="s">
        <v>120</v>
      </c>
      <c r="L26" s="2"/>
    </row>
    <row r="27" spans="2:12">
      <c r="B27" s="19">
        <f t="shared" si="0"/>
        <v>22</v>
      </c>
      <c r="C27" s="27"/>
      <c r="D27" s="27"/>
      <c r="E27" s="27"/>
      <c r="F27" s="26" t="s">
        <v>111</v>
      </c>
      <c r="G27" s="26"/>
      <c r="H27" s="26" t="s">
        <v>81</v>
      </c>
      <c r="I27" s="29" t="s">
        <v>82</v>
      </c>
      <c r="J27" s="26" t="s">
        <v>123</v>
      </c>
      <c r="K27" s="1" t="s">
        <v>120</v>
      </c>
      <c r="L27" s="2"/>
    </row>
    <row r="28" spans="2:12" ht="27">
      <c r="B28" s="19">
        <f t="shared" si="0"/>
        <v>23</v>
      </c>
      <c r="C28" s="27"/>
      <c r="D28" s="27"/>
      <c r="E28" s="27"/>
      <c r="F28" s="26" t="s">
        <v>126</v>
      </c>
      <c r="G28" s="26"/>
      <c r="H28" s="26" t="s">
        <v>81</v>
      </c>
      <c r="I28" s="29" t="s">
        <v>82</v>
      </c>
      <c r="J28" s="26" t="s">
        <v>123</v>
      </c>
      <c r="K28" s="1" t="s">
        <v>120</v>
      </c>
      <c r="L28" s="2"/>
    </row>
    <row r="29" spans="2:12">
      <c r="B29" s="19">
        <f t="shared" si="0"/>
        <v>24</v>
      </c>
      <c r="C29" s="27"/>
      <c r="D29" s="27"/>
      <c r="E29" s="27"/>
      <c r="F29" s="26" t="s">
        <v>127</v>
      </c>
      <c r="G29" s="26"/>
      <c r="H29" s="26" t="s">
        <v>81</v>
      </c>
      <c r="I29" s="29" t="s">
        <v>82</v>
      </c>
      <c r="J29" s="26" t="s">
        <v>123</v>
      </c>
      <c r="K29" s="1" t="s">
        <v>120</v>
      </c>
      <c r="L29" s="2"/>
    </row>
    <row r="30" spans="2:12">
      <c r="B30" s="19">
        <f t="shared" si="0"/>
        <v>25</v>
      </c>
      <c r="C30" s="27"/>
      <c r="D30" s="27"/>
      <c r="E30" s="27"/>
      <c r="F30" s="26" t="s">
        <v>128</v>
      </c>
      <c r="G30" s="26"/>
      <c r="H30" s="26" t="s">
        <v>81</v>
      </c>
      <c r="I30" s="29" t="s">
        <v>82</v>
      </c>
      <c r="J30" s="26" t="s">
        <v>123</v>
      </c>
      <c r="K30" s="1" t="s">
        <v>120</v>
      </c>
      <c r="L30" s="2"/>
    </row>
    <row r="31" spans="2:12">
      <c r="B31" s="19">
        <f t="shared" si="0"/>
        <v>26</v>
      </c>
      <c r="C31" s="27"/>
      <c r="D31" s="27"/>
      <c r="E31" s="27"/>
      <c r="F31" s="26" t="s">
        <v>129</v>
      </c>
      <c r="G31" s="26"/>
      <c r="H31" s="26" t="s">
        <v>81</v>
      </c>
      <c r="I31" s="29" t="s">
        <v>82</v>
      </c>
      <c r="J31" s="26" t="s">
        <v>123</v>
      </c>
      <c r="K31" s="1" t="s">
        <v>120</v>
      </c>
      <c r="L31" s="2"/>
    </row>
    <row r="32" spans="2:12">
      <c r="B32" s="19">
        <f t="shared" si="0"/>
        <v>27</v>
      </c>
      <c r="C32" s="27"/>
      <c r="D32" s="27"/>
      <c r="E32" s="27"/>
      <c r="F32" s="26" t="s">
        <v>130</v>
      </c>
      <c r="G32" s="26"/>
      <c r="H32" s="26" t="s">
        <v>81</v>
      </c>
      <c r="I32" s="29" t="s">
        <v>82</v>
      </c>
      <c r="J32" s="26" t="s">
        <v>123</v>
      </c>
      <c r="K32" s="1" t="s">
        <v>120</v>
      </c>
      <c r="L32" s="2"/>
    </row>
    <row r="33" spans="2:12">
      <c r="B33" s="19">
        <f t="shared" si="0"/>
        <v>28</v>
      </c>
      <c r="C33" s="27"/>
      <c r="D33" s="27"/>
      <c r="E33" s="27"/>
      <c r="F33" s="26" t="s">
        <v>116</v>
      </c>
      <c r="G33" s="26"/>
      <c r="H33" s="26" t="s">
        <v>94</v>
      </c>
      <c r="I33" s="29" t="s">
        <v>82</v>
      </c>
      <c r="J33" s="26"/>
      <c r="K33" s="1" t="s">
        <v>120</v>
      </c>
      <c r="L33" s="2"/>
    </row>
    <row r="34" spans="2:12">
      <c r="B34" s="19">
        <f t="shared" si="0"/>
        <v>29</v>
      </c>
      <c r="C34" s="27"/>
      <c r="D34" s="27"/>
      <c r="E34" s="27"/>
      <c r="F34" s="26" t="s">
        <v>131</v>
      </c>
      <c r="G34" s="26"/>
      <c r="H34" s="26" t="s">
        <v>94</v>
      </c>
      <c r="I34" s="29" t="s">
        <v>82</v>
      </c>
      <c r="J34" s="26" t="s">
        <v>123</v>
      </c>
      <c r="K34" s="1" t="s">
        <v>120</v>
      </c>
      <c r="L34" s="2"/>
    </row>
    <row r="35" spans="2:12">
      <c r="B35" s="19">
        <f t="shared" si="0"/>
        <v>30</v>
      </c>
      <c r="C35" s="31" t="s">
        <v>132</v>
      </c>
      <c r="D35" s="24"/>
      <c r="E35" s="31"/>
      <c r="F35" s="25" t="s">
        <v>133</v>
      </c>
      <c r="G35" s="25"/>
      <c r="H35" s="26" t="s">
        <v>81</v>
      </c>
      <c r="I35" s="26" t="s">
        <v>82</v>
      </c>
      <c r="J35" s="26"/>
      <c r="K35" s="1" t="s">
        <v>83</v>
      </c>
      <c r="L35" s="1"/>
    </row>
    <row r="36" spans="2:12" ht="108">
      <c r="B36" s="19">
        <f t="shared" si="0"/>
        <v>31</v>
      </c>
      <c r="C36" s="32"/>
      <c r="D36" s="27"/>
      <c r="E36" s="32"/>
      <c r="F36" s="28" t="s">
        <v>134</v>
      </c>
      <c r="G36" s="28"/>
      <c r="H36" s="25" t="s">
        <v>135</v>
      </c>
      <c r="I36" s="29" t="s">
        <v>82</v>
      </c>
      <c r="J36" s="29"/>
      <c r="K36" s="1" t="s">
        <v>136</v>
      </c>
      <c r="L36" s="2"/>
    </row>
    <row r="37" spans="2:12" ht="40.5">
      <c r="B37" s="19">
        <f t="shared" si="0"/>
        <v>32</v>
      </c>
      <c r="C37" s="32"/>
      <c r="D37" s="27"/>
      <c r="E37" s="32"/>
      <c r="F37" s="28" t="s">
        <v>137</v>
      </c>
      <c r="G37" s="28" t="s">
        <v>138</v>
      </c>
      <c r="H37" s="25" t="s">
        <v>81</v>
      </c>
      <c r="I37" s="29" t="s">
        <v>82</v>
      </c>
      <c r="J37" s="29"/>
      <c r="K37" s="1" t="s">
        <v>136</v>
      </c>
      <c r="L37" s="2"/>
    </row>
    <row r="38" spans="2:12" ht="40.5">
      <c r="B38" s="19">
        <f t="shared" si="0"/>
        <v>33</v>
      </c>
      <c r="C38" s="32"/>
      <c r="D38" s="32"/>
      <c r="E38" s="32"/>
      <c r="F38" s="28" t="s">
        <v>139</v>
      </c>
      <c r="G38" s="28"/>
      <c r="H38" s="26" t="s">
        <v>81</v>
      </c>
      <c r="I38" s="29" t="s">
        <v>82</v>
      </c>
      <c r="J38" s="29" t="s">
        <v>140</v>
      </c>
      <c r="K38" s="1" t="s">
        <v>136</v>
      </c>
      <c r="L38" s="2"/>
    </row>
    <row r="39" spans="2:12" ht="27">
      <c r="B39" s="19">
        <f t="shared" si="0"/>
        <v>34</v>
      </c>
      <c r="C39" s="32"/>
      <c r="D39" s="32"/>
      <c r="E39" s="32"/>
      <c r="F39" s="28" t="s">
        <v>116</v>
      </c>
      <c r="G39" s="28" t="s">
        <v>141</v>
      </c>
      <c r="H39" s="26" t="s">
        <v>94</v>
      </c>
      <c r="I39" s="29" t="s">
        <v>82</v>
      </c>
      <c r="J39" s="29"/>
      <c r="K39" s="1" t="s">
        <v>136</v>
      </c>
      <c r="L39" s="2"/>
    </row>
    <row r="40" spans="2:12">
      <c r="B40" s="19">
        <f t="shared" si="0"/>
        <v>35</v>
      </c>
      <c r="C40" s="32"/>
      <c r="D40" s="32"/>
      <c r="E40" s="31" t="s">
        <v>142</v>
      </c>
      <c r="F40" s="28" t="s">
        <v>133</v>
      </c>
      <c r="G40" s="28"/>
      <c r="H40" s="26"/>
      <c r="I40" s="29"/>
      <c r="J40" s="29"/>
      <c r="K40" s="1" t="s">
        <v>136</v>
      </c>
      <c r="L40" s="2"/>
    </row>
    <row r="41" spans="2:12">
      <c r="B41" s="19">
        <f t="shared" si="0"/>
        <v>36</v>
      </c>
      <c r="C41" s="32"/>
      <c r="D41" s="32"/>
      <c r="E41" s="32"/>
      <c r="F41" s="28" t="s">
        <v>134</v>
      </c>
      <c r="G41" s="28"/>
      <c r="H41" s="26"/>
      <c r="I41" s="29"/>
      <c r="J41" s="29"/>
      <c r="K41" s="1" t="s">
        <v>136</v>
      </c>
      <c r="L41" s="2"/>
    </row>
    <row r="42" spans="2:12" ht="40.5">
      <c r="B42" s="19">
        <f t="shared" si="0"/>
        <v>37</v>
      </c>
      <c r="C42" s="32"/>
      <c r="D42" s="32"/>
      <c r="E42" s="32"/>
      <c r="F42" s="28" t="s">
        <v>143</v>
      </c>
      <c r="G42" s="28"/>
      <c r="H42" s="26" t="s">
        <v>81</v>
      </c>
      <c r="I42" s="29" t="s">
        <v>82</v>
      </c>
      <c r="J42" s="29" t="s">
        <v>144</v>
      </c>
      <c r="K42" s="1" t="s">
        <v>136</v>
      </c>
      <c r="L42" s="2"/>
    </row>
    <row r="43" spans="2:12">
      <c r="B43" s="19">
        <f t="shared" si="0"/>
        <v>38</v>
      </c>
      <c r="C43" s="32"/>
      <c r="D43" s="32"/>
      <c r="E43" s="32"/>
      <c r="F43" s="28" t="s">
        <v>145</v>
      </c>
      <c r="G43" s="28"/>
      <c r="H43" s="26"/>
      <c r="I43" s="29"/>
      <c r="J43" s="29"/>
      <c r="K43" s="1" t="s">
        <v>136</v>
      </c>
      <c r="L43" s="2"/>
    </row>
    <row r="44" spans="2:12">
      <c r="B44" s="19">
        <f t="shared" si="0"/>
        <v>39</v>
      </c>
      <c r="C44" s="32"/>
      <c r="D44" s="32"/>
      <c r="E44" s="32"/>
      <c r="F44" s="28" t="s">
        <v>139</v>
      </c>
      <c r="G44" s="28"/>
      <c r="H44" s="26"/>
      <c r="I44" s="29"/>
      <c r="J44" s="29"/>
      <c r="K44" s="1" t="s">
        <v>136</v>
      </c>
      <c r="L44" s="2"/>
    </row>
    <row r="45" spans="2:12" ht="81">
      <c r="B45" s="19">
        <f t="shared" si="0"/>
        <v>40</v>
      </c>
      <c r="C45" s="32"/>
      <c r="D45" s="32"/>
      <c r="E45" s="32"/>
      <c r="F45" s="28" t="s">
        <v>114</v>
      </c>
      <c r="G45" s="28"/>
      <c r="H45" s="26" t="s">
        <v>146</v>
      </c>
      <c r="I45" s="29" t="s">
        <v>82</v>
      </c>
      <c r="J45" s="29" t="s">
        <v>147</v>
      </c>
      <c r="K45" s="1" t="s">
        <v>136</v>
      </c>
      <c r="L45" s="2"/>
    </row>
    <row r="46" spans="2:12" ht="40.5">
      <c r="B46" s="19">
        <f t="shared" si="0"/>
        <v>41</v>
      </c>
      <c r="C46" s="32"/>
      <c r="D46" s="32"/>
      <c r="E46" s="32"/>
      <c r="F46" s="25" t="s">
        <v>148</v>
      </c>
      <c r="G46" s="25"/>
      <c r="H46" s="25" t="s">
        <v>94</v>
      </c>
      <c r="I46" s="26" t="s">
        <v>82</v>
      </c>
      <c r="J46" s="29" t="s">
        <v>149</v>
      </c>
      <c r="K46" s="1" t="s">
        <v>136</v>
      </c>
      <c r="L46" s="2"/>
    </row>
    <row r="47" spans="2:12" ht="40.5">
      <c r="B47" s="19">
        <f t="shared" si="0"/>
        <v>42</v>
      </c>
      <c r="C47" s="32"/>
      <c r="D47" s="32"/>
      <c r="E47" s="32"/>
      <c r="F47" s="25" t="s">
        <v>150</v>
      </c>
      <c r="G47" s="25"/>
      <c r="H47" s="26" t="s">
        <v>94</v>
      </c>
      <c r="I47" s="26" t="s">
        <v>82</v>
      </c>
      <c r="J47" s="29" t="s">
        <v>151</v>
      </c>
      <c r="K47" s="1" t="s">
        <v>136</v>
      </c>
      <c r="L47" s="2"/>
    </row>
    <row r="48" spans="2:12">
      <c r="B48" s="19">
        <f t="shared" si="0"/>
        <v>43</v>
      </c>
      <c r="C48" s="32"/>
      <c r="D48" s="32"/>
      <c r="E48" s="32"/>
      <c r="F48" s="25" t="s">
        <v>116</v>
      </c>
      <c r="G48" s="25"/>
      <c r="H48" s="26" t="s">
        <v>94</v>
      </c>
      <c r="I48" s="26" t="s">
        <v>82</v>
      </c>
      <c r="J48" s="29"/>
      <c r="K48" s="1" t="s">
        <v>136</v>
      </c>
      <c r="L48" s="2"/>
    </row>
    <row r="49" spans="2:12" ht="27">
      <c r="B49" s="19">
        <f t="shared" si="0"/>
        <v>44</v>
      </c>
      <c r="C49" s="32"/>
      <c r="D49" s="32"/>
      <c r="E49" s="32"/>
      <c r="F49" s="25" t="s">
        <v>152</v>
      </c>
      <c r="G49" s="25" t="s">
        <v>153</v>
      </c>
      <c r="H49" s="26" t="s">
        <v>94</v>
      </c>
      <c r="I49" s="26" t="s">
        <v>82</v>
      </c>
      <c r="J49" s="29"/>
      <c r="K49" s="1" t="s">
        <v>136</v>
      </c>
      <c r="L49" s="2"/>
    </row>
    <row r="50" spans="2:12">
      <c r="B50" s="19">
        <f t="shared" si="0"/>
        <v>45</v>
      </c>
      <c r="C50" s="24" t="s">
        <v>154</v>
      </c>
      <c r="D50" s="24"/>
      <c r="E50" s="24" t="s">
        <v>88</v>
      </c>
      <c r="F50" s="25" t="s">
        <v>155</v>
      </c>
      <c r="G50" s="25" t="s">
        <v>156</v>
      </c>
      <c r="H50" s="25" t="s">
        <v>81</v>
      </c>
      <c r="I50" s="26" t="s">
        <v>82</v>
      </c>
      <c r="J50" s="26"/>
      <c r="K50" s="1" t="s">
        <v>83</v>
      </c>
      <c r="L50" s="2"/>
    </row>
    <row r="51" spans="2:12">
      <c r="B51" s="19">
        <f t="shared" si="0"/>
        <v>46</v>
      </c>
      <c r="C51" s="27"/>
      <c r="D51" s="27"/>
      <c r="E51" s="27"/>
      <c r="F51" s="28" t="s">
        <v>157</v>
      </c>
      <c r="G51" s="28"/>
      <c r="H51" s="25" t="s">
        <v>158</v>
      </c>
      <c r="I51" s="28" t="s">
        <v>82</v>
      </c>
      <c r="J51" s="28"/>
      <c r="K51" s="1" t="s">
        <v>83</v>
      </c>
      <c r="L51" s="2"/>
    </row>
    <row r="52" spans="2:12">
      <c r="B52" s="19">
        <f t="shared" si="0"/>
        <v>47</v>
      </c>
      <c r="C52" s="27"/>
      <c r="D52" s="27"/>
      <c r="E52" s="27"/>
      <c r="F52" s="25" t="s">
        <v>159</v>
      </c>
      <c r="G52" s="25"/>
      <c r="H52" s="26" t="s">
        <v>160</v>
      </c>
      <c r="I52" s="33" t="s">
        <v>82</v>
      </c>
      <c r="J52" s="26"/>
      <c r="K52" s="1" t="s">
        <v>83</v>
      </c>
      <c r="L52" s="2"/>
    </row>
    <row r="53" spans="2:12">
      <c r="B53" s="19">
        <f t="shared" si="0"/>
        <v>48</v>
      </c>
      <c r="C53" s="27"/>
      <c r="D53" s="27"/>
      <c r="E53" s="27"/>
      <c r="F53" s="45" t="s">
        <v>161</v>
      </c>
      <c r="G53" s="25"/>
      <c r="H53" s="26" t="s">
        <v>81</v>
      </c>
      <c r="I53" s="33" t="s">
        <v>82</v>
      </c>
      <c r="J53" s="26"/>
      <c r="K53" s="1" t="s">
        <v>83</v>
      </c>
      <c r="L53" s="2"/>
    </row>
    <row r="54" spans="2:12" ht="27">
      <c r="B54" s="19">
        <f t="shared" si="0"/>
        <v>49</v>
      </c>
      <c r="C54" s="24" t="s">
        <v>162</v>
      </c>
      <c r="D54" s="24"/>
      <c r="E54" s="24" t="s">
        <v>163</v>
      </c>
      <c r="F54" s="26" t="s">
        <v>164</v>
      </c>
      <c r="G54" s="26"/>
      <c r="H54" s="25" t="s">
        <v>81</v>
      </c>
      <c r="I54" s="26" t="s">
        <v>82</v>
      </c>
      <c r="J54" s="26"/>
      <c r="K54" s="1" t="s">
        <v>83</v>
      </c>
      <c r="L54" s="1"/>
    </row>
    <row r="55" spans="2:12">
      <c r="B55" s="19">
        <f t="shared" si="0"/>
        <v>50</v>
      </c>
      <c r="C55" s="27"/>
      <c r="D55" s="27"/>
      <c r="E55" s="27"/>
      <c r="F55" s="26" t="s">
        <v>165</v>
      </c>
      <c r="G55" s="26"/>
      <c r="H55" s="25" t="s">
        <v>81</v>
      </c>
      <c r="I55" s="26" t="s">
        <v>82</v>
      </c>
      <c r="J55" s="26"/>
      <c r="K55" s="1" t="s">
        <v>83</v>
      </c>
      <c r="L55" s="1"/>
    </row>
    <row r="56" spans="2:12">
      <c r="B56" s="19">
        <f t="shared" si="0"/>
        <v>51</v>
      </c>
      <c r="C56" s="27"/>
      <c r="D56" s="27"/>
      <c r="E56" s="46" t="s">
        <v>166</v>
      </c>
      <c r="F56" s="47" t="s">
        <v>167</v>
      </c>
      <c r="G56" s="47"/>
      <c r="H56" s="48"/>
      <c r="I56" s="47"/>
      <c r="J56" s="47"/>
      <c r="K56" s="5"/>
      <c r="L56" s="5"/>
    </row>
    <row r="57" spans="2:12">
      <c r="B57" s="19">
        <f t="shared" si="0"/>
        <v>52</v>
      </c>
      <c r="C57" s="27"/>
      <c r="D57" s="27"/>
      <c r="E57" s="49"/>
      <c r="F57" s="47" t="s">
        <v>168</v>
      </c>
      <c r="G57" s="47"/>
      <c r="H57" s="48"/>
      <c r="I57" s="47"/>
      <c r="J57" s="47"/>
      <c r="K57" s="5"/>
      <c r="L57" s="5"/>
    </row>
    <row r="58" spans="2:12">
      <c r="B58" s="19">
        <f t="shared" si="0"/>
        <v>53</v>
      </c>
      <c r="C58" s="27"/>
      <c r="D58" s="27"/>
      <c r="E58" s="49"/>
      <c r="F58" s="47" t="s">
        <v>169</v>
      </c>
      <c r="G58" s="47"/>
      <c r="H58" s="48"/>
      <c r="I58" s="47"/>
      <c r="J58" s="47"/>
      <c r="K58" s="5"/>
      <c r="L58" s="5"/>
    </row>
    <row r="59" spans="2:12">
      <c r="B59" s="19">
        <f t="shared" si="0"/>
        <v>54</v>
      </c>
      <c r="C59" s="27"/>
      <c r="D59" s="27"/>
      <c r="E59" s="50"/>
      <c r="F59" s="47" t="s">
        <v>170</v>
      </c>
      <c r="G59" s="47"/>
      <c r="H59" s="48"/>
      <c r="I59" s="47"/>
      <c r="J59" s="47"/>
      <c r="K59" s="5"/>
      <c r="L59" s="5"/>
    </row>
    <row r="60" spans="2:12">
      <c r="B60" s="19">
        <f t="shared" si="0"/>
        <v>55</v>
      </c>
      <c r="C60" s="27"/>
      <c r="D60" s="27"/>
      <c r="E60" s="51" t="s">
        <v>171</v>
      </c>
      <c r="F60" s="47" t="s">
        <v>172</v>
      </c>
      <c r="G60" s="47" t="s">
        <v>173</v>
      </c>
      <c r="H60" s="48"/>
      <c r="I60" s="47"/>
      <c r="J60" s="47"/>
      <c r="K60" s="5"/>
      <c r="L60" s="5"/>
    </row>
    <row r="61" spans="2:12" ht="54">
      <c r="B61" s="19">
        <f t="shared" si="0"/>
        <v>56</v>
      </c>
      <c r="C61" s="27"/>
      <c r="D61" s="27"/>
      <c r="E61" s="49"/>
      <c r="F61" s="47" t="s">
        <v>174</v>
      </c>
      <c r="G61" s="47" t="s">
        <v>175</v>
      </c>
      <c r="H61" s="48"/>
      <c r="I61" s="47"/>
      <c r="J61" s="47"/>
      <c r="K61" s="5"/>
      <c r="L61" s="5"/>
    </row>
    <row r="62" spans="2:12">
      <c r="B62" s="19">
        <f t="shared" si="0"/>
        <v>57</v>
      </c>
      <c r="C62" s="27"/>
      <c r="D62" s="27"/>
      <c r="E62" s="49"/>
      <c r="F62" s="47" t="s">
        <v>176</v>
      </c>
      <c r="G62" s="47"/>
      <c r="H62" s="48"/>
      <c r="I62" s="47"/>
      <c r="J62" s="47"/>
      <c r="K62" s="5"/>
      <c r="L62" s="5"/>
    </row>
    <row r="63" spans="2:12">
      <c r="B63" s="19">
        <f t="shared" si="0"/>
        <v>58</v>
      </c>
      <c r="C63" s="27"/>
      <c r="D63" s="27"/>
      <c r="E63" s="46" t="s">
        <v>177</v>
      </c>
      <c r="F63" s="47" t="s">
        <v>178</v>
      </c>
      <c r="G63" s="47"/>
      <c r="H63" s="48"/>
      <c r="I63" s="47"/>
      <c r="J63" s="47"/>
      <c r="K63" s="5"/>
      <c r="L63" s="5"/>
    </row>
    <row r="64" spans="2:12" ht="27">
      <c r="B64" s="19">
        <f t="shared" si="0"/>
        <v>59</v>
      </c>
      <c r="C64" s="27"/>
      <c r="D64" s="27"/>
      <c r="E64" s="46" t="s">
        <v>179</v>
      </c>
      <c r="F64" s="47" t="s">
        <v>180</v>
      </c>
      <c r="G64" s="47" t="s">
        <v>181</v>
      </c>
      <c r="H64" s="48"/>
      <c r="I64" s="47"/>
      <c r="J64" s="47"/>
      <c r="K64" s="5"/>
      <c r="L64" s="5"/>
    </row>
    <row r="65" spans="2:12" ht="27">
      <c r="B65" s="19">
        <f t="shared" si="0"/>
        <v>60</v>
      </c>
      <c r="C65" s="27"/>
      <c r="D65" s="27"/>
      <c r="E65" s="49"/>
      <c r="F65" s="47" t="s">
        <v>182</v>
      </c>
      <c r="G65" s="47" t="s">
        <v>183</v>
      </c>
      <c r="H65" s="48"/>
      <c r="I65" s="47"/>
      <c r="J65" s="47"/>
      <c r="K65" s="5"/>
      <c r="L65" s="5"/>
    </row>
    <row r="66" spans="2:12">
      <c r="B66" s="19">
        <f t="shared" si="0"/>
        <v>61</v>
      </c>
      <c r="C66" s="27"/>
      <c r="D66" s="27"/>
      <c r="E66" s="49"/>
      <c r="F66" s="47" t="s">
        <v>184</v>
      </c>
      <c r="G66" s="47" t="s">
        <v>185</v>
      </c>
      <c r="H66" s="48"/>
      <c r="I66" s="47"/>
      <c r="J66" s="47"/>
      <c r="K66" s="5"/>
      <c r="L66" s="5"/>
    </row>
    <row r="67" spans="2:12">
      <c r="B67" s="19">
        <f t="shared" si="0"/>
        <v>62</v>
      </c>
      <c r="C67" s="27"/>
      <c r="D67" s="27"/>
      <c r="E67" s="49"/>
      <c r="F67" s="47" t="s">
        <v>186</v>
      </c>
      <c r="G67" s="47" t="s">
        <v>187</v>
      </c>
      <c r="H67" s="48"/>
      <c r="I67" s="47"/>
      <c r="J67" s="47"/>
      <c r="K67" s="5"/>
      <c r="L67" s="5"/>
    </row>
    <row r="68" spans="2:12">
      <c r="B68" s="19">
        <f t="shared" si="0"/>
        <v>63</v>
      </c>
      <c r="C68" s="27"/>
      <c r="D68" s="27"/>
      <c r="E68" s="46" t="s">
        <v>188</v>
      </c>
      <c r="F68" s="47" t="s">
        <v>189</v>
      </c>
      <c r="G68" s="47"/>
      <c r="H68" s="48"/>
      <c r="I68" s="47"/>
      <c r="J68" s="47"/>
      <c r="K68" s="5"/>
      <c r="L68" s="5"/>
    </row>
    <row r="69" spans="2:12">
      <c r="B69" s="19">
        <f t="shared" si="0"/>
        <v>64</v>
      </c>
      <c r="C69" s="27"/>
      <c r="D69" s="27"/>
      <c r="E69" s="46" t="s">
        <v>190</v>
      </c>
      <c r="F69" s="47" t="s">
        <v>191</v>
      </c>
      <c r="G69" s="47"/>
      <c r="H69" s="48"/>
      <c r="I69" s="47"/>
      <c r="J69" s="47"/>
      <c r="K69" s="5"/>
      <c r="L69" s="5"/>
    </row>
    <row r="70" spans="2:12" ht="27">
      <c r="B70" s="19">
        <f t="shared" si="0"/>
        <v>65</v>
      </c>
      <c r="C70" s="27"/>
      <c r="D70" s="27"/>
      <c r="E70" s="49"/>
      <c r="F70" s="47" t="s">
        <v>192</v>
      </c>
      <c r="G70" s="47" t="s">
        <v>193</v>
      </c>
      <c r="H70" s="48"/>
      <c r="I70" s="47"/>
      <c r="J70" s="47"/>
      <c r="K70" s="5"/>
      <c r="L70" s="5"/>
    </row>
    <row r="71" spans="2:12">
      <c r="B71" s="19">
        <f t="shared" si="0"/>
        <v>66</v>
      </c>
      <c r="C71" s="27"/>
      <c r="D71" s="27"/>
      <c r="E71" s="49"/>
      <c r="F71" s="47" t="s">
        <v>194</v>
      </c>
      <c r="G71" s="47"/>
      <c r="H71" s="48"/>
      <c r="I71" s="47"/>
      <c r="J71" s="47"/>
      <c r="K71" s="5"/>
      <c r="L71" s="5"/>
    </row>
    <row r="72" spans="2:12">
      <c r="B72" s="19">
        <f t="shared" si="0"/>
        <v>67</v>
      </c>
      <c r="C72" s="27"/>
      <c r="D72" s="27"/>
      <c r="E72" s="46" t="s">
        <v>195</v>
      </c>
      <c r="F72" s="47" t="s">
        <v>196</v>
      </c>
      <c r="G72" s="47"/>
      <c r="H72" s="48"/>
      <c r="I72" s="47"/>
      <c r="J72" s="47"/>
      <c r="K72" s="5"/>
      <c r="L72" s="5"/>
    </row>
    <row r="73" spans="2:12">
      <c r="B73" s="19">
        <f t="shared" si="0"/>
        <v>68</v>
      </c>
      <c r="C73" s="27"/>
      <c r="D73" s="27"/>
      <c r="E73" s="49"/>
      <c r="F73" s="47" t="s">
        <v>197</v>
      </c>
      <c r="G73" s="47"/>
      <c r="H73" s="48"/>
      <c r="I73" s="47"/>
      <c r="J73" s="47"/>
      <c r="K73" s="5"/>
      <c r="L73" s="5"/>
    </row>
    <row r="74" spans="2:12" ht="27">
      <c r="B74" s="19">
        <f t="shared" si="0"/>
        <v>69</v>
      </c>
      <c r="C74" s="27"/>
      <c r="D74" s="27"/>
      <c r="E74" s="46" t="s">
        <v>198</v>
      </c>
      <c r="F74" s="47" t="s">
        <v>198</v>
      </c>
      <c r="G74" s="47"/>
      <c r="H74" s="48"/>
      <c r="I74" s="47"/>
      <c r="J74" s="47"/>
      <c r="K74" s="5"/>
      <c r="L74" s="5"/>
    </row>
    <row r="75" spans="2:12">
      <c r="B75" s="19">
        <f t="shared" si="0"/>
        <v>70</v>
      </c>
      <c r="C75" s="27"/>
      <c r="D75" s="27"/>
      <c r="E75" s="46" t="s">
        <v>199</v>
      </c>
      <c r="F75" s="47" t="s">
        <v>200</v>
      </c>
      <c r="G75" s="47"/>
      <c r="H75" s="48" t="s">
        <v>94</v>
      </c>
      <c r="I75" s="47"/>
      <c r="J75" s="47"/>
      <c r="K75" s="5"/>
      <c r="L75" s="5"/>
    </row>
    <row r="76" spans="2:12">
      <c r="B76" s="19">
        <f t="shared" si="0"/>
        <v>71</v>
      </c>
      <c r="C76" s="27"/>
      <c r="D76" s="27"/>
      <c r="E76" s="24" t="s">
        <v>201</v>
      </c>
      <c r="F76" s="26" t="s">
        <v>202</v>
      </c>
      <c r="G76" s="26"/>
      <c r="H76" s="25" t="s">
        <v>203</v>
      </c>
      <c r="I76" s="26" t="s">
        <v>82</v>
      </c>
      <c r="J76" s="26"/>
      <c r="K76" s="1" t="s">
        <v>83</v>
      </c>
      <c r="L76" s="1"/>
    </row>
    <row r="77" spans="2:12">
      <c r="B77" s="19">
        <f t="shared" si="0"/>
        <v>72</v>
      </c>
      <c r="C77" s="27"/>
      <c r="D77" s="27"/>
      <c r="E77" s="27"/>
      <c r="F77" s="26" t="s">
        <v>204</v>
      </c>
      <c r="G77" s="26" t="s">
        <v>205</v>
      </c>
      <c r="H77" s="25" t="s">
        <v>158</v>
      </c>
      <c r="I77" s="26" t="s">
        <v>82</v>
      </c>
      <c r="J77" s="26"/>
      <c r="K77" s="1" t="s">
        <v>83</v>
      </c>
      <c r="L77" s="1"/>
    </row>
    <row r="78" spans="2:12">
      <c r="B78" s="19">
        <f t="shared" si="0"/>
        <v>73</v>
      </c>
      <c r="C78" s="27"/>
      <c r="D78" s="27"/>
      <c r="E78" s="27"/>
      <c r="F78" s="26" t="s">
        <v>206</v>
      </c>
      <c r="G78" s="26"/>
      <c r="H78" s="25" t="s">
        <v>81</v>
      </c>
      <c r="I78" s="26" t="s">
        <v>82</v>
      </c>
      <c r="J78" s="26"/>
      <c r="K78" s="1" t="s">
        <v>83</v>
      </c>
      <c r="L78" s="1"/>
    </row>
    <row r="79" spans="2:12" ht="27">
      <c r="B79" s="19">
        <f t="shared" si="0"/>
        <v>74</v>
      </c>
      <c r="C79" s="27"/>
      <c r="D79" s="27"/>
      <c r="E79" s="27"/>
      <c r="F79" s="26" t="s">
        <v>207</v>
      </c>
      <c r="G79" s="26"/>
      <c r="H79" s="25" t="s">
        <v>81</v>
      </c>
      <c r="I79" s="26" t="s">
        <v>82</v>
      </c>
      <c r="J79" s="26"/>
      <c r="K79" s="1" t="s">
        <v>83</v>
      </c>
      <c r="L79" s="1"/>
    </row>
    <row r="80" spans="2:12" ht="27">
      <c r="B80" s="19">
        <f t="shared" si="0"/>
        <v>75</v>
      </c>
      <c r="C80" s="27"/>
      <c r="D80" s="27"/>
      <c r="E80" s="27"/>
      <c r="F80" s="26" t="s">
        <v>208</v>
      </c>
      <c r="G80" s="26"/>
      <c r="H80" s="25" t="s">
        <v>81</v>
      </c>
      <c r="I80" s="26" t="s">
        <v>82</v>
      </c>
      <c r="J80" s="26"/>
      <c r="K80" s="1" t="s">
        <v>83</v>
      </c>
      <c r="L80" s="1"/>
    </row>
    <row r="81" spans="2:12">
      <c r="B81" s="19">
        <f t="shared" si="0"/>
        <v>76</v>
      </c>
      <c r="C81" s="27"/>
      <c r="D81" s="27"/>
      <c r="E81" s="27"/>
      <c r="F81" s="26" t="s">
        <v>209</v>
      </c>
      <c r="G81" s="26"/>
      <c r="H81" s="25" t="s">
        <v>81</v>
      </c>
      <c r="I81" s="26" t="s">
        <v>82</v>
      </c>
      <c r="J81" s="26"/>
      <c r="K81" s="1" t="s">
        <v>83</v>
      </c>
      <c r="L81" s="1"/>
    </row>
    <row r="82" spans="2:12" ht="27">
      <c r="B82" s="19">
        <f t="shared" ref="B82:B152" si="1">ROW() - 5</f>
        <v>77</v>
      </c>
      <c r="C82" s="27"/>
      <c r="D82" s="27"/>
      <c r="E82" s="46" t="s">
        <v>210</v>
      </c>
      <c r="F82" s="47" t="s">
        <v>211</v>
      </c>
      <c r="G82" s="47"/>
      <c r="H82" s="48" t="s">
        <v>94</v>
      </c>
      <c r="I82" s="47"/>
      <c r="J82" s="47"/>
      <c r="K82" s="5"/>
      <c r="L82" s="5"/>
    </row>
    <row r="83" spans="2:12">
      <c r="B83" s="19">
        <f t="shared" si="1"/>
        <v>78</v>
      </c>
      <c r="C83" s="27"/>
      <c r="D83" s="27"/>
      <c r="E83" s="46" t="s">
        <v>212</v>
      </c>
      <c r="F83" s="47" t="s">
        <v>213</v>
      </c>
      <c r="G83" s="47"/>
      <c r="H83" s="48"/>
      <c r="I83" s="47"/>
      <c r="J83" s="47"/>
      <c r="K83" s="5"/>
      <c r="L83" s="5"/>
    </row>
    <row r="84" spans="2:12">
      <c r="B84" s="19">
        <f t="shared" si="1"/>
        <v>79</v>
      </c>
      <c r="C84" s="27"/>
      <c r="D84" s="27"/>
      <c r="E84" s="49"/>
      <c r="F84" s="47" t="s">
        <v>214</v>
      </c>
      <c r="G84" s="47"/>
      <c r="H84" s="48"/>
      <c r="I84" s="47"/>
      <c r="J84" s="47"/>
      <c r="K84" s="5"/>
      <c r="L84" s="5"/>
    </row>
    <row r="85" spans="2:12">
      <c r="B85" s="19">
        <f t="shared" si="1"/>
        <v>80</v>
      </c>
      <c r="C85" s="27"/>
      <c r="D85" s="27"/>
      <c r="E85" s="49"/>
      <c r="F85" s="47" t="s">
        <v>215</v>
      </c>
      <c r="G85" s="47"/>
      <c r="H85" s="48"/>
      <c r="I85" s="47"/>
      <c r="J85" s="47"/>
      <c r="K85" s="5"/>
      <c r="L85" s="5"/>
    </row>
    <row r="86" spans="2:12">
      <c r="B86" s="19">
        <f t="shared" si="1"/>
        <v>81</v>
      </c>
      <c r="C86" s="27"/>
      <c r="D86" s="27"/>
      <c r="E86" s="49"/>
      <c r="F86" s="47" t="s">
        <v>216</v>
      </c>
      <c r="G86" s="47" t="s">
        <v>217</v>
      </c>
      <c r="H86" s="48"/>
      <c r="I86" s="47"/>
      <c r="J86" s="47"/>
      <c r="K86" s="5"/>
      <c r="L86" s="5"/>
    </row>
    <row r="87" spans="2:12">
      <c r="B87" s="19">
        <f t="shared" si="1"/>
        <v>82</v>
      </c>
      <c r="C87" s="27"/>
      <c r="D87" s="27"/>
      <c r="E87" s="49"/>
      <c r="F87" s="47" t="s">
        <v>218</v>
      </c>
      <c r="G87" s="47"/>
      <c r="H87" s="48"/>
      <c r="I87" s="47"/>
      <c r="J87" s="47"/>
      <c r="K87" s="5"/>
      <c r="L87" s="5"/>
    </row>
    <row r="88" spans="2:12">
      <c r="B88" s="19">
        <f t="shared" si="1"/>
        <v>83</v>
      </c>
      <c r="C88" s="27"/>
      <c r="D88" s="27"/>
      <c r="E88" s="49"/>
      <c r="F88" s="47" t="s">
        <v>219</v>
      </c>
      <c r="G88" s="47"/>
      <c r="H88" s="48"/>
      <c r="I88" s="47"/>
      <c r="J88" s="47"/>
      <c r="K88" s="5"/>
      <c r="L88" s="5"/>
    </row>
    <row r="89" spans="2:12">
      <c r="B89" s="19">
        <f t="shared" si="1"/>
        <v>84</v>
      </c>
      <c r="C89" s="27"/>
      <c r="D89" s="27"/>
      <c r="E89" s="49"/>
      <c r="F89" s="47" t="s">
        <v>220</v>
      </c>
      <c r="G89" s="47"/>
      <c r="H89" s="48"/>
      <c r="I89" s="47"/>
      <c r="J89" s="47"/>
      <c r="K89" s="5"/>
      <c r="L89" s="5"/>
    </row>
    <row r="90" spans="2:12">
      <c r="B90" s="19">
        <f t="shared" si="1"/>
        <v>85</v>
      </c>
      <c r="C90" s="27"/>
      <c r="D90" s="27"/>
      <c r="E90" s="49"/>
      <c r="F90" s="47" t="s">
        <v>221</v>
      </c>
      <c r="G90" s="47" t="s">
        <v>222</v>
      </c>
      <c r="H90" s="48"/>
      <c r="I90" s="47"/>
      <c r="J90" s="47"/>
      <c r="K90" s="5"/>
      <c r="L90" s="5"/>
    </row>
    <row r="91" spans="2:12">
      <c r="B91" s="19">
        <f t="shared" si="1"/>
        <v>86</v>
      </c>
      <c r="C91" s="30"/>
      <c r="D91" s="30"/>
      <c r="E91" s="52" t="s">
        <v>223</v>
      </c>
      <c r="F91" s="47" t="s">
        <v>223</v>
      </c>
      <c r="G91" s="47"/>
      <c r="H91" s="48"/>
      <c r="I91" s="47"/>
      <c r="J91" s="47"/>
      <c r="K91" s="5"/>
      <c r="L91" s="5"/>
    </row>
    <row r="92" spans="2:12">
      <c r="B92" s="19">
        <f t="shared" si="1"/>
        <v>87</v>
      </c>
      <c r="C92" s="24" t="s">
        <v>224</v>
      </c>
      <c r="D92" s="24"/>
      <c r="E92" s="24" t="s">
        <v>225</v>
      </c>
      <c r="F92" s="26" t="s">
        <v>226</v>
      </c>
      <c r="G92" s="26"/>
      <c r="H92" s="25" t="s">
        <v>81</v>
      </c>
      <c r="I92" s="26" t="s">
        <v>82</v>
      </c>
      <c r="J92" s="26"/>
      <c r="K92" s="1" t="s">
        <v>83</v>
      </c>
      <c r="L92" s="1"/>
    </row>
    <row r="93" spans="2:12">
      <c r="B93" s="19">
        <f t="shared" si="1"/>
        <v>88</v>
      </c>
      <c r="C93" s="27"/>
      <c r="D93" s="27"/>
      <c r="E93" s="27"/>
      <c r="F93" s="26" t="s">
        <v>227</v>
      </c>
      <c r="G93" s="26"/>
      <c r="H93" s="25" t="s">
        <v>228</v>
      </c>
      <c r="I93" s="26" t="s">
        <v>82</v>
      </c>
      <c r="J93" s="26"/>
      <c r="K93" s="1" t="s">
        <v>83</v>
      </c>
      <c r="L93" s="1"/>
    </row>
    <row r="94" spans="2:12">
      <c r="B94" s="19">
        <f t="shared" si="1"/>
        <v>89</v>
      </c>
      <c r="C94" s="27"/>
      <c r="D94" s="27"/>
      <c r="E94" s="27"/>
      <c r="F94" s="26" t="s">
        <v>229</v>
      </c>
      <c r="G94" s="26"/>
      <c r="H94" s="25" t="s">
        <v>81</v>
      </c>
      <c r="I94" s="26" t="s">
        <v>82</v>
      </c>
      <c r="J94" s="26"/>
      <c r="K94" s="1" t="s">
        <v>83</v>
      </c>
      <c r="L94" s="1"/>
    </row>
    <row r="95" spans="2:12" ht="27">
      <c r="B95" s="19">
        <f t="shared" si="1"/>
        <v>90</v>
      </c>
      <c r="C95" s="27"/>
      <c r="D95" s="27"/>
      <c r="E95" s="27"/>
      <c r="F95" s="26" t="s">
        <v>230</v>
      </c>
      <c r="G95" s="26" t="s">
        <v>231</v>
      </c>
      <c r="H95" s="25" t="s">
        <v>232</v>
      </c>
      <c r="I95" s="26" t="s">
        <v>82</v>
      </c>
      <c r="J95" s="26"/>
      <c r="K95" s="1" t="s">
        <v>83</v>
      </c>
      <c r="L95" s="1"/>
    </row>
    <row r="96" spans="2:12" ht="40.5">
      <c r="B96" s="19">
        <f t="shared" si="1"/>
        <v>91</v>
      </c>
      <c r="C96" s="27"/>
      <c r="D96" s="27"/>
      <c r="E96" s="24" t="s">
        <v>233</v>
      </c>
      <c r="F96" s="26" t="s">
        <v>234</v>
      </c>
      <c r="G96" s="26" t="s">
        <v>235</v>
      </c>
      <c r="H96" s="25"/>
      <c r="I96" s="26" t="s">
        <v>82</v>
      </c>
      <c r="J96" s="26"/>
      <c r="K96" s="1" t="s">
        <v>83</v>
      </c>
      <c r="L96" s="1"/>
    </row>
    <row r="97" spans="2:12" ht="40.5">
      <c r="B97" s="19">
        <f t="shared" si="1"/>
        <v>92</v>
      </c>
      <c r="C97" s="27"/>
      <c r="D97" s="27"/>
      <c r="E97" s="27"/>
      <c r="F97" s="26" t="s">
        <v>236</v>
      </c>
      <c r="G97" s="26" t="s">
        <v>237</v>
      </c>
      <c r="H97" s="25"/>
      <c r="I97" s="26" t="s">
        <v>82</v>
      </c>
      <c r="J97" s="26"/>
      <c r="K97" s="1" t="s">
        <v>83</v>
      </c>
      <c r="L97" s="1"/>
    </row>
    <row r="98" spans="2:12" ht="27">
      <c r="B98" s="19">
        <f t="shared" si="1"/>
        <v>93</v>
      </c>
      <c r="C98" s="27"/>
      <c r="D98" s="27"/>
      <c r="E98" s="24" t="s">
        <v>238</v>
      </c>
      <c r="F98" s="26" t="s">
        <v>239</v>
      </c>
      <c r="G98" s="26" t="s">
        <v>240</v>
      </c>
      <c r="H98" s="25"/>
      <c r="I98" s="26" t="s">
        <v>82</v>
      </c>
      <c r="J98" s="26"/>
      <c r="K98" s="1" t="s">
        <v>83</v>
      </c>
      <c r="L98" s="1"/>
    </row>
    <row r="99" spans="2:12">
      <c r="B99" s="19">
        <f t="shared" si="1"/>
        <v>94</v>
      </c>
      <c r="C99" s="27"/>
      <c r="D99" s="27"/>
      <c r="E99" s="27"/>
      <c r="F99" s="26" t="s">
        <v>241</v>
      </c>
      <c r="G99" s="26" t="s">
        <v>242</v>
      </c>
      <c r="H99" s="25"/>
      <c r="I99" s="26" t="s">
        <v>82</v>
      </c>
      <c r="J99" s="26"/>
      <c r="K99" s="1" t="s">
        <v>83</v>
      </c>
      <c r="L99" s="1"/>
    </row>
    <row r="100" spans="2:12">
      <c r="B100" s="19">
        <f t="shared" si="1"/>
        <v>95</v>
      </c>
      <c r="C100" s="27"/>
      <c r="D100" s="27"/>
      <c r="E100" s="27"/>
      <c r="F100" s="26" t="s">
        <v>243</v>
      </c>
      <c r="G100" s="26" t="s">
        <v>185</v>
      </c>
      <c r="H100" s="25"/>
      <c r="I100" s="26" t="s">
        <v>82</v>
      </c>
      <c r="J100" s="26"/>
      <c r="K100" s="1" t="s">
        <v>83</v>
      </c>
      <c r="L100" s="1"/>
    </row>
    <row r="101" spans="2:12">
      <c r="B101" s="19">
        <f t="shared" si="1"/>
        <v>96</v>
      </c>
      <c r="C101" s="27"/>
      <c r="D101" s="27"/>
      <c r="E101" s="27"/>
      <c r="F101" s="26" t="s">
        <v>244</v>
      </c>
      <c r="G101" s="26" t="s">
        <v>185</v>
      </c>
      <c r="H101" s="25"/>
      <c r="I101" s="26" t="s">
        <v>82</v>
      </c>
      <c r="J101" s="26"/>
      <c r="K101" s="1" t="s">
        <v>83</v>
      </c>
      <c r="L101" s="1"/>
    </row>
    <row r="102" spans="2:12">
      <c r="B102" s="19">
        <f t="shared" si="1"/>
        <v>97</v>
      </c>
      <c r="C102" s="27"/>
      <c r="D102" s="27"/>
      <c r="E102" s="27"/>
      <c r="F102" s="26" t="s">
        <v>245</v>
      </c>
      <c r="G102" s="26" t="s">
        <v>185</v>
      </c>
      <c r="H102" s="25"/>
      <c r="I102" s="26" t="s">
        <v>82</v>
      </c>
      <c r="J102" s="26"/>
      <c r="K102" s="1" t="s">
        <v>83</v>
      </c>
      <c r="L102" s="1"/>
    </row>
    <row r="103" spans="2:12">
      <c r="B103" s="19">
        <f t="shared" si="1"/>
        <v>98</v>
      </c>
      <c r="C103" s="27"/>
      <c r="D103" s="27"/>
      <c r="E103" s="27"/>
      <c r="F103" s="26" t="s">
        <v>246</v>
      </c>
      <c r="G103" s="26" t="s">
        <v>185</v>
      </c>
      <c r="H103" s="25"/>
      <c r="I103" s="26" t="s">
        <v>82</v>
      </c>
      <c r="J103" s="26"/>
      <c r="K103" s="1" t="s">
        <v>83</v>
      </c>
      <c r="L103" s="1"/>
    </row>
    <row r="104" spans="2:12">
      <c r="B104" s="19">
        <f t="shared" si="1"/>
        <v>99</v>
      </c>
      <c r="C104" s="27"/>
      <c r="D104" s="27"/>
      <c r="E104" s="24" t="s">
        <v>247</v>
      </c>
      <c r="F104" s="26" t="s">
        <v>247</v>
      </c>
      <c r="G104" s="26"/>
      <c r="H104" s="25" t="s">
        <v>248</v>
      </c>
      <c r="I104" s="26" t="s">
        <v>82</v>
      </c>
      <c r="J104" s="26"/>
      <c r="K104" s="1" t="s">
        <v>83</v>
      </c>
      <c r="L104" s="1"/>
    </row>
    <row r="105" spans="2:12">
      <c r="B105" s="19">
        <f t="shared" si="1"/>
        <v>100</v>
      </c>
      <c r="C105" s="27"/>
      <c r="D105" s="27"/>
      <c r="E105" s="27"/>
      <c r="F105" s="26" t="s">
        <v>249</v>
      </c>
      <c r="G105" s="26"/>
      <c r="H105" s="25" t="s">
        <v>81</v>
      </c>
      <c r="I105" s="26" t="s">
        <v>82</v>
      </c>
      <c r="J105" s="26"/>
      <c r="K105" s="1" t="s">
        <v>83</v>
      </c>
      <c r="L105" s="1"/>
    </row>
    <row r="106" spans="2:12">
      <c r="B106" s="19">
        <f t="shared" si="1"/>
        <v>101</v>
      </c>
      <c r="C106" s="27"/>
      <c r="D106" s="27"/>
      <c r="E106" s="27"/>
      <c r="F106" s="26" t="s">
        <v>250</v>
      </c>
      <c r="G106" s="26"/>
      <c r="H106" s="25" t="s">
        <v>94</v>
      </c>
      <c r="I106" s="26" t="s">
        <v>82</v>
      </c>
      <c r="J106" s="26"/>
      <c r="K106" s="1" t="s">
        <v>83</v>
      </c>
      <c r="L106" s="1"/>
    </row>
    <row r="107" spans="2:12" ht="27">
      <c r="B107" s="19">
        <f t="shared" si="1"/>
        <v>102</v>
      </c>
      <c r="C107" s="24" t="s">
        <v>251</v>
      </c>
      <c r="D107" s="24"/>
      <c r="E107" s="24" t="s">
        <v>252</v>
      </c>
      <c r="F107" s="26" t="s">
        <v>253</v>
      </c>
      <c r="G107" s="26" t="s">
        <v>254</v>
      </c>
      <c r="H107" s="25" t="s">
        <v>81</v>
      </c>
      <c r="I107" s="26" t="s">
        <v>82</v>
      </c>
      <c r="J107" s="26"/>
      <c r="K107" s="1" t="s">
        <v>83</v>
      </c>
      <c r="L107" s="1"/>
    </row>
    <row r="108" spans="2:12" ht="27">
      <c r="B108" s="19">
        <f t="shared" si="1"/>
        <v>103</v>
      </c>
      <c r="C108" s="27"/>
      <c r="D108" s="27"/>
      <c r="E108" s="27"/>
      <c r="F108" s="26" t="s">
        <v>255</v>
      </c>
      <c r="G108" s="26" t="s">
        <v>256</v>
      </c>
      <c r="H108" s="25" t="s">
        <v>81</v>
      </c>
      <c r="I108" s="26" t="s">
        <v>82</v>
      </c>
      <c r="J108" s="26"/>
      <c r="K108" s="1" t="s">
        <v>83</v>
      </c>
      <c r="L108" s="1"/>
    </row>
    <row r="109" spans="2:12">
      <c r="B109" s="19">
        <f t="shared" si="1"/>
        <v>104</v>
      </c>
      <c r="C109" s="27"/>
      <c r="D109" s="27"/>
      <c r="E109" s="27"/>
      <c r="F109" s="26" t="s">
        <v>257</v>
      </c>
      <c r="G109" s="26" t="s">
        <v>258</v>
      </c>
      <c r="H109" s="25" t="s">
        <v>81</v>
      </c>
      <c r="I109" s="26" t="s">
        <v>82</v>
      </c>
      <c r="J109" s="26"/>
      <c r="K109" s="1" t="s">
        <v>83</v>
      </c>
      <c r="L109" s="1"/>
    </row>
    <row r="110" spans="2:12" ht="27">
      <c r="B110" s="19">
        <f t="shared" si="1"/>
        <v>105</v>
      </c>
      <c r="C110" s="27"/>
      <c r="D110" s="27"/>
      <c r="E110" s="24" t="s">
        <v>259</v>
      </c>
      <c r="F110" s="26" t="s">
        <v>260</v>
      </c>
      <c r="G110" s="26" t="s">
        <v>261</v>
      </c>
      <c r="H110" s="25" t="s">
        <v>81</v>
      </c>
      <c r="I110" s="26" t="s">
        <v>82</v>
      </c>
      <c r="J110" s="26"/>
      <c r="K110" s="1" t="s">
        <v>83</v>
      </c>
      <c r="L110" s="1"/>
    </row>
    <row r="111" spans="2:12" ht="40.5">
      <c r="B111" s="19">
        <f t="shared" si="1"/>
        <v>106</v>
      </c>
      <c r="C111" s="27"/>
      <c r="D111" s="27"/>
      <c r="E111" s="24" t="s">
        <v>262</v>
      </c>
      <c r="F111" s="26" t="s">
        <v>263</v>
      </c>
      <c r="G111" s="26" t="s">
        <v>264</v>
      </c>
      <c r="H111" s="25" t="s">
        <v>265</v>
      </c>
      <c r="I111" s="26" t="s">
        <v>82</v>
      </c>
      <c r="J111" s="26"/>
      <c r="K111" s="1" t="s">
        <v>83</v>
      </c>
      <c r="L111" s="1"/>
    </row>
    <row r="112" spans="2:12">
      <c r="B112" s="19">
        <f t="shared" si="1"/>
        <v>107</v>
      </c>
      <c r="C112" s="27"/>
      <c r="D112" s="27"/>
      <c r="E112" s="27"/>
      <c r="F112" s="26" t="s">
        <v>266</v>
      </c>
      <c r="G112" s="26" t="s">
        <v>267</v>
      </c>
      <c r="H112" s="25" t="s">
        <v>81</v>
      </c>
      <c r="I112" s="26" t="s">
        <v>82</v>
      </c>
      <c r="J112" s="26"/>
      <c r="K112" s="1" t="s">
        <v>83</v>
      </c>
      <c r="L112" s="1"/>
    </row>
    <row r="113" spans="2:12" ht="40.5">
      <c r="B113" s="19">
        <f t="shared" si="1"/>
        <v>108</v>
      </c>
      <c r="C113" s="27"/>
      <c r="D113" s="27"/>
      <c r="E113" s="27"/>
      <c r="F113" s="26" t="s">
        <v>268</v>
      </c>
      <c r="G113" s="26" t="s">
        <v>269</v>
      </c>
      <c r="H113" s="25" t="s">
        <v>265</v>
      </c>
      <c r="I113" s="26" t="s">
        <v>82</v>
      </c>
      <c r="J113" s="26"/>
      <c r="K113" s="1" t="s">
        <v>83</v>
      </c>
      <c r="L113" s="1"/>
    </row>
    <row r="114" spans="2:12">
      <c r="B114" s="19">
        <f t="shared" si="1"/>
        <v>109</v>
      </c>
      <c r="C114" s="27"/>
      <c r="D114" s="27"/>
      <c r="E114" s="27"/>
      <c r="F114" s="26" t="s">
        <v>270</v>
      </c>
      <c r="G114" s="26" t="s">
        <v>271</v>
      </c>
      <c r="H114" s="25" t="s">
        <v>81</v>
      </c>
      <c r="I114" s="26" t="s">
        <v>82</v>
      </c>
      <c r="J114" s="26"/>
      <c r="K114" s="1" t="s">
        <v>83</v>
      </c>
      <c r="L114" s="1"/>
    </row>
    <row r="115" spans="2:12">
      <c r="B115" s="19">
        <f t="shared" si="1"/>
        <v>110</v>
      </c>
      <c r="C115" s="27"/>
      <c r="D115" s="27"/>
      <c r="E115" s="27"/>
      <c r="F115" s="26" t="s">
        <v>272</v>
      </c>
      <c r="G115" s="26"/>
      <c r="H115" s="25" t="s">
        <v>81</v>
      </c>
      <c r="I115" s="26" t="s">
        <v>82</v>
      </c>
      <c r="J115" s="26"/>
      <c r="K115" s="1" t="s">
        <v>83</v>
      </c>
      <c r="L115" s="1"/>
    </row>
    <row r="116" spans="2:12" ht="27">
      <c r="B116" s="19">
        <f t="shared" si="1"/>
        <v>111</v>
      </c>
      <c r="C116" s="27"/>
      <c r="D116" s="27"/>
      <c r="E116" s="46" t="s">
        <v>273</v>
      </c>
      <c r="F116" s="47" t="s">
        <v>274</v>
      </c>
      <c r="G116" s="47"/>
      <c r="H116" s="48" t="s">
        <v>94</v>
      </c>
      <c r="I116" s="47"/>
      <c r="J116" s="47"/>
      <c r="K116" s="5"/>
      <c r="L116" s="5"/>
    </row>
    <row r="117" spans="2:12">
      <c r="B117" s="19">
        <f t="shared" si="1"/>
        <v>112</v>
      </c>
      <c r="C117" s="27"/>
      <c r="D117" s="27"/>
      <c r="E117" s="49"/>
      <c r="F117" s="47" t="s">
        <v>275</v>
      </c>
      <c r="G117" s="47"/>
      <c r="H117" s="48"/>
      <c r="I117" s="47"/>
      <c r="J117" s="47"/>
      <c r="K117" s="5"/>
      <c r="L117" s="5"/>
    </row>
    <row r="118" spans="2:12">
      <c r="B118" s="19">
        <f t="shared" si="1"/>
        <v>113</v>
      </c>
      <c r="C118" s="27"/>
      <c r="D118" s="27"/>
      <c r="E118" s="24" t="s">
        <v>276</v>
      </c>
      <c r="F118" s="26" t="s">
        <v>277</v>
      </c>
      <c r="G118" s="26"/>
      <c r="H118" s="25" t="s">
        <v>278</v>
      </c>
      <c r="I118" s="26" t="s">
        <v>82</v>
      </c>
      <c r="J118" s="26"/>
      <c r="K118" s="1" t="s">
        <v>83</v>
      </c>
      <c r="L118" s="1"/>
    </row>
    <row r="119" spans="2:12">
      <c r="B119" s="19">
        <f t="shared" si="1"/>
        <v>114</v>
      </c>
      <c r="C119" s="24" t="s">
        <v>47</v>
      </c>
      <c r="D119" s="24"/>
      <c r="E119" s="24"/>
      <c r="F119" s="25" t="s">
        <v>279</v>
      </c>
      <c r="G119" s="25" t="s">
        <v>280</v>
      </c>
      <c r="H119" s="25" t="s">
        <v>281</v>
      </c>
      <c r="I119" s="26" t="s">
        <v>82</v>
      </c>
      <c r="J119" s="26"/>
      <c r="K119" s="1" t="s">
        <v>282</v>
      </c>
      <c r="L119" s="1"/>
    </row>
    <row r="120" spans="2:12" ht="27">
      <c r="B120" s="19">
        <f t="shared" si="1"/>
        <v>115</v>
      </c>
      <c r="C120" s="27"/>
      <c r="D120" s="27"/>
      <c r="E120" s="27"/>
      <c r="F120" s="25" t="s">
        <v>283</v>
      </c>
      <c r="G120" s="25" t="s">
        <v>284</v>
      </c>
      <c r="H120" s="25" t="s">
        <v>285</v>
      </c>
      <c r="I120" s="26" t="s">
        <v>82</v>
      </c>
      <c r="J120" s="26"/>
      <c r="K120" s="1" t="s">
        <v>282</v>
      </c>
      <c r="L120" s="1"/>
    </row>
    <row r="121" spans="2:12">
      <c r="B121" s="19">
        <f t="shared" si="1"/>
        <v>116</v>
      </c>
      <c r="C121" s="27"/>
      <c r="D121" s="27"/>
      <c r="E121" s="27"/>
      <c r="F121" s="25" t="s">
        <v>286</v>
      </c>
      <c r="G121" s="25"/>
      <c r="H121" s="25" t="s">
        <v>287</v>
      </c>
      <c r="I121" s="26" t="s">
        <v>82</v>
      </c>
      <c r="J121" s="26"/>
      <c r="K121" s="1" t="s">
        <v>282</v>
      </c>
      <c r="L121" s="1"/>
    </row>
    <row r="122" spans="2:12">
      <c r="B122" s="19">
        <f t="shared" si="1"/>
        <v>117</v>
      </c>
      <c r="C122" s="27"/>
      <c r="D122" s="27"/>
      <c r="E122" s="27"/>
      <c r="F122" s="28" t="s">
        <v>288</v>
      </c>
      <c r="G122" s="25"/>
      <c r="H122" s="25" t="s">
        <v>287</v>
      </c>
      <c r="I122" s="26" t="s">
        <v>82</v>
      </c>
      <c r="J122" s="26"/>
      <c r="K122" s="1" t="s">
        <v>282</v>
      </c>
      <c r="L122" s="1"/>
    </row>
    <row r="123" spans="2:12">
      <c r="B123" s="19">
        <f t="shared" si="1"/>
        <v>118</v>
      </c>
      <c r="C123" s="24" t="s">
        <v>289</v>
      </c>
      <c r="D123" s="24"/>
      <c r="E123" s="24" t="s">
        <v>290</v>
      </c>
      <c r="F123" s="26" t="s">
        <v>291</v>
      </c>
      <c r="G123" s="26"/>
      <c r="H123" s="25" t="s">
        <v>81</v>
      </c>
      <c r="I123" s="26" t="s">
        <v>82</v>
      </c>
      <c r="J123" s="26" t="s">
        <v>292</v>
      </c>
      <c r="K123" s="1" t="s">
        <v>83</v>
      </c>
      <c r="L123" s="1"/>
    </row>
    <row r="124" spans="2:12">
      <c r="B124" s="19">
        <f t="shared" si="1"/>
        <v>119</v>
      </c>
      <c r="C124" s="27"/>
      <c r="D124" s="27"/>
      <c r="E124" s="27"/>
      <c r="F124" s="26" t="s">
        <v>293</v>
      </c>
      <c r="G124" s="26"/>
      <c r="H124" s="25" t="s">
        <v>81</v>
      </c>
      <c r="I124" s="26" t="s">
        <v>82</v>
      </c>
      <c r="J124" s="26"/>
      <c r="K124" s="1" t="s">
        <v>83</v>
      </c>
      <c r="L124" s="1"/>
    </row>
    <row r="125" spans="2:12">
      <c r="B125" s="19">
        <f t="shared" si="1"/>
        <v>120</v>
      </c>
      <c r="C125" s="27"/>
      <c r="D125" s="27"/>
      <c r="E125" s="24" t="s">
        <v>294</v>
      </c>
      <c r="F125" s="26" t="s">
        <v>295</v>
      </c>
      <c r="G125" s="26"/>
      <c r="H125" s="25" t="s">
        <v>81</v>
      </c>
      <c r="I125" s="26" t="s">
        <v>82</v>
      </c>
      <c r="J125" s="26" t="s">
        <v>292</v>
      </c>
      <c r="K125" s="1" t="s">
        <v>83</v>
      </c>
      <c r="L125" s="1"/>
    </row>
    <row r="126" spans="2:12">
      <c r="B126" s="19">
        <f t="shared" si="1"/>
        <v>121</v>
      </c>
      <c r="C126" s="27"/>
      <c r="D126" s="27"/>
      <c r="E126" s="24" t="s">
        <v>296</v>
      </c>
      <c r="F126" s="26" t="s">
        <v>297</v>
      </c>
      <c r="G126" s="26"/>
      <c r="H126" s="25" t="s">
        <v>81</v>
      </c>
      <c r="I126" s="26" t="s">
        <v>82</v>
      </c>
      <c r="J126" s="26"/>
      <c r="K126" s="1" t="s">
        <v>83</v>
      </c>
      <c r="L126" s="1"/>
    </row>
    <row r="127" spans="2:12" ht="54">
      <c r="B127" s="19">
        <f t="shared" si="1"/>
        <v>122</v>
      </c>
      <c r="C127" s="24" t="s">
        <v>298</v>
      </c>
      <c r="D127" s="24"/>
      <c r="E127" s="24"/>
      <c r="F127" s="26" t="s">
        <v>299</v>
      </c>
      <c r="G127" s="26" t="s">
        <v>300</v>
      </c>
      <c r="H127" s="25" t="s">
        <v>301</v>
      </c>
      <c r="I127" s="26" t="s">
        <v>82</v>
      </c>
      <c r="J127" s="26" t="s">
        <v>302</v>
      </c>
      <c r="K127" s="1" t="s">
        <v>83</v>
      </c>
      <c r="L127" s="1"/>
    </row>
    <row r="128" spans="2:12" ht="54">
      <c r="B128" s="19">
        <f t="shared" si="1"/>
        <v>123</v>
      </c>
      <c r="C128" s="27"/>
      <c r="D128" s="27"/>
      <c r="E128" s="27"/>
      <c r="F128" s="26" t="s">
        <v>303</v>
      </c>
      <c r="G128" s="26" t="s">
        <v>304</v>
      </c>
      <c r="H128" s="25" t="s">
        <v>301</v>
      </c>
      <c r="I128" s="26" t="s">
        <v>82</v>
      </c>
      <c r="J128" s="26" t="s">
        <v>302</v>
      </c>
      <c r="K128" s="1" t="s">
        <v>83</v>
      </c>
      <c r="L128" s="1"/>
    </row>
    <row r="129" spans="2:12" ht="54">
      <c r="B129" s="19">
        <f t="shared" si="1"/>
        <v>124</v>
      </c>
      <c r="C129" s="27"/>
      <c r="D129" s="27"/>
      <c r="E129" s="27"/>
      <c r="F129" s="26" t="s">
        <v>305</v>
      </c>
      <c r="G129" s="26"/>
      <c r="H129" s="25" t="s">
        <v>306</v>
      </c>
      <c r="I129" s="26" t="s">
        <v>307</v>
      </c>
      <c r="J129" s="26"/>
      <c r="K129" s="1" t="s">
        <v>83</v>
      </c>
      <c r="L129" s="1"/>
    </row>
    <row r="130" spans="2:12">
      <c r="B130" s="19">
        <f t="shared" si="1"/>
        <v>125</v>
      </c>
      <c r="C130" s="24" t="s">
        <v>308</v>
      </c>
      <c r="D130" s="24"/>
      <c r="E130" s="24"/>
      <c r="F130" s="26" t="s">
        <v>299</v>
      </c>
      <c r="G130" s="26" t="s">
        <v>300</v>
      </c>
      <c r="H130" s="25" t="s">
        <v>301</v>
      </c>
      <c r="I130" s="26" t="s">
        <v>82</v>
      </c>
      <c r="J130" s="26"/>
      <c r="K130" s="1" t="s">
        <v>83</v>
      </c>
      <c r="L130" s="1"/>
    </row>
    <row r="131" spans="2:12">
      <c r="B131" s="19">
        <f t="shared" si="1"/>
        <v>126</v>
      </c>
      <c r="C131" s="27"/>
      <c r="D131" s="27"/>
      <c r="E131" s="27"/>
      <c r="F131" s="26" t="s">
        <v>303</v>
      </c>
      <c r="G131" s="26" t="s">
        <v>304</v>
      </c>
      <c r="H131" s="25" t="s">
        <v>301</v>
      </c>
      <c r="I131" s="26" t="s">
        <v>82</v>
      </c>
      <c r="J131" s="26"/>
      <c r="K131" s="1" t="s">
        <v>83</v>
      </c>
      <c r="L131" s="1"/>
    </row>
    <row r="132" spans="2:12" ht="27">
      <c r="B132" s="19">
        <f t="shared" si="1"/>
        <v>127</v>
      </c>
      <c r="C132" s="24" t="s">
        <v>309</v>
      </c>
      <c r="D132" s="24"/>
      <c r="E132" s="24"/>
      <c r="F132" s="26" t="s">
        <v>310</v>
      </c>
      <c r="G132" s="26"/>
      <c r="H132" s="25" t="s">
        <v>311</v>
      </c>
      <c r="I132" s="26" t="s">
        <v>312</v>
      </c>
      <c r="J132" s="26"/>
      <c r="K132" s="1" t="s">
        <v>83</v>
      </c>
      <c r="L132" s="1"/>
    </row>
    <row r="133" spans="2:12" ht="54">
      <c r="B133" s="19">
        <f t="shared" si="1"/>
        <v>128</v>
      </c>
      <c r="C133" s="24" t="s">
        <v>313</v>
      </c>
      <c r="D133" s="24"/>
      <c r="E133" s="24"/>
      <c r="F133" s="26" t="s">
        <v>314</v>
      </c>
      <c r="G133" s="26"/>
      <c r="H133" s="25" t="s">
        <v>315</v>
      </c>
      <c r="I133" s="26" t="s">
        <v>82</v>
      </c>
      <c r="J133" s="26"/>
      <c r="K133" s="1" t="s">
        <v>316</v>
      </c>
      <c r="L133" s="1"/>
    </row>
    <row r="134" spans="2:12">
      <c r="B134" s="19">
        <f t="shared" si="1"/>
        <v>129</v>
      </c>
      <c r="C134" s="27"/>
      <c r="D134" s="27"/>
      <c r="E134" s="27"/>
      <c r="F134" s="26" t="s">
        <v>157</v>
      </c>
      <c r="G134" s="26"/>
      <c r="H134" s="25" t="s">
        <v>317</v>
      </c>
      <c r="I134" s="26" t="s">
        <v>82</v>
      </c>
      <c r="J134" s="26"/>
      <c r="K134" s="1" t="s">
        <v>316</v>
      </c>
      <c r="L134" s="1"/>
    </row>
    <row r="135" spans="2:12">
      <c r="B135" s="19">
        <f t="shared" si="1"/>
        <v>130</v>
      </c>
      <c r="C135" s="27"/>
      <c r="D135" s="27"/>
      <c r="E135" s="27"/>
      <c r="F135" s="26" t="s">
        <v>318</v>
      </c>
      <c r="G135" s="26"/>
      <c r="H135" s="25" t="s">
        <v>94</v>
      </c>
      <c r="I135" s="26" t="s">
        <v>82</v>
      </c>
      <c r="J135" s="26"/>
      <c r="K135" s="1" t="s">
        <v>316</v>
      </c>
      <c r="L135" s="1"/>
    </row>
    <row r="136" spans="2:12">
      <c r="B136" s="19">
        <f t="shared" si="1"/>
        <v>131</v>
      </c>
      <c r="C136" s="27"/>
      <c r="D136" s="27"/>
      <c r="E136" s="27"/>
      <c r="F136" s="26" t="s">
        <v>159</v>
      </c>
      <c r="G136" s="26"/>
      <c r="H136" s="25" t="s">
        <v>319</v>
      </c>
      <c r="I136" s="26" t="s">
        <v>82</v>
      </c>
      <c r="J136" s="26"/>
      <c r="K136" s="1" t="s">
        <v>316</v>
      </c>
      <c r="L136" s="1"/>
    </row>
    <row r="137" spans="2:12">
      <c r="B137" s="19">
        <f t="shared" si="1"/>
        <v>132</v>
      </c>
      <c r="C137" s="27"/>
      <c r="D137" s="27"/>
      <c r="E137" s="27"/>
      <c r="F137" s="26" t="s">
        <v>320</v>
      </c>
      <c r="G137" s="26"/>
      <c r="H137" s="25" t="s">
        <v>319</v>
      </c>
      <c r="I137" s="26" t="s">
        <v>82</v>
      </c>
      <c r="J137" s="26"/>
      <c r="K137" s="1" t="s">
        <v>316</v>
      </c>
      <c r="L137" s="1"/>
    </row>
    <row r="138" spans="2:12">
      <c r="B138" s="19">
        <f t="shared" si="1"/>
        <v>133</v>
      </c>
      <c r="C138" s="27"/>
      <c r="D138" s="27"/>
      <c r="E138" s="27"/>
      <c r="F138" s="26" t="s">
        <v>321</v>
      </c>
      <c r="G138" s="26"/>
      <c r="H138" s="25" t="s">
        <v>319</v>
      </c>
      <c r="I138" s="26" t="s">
        <v>82</v>
      </c>
      <c r="J138" s="26"/>
      <c r="K138" s="1" t="s">
        <v>316</v>
      </c>
      <c r="L138" s="1"/>
    </row>
    <row r="139" spans="2:12">
      <c r="B139" s="19">
        <f t="shared" si="1"/>
        <v>134</v>
      </c>
      <c r="C139" s="27"/>
      <c r="D139" s="27"/>
      <c r="E139" s="27"/>
      <c r="F139" s="26" t="s">
        <v>322</v>
      </c>
      <c r="G139" s="26"/>
      <c r="H139" s="25" t="s">
        <v>319</v>
      </c>
      <c r="I139" s="26" t="s">
        <v>82</v>
      </c>
      <c r="J139" s="26"/>
      <c r="K139" s="1" t="s">
        <v>316</v>
      </c>
      <c r="L139" s="1"/>
    </row>
    <row r="140" spans="2:12">
      <c r="B140" s="19">
        <f t="shared" si="1"/>
        <v>135</v>
      </c>
      <c r="C140" s="24" t="s">
        <v>323</v>
      </c>
      <c r="D140" s="24"/>
      <c r="E140" s="24"/>
      <c r="F140" s="26" t="s">
        <v>324</v>
      </c>
      <c r="G140" s="26"/>
      <c r="H140" s="25" t="s">
        <v>81</v>
      </c>
      <c r="I140" s="26" t="s">
        <v>82</v>
      </c>
      <c r="J140" s="26" t="s">
        <v>292</v>
      </c>
      <c r="K140" s="1" t="s">
        <v>83</v>
      </c>
      <c r="L140" s="1"/>
    </row>
    <row r="141" spans="2:12">
      <c r="B141" s="19">
        <f t="shared" si="1"/>
        <v>136</v>
      </c>
      <c r="C141" s="27"/>
      <c r="D141" s="27"/>
      <c r="E141" s="24" t="s">
        <v>325</v>
      </c>
      <c r="F141" s="26" t="s">
        <v>326</v>
      </c>
      <c r="G141" s="26"/>
      <c r="H141" s="25"/>
      <c r="I141" s="26" t="s">
        <v>82</v>
      </c>
      <c r="J141" s="26"/>
      <c r="K141" s="1" t="s">
        <v>83</v>
      </c>
      <c r="L141" s="1"/>
    </row>
    <row r="142" spans="2:12">
      <c r="B142" s="19">
        <f t="shared" si="1"/>
        <v>137</v>
      </c>
      <c r="C142" s="27"/>
      <c r="D142" s="27"/>
      <c r="E142" s="27"/>
      <c r="F142" s="26" t="s">
        <v>327</v>
      </c>
      <c r="G142" s="26"/>
      <c r="H142" s="25"/>
      <c r="I142" s="26" t="s">
        <v>82</v>
      </c>
      <c r="J142" s="26"/>
      <c r="K142" s="1" t="s">
        <v>83</v>
      </c>
      <c r="L142" s="1"/>
    </row>
    <row r="143" spans="2:12" ht="31.5" customHeight="1">
      <c r="B143" s="19">
        <f t="shared" si="1"/>
        <v>138</v>
      </c>
      <c r="C143" s="27"/>
      <c r="D143" s="27"/>
      <c r="E143" s="27"/>
      <c r="F143" s="26" t="s">
        <v>328</v>
      </c>
      <c r="G143" s="26"/>
      <c r="H143" s="25"/>
      <c r="I143" s="26" t="s">
        <v>82</v>
      </c>
      <c r="J143" s="26"/>
      <c r="K143" s="1" t="s">
        <v>83</v>
      </c>
      <c r="L143" s="1"/>
    </row>
    <row r="144" spans="2:12">
      <c r="B144" s="19">
        <f t="shared" si="1"/>
        <v>139</v>
      </c>
      <c r="C144" s="27"/>
      <c r="D144" s="27"/>
      <c r="E144" s="24" t="s">
        <v>329</v>
      </c>
      <c r="F144" s="26" t="s">
        <v>330</v>
      </c>
      <c r="G144" s="26" t="s">
        <v>185</v>
      </c>
      <c r="H144" s="25"/>
      <c r="I144" s="26" t="s">
        <v>82</v>
      </c>
      <c r="J144" s="26"/>
      <c r="K144" s="1" t="s">
        <v>83</v>
      </c>
      <c r="L144" s="1"/>
    </row>
    <row r="145" spans="2:12">
      <c r="B145" s="19">
        <f t="shared" si="1"/>
        <v>140</v>
      </c>
      <c r="C145" s="24" t="s">
        <v>331</v>
      </c>
      <c r="D145" s="24"/>
      <c r="E145" s="14" t="s">
        <v>331</v>
      </c>
      <c r="F145" s="15" t="s">
        <v>332</v>
      </c>
      <c r="G145" s="21"/>
      <c r="H145" s="20" t="s">
        <v>301</v>
      </c>
      <c r="I145" s="26" t="s">
        <v>82</v>
      </c>
      <c r="J145" s="21"/>
      <c r="K145" s="1"/>
      <c r="L145" s="1"/>
    </row>
    <row r="146" spans="2:12">
      <c r="B146" s="19">
        <f t="shared" si="1"/>
        <v>141</v>
      </c>
      <c r="C146" s="27"/>
      <c r="D146" s="27"/>
      <c r="E146" s="73"/>
      <c r="F146" s="15" t="s">
        <v>333</v>
      </c>
      <c r="G146" s="21"/>
      <c r="H146" s="20" t="s">
        <v>301</v>
      </c>
      <c r="I146" s="26" t="s">
        <v>82</v>
      </c>
      <c r="J146" s="21"/>
      <c r="K146" s="1"/>
      <c r="L146" s="1"/>
    </row>
    <row r="147" spans="2:12">
      <c r="B147" s="19">
        <f t="shared" si="1"/>
        <v>142</v>
      </c>
      <c r="C147" s="27"/>
      <c r="D147" s="27"/>
      <c r="E147" s="27"/>
      <c r="F147" s="26" t="s">
        <v>334</v>
      </c>
      <c r="G147" s="26"/>
      <c r="H147" s="25"/>
      <c r="I147" s="26" t="s">
        <v>82</v>
      </c>
      <c r="J147" s="26"/>
      <c r="K147" s="1" t="s">
        <v>83</v>
      </c>
      <c r="L147" s="1"/>
    </row>
    <row r="148" spans="2:12">
      <c r="B148" s="19">
        <f t="shared" si="1"/>
        <v>143</v>
      </c>
      <c r="C148" s="27"/>
      <c r="D148" s="27"/>
      <c r="E148" s="27"/>
      <c r="F148" s="26" t="s">
        <v>335</v>
      </c>
      <c r="G148" s="26"/>
      <c r="H148" s="25" t="s">
        <v>94</v>
      </c>
      <c r="I148" s="26" t="s">
        <v>95</v>
      </c>
      <c r="J148" s="26"/>
      <c r="K148" s="1" t="s">
        <v>83</v>
      </c>
      <c r="L148" s="1"/>
    </row>
    <row r="149" spans="2:12">
      <c r="B149" s="19">
        <f t="shared" si="1"/>
        <v>144</v>
      </c>
      <c r="C149" s="27"/>
      <c r="D149" s="27"/>
      <c r="E149" s="27"/>
      <c r="F149" s="26" t="s">
        <v>336</v>
      </c>
      <c r="G149" s="26"/>
      <c r="H149" s="25"/>
      <c r="I149" s="26" t="s">
        <v>82</v>
      </c>
      <c r="J149" s="26"/>
      <c r="K149" s="1" t="s">
        <v>83</v>
      </c>
      <c r="L149" s="1"/>
    </row>
    <row r="150" spans="2:12">
      <c r="B150" s="19">
        <f t="shared" si="1"/>
        <v>145</v>
      </c>
      <c r="C150" s="27"/>
      <c r="D150" s="27"/>
      <c r="E150" s="27"/>
      <c r="F150" s="26" t="s">
        <v>337</v>
      </c>
      <c r="G150" s="26"/>
      <c r="H150" s="25"/>
      <c r="I150" s="26" t="s">
        <v>82</v>
      </c>
      <c r="J150" s="26"/>
      <c r="K150" s="1" t="s">
        <v>83</v>
      </c>
      <c r="L150" s="1"/>
    </row>
    <row r="151" spans="2:12">
      <c r="B151" s="19">
        <f t="shared" si="1"/>
        <v>146</v>
      </c>
      <c r="C151" s="27"/>
      <c r="D151" s="27"/>
      <c r="E151" s="27"/>
      <c r="F151" s="26" t="s">
        <v>338</v>
      </c>
      <c r="G151" s="26"/>
      <c r="H151" s="25"/>
      <c r="I151" s="26" t="s">
        <v>82</v>
      </c>
      <c r="J151" s="26"/>
      <c r="K151" s="1" t="s">
        <v>83</v>
      </c>
      <c r="L151" s="1"/>
    </row>
    <row r="152" spans="2:12">
      <c r="B152" s="19">
        <f t="shared" si="1"/>
        <v>147</v>
      </c>
      <c r="C152" s="27"/>
      <c r="D152" s="27"/>
      <c r="E152" s="27"/>
      <c r="F152" s="26" t="s">
        <v>339</v>
      </c>
      <c r="G152" s="26"/>
      <c r="H152" s="25" t="s">
        <v>94</v>
      </c>
      <c r="I152" s="26" t="s">
        <v>95</v>
      </c>
      <c r="J152" s="26"/>
      <c r="K152" s="1" t="s">
        <v>83</v>
      </c>
      <c r="L152" s="1"/>
    </row>
    <row r="153" spans="2:12">
      <c r="B153" s="19">
        <f t="shared" ref="B153:B171" si="2">ROW() - 5</f>
        <v>148</v>
      </c>
      <c r="C153" s="27"/>
      <c r="D153" s="27"/>
      <c r="E153" s="27"/>
      <c r="F153" s="26" t="s">
        <v>340</v>
      </c>
      <c r="G153" s="26"/>
      <c r="H153" s="25" t="s">
        <v>94</v>
      </c>
      <c r="I153" s="26" t="s">
        <v>95</v>
      </c>
      <c r="J153" s="26"/>
      <c r="K153" s="1" t="s">
        <v>83</v>
      </c>
      <c r="L153" s="1"/>
    </row>
    <row r="154" spans="2:12">
      <c r="B154" s="19">
        <f t="shared" si="2"/>
        <v>149</v>
      </c>
      <c r="C154" s="27"/>
      <c r="D154" s="27"/>
      <c r="E154" s="27"/>
      <c r="F154" s="26" t="s">
        <v>341</v>
      </c>
      <c r="G154" s="26"/>
      <c r="H154" s="25" t="s">
        <v>94</v>
      </c>
      <c r="I154" s="26" t="s">
        <v>95</v>
      </c>
      <c r="J154" s="26"/>
      <c r="K154" s="1" t="s">
        <v>83</v>
      </c>
      <c r="L154" s="1"/>
    </row>
    <row r="155" spans="2:12">
      <c r="B155" s="19">
        <f t="shared" si="2"/>
        <v>150</v>
      </c>
      <c r="C155" s="27"/>
      <c r="D155" s="27"/>
      <c r="E155" s="27"/>
      <c r="F155" s="26" t="s">
        <v>342</v>
      </c>
      <c r="G155" s="26"/>
      <c r="H155" s="25"/>
      <c r="I155" s="26" t="s">
        <v>82</v>
      </c>
      <c r="J155" s="26"/>
      <c r="K155" s="1" t="s">
        <v>83</v>
      </c>
      <c r="L155" s="1"/>
    </row>
    <row r="156" spans="2:12">
      <c r="B156" s="19">
        <f t="shared" si="2"/>
        <v>151</v>
      </c>
      <c r="C156" s="24" t="s">
        <v>343</v>
      </c>
      <c r="D156" s="24"/>
      <c r="E156" s="24" t="s">
        <v>344</v>
      </c>
      <c r="F156" s="26" t="s">
        <v>345</v>
      </c>
      <c r="G156" s="26"/>
      <c r="H156" s="25"/>
      <c r="I156" s="26" t="s">
        <v>82</v>
      </c>
      <c r="J156" s="26"/>
      <c r="K156" s="1" t="s">
        <v>83</v>
      </c>
      <c r="L156" s="1"/>
    </row>
    <row r="157" spans="2:12" ht="27">
      <c r="B157" s="19">
        <f t="shared" si="2"/>
        <v>152</v>
      </c>
      <c r="C157" s="27"/>
      <c r="D157" s="27"/>
      <c r="E157" s="27"/>
      <c r="F157" s="26" t="s">
        <v>346</v>
      </c>
      <c r="G157" s="26"/>
      <c r="H157" s="25"/>
      <c r="I157" s="26" t="s">
        <v>82</v>
      </c>
      <c r="J157" s="26"/>
      <c r="K157" s="1" t="s">
        <v>83</v>
      </c>
      <c r="L157" s="1"/>
    </row>
    <row r="158" spans="2:12">
      <c r="B158" s="19">
        <f t="shared" si="2"/>
        <v>153</v>
      </c>
      <c r="C158" s="27"/>
      <c r="D158" s="27"/>
      <c r="E158" s="27"/>
      <c r="F158" s="26" t="s">
        <v>347</v>
      </c>
      <c r="G158" s="26"/>
      <c r="H158" s="25"/>
      <c r="I158" s="26" t="s">
        <v>82</v>
      </c>
      <c r="J158" s="26"/>
      <c r="K158" s="1" t="s">
        <v>83</v>
      </c>
      <c r="L158" s="1"/>
    </row>
    <row r="159" spans="2:12">
      <c r="B159" s="19">
        <f t="shared" si="2"/>
        <v>154</v>
      </c>
      <c r="C159" s="27"/>
      <c r="D159" s="27"/>
      <c r="E159" s="27"/>
      <c r="F159" s="26" t="s">
        <v>348</v>
      </c>
      <c r="G159" s="26"/>
      <c r="H159" s="25"/>
      <c r="I159" s="26" t="s">
        <v>82</v>
      </c>
      <c r="J159" s="26"/>
      <c r="K159" s="1" t="s">
        <v>83</v>
      </c>
      <c r="L159" s="1"/>
    </row>
    <row r="160" spans="2:12">
      <c r="B160" s="19">
        <f t="shared" si="2"/>
        <v>155</v>
      </c>
      <c r="C160" s="27"/>
      <c r="D160" s="27"/>
      <c r="E160" s="27"/>
      <c r="F160" s="26" t="s">
        <v>349</v>
      </c>
      <c r="G160" s="26"/>
      <c r="H160" s="25"/>
      <c r="I160" s="26" t="s">
        <v>82</v>
      </c>
      <c r="J160" s="26"/>
      <c r="K160" s="1" t="s">
        <v>83</v>
      </c>
      <c r="L160" s="1"/>
    </row>
    <row r="161" spans="2:12">
      <c r="B161" s="19">
        <f t="shared" si="2"/>
        <v>156</v>
      </c>
      <c r="C161" s="27"/>
      <c r="D161" s="27"/>
      <c r="E161" s="24" t="s">
        <v>350</v>
      </c>
      <c r="F161" s="26" t="s">
        <v>351</v>
      </c>
      <c r="G161" s="26"/>
      <c r="H161" s="25"/>
      <c r="I161" s="26" t="s">
        <v>82</v>
      </c>
      <c r="J161" s="26"/>
      <c r="K161" s="1" t="s">
        <v>83</v>
      </c>
      <c r="L161" s="1"/>
    </row>
    <row r="162" spans="2:12">
      <c r="B162" s="19">
        <f t="shared" si="2"/>
        <v>157</v>
      </c>
      <c r="C162" s="27"/>
      <c r="D162" s="27"/>
      <c r="E162" s="27"/>
      <c r="F162" s="26" t="s">
        <v>352</v>
      </c>
      <c r="G162" s="26"/>
      <c r="H162" s="25"/>
      <c r="I162" s="26" t="s">
        <v>82</v>
      </c>
      <c r="J162" s="26"/>
      <c r="K162" s="1" t="s">
        <v>83</v>
      </c>
      <c r="L162" s="1"/>
    </row>
    <row r="163" spans="2:12">
      <c r="B163" s="19">
        <f t="shared" si="2"/>
        <v>158</v>
      </c>
      <c r="C163" s="27"/>
      <c r="D163" s="27"/>
      <c r="E163" s="27"/>
      <c r="F163" s="26" t="s">
        <v>353</v>
      </c>
      <c r="G163" s="26"/>
      <c r="H163" s="25"/>
      <c r="I163" s="26" t="s">
        <v>82</v>
      </c>
      <c r="J163" s="26"/>
      <c r="K163" s="1" t="s">
        <v>83</v>
      </c>
      <c r="L163" s="1"/>
    </row>
    <row r="164" spans="2:12">
      <c r="B164" s="19">
        <f t="shared" si="2"/>
        <v>159</v>
      </c>
      <c r="C164" s="27"/>
      <c r="D164" s="27"/>
      <c r="E164" s="27"/>
      <c r="F164" s="26" t="s">
        <v>354</v>
      </c>
      <c r="G164" s="26"/>
      <c r="H164" s="25"/>
      <c r="I164" s="26" t="s">
        <v>82</v>
      </c>
      <c r="J164" s="26"/>
      <c r="K164" s="1" t="s">
        <v>83</v>
      </c>
      <c r="L164" s="1"/>
    </row>
    <row r="165" spans="2:12">
      <c r="B165" s="19">
        <f t="shared" si="2"/>
        <v>160</v>
      </c>
      <c r="C165" s="27"/>
      <c r="D165" s="27"/>
      <c r="E165" s="27"/>
      <c r="F165" s="26" t="s">
        <v>355</v>
      </c>
      <c r="G165" s="26"/>
      <c r="H165" s="25"/>
      <c r="I165" s="26" t="s">
        <v>82</v>
      </c>
      <c r="J165" s="26"/>
      <c r="K165" s="1" t="s">
        <v>83</v>
      </c>
      <c r="L165" s="1"/>
    </row>
    <row r="166" spans="2:12">
      <c r="B166" s="19">
        <f t="shared" si="2"/>
        <v>161</v>
      </c>
      <c r="C166" s="27"/>
      <c r="D166" s="27"/>
      <c r="E166" s="27"/>
      <c r="F166" s="26" t="s">
        <v>356</v>
      </c>
      <c r="G166" s="26"/>
      <c r="H166" s="25"/>
      <c r="I166" s="26" t="s">
        <v>82</v>
      </c>
      <c r="J166" s="26"/>
      <c r="K166" s="1" t="s">
        <v>83</v>
      </c>
      <c r="L166" s="1"/>
    </row>
    <row r="167" spans="2:12">
      <c r="B167" s="19">
        <f t="shared" si="2"/>
        <v>162</v>
      </c>
      <c r="C167" s="27"/>
      <c r="D167" s="27"/>
      <c r="E167" s="27"/>
      <c r="F167" s="26" t="s">
        <v>357</v>
      </c>
      <c r="G167" s="26"/>
      <c r="H167" s="25"/>
      <c r="I167" s="26" t="s">
        <v>82</v>
      </c>
      <c r="J167" s="26"/>
      <c r="K167" s="1" t="s">
        <v>83</v>
      </c>
      <c r="L167" s="1"/>
    </row>
    <row r="168" spans="2:12">
      <c r="B168" s="19">
        <f t="shared" si="2"/>
        <v>163</v>
      </c>
      <c r="C168" s="27"/>
      <c r="D168" s="27"/>
      <c r="E168" s="27"/>
      <c r="F168" s="26" t="s">
        <v>358</v>
      </c>
      <c r="G168" s="26"/>
      <c r="H168" s="25"/>
      <c r="I168" s="26" t="s">
        <v>82</v>
      </c>
      <c r="J168" s="26"/>
      <c r="K168" s="1" t="s">
        <v>83</v>
      </c>
      <c r="L168" s="1"/>
    </row>
    <row r="169" spans="2:12">
      <c r="B169" s="19">
        <f t="shared" si="2"/>
        <v>164</v>
      </c>
      <c r="C169" s="30"/>
      <c r="D169" s="30"/>
      <c r="E169" s="30"/>
      <c r="F169" s="26" t="s">
        <v>359</v>
      </c>
      <c r="G169" s="26"/>
      <c r="H169" s="25"/>
      <c r="I169" s="26" t="s">
        <v>82</v>
      </c>
      <c r="J169" s="26"/>
      <c r="K169" s="1" t="s">
        <v>83</v>
      </c>
      <c r="L169" s="1"/>
    </row>
    <row r="170" spans="2:12" ht="40.5">
      <c r="B170" s="19">
        <f t="shared" si="2"/>
        <v>165</v>
      </c>
      <c r="C170" s="24" t="s">
        <v>360</v>
      </c>
      <c r="D170" s="24"/>
      <c r="E170" s="24"/>
      <c r="F170" s="26" t="s">
        <v>361</v>
      </c>
      <c r="G170" s="26" t="s">
        <v>222</v>
      </c>
      <c r="H170" s="25" t="s">
        <v>81</v>
      </c>
      <c r="I170" s="26" t="s">
        <v>82</v>
      </c>
      <c r="J170" s="26"/>
      <c r="K170" s="1" t="s">
        <v>362</v>
      </c>
      <c r="L170" s="1"/>
    </row>
    <row r="171" spans="2:12" ht="40.5">
      <c r="B171" s="19">
        <f t="shared" si="2"/>
        <v>166</v>
      </c>
      <c r="C171" s="30"/>
      <c r="D171" s="30"/>
      <c r="E171" s="30"/>
      <c r="F171" s="26" t="s">
        <v>363</v>
      </c>
      <c r="G171" s="26" t="s">
        <v>364</v>
      </c>
      <c r="H171" s="25" t="s">
        <v>81</v>
      </c>
      <c r="I171" s="26" t="s">
        <v>82</v>
      </c>
      <c r="J171" s="26"/>
      <c r="K171" s="1" t="s">
        <v>362</v>
      </c>
      <c r="L171" s="1"/>
    </row>
  </sheetData>
  <phoneticPr fontId="12"/>
  <hyperlinks>
    <hyperlink ref="A4" location="パラメータ設定一覧!A1" display="パラメータ設定一覧へ" xr:uid="{F51C81EF-9C2D-4C0C-AD70-C96776C955EC}"/>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4EFE2-DADF-4740-BB2C-DF2438887ACA}">
  <sheetPr codeName="Sheet122"/>
  <dimension ref="A1:DC62"/>
  <sheetViews>
    <sheetView showGridLines="0" zoomScale="70" zoomScaleNormal="70" workbookViewId="0">
      <pane xSplit="5" ySplit="7" topLeftCell="F8" activePane="bottomRight" state="frozen"/>
      <selection pane="bottomRight" activeCell="F8" sqref="F8"/>
      <selection pane="bottomLeft"/>
      <selection pane="topRight"/>
    </sheetView>
  </sheetViews>
  <sheetFormatPr defaultColWidth="8.77734375" defaultRowHeight="13.5"/>
  <cols>
    <col min="1" max="1" width="2.77734375" style="38" customWidth="1"/>
    <col min="2" max="2" width="3.5546875" style="38" bestFit="1" customWidth="1"/>
    <col min="3" max="3" width="27.33203125" style="38" bestFit="1" customWidth="1"/>
    <col min="4" max="4" width="8.21875" style="38" customWidth="1"/>
    <col min="5" max="5" width="22.44140625" style="38" customWidth="1"/>
    <col min="6" max="6" width="21" style="38" customWidth="1"/>
    <col min="7" max="7" width="21.21875" style="38" customWidth="1"/>
    <col min="8" max="8" width="8.77734375" style="38"/>
    <col min="9" max="9" width="16.77734375" style="38" customWidth="1"/>
    <col min="10" max="10" width="16.44140625" style="38" bestFit="1" customWidth="1"/>
    <col min="11" max="11" width="19.77734375" style="38" customWidth="1"/>
    <col min="12" max="12" width="19.6640625" style="38" bestFit="1" customWidth="1"/>
    <col min="13" max="13" width="15.21875" style="38" bestFit="1" customWidth="1"/>
    <col min="14" max="14" width="34.21875" style="38" bestFit="1" customWidth="1"/>
    <col min="15" max="15" width="27.33203125" style="38" bestFit="1" customWidth="1"/>
    <col min="16" max="16" width="13.77734375" style="38" customWidth="1"/>
    <col min="17" max="17" width="11.21875" style="38" customWidth="1"/>
    <col min="18" max="18" width="8.21875" style="38" bestFit="1" customWidth="1"/>
    <col min="19" max="19" width="17.6640625" style="38" bestFit="1" customWidth="1"/>
    <col min="20" max="20" width="9.33203125" style="38" bestFit="1" customWidth="1"/>
    <col min="21" max="21" width="27.33203125" style="38" customWidth="1"/>
    <col min="22" max="22" width="9.5546875" style="38" bestFit="1" customWidth="1"/>
    <col min="23" max="23" width="16.44140625" style="38" bestFit="1" customWidth="1"/>
    <col min="24" max="24" width="11.21875" style="38" bestFit="1" customWidth="1"/>
    <col min="25" max="25" width="16.44140625" style="38" bestFit="1" customWidth="1"/>
    <col min="26" max="26" width="18" style="38" bestFit="1" customWidth="1"/>
    <col min="27" max="28" width="8.77734375" style="38"/>
    <col min="29" max="29" width="13.21875" style="38" customWidth="1"/>
    <col min="30" max="38" width="8.77734375" style="38"/>
    <col min="39" max="39" width="11.77734375" style="38" customWidth="1"/>
    <col min="40" max="40" width="8.77734375" style="38"/>
    <col min="41" max="41" width="11.33203125" style="38" bestFit="1" customWidth="1"/>
    <col min="42" max="42" width="11.6640625" style="38" customWidth="1"/>
    <col min="43" max="43" width="12.33203125" style="38" customWidth="1"/>
    <col min="44" max="44" width="19.21875" style="38" customWidth="1"/>
    <col min="45" max="45" width="16.21875" style="38" customWidth="1"/>
    <col min="46" max="46" width="17.77734375" style="38" customWidth="1"/>
    <col min="47" max="47" width="16.44140625" style="38" customWidth="1"/>
    <col min="48" max="48" width="10.5546875" style="38" customWidth="1"/>
    <col min="49" max="49" width="12.6640625" style="38" customWidth="1"/>
    <col min="50" max="50" width="19.77734375" style="38" customWidth="1"/>
    <col min="51" max="55" width="8.77734375" style="38"/>
    <col min="56" max="56" width="11.5546875" style="38" customWidth="1"/>
    <col min="57" max="57" width="13.5546875" style="38" customWidth="1"/>
    <col min="58" max="58" width="11.21875" style="38" customWidth="1"/>
    <col min="59" max="59" width="14" style="38" customWidth="1"/>
    <col min="60" max="60" width="16.77734375" style="38" customWidth="1"/>
    <col min="61" max="61" width="16.33203125" style="38" customWidth="1"/>
    <col min="62" max="65" width="8.77734375" style="38"/>
    <col min="66" max="66" width="14" style="38" customWidth="1"/>
    <col min="67" max="70" width="12.77734375" style="38" customWidth="1"/>
    <col min="71" max="71" width="10.6640625" style="38" customWidth="1"/>
    <col min="72" max="72" width="12.77734375" style="38" customWidth="1"/>
    <col min="73" max="73" width="8.77734375" style="38"/>
    <col min="74" max="74" width="14.77734375" style="38" bestFit="1" customWidth="1"/>
    <col min="75" max="75" width="13.5546875" style="38" bestFit="1" customWidth="1"/>
    <col min="76" max="76" width="11.6640625" style="38" bestFit="1" customWidth="1"/>
    <col min="77" max="77" width="14" style="38" customWidth="1"/>
    <col min="78" max="78" width="11.77734375" style="38" customWidth="1"/>
    <col min="79" max="79" width="13.21875" style="38" customWidth="1"/>
    <col min="80" max="80" width="12.77734375" style="38" customWidth="1"/>
    <col min="81" max="81" width="14.6640625" style="38" customWidth="1"/>
    <col min="82" max="82" width="12.6640625" style="38" customWidth="1"/>
    <col min="83" max="83" width="8.77734375" style="38"/>
    <col min="84" max="84" width="12.5546875" style="38" customWidth="1"/>
    <col min="85" max="85" width="8.77734375" style="38"/>
    <col min="86" max="86" width="14.21875" style="38" customWidth="1"/>
    <col min="87" max="87" width="8.77734375" style="38"/>
    <col min="88" max="88" width="11.21875" style="38" bestFit="1" customWidth="1"/>
    <col min="89" max="89" width="8.77734375" style="38"/>
    <col min="90" max="90" width="10.44140625" style="38" customWidth="1"/>
    <col min="91" max="91" width="13.5546875" style="38" customWidth="1"/>
    <col min="92" max="92" width="13.44140625" style="38" customWidth="1"/>
    <col min="93" max="93" width="12.44140625" style="38" customWidth="1"/>
    <col min="94" max="94" width="8.77734375" style="38"/>
    <col min="95" max="95" width="13.5546875" style="38" customWidth="1"/>
    <col min="96" max="96" width="11.77734375" style="38" bestFit="1" customWidth="1"/>
    <col min="97" max="99" width="8.77734375" style="38"/>
    <col min="100" max="100" width="14.5546875" style="38" customWidth="1"/>
    <col min="101" max="101" width="11.77734375" style="38" customWidth="1"/>
    <col min="102" max="102" width="10.77734375" style="38" bestFit="1" customWidth="1"/>
    <col min="103" max="103" width="11.21875" style="38" bestFit="1" customWidth="1"/>
    <col min="104" max="106" width="8.77734375" style="38"/>
    <col min="107" max="107" width="10.6640625" style="38" bestFit="1" customWidth="1"/>
    <col min="108" max="16384" width="8.77734375" style="38"/>
  </cols>
  <sheetData>
    <row r="1" spans="1:107" customFormat="1" ht="19.5">
      <c r="A1" s="7" t="s">
        <v>365</v>
      </c>
    </row>
    <row r="2" spans="1:107" customFormat="1" ht="15">
      <c r="A2" t="s">
        <v>366</v>
      </c>
    </row>
    <row r="3" spans="1:107" customFormat="1" ht="15">
      <c r="A3" s="9" t="s">
        <v>67</v>
      </c>
    </row>
    <row r="4" spans="1:107" ht="15.75" customHeight="1">
      <c r="B4" s="277" t="s">
        <v>68</v>
      </c>
      <c r="C4" s="65" t="s">
        <v>79</v>
      </c>
      <c r="D4" s="66"/>
      <c r="E4" s="66"/>
      <c r="F4" s="65" t="s">
        <v>367</v>
      </c>
      <c r="G4" s="66"/>
      <c r="H4" s="66"/>
      <c r="I4" s="66"/>
      <c r="J4" s="66"/>
      <c r="K4" s="66"/>
      <c r="L4" s="66"/>
      <c r="M4" s="66"/>
      <c r="N4" s="66"/>
      <c r="O4" s="110" t="s">
        <v>109</v>
      </c>
      <c r="P4" s="109"/>
      <c r="Q4" s="109"/>
      <c r="R4" s="109"/>
      <c r="S4" s="109"/>
      <c r="T4" s="109"/>
      <c r="U4" s="109"/>
      <c r="V4" s="109"/>
      <c r="W4" s="109"/>
      <c r="X4" s="109"/>
      <c r="Y4" s="109"/>
      <c r="Z4" s="109"/>
      <c r="AA4" s="65" t="s">
        <v>368</v>
      </c>
      <c r="AB4" s="66"/>
      <c r="AC4" s="66"/>
      <c r="AD4" s="66"/>
      <c r="AE4" s="66"/>
      <c r="AF4" s="66"/>
      <c r="AG4" s="66"/>
      <c r="AH4" s="66"/>
      <c r="AI4" s="66"/>
      <c r="AJ4" s="114" t="s">
        <v>154</v>
      </c>
      <c r="AK4" s="99"/>
      <c r="AL4" s="99"/>
      <c r="AM4" s="99"/>
      <c r="AN4" s="110" t="s">
        <v>162</v>
      </c>
      <c r="AO4" s="109"/>
      <c r="AP4" s="109"/>
      <c r="AQ4" s="109"/>
      <c r="AR4" s="109"/>
      <c r="AS4" s="109"/>
      <c r="AT4" s="109"/>
      <c r="AU4" s="109"/>
      <c r="AV4" s="98" t="s">
        <v>224</v>
      </c>
      <c r="AW4" s="99"/>
      <c r="AX4" s="99"/>
      <c r="AY4" s="99"/>
      <c r="AZ4" s="99"/>
      <c r="BA4" s="99"/>
      <c r="BB4" s="99"/>
      <c r="BC4" s="99"/>
      <c r="BD4" s="99"/>
      <c r="BE4" s="99"/>
      <c r="BF4" s="99"/>
      <c r="BG4" s="99"/>
      <c r="BH4" s="99"/>
      <c r="BI4" s="99"/>
      <c r="BJ4" s="99"/>
      <c r="BK4" s="116" t="s">
        <v>251</v>
      </c>
      <c r="BL4" s="117"/>
      <c r="BM4" s="117"/>
      <c r="BN4" s="115"/>
      <c r="BO4" s="117"/>
      <c r="BP4" s="117"/>
      <c r="BQ4" s="117"/>
      <c r="BR4" s="117"/>
      <c r="BS4" s="117"/>
      <c r="BT4" s="115"/>
      <c r="BU4" s="98" t="s">
        <v>289</v>
      </c>
      <c r="BV4" s="99"/>
      <c r="BW4" s="99"/>
      <c r="BX4" s="100"/>
      <c r="BY4" s="242" t="s">
        <v>298</v>
      </c>
      <c r="BZ4" s="242" t="s">
        <v>308</v>
      </c>
      <c r="CA4" s="240" t="s">
        <v>309</v>
      </c>
      <c r="CB4" s="110" t="s">
        <v>323</v>
      </c>
      <c r="CC4" s="99"/>
      <c r="CD4" s="99"/>
      <c r="CE4" s="99"/>
      <c r="CF4" s="99"/>
      <c r="CG4" s="110" t="s">
        <v>331</v>
      </c>
      <c r="CH4" s="109"/>
      <c r="CI4" s="109"/>
      <c r="CJ4" s="109"/>
      <c r="CK4" s="109"/>
      <c r="CL4" s="109"/>
      <c r="CM4" s="109"/>
      <c r="CN4" s="109"/>
      <c r="CO4" s="109"/>
      <c r="CP4" s="98" t="s">
        <v>343</v>
      </c>
      <c r="CQ4" s="99"/>
      <c r="CR4" s="99"/>
      <c r="CS4" s="99"/>
      <c r="CT4" s="99"/>
      <c r="CU4" s="99"/>
      <c r="CV4" s="99"/>
      <c r="CW4" s="99"/>
      <c r="CX4" s="99"/>
      <c r="CY4" s="99"/>
      <c r="CZ4" s="99"/>
      <c r="DA4" s="99"/>
      <c r="DB4" s="99"/>
      <c r="DC4" s="100"/>
    </row>
    <row r="5" spans="1:107" ht="15" customHeight="1">
      <c r="B5" s="277"/>
      <c r="C5" s="68"/>
      <c r="D5" s="69"/>
      <c r="E5" s="69"/>
      <c r="F5" s="68"/>
      <c r="G5" s="69"/>
      <c r="H5" s="69"/>
      <c r="I5" s="69"/>
      <c r="J5" s="69"/>
      <c r="K5" s="69"/>
      <c r="L5" s="69"/>
      <c r="M5" s="69"/>
      <c r="N5" s="69"/>
      <c r="O5" s="111"/>
      <c r="P5" s="112"/>
      <c r="Q5" s="112"/>
      <c r="R5" s="113"/>
      <c r="S5" s="99" t="s">
        <v>117</v>
      </c>
      <c r="T5" s="99"/>
      <c r="U5" s="99"/>
      <c r="V5" s="99"/>
      <c r="W5" s="99"/>
      <c r="X5" s="99"/>
      <c r="Y5" s="99"/>
      <c r="Z5" s="100"/>
      <c r="AA5" s="111"/>
      <c r="AB5" s="112"/>
      <c r="AC5" s="112"/>
      <c r="AD5" s="112"/>
      <c r="AE5" s="112"/>
      <c r="AF5" s="98" t="s">
        <v>142</v>
      </c>
      <c r="AG5" s="99"/>
      <c r="AH5" s="99"/>
      <c r="AI5" s="99"/>
      <c r="AJ5" s="111" t="s">
        <v>88</v>
      </c>
      <c r="AK5" s="112"/>
      <c r="AL5" s="112"/>
      <c r="AM5" s="112"/>
      <c r="AN5" s="114" t="s">
        <v>163</v>
      </c>
      <c r="AO5" s="115"/>
      <c r="AP5" s="98" t="s">
        <v>201</v>
      </c>
      <c r="AQ5" s="99"/>
      <c r="AR5" s="99"/>
      <c r="AS5" s="99"/>
      <c r="AT5" s="99"/>
      <c r="AU5" s="99"/>
      <c r="AV5" s="111" t="s">
        <v>225</v>
      </c>
      <c r="AW5" s="112"/>
      <c r="AX5" s="112"/>
      <c r="AY5" s="112"/>
      <c r="AZ5" s="111" t="s">
        <v>233</v>
      </c>
      <c r="BA5" s="112"/>
      <c r="BB5" s="111" t="s">
        <v>238</v>
      </c>
      <c r="BC5" s="112"/>
      <c r="BD5" s="112"/>
      <c r="BE5" s="112"/>
      <c r="BF5" s="112"/>
      <c r="BG5" s="112"/>
      <c r="BH5" s="111" t="s">
        <v>247</v>
      </c>
      <c r="BI5" s="112"/>
      <c r="BJ5" s="112"/>
      <c r="BK5" s="98" t="s">
        <v>252</v>
      </c>
      <c r="BL5" s="99"/>
      <c r="BM5" s="100"/>
      <c r="BN5" s="112" t="s">
        <v>259</v>
      </c>
      <c r="BO5" s="98" t="s">
        <v>262</v>
      </c>
      <c r="BP5" s="99"/>
      <c r="BQ5" s="99"/>
      <c r="BR5" s="99"/>
      <c r="BS5" s="100"/>
      <c r="BT5" s="112" t="s">
        <v>276</v>
      </c>
      <c r="BU5" s="111" t="s">
        <v>290</v>
      </c>
      <c r="BV5" s="113"/>
      <c r="BW5" s="113" t="s">
        <v>294</v>
      </c>
      <c r="BX5" s="97" t="s">
        <v>296</v>
      </c>
      <c r="BY5" s="243"/>
      <c r="BZ5" s="243"/>
      <c r="CA5" s="241"/>
      <c r="CB5" s="97"/>
      <c r="CC5" s="111" t="s">
        <v>325</v>
      </c>
      <c r="CD5" s="112"/>
      <c r="CE5" s="113"/>
      <c r="CF5" s="112" t="s">
        <v>329</v>
      </c>
      <c r="CG5" s="98" t="s">
        <v>331</v>
      </c>
      <c r="CH5" s="99"/>
      <c r="CI5" s="99"/>
      <c r="CJ5" s="99"/>
      <c r="CK5" s="99"/>
      <c r="CL5" s="99"/>
      <c r="CM5" s="99"/>
      <c r="CN5" s="99"/>
      <c r="CO5" s="99"/>
      <c r="CP5" s="111" t="s">
        <v>344</v>
      </c>
      <c r="CQ5" s="112"/>
      <c r="CR5" s="112"/>
      <c r="CS5" s="112"/>
      <c r="CT5" s="112"/>
      <c r="CU5" s="111" t="s">
        <v>350</v>
      </c>
      <c r="CV5" s="112"/>
      <c r="CW5" s="112"/>
      <c r="CX5" s="112"/>
      <c r="CY5" s="112"/>
      <c r="CZ5" s="112"/>
      <c r="DA5" s="112"/>
      <c r="DB5" s="112"/>
      <c r="DC5" s="113"/>
    </row>
    <row r="6" spans="1:107" ht="27">
      <c r="B6" s="278"/>
      <c r="C6" s="97" t="s">
        <v>80</v>
      </c>
      <c r="D6" s="97" t="s">
        <v>84</v>
      </c>
      <c r="E6" s="97" t="s">
        <v>87</v>
      </c>
      <c r="F6" s="97" t="s">
        <v>89</v>
      </c>
      <c r="G6" s="97" t="s">
        <v>91</v>
      </c>
      <c r="H6" s="97" t="s">
        <v>92</v>
      </c>
      <c r="I6" s="97" t="s">
        <v>97</v>
      </c>
      <c r="J6" s="97" t="s">
        <v>99</v>
      </c>
      <c r="K6" s="97" t="s">
        <v>101</v>
      </c>
      <c r="L6" s="97" t="s">
        <v>102</v>
      </c>
      <c r="M6" s="97" t="s">
        <v>104</v>
      </c>
      <c r="N6" s="97" t="s">
        <v>107</v>
      </c>
      <c r="O6" s="97" t="s">
        <v>110</v>
      </c>
      <c r="P6" s="97" t="s">
        <v>111</v>
      </c>
      <c r="Q6" s="97" t="s">
        <v>114</v>
      </c>
      <c r="R6" s="97" t="s">
        <v>116</v>
      </c>
      <c r="S6" s="97" t="s">
        <v>121</v>
      </c>
      <c r="T6" s="97" t="s">
        <v>124</v>
      </c>
      <c r="U6" s="97" t="s">
        <v>111</v>
      </c>
      <c r="V6" s="97" t="s">
        <v>127</v>
      </c>
      <c r="W6" s="97" t="s">
        <v>128</v>
      </c>
      <c r="X6" s="97" t="s">
        <v>129</v>
      </c>
      <c r="Y6" s="97" t="s">
        <v>130</v>
      </c>
      <c r="Z6" s="97" t="s">
        <v>131</v>
      </c>
      <c r="AA6" s="96" t="s">
        <v>133</v>
      </c>
      <c r="AB6" s="96" t="s">
        <v>134</v>
      </c>
      <c r="AC6" s="96" t="s">
        <v>137</v>
      </c>
      <c r="AD6" s="96" t="s">
        <v>139</v>
      </c>
      <c r="AE6" s="96" t="s">
        <v>116</v>
      </c>
      <c r="AF6" s="97" t="s">
        <v>143</v>
      </c>
      <c r="AG6" s="97" t="s">
        <v>114</v>
      </c>
      <c r="AH6" s="97" t="s">
        <v>148</v>
      </c>
      <c r="AI6" s="97" t="s">
        <v>150</v>
      </c>
      <c r="AJ6" s="97" t="s">
        <v>155</v>
      </c>
      <c r="AK6" s="97" t="s">
        <v>157</v>
      </c>
      <c r="AL6" s="97" t="s">
        <v>159</v>
      </c>
      <c r="AM6" s="97" t="s">
        <v>161</v>
      </c>
      <c r="AN6" s="97" t="s">
        <v>164</v>
      </c>
      <c r="AO6" s="97" t="s">
        <v>165</v>
      </c>
      <c r="AP6" s="97" t="s">
        <v>202</v>
      </c>
      <c r="AQ6" s="97" t="s">
        <v>204</v>
      </c>
      <c r="AR6" s="97" t="s">
        <v>206</v>
      </c>
      <c r="AS6" s="97" t="s">
        <v>207</v>
      </c>
      <c r="AT6" s="97" t="s">
        <v>208</v>
      </c>
      <c r="AU6" s="97" t="s">
        <v>209</v>
      </c>
      <c r="AV6" s="97" t="s">
        <v>226</v>
      </c>
      <c r="AW6" s="97" t="s">
        <v>227</v>
      </c>
      <c r="AX6" s="97" t="s">
        <v>229</v>
      </c>
      <c r="AY6" s="97" t="s">
        <v>230</v>
      </c>
      <c r="AZ6" s="97" t="s">
        <v>234</v>
      </c>
      <c r="BA6" s="97" t="s">
        <v>236</v>
      </c>
      <c r="BB6" s="97" t="s">
        <v>239</v>
      </c>
      <c r="BC6" s="97" t="s">
        <v>241</v>
      </c>
      <c r="BD6" s="97" t="s">
        <v>243</v>
      </c>
      <c r="BE6" s="97" t="s">
        <v>244</v>
      </c>
      <c r="BF6" s="97" t="s">
        <v>245</v>
      </c>
      <c r="BG6" s="97" t="s">
        <v>246</v>
      </c>
      <c r="BH6" s="97" t="s">
        <v>247</v>
      </c>
      <c r="BI6" s="97" t="s">
        <v>249</v>
      </c>
      <c r="BJ6" s="97" t="s">
        <v>250</v>
      </c>
      <c r="BK6" s="97" t="s">
        <v>253</v>
      </c>
      <c r="BL6" s="97" t="s">
        <v>255</v>
      </c>
      <c r="BM6" s="97" t="s">
        <v>257</v>
      </c>
      <c r="BN6" s="96" t="s">
        <v>260</v>
      </c>
      <c r="BO6" s="97" t="s">
        <v>263</v>
      </c>
      <c r="BP6" s="97" t="s">
        <v>266</v>
      </c>
      <c r="BQ6" s="97" t="s">
        <v>268</v>
      </c>
      <c r="BR6" s="97" t="s">
        <v>270</v>
      </c>
      <c r="BS6" s="97" t="s">
        <v>272</v>
      </c>
      <c r="BT6" s="96" t="s">
        <v>277</v>
      </c>
      <c r="BU6" s="97" t="s">
        <v>291</v>
      </c>
      <c r="BV6" s="97" t="s">
        <v>293</v>
      </c>
      <c r="BW6" s="96" t="s">
        <v>295</v>
      </c>
      <c r="BX6" s="96" t="s">
        <v>297</v>
      </c>
      <c r="BY6" s="96" t="s">
        <v>305</v>
      </c>
      <c r="BZ6" s="96" t="s">
        <v>299</v>
      </c>
      <c r="CA6" s="96" t="s">
        <v>310</v>
      </c>
      <c r="CB6" s="96" t="s">
        <v>324</v>
      </c>
      <c r="CC6" s="97" t="s">
        <v>326</v>
      </c>
      <c r="CD6" s="97" t="s">
        <v>327</v>
      </c>
      <c r="CE6" s="97" t="s">
        <v>328</v>
      </c>
      <c r="CF6" s="96" t="s">
        <v>330</v>
      </c>
      <c r="CG6" s="97" t="s">
        <v>334</v>
      </c>
      <c r="CH6" s="97" t="s">
        <v>335</v>
      </c>
      <c r="CI6" s="97" t="s">
        <v>336</v>
      </c>
      <c r="CJ6" s="97" t="s">
        <v>337</v>
      </c>
      <c r="CK6" s="97" t="s">
        <v>338</v>
      </c>
      <c r="CL6" s="97" t="s">
        <v>339</v>
      </c>
      <c r="CM6" s="97" t="s">
        <v>340</v>
      </c>
      <c r="CN6" s="97" t="s">
        <v>341</v>
      </c>
      <c r="CO6" s="97" t="s">
        <v>342</v>
      </c>
      <c r="CP6" s="97" t="s">
        <v>345</v>
      </c>
      <c r="CQ6" s="97" t="s">
        <v>346</v>
      </c>
      <c r="CR6" s="97" t="s">
        <v>347</v>
      </c>
      <c r="CS6" s="97" t="s">
        <v>348</v>
      </c>
      <c r="CT6" s="97" t="s">
        <v>349</v>
      </c>
      <c r="CU6" s="97" t="s">
        <v>351</v>
      </c>
      <c r="CV6" s="97" t="s">
        <v>352</v>
      </c>
      <c r="CW6" s="97" t="s">
        <v>353</v>
      </c>
      <c r="CX6" s="97" t="s">
        <v>354</v>
      </c>
      <c r="CY6" s="97" t="s">
        <v>355</v>
      </c>
      <c r="CZ6" s="97" t="s">
        <v>356</v>
      </c>
      <c r="DA6" s="97" t="s">
        <v>357</v>
      </c>
      <c r="DB6" s="97" t="s">
        <v>358</v>
      </c>
      <c r="DC6" s="97" t="s">
        <v>359</v>
      </c>
    </row>
    <row r="7" spans="1:107" ht="27">
      <c r="B7" s="278"/>
      <c r="C7" s="4" t="s">
        <v>81</v>
      </c>
      <c r="D7" s="4" t="s">
        <v>81</v>
      </c>
      <c r="E7" s="4" t="s">
        <v>81</v>
      </c>
      <c r="F7" s="4" t="s">
        <v>81</v>
      </c>
      <c r="G7" s="4" t="s">
        <v>81</v>
      </c>
      <c r="H7" s="4" t="s">
        <v>94</v>
      </c>
      <c r="I7" s="4" t="s">
        <v>94</v>
      </c>
      <c r="J7" s="4" t="s">
        <v>94</v>
      </c>
      <c r="K7" s="4" t="s">
        <v>81</v>
      </c>
      <c r="L7" s="4" t="s">
        <v>369</v>
      </c>
      <c r="M7" s="4" t="s">
        <v>105</v>
      </c>
      <c r="N7" s="4" t="s">
        <v>108</v>
      </c>
      <c r="O7" s="4" t="s">
        <v>81</v>
      </c>
      <c r="P7" s="4" t="s">
        <v>81</v>
      </c>
      <c r="Q7" s="4"/>
      <c r="R7" s="4" t="s">
        <v>94</v>
      </c>
      <c r="S7" s="4" t="s">
        <v>122</v>
      </c>
      <c r="T7" s="4" t="s">
        <v>125</v>
      </c>
      <c r="U7" s="4" t="s">
        <v>81</v>
      </c>
      <c r="V7" s="4" t="s">
        <v>81</v>
      </c>
      <c r="W7" s="4" t="s">
        <v>81</v>
      </c>
      <c r="X7" s="4" t="s">
        <v>81</v>
      </c>
      <c r="Y7" s="4" t="s">
        <v>81</v>
      </c>
      <c r="Z7" s="4" t="s">
        <v>94</v>
      </c>
      <c r="AA7" s="4" t="s">
        <v>81</v>
      </c>
      <c r="AB7" s="4"/>
      <c r="AC7" s="4" t="s">
        <v>81</v>
      </c>
      <c r="AD7" s="4" t="s">
        <v>81</v>
      </c>
      <c r="AE7" s="4" t="s">
        <v>94</v>
      </c>
      <c r="AF7" s="4" t="s">
        <v>81</v>
      </c>
      <c r="AG7" s="4"/>
      <c r="AH7" s="4" t="s">
        <v>94</v>
      </c>
      <c r="AI7" s="4" t="s">
        <v>94</v>
      </c>
      <c r="AJ7" s="4" t="s">
        <v>81</v>
      </c>
      <c r="AK7" s="4" t="s">
        <v>158</v>
      </c>
      <c r="AL7" s="4" t="s">
        <v>160</v>
      </c>
      <c r="AM7" s="4" t="s">
        <v>81</v>
      </c>
      <c r="AN7" s="4" t="s">
        <v>81</v>
      </c>
      <c r="AO7" s="4" t="s">
        <v>81</v>
      </c>
      <c r="AP7" s="4" t="s">
        <v>203</v>
      </c>
      <c r="AQ7" s="4" t="s">
        <v>158</v>
      </c>
      <c r="AR7" s="4" t="s">
        <v>81</v>
      </c>
      <c r="AS7" s="4" t="s">
        <v>81</v>
      </c>
      <c r="AT7" s="4" t="s">
        <v>81</v>
      </c>
      <c r="AU7" s="4" t="s">
        <v>81</v>
      </c>
      <c r="AV7" s="4" t="s">
        <v>81</v>
      </c>
      <c r="AW7" s="4" t="s">
        <v>228</v>
      </c>
      <c r="AX7" s="4" t="s">
        <v>81</v>
      </c>
      <c r="AY7" s="4" t="s">
        <v>232</v>
      </c>
      <c r="AZ7" s="4"/>
      <c r="BA7" s="4"/>
      <c r="BB7" s="4"/>
      <c r="BC7" s="4"/>
      <c r="BD7" s="4"/>
      <c r="BE7" s="4"/>
      <c r="BF7" s="4"/>
      <c r="BG7" s="4"/>
      <c r="BH7" s="4" t="s">
        <v>248</v>
      </c>
      <c r="BI7" s="4" t="s">
        <v>81</v>
      </c>
      <c r="BJ7" s="4" t="s">
        <v>94</v>
      </c>
      <c r="BK7" s="4" t="s">
        <v>81</v>
      </c>
      <c r="BL7" s="4" t="s">
        <v>81</v>
      </c>
      <c r="BM7" s="4" t="s">
        <v>81</v>
      </c>
      <c r="BN7" s="4" t="s">
        <v>81</v>
      </c>
      <c r="BO7" s="4" t="s">
        <v>265</v>
      </c>
      <c r="BP7" s="4" t="s">
        <v>81</v>
      </c>
      <c r="BQ7" s="4" t="s">
        <v>265</v>
      </c>
      <c r="BR7" s="4" t="s">
        <v>81</v>
      </c>
      <c r="BS7" s="4" t="s">
        <v>81</v>
      </c>
      <c r="BT7" s="4" t="s">
        <v>370</v>
      </c>
      <c r="BU7" s="4" t="s">
        <v>81</v>
      </c>
      <c r="BV7" s="4" t="s">
        <v>81</v>
      </c>
      <c r="BW7" s="4" t="s">
        <v>81</v>
      </c>
      <c r="BX7" s="4" t="s">
        <v>81</v>
      </c>
      <c r="BY7" s="4"/>
      <c r="BZ7" s="4"/>
      <c r="CA7" s="4"/>
      <c r="CB7" s="4" t="s">
        <v>81</v>
      </c>
      <c r="CC7" s="4"/>
      <c r="CD7" s="4"/>
      <c r="CE7" s="4"/>
      <c r="CF7" s="4"/>
      <c r="CG7" s="4"/>
      <c r="CH7" s="4" t="s">
        <v>94</v>
      </c>
      <c r="CI7" s="4"/>
      <c r="CJ7" s="4"/>
      <c r="CK7" s="4"/>
      <c r="CL7" s="4" t="s">
        <v>94</v>
      </c>
      <c r="CM7" s="4" t="s">
        <v>94</v>
      </c>
      <c r="CN7" s="4" t="s">
        <v>94</v>
      </c>
      <c r="CO7" s="4"/>
      <c r="CP7" s="4"/>
      <c r="CQ7" s="4"/>
      <c r="CR7" s="4"/>
      <c r="CS7" s="4"/>
      <c r="CT7" s="4"/>
      <c r="CU7" s="4"/>
      <c r="CV7" s="4"/>
      <c r="CW7" s="4"/>
      <c r="CX7" s="4"/>
      <c r="CY7" s="4"/>
      <c r="CZ7" s="4"/>
      <c r="DA7" s="4"/>
      <c r="DB7" s="4"/>
      <c r="DC7" s="4"/>
    </row>
    <row r="8" spans="1:107" ht="30">
      <c r="B8" s="171">
        <f>ROW() - 7</f>
        <v>1</v>
      </c>
      <c r="C8" s="171" t="s">
        <v>371</v>
      </c>
      <c r="D8" s="171" t="s">
        <v>372</v>
      </c>
      <c r="E8" s="171" t="s">
        <v>373</v>
      </c>
      <c r="F8" s="171" t="s">
        <v>374</v>
      </c>
      <c r="G8" s="171" t="s">
        <v>375</v>
      </c>
      <c r="H8" s="167" t="s">
        <v>95</v>
      </c>
      <c r="I8" s="167" t="s">
        <v>95</v>
      </c>
      <c r="J8" s="167" t="s">
        <v>95</v>
      </c>
      <c r="K8" s="167" t="s">
        <v>374</v>
      </c>
      <c r="L8" s="167" t="s">
        <v>376</v>
      </c>
      <c r="M8" s="167" t="s">
        <v>377</v>
      </c>
      <c r="N8" s="167" t="s">
        <v>378</v>
      </c>
      <c r="O8" s="120" t="s">
        <v>318</v>
      </c>
      <c r="P8" s="170" t="s">
        <v>379</v>
      </c>
      <c r="Q8" s="120" t="s">
        <v>380</v>
      </c>
      <c r="R8" s="120" t="s">
        <v>381</v>
      </c>
      <c r="S8" s="120" t="s">
        <v>382</v>
      </c>
      <c r="T8" s="120" t="s">
        <v>383</v>
      </c>
      <c r="U8" s="120" t="s">
        <v>384</v>
      </c>
      <c r="V8" s="120" t="s">
        <v>374</v>
      </c>
      <c r="W8" s="120" t="s">
        <v>385</v>
      </c>
      <c r="X8" s="120" t="s">
        <v>374</v>
      </c>
      <c r="Y8" s="120" t="s">
        <v>386</v>
      </c>
      <c r="Z8" s="120" t="s">
        <v>95</v>
      </c>
      <c r="AA8" s="120" t="s">
        <v>374</v>
      </c>
      <c r="AB8" s="120" t="s">
        <v>374</v>
      </c>
      <c r="AC8" s="120" t="s">
        <v>374</v>
      </c>
      <c r="AD8" s="120" t="s">
        <v>374</v>
      </c>
      <c r="AE8" s="120" t="s">
        <v>374</v>
      </c>
      <c r="AF8" s="120" t="s">
        <v>374</v>
      </c>
      <c r="AG8" s="120" t="s">
        <v>374</v>
      </c>
      <c r="AH8" s="120" t="s">
        <v>374</v>
      </c>
      <c r="AI8" s="120" t="s">
        <v>374</v>
      </c>
      <c r="AJ8" s="120" t="s">
        <v>374</v>
      </c>
      <c r="AK8" s="120" t="s">
        <v>374</v>
      </c>
      <c r="AL8" s="120" t="s">
        <v>374</v>
      </c>
      <c r="AM8" s="120" t="s">
        <v>374</v>
      </c>
      <c r="AN8" s="120" t="s">
        <v>374</v>
      </c>
      <c r="AO8" s="120" t="s">
        <v>374</v>
      </c>
      <c r="AP8" s="120" t="s">
        <v>374</v>
      </c>
      <c r="AQ8" s="120" t="s">
        <v>374</v>
      </c>
      <c r="AR8" s="120" t="s">
        <v>374</v>
      </c>
      <c r="AS8" s="120" t="s">
        <v>374</v>
      </c>
      <c r="AT8" s="120" t="s">
        <v>374</v>
      </c>
      <c r="AU8" s="120" t="s">
        <v>374</v>
      </c>
      <c r="AV8" s="120" t="s">
        <v>374</v>
      </c>
      <c r="AW8" s="120" t="s">
        <v>374</v>
      </c>
      <c r="AX8" s="120" t="s">
        <v>374</v>
      </c>
      <c r="AY8" s="120" t="s">
        <v>374</v>
      </c>
      <c r="AZ8" s="120" t="s">
        <v>374</v>
      </c>
      <c r="BA8" s="120" t="s">
        <v>374</v>
      </c>
      <c r="BB8" s="120" t="s">
        <v>374</v>
      </c>
      <c r="BC8" s="120" t="s">
        <v>374</v>
      </c>
      <c r="BD8" s="120" t="s">
        <v>374</v>
      </c>
      <c r="BE8" s="120" t="s">
        <v>374</v>
      </c>
      <c r="BF8" s="120" t="s">
        <v>374</v>
      </c>
      <c r="BG8" s="120" t="s">
        <v>374</v>
      </c>
      <c r="BH8" s="120" t="s">
        <v>374</v>
      </c>
      <c r="BI8" s="120" t="s">
        <v>374</v>
      </c>
      <c r="BJ8" s="120" t="s">
        <v>374</v>
      </c>
      <c r="BK8" s="120" t="s">
        <v>374</v>
      </c>
      <c r="BL8" s="120" t="s">
        <v>374</v>
      </c>
      <c r="BM8" s="120" t="s">
        <v>374</v>
      </c>
      <c r="BN8" s="120" t="s">
        <v>374</v>
      </c>
      <c r="BO8" s="120" t="s">
        <v>374</v>
      </c>
      <c r="BP8" s="120" t="s">
        <v>374</v>
      </c>
      <c r="BQ8" s="120" t="s">
        <v>374</v>
      </c>
      <c r="BR8" s="120" t="s">
        <v>374</v>
      </c>
      <c r="BS8" s="120" t="s">
        <v>374</v>
      </c>
      <c r="BT8" s="120" t="s">
        <v>374</v>
      </c>
      <c r="BU8" s="120" t="s">
        <v>374</v>
      </c>
      <c r="BV8" s="120" t="s">
        <v>374</v>
      </c>
      <c r="BW8" s="120" t="s">
        <v>374</v>
      </c>
      <c r="BX8" s="120" t="s">
        <v>374</v>
      </c>
      <c r="BY8" s="120" t="s">
        <v>374</v>
      </c>
      <c r="BZ8" s="120" t="s">
        <v>374</v>
      </c>
      <c r="CA8" s="120" t="s">
        <v>374</v>
      </c>
      <c r="CB8" s="120" t="s">
        <v>374</v>
      </c>
      <c r="CC8" s="120" t="s">
        <v>374</v>
      </c>
      <c r="CD8" s="120" t="s">
        <v>374</v>
      </c>
      <c r="CE8" s="120" t="s">
        <v>374</v>
      </c>
      <c r="CF8" s="120" t="s">
        <v>374</v>
      </c>
      <c r="CG8" s="120" t="s">
        <v>374</v>
      </c>
      <c r="CH8" s="120" t="s">
        <v>374</v>
      </c>
      <c r="CI8" s="120" t="s">
        <v>374</v>
      </c>
      <c r="CJ8" s="120" t="s">
        <v>374</v>
      </c>
      <c r="CK8" s="120" t="s">
        <v>374</v>
      </c>
      <c r="CL8" s="120" t="s">
        <v>374</v>
      </c>
      <c r="CM8" s="120" t="s">
        <v>374</v>
      </c>
      <c r="CN8" s="120" t="s">
        <v>374</v>
      </c>
      <c r="CO8" s="120" t="s">
        <v>374</v>
      </c>
      <c r="CP8" s="120" t="s">
        <v>374</v>
      </c>
      <c r="CQ8" s="120" t="s">
        <v>374</v>
      </c>
      <c r="CR8" s="120" t="s">
        <v>374</v>
      </c>
      <c r="CS8" s="120" t="s">
        <v>374</v>
      </c>
      <c r="CT8" s="120" t="s">
        <v>374</v>
      </c>
      <c r="CU8" s="120" t="s">
        <v>374</v>
      </c>
      <c r="CV8" s="120" t="s">
        <v>374</v>
      </c>
      <c r="CW8" s="120" t="s">
        <v>374</v>
      </c>
      <c r="CX8" s="120" t="s">
        <v>374</v>
      </c>
      <c r="CY8" s="120" t="s">
        <v>374</v>
      </c>
      <c r="CZ8" s="120" t="s">
        <v>374</v>
      </c>
      <c r="DA8" s="120" t="s">
        <v>374</v>
      </c>
      <c r="DB8" s="120" t="s">
        <v>374</v>
      </c>
      <c r="DC8" s="120" t="s">
        <v>374</v>
      </c>
    </row>
    <row r="9" spans="1:107" ht="30">
      <c r="B9" s="173"/>
      <c r="C9" s="173"/>
      <c r="D9" s="173"/>
      <c r="E9" s="173"/>
      <c r="F9" s="173"/>
      <c r="G9" s="173"/>
      <c r="H9" s="168"/>
      <c r="I9" s="168"/>
      <c r="J9" s="168"/>
      <c r="K9" s="168"/>
      <c r="L9" s="168"/>
      <c r="M9" s="168"/>
      <c r="N9" s="168"/>
      <c r="O9" s="120" t="s">
        <v>387</v>
      </c>
      <c r="P9" s="170" t="s">
        <v>379</v>
      </c>
      <c r="Q9" s="120" t="s">
        <v>388</v>
      </c>
      <c r="R9" s="120" t="s">
        <v>95</v>
      </c>
      <c r="S9" s="120" t="s">
        <v>382</v>
      </c>
      <c r="T9" s="120" t="s">
        <v>374</v>
      </c>
      <c r="U9" s="120" t="s">
        <v>387</v>
      </c>
      <c r="V9" s="120" t="s">
        <v>374</v>
      </c>
      <c r="W9" s="120" t="s">
        <v>389</v>
      </c>
      <c r="X9" s="120" t="s">
        <v>374</v>
      </c>
      <c r="Y9" s="120" t="s">
        <v>390</v>
      </c>
      <c r="Z9" s="120" t="s">
        <v>95</v>
      </c>
      <c r="AA9" s="120" t="s">
        <v>374</v>
      </c>
      <c r="AB9" s="120" t="s">
        <v>374</v>
      </c>
      <c r="AC9" s="120" t="s">
        <v>374</v>
      </c>
      <c r="AD9" s="120" t="s">
        <v>374</v>
      </c>
      <c r="AE9" s="120" t="s">
        <v>374</v>
      </c>
      <c r="AF9" s="120" t="s">
        <v>374</v>
      </c>
      <c r="AG9" s="120" t="s">
        <v>374</v>
      </c>
      <c r="AH9" s="120" t="s">
        <v>374</v>
      </c>
      <c r="AI9" s="120" t="s">
        <v>374</v>
      </c>
      <c r="AJ9" s="120" t="s">
        <v>374</v>
      </c>
      <c r="AK9" s="120" t="s">
        <v>374</v>
      </c>
      <c r="AL9" s="120" t="s">
        <v>374</v>
      </c>
      <c r="AM9" s="120" t="s">
        <v>374</v>
      </c>
      <c r="AN9" s="120" t="s">
        <v>374</v>
      </c>
      <c r="AO9" s="120" t="s">
        <v>374</v>
      </c>
      <c r="AP9" s="120" t="s">
        <v>374</v>
      </c>
      <c r="AQ9" s="120" t="s">
        <v>374</v>
      </c>
      <c r="AR9" s="120" t="s">
        <v>374</v>
      </c>
      <c r="AS9" s="120" t="s">
        <v>374</v>
      </c>
      <c r="AT9" s="120" t="s">
        <v>374</v>
      </c>
      <c r="AU9" s="120" t="s">
        <v>374</v>
      </c>
      <c r="AV9" s="120" t="s">
        <v>374</v>
      </c>
      <c r="AW9" s="120" t="s">
        <v>374</v>
      </c>
      <c r="AX9" s="120" t="s">
        <v>374</v>
      </c>
      <c r="AY9" s="120" t="s">
        <v>374</v>
      </c>
      <c r="AZ9" s="120" t="s">
        <v>374</v>
      </c>
      <c r="BA9" s="120" t="s">
        <v>374</v>
      </c>
      <c r="BB9" s="120" t="s">
        <v>374</v>
      </c>
      <c r="BC9" s="120" t="s">
        <v>374</v>
      </c>
      <c r="BD9" s="120" t="s">
        <v>374</v>
      </c>
      <c r="BE9" s="120" t="s">
        <v>374</v>
      </c>
      <c r="BF9" s="120" t="s">
        <v>374</v>
      </c>
      <c r="BG9" s="120" t="s">
        <v>374</v>
      </c>
      <c r="BH9" s="120" t="s">
        <v>374</v>
      </c>
      <c r="BI9" s="120" t="s">
        <v>374</v>
      </c>
      <c r="BJ9" s="120" t="s">
        <v>374</v>
      </c>
      <c r="BK9" s="120" t="s">
        <v>374</v>
      </c>
      <c r="BL9" s="120" t="s">
        <v>374</v>
      </c>
      <c r="BM9" s="120" t="s">
        <v>374</v>
      </c>
      <c r="BN9" s="120" t="s">
        <v>374</v>
      </c>
      <c r="BO9" s="120" t="s">
        <v>374</v>
      </c>
      <c r="BP9" s="120" t="s">
        <v>374</v>
      </c>
      <c r="BQ9" s="120" t="s">
        <v>374</v>
      </c>
      <c r="BR9" s="120" t="s">
        <v>374</v>
      </c>
      <c r="BS9" s="120" t="s">
        <v>374</v>
      </c>
      <c r="BT9" s="120" t="s">
        <v>374</v>
      </c>
      <c r="BU9" s="120" t="s">
        <v>374</v>
      </c>
      <c r="BV9" s="120" t="s">
        <v>374</v>
      </c>
      <c r="BW9" s="120" t="s">
        <v>374</v>
      </c>
      <c r="BX9" s="120" t="s">
        <v>374</v>
      </c>
      <c r="BY9" s="120" t="s">
        <v>374</v>
      </c>
      <c r="BZ9" s="120" t="s">
        <v>374</v>
      </c>
      <c r="CA9" s="120" t="s">
        <v>374</v>
      </c>
      <c r="CB9" s="120" t="s">
        <v>374</v>
      </c>
      <c r="CC9" s="120" t="s">
        <v>374</v>
      </c>
      <c r="CD9" s="120" t="s">
        <v>374</v>
      </c>
      <c r="CE9" s="120" t="s">
        <v>374</v>
      </c>
      <c r="CF9" s="120" t="s">
        <v>374</v>
      </c>
      <c r="CG9" s="120" t="s">
        <v>374</v>
      </c>
      <c r="CH9" s="120" t="s">
        <v>374</v>
      </c>
      <c r="CI9" s="120" t="s">
        <v>374</v>
      </c>
      <c r="CJ9" s="120" t="s">
        <v>374</v>
      </c>
      <c r="CK9" s="120" t="s">
        <v>374</v>
      </c>
      <c r="CL9" s="120" t="s">
        <v>374</v>
      </c>
      <c r="CM9" s="120" t="s">
        <v>374</v>
      </c>
      <c r="CN9" s="120" t="s">
        <v>374</v>
      </c>
      <c r="CO9" s="120" t="s">
        <v>374</v>
      </c>
      <c r="CP9" s="120" t="s">
        <v>374</v>
      </c>
      <c r="CQ9" s="120" t="s">
        <v>374</v>
      </c>
      <c r="CR9" s="120" t="s">
        <v>374</v>
      </c>
      <c r="CS9" s="120" t="s">
        <v>374</v>
      </c>
      <c r="CT9" s="120" t="s">
        <v>374</v>
      </c>
      <c r="CU9" s="120" t="s">
        <v>374</v>
      </c>
      <c r="CV9" s="120" t="s">
        <v>374</v>
      </c>
      <c r="CW9" s="120" t="s">
        <v>374</v>
      </c>
      <c r="CX9" s="120" t="s">
        <v>374</v>
      </c>
      <c r="CY9" s="120" t="s">
        <v>374</v>
      </c>
      <c r="CZ9" s="120" t="s">
        <v>374</v>
      </c>
      <c r="DA9" s="120" t="s">
        <v>374</v>
      </c>
      <c r="DB9" s="120" t="s">
        <v>374</v>
      </c>
      <c r="DC9" s="120" t="s">
        <v>374</v>
      </c>
    </row>
    <row r="10" spans="1:107" ht="30">
      <c r="B10" s="173"/>
      <c r="C10" s="173"/>
      <c r="D10" s="173"/>
      <c r="E10" s="173"/>
      <c r="F10" s="173"/>
      <c r="G10" s="173"/>
      <c r="H10" s="168"/>
      <c r="I10" s="168"/>
      <c r="J10" s="168"/>
      <c r="K10" s="168"/>
      <c r="L10" s="168"/>
      <c r="M10" s="168"/>
      <c r="N10" s="168"/>
      <c r="O10" s="120" t="s">
        <v>391</v>
      </c>
      <c r="P10" s="170" t="s">
        <v>379</v>
      </c>
      <c r="Q10" s="120" t="s">
        <v>388</v>
      </c>
      <c r="R10" s="120" t="s">
        <v>95</v>
      </c>
      <c r="S10" s="120" t="s">
        <v>382</v>
      </c>
      <c r="T10" s="120" t="s">
        <v>374</v>
      </c>
      <c r="U10" s="120" t="s">
        <v>391</v>
      </c>
      <c r="V10" s="120" t="s">
        <v>374</v>
      </c>
      <c r="W10" s="120" t="s">
        <v>392</v>
      </c>
      <c r="X10" s="120" t="s">
        <v>374</v>
      </c>
      <c r="Y10" s="120" t="s">
        <v>393</v>
      </c>
      <c r="Z10" s="120" t="s">
        <v>95</v>
      </c>
      <c r="AA10" s="120" t="s">
        <v>374</v>
      </c>
      <c r="AB10" s="120" t="s">
        <v>374</v>
      </c>
      <c r="AC10" s="120" t="s">
        <v>374</v>
      </c>
      <c r="AD10" s="120" t="s">
        <v>374</v>
      </c>
      <c r="AE10" s="120" t="s">
        <v>374</v>
      </c>
      <c r="AF10" s="120" t="s">
        <v>374</v>
      </c>
      <c r="AG10" s="120" t="s">
        <v>374</v>
      </c>
      <c r="AH10" s="120" t="s">
        <v>374</v>
      </c>
      <c r="AI10" s="120" t="s">
        <v>374</v>
      </c>
      <c r="AJ10" s="120" t="s">
        <v>374</v>
      </c>
      <c r="AK10" s="120" t="s">
        <v>374</v>
      </c>
      <c r="AL10" s="120" t="s">
        <v>374</v>
      </c>
      <c r="AM10" s="120" t="s">
        <v>374</v>
      </c>
      <c r="AN10" s="120" t="s">
        <v>374</v>
      </c>
      <c r="AO10" s="120" t="s">
        <v>374</v>
      </c>
      <c r="AP10" s="120" t="s">
        <v>374</v>
      </c>
      <c r="AQ10" s="120" t="s">
        <v>374</v>
      </c>
      <c r="AR10" s="120" t="s">
        <v>374</v>
      </c>
      <c r="AS10" s="120" t="s">
        <v>374</v>
      </c>
      <c r="AT10" s="120" t="s">
        <v>374</v>
      </c>
      <c r="AU10" s="120" t="s">
        <v>374</v>
      </c>
      <c r="AV10" s="120" t="s">
        <v>374</v>
      </c>
      <c r="AW10" s="120" t="s">
        <v>374</v>
      </c>
      <c r="AX10" s="120" t="s">
        <v>374</v>
      </c>
      <c r="AY10" s="120" t="s">
        <v>374</v>
      </c>
      <c r="AZ10" s="120" t="s">
        <v>374</v>
      </c>
      <c r="BA10" s="120" t="s">
        <v>374</v>
      </c>
      <c r="BB10" s="120" t="s">
        <v>374</v>
      </c>
      <c r="BC10" s="120" t="s">
        <v>374</v>
      </c>
      <c r="BD10" s="120" t="s">
        <v>374</v>
      </c>
      <c r="BE10" s="120" t="s">
        <v>374</v>
      </c>
      <c r="BF10" s="120" t="s">
        <v>374</v>
      </c>
      <c r="BG10" s="120" t="s">
        <v>374</v>
      </c>
      <c r="BH10" s="120" t="s">
        <v>374</v>
      </c>
      <c r="BI10" s="120" t="s">
        <v>374</v>
      </c>
      <c r="BJ10" s="120" t="s">
        <v>374</v>
      </c>
      <c r="BK10" s="120" t="s">
        <v>374</v>
      </c>
      <c r="BL10" s="120" t="s">
        <v>374</v>
      </c>
      <c r="BM10" s="120" t="s">
        <v>374</v>
      </c>
      <c r="BN10" s="120" t="s">
        <v>374</v>
      </c>
      <c r="BO10" s="120" t="s">
        <v>374</v>
      </c>
      <c r="BP10" s="120" t="s">
        <v>374</v>
      </c>
      <c r="BQ10" s="120" t="s">
        <v>374</v>
      </c>
      <c r="BR10" s="120" t="s">
        <v>374</v>
      </c>
      <c r="BS10" s="120" t="s">
        <v>374</v>
      </c>
      <c r="BT10" s="120" t="s">
        <v>374</v>
      </c>
      <c r="BU10" s="120" t="s">
        <v>374</v>
      </c>
      <c r="BV10" s="120" t="s">
        <v>374</v>
      </c>
      <c r="BW10" s="120" t="s">
        <v>374</v>
      </c>
      <c r="BX10" s="120" t="s">
        <v>374</v>
      </c>
      <c r="BY10" s="120" t="s">
        <v>374</v>
      </c>
      <c r="BZ10" s="120" t="s">
        <v>374</v>
      </c>
      <c r="CA10" s="120" t="s">
        <v>374</v>
      </c>
      <c r="CB10" s="120" t="s">
        <v>374</v>
      </c>
      <c r="CC10" s="120" t="s">
        <v>374</v>
      </c>
      <c r="CD10" s="120" t="s">
        <v>374</v>
      </c>
      <c r="CE10" s="120" t="s">
        <v>374</v>
      </c>
      <c r="CF10" s="120" t="s">
        <v>374</v>
      </c>
      <c r="CG10" s="120" t="s">
        <v>374</v>
      </c>
      <c r="CH10" s="120" t="s">
        <v>374</v>
      </c>
      <c r="CI10" s="120" t="s">
        <v>374</v>
      </c>
      <c r="CJ10" s="120" t="s">
        <v>374</v>
      </c>
      <c r="CK10" s="120" t="s">
        <v>374</v>
      </c>
      <c r="CL10" s="120" t="s">
        <v>374</v>
      </c>
      <c r="CM10" s="120" t="s">
        <v>374</v>
      </c>
      <c r="CN10" s="120" t="s">
        <v>374</v>
      </c>
      <c r="CO10" s="120" t="s">
        <v>374</v>
      </c>
      <c r="CP10" s="120" t="s">
        <v>374</v>
      </c>
      <c r="CQ10" s="120" t="s">
        <v>374</v>
      </c>
      <c r="CR10" s="120" t="s">
        <v>374</v>
      </c>
      <c r="CS10" s="120" t="s">
        <v>374</v>
      </c>
      <c r="CT10" s="120" t="s">
        <v>374</v>
      </c>
      <c r="CU10" s="120" t="s">
        <v>374</v>
      </c>
      <c r="CV10" s="120" t="s">
        <v>374</v>
      </c>
      <c r="CW10" s="120" t="s">
        <v>374</v>
      </c>
      <c r="CX10" s="120" t="s">
        <v>374</v>
      </c>
      <c r="CY10" s="120" t="s">
        <v>374</v>
      </c>
      <c r="CZ10" s="120" t="s">
        <v>374</v>
      </c>
      <c r="DA10" s="120" t="s">
        <v>374</v>
      </c>
      <c r="DB10" s="120" t="s">
        <v>374</v>
      </c>
      <c r="DC10" s="120" t="s">
        <v>374</v>
      </c>
    </row>
    <row r="11" spans="1:107" ht="30">
      <c r="B11" s="173"/>
      <c r="C11" s="173"/>
      <c r="D11" s="173"/>
      <c r="E11" s="173"/>
      <c r="F11" s="173"/>
      <c r="G11" s="173"/>
      <c r="H11" s="168"/>
      <c r="I11" s="168"/>
      <c r="J11" s="168"/>
      <c r="K11" s="168"/>
      <c r="L11" s="168"/>
      <c r="M11" s="168"/>
      <c r="N11" s="168"/>
      <c r="O11" s="120" t="s">
        <v>394</v>
      </c>
      <c r="P11" s="170" t="s">
        <v>379</v>
      </c>
      <c r="Q11" s="120" t="s">
        <v>388</v>
      </c>
      <c r="R11" s="120" t="s">
        <v>95</v>
      </c>
      <c r="S11" s="120" t="s">
        <v>382</v>
      </c>
      <c r="T11" s="120" t="s">
        <v>374</v>
      </c>
      <c r="U11" s="120" t="s">
        <v>394</v>
      </c>
      <c r="V11" s="120" t="s">
        <v>374</v>
      </c>
      <c r="W11" s="120" t="s">
        <v>395</v>
      </c>
      <c r="X11" s="120" t="s">
        <v>374</v>
      </c>
      <c r="Y11" s="120" t="s">
        <v>396</v>
      </c>
      <c r="Z11" s="120" t="s">
        <v>95</v>
      </c>
      <c r="AA11" s="120" t="s">
        <v>374</v>
      </c>
      <c r="AB11" s="120" t="s">
        <v>374</v>
      </c>
      <c r="AC11" s="120" t="s">
        <v>374</v>
      </c>
      <c r="AD11" s="120" t="s">
        <v>374</v>
      </c>
      <c r="AE11" s="120" t="s">
        <v>374</v>
      </c>
      <c r="AF11" s="120" t="s">
        <v>374</v>
      </c>
      <c r="AG11" s="120" t="s">
        <v>374</v>
      </c>
      <c r="AH11" s="120" t="s">
        <v>374</v>
      </c>
      <c r="AI11" s="120" t="s">
        <v>374</v>
      </c>
      <c r="AJ11" s="120" t="s">
        <v>374</v>
      </c>
      <c r="AK11" s="120" t="s">
        <v>374</v>
      </c>
      <c r="AL11" s="120" t="s">
        <v>374</v>
      </c>
      <c r="AM11" s="120" t="s">
        <v>374</v>
      </c>
      <c r="AN11" s="120" t="s">
        <v>374</v>
      </c>
      <c r="AO11" s="120" t="s">
        <v>374</v>
      </c>
      <c r="AP11" s="120" t="s">
        <v>374</v>
      </c>
      <c r="AQ11" s="120" t="s">
        <v>374</v>
      </c>
      <c r="AR11" s="120" t="s">
        <v>374</v>
      </c>
      <c r="AS11" s="120" t="s">
        <v>374</v>
      </c>
      <c r="AT11" s="120" t="s">
        <v>374</v>
      </c>
      <c r="AU11" s="120" t="s">
        <v>374</v>
      </c>
      <c r="AV11" s="120" t="s">
        <v>374</v>
      </c>
      <c r="AW11" s="120" t="s">
        <v>374</v>
      </c>
      <c r="AX11" s="120" t="s">
        <v>374</v>
      </c>
      <c r="AY11" s="120" t="s">
        <v>374</v>
      </c>
      <c r="AZ11" s="120" t="s">
        <v>374</v>
      </c>
      <c r="BA11" s="120" t="s">
        <v>374</v>
      </c>
      <c r="BB11" s="120" t="s">
        <v>374</v>
      </c>
      <c r="BC11" s="120" t="s">
        <v>374</v>
      </c>
      <c r="BD11" s="120" t="s">
        <v>374</v>
      </c>
      <c r="BE11" s="120" t="s">
        <v>374</v>
      </c>
      <c r="BF11" s="120" t="s">
        <v>374</v>
      </c>
      <c r="BG11" s="120" t="s">
        <v>374</v>
      </c>
      <c r="BH11" s="120" t="s">
        <v>374</v>
      </c>
      <c r="BI11" s="120" t="s">
        <v>374</v>
      </c>
      <c r="BJ11" s="120" t="s">
        <v>374</v>
      </c>
      <c r="BK11" s="120" t="s">
        <v>374</v>
      </c>
      <c r="BL11" s="120" t="s">
        <v>374</v>
      </c>
      <c r="BM11" s="120" t="s">
        <v>374</v>
      </c>
      <c r="BN11" s="120" t="s">
        <v>374</v>
      </c>
      <c r="BO11" s="120" t="s">
        <v>374</v>
      </c>
      <c r="BP11" s="120" t="s">
        <v>374</v>
      </c>
      <c r="BQ11" s="120" t="s">
        <v>374</v>
      </c>
      <c r="BR11" s="120" t="s">
        <v>374</v>
      </c>
      <c r="BS11" s="120" t="s">
        <v>374</v>
      </c>
      <c r="BT11" s="120" t="s">
        <v>374</v>
      </c>
      <c r="BU11" s="120" t="s">
        <v>374</v>
      </c>
      <c r="BV11" s="120" t="s">
        <v>374</v>
      </c>
      <c r="BW11" s="120" t="s">
        <v>374</v>
      </c>
      <c r="BX11" s="120" t="s">
        <v>374</v>
      </c>
      <c r="BY11" s="120" t="s">
        <v>374</v>
      </c>
      <c r="BZ11" s="120" t="s">
        <v>374</v>
      </c>
      <c r="CA11" s="120" t="s">
        <v>374</v>
      </c>
      <c r="CB11" s="120" t="s">
        <v>374</v>
      </c>
      <c r="CC11" s="120" t="s">
        <v>374</v>
      </c>
      <c r="CD11" s="120" t="s">
        <v>374</v>
      </c>
      <c r="CE11" s="120" t="s">
        <v>374</v>
      </c>
      <c r="CF11" s="120" t="s">
        <v>374</v>
      </c>
      <c r="CG11" s="120" t="s">
        <v>374</v>
      </c>
      <c r="CH11" s="120" t="s">
        <v>374</v>
      </c>
      <c r="CI11" s="120" t="s">
        <v>374</v>
      </c>
      <c r="CJ11" s="120" t="s">
        <v>374</v>
      </c>
      <c r="CK11" s="120" t="s">
        <v>374</v>
      </c>
      <c r="CL11" s="120" t="s">
        <v>374</v>
      </c>
      <c r="CM11" s="120" t="s">
        <v>374</v>
      </c>
      <c r="CN11" s="120" t="s">
        <v>374</v>
      </c>
      <c r="CO11" s="120" t="s">
        <v>374</v>
      </c>
      <c r="CP11" s="120" t="s">
        <v>374</v>
      </c>
      <c r="CQ11" s="120" t="s">
        <v>374</v>
      </c>
      <c r="CR11" s="120" t="s">
        <v>374</v>
      </c>
      <c r="CS11" s="120" t="s">
        <v>374</v>
      </c>
      <c r="CT11" s="120" t="s">
        <v>374</v>
      </c>
      <c r="CU11" s="120" t="s">
        <v>374</v>
      </c>
      <c r="CV11" s="120" t="s">
        <v>374</v>
      </c>
      <c r="CW11" s="120" t="s">
        <v>374</v>
      </c>
      <c r="CX11" s="120" t="s">
        <v>374</v>
      </c>
      <c r="CY11" s="120" t="s">
        <v>374</v>
      </c>
      <c r="CZ11" s="120" t="s">
        <v>374</v>
      </c>
      <c r="DA11" s="120" t="s">
        <v>374</v>
      </c>
      <c r="DB11" s="120" t="s">
        <v>374</v>
      </c>
      <c r="DC11" s="120" t="s">
        <v>374</v>
      </c>
    </row>
    <row r="12" spans="1:107" ht="30">
      <c r="B12" s="173"/>
      <c r="C12" s="173"/>
      <c r="D12" s="173"/>
      <c r="E12" s="173"/>
      <c r="F12" s="173"/>
      <c r="G12" s="173"/>
      <c r="H12" s="168"/>
      <c r="I12" s="168"/>
      <c r="J12" s="168"/>
      <c r="K12" s="168"/>
      <c r="L12" s="168"/>
      <c r="M12" s="168"/>
      <c r="N12" s="168"/>
      <c r="O12" s="120" t="s">
        <v>397</v>
      </c>
      <c r="P12" s="170" t="s">
        <v>379</v>
      </c>
      <c r="Q12" s="120" t="s">
        <v>388</v>
      </c>
      <c r="R12" s="120" t="s">
        <v>95</v>
      </c>
      <c r="S12" s="120" t="s">
        <v>382</v>
      </c>
      <c r="T12" s="120" t="s">
        <v>374</v>
      </c>
      <c r="U12" s="120" t="s">
        <v>397</v>
      </c>
      <c r="V12" s="120" t="s">
        <v>374</v>
      </c>
      <c r="W12" s="120" t="s">
        <v>398</v>
      </c>
      <c r="X12" s="120" t="s">
        <v>374</v>
      </c>
      <c r="Y12" s="120" t="s">
        <v>396</v>
      </c>
      <c r="Z12" s="120" t="s">
        <v>95</v>
      </c>
      <c r="AA12" s="120" t="s">
        <v>374</v>
      </c>
      <c r="AB12" s="120" t="s">
        <v>374</v>
      </c>
      <c r="AC12" s="120" t="s">
        <v>374</v>
      </c>
      <c r="AD12" s="120" t="s">
        <v>374</v>
      </c>
      <c r="AE12" s="120" t="s">
        <v>374</v>
      </c>
      <c r="AF12" s="120" t="s">
        <v>374</v>
      </c>
      <c r="AG12" s="120" t="s">
        <v>374</v>
      </c>
      <c r="AH12" s="120" t="s">
        <v>374</v>
      </c>
      <c r="AI12" s="120" t="s">
        <v>374</v>
      </c>
      <c r="AJ12" s="120" t="s">
        <v>374</v>
      </c>
      <c r="AK12" s="120" t="s">
        <v>374</v>
      </c>
      <c r="AL12" s="120" t="s">
        <v>374</v>
      </c>
      <c r="AM12" s="120" t="s">
        <v>374</v>
      </c>
      <c r="AN12" s="120" t="s">
        <v>374</v>
      </c>
      <c r="AO12" s="120" t="s">
        <v>374</v>
      </c>
      <c r="AP12" s="120" t="s">
        <v>374</v>
      </c>
      <c r="AQ12" s="120" t="s">
        <v>374</v>
      </c>
      <c r="AR12" s="120" t="s">
        <v>374</v>
      </c>
      <c r="AS12" s="120" t="s">
        <v>374</v>
      </c>
      <c r="AT12" s="120" t="s">
        <v>374</v>
      </c>
      <c r="AU12" s="120" t="s">
        <v>374</v>
      </c>
      <c r="AV12" s="120" t="s">
        <v>374</v>
      </c>
      <c r="AW12" s="120" t="s">
        <v>374</v>
      </c>
      <c r="AX12" s="120" t="s">
        <v>374</v>
      </c>
      <c r="AY12" s="120" t="s">
        <v>374</v>
      </c>
      <c r="AZ12" s="120" t="s">
        <v>374</v>
      </c>
      <c r="BA12" s="120" t="s">
        <v>374</v>
      </c>
      <c r="BB12" s="120" t="s">
        <v>374</v>
      </c>
      <c r="BC12" s="120" t="s">
        <v>374</v>
      </c>
      <c r="BD12" s="120" t="s">
        <v>374</v>
      </c>
      <c r="BE12" s="120" t="s">
        <v>374</v>
      </c>
      <c r="BF12" s="120" t="s">
        <v>374</v>
      </c>
      <c r="BG12" s="120" t="s">
        <v>374</v>
      </c>
      <c r="BH12" s="120" t="s">
        <v>374</v>
      </c>
      <c r="BI12" s="120" t="s">
        <v>374</v>
      </c>
      <c r="BJ12" s="120" t="s">
        <v>374</v>
      </c>
      <c r="BK12" s="120" t="s">
        <v>374</v>
      </c>
      <c r="BL12" s="120" t="s">
        <v>374</v>
      </c>
      <c r="BM12" s="120" t="s">
        <v>374</v>
      </c>
      <c r="BN12" s="120" t="s">
        <v>374</v>
      </c>
      <c r="BO12" s="120" t="s">
        <v>374</v>
      </c>
      <c r="BP12" s="120" t="s">
        <v>374</v>
      </c>
      <c r="BQ12" s="120" t="s">
        <v>374</v>
      </c>
      <c r="BR12" s="120" t="s">
        <v>374</v>
      </c>
      <c r="BS12" s="120" t="s">
        <v>374</v>
      </c>
      <c r="BT12" s="120" t="s">
        <v>374</v>
      </c>
      <c r="BU12" s="120" t="s">
        <v>374</v>
      </c>
      <c r="BV12" s="120" t="s">
        <v>374</v>
      </c>
      <c r="BW12" s="120" t="s">
        <v>374</v>
      </c>
      <c r="BX12" s="120" t="s">
        <v>374</v>
      </c>
      <c r="BY12" s="120" t="s">
        <v>374</v>
      </c>
      <c r="BZ12" s="120" t="s">
        <v>374</v>
      </c>
      <c r="CA12" s="120" t="s">
        <v>374</v>
      </c>
      <c r="CB12" s="120" t="s">
        <v>374</v>
      </c>
      <c r="CC12" s="120" t="s">
        <v>374</v>
      </c>
      <c r="CD12" s="120" t="s">
        <v>374</v>
      </c>
      <c r="CE12" s="120" t="s">
        <v>374</v>
      </c>
      <c r="CF12" s="120" t="s">
        <v>374</v>
      </c>
      <c r="CG12" s="120" t="s">
        <v>374</v>
      </c>
      <c r="CH12" s="120" t="s">
        <v>374</v>
      </c>
      <c r="CI12" s="120" t="s">
        <v>374</v>
      </c>
      <c r="CJ12" s="120" t="s">
        <v>374</v>
      </c>
      <c r="CK12" s="120" t="s">
        <v>374</v>
      </c>
      <c r="CL12" s="120" t="s">
        <v>374</v>
      </c>
      <c r="CM12" s="120" t="s">
        <v>374</v>
      </c>
      <c r="CN12" s="120" t="s">
        <v>374</v>
      </c>
      <c r="CO12" s="120" t="s">
        <v>374</v>
      </c>
      <c r="CP12" s="120" t="s">
        <v>374</v>
      </c>
      <c r="CQ12" s="120" t="s">
        <v>374</v>
      </c>
      <c r="CR12" s="120" t="s">
        <v>374</v>
      </c>
      <c r="CS12" s="120" t="s">
        <v>374</v>
      </c>
      <c r="CT12" s="120" t="s">
        <v>374</v>
      </c>
      <c r="CU12" s="120" t="s">
        <v>374</v>
      </c>
      <c r="CV12" s="120" t="s">
        <v>374</v>
      </c>
      <c r="CW12" s="120" t="s">
        <v>374</v>
      </c>
      <c r="CX12" s="120" t="s">
        <v>374</v>
      </c>
      <c r="CY12" s="120" t="s">
        <v>374</v>
      </c>
      <c r="CZ12" s="120" t="s">
        <v>374</v>
      </c>
      <c r="DA12" s="120" t="s">
        <v>374</v>
      </c>
      <c r="DB12" s="120" t="s">
        <v>374</v>
      </c>
      <c r="DC12" s="120" t="s">
        <v>374</v>
      </c>
    </row>
    <row r="13" spans="1:107" ht="30">
      <c r="B13" s="173"/>
      <c r="C13" s="173"/>
      <c r="D13" s="173"/>
      <c r="E13" s="173"/>
      <c r="F13" s="173"/>
      <c r="G13" s="173"/>
      <c r="H13" s="168"/>
      <c r="I13" s="168"/>
      <c r="J13" s="168"/>
      <c r="K13" s="168"/>
      <c r="L13" s="168"/>
      <c r="M13" s="168"/>
      <c r="N13" s="168"/>
      <c r="O13" s="120" t="s">
        <v>399</v>
      </c>
      <c r="P13" s="170" t="s">
        <v>379</v>
      </c>
      <c r="Q13" s="120" t="s">
        <v>388</v>
      </c>
      <c r="R13" s="120" t="s">
        <v>95</v>
      </c>
      <c r="S13" s="120" t="s">
        <v>382</v>
      </c>
      <c r="T13" s="120" t="s">
        <v>374</v>
      </c>
      <c r="U13" s="120" t="s">
        <v>399</v>
      </c>
      <c r="V13" s="120" t="s">
        <v>374</v>
      </c>
      <c r="W13" s="120" t="s">
        <v>400</v>
      </c>
      <c r="X13" s="120" t="s">
        <v>374</v>
      </c>
      <c r="Y13" s="120" t="s">
        <v>401</v>
      </c>
      <c r="Z13" s="120" t="s">
        <v>95</v>
      </c>
      <c r="AA13" s="120" t="s">
        <v>374</v>
      </c>
      <c r="AB13" s="120" t="s">
        <v>374</v>
      </c>
      <c r="AC13" s="120" t="s">
        <v>374</v>
      </c>
      <c r="AD13" s="120" t="s">
        <v>374</v>
      </c>
      <c r="AE13" s="120" t="s">
        <v>374</v>
      </c>
      <c r="AF13" s="120" t="s">
        <v>374</v>
      </c>
      <c r="AG13" s="120" t="s">
        <v>374</v>
      </c>
      <c r="AH13" s="120" t="s">
        <v>374</v>
      </c>
      <c r="AI13" s="120" t="s">
        <v>374</v>
      </c>
      <c r="AJ13" s="120" t="s">
        <v>374</v>
      </c>
      <c r="AK13" s="120" t="s">
        <v>374</v>
      </c>
      <c r="AL13" s="120" t="s">
        <v>374</v>
      </c>
      <c r="AM13" s="120" t="s">
        <v>374</v>
      </c>
      <c r="AN13" s="120" t="s">
        <v>374</v>
      </c>
      <c r="AO13" s="120" t="s">
        <v>374</v>
      </c>
      <c r="AP13" s="120" t="s">
        <v>374</v>
      </c>
      <c r="AQ13" s="120" t="s">
        <v>374</v>
      </c>
      <c r="AR13" s="120" t="s">
        <v>374</v>
      </c>
      <c r="AS13" s="120" t="s">
        <v>374</v>
      </c>
      <c r="AT13" s="120" t="s">
        <v>374</v>
      </c>
      <c r="AU13" s="120" t="s">
        <v>374</v>
      </c>
      <c r="AV13" s="120" t="s">
        <v>374</v>
      </c>
      <c r="AW13" s="120" t="s">
        <v>374</v>
      </c>
      <c r="AX13" s="120" t="s">
        <v>374</v>
      </c>
      <c r="AY13" s="120" t="s">
        <v>374</v>
      </c>
      <c r="AZ13" s="120" t="s">
        <v>374</v>
      </c>
      <c r="BA13" s="120" t="s">
        <v>374</v>
      </c>
      <c r="BB13" s="120" t="s">
        <v>374</v>
      </c>
      <c r="BC13" s="120" t="s">
        <v>374</v>
      </c>
      <c r="BD13" s="120" t="s">
        <v>374</v>
      </c>
      <c r="BE13" s="120" t="s">
        <v>374</v>
      </c>
      <c r="BF13" s="120" t="s">
        <v>374</v>
      </c>
      <c r="BG13" s="120" t="s">
        <v>374</v>
      </c>
      <c r="BH13" s="120" t="s">
        <v>374</v>
      </c>
      <c r="BI13" s="120" t="s">
        <v>374</v>
      </c>
      <c r="BJ13" s="120" t="s">
        <v>374</v>
      </c>
      <c r="BK13" s="120" t="s">
        <v>374</v>
      </c>
      <c r="BL13" s="120" t="s">
        <v>374</v>
      </c>
      <c r="BM13" s="120" t="s">
        <v>374</v>
      </c>
      <c r="BN13" s="120" t="s">
        <v>374</v>
      </c>
      <c r="BO13" s="120" t="s">
        <v>374</v>
      </c>
      <c r="BP13" s="120" t="s">
        <v>374</v>
      </c>
      <c r="BQ13" s="120" t="s">
        <v>374</v>
      </c>
      <c r="BR13" s="120" t="s">
        <v>374</v>
      </c>
      <c r="BS13" s="120" t="s">
        <v>374</v>
      </c>
      <c r="BT13" s="120" t="s">
        <v>374</v>
      </c>
      <c r="BU13" s="120" t="s">
        <v>374</v>
      </c>
      <c r="BV13" s="120" t="s">
        <v>374</v>
      </c>
      <c r="BW13" s="120" t="s">
        <v>374</v>
      </c>
      <c r="BX13" s="120" t="s">
        <v>374</v>
      </c>
      <c r="BY13" s="120" t="s">
        <v>374</v>
      </c>
      <c r="BZ13" s="120" t="s">
        <v>374</v>
      </c>
      <c r="CA13" s="120" t="s">
        <v>374</v>
      </c>
      <c r="CB13" s="120" t="s">
        <v>374</v>
      </c>
      <c r="CC13" s="120" t="s">
        <v>374</v>
      </c>
      <c r="CD13" s="120" t="s">
        <v>374</v>
      </c>
      <c r="CE13" s="120" t="s">
        <v>374</v>
      </c>
      <c r="CF13" s="120" t="s">
        <v>374</v>
      </c>
      <c r="CG13" s="120" t="s">
        <v>374</v>
      </c>
      <c r="CH13" s="120" t="s">
        <v>374</v>
      </c>
      <c r="CI13" s="120" t="s">
        <v>374</v>
      </c>
      <c r="CJ13" s="120" t="s">
        <v>374</v>
      </c>
      <c r="CK13" s="120" t="s">
        <v>374</v>
      </c>
      <c r="CL13" s="120" t="s">
        <v>374</v>
      </c>
      <c r="CM13" s="120" t="s">
        <v>374</v>
      </c>
      <c r="CN13" s="120" t="s">
        <v>374</v>
      </c>
      <c r="CO13" s="120" t="s">
        <v>374</v>
      </c>
      <c r="CP13" s="120" t="s">
        <v>374</v>
      </c>
      <c r="CQ13" s="120" t="s">
        <v>374</v>
      </c>
      <c r="CR13" s="120" t="s">
        <v>374</v>
      </c>
      <c r="CS13" s="120" t="s">
        <v>374</v>
      </c>
      <c r="CT13" s="120" t="s">
        <v>374</v>
      </c>
      <c r="CU13" s="120" t="s">
        <v>374</v>
      </c>
      <c r="CV13" s="120" t="s">
        <v>374</v>
      </c>
      <c r="CW13" s="120" t="s">
        <v>374</v>
      </c>
      <c r="CX13" s="120" t="s">
        <v>374</v>
      </c>
      <c r="CY13" s="120" t="s">
        <v>374</v>
      </c>
      <c r="CZ13" s="120" t="s">
        <v>374</v>
      </c>
      <c r="DA13" s="120" t="s">
        <v>374</v>
      </c>
      <c r="DB13" s="120" t="s">
        <v>374</v>
      </c>
      <c r="DC13" s="120" t="s">
        <v>374</v>
      </c>
    </row>
    <row r="14" spans="1:107" ht="30">
      <c r="B14" s="173"/>
      <c r="C14" s="173"/>
      <c r="D14" s="173"/>
      <c r="E14" s="173"/>
      <c r="F14" s="173"/>
      <c r="G14" s="173"/>
      <c r="H14" s="168"/>
      <c r="I14" s="168"/>
      <c r="J14" s="168"/>
      <c r="K14" s="168"/>
      <c r="L14" s="168"/>
      <c r="M14" s="168"/>
      <c r="N14" s="168"/>
      <c r="O14" s="120" t="s">
        <v>402</v>
      </c>
      <c r="P14" s="170" t="s">
        <v>379</v>
      </c>
      <c r="Q14" s="120" t="s">
        <v>388</v>
      </c>
      <c r="R14" s="120" t="s">
        <v>95</v>
      </c>
      <c r="S14" s="120" t="s">
        <v>382</v>
      </c>
      <c r="T14" s="120" t="s">
        <v>374</v>
      </c>
      <c r="U14" s="120" t="s">
        <v>402</v>
      </c>
      <c r="V14" s="120" t="s">
        <v>374</v>
      </c>
      <c r="W14" s="120" t="s">
        <v>403</v>
      </c>
      <c r="X14" s="120" t="s">
        <v>374</v>
      </c>
      <c r="Y14" s="120" t="s">
        <v>404</v>
      </c>
      <c r="Z14" s="120" t="s">
        <v>95</v>
      </c>
      <c r="AA14" s="120" t="s">
        <v>374</v>
      </c>
      <c r="AB14" s="120" t="s">
        <v>374</v>
      </c>
      <c r="AC14" s="120" t="s">
        <v>374</v>
      </c>
      <c r="AD14" s="120" t="s">
        <v>374</v>
      </c>
      <c r="AE14" s="120" t="s">
        <v>374</v>
      </c>
      <c r="AF14" s="120" t="s">
        <v>374</v>
      </c>
      <c r="AG14" s="120" t="s">
        <v>374</v>
      </c>
      <c r="AH14" s="120" t="s">
        <v>374</v>
      </c>
      <c r="AI14" s="120" t="s">
        <v>374</v>
      </c>
      <c r="AJ14" s="120" t="s">
        <v>374</v>
      </c>
      <c r="AK14" s="120" t="s">
        <v>374</v>
      </c>
      <c r="AL14" s="120" t="s">
        <v>374</v>
      </c>
      <c r="AM14" s="120" t="s">
        <v>374</v>
      </c>
      <c r="AN14" s="120" t="s">
        <v>374</v>
      </c>
      <c r="AO14" s="120" t="s">
        <v>374</v>
      </c>
      <c r="AP14" s="120" t="s">
        <v>374</v>
      </c>
      <c r="AQ14" s="120" t="s">
        <v>374</v>
      </c>
      <c r="AR14" s="120" t="s">
        <v>374</v>
      </c>
      <c r="AS14" s="120" t="s">
        <v>374</v>
      </c>
      <c r="AT14" s="120" t="s">
        <v>374</v>
      </c>
      <c r="AU14" s="120" t="s">
        <v>374</v>
      </c>
      <c r="AV14" s="120" t="s">
        <v>374</v>
      </c>
      <c r="AW14" s="120" t="s">
        <v>374</v>
      </c>
      <c r="AX14" s="120" t="s">
        <v>374</v>
      </c>
      <c r="AY14" s="120" t="s">
        <v>374</v>
      </c>
      <c r="AZ14" s="120" t="s">
        <v>374</v>
      </c>
      <c r="BA14" s="120" t="s">
        <v>374</v>
      </c>
      <c r="BB14" s="120" t="s">
        <v>374</v>
      </c>
      <c r="BC14" s="120" t="s">
        <v>374</v>
      </c>
      <c r="BD14" s="120" t="s">
        <v>374</v>
      </c>
      <c r="BE14" s="120" t="s">
        <v>374</v>
      </c>
      <c r="BF14" s="120" t="s">
        <v>374</v>
      </c>
      <c r="BG14" s="120" t="s">
        <v>374</v>
      </c>
      <c r="BH14" s="120" t="s">
        <v>374</v>
      </c>
      <c r="BI14" s="120" t="s">
        <v>374</v>
      </c>
      <c r="BJ14" s="120" t="s">
        <v>374</v>
      </c>
      <c r="BK14" s="120" t="s">
        <v>374</v>
      </c>
      <c r="BL14" s="120" t="s">
        <v>374</v>
      </c>
      <c r="BM14" s="120" t="s">
        <v>374</v>
      </c>
      <c r="BN14" s="120" t="s">
        <v>374</v>
      </c>
      <c r="BO14" s="120" t="s">
        <v>374</v>
      </c>
      <c r="BP14" s="120" t="s">
        <v>374</v>
      </c>
      <c r="BQ14" s="120" t="s">
        <v>374</v>
      </c>
      <c r="BR14" s="120" t="s">
        <v>374</v>
      </c>
      <c r="BS14" s="120" t="s">
        <v>374</v>
      </c>
      <c r="BT14" s="120" t="s">
        <v>374</v>
      </c>
      <c r="BU14" s="120" t="s">
        <v>374</v>
      </c>
      <c r="BV14" s="120" t="s">
        <v>374</v>
      </c>
      <c r="BW14" s="120" t="s">
        <v>374</v>
      </c>
      <c r="BX14" s="120" t="s">
        <v>374</v>
      </c>
      <c r="BY14" s="120" t="s">
        <v>374</v>
      </c>
      <c r="BZ14" s="120" t="s">
        <v>374</v>
      </c>
      <c r="CA14" s="120" t="s">
        <v>374</v>
      </c>
      <c r="CB14" s="120" t="s">
        <v>374</v>
      </c>
      <c r="CC14" s="120" t="s">
        <v>374</v>
      </c>
      <c r="CD14" s="120" t="s">
        <v>374</v>
      </c>
      <c r="CE14" s="120" t="s">
        <v>374</v>
      </c>
      <c r="CF14" s="120" t="s">
        <v>374</v>
      </c>
      <c r="CG14" s="120" t="s">
        <v>374</v>
      </c>
      <c r="CH14" s="120" t="s">
        <v>374</v>
      </c>
      <c r="CI14" s="120" t="s">
        <v>374</v>
      </c>
      <c r="CJ14" s="120" t="s">
        <v>374</v>
      </c>
      <c r="CK14" s="120" t="s">
        <v>374</v>
      </c>
      <c r="CL14" s="120" t="s">
        <v>374</v>
      </c>
      <c r="CM14" s="120" t="s">
        <v>374</v>
      </c>
      <c r="CN14" s="120" t="s">
        <v>374</v>
      </c>
      <c r="CO14" s="120" t="s">
        <v>374</v>
      </c>
      <c r="CP14" s="120" t="s">
        <v>374</v>
      </c>
      <c r="CQ14" s="120" t="s">
        <v>374</v>
      </c>
      <c r="CR14" s="120" t="s">
        <v>374</v>
      </c>
      <c r="CS14" s="120" t="s">
        <v>374</v>
      </c>
      <c r="CT14" s="120" t="s">
        <v>374</v>
      </c>
      <c r="CU14" s="120" t="s">
        <v>374</v>
      </c>
      <c r="CV14" s="120" t="s">
        <v>374</v>
      </c>
      <c r="CW14" s="120" t="s">
        <v>374</v>
      </c>
      <c r="CX14" s="120" t="s">
        <v>374</v>
      </c>
      <c r="CY14" s="120" t="s">
        <v>374</v>
      </c>
      <c r="CZ14" s="120" t="s">
        <v>374</v>
      </c>
      <c r="DA14" s="120" t="s">
        <v>374</v>
      </c>
      <c r="DB14" s="120" t="s">
        <v>374</v>
      </c>
      <c r="DC14" s="120" t="s">
        <v>374</v>
      </c>
    </row>
    <row r="15" spans="1:107" ht="30">
      <c r="B15" s="173"/>
      <c r="C15" s="173"/>
      <c r="D15" s="173"/>
      <c r="E15" s="173"/>
      <c r="F15" s="173"/>
      <c r="G15" s="173"/>
      <c r="H15" s="168"/>
      <c r="I15" s="168"/>
      <c r="J15" s="168"/>
      <c r="K15" s="168"/>
      <c r="L15" s="168"/>
      <c r="M15" s="168"/>
      <c r="N15" s="168"/>
      <c r="O15" s="120" t="s">
        <v>405</v>
      </c>
      <c r="P15" s="170" t="s">
        <v>379</v>
      </c>
      <c r="Q15" s="120" t="s">
        <v>388</v>
      </c>
      <c r="R15" s="120" t="s">
        <v>95</v>
      </c>
      <c r="S15" s="120" t="s">
        <v>382</v>
      </c>
      <c r="T15" s="120" t="s">
        <v>374</v>
      </c>
      <c r="U15" s="120" t="s">
        <v>405</v>
      </c>
      <c r="V15" s="120" t="s">
        <v>374</v>
      </c>
      <c r="W15" s="120" t="s">
        <v>406</v>
      </c>
      <c r="X15" s="120" t="s">
        <v>374</v>
      </c>
      <c r="Y15" s="120" t="s">
        <v>407</v>
      </c>
      <c r="Z15" s="120" t="s">
        <v>95</v>
      </c>
      <c r="AA15" s="120" t="s">
        <v>374</v>
      </c>
      <c r="AB15" s="120" t="s">
        <v>374</v>
      </c>
      <c r="AC15" s="120" t="s">
        <v>374</v>
      </c>
      <c r="AD15" s="120" t="s">
        <v>374</v>
      </c>
      <c r="AE15" s="120" t="s">
        <v>374</v>
      </c>
      <c r="AF15" s="120" t="s">
        <v>374</v>
      </c>
      <c r="AG15" s="120" t="s">
        <v>374</v>
      </c>
      <c r="AH15" s="120" t="s">
        <v>374</v>
      </c>
      <c r="AI15" s="120" t="s">
        <v>374</v>
      </c>
      <c r="AJ15" s="120" t="s">
        <v>374</v>
      </c>
      <c r="AK15" s="120" t="s">
        <v>374</v>
      </c>
      <c r="AL15" s="120" t="s">
        <v>374</v>
      </c>
      <c r="AM15" s="120" t="s">
        <v>374</v>
      </c>
      <c r="AN15" s="120" t="s">
        <v>374</v>
      </c>
      <c r="AO15" s="120" t="s">
        <v>374</v>
      </c>
      <c r="AP15" s="120" t="s">
        <v>374</v>
      </c>
      <c r="AQ15" s="120" t="s">
        <v>374</v>
      </c>
      <c r="AR15" s="120" t="s">
        <v>374</v>
      </c>
      <c r="AS15" s="120" t="s">
        <v>374</v>
      </c>
      <c r="AT15" s="120" t="s">
        <v>374</v>
      </c>
      <c r="AU15" s="120" t="s">
        <v>374</v>
      </c>
      <c r="AV15" s="120" t="s">
        <v>374</v>
      </c>
      <c r="AW15" s="120" t="s">
        <v>374</v>
      </c>
      <c r="AX15" s="120" t="s">
        <v>374</v>
      </c>
      <c r="AY15" s="120" t="s">
        <v>374</v>
      </c>
      <c r="AZ15" s="120" t="s">
        <v>374</v>
      </c>
      <c r="BA15" s="120" t="s">
        <v>374</v>
      </c>
      <c r="BB15" s="120" t="s">
        <v>374</v>
      </c>
      <c r="BC15" s="120" t="s">
        <v>374</v>
      </c>
      <c r="BD15" s="120" t="s">
        <v>374</v>
      </c>
      <c r="BE15" s="120" t="s">
        <v>374</v>
      </c>
      <c r="BF15" s="120" t="s">
        <v>374</v>
      </c>
      <c r="BG15" s="120" t="s">
        <v>374</v>
      </c>
      <c r="BH15" s="120" t="s">
        <v>374</v>
      </c>
      <c r="BI15" s="120" t="s">
        <v>374</v>
      </c>
      <c r="BJ15" s="120" t="s">
        <v>374</v>
      </c>
      <c r="BK15" s="120" t="s">
        <v>374</v>
      </c>
      <c r="BL15" s="120" t="s">
        <v>374</v>
      </c>
      <c r="BM15" s="120" t="s">
        <v>374</v>
      </c>
      <c r="BN15" s="120" t="s">
        <v>374</v>
      </c>
      <c r="BO15" s="120" t="s">
        <v>374</v>
      </c>
      <c r="BP15" s="120" t="s">
        <v>374</v>
      </c>
      <c r="BQ15" s="120" t="s">
        <v>374</v>
      </c>
      <c r="BR15" s="120" t="s">
        <v>374</v>
      </c>
      <c r="BS15" s="120" t="s">
        <v>374</v>
      </c>
      <c r="BT15" s="120" t="s">
        <v>374</v>
      </c>
      <c r="BU15" s="120" t="s">
        <v>374</v>
      </c>
      <c r="BV15" s="120" t="s">
        <v>374</v>
      </c>
      <c r="BW15" s="120" t="s">
        <v>374</v>
      </c>
      <c r="BX15" s="120" t="s">
        <v>374</v>
      </c>
      <c r="BY15" s="120" t="s">
        <v>374</v>
      </c>
      <c r="BZ15" s="120" t="s">
        <v>374</v>
      </c>
      <c r="CA15" s="120" t="s">
        <v>374</v>
      </c>
      <c r="CB15" s="120" t="s">
        <v>374</v>
      </c>
      <c r="CC15" s="120" t="s">
        <v>374</v>
      </c>
      <c r="CD15" s="120" t="s">
        <v>374</v>
      </c>
      <c r="CE15" s="120" t="s">
        <v>374</v>
      </c>
      <c r="CF15" s="120" t="s">
        <v>374</v>
      </c>
      <c r="CG15" s="120" t="s">
        <v>374</v>
      </c>
      <c r="CH15" s="120" t="s">
        <v>374</v>
      </c>
      <c r="CI15" s="120" t="s">
        <v>374</v>
      </c>
      <c r="CJ15" s="120" t="s">
        <v>374</v>
      </c>
      <c r="CK15" s="120" t="s">
        <v>374</v>
      </c>
      <c r="CL15" s="120" t="s">
        <v>374</v>
      </c>
      <c r="CM15" s="120" t="s">
        <v>374</v>
      </c>
      <c r="CN15" s="120" t="s">
        <v>374</v>
      </c>
      <c r="CO15" s="120" t="s">
        <v>374</v>
      </c>
      <c r="CP15" s="120" t="s">
        <v>374</v>
      </c>
      <c r="CQ15" s="120" t="s">
        <v>374</v>
      </c>
      <c r="CR15" s="120" t="s">
        <v>374</v>
      </c>
      <c r="CS15" s="120" t="s">
        <v>374</v>
      </c>
      <c r="CT15" s="120" t="s">
        <v>374</v>
      </c>
      <c r="CU15" s="120" t="s">
        <v>374</v>
      </c>
      <c r="CV15" s="120" t="s">
        <v>374</v>
      </c>
      <c r="CW15" s="120" t="s">
        <v>374</v>
      </c>
      <c r="CX15" s="120" t="s">
        <v>374</v>
      </c>
      <c r="CY15" s="120" t="s">
        <v>374</v>
      </c>
      <c r="CZ15" s="120" t="s">
        <v>374</v>
      </c>
      <c r="DA15" s="120" t="s">
        <v>374</v>
      </c>
      <c r="DB15" s="120" t="s">
        <v>374</v>
      </c>
      <c r="DC15" s="120" t="s">
        <v>374</v>
      </c>
    </row>
    <row r="16" spans="1:107" ht="30">
      <c r="B16" s="173"/>
      <c r="C16" s="173"/>
      <c r="D16" s="173"/>
      <c r="E16" s="173"/>
      <c r="F16" s="173"/>
      <c r="G16" s="173"/>
      <c r="H16" s="168"/>
      <c r="I16" s="168"/>
      <c r="J16" s="168"/>
      <c r="K16" s="168"/>
      <c r="L16" s="168"/>
      <c r="M16" s="168"/>
      <c r="N16" s="168"/>
      <c r="O16" s="120" t="s">
        <v>408</v>
      </c>
      <c r="P16" s="170" t="s">
        <v>379</v>
      </c>
      <c r="Q16" s="120" t="s">
        <v>388</v>
      </c>
      <c r="R16" s="120" t="s">
        <v>95</v>
      </c>
      <c r="S16" s="120" t="s">
        <v>382</v>
      </c>
      <c r="T16" s="120" t="s">
        <v>374</v>
      </c>
      <c r="U16" s="120" t="s">
        <v>408</v>
      </c>
      <c r="V16" s="120" t="s">
        <v>374</v>
      </c>
      <c r="W16" s="120" t="s">
        <v>409</v>
      </c>
      <c r="X16" s="120" t="s">
        <v>374</v>
      </c>
      <c r="Y16" s="120" t="s">
        <v>410</v>
      </c>
      <c r="Z16" s="120" t="s">
        <v>95</v>
      </c>
      <c r="AA16" s="120" t="s">
        <v>374</v>
      </c>
      <c r="AB16" s="120" t="s">
        <v>374</v>
      </c>
      <c r="AC16" s="120" t="s">
        <v>374</v>
      </c>
      <c r="AD16" s="120" t="s">
        <v>374</v>
      </c>
      <c r="AE16" s="120" t="s">
        <v>374</v>
      </c>
      <c r="AF16" s="120" t="s">
        <v>374</v>
      </c>
      <c r="AG16" s="120" t="s">
        <v>374</v>
      </c>
      <c r="AH16" s="120" t="s">
        <v>374</v>
      </c>
      <c r="AI16" s="120" t="s">
        <v>374</v>
      </c>
      <c r="AJ16" s="120" t="s">
        <v>374</v>
      </c>
      <c r="AK16" s="120" t="s">
        <v>374</v>
      </c>
      <c r="AL16" s="120" t="s">
        <v>374</v>
      </c>
      <c r="AM16" s="120" t="s">
        <v>374</v>
      </c>
      <c r="AN16" s="120" t="s">
        <v>374</v>
      </c>
      <c r="AO16" s="120" t="s">
        <v>374</v>
      </c>
      <c r="AP16" s="120" t="s">
        <v>374</v>
      </c>
      <c r="AQ16" s="120" t="s">
        <v>374</v>
      </c>
      <c r="AR16" s="120" t="s">
        <v>374</v>
      </c>
      <c r="AS16" s="120" t="s">
        <v>374</v>
      </c>
      <c r="AT16" s="120" t="s">
        <v>374</v>
      </c>
      <c r="AU16" s="120" t="s">
        <v>374</v>
      </c>
      <c r="AV16" s="120" t="s">
        <v>374</v>
      </c>
      <c r="AW16" s="120" t="s">
        <v>374</v>
      </c>
      <c r="AX16" s="120" t="s">
        <v>374</v>
      </c>
      <c r="AY16" s="120" t="s">
        <v>374</v>
      </c>
      <c r="AZ16" s="120" t="s">
        <v>374</v>
      </c>
      <c r="BA16" s="120" t="s">
        <v>374</v>
      </c>
      <c r="BB16" s="120" t="s">
        <v>374</v>
      </c>
      <c r="BC16" s="120" t="s">
        <v>374</v>
      </c>
      <c r="BD16" s="120" t="s">
        <v>374</v>
      </c>
      <c r="BE16" s="120" t="s">
        <v>374</v>
      </c>
      <c r="BF16" s="120" t="s">
        <v>374</v>
      </c>
      <c r="BG16" s="120" t="s">
        <v>374</v>
      </c>
      <c r="BH16" s="120" t="s">
        <v>374</v>
      </c>
      <c r="BI16" s="120" t="s">
        <v>374</v>
      </c>
      <c r="BJ16" s="120" t="s">
        <v>374</v>
      </c>
      <c r="BK16" s="120" t="s">
        <v>374</v>
      </c>
      <c r="BL16" s="120" t="s">
        <v>374</v>
      </c>
      <c r="BM16" s="120" t="s">
        <v>374</v>
      </c>
      <c r="BN16" s="120" t="s">
        <v>374</v>
      </c>
      <c r="BO16" s="120" t="s">
        <v>374</v>
      </c>
      <c r="BP16" s="120" t="s">
        <v>374</v>
      </c>
      <c r="BQ16" s="120" t="s">
        <v>374</v>
      </c>
      <c r="BR16" s="120" t="s">
        <v>374</v>
      </c>
      <c r="BS16" s="120" t="s">
        <v>374</v>
      </c>
      <c r="BT16" s="120" t="s">
        <v>374</v>
      </c>
      <c r="BU16" s="120" t="s">
        <v>374</v>
      </c>
      <c r="BV16" s="120" t="s">
        <v>374</v>
      </c>
      <c r="BW16" s="120" t="s">
        <v>374</v>
      </c>
      <c r="BX16" s="120" t="s">
        <v>374</v>
      </c>
      <c r="BY16" s="120" t="s">
        <v>374</v>
      </c>
      <c r="BZ16" s="120" t="s">
        <v>374</v>
      </c>
      <c r="CA16" s="120" t="s">
        <v>374</v>
      </c>
      <c r="CB16" s="120" t="s">
        <v>374</v>
      </c>
      <c r="CC16" s="120" t="s">
        <v>374</v>
      </c>
      <c r="CD16" s="120" t="s">
        <v>374</v>
      </c>
      <c r="CE16" s="120" t="s">
        <v>374</v>
      </c>
      <c r="CF16" s="120" t="s">
        <v>374</v>
      </c>
      <c r="CG16" s="120" t="s">
        <v>374</v>
      </c>
      <c r="CH16" s="120" t="s">
        <v>374</v>
      </c>
      <c r="CI16" s="120" t="s">
        <v>374</v>
      </c>
      <c r="CJ16" s="120" t="s">
        <v>374</v>
      </c>
      <c r="CK16" s="120" t="s">
        <v>374</v>
      </c>
      <c r="CL16" s="120" t="s">
        <v>374</v>
      </c>
      <c r="CM16" s="120" t="s">
        <v>374</v>
      </c>
      <c r="CN16" s="120" t="s">
        <v>374</v>
      </c>
      <c r="CO16" s="120" t="s">
        <v>374</v>
      </c>
      <c r="CP16" s="120" t="s">
        <v>374</v>
      </c>
      <c r="CQ16" s="120" t="s">
        <v>374</v>
      </c>
      <c r="CR16" s="120" t="s">
        <v>374</v>
      </c>
      <c r="CS16" s="120" t="s">
        <v>374</v>
      </c>
      <c r="CT16" s="120" t="s">
        <v>374</v>
      </c>
      <c r="CU16" s="120" t="s">
        <v>374</v>
      </c>
      <c r="CV16" s="120" t="s">
        <v>374</v>
      </c>
      <c r="CW16" s="120" t="s">
        <v>374</v>
      </c>
      <c r="CX16" s="120" t="s">
        <v>374</v>
      </c>
      <c r="CY16" s="120" t="s">
        <v>374</v>
      </c>
      <c r="CZ16" s="120" t="s">
        <v>374</v>
      </c>
      <c r="DA16" s="120" t="s">
        <v>374</v>
      </c>
      <c r="DB16" s="120" t="s">
        <v>374</v>
      </c>
      <c r="DC16" s="120" t="s">
        <v>374</v>
      </c>
    </row>
    <row r="17" spans="2:107" ht="30">
      <c r="B17" s="173"/>
      <c r="C17" s="173"/>
      <c r="D17" s="173"/>
      <c r="E17" s="173"/>
      <c r="F17" s="173"/>
      <c r="G17" s="173"/>
      <c r="H17" s="168"/>
      <c r="I17" s="168"/>
      <c r="J17" s="168"/>
      <c r="K17" s="168"/>
      <c r="L17" s="168"/>
      <c r="M17" s="168"/>
      <c r="N17" s="168"/>
      <c r="O17" s="120" t="s">
        <v>411</v>
      </c>
      <c r="P17" s="170" t="s">
        <v>379</v>
      </c>
      <c r="Q17" s="120" t="s">
        <v>388</v>
      </c>
      <c r="R17" s="120" t="s">
        <v>95</v>
      </c>
      <c r="S17" s="120" t="s">
        <v>382</v>
      </c>
      <c r="T17" s="120" t="s">
        <v>374</v>
      </c>
      <c r="U17" s="120" t="s">
        <v>411</v>
      </c>
      <c r="V17" s="120" t="s">
        <v>374</v>
      </c>
      <c r="W17" s="120" t="s">
        <v>412</v>
      </c>
      <c r="X17" s="120" t="s">
        <v>374</v>
      </c>
      <c r="Y17" s="120" t="s">
        <v>410</v>
      </c>
      <c r="Z17" s="120" t="s">
        <v>95</v>
      </c>
      <c r="AA17" s="120" t="s">
        <v>374</v>
      </c>
      <c r="AB17" s="120" t="s">
        <v>374</v>
      </c>
      <c r="AC17" s="120" t="s">
        <v>374</v>
      </c>
      <c r="AD17" s="120" t="s">
        <v>374</v>
      </c>
      <c r="AE17" s="120" t="s">
        <v>374</v>
      </c>
      <c r="AF17" s="120" t="s">
        <v>374</v>
      </c>
      <c r="AG17" s="120" t="s">
        <v>374</v>
      </c>
      <c r="AH17" s="120" t="s">
        <v>374</v>
      </c>
      <c r="AI17" s="120" t="s">
        <v>374</v>
      </c>
      <c r="AJ17" s="120" t="s">
        <v>374</v>
      </c>
      <c r="AK17" s="120" t="s">
        <v>374</v>
      </c>
      <c r="AL17" s="120" t="s">
        <v>374</v>
      </c>
      <c r="AM17" s="120" t="s">
        <v>374</v>
      </c>
      <c r="AN17" s="120" t="s">
        <v>374</v>
      </c>
      <c r="AO17" s="120" t="s">
        <v>374</v>
      </c>
      <c r="AP17" s="120" t="s">
        <v>374</v>
      </c>
      <c r="AQ17" s="120" t="s">
        <v>374</v>
      </c>
      <c r="AR17" s="120" t="s">
        <v>374</v>
      </c>
      <c r="AS17" s="120" t="s">
        <v>374</v>
      </c>
      <c r="AT17" s="120" t="s">
        <v>374</v>
      </c>
      <c r="AU17" s="120" t="s">
        <v>374</v>
      </c>
      <c r="AV17" s="120" t="s">
        <v>374</v>
      </c>
      <c r="AW17" s="120" t="s">
        <v>374</v>
      </c>
      <c r="AX17" s="120" t="s">
        <v>374</v>
      </c>
      <c r="AY17" s="120" t="s">
        <v>374</v>
      </c>
      <c r="AZ17" s="120" t="s">
        <v>374</v>
      </c>
      <c r="BA17" s="120" t="s">
        <v>374</v>
      </c>
      <c r="BB17" s="120" t="s">
        <v>374</v>
      </c>
      <c r="BC17" s="120" t="s">
        <v>374</v>
      </c>
      <c r="BD17" s="120" t="s">
        <v>374</v>
      </c>
      <c r="BE17" s="120" t="s">
        <v>374</v>
      </c>
      <c r="BF17" s="120" t="s">
        <v>374</v>
      </c>
      <c r="BG17" s="120" t="s">
        <v>374</v>
      </c>
      <c r="BH17" s="120" t="s">
        <v>374</v>
      </c>
      <c r="BI17" s="120" t="s">
        <v>374</v>
      </c>
      <c r="BJ17" s="120" t="s">
        <v>374</v>
      </c>
      <c r="BK17" s="120" t="s">
        <v>374</v>
      </c>
      <c r="BL17" s="120" t="s">
        <v>374</v>
      </c>
      <c r="BM17" s="120" t="s">
        <v>374</v>
      </c>
      <c r="BN17" s="120" t="s">
        <v>374</v>
      </c>
      <c r="BO17" s="120" t="s">
        <v>374</v>
      </c>
      <c r="BP17" s="120" t="s">
        <v>374</v>
      </c>
      <c r="BQ17" s="120" t="s">
        <v>374</v>
      </c>
      <c r="BR17" s="120" t="s">
        <v>374</v>
      </c>
      <c r="BS17" s="120" t="s">
        <v>374</v>
      </c>
      <c r="BT17" s="120" t="s">
        <v>374</v>
      </c>
      <c r="BU17" s="120" t="s">
        <v>374</v>
      </c>
      <c r="BV17" s="120" t="s">
        <v>374</v>
      </c>
      <c r="BW17" s="120" t="s">
        <v>374</v>
      </c>
      <c r="BX17" s="120" t="s">
        <v>374</v>
      </c>
      <c r="BY17" s="120" t="s">
        <v>374</v>
      </c>
      <c r="BZ17" s="120" t="s">
        <v>374</v>
      </c>
      <c r="CA17" s="120" t="s">
        <v>374</v>
      </c>
      <c r="CB17" s="120" t="s">
        <v>374</v>
      </c>
      <c r="CC17" s="120" t="s">
        <v>374</v>
      </c>
      <c r="CD17" s="120" t="s">
        <v>374</v>
      </c>
      <c r="CE17" s="120" t="s">
        <v>374</v>
      </c>
      <c r="CF17" s="120" t="s">
        <v>374</v>
      </c>
      <c r="CG17" s="120" t="s">
        <v>374</v>
      </c>
      <c r="CH17" s="120" t="s">
        <v>374</v>
      </c>
      <c r="CI17" s="120" t="s">
        <v>374</v>
      </c>
      <c r="CJ17" s="120" t="s">
        <v>374</v>
      </c>
      <c r="CK17" s="120" t="s">
        <v>374</v>
      </c>
      <c r="CL17" s="120" t="s">
        <v>374</v>
      </c>
      <c r="CM17" s="120" t="s">
        <v>374</v>
      </c>
      <c r="CN17" s="120" t="s">
        <v>374</v>
      </c>
      <c r="CO17" s="120" t="s">
        <v>374</v>
      </c>
      <c r="CP17" s="120" t="s">
        <v>374</v>
      </c>
      <c r="CQ17" s="120" t="s">
        <v>374</v>
      </c>
      <c r="CR17" s="120" t="s">
        <v>374</v>
      </c>
      <c r="CS17" s="120" t="s">
        <v>374</v>
      </c>
      <c r="CT17" s="120" t="s">
        <v>374</v>
      </c>
      <c r="CU17" s="120" t="s">
        <v>374</v>
      </c>
      <c r="CV17" s="120" t="s">
        <v>374</v>
      </c>
      <c r="CW17" s="120" t="s">
        <v>374</v>
      </c>
      <c r="CX17" s="120" t="s">
        <v>374</v>
      </c>
      <c r="CY17" s="120" t="s">
        <v>374</v>
      </c>
      <c r="CZ17" s="120" t="s">
        <v>374</v>
      </c>
      <c r="DA17" s="120" t="s">
        <v>374</v>
      </c>
      <c r="DB17" s="120" t="s">
        <v>374</v>
      </c>
      <c r="DC17" s="120" t="s">
        <v>374</v>
      </c>
    </row>
    <row r="18" spans="2:107" ht="30">
      <c r="B18" s="173"/>
      <c r="C18" s="173"/>
      <c r="D18" s="173"/>
      <c r="E18" s="173"/>
      <c r="F18" s="173"/>
      <c r="G18" s="173"/>
      <c r="H18" s="168"/>
      <c r="I18" s="168"/>
      <c r="J18" s="168"/>
      <c r="K18" s="168"/>
      <c r="L18" s="168"/>
      <c r="M18" s="168"/>
      <c r="N18" s="168"/>
      <c r="O18" s="120" t="s">
        <v>413</v>
      </c>
      <c r="P18" s="170" t="s">
        <v>379</v>
      </c>
      <c r="Q18" s="120" t="s">
        <v>388</v>
      </c>
      <c r="R18" s="120" t="s">
        <v>95</v>
      </c>
      <c r="S18" s="120" t="s">
        <v>382</v>
      </c>
      <c r="T18" s="120" t="s">
        <v>374</v>
      </c>
      <c r="U18" s="120" t="s">
        <v>413</v>
      </c>
      <c r="V18" s="120" t="s">
        <v>374</v>
      </c>
      <c r="W18" s="120" t="s">
        <v>414</v>
      </c>
      <c r="X18" s="120" t="s">
        <v>374</v>
      </c>
      <c r="Y18" s="120" t="s">
        <v>415</v>
      </c>
      <c r="Z18" s="120" t="s">
        <v>95</v>
      </c>
      <c r="AA18" s="120" t="s">
        <v>374</v>
      </c>
      <c r="AB18" s="120" t="s">
        <v>374</v>
      </c>
      <c r="AC18" s="120" t="s">
        <v>374</v>
      </c>
      <c r="AD18" s="120" t="s">
        <v>374</v>
      </c>
      <c r="AE18" s="120" t="s">
        <v>374</v>
      </c>
      <c r="AF18" s="120" t="s">
        <v>374</v>
      </c>
      <c r="AG18" s="120" t="s">
        <v>374</v>
      </c>
      <c r="AH18" s="120" t="s">
        <v>374</v>
      </c>
      <c r="AI18" s="120" t="s">
        <v>374</v>
      </c>
      <c r="AJ18" s="120" t="s">
        <v>374</v>
      </c>
      <c r="AK18" s="120" t="s">
        <v>374</v>
      </c>
      <c r="AL18" s="120" t="s">
        <v>374</v>
      </c>
      <c r="AM18" s="120" t="s">
        <v>374</v>
      </c>
      <c r="AN18" s="120" t="s">
        <v>374</v>
      </c>
      <c r="AO18" s="120" t="s">
        <v>374</v>
      </c>
      <c r="AP18" s="120" t="s">
        <v>374</v>
      </c>
      <c r="AQ18" s="120" t="s">
        <v>374</v>
      </c>
      <c r="AR18" s="120" t="s">
        <v>374</v>
      </c>
      <c r="AS18" s="120" t="s">
        <v>374</v>
      </c>
      <c r="AT18" s="120" t="s">
        <v>374</v>
      </c>
      <c r="AU18" s="120" t="s">
        <v>374</v>
      </c>
      <c r="AV18" s="120" t="s">
        <v>374</v>
      </c>
      <c r="AW18" s="120" t="s">
        <v>374</v>
      </c>
      <c r="AX18" s="120" t="s">
        <v>374</v>
      </c>
      <c r="AY18" s="120" t="s">
        <v>374</v>
      </c>
      <c r="AZ18" s="120" t="s">
        <v>374</v>
      </c>
      <c r="BA18" s="120" t="s">
        <v>374</v>
      </c>
      <c r="BB18" s="120" t="s">
        <v>374</v>
      </c>
      <c r="BC18" s="120" t="s">
        <v>374</v>
      </c>
      <c r="BD18" s="120" t="s">
        <v>374</v>
      </c>
      <c r="BE18" s="120" t="s">
        <v>374</v>
      </c>
      <c r="BF18" s="120" t="s">
        <v>374</v>
      </c>
      <c r="BG18" s="120" t="s">
        <v>374</v>
      </c>
      <c r="BH18" s="120" t="s">
        <v>374</v>
      </c>
      <c r="BI18" s="120" t="s">
        <v>374</v>
      </c>
      <c r="BJ18" s="120" t="s">
        <v>374</v>
      </c>
      <c r="BK18" s="120" t="s">
        <v>374</v>
      </c>
      <c r="BL18" s="120" t="s">
        <v>374</v>
      </c>
      <c r="BM18" s="120" t="s">
        <v>374</v>
      </c>
      <c r="BN18" s="120" t="s">
        <v>374</v>
      </c>
      <c r="BO18" s="120" t="s">
        <v>374</v>
      </c>
      <c r="BP18" s="120" t="s">
        <v>374</v>
      </c>
      <c r="BQ18" s="120" t="s">
        <v>374</v>
      </c>
      <c r="BR18" s="120" t="s">
        <v>374</v>
      </c>
      <c r="BS18" s="120" t="s">
        <v>374</v>
      </c>
      <c r="BT18" s="120" t="s">
        <v>374</v>
      </c>
      <c r="BU18" s="120" t="s">
        <v>374</v>
      </c>
      <c r="BV18" s="120" t="s">
        <v>374</v>
      </c>
      <c r="BW18" s="120" t="s">
        <v>374</v>
      </c>
      <c r="BX18" s="120" t="s">
        <v>374</v>
      </c>
      <c r="BY18" s="120" t="s">
        <v>374</v>
      </c>
      <c r="BZ18" s="120" t="s">
        <v>374</v>
      </c>
      <c r="CA18" s="120" t="s">
        <v>374</v>
      </c>
      <c r="CB18" s="120" t="s">
        <v>374</v>
      </c>
      <c r="CC18" s="120" t="s">
        <v>374</v>
      </c>
      <c r="CD18" s="120" t="s">
        <v>374</v>
      </c>
      <c r="CE18" s="120" t="s">
        <v>374</v>
      </c>
      <c r="CF18" s="120" t="s">
        <v>374</v>
      </c>
      <c r="CG18" s="120" t="s">
        <v>374</v>
      </c>
      <c r="CH18" s="120" t="s">
        <v>374</v>
      </c>
      <c r="CI18" s="120" t="s">
        <v>374</v>
      </c>
      <c r="CJ18" s="120" t="s">
        <v>374</v>
      </c>
      <c r="CK18" s="120" t="s">
        <v>374</v>
      </c>
      <c r="CL18" s="120" t="s">
        <v>374</v>
      </c>
      <c r="CM18" s="120" t="s">
        <v>374</v>
      </c>
      <c r="CN18" s="120" t="s">
        <v>374</v>
      </c>
      <c r="CO18" s="120" t="s">
        <v>374</v>
      </c>
      <c r="CP18" s="120" t="s">
        <v>374</v>
      </c>
      <c r="CQ18" s="120" t="s">
        <v>374</v>
      </c>
      <c r="CR18" s="120" t="s">
        <v>374</v>
      </c>
      <c r="CS18" s="120" t="s">
        <v>374</v>
      </c>
      <c r="CT18" s="120" t="s">
        <v>374</v>
      </c>
      <c r="CU18" s="120" t="s">
        <v>374</v>
      </c>
      <c r="CV18" s="120" t="s">
        <v>374</v>
      </c>
      <c r="CW18" s="120" t="s">
        <v>374</v>
      </c>
      <c r="CX18" s="120" t="s">
        <v>374</v>
      </c>
      <c r="CY18" s="120" t="s">
        <v>374</v>
      </c>
      <c r="CZ18" s="120" t="s">
        <v>374</v>
      </c>
      <c r="DA18" s="120" t="s">
        <v>374</v>
      </c>
      <c r="DB18" s="120" t="s">
        <v>374</v>
      </c>
      <c r="DC18" s="120" t="s">
        <v>374</v>
      </c>
    </row>
    <row r="19" spans="2:107" ht="30">
      <c r="B19" s="173"/>
      <c r="C19" s="173"/>
      <c r="D19" s="173"/>
      <c r="E19" s="173"/>
      <c r="F19" s="173"/>
      <c r="G19" s="173"/>
      <c r="H19" s="168"/>
      <c r="I19" s="168"/>
      <c r="J19" s="168"/>
      <c r="K19" s="168"/>
      <c r="L19" s="168"/>
      <c r="M19" s="168"/>
      <c r="N19" s="168"/>
      <c r="O19" s="120" t="s">
        <v>416</v>
      </c>
      <c r="P19" s="170" t="s">
        <v>379</v>
      </c>
      <c r="Q19" s="120" t="s">
        <v>388</v>
      </c>
      <c r="R19" s="120" t="s">
        <v>95</v>
      </c>
      <c r="S19" s="120" t="s">
        <v>382</v>
      </c>
      <c r="T19" s="120" t="s">
        <v>374</v>
      </c>
      <c r="U19" s="120" t="s">
        <v>416</v>
      </c>
      <c r="V19" s="120" t="s">
        <v>374</v>
      </c>
      <c r="W19" s="120" t="s">
        <v>417</v>
      </c>
      <c r="X19" s="120" t="s">
        <v>374</v>
      </c>
      <c r="Y19" s="120" t="s">
        <v>415</v>
      </c>
      <c r="Z19" s="120" t="s">
        <v>95</v>
      </c>
      <c r="AA19" s="120" t="s">
        <v>374</v>
      </c>
      <c r="AB19" s="120" t="s">
        <v>374</v>
      </c>
      <c r="AC19" s="120" t="s">
        <v>374</v>
      </c>
      <c r="AD19" s="120" t="s">
        <v>374</v>
      </c>
      <c r="AE19" s="120" t="s">
        <v>374</v>
      </c>
      <c r="AF19" s="120" t="s">
        <v>374</v>
      </c>
      <c r="AG19" s="120" t="s">
        <v>374</v>
      </c>
      <c r="AH19" s="120" t="s">
        <v>374</v>
      </c>
      <c r="AI19" s="120" t="s">
        <v>374</v>
      </c>
      <c r="AJ19" s="120" t="s">
        <v>374</v>
      </c>
      <c r="AK19" s="120" t="s">
        <v>374</v>
      </c>
      <c r="AL19" s="120" t="s">
        <v>374</v>
      </c>
      <c r="AM19" s="120" t="s">
        <v>374</v>
      </c>
      <c r="AN19" s="120" t="s">
        <v>374</v>
      </c>
      <c r="AO19" s="120" t="s">
        <v>374</v>
      </c>
      <c r="AP19" s="120" t="s">
        <v>374</v>
      </c>
      <c r="AQ19" s="120" t="s">
        <v>374</v>
      </c>
      <c r="AR19" s="120" t="s">
        <v>374</v>
      </c>
      <c r="AS19" s="120" t="s">
        <v>374</v>
      </c>
      <c r="AT19" s="120" t="s">
        <v>374</v>
      </c>
      <c r="AU19" s="120" t="s">
        <v>374</v>
      </c>
      <c r="AV19" s="120" t="s">
        <v>374</v>
      </c>
      <c r="AW19" s="120" t="s">
        <v>374</v>
      </c>
      <c r="AX19" s="120" t="s">
        <v>374</v>
      </c>
      <c r="AY19" s="120" t="s">
        <v>374</v>
      </c>
      <c r="AZ19" s="120" t="s">
        <v>374</v>
      </c>
      <c r="BA19" s="120" t="s">
        <v>374</v>
      </c>
      <c r="BB19" s="120" t="s">
        <v>374</v>
      </c>
      <c r="BC19" s="120" t="s">
        <v>374</v>
      </c>
      <c r="BD19" s="120" t="s">
        <v>374</v>
      </c>
      <c r="BE19" s="120" t="s">
        <v>374</v>
      </c>
      <c r="BF19" s="120" t="s">
        <v>374</v>
      </c>
      <c r="BG19" s="120" t="s">
        <v>374</v>
      </c>
      <c r="BH19" s="120" t="s">
        <v>374</v>
      </c>
      <c r="BI19" s="120" t="s">
        <v>374</v>
      </c>
      <c r="BJ19" s="120" t="s">
        <v>374</v>
      </c>
      <c r="BK19" s="120" t="s">
        <v>374</v>
      </c>
      <c r="BL19" s="120" t="s">
        <v>374</v>
      </c>
      <c r="BM19" s="120" t="s">
        <v>374</v>
      </c>
      <c r="BN19" s="120" t="s">
        <v>374</v>
      </c>
      <c r="BO19" s="120" t="s">
        <v>374</v>
      </c>
      <c r="BP19" s="120" t="s">
        <v>374</v>
      </c>
      <c r="BQ19" s="120" t="s">
        <v>374</v>
      </c>
      <c r="BR19" s="120" t="s">
        <v>374</v>
      </c>
      <c r="BS19" s="120" t="s">
        <v>374</v>
      </c>
      <c r="BT19" s="120" t="s">
        <v>374</v>
      </c>
      <c r="BU19" s="120" t="s">
        <v>374</v>
      </c>
      <c r="BV19" s="120" t="s">
        <v>374</v>
      </c>
      <c r="BW19" s="120" t="s">
        <v>374</v>
      </c>
      <c r="BX19" s="120" t="s">
        <v>374</v>
      </c>
      <c r="BY19" s="120" t="s">
        <v>374</v>
      </c>
      <c r="BZ19" s="120" t="s">
        <v>374</v>
      </c>
      <c r="CA19" s="120" t="s">
        <v>374</v>
      </c>
      <c r="CB19" s="120" t="s">
        <v>374</v>
      </c>
      <c r="CC19" s="120" t="s">
        <v>374</v>
      </c>
      <c r="CD19" s="120" t="s">
        <v>374</v>
      </c>
      <c r="CE19" s="120" t="s">
        <v>374</v>
      </c>
      <c r="CF19" s="120" t="s">
        <v>374</v>
      </c>
      <c r="CG19" s="120" t="s">
        <v>374</v>
      </c>
      <c r="CH19" s="120" t="s">
        <v>374</v>
      </c>
      <c r="CI19" s="120" t="s">
        <v>374</v>
      </c>
      <c r="CJ19" s="120" t="s">
        <v>374</v>
      </c>
      <c r="CK19" s="120" t="s">
        <v>374</v>
      </c>
      <c r="CL19" s="120" t="s">
        <v>374</v>
      </c>
      <c r="CM19" s="120" t="s">
        <v>374</v>
      </c>
      <c r="CN19" s="120" t="s">
        <v>374</v>
      </c>
      <c r="CO19" s="120" t="s">
        <v>374</v>
      </c>
      <c r="CP19" s="120" t="s">
        <v>374</v>
      </c>
      <c r="CQ19" s="120" t="s">
        <v>374</v>
      </c>
      <c r="CR19" s="120" t="s">
        <v>374</v>
      </c>
      <c r="CS19" s="120" t="s">
        <v>374</v>
      </c>
      <c r="CT19" s="120" t="s">
        <v>374</v>
      </c>
      <c r="CU19" s="120" t="s">
        <v>374</v>
      </c>
      <c r="CV19" s="120" t="s">
        <v>374</v>
      </c>
      <c r="CW19" s="120" t="s">
        <v>374</v>
      </c>
      <c r="CX19" s="120" t="s">
        <v>374</v>
      </c>
      <c r="CY19" s="120" t="s">
        <v>374</v>
      </c>
      <c r="CZ19" s="120" t="s">
        <v>374</v>
      </c>
      <c r="DA19" s="120" t="s">
        <v>374</v>
      </c>
      <c r="DB19" s="120" t="s">
        <v>374</v>
      </c>
      <c r="DC19" s="120" t="s">
        <v>374</v>
      </c>
    </row>
    <row r="20" spans="2:107" ht="30">
      <c r="B20" s="173"/>
      <c r="C20" s="173"/>
      <c r="D20" s="173"/>
      <c r="E20" s="173"/>
      <c r="F20" s="173"/>
      <c r="G20" s="173"/>
      <c r="H20" s="168"/>
      <c r="I20" s="168"/>
      <c r="J20" s="168"/>
      <c r="K20" s="168"/>
      <c r="L20" s="168"/>
      <c r="M20" s="168"/>
      <c r="N20" s="168"/>
      <c r="O20" s="120" t="s">
        <v>418</v>
      </c>
      <c r="P20" s="170" t="s">
        <v>379</v>
      </c>
      <c r="Q20" s="120" t="s">
        <v>388</v>
      </c>
      <c r="R20" s="120" t="s">
        <v>95</v>
      </c>
      <c r="S20" s="120" t="s">
        <v>382</v>
      </c>
      <c r="T20" s="120" t="s">
        <v>374</v>
      </c>
      <c r="U20" s="120" t="s">
        <v>418</v>
      </c>
      <c r="V20" s="120" t="s">
        <v>374</v>
      </c>
      <c r="W20" s="120" t="s">
        <v>419</v>
      </c>
      <c r="X20" s="120" t="s">
        <v>374</v>
      </c>
      <c r="Y20" s="120" t="s">
        <v>415</v>
      </c>
      <c r="Z20" s="120" t="s">
        <v>95</v>
      </c>
      <c r="AA20" s="120" t="s">
        <v>374</v>
      </c>
      <c r="AB20" s="120" t="s">
        <v>374</v>
      </c>
      <c r="AC20" s="120" t="s">
        <v>374</v>
      </c>
      <c r="AD20" s="120" t="s">
        <v>374</v>
      </c>
      <c r="AE20" s="120" t="s">
        <v>374</v>
      </c>
      <c r="AF20" s="120" t="s">
        <v>374</v>
      </c>
      <c r="AG20" s="120" t="s">
        <v>374</v>
      </c>
      <c r="AH20" s="120" t="s">
        <v>374</v>
      </c>
      <c r="AI20" s="120" t="s">
        <v>374</v>
      </c>
      <c r="AJ20" s="120" t="s">
        <v>374</v>
      </c>
      <c r="AK20" s="120" t="s">
        <v>374</v>
      </c>
      <c r="AL20" s="120" t="s">
        <v>374</v>
      </c>
      <c r="AM20" s="120" t="s">
        <v>374</v>
      </c>
      <c r="AN20" s="120" t="s">
        <v>374</v>
      </c>
      <c r="AO20" s="120" t="s">
        <v>374</v>
      </c>
      <c r="AP20" s="120" t="s">
        <v>374</v>
      </c>
      <c r="AQ20" s="120" t="s">
        <v>374</v>
      </c>
      <c r="AR20" s="120" t="s">
        <v>374</v>
      </c>
      <c r="AS20" s="120" t="s">
        <v>374</v>
      </c>
      <c r="AT20" s="120" t="s">
        <v>374</v>
      </c>
      <c r="AU20" s="120" t="s">
        <v>374</v>
      </c>
      <c r="AV20" s="120" t="s">
        <v>374</v>
      </c>
      <c r="AW20" s="120" t="s">
        <v>374</v>
      </c>
      <c r="AX20" s="120" t="s">
        <v>374</v>
      </c>
      <c r="AY20" s="120" t="s">
        <v>374</v>
      </c>
      <c r="AZ20" s="120" t="s">
        <v>374</v>
      </c>
      <c r="BA20" s="120" t="s">
        <v>374</v>
      </c>
      <c r="BB20" s="120" t="s">
        <v>374</v>
      </c>
      <c r="BC20" s="120" t="s">
        <v>374</v>
      </c>
      <c r="BD20" s="120" t="s">
        <v>374</v>
      </c>
      <c r="BE20" s="120" t="s">
        <v>374</v>
      </c>
      <c r="BF20" s="120" t="s">
        <v>374</v>
      </c>
      <c r="BG20" s="120" t="s">
        <v>374</v>
      </c>
      <c r="BH20" s="120" t="s">
        <v>374</v>
      </c>
      <c r="BI20" s="120" t="s">
        <v>374</v>
      </c>
      <c r="BJ20" s="120" t="s">
        <v>374</v>
      </c>
      <c r="BK20" s="120" t="s">
        <v>374</v>
      </c>
      <c r="BL20" s="120" t="s">
        <v>374</v>
      </c>
      <c r="BM20" s="120" t="s">
        <v>374</v>
      </c>
      <c r="BN20" s="120" t="s">
        <v>374</v>
      </c>
      <c r="BO20" s="120" t="s">
        <v>374</v>
      </c>
      <c r="BP20" s="120" t="s">
        <v>374</v>
      </c>
      <c r="BQ20" s="120" t="s">
        <v>374</v>
      </c>
      <c r="BR20" s="120" t="s">
        <v>374</v>
      </c>
      <c r="BS20" s="120" t="s">
        <v>374</v>
      </c>
      <c r="BT20" s="120" t="s">
        <v>374</v>
      </c>
      <c r="BU20" s="120" t="s">
        <v>374</v>
      </c>
      <c r="BV20" s="120" t="s">
        <v>374</v>
      </c>
      <c r="BW20" s="120" t="s">
        <v>374</v>
      </c>
      <c r="BX20" s="120" t="s">
        <v>374</v>
      </c>
      <c r="BY20" s="120" t="s">
        <v>374</v>
      </c>
      <c r="BZ20" s="120" t="s">
        <v>374</v>
      </c>
      <c r="CA20" s="120" t="s">
        <v>374</v>
      </c>
      <c r="CB20" s="120" t="s">
        <v>374</v>
      </c>
      <c r="CC20" s="120" t="s">
        <v>374</v>
      </c>
      <c r="CD20" s="120" t="s">
        <v>374</v>
      </c>
      <c r="CE20" s="120" t="s">
        <v>374</v>
      </c>
      <c r="CF20" s="120" t="s">
        <v>374</v>
      </c>
      <c r="CG20" s="120" t="s">
        <v>374</v>
      </c>
      <c r="CH20" s="120" t="s">
        <v>374</v>
      </c>
      <c r="CI20" s="120" t="s">
        <v>374</v>
      </c>
      <c r="CJ20" s="120" t="s">
        <v>374</v>
      </c>
      <c r="CK20" s="120" t="s">
        <v>374</v>
      </c>
      <c r="CL20" s="120" t="s">
        <v>374</v>
      </c>
      <c r="CM20" s="120" t="s">
        <v>374</v>
      </c>
      <c r="CN20" s="120" t="s">
        <v>374</v>
      </c>
      <c r="CO20" s="120" t="s">
        <v>374</v>
      </c>
      <c r="CP20" s="120" t="s">
        <v>374</v>
      </c>
      <c r="CQ20" s="120" t="s">
        <v>374</v>
      </c>
      <c r="CR20" s="120" t="s">
        <v>374</v>
      </c>
      <c r="CS20" s="120" t="s">
        <v>374</v>
      </c>
      <c r="CT20" s="120" t="s">
        <v>374</v>
      </c>
      <c r="CU20" s="120" t="s">
        <v>374</v>
      </c>
      <c r="CV20" s="120" t="s">
        <v>374</v>
      </c>
      <c r="CW20" s="120" t="s">
        <v>374</v>
      </c>
      <c r="CX20" s="120" t="s">
        <v>374</v>
      </c>
      <c r="CY20" s="120" t="s">
        <v>374</v>
      </c>
      <c r="CZ20" s="120" t="s">
        <v>374</v>
      </c>
      <c r="DA20" s="120" t="s">
        <v>374</v>
      </c>
      <c r="DB20" s="120" t="s">
        <v>374</v>
      </c>
      <c r="DC20" s="120" t="s">
        <v>374</v>
      </c>
    </row>
    <row r="21" spans="2:107" ht="30">
      <c r="B21" s="173"/>
      <c r="C21" s="173"/>
      <c r="D21" s="173"/>
      <c r="E21" s="173"/>
      <c r="F21" s="173"/>
      <c r="G21" s="173"/>
      <c r="H21" s="168"/>
      <c r="I21" s="168"/>
      <c r="J21" s="168"/>
      <c r="K21" s="168"/>
      <c r="L21" s="168"/>
      <c r="M21" s="168"/>
      <c r="N21" s="168"/>
      <c r="O21" s="120" t="s">
        <v>420</v>
      </c>
      <c r="P21" s="170" t="s">
        <v>379</v>
      </c>
      <c r="Q21" s="120" t="s">
        <v>388</v>
      </c>
      <c r="R21" s="120" t="s">
        <v>95</v>
      </c>
      <c r="S21" s="120" t="s">
        <v>382</v>
      </c>
      <c r="T21" s="120" t="s">
        <v>374</v>
      </c>
      <c r="U21" s="120" t="s">
        <v>420</v>
      </c>
      <c r="V21" s="120" t="s">
        <v>374</v>
      </c>
      <c r="W21" s="120" t="s">
        <v>421</v>
      </c>
      <c r="X21" s="120" t="s">
        <v>374</v>
      </c>
      <c r="Y21" s="120" t="s">
        <v>422</v>
      </c>
      <c r="Z21" s="120" t="s">
        <v>95</v>
      </c>
      <c r="AA21" s="120" t="s">
        <v>374</v>
      </c>
      <c r="AB21" s="120" t="s">
        <v>374</v>
      </c>
      <c r="AC21" s="120" t="s">
        <v>374</v>
      </c>
      <c r="AD21" s="120" t="s">
        <v>374</v>
      </c>
      <c r="AE21" s="120" t="s">
        <v>374</v>
      </c>
      <c r="AF21" s="120" t="s">
        <v>374</v>
      </c>
      <c r="AG21" s="120" t="s">
        <v>374</v>
      </c>
      <c r="AH21" s="120" t="s">
        <v>374</v>
      </c>
      <c r="AI21" s="120" t="s">
        <v>374</v>
      </c>
      <c r="AJ21" s="120" t="s">
        <v>374</v>
      </c>
      <c r="AK21" s="120" t="s">
        <v>374</v>
      </c>
      <c r="AL21" s="120" t="s">
        <v>374</v>
      </c>
      <c r="AM21" s="120" t="s">
        <v>374</v>
      </c>
      <c r="AN21" s="120" t="s">
        <v>374</v>
      </c>
      <c r="AO21" s="120" t="s">
        <v>374</v>
      </c>
      <c r="AP21" s="120" t="s">
        <v>374</v>
      </c>
      <c r="AQ21" s="120" t="s">
        <v>374</v>
      </c>
      <c r="AR21" s="120" t="s">
        <v>374</v>
      </c>
      <c r="AS21" s="120" t="s">
        <v>374</v>
      </c>
      <c r="AT21" s="120" t="s">
        <v>374</v>
      </c>
      <c r="AU21" s="120" t="s">
        <v>374</v>
      </c>
      <c r="AV21" s="120" t="s">
        <v>374</v>
      </c>
      <c r="AW21" s="120" t="s">
        <v>374</v>
      </c>
      <c r="AX21" s="120" t="s">
        <v>374</v>
      </c>
      <c r="AY21" s="120" t="s">
        <v>374</v>
      </c>
      <c r="AZ21" s="120" t="s">
        <v>374</v>
      </c>
      <c r="BA21" s="120" t="s">
        <v>374</v>
      </c>
      <c r="BB21" s="120" t="s">
        <v>374</v>
      </c>
      <c r="BC21" s="120" t="s">
        <v>374</v>
      </c>
      <c r="BD21" s="120" t="s">
        <v>374</v>
      </c>
      <c r="BE21" s="120" t="s">
        <v>374</v>
      </c>
      <c r="BF21" s="120" t="s">
        <v>374</v>
      </c>
      <c r="BG21" s="120" t="s">
        <v>374</v>
      </c>
      <c r="BH21" s="120" t="s">
        <v>374</v>
      </c>
      <c r="BI21" s="120" t="s">
        <v>374</v>
      </c>
      <c r="BJ21" s="120" t="s">
        <v>374</v>
      </c>
      <c r="BK21" s="120" t="s">
        <v>374</v>
      </c>
      <c r="BL21" s="120" t="s">
        <v>374</v>
      </c>
      <c r="BM21" s="120" t="s">
        <v>374</v>
      </c>
      <c r="BN21" s="120" t="s">
        <v>374</v>
      </c>
      <c r="BO21" s="120" t="s">
        <v>374</v>
      </c>
      <c r="BP21" s="120" t="s">
        <v>374</v>
      </c>
      <c r="BQ21" s="120" t="s">
        <v>374</v>
      </c>
      <c r="BR21" s="120" t="s">
        <v>374</v>
      </c>
      <c r="BS21" s="120" t="s">
        <v>374</v>
      </c>
      <c r="BT21" s="120" t="s">
        <v>374</v>
      </c>
      <c r="BU21" s="120" t="s">
        <v>374</v>
      </c>
      <c r="BV21" s="120" t="s">
        <v>374</v>
      </c>
      <c r="BW21" s="120" t="s">
        <v>374</v>
      </c>
      <c r="BX21" s="120" t="s">
        <v>374</v>
      </c>
      <c r="BY21" s="120" t="s">
        <v>374</v>
      </c>
      <c r="BZ21" s="120" t="s">
        <v>374</v>
      </c>
      <c r="CA21" s="120" t="s">
        <v>374</v>
      </c>
      <c r="CB21" s="120" t="s">
        <v>374</v>
      </c>
      <c r="CC21" s="120" t="s">
        <v>374</v>
      </c>
      <c r="CD21" s="120" t="s">
        <v>374</v>
      </c>
      <c r="CE21" s="120" t="s">
        <v>374</v>
      </c>
      <c r="CF21" s="120" t="s">
        <v>374</v>
      </c>
      <c r="CG21" s="120" t="s">
        <v>374</v>
      </c>
      <c r="CH21" s="120" t="s">
        <v>374</v>
      </c>
      <c r="CI21" s="120" t="s">
        <v>374</v>
      </c>
      <c r="CJ21" s="120" t="s">
        <v>374</v>
      </c>
      <c r="CK21" s="120" t="s">
        <v>374</v>
      </c>
      <c r="CL21" s="120" t="s">
        <v>374</v>
      </c>
      <c r="CM21" s="120" t="s">
        <v>374</v>
      </c>
      <c r="CN21" s="120" t="s">
        <v>374</v>
      </c>
      <c r="CO21" s="120" t="s">
        <v>374</v>
      </c>
      <c r="CP21" s="120" t="s">
        <v>374</v>
      </c>
      <c r="CQ21" s="120" t="s">
        <v>374</v>
      </c>
      <c r="CR21" s="120" t="s">
        <v>374</v>
      </c>
      <c r="CS21" s="120" t="s">
        <v>374</v>
      </c>
      <c r="CT21" s="120" t="s">
        <v>374</v>
      </c>
      <c r="CU21" s="120" t="s">
        <v>374</v>
      </c>
      <c r="CV21" s="120" t="s">
        <v>374</v>
      </c>
      <c r="CW21" s="120" t="s">
        <v>374</v>
      </c>
      <c r="CX21" s="120" t="s">
        <v>374</v>
      </c>
      <c r="CY21" s="120" t="s">
        <v>374</v>
      </c>
      <c r="CZ21" s="120" t="s">
        <v>374</v>
      </c>
      <c r="DA21" s="120" t="s">
        <v>374</v>
      </c>
      <c r="DB21" s="120" t="s">
        <v>374</v>
      </c>
      <c r="DC21" s="120" t="s">
        <v>374</v>
      </c>
    </row>
    <row r="22" spans="2:107" ht="30">
      <c r="B22" s="173"/>
      <c r="C22" s="173"/>
      <c r="D22" s="173"/>
      <c r="E22" s="173"/>
      <c r="F22" s="173"/>
      <c r="G22" s="173"/>
      <c r="H22" s="168"/>
      <c r="I22" s="168"/>
      <c r="J22" s="168"/>
      <c r="K22" s="168"/>
      <c r="L22" s="168"/>
      <c r="M22" s="168"/>
      <c r="N22" s="168"/>
      <c r="O22" s="120" t="s">
        <v>423</v>
      </c>
      <c r="P22" s="170" t="s">
        <v>379</v>
      </c>
      <c r="Q22" s="120" t="s">
        <v>388</v>
      </c>
      <c r="R22" s="120" t="s">
        <v>95</v>
      </c>
      <c r="S22" s="120" t="s">
        <v>382</v>
      </c>
      <c r="T22" s="120" t="s">
        <v>374</v>
      </c>
      <c r="U22" s="120" t="s">
        <v>423</v>
      </c>
      <c r="V22" s="120" t="s">
        <v>374</v>
      </c>
      <c r="W22" s="120" t="s">
        <v>385</v>
      </c>
      <c r="X22" s="120" t="s">
        <v>374</v>
      </c>
      <c r="Y22" s="120" t="s">
        <v>422</v>
      </c>
      <c r="Z22" s="120" t="s">
        <v>95</v>
      </c>
      <c r="AA22" s="120" t="s">
        <v>374</v>
      </c>
      <c r="AB22" s="120" t="s">
        <v>374</v>
      </c>
      <c r="AC22" s="120" t="s">
        <v>374</v>
      </c>
      <c r="AD22" s="120" t="s">
        <v>374</v>
      </c>
      <c r="AE22" s="120" t="s">
        <v>374</v>
      </c>
      <c r="AF22" s="120" t="s">
        <v>374</v>
      </c>
      <c r="AG22" s="120" t="s">
        <v>374</v>
      </c>
      <c r="AH22" s="120" t="s">
        <v>374</v>
      </c>
      <c r="AI22" s="120" t="s">
        <v>374</v>
      </c>
      <c r="AJ22" s="120" t="s">
        <v>374</v>
      </c>
      <c r="AK22" s="120" t="s">
        <v>374</v>
      </c>
      <c r="AL22" s="120" t="s">
        <v>374</v>
      </c>
      <c r="AM22" s="120" t="s">
        <v>374</v>
      </c>
      <c r="AN22" s="120" t="s">
        <v>374</v>
      </c>
      <c r="AO22" s="120" t="s">
        <v>374</v>
      </c>
      <c r="AP22" s="120" t="s">
        <v>374</v>
      </c>
      <c r="AQ22" s="120" t="s">
        <v>374</v>
      </c>
      <c r="AR22" s="120" t="s">
        <v>374</v>
      </c>
      <c r="AS22" s="120" t="s">
        <v>374</v>
      </c>
      <c r="AT22" s="120" t="s">
        <v>374</v>
      </c>
      <c r="AU22" s="120" t="s">
        <v>374</v>
      </c>
      <c r="AV22" s="120" t="s">
        <v>374</v>
      </c>
      <c r="AW22" s="120" t="s">
        <v>374</v>
      </c>
      <c r="AX22" s="120" t="s">
        <v>374</v>
      </c>
      <c r="AY22" s="120" t="s">
        <v>374</v>
      </c>
      <c r="AZ22" s="120" t="s">
        <v>374</v>
      </c>
      <c r="BA22" s="120" t="s">
        <v>374</v>
      </c>
      <c r="BB22" s="120" t="s">
        <v>374</v>
      </c>
      <c r="BC22" s="120" t="s">
        <v>374</v>
      </c>
      <c r="BD22" s="120" t="s">
        <v>374</v>
      </c>
      <c r="BE22" s="120" t="s">
        <v>374</v>
      </c>
      <c r="BF22" s="120" t="s">
        <v>374</v>
      </c>
      <c r="BG22" s="120" t="s">
        <v>374</v>
      </c>
      <c r="BH22" s="120" t="s">
        <v>374</v>
      </c>
      <c r="BI22" s="120" t="s">
        <v>374</v>
      </c>
      <c r="BJ22" s="120" t="s">
        <v>374</v>
      </c>
      <c r="BK22" s="120" t="s">
        <v>374</v>
      </c>
      <c r="BL22" s="120" t="s">
        <v>374</v>
      </c>
      <c r="BM22" s="120" t="s">
        <v>374</v>
      </c>
      <c r="BN22" s="120" t="s">
        <v>374</v>
      </c>
      <c r="BO22" s="120" t="s">
        <v>374</v>
      </c>
      <c r="BP22" s="120" t="s">
        <v>374</v>
      </c>
      <c r="BQ22" s="120" t="s">
        <v>374</v>
      </c>
      <c r="BR22" s="120" t="s">
        <v>374</v>
      </c>
      <c r="BS22" s="120" t="s">
        <v>374</v>
      </c>
      <c r="BT22" s="120" t="s">
        <v>374</v>
      </c>
      <c r="BU22" s="120" t="s">
        <v>374</v>
      </c>
      <c r="BV22" s="120" t="s">
        <v>374</v>
      </c>
      <c r="BW22" s="120" t="s">
        <v>374</v>
      </c>
      <c r="BX22" s="120" t="s">
        <v>374</v>
      </c>
      <c r="BY22" s="120" t="s">
        <v>374</v>
      </c>
      <c r="BZ22" s="120" t="s">
        <v>374</v>
      </c>
      <c r="CA22" s="120" t="s">
        <v>374</v>
      </c>
      <c r="CB22" s="120" t="s">
        <v>374</v>
      </c>
      <c r="CC22" s="120" t="s">
        <v>374</v>
      </c>
      <c r="CD22" s="120" t="s">
        <v>374</v>
      </c>
      <c r="CE22" s="120" t="s">
        <v>374</v>
      </c>
      <c r="CF22" s="120" t="s">
        <v>374</v>
      </c>
      <c r="CG22" s="120" t="s">
        <v>374</v>
      </c>
      <c r="CH22" s="120" t="s">
        <v>374</v>
      </c>
      <c r="CI22" s="120" t="s">
        <v>374</v>
      </c>
      <c r="CJ22" s="120" t="s">
        <v>374</v>
      </c>
      <c r="CK22" s="120" t="s">
        <v>374</v>
      </c>
      <c r="CL22" s="120" t="s">
        <v>374</v>
      </c>
      <c r="CM22" s="120" t="s">
        <v>374</v>
      </c>
      <c r="CN22" s="120" t="s">
        <v>374</v>
      </c>
      <c r="CO22" s="120" t="s">
        <v>374</v>
      </c>
      <c r="CP22" s="120" t="s">
        <v>374</v>
      </c>
      <c r="CQ22" s="120" t="s">
        <v>374</v>
      </c>
      <c r="CR22" s="120" t="s">
        <v>374</v>
      </c>
      <c r="CS22" s="120" t="s">
        <v>374</v>
      </c>
      <c r="CT22" s="120" t="s">
        <v>374</v>
      </c>
      <c r="CU22" s="120" t="s">
        <v>374</v>
      </c>
      <c r="CV22" s="120" t="s">
        <v>374</v>
      </c>
      <c r="CW22" s="120" t="s">
        <v>374</v>
      </c>
      <c r="CX22" s="120" t="s">
        <v>374</v>
      </c>
      <c r="CY22" s="120" t="s">
        <v>374</v>
      </c>
      <c r="CZ22" s="120" t="s">
        <v>374</v>
      </c>
      <c r="DA22" s="120" t="s">
        <v>374</v>
      </c>
      <c r="DB22" s="120" t="s">
        <v>374</v>
      </c>
      <c r="DC22" s="120" t="s">
        <v>374</v>
      </c>
    </row>
    <row r="23" spans="2:107" ht="30">
      <c r="B23" s="173"/>
      <c r="C23" s="173"/>
      <c r="D23" s="173"/>
      <c r="E23" s="173"/>
      <c r="F23" s="173"/>
      <c r="G23" s="173"/>
      <c r="H23" s="168"/>
      <c r="I23" s="168"/>
      <c r="J23" s="168"/>
      <c r="K23" s="168"/>
      <c r="L23" s="168"/>
      <c r="M23" s="168"/>
      <c r="N23" s="168"/>
      <c r="O23" s="120" t="s">
        <v>424</v>
      </c>
      <c r="P23" s="170" t="s">
        <v>379</v>
      </c>
      <c r="Q23" s="120" t="s">
        <v>388</v>
      </c>
      <c r="R23" s="120" t="s">
        <v>95</v>
      </c>
      <c r="S23" s="120" t="s">
        <v>382</v>
      </c>
      <c r="T23" s="120" t="s">
        <v>374</v>
      </c>
      <c r="U23" s="120" t="s">
        <v>424</v>
      </c>
      <c r="V23" s="120" t="s">
        <v>374</v>
      </c>
      <c r="W23" s="120" t="s">
        <v>425</v>
      </c>
      <c r="X23" s="120" t="s">
        <v>374</v>
      </c>
      <c r="Y23" s="120" t="s">
        <v>426</v>
      </c>
      <c r="Z23" s="120" t="s">
        <v>95</v>
      </c>
      <c r="AA23" s="120" t="s">
        <v>374</v>
      </c>
      <c r="AB23" s="120" t="s">
        <v>374</v>
      </c>
      <c r="AC23" s="120" t="s">
        <v>374</v>
      </c>
      <c r="AD23" s="120" t="s">
        <v>374</v>
      </c>
      <c r="AE23" s="120" t="s">
        <v>374</v>
      </c>
      <c r="AF23" s="120" t="s">
        <v>374</v>
      </c>
      <c r="AG23" s="120" t="s">
        <v>374</v>
      </c>
      <c r="AH23" s="120" t="s">
        <v>374</v>
      </c>
      <c r="AI23" s="120" t="s">
        <v>374</v>
      </c>
      <c r="AJ23" s="120" t="s">
        <v>374</v>
      </c>
      <c r="AK23" s="120" t="s">
        <v>374</v>
      </c>
      <c r="AL23" s="120" t="s">
        <v>374</v>
      </c>
      <c r="AM23" s="120" t="s">
        <v>374</v>
      </c>
      <c r="AN23" s="120" t="s">
        <v>374</v>
      </c>
      <c r="AO23" s="120" t="s">
        <v>374</v>
      </c>
      <c r="AP23" s="120" t="s">
        <v>374</v>
      </c>
      <c r="AQ23" s="120" t="s">
        <v>374</v>
      </c>
      <c r="AR23" s="120" t="s">
        <v>374</v>
      </c>
      <c r="AS23" s="120" t="s">
        <v>374</v>
      </c>
      <c r="AT23" s="120" t="s">
        <v>374</v>
      </c>
      <c r="AU23" s="120" t="s">
        <v>374</v>
      </c>
      <c r="AV23" s="120" t="s">
        <v>374</v>
      </c>
      <c r="AW23" s="120" t="s">
        <v>374</v>
      </c>
      <c r="AX23" s="120" t="s">
        <v>374</v>
      </c>
      <c r="AY23" s="120" t="s">
        <v>374</v>
      </c>
      <c r="AZ23" s="120" t="s">
        <v>374</v>
      </c>
      <c r="BA23" s="120" t="s">
        <v>374</v>
      </c>
      <c r="BB23" s="120" t="s">
        <v>374</v>
      </c>
      <c r="BC23" s="120" t="s">
        <v>374</v>
      </c>
      <c r="BD23" s="120" t="s">
        <v>374</v>
      </c>
      <c r="BE23" s="120" t="s">
        <v>374</v>
      </c>
      <c r="BF23" s="120" t="s">
        <v>374</v>
      </c>
      <c r="BG23" s="120" t="s">
        <v>374</v>
      </c>
      <c r="BH23" s="120" t="s">
        <v>374</v>
      </c>
      <c r="BI23" s="120" t="s">
        <v>374</v>
      </c>
      <c r="BJ23" s="120" t="s">
        <v>374</v>
      </c>
      <c r="BK23" s="120" t="s">
        <v>374</v>
      </c>
      <c r="BL23" s="120" t="s">
        <v>374</v>
      </c>
      <c r="BM23" s="120" t="s">
        <v>374</v>
      </c>
      <c r="BN23" s="120" t="s">
        <v>374</v>
      </c>
      <c r="BO23" s="120" t="s">
        <v>374</v>
      </c>
      <c r="BP23" s="120" t="s">
        <v>374</v>
      </c>
      <c r="BQ23" s="120" t="s">
        <v>374</v>
      </c>
      <c r="BR23" s="120" t="s">
        <v>374</v>
      </c>
      <c r="BS23" s="120" t="s">
        <v>374</v>
      </c>
      <c r="BT23" s="120" t="s">
        <v>374</v>
      </c>
      <c r="BU23" s="120" t="s">
        <v>374</v>
      </c>
      <c r="BV23" s="120" t="s">
        <v>374</v>
      </c>
      <c r="BW23" s="120" t="s">
        <v>374</v>
      </c>
      <c r="BX23" s="120" t="s">
        <v>374</v>
      </c>
      <c r="BY23" s="120" t="s">
        <v>374</v>
      </c>
      <c r="BZ23" s="120" t="s">
        <v>374</v>
      </c>
      <c r="CA23" s="120" t="s">
        <v>374</v>
      </c>
      <c r="CB23" s="120" t="s">
        <v>374</v>
      </c>
      <c r="CC23" s="120" t="s">
        <v>374</v>
      </c>
      <c r="CD23" s="120" t="s">
        <v>374</v>
      </c>
      <c r="CE23" s="120" t="s">
        <v>374</v>
      </c>
      <c r="CF23" s="120" t="s">
        <v>374</v>
      </c>
      <c r="CG23" s="120" t="s">
        <v>374</v>
      </c>
      <c r="CH23" s="120" t="s">
        <v>374</v>
      </c>
      <c r="CI23" s="120" t="s">
        <v>374</v>
      </c>
      <c r="CJ23" s="120" t="s">
        <v>374</v>
      </c>
      <c r="CK23" s="120" t="s">
        <v>374</v>
      </c>
      <c r="CL23" s="120" t="s">
        <v>374</v>
      </c>
      <c r="CM23" s="120" t="s">
        <v>374</v>
      </c>
      <c r="CN23" s="120" t="s">
        <v>374</v>
      </c>
      <c r="CO23" s="120" t="s">
        <v>374</v>
      </c>
      <c r="CP23" s="120" t="s">
        <v>374</v>
      </c>
      <c r="CQ23" s="120" t="s">
        <v>374</v>
      </c>
      <c r="CR23" s="120" t="s">
        <v>374</v>
      </c>
      <c r="CS23" s="120" t="s">
        <v>374</v>
      </c>
      <c r="CT23" s="120" t="s">
        <v>374</v>
      </c>
      <c r="CU23" s="120" t="s">
        <v>374</v>
      </c>
      <c r="CV23" s="120" t="s">
        <v>374</v>
      </c>
      <c r="CW23" s="120" t="s">
        <v>374</v>
      </c>
      <c r="CX23" s="120" t="s">
        <v>374</v>
      </c>
      <c r="CY23" s="120" t="s">
        <v>374</v>
      </c>
      <c r="CZ23" s="120" t="s">
        <v>374</v>
      </c>
      <c r="DA23" s="120" t="s">
        <v>374</v>
      </c>
      <c r="DB23" s="120" t="s">
        <v>374</v>
      </c>
      <c r="DC23" s="120" t="s">
        <v>374</v>
      </c>
    </row>
    <row r="24" spans="2:107" ht="30">
      <c r="B24" s="173"/>
      <c r="C24" s="173"/>
      <c r="D24" s="173"/>
      <c r="E24" s="173"/>
      <c r="F24" s="173"/>
      <c r="G24" s="173"/>
      <c r="H24" s="168"/>
      <c r="I24" s="168"/>
      <c r="J24" s="168"/>
      <c r="K24" s="168"/>
      <c r="L24" s="168"/>
      <c r="M24" s="168"/>
      <c r="N24" s="168"/>
      <c r="O24" s="120" t="s">
        <v>427</v>
      </c>
      <c r="P24" s="170" t="s">
        <v>379</v>
      </c>
      <c r="Q24" s="120" t="s">
        <v>388</v>
      </c>
      <c r="R24" s="120" t="s">
        <v>95</v>
      </c>
      <c r="S24" s="120" t="s">
        <v>382</v>
      </c>
      <c r="T24" s="120" t="s">
        <v>374</v>
      </c>
      <c r="U24" s="120" t="s">
        <v>427</v>
      </c>
      <c r="V24" s="120" t="s">
        <v>374</v>
      </c>
      <c r="W24" s="120" t="s">
        <v>428</v>
      </c>
      <c r="X24" s="120" t="s">
        <v>374</v>
      </c>
      <c r="Y24" s="120" t="s">
        <v>429</v>
      </c>
      <c r="Z24" s="120" t="s">
        <v>95</v>
      </c>
      <c r="AA24" s="120" t="s">
        <v>374</v>
      </c>
      <c r="AB24" s="120" t="s">
        <v>374</v>
      </c>
      <c r="AC24" s="120" t="s">
        <v>374</v>
      </c>
      <c r="AD24" s="120" t="s">
        <v>374</v>
      </c>
      <c r="AE24" s="120" t="s">
        <v>374</v>
      </c>
      <c r="AF24" s="120" t="s">
        <v>374</v>
      </c>
      <c r="AG24" s="120" t="s">
        <v>374</v>
      </c>
      <c r="AH24" s="120" t="s">
        <v>374</v>
      </c>
      <c r="AI24" s="120" t="s">
        <v>374</v>
      </c>
      <c r="AJ24" s="120" t="s">
        <v>374</v>
      </c>
      <c r="AK24" s="120" t="s">
        <v>374</v>
      </c>
      <c r="AL24" s="120" t="s">
        <v>374</v>
      </c>
      <c r="AM24" s="120" t="s">
        <v>374</v>
      </c>
      <c r="AN24" s="120" t="s">
        <v>374</v>
      </c>
      <c r="AO24" s="120" t="s">
        <v>374</v>
      </c>
      <c r="AP24" s="120" t="s">
        <v>374</v>
      </c>
      <c r="AQ24" s="120" t="s">
        <v>374</v>
      </c>
      <c r="AR24" s="120" t="s">
        <v>374</v>
      </c>
      <c r="AS24" s="120" t="s">
        <v>374</v>
      </c>
      <c r="AT24" s="120" t="s">
        <v>374</v>
      </c>
      <c r="AU24" s="120" t="s">
        <v>374</v>
      </c>
      <c r="AV24" s="120" t="s">
        <v>374</v>
      </c>
      <c r="AW24" s="120" t="s">
        <v>374</v>
      </c>
      <c r="AX24" s="120" t="s">
        <v>374</v>
      </c>
      <c r="AY24" s="120" t="s">
        <v>374</v>
      </c>
      <c r="AZ24" s="120" t="s">
        <v>374</v>
      </c>
      <c r="BA24" s="120" t="s">
        <v>374</v>
      </c>
      <c r="BB24" s="120" t="s">
        <v>374</v>
      </c>
      <c r="BC24" s="120" t="s">
        <v>374</v>
      </c>
      <c r="BD24" s="120" t="s">
        <v>374</v>
      </c>
      <c r="BE24" s="120" t="s">
        <v>374</v>
      </c>
      <c r="BF24" s="120" t="s">
        <v>374</v>
      </c>
      <c r="BG24" s="120" t="s">
        <v>374</v>
      </c>
      <c r="BH24" s="120" t="s">
        <v>374</v>
      </c>
      <c r="BI24" s="120" t="s">
        <v>374</v>
      </c>
      <c r="BJ24" s="120" t="s">
        <v>374</v>
      </c>
      <c r="BK24" s="120" t="s">
        <v>374</v>
      </c>
      <c r="BL24" s="120" t="s">
        <v>374</v>
      </c>
      <c r="BM24" s="120" t="s">
        <v>374</v>
      </c>
      <c r="BN24" s="120" t="s">
        <v>374</v>
      </c>
      <c r="BO24" s="120" t="s">
        <v>374</v>
      </c>
      <c r="BP24" s="120" t="s">
        <v>374</v>
      </c>
      <c r="BQ24" s="120" t="s">
        <v>374</v>
      </c>
      <c r="BR24" s="120" t="s">
        <v>374</v>
      </c>
      <c r="BS24" s="120" t="s">
        <v>374</v>
      </c>
      <c r="BT24" s="120" t="s">
        <v>374</v>
      </c>
      <c r="BU24" s="120" t="s">
        <v>374</v>
      </c>
      <c r="BV24" s="120" t="s">
        <v>374</v>
      </c>
      <c r="BW24" s="120" t="s">
        <v>374</v>
      </c>
      <c r="BX24" s="120" t="s">
        <v>374</v>
      </c>
      <c r="BY24" s="120" t="s">
        <v>374</v>
      </c>
      <c r="BZ24" s="120" t="s">
        <v>374</v>
      </c>
      <c r="CA24" s="120" t="s">
        <v>374</v>
      </c>
      <c r="CB24" s="120" t="s">
        <v>374</v>
      </c>
      <c r="CC24" s="120" t="s">
        <v>374</v>
      </c>
      <c r="CD24" s="120" t="s">
        <v>374</v>
      </c>
      <c r="CE24" s="120" t="s">
        <v>374</v>
      </c>
      <c r="CF24" s="120" t="s">
        <v>374</v>
      </c>
      <c r="CG24" s="120" t="s">
        <v>374</v>
      </c>
      <c r="CH24" s="120" t="s">
        <v>374</v>
      </c>
      <c r="CI24" s="120" t="s">
        <v>374</v>
      </c>
      <c r="CJ24" s="120" t="s">
        <v>374</v>
      </c>
      <c r="CK24" s="120" t="s">
        <v>374</v>
      </c>
      <c r="CL24" s="120" t="s">
        <v>374</v>
      </c>
      <c r="CM24" s="120" t="s">
        <v>374</v>
      </c>
      <c r="CN24" s="120" t="s">
        <v>374</v>
      </c>
      <c r="CO24" s="120" t="s">
        <v>374</v>
      </c>
      <c r="CP24" s="120" t="s">
        <v>374</v>
      </c>
      <c r="CQ24" s="120" t="s">
        <v>374</v>
      </c>
      <c r="CR24" s="120" t="s">
        <v>374</v>
      </c>
      <c r="CS24" s="120" t="s">
        <v>374</v>
      </c>
      <c r="CT24" s="120" t="s">
        <v>374</v>
      </c>
      <c r="CU24" s="120" t="s">
        <v>374</v>
      </c>
      <c r="CV24" s="120" t="s">
        <v>374</v>
      </c>
      <c r="CW24" s="120" t="s">
        <v>374</v>
      </c>
      <c r="CX24" s="120" t="s">
        <v>374</v>
      </c>
      <c r="CY24" s="120" t="s">
        <v>374</v>
      </c>
      <c r="CZ24" s="120" t="s">
        <v>374</v>
      </c>
      <c r="DA24" s="120" t="s">
        <v>374</v>
      </c>
      <c r="DB24" s="120" t="s">
        <v>374</v>
      </c>
      <c r="DC24" s="120" t="s">
        <v>374</v>
      </c>
    </row>
    <row r="25" spans="2:107" ht="30">
      <c r="B25" s="172"/>
      <c r="C25" s="172"/>
      <c r="D25" s="172"/>
      <c r="E25" s="172"/>
      <c r="F25" s="172"/>
      <c r="G25" s="172"/>
      <c r="H25" s="169"/>
      <c r="I25" s="169"/>
      <c r="J25" s="169"/>
      <c r="K25" s="169"/>
      <c r="L25" s="169"/>
      <c r="M25" s="169"/>
      <c r="N25" s="169"/>
      <c r="O25" s="120" t="s">
        <v>430</v>
      </c>
      <c r="P25" s="187" t="s">
        <v>379</v>
      </c>
      <c r="Q25" s="120" t="s">
        <v>388</v>
      </c>
      <c r="R25" s="120" t="s">
        <v>95</v>
      </c>
      <c r="S25" s="120" t="s">
        <v>382</v>
      </c>
      <c r="T25" s="120" t="s">
        <v>374</v>
      </c>
      <c r="U25" s="120" t="s">
        <v>430</v>
      </c>
      <c r="V25" s="120" t="s">
        <v>374</v>
      </c>
      <c r="W25" s="120" t="s">
        <v>431</v>
      </c>
      <c r="X25" s="120" t="s">
        <v>374</v>
      </c>
      <c r="Y25" s="120" t="s">
        <v>432</v>
      </c>
      <c r="Z25" s="120" t="s">
        <v>95</v>
      </c>
      <c r="AA25" s="120" t="s">
        <v>374</v>
      </c>
      <c r="AB25" s="120" t="s">
        <v>374</v>
      </c>
      <c r="AC25" s="120" t="s">
        <v>374</v>
      </c>
      <c r="AD25" s="120" t="s">
        <v>374</v>
      </c>
      <c r="AE25" s="120" t="s">
        <v>374</v>
      </c>
      <c r="AF25" s="120" t="s">
        <v>374</v>
      </c>
      <c r="AG25" s="120" t="s">
        <v>374</v>
      </c>
      <c r="AH25" s="120" t="s">
        <v>374</v>
      </c>
      <c r="AI25" s="120" t="s">
        <v>374</v>
      </c>
      <c r="AJ25" s="120" t="s">
        <v>374</v>
      </c>
      <c r="AK25" s="120" t="s">
        <v>374</v>
      </c>
      <c r="AL25" s="120" t="s">
        <v>374</v>
      </c>
      <c r="AM25" s="120" t="s">
        <v>374</v>
      </c>
      <c r="AN25" s="120" t="s">
        <v>374</v>
      </c>
      <c r="AO25" s="120" t="s">
        <v>374</v>
      </c>
      <c r="AP25" s="120" t="s">
        <v>374</v>
      </c>
      <c r="AQ25" s="120" t="s">
        <v>374</v>
      </c>
      <c r="AR25" s="120" t="s">
        <v>374</v>
      </c>
      <c r="AS25" s="120" t="s">
        <v>374</v>
      </c>
      <c r="AT25" s="120" t="s">
        <v>374</v>
      </c>
      <c r="AU25" s="120" t="s">
        <v>374</v>
      </c>
      <c r="AV25" s="120" t="s">
        <v>374</v>
      </c>
      <c r="AW25" s="120" t="s">
        <v>374</v>
      </c>
      <c r="AX25" s="120" t="s">
        <v>374</v>
      </c>
      <c r="AY25" s="120" t="s">
        <v>374</v>
      </c>
      <c r="AZ25" s="120" t="s">
        <v>374</v>
      </c>
      <c r="BA25" s="120" t="s">
        <v>374</v>
      </c>
      <c r="BB25" s="120" t="s">
        <v>374</v>
      </c>
      <c r="BC25" s="120" t="s">
        <v>374</v>
      </c>
      <c r="BD25" s="120" t="s">
        <v>374</v>
      </c>
      <c r="BE25" s="120" t="s">
        <v>374</v>
      </c>
      <c r="BF25" s="120" t="s">
        <v>374</v>
      </c>
      <c r="BG25" s="120" t="s">
        <v>374</v>
      </c>
      <c r="BH25" s="120" t="s">
        <v>374</v>
      </c>
      <c r="BI25" s="120" t="s">
        <v>374</v>
      </c>
      <c r="BJ25" s="120" t="s">
        <v>374</v>
      </c>
      <c r="BK25" s="120" t="s">
        <v>374</v>
      </c>
      <c r="BL25" s="120" t="s">
        <v>374</v>
      </c>
      <c r="BM25" s="120" t="s">
        <v>374</v>
      </c>
      <c r="BN25" s="120" t="s">
        <v>374</v>
      </c>
      <c r="BO25" s="120" t="s">
        <v>374</v>
      </c>
      <c r="BP25" s="120" t="s">
        <v>374</v>
      </c>
      <c r="BQ25" s="120" t="s">
        <v>374</v>
      </c>
      <c r="BR25" s="120" t="s">
        <v>374</v>
      </c>
      <c r="BS25" s="120" t="s">
        <v>374</v>
      </c>
      <c r="BT25" s="120" t="s">
        <v>374</v>
      </c>
      <c r="BU25" s="120" t="s">
        <v>374</v>
      </c>
      <c r="BV25" s="120" t="s">
        <v>374</v>
      </c>
      <c r="BW25" s="120" t="s">
        <v>374</v>
      </c>
      <c r="BX25" s="120" t="s">
        <v>374</v>
      </c>
      <c r="BY25" s="120" t="s">
        <v>374</v>
      </c>
      <c r="BZ25" s="120" t="s">
        <v>374</v>
      </c>
      <c r="CA25" s="120" t="s">
        <v>374</v>
      </c>
      <c r="CB25" s="120" t="s">
        <v>374</v>
      </c>
      <c r="CC25" s="120" t="s">
        <v>374</v>
      </c>
      <c r="CD25" s="120" t="s">
        <v>374</v>
      </c>
      <c r="CE25" s="120" t="s">
        <v>374</v>
      </c>
      <c r="CF25" s="120" t="s">
        <v>374</v>
      </c>
      <c r="CG25" s="120" t="s">
        <v>374</v>
      </c>
      <c r="CH25" s="120" t="s">
        <v>374</v>
      </c>
      <c r="CI25" s="120" t="s">
        <v>374</v>
      </c>
      <c r="CJ25" s="120" t="s">
        <v>374</v>
      </c>
      <c r="CK25" s="120" t="s">
        <v>374</v>
      </c>
      <c r="CL25" s="120" t="s">
        <v>374</v>
      </c>
      <c r="CM25" s="120" t="s">
        <v>374</v>
      </c>
      <c r="CN25" s="120" t="s">
        <v>374</v>
      </c>
      <c r="CO25" s="120" t="s">
        <v>374</v>
      </c>
      <c r="CP25" s="120" t="s">
        <v>374</v>
      </c>
      <c r="CQ25" s="120" t="s">
        <v>374</v>
      </c>
      <c r="CR25" s="120" t="s">
        <v>374</v>
      </c>
      <c r="CS25" s="120" t="s">
        <v>374</v>
      </c>
      <c r="CT25" s="120" t="s">
        <v>374</v>
      </c>
      <c r="CU25" s="120" t="s">
        <v>374</v>
      </c>
      <c r="CV25" s="120" t="s">
        <v>374</v>
      </c>
      <c r="CW25" s="120" t="s">
        <v>374</v>
      </c>
      <c r="CX25" s="120" t="s">
        <v>374</v>
      </c>
      <c r="CY25" s="120" t="s">
        <v>374</v>
      </c>
      <c r="CZ25" s="120" t="s">
        <v>374</v>
      </c>
      <c r="DA25" s="120" t="s">
        <v>374</v>
      </c>
      <c r="DB25" s="120" t="s">
        <v>374</v>
      </c>
      <c r="DC25" s="120" t="s">
        <v>374</v>
      </c>
    </row>
    <row r="26" spans="2:107" ht="30">
      <c r="B26" s="171">
        <v>2</v>
      </c>
      <c r="C26" s="171" t="s">
        <v>433</v>
      </c>
      <c r="D26" s="171" t="s">
        <v>434</v>
      </c>
      <c r="E26" s="171" t="s">
        <v>435</v>
      </c>
      <c r="F26" s="171" t="s">
        <v>374</v>
      </c>
      <c r="G26" s="171" t="s">
        <v>436</v>
      </c>
      <c r="H26" s="167" t="s">
        <v>95</v>
      </c>
      <c r="I26" s="167" t="s">
        <v>95</v>
      </c>
      <c r="J26" s="167" t="s">
        <v>95</v>
      </c>
      <c r="K26" s="167" t="s">
        <v>374</v>
      </c>
      <c r="L26" s="167" t="s">
        <v>376</v>
      </c>
      <c r="M26" s="167" t="s">
        <v>377</v>
      </c>
      <c r="N26" s="167" t="s">
        <v>378</v>
      </c>
      <c r="O26" s="120" t="s">
        <v>318</v>
      </c>
      <c r="P26" s="170" t="s">
        <v>379</v>
      </c>
      <c r="Q26" s="120" t="s">
        <v>380</v>
      </c>
      <c r="R26" s="120" t="s">
        <v>381</v>
      </c>
      <c r="S26" s="120" t="s">
        <v>382</v>
      </c>
      <c r="T26" s="120" t="s">
        <v>437</v>
      </c>
      <c r="U26" s="193" t="s">
        <v>438</v>
      </c>
      <c r="V26" s="120" t="s">
        <v>374</v>
      </c>
      <c r="W26" s="120" t="s">
        <v>439</v>
      </c>
      <c r="X26" s="120" t="s">
        <v>374</v>
      </c>
      <c r="Y26" s="120" t="s">
        <v>415</v>
      </c>
      <c r="Z26" s="120" t="s">
        <v>95</v>
      </c>
      <c r="AA26" s="120" t="s">
        <v>374</v>
      </c>
      <c r="AB26" s="120" t="s">
        <v>374</v>
      </c>
      <c r="AC26" s="120" t="s">
        <v>374</v>
      </c>
      <c r="AD26" s="120" t="s">
        <v>374</v>
      </c>
      <c r="AE26" s="120" t="s">
        <v>374</v>
      </c>
      <c r="AF26" s="120" t="s">
        <v>374</v>
      </c>
      <c r="AG26" s="120" t="s">
        <v>374</v>
      </c>
      <c r="AH26" s="120" t="s">
        <v>374</v>
      </c>
      <c r="AI26" s="120" t="s">
        <v>374</v>
      </c>
      <c r="AJ26" s="120" t="s">
        <v>374</v>
      </c>
      <c r="AK26" s="120" t="s">
        <v>374</v>
      </c>
      <c r="AL26" s="120" t="s">
        <v>374</v>
      </c>
      <c r="AM26" s="120" t="s">
        <v>374</v>
      </c>
      <c r="AN26" s="120" t="s">
        <v>374</v>
      </c>
      <c r="AO26" s="120" t="s">
        <v>374</v>
      </c>
      <c r="AP26" s="120" t="s">
        <v>374</v>
      </c>
      <c r="AQ26" s="120" t="s">
        <v>374</v>
      </c>
      <c r="AR26" s="120" t="s">
        <v>374</v>
      </c>
      <c r="AS26" s="120" t="s">
        <v>374</v>
      </c>
      <c r="AT26" s="120" t="s">
        <v>374</v>
      </c>
      <c r="AU26" s="120" t="s">
        <v>374</v>
      </c>
      <c r="AV26" s="120" t="s">
        <v>374</v>
      </c>
      <c r="AW26" s="120" t="s">
        <v>374</v>
      </c>
      <c r="AX26" s="120" t="s">
        <v>374</v>
      </c>
      <c r="AY26" s="120" t="s">
        <v>374</v>
      </c>
      <c r="AZ26" s="120" t="s">
        <v>374</v>
      </c>
      <c r="BA26" s="120" t="s">
        <v>374</v>
      </c>
      <c r="BB26" s="120" t="s">
        <v>374</v>
      </c>
      <c r="BC26" s="120" t="s">
        <v>374</v>
      </c>
      <c r="BD26" s="120" t="s">
        <v>374</v>
      </c>
      <c r="BE26" s="120" t="s">
        <v>374</v>
      </c>
      <c r="BF26" s="120" t="s">
        <v>374</v>
      </c>
      <c r="BG26" s="120" t="s">
        <v>374</v>
      </c>
      <c r="BH26" s="120" t="s">
        <v>374</v>
      </c>
      <c r="BI26" s="120" t="s">
        <v>374</v>
      </c>
      <c r="BJ26" s="120" t="s">
        <v>374</v>
      </c>
      <c r="BK26" s="120" t="s">
        <v>374</v>
      </c>
      <c r="BL26" s="120" t="s">
        <v>374</v>
      </c>
      <c r="BM26" s="120" t="s">
        <v>374</v>
      </c>
      <c r="BN26" s="120" t="s">
        <v>374</v>
      </c>
      <c r="BO26" s="120" t="s">
        <v>374</v>
      </c>
      <c r="BP26" s="120" t="s">
        <v>374</v>
      </c>
      <c r="BQ26" s="120" t="s">
        <v>374</v>
      </c>
      <c r="BR26" s="120" t="s">
        <v>374</v>
      </c>
      <c r="BS26" s="120" t="s">
        <v>374</v>
      </c>
      <c r="BT26" s="120" t="s">
        <v>374</v>
      </c>
      <c r="BU26" s="120" t="s">
        <v>374</v>
      </c>
      <c r="BV26" s="120" t="s">
        <v>374</v>
      </c>
      <c r="BW26" s="120" t="s">
        <v>374</v>
      </c>
      <c r="BX26" s="120" t="s">
        <v>374</v>
      </c>
      <c r="BY26" s="120" t="s">
        <v>374</v>
      </c>
      <c r="BZ26" s="120" t="s">
        <v>374</v>
      </c>
      <c r="CA26" s="120" t="s">
        <v>374</v>
      </c>
      <c r="CB26" s="120" t="s">
        <v>374</v>
      </c>
      <c r="CC26" s="120" t="s">
        <v>374</v>
      </c>
      <c r="CD26" s="120" t="s">
        <v>374</v>
      </c>
      <c r="CE26" s="120" t="s">
        <v>374</v>
      </c>
      <c r="CF26" s="120" t="s">
        <v>374</v>
      </c>
      <c r="CG26" s="120" t="s">
        <v>374</v>
      </c>
      <c r="CH26" s="120" t="s">
        <v>374</v>
      </c>
      <c r="CI26" s="120" t="s">
        <v>374</v>
      </c>
      <c r="CJ26" s="120" t="s">
        <v>374</v>
      </c>
      <c r="CK26" s="120" t="s">
        <v>374</v>
      </c>
      <c r="CL26" s="120" t="s">
        <v>374</v>
      </c>
      <c r="CM26" s="120" t="s">
        <v>374</v>
      </c>
      <c r="CN26" s="120" t="s">
        <v>374</v>
      </c>
      <c r="CO26" s="120" t="s">
        <v>374</v>
      </c>
      <c r="CP26" s="120" t="s">
        <v>374</v>
      </c>
      <c r="CQ26" s="120" t="s">
        <v>374</v>
      </c>
      <c r="CR26" s="120" t="s">
        <v>374</v>
      </c>
      <c r="CS26" s="120" t="s">
        <v>374</v>
      </c>
      <c r="CT26" s="120" t="s">
        <v>374</v>
      </c>
      <c r="CU26" s="120" t="s">
        <v>374</v>
      </c>
      <c r="CV26" s="120" t="s">
        <v>374</v>
      </c>
      <c r="CW26" s="120" t="s">
        <v>374</v>
      </c>
      <c r="CX26" s="120" t="s">
        <v>374</v>
      </c>
      <c r="CY26" s="120" t="s">
        <v>374</v>
      </c>
      <c r="CZ26" s="120" t="s">
        <v>374</v>
      </c>
      <c r="DA26" s="120" t="s">
        <v>374</v>
      </c>
      <c r="DB26" s="120" t="s">
        <v>374</v>
      </c>
      <c r="DC26" s="120" t="s">
        <v>374</v>
      </c>
    </row>
    <row r="27" spans="2:107" ht="30">
      <c r="B27" s="173"/>
      <c r="C27" s="173"/>
      <c r="D27" s="173"/>
      <c r="E27" s="173"/>
      <c r="F27" s="173"/>
      <c r="G27" s="173"/>
      <c r="H27" s="168"/>
      <c r="I27" s="168"/>
      <c r="J27" s="168"/>
      <c r="K27" s="168"/>
      <c r="L27" s="168"/>
      <c r="M27" s="168"/>
      <c r="N27" s="168"/>
      <c r="O27" s="120" t="s">
        <v>387</v>
      </c>
      <c r="P27" s="170" t="s">
        <v>379</v>
      </c>
      <c r="Q27" s="120" t="s">
        <v>388</v>
      </c>
      <c r="R27" s="120" t="s">
        <v>95</v>
      </c>
      <c r="S27" s="120" t="s">
        <v>382</v>
      </c>
      <c r="T27" s="120" t="s">
        <v>374</v>
      </c>
      <c r="U27" s="120" t="s">
        <v>387</v>
      </c>
      <c r="V27" s="120" t="s">
        <v>374</v>
      </c>
      <c r="W27" s="120" t="s">
        <v>389</v>
      </c>
      <c r="X27" s="120" t="s">
        <v>374</v>
      </c>
      <c r="Y27" s="120" t="s">
        <v>390</v>
      </c>
      <c r="Z27" s="120" t="s">
        <v>95</v>
      </c>
      <c r="AA27" s="120" t="s">
        <v>374</v>
      </c>
      <c r="AB27" s="120" t="s">
        <v>374</v>
      </c>
      <c r="AC27" s="120" t="s">
        <v>374</v>
      </c>
      <c r="AD27" s="120" t="s">
        <v>374</v>
      </c>
      <c r="AE27" s="120" t="s">
        <v>374</v>
      </c>
      <c r="AF27" s="120" t="s">
        <v>374</v>
      </c>
      <c r="AG27" s="120" t="s">
        <v>374</v>
      </c>
      <c r="AH27" s="120" t="s">
        <v>374</v>
      </c>
      <c r="AI27" s="120" t="s">
        <v>374</v>
      </c>
      <c r="AJ27" s="120" t="s">
        <v>374</v>
      </c>
      <c r="AK27" s="120" t="s">
        <v>374</v>
      </c>
      <c r="AL27" s="120" t="s">
        <v>374</v>
      </c>
      <c r="AM27" s="120" t="s">
        <v>374</v>
      </c>
      <c r="AN27" s="120" t="s">
        <v>374</v>
      </c>
      <c r="AO27" s="120" t="s">
        <v>374</v>
      </c>
      <c r="AP27" s="120" t="s">
        <v>374</v>
      </c>
      <c r="AQ27" s="120" t="s">
        <v>374</v>
      </c>
      <c r="AR27" s="120" t="s">
        <v>374</v>
      </c>
      <c r="AS27" s="120" t="s">
        <v>374</v>
      </c>
      <c r="AT27" s="120" t="s">
        <v>374</v>
      </c>
      <c r="AU27" s="120" t="s">
        <v>374</v>
      </c>
      <c r="AV27" s="120" t="s">
        <v>374</v>
      </c>
      <c r="AW27" s="120" t="s">
        <v>374</v>
      </c>
      <c r="AX27" s="120" t="s">
        <v>374</v>
      </c>
      <c r="AY27" s="120" t="s">
        <v>374</v>
      </c>
      <c r="AZ27" s="120" t="s">
        <v>374</v>
      </c>
      <c r="BA27" s="120" t="s">
        <v>374</v>
      </c>
      <c r="BB27" s="120" t="s">
        <v>374</v>
      </c>
      <c r="BC27" s="120" t="s">
        <v>374</v>
      </c>
      <c r="BD27" s="120" t="s">
        <v>374</v>
      </c>
      <c r="BE27" s="120" t="s">
        <v>374</v>
      </c>
      <c r="BF27" s="120" t="s">
        <v>374</v>
      </c>
      <c r="BG27" s="120" t="s">
        <v>374</v>
      </c>
      <c r="BH27" s="120" t="s">
        <v>374</v>
      </c>
      <c r="BI27" s="120" t="s">
        <v>374</v>
      </c>
      <c r="BJ27" s="120" t="s">
        <v>374</v>
      </c>
      <c r="BK27" s="120" t="s">
        <v>374</v>
      </c>
      <c r="BL27" s="120" t="s">
        <v>374</v>
      </c>
      <c r="BM27" s="120" t="s">
        <v>374</v>
      </c>
      <c r="BN27" s="120" t="s">
        <v>374</v>
      </c>
      <c r="BO27" s="120" t="s">
        <v>374</v>
      </c>
      <c r="BP27" s="120" t="s">
        <v>374</v>
      </c>
      <c r="BQ27" s="120" t="s">
        <v>374</v>
      </c>
      <c r="BR27" s="120" t="s">
        <v>374</v>
      </c>
      <c r="BS27" s="120" t="s">
        <v>374</v>
      </c>
      <c r="BT27" s="120" t="s">
        <v>374</v>
      </c>
      <c r="BU27" s="120" t="s">
        <v>374</v>
      </c>
      <c r="BV27" s="120" t="s">
        <v>374</v>
      </c>
      <c r="BW27" s="120" t="s">
        <v>374</v>
      </c>
      <c r="BX27" s="120" t="s">
        <v>374</v>
      </c>
      <c r="BY27" s="120" t="s">
        <v>374</v>
      </c>
      <c r="BZ27" s="120" t="s">
        <v>374</v>
      </c>
      <c r="CA27" s="120" t="s">
        <v>374</v>
      </c>
      <c r="CB27" s="120" t="s">
        <v>374</v>
      </c>
      <c r="CC27" s="120" t="s">
        <v>374</v>
      </c>
      <c r="CD27" s="120" t="s">
        <v>374</v>
      </c>
      <c r="CE27" s="120" t="s">
        <v>374</v>
      </c>
      <c r="CF27" s="120" t="s">
        <v>374</v>
      </c>
      <c r="CG27" s="120" t="s">
        <v>374</v>
      </c>
      <c r="CH27" s="120" t="s">
        <v>374</v>
      </c>
      <c r="CI27" s="120" t="s">
        <v>374</v>
      </c>
      <c r="CJ27" s="120" t="s">
        <v>374</v>
      </c>
      <c r="CK27" s="120" t="s">
        <v>374</v>
      </c>
      <c r="CL27" s="120" t="s">
        <v>374</v>
      </c>
      <c r="CM27" s="120" t="s">
        <v>374</v>
      </c>
      <c r="CN27" s="120" t="s">
        <v>374</v>
      </c>
      <c r="CO27" s="120" t="s">
        <v>374</v>
      </c>
      <c r="CP27" s="120" t="s">
        <v>374</v>
      </c>
      <c r="CQ27" s="120" t="s">
        <v>374</v>
      </c>
      <c r="CR27" s="120" t="s">
        <v>374</v>
      </c>
      <c r="CS27" s="120" t="s">
        <v>374</v>
      </c>
      <c r="CT27" s="120" t="s">
        <v>374</v>
      </c>
      <c r="CU27" s="120" t="s">
        <v>374</v>
      </c>
      <c r="CV27" s="120" t="s">
        <v>374</v>
      </c>
      <c r="CW27" s="120" t="s">
        <v>374</v>
      </c>
      <c r="CX27" s="120" t="s">
        <v>374</v>
      </c>
      <c r="CY27" s="120" t="s">
        <v>374</v>
      </c>
      <c r="CZ27" s="120" t="s">
        <v>374</v>
      </c>
      <c r="DA27" s="120" t="s">
        <v>374</v>
      </c>
      <c r="DB27" s="120" t="s">
        <v>374</v>
      </c>
      <c r="DC27" s="120" t="s">
        <v>374</v>
      </c>
    </row>
    <row r="28" spans="2:107" ht="30">
      <c r="B28" s="173"/>
      <c r="C28" s="173"/>
      <c r="D28" s="173"/>
      <c r="E28" s="173"/>
      <c r="F28" s="173"/>
      <c r="G28" s="173"/>
      <c r="H28" s="168"/>
      <c r="I28" s="168"/>
      <c r="J28" s="168"/>
      <c r="K28" s="168"/>
      <c r="L28" s="168"/>
      <c r="M28" s="168"/>
      <c r="N28" s="168"/>
      <c r="O28" s="120" t="s">
        <v>391</v>
      </c>
      <c r="P28" s="170" t="s">
        <v>379</v>
      </c>
      <c r="Q28" s="120" t="s">
        <v>388</v>
      </c>
      <c r="R28" s="120" t="s">
        <v>95</v>
      </c>
      <c r="S28" s="120" t="s">
        <v>382</v>
      </c>
      <c r="T28" s="120" t="s">
        <v>374</v>
      </c>
      <c r="U28" s="120" t="s">
        <v>391</v>
      </c>
      <c r="V28" s="120" t="s">
        <v>374</v>
      </c>
      <c r="W28" s="120" t="s">
        <v>392</v>
      </c>
      <c r="X28" s="120" t="s">
        <v>374</v>
      </c>
      <c r="Y28" s="120" t="s">
        <v>393</v>
      </c>
      <c r="Z28" s="120" t="s">
        <v>95</v>
      </c>
      <c r="AA28" s="120" t="s">
        <v>374</v>
      </c>
      <c r="AB28" s="120" t="s">
        <v>374</v>
      </c>
      <c r="AC28" s="120" t="s">
        <v>374</v>
      </c>
      <c r="AD28" s="120" t="s">
        <v>374</v>
      </c>
      <c r="AE28" s="120" t="s">
        <v>374</v>
      </c>
      <c r="AF28" s="120" t="s">
        <v>374</v>
      </c>
      <c r="AG28" s="120" t="s">
        <v>374</v>
      </c>
      <c r="AH28" s="120" t="s">
        <v>374</v>
      </c>
      <c r="AI28" s="120" t="s">
        <v>374</v>
      </c>
      <c r="AJ28" s="120" t="s">
        <v>374</v>
      </c>
      <c r="AK28" s="120" t="s">
        <v>374</v>
      </c>
      <c r="AL28" s="120" t="s">
        <v>374</v>
      </c>
      <c r="AM28" s="120" t="s">
        <v>374</v>
      </c>
      <c r="AN28" s="120" t="s">
        <v>374</v>
      </c>
      <c r="AO28" s="120" t="s">
        <v>374</v>
      </c>
      <c r="AP28" s="120" t="s">
        <v>374</v>
      </c>
      <c r="AQ28" s="120" t="s">
        <v>374</v>
      </c>
      <c r="AR28" s="120" t="s">
        <v>374</v>
      </c>
      <c r="AS28" s="120" t="s">
        <v>374</v>
      </c>
      <c r="AT28" s="120" t="s">
        <v>374</v>
      </c>
      <c r="AU28" s="120" t="s">
        <v>374</v>
      </c>
      <c r="AV28" s="120" t="s">
        <v>374</v>
      </c>
      <c r="AW28" s="120" t="s">
        <v>374</v>
      </c>
      <c r="AX28" s="120" t="s">
        <v>374</v>
      </c>
      <c r="AY28" s="120" t="s">
        <v>374</v>
      </c>
      <c r="AZ28" s="120" t="s">
        <v>374</v>
      </c>
      <c r="BA28" s="120" t="s">
        <v>374</v>
      </c>
      <c r="BB28" s="120" t="s">
        <v>374</v>
      </c>
      <c r="BC28" s="120" t="s">
        <v>374</v>
      </c>
      <c r="BD28" s="120" t="s">
        <v>374</v>
      </c>
      <c r="BE28" s="120" t="s">
        <v>374</v>
      </c>
      <c r="BF28" s="120" t="s">
        <v>374</v>
      </c>
      <c r="BG28" s="120" t="s">
        <v>374</v>
      </c>
      <c r="BH28" s="120" t="s">
        <v>374</v>
      </c>
      <c r="BI28" s="120" t="s">
        <v>374</v>
      </c>
      <c r="BJ28" s="120" t="s">
        <v>374</v>
      </c>
      <c r="BK28" s="120" t="s">
        <v>374</v>
      </c>
      <c r="BL28" s="120" t="s">
        <v>374</v>
      </c>
      <c r="BM28" s="120" t="s">
        <v>374</v>
      </c>
      <c r="BN28" s="120" t="s">
        <v>374</v>
      </c>
      <c r="BO28" s="120" t="s">
        <v>374</v>
      </c>
      <c r="BP28" s="120" t="s">
        <v>374</v>
      </c>
      <c r="BQ28" s="120" t="s">
        <v>374</v>
      </c>
      <c r="BR28" s="120" t="s">
        <v>374</v>
      </c>
      <c r="BS28" s="120" t="s">
        <v>374</v>
      </c>
      <c r="BT28" s="120" t="s">
        <v>374</v>
      </c>
      <c r="BU28" s="120" t="s">
        <v>374</v>
      </c>
      <c r="BV28" s="120" t="s">
        <v>374</v>
      </c>
      <c r="BW28" s="120" t="s">
        <v>374</v>
      </c>
      <c r="BX28" s="120" t="s">
        <v>374</v>
      </c>
      <c r="BY28" s="120" t="s">
        <v>374</v>
      </c>
      <c r="BZ28" s="120" t="s">
        <v>374</v>
      </c>
      <c r="CA28" s="120" t="s">
        <v>374</v>
      </c>
      <c r="CB28" s="120" t="s">
        <v>374</v>
      </c>
      <c r="CC28" s="120" t="s">
        <v>374</v>
      </c>
      <c r="CD28" s="120" t="s">
        <v>374</v>
      </c>
      <c r="CE28" s="120" t="s">
        <v>374</v>
      </c>
      <c r="CF28" s="120" t="s">
        <v>374</v>
      </c>
      <c r="CG28" s="120" t="s">
        <v>374</v>
      </c>
      <c r="CH28" s="120" t="s">
        <v>374</v>
      </c>
      <c r="CI28" s="120" t="s">
        <v>374</v>
      </c>
      <c r="CJ28" s="120" t="s">
        <v>374</v>
      </c>
      <c r="CK28" s="120" t="s">
        <v>374</v>
      </c>
      <c r="CL28" s="120" t="s">
        <v>374</v>
      </c>
      <c r="CM28" s="120" t="s">
        <v>374</v>
      </c>
      <c r="CN28" s="120" t="s">
        <v>374</v>
      </c>
      <c r="CO28" s="120" t="s">
        <v>374</v>
      </c>
      <c r="CP28" s="120" t="s">
        <v>374</v>
      </c>
      <c r="CQ28" s="120" t="s">
        <v>374</v>
      </c>
      <c r="CR28" s="120" t="s">
        <v>374</v>
      </c>
      <c r="CS28" s="120" t="s">
        <v>374</v>
      </c>
      <c r="CT28" s="120" t="s">
        <v>374</v>
      </c>
      <c r="CU28" s="120" t="s">
        <v>374</v>
      </c>
      <c r="CV28" s="120" t="s">
        <v>374</v>
      </c>
      <c r="CW28" s="120" t="s">
        <v>374</v>
      </c>
      <c r="CX28" s="120" t="s">
        <v>374</v>
      </c>
      <c r="CY28" s="120" t="s">
        <v>374</v>
      </c>
      <c r="CZ28" s="120" t="s">
        <v>374</v>
      </c>
      <c r="DA28" s="120" t="s">
        <v>374</v>
      </c>
      <c r="DB28" s="120" t="s">
        <v>374</v>
      </c>
      <c r="DC28" s="120" t="s">
        <v>374</v>
      </c>
    </row>
    <row r="29" spans="2:107" ht="30">
      <c r="B29" s="173"/>
      <c r="C29" s="173"/>
      <c r="D29" s="173"/>
      <c r="E29" s="173"/>
      <c r="F29" s="173"/>
      <c r="G29" s="173"/>
      <c r="H29" s="168"/>
      <c r="I29" s="168"/>
      <c r="J29" s="168"/>
      <c r="K29" s="168"/>
      <c r="L29" s="168"/>
      <c r="M29" s="168"/>
      <c r="N29" s="168"/>
      <c r="O29" s="120" t="s">
        <v>394</v>
      </c>
      <c r="P29" s="170" t="s">
        <v>379</v>
      </c>
      <c r="Q29" s="120" t="s">
        <v>388</v>
      </c>
      <c r="R29" s="120" t="s">
        <v>95</v>
      </c>
      <c r="S29" s="120" t="s">
        <v>382</v>
      </c>
      <c r="T29" s="120" t="s">
        <v>374</v>
      </c>
      <c r="U29" s="120" t="s">
        <v>394</v>
      </c>
      <c r="V29" s="120" t="s">
        <v>374</v>
      </c>
      <c r="W29" s="120" t="s">
        <v>395</v>
      </c>
      <c r="X29" s="120" t="s">
        <v>374</v>
      </c>
      <c r="Y29" s="120" t="s">
        <v>396</v>
      </c>
      <c r="Z29" s="120" t="s">
        <v>95</v>
      </c>
      <c r="AA29" s="120" t="s">
        <v>374</v>
      </c>
      <c r="AB29" s="120" t="s">
        <v>374</v>
      </c>
      <c r="AC29" s="120" t="s">
        <v>374</v>
      </c>
      <c r="AD29" s="120" t="s">
        <v>374</v>
      </c>
      <c r="AE29" s="120" t="s">
        <v>374</v>
      </c>
      <c r="AF29" s="120" t="s">
        <v>374</v>
      </c>
      <c r="AG29" s="120" t="s">
        <v>374</v>
      </c>
      <c r="AH29" s="120" t="s">
        <v>374</v>
      </c>
      <c r="AI29" s="120" t="s">
        <v>374</v>
      </c>
      <c r="AJ29" s="120" t="s">
        <v>374</v>
      </c>
      <c r="AK29" s="120" t="s">
        <v>374</v>
      </c>
      <c r="AL29" s="120" t="s">
        <v>374</v>
      </c>
      <c r="AM29" s="120" t="s">
        <v>374</v>
      </c>
      <c r="AN29" s="120" t="s">
        <v>374</v>
      </c>
      <c r="AO29" s="120" t="s">
        <v>374</v>
      </c>
      <c r="AP29" s="120" t="s">
        <v>374</v>
      </c>
      <c r="AQ29" s="120" t="s">
        <v>374</v>
      </c>
      <c r="AR29" s="120" t="s">
        <v>374</v>
      </c>
      <c r="AS29" s="120" t="s">
        <v>374</v>
      </c>
      <c r="AT29" s="120" t="s">
        <v>374</v>
      </c>
      <c r="AU29" s="120" t="s">
        <v>374</v>
      </c>
      <c r="AV29" s="120" t="s">
        <v>374</v>
      </c>
      <c r="AW29" s="120" t="s">
        <v>374</v>
      </c>
      <c r="AX29" s="120" t="s">
        <v>374</v>
      </c>
      <c r="AY29" s="120" t="s">
        <v>374</v>
      </c>
      <c r="AZ29" s="120" t="s">
        <v>374</v>
      </c>
      <c r="BA29" s="120" t="s">
        <v>374</v>
      </c>
      <c r="BB29" s="120" t="s">
        <v>374</v>
      </c>
      <c r="BC29" s="120" t="s">
        <v>374</v>
      </c>
      <c r="BD29" s="120" t="s">
        <v>374</v>
      </c>
      <c r="BE29" s="120" t="s">
        <v>374</v>
      </c>
      <c r="BF29" s="120" t="s">
        <v>374</v>
      </c>
      <c r="BG29" s="120" t="s">
        <v>374</v>
      </c>
      <c r="BH29" s="120" t="s">
        <v>374</v>
      </c>
      <c r="BI29" s="120" t="s">
        <v>374</v>
      </c>
      <c r="BJ29" s="120" t="s">
        <v>374</v>
      </c>
      <c r="BK29" s="120" t="s">
        <v>374</v>
      </c>
      <c r="BL29" s="120" t="s">
        <v>374</v>
      </c>
      <c r="BM29" s="120" t="s">
        <v>374</v>
      </c>
      <c r="BN29" s="120" t="s">
        <v>374</v>
      </c>
      <c r="BO29" s="120" t="s">
        <v>374</v>
      </c>
      <c r="BP29" s="120" t="s">
        <v>374</v>
      </c>
      <c r="BQ29" s="120" t="s">
        <v>374</v>
      </c>
      <c r="BR29" s="120" t="s">
        <v>374</v>
      </c>
      <c r="BS29" s="120" t="s">
        <v>374</v>
      </c>
      <c r="BT29" s="120" t="s">
        <v>374</v>
      </c>
      <c r="BU29" s="120" t="s">
        <v>374</v>
      </c>
      <c r="BV29" s="120" t="s">
        <v>374</v>
      </c>
      <c r="BW29" s="120" t="s">
        <v>374</v>
      </c>
      <c r="BX29" s="120" t="s">
        <v>374</v>
      </c>
      <c r="BY29" s="120" t="s">
        <v>374</v>
      </c>
      <c r="BZ29" s="120" t="s">
        <v>374</v>
      </c>
      <c r="CA29" s="120" t="s">
        <v>374</v>
      </c>
      <c r="CB29" s="120" t="s">
        <v>374</v>
      </c>
      <c r="CC29" s="120" t="s">
        <v>374</v>
      </c>
      <c r="CD29" s="120" t="s">
        <v>374</v>
      </c>
      <c r="CE29" s="120" t="s">
        <v>374</v>
      </c>
      <c r="CF29" s="120" t="s">
        <v>374</v>
      </c>
      <c r="CG29" s="120" t="s">
        <v>374</v>
      </c>
      <c r="CH29" s="120" t="s">
        <v>374</v>
      </c>
      <c r="CI29" s="120" t="s">
        <v>374</v>
      </c>
      <c r="CJ29" s="120" t="s">
        <v>374</v>
      </c>
      <c r="CK29" s="120" t="s">
        <v>374</v>
      </c>
      <c r="CL29" s="120" t="s">
        <v>374</v>
      </c>
      <c r="CM29" s="120" t="s">
        <v>374</v>
      </c>
      <c r="CN29" s="120" t="s">
        <v>374</v>
      </c>
      <c r="CO29" s="120" t="s">
        <v>374</v>
      </c>
      <c r="CP29" s="120" t="s">
        <v>374</v>
      </c>
      <c r="CQ29" s="120" t="s">
        <v>374</v>
      </c>
      <c r="CR29" s="120" t="s">
        <v>374</v>
      </c>
      <c r="CS29" s="120" t="s">
        <v>374</v>
      </c>
      <c r="CT29" s="120" t="s">
        <v>374</v>
      </c>
      <c r="CU29" s="120" t="s">
        <v>374</v>
      </c>
      <c r="CV29" s="120" t="s">
        <v>374</v>
      </c>
      <c r="CW29" s="120" t="s">
        <v>374</v>
      </c>
      <c r="CX29" s="120" t="s">
        <v>374</v>
      </c>
      <c r="CY29" s="120" t="s">
        <v>374</v>
      </c>
      <c r="CZ29" s="120" t="s">
        <v>374</v>
      </c>
      <c r="DA29" s="120" t="s">
        <v>374</v>
      </c>
      <c r="DB29" s="120" t="s">
        <v>374</v>
      </c>
      <c r="DC29" s="120" t="s">
        <v>374</v>
      </c>
    </row>
    <row r="30" spans="2:107" ht="30">
      <c r="B30" s="173"/>
      <c r="C30" s="173"/>
      <c r="D30" s="173"/>
      <c r="E30" s="173"/>
      <c r="F30" s="173"/>
      <c r="G30" s="173"/>
      <c r="H30" s="168"/>
      <c r="I30" s="168"/>
      <c r="J30" s="168"/>
      <c r="K30" s="168"/>
      <c r="L30" s="168"/>
      <c r="M30" s="168"/>
      <c r="N30" s="168"/>
      <c r="O30" s="120" t="s">
        <v>397</v>
      </c>
      <c r="P30" s="170" t="s">
        <v>379</v>
      </c>
      <c r="Q30" s="120" t="s">
        <v>388</v>
      </c>
      <c r="R30" s="120" t="s">
        <v>95</v>
      </c>
      <c r="S30" s="120" t="s">
        <v>382</v>
      </c>
      <c r="T30" s="120" t="s">
        <v>374</v>
      </c>
      <c r="U30" s="120" t="s">
        <v>397</v>
      </c>
      <c r="V30" s="120" t="s">
        <v>374</v>
      </c>
      <c r="W30" s="120" t="s">
        <v>398</v>
      </c>
      <c r="X30" s="120" t="s">
        <v>374</v>
      </c>
      <c r="Y30" s="120" t="s">
        <v>396</v>
      </c>
      <c r="Z30" s="120" t="s">
        <v>95</v>
      </c>
      <c r="AA30" s="120" t="s">
        <v>374</v>
      </c>
      <c r="AB30" s="120" t="s">
        <v>374</v>
      </c>
      <c r="AC30" s="120" t="s">
        <v>374</v>
      </c>
      <c r="AD30" s="120" t="s">
        <v>374</v>
      </c>
      <c r="AE30" s="120" t="s">
        <v>374</v>
      </c>
      <c r="AF30" s="120" t="s">
        <v>374</v>
      </c>
      <c r="AG30" s="120" t="s">
        <v>374</v>
      </c>
      <c r="AH30" s="120" t="s">
        <v>374</v>
      </c>
      <c r="AI30" s="120" t="s">
        <v>374</v>
      </c>
      <c r="AJ30" s="120" t="s">
        <v>374</v>
      </c>
      <c r="AK30" s="120" t="s">
        <v>374</v>
      </c>
      <c r="AL30" s="120" t="s">
        <v>374</v>
      </c>
      <c r="AM30" s="120" t="s">
        <v>374</v>
      </c>
      <c r="AN30" s="120" t="s">
        <v>374</v>
      </c>
      <c r="AO30" s="120" t="s">
        <v>374</v>
      </c>
      <c r="AP30" s="120" t="s">
        <v>374</v>
      </c>
      <c r="AQ30" s="120" t="s">
        <v>374</v>
      </c>
      <c r="AR30" s="120" t="s">
        <v>374</v>
      </c>
      <c r="AS30" s="120" t="s">
        <v>374</v>
      </c>
      <c r="AT30" s="120" t="s">
        <v>374</v>
      </c>
      <c r="AU30" s="120" t="s">
        <v>374</v>
      </c>
      <c r="AV30" s="120" t="s">
        <v>374</v>
      </c>
      <c r="AW30" s="120" t="s">
        <v>374</v>
      </c>
      <c r="AX30" s="120" t="s">
        <v>374</v>
      </c>
      <c r="AY30" s="120" t="s">
        <v>374</v>
      </c>
      <c r="AZ30" s="120" t="s">
        <v>374</v>
      </c>
      <c r="BA30" s="120" t="s">
        <v>374</v>
      </c>
      <c r="BB30" s="120" t="s">
        <v>374</v>
      </c>
      <c r="BC30" s="120" t="s">
        <v>374</v>
      </c>
      <c r="BD30" s="120" t="s">
        <v>374</v>
      </c>
      <c r="BE30" s="120" t="s">
        <v>374</v>
      </c>
      <c r="BF30" s="120" t="s">
        <v>374</v>
      </c>
      <c r="BG30" s="120" t="s">
        <v>374</v>
      </c>
      <c r="BH30" s="120" t="s">
        <v>374</v>
      </c>
      <c r="BI30" s="120" t="s">
        <v>374</v>
      </c>
      <c r="BJ30" s="120" t="s">
        <v>374</v>
      </c>
      <c r="BK30" s="120" t="s">
        <v>374</v>
      </c>
      <c r="BL30" s="120" t="s">
        <v>374</v>
      </c>
      <c r="BM30" s="120" t="s">
        <v>374</v>
      </c>
      <c r="BN30" s="120" t="s">
        <v>374</v>
      </c>
      <c r="BO30" s="120" t="s">
        <v>374</v>
      </c>
      <c r="BP30" s="120" t="s">
        <v>374</v>
      </c>
      <c r="BQ30" s="120" t="s">
        <v>374</v>
      </c>
      <c r="BR30" s="120" t="s">
        <v>374</v>
      </c>
      <c r="BS30" s="120" t="s">
        <v>374</v>
      </c>
      <c r="BT30" s="120" t="s">
        <v>374</v>
      </c>
      <c r="BU30" s="120" t="s">
        <v>374</v>
      </c>
      <c r="BV30" s="120" t="s">
        <v>374</v>
      </c>
      <c r="BW30" s="120" t="s">
        <v>374</v>
      </c>
      <c r="BX30" s="120" t="s">
        <v>374</v>
      </c>
      <c r="BY30" s="120" t="s">
        <v>374</v>
      </c>
      <c r="BZ30" s="120" t="s">
        <v>374</v>
      </c>
      <c r="CA30" s="120" t="s">
        <v>374</v>
      </c>
      <c r="CB30" s="120" t="s">
        <v>374</v>
      </c>
      <c r="CC30" s="120" t="s">
        <v>374</v>
      </c>
      <c r="CD30" s="120" t="s">
        <v>374</v>
      </c>
      <c r="CE30" s="120" t="s">
        <v>374</v>
      </c>
      <c r="CF30" s="120" t="s">
        <v>374</v>
      </c>
      <c r="CG30" s="120" t="s">
        <v>374</v>
      </c>
      <c r="CH30" s="120" t="s">
        <v>374</v>
      </c>
      <c r="CI30" s="120" t="s">
        <v>374</v>
      </c>
      <c r="CJ30" s="120" t="s">
        <v>374</v>
      </c>
      <c r="CK30" s="120" t="s">
        <v>374</v>
      </c>
      <c r="CL30" s="120" t="s">
        <v>374</v>
      </c>
      <c r="CM30" s="120" t="s">
        <v>374</v>
      </c>
      <c r="CN30" s="120" t="s">
        <v>374</v>
      </c>
      <c r="CO30" s="120" t="s">
        <v>374</v>
      </c>
      <c r="CP30" s="120" t="s">
        <v>374</v>
      </c>
      <c r="CQ30" s="120" t="s">
        <v>374</v>
      </c>
      <c r="CR30" s="120" t="s">
        <v>374</v>
      </c>
      <c r="CS30" s="120" t="s">
        <v>374</v>
      </c>
      <c r="CT30" s="120" t="s">
        <v>374</v>
      </c>
      <c r="CU30" s="120" t="s">
        <v>374</v>
      </c>
      <c r="CV30" s="120" t="s">
        <v>374</v>
      </c>
      <c r="CW30" s="120" t="s">
        <v>374</v>
      </c>
      <c r="CX30" s="120" t="s">
        <v>374</v>
      </c>
      <c r="CY30" s="120" t="s">
        <v>374</v>
      </c>
      <c r="CZ30" s="120" t="s">
        <v>374</v>
      </c>
      <c r="DA30" s="120" t="s">
        <v>374</v>
      </c>
      <c r="DB30" s="120" t="s">
        <v>374</v>
      </c>
      <c r="DC30" s="120" t="s">
        <v>374</v>
      </c>
    </row>
    <row r="31" spans="2:107" ht="30">
      <c r="B31" s="173"/>
      <c r="C31" s="173"/>
      <c r="D31" s="173"/>
      <c r="E31" s="173"/>
      <c r="F31" s="173"/>
      <c r="G31" s="173"/>
      <c r="H31" s="168"/>
      <c r="I31" s="168"/>
      <c r="J31" s="168"/>
      <c r="K31" s="168"/>
      <c r="L31" s="168"/>
      <c r="M31" s="168"/>
      <c r="N31" s="168"/>
      <c r="O31" s="120" t="s">
        <v>399</v>
      </c>
      <c r="P31" s="170" t="s">
        <v>379</v>
      </c>
      <c r="Q31" s="120" t="s">
        <v>388</v>
      </c>
      <c r="R31" s="120" t="s">
        <v>95</v>
      </c>
      <c r="S31" s="120" t="s">
        <v>382</v>
      </c>
      <c r="T31" s="120" t="s">
        <v>374</v>
      </c>
      <c r="U31" s="120" t="s">
        <v>399</v>
      </c>
      <c r="V31" s="120" t="s">
        <v>374</v>
      </c>
      <c r="W31" s="120" t="s">
        <v>400</v>
      </c>
      <c r="X31" s="120" t="s">
        <v>374</v>
      </c>
      <c r="Y31" s="120" t="s">
        <v>401</v>
      </c>
      <c r="Z31" s="120" t="s">
        <v>95</v>
      </c>
      <c r="AA31" s="120" t="s">
        <v>374</v>
      </c>
      <c r="AB31" s="120" t="s">
        <v>374</v>
      </c>
      <c r="AC31" s="120" t="s">
        <v>374</v>
      </c>
      <c r="AD31" s="120" t="s">
        <v>374</v>
      </c>
      <c r="AE31" s="120" t="s">
        <v>374</v>
      </c>
      <c r="AF31" s="120" t="s">
        <v>374</v>
      </c>
      <c r="AG31" s="120" t="s">
        <v>374</v>
      </c>
      <c r="AH31" s="120" t="s">
        <v>374</v>
      </c>
      <c r="AI31" s="120" t="s">
        <v>374</v>
      </c>
      <c r="AJ31" s="120" t="s">
        <v>374</v>
      </c>
      <c r="AK31" s="120" t="s">
        <v>374</v>
      </c>
      <c r="AL31" s="120" t="s">
        <v>374</v>
      </c>
      <c r="AM31" s="120" t="s">
        <v>374</v>
      </c>
      <c r="AN31" s="120" t="s">
        <v>374</v>
      </c>
      <c r="AO31" s="120" t="s">
        <v>374</v>
      </c>
      <c r="AP31" s="120" t="s">
        <v>374</v>
      </c>
      <c r="AQ31" s="120" t="s">
        <v>374</v>
      </c>
      <c r="AR31" s="120" t="s">
        <v>374</v>
      </c>
      <c r="AS31" s="120" t="s">
        <v>374</v>
      </c>
      <c r="AT31" s="120" t="s">
        <v>374</v>
      </c>
      <c r="AU31" s="120" t="s">
        <v>374</v>
      </c>
      <c r="AV31" s="120" t="s">
        <v>374</v>
      </c>
      <c r="AW31" s="120" t="s">
        <v>374</v>
      </c>
      <c r="AX31" s="120" t="s">
        <v>374</v>
      </c>
      <c r="AY31" s="120" t="s">
        <v>374</v>
      </c>
      <c r="AZ31" s="120" t="s">
        <v>374</v>
      </c>
      <c r="BA31" s="120" t="s">
        <v>374</v>
      </c>
      <c r="BB31" s="120" t="s">
        <v>374</v>
      </c>
      <c r="BC31" s="120" t="s">
        <v>374</v>
      </c>
      <c r="BD31" s="120" t="s">
        <v>374</v>
      </c>
      <c r="BE31" s="120" t="s">
        <v>374</v>
      </c>
      <c r="BF31" s="120" t="s">
        <v>374</v>
      </c>
      <c r="BG31" s="120" t="s">
        <v>374</v>
      </c>
      <c r="BH31" s="120" t="s">
        <v>374</v>
      </c>
      <c r="BI31" s="120" t="s">
        <v>374</v>
      </c>
      <c r="BJ31" s="120" t="s">
        <v>374</v>
      </c>
      <c r="BK31" s="120" t="s">
        <v>374</v>
      </c>
      <c r="BL31" s="120" t="s">
        <v>374</v>
      </c>
      <c r="BM31" s="120" t="s">
        <v>374</v>
      </c>
      <c r="BN31" s="120" t="s">
        <v>374</v>
      </c>
      <c r="BO31" s="120" t="s">
        <v>374</v>
      </c>
      <c r="BP31" s="120" t="s">
        <v>374</v>
      </c>
      <c r="BQ31" s="120" t="s">
        <v>374</v>
      </c>
      <c r="BR31" s="120" t="s">
        <v>374</v>
      </c>
      <c r="BS31" s="120" t="s">
        <v>374</v>
      </c>
      <c r="BT31" s="120" t="s">
        <v>374</v>
      </c>
      <c r="BU31" s="120" t="s">
        <v>374</v>
      </c>
      <c r="BV31" s="120" t="s">
        <v>374</v>
      </c>
      <c r="BW31" s="120" t="s">
        <v>374</v>
      </c>
      <c r="BX31" s="120" t="s">
        <v>374</v>
      </c>
      <c r="BY31" s="120" t="s">
        <v>374</v>
      </c>
      <c r="BZ31" s="120" t="s">
        <v>374</v>
      </c>
      <c r="CA31" s="120" t="s">
        <v>374</v>
      </c>
      <c r="CB31" s="120" t="s">
        <v>374</v>
      </c>
      <c r="CC31" s="120" t="s">
        <v>374</v>
      </c>
      <c r="CD31" s="120" t="s">
        <v>374</v>
      </c>
      <c r="CE31" s="120" t="s">
        <v>374</v>
      </c>
      <c r="CF31" s="120" t="s">
        <v>374</v>
      </c>
      <c r="CG31" s="120" t="s">
        <v>374</v>
      </c>
      <c r="CH31" s="120" t="s">
        <v>374</v>
      </c>
      <c r="CI31" s="120" t="s">
        <v>374</v>
      </c>
      <c r="CJ31" s="120" t="s">
        <v>374</v>
      </c>
      <c r="CK31" s="120" t="s">
        <v>374</v>
      </c>
      <c r="CL31" s="120" t="s">
        <v>374</v>
      </c>
      <c r="CM31" s="120" t="s">
        <v>374</v>
      </c>
      <c r="CN31" s="120" t="s">
        <v>374</v>
      </c>
      <c r="CO31" s="120" t="s">
        <v>374</v>
      </c>
      <c r="CP31" s="120" t="s">
        <v>374</v>
      </c>
      <c r="CQ31" s="120" t="s">
        <v>374</v>
      </c>
      <c r="CR31" s="120" t="s">
        <v>374</v>
      </c>
      <c r="CS31" s="120" t="s">
        <v>374</v>
      </c>
      <c r="CT31" s="120" t="s">
        <v>374</v>
      </c>
      <c r="CU31" s="120" t="s">
        <v>374</v>
      </c>
      <c r="CV31" s="120" t="s">
        <v>374</v>
      </c>
      <c r="CW31" s="120" t="s">
        <v>374</v>
      </c>
      <c r="CX31" s="120" t="s">
        <v>374</v>
      </c>
      <c r="CY31" s="120" t="s">
        <v>374</v>
      </c>
      <c r="CZ31" s="120" t="s">
        <v>374</v>
      </c>
      <c r="DA31" s="120" t="s">
        <v>374</v>
      </c>
      <c r="DB31" s="120" t="s">
        <v>374</v>
      </c>
      <c r="DC31" s="120" t="s">
        <v>374</v>
      </c>
    </row>
    <row r="32" spans="2:107" ht="30">
      <c r="B32" s="173"/>
      <c r="C32" s="173"/>
      <c r="D32" s="173"/>
      <c r="E32" s="173"/>
      <c r="F32" s="173"/>
      <c r="G32" s="173"/>
      <c r="H32" s="168"/>
      <c r="I32" s="168"/>
      <c r="J32" s="168"/>
      <c r="K32" s="168"/>
      <c r="L32" s="168"/>
      <c r="M32" s="168"/>
      <c r="N32" s="168"/>
      <c r="O32" s="120" t="s">
        <v>402</v>
      </c>
      <c r="P32" s="170" t="s">
        <v>379</v>
      </c>
      <c r="Q32" s="120" t="s">
        <v>388</v>
      </c>
      <c r="R32" s="120" t="s">
        <v>95</v>
      </c>
      <c r="S32" s="120" t="s">
        <v>382</v>
      </c>
      <c r="T32" s="120" t="s">
        <v>374</v>
      </c>
      <c r="U32" s="120" t="s">
        <v>402</v>
      </c>
      <c r="V32" s="120" t="s">
        <v>374</v>
      </c>
      <c r="W32" s="120" t="s">
        <v>403</v>
      </c>
      <c r="X32" s="120" t="s">
        <v>374</v>
      </c>
      <c r="Y32" s="120" t="s">
        <v>404</v>
      </c>
      <c r="Z32" s="120" t="s">
        <v>95</v>
      </c>
      <c r="AA32" s="120" t="s">
        <v>374</v>
      </c>
      <c r="AB32" s="120" t="s">
        <v>374</v>
      </c>
      <c r="AC32" s="120" t="s">
        <v>374</v>
      </c>
      <c r="AD32" s="120" t="s">
        <v>374</v>
      </c>
      <c r="AE32" s="120" t="s">
        <v>374</v>
      </c>
      <c r="AF32" s="120" t="s">
        <v>374</v>
      </c>
      <c r="AG32" s="120" t="s">
        <v>374</v>
      </c>
      <c r="AH32" s="120" t="s">
        <v>374</v>
      </c>
      <c r="AI32" s="120" t="s">
        <v>374</v>
      </c>
      <c r="AJ32" s="120" t="s">
        <v>374</v>
      </c>
      <c r="AK32" s="120" t="s">
        <v>374</v>
      </c>
      <c r="AL32" s="120" t="s">
        <v>374</v>
      </c>
      <c r="AM32" s="120" t="s">
        <v>374</v>
      </c>
      <c r="AN32" s="120" t="s">
        <v>374</v>
      </c>
      <c r="AO32" s="120" t="s">
        <v>374</v>
      </c>
      <c r="AP32" s="120" t="s">
        <v>374</v>
      </c>
      <c r="AQ32" s="120" t="s">
        <v>374</v>
      </c>
      <c r="AR32" s="120" t="s">
        <v>374</v>
      </c>
      <c r="AS32" s="120" t="s">
        <v>374</v>
      </c>
      <c r="AT32" s="120" t="s">
        <v>374</v>
      </c>
      <c r="AU32" s="120" t="s">
        <v>374</v>
      </c>
      <c r="AV32" s="120" t="s">
        <v>374</v>
      </c>
      <c r="AW32" s="120" t="s">
        <v>374</v>
      </c>
      <c r="AX32" s="120" t="s">
        <v>374</v>
      </c>
      <c r="AY32" s="120" t="s">
        <v>374</v>
      </c>
      <c r="AZ32" s="120" t="s">
        <v>374</v>
      </c>
      <c r="BA32" s="120" t="s">
        <v>374</v>
      </c>
      <c r="BB32" s="120" t="s">
        <v>374</v>
      </c>
      <c r="BC32" s="120" t="s">
        <v>374</v>
      </c>
      <c r="BD32" s="120" t="s">
        <v>374</v>
      </c>
      <c r="BE32" s="120" t="s">
        <v>374</v>
      </c>
      <c r="BF32" s="120" t="s">
        <v>374</v>
      </c>
      <c r="BG32" s="120" t="s">
        <v>374</v>
      </c>
      <c r="BH32" s="120" t="s">
        <v>374</v>
      </c>
      <c r="BI32" s="120" t="s">
        <v>374</v>
      </c>
      <c r="BJ32" s="120" t="s">
        <v>374</v>
      </c>
      <c r="BK32" s="120" t="s">
        <v>374</v>
      </c>
      <c r="BL32" s="120" t="s">
        <v>374</v>
      </c>
      <c r="BM32" s="120" t="s">
        <v>374</v>
      </c>
      <c r="BN32" s="120" t="s">
        <v>374</v>
      </c>
      <c r="BO32" s="120" t="s">
        <v>374</v>
      </c>
      <c r="BP32" s="120" t="s">
        <v>374</v>
      </c>
      <c r="BQ32" s="120" t="s">
        <v>374</v>
      </c>
      <c r="BR32" s="120" t="s">
        <v>374</v>
      </c>
      <c r="BS32" s="120" t="s">
        <v>374</v>
      </c>
      <c r="BT32" s="120" t="s">
        <v>374</v>
      </c>
      <c r="BU32" s="120" t="s">
        <v>374</v>
      </c>
      <c r="BV32" s="120" t="s">
        <v>374</v>
      </c>
      <c r="BW32" s="120" t="s">
        <v>374</v>
      </c>
      <c r="BX32" s="120" t="s">
        <v>374</v>
      </c>
      <c r="BY32" s="120" t="s">
        <v>374</v>
      </c>
      <c r="BZ32" s="120" t="s">
        <v>374</v>
      </c>
      <c r="CA32" s="120" t="s">
        <v>374</v>
      </c>
      <c r="CB32" s="120" t="s">
        <v>374</v>
      </c>
      <c r="CC32" s="120" t="s">
        <v>374</v>
      </c>
      <c r="CD32" s="120" t="s">
        <v>374</v>
      </c>
      <c r="CE32" s="120" t="s">
        <v>374</v>
      </c>
      <c r="CF32" s="120" t="s">
        <v>374</v>
      </c>
      <c r="CG32" s="120" t="s">
        <v>374</v>
      </c>
      <c r="CH32" s="120" t="s">
        <v>374</v>
      </c>
      <c r="CI32" s="120" t="s">
        <v>374</v>
      </c>
      <c r="CJ32" s="120" t="s">
        <v>374</v>
      </c>
      <c r="CK32" s="120" t="s">
        <v>374</v>
      </c>
      <c r="CL32" s="120" t="s">
        <v>374</v>
      </c>
      <c r="CM32" s="120" t="s">
        <v>374</v>
      </c>
      <c r="CN32" s="120" t="s">
        <v>374</v>
      </c>
      <c r="CO32" s="120" t="s">
        <v>374</v>
      </c>
      <c r="CP32" s="120" t="s">
        <v>374</v>
      </c>
      <c r="CQ32" s="120" t="s">
        <v>374</v>
      </c>
      <c r="CR32" s="120" t="s">
        <v>374</v>
      </c>
      <c r="CS32" s="120" t="s">
        <v>374</v>
      </c>
      <c r="CT32" s="120" t="s">
        <v>374</v>
      </c>
      <c r="CU32" s="120" t="s">
        <v>374</v>
      </c>
      <c r="CV32" s="120" t="s">
        <v>374</v>
      </c>
      <c r="CW32" s="120" t="s">
        <v>374</v>
      </c>
      <c r="CX32" s="120" t="s">
        <v>374</v>
      </c>
      <c r="CY32" s="120" t="s">
        <v>374</v>
      </c>
      <c r="CZ32" s="120" t="s">
        <v>374</v>
      </c>
      <c r="DA32" s="120" t="s">
        <v>374</v>
      </c>
      <c r="DB32" s="120" t="s">
        <v>374</v>
      </c>
      <c r="DC32" s="120" t="s">
        <v>374</v>
      </c>
    </row>
    <row r="33" spans="2:107" ht="30">
      <c r="B33" s="173"/>
      <c r="C33" s="173"/>
      <c r="D33" s="173"/>
      <c r="E33" s="173"/>
      <c r="F33" s="173"/>
      <c r="G33" s="173"/>
      <c r="H33" s="168"/>
      <c r="I33" s="168"/>
      <c r="J33" s="168"/>
      <c r="K33" s="168"/>
      <c r="L33" s="168"/>
      <c r="M33" s="168"/>
      <c r="N33" s="168"/>
      <c r="O33" s="120" t="s">
        <v>405</v>
      </c>
      <c r="P33" s="170" t="s">
        <v>379</v>
      </c>
      <c r="Q33" s="120" t="s">
        <v>388</v>
      </c>
      <c r="R33" s="120" t="s">
        <v>95</v>
      </c>
      <c r="S33" s="120" t="s">
        <v>382</v>
      </c>
      <c r="T33" s="120" t="s">
        <v>374</v>
      </c>
      <c r="U33" s="120" t="s">
        <v>405</v>
      </c>
      <c r="V33" s="120" t="s">
        <v>374</v>
      </c>
      <c r="W33" s="120" t="s">
        <v>406</v>
      </c>
      <c r="X33" s="120" t="s">
        <v>374</v>
      </c>
      <c r="Y33" s="120" t="s">
        <v>407</v>
      </c>
      <c r="Z33" s="120" t="s">
        <v>95</v>
      </c>
      <c r="AA33" s="120" t="s">
        <v>374</v>
      </c>
      <c r="AB33" s="120" t="s">
        <v>374</v>
      </c>
      <c r="AC33" s="120" t="s">
        <v>374</v>
      </c>
      <c r="AD33" s="120" t="s">
        <v>374</v>
      </c>
      <c r="AE33" s="120" t="s">
        <v>374</v>
      </c>
      <c r="AF33" s="120" t="s">
        <v>374</v>
      </c>
      <c r="AG33" s="120" t="s">
        <v>374</v>
      </c>
      <c r="AH33" s="120" t="s">
        <v>374</v>
      </c>
      <c r="AI33" s="120" t="s">
        <v>374</v>
      </c>
      <c r="AJ33" s="120" t="s">
        <v>374</v>
      </c>
      <c r="AK33" s="120" t="s">
        <v>374</v>
      </c>
      <c r="AL33" s="120" t="s">
        <v>374</v>
      </c>
      <c r="AM33" s="120" t="s">
        <v>374</v>
      </c>
      <c r="AN33" s="120" t="s">
        <v>374</v>
      </c>
      <c r="AO33" s="120" t="s">
        <v>374</v>
      </c>
      <c r="AP33" s="120" t="s">
        <v>374</v>
      </c>
      <c r="AQ33" s="120" t="s">
        <v>374</v>
      </c>
      <c r="AR33" s="120" t="s">
        <v>374</v>
      </c>
      <c r="AS33" s="120" t="s">
        <v>374</v>
      </c>
      <c r="AT33" s="120" t="s">
        <v>374</v>
      </c>
      <c r="AU33" s="120" t="s">
        <v>374</v>
      </c>
      <c r="AV33" s="120" t="s">
        <v>374</v>
      </c>
      <c r="AW33" s="120" t="s">
        <v>374</v>
      </c>
      <c r="AX33" s="120" t="s">
        <v>374</v>
      </c>
      <c r="AY33" s="120" t="s">
        <v>374</v>
      </c>
      <c r="AZ33" s="120" t="s">
        <v>374</v>
      </c>
      <c r="BA33" s="120" t="s">
        <v>374</v>
      </c>
      <c r="BB33" s="120" t="s">
        <v>374</v>
      </c>
      <c r="BC33" s="120" t="s">
        <v>374</v>
      </c>
      <c r="BD33" s="120" t="s">
        <v>374</v>
      </c>
      <c r="BE33" s="120" t="s">
        <v>374</v>
      </c>
      <c r="BF33" s="120" t="s">
        <v>374</v>
      </c>
      <c r="BG33" s="120" t="s">
        <v>374</v>
      </c>
      <c r="BH33" s="120" t="s">
        <v>374</v>
      </c>
      <c r="BI33" s="120" t="s">
        <v>374</v>
      </c>
      <c r="BJ33" s="120" t="s">
        <v>374</v>
      </c>
      <c r="BK33" s="120" t="s">
        <v>374</v>
      </c>
      <c r="BL33" s="120" t="s">
        <v>374</v>
      </c>
      <c r="BM33" s="120" t="s">
        <v>374</v>
      </c>
      <c r="BN33" s="120" t="s">
        <v>374</v>
      </c>
      <c r="BO33" s="120" t="s">
        <v>374</v>
      </c>
      <c r="BP33" s="120" t="s">
        <v>374</v>
      </c>
      <c r="BQ33" s="120" t="s">
        <v>374</v>
      </c>
      <c r="BR33" s="120" t="s">
        <v>374</v>
      </c>
      <c r="BS33" s="120" t="s">
        <v>374</v>
      </c>
      <c r="BT33" s="120" t="s">
        <v>374</v>
      </c>
      <c r="BU33" s="120" t="s">
        <v>374</v>
      </c>
      <c r="BV33" s="120" t="s">
        <v>374</v>
      </c>
      <c r="BW33" s="120" t="s">
        <v>374</v>
      </c>
      <c r="BX33" s="120" t="s">
        <v>374</v>
      </c>
      <c r="BY33" s="120" t="s">
        <v>374</v>
      </c>
      <c r="BZ33" s="120" t="s">
        <v>374</v>
      </c>
      <c r="CA33" s="120" t="s">
        <v>374</v>
      </c>
      <c r="CB33" s="120" t="s">
        <v>374</v>
      </c>
      <c r="CC33" s="120" t="s">
        <v>374</v>
      </c>
      <c r="CD33" s="120" t="s">
        <v>374</v>
      </c>
      <c r="CE33" s="120" t="s">
        <v>374</v>
      </c>
      <c r="CF33" s="120" t="s">
        <v>374</v>
      </c>
      <c r="CG33" s="120" t="s">
        <v>374</v>
      </c>
      <c r="CH33" s="120" t="s">
        <v>374</v>
      </c>
      <c r="CI33" s="120" t="s">
        <v>374</v>
      </c>
      <c r="CJ33" s="120" t="s">
        <v>374</v>
      </c>
      <c r="CK33" s="120" t="s">
        <v>374</v>
      </c>
      <c r="CL33" s="120" t="s">
        <v>374</v>
      </c>
      <c r="CM33" s="120" t="s">
        <v>374</v>
      </c>
      <c r="CN33" s="120" t="s">
        <v>374</v>
      </c>
      <c r="CO33" s="120" t="s">
        <v>374</v>
      </c>
      <c r="CP33" s="120" t="s">
        <v>374</v>
      </c>
      <c r="CQ33" s="120" t="s">
        <v>374</v>
      </c>
      <c r="CR33" s="120" t="s">
        <v>374</v>
      </c>
      <c r="CS33" s="120" t="s">
        <v>374</v>
      </c>
      <c r="CT33" s="120" t="s">
        <v>374</v>
      </c>
      <c r="CU33" s="120" t="s">
        <v>374</v>
      </c>
      <c r="CV33" s="120" t="s">
        <v>374</v>
      </c>
      <c r="CW33" s="120" t="s">
        <v>374</v>
      </c>
      <c r="CX33" s="120" t="s">
        <v>374</v>
      </c>
      <c r="CY33" s="120" t="s">
        <v>374</v>
      </c>
      <c r="CZ33" s="120" t="s">
        <v>374</v>
      </c>
      <c r="DA33" s="120" t="s">
        <v>374</v>
      </c>
      <c r="DB33" s="120" t="s">
        <v>374</v>
      </c>
      <c r="DC33" s="120" t="s">
        <v>374</v>
      </c>
    </row>
    <row r="34" spans="2:107" ht="30">
      <c r="B34" s="173"/>
      <c r="C34" s="173"/>
      <c r="D34" s="173"/>
      <c r="E34" s="173"/>
      <c r="F34" s="173"/>
      <c r="G34" s="173"/>
      <c r="H34" s="168"/>
      <c r="I34" s="168"/>
      <c r="J34" s="168"/>
      <c r="K34" s="168"/>
      <c r="L34" s="168"/>
      <c r="M34" s="168"/>
      <c r="N34" s="168"/>
      <c r="O34" s="120" t="s">
        <v>408</v>
      </c>
      <c r="P34" s="170" t="s">
        <v>379</v>
      </c>
      <c r="Q34" s="120" t="s">
        <v>388</v>
      </c>
      <c r="R34" s="120" t="s">
        <v>95</v>
      </c>
      <c r="S34" s="120" t="s">
        <v>382</v>
      </c>
      <c r="T34" s="120" t="s">
        <v>374</v>
      </c>
      <c r="U34" s="120" t="s">
        <v>408</v>
      </c>
      <c r="V34" s="120" t="s">
        <v>374</v>
      </c>
      <c r="W34" s="120" t="s">
        <v>409</v>
      </c>
      <c r="X34" s="120" t="s">
        <v>374</v>
      </c>
      <c r="Y34" s="120" t="s">
        <v>410</v>
      </c>
      <c r="Z34" s="120" t="s">
        <v>95</v>
      </c>
      <c r="AA34" s="120" t="s">
        <v>374</v>
      </c>
      <c r="AB34" s="120" t="s">
        <v>374</v>
      </c>
      <c r="AC34" s="120" t="s">
        <v>374</v>
      </c>
      <c r="AD34" s="120" t="s">
        <v>374</v>
      </c>
      <c r="AE34" s="120" t="s">
        <v>374</v>
      </c>
      <c r="AF34" s="120" t="s">
        <v>374</v>
      </c>
      <c r="AG34" s="120" t="s">
        <v>374</v>
      </c>
      <c r="AH34" s="120" t="s">
        <v>374</v>
      </c>
      <c r="AI34" s="120" t="s">
        <v>374</v>
      </c>
      <c r="AJ34" s="120" t="s">
        <v>374</v>
      </c>
      <c r="AK34" s="120" t="s">
        <v>374</v>
      </c>
      <c r="AL34" s="120" t="s">
        <v>374</v>
      </c>
      <c r="AM34" s="120" t="s">
        <v>374</v>
      </c>
      <c r="AN34" s="120" t="s">
        <v>374</v>
      </c>
      <c r="AO34" s="120" t="s">
        <v>374</v>
      </c>
      <c r="AP34" s="120" t="s">
        <v>374</v>
      </c>
      <c r="AQ34" s="120" t="s">
        <v>374</v>
      </c>
      <c r="AR34" s="120" t="s">
        <v>374</v>
      </c>
      <c r="AS34" s="120" t="s">
        <v>374</v>
      </c>
      <c r="AT34" s="120" t="s">
        <v>374</v>
      </c>
      <c r="AU34" s="120" t="s">
        <v>374</v>
      </c>
      <c r="AV34" s="120" t="s">
        <v>374</v>
      </c>
      <c r="AW34" s="120" t="s">
        <v>374</v>
      </c>
      <c r="AX34" s="120" t="s">
        <v>374</v>
      </c>
      <c r="AY34" s="120" t="s">
        <v>374</v>
      </c>
      <c r="AZ34" s="120" t="s">
        <v>374</v>
      </c>
      <c r="BA34" s="120" t="s">
        <v>374</v>
      </c>
      <c r="BB34" s="120" t="s">
        <v>374</v>
      </c>
      <c r="BC34" s="120" t="s">
        <v>374</v>
      </c>
      <c r="BD34" s="120" t="s">
        <v>374</v>
      </c>
      <c r="BE34" s="120" t="s">
        <v>374</v>
      </c>
      <c r="BF34" s="120" t="s">
        <v>374</v>
      </c>
      <c r="BG34" s="120" t="s">
        <v>374</v>
      </c>
      <c r="BH34" s="120" t="s">
        <v>374</v>
      </c>
      <c r="BI34" s="120" t="s">
        <v>374</v>
      </c>
      <c r="BJ34" s="120" t="s">
        <v>374</v>
      </c>
      <c r="BK34" s="120" t="s">
        <v>374</v>
      </c>
      <c r="BL34" s="120" t="s">
        <v>374</v>
      </c>
      <c r="BM34" s="120" t="s">
        <v>374</v>
      </c>
      <c r="BN34" s="120" t="s">
        <v>374</v>
      </c>
      <c r="BO34" s="120" t="s">
        <v>374</v>
      </c>
      <c r="BP34" s="120" t="s">
        <v>374</v>
      </c>
      <c r="BQ34" s="120" t="s">
        <v>374</v>
      </c>
      <c r="BR34" s="120" t="s">
        <v>374</v>
      </c>
      <c r="BS34" s="120" t="s">
        <v>374</v>
      </c>
      <c r="BT34" s="120" t="s">
        <v>374</v>
      </c>
      <c r="BU34" s="120" t="s">
        <v>374</v>
      </c>
      <c r="BV34" s="120" t="s">
        <v>374</v>
      </c>
      <c r="BW34" s="120" t="s">
        <v>374</v>
      </c>
      <c r="BX34" s="120" t="s">
        <v>374</v>
      </c>
      <c r="BY34" s="120" t="s">
        <v>374</v>
      </c>
      <c r="BZ34" s="120" t="s">
        <v>374</v>
      </c>
      <c r="CA34" s="120" t="s">
        <v>374</v>
      </c>
      <c r="CB34" s="120" t="s">
        <v>374</v>
      </c>
      <c r="CC34" s="120" t="s">
        <v>374</v>
      </c>
      <c r="CD34" s="120" t="s">
        <v>374</v>
      </c>
      <c r="CE34" s="120" t="s">
        <v>374</v>
      </c>
      <c r="CF34" s="120" t="s">
        <v>374</v>
      </c>
      <c r="CG34" s="120" t="s">
        <v>374</v>
      </c>
      <c r="CH34" s="120" t="s">
        <v>374</v>
      </c>
      <c r="CI34" s="120" t="s">
        <v>374</v>
      </c>
      <c r="CJ34" s="120" t="s">
        <v>374</v>
      </c>
      <c r="CK34" s="120" t="s">
        <v>374</v>
      </c>
      <c r="CL34" s="120" t="s">
        <v>374</v>
      </c>
      <c r="CM34" s="120" t="s">
        <v>374</v>
      </c>
      <c r="CN34" s="120" t="s">
        <v>374</v>
      </c>
      <c r="CO34" s="120" t="s">
        <v>374</v>
      </c>
      <c r="CP34" s="120" t="s">
        <v>374</v>
      </c>
      <c r="CQ34" s="120" t="s">
        <v>374</v>
      </c>
      <c r="CR34" s="120" t="s">
        <v>374</v>
      </c>
      <c r="CS34" s="120" t="s">
        <v>374</v>
      </c>
      <c r="CT34" s="120" t="s">
        <v>374</v>
      </c>
      <c r="CU34" s="120" t="s">
        <v>374</v>
      </c>
      <c r="CV34" s="120" t="s">
        <v>374</v>
      </c>
      <c r="CW34" s="120" t="s">
        <v>374</v>
      </c>
      <c r="CX34" s="120" t="s">
        <v>374</v>
      </c>
      <c r="CY34" s="120" t="s">
        <v>374</v>
      </c>
      <c r="CZ34" s="120" t="s">
        <v>374</v>
      </c>
      <c r="DA34" s="120" t="s">
        <v>374</v>
      </c>
      <c r="DB34" s="120" t="s">
        <v>374</v>
      </c>
      <c r="DC34" s="120" t="s">
        <v>374</v>
      </c>
    </row>
    <row r="35" spans="2:107" ht="30">
      <c r="B35" s="173"/>
      <c r="C35" s="173"/>
      <c r="D35" s="173"/>
      <c r="E35" s="173"/>
      <c r="F35" s="173"/>
      <c r="G35" s="173"/>
      <c r="H35" s="168"/>
      <c r="I35" s="168"/>
      <c r="J35" s="168"/>
      <c r="K35" s="168"/>
      <c r="L35" s="168"/>
      <c r="M35" s="168"/>
      <c r="N35" s="168"/>
      <c r="O35" s="120" t="s">
        <v>411</v>
      </c>
      <c r="P35" s="170" t="s">
        <v>379</v>
      </c>
      <c r="Q35" s="120" t="s">
        <v>388</v>
      </c>
      <c r="R35" s="120" t="s">
        <v>95</v>
      </c>
      <c r="S35" s="120" t="s">
        <v>382</v>
      </c>
      <c r="T35" s="120" t="s">
        <v>374</v>
      </c>
      <c r="U35" s="120" t="s">
        <v>411</v>
      </c>
      <c r="V35" s="120" t="s">
        <v>374</v>
      </c>
      <c r="W35" s="120" t="s">
        <v>412</v>
      </c>
      <c r="X35" s="120" t="s">
        <v>374</v>
      </c>
      <c r="Y35" s="120" t="s">
        <v>410</v>
      </c>
      <c r="Z35" s="120" t="s">
        <v>95</v>
      </c>
      <c r="AA35" s="120" t="s">
        <v>374</v>
      </c>
      <c r="AB35" s="120" t="s">
        <v>374</v>
      </c>
      <c r="AC35" s="120" t="s">
        <v>374</v>
      </c>
      <c r="AD35" s="120" t="s">
        <v>374</v>
      </c>
      <c r="AE35" s="120" t="s">
        <v>374</v>
      </c>
      <c r="AF35" s="120" t="s">
        <v>374</v>
      </c>
      <c r="AG35" s="120" t="s">
        <v>374</v>
      </c>
      <c r="AH35" s="120" t="s">
        <v>374</v>
      </c>
      <c r="AI35" s="120" t="s">
        <v>374</v>
      </c>
      <c r="AJ35" s="120" t="s">
        <v>374</v>
      </c>
      <c r="AK35" s="120" t="s">
        <v>374</v>
      </c>
      <c r="AL35" s="120" t="s">
        <v>374</v>
      </c>
      <c r="AM35" s="120" t="s">
        <v>374</v>
      </c>
      <c r="AN35" s="120" t="s">
        <v>374</v>
      </c>
      <c r="AO35" s="120" t="s">
        <v>374</v>
      </c>
      <c r="AP35" s="120" t="s">
        <v>374</v>
      </c>
      <c r="AQ35" s="120" t="s">
        <v>374</v>
      </c>
      <c r="AR35" s="120" t="s">
        <v>374</v>
      </c>
      <c r="AS35" s="120" t="s">
        <v>374</v>
      </c>
      <c r="AT35" s="120" t="s">
        <v>374</v>
      </c>
      <c r="AU35" s="120" t="s">
        <v>374</v>
      </c>
      <c r="AV35" s="120" t="s">
        <v>374</v>
      </c>
      <c r="AW35" s="120" t="s">
        <v>374</v>
      </c>
      <c r="AX35" s="120" t="s">
        <v>374</v>
      </c>
      <c r="AY35" s="120" t="s">
        <v>374</v>
      </c>
      <c r="AZ35" s="120" t="s">
        <v>374</v>
      </c>
      <c r="BA35" s="120" t="s">
        <v>374</v>
      </c>
      <c r="BB35" s="120" t="s">
        <v>374</v>
      </c>
      <c r="BC35" s="120" t="s">
        <v>374</v>
      </c>
      <c r="BD35" s="120" t="s">
        <v>374</v>
      </c>
      <c r="BE35" s="120" t="s">
        <v>374</v>
      </c>
      <c r="BF35" s="120" t="s">
        <v>374</v>
      </c>
      <c r="BG35" s="120" t="s">
        <v>374</v>
      </c>
      <c r="BH35" s="120" t="s">
        <v>374</v>
      </c>
      <c r="BI35" s="120" t="s">
        <v>374</v>
      </c>
      <c r="BJ35" s="120" t="s">
        <v>374</v>
      </c>
      <c r="BK35" s="120" t="s">
        <v>374</v>
      </c>
      <c r="BL35" s="120" t="s">
        <v>374</v>
      </c>
      <c r="BM35" s="120" t="s">
        <v>374</v>
      </c>
      <c r="BN35" s="120" t="s">
        <v>374</v>
      </c>
      <c r="BO35" s="120" t="s">
        <v>374</v>
      </c>
      <c r="BP35" s="120" t="s">
        <v>374</v>
      </c>
      <c r="BQ35" s="120" t="s">
        <v>374</v>
      </c>
      <c r="BR35" s="120" t="s">
        <v>374</v>
      </c>
      <c r="BS35" s="120" t="s">
        <v>374</v>
      </c>
      <c r="BT35" s="120" t="s">
        <v>374</v>
      </c>
      <c r="BU35" s="120" t="s">
        <v>374</v>
      </c>
      <c r="BV35" s="120" t="s">
        <v>374</v>
      </c>
      <c r="BW35" s="120" t="s">
        <v>374</v>
      </c>
      <c r="BX35" s="120" t="s">
        <v>374</v>
      </c>
      <c r="BY35" s="120" t="s">
        <v>374</v>
      </c>
      <c r="BZ35" s="120" t="s">
        <v>374</v>
      </c>
      <c r="CA35" s="120" t="s">
        <v>374</v>
      </c>
      <c r="CB35" s="120" t="s">
        <v>374</v>
      </c>
      <c r="CC35" s="120" t="s">
        <v>374</v>
      </c>
      <c r="CD35" s="120" t="s">
        <v>374</v>
      </c>
      <c r="CE35" s="120" t="s">
        <v>374</v>
      </c>
      <c r="CF35" s="120" t="s">
        <v>374</v>
      </c>
      <c r="CG35" s="120" t="s">
        <v>374</v>
      </c>
      <c r="CH35" s="120" t="s">
        <v>374</v>
      </c>
      <c r="CI35" s="120" t="s">
        <v>374</v>
      </c>
      <c r="CJ35" s="120" t="s">
        <v>374</v>
      </c>
      <c r="CK35" s="120" t="s">
        <v>374</v>
      </c>
      <c r="CL35" s="120" t="s">
        <v>374</v>
      </c>
      <c r="CM35" s="120" t="s">
        <v>374</v>
      </c>
      <c r="CN35" s="120" t="s">
        <v>374</v>
      </c>
      <c r="CO35" s="120" t="s">
        <v>374</v>
      </c>
      <c r="CP35" s="120" t="s">
        <v>374</v>
      </c>
      <c r="CQ35" s="120" t="s">
        <v>374</v>
      </c>
      <c r="CR35" s="120" t="s">
        <v>374</v>
      </c>
      <c r="CS35" s="120" t="s">
        <v>374</v>
      </c>
      <c r="CT35" s="120" t="s">
        <v>374</v>
      </c>
      <c r="CU35" s="120" t="s">
        <v>374</v>
      </c>
      <c r="CV35" s="120" t="s">
        <v>374</v>
      </c>
      <c r="CW35" s="120" t="s">
        <v>374</v>
      </c>
      <c r="CX35" s="120" t="s">
        <v>374</v>
      </c>
      <c r="CY35" s="120" t="s">
        <v>374</v>
      </c>
      <c r="CZ35" s="120" t="s">
        <v>374</v>
      </c>
      <c r="DA35" s="120" t="s">
        <v>374</v>
      </c>
      <c r="DB35" s="120" t="s">
        <v>374</v>
      </c>
      <c r="DC35" s="120" t="s">
        <v>374</v>
      </c>
    </row>
    <row r="36" spans="2:107" ht="30">
      <c r="B36" s="173"/>
      <c r="C36" s="173"/>
      <c r="D36" s="173"/>
      <c r="E36" s="173"/>
      <c r="F36" s="173"/>
      <c r="G36" s="173"/>
      <c r="H36" s="168"/>
      <c r="I36" s="168"/>
      <c r="J36" s="168"/>
      <c r="K36" s="168"/>
      <c r="L36" s="168"/>
      <c r="M36" s="168"/>
      <c r="N36" s="168"/>
      <c r="O36" s="120" t="s">
        <v>413</v>
      </c>
      <c r="P36" s="170" t="s">
        <v>379</v>
      </c>
      <c r="Q36" s="120" t="s">
        <v>388</v>
      </c>
      <c r="R36" s="120" t="s">
        <v>95</v>
      </c>
      <c r="S36" s="120" t="s">
        <v>382</v>
      </c>
      <c r="T36" s="120" t="s">
        <v>374</v>
      </c>
      <c r="U36" s="120" t="s">
        <v>413</v>
      </c>
      <c r="V36" s="120" t="s">
        <v>374</v>
      </c>
      <c r="W36" s="120" t="s">
        <v>414</v>
      </c>
      <c r="X36" s="120" t="s">
        <v>374</v>
      </c>
      <c r="Y36" s="120" t="s">
        <v>415</v>
      </c>
      <c r="Z36" s="120" t="s">
        <v>95</v>
      </c>
      <c r="AA36" s="120" t="s">
        <v>374</v>
      </c>
      <c r="AB36" s="120" t="s">
        <v>374</v>
      </c>
      <c r="AC36" s="120" t="s">
        <v>374</v>
      </c>
      <c r="AD36" s="120" t="s">
        <v>374</v>
      </c>
      <c r="AE36" s="120" t="s">
        <v>374</v>
      </c>
      <c r="AF36" s="120" t="s">
        <v>374</v>
      </c>
      <c r="AG36" s="120" t="s">
        <v>374</v>
      </c>
      <c r="AH36" s="120" t="s">
        <v>374</v>
      </c>
      <c r="AI36" s="120" t="s">
        <v>374</v>
      </c>
      <c r="AJ36" s="120" t="s">
        <v>374</v>
      </c>
      <c r="AK36" s="120" t="s">
        <v>374</v>
      </c>
      <c r="AL36" s="120" t="s">
        <v>374</v>
      </c>
      <c r="AM36" s="120" t="s">
        <v>374</v>
      </c>
      <c r="AN36" s="120" t="s">
        <v>374</v>
      </c>
      <c r="AO36" s="120" t="s">
        <v>374</v>
      </c>
      <c r="AP36" s="120" t="s">
        <v>374</v>
      </c>
      <c r="AQ36" s="120" t="s">
        <v>374</v>
      </c>
      <c r="AR36" s="120" t="s">
        <v>374</v>
      </c>
      <c r="AS36" s="120" t="s">
        <v>374</v>
      </c>
      <c r="AT36" s="120" t="s">
        <v>374</v>
      </c>
      <c r="AU36" s="120" t="s">
        <v>374</v>
      </c>
      <c r="AV36" s="120" t="s">
        <v>374</v>
      </c>
      <c r="AW36" s="120" t="s">
        <v>374</v>
      </c>
      <c r="AX36" s="120" t="s">
        <v>374</v>
      </c>
      <c r="AY36" s="120" t="s">
        <v>374</v>
      </c>
      <c r="AZ36" s="120" t="s">
        <v>374</v>
      </c>
      <c r="BA36" s="120" t="s">
        <v>374</v>
      </c>
      <c r="BB36" s="120" t="s">
        <v>374</v>
      </c>
      <c r="BC36" s="120" t="s">
        <v>374</v>
      </c>
      <c r="BD36" s="120" t="s">
        <v>374</v>
      </c>
      <c r="BE36" s="120" t="s">
        <v>374</v>
      </c>
      <c r="BF36" s="120" t="s">
        <v>374</v>
      </c>
      <c r="BG36" s="120" t="s">
        <v>374</v>
      </c>
      <c r="BH36" s="120" t="s">
        <v>374</v>
      </c>
      <c r="BI36" s="120" t="s">
        <v>374</v>
      </c>
      <c r="BJ36" s="120" t="s">
        <v>374</v>
      </c>
      <c r="BK36" s="120" t="s">
        <v>374</v>
      </c>
      <c r="BL36" s="120" t="s">
        <v>374</v>
      </c>
      <c r="BM36" s="120" t="s">
        <v>374</v>
      </c>
      <c r="BN36" s="120" t="s">
        <v>374</v>
      </c>
      <c r="BO36" s="120" t="s">
        <v>374</v>
      </c>
      <c r="BP36" s="120" t="s">
        <v>374</v>
      </c>
      <c r="BQ36" s="120" t="s">
        <v>374</v>
      </c>
      <c r="BR36" s="120" t="s">
        <v>374</v>
      </c>
      <c r="BS36" s="120" t="s">
        <v>374</v>
      </c>
      <c r="BT36" s="120" t="s">
        <v>374</v>
      </c>
      <c r="BU36" s="120" t="s">
        <v>374</v>
      </c>
      <c r="BV36" s="120" t="s">
        <v>374</v>
      </c>
      <c r="BW36" s="120" t="s">
        <v>374</v>
      </c>
      <c r="BX36" s="120" t="s">
        <v>374</v>
      </c>
      <c r="BY36" s="120" t="s">
        <v>374</v>
      </c>
      <c r="BZ36" s="120" t="s">
        <v>374</v>
      </c>
      <c r="CA36" s="120" t="s">
        <v>374</v>
      </c>
      <c r="CB36" s="120" t="s">
        <v>374</v>
      </c>
      <c r="CC36" s="120" t="s">
        <v>374</v>
      </c>
      <c r="CD36" s="120" t="s">
        <v>374</v>
      </c>
      <c r="CE36" s="120" t="s">
        <v>374</v>
      </c>
      <c r="CF36" s="120" t="s">
        <v>374</v>
      </c>
      <c r="CG36" s="120" t="s">
        <v>374</v>
      </c>
      <c r="CH36" s="120" t="s">
        <v>374</v>
      </c>
      <c r="CI36" s="120" t="s">
        <v>374</v>
      </c>
      <c r="CJ36" s="120" t="s">
        <v>374</v>
      </c>
      <c r="CK36" s="120" t="s">
        <v>374</v>
      </c>
      <c r="CL36" s="120" t="s">
        <v>374</v>
      </c>
      <c r="CM36" s="120" t="s">
        <v>374</v>
      </c>
      <c r="CN36" s="120" t="s">
        <v>374</v>
      </c>
      <c r="CO36" s="120" t="s">
        <v>374</v>
      </c>
      <c r="CP36" s="120" t="s">
        <v>374</v>
      </c>
      <c r="CQ36" s="120" t="s">
        <v>374</v>
      </c>
      <c r="CR36" s="120" t="s">
        <v>374</v>
      </c>
      <c r="CS36" s="120" t="s">
        <v>374</v>
      </c>
      <c r="CT36" s="120" t="s">
        <v>374</v>
      </c>
      <c r="CU36" s="120" t="s">
        <v>374</v>
      </c>
      <c r="CV36" s="120" t="s">
        <v>374</v>
      </c>
      <c r="CW36" s="120" t="s">
        <v>374</v>
      </c>
      <c r="CX36" s="120" t="s">
        <v>374</v>
      </c>
      <c r="CY36" s="120" t="s">
        <v>374</v>
      </c>
      <c r="CZ36" s="120" t="s">
        <v>374</v>
      </c>
      <c r="DA36" s="120" t="s">
        <v>374</v>
      </c>
      <c r="DB36" s="120" t="s">
        <v>374</v>
      </c>
      <c r="DC36" s="120" t="s">
        <v>374</v>
      </c>
    </row>
    <row r="37" spans="2:107" ht="30">
      <c r="B37" s="173"/>
      <c r="C37" s="173"/>
      <c r="D37" s="173"/>
      <c r="E37" s="173"/>
      <c r="F37" s="173"/>
      <c r="G37" s="173"/>
      <c r="H37" s="168"/>
      <c r="I37" s="168"/>
      <c r="J37" s="168"/>
      <c r="K37" s="168"/>
      <c r="L37" s="168"/>
      <c r="M37" s="168"/>
      <c r="N37" s="168"/>
      <c r="O37" s="120" t="s">
        <v>416</v>
      </c>
      <c r="P37" s="170" t="s">
        <v>379</v>
      </c>
      <c r="Q37" s="120" t="s">
        <v>388</v>
      </c>
      <c r="R37" s="120" t="s">
        <v>95</v>
      </c>
      <c r="S37" s="120" t="s">
        <v>382</v>
      </c>
      <c r="T37" s="120" t="s">
        <v>374</v>
      </c>
      <c r="U37" s="120" t="s">
        <v>416</v>
      </c>
      <c r="V37" s="120" t="s">
        <v>374</v>
      </c>
      <c r="W37" s="120" t="s">
        <v>417</v>
      </c>
      <c r="X37" s="120" t="s">
        <v>374</v>
      </c>
      <c r="Y37" s="120" t="s">
        <v>415</v>
      </c>
      <c r="Z37" s="120" t="s">
        <v>95</v>
      </c>
      <c r="AA37" s="120" t="s">
        <v>374</v>
      </c>
      <c r="AB37" s="120" t="s">
        <v>374</v>
      </c>
      <c r="AC37" s="120" t="s">
        <v>374</v>
      </c>
      <c r="AD37" s="120" t="s">
        <v>374</v>
      </c>
      <c r="AE37" s="120" t="s">
        <v>374</v>
      </c>
      <c r="AF37" s="120" t="s">
        <v>374</v>
      </c>
      <c r="AG37" s="120" t="s">
        <v>374</v>
      </c>
      <c r="AH37" s="120" t="s">
        <v>374</v>
      </c>
      <c r="AI37" s="120" t="s">
        <v>374</v>
      </c>
      <c r="AJ37" s="120" t="s">
        <v>374</v>
      </c>
      <c r="AK37" s="120" t="s">
        <v>374</v>
      </c>
      <c r="AL37" s="120" t="s">
        <v>374</v>
      </c>
      <c r="AM37" s="120" t="s">
        <v>374</v>
      </c>
      <c r="AN37" s="120" t="s">
        <v>374</v>
      </c>
      <c r="AO37" s="120" t="s">
        <v>374</v>
      </c>
      <c r="AP37" s="120" t="s">
        <v>374</v>
      </c>
      <c r="AQ37" s="120" t="s">
        <v>374</v>
      </c>
      <c r="AR37" s="120" t="s">
        <v>374</v>
      </c>
      <c r="AS37" s="120" t="s">
        <v>374</v>
      </c>
      <c r="AT37" s="120" t="s">
        <v>374</v>
      </c>
      <c r="AU37" s="120" t="s">
        <v>374</v>
      </c>
      <c r="AV37" s="120" t="s">
        <v>374</v>
      </c>
      <c r="AW37" s="120" t="s">
        <v>374</v>
      </c>
      <c r="AX37" s="120" t="s">
        <v>374</v>
      </c>
      <c r="AY37" s="120" t="s">
        <v>374</v>
      </c>
      <c r="AZ37" s="120" t="s">
        <v>374</v>
      </c>
      <c r="BA37" s="120" t="s">
        <v>374</v>
      </c>
      <c r="BB37" s="120" t="s">
        <v>374</v>
      </c>
      <c r="BC37" s="120" t="s">
        <v>374</v>
      </c>
      <c r="BD37" s="120" t="s">
        <v>374</v>
      </c>
      <c r="BE37" s="120" t="s">
        <v>374</v>
      </c>
      <c r="BF37" s="120" t="s">
        <v>374</v>
      </c>
      <c r="BG37" s="120" t="s">
        <v>374</v>
      </c>
      <c r="BH37" s="120" t="s">
        <v>374</v>
      </c>
      <c r="BI37" s="120" t="s">
        <v>374</v>
      </c>
      <c r="BJ37" s="120" t="s">
        <v>374</v>
      </c>
      <c r="BK37" s="120" t="s">
        <v>374</v>
      </c>
      <c r="BL37" s="120" t="s">
        <v>374</v>
      </c>
      <c r="BM37" s="120" t="s">
        <v>374</v>
      </c>
      <c r="BN37" s="120" t="s">
        <v>374</v>
      </c>
      <c r="BO37" s="120" t="s">
        <v>374</v>
      </c>
      <c r="BP37" s="120" t="s">
        <v>374</v>
      </c>
      <c r="BQ37" s="120" t="s">
        <v>374</v>
      </c>
      <c r="BR37" s="120" t="s">
        <v>374</v>
      </c>
      <c r="BS37" s="120" t="s">
        <v>374</v>
      </c>
      <c r="BT37" s="120" t="s">
        <v>374</v>
      </c>
      <c r="BU37" s="120" t="s">
        <v>374</v>
      </c>
      <c r="BV37" s="120" t="s">
        <v>374</v>
      </c>
      <c r="BW37" s="120" t="s">
        <v>374</v>
      </c>
      <c r="BX37" s="120" t="s">
        <v>374</v>
      </c>
      <c r="BY37" s="120" t="s">
        <v>374</v>
      </c>
      <c r="BZ37" s="120" t="s">
        <v>374</v>
      </c>
      <c r="CA37" s="120" t="s">
        <v>374</v>
      </c>
      <c r="CB37" s="120" t="s">
        <v>374</v>
      </c>
      <c r="CC37" s="120" t="s">
        <v>374</v>
      </c>
      <c r="CD37" s="120" t="s">
        <v>374</v>
      </c>
      <c r="CE37" s="120" t="s">
        <v>374</v>
      </c>
      <c r="CF37" s="120" t="s">
        <v>374</v>
      </c>
      <c r="CG37" s="120" t="s">
        <v>374</v>
      </c>
      <c r="CH37" s="120" t="s">
        <v>374</v>
      </c>
      <c r="CI37" s="120" t="s">
        <v>374</v>
      </c>
      <c r="CJ37" s="120" t="s">
        <v>374</v>
      </c>
      <c r="CK37" s="120" t="s">
        <v>374</v>
      </c>
      <c r="CL37" s="120" t="s">
        <v>374</v>
      </c>
      <c r="CM37" s="120" t="s">
        <v>374</v>
      </c>
      <c r="CN37" s="120" t="s">
        <v>374</v>
      </c>
      <c r="CO37" s="120" t="s">
        <v>374</v>
      </c>
      <c r="CP37" s="120" t="s">
        <v>374</v>
      </c>
      <c r="CQ37" s="120" t="s">
        <v>374</v>
      </c>
      <c r="CR37" s="120" t="s">
        <v>374</v>
      </c>
      <c r="CS37" s="120" t="s">
        <v>374</v>
      </c>
      <c r="CT37" s="120" t="s">
        <v>374</v>
      </c>
      <c r="CU37" s="120" t="s">
        <v>374</v>
      </c>
      <c r="CV37" s="120" t="s">
        <v>374</v>
      </c>
      <c r="CW37" s="120" t="s">
        <v>374</v>
      </c>
      <c r="CX37" s="120" t="s">
        <v>374</v>
      </c>
      <c r="CY37" s="120" t="s">
        <v>374</v>
      </c>
      <c r="CZ37" s="120" t="s">
        <v>374</v>
      </c>
      <c r="DA37" s="120" t="s">
        <v>374</v>
      </c>
      <c r="DB37" s="120" t="s">
        <v>374</v>
      </c>
      <c r="DC37" s="120" t="s">
        <v>374</v>
      </c>
    </row>
    <row r="38" spans="2:107" ht="30">
      <c r="B38" s="173"/>
      <c r="C38" s="173"/>
      <c r="D38" s="173"/>
      <c r="E38" s="173"/>
      <c r="F38" s="173"/>
      <c r="G38" s="173"/>
      <c r="H38" s="168"/>
      <c r="I38" s="168"/>
      <c r="J38" s="168"/>
      <c r="K38" s="168"/>
      <c r="L38" s="168"/>
      <c r="M38" s="168"/>
      <c r="N38" s="168"/>
      <c r="O38" s="120" t="s">
        <v>418</v>
      </c>
      <c r="P38" s="170" t="s">
        <v>379</v>
      </c>
      <c r="Q38" s="120" t="s">
        <v>388</v>
      </c>
      <c r="R38" s="120" t="s">
        <v>95</v>
      </c>
      <c r="S38" s="120" t="s">
        <v>382</v>
      </c>
      <c r="T38" s="120" t="s">
        <v>374</v>
      </c>
      <c r="U38" s="120" t="s">
        <v>418</v>
      </c>
      <c r="V38" s="120" t="s">
        <v>374</v>
      </c>
      <c r="W38" s="120" t="s">
        <v>419</v>
      </c>
      <c r="X38" s="120" t="s">
        <v>374</v>
      </c>
      <c r="Y38" s="120" t="s">
        <v>415</v>
      </c>
      <c r="Z38" s="120" t="s">
        <v>95</v>
      </c>
      <c r="AA38" s="120" t="s">
        <v>374</v>
      </c>
      <c r="AB38" s="120" t="s">
        <v>374</v>
      </c>
      <c r="AC38" s="120" t="s">
        <v>374</v>
      </c>
      <c r="AD38" s="120" t="s">
        <v>374</v>
      </c>
      <c r="AE38" s="120" t="s">
        <v>374</v>
      </c>
      <c r="AF38" s="120" t="s">
        <v>374</v>
      </c>
      <c r="AG38" s="120" t="s">
        <v>374</v>
      </c>
      <c r="AH38" s="120" t="s">
        <v>374</v>
      </c>
      <c r="AI38" s="120" t="s">
        <v>374</v>
      </c>
      <c r="AJ38" s="120" t="s">
        <v>374</v>
      </c>
      <c r="AK38" s="120" t="s">
        <v>374</v>
      </c>
      <c r="AL38" s="120" t="s">
        <v>374</v>
      </c>
      <c r="AM38" s="120" t="s">
        <v>374</v>
      </c>
      <c r="AN38" s="120" t="s">
        <v>374</v>
      </c>
      <c r="AO38" s="120" t="s">
        <v>374</v>
      </c>
      <c r="AP38" s="120" t="s">
        <v>374</v>
      </c>
      <c r="AQ38" s="120" t="s">
        <v>374</v>
      </c>
      <c r="AR38" s="120" t="s">
        <v>374</v>
      </c>
      <c r="AS38" s="120" t="s">
        <v>374</v>
      </c>
      <c r="AT38" s="120" t="s">
        <v>374</v>
      </c>
      <c r="AU38" s="120" t="s">
        <v>374</v>
      </c>
      <c r="AV38" s="120" t="s">
        <v>374</v>
      </c>
      <c r="AW38" s="120" t="s">
        <v>374</v>
      </c>
      <c r="AX38" s="120" t="s">
        <v>374</v>
      </c>
      <c r="AY38" s="120" t="s">
        <v>374</v>
      </c>
      <c r="AZ38" s="120" t="s">
        <v>374</v>
      </c>
      <c r="BA38" s="120" t="s">
        <v>374</v>
      </c>
      <c r="BB38" s="120" t="s">
        <v>374</v>
      </c>
      <c r="BC38" s="120" t="s">
        <v>374</v>
      </c>
      <c r="BD38" s="120" t="s">
        <v>374</v>
      </c>
      <c r="BE38" s="120" t="s">
        <v>374</v>
      </c>
      <c r="BF38" s="120" t="s">
        <v>374</v>
      </c>
      <c r="BG38" s="120" t="s">
        <v>374</v>
      </c>
      <c r="BH38" s="120" t="s">
        <v>374</v>
      </c>
      <c r="BI38" s="120" t="s">
        <v>374</v>
      </c>
      <c r="BJ38" s="120" t="s">
        <v>374</v>
      </c>
      <c r="BK38" s="120" t="s">
        <v>374</v>
      </c>
      <c r="BL38" s="120" t="s">
        <v>374</v>
      </c>
      <c r="BM38" s="120" t="s">
        <v>374</v>
      </c>
      <c r="BN38" s="120" t="s">
        <v>374</v>
      </c>
      <c r="BO38" s="120" t="s">
        <v>374</v>
      </c>
      <c r="BP38" s="120" t="s">
        <v>374</v>
      </c>
      <c r="BQ38" s="120" t="s">
        <v>374</v>
      </c>
      <c r="BR38" s="120" t="s">
        <v>374</v>
      </c>
      <c r="BS38" s="120" t="s">
        <v>374</v>
      </c>
      <c r="BT38" s="120" t="s">
        <v>374</v>
      </c>
      <c r="BU38" s="120" t="s">
        <v>374</v>
      </c>
      <c r="BV38" s="120" t="s">
        <v>374</v>
      </c>
      <c r="BW38" s="120" t="s">
        <v>374</v>
      </c>
      <c r="BX38" s="120" t="s">
        <v>374</v>
      </c>
      <c r="BY38" s="120" t="s">
        <v>374</v>
      </c>
      <c r="BZ38" s="120" t="s">
        <v>374</v>
      </c>
      <c r="CA38" s="120" t="s">
        <v>374</v>
      </c>
      <c r="CB38" s="120" t="s">
        <v>374</v>
      </c>
      <c r="CC38" s="120" t="s">
        <v>374</v>
      </c>
      <c r="CD38" s="120" t="s">
        <v>374</v>
      </c>
      <c r="CE38" s="120" t="s">
        <v>374</v>
      </c>
      <c r="CF38" s="120" t="s">
        <v>374</v>
      </c>
      <c r="CG38" s="120" t="s">
        <v>374</v>
      </c>
      <c r="CH38" s="120" t="s">
        <v>374</v>
      </c>
      <c r="CI38" s="120" t="s">
        <v>374</v>
      </c>
      <c r="CJ38" s="120" t="s">
        <v>374</v>
      </c>
      <c r="CK38" s="120" t="s">
        <v>374</v>
      </c>
      <c r="CL38" s="120" t="s">
        <v>374</v>
      </c>
      <c r="CM38" s="120" t="s">
        <v>374</v>
      </c>
      <c r="CN38" s="120" t="s">
        <v>374</v>
      </c>
      <c r="CO38" s="120" t="s">
        <v>374</v>
      </c>
      <c r="CP38" s="120" t="s">
        <v>374</v>
      </c>
      <c r="CQ38" s="120" t="s">
        <v>374</v>
      </c>
      <c r="CR38" s="120" t="s">
        <v>374</v>
      </c>
      <c r="CS38" s="120" t="s">
        <v>374</v>
      </c>
      <c r="CT38" s="120" t="s">
        <v>374</v>
      </c>
      <c r="CU38" s="120" t="s">
        <v>374</v>
      </c>
      <c r="CV38" s="120" t="s">
        <v>374</v>
      </c>
      <c r="CW38" s="120" t="s">
        <v>374</v>
      </c>
      <c r="CX38" s="120" t="s">
        <v>374</v>
      </c>
      <c r="CY38" s="120" t="s">
        <v>374</v>
      </c>
      <c r="CZ38" s="120" t="s">
        <v>374</v>
      </c>
      <c r="DA38" s="120" t="s">
        <v>374</v>
      </c>
      <c r="DB38" s="120" t="s">
        <v>374</v>
      </c>
      <c r="DC38" s="120" t="s">
        <v>374</v>
      </c>
    </row>
    <row r="39" spans="2:107" ht="30">
      <c r="B39" s="173"/>
      <c r="C39" s="173"/>
      <c r="D39" s="173"/>
      <c r="E39" s="173"/>
      <c r="F39" s="173"/>
      <c r="G39" s="173"/>
      <c r="H39" s="168"/>
      <c r="I39" s="168"/>
      <c r="J39" s="168"/>
      <c r="K39" s="168"/>
      <c r="L39" s="168"/>
      <c r="M39" s="168"/>
      <c r="N39" s="168"/>
      <c r="O39" s="120" t="s">
        <v>420</v>
      </c>
      <c r="P39" s="170" t="s">
        <v>379</v>
      </c>
      <c r="Q39" s="120" t="s">
        <v>388</v>
      </c>
      <c r="R39" s="120" t="s">
        <v>95</v>
      </c>
      <c r="S39" s="120" t="s">
        <v>382</v>
      </c>
      <c r="T39" s="120" t="s">
        <v>374</v>
      </c>
      <c r="U39" s="120" t="s">
        <v>420</v>
      </c>
      <c r="V39" s="120" t="s">
        <v>374</v>
      </c>
      <c r="W39" s="120" t="s">
        <v>421</v>
      </c>
      <c r="X39" s="120" t="s">
        <v>374</v>
      </c>
      <c r="Y39" s="120" t="s">
        <v>422</v>
      </c>
      <c r="Z39" s="120" t="s">
        <v>95</v>
      </c>
      <c r="AA39" s="120" t="s">
        <v>374</v>
      </c>
      <c r="AB39" s="120" t="s">
        <v>374</v>
      </c>
      <c r="AC39" s="120" t="s">
        <v>374</v>
      </c>
      <c r="AD39" s="120" t="s">
        <v>374</v>
      </c>
      <c r="AE39" s="120" t="s">
        <v>374</v>
      </c>
      <c r="AF39" s="120" t="s">
        <v>374</v>
      </c>
      <c r="AG39" s="120" t="s">
        <v>374</v>
      </c>
      <c r="AH39" s="120" t="s">
        <v>374</v>
      </c>
      <c r="AI39" s="120" t="s">
        <v>374</v>
      </c>
      <c r="AJ39" s="120" t="s">
        <v>374</v>
      </c>
      <c r="AK39" s="120" t="s">
        <v>374</v>
      </c>
      <c r="AL39" s="120" t="s">
        <v>374</v>
      </c>
      <c r="AM39" s="120" t="s">
        <v>374</v>
      </c>
      <c r="AN39" s="120" t="s">
        <v>374</v>
      </c>
      <c r="AO39" s="120" t="s">
        <v>374</v>
      </c>
      <c r="AP39" s="120" t="s">
        <v>374</v>
      </c>
      <c r="AQ39" s="120" t="s">
        <v>374</v>
      </c>
      <c r="AR39" s="120" t="s">
        <v>374</v>
      </c>
      <c r="AS39" s="120" t="s">
        <v>374</v>
      </c>
      <c r="AT39" s="120" t="s">
        <v>374</v>
      </c>
      <c r="AU39" s="120" t="s">
        <v>374</v>
      </c>
      <c r="AV39" s="120" t="s">
        <v>374</v>
      </c>
      <c r="AW39" s="120" t="s">
        <v>374</v>
      </c>
      <c r="AX39" s="120" t="s">
        <v>374</v>
      </c>
      <c r="AY39" s="120" t="s">
        <v>374</v>
      </c>
      <c r="AZ39" s="120" t="s">
        <v>374</v>
      </c>
      <c r="BA39" s="120" t="s">
        <v>374</v>
      </c>
      <c r="BB39" s="120" t="s">
        <v>374</v>
      </c>
      <c r="BC39" s="120" t="s">
        <v>374</v>
      </c>
      <c r="BD39" s="120" t="s">
        <v>374</v>
      </c>
      <c r="BE39" s="120" t="s">
        <v>374</v>
      </c>
      <c r="BF39" s="120" t="s">
        <v>374</v>
      </c>
      <c r="BG39" s="120" t="s">
        <v>374</v>
      </c>
      <c r="BH39" s="120" t="s">
        <v>374</v>
      </c>
      <c r="BI39" s="120" t="s">
        <v>374</v>
      </c>
      <c r="BJ39" s="120" t="s">
        <v>374</v>
      </c>
      <c r="BK39" s="120" t="s">
        <v>374</v>
      </c>
      <c r="BL39" s="120" t="s">
        <v>374</v>
      </c>
      <c r="BM39" s="120" t="s">
        <v>374</v>
      </c>
      <c r="BN39" s="120" t="s">
        <v>374</v>
      </c>
      <c r="BO39" s="120" t="s">
        <v>374</v>
      </c>
      <c r="BP39" s="120" t="s">
        <v>374</v>
      </c>
      <c r="BQ39" s="120" t="s">
        <v>374</v>
      </c>
      <c r="BR39" s="120" t="s">
        <v>374</v>
      </c>
      <c r="BS39" s="120" t="s">
        <v>374</v>
      </c>
      <c r="BT39" s="120" t="s">
        <v>374</v>
      </c>
      <c r="BU39" s="120" t="s">
        <v>374</v>
      </c>
      <c r="BV39" s="120" t="s">
        <v>374</v>
      </c>
      <c r="BW39" s="120" t="s">
        <v>374</v>
      </c>
      <c r="BX39" s="120" t="s">
        <v>374</v>
      </c>
      <c r="BY39" s="120" t="s">
        <v>374</v>
      </c>
      <c r="BZ39" s="120" t="s">
        <v>374</v>
      </c>
      <c r="CA39" s="120" t="s">
        <v>374</v>
      </c>
      <c r="CB39" s="120" t="s">
        <v>374</v>
      </c>
      <c r="CC39" s="120" t="s">
        <v>374</v>
      </c>
      <c r="CD39" s="120" t="s">
        <v>374</v>
      </c>
      <c r="CE39" s="120" t="s">
        <v>374</v>
      </c>
      <c r="CF39" s="120" t="s">
        <v>374</v>
      </c>
      <c r="CG39" s="120" t="s">
        <v>374</v>
      </c>
      <c r="CH39" s="120" t="s">
        <v>374</v>
      </c>
      <c r="CI39" s="120" t="s">
        <v>374</v>
      </c>
      <c r="CJ39" s="120" t="s">
        <v>374</v>
      </c>
      <c r="CK39" s="120" t="s">
        <v>374</v>
      </c>
      <c r="CL39" s="120" t="s">
        <v>374</v>
      </c>
      <c r="CM39" s="120" t="s">
        <v>374</v>
      </c>
      <c r="CN39" s="120" t="s">
        <v>374</v>
      </c>
      <c r="CO39" s="120" t="s">
        <v>374</v>
      </c>
      <c r="CP39" s="120" t="s">
        <v>374</v>
      </c>
      <c r="CQ39" s="120" t="s">
        <v>374</v>
      </c>
      <c r="CR39" s="120" t="s">
        <v>374</v>
      </c>
      <c r="CS39" s="120" t="s">
        <v>374</v>
      </c>
      <c r="CT39" s="120" t="s">
        <v>374</v>
      </c>
      <c r="CU39" s="120" t="s">
        <v>374</v>
      </c>
      <c r="CV39" s="120" t="s">
        <v>374</v>
      </c>
      <c r="CW39" s="120" t="s">
        <v>374</v>
      </c>
      <c r="CX39" s="120" t="s">
        <v>374</v>
      </c>
      <c r="CY39" s="120" t="s">
        <v>374</v>
      </c>
      <c r="CZ39" s="120" t="s">
        <v>374</v>
      </c>
      <c r="DA39" s="120" t="s">
        <v>374</v>
      </c>
      <c r="DB39" s="120" t="s">
        <v>374</v>
      </c>
      <c r="DC39" s="120" t="s">
        <v>374</v>
      </c>
    </row>
    <row r="40" spans="2:107" ht="30">
      <c r="B40" s="173"/>
      <c r="C40" s="173"/>
      <c r="D40" s="173"/>
      <c r="E40" s="173"/>
      <c r="F40" s="173"/>
      <c r="G40" s="173"/>
      <c r="H40" s="168"/>
      <c r="I40" s="168"/>
      <c r="J40" s="168"/>
      <c r="K40" s="168"/>
      <c r="L40" s="168"/>
      <c r="M40" s="168"/>
      <c r="N40" s="168"/>
      <c r="O40" s="120" t="s">
        <v>423</v>
      </c>
      <c r="P40" s="170" t="s">
        <v>379</v>
      </c>
      <c r="Q40" s="120" t="s">
        <v>388</v>
      </c>
      <c r="R40" s="120" t="s">
        <v>95</v>
      </c>
      <c r="S40" s="120" t="s">
        <v>382</v>
      </c>
      <c r="T40" s="120" t="s">
        <v>374</v>
      </c>
      <c r="U40" s="120" t="s">
        <v>423</v>
      </c>
      <c r="V40" s="120" t="s">
        <v>374</v>
      </c>
      <c r="W40" s="120" t="s">
        <v>385</v>
      </c>
      <c r="X40" s="120" t="s">
        <v>374</v>
      </c>
      <c r="Y40" s="120" t="s">
        <v>422</v>
      </c>
      <c r="Z40" s="120" t="s">
        <v>95</v>
      </c>
      <c r="AA40" s="120" t="s">
        <v>374</v>
      </c>
      <c r="AB40" s="120" t="s">
        <v>374</v>
      </c>
      <c r="AC40" s="120" t="s">
        <v>374</v>
      </c>
      <c r="AD40" s="120" t="s">
        <v>374</v>
      </c>
      <c r="AE40" s="120" t="s">
        <v>374</v>
      </c>
      <c r="AF40" s="120" t="s">
        <v>374</v>
      </c>
      <c r="AG40" s="120" t="s">
        <v>374</v>
      </c>
      <c r="AH40" s="120" t="s">
        <v>374</v>
      </c>
      <c r="AI40" s="120" t="s">
        <v>374</v>
      </c>
      <c r="AJ40" s="120" t="s">
        <v>374</v>
      </c>
      <c r="AK40" s="120" t="s">
        <v>374</v>
      </c>
      <c r="AL40" s="120" t="s">
        <v>374</v>
      </c>
      <c r="AM40" s="120" t="s">
        <v>374</v>
      </c>
      <c r="AN40" s="120" t="s">
        <v>374</v>
      </c>
      <c r="AO40" s="120" t="s">
        <v>374</v>
      </c>
      <c r="AP40" s="120" t="s">
        <v>374</v>
      </c>
      <c r="AQ40" s="120" t="s">
        <v>374</v>
      </c>
      <c r="AR40" s="120" t="s">
        <v>374</v>
      </c>
      <c r="AS40" s="120" t="s">
        <v>374</v>
      </c>
      <c r="AT40" s="120" t="s">
        <v>374</v>
      </c>
      <c r="AU40" s="120" t="s">
        <v>374</v>
      </c>
      <c r="AV40" s="120" t="s">
        <v>374</v>
      </c>
      <c r="AW40" s="120" t="s">
        <v>374</v>
      </c>
      <c r="AX40" s="120" t="s">
        <v>374</v>
      </c>
      <c r="AY40" s="120" t="s">
        <v>374</v>
      </c>
      <c r="AZ40" s="120" t="s">
        <v>374</v>
      </c>
      <c r="BA40" s="120" t="s">
        <v>374</v>
      </c>
      <c r="BB40" s="120" t="s">
        <v>374</v>
      </c>
      <c r="BC40" s="120" t="s">
        <v>374</v>
      </c>
      <c r="BD40" s="120" t="s">
        <v>374</v>
      </c>
      <c r="BE40" s="120" t="s">
        <v>374</v>
      </c>
      <c r="BF40" s="120" t="s">
        <v>374</v>
      </c>
      <c r="BG40" s="120" t="s">
        <v>374</v>
      </c>
      <c r="BH40" s="120" t="s">
        <v>374</v>
      </c>
      <c r="BI40" s="120" t="s">
        <v>374</v>
      </c>
      <c r="BJ40" s="120" t="s">
        <v>374</v>
      </c>
      <c r="BK40" s="120" t="s">
        <v>374</v>
      </c>
      <c r="BL40" s="120" t="s">
        <v>374</v>
      </c>
      <c r="BM40" s="120" t="s">
        <v>374</v>
      </c>
      <c r="BN40" s="120" t="s">
        <v>374</v>
      </c>
      <c r="BO40" s="120" t="s">
        <v>374</v>
      </c>
      <c r="BP40" s="120" t="s">
        <v>374</v>
      </c>
      <c r="BQ40" s="120" t="s">
        <v>374</v>
      </c>
      <c r="BR40" s="120" t="s">
        <v>374</v>
      </c>
      <c r="BS40" s="120" t="s">
        <v>374</v>
      </c>
      <c r="BT40" s="120" t="s">
        <v>374</v>
      </c>
      <c r="BU40" s="120" t="s">
        <v>374</v>
      </c>
      <c r="BV40" s="120" t="s">
        <v>374</v>
      </c>
      <c r="BW40" s="120" t="s">
        <v>374</v>
      </c>
      <c r="BX40" s="120" t="s">
        <v>374</v>
      </c>
      <c r="BY40" s="120" t="s">
        <v>374</v>
      </c>
      <c r="BZ40" s="120" t="s">
        <v>374</v>
      </c>
      <c r="CA40" s="120" t="s">
        <v>374</v>
      </c>
      <c r="CB40" s="120" t="s">
        <v>374</v>
      </c>
      <c r="CC40" s="120" t="s">
        <v>374</v>
      </c>
      <c r="CD40" s="120" t="s">
        <v>374</v>
      </c>
      <c r="CE40" s="120" t="s">
        <v>374</v>
      </c>
      <c r="CF40" s="120" t="s">
        <v>374</v>
      </c>
      <c r="CG40" s="120" t="s">
        <v>374</v>
      </c>
      <c r="CH40" s="120" t="s">
        <v>374</v>
      </c>
      <c r="CI40" s="120" t="s">
        <v>374</v>
      </c>
      <c r="CJ40" s="120" t="s">
        <v>374</v>
      </c>
      <c r="CK40" s="120" t="s">
        <v>374</v>
      </c>
      <c r="CL40" s="120" t="s">
        <v>374</v>
      </c>
      <c r="CM40" s="120" t="s">
        <v>374</v>
      </c>
      <c r="CN40" s="120" t="s">
        <v>374</v>
      </c>
      <c r="CO40" s="120" t="s">
        <v>374</v>
      </c>
      <c r="CP40" s="120" t="s">
        <v>374</v>
      </c>
      <c r="CQ40" s="120" t="s">
        <v>374</v>
      </c>
      <c r="CR40" s="120" t="s">
        <v>374</v>
      </c>
      <c r="CS40" s="120" t="s">
        <v>374</v>
      </c>
      <c r="CT40" s="120" t="s">
        <v>374</v>
      </c>
      <c r="CU40" s="120" t="s">
        <v>374</v>
      </c>
      <c r="CV40" s="120" t="s">
        <v>374</v>
      </c>
      <c r="CW40" s="120" t="s">
        <v>374</v>
      </c>
      <c r="CX40" s="120" t="s">
        <v>374</v>
      </c>
      <c r="CY40" s="120" t="s">
        <v>374</v>
      </c>
      <c r="CZ40" s="120" t="s">
        <v>374</v>
      </c>
      <c r="DA40" s="120" t="s">
        <v>374</v>
      </c>
      <c r="DB40" s="120" t="s">
        <v>374</v>
      </c>
      <c r="DC40" s="120" t="s">
        <v>374</v>
      </c>
    </row>
    <row r="41" spans="2:107" ht="30">
      <c r="B41" s="173"/>
      <c r="C41" s="173"/>
      <c r="D41" s="173"/>
      <c r="E41" s="173"/>
      <c r="F41" s="173"/>
      <c r="G41" s="173"/>
      <c r="H41" s="168"/>
      <c r="I41" s="168"/>
      <c r="J41" s="168"/>
      <c r="K41" s="168"/>
      <c r="L41" s="168"/>
      <c r="M41" s="168"/>
      <c r="N41" s="168"/>
      <c r="O41" s="120" t="s">
        <v>424</v>
      </c>
      <c r="P41" s="170" t="s">
        <v>379</v>
      </c>
      <c r="Q41" s="120" t="s">
        <v>388</v>
      </c>
      <c r="R41" s="120" t="s">
        <v>95</v>
      </c>
      <c r="S41" s="120" t="s">
        <v>382</v>
      </c>
      <c r="T41" s="120" t="s">
        <v>374</v>
      </c>
      <c r="U41" s="120" t="s">
        <v>424</v>
      </c>
      <c r="V41" s="120" t="s">
        <v>374</v>
      </c>
      <c r="W41" s="120" t="s">
        <v>425</v>
      </c>
      <c r="X41" s="120" t="s">
        <v>374</v>
      </c>
      <c r="Y41" s="120" t="s">
        <v>426</v>
      </c>
      <c r="Z41" s="120" t="s">
        <v>95</v>
      </c>
      <c r="AA41" s="120" t="s">
        <v>374</v>
      </c>
      <c r="AB41" s="120" t="s">
        <v>374</v>
      </c>
      <c r="AC41" s="120" t="s">
        <v>374</v>
      </c>
      <c r="AD41" s="120" t="s">
        <v>374</v>
      </c>
      <c r="AE41" s="120" t="s">
        <v>374</v>
      </c>
      <c r="AF41" s="120" t="s">
        <v>374</v>
      </c>
      <c r="AG41" s="120" t="s">
        <v>374</v>
      </c>
      <c r="AH41" s="120" t="s">
        <v>374</v>
      </c>
      <c r="AI41" s="120" t="s">
        <v>374</v>
      </c>
      <c r="AJ41" s="120" t="s">
        <v>374</v>
      </c>
      <c r="AK41" s="120" t="s">
        <v>374</v>
      </c>
      <c r="AL41" s="120" t="s">
        <v>374</v>
      </c>
      <c r="AM41" s="120" t="s">
        <v>374</v>
      </c>
      <c r="AN41" s="120" t="s">
        <v>374</v>
      </c>
      <c r="AO41" s="120" t="s">
        <v>374</v>
      </c>
      <c r="AP41" s="120" t="s">
        <v>374</v>
      </c>
      <c r="AQ41" s="120" t="s">
        <v>374</v>
      </c>
      <c r="AR41" s="120" t="s">
        <v>374</v>
      </c>
      <c r="AS41" s="120" t="s">
        <v>374</v>
      </c>
      <c r="AT41" s="120" t="s">
        <v>374</v>
      </c>
      <c r="AU41" s="120" t="s">
        <v>374</v>
      </c>
      <c r="AV41" s="120" t="s">
        <v>374</v>
      </c>
      <c r="AW41" s="120" t="s">
        <v>374</v>
      </c>
      <c r="AX41" s="120" t="s">
        <v>374</v>
      </c>
      <c r="AY41" s="120" t="s">
        <v>374</v>
      </c>
      <c r="AZ41" s="120" t="s">
        <v>374</v>
      </c>
      <c r="BA41" s="120" t="s">
        <v>374</v>
      </c>
      <c r="BB41" s="120" t="s">
        <v>374</v>
      </c>
      <c r="BC41" s="120" t="s">
        <v>374</v>
      </c>
      <c r="BD41" s="120" t="s">
        <v>374</v>
      </c>
      <c r="BE41" s="120" t="s">
        <v>374</v>
      </c>
      <c r="BF41" s="120" t="s">
        <v>374</v>
      </c>
      <c r="BG41" s="120" t="s">
        <v>374</v>
      </c>
      <c r="BH41" s="120" t="s">
        <v>374</v>
      </c>
      <c r="BI41" s="120" t="s">
        <v>374</v>
      </c>
      <c r="BJ41" s="120" t="s">
        <v>374</v>
      </c>
      <c r="BK41" s="120" t="s">
        <v>374</v>
      </c>
      <c r="BL41" s="120" t="s">
        <v>374</v>
      </c>
      <c r="BM41" s="120" t="s">
        <v>374</v>
      </c>
      <c r="BN41" s="120" t="s">
        <v>374</v>
      </c>
      <c r="BO41" s="120" t="s">
        <v>374</v>
      </c>
      <c r="BP41" s="120" t="s">
        <v>374</v>
      </c>
      <c r="BQ41" s="120" t="s">
        <v>374</v>
      </c>
      <c r="BR41" s="120" t="s">
        <v>374</v>
      </c>
      <c r="BS41" s="120" t="s">
        <v>374</v>
      </c>
      <c r="BT41" s="120" t="s">
        <v>374</v>
      </c>
      <c r="BU41" s="120" t="s">
        <v>374</v>
      </c>
      <c r="BV41" s="120" t="s">
        <v>374</v>
      </c>
      <c r="BW41" s="120" t="s">
        <v>374</v>
      </c>
      <c r="BX41" s="120" t="s">
        <v>374</v>
      </c>
      <c r="BY41" s="120" t="s">
        <v>374</v>
      </c>
      <c r="BZ41" s="120" t="s">
        <v>374</v>
      </c>
      <c r="CA41" s="120" t="s">
        <v>374</v>
      </c>
      <c r="CB41" s="120" t="s">
        <v>374</v>
      </c>
      <c r="CC41" s="120" t="s">
        <v>374</v>
      </c>
      <c r="CD41" s="120" t="s">
        <v>374</v>
      </c>
      <c r="CE41" s="120" t="s">
        <v>374</v>
      </c>
      <c r="CF41" s="120" t="s">
        <v>374</v>
      </c>
      <c r="CG41" s="120" t="s">
        <v>374</v>
      </c>
      <c r="CH41" s="120" t="s">
        <v>374</v>
      </c>
      <c r="CI41" s="120" t="s">
        <v>374</v>
      </c>
      <c r="CJ41" s="120" t="s">
        <v>374</v>
      </c>
      <c r="CK41" s="120" t="s">
        <v>374</v>
      </c>
      <c r="CL41" s="120" t="s">
        <v>374</v>
      </c>
      <c r="CM41" s="120" t="s">
        <v>374</v>
      </c>
      <c r="CN41" s="120" t="s">
        <v>374</v>
      </c>
      <c r="CO41" s="120" t="s">
        <v>374</v>
      </c>
      <c r="CP41" s="120" t="s">
        <v>374</v>
      </c>
      <c r="CQ41" s="120" t="s">
        <v>374</v>
      </c>
      <c r="CR41" s="120" t="s">
        <v>374</v>
      </c>
      <c r="CS41" s="120" t="s">
        <v>374</v>
      </c>
      <c r="CT41" s="120" t="s">
        <v>374</v>
      </c>
      <c r="CU41" s="120" t="s">
        <v>374</v>
      </c>
      <c r="CV41" s="120" t="s">
        <v>374</v>
      </c>
      <c r="CW41" s="120" t="s">
        <v>374</v>
      </c>
      <c r="CX41" s="120" t="s">
        <v>374</v>
      </c>
      <c r="CY41" s="120" t="s">
        <v>374</v>
      </c>
      <c r="CZ41" s="120" t="s">
        <v>374</v>
      </c>
      <c r="DA41" s="120" t="s">
        <v>374</v>
      </c>
      <c r="DB41" s="120" t="s">
        <v>374</v>
      </c>
      <c r="DC41" s="120" t="s">
        <v>374</v>
      </c>
    </row>
    <row r="42" spans="2:107" ht="30">
      <c r="B42" s="173"/>
      <c r="C42" s="173"/>
      <c r="D42" s="173"/>
      <c r="E42" s="173"/>
      <c r="F42" s="173"/>
      <c r="G42" s="173"/>
      <c r="H42" s="168"/>
      <c r="I42" s="168"/>
      <c r="J42" s="168"/>
      <c r="K42" s="168"/>
      <c r="L42" s="168"/>
      <c r="M42" s="168"/>
      <c r="N42" s="168"/>
      <c r="O42" s="120" t="s">
        <v>427</v>
      </c>
      <c r="P42" s="170" t="s">
        <v>379</v>
      </c>
      <c r="Q42" s="120" t="s">
        <v>388</v>
      </c>
      <c r="R42" s="120" t="s">
        <v>95</v>
      </c>
      <c r="S42" s="120" t="s">
        <v>382</v>
      </c>
      <c r="T42" s="120" t="s">
        <v>374</v>
      </c>
      <c r="U42" s="120" t="s">
        <v>427</v>
      </c>
      <c r="V42" s="120" t="s">
        <v>374</v>
      </c>
      <c r="W42" s="120" t="s">
        <v>428</v>
      </c>
      <c r="X42" s="120" t="s">
        <v>374</v>
      </c>
      <c r="Y42" s="120" t="s">
        <v>429</v>
      </c>
      <c r="Z42" s="120" t="s">
        <v>95</v>
      </c>
      <c r="AA42" s="120" t="s">
        <v>374</v>
      </c>
      <c r="AB42" s="120" t="s">
        <v>374</v>
      </c>
      <c r="AC42" s="120" t="s">
        <v>374</v>
      </c>
      <c r="AD42" s="120" t="s">
        <v>374</v>
      </c>
      <c r="AE42" s="120" t="s">
        <v>374</v>
      </c>
      <c r="AF42" s="120" t="s">
        <v>374</v>
      </c>
      <c r="AG42" s="120" t="s">
        <v>374</v>
      </c>
      <c r="AH42" s="120" t="s">
        <v>374</v>
      </c>
      <c r="AI42" s="120" t="s">
        <v>374</v>
      </c>
      <c r="AJ42" s="120" t="s">
        <v>374</v>
      </c>
      <c r="AK42" s="120" t="s">
        <v>374</v>
      </c>
      <c r="AL42" s="120" t="s">
        <v>374</v>
      </c>
      <c r="AM42" s="120" t="s">
        <v>374</v>
      </c>
      <c r="AN42" s="120" t="s">
        <v>374</v>
      </c>
      <c r="AO42" s="120" t="s">
        <v>374</v>
      </c>
      <c r="AP42" s="120" t="s">
        <v>374</v>
      </c>
      <c r="AQ42" s="120" t="s">
        <v>374</v>
      </c>
      <c r="AR42" s="120" t="s">
        <v>374</v>
      </c>
      <c r="AS42" s="120" t="s">
        <v>374</v>
      </c>
      <c r="AT42" s="120" t="s">
        <v>374</v>
      </c>
      <c r="AU42" s="120" t="s">
        <v>374</v>
      </c>
      <c r="AV42" s="120" t="s">
        <v>374</v>
      </c>
      <c r="AW42" s="120" t="s">
        <v>374</v>
      </c>
      <c r="AX42" s="120" t="s">
        <v>374</v>
      </c>
      <c r="AY42" s="120" t="s">
        <v>374</v>
      </c>
      <c r="AZ42" s="120" t="s">
        <v>374</v>
      </c>
      <c r="BA42" s="120" t="s">
        <v>374</v>
      </c>
      <c r="BB42" s="120" t="s">
        <v>374</v>
      </c>
      <c r="BC42" s="120" t="s">
        <v>374</v>
      </c>
      <c r="BD42" s="120" t="s">
        <v>374</v>
      </c>
      <c r="BE42" s="120" t="s">
        <v>374</v>
      </c>
      <c r="BF42" s="120" t="s">
        <v>374</v>
      </c>
      <c r="BG42" s="120" t="s">
        <v>374</v>
      </c>
      <c r="BH42" s="120" t="s">
        <v>374</v>
      </c>
      <c r="BI42" s="120" t="s">
        <v>374</v>
      </c>
      <c r="BJ42" s="120" t="s">
        <v>374</v>
      </c>
      <c r="BK42" s="120" t="s">
        <v>374</v>
      </c>
      <c r="BL42" s="120" t="s">
        <v>374</v>
      </c>
      <c r="BM42" s="120" t="s">
        <v>374</v>
      </c>
      <c r="BN42" s="120" t="s">
        <v>374</v>
      </c>
      <c r="BO42" s="120" t="s">
        <v>374</v>
      </c>
      <c r="BP42" s="120" t="s">
        <v>374</v>
      </c>
      <c r="BQ42" s="120" t="s">
        <v>374</v>
      </c>
      <c r="BR42" s="120" t="s">
        <v>374</v>
      </c>
      <c r="BS42" s="120" t="s">
        <v>374</v>
      </c>
      <c r="BT42" s="120" t="s">
        <v>374</v>
      </c>
      <c r="BU42" s="120" t="s">
        <v>374</v>
      </c>
      <c r="BV42" s="120" t="s">
        <v>374</v>
      </c>
      <c r="BW42" s="120" t="s">
        <v>374</v>
      </c>
      <c r="BX42" s="120" t="s">
        <v>374</v>
      </c>
      <c r="BY42" s="120" t="s">
        <v>374</v>
      </c>
      <c r="BZ42" s="120" t="s">
        <v>374</v>
      </c>
      <c r="CA42" s="120" t="s">
        <v>374</v>
      </c>
      <c r="CB42" s="120" t="s">
        <v>374</v>
      </c>
      <c r="CC42" s="120" t="s">
        <v>374</v>
      </c>
      <c r="CD42" s="120" t="s">
        <v>374</v>
      </c>
      <c r="CE42" s="120" t="s">
        <v>374</v>
      </c>
      <c r="CF42" s="120" t="s">
        <v>374</v>
      </c>
      <c r="CG42" s="120" t="s">
        <v>374</v>
      </c>
      <c r="CH42" s="120" t="s">
        <v>374</v>
      </c>
      <c r="CI42" s="120" t="s">
        <v>374</v>
      </c>
      <c r="CJ42" s="120" t="s">
        <v>374</v>
      </c>
      <c r="CK42" s="120" t="s">
        <v>374</v>
      </c>
      <c r="CL42" s="120" t="s">
        <v>374</v>
      </c>
      <c r="CM42" s="120" t="s">
        <v>374</v>
      </c>
      <c r="CN42" s="120" t="s">
        <v>374</v>
      </c>
      <c r="CO42" s="120" t="s">
        <v>374</v>
      </c>
      <c r="CP42" s="120" t="s">
        <v>374</v>
      </c>
      <c r="CQ42" s="120" t="s">
        <v>374</v>
      </c>
      <c r="CR42" s="120" t="s">
        <v>374</v>
      </c>
      <c r="CS42" s="120" t="s">
        <v>374</v>
      </c>
      <c r="CT42" s="120" t="s">
        <v>374</v>
      </c>
      <c r="CU42" s="120" t="s">
        <v>374</v>
      </c>
      <c r="CV42" s="120" t="s">
        <v>374</v>
      </c>
      <c r="CW42" s="120" t="s">
        <v>374</v>
      </c>
      <c r="CX42" s="120" t="s">
        <v>374</v>
      </c>
      <c r="CY42" s="120" t="s">
        <v>374</v>
      </c>
      <c r="CZ42" s="120" t="s">
        <v>374</v>
      </c>
      <c r="DA42" s="120" t="s">
        <v>374</v>
      </c>
      <c r="DB42" s="120" t="s">
        <v>374</v>
      </c>
      <c r="DC42" s="120" t="s">
        <v>374</v>
      </c>
    </row>
    <row r="43" spans="2:107" ht="30">
      <c r="B43" s="172"/>
      <c r="C43" s="172"/>
      <c r="D43" s="172"/>
      <c r="E43" s="172"/>
      <c r="F43" s="172"/>
      <c r="G43" s="172"/>
      <c r="H43" s="169"/>
      <c r="I43" s="169"/>
      <c r="J43" s="169"/>
      <c r="K43" s="169"/>
      <c r="L43" s="169"/>
      <c r="M43" s="169"/>
      <c r="N43" s="169"/>
      <c r="O43" s="120" t="s">
        <v>430</v>
      </c>
      <c r="P43" s="187" t="s">
        <v>379</v>
      </c>
      <c r="Q43" s="120" t="s">
        <v>388</v>
      </c>
      <c r="R43" s="120" t="s">
        <v>95</v>
      </c>
      <c r="S43" s="120" t="s">
        <v>382</v>
      </c>
      <c r="T43" s="120" t="s">
        <v>374</v>
      </c>
      <c r="U43" s="120" t="s">
        <v>430</v>
      </c>
      <c r="V43" s="120" t="s">
        <v>374</v>
      </c>
      <c r="W43" s="120" t="s">
        <v>431</v>
      </c>
      <c r="X43" s="120" t="s">
        <v>374</v>
      </c>
      <c r="Y43" s="120" t="s">
        <v>432</v>
      </c>
      <c r="Z43" s="120" t="s">
        <v>95</v>
      </c>
      <c r="AA43" s="120" t="s">
        <v>374</v>
      </c>
      <c r="AB43" s="120" t="s">
        <v>374</v>
      </c>
      <c r="AC43" s="120" t="s">
        <v>374</v>
      </c>
      <c r="AD43" s="120" t="s">
        <v>374</v>
      </c>
      <c r="AE43" s="120" t="s">
        <v>374</v>
      </c>
      <c r="AF43" s="120" t="s">
        <v>374</v>
      </c>
      <c r="AG43" s="120" t="s">
        <v>374</v>
      </c>
      <c r="AH43" s="120" t="s">
        <v>374</v>
      </c>
      <c r="AI43" s="120" t="s">
        <v>374</v>
      </c>
      <c r="AJ43" s="120" t="s">
        <v>374</v>
      </c>
      <c r="AK43" s="120" t="s">
        <v>374</v>
      </c>
      <c r="AL43" s="120" t="s">
        <v>374</v>
      </c>
      <c r="AM43" s="120" t="s">
        <v>374</v>
      </c>
      <c r="AN43" s="120" t="s">
        <v>374</v>
      </c>
      <c r="AO43" s="120" t="s">
        <v>374</v>
      </c>
      <c r="AP43" s="120" t="s">
        <v>374</v>
      </c>
      <c r="AQ43" s="120" t="s">
        <v>374</v>
      </c>
      <c r="AR43" s="120" t="s">
        <v>374</v>
      </c>
      <c r="AS43" s="120" t="s">
        <v>374</v>
      </c>
      <c r="AT43" s="120" t="s">
        <v>374</v>
      </c>
      <c r="AU43" s="120" t="s">
        <v>374</v>
      </c>
      <c r="AV43" s="120" t="s">
        <v>374</v>
      </c>
      <c r="AW43" s="120" t="s">
        <v>374</v>
      </c>
      <c r="AX43" s="120" t="s">
        <v>374</v>
      </c>
      <c r="AY43" s="120" t="s">
        <v>374</v>
      </c>
      <c r="AZ43" s="120" t="s">
        <v>374</v>
      </c>
      <c r="BA43" s="120" t="s">
        <v>374</v>
      </c>
      <c r="BB43" s="120" t="s">
        <v>374</v>
      </c>
      <c r="BC43" s="120" t="s">
        <v>374</v>
      </c>
      <c r="BD43" s="120" t="s">
        <v>374</v>
      </c>
      <c r="BE43" s="120" t="s">
        <v>374</v>
      </c>
      <c r="BF43" s="120" t="s">
        <v>374</v>
      </c>
      <c r="BG43" s="120" t="s">
        <v>374</v>
      </c>
      <c r="BH43" s="120" t="s">
        <v>374</v>
      </c>
      <c r="BI43" s="120" t="s">
        <v>374</v>
      </c>
      <c r="BJ43" s="120" t="s">
        <v>374</v>
      </c>
      <c r="BK43" s="120" t="s">
        <v>374</v>
      </c>
      <c r="BL43" s="120" t="s">
        <v>374</v>
      </c>
      <c r="BM43" s="120" t="s">
        <v>374</v>
      </c>
      <c r="BN43" s="120" t="s">
        <v>374</v>
      </c>
      <c r="BO43" s="120" t="s">
        <v>374</v>
      </c>
      <c r="BP43" s="120" t="s">
        <v>374</v>
      </c>
      <c r="BQ43" s="120" t="s">
        <v>374</v>
      </c>
      <c r="BR43" s="120" t="s">
        <v>374</v>
      </c>
      <c r="BS43" s="120" t="s">
        <v>374</v>
      </c>
      <c r="BT43" s="120" t="s">
        <v>374</v>
      </c>
      <c r="BU43" s="120" t="s">
        <v>374</v>
      </c>
      <c r="BV43" s="120" t="s">
        <v>374</v>
      </c>
      <c r="BW43" s="120" t="s">
        <v>374</v>
      </c>
      <c r="BX43" s="120" t="s">
        <v>374</v>
      </c>
      <c r="BY43" s="120" t="s">
        <v>374</v>
      </c>
      <c r="BZ43" s="120" t="s">
        <v>374</v>
      </c>
      <c r="CA43" s="120" t="s">
        <v>374</v>
      </c>
      <c r="CB43" s="120" t="s">
        <v>374</v>
      </c>
      <c r="CC43" s="120" t="s">
        <v>374</v>
      </c>
      <c r="CD43" s="120" t="s">
        <v>374</v>
      </c>
      <c r="CE43" s="120" t="s">
        <v>374</v>
      </c>
      <c r="CF43" s="120" t="s">
        <v>374</v>
      </c>
      <c r="CG43" s="120" t="s">
        <v>374</v>
      </c>
      <c r="CH43" s="120" t="s">
        <v>374</v>
      </c>
      <c r="CI43" s="120" t="s">
        <v>374</v>
      </c>
      <c r="CJ43" s="120" t="s">
        <v>374</v>
      </c>
      <c r="CK43" s="120" t="s">
        <v>374</v>
      </c>
      <c r="CL43" s="120" t="s">
        <v>374</v>
      </c>
      <c r="CM43" s="120" t="s">
        <v>374</v>
      </c>
      <c r="CN43" s="120" t="s">
        <v>374</v>
      </c>
      <c r="CO43" s="120" t="s">
        <v>374</v>
      </c>
      <c r="CP43" s="120" t="s">
        <v>374</v>
      </c>
      <c r="CQ43" s="120" t="s">
        <v>374</v>
      </c>
      <c r="CR43" s="120" t="s">
        <v>374</v>
      </c>
      <c r="CS43" s="120" t="s">
        <v>374</v>
      </c>
      <c r="CT43" s="120" t="s">
        <v>374</v>
      </c>
      <c r="CU43" s="120" t="s">
        <v>374</v>
      </c>
      <c r="CV43" s="120" t="s">
        <v>374</v>
      </c>
      <c r="CW43" s="120" t="s">
        <v>374</v>
      </c>
      <c r="CX43" s="120" t="s">
        <v>374</v>
      </c>
      <c r="CY43" s="120" t="s">
        <v>374</v>
      </c>
      <c r="CZ43" s="120" t="s">
        <v>374</v>
      </c>
      <c r="DA43" s="120" t="s">
        <v>374</v>
      </c>
      <c r="DB43" s="120" t="s">
        <v>374</v>
      </c>
      <c r="DC43" s="120" t="s">
        <v>374</v>
      </c>
    </row>
    <row r="44" spans="2:107" ht="30">
      <c r="B44" s="171">
        <v>3</v>
      </c>
      <c r="C44" s="171" t="s">
        <v>440</v>
      </c>
      <c r="D44" s="171" t="s">
        <v>441</v>
      </c>
      <c r="E44" s="171" t="s">
        <v>442</v>
      </c>
      <c r="F44" s="171" t="s">
        <v>374</v>
      </c>
      <c r="G44" s="171" t="s">
        <v>442</v>
      </c>
      <c r="H44" s="167" t="s">
        <v>381</v>
      </c>
      <c r="I44" s="167" t="s">
        <v>95</v>
      </c>
      <c r="J44" s="167" t="s">
        <v>95</v>
      </c>
      <c r="K44" s="167" t="s">
        <v>374</v>
      </c>
      <c r="L44" s="167" t="s">
        <v>376</v>
      </c>
      <c r="M44" s="167" t="s">
        <v>377</v>
      </c>
      <c r="N44" s="167" t="s">
        <v>378</v>
      </c>
      <c r="O44" s="120" t="s">
        <v>318</v>
      </c>
      <c r="P44" s="170" t="s">
        <v>379</v>
      </c>
      <c r="Q44" s="120" t="s">
        <v>380</v>
      </c>
      <c r="R44" s="120" t="s">
        <v>381</v>
      </c>
      <c r="S44" s="120" t="s">
        <v>382</v>
      </c>
      <c r="T44" s="120" t="s">
        <v>437</v>
      </c>
      <c r="U44" s="193" t="s">
        <v>438</v>
      </c>
      <c r="V44" s="120" t="s">
        <v>374</v>
      </c>
      <c r="W44" s="120" t="s">
        <v>439</v>
      </c>
      <c r="X44" s="120" t="s">
        <v>374</v>
      </c>
      <c r="Y44" s="120" t="s">
        <v>415</v>
      </c>
      <c r="Z44" s="120" t="s">
        <v>95</v>
      </c>
      <c r="AA44" s="120" t="s">
        <v>374</v>
      </c>
      <c r="AB44" s="120" t="s">
        <v>374</v>
      </c>
      <c r="AC44" s="120" t="s">
        <v>374</v>
      </c>
      <c r="AD44" s="120" t="s">
        <v>374</v>
      </c>
      <c r="AE44" s="120" t="s">
        <v>374</v>
      </c>
      <c r="AF44" s="120" t="s">
        <v>374</v>
      </c>
      <c r="AG44" s="120" t="s">
        <v>374</v>
      </c>
      <c r="AH44" s="120" t="s">
        <v>374</v>
      </c>
      <c r="AI44" s="120" t="s">
        <v>374</v>
      </c>
      <c r="AJ44" s="120" t="s">
        <v>374</v>
      </c>
      <c r="AK44" s="120" t="s">
        <v>374</v>
      </c>
      <c r="AL44" s="120" t="s">
        <v>374</v>
      </c>
      <c r="AM44" s="120" t="s">
        <v>374</v>
      </c>
      <c r="AN44" s="120" t="s">
        <v>374</v>
      </c>
      <c r="AO44" s="120" t="s">
        <v>374</v>
      </c>
      <c r="AP44" s="120" t="s">
        <v>374</v>
      </c>
      <c r="AQ44" s="120" t="s">
        <v>374</v>
      </c>
      <c r="AR44" s="120" t="s">
        <v>374</v>
      </c>
      <c r="AS44" s="120" t="s">
        <v>374</v>
      </c>
      <c r="AT44" s="120" t="s">
        <v>374</v>
      </c>
      <c r="AU44" s="120" t="s">
        <v>374</v>
      </c>
      <c r="AV44" s="120" t="s">
        <v>374</v>
      </c>
      <c r="AW44" s="120" t="s">
        <v>374</v>
      </c>
      <c r="AX44" s="120" t="s">
        <v>374</v>
      </c>
      <c r="AY44" s="120" t="s">
        <v>374</v>
      </c>
      <c r="AZ44" s="120" t="s">
        <v>374</v>
      </c>
      <c r="BA44" s="120" t="s">
        <v>374</v>
      </c>
      <c r="BB44" s="120" t="s">
        <v>374</v>
      </c>
      <c r="BC44" s="120" t="s">
        <v>374</v>
      </c>
      <c r="BD44" s="120" t="s">
        <v>374</v>
      </c>
      <c r="BE44" s="120" t="s">
        <v>374</v>
      </c>
      <c r="BF44" s="120" t="s">
        <v>374</v>
      </c>
      <c r="BG44" s="120" t="s">
        <v>374</v>
      </c>
      <c r="BH44" s="120" t="s">
        <v>374</v>
      </c>
      <c r="BI44" s="120" t="s">
        <v>374</v>
      </c>
      <c r="BJ44" s="120" t="s">
        <v>374</v>
      </c>
      <c r="BK44" s="120" t="s">
        <v>374</v>
      </c>
      <c r="BL44" s="120" t="s">
        <v>374</v>
      </c>
      <c r="BM44" s="120" t="s">
        <v>374</v>
      </c>
      <c r="BN44" s="120" t="s">
        <v>374</v>
      </c>
      <c r="BO44" s="120" t="s">
        <v>374</v>
      </c>
      <c r="BP44" s="120" t="s">
        <v>374</v>
      </c>
      <c r="BQ44" s="120" t="s">
        <v>374</v>
      </c>
      <c r="BR44" s="120" t="s">
        <v>374</v>
      </c>
      <c r="BS44" s="120" t="s">
        <v>374</v>
      </c>
      <c r="BT44" s="120" t="s">
        <v>374</v>
      </c>
      <c r="BU44" s="120" t="s">
        <v>374</v>
      </c>
      <c r="BV44" s="120" t="s">
        <v>374</v>
      </c>
      <c r="BW44" s="120" t="s">
        <v>374</v>
      </c>
      <c r="BX44" s="120" t="s">
        <v>374</v>
      </c>
      <c r="BY44" s="120" t="s">
        <v>374</v>
      </c>
      <c r="BZ44" s="120" t="s">
        <v>374</v>
      </c>
      <c r="CA44" s="120" t="s">
        <v>374</v>
      </c>
      <c r="CB44" s="120" t="s">
        <v>374</v>
      </c>
      <c r="CC44" s="120" t="s">
        <v>374</v>
      </c>
      <c r="CD44" s="120" t="s">
        <v>374</v>
      </c>
      <c r="CE44" s="120" t="s">
        <v>374</v>
      </c>
      <c r="CF44" s="120" t="s">
        <v>374</v>
      </c>
      <c r="CG44" s="120" t="s">
        <v>374</v>
      </c>
      <c r="CH44" s="120" t="s">
        <v>374</v>
      </c>
      <c r="CI44" s="120" t="s">
        <v>374</v>
      </c>
      <c r="CJ44" s="120" t="s">
        <v>374</v>
      </c>
      <c r="CK44" s="120" t="s">
        <v>374</v>
      </c>
      <c r="CL44" s="120" t="s">
        <v>374</v>
      </c>
      <c r="CM44" s="120" t="s">
        <v>374</v>
      </c>
      <c r="CN44" s="120" t="s">
        <v>374</v>
      </c>
      <c r="CO44" s="120" t="s">
        <v>374</v>
      </c>
      <c r="CP44" s="120" t="s">
        <v>374</v>
      </c>
      <c r="CQ44" s="120" t="s">
        <v>374</v>
      </c>
      <c r="CR44" s="120" t="s">
        <v>374</v>
      </c>
      <c r="CS44" s="120" t="s">
        <v>374</v>
      </c>
      <c r="CT44" s="120" t="s">
        <v>374</v>
      </c>
      <c r="CU44" s="120" t="s">
        <v>374</v>
      </c>
      <c r="CV44" s="120" t="s">
        <v>374</v>
      </c>
      <c r="CW44" s="120" t="s">
        <v>374</v>
      </c>
      <c r="CX44" s="120" t="s">
        <v>374</v>
      </c>
      <c r="CY44" s="120" t="s">
        <v>374</v>
      </c>
      <c r="CZ44" s="120" t="s">
        <v>374</v>
      </c>
      <c r="DA44" s="120" t="s">
        <v>374</v>
      </c>
      <c r="DB44" s="120" t="s">
        <v>374</v>
      </c>
      <c r="DC44" s="120" t="s">
        <v>374</v>
      </c>
    </row>
    <row r="45" spans="2:107" ht="30">
      <c r="B45" s="173"/>
      <c r="C45" s="173"/>
      <c r="D45" s="173"/>
      <c r="E45" s="173"/>
      <c r="F45" s="173"/>
      <c r="G45" s="173"/>
      <c r="H45" s="168"/>
      <c r="I45" s="168"/>
      <c r="J45" s="168"/>
      <c r="K45" s="168"/>
      <c r="L45" s="168"/>
      <c r="M45" s="168"/>
      <c r="N45" s="168"/>
      <c r="O45" s="120" t="s">
        <v>387</v>
      </c>
      <c r="P45" s="170" t="s">
        <v>379</v>
      </c>
      <c r="Q45" s="120" t="s">
        <v>388</v>
      </c>
      <c r="R45" s="120" t="s">
        <v>95</v>
      </c>
      <c r="S45" s="120" t="s">
        <v>382</v>
      </c>
      <c r="T45" s="120" t="s">
        <v>374</v>
      </c>
      <c r="U45" s="120" t="s">
        <v>387</v>
      </c>
      <c r="V45" s="120" t="s">
        <v>374</v>
      </c>
      <c r="W45" s="120" t="s">
        <v>389</v>
      </c>
      <c r="X45" s="120" t="s">
        <v>374</v>
      </c>
      <c r="Y45" s="120" t="s">
        <v>390</v>
      </c>
      <c r="Z45" s="120" t="s">
        <v>95</v>
      </c>
      <c r="AA45" s="120" t="s">
        <v>374</v>
      </c>
      <c r="AB45" s="120" t="s">
        <v>374</v>
      </c>
      <c r="AC45" s="120" t="s">
        <v>374</v>
      </c>
      <c r="AD45" s="120" t="s">
        <v>374</v>
      </c>
      <c r="AE45" s="120" t="s">
        <v>374</v>
      </c>
      <c r="AF45" s="120" t="s">
        <v>374</v>
      </c>
      <c r="AG45" s="120" t="s">
        <v>374</v>
      </c>
      <c r="AH45" s="120" t="s">
        <v>374</v>
      </c>
      <c r="AI45" s="120" t="s">
        <v>374</v>
      </c>
      <c r="AJ45" s="120" t="s">
        <v>374</v>
      </c>
      <c r="AK45" s="120" t="s">
        <v>374</v>
      </c>
      <c r="AL45" s="120" t="s">
        <v>374</v>
      </c>
      <c r="AM45" s="120" t="s">
        <v>374</v>
      </c>
      <c r="AN45" s="120" t="s">
        <v>374</v>
      </c>
      <c r="AO45" s="120" t="s">
        <v>374</v>
      </c>
      <c r="AP45" s="120" t="s">
        <v>374</v>
      </c>
      <c r="AQ45" s="120" t="s">
        <v>374</v>
      </c>
      <c r="AR45" s="120" t="s">
        <v>374</v>
      </c>
      <c r="AS45" s="120" t="s">
        <v>374</v>
      </c>
      <c r="AT45" s="120" t="s">
        <v>374</v>
      </c>
      <c r="AU45" s="120" t="s">
        <v>374</v>
      </c>
      <c r="AV45" s="120" t="s">
        <v>374</v>
      </c>
      <c r="AW45" s="120" t="s">
        <v>374</v>
      </c>
      <c r="AX45" s="120" t="s">
        <v>374</v>
      </c>
      <c r="AY45" s="120" t="s">
        <v>374</v>
      </c>
      <c r="AZ45" s="120" t="s">
        <v>374</v>
      </c>
      <c r="BA45" s="120" t="s">
        <v>374</v>
      </c>
      <c r="BB45" s="120" t="s">
        <v>374</v>
      </c>
      <c r="BC45" s="120" t="s">
        <v>374</v>
      </c>
      <c r="BD45" s="120" t="s">
        <v>374</v>
      </c>
      <c r="BE45" s="120" t="s">
        <v>374</v>
      </c>
      <c r="BF45" s="120" t="s">
        <v>374</v>
      </c>
      <c r="BG45" s="120" t="s">
        <v>374</v>
      </c>
      <c r="BH45" s="120" t="s">
        <v>374</v>
      </c>
      <c r="BI45" s="120" t="s">
        <v>374</v>
      </c>
      <c r="BJ45" s="120" t="s">
        <v>374</v>
      </c>
      <c r="BK45" s="120" t="s">
        <v>374</v>
      </c>
      <c r="BL45" s="120" t="s">
        <v>374</v>
      </c>
      <c r="BM45" s="120" t="s">
        <v>374</v>
      </c>
      <c r="BN45" s="120" t="s">
        <v>374</v>
      </c>
      <c r="BO45" s="120" t="s">
        <v>374</v>
      </c>
      <c r="BP45" s="120" t="s">
        <v>374</v>
      </c>
      <c r="BQ45" s="120" t="s">
        <v>374</v>
      </c>
      <c r="BR45" s="120" t="s">
        <v>374</v>
      </c>
      <c r="BS45" s="120" t="s">
        <v>374</v>
      </c>
      <c r="BT45" s="120" t="s">
        <v>374</v>
      </c>
      <c r="BU45" s="120" t="s">
        <v>374</v>
      </c>
      <c r="BV45" s="120" t="s">
        <v>374</v>
      </c>
      <c r="BW45" s="120" t="s">
        <v>374</v>
      </c>
      <c r="BX45" s="120" t="s">
        <v>374</v>
      </c>
      <c r="BY45" s="120" t="s">
        <v>374</v>
      </c>
      <c r="BZ45" s="120" t="s">
        <v>374</v>
      </c>
      <c r="CA45" s="120" t="s">
        <v>374</v>
      </c>
      <c r="CB45" s="120" t="s">
        <v>374</v>
      </c>
      <c r="CC45" s="120" t="s">
        <v>374</v>
      </c>
      <c r="CD45" s="120" t="s">
        <v>374</v>
      </c>
      <c r="CE45" s="120" t="s">
        <v>374</v>
      </c>
      <c r="CF45" s="120" t="s">
        <v>374</v>
      </c>
      <c r="CG45" s="120" t="s">
        <v>374</v>
      </c>
      <c r="CH45" s="120" t="s">
        <v>374</v>
      </c>
      <c r="CI45" s="120" t="s">
        <v>374</v>
      </c>
      <c r="CJ45" s="120" t="s">
        <v>374</v>
      </c>
      <c r="CK45" s="120" t="s">
        <v>374</v>
      </c>
      <c r="CL45" s="120" t="s">
        <v>374</v>
      </c>
      <c r="CM45" s="120" t="s">
        <v>374</v>
      </c>
      <c r="CN45" s="120" t="s">
        <v>374</v>
      </c>
      <c r="CO45" s="120" t="s">
        <v>374</v>
      </c>
      <c r="CP45" s="120" t="s">
        <v>374</v>
      </c>
      <c r="CQ45" s="120" t="s">
        <v>374</v>
      </c>
      <c r="CR45" s="120" t="s">
        <v>374</v>
      </c>
      <c r="CS45" s="120" t="s">
        <v>374</v>
      </c>
      <c r="CT45" s="120" t="s">
        <v>374</v>
      </c>
      <c r="CU45" s="120" t="s">
        <v>374</v>
      </c>
      <c r="CV45" s="120" t="s">
        <v>374</v>
      </c>
      <c r="CW45" s="120" t="s">
        <v>374</v>
      </c>
      <c r="CX45" s="120" t="s">
        <v>374</v>
      </c>
      <c r="CY45" s="120" t="s">
        <v>374</v>
      </c>
      <c r="CZ45" s="120" t="s">
        <v>374</v>
      </c>
      <c r="DA45" s="120" t="s">
        <v>374</v>
      </c>
      <c r="DB45" s="120" t="s">
        <v>374</v>
      </c>
      <c r="DC45" s="120" t="s">
        <v>374</v>
      </c>
    </row>
    <row r="46" spans="2:107" ht="30">
      <c r="B46" s="173"/>
      <c r="C46" s="173"/>
      <c r="D46" s="173"/>
      <c r="E46" s="173"/>
      <c r="F46" s="173"/>
      <c r="G46" s="173"/>
      <c r="H46" s="168"/>
      <c r="I46" s="168"/>
      <c r="J46" s="168"/>
      <c r="K46" s="168"/>
      <c r="L46" s="168"/>
      <c r="M46" s="168"/>
      <c r="N46" s="168"/>
      <c r="O46" s="120" t="s">
        <v>391</v>
      </c>
      <c r="P46" s="170" t="s">
        <v>379</v>
      </c>
      <c r="Q46" s="120" t="s">
        <v>388</v>
      </c>
      <c r="R46" s="120" t="s">
        <v>95</v>
      </c>
      <c r="S46" s="120" t="s">
        <v>382</v>
      </c>
      <c r="T46" s="120" t="s">
        <v>374</v>
      </c>
      <c r="U46" s="120" t="s">
        <v>391</v>
      </c>
      <c r="V46" s="120" t="s">
        <v>374</v>
      </c>
      <c r="W46" s="120" t="s">
        <v>392</v>
      </c>
      <c r="X46" s="120" t="s">
        <v>374</v>
      </c>
      <c r="Y46" s="120" t="s">
        <v>393</v>
      </c>
      <c r="Z46" s="120" t="s">
        <v>95</v>
      </c>
      <c r="AA46" s="120" t="s">
        <v>374</v>
      </c>
      <c r="AB46" s="120" t="s">
        <v>374</v>
      </c>
      <c r="AC46" s="120" t="s">
        <v>374</v>
      </c>
      <c r="AD46" s="120" t="s">
        <v>374</v>
      </c>
      <c r="AE46" s="120" t="s">
        <v>374</v>
      </c>
      <c r="AF46" s="120" t="s">
        <v>374</v>
      </c>
      <c r="AG46" s="120" t="s">
        <v>374</v>
      </c>
      <c r="AH46" s="120" t="s">
        <v>374</v>
      </c>
      <c r="AI46" s="120" t="s">
        <v>374</v>
      </c>
      <c r="AJ46" s="120" t="s">
        <v>374</v>
      </c>
      <c r="AK46" s="120" t="s">
        <v>374</v>
      </c>
      <c r="AL46" s="120" t="s">
        <v>374</v>
      </c>
      <c r="AM46" s="120" t="s">
        <v>374</v>
      </c>
      <c r="AN46" s="120" t="s">
        <v>374</v>
      </c>
      <c r="AO46" s="120" t="s">
        <v>374</v>
      </c>
      <c r="AP46" s="120" t="s">
        <v>374</v>
      </c>
      <c r="AQ46" s="120" t="s">
        <v>374</v>
      </c>
      <c r="AR46" s="120" t="s">
        <v>374</v>
      </c>
      <c r="AS46" s="120" t="s">
        <v>374</v>
      </c>
      <c r="AT46" s="120" t="s">
        <v>374</v>
      </c>
      <c r="AU46" s="120" t="s">
        <v>374</v>
      </c>
      <c r="AV46" s="120" t="s">
        <v>374</v>
      </c>
      <c r="AW46" s="120" t="s">
        <v>374</v>
      </c>
      <c r="AX46" s="120" t="s">
        <v>374</v>
      </c>
      <c r="AY46" s="120" t="s">
        <v>374</v>
      </c>
      <c r="AZ46" s="120" t="s">
        <v>374</v>
      </c>
      <c r="BA46" s="120" t="s">
        <v>374</v>
      </c>
      <c r="BB46" s="120" t="s">
        <v>374</v>
      </c>
      <c r="BC46" s="120" t="s">
        <v>374</v>
      </c>
      <c r="BD46" s="120" t="s">
        <v>374</v>
      </c>
      <c r="BE46" s="120" t="s">
        <v>374</v>
      </c>
      <c r="BF46" s="120" t="s">
        <v>374</v>
      </c>
      <c r="BG46" s="120" t="s">
        <v>374</v>
      </c>
      <c r="BH46" s="120" t="s">
        <v>374</v>
      </c>
      <c r="BI46" s="120" t="s">
        <v>374</v>
      </c>
      <c r="BJ46" s="120" t="s">
        <v>374</v>
      </c>
      <c r="BK46" s="120" t="s">
        <v>374</v>
      </c>
      <c r="BL46" s="120" t="s">
        <v>374</v>
      </c>
      <c r="BM46" s="120" t="s">
        <v>374</v>
      </c>
      <c r="BN46" s="120" t="s">
        <v>374</v>
      </c>
      <c r="BO46" s="120" t="s">
        <v>374</v>
      </c>
      <c r="BP46" s="120" t="s">
        <v>374</v>
      </c>
      <c r="BQ46" s="120" t="s">
        <v>374</v>
      </c>
      <c r="BR46" s="120" t="s">
        <v>374</v>
      </c>
      <c r="BS46" s="120" t="s">
        <v>374</v>
      </c>
      <c r="BT46" s="120" t="s">
        <v>374</v>
      </c>
      <c r="BU46" s="120" t="s">
        <v>374</v>
      </c>
      <c r="BV46" s="120" t="s">
        <v>374</v>
      </c>
      <c r="BW46" s="120" t="s">
        <v>374</v>
      </c>
      <c r="BX46" s="120" t="s">
        <v>374</v>
      </c>
      <c r="BY46" s="120" t="s">
        <v>374</v>
      </c>
      <c r="BZ46" s="120" t="s">
        <v>374</v>
      </c>
      <c r="CA46" s="120" t="s">
        <v>374</v>
      </c>
      <c r="CB46" s="120" t="s">
        <v>374</v>
      </c>
      <c r="CC46" s="120" t="s">
        <v>374</v>
      </c>
      <c r="CD46" s="120" t="s">
        <v>374</v>
      </c>
      <c r="CE46" s="120" t="s">
        <v>374</v>
      </c>
      <c r="CF46" s="120" t="s">
        <v>374</v>
      </c>
      <c r="CG46" s="120" t="s">
        <v>374</v>
      </c>
      <c r="CH46" s="120" t="s">
        <v>374</v>
      </c>
      <c r="CI46" s="120" t="s">
        <v>374</v>
      </c>
      <c r="CJ46" s="120" t="s">
        <v>374</v>
      </c>
      <c r="CK46" s="120" t="s">
        <v>374</v>
      </c>
      <c r="CL46" s="120" t="s">
        <v>374</v>
      </c>
      <c r="CM46" s="120" t="s">
        <v>374</v>
      </c>
      <c r="CN46" s="120" t="s">
        <v>374</v>
      </c>
      <c r="CO46" s="120" t="s">
        <v>374</v>
      </c>
      <c r="CP46" s="120" t="s">
        <v>374</v>
      </c>
      <c r="CQ46" s="120" t="s">
        <v>374</v>
      </c>
      <c r="CR46" s="120" t="s">
        <v>374</v>
      </c>
      <c r="CS46" s="120" t="s">
        <v>374</v>
      </c>
      <c r="CT46" s="120" t="s">
        <v>374</v>
      </c>
      <c r="CU46" s="120" t="s">
        <v>374</v>
      </c>
      <c r="CV46" s="120" t="s">
        <v>374</v>
      </c>
      <c r="CW46" s="120" t="s">
        <v>374</v>
      </c>
      <c r="CX46" s="120" t="s">
        <v>374</v>
      </c>
      <c r="CY46" s="120" t="s">
        <v>374</v>
      </c>
      <c r="CZ46" s="120" t="s">
        <v>374</v>
      </c>
      <c r="DA46" s="120" t="s">
        <v>374</v>
      </c>
      <c r="DB46" s="120" t="s">
        <v>374</v>
      </c>
      <c r="DC46" s="120" t="s">
        <v>374</v>
      </c>
    </row>
    <row r="47" spans="2:107" ht="30">
      <c r="B47" s="173"/>
      <c r="C47" s="173"/>
      <c r="D47" s="173"/>
      <c r="E47" s="173"/>
      <c r="F47" s="173"/>
      <c r="G47" s="173"/>
      <c r="H47" s="168"/>
      <c r="I47" s="168"/>
      <c r="J47" s="168"/>
      <c r="K47" s="168"/>
      <c r="L47" s="168"/>
      <c r="M47" s="168"/>
      <c r="N47" s="168"/>
      <c r="O47" s="120" t="s">
        <v>394</v>
      </c>
      <c r="P47" s="170" t="s">
        <v>379</v>
      </c>
      <c r="Q47" s="120" t="s">
        <v>388</v>
      </c>
      <c r="R47" s="120" t="s">
        <v>95</v>
      </c>
      <c r="S47" s="120" t="s">
        <v>382</v>
      </c>
      <c r="T47" s="120" t="s">
        <v>374</v>
      </c>
      <c r="U47" s="120" t="s">
        <v>394</v>
      </c>
      <c r="V47" s="120" t="s">
        <v>374</v>
      </c>
      <c r="W47" s="120" t="s">
        <v>395</v>
      </c>
      <c r="X47" s="120" t="s">
        <v>374</v>
      </c>
      <c r="Y47" s="120" t="s">
        <v>396</v>
      </c>
      <c r="Z47" s="120" t="s">
        <v>95</v>
      </c>
      <c r="AA47" s="120" t="s">
        <v>374</v>
      </c>
      <c r="AB47" s="120" t="s">
        <v>374</v>
      </c>
      <c r="AC47" s="120" t="s">
        <v>374</v>
      </c>
      <c r="AD47" s="120" t="s">
        <v>374</v>
      </c>
      <c r="AE47" s="120" t="s">
        <v>374</v>
      </c>
      <c r="AF47" s="120" t="s">
        <v>374</v>
      </c>
      <c r="AG47" s="120" t="s">
        <v>374</v>
      </c>
      <c r="AH47" s="120" t="s">
        <v>374</v>
      </c>
      <c r="AI47" s="120" t="s">
        <v>374</v>
      </c>
      <c r="AJ47" s="120" t="s">
        <v>374</v>
      </c>
      <c r="AK47" s="120" t="s">
        <v>374</v>
      </c>
      <c r="AL47" s="120" t="s">
        <v>374</v>
      </c>
      <c r="AM47" s="120" t="s">
        <v>374</v>
      </c>
      <c r="AN47" s="120" t="s">
        <v>374</v>
      </c>
      <c r="AO47" s="120" t="s">
        <v>374</v>
      </c>
      <c r="AP47" s="120" t="s">
        <v>374</v>
      </c>
      <c r="AQ47" s="120" t="s">
        <v>374</v>
      </c>
      <c r="AR47" s="120" t="s">
        <v>374</v>
      </c>
      <c r="AS47" s="120" t="s">
        <v>374</v>
      </c>
      <c r="AT47" s="120" t="s">
        <v>374</v>
      </c>
      <c r="AU47" s="120" t="s">
        <v>374</v>
      </c>
      <c r="AV47" s="120" t="s">
        <v>374</v>
      </c>
      <c r="AW47" s="120" t="s">
        <v>374</v>
      </c>
      <c r="AX47" s="120" t="s">
        <v>374</v>
      </c>
      <c r="AY47" s="120" t="s">
        <v>374</v>
      </c>
      <c r="AZ47" s="120" t="s">
        <v>374</v>
      </c>
      <c r="BA47" s="120" t="s">
        <v>374</v>
      </c>
      <c r="BB47" s="120" t="s">
        <v>374</v>
      </c>
      <c r="BC47" s="120" t="s">
        <v>374</v>
      </c>
      <c r="BD47" s="120" t="s">
        <v>374</v>
      </c>
      <c r="BE47" s="120" t="s">
        <v>374</v>
      </c>
      <c r="BF47" s="120" t="s">
        <v>374</v>
      </c>
      <c r="BG47" s="120" t="s">
        <v>374</v>
      </c>
      <c r="BH47" s="120" t="s">
        <v>374</v>
      </c>
      <c r="BI47" s="120" t="s">
        <v>374</v>
      </c>
      <c r="BJ47" s="120" t="s">
        <v>374</v>
      </c>
      <c r="BK47" s="120" t="s">
        <v>374</v>
      </c>
      <c r="BL47" s="120" t="s">
        <v>374</v>
      </c>
      <c r="BM47" s="120" t="s">
        <v>374</v>
      </c>
      <c r="BN47" s="120" t="s">
        <v>374</v>
      </c>
      <c r="BO47" s="120" t="s">
        <v>374</v>
      </c>
      <c r="BP47" s="120" t="s">
        <v>374</v>
      </c>
      <c r="BQ47" s="120" t="s">
        <v>374</v>
      </c>
      <c r="BR47" s="120" t="s">
        <v>374</v>
      </c>
      <c r="BS47" s="120" t="s">
        <v>374</v>
      </c>
      <c r="BT47" s="120" t="s">
        <v>374</v>
      </c>
      <c r="BU47" s="120" t="s">
        <v>374</v>
      </c>
      <c r="BV47" s="120" t="s">
        <v>374</v>
      </c>
      <c r="BW47" s="120" t="s">
        <v>374</v>
      </c>
      <c r="BX47" s="120" t="s">
        <v>374</v>
      </c>
      <c r="BY47" s="120" t="s">
        <v>374</v>
      </c>
      <c r="BZ47" s="120" t="s">
        <v>374</v>
      </c>
      <c r="CA47" s="120" t="s">
        <v>374</v>
      </c>
      <c r="CB47" s="120" t="s">
        <v>374</v>
      </c>
      <c r="CC47" s="120" t="s">
        <v>374</v>
      </c>
      <c r="CD47" s="120" t="s">
        <v>374</v>
      </c>
      <c r="CE47" s="120" t="s">
        <v>374</v>
      </c>
      <c r="CF47" s="120" t="s">
        <v>374</v>
      </c>
      <c r="CG47" s="120" t="s">
        <v>374</v>
      </c>
      <c r="CH47" s="120" t="s">
        <v>374</v>
      </c>
      <c r="CI47" s="120" t="s">
        <v>374</v>
      </c>
      <c r="CJ47" s="120" t="s">
        <v>374</v>
      </c>
      <c r="CK47" s="120" t="s">
        <v>374</v>
      </c>
      <c r="CL47" s="120" t="s">
        <v>374</v>
      </c>
      <c r="CM47" s="120" t="s">
        <v>374</v>
      </c>
      <c r="CN47" s="120" t="s">
        <v>374</v>
      </c>
      <c r="CO47" s="120" t="s">
        <v>374</v>
      </c>
      <c r="CP47" s="120" t="s">
        <v>374</v>
      </c>
      <c r="CQ47" s="120" t="s">
        <v>374</v>
      </c>
      <c r="CR47" s="120" t="s">
        <v>374</v>
      </c>
      <c r="CS47" s="120" t="s">
        <v>374</v>
      </c>
      <c r="CT47" s="120" t="s">
        <v>374</v>
      </c>
      <c r="CU47" s="120" t="s">
        <v>374</v>
      </c>
      <c r="CV47" s="120" t="s">
        <v>374</v>
      </c>
      <c r="CW47" s="120" t="s">
        <v>374</v>
      </c>
      <c r="CX47" s="120" t="s">
        <v>374</v>
      </c>
      <c r="CY47" s="120" t="s">
        <v>374</v>
      </c>
      <c r="CZ47" s="120" t="s">
        <v>374</v>
      </c>
      <c r="DA47" s="120" t="s">
        <v>374</v>
      </c>
      <c r="DB47" s="120" t="s">
        <v>374</v>
      </c>
      <c r="DC47" s="120" t="s">
        <v>374</v>
      </c>
    </row>
    <row r="48" spans="2:107" ht="30">
      <c r="B48" s="173"/>
      <c r="C48" s="173"/>
      <c r="D48" s="173"/>
      <c r="E48" s="173"/>
      <c r="F48" s="173"/>
      <c r="G48" s="173"/>
      <c r="H48" s="168"/>
      <c r="I48" s="168"/>
      <c r="J48" s="168"/>
      <c r="K48" s="168"/>
      <c r="L48" s="168"/>
      <c r="M48" s="168"/>
      <c r="N48" s="168"/>
      <c r="O48" s="120" t="s">
        <v>397</v>
      </c>
      <c r="P48" s="170" t="s">
        <v>379</v>
      </c>
      <c r="Q48" s="120" t="s">
        <v>388</v>
      </c>
      <c r="R48" s="120" t="s">
        <v>95</v>
      </c>
      <c r="S48" s="120" t="s">
        <v>382</v>
      </c>
      <c r="T48" s="120" t="s">
        <v>374</v>
      </c>
      <c r="U48" s="120" t="s">
        <v>397</v>
      </c>
      <c r="V48" s="120" t="s">
        <v>374</v>
      </c>
      <c r="W48" s="120" t="s">
        <v>398</v>
      </c>
      <c r="X48" s="120" t="s">
        <v>374</v>
      </c>
      <c r="Y48" s="120" t="s">
        <v>396</v>
      </c>
      <c r="Z48" s="120" t="s">
        <v>95</v>
      </c>
      <c r="AA48" s="120" t="s">
        <v>374</v>
      </c>
      <c r="AB48" s="120" t="s">
        <v>374</v>
      </c>
      <c r="AC48" s="120" t="s">
        <v>374</v>
      </c>
      <c r="AD48" s="120" t="s">
        <v>374</v>
      </c>
      <c r="AE48" s="120" t="s">
        <v>374</v>
      </c>
      <c r="AF48" s="120" t="s">
        <v>374</v>
      </c>
      <c r="AG48" s="120" t="s">
        <v>374</v>
      </c>
      <c r="AH48" s="120" t="s">
        <v>374</v>
      </c>
      <c r="AI48" s="120" t="s">
        <v>374</v>
      </c>
      <c r="AJ48" s="120" t="s">
        <v>374</v>
      </c>
      <c r="AK48" s="120" t="s">
        <v>374</v>
      </c>
      <c r="AL48" s="120" t="s">
        <v>374</v>
      </c>
      <c r="AM48" s="120" t="s">
        <v>374</v>
      </c>
      <c r="AN48" s="120" t="s">
        <v>374</v>
      </c>
      <c r="AO48" s="120" t="s">
        <v>374</v>
      </c>
      <c r="AP48" s="120" t="s">
        <v>374</v>
      </c>
      <c r="AQ48" s="120" t="s">
        <v>374</v>
      </c>
      <c r="AR48" s="120" t="s">
        <v>374</v>
      </c>
      <c r="AS48" s="120" t="s">
        <v>374</v>
      </c>
      <c r="AT48" s="120" t="s">
        <v>374</v>
      </c>
      <c r="AU48" s="120" t="s">
        <v>374</v>
      </c>
      <c r="AV48" s="120" t="s">
        <v>374</v>
      </c>
      <c r="AW48" s="120" t="s">
        <v>374</v>
      </c>
      <c r="AX48" s="120" t="s">
        <v>374</v>
      </c>
      <c r="AY48" s="120" t="s">
        <v>374</v>
      </c>
      <c r="AZ48" s="120" t="s">
        <v>374</v>
      </c>
      <c r="BA48" s="120" t="s">
        <v>374</v>
      </c>
      <c r="BB48" s="120" t="s">
        <v>374</v>
      </c>
      <c r="BC48" s="120" t="s">
        <v>374</v>
      </c>
      <c r="BD48" s="120" t="s">
        <v>374</v>
      </c>
      <c r="BE48" s="120" t="s">
        <v>374</v>
      </c>
      <c r="BF48" s="120" t="s">
        <v>374</v>
      </c>
      <c r="BG48" s="120" t="s">
        <v>374</v>
      </c>
      <c r="BH48" s="120" t="s">
        <v>374</v>
      </c>
      <c r="BI48" s="120" t="s">
        <v>374</v>
      </c>
      <c r="BJ48" s="120" t="s">
        <v>374</v>
      </c>
      <c r="BK48" s="120" t="s">
        <v>374</v>
      </c>
      <c r="BL48" s="120" t="s">
        <v>374</v>
      </c>
      <c r="BM48" s="120" t="s">
        <v>374</v>
      </c>
      <c r="BN48" s="120" t="s">
        <v>374</v>
      </c>
      <c r="BO48" s="120" t="s">
        <v>374</v>
      </c>
      <c r="BP48" s="120" t="s">
        <v>374</v>
      </c>
      <c r="BQ48" s="120" t="s">
        <v>374</v>
      </c>
      <c r="BR48" s="120" t="s">
        <v>374</v>
      </c>
      <c r="BS48" s="120" t="s">
        <v>374</v>
      </c>
      <c r="BT48" s="120" t="s">
        <v>374</v>
      </c>
      <c r="BU48" s="120" t="s">
        <v>374</v>
      </c>
      <c r="BV48" s="120" t="s">
        <v>374</v>
      </c>
      <c r="BW48" s="120" t="s">
        <v>374</v>
      </c>
      <c r="BX48" s="120" t="s">
        <v>374</v>
      </c>
      <c r="BY48" s="120" t="s">
        <v>374</v>
      </c>
      <c r="BZ48" s="120" t="s">
        <v>374</v>
      </c>
      <c r="CA48" s="120" t="s">
        <v>374</v>
      </c>
      <c r="CB48" s="120" t="s">
        <v>374</v>
      </c>
      <c r="CC48" s="120" t="s">
        <v>374</v>
      </c>
      <c r="CD48" s="120" t="s">
        <v>374</v>
      </c>
      <c r="CE48" s="120" t="s">
        <v>374</v>
      </c>
      <c r="CF48" s="120" t="s">
        <v>374</v>
      </c>
      <c r="CG48" s="120" t="s">
        <v>374</v>
      </c>
      <c r="CH48" s="120" t="s">
        <v>374</v>
      </c>
      <c r="CI48" s="120" t="s">
        <v>374</v>
      </c>
      <c r="CJ48" s="120" t="s">
        <v>374</v>
      </c>
      <c r="CK48" s="120" t="s">
        <v>374</v>
      </c>
      <c r="CL48" s="120" t="s">
        <v>374</v>
      </c>
      <c r="CM48" s="120" t="s">
        <v>374</v>
      </c>
      <c r="CN48" s="120" t="s">
        <v>374</v>
      </c>
      <c r="CO48" s="120" t="s">
        <v>374</v>
      </c>
      <c r="CP48" s="120" t="s">
        <v>374</v>
      </c>
      <c r="CQ48" s="120" t="s">
        <v>374</v>
      </c>
      <c r="CR48" s="120" t="s">
        <v>374</v>
      </c>
      <c r="CS48" s="120" t="s">
        <v>374</v>
      </c>
      <c r="CT48" s="120" t="s">
        <v>374</v>
      </c>
      <c r="CU48" s="120" t="s">
        <v>374</v>
      </c>
      <c r="CV48" s="120" t="s">
        <v>374</v>
      </c>
      <c r="CW48" s="120" t="s">
        <v>374</v>
      </c>
      <c r="CX48" s="120" t="s">
        <v>374</v>
      </c>
      <c r="CY48" s="120" t="s">
        <v>374</v>
      </c>
      <c r="CZ48" s="120" t="s">
        <v>374</v>
      </c>
      <c r="DA48" s="120" t="s">
        <v>374</v>
      </c>
      <c r="DB48" s="120" t="s">
        <v>374</v>
      </c>
      <c r="DC48" s="120" t="s">
        <v>374</v>
      </c>
    </row>
    <row r="49" spans="2:107" ht="30">
      <c r="B49" s="173"/>
      <c r="C49" s="173"/>
      <c r="D49" s="173"/>
      <c r="E49" s="173"/>
      <c r="F49" s="173"/>
      <c r="G49" s="173"/>
      <c r="H49" s="168"/>
      <c r="I49" s="168"/>
      <c r="J49" s="168"/>
      <c r="K49" s="168"/>
      <c r="L49" s="168"/>
      <c r="M49" s="168"/>
      <c r="N49" s="168"/>
      <c r="O49" s="120" t="s">
        <v>399</v>
      </c>
      <c r="P49" s="170" t="s">
        <v>379</v>
      </c>
      <c r="Q49" s="120" t="s">
        <v>388</v>
      </c>
      <c r="R49" s="120" t="s">
        <v>95</v>
      </c>
      <c r="S49" s="120" t="s">
        <v>382</v>
      </c>
      <c r="T49" s="120" t="s">
        <v>374</v>
      </c>
      <c r="U49" s="120" t="s">
        <v>399</v>
      </c>
      <c r="V49" s="120" t="s">
        <v>374</v>
      </c>
      <c r="W49" s="120" t="s">
        <v>400</v>
      </c>
      <c r="X49" s="120" t="s">
        <v>374</v>
      </c>
      <c r="Y49" s="120" t="s">
        <v>401</v>
      </c>
      <c r="Z49" s="120" t="s">
        <v>95</v>
      </c>
      <c r="AA49" s="120" t="s">
        <v>374</v>
      </c>
      <c r="AB49" s="120" t="s">
        <v>374</v>
      </c>
      <c r="AC49" s="120" t="s">
        <v>374</v>
      </c>
      <c r="AD49" s="120" t="s">
        <v>374</v>
      </c>
      <c r="AE49" s="120" t="s">
        <v>374</v>
      </c>
      <c r="AF49" s="120" t="s">
        <v>374</v>
      </c>
      <c r="AG49" s="120" t="s">
        <v>374</v>
      </c>
      <c r="AH49" s="120" t="s">
        <v>374</v>
      </c>
      <c r="AI49" s="120" t="s">
        <v>374</v>
      </c>
      <c r="AJ49" s="120" t="s">
        <v>374</v>
      </c>
      <c r="AK49" s="120" t="s">
        <v>374</v>
      </c>
      <c r="AL49" s="120" t="s">
        <v>374</v>
      </c>
      <c r="AM49" s="120" t="s">
        <v>374</v>
      </c>
      <c r="AN49" s="120" t="s">
        <v>374</v>
      </c>
      <c r="AO49" s="120" t="s">
        <v>374</v>
      </c>
      <c r="AP49" s="120" t="s">
        <v>374</v>
      </c>
      <c r="AQ49" s="120" t="s">
        <v>374</v>
      </c>
      <c r="AR49" s="120" t="s">
        <v>374</v>
      </c>
      <c r="AS49" s="120" t="s">
        <v>374</v>
      </c>
      <c r="AT49" s="120" t="s">
        <v>374</v>
      </c>
      <c r="AU49" s="120" t="s">
        <v>374</v>
      </c>
      <c r="AV49" s="120" t="s">
        <v>374</v>
      </c>
      <c r="AW49" s="120" t="s">
        <v>374</v>
      </c>
      <c r="AX49" s="120" t="s">
        <v>374</v>
      </c>
      <c r="AY49" s="120" t="s">
        <v>374</v>
      </c>
      <c r="AZ49" s="120" t="s">
        <v>374</v>
      </c>
      <c r="BA49" s="120" t="s">
        <v>374</v>
      </c>
      <c r="BB49" s="120" t="s">
        <v>374</v>
      </c>
      <c r="BC49" s="120" t="s">
        <v>374</v>
      </c>
      <c r="BD49" s="120" t="s">
        <v>374</v>
      </c>
      <c r="BE49" s="120" t="s">
        <v>374</v>
      </c>
      <c r="BF49" s="120" t="s">
        <v>374</v>
      </c>
      <c r="BG49" s="120" t="s">
        <v>374</v>
      </c>
      <c r="BH49" s="120" t="s">
        <v>374</v>
      </c>
      <c r="BI49" s="120" t="s">
        <v>374</v>
      </c>
      <c r="BJ49" s="120" t="s">
        <v>374</v>
      </c>
      <c r="BK49" s="120" t="s">
        <v>374</v>
      </c>
      <c r="BL49" s="120" t="s">
        <v>374</v>
      </c>
      <c r="BM49" s="120" t="s">
        <v>374</v>
      </c>
      <c r="BN49" s="120" t="s">
        <v>374</v>
      </c>
      <c r="BO49" s="120" t="s">
        <v>374</v>
      </c>
      <c r="BP49" s="120" t="s">
        <v>374</v>
      </c>
      <c r="BQ49" s="120" t="s">
        <v>374</v>
      </c>
      <c r="BR49" s="120" t="s">
        <v>374</v>
      </c>
      <c r="BS49" s="120" t="s">
        <v>374</v>
      </c>
      <c r="BT49" s="120" t="s">
        <v>374</v>
      </c>
      <c r="BU49" s="120" t="s">
        <v>374</v>
      </c>
      <c r="BV49" s="120" t="s">
        <v>374</v>
      </c>
      <c r="BW49" s="120" t="s">
        <v>374</v>
      </c>
      <c r="BX49" s="120" t="s">
        <v>374</v>
      </c>
      <c r="BY49" s="120" t="s">
        <v>374</v>
      </c>
      <c r="BZ49" s="120" t="s">
        <v>374</v>
      </c>
      <c r="CA49" s="120" t="s">
        <v>374</v>
      </c>
      <c r="CB49" s="120" t="s">
        <v>374</v>
      </c>
      <c r="CC49" s="120" t="s">
        <v>374</v>
      </c>
      <c r="CD49" s="120" t="s">
        <v>374</v>
      </c>
      <c r="CE49" s="120" t="s">
        <v>374</v>
      </c>
      <c r="CF49" s="120" t="s">
        <v>374</v>
      </c>
      <c r="CG49" s="120" t="s">
        <v>374</v>
      </c>
      <c r="CH49" s="120" t="s">
        <v>374</v>
      </c>
      <c r="CI49" s="120" t="s">
        <v>374</v>
      </c>
      <c r="CJ49" s="120" t="s">
        <v>374</v>
      </c>
      <c r="CK49" s="120" t="s">
        <v>374</v>
      </c>
      <c r="CL49" s="120" t="s">
        <v>374</v>
      </c>
      <c r="CM49" s="120" t="s">
        <v>374</v>
      </c>
      <c r="CN49" s="120" t="s">
        <v>374</v>
      </c>
      <c r="CO49" s="120" t="s">
        <v>374</v>
      </c>
      <c r="CP49" s="120" t="s">
        <v>374</v>
      </c>
      <c r="CQ49" s="120" t="s">
        <v>374</v>
      </c>
      <c r="CR49" s="120" t="s">
        <v>374</v>
      </c>
      <c r="CS49" s="120" t="s">
        <v>374</v>
      </c>
      <c r="CT49" s="120" t="s">
        <v>374</v>
      </c>
      <c r="CU49" s="120" t="s">
        <v>374</v>
      </c>
      <c r="CV49" s="120" t="s">
        <v>374</v>
      </c>
      <c r="CW49" s="120" t="s">
        <v>374</v>
      </c>
      <c r="CX49" s="120" t="s">
        <v>374</v>
      </c>
      <c r="CY49" s="120" t="s">
        <v>374</v>
      </c>
      <c r="CZ49" s="120" t="s">
        <v>374</v>
      </c>
      <c r="DA49" s="120" t="s">
        <v>374</v>
      </c>
      <c r="DB49" s="120" t="s">
        <v>374</v>
      </c>
      <c r="DC49" s="120" t="s">
        <v>374</v>
      </c>
    </row>
    <row r="50" spans="2:107" ht="30">
      <c r="B50" s="173"/>
      <c r="C50" s="173"/>
      <c r="D50" s="173"/>
      <c r="E50" s="173"/>
      <c r="F50" s="173"/>
      <c r="G50" s="173"/>
      <c r="H50" s="168"/>
      <c r="I50" s="168"/>
      <c r="J50" s="168"/>
      <c r="K50" s="168"/>
      <c r="L50" s="168"/>
      <c r="M50" s="168"/>
      <c r="N50" s="168"/>
      <c r="O50" s="120" t="s">
        <v>402</v>
      </c>
      <c r="P50" s="170" t="s">
        <v>379</v>
      </c>
      <c r="Q50" s="120" t="s">
        <v>388</v>
      </c>
      <c r="R50" s="120" t="s">
        <v>95</v>
      </c>
      <c r="S50" s="120" t="s">
        <v>382</v>
      </c>
      <c r="T50" s="120" t="s">
        <v>374</v>
      </c>
      <c r="U50" s="120" t="s">
        <v>402</v>
      </c>
      <c r="V50" s="120" t="s">
        <v>374</v>
      </c>
      <c r="W50" s="120" t="s">
        <v>403</v>
      </c>
      <c r="X50" s="120" t="s">
        <v>374</v>
      </c>
      <c r="Y50" s="120" t="s">
        <v>404</v>
      </c>
      <c r="Z50" s="120" t="s">
        <v>95</v>
      </c>
      <c r="AA50" s="120" t="s">
        <v>374</v>
      </c>
      <c r="AB50" s="120" t="s">
        <v>374</v>
      </c>
      <c r="AC50" s="120" t="s">
        <v>374</v>
      </c>
      <c r="AD50" s="120" t="s">
        <v>374</v>
      </c>
      <c r="AE50" s="120" t="s">
        <v>374</v>
      </c>
      <c r="AF50" s="120" t="s">
        <v>374</v>
      </c>
      <c r="AG50" s="120" t="s">
        <v>374</v>
      </c>
      <c r="AH50" s="120" t="s">
        <v>374</v>
      </c>
      <c r="AI50" s="120" t="s">
        <v>374</v>
      </c>
      <c r="AJ50" s="120" t="s">
        <v>374</v>
      </c>
      <c r="AK50" s="120" t="s">
        <v>374</v>
      </c>
      <c r="AL50" s="120" t="s">
        <v>374</v>
      </c>
      <c r="AM50" s="120" t="s">
        <v>374</v>
      </c>
      <c r="AN50" s="120" t="s">
        <v>374</v>
      </c>
      <c r="AO50" s="120" t="s">
        <v>374</v>
      </c>
      <c r="AP50" s="120" t="s">
        <v>374</v>
      </c>
      <c r="AQ50" s="120" t="s">
        <v>374</v>
      </c>
      <c r="AR50" s="120" t="s">
        <v>374</v>
      </c>
      <c r="AS50" s="120" t="s">
        <v>374</v>
      </c>
      <c r="AT50" s="120" t="s">
        <v>374</v>
      </c>
      <c r="AU50" s="120" t="s">
        <v>374</v>
      </c>
      <c r="AV50" s="120" t="s">
        <v>374</v>
      </c>
      <c r="AW50" s="120" t="s">
        <v>374</v>
      </c>
      <c r="AX50" s="120" t="s">
        <v>374</v>
      </c>
      <c r="AY50" s="120" t="s">
        <v>374</v>
      </c>
      <c r="AZ50" s="120" t="s">
        <v>374</v>
      </c>
      <c r="BA50" s="120" t="s">
        <v>374</v>
      </c>
      <c r="BB50" s="120" t="s">
        <v>374</v>
      </c>
      <c r="BC50" s="120" t="s">
        <v>374</v>
      </c>
      <c r="BD50" s="120" t="s">
        <v>374</v>
      </c>
      <c r="BE50" s="120" t="s">
        <v>374</v>
      </c>
      <c r="BF50" s="120" t="s">
        <v>374</v>
      </c>
      <c r="BG50" s="120" t="s">
        <v>374</v>
      </c>
      <c r="BH50" s="120" t="s">
        <v>374</v>
      </c>
      <c r="BI50" s="120" t="s">
        <v>374</v>
      </c>
      <c r="BJ50" s="120" t="s">
        <v>374</v>
      </c>
      <c r="BK50" s="120" t="s">
        <v>374</v>
      </c>
      <c r="BL50" s="120" t="s">
        <v>374</v>
      </c>
      <c r="BM50" s="120" t="s">
        <v>374</v>
      </c>
      <c r="BN50" s="120" t="s">
        <v>374</v>
      </c>
      <c r="BO50" s="120" t="s">
        <v>374</v>
      </c>
      <c r="BP50" s="120" t="s">
        <v>374</v>
      </c>
      <c r="BQ50" s="120" t="s">
        <v>374</v>
      </c>
      <c r="BR50" s="120" t="s">
        <v>374</v>
      </c>
      <c r="BS50" s="120" t="s">
        <v>374</v>
      </c>
      <c r="BT50" s="120" t="s">
        <v>374</v>
      </c>
      <c r="BU50" s="120" t="s">
        <v>374</v>
      </c>
      <c r="BV50" s="120" t="s">
        <v>374</v>
      </c>
      <c r="BW50" s="120" t="s">
        <v>374</v>
      </c>
      <c r="BX50" s="120" t="s">
        <v>374</v>
      </c>
      <c r="BY50" s="120" t="s">
        <v>374</v>
      </c>
      <c r="BZ50" s="120" t="s">
        <v>374</v>
      </c>
      <c r="CA50" s="120" t="s">
        <v>374</v>
      </c>
      <c r="CB50" s="120" t="s">
        <v>374</v>
      </c>
      <c r="CC50" s="120" t="s">
        <v>374</v>
      </c>
      <c r="CD50" s="120" t="s">
        <v>374</v>
      </c>
      <c r="CE50" s="120" t="s">
        <v>374</v>
      </c>
      <c r="CF50" s="120" t="s">
        <v>374</v>
      </c>
      <c r="CG50" s="120" t="s">
        <v>374</v>
      </c>
      <c r="CH50" s="120" t="s">
        <v>374</v>
      </c>
      <c r="CI50" s="120" t="s">
        <v>374</v>
      </c>
      <c r="CJ50" s="120" t="s">
        <v>374</v>
      </c>
      <c r="CK50" s="120" t="s">
        <v>374</v>
      </c>
      <c r="CL50" s="120" t="s">
        <v>374</v>
      </c>
      <c r="CM50" s="120" t="s">
        <v>374</v>
      </c>
      <c r="CN50" s="120" t="s">
        <v>374</v>
      </c>
      <c r="CO50" s="120" t="s">
        <v>374</v>
      </c>
      <c r="CP50" s="120" t="s">
        <v>374</v>
      </c>
      <c r="CQ50" s="120" t="s">
        <v>374</v>
      </c>
      <c r="CR50" s="120" t="s">
        <v>374</v>
      </c>
      <c r="CS50" s="120" t="s">
        <v>374</v>
      </c>
      <c r="CT50" s="120" t="s">
        <v>374</v>
      </c>
      <c r="CU50" s="120" t="s">
        <v>374</v>
      </c>
      <c r="CV50" s="120" t="s">
        <v>374</v>
      </c>
      <c r="CW50" s="120" t="s">
        <v>374</v>
      </c>
      <c r="CX50" s="120" t="s">
        <v>374</v>
      </c>
      <c r="CY50" s="120" t="s">
        <v>374</v>
      </c>
      <c r="CZ50" s="120" t="s">
        <v>374</v>
      </c>
      <c r="DA50" s="120" t="s">
        <v>374</v>
      </c>
      <c r="DB50" s="120" t="s">
        <v>374</v>
      </c>
      <c r="DC50" s="120" t="s">
        <v>374</v>
      </c>
    </row>
    <row r="51" spans="2:107" ht="30">
      <c r="B51" s="173"/>
      <c r="C51" s="173"/>
      <c r="D51" s="173"/>
      <c r="E51" s="173"/>
      <c r="F51" s="173"/>
      <c r="G51" s="173"/>
      <c r="H51" s="168"/>
      <c r="I51" s="168"/>
      <c r="J51" s="168"/>
      <c r="K51" s="168"/>
      <c r="L51" s="168"/>
      <c r="M51" s="168"/>
      <c r="N51" s="168"/>
      <c r="O51" s="120" t="s">
        <v>405</v>
      </c>
      <c r="P51" s="170" t="s">
        <v>379</v>
      </c>
      <c r="Q51" s="120" t="s">
        <v>388</v>
      </c>
      <c r="R51" s="120" t="s">
        <v>95</v>
      </c>
      <c r="S51" s="120" t="s">
        <v>382</v>
      </c>
      <c r="T51" s="120" t="s">
        <v>374</v>
      </c>
      <c r="U51" s="120" t="s">
        <v>405</v>
      </c>
      <c r="V51" s="120" t="s">
        <v>374</v>
      </c>
      <c r="W51" s="120" t="s">
        <v>406</v>
      </c>
      <c r="X51" s="120" t="s">
        <v>374</v>
      </c>
      <c r="Y51" s="120" t="s">
        <v>407</v>
      </c>
      <c r="Z51" s="120" t="s">
        <v>95</v>
      </c>
      <c r="AA51" s="120" t="s">
        <v>374</v>
      </c>
      <c r="AB51" s="120" t="s">
        <v>374</v>
      </c>
      <c r="AC51" s="120" t="s">
        <v>374</v>
      </c>
      <c r="AD51" s="120" t="s">
        <v>374</v>
      </c>
      <c r="AE51" s="120" t="s">
        <v>374</v>
      </c>
      <c r="AF51" s="120" t="s">
        <v>374</v>
      </c>
      <c r="AG51" s="120" t="s">
        <v>374</v>
      </c>
      <c r="AH51" s="120" t="s">
        <v>374</v>
      </c>
      <c r="AI51" s="120" t="s">
        <v>374</v>
      </c>
      <c r="AJ51" s="120" t="s">
        <v>374</v>
      </c>
      <c r="AK51" s="120" t="s">
        <v>374</v>
      </c>
      <c r="AL51" s="120" t="s">
        <v>374</v>
      </c>
      <c r="AM51" s="120" t="s">
        <v>374</v>
      </c>
      <c r="AN51" s="120" t="s">
        <v>374</v>
      </c>
      <c r="AO51" s="120" t="s">
        <v>374</v>
      </c>
      <c r="AP51" s="120" t="s">
        <v>374</v>
      </c>
      <c r="AQ51" s="120" t="s">
        <v>374</v>
      </c>
      <c r="AR51" s="120" t="s">
        <v>374</v>
      </c>
      <c r="AS51" s="120" t="s">
        <v>374</v>
      </c>
      <c r="AT51" s="120" t="s">
        <v>374</v>
      </c>
      <c r="AU51" s="120" t="s">
        <v>374</v>
      </c>
      <c r="AV51" s="120" t="s">
        <v>374</v>
      </c>
      <c r="AW51" s="120" t="s">
        <v>374</v>
      </c>
      <c r="AX51" s="120" t="s">
        <v>374</v>
      </c>
      <c r="AY51" s="120" t="s">
        <v>374</v>
      </c>
      <c r="AZ51" s="120" t="s">
        <v>374</v>
      </c>
      <c r="BA51" s="120" t="s">
        <v>374</v>
      </c>
      <c r="BB51" s="120" t="s">
        <v>374</v>
      </c>
      <c r="BC51" s="120" t="s">
        <v>374</v>
      </c>
      <c r="BD51" s="120" t="s">
        <v>374</v>
      </c>
      <c r="BE51" s="120" t="s">
        <v>374</v>
      </c>
      <c r="BF51" s="120" t="s">
        <v>374</v>
      </c>
      <c r="BG51" s="120" t="s">
        <v>374</v>
      </c>
      <c r="BH51" s="120" t="s">
        <v>374</v>
      </c>
      <c r="BI51" s="120" t="s">
        <v>374</v>
      </c>
      <c r="BJ51" s="120" t="s">
        <v>374</v>
      </c>
      <c r="BK51" s="120" t="s">
        <v>374</v>
      </c>
      <c r="BL51" s="120" t="s">
        <v>374</v>
      </c>
      <c r="BM51" s="120" t="s">
        <v>374</v>
      </c>
      <c r="BN51" s="120" t="s">
        <v>374</v>
      </c>
      <c r="BO51" s="120" t="s">
        <v>374</v>
      </c>
      <c r="BP51" s="120" t="s">
        <v>374</v>
      </c>
      <c r="BQ51" s="120" t="s">
        <v>374</v>
      </c>
      <c r="BR51" s="120" t="s">
        <v>374</v>
      </c>
      <c r="BS51" s="120" t="s">
        <v>374</v>
      </c>
      <c r="BT51" s="120" t="s">
        <v>374</v>
      </c>
      <c r="BU51" s="120" t="s">
        <v>374</v>
      </c>
      <c r="BV51" s="120" t="s">
        <v>374</v>
      </c>
      <c r="BW51" s="120" t="s">
        <v>374</v>
      </c>
      <c r="BX51" s="120" t="s">
        <v>374</v>
      </c>
      <c r="BY51" s="120" t="s">
        <v>374</v>
      </c>
      <c r="BZ51" s="120" t="s">
        <v>374</v>
      </c>
      <c r="CA51" s="120" t="s">
        <v>374</v>
      </c>
      <c r="CB51" s="120" t="s">
        <v>374</v>
      </c>
      <c r="CC51" s="120" t="s">
        <v>374</v>
      </c>
      <c r="CD51" s="120" t="s">
        <v>374</v>
      </c>
      <c r="CE51" s="120" t="s">
        <v>374</v>
      </c>
      <c r="CF51" s="120" t="s">
        <v>374</v>
      </c>
      <c r="CG51" s="120" t="s">
        <v>374</v>
      </c>
      <c r="CH51" s="120" t="s">
        <v>374</v>
      </c>
      <c r="CI51" s="120" t="s">
        <v>374</v>
      </c>
      <c r="CJ51" s="120" t="s">
        <v>374</v>
      </c>
      <c r="CK51" s="120" t="s">
        <v>374</v>
      </c>
      <c r="CL51" s="120" t="s">
        <v>374</v>
      </c>
      <c r="CM51" s="120" t="s">
        <v>374</v>
      </c>
      <c r="CN51" s="120" t="s">
        <v>374</v>
      </c>
      <c r="CO51" s="120" t="s">
        <v>374</v>
      </c>
      <c r="CP51" s="120" t="s">
        <v>374</v>
      </c>
      <c r="CQ51" s="120" t="s">
        <v>374</v>
      </c>
      <c r="CR51" s="120" t="s">
        <v>374</v>
      </c>
      <c r="CS51" s="120" t="s">
        <v>374</v>
      </c>
      <c r="CT51" s="120" t="s">
        <v>374</v>
      </c>
      <c r="CU51" s="120" t="s">
        <v>374</v>
      </c>
      <c r="CV51" s="120" t="s">
        <v>374</v>
      </c>
      <c r="CW51" s="120" t="s">
        <v>374</v>
      </c>
      <c r="CX51" s="120" t="s">
        <v>374</v>
      </c>
      <c r="CY51" s="120" t="s">
        <v>374</v>
      </c>
      <c r="CZ51" s="120" t="s">
        <v>374</v>
      </c>
      <c r="DA51" s="120" t="s">
        <v>374</v>
      </c>
      <c r="DB51" s="120" t="s">
        <v>374</v>
      </c>
      <c r="DC51" s="120" t="s">
        <v>374</v>
      </c>
    </row>
    <row r="52" spans="2:107" ht="30">
      <c r="B52" s="173"/>
      <c r="C52" s="173"/>
      <c r="D52" s="173"/>
      <c r="E52" s="173"/>
      <c r="F52" s="173"/>
      <c r="G52" s="173"/>
      <c r="H52" s="168"/>
      <c r="I52" s="168"/>
      <c r="J52" s="168"/>
      <c r="K52" s="168"/>
      <c r="L52" s="168"/>
      <c r="M52" s="168"/>
      <c r="N52" s="168"/>
      <c r="O52" s="120" t="s">
        <v>408</v>
      </c>
      <c r="P52" s="170" t="s">
        <v>379</v>
      </c>
      <c r="Q52" s="120" t="s">
        <v>388</v>
      </c>
      <c r="R52" s="120" t="s">
        <v>95</v>
      </c>
      <c r="S52" s="120" t="s">
        <v>382</v>
      </c>
      <c r="T52" s="120" t="s">
        <v>374</v>
      </c>
      <c r="U52" s="120" t="s">
        <v>408</v>
      </c>
      <c r="V52" s="120" t="s">
        <v>374</v>
      </c>
      <c r="W52" s="120" t="s">
        <v>409</v>
      </c>
      <c r="X52" s="120" t="s">
        <v>374</v>
      </c>
      <c r="Y52" s="120" t="s">
        <v>410</v>
      </c>
      <c r="Z52" s="120" t="s">
        <v>95</v>
      </c>
      <c r="AA52" s="120" t="s">
        <v>374</v>
      </c>
      <c r="AB52" s="120" t="s">
        <v>374</v>
      </c>
      <c r="AC52" s="120" t="s">
        <v>374</v>
      </c>
      <c r="AD52" s="120" t="s">
        <v>374</v>
      </c>
      <c r="AE52" s="120" t="s">
        <v>374</v>
      </c>
      <c r="AF52" s="120" t="s">
        <v>374</v>
      </c>
      <c r="AG52" s="120" t="s">
        <v>374</v>
      </c>
      <c r="AH52" s="120" t="s">
        <v>374</v>
      </c>
      <c r="AI52" s="120" t="s">
        <v>374</v>
      </c>
      <c r="AJ52" s="120" t="s">
        <v>374</v>
      </c>
      <c r="AK52" s="120" t="s">
        <v>374</v>
      </c>
      <c r="AL52" s="120" t="s">
        <v>374</v>
      </c>
      <c r="AM52" s="120" t="s">
        <v>374</v>
      </c>
      <c r="AN52" s="120" t="s">
        <v>374</v>
      </c>
      <c r="AO52" s="120" t="s">
        <v>374</v>
      </c>
      <c r="AP52" s="120" t="s">
        <v>374</v>
      </c>
      <c r="AQ52" s="120" t="s">
        <v>374</v>
      </c>
      <c r="AR52" s="120" t="s">
        <v>374</v>
      </c>
      <c r="AS52" s="120" t="s">
        <v>374</v>
      </c>
      <c r="AT52" s="120" t="s">
        <v>374</v>
      </c>
      <c r="AU52" s="120" t="s">
        <v>374</v>
      </c>
      <c r="AV52" s="120" t="s">
        <v>374</v>
      </c>
      <c r="AW52" s="120" t="s">
        <v>374</v>
      </c>
      <c r="AX52" s="120" t="s">
        <v>374</v>
      </c>
      <c r="AY52" s="120" t="s">
        <v>374</v>
      </c>
      <c r="AZ52" s="120" t="s">
        <v>374</v>
      </c>
      <c r="BA52" s="120" t="s">
        <v>374</v>
      </c>
      <c r="BB52" s="120" t="s">
        <v>374</v>
      </c>
      <c r="BC52" s="120" t="s">
        <v>374</v>
      </c>
      <c r="BD52" s="120" t="s">
        <v>374</v>
      </c>
      <c r="BE52" s="120" t="s">
        <v>374</v>
      </c>
      <c r="BF52" s="120" t="s">
        <v>374</v>
      </c>
      <c r="BG52" s="120" t="s">
        <v>374</v>
      </c>
      <c r="BH52" s="120" t="s">
        <v>374</v>
      </c>
      <c r="BI52" s="120" t="s">
        <v>374</v>
      </c>
      <c r="BJ52" s="120" t="s">
        <v>374</v>
      </c>
      <c r="BK52" s="120" t="s">
        <v>374</v>
      </c>
      <c r="BL52" s="120" t="s">
        <v>374</v>
      </c>
      <c r="BM52" s="120" t="s">
        <v>374</v>
      </c>
      <c r="BN52" s="120" t="s">
        <v>374</v>
      </c>
      <c r="BO52" s="120" t="s">
        <v>374</v>
      </c>
      <c r="BP52" s="120" t="s">
        <v>374</v>
      </c>
      <c r="BQ52" s="120" t="s">
        <v>374</v>
      </c>
      <c r="BR52" s="120" t="s">
        <v>374</v>
      </c>
      <c r="BS52" s="120" t="s">
        <v>374</v>
      </c>
      <c r="BT52" s="120" t="s">
        <v>374</v>
      </c>
      <c r="BU52" s="120" t="s">
        <v>374</v>
      </c>
      <c r="BV52" s="120" t="s">
        <v>374</v>
      </c>
      <c r="BW52" s="120" t="s">
        <v>374</v>
      </c>
      <c r="BX52" s="120" t="s">
        <v>374</v>
      </c>
      <c r="BY52" s="120" t="s">
        <v>374</v>
      </c>
      <c r="BZ52" s="120" t="s">
        <v>374</v>
      </c>
      <c r="CA52" s="120" t="s">
        <v>374</v>
      </c>
      <c r="CB52" s="120" t="s">
        <v>374</v>
      </c>
      <c r="CC52" s="120" t="s">
        <v>374</v>
      </c>
      <c r="CD52" s="120" t="s">
        <v>374</v>
      </c>
      <c r="CE52" s="120" t="s">
        <v>374</v>
      </c>
      <c r="CF52" s="120" t="s">
        <v>374</v>
      </c>
      <c r="CG52" s="120" t="s">
        <v>374</v>
      </c>
      <c r="CH52" s="120" t="s">
        <v>374</v>
      </c>
      <c r="CI52" s="120" t="s">
        <v>374</v>
      </c>
      <c r="CJ52" s="120" t="s">
        <v>374</v>
      </c>
      <c r="CK52" s="120" t="s">
        <v>374</v>
      </c>
      <c r="CL52" s="120" t="s">
        <v>374</v>
      </c>
      <c r="CM52" s="120" t="s">
        <v>374</v>
      </c>
      <c r="CN52" s="120" t="s">
        <v>374</v>
      </c>
      <c r="CO52" s="120" t="s">
        <v>374</v>
      </c>
      <c r="CP52" s="120" t="s">
        <v>374</v>
      </c>
      <c r="CQ52" s="120" t="s">
        <v>374</v>
      </c>
      <c r="CR52" s="120" t="s">
        <v>374</v>
      </c>
      <c r="CS52" s="120" t="s">
        <v>374</v>
      </c>
      <c r="CT52" s="120" t="s">
        <v>374</v>
      </c>
      <c r="CU52" s="120" t="s">
        <v>374</v>
      </c>
      <c r="CV52" s="120" t="s">
        <v>374</v>
      </c>
      <c r="CW52" s="120" t="s">
        <v>374</v>
      </c>
      <c r="CX52" s="120" t="s">
        <v>374</v>
      </c>
      <c r="CY52" s="120" t="s">
        <v>374</v>
      </c>
      <c r="CZ52" s="120" t="s">
        <v>374</v>
      </c>
      <c r="DA52" s="120" t="s">
        <v>374</v>
      </c>
      <c r="DB52" s="120" t="s">
        <v>374</v>
      </c>
      <c r="DC52" s="120" t="s">
        <v>374</v>
      </c>
    </row>
    <row r="53" spans="2:107" ht="30">
      <c r="B53" s="173"/>
      <c r="C53" s="173"/>
      <c r="D53" s="173"/>
      <c r="E53" s="173"/>
      <c r="F53" s="173"/>
      <c r="G53" s="173"/>
      <c r="H53" s="168"/>
      <c r="I53" s="168"/>
      <c r="J53" s="168"/>
      <c r="K53" s="168"/>
      <c r="L53" s="168"/>
      <c r="M53" s="168"/>
      <c r="N53" s="168"/>
      <c r="O53" s="120" t="s">
        <v>411</v>
      </c>
      <c r="P53" s="170" t="s">
        <v>379</v>
      </c>
      <c r="Q53" s="120" t="s">
        <v>388</v>
      </c>
      <c r="R53" s="120" t="s">
        <v>95</v>
      </c>
      <c r="S53" s="120" t="s">
        <v>382</v>
      </c>
      <c r="T53" s="120" t="s">
        <v>374</v>
      </c>
      <c r="U53" s="120" t="s">
        <v>411</v>
      </c>
      <c r="V53" s="120" t="s">
        <v>374</v>
      </c>
      <c r="W53" s="120" t="s">
        <v>412</v>
      </c>
      <c r="X53" s="120" t="s">
        <v>374</v>
      </c>
      <c r="Y53" s="120" t="s">
        <v>410</v>
      </c>
      <c r="Z53" s="120" t="s">
        <v>95</v>
      </c>
      <c r="AA53" s="120" t="s">
        <v>374</v>
      </c>
      <c r="AB53" s="120" t="s">
        <v>374</v>
      </c>
      <c r="AC53" s="120" t="s">
        <v>374</v>
      </c>
      <c r="AD53" s="120" t="s">
        <v>374</v>
      </c>
      <c r="AE53" s="120" t="s">
        <v>374</v>
      </c>
      <c r="AF53" s="120" t="s">
        <v>374</v>
      </c>
      <c r="AG53" s="120" t="s">
        <v>374</v>
      </c>
      <c r="AH53" s="120" t="s">
        <v>374</v>
      </c>
      <c r="AI53" s="120" t="s">
        <v>374</v>
      </c>
      <c r="AJ53" s="120" t="s">
        <v>374</v>
      </c>
      <c r="AK53" s="120" t="s">
        <v>374</v>
      </c>
      <c r="AL53" s="120" t="s">
        <v>374</v>
      </c>
      <c r="AM53" s="120" t="s">
        <v>374</v>
      </c>
      <c r="AN53" s="120" t="s">
        <v>374</v>
      </c>
      <c r="AO53" s="120" t="s">
        <v>374</v>
      </c>
      <c r="AP53" s="120" t="s">
        <v>374</v>
      </c>
      <c r="AQ53" s="120" t="s">
        <v>374</v>
      </c>
      <c r="AR53" s="120" t="s">
        <v>374</v>
      </c>
      <c r="AS53" s="120" t="s">
        <v>374</v>
      </c>
      <c r="AT53" s="120" t="s">
        <v>374</v>
      </c>
      <c r="AU53" s="120" t="s">
        <v>374</v>
      </c>
      <c r="AV53" s="120" t="s">
        <v>374</v>
      </c>
      <c r="AW53" s="120" t="s">
        <v>374</v>
      </c>
      <c r="AX53" s="120" t="s">
        <v>374</v>
      </c>
      <c r="AY53" s="120" t="s">
        <v>374</v>
      </c>
      <c r="AZ53" s="120" t="s">
        <v>374</v>
      </c>
      <c r="BA53" s="120" t="s">
        <v>374</v>
      </c>
      <c r="BB53" s="120" t="s">
        <v>374</v>
      </c>
      <c r="BC53" s="120" t="s">
        <v>374</v>
      </c>
      <c r="BD53" s="120" t="s">
        <v>374</v>
      </c>
      <c r="BE53" s="120" t="s">
        <v>374</v>
      </c>
      <c r="BF53" s="120" t="s">
        <v>374</v>
      </c>
      <c r="BG53" s="120" t="s">
        <v>374</v>
      </c>
      <c r="BH53" s="120" t="s">
        <v>374</v>
      </c>
      <c r="BI53" s="120" t="s">
        <v>374</v>
      </c>
      <c r="BJ53" s="120" t="s">
        <v>374</v>
      </c>
      <c r="BK53" s="120" t="s">
        <v>374</v>
      </c>
      <c r="BL53" s="120" t="s">
        <v>374</v>
      </c>
      <c r="BM53" s="120" t="s">
        <v>374</v>
      </c>
      <c r="BN53" s="120" t="s">
        <v>374</v>
      </c>
      <c r="BO53" s="120" t="s">
        <v>374</v>
      </c>
      <c r="BP53" s="120" t="s">
        <v>374</v>
      </c>
      <c r="BQ53" s="120" t="s">
        <v>374</v>
      </c>
      <c r="BR53" s="120" t="s">
        <v>374</v>
      </c>
      <c r="BS53" s="120" t="s">
        <v>374</v>
      </c>
      <c r="BT53" s="120" t="s">
        <v>374</v>
      </c>
      <c r="BU53" s="120" t="s">
        <v>374</v>
      </c>
      <c r="BV53" s="120" t="s">
        <v>374</v>
      </c>
      <c r="BW53" s="120" t="s">
        <v>374</v>
      </c>
      <c r="BX53" s="120" t="s">
        <v>374</v>
      </c>
      <c r="BY53" s="120" t="s">
        <v>374</v>
      </c>
      <c r="BZ53" s="120" t="s">
        <v>374</v>
      </c>
      <c r="CA53" s="120" t="s">
        <v>374</v>
      </c>
      <c r="CB53" s="120" t="s">
        <v>374</v>
      </c>
      <c r="CC53" s="120" t="s">
        <v>374</v>
      </c>
      <c r="CD53" s="120" t="s">
        <v>374</v>
      </c>
      <c r="CE53" s="120" t="s">
        <v>374</v>
      </c>
      <c r="CF53" s="120" t="s">
        <v>374</v>
      </c>
      <c r="CG53" s="120" t="s">
        <v>374</v>
      </c>
      <c r="CH53" s="120" t="s">
        <v>374</v>
      </c>
      <c r="CI53" s="120" t="s">
        <v>374</v>
      </c>
      <c r="CJ53" s="120" t="s">
        <v>374</v>
      </c>
      <c r="CK53" s="120" t="s">
        <v>374</v>
      </c>
      <c r="CL53" s="120" t="s">
        <v>374</v>
      </c>
      <c r="CM53" s="120" t="s">
        <v>374</v>
      </c>
      <c r="CN53" s="120" t="s">
        <v>374</v>
      </c>
      <c r="CO53" s="120" t="s">
        <v>374</v>
      </c>
      <c r="CP53" s="120" t="s">
        <v>374</v>
      </c>
      <c r="CQ53" s="120" t="s">
        <v>374</v>
      </c>
      <c r="CR53" s="120" t="s">
        <v>374</v>
      </c>
      <c r="CS53" s="120" t="s">
        <v>374</v>
      </c>
      <c r="CT53" s="120" t="s">
        <v>374</v>
      </c>
      <c r="CU53" s="120" t="s">
        <v>374</v>
      </c>
      <c r="CV53" s="120" t="s">
        <v>374</v>
      </c>
      <c r="CW53" s="120" t="s">
        <v>374</v>
      </c>
      <c r="CX53" s="120" t="s">
        <v>374</v>
      </c>
      <c r="CY53" s="120" t="s">
        <v>374</v>
      </c>
      <c r="CZ53" s="120" t="s">
        <v>374</v>
      </c>
      <c r="DA53" s="120" t="s">
        <v>374</v>
      </c>
      <c r="DB53" s="120" t="s">
        <v>374</v>
      </c>
      <c r="DC53" s="120" t="s">
        <v>374</v>
      </c>
    </row>
    <row r="54" spans="2:107" ht="30">
      <c r="B54" s="173"/>
      <c r="C54" s="173"/>
      <c r="D54" s="173"/>
      <c r="E54" s="173"/>
      <c r="F54" s="173"/>
      <c r="G54" s="173"/>
      <c r="H54" s="168"/>
      <c r="I54" s="168"/>
      <c r="J54" s="168"/>
      <c r="K54" s="168"/>
      <c r="L54" s="168"/>
      <c r="M54" s="168"/>
      <c r="N54" s="168"/>
      <c r="O54" s="120" t="s">
        <v>413</v>
      </c>
      <c r="P54" s="170" t="s">
        <v>379</v>
      </c>
      <c r="Q54" s="120" t="s">
        <v>388</v>
      </c>
      <c r="R54" s="120" t="s">
        <v>95</v>
      </c>
      <c r="S54" s="120" t="s">
        <v>382</v>
      </c>
      <c r="T54" s="120" t="s">
        <v>374</v>
      </c>
      <c r="U54" s="120" t="s">
        <v>413</v>
      </c>
      <c r="V54" s="120" t="s">
        <v>374</v>
      </c>
      <c r="W54" s="120" t="s">
        <v>414</v>
      </c>
      <c r="X54" s="120" t="s">
        <v>374</v>
      </c>
      <c r="Y54" s="120" t="s">
        <v>415</v>
      </c>
      <c r="Z54" s="120" t="s">
        <v>95</v>
      </c>
      <c r="AA54" s="120" t="s">
        <v>374</v>
      </c>
      <c r="AB54" s="120" t="s">
        <v>374</v>
      </c>
      <c r="AC54" s="120" t="s">
        <v>374</v>
      </c>
      <c r="AD54" s="120" t="s">
        <v>374</v>
      </c>
      <c r="AE54" s="120" t="s">
        <v>374</v>
      </c>
      <c r="AF54" s="120" t="s">
        <v>374</v>
      </c>
      <c r="AG54" s="120" t="s">
        <v>374</v>
      </c>
      <c r="AH54" s="120" t="s">
        <v>374</v>
      </c>
      <c r="AI54" s="120" t="s">
        <v>374</v>
      </c>
      <c r="AJ54" s="120" t="s">
        <v>374</v>
      </c>
      <c r="AK54" s="120" t="s">
        <v>374</v>
      </c>
      <c r="AL54" s="120" t="s">
        <v>374</v>
      </c>
      <c r="AM54" s="120" t="s">
        <v>374</v>
      </c>
      <c r="AN54" s="120" t="s">
        <v>374</v>
      </c>
      <c r="AO54" s="120" t="s">
        <v>374</v>
      </c>
      <c r="AP54" s="120" t="s">
        <v>374</v>
      </c>
      <c r="AQ54" s="120" t="s">
        <v>374</v>
      </c>
      <c r="AR54" s="120" t="s">
        <v>374</v>
      </c>
      <c r="AS54" s="120" t="s">
        <v>374</v>
      </c>
      <c r="AT54" s="120" t="s">
        <v>374</v>
      </c>
      <c r="AU54" s="120" t="s">
        <v>374</v>
      </c>
      <c r="AV54" s="120" t="s">
        <v>374</v>
      </c>
      <c r="AW54" s="120" t="s">
        <v>374</v>
      </c>
      <c r="AX54" s="120" t="s">
        <v>374</v>
      </c>
      <c r="AY54" s="120" t="s">
        <v>374</v>
      </c>
      <c r="AZ54" s="120" t="s">
        <v>374</v>
      </c>
      <c r="BA54" s="120" t="s">
        <v>374</v>
      </c>
      <c r="BB54" s="120" t="s">
        <v>374</v>
      </c>
      <c r="BC54" s="120" t="s">
        <v>374</v>
      </c>
      <c r="BD54" s="120" t="s">
        <v>374</v>
      </c>
      <c r="BE54" s="120" t="s">
        <v>374</v>
      </c>
      <c r="BF54" s="120" t="s">
        <v>374</v>
      </c>
      <c r="BG54" s="120" t="s">
        <v>374</v>
      </c>
      <c r="BH54" s="120" t="s">
        <v>374</v>
      </c>
      <c r="BI54" s="120" t="s">
        <v>374</v>
      </c>
      <c r="BJ54" s="120" t="s">
        <v>374</v>
      </c>
      <c r="BK54" s="120" t="s">
        <v>374</v>
      </c>
      <c r="BL54" s="120" t="s">
        <v>374</v>
      </c>
      <c r="BM54" s="120" t="s">
        <v>374</v>
      </c>
      <c r="BN54" s="120" t="s">
        <v>374</v>
      </c>
      <c r="BO54" s="120" t="s">
        <v>374</v>
      </c>
      <c r="BP54" s="120" t="s">
        <v>374</v>
      </c>
      <c r="BQ54" s="120" t="s">
        <v>374</v>
      </c>
      <c r="BR54" s="120" t="s">
        <v>374</v>
      </c>
      <c r="BS54" s="120" t="s">
        <v>374</v>
      </c>
      <c r="BT54" s="120" t="s">
        <v>374</v>
      </c>
      <c r="BU54" s="120" t="s">
        <v>374</v>
      </c>
      <c r="BV54" s="120" t="s">
        <v>374</v>
      </c>
      <c r="BW54" s="120" t="s">
        <v>374</v>
      </c>
      <c r="BX54" s="120" t="s">
        <v>374</v>
      </c>
      <c r="BY54" s="120" t="s">
        <v>374</v>
      </c>
      <c r="BZ54" s="120" t="s">
        <v>374</v>
      </c>
      <c r="CA54" s="120" t="s">
        <v>374</v>
      </c>
      <c r="CB54" s="120" t="s">
        <v>374</v>
      </c>
      <c r="CC54" s="120" t="s">
        <v>374</v>
      </c>
      <c r="CD54" s="120" t="s">
        <v>374</v>
      </c>
      <c r="CE54" s="120" t="s">
        <v>374</v>
      </c>
      <c r="CF54" s="120" t="s">
        <v>374</v>
      </c>
      <c r="CG54" s="120" t="s">
        <v>374</v>
      </c>
      <c r="CH54" s="120" t="s">
        <v>374</v>
      </c>
      <c r="CI54" s="120" t="s">
        <v>374</v>
      </c>
      <c r="CJ54" s="120" t="s">
        <v>374</v>
      </c>
      <c r="CK54" s="120" t="s">
        <v>374</v>
      </c>
      <c r="CL54" s="120" t="s">
        <v>374</v>
      </c>
      <c r="CM54" s="120" t="s">
        <v>374</v>
      </c>
      <c r="CN54" s="120" t="s">
        <v>374</v>
      </c>
      <c r="CO54" s="120" t="s">
        <v>374</v>
      </c>
      <c r="CP54" s="120" t="s">
        <v>374</v>
      </c>
      <c r="CQ54" s="120" t="s">
        <v>374</v>
      </c>
      <c r="CR54" s="120" t="s">
        <v>374</v>
      </c>
      <c r="CS54" s="120" t="s">
        <v>374</v>
      </c>
      <c r="CT54" s="120" t="s">
        <v>374</v>
      </c>
      <c r="CU54" s="120" t="s">
        <v>374</v>
      </c>
      <c r="CV54" s="120" t="s">
        <v>374</v>
      </c>
      <c r="CW54" s="120" t="s">
        <v>374</v>
      </c>
      <c r="CX54" s="120" t="s">
        <v>374</v>
      </c>
      <c r="CY54" s="120" t="s">
        <v>374</v>
      </c>
      <c r="CZ54" s="120" t="s">
        <v>374</v>
      </c>
      <c r="DA54" s="120" t="s">
        <v>374</v>
      </c>
      <c r="DB54" s="120" t="s">
        <v>374</v>
      </c>
      <c r="DC54" s="120" t="s">
        <v>374</v>
      </c>
    </row>
    <row r="55" spans="2:107" ht="30">
      <c r="B55" s="173"/>
      <c r="C55" s="173"/>
      <c r="D55" s="173"/>
      <c r="E55" s="173"/>
      <c r="F55" s="173"/>
      <c r="G55" s="173"/>
      <c r="H55" s="168"/>
      <c r="I55" s="168"/>
      <c r="J55" s="168"/>
      <c r="K55" s="168"/>
      <c r="L55" s="168"/>
      <c r="M55" s="168"/>
      <c r="N55" s="168"/>
      <c r="O55" s="120" t="s">
        <v>416</v>
      </c>
      <c r="P55" s="170" t="s">
        <v>379</v>
      </c>
      <c r="Q55" s="120" t="s">
        <v>388</v>
      </c>
      <c r="R55" s="120" t="s">
        <v>95</v>
      </c>
      <c r="S55" s="120" t="s">
        <v>382</v>
      </c>
      <c r="T55" s="120" t="s">
        <v>374</v>
      </c>
      <c r="U55" s="120" t="s">
        <v>416</v>
      </c>
      <c r="V55" s="120" t="s">
        <v>374</v>
      </c>
      <c r="W55" s="120" t="s">
        <v>417</v>
      </c>
      <c r="X55" s="120" t="s">
        <v>374</v>
      </c>
      <c r="Y55" s="120" t="s">
        <v>415</v>
      </c>
      <c r="Z55" s="120" t="s">
        <v>95</v>
      </c>
      <c r="AA55" s="120" t="s">
        <v>374</v>
      </c>
      <c r="AB55" s="120" t="s">
        <v>374</v>
      </c>
      <c r="AC55" s="120" t="s">
        <v>374</v>
      </c>
      <c r="AD55" s="120" t="s">
        <v>374</v>
      </c>
      <c r="AE55" s="120" t="s">
        <v>374</v>
      </c>
      <c r="AF55" s="120" t="s">
        <v>374</v>
      </c>
      <c r="AG55" s="120" t="s">
        <v>374</v>
      </c>
      <c r="AH55" s="120" t="s">
        <v>374</v>
      </c>
      <c r="AI55" s="120" t="s">
        <v>374</v>
      </c>
      <c r="AJ55" s="120" t="s">
        <v>374</v>
      </c>
      <c r="AK55" s="120" t="s">
        <v>374</v>
      </c>
      <c r="AL55" s="120" t="s">
        <v>374</v>
      </c>
      <c r="AM55" s="120" t="s">
        <v>374</v>
      </c>
      <c r="AN55" s="120" t="s">
        <v>374</v>
      </c>
      <c r="AO55" s="120" t="s">
        <v>374</v>
      </c>
      <c r="AP55" s="120" t="s">
        <v>374</v>
      </c>
      <c r="AQ55" s="120" t="s">
        <v>374</v>
      </c>
      <c r="AR55" s="120" t="s">
        <v>374</v>
      </c>
      <c r="AS55" s="120" t="s">
        <v>374</v>
      </c>
      <c r="AT55" s="120" t="s">
        <v>374</v>
      </c>
      <c r="AU55" s="120" t="s">
        <v>374</v>
      </c>
      <c r="AV55" s="120" t="s">
        <v>374</v>
      </c>
      <c r="AW55" s="120" t="s">
        <v>374</v>
      </c>
      <c r="AX55" s="120" t="s">
        <v>374</v>
      </c>
      <c r="AY55" s="120" t="s">
        <v>374</v>
      </c>
      <c r="AZ55" s="120" t="s">
        <v>374</v>
      </c>
      <c r="BA55" s="120" t="s">
        <v>374</v>
      </c>
      <c r="BB55" s="120" t="s">
        <v>374</v>
      </c>
      <c r="BC55" s="120" t="s">
        <v>374</v>
      </c>
      <c r="BD55" s="120" t="s">
        <v>374</v>
      </c>
      <c r="BE55" s="120" t="s">
        <v>374</v>
      </c>
      <c r="BF55" s="120" t="s">
        <v>374</v>
      </c>
      <c r="BG55" s="120" t="s">
        <v>374</v>
      </c>
      <c r="BH55" s="120" t="s">
        <v>374</v>
      </c>
      <c r="BI55" s="120" t="s">
        <v>374</v>
      </c>
      <c r="BJ55" s="120" t="s">
        <v>374</v>
      </c>
      <c r="BK55" s="120" t="s">
        <v>374</v>
      </c>
      <c r="BL55" s="120" t="s">
        <v>374</v>
      </c>
      <c r="BM55" s="120" t="s">
        <v>374</v>
      </c>
      <c r="BN55" s="120" t="s">
        <v>374</v>
      </c>
      <c r="BO55" s="120" t="s">
        <v>374</v>
      </c>
      <c r="BP55" s="120" t="s">
        <v>374</v>
      </c>
      <c r="BQ55" s="120" t="s">
        <v>374</v>
      </c>
      <c r="BR55" s="120" t="s">
        <v>374</v>
      </c>
      <c r="BS55" s="120" t="s">
        <v>374</v>
      </c>
      <c r="BT55" s="120" t="s">
        <v>374</v>
      </c>
      <c r="BU55" s="120" t="s">
        <v>374</v>
      </c>
      <c r="BV55" s="120" t="s">
        <v>374</v>
      </c>
      <c r="BW55" s="120" t="s">
        <v>374</v>
      </c>
      <c r="BX55" s="120" t="s">
        <v>374</v>
      </c>
      <c r="BY55" s="120" t="s">
        <v>374</v>
      </c>
      <c r="BZ55" s="120" t="s">
        <v>374</v>
      </c>
      <c r="CA55" s="120" t="s">
        <v>374</v>
      </c>
      <c r="CB55" s="120" t="s">
        <v>374</v>
      </c>
      <c r="CC55" s="120" t="s">
        <v>374</v>
      </c>
      <c r="CD55" s="120" t="s">
        <v>374</v>
      </c>
      <c r="CE55" s="120" t="s">
        <v>374</v>
      </c>
      <c r="CF55" s="120" t="s">
        <v>374</v>
      </c>
      <c r="CG55" s="120" t="s">
        <v>374</v>
      </c>
      <c r="CH55" s="120" t="s">
        <v>374</v>
      </c>
      <c r="CI55" s="120" t="s">
        <v>374</v>
      </c>
      <c r="CJ55" s="120" t="s">
        <v>374</v>
      </c>
      <c r="CK55" s="120" t="s">
        <v>374</v>
      </c>
      <c r="CL55" s="120" t="s">
        <v>374</v>
      </c>
      <c r="CM55" s="120" t="s">
        <v>374</v>
      </c>
      <c r="CN55" s="120" t="s">
        <v>374</v>
      </c>
      <c r="CO55" s="120" t="s">
        <v>374</v>
      </c>
      <c r="CP55" s="120" t="s">
        <v>374</v>
      </c>
      <c r="CQ55" s="120" t="s">
        <v>374</v>
      </c>
      <c r="CR55" s="120" t="s">
        <v>374</v>
      </c>
      <c r="CS55" s="120" t="s">
        <v>374</v>
      </c>
      <c r="CT55" s="120" t="s">
        <v>374</v>
      </c>
      <c r="CU55" s="120" t="s">
        <v>374</v>
      </c>
      <c r="CV55" s="120" t="s">
        <v>374</v>
      </c>
      <c r="CW55" s="120" t="s">
        <v>374</v>
      </c>
      <c r="CX55" s="120" t="s">
        <v>374</v>
      </c>
      <c r="CY55" s="120" t="s">
        <v>374</v>
      </c>
      <c r="CZ55" s="120" t="s">
        <v>374</v>
      </c>
      <c r="DA55" s="120" t="s">
        <v>374</v>
      </c>
      <c r="DB55" s="120" t="s">
        <v>374</v>
      </c>
      <c r="DC55" s="120" t="s">
        <v>374</v>
      </c>
    </row>
    <row r="56" spans="2:107" ht="30">
      <c r="B56" s="173"/>
      <c r="C56" s="173"/>
      <c r="D56" s="173"/>
      <c r="E56" s="173"/>
      <c r="F56" s="173"/>
      <c r="G56" s="173"/>
      <c r="H56" s="168"/>
      <c r="I56" s="168"/>
      <c r="J56" s="168"/>
      <c r="K56" s="168"/>
      <c r="L56" s="168"/>
      <c r="M56" s="168"/>
      <c r="N56" s="168"/>
      <c r="O56" s="120" t="s">
        <v>418</v>
      </c>
      <c r="P56" s="170" t="s">
        <v>379</v>
      </c>
      <c r="Q56" s="120" t="s">
        <v>388</v>
      </c>
      <c r="R56" s="120" t="s">
        <v>95</v>
      </c>
      <c r="S56" s="120" t="s">
        <v>382</v>
      </c>
      <c r="T56" s="120" t="s">
        <v>374</v>
      </c>
      <c r="U56" s="120" t="s">
        <v>418</v>
      </c>
      <c r="V56" s="120" t="s">
        <v>374</v>
      </c>
      <c r="W56" s="120" t="s">
        <v>419</v>
      </c>
      <c r="X56" s="120" t="s">
        <v>374</v>
      </c>
      <c r="Y56" s="120" t="s">
        <v>415</v>
      </c>
      <c r="Z56" s="120" t="s">
        <v>95</v>
      </c>
      <c r="AA56" s="120" t="s">
        <v>374</v>
      </c>
      <c r="AB56" s="120" t="s">
        <v>374</v>
      </c>
      <c r="AC56" s="120" t="s">
        <v>374</v>
      </c>
      <c r="AD56" s="120" t="s">
        <v>374</v>
      </c>
      <c r="AE56" s="120" t="s">
        <v>374</v>
      </c>
      <c r="AF56" s="120" t="s">
        <v>374</v>
      </c>
      <c r="AG56" s="120" t="s">
        <v>374</v>
      </c>
      <c r="AH56" s="120" t="s">
        <v>374</v>
      </c>
      <c r="AI56" s="120" t="s">
        <v>374</v>
      </c>
      <c r="AJ56" s="120" t="s">
        <v>374</v>
      </c>
      <c r="AK56" s="120" t="s">
        <v>374</v>
      </c>
      <c r="AL56" s="120" t="s">
        <v>374</v>
      </c>
      <c r="AM56" s="120" t="s">
        <v>374</v>
      </c>
      <c r="AN56" s="120" t="s">
        <v>374</v>
      </c>
      <c r="AO56" s="120" t="s">
        <v>374</v>
      </c>
      <c r="AP56" s="120" t="s">
        <v>374</v>
      </c>
      <c r="AQ56" s="120" t="s">
        <v>374</v>
      </c>
      <c r="AR56" s="120" t="s">
        <v>374</v>
      </c>
      <c r="AS56" s="120" t="s">
        <v>374</v>
      </c>
      <c r="AT56" s="120" t="s">
        <v>374</v>
      </c>
      <c r="AU56" s="120" t="s">
        <v>374</v>
      </c>
      <c r="AV56" s="120" t="s">
        <v>374</v>
      </c>
      <c r="AW56" s="120" t="s">
        <v>374</v>
      </c>
      <c r="AX56" s="120" t="s">
        <v>374</v>
      </c>
      <c r="AY56" s="120" t="s">
        <v>374</v>
      </c>
      <c r="AZ56" s="120" t="s">
        <v>374</v>
      </c>
      <c r="BA56" s="120" t="s">
        <v>374</v>
      </c>
      <c r="BB56" s="120" t="s">
        <v>374</v>
      </c>
      <c r="BC56" s="120" t="s">
        <v>374</v>
      </c>
      <c r="BD56" s="120" t="s">
        <v>374</v>
      </c>
      <c r="BE56" s="120" t="s">
        <v>374</v>
      </c>
      <c r="BF56" s="120" t="s">
        <v>374</v>
      </c>
      <c r="BG56" s="120" t="s">
        <v>374</v>
      </c>
      <c r="BH56" s="120" t="s">
        <v>374</v>
      </c>
      <c r="BI56" s="120" t="s">
        <v>374</v>
      </c>
      <c r="BJ56" s="120" t="s">
        <v>374</v>
      </c>
      <c r="BK56" s="120" t="s">
        <v>374</v>
      </c>
      <c r="BL56" s="120" t="s">
        <v>374</v>
      </c>
      <c r="BM56" s="120" t="s">
        <v>374</v>
      </c>
      <c r="BN56" s="120" t="s">
        <v>374</v>
      </c>
      <c r="BO56" s="120" t="s">
        <v>374</v>
      </c>
      <c r="BP56" s="120" t="s">
        <v>374</v>
      </c>
      <c r="BQ56" s="120" t="s">
        <v>374</v>
      </c>
      <c r="BR56" s="120" t="s">
        <v>374</v>
      </c>
      <c r="BS56" s="120" t="s">
        <v>374</v>
      </c>
      <c r="BT56" s="120" t="s">
        <v>374</v>
      </c>
      <c r="BU56" s="120" t="s">
        <v>374</v>
      </c>
      <c r="BV56" s="120" t="s">
        <v>374</v>
      </c>
      <c r="BW56" s="120" t="s">
        <v>374</v>
      </c>
      <c r="BX56" s="120" t="s">
        <v>374</v>
      </c>
      <c r="BY56" s="120" t="s">
        <v>374</v>
      </c>
      <c r="BZ56" s="120" t="s">
        <v>374</v>
      </c>
      <c r="CA56" s="120" t="s">
        <v>374</v>
      </c>
      <c r="CB56" s="120" t="s">
        <v>374</v>
      </c>
      <c r="CC56" s="120" t="s">
        <v>374</v>
      </c>
      <c r="CD56" s="120" t="s">
        <v>374</v>
      </c>
      <c r="CE56" s="120" t="s">
        <v>374</v>
      </c>
      <c r="CF56" s="120" t="s">
        <v>374</v>
      </c>
      <c r="CG56" s="120" t="s">
        <v>374</v>
      </c>
      <c r="CH56" s="120" t="s">
        <v>374</v>
      </c>
      <c r="CI56" s="120" t="s">
        <v>374</v>
      </c>
      <c r="CJ56" s="120" t="s">
        <v>374</v>
      </c>
      <c r="CK56" s="120" t="s">
        <v>374</v>
      </c>
      <c r="CL56" s="120" t="s">
        <v>374</v>
      </c>
      <c r="CM56" s="120" t="s">
        <v>374</v>
      </c>
      <c r="CN56" s="120" t="s">
        <v>374</v>
      </c>
      <c r="CO56" s="120" t="s">
        <v>374</v>
      </c>
      <c r="CP56" s="120" t="s">
        <v>374</v>
      </c>
      <c r="CQ56" s="120" t="s">
        <v>374</v>
      </c>
      <c r="CR56" s="120" t="s">
        <v>374</v>
      </c>
      <c r="CS56" s="120" t="s">
        <v>374</v>
      </c>
      <c r="CT56" s="120" t="s">
        <v>374</v>
      </c>
      <c r="CU56" s="120" t="s">
        <v>374</v>
      </c>
      <c r="CV56" s="120" t="s">
        <v>374</v>
      </c>
      <c r="CW56" s="120" t="s">
        <v>374</v>
      </c>
      <c r="CX56" s="120" t="s">
        <v>374</v>
      </c>
      <c r="CY56" s="120" t="s">
        <v>374</v>
      </c>
      <c r="CZ56" s="120" t="s">
        <v>374</v>
      </c>
      <c r="DA56" s="120" t="s">
        <v>374</v>
      </c>
      <c r="DB56" s="120" t="s">
        <v>374</v>
      </c>
      <c r="DC56" s="120" t="s">
        <v>374</v>
      </c>
    </row>
    <row r="57" spans="2:107" ht="30">
      <c r="B57" s="173"/>
      <c r="C57" s="173"/>
      <c r="D57" s="173"/>
      <c r="E57" s="173"/>
      <c r="F57" s="173"/>
      <c r="G57" s="173"/>
      <c r="H57" s="168"/>
      <c r="I57" s="168"/>
      <c r="J57" s="168"/>
      <c r="K57" s="168"/>
      <c r="L57" s="168"/>
      <c r="M57" s="168"/>
      <c r="N57" s="168"/>
      <c r="O57" s="120" t="s">
        <v>420</v>
      </c>
      <c r="P57" s="170" t="s">
        <v>379</v>
      </c>
      <c r="Q57" s="120" t="s">
        <v>388</v>
      </c>
      <c r="R57" s="120" t="s">
        <v>95</v>
      </c>
      <c r="S57" s="120" t="s">
        <v>382</v>
      </c>
      <c r="T57" s="120" t="s">
        <v>374</v>
      </c>
      <c r="U57" s="120" t="s">
        <v>420</v>
      </c>
      <c r="V57" s="120" t="s">
        <v>374</v>
      </c>
      <c r="W57" s="120" t="s">
        <v>421</v>
      </c>
      <c r="X57" s="120" t="s">
        <v>374</v>
      </c>
      <c r="Y57" s="120" t="s">
        <v>422</v>
      </c>
      <c r="Z57" s="120" t="s">
        <v>95</v>
      </c>
      <c r="AA57" s="120" t="s">
        <v>374</v>
      </c>
      <c r="AB57" s="120" t="s">
        <v>374</v>
      </c>
      <c r="AC57" s="120" t="s">
        <v>374</v>
      </c>
      <c r="AD57" s="120" t="s">
        <v>374</v>
      </c>
      <c r="AE57" s="120" t="s">
        <v>374</v>
      </c>
      <c r="AF57" s="120" t="s">
        <v>374</v>
      </c>
      <c r="AG57" s="120" t="s">
        <v>374</v>
      </c>
      <c r="AH57" s="120" t="s">
        <v>374</v>
      </c>
      <c r="AI57" s="120" t="s">
        <v>374</v>
      </c>
      <c r="AJ57" s="120" t="s">
        <v>374</v>
      </c>
      <c r="AK57" s="120" t="s">
        <v>374</v>
      </c>
      <c r="AL57" s="120" t="s">
        <v>374</v>
      </c>
      <c r="AM57" s="120" t="s">
        <v>374</v>
      </c>
      <c r="AN57" s="120" t="s">
        <v>374</v>
      </c>
      <c r="AO57" s="120" t="s">
        <v>374</v>
      </c>
      <c r="AP57" s="120" t="s">
        <v>374</v>
      </c>
      <c r="AQ57" s="120" t="s">
        <v>374</v>
      </c>
      <c r="AR57" s="120" t="s">
        <v>374</v>
      </c>
      <c r="AS57" s="120" t="s">
        <v>374</v>
      </c>
      <c r="AT57" s="120" t="s">
        <v>374</v>
      </c>
      <c r="AU57" s="120" t="s">
        <v>374</v>
      </c>
      <c r="AV57" s="120" t="s">
        <v>374</v>
      </c>
      <c r="AW57" s="120" t="s">
        <v>374</v>
      </c>
      <c r="AX57" s="120" t="s">
        <v>374</v>
      </c>
      <c r="AY57" s="120" t="s">
        <v>374</v>
      </c>
      <c r="AZ57" s="120" t="s">
        <v>374</v>
      </c>
      <c r="BA57" s="120" t="s">
        <v>374</v>
      </c>
      <c r="BB57" s="120" t="s">
        <v>374</v>
      </c>
      <c r="BC57" s="120" t="s">
        <v>374</v>
      </c>
      <c r="BD57" s="120" t="s">
        <v>374</v>
      </c>
      <c r="BE57" s="120" t="s">
        <v>374</v>
      </c>
      <c r="BF57" s="120" t="s">
        <v>374</v>
      </c>
      <c r="BG57" s="120" t="s">
        <v>374</v>
      </c>
      <c r="BH57" s="120" t="s">
        <v>374</v>
      </c>
      <c r="BI57" s="120" t="s">
        <v>374</v>
      </c>
      <c r="BJ57" s="120" t="s">
        <v>374</v>
      </c>
      <c r="BK57" s="120" t="s">
        <v>374</v>
      </c>
      <c r="BL57" s="120" t="s">
        <v>374</v>
      </c>
      <c r="BM57" s="120" t="s">
        <v>374</v>
      </c>
      <c r="BN57" s="120" t="s">
        <v>374</v>
      </c>
      <c r="BO57" s="120" t="s">
        <v>374</v>
      </c>
      <c r="BP57" s="120" t="s">
        <v>374</v>
      </c>
      <c r="BQ57" s="120" t="s">
        <v>374</v>
      </c>
      <c r="BR57" s="120" t="s">
        <v>374</v>
      </c>
      <c r="BS57" s="120" t="s">
        <v>374</v>
      </c>
      <c r="BT57" s="120" t="s">
        <v>374</v>
      </c>
      <c r="BU57" s="120" t="s">
        <v>374</v>
      </c>
      <c r="BV57" s="120" t="s">
        <v>374</v>
      </c>
      <c r="BW57" s="120" t="s">
        <v>374</v>
      </c>
      <c r="BX57" s="120" t="s">
        <v>374</v>
      </c>
      <c r="BY57" s="120" t="s">
        <v>374</v>
      </c>
      <c r="BZ57" s="120" t="s">
        <v>374</v>
      </c>
      <c r="CA57" s="120" t="s">
        <v>374</v>
      </c>
      <c r="CB57" s="120" t="s">
        <v>374</v>
      </c>
      <c r="CC57" s="120" t="s">
        <v>374</v>
      </c>
      <c r="CD57" s="120" t="s">
        <v>374</v>
      </c>
      <c r="CE57" s="120" t="s">
        <v>374</v>
      </c>
      <c r="CF57" s="120" t="s">
        <v>374</v>
      </c>
      <c r="CG57" s="120" t="s">
        <v>374</v>
      </c>
      <c r="CH57" s="120" t="s">
        <v>374</v>
      </c>
      <c r="CI57" s="120" t="s">
        <v>374</v>
      </c>
      <c r="CJ57" s="120" t="s">
        <v>374</v>
      </c>
      <c r="CK57" s="120" t="s">
        <v>374</v>
      </c>
      <c r="CL57" s="120" t="s">
        <v>374</v>
      </c>
      <c r="CM57" s="120" t="s">
        <v>374</v>
      </c>
      <c r="CN57" s="120" t="s">
        <v>374</v>
      </c>
      <c r="CO57" s="120" t="s">
        <v>374</v>
      </c>
      <c r="CP57" s="120" t="s">
        <v>374</v>
      </c>
      <c r="CQ57" s="120" t="s">
        <v>374</v>
      </c>
      <c r="CR57" s="120" t="s">
        <v>374</v>
      </c>
      <c r="CS57" s="120" t="s">
        <v>374</v>
      </c>
      <c r="CT57" s="120" t="s">
        <v>374</v>
      </c>
      <c r="CU57" s="120" t="s">
        <v>374</v>
      </c>
      <c r="CV57" s="120" t="s">
        <v>374</v>
      </c>
      <c r="CW57" s="120" t="s">
        <v>374</v>
      </c>
      <c r="CX57" s="120" t="s">
        <v>374</v>
      </c>
      <c r="CY57" s="120" t="s">
        <v>374</v>
      </c>
      <c r="CZ57" s="120" t="s">
        <v>374</v>
      </c>
      <c r="DA57" s="120" t="s">
        <v>374</v>
      </c>
      <c r="DB57" s="120" t="s">
        <v>374</v>
      </c>
      <c r="DC57" s="120" t="s">
        <v>374</v>
      </c>
    </row>
    <row r="58" spans="2:107" ht="30">
      <c r="B58" s="173"/>
      <c r="C58" s="173"/>
      <c r="D58" s="173"/>
      <c r="E58" s="173"/>
      <c r="F58" s="173"/>
      <c r="G58" s="173"/>
      <c r="H58" s="168"/>
      <c r="I58" s="168"/>
      <c r="J58" s="168"/>
      <c r="K58" s="168"/>
      <c r="L58" s="168"/>
      <c r="M58" s="168"/>
      <c r="N58" s="168"/>
      <c r="O58" s="120" t="s">
        <v>423</v>
      </c>
      <c r="P58" s="170" t="s">
        <v>379</v>
      </c>
      <c r="Q58" s="120" t="s">
        <v>388</v>
      </c>
      <c r="R58" s="120" t="s">
        <v>95</v>
      </c>
      <c r="S58" s="120" t="s">
        <v>382</v>
      </c>
      <c r="T58" s="120" t="s">
        <v>374</v>
      </c>
      <c r="U58" s="120" t="s">
        <v>423</v>
      </c>
      <c r="V58" s="120" t="s">
        <v>374</v>
      </c>
      <c r="W58" s="120" t="s">
        <v>385</v>
      </c>
      <c r="X58" s="120" t="s">
        <v>374</v>
      </c>
      <c r="Y58" s="120" t="s">
        <v>422</v>
      </c>
      <c r="Z58" s="120" t="s">
        <v>95</v>
      </c>
      <c r="AA58" s="120" t="s">
        <v>374</v>
      </c>
      <c r="AB58" s="120" t="s">
        <v>374</v>
      </c>
      <c r="AC58" s="120" t="s">
        <v>374</v>
      </c>
      <c r="AD58" s="120" t="s">
        <v>374</v>
      </c>
      <c r="AE58" s="120" t="s">
        <v>374</v>
      </c>
      <c r="AF58" s="120" t="s">
        <v>374</v>
      </c>
      <c r="AG58" s="120" t="s">
        <v>374</v>
      </c>
      <c r="AH58" s="120" t="s">
        <v>374</v>
      </c>
      <c r="AI58" s="120" t="s">
        <v>374</v>
      </c>
      <c r="AJ58" s="120" t="s">
        <v>374</v>
      </c>
      <c r="AK58" s="120" t="s">
        <v>374</v>
      </c>
      <c r="AL58" s="120" t="s">
        <v>374</v>
      </c>
      <c r="AM58" s="120" t="s">
        <v>374</v>
      </c>
      <c r="AN58" s="120" t="s">
        <v>374</v>
      </c>
      <c r="AO58" s="120" t="s">
        <v>374</v>
      </c>
      <c r="AP58" s="120" t="s">
        <v>374</v>
      </c>
      <c r="AQ58" s="120" t="s">
        <v>374</v>
      </c>
      <c r="AR58" s="120" t="s">
        <v>374</v>
      </c>
      <c r="AS58" s="120" t="s">
        <v>374</v>
      </c>
      <c r="AT58" s="120" t="s">
        <v>374</v>
      </c>
      <c r="AU58" s="120" t="s">
        <v>374</v>
      </c>
      <c r="AV58" s="120" t="s">
        <v>374</v>
      </c>
      <c r="AW58" s="120" t="s">
        <v>374</v>
      </c>
      <c r="AX58" s="120" t="s">
        <v>374</v>
      </c>
      <c r="AY58" s="120" t="s">
        <v>374</v>
      </c>
      <c r="AZ58" s="120" t="s">
        <v>374</v>
      </c>
      <c r="BA58" s="120" t="s">
        <v>374</v>
      </c>
      <c r="BB58" s="120" t="s">
        <v>374</v>
      </c>
      <c r="BC58" s="120" t="s">
        <v>374</v>
      </c>
      <c r="BD58" s="120" t="s">
        <v>374</v>
      </c>
      <c r="BE58" s="120" t="s">
        <v>374</v>
      </c>
      <c r="BF58" s="120" t="s">
        <v>374</v>
      </c>
      <c r="BG58" s="120" t="s">
        <v>374</v>
      </c>
      <c r="BH58" s="120" t="s">
        <v>374</v>
      </c>
      <c r="BI58" s="120" t="s">
        <v>374</v>
      </c>
      <c r="BJ58" s="120" t="s">
        <v>374</v>
      </c>
      <c r="BK58" s="120" t="s">
        <v>374</v>
      </c>
      <c r="BL58" s="120" t="s">
        <v>374</v>
      </c>
      <c r="BM58" s="120" t="s">
        <v>374</v>
      </c>
      <c r="BN58" s="120" t="s">
        <v>374</v>
      </c>
      <c r="BO58" s="120" t="s">
        <v>374</v>
      </c>
      <c r="BP58" s="120" t="s">
        <v>374</v>
      </c>
      <c r="BQ58" s="120" t="s">
        <v>374</v>
      </c>
      <c r="BR58" s="120" t="s">
        <v>374</v>
      </c>
      <c r="BS58" s="120" t="s">
        <v>374</v>
      </c>
      <c r="BT58" s="120" t="s">
        <v>374</v>
      </c>
      <c r="BU58" s="120" t="s">
        <v>374</v>
      </c>
      <c r="BV58" s="120" t="s">
        <v>374</v>
      </c>
      <c r="BW58" s="120" t="s">
        <v>374</v>
      </c>
      <c r="BX58" s="120" t="s">
        <v>374</v>
      </c>
      <c r="BY58" s="120" t="s">
        <v>374</v>
      </c>
      <c r="BZ58" s="120" t="s">
        <v>374</v>
      </c>
      <c r="CA58" s="120" t="s">
        <v>374</v>
      </c>
      <c r="CB58" s="120" t="s">
        <v>374</v>
      </c>
      <c r="CC58" s="120" t="s">
        <v>374</v>
      </c>
      <c r="CD58" s="120" t="s">
        <v>374</v>
      </c>
      <c r="CE58" s="120" t="s">
        <v>374</v>
      </c>
      <c r="CF58" s="120" t="s">
        <v>374</v>
      </c>
      <c r="CG58" s="120" t="s">
        <v>374</v>
      </c>
      <c r="CH58" s="120" t="s">
        <v>374</v>
      </c>
      <c r="CI58" s="120" t="s">
        <v>374</v>
      </c>
      <c r="CJ58" s="120" t="s">
        <v>374</v>
      </c>
      <c r="CK58" s="120" t="s">
        <v>374</v>
      </c>
      <c r="CL58" s="120" t="s">
        <v>374</v>
      </c>
      <c r="CM58" s="120" t="s">
        <v>374</v>
      </c>
      <c r="CN58" s="120" t="s">
        <v>374</v>
      </c>
      <c r="CO58" s="120" t="s">
        <v>374</v>
      </c>
      <c r="CP58" s="120" t="s">
        <v>374</v>
      </c>
      <c r="CQ58" s="120" t="s">
        <v>374</v>
      </c>
      <c r="CR58" s="120" t="s">
        <v>374</v>
      </c>
      <c r="CS58" s="120" t="s">
        <v>374</v>
      </c>
      <c r="CT58" s="120" t="s">
        <v>374</v>
      </c>
      <c r="CU58" s="120" t="s">
        <v>374</v>
      </c>
      <c r="CV58" s="120" t="s">
        <v>374</v>
      </c>
      <c r="CW58" s="120" t="s">
        <v>374</v>
      </c>
      <c r="CX58" s="120" t="s">
        <v>374</v>
      </c>
      <c r="CY58" s="120" t="s">
        <v>374</v>
      </c>
      <c r="CZ58" s="120" t="s">
        <v>374</v>
      </c>
      <c r="DA58" s="120" t="s">
        <v>374</v>
      </c>
      <c r="DB58" s="120" t="s">
        <v>374</v>
      </c>
      <c r="DC58" s="120" t="s">
        <v>374</v>
      </c>
    </row>
    <row r="59" spans="2:107" ht="30">
      <c r="B59" s="173"/>
      <c r="C59" s="173"/>
      <c r="D59" s="173"/>
      <c r="E59" s="173"/>
      <c r="F59" s="173"/>
      <c r="G59" s="173"/>
      <c r="H59" s="168"/>
      <c r="I59" s="168"/>
      <c r="J59" s="168"/>
      <c r="K59" s="168"/>
      <c r="L59" s="168"/>
      <c r="M59" s="168"/>
      <c r="N59" s="168"/>
      <c r="O59" s="120" t="s">
        <v>424</v>
      </c>
      <c r="P59" s="170" t="s">
        <v>379</v>
      </c>
      <c r="Q59" s="120" t="s">
        <v>388</v>
      </c>
      <c r="R59" s="120" t="s">
        <v>95</v>
      </c>
      <c r="S59" s="120" t="s">
        <v>382</v>
      </c>
      <c r="T59" s="120" t="s">
        <v>374</v>
      </c>
      <c r="U59" s="120" t="s">
        <v>424</v>
      </c>
      <c r="V59" s="120" t="s">
        <v>374</v>
      </c>
      <c r="W59" s="120" t="s">
        <v>425</v>
      </c>
      <c r="X59" s="120" t="s">
        <v>374</v>
      </c>
      <c r="Y59" s="120" t="s">
        <v>426</v>
      </c>
      <c r="Z59" s="120" t="s">
        <v>95</v>
      </c>
      <c r="AA59" s="120" t="s">
        <v>374</v>
      </c>
      <c r="AB59" s="120" t="s">
        <v>374</v>
      </c>
      <c r="AC59" s="120" t="s">
        <v>374</v>
      </c>
      <c r="AD59" s="120" t="s">
        <v>374</v>
      </c>
      <c r="AE59" s="120" t="s">
        <v>374</v>
      </c>
      <c r="AF59" s="120" t="s">
        <v>374</v>
      </c>
      <c r="AG59" s="120" t="s">
        <v>374</v>
      </c>
      <c r="AH59" s="120" t="s">
        <v>374</v>
      </c>
      <c r="AI59" s="120" t="s">
        <v>374</v>
      </c>
      <c r="AJ59" s="120" t="s">
        <v>374</v>
      </c>
      <c r="AK59" s="120" t="s">
        <v>374</v>
      </c>
      <c r="AL59" s="120" t="s">
        <v>374</v>
      </c>
      <c r="AM59" s="120" t="s">
        <v>374</v>
      </c>
      <c r="AN59" s="120" t="s">
        <v>374</v>
      </c>
      <c r="AO59" s="120" t="s">
        <v>374</v>
      </c>
      <c r="AP59" s="120" t="s">
        <v>374</v>
      </c>
      <c r="AQ59" s="120" t="s">
        <v>374</v>
      </c>
      <c r="AR59" s="120" t="s">
        <v>374</v>
      </c>
      <c r="AS59" s="120" t="s">
        <v>374</v>
      </c>
      <c r="AT59" s="120" t="s">
        <v>374</v>
      </c>
      <c r="AU59" s="120" t="s">
        <v>374</v>
      </c>
      <c r="AV59" s="120" t="s">
        <v>374</v>
      </c>
      <c r="AW59" s="120" t="s">
        <v>374</v>
      </c>
      <c r="AX59" s="120" t="s">
        <v>374</v>
      </c>
      <c r="AY59" s="120" t="s">
        <v>374</v>
      </c>
      <c r="AZ59" s="120" t="s">
        <v>374</v>
      </c>
      <c r="BA59" s="120" t="s">
        <v>374</v>
      </c>
      <c r="BB59" s="120" t="s">
        <v>374</v>
      </c>
      <c r="BC59" s="120" t="s">
        <v>374</v>
      </c>
      <c r="BD59" s="120" t="s">
        <v>374</v>
      </c>
      <c r="BE59" s="120" t="s">
        <v>374</v>
      </c>
      <c r="BF59" s="120" t="s">
        <v>374</v>
      </c>
      <c r="BG59" s="120" t="s">
        <v>374</v>
      </c>
      <c r="BH59" s="120" t="s">
        <v>374</v>
      </c>
      <c r="BI59" s="120" t="s">
        <v>374</v>
      </c>
      <c r="BJ59" s="120" t="s">
        <v>374</v>
      </c>
      <c r="BK59" s="120" t="s">
        <v>374</v>
      </c>
      <c r="BL59" s="120" t="s">
        <v>374</v>
      </c>
      <c r="BM59" s="120" t="s">
        <v>374</v>
      </c>
      <c r="BN59" s="120" t="s">
        <v>374</v>
      </c>
      <c r="BO59" s="120" t="s">
        <v>374</v>
      </c>
      <c r="BP59" s="120" t="s">
        <v>374</v>
      </c>
      <c r="BQ59" s="120" t="s">
        <v>374</v>
      </c>
      <c r="BR59" s="120" t="s">
        <v>374</v>
      </c>
      <c r="BS59" s="120" t="s">
        <v>374</v>
      </c>
      <c r="BT59" s="120" t="s">
        <v>374</v>
      </c>
      <c r="BU59" s="120" t="s">
        <v>374</v>
      </c>
      <c r="BV59" s="120" t="s">
        <v>374</v>
      </c>
      <c r="BW59" s="120" t="s">
        <v>374</v>
      </c>
      <c r="BX59" s="120" t="s">
        <v>374</v>
      </c>
      <c r="BY59" s="120" t="s">
        <v>374</v>
      </c>
      <c r="BZ59" s="120" t="s">
        <v>374</v>
      </c>
      <c r="CA59" s="120" t="s">
        <v>374</v>
      </c>
      <c r="CB59" s="120" t="s">
        <v>374</v>
      </c>
      <c r="CC59" s="120" t="s">
        <v>374</v>
      </c>
      <c r="CD59" s="120" t="s">
        <v>374</v>
      </c>
      <c r="CE59" s="120" t="s">
        <v>374</v>
      </c>
      <c r="CF59" s="120" t="s">
        <v>374</v>
      </c>
      <c r="CG59" s="120" t="s">
        <v>374</v>
      </c>
      <c r="CH59" s="120" t="s">
        <v>374</v>
      </c>
      <c r="CI59" s="120" t="s">
        <v>374</v>
      </c>
      <c r="CJ59" s="120" t="s">
        <v>374</v>
      </c>
      <c r="CK59" s="120" t="s">
        <v>374</v>
      </c>
      <c r="CL59" s="120" t="s">
        <v>374</v>
      </c>
      <c r="CM59" s="120" t="s">
        <v>374</v>
      </c>
      <c r="CN59" s="120" t="s">
        <v>374</v>
      </c>
      <c r="CO59" s="120" t="s">
        <v>374</v>
      </c>
      <c r="CP59" s="120" t="s">
        <v>374</v>
      </c>
      <c r="CQ59" s="120" t="s">
        <v>374</v>
      </c>
      <c r="CR59" s="120" t="s">
        <v>374</v>
      </c>
      <c r="CS59" s="120" t="s">
        <v>374</v>
      </c>
      <c r="CT59" s="120" t="s">
        <v>374</v>
      </c>
      <c r="CU59" s="120" t="s">
        <v>374</v>
      </c>
      <c r="CV59" s="120" t="s">
        <v>374</v>
      </c>
      <c r="CW59" s="120" t="s">
        <v>374</v>
      </c>
      <c r="CX59" s="120" t="s">
        <v>374</v>
      </c>
      <c r="CY59" s="120" t="s">
        <v>374</v>
      </c>
      <c r="CZ59" s="120" t="s">
        <v>374</v>
      </c>
      <c r="DA59" s="120" t="s">
        <v>374</v>
      </c>
      <c r="DB59" s="120" t="s">
        <v>374</v>
      </c>
      <c r="DC59" s="120" t="s">
        <v>374</v>
      </c>
    </row>
    <row r="60" spans="2:107" ht="30">
      <c r="B60" s="173"/>
      <c r="C60" s="173"/>
      <c r="D60" s="173"/>
      <c r="E60" s="173"/>
      <c r="F60" s="173"/>
      <c r="G60" s="173"/>
      <c r="H60" s="168"/>
      <c r="I60" s="168"/>
      <c r="J60" s="168"/>
      <c r="K60" s="168"/>
      <c r="L60" s="168"/>
      <c r="M60" s="168"/>
      <c r="N60" s="168"/>
      <c r="O60" s="120" t="s">
        <v>427</v>
      </c>
      <c r="P60" s="170" t="s">
        <v>379</v>
      </c>
      <c r="Q60" s="120" t="s">
        <v>388</v>
      </c>
      <c r="R60" s="120" t="s">
        <v>95</v>
      </c>
      <c r="S60" s="120" t="s">
        <v>382</v>
      </c>
      <c r="T60" s="120" t="s">
        <v>374</v>
      </c>
      <c r="U60" s="120" t="s">
        <v>427</v>
      </c>
      <c r="V60" s="120" t="s">
        <v>374</v>
      </c>
      <c r="W60" s="120" t="s">
        <v>428</v>
      </c>
      <c r="X60" s="120" t="s">
        <v>374</v>
      </c>
      <c r="Y60" s="120" t="s">
        <v>429</v>
      </c>
      <c r="Z60" s="120" t="s">
        <v>95</v>
      </c>
      <c r="AA60" s="120" t="s">
        <v>374</v>
      </c>
      <c r="AB60" s="120" t="s">
        <v>374</v>
      </c>
      <c r="AC60" s="120" t="s">
        <v>374</v>
      </c>
      <c r="AD60" s="120" t="s">
        <v>374</v>
      </c>
      <c r="AE60" s="120" t="s">
        <v>374</v>
      </c>
      <c r="AF60" s="120" t="s">
        <v>374</v>
      </c>
      <c r="AG60" s="120" t="s">
        <v>374</v>
      </c>
      <c r="AH60" s="120" t="s">
        <v>374</v>
      </c>
      <c r="AI60" s="120" t="s">
        <v>374</v>
      </c>
      <c r="AJ60" s="120" t="s">
        <v>374</v>
      </c>
      <c r="AK60" s="120" t="s">
        <v>374</v>
      </c>
      <c r="AL60" s="120" t="s">
        <v>374</v>
      </c>
      <c r="AM60" s="120" t="s">
        <v>374</v>
      </c>
      <c r="AN60" s="120" t="s">
        <v>374</v>
      </c>
      <c r="AO60" s="120" t="s">
        <v>374</v>
      </c>
      <c r="AP60" s="120" t="s">
        <v>374</v>
      </c>
      <c r="AQ60" s="120" t="s">
        <v>374</v>
      </c>
      <c r="AR60" s="120" t="s">
        <v>374</v>
      </c>
      <c r="AS60" s="120" t="s">
        <v>374</v>
      </c>
      <c r="AT60" s="120" t="s">
        <v>374</v>
      </c>
      <c r="AU60" s="120" t="s">
        <v>374</v>
      </c>
      <c r="AV60" s="120" t="s">
        <v>374</v>
      </c>
      <c r="AW60" s="120" t="s">
        <v>374</v>
      </c>
      <c r="AX60" s="120" t="s">
        <v>374</v>
      </c>
      <c r="AY60" s="120" t="s">
        <v>374</v>
      </c>
      <c r="AZ60" s="120" t="s">
        <v>374</v>
      </c>
      <c r="BA60" s="120" t="s">
        <v>374</v>
      </c>
      <c r="BB60" s="120" t="s">
        <v>374</v>
      </c>
      <c r="BC60" s="120" t="s">
        <v>374</v>
      </c>
      <c r="BD60" s="120" t="s">
        <v>374</v>
      </c>
      <c r="BE60" s="120" t="s">
        <v>374</v>
      </c>
      <c r="BF60" s="120" t="s">
        <v>374</v>
      </c>
      <c r="BG60" s="120" t="s">
        <v>374</v>
      </c>
      <c r="BH60" s="120" t="s">
        <v>374</v>
      </c>
      <c r="BI60" s="120" t="s">
        <v>374</v>
      </c>
      <c r="BJ60" s="120" t="s">
        <v>374</v>
      </c>
      <c r="BK60" s="120" t="s">
        <v>374</v>
      </c>
      <c r="BL60" s="120" t="s">
        <v>374</v>
      </c>
      <c r="BM60" s="120" t="s">
        <v>374</v>
      </c>
      <c r="BN60" s="120" t="s">
        <v>374</v>
      </c>
      <c r="BO60" s="120" t="s">
        <v>374</v>
      </c>
      <c r="BP60" s="120" t="s">
        <v>374</v>
      </c>
      <c r="BQ60" s="120" t="s">
        <v>374</v>
      </c>
      <c r="BR60" s="120" t="s">
        <v>374</v>
      </c>
      <c r="BS60" s="120" t="s">
        <v>374</v>
      </c>
      <c r="BT60" s="120" t="s">
        <v>374</v>
      </c>
      <c r="BU60" s="120" t="s">
        <v>374</v>
      </c>
      <c r="BV60" s="120" t="s">
        <v>374</v>
      </c>
      <c r="BW60" s="120" t="s">
        <v>374</v>
      </c>
      <c r="BX60" s="120" t="s">
        <v>374</v>
      </c>
      <c r="BY60" s="120" t="s">
        <v>374</v>
      </c>
      <c r="BZ60" s="120" t="s">
        <v>374</v>
      </c>
      <c r="CA60" s="120" t="s">
        <v>374</v>
      </c>
      <c r="CB60" s="120" t="s">
        <v>374</v>
      </c>
      <c r="CC60" s="120" t="s">
        <v>374</v>
      </c>
      <c r="CD60" s="120" t="s">
        <v>374</v>
      </c>
      <c r="CE60" s="120" t="s">
        <v>374</v>
      </c>
      <c r="CF60" s="120" t="s">
        <v>374</v>
      </c>
      <c r="CG60" s="120" t="s">
        <v>374</v>
      </c>
      <c r="CH60" s="120" t="s">
        <v>374</v>
      </c>
      <c r="CI60" s="120" t="s">
        <v>374</v>
      </c>
      <c r="CJ60" s="120" t="s">
        <v>374</v>
      </c>
      <c r="CK60" s="120" t="s">
        <v>374</v>
      </c>
      <c r="CL60" s="120" t="s">
        <v>374</v>
      </c>
      <c r="CM60" s="120" t="s">
        <v>374</v>
      </c>
      <c r="CN60" s="120" t="s">
        <v>374</v>
      </c>
      <c r="CO60" s="120" t="s">
        <v>374</v>
      </c>
      <c r="CP60" s="120" t="s">
        <v>374</v>
      </c>
      <c r="CQ60" s="120" t="s">
        <v>374</v>
      </c>
      <c r="CR60" s="120" t="s">
        <v>374</v>
      </c>
      <c r="CS60" s="120" t="s">
        <v>374</v>
      </c>
      <c r="CT60" s="120" t="s">
        <v>374</v>
      </c>
      <c r="CU60" s="120" t="s">
        <v>374</v>
      </c>
      <c r="CV60" s="120" t="s">
        <v>374</v>
      </c>
      <c r="CW60" s="120" t="s">
        <v>374</v>
      </c>
      <c r="CX60" s="120" t="s">
        <v>374</v>
      </c>
      <c r="CY60" s="120" t="s">
        <v>374</v>
      </c>
      <c r="CZ60" s="120" t="s">
        <v>374</v>
      </c>
      <c r="DA60" s="120" t="s">
        <v>374</v>
      </c>
      <c r="DB60" s="120" t="s">
        <v>374</v>
      </c>
      <c r="DC60" s="120" t="s">
        <v>374</v>
      </c>
    </row>
    <row r="61" spans="2:107" ht="30">
      <c r="B61" s="172"/>
      <c r="C61" s="172"/>
      <c r="D61" s="172"/>
      <c r="E61" s="172"/>
      <c r="F61" s="172"/>
      <c r="G61" s="172"/>
      <c r="H61" s="169"/>
      <c r="I61" s="169"/>
      <c r="J61" s="169"/>
      <c r="K61" s="169"/>
      <c r="L61" s="169"/>
      <c r="M61" s="169"/>
      <c r="N61" s="169"/>
      <c r="O61" s="120" t="s">
        <v>430</v>
      </c>
      <c r="P61" s="187" t="s">
        <v>379</v>
      </c>
      <c r="Q61" s="120" t="s">
        <v>388</v>
      </c>
      <c r="R61" s="120" t="s">
        <v>95</v>
      </c>
      <c r="S61" s="120" t="s">
        <v>382</v>
      </c>
      <c r="T61" s="120" t="s">
        <v>374</v>
      </c>
      <c r="U61" s="120" t="s">
        <v>430</v>
      </c>
      <c r="V61" s="120" t="s">
        <v>374</v>
      </c>
      <c r="W61" s="120" t="s">
        <v>431</v>
      </c>
      <c r="X61" s="120" t="s">
        <v>374</v>
      </c>
      <c r="Y61" s="120" t="s">
        <v>432</v>
      </c>
      <c r="Z61" s="120" t="s">
        <v>95</v>
      </c>
      <c r="AA61" s="120" t="s">
        <v>374</v>
      </c>
      <c r="AB61" s="120" t="s">
        <v>374</v>
      </c>
      <c r="AC61" s="120" t="s">
        <v>374</v>
      </c>
      <c r="AD61" s="120" t="s">
        <v>374</v>
      </c>
      <c r="AE61" s="120" t="s">
        <v>374</v>
      </c>
      <c r="AF61" s="120" t="s">
        <v>374</v>
      </c>
      <c r="AG61" s="120" t="s">
        <v>374</v>
      </c>
      <c r="AH61" s="120" t="s">
        <v>374</v>
      </c>
      <c r="AI61" s="120" t="s">
        <v>374</v>
      </c>
      <c r="AJ61" s="120" t="s">
        <v>374</v>
      </c>
      <c r="AK61" s="120" t="s">
        <v>374</v>
      </c>
      <c r="AL61" s="120" t="s">
        <v>374</v>
      </c>
      <c r="AM61" s="120" t="s">
        <v>374</v>
      </c>
      <c r="AN61" s="120" t="s">
        <v>374</v>
      </c>
      <c r="AO61" s="120" t="s">
        <v>374</v>
      </c>
      <c r="AP61" s="120" t="s">
        <v>374</v>
      </c>
      <c r="AQ61" s="120" t="s">
        <v>374</v>
      </c>
      <c r="AR61" s="120" t="s">
        <v>374</v>
      </c>
      <c r="AS61" s="120" t="s">
        <v>374</v>
      </c>
      <c r="AT61" s="120" t="s">
        <v>374</v>
      </c>
      <c r="AU61" s="120" t="s">
        <v>374</v>
      </c>
      <c r="AV61" s="120" t="s">
        <v>374</v>
      </c>
      <c r="AW61" s="120" t="s">
        <v>374</v>
      </c>
      <c r="AX61" s="120" t="s">
        <v>374</v>
      </c>
      <c r="AY61" s="120" t="s">
        <v>374</v>
      </c>
      <c r="AZ61" s="120" t="s">
        <v>374</v>
      </c>
      <c r="BA61" s="120" t="s">
        <v>374</v>
      </c>
      <c r="BB61" s="120" t="s">
        <v>374</v>
      </c>
      <c r="BC61" s="120" t="s">
        <v>374</v>
      </c>
      <c r="BD61" s="120" t="s">
        <v>374</v>
      </c>
      <c r="BE61" s="120" t="s">
        <v>374</v>
      </c>
      <c r="BF61" s="120" t="s">
        <v>374</v>
      </c>
      <c r="BG61" s="120" t="s">
        <v>374</v>
      </c>
      <c r="BH61" s="120" t="s">
        <v>374</v>
      </c>
      <c r="BI61" s="120" t="s">
        <v>374</v>
      </c>
      <c r="BJ61" s="120" t="s">
        <v>374</v>
      </c>
      <c r="BK61" s="120" t="s">
        <v>374</v>
      </c>
      <c r="BL61" s="120" t="s">
        <v>374</v>
      </c>
      <c r="BM61" s="120" t="s">
        <v>374</v>
      </c>
      <c r="BN61" s="120" t="s">
        <v>374</v>
      </c>
      <c r="BO61" s="120" t="s">
        <v>374</v>
      </c>
      <c r="BP61" s="120" t="s">
        <v>374</v>
      </c>
      <c r="BQ61" s="120" t="s">
        <v>374</v>
      </c>
      <c r="BR61" s="120" t="s">
        <v>374</v>
      </c>
      <c r="BS61" s="120" t="s">
        <v>374</v>
      </c>
      <c r="BT61" s="120" t="s">
        <v>374</v>
      </c>
      <c r="BU61" s="120" t="s">
        <v>374</v>
      </c>
      <c r="BV61" s="120" t="s">
        <v>374</v>
      </c>
      <c r="BW61" s="120" t="s">
        <v>374</v>
      </c>
      <c r="BX61" s="120" t="s">
        <v>374</v>
      </c>
      <c r="BY61" s="120" t="s">
        <v>374</v>
      </c>
      <c r="BZ61" s="120" t="s">
        <v>374</v>
      </c>
      <c r="CA61" s="120" t="s">
        <v>374</v>
      </c>
      <c r="CB61" s="120" t="s">
        <v>374</v>
      </c>
      <c r="CC61" s="120" t="s">
        <v>374</v>
      </c>
      <c r="CD61" s="120" t="s">
        <v>374</v>
      </c>
      <c r="CE61" s="120" t="s">
        <v>374</v>
      </c>
      <c r="CF61" s="120" t="s">
        <v>374</v>
      </c>
      <c r="CG61" s="120" t="s">
        <v>374</v>
      </c>
      <c r="CH61" s="120" t="s">
        <v>374</v>
      </c>
      <c r="CI61" s="120" t="s">
        <v>374</v>
      </c>
      <c r="CJ61" s="120" t="s">
        <v>374</v>
      </c>
      <c r="CK61" s="120" t="s">
        <v>374</v>
      </c>
      <c r="CL61" s="120" t="s">
        <v>374</v>
      </c>
      <c r="CM61" s="120" t="s">
        <v>374</v>
      </c>
      <c r="CN61" s="120" t="s">
        <v>374</v>
      </c>
      <c r="CO61" s="120" t="s">
        <v>374</v>
      </c>
      <c r="CP61" s="120" t="s">
        <v>374</v>
      </c>
      <c r="CQ61" s="120" t="s">
        <v>374</v>
      </c>
      <c r="CR61" s="120" t="s">
        <v>374</v>
      </c>
      <c r="CS61" s="120" t="s">
        <v>374</v>
      </c>
      <c r="CT61" s="120" t="s">
        <v>374</v>
      </c>
      <c r="CU61" s="120" t="s">
        <v>374</v>
      </c>
      <c r="CV61" s="120" t="s">
        <v>374</v>
      </c>
      <c r="CW61" s="120" t="s">
        <v>374</v>
      </c>
      <c r="CX61" s="120" t="s">
        <v>374</v>
      </c>
      <c r="CY61" s="120" t="s">
        <v>374</v>
      </c>
      <c r="CZ61" s="120" t="s">
        <v>374</v>
      </c>
      <c r="DA61" s="120" t="s">
        <v>374</v>
      </c>
      <c r="DB61" s="120" t="s">
        <v>374</v>
      </c>
      <c r="DC61" s="120" t="s">
        <v>374</v>
      </c>
    </row>
    <row r="62" spans="2:107" ht="27.75" customHeight="1"/>
  </sheetData>
  <sheetProtection insertRows="0" deleteRows="0" sort="0" autoFilter="0"/>
  <mergeCells count="4">
    <mergeCell ref="B4:B7"/>
    <mergeCell ref="CA4:CA5"/>
    <mergeCell ref="BY4:BY5"/>
    <mergeCell ref="BZ4:BZ5"/>
  </mergeCells>
  <phoneticPr fontId="12"/>
  <hyperlinks>
    <hyperlink ref="A3" location="パラメータ設定一覧!A1" display="パラメータ設定一覧へ" xr:uid="{1FAFD31E-2774-4637-BBBE-A5832C5568E7}"/>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DAEB-9571-4FD8-97A5-3E623529EE49}">
  <sheetPr codeName="Sheet6"/>
  <dimension ref="A1:R28"/>
  <sheetViews>
    <sheetView showGridLines="0" zoomScaleNormal="100" workbookViewId="0">
      <pane xSplit="3" ySplit="7" topLeftCell="D8" activePane="bottomRight" state="frozen"/>
      <selection pane="bottomRight" activeCell="D8" sqref="D8"/>
      <selection pane="bottomLeft" activeCell="A8" sqref="A8"/>
      <selection pane="topRight" activeCell="D1" sqref="D1"/>
    </sheetView>
  </sheetViews>
  <sheetFormatPr defaultColWidth="8.77734375" defaultRowHeight="13.5"/>
  <cols>
    <col min="1" max="1" width="2.77734375" style="38" customWidth="1"/>
    <col min="2" max="2" width="3.5546875" style="38" bestFit="1" customWidth="1"/>
    <col min="3" max="3" width="23.44140625" style="38" bestFit="1" customWidth="1"/>
    <col min="4" max="4" width="20.77734375" style="38" bestFit="1" customWidth="1"/>
    <col min="5" max="5" width="11.21875" style="38" customWidth="1"/>
    <col min="6" max="6" width="8.21875" style="38" bestFit="1" customWidth="1"/>
    <col min="7" max="7" width="17.6640625" style="38" bestFit="1" customWidth="1"/>
    <col min="8" max="10" width="17.6640625" style="38" customWidth="1"/>
    <col min="11" max="11" width="8.5546875" style="38" bestFit="1" customWidth="1"/>
    <col min="12" max="12" width="18.21875" style="38" customWidth="1"/>
    <col min="13" max="14" width="9.5546875" style="38" bestFit="1" customWidth="1"/>
    <col min="15" max="15" width="7.77734375" style="38" customWidth="1"/>
    <col min="16" max="16" width="11.21875" style="38" bestFit="1" customWidth="1"/>
    <col min="17" max="17" width="7.33203125" style="38" bestFit="1" customWidth="1"/>
    <col min="18" max="18" width="18" style="38" bestFit="1" customWidth="1"/>
    <col min="19" max="16384" width="8.77734375" style="38"/>
  </cols>
  <sheetData>
    <row r="1" spans="1:18" customFormat="1" ht="19.5">
      <c r="A1" s="64" t="s">
        <v>443</v>
      </c>
    </row>
    <row r="2" spans="1:18" customFormat="1" ht="15"/>
    <row r="3" spans="1:18" customFormat="1" ht="15">
      <c r="A3" s="9" t="s">
        <v>67</v>
      </c>
    </row>
    <row r="4" spans="1:18" ht="15.75" customHeight="1">
      <c r="B4" s="277" t="s">
        <v>68</v>
      </c>
      <c r="C4" s="110" t="s">
        <v>109</v>
      </c>
      <c r="D4" s="109"/>
      <c r="E4" s="109"/>
      <c r="F4" s="109"/>
      <c r="G4" s="99"/>
      <c r="H4" s="99"/>
      <c r="I4" s="99"/>
      <c r="J4" s="99"/>
      <c r="K4" s="99"/>
      <c r="L4" s="99"/>
      <c r="M4" s="99"/>
      <c r="N4" s="99"/>
      <c r="O4" s="99"/>
      <c r="P4" s="99"/>
      <c r="Q4" s="99"/>
      <c r="R4" s="100"/>
    </row>
    <row r="5" spans="1:18" ht="15.75" customHeight="1">
      <c r="B5" s="277"/>
      <c r="C5" s="111"/>
      <c r="D5" s="112"/>
      <c r="E5" s="112"/>
      <c r="F5" s="113"/>
      <c r="G5" s="111" t="s">
        <v>117</v>
      </c>
      <c r="H5" s="112"/>
      <c r="I5" s="112"/>
      <c r="J5" s="112"/>
      <c r="K5" s="112"/>
      <c r="L5" s="112"/>
      <c r="M5" s="112"/>
      <c r="N5" s="112"/>
      <c r="O5" s="112"/>
      <c r="P5" s="112"/>
      <c r="Q5" s="112"/>
      <c r="R5" s="113"/>
    </row>
    <row r="6" spans="1:18">
      <c r="B6" s="278"/>
      <c r="C6" s="97" t="s">
        <v>110</v>
      </c>
      <c r="D6" s="97" t="s">
        <v>111</v>
      </c>
      <c r="E6" s="97" t="s">
        <v>114</v>
      </c>
      <c r="F6" s="97" t="s">
        <v>116</v>
      </c>
      <c r="G6" s="97" t="s">
        <v>118</v>
      </c>
      <c r="H6" s="97" t="s">
        <v>444</v>
      </c>
      <c r="I6" s="97" t="s">
        <v>114</v>
      </c>
      <c r="J6" s="97" t="s">
        <v>121</v>
      </c>
      <c r="K6" s="97" t="s">
        <v>124</v>
      </c>
      <c r="L6" s="97" t="s">
        <v>111</v>
      </c>
      <c r="M6" s="97" t="s">
        <v>445</v>
      </c>
      <c r="N6" s="97" t="s">
        <v>127</v>
      </c>
      <c r="O6" s="97" t="s">
        <v>128</v>
      </c>
      <c r="P6" s="97" t="s">
        <v>129</v>
      </c>
      <c r="Q6" s="97" t="s">
        <v>130</v>
      </c>
      <c r="R6" s="97" t="s">
        <v>131</v>
      </c>
    </row>
    <row r="7" spans="1:18">
      <c r="B7" s="278"/>
      <c r="C7" s="4" t="s">
        <v>81</v>
      </c>
      <c r="D7" s="4" t="s">
        <v>81</v>
      </c>
      <c r="E7" s="4"/>
      <c r="F7" s="4" t="s">
        <v>94</v>
      </c>
      <c r="G7" s="4" t="s">
        <v>81</v>
      </c>
      <c r="H7" s="4" t="s">
        <v>81</v>
      </c>
      <c r="I7" s="4"/>
      <c r="J7" s="4" t="s">
        <v>122</v>
      </c>
      <c r="K7" s="4" t="s">
        <v>125</v>
      </c>
      <c r="L7" s="4" t="s">
        <v>81</v>
      </c>
      <c r="M7" s="4" t="s">
        <v>81</v>
      </c>
      <c r="N7" s="4" t="s">
        <v>81</v>
      </c>
      <c r="O7" s="4" t="s">
        <v>81</v>
      </c>
      <c r="P7" s="4" t="s">
        <v>81</v>
      </c>
      <c r="Q7" s="4" t="s">
        <v>81</v>
      </c>
      <c r="R7" s="4" t="s">
        <v>94</v>
      </c>
    </row>
    <row r="8" spans="1:18">
      <c r="B8" s="123">
        <f>ROW() - 7</f>
        <v>1</v>
      </c>
      <c r="C8" s="124"/>
      <c r="D8" s="125"/>
      <c r="E8" s="120"/>
      <c r="F8" s="120"/>
      <c r="G8" s="120"/>
      <c r="H8" s="120"/>
      <c r="I8" s="120"/>
      <c r="J8" s="120"/>
      <c r="K8" s="120"/>
      <c r="L8" s="125"/>
      <c r="M8" s="120"/>
      <c r="N8" s="120"/>
      <c r="O8" s="120"/>
      <c r="P8" s="120"/>
      <c r="Q8" s="120"/>
      <c r="R8" s="120"/>
    </row>
    <row r="9" spans="1:18">
      <c r="B9" s="118">
        <f>ROW() - 7</f>
        <v>2</v>
      </c>
      <c r="C9" s="120"/>
      <c r="D9" s="125"/>
      <c r="E9" s="120"/>
      <c r="F9" s="120"/>
      <c r="G9" s="120"/>
      <c r="H9" s="120"/>
      <c r="I9" s="120"/>
      <c r="J9" s="120"/>
      <c r="K9" s="120"/>
      <c r="L9" s="125"/>
      <c r="M9" s="120"/>
      <c r="N9" s="120"/>
      <c r="O9" s="120"/>
      <c r="P9" s="120"/>
      <c r="Q9" s="120"/>
      <c r="R9" s="120"/>
    </row>
    <row r="10" spans="1:18">
      <c r="B10" s="118">
        <f>ROW() - 7</f>
        <v>3</v>
      </c>
      <c r="C10" s="120"/>
      <c r="D10" s="120"/>
      <c r="E10" s="120"/>
      <c r="F10" s="120"/>
      <c r="G10" s="120"/>
      <c r="H10" s="120"/>
      <c r="I10" s="120"/>
      <c r="J10" s="120"/>
      <c r="K10" s="120"/>
      <c r="L10" s="120"/>
      <c r="M10" s="120"/>
      <c r="N10" s="120"/>
      <c r="O10" s="120"/>
      <c r="P10" s="120"/>
      <c r="Q10" s="120"/>
      <c r="R10" s="120"/>
    </row>
    <row r="11" spans="1:18">
      <c r="B11" s="118">
        <f>ROW() - 7</f>
        <v>4</v>
      </c>
      <c r="C11" s="120"/>
      <c r="D11" s="120"/>
      <c r="E11" s="120"/>
      <c r="F11" s="120"/>
      <c r="G11" s="120"/>
      <c r="H11" s="120"/>
      <c r="I11" s="120"/>
      <c r="J11" s="120"/>
      <c r="K11" s="120"/>
      <c r="L11" s="120"/>
      <c r="M11" s="120"/>
      <c r="N11" s="120"/>
      <c r="O11" s="120"/>
      <c r="P11" s="120"/>
      <c r="Q11" s="120"/>
      <c r="R11" s="120"/>
    </row>
    <row r="25" hidden="1"/>
    <row r="28" ht="27.75" customHeight="1"/>
  </sheetData>
  <sheetProtection insertRows="0" deleteRows="0" sort="0" autoFilter="0" pivotTables="0"/>
  <mergeCells count="1">
    <mergeCell ref="B4:B7"/>
  </mergeCells>
  <phoneticPr fontId="12"/>
  <hyperlinks>
    <hyperlink ref="A3" location="パラメータ設定一覧!A1" display="パラメータ設定一覧へ" xr:uid="{5BC348E7-81E8-463F-926F-4EE04EC518AE}"/>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D41B-AF7A-4645-946E-1D3DDBF32FC2}">
  <sheetPr codeName="Sheet7"/>
  <dimension ref="A1:P27"/>
  <sheetViews>
    <sheetView showGridLines="0" zoomScaleNormal="100" workbookViewId="0">
      <pane xSplit="6" ySplit="7" topLeftCell="G8" activePane="bottomRight" state="frozen"/>
      <selection pane="bottomRight" activeCell="G8" sqref="G8"/>
      <selection pane="bottomLeft"/>
      <selection pane="topRight"/>
    </sheetView>
  </sheetViews>
  <sheetFormatPr defaultColWidth="8.77734375" defaultRowHeight="13.5"/>
  <cols>
    <col min="1" max="1" width="2.77734375" style="38" customWidth="1"/>
    <col min="2" max="2" width="3.5546875" style="38" bestFit="1" customWidth="1"/>
    <col min="3" max="3" width="27.33203125" style="38" bestFit="1" customWidth="1"/>
    <col min="4" max="4" width="7.6640625" style="38" customWidth="1"/>
    <col min="5" max="5" width="17.44140625" style="38" bestFit="1" customWidth="1"/>
    <col min="6" max="6" width="25.77734375" style="38" customWidth="1"/>
    <col min="7" max="7" width="17.5546875" style="38" customWidth="1"/>
    <col min="8" max="8" width="8.77734375" style="38"/>
    <col min="9" max="9" width="17.6640625" style="38" customWidth="1"/>
    <col min="10" max="11" width="8.77734375" style="38"/>
    <col min="12" max="12" width="12.44140625" style="38" bestFit="1" customWidth="1"/>
    <col min="13" max="14" width="8.77734375" style="38"/>
    <col min="15" max="15" width="13.21875" style="38" customWidth="1"/>
    <col min="16" max="16" width="15.21875" style="38" bestFit="1" customWidth="1"/>
    <col min="17" max="16384" width="8.77734375" style="38"/>
  </cols>
  <sheetData>
    <row r="1" spans="1:16" customFormat="1" ht="19.5">
      <c r="A1" s="64" t="s">
        <v>446</v>
      </c>
    </row>
    <row r="2" spans="1:16" customFormat="1" ht="15"/>
    <row r="3" spans="1:16" customFormat="1" ht="15">
      <c r="A3" s="9" t="s">
        <v>67</v>
      </c>
    </row>
    <row r="4" spans="1:16" ht="15.75" customHeight="1">
      <c r="B4" s="278" t="s">
        <v>68</v>
      </c>
      <c r="C4" s="65" t="s">
        <v>79</v>
      </c>
      <c r="D4" s="66"/>
      <c r="E4" s="66"/>
      <c r="F4" s="66"/>
      <c r="G4" s="65" t="s">
        <v>368</v>
      </c>
      <c r="H4" s="66"/>
      <c r="I4" s="66"/>
      <c r="J4" s="66"/>
      <c r="K4" s="66"/>
      <c r="L4" s="108"/>
      <c r="M4" s="108"/>
      <c r="N4" s="108"/>
      <c r="O4" s="108"/>
      <c r="P4" s="106"/>
    </row>
    <row r="5" spans="1:16" ht="15.75" customHeight="1">
      <c r="B5" s="278"/>
      <c r="C5" s="68"/>
      <c r="D5" s="69"/>
      <c r="E5" s="69"/>
      <c r="F5" s="70"/>
      <c r="G5" s="111"/>
      <c r="H5" s="112"/>
      <c r="I5" s="112"/>
      <c r="J5" s="112"/>
      <c r="K5" s="113"/>
      <c r="L5" s="111" t="s">
        <v>142</v>
      </c>
      <c r="M5" s="112"/>
      <c r="N5" s="112"/>
      <c r="O5" s="112"/>
      <c r="P5" s="113"/>
    </row>
    <row r="6" spans="1:16">
      <c r="B6" s="278"/>
      <c r="C6" s="96" t="s">
        <v>80</v>
      </c>
      <c r="D6" s="96" t="s">
        <v>84</v>
      </c>
      <c r="E6" s="96" t="s">
        <v>87</v>
      </c>
      <c r="F6" s="96" t="s">
        <v>121</v>
      </c>
      <c r="G6" s="97" t="s">
        <v>133</v>
      </c>
      <c r="H6" s="97" t="s">
        <v>134</v>
      </c>
      <c r="I6" s="97" t="s">
        <v>137</v>
      </c>
      <c r="J6" s="97" t="s">
        <v>139</v>
      </c>
      <c r="K6" s="97" t="s">
        <v>116</v>
      </c>
      <c r="L6" s="97" t="s">
        <v>143</v>
      </c>
      <c r="M6" s="97" t="s">
        <v>114</v>
      </c>
      <c r="N6" s="97" t="s">
        <v>148</v>
      </c>
      <c r="O6" s="97" t="s">
        <v>447</v>
      </c>
      <c r="P6" s="97" t="s">
        <v>152</v>
      </c>
    </row>
    <row r="7" spans="1:16">
      <c r="B7" s="278"/>
      <c r="C7" s="4" t="s">
        <v>81</v>
      </c>
      <c r="D7" s="4" t="s">
        <v>81</v>
      </c>
      <c r="E7" s="4" t="s">
        <v>81</v>
      </c>
      <c r="F7" s="4" t="s">
        <v>448</v>
      </c>
      <c r="G7" s="4" t="s">
        <v>81</v>
      </c>
      <c r="H7" s="4"/>
      <c r="I7" s="4" t="s">
        <v>81</v>
      </c>
      <c r="J7" s="4" t="s">
        <v>81</v>
      </c>
      <c r="K7" s="4" t="s">
        <v>94</v>
      </c>
      <c r="L7" s="4" t="s">
        <v>81</v>
      </c>
      <c r="M7" s="4"/>
      <c r="N7" s="4" t="s">
        <v>94</v>
      </c>
      <c r="O7" s="4" t="s">
        <v>94</v>
      </c>
      <c r="P7" s="4" t="s">
        <v>94</v>
      </c>
    </row>
    <row r="8" spans="1:16">
      <c r="B8" s="123">
        <f>ROW() - 7</f>
        <v>1</v>
      </c>
      <c r="C8" s="126" t="s">
        <v>449</v>
      </c>
      <c r="D8" s="126" t="s">
        <v>441</v>
      </c>
      <c r="E8" s="126" t="s">
        <v>442</v>
      </c>
      <c r="F8" s="126"/>
      <c r="G8" s="120" t="s">
        <v>449</v>
      </c>
      <c r="H8" s="120" t="s">
        <v>450</v>
      </c>
      <c r="I8" s="120" t="s">
        <v>451</v>
      </c>
      <c r="J8" s="120"/>
      <c r="K8" s="120" t="s">
        <v>95</v>
      </c>
      <c r="L8" s="120"/>
      <c r="M8" s="120" t="s">
        <v>452</v>
      </c>
      <c r="N8" s="120"/>
      <c r="O8" s="120"/>
      <c r="P8" s="120"/>
    </row>
    <row r="9" spans="1:16">
      <c r="B9" s="123">
        <f t="shared" ref="B9:B13" si="0">ROW() - 7</f>
        <v>2</v>
      </c>
      <c r="C9" s="126" t="s">
        <v>449</v>
      </c>
      <c r="D9" s="126" t="s">
        <v>441</v>
      </c>
      <c r="E9" s="126" t="s">
        <v>453</v>
      </c>
      <c r="F9" s="126"/>
      <c r="G9" s="120" t="s">
        <v>449</v>
      </c>
      <c r="H9" s="120" t="s">
        <v>454</v>
      </c>
      <c r="I9" s="120" t="s">
        <v>455</v>
      </c>
      <c r="J9" s="120"/>
      <c r="K9" s="120" t="s">
        <v>95</v>
      </c>
      <c r="L9" s="120"/>
      <c r="M9" s="120" t="s">
        <v>452</v>
      </c>
      <c r="N9" s="120"/>
      <c r="O9" s="120"/>
      <c r="P9" s="120"/>
    </row>
    <row r="10" spans="1:16">
      <c r="B10" s="123">
        <f t="shared" si="0"/>
        <v>3</v>
      </c>
      <c r="C10" s="126" t="s">
        <v>449</v>
      </c>
      <c r="D10" s="126" t="s">
        <v>434</v>
      </c>
      <c r="E10" s="126" t="s">
        <v>435</v>
      </c>
      <c r="F10" s="126"/>
      <c r="G10" s="120" t="s">
        <v>449</v>
      </c>
      <c r="H10" s="120" t="s">
        <v>450</v>
      </c>
      <c r="I10" s="120" t="s">
        <v>451</v>
      </c>
      <c r="J10" s="120"/>
      <c r="K10" s="120" t="s">
        <v>95</v>
      </c>
      <c r="L10" s="120"/>
      <c r="M10" s="120" t="s">
        <v>452</v>
      </c>
      <c r="N10" s="120"/>
      <c r="O10" s="120"/>
      <c r="P10" s="120"/>
    </row>
    <row r="11" spans="1:16">
      <c r="B11" s="118">
        <f t="shared" si="0"/>
        <v>4</v>
      </c>
      <c r="C11" s="126" t="s">
        <v>449</v>
      </c>
      <c r="D11" s="126" t="s">
        <v>434</v>
      </c>
      <c r="E11" s="126" t="s">
        <v>456</v>
      </c>
      <c r="F11" s="126"/>
      <c r="G11" s="120" t="s">
        <v>449</v>
      </c>
      <c r="H11" s="120" t="s">
        <v>454</v>
      </c>
      <c r="I11" s="120" t="s">
        <v>455</v>
      </c>
      <c r="J11" s="120"/>
      <c r="K11" s="120" t="s">
        <v>95</v>
      </c>
      <c r="L11" s="120"/>
      <c r="M11" s="120" t="s">
        <v>452</v>
      </c>
      <c r="N11" s="120"/>
      <c r="O11" s="120"/>
      <c r="P11" s="120"/>
    </row>
    <row r="12" spans="1:16">
      <c r="B12" s="123">
        <f t="shared" si="0"/>
        <v>5</v>
      </c>
      <c r="C12" s="126" t="s">
        <v>449</v>
      </c>
      <c r="D12" s="126" t="s">
        <v>372</v>
      </c>
      <c r="E12" s="126" t="s">
        <v>373</v>
      </c>
      <c r="F12" s="126"/>
      <c r="G12" s="120" t="s">
        <v>449</v>
      </c>
      <c r="H12" s="120" t="s">
        <v>450</v>
      </c>
      <c r="I12" s="120" t="s">
        <v>451</v>
      </c>
      <c r="J12" s="120"/>
      <c r="K12" s="120" t="s">
        <v>95</v>
      </c>
      <c r="L12" s="120"/>
      <c r="M12" s="120" t="s">
        <v>452</v>
      </c>
      <c r="N12" s="120"/>
      <c r="O12" s="120"/>
      <c r="P12" s="120"/>
    </row>
    <row r="13" spans="1:16">
      <c r="B13" s="118">
        <f t="shared" si="0"/>
        <v>6</v>
      </c>
      <c r="C13" s="126" t="s">
        <v>449</v>
      </c>
      <c r="D13" s="126" t="s">
        <v>372</v>
      </c>
      <c r="E13" s="126" t="s">
        <v>375</v>
      </c>
      <c r="F13" s="126"/>
      <c r="G13" s="120" t="s">
        <v>449</v>
      </c>
      <c r="H13" s="120" t="s">
        <v>454</v>
      </c>
      <c r="I13" s="120" t="s">
        <v>455</v>
      </c>
      <c r="J13" s="120"/>
      <c r="K13" s="120" t="s">
        <v>95</v>
      </c>
      <c r="L13" s="120"/>
      <c r="M13" s="120" t="s">
        <v>452</v>
      </c>
      <c r="N13" s="120"/>
      <c r="O13" s="120"/>
      <c r="P13" s="120"/>
    </row>
    <row r="27" hidden="1"/>
  </sheetData>
  <sheetProtection insertRows="0" deleteRows="0" sort="0" autoFilter="0" pivotTables="0"/>
  <mergeCells count="1">
    <mergeCell ref="B4:B7"/>
  </mergeCells>
  <phoneticPr fontId="12"/>
  <hyperlinks>
    <hyperlink ref="A3" location="パラメータ設定一覧!A1" display="パラメータ設定一覧へ" xr:uid="{0413BC12-BA89-4ADC-952D-EE9EF376CA9C}"/>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FDDD-5513-4C97-879F-0ED24ACB50D5}">
  <sheetPr codeName="Sheet123"/>
  <dimension ref="A1:G23"/>
  <sheetViews>
    <sheetView showGridLines="0" zoomScaleNormal="100" workbookViewId="0">
      <pane ySplit="5" topLeftCell="A6" activePane="bottomLeft" state="frozen"/>
      <selection pane="bottomLeft" activeCell="A6" sqref="A6"/>
    </sheetView>
  </sheetViews>
  <sheetFormatPr defaultColWidth="8.77734375" defaultRowHeight="13.5"/>
  <cols>
    <col min="1" max="1" width="2.77734375" style="38" customWidth="1"/>
    <col min="2" max="2" width="3.5546875" style="38" bestFit="1" customWidth="1"/>
    <col min="3" max="3" width="26.21875" style="38" bestFit="1" customWidth="1"/>
    <col min="4" max="6" width="17.77734375" style="38" customWidth="1"/>
    <col min="7" max="7" width="66.21875" style="38" bestFit="1" customWidth="1"/>
    <col min="8" max="16384" width="8.77734375" style="38"/>
  </cols>
  <sheetData>
    <row r="1" spans="1:7" customFormat="1" ht="19.5">
      <c r="A1" s="7" t="s">
        <v>457</v>
      </c>
    </row>
    <row r="2" spans="1:7" customFormat="1" ht="15"/>
    <row r="3" spans="1:7" customFormat="1" ht="15">
      <c r="A3" s="9" t="s">
        <v>67</v>
      </c>
    </row>
    <row r="4" spans="1:7">
      <c r="B4" s="278" t="s">
        <v>68</v>
      </c>
      <c r="C4" s="34" t="s">
        <v>279</v>
      </c>
      <c r="D4" s="96" t="s">
        <v>458</v>
      </c>
      <c r="E4" s="96" t="s">
        <v>286</v>
      </c>
      <c r="F4" s="96" t="s">
        <v>288</v>
      </c>
      <c r="G4" s="244" t="s">
        <v>459</v>
      </c>
    </row>
    <row r="5" spans="1:7">
      <c r="B5" s="278"/>
      <c r="C5" s="3" t="s">
        <v>460</v>
      </c>
      <c r="D5" s="4" t="s">
        <v>285</v>
      </c>
      <c r="E5" s="4" t="s">
        <v>461</v>
      </c>
      <c r="F5" s="4"/>
      <c r="G5" s="245"/>
    </row>
    <row r="6" spans="1:7">
      <c r="B6" s="127">
        <f t="shared" ref="B6:B23" si="0">ROW() - 5</f>
        <v>1</v>
      </c>
      <c r="C6" s="128" t="s">
        <v>462</v>
      </c>
      <c r="D6" s="118"/>
      <c r="E6" s="118" t="s">
        <v>463</v>
      </c>
      <c r="F6" s="118"/>
      <c r="G6" s="129" t="s">
        <v>464</v>
      </c>
    </row>
    <row r="7" spans="1:7">
      <c r="B7" s="127">
        <f t="shared" si="0"/>
        <v>2</v>
      </c>
      <c r="C7" s="128" t="s">
        <v>465</v>
      </c>
      <c r="D7" s="118"/>
      <c r="E7" s="118" t="s">
        <v>463</v>
      </c>
      <c r="F7" s="118"/>
      <c r="G7" s="129" t="s">
        <v>466</v>
      </c>
    </row>
    <row r="8" spans="1:7">
      <c r="B8" s="127">
        <f t="shared" si="0"/>
        <v>3</v>
      </c>
      <c r="C8" s="128" t="s">
        <v>467</v>
      </c>
      <c r="D8" s="118"/>
      <c r="E8" s="118" t="s">
        <v>463</v>
      </c>
      <c r="F8" s="118"/>
      <c r="G8" s="130" t="s">
        <v>468</v>
      </c>
    </row>
    <row r="9" spans="1:7">
      <c r="B9" s="127">
        <f t="shared" si="0"/>
        <v>4</v>
      </c>
      <c r="C9" s="131" t="s">
        <v>469</v>
      </c>
      <c r="D9" s="118"/>
      <c r="E9" s="118" t="s">
        <v>463</v>
      </c>
      <c r="F9" s="122"/>
      <c r="G9" s="130" t="s">
        <v>470</v>
      </c>
    </row>
    <row r="10" spans="1:7">
      <c r="B10" s="127">
        <f t="shared" si="0"/>
        <v>5</v>
      </c>
      <c r="C10" s="131" t="s">
        <v>471</v>
      </c>
      <c r="D10" s="118"/>
      <c r="E10" s="118" t="s">
        <v>463</v>
      </c>
      <c r="F10" s="122"/>
      <c r="G10" s="130" t="s">
        <v>472</v>
      </c>
    </row>
    <row r="11" spans="1:7">
      <c r="B11" s="127">
        <f t="shared" si="0"/>
        <v>6</v>
      </c>
      <c r="C11" s="131" t="s">
        <v>473</v>
      </c>
      <c r="D11" s="118"/>
      <c r="E11" s="118" t="s">
        <v>463</v>
      </c>
      <c r="F11" s="122"/>
      <c r="G11" s="129" t="s">
        <v>474</v>
      </c>
    </row>
    <row r="12" spans="1:7">
      <c r="B12" s="127">
        <f t="shared" si="0"/>
        <v>7</v>
      </c>
      <c r="C12" s="128"/>
      <c r="D12" s="118"/>
      <c r="E12" s="118"/>
      <c r="F12" s="118"/>
      <c r="G12" s="129"/>
    </row>
    <row r="13" spans="1:7">
      <c r="B13" s="127">
        <f t="shared" si="0"/>
        <v>8</v>
      </c>
      <c r="C13" s="128"/>
      <c r="D13" s="118"/>
      <c r="E13" s="118"/>
      <c r="F13" s="118"/>
      <c r="G13" s="130"/>
    </row>
    <row r="14" spans="1:7">
      <c r="B14" s="127">
        <f t="shared" si="0"/>
        <v>9</v>
      </c>
      <c r="C14" s="131"/>
      <c r="D14" s="118"/>
      <c r="E14" s="118"/>
      <c r="F14" s="122"/>
      <c r="G14" s="130"/>
    </row>
    <row r="15" spans="1:7">
      <c r="B15" s="127">
        <f t="shared" si="0"/>
        <v>10</v>
      </c>
      <c r="C15" s="131"/>
      <c r="D15" s="118"/>
      <c r="E15" s="118"/>
      <c r="F15" s="122"/>
      <c r="G15" s="130"/>
    </row>
    <row r="16" spans="1:7">
      <c r="B16" s="127">
        <f t="shared" si="0"/>
        <v>11</v>
      </c>
      <c r="C16" s="131"/>
      <c r="D16" s="118"/>
      <c r="E16" s="118"/>
      <c r="F16" s="122"/>
      <c r="G16" s="129"/>
    </row>
    <row r="17" spans="2:7">
      <c r="B17" s="127">
        <f t="shared" si="0"/>
        <v>12</v>
      </c>
      <c r="C17" s="128"/>
      <c r="D17" s="118"/>
      <c r="E17" s="118"/>
      <c r="F17" s="118"/>
      <c r="G17" s="129"/>
    </row>
    <row r="18" spans="2:7">
      <c r="B18" s="127">
        <f t="shared" si="0"/>
        <v>13</v>
      </c>
      <c r="C18" s="128"/>
      <c r="D18" s="118"/>
      <c r="E18" s="118"/>
      <c r="F18" s="118"/>
      <c r="G18" s="129"/>
    </row>
    <row r="19" spans="2:7">
      <c r="B19" s="127">
        <f t="shared" si="0"/>
        <v>14</v>
      </c>
      <c r="C19" s="128"/>
      <c r="D19" s="118"/>
      <c r="E19" s="118"/>
      <c r="F19" s="118"/>
      <c r="G19" s="130"/>
    </row>
    <row r="20" spans="2:7">
      <c r="B20" s="127">
        <f t="shared" si="0"/>
        <v>15</v>
      </c>
      <c r="C20" s="128"/>
      <c r="D20" s="118"/>
      <c r="E20" s="118"/>
      <c r="F20" s="118"/>
      <c r="G20" s="130"/>
    </row>
    <row r="21" spans="2:7">
      <c r="B21" s="127">
        <f t="shared" si="0"/>
        <v>16</v>
      </c>
      <c r="C21" s="131"/>
      <c r="D21" s="118"/>
      <c r="E21" s="118"/>
      <c r="F21" s="122"/>
      <c r="G21" s="130"/>
    </row>
    <row r="22" spans="2:7">
      <c r="B22" s="127">
        <f t="shared" si="0"/>
        <v>17</v>
      </c>
      <c r="C22" s="131"/>
      <c r="D22" s="118"/>
      <c r="E22" s="118"/>
      <c r="F22" s="122"/>
      <c r="G22" s="130"/>
    </row>
    <row r="23" spans="2:7">
      <c r="B23" s="127">
        <f t="shared" si="0"/>
        <v>18</v>
      </c>
      <c r="C23" s="131"/>
      <c r="D23" s="118"/>
      <c r="E23" s="118"/>
      <c r="F23" s="122"/>
      <c r="G23" s="129"/>
    </row>
  </sheetData>
  <sheetProtection sort="0" autoFilter="0"/>
  <mergeCells count="2">
    <mergeCell ref="B4:B5"/>
    <mergeCell ref="G4:G5"/>
  </mergeCells>
  <phoneticPr fontId="12"/>
  <hyperlinks>
    <hyperlink ref="A3" location="パラメータ設定一覧!A1" display="パラメータ設定一覧へ" xr:uid="{27FFE07F-D36A-4082-8C64-581E1B999E71}"/>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EC45-1225-4FD8-95F9-F50FF107B155}">
  <sheetPr codeName="Sheet8"/>
  <dimension ref="A1:I23"/>
  <sheetViews>
    <sheetView showGridLines="0" zoomScaleNormal="100" workbookViewId="0">
      <pane ySplit="5" topLeftCell="A6" activePane="bottomLeft" state="frozen"/>
      <selection pane="bottomLeft" activeCell="A6" sqref="A6"/>
    </sheetView>
  </sheetViews>
  <sheetFormatPr defaultColWidth="8.77734375" defaultRowHeight="13.5"/>
  <cols>
    <col min="1" max="1" width="2.77734375" style="38" customWidth="1"/>
    <col min="2" max="2" width="3.5546875" style="38" bestFit="1" customWidth="1"/>
    <col min="3" max="3" width="26.21875" style="38" bestFit="1" customWidth="1"/>
    <col min="4" max="9" width="17.77734375" style="38" customWidth="1"/>
    <col min="10" max="16384" width="8.77734375" style="38"/>
  </cols>
  <sheetData>
    <row r="1" spans="1:9" customFormat="1" ht="19.5">
      <c r="A1" s="7" t="s">
        <v>475</v>
      </c>
    </row>
    <row r="2" spans="1:9" customFormat="1" ht="15"/>
    <row r="3" spans="1:9" customFormat="1" ht="15">
      <c r="A3" s="9" t="s">
        <v>67</v>
      </c>
    </row>
    <row r="4" spans="1:9">
      <c r="B4" s="279" t="s">
        <v>68</v>
      </c>
      <c r="C4" s="34" t="s">
        <v>476</v>
      </c>
      <c r="D4" s="96" t="s">
        <v>477</v>
      </c>
      <c r="E4" s="96" t="s">
        <v>318</v>
      </c>
      <c r="F4" s="96" t="s">
        <v>478</v>
      </c>
      <c r="G4" s="96" t="s">
        <v>320</v>
      </c>
      <c r="H4" s="96" t="s">
        <v>479</v>
      </c>
      <c r="I4" s="96" t="s">
        <v>480</v>
      </c>
    </row>
    <row r="5" spans="1:9">
      <c r="B5" s="280"/>
      <c r="C5" s="3"/>
      <c r="D5" s="4" t="s">
        <v>81</v>
      </c>
      <c r="E5" s="4" t="s">
        <v>94</v>
      </c>
      <c r="F5" s="4" t="s">
        <v>81</v>
      </c>
      <c r="G5" s="4" t="s">
        <v>81</v>
      </c>
      <c r="H5" s="4" t="s">
        <v>81</v>
      </c>
      <c r="I5" s="4" t="s">
        <v>81</v>
      </c>
    </row>
    <row r="6" spans="1:9">
      <c r="B6" s="127">
        <f t="shared" ref="B6:B23" si="0">ROW() - 5</f>
        <v>1</v>
      </c>
      <c r="C6" s="128"/>
      <c r="D6" s="118"/>
      <c r="E6" s="118"/>
      <c r="F6" s="118"/>
      <c r="G6" s="118"/>
      <c r="H6" s="118"/>
      <c r="I6" s="118"/>
    </row>
    <row r="7" spans="1:9">
      <c r="B7" s="127">
        <f t="shared" si="0"/>
        <v>2</v>
      </c>
      <c r="C7" s="128"/>
      <c r="D7" s="118"/>
      <c r="E7" s="118"/>
      <c r="F7" s="118"/>
      <c r="G7" s="118"/>
      <c r="H7" s="118"/>
      <c r="I7" s="118"/>
    </row>
    <row r="8" spans="1:9">
      <c r="B8" s="127">
        <f t="shared" si="0"/>
        <v>3</v>
      </c>
      <c r="C8" s="128"/>
      <c r="D8" s="118"/>
      <c r="E8" s="118"/>
      <c r="F8" s="118"/>
      <c r="G8" s="118"/>
      <c r="H8" s="118"/>
      <c r="I8" s="118"/>
    </row>
    <row r="9" spans="1:9">
      <c r="B9" s="127">
        <f t="shared" si="0"/>
        <v>4</v>
      </c>
      <c r="C9" s="131"/>
      <c r="D9" s="118"/>
      <c r="E9" s="118"/>
      <c r="F9" s="118"/>
      <c r="G9" s="118"/>
      <c r="H9" s="118"/>
      <c r="I9" s="118"/>
    </row>
    <row r="10" spans="1:9">
      <c r="B10" s="127">
        <f t="shared" si="0"/>
        <v>5</v>
      </c>
      <c r="C10" s="131"/>
      <c r="D10" s="118"/>
      <c r="E10" s="118"/>
      <c r="F10" s="118"/>
      <c r="G10" s="118"/>
      <c r="H10" s="118"/>
      <c r="I10" s="118"/>
    </row>
    <row r="11" spans="1:9">
      <c r="B11" s="127">
        <f t="shared" si="0"/>
        <v>6</v>
      </c>
      <c r="C11" s="131"/>
      <c r="D11" s="118"/>
      <c r="E11" s="118"/>
      <c r="F11" s="118"/>
      <c r="G11" s="118"/>
      <c r="H11" s="118"/>
      <c r="I11" s="118"/>
    </row>
    <row r="12" spans="1:9">
      <c r="B12" s="127">
        <f t="shared" si="0"/>
        <v>7</v>
      </c>
      <c r="C12" s="128"/>
      <c r="D12" s="118"/>
      <c r="E12" s="118"/>
      <c r="F12" s="118"/>
      <c r="G12" s="118"/>
      <c r="H12" s="118"/>
      <c r="I12" s="118"/>
    </row>
    <row r="13" spans="1:9">
      <c r="B13" s="127">
        <f t="shared" si="0"/>
        <v>8</v>
      </c>
      <c r="C13" s="128"/>
      <c r="D13" s="118"/>
      <c r="E13" s="118"/>
      <c r="F13" s="118"/>
      <c r="G13" s="118"/>
      <c r="H13" s="118"/>
      <c r="I13" s="118"/>
    </row>
    <row r="14" spans="1:9">
      <c r="B14" s="127">
        <f t="shared" si="0"/>
        <v>9</v>
      </c>
      <c r="C14" s="131"/>
      <c r="D14" s="118"/>
      <c r="E14" s="118"/>
      <c r="F14" s="118"/>
      <c r="G14" s="118"/>
      <c r="H14" s="118"/>
      <c r="I14" s="118"/>
    </row>
    <row r="15" spans="1:9">
      <c r="B15" s="127">
        <f t="shared" si="0"/>
        <v>10</v>
      </c>
      <c r="C15" s="131"/>
      <c r="D15" s="118"/>
      <c r="E15" s="118"/>
      <c r="F15" s="118"/>
      <c r="G15" s="118"/>
      <c r="H15" s="118"/>
      <c r="I15" s="118"/>
    </row>
    <row r="16" spans="1:9">
      <c r="B16" s="127">
        <f t="shared" si="0"/>
        <v>11</v>
      </c>
      <c r="C16" s="131"/>
      <c r="D16" s="118"/>
      <c r="E16" s="118"/>
      <c r="F16" s="118"/>
      <c r="G16" s="118"/>
      <c r="H16" s="118"/>
      <c r="I16" s="118"/>
    </row>
    <row r="17" spans="2:9">
      <c r="B17" s="127">
        <f t="shared" si="0"/>
        <v>12</v>
      </c>
      <c r="C17" s="128"/>
      <c r="D17" s="118"/>
      <c r="E17" s="118"/>
      <c r="F17" s="118"/>
      <c r="G17" s="118"/>
      <c r="H17" s="118"/>
      <c r="I17" s="118"/>
    </row>
    <row r="18" spans="2:9">
      <c r="B18" s="127">
        <f t="shared" si="0"/>
        <v>13</v>
      </c>
      <c r="C18" s="128"/>
      <c r="D18" s="118"/>
      <c r="E18" s="118"/>
      <c r="F18" s="118"/>
      <c r="G18" s="118"/>
      <c r="H18" s="118"/>
      <c r="I18" s="118"/>
    </row>
    <row r="19" spans="2:9">
      <c r="B19" s="127">
        <f t="shared" si="0"/>
        <v>14</v>
      </c>
      <c r="C19" s="128"/>
      <c r="D19" s="118"/>
      <c r="E19" s="118"/>
      <c r="F19" s="118"/>
      <c r="G19" s="118"/>
      <c r="H19" s="118"/>
      <c r="I19" s="118"/>
    </row>
    <row r="20" spans="2:9">
      <c r="B20" s="127">
        <f t="shared" si="0"/>
        <v>15</v>
      </c>
      <c r="C20" s="128"/>
      <c r="D20" s="118"/>
      <c r="E20" s="118"/>
      <c r="F20" s="118"/>
      <c r="G20" s="118"/>
      <c r="H20" s="118"/>
      <c r="I20" s="118"/>
    </row>
    <row r="21" spans="2:9">
      <c r="B21" s="127">
        <f t="shared" si="0"/>
        <v>16</v>
      </c>
      <c r="C21" s="131"/>
      <c r="D21" s="118"/>
      <c r="E21" s="118"/>
      <c r="F21" s="118"/>
      <c r="G21" s="118"/>
      <c r="H21" s="118"/>
      <c r="I21" s="118"/>
    </row>
    <row r="22" spans="2:9">
      <c r="B22" s="127">
        <f t="shared" si="0"/>
        <v>17</v>
      </c>
      <c r="C22" s="131"/>
      <c r="D22" s="118"/>
      <c r="E22" s="118"/>
      <c r="F22" s="118"/>
      <c r="G22" s="118"/>
      <c r="H22" s="118"/>
      <c r="I22" s="118"/>
    </row>
    <row r="23" spans="2:9">
      <c r="B23" s="127">
        <f t="shared" si="0"/>
        <v>18</v>
      </c>
      <c r="C23" s="131"/>
      <c r="D23" s="118"/>
      <c r="E23" s="118"/>
      <c r="F23" s="118"/>
      <c r="G23" s="118"/>
      <c r="H23" s="118"/>
      <c r="I23" s="118"/>
    </row>
  </sheetData>
  <sheetProtection sort="0" autoFilter="0"/>
  <mergeCells count="1">
    <mergeCell ref="B4:B5"/>
  </mergeCells>
  <phoneticPr fontId="12"/>
  <hyperlinks>
    <hyperlink ref="A3" location="パラメータ設定一覧!A1" display="パラメータ設定一覧へ" xr:uid="{41306081-4DB0-4C39-8C59-19C891815903}"/>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195C-1A6E-4D08-A562-08965F031C5D}">
  <sheetPr codeName="Sheet9"/>
  <dimension ref="A1:D23"/>
  <sheetViews>
    <sheetView showGridLines="0" zoomScaleNormal="100" workbookViewId="0">
      <pane ySplit="5" topLeftCell="A6" activePane="bottomLeft" state="frozen"/>
      <selection pane="bottomLeft" activeCell="A6" sqref="A6"/>
    </sheetView>
  </sheetViews>
  <sheetFormatPr defaultColWidth="8.77734375" defaultRowHeight="13.5"/>
  <cols>
    <col min="1" max="1" width="2.77734375" style="38" customWidth="1"/>
    <col min="2" max="2" width="3.5546875" style="38" bestFit="1" customWidth="1"/>
    <col min="3" max="3" width="26.21875" style="38" bestFit="1" customWidth="1"/>
    <col min="4" max="4" width="17.77734375" style="38" customWidth="1"/>
    <col min="5" max="16384" width="8.77734375" style="38"/>
  </cols>
  <sheetData>
    <row r="1" spans="1:4" customFormat="1" ht="19.5">
      <c r="A1" s="7" t="s">
        <v>481</v>
      </c>
    </row>
    <row r="2" spans="1:4" customFormat="1" ht="15"/>
    <row r="3" spans="1:4" customFormat="1" ht="15">
      <c r="A3" s="9" t="s">
        <v>67</v>
      </c>
    </row>
    <row r="4" spans="1:4" ht="27">
      <c r="B4" s="278" t="s">
        <v>68</v>
      </c>
      <c r="C4" s="34" t="s">
        <v>361</v>
      </c>
      <c r="D4" s="96" t="s">
        <v>363</v>
      </c>
    </row>
    <row r="5" spans="1:4">
      <c r="B5" s="278"/>
      <c r="C5" s="3" t="s">
        <v>81</v>
      </c>
      <c r="D5" s="4" t="s">
        <v>81</v>
      </c>
    </row>
    <row r="6" spans="1:4">
      <c r="B6" s="127">
        <f t="shared" ref="B6:B23" si="0">ROW() - 5</f>
        <v>1</v>
      </c>
      <c r="C6" s="128"/>
      <c r="D6" s="118"/>
    </row>
    <row r="7" spans="1:4">
      <c r="B7" s="127">
        <f t="shared" si="0"/>
        <v>2</v>
      </c>
      <c r="C7" s="128"/>
      <c r="D7" s="118"/>
    </row>
    <row r="8" spans="1:4">
      <c r="B8" s="127">
        <f t="shared" si="0"/>
        <v>3</v>
      </c>
      <c r="C8" s="128"/>
      <c r="D8" s="118"/>
    </row>
    <row r="9" spans="1:4">
      <c r="B9" s="127">
        <f t="shared" si="0"/>
        <v>4</v>
      </c>
      <c r="C9" s="131"/>
      <c r="D9" s="118"/>
    </row>
    <row r="10" spans="1:4">
      <c r="B10" s="127">
        <f t="shared" si="0"/>
        <v>5</v>
      </c>
      <c r="C10" s="131"/>
      <c r="D10" s="118"/>
    </row>
    <row r="11" spans="1:4">
      <c r="B11" s="127">
        <f t="shared" si="0"/>
        <v>6</v>
      </c>
      <c r="C11" s="131"/>
      <c r="D11" s="118"/>
    </row>
    <row r="12" spans="1:4">
      <c r="B12" s="127">
        <f t="shared" si="0"/>
        <v>7</v>
      </c>
      <c r="C12" s="128"/>
      <c r="D12" s="118"/>
    </row>
    <row r="13" spans="1:4">
      <c r="B13" s="127">
        <f t="shared" si="0"/>
        <v>8</v>
      </c>
      <c r="C13" s="128"/>
      <c r="D13" s="118"/>
    </row>
    <row r="14" spans="1:4">
      <c r="B14" s="127">
        <f t="shared" si="0"/>
        <v>9</v>
      </c>
      <c r="C14" s="131"/>
      <c r="D14" s="118"/>
    </row>
    <row r="15" spans="1:4">
      <c r="B15" s="127">
        <f t="shared" si="0"/>
        <v>10</v>
      </c>
      <c r="C15" s="131"/>
      <c r="D15" s="118"/>
    </row>
    <row r="16" spans="1:4">
      <c r="B16" s="127">
        <f t="shared" si="0"/>
        <v>11</v>
      </c>
      <c r="C16" s="131"/>
      <c r="D16" s="118"/>
    </row>
    <row r="17" spans="2:4">
      <c r="B17" s="127">
        <f t="shared" si="0"/>
        <v>12</v>
      </c>
      <c r="C17" s="128"/>
      <c r="D17" s="118"/>
    </row>
    <row r="18" spans="2:4">
      <c r="B18" s="127">
        <f t="shared" si="0"/>
        <v>13</v>
      </c>
      <c r="C18" s="128"/>
      <c r="D18" s="118"/>
    </row>
    <row r="19" spans="2:4">
      <c r="B19" s="127">
        <f t="shared" si="0"/>
        <v>14</v>
      </c>
      <c r="C19" s="128"/>
      <c r="D19" s="118"/>
    </row>
    <row r="20" spans="2:4">
      <c r="B20" s="127">
        <f t="shared" si="0"/>
        <v>15</v>
      </c>
      <c r="C20" s="128"/>
      <c r="D20" s="118"/>
    </row>
    <row r="21" spans="2:4">
      <c r="B21" s="127">
        <f t="shared" si="0"/>
        <v>16</v>
      </c>
      <c r="C21" s="131"/>
      <c r="D21" s="118"/>
    </row>
    <row r="22" spans="2:4">
      <c r="B22" s="127">
        <f t="shared" si="0"/>
        <v>17</v>
      </c>
      <c r="C22" s="131"/>
      <c r="D22" s="118"/>
    </row>
    <row r="23" spans="2:4">
      <c r="B23" s="127">
        <f t="shared" si="0"/>
        <v>18</v>
      </c>
      <c r="C23" s="131"/>
      <c r="D23" s="118"/>
    </row>
  </sheetData>
  <sheetProtection sort="0" autoFilter="0"/>
  <mergeCells count="1">
    <mergeCell ref="B4:B5"/>
  </mergeCells>
  <phoneticPr fontId="12"/>
  <hyperlinks>
    <hyperlink ref="A3" location="パラメータ設定一覧!A1" display="パラメータ設定一覧へ" xr:uid="{1CE9EE20-1899-4996-BC3E-84C2FDD68729}"/>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8170-B583-4ED0-BAF4-E3EE0CDE39D0}">
  <dimension ref="A1:L61"/>
  <sheetViews>
    <sheetView showGridLines="0" zoomScaleNormal="100" workbookViewId="0">
      <pane ySplit="6" topLeftCell="A7" activePane="bottomLeft" state="frozen"/>
      <selection pane="bottomLeft" activeCell="A7" sqref="A7"/>
    </sheetView>
  </sheetViews>
  <sheetFormatPr defaultColWidth="8.77734375" defaultRowHeight="13.5"/>
  <cols>
    <col min="1" max="1" width="2.77734375" style="38" customWidth="1"/>
    <col min="2" max="2" width="3.5546875" style="38" bestFit="1" customWidth="1"/>
    <col min="3" max="3" width="13.5546875" style="38" customWidth="1"/>
    <col min="4" max="4" width="15.88671875" style="38" customWidth="1"/>
    <col min="5" max="12" width="17.77734375" style="38" customWidth="1"/>
    <col min="13" max="16384" width="8.77734375" style="38"/>
  </cols>
  <sheetData>
    <row r="1" spans="1:12" customFormat="1" ht="19.5">
      <c r="A1" s="7" t="s">
        <v>482</v>
      </c>
    </row>
    <row r="2" spans="1:12" customFormat="1" ht="15"/>
    <row r="3" spans="1:12" customFormat="1" ht="15">
      <c r="A3" s="9" t="s">
        <v>67</v>
      </c>
    </row>
    <row r="4" spans="1:12">
      <c r="B4" s="278" t="s">
        <v>68</v>
      </c>
      <c r="C4" s="143"/>
      <c r="D4" s="99"/>
      <c r="E4" s="99"/>
      <c r="F4" s="100"/>
      <c r="G4" s="98" t="s">
        <v>483</v>
      </c>
      <c r="H4" s="99"/>
      <c r="I4" s="99"/>
      <c r="J4" s="99"/>
      <c r="K4" s="99"/>
      <c r="L4" s="99"/>
    </row>
    <row r="5" spans="1:12">
      <c r="B5" s="278"/>
      <c r="C5" s="97" t="s">
        <v>84</v>
      </c>
      <c r="D5" s="34" t="s">
        <v>118</v>
      </c>
      <c r="E5" s="96" t="s">
        <v>444</v>
      </c>
      <c r="F5" s="96" t="s">
        <v>114</v>
      </c>
      <c r="G5" s="96" t="s">
        <v>484</v>
      </c>
      <c r="H5" s="96" t="s">
        <v>162</v>
      </c>
      <c r="I5" s="96" t="s">
        <v>133</v>
      </c>
      <c r="J5" s="96" t="s">
        <v>485</v>
      </c>
      <c r="K5" s="96" t="s">
        <v>486</v>
      </c>
      <c r="L5" s="96" t="s">
        <v>487</v>
      </c>
    </row>
    <row r="6" spans="1:12">
      <c r="B6" s="278"/>
      <c r="C6" s="4" t="s">
        <v>81</v>
      </c>
      <c r="D6" s="3" t="s">
        <v>460</v>
      </c>
      <c r="E6" s="4" t="s">
        <v>81</v>
      </c>
      <c r="F6" s="4"/>
      <c r="G6" s="4"/>
      <c r="H6" s="4"/>
      <c r="I6" s="4"/>
      <c r="J6" s="4"/>
      <c r="K6" s="4"/>
      <c r="L6" s="4"/>
    </row>
    <row r="7" spans="1:12" ht="15">
      <c r="B7" s="127">
        <f>ROW() - 6</f>
        <v>1</v>
      </c>
      <c r="C7" s="190" t="s">
        <v>441</v>
      </c>
      <c r="D7" s="128"/>
      <c r="E7" s="118" t="s">
        <v>318</v>
      </c>
      <c r="F7" s="118" t="s">
        <v>380</v>
      </c>
      <c r="G7" s="118" t="s">
        <v>488</v>
      </c>
      <c r="H7" s="196" t="s">
        <v>489</v>
      </c>
      <c r="I7" s="118"/>
      <c r="J7" s="118"/>
      <c r="K7" s="118"/>
      <c r="L7" s="118"/>
    </row>
    <row r="8" spans="1:12" ht="15">
      <c r="B8" s="127">
        <f>ROW() - 6</f>
        <v>2</v>
      </c>
      <c r="C8" s="191"/>
      <c r="D8" s="128"/>
      <c r="E8" s="118" t="s">
        <v>387</v>
      </c>
      <c r="F8" s="118" t="s">
        <v>388</v>
      </c>
      <c r="G8" s="118" t="s">
        <v>488</v>
      </c>
      <c r="H8" s="189">
        <v>4106</v>
      </c>
      <c r="I8" s="118"/>
      <c r="J8" s="118"/>
      <c r="K8" s="118"/>
      <c r="L8" s="118"/>
    </row>
    <row r="9" spans="1:12" ht="15">
      <c r="B9" s="127">
        <f t="shared" ref="B9:B61" si="0">ROW() - 6</f>
        <v>3</v>
      </c>
      <c r="C9" s="191"/>
      <c r="D9" s="128"/>
      <c r="E9" s="118" t="s">
        <v>391</v>
      </c>
      <c r="F9" s="118" t="s">
        <v>388</v>
      </c>
      <c r="G9" s="118" t="s">
        <v>488</v>
      </c>
      <c r="H9" s="189">
        <v>5103</v>
      </c>
      <c r="I9" s="118"/>
      <c r="J9" s="118"/>
      <c r="K9" s="118"/>
      <c r="L9" s="118"/>
    </row>
    <row r="10" spans="1:12" ht="15">
      <c r="B10" s="127">
        <f t="shared" si="0"/>
        <v>4</v>
      </c>
      <c r="C10" s="191"/>
      <c r="D10" s="128"/>
      <c r="E10" s="118" t="s">
        <v>394</v>
      </c>
      <c r="F10" s="118" t="s">
        <v>388</v>
      </c>
      <c r="G10" s="118" t="s">
        <v>488</v>
      </c>
      <c r="H10" s="189">
        <v>1109</v>
      </c>
      <c r="I10" s="118"/>
      <c r="J10" s="118"/>
      <c r="K10" s="118"/>
      <c r="L10" s="118"/>
    </row>
    <row r="11" spans="1:12" ht="15">
      <c r="B11" s="127">
        <f t="shared" si="0"/>
        <v>5</v>
      </c>
      <c r="C11" s="191"/>
      <c r="D11" s="131"/>
      <c r="E11" s="118" t="s">
        <v>397</v>
      </c>
      <c r="F11" s="118" t="s">
        <v>388</v>
      </c>
      <c r="G11" s="118" t="s">
        <v>488</v>
      </c>
      <c r="H11" s="189">
        <v>1127</v>
      </c>
      <c r="I11" s="122"/>
      <c r="J11" s="122"/>
      <c r="K11" s="122"/>
      <c r="L11" s="122"/>
    </row>
    <row r="12" spans="1:12" ht="15">
      <c r="B12" s="127">
        <f t="shared" si="0"/>
        <v>6</v>
      </c>
      <c r="C12" s="191"/>
      <c r="D12" s="131"/>
      <c r="E12" s="118" t="s">
        <v>399</v>
      </c>
      <c r="F12" s="118" t="s">
        <v>388</v>
      </c>
      <c r="G12" s="118" t="s">
        <v>488</v>
      </c>
      <c r="H12" s="189">
        <v>1401</v>
      </c>
      <c r="I12" s="122"/>
      <c r="J12" s="122"/>
      <c r="K12" s="122"/>
      <c r="L12" s="122"/>
    </row>
    <row r="13" spans="1:12" ht="15">
      <c r="B13" s="127">
        <f t="shared" si="0"/>
        <v>7</v>
      </c>
      <c r="C13" s="191"/>
      <c r="D13" s="131"/>
      <c r="E13" s="118" t="s">
        <v>402</v>
      </c>
      <c r="F13" s="118" t="s">
        <v>388</v>
      </c>
      <c r="G13" s="118" t="s">
        <v>488</v>
      </c>
      <c r="H13" s="189">
        <v>2503</v>
      </c>
      <c r="I13" s="122"/>
      <c r="J13" s="122"/>
      <c r="K13" s="122"/>
      <c r="L13" s="122"/>
    </row>
    <row r="14" spans="1:12" ht="15">
      <c r="B14" s="127">
        <f t="shared" si="0"/>
        <v>8</v>
      </c>
      <c r="C14" s="191"/>
      <c r="D14" s="128"/>
      <c r="E14" s="118" t="s">
        <v>405</v>
      </c>
      <c r="F14" s="118" t="s">
        <v>388</v>
      </c>
      <c r="G14" s="118" t="s">
        <v>488</v>
      </c>
      <c r="H14" s="189">
        <v>6105</v>
      </c>
      <c r="I14" s="118"/>
      <c r="J14" s="118"/>
      <c r="K14" s="118"/>
      <c r="L14" s="118"/>
    </row>
    <row r="15" spans="1:12" ht="15">
      <c r="B15" s="127">
        <f t="shared" si="0"/>
        <v>9</v>
      </c>
      <c r="C15" s="191"/>
      <c r="D15" s="128"/>
      <c r="E15" s="118" t="s">
        <v>408</v>
      </c>
      <c r="F15" s="118" t="s">
        <v>388</v>
      </c>
      <c r="G15" s="118" t="s">
        <v>488</v>
      </c>
      <c r="H15" s="189">
        <v>3603</v>
      </c>
      <c r="I15" s="118"/>
      <c r="J15" s="118"/>
      <c r="K15" s="118"/>
      <c r="L15" s="118"/>
    </row>
    <row r="16" spans="1:12" ht="15">
      <c r="B16" s="127">
        <f t="shared" si="0"/>
        <v>10</v>
      </c>
      <c r="C16" s="191"/>
      <c r="D16" s="131"/>
      <c r="E16" s="118" t="s">
        <v>411</v>
      </c>
      <c r="F16" s="118" t="s">
        <v>388</v>
      </c>
      <c r="G16" s="118" t="s">
        <v>488</v>
      </c>
      <c r="H16" s="189">
        <v>3611</v>
      </c>
      <c r="I16" s="122"/>
      <c r="J16" s="122"/>
      <c r="K16" s="122"/>
      <c r="L16" s="122"/>
    </row>
    <row r="17" spans="2:12" ht="15">
      <c r="B17" s="127">
        <f t="shared" si="0"/>
        <v>11</v>
      </c>
      <c r="C17" s="191"/>
      <c r="D17" s="131"/>
      <c r="E17" s="118" t="s">
        <v>413</v>
      </c>
      <c r="F17" s="118" t="s">
        <v>388</v>
      </c>
      <c r="G17" s="118" t="s">
        <v>488</v>
      </c>
      <c r="H17" s="189">
        <v>3145</v>
      </c>
      <c r="I17" s="122"/>
      <c r="J17" s="122"/>
      <c r="K17" s="122"/>
      <c r="L17" s="122"/>
    </row>
    <row r="18" spans="2:12" ht="15">
      <c r="B18" s="127">
        <f t="shared" si="0"/>
        <v>12</v>
      </c>
      <c r="C18" s="191"/>
      <c r="D18" s="131"/>
      <c r="E18" s="118" t="s">
        <v>416</v>
      </c>
      <c r="F18" s="118" t="s">
        <v>388</v>
      </c>
      <c r="G18" s="118" t="s">
        <v>488</v>
      </c>
      <c r="H18" s="189">
        <v>3141</v>
      </c>
      <c r="I18" s="122"/>
      <c r="J18" s="122"/>
      <c r="K18" s="122"/>
      <c r="L18" s="122"/>
    </row>
    <row r="19" spans="2:12" ht="15">
      <c r="B19" s="127">
        <f t="shared" si="0"/>
        <v>13</v>
      </c>
      <c r="C19" s="191"/>
      <c r="D19" s="128"/>
      <c r="E19" s="118" t="s">
        <v>418</v>
      </c>
      <c r="F19" s="118" t="s">
        <v>388</v>
      </c>
      <c r="G19" s="118" t="s">
        <v>488</v>
      </c>
      <c r="H19" s="189">
        <v>3143</v>
      </c>
      <c r="I19" s="118"/>
      <c r="J19" s="118"/>
      <c r="K19" s="118"/>
      <c r="L19" s="118"/>
    </row>
    <row r="20" spans="2:12" ht="15">
      <c r="B20" s="127">
        <f t="shared" si="0"/>
        <v>14</v>
      </c>
      <c r="C20" s="191"/>
      <c r="D20" s="128"/>
      <c r="E20" s="118" t="s">
        <v>420</v>
      </c>
      <c r="F20" s="118" t="s">
        <v>388</v>
      </c>
      <c r="G20" s="118" t="s">
        <v>488</v>
      </c>
      <c r="H20" s="189">
        <v>3313</v>
      </c>
      <c r="I20" s="118"/>
      <c r="J20" s="118"/>
      <c r="K20" s="118"/>
      <c r="L20" s="118"/>
    </row>
    <row r="21" spans="2:12" ht="15">
      <c r="B21" s="127">
        <f t="shared" si="0"/>
        <v>15</v>
      </c>
      <c r="C21" s="191"/>
      <c r="D21" s="128"/>
      <c r="E21" s="118" t="s">
        <v>423</v>
      </c>
      <c r="F21" s="118" t="s">
        <v>388</v>
      </c>
      <c r="G21" s="118" t="s">
        <v>488</v>
      </c>
      <c r="H21" s="189">
        <v>3311</v>
      </c>
      <c r="I21" s="118"/>
      <c r="J21" s="118"/>
      <c r="K21" s="118"/>
      <c r="L21" s="118"/>
    </row>
    <row r="22" spans="2:12" ht="15">
      <c r="B22" s="127">
        <f t="shared" si="0"/>
        <v>16</v>
      </c>
      <c r="C22" s="191"/>
      <c r="D22" s="128"/>
      <c r="E22" s="118" t="s">
        <v>424</v>
      </c>
      <c r="F22" s="118" t="s">
        <v>388</v>
      </c>
      <c r="G22" s="118" t="s">
        <v>488</v>
      </c>
      <c r="H22" s="189">
        <v>8113</v>
      </c>
      <c r="I22" s="118"/>
      <c r="J22" s="118"/>
      <c r="K22" s="118"/>
      <c r="L22" s="118"/>
    </row>
    <row r="23" spans="2:12" ht="15">
      <c r="B23" s="127">
        <f t="shared" si="0"/>
        <v>17</v>
      </c>
      <c r="C23" s="191"/>
      <c r="D23" s="131"/>
      <c r="E23" s="118" t="s">
        <v>427</v>
      </c>
      <c r="F23" s="118" t="s">
        <v>388</v>
      </c>
      <c r="G23" s="118" t="s">
        <v>488</v>
      </c>
      <c r="H23" s="189">
        <v>9307</v>
      </c>
      <c r="I23" s="122"/>
      <c r="J23" s="122"/>
      <c r="K23" s="122"/>
      <c r="L23" s="122"/>
    </row>
    <row r="24" spans="2:12" ht="15">
      <c r="B24" s="127">
        <f t="shared" si="0"/>
        <v>18</v>
      </c>
      <c r="C24" s="192"/>
      <c r="D24" s="131"/>
      <c r="E24" s="118" t="s">
        <v>430</v>
      </c>
      <c r="F24" s="118" t="s">
        <v>388</v>
      </c>
      <c r="G24" s="118" t="s">
        <v>488</v>
      </c>
      <c r="H24" s="189">
        <v>10105</v>
      </c>
      <c r="I24" s="122"/>
      <c r="J24" s="122"/>
      <c r="K24" s="122"/>
      <c r="L24" s="122"/>
    </row>
    <row r="25" spans="2:12" ht="15">
      <c r="B25" s="127">
        <f>ROW() - 6</f>
        <v>19</v>
      </c>
      <c r="C25" s="190" t="s">
        <v>434</v>
      </c>
      <c r="D25" s="128"/>
      <c r="E25" s="118" t="s">
        <v>318</v>
      </c>
      <c r="F25" s="118" t="s">
        <v>388</v>
      </c>
      <c r="G25" s="118" t="s">
        <v>488</v>
      </c>
      <c r="H25" s="196" t="s">
        <v>490</v>
      </c>
      <c r="I25" s="118"/>
      <c r="J25" s="118"/>
      <c r="K25" s="118"/>
      <c r="L25" s="118"/>
    </row>
    <row r="26" spans="2:12" ht="15">
      <c r="B26" s="127">
        <f>ROW() - 6</f>
        <v>20</v>
      </c>
      <c r="C26" s="191"/>
      <c r="D26" s="128"/>
      <c r="E26" s="118" t="s">
        <v>387</v>
      </c>
      <c r="F26" s="118" t="s">
        <v>388</v>
      </c>
      <c r="G26" s="118" t="s">
        <v>488</v>
      </c>
      <c r="H26" s="189">
        <v>4106</v>
      </c>
      <c r="I26" s="118"/>
      <c r="J26" s="118"/>
      <c r="K26" s="118"/>
      <c r="L26" s="118"/>
    </row>
    <row r="27" spans="2:12" ht="15">
      <c r="B27" s="127">
        <f t="shared" si="0"/>
        <v>21</v>
      </c>
      <c r="C27" s="191"/>
      <c r="D27" s="128"/>
      <c r="E27" s="118" t="s">
        <v>391</v>
      </c>
      <c r="F27" s="118" t="s">
        <v>388</v>
      </c>
      <c r="G27" s="118" t="s">
        <v>488</v>
      </c>
      <c r="H27" s="189">
        <v>5103</v>
      </c>
      <c r="I27" s="118"/>
      <c r="J27" s="118"/>
      <c r="K27" s="118"/>
      <c r="L27" s="118"/>
    </row>
    <row r="28" spans="2:12" ht="15">
      <c r="B28" s="127">
        <f t="shared" si="0"/>
        <v>22</v>
      </c>
      <c r="C28" s="191"/>
      <c r="D28" s="128"/>
      <c r="E28" s="118" t="s">
        <v>394</v>
      </c>
      <c r="F28" s="118" t="s">
        <v>388</v>
      </c>
      <c r="G28" s="118" t="s">
        <v>488</v>
      </c>
      <c r="H28" s="189">
        <v>1109</v>
      </c>
      <c r="I28" s="118"/>
      <c r="J28" s="118"/>
      <c r="K28" s="118"/>
      <c r="L28" s="118"/>
    </row>
    <row r="29" spans="2:12" ht="15">
      <c r="B29" s="127">
        <f t="shared" si="0"/>
        <v>23</v>
      </c>
      <c r="C29" s="191"/>
      <c r="D29" s="131"/>
      <c r="E29" s="118" t="s">
        <v>397</v>
      </c>
      <c r="F29" s="118" t="s">
        <v>388</v>
      </c>
      <c r="G29" s="118" t="s">
        <v>488</v>
      </c>
      <c r="H29" s="189">
        <v>1127</v>
      </c>
      <c r="I29" s="122"/>
      <c r="J29" s="122"/>
      <c r="K29" s="122"/>
      <c r="L29" s="122"/>
    </row>
    <row r="30" spans="2:12" ht="15">
      <c r="B30" s="127">
        <f t="shared" si="0"/>
        <v>24</v>
      </c>
      <c r="C30" s="191"/>
      <c r="D30" s="131"/>
      <c r="E30" s="118" t="s">
        <v>399</v>
      </c>
      <c r="F30" s="118" t="s">
        <v>388</v>
      </c>
      <c r="G30" s="118" t="s">
        <v>488</v>
      </c>
      <c r="H30" s="189">
        <v>1401</v>
      </c>
      <c r="I30" s="122"/>
      <c r="J30" s="122"/>
      <c r="K30" s="122"/>
      <c r="L30" s="122"/>
    </row>
    <row r="31" spans="2:12" ht="15">
      <c r="B31" s="127">
        <f t="shared" si="0"/>
        <v>25</v>
      </c>
      <c r="C31" s="191"/>
      <c r="D31" s="131"/>
      <c r="E31" s="118" t="s">
        <v>402</v>
      </c>
      <c r="F31" s="118" t="s">
        <v>388</v>
      </c>
      <c r="G31" s="118" t="s">
        <v>488</v>
      </c>
      <c r="H31" s="189">
        <v>2503</v>
      </c>
      <c r="I31" s="122"/>
      <c r="J31" s="122"/>
      <c r="K31" s="122"/>
      <c r="L31" s="122"/>
    </row>
    <row r="32" spans="2:12" ht="15">
      <c r="B32" s="127">
        <f t="shared" si="0"/>
        <v>26</v>
      </c>
      <c r="C32" s="191"/>
      <c r="D32" s="128"/>
      <c r="E32" s="118" t="s">
        <v>405</v>
      </c>
      <c r="F32" s="118" t="s">
        <v>388</v>
      </c>
      <c r="G32" s="118" t="s">
        <v>488</v>
      </c>
      <c r="H32" s="189">
        <v>6105</v>
      </c>
      <c r="I32" s="118"/>
      <c r="J32" s="118"/>
      <c r="K32" s="118"/>
      <c r="L32" s="118"/>
    </row>
    <row r="33" spans="2:12" ht="15">
      <c r="B33" s="127">
        <f t="shared" si="0"/>
        <v>27</v>
      </c>
      <c r="C33" s="191"/>
      <c r="D33" s="128"/>
      <c r="E33" s="118" t="s">
        <v>408</v>
      </c>
      <c r="F33" s="118" t="s">
        <v>388</v>
      </c>
      <c r="G33" s="118" t="s">
        <v>488</v>
      </c>
      <c r="H33" s="189">
        <v>3603</v>
      </c>
      <c r="I33" s="118"/>
      <c r="J33" s="118"/>
      <c r="K33" s="118"/>
      <c r="L33" s="118"/>
    </row>
    <row r="34" spans="2:12" ht="15">
      <c r="B34" s="127">
        <f t="shared" si="0"/>
        <v>28</v>
      </c>
      <c r="C34" s="191"/>
      <c r="D34" s="131"/>
      <c r="E34" s="118" t="s">
        <v>411</v>
      </c>
      <c r="F34" s="118" t="s">
        <v>388</v>
      </c>
      <c r="G34" s="118" t="s">
        <v>488</v>
      </c>
      <c r="H34" s="189">
        <v>3611</v>
      </c>
      <c r="I34" s="122"/>
      <c r="J34" s="122"/>
      <c r="K34" s="122"/>
      <c r="L34" s="122"/>
    </row>
    <row r="35" spans="2:12" ht="15">
      <c r="B35" s="127">
        <f t="shared" si="0"/>
        <v>29</v>
      </c>
      <c r="C35" s="191"/>
      <c r="D35" s="131"/>
      <c r="E35" s="118" t="s">
        <v>413</v>
      </c>
      <c r="F35" s="118" t="s">
        <v>388</v>
      </c>
      <c r="G35" s="118" t="s">
        <v>488</v>
      </c>
      <c r="H35" s="189">
        <v>3145</v>
      </c>
      <c r="I35" s="122"/>
      <c r="J35" s="122"/>
      <c r="K35" s="122"/>
      <c r="L35" s="122"/>
    </row>
    <row r="36" spans="2:12" ht="15">
      <c r="B36" s="127">
        <f t="shared" si="0"/>
        <v>30</v>
      </c>
      <c r="C36" s="191"/>
      <c r="D36" s="131"/>
      <c r="E36" s="118" t="s">
        <v>416</v>
      </c>
      <c r="F36" s="118" t="s">
        <v>388</v>
      </c>
      <c r="G36" s="118" t="s">
        <v>488</v>
      </c>
      <c r="H36" s="189">
        <v>3141</v>
      </c>
      <c r="I36" s="122"/>
      <c r="J36" s="122"/>
      <c r="K36" s="122"/>
      <c r="L36" s="122"/>
    </row>
    <row r="37" spans="2:12" ht="15">
      <c r="B37" s="127">
        <f t="shared" si="0"/>
        <v>31</v>
      </c>
      <c r="C37" s="191"/>
      <c r="D37" s="128"/>
      <c r="E37" s="118" t="s">
        <v>418</v>
      </c>
      <c r="F37" s="118" t="s">
        <v>388</v>
      </c>
      <c r="G37" s="118" t="s">
        <v>488</v>
      </c>
      <c r="H37" s="189">
        <v>3143</v>
      </c>
      <c r="I37" s="118"/>
      <c r="J37" s="118"/>
      <c r="K37" s="118"/>
      <c r="L37" s="118"/>
    </row>
    <row r="38" spans="2:12" ht="15">
      <c r="B38" s="127">
        <f t="shared" si="0"/>
        <v>32</v>
      </c>
      <c r="C38" s="191"/>
      <c r="D38" s="128"/>
      <c r="E38" s="118" t="s">
        <v>420</v>
      </c>
      <c r="F38" s="118" t="s">
        <v>388</v>
      </c>
      <c r="G38" s="118" t="s">
        <v>488</v>
      </c>
      <c r="H38" s="189">
        <v>3313</v>
      </c>
      <c r="I38" s="118"/>
      <c r="J38" s="118"/>
      <c r="K38" s="118"/>
      <c r="L38" s="118"/>
    </row>
    <row r="39" spans="2:12" ht="15">
      <c r="B39" s="127">
        <f t="shared" si="0"/>
        <v>33</v>
      </c>
      <c r="C39" s="191"/>
      <c r="D39" s="128"/>
      <c r="E39" s="118" t="s">
        <v>423</v>
      </c>
      <c r="F39" s="118" t="s">
        <v>388</v>
      </c>
      <c r="G39" s="118" t="s">
        <v>488</v>
      </c>
      <c r="H39" s="189">
        <v>3311</v>
      </c>
      <c r="I39" s="118"/>
      <c r="J39" s="118"/>
      <c r="K39" s="118"/>
      <c r="L39" s="118"/>
    </row>
    <row r="40" spans="2:12" ht="15">
      <c r="B40" s="127">
        <f t="shared" si="0"/>
        <v>34</v>
      </c>
      <c r="C40" s="191"/>
      <c r="D40" s="128"/>
      <c r="E40" s="118" t="s">
        <v>424</v>
      </c>
      <c r="F40" s="118" t="s">
        <v>388</v>
      </c>
      <c r="G40" s="118" t="s">
        <v>488</v>
      </c>
      <c r="H40" s="189">
        <v>8113</v>
      </c>
      <c r="I40" s="118"/>
      <c r="J40" s="118"/>
      <c r="K40" s="118"/>
      <c r="L40" s="118"/>
    </row>
    <row r="41" spans="2:12" ht="15">
      <c r="B41" s="127">
        <f t="shared" si="0"/>
        <v>35</v>
      </c>
      <c r="C41" s="191"/>
      <c r="D41" s="131"/>
      <c r="E41" s="118" t="s">
        <v>427</v>
      </c>
      <c r="F41" s="118" t="s">
        <v>388</v>
      </c>
      <c r="G41" s="118" t="s">
        <v>488</v>
      </c>
      <c r="H41" s="189">
        <v>9307</v>
      </c>
      <c r="I41" s="122"/>
      <c r="J41" s="122"/>
      <c r="K41" s="122"/>
      <c r="L41" s="122"/>
    </row>
    <row r="42" spans="2:12" ht="15">
      <c r="B42" s="127">
        <f t="shared" si="0"/>
        <v>36</v>
      </c>
      <c r="C42" s="192"/>
      <c r="D42" s="131"/>
      <c r="E42" s="118" t="s">
        <v>430</v>
      </c>
      <c r="F42" s="118" t="s">
        <v>388</v>
      </c>
      <c r="G42" s="118" t="s">
        <v>488</v>
      </c>
      <c r="H42" s="189">
        <v>10105</v>
      </c>
      <c r="I42" s="122"/>
      <c r="J42" s="122"/>
      <c r="K42" s="122"/>
      <c r="L42" s="122"/>
    </row>
    <row r="43" spans="2:12" ht="15">
      <c r="B43" s="127">
        <f>ROW() - 6</f>
        <v>37</v>
      </c>
      <c r="C43" s="190" t="s">
        <v>372</v>
      </c>
      <c r="D43" s="128"/>
      <c r="E43" s="118" t="s">
        <v>318</v>
      </c>
      <c r="F43" s="118" t="s">
        <v>388</v>
      </c>
      <c r="G43" s="118" t="s">
        <v>488</v>
      </c>
      <c r="H43" s="196" t="s">
        <v>491</v>
      </c>
      <c r="I43" s="118"/>
      <c r="J43" s="118"/>
      <c r="K43" s="118"/>
      <c r="L43" s="118"/>
    </row>
    <row r="44" spans="2:12" ht="15">
      <c r="B44" s="127">
        <f>ROW() - 6</f>
        <v>38</v>
      </c>
      <c r="C44" s="191"/>
      <c r="D44" s="128"/>
      <c r="E44" s="118" t="s">
        <v>387</v>
      </c>
      <c r="F44" s="118" t="s">
        <v>388</v>
      </c>
      <c r="G44" s="118" t="s">
        <v>488</v>
      </c>
      <c r="H44" s="189">
        <v>4106</v>
      </c>
      <c r="I44" s="118"/>
      <c r="J44" s="118"/>
      <c r="K44" s="118"/>
      <c r="L44" s="118"/>
    </row>
    <row r="45" spans="2:12" ht="15">
      <c r="B45" s="127">
        <f t="shared" si="0"/>
        <v>39</v>
      </c>
      <c r="C45" s="191"/>
      <c r="D45" s="128"/>
      <c r="E45" s="118" t="s">
        <v>391</v>
      </c>
      <c r="F45" s="118" t="s">
        <v>388</v>
      </c>
      <c r="G45" s="118" t="s">
        <v>488</v>
      </c>
      <c r="H45" s="189">
        <v>5103</v>
      </c>
      <c r="I45" s="118"/>
      <c r="J45" s="118"/>
      <c r="K45" s="118"/>
      <c r="L45" s="118"/>
    </row>
    <row r="46" spans="2:12" ht="15">
      <c r="B46" s="127">
        <f t="shared" si="0"/>
        <v>40</v>
      </c>
      <c r="C46" s="191"/>
      <c r="D46" s="128"/>
      <c r="E46" s="118" t="s">
        <v>394</v>
      </c>
      <c r="F46" s="118" t="s">
        <v>388</v>
      </c>
      <c r="G46" s="118" t="s">
        <v>488</v>
      </c>
      <c r="H46" s="189">
        <v>1109</v>
      </c>
      <c r="I46" s="118"/>
      <c r="J46" s="118"/>
      <c r="K46" s="118"/>
      <c r="L46" s="118"/>
    </row>
    <row r="47" spans="2:12" ht="15">
      <c r="B47" s="127">
        <f t="shared" si="0"/>
        <v>41</v>
      </c>
      <c r="C47" s="191"/>
      <c r="D47" s="131"/>
      <c r="E47" s="118" t="s">
        <v>397</v>
      </c>
      <c r="F47" s="118" t="s">
        <v>388</v>
      </c>
      <c r="G47" s="118" t="s">
        <v>488</v>
      </c>
      <c r="H47" s="189">
        <v>1127</v>
      </c>
      <c r="I47" s="122"/>
      <c r="J47" s="122"/>
      <c r="K47" s="122"/>
      <c r="L47" s="122"/>
    </row>
    <row r="48" spans="2:12" ht="15">
      <c r="B48" s="127">
        <f t="shared" si="0"/>
        <v>42</v>
      </c>
      <c r="C48" s="191"/>
      <c r="D48" s="131"/>
      <c r="E48" s="118" t="s">
        <v>399</v>
      </c>
      <c r="F48" s="118" t="s">
        <v>388</v>
      </c>
      <c r="G48" s="118" t="s">
        <v>488</v>
      </c>
      <c r="H48" s="189">
        <v>1401</v>
      </c>
      <c r="I48" s="122"/>
      <c r="J48" s="122"/>
      <c r="K48" s="122"/>
      <c r="L48" s="122"/>
    </row>
    <row r="49" spans="2:12" ht="15">
      <c r="B49" s="127">
        <f t="shared" si="0"/>
        <v>43</v>
      </c>
      <c r="C49" s="191"/>
      <c r="D49" s="131"/>
      <c r="E49" s="118" t="s">
        <v>402</v>
      </c>
      <c r="F49" s="118" t="s">
        <v>388</v>
      </c>
      <c r="G49" s="118" t="s">
        <v>488</v>
      </c>
      <c r="H49" s="189">
        <v>2503</v>
      </c>
      <c r="I49" s="122"/>
      <c r="J49" s="122"/>
      <c r="K49" s="122"/>
      <c r="L49" s="122"/>
    </row>
    <row r="50" spans="2:12" ht="15">
      <c r="B50" s="127">
        <f t="shared" si="0"/>
        <v>44</v>
      </c>
      <c r="C50" s="191"/>
      <c r="D50" s="128"/>
      <c r="E50" s="118" t="s">
        <v>405</v>
      </c>
      <c r="F50" s="118" t="s">
        <v>388</v>
      </c>
      <c r="G50" s="118" t="s">
        <v>488</v>
      </c>
      <c r="H50" s="189">
        <v>6105</v>
      </c>
      <c r="I50" s="118"/>
      <c r="J50" s="118"/>
      <c r="K50" s="118"/>
      <c r="L50" s="118"/>
    </row>
    <row r="51" spans="2:12" ht="15">
      <c r="B51" s="127">
        <f t="shared" si="0"/>
        <v>45</v>
      </c>
      <c r="C51" s="191"/>
      <c r="D51" s="128"/>
      <c r="E51" s="118" t="s">
        <v>408</v>
      </c>
      <c r="F51" s="118" t="s">
        <v>388</v>
      </c>
      <c r="G51" s="118" t="s">
        <v>488</v>
      </c>
      <c r="H51" s="189">
        <v>3603</v>
      </c>
      <c r="I51" s="118"/>
      <c r="J51" s="118"/>
      <c r="K51" s="118"/>
      <c r="L51" s="118"/>
    </row>
    <row r="52" spans="2:12" ht="15">
      <c r="B52" s="127">
        <f t="shared" si="0"/>
        <v>46</v>
      </c>
      <c r="C52" s="191"/>
      <c r="D52" s="131"/>
      <c r="E52" s="118" t="s">
        <v>411</v>
      </c>
      <c r="F52" s="118" t="s">
        <v>388</v>
      </c>
      <c r="G52" s="118" t="s">
        <v>488</v>
      </c>
      <c r="H52" s="189">
        <v>3611</v>
      </c>
      <c r="I52" s="122"/>
      <c r="J52" s="122"/>
      <c r="K52" s="122"/>
      <c r="L52" s="122"/>
    </row>
    <row r="53" spans="2:12" ht="15">
      <c r="B53" s="127">
        <f t="shared" si="0"/>
        <v>47</v>
      </c>
      <c r="C53" s="191"/>
      <c r="D53" s="131"/>
      <c r="E53" s="118" t="s">
        <v>413</v>
      </c>
      <c r="F53" s="118" t="s">
        <v>388</v>
      </c>
      <c r="G53" s="118" t="s">
        <v>488</v>
      </c>
      <c r="H53" s="189">
        <v>3145</v>
      </c>
      <c r="I53" s="122"/>
      <c r="J53" s="122"/>
      <c r="K53" s="122"/>
      <c r="L53" s="122"/>
    </row>
    <row r="54" spans="2:12" ht="15">
      <c r="B54" s="127">
        <f t="shared" si="0"/>
        <v>48</v>
      </c>
      <c r="C54" s="191"/>
      <c r="D54" s="131"/>
      <c r="E54" s="118" t="s">
        <v>416</v>
      </c>
      <c r="F54" s="118" t="s">
        <v>388</v>
      </c>
      <c r="G54" s="118" t="s">
        <v>488</v>
      </c>
      <c r="H54" s="189">
        <v>3141</v>
      </c>
      <c r="I54" s="122"/>
      <c r="J54" s="122"/>
      <c r="K54" s="122"/>
      <c r="L54" s="122"/>
    </row>
    <row r="55" spans="2:12" ht="15">
      <c r="B55" s="127">
        <f t="shared" si="0"/>
        <v>49</v>
      </c>
      <c r="C55" s="191"/>
      <c r="D55" s="128"/>
      <c r="E55" s="118" t="s">
        <v>418</v>
      </c>
      <c r="F55" s="118" t="s">
        <v>388</v>
      </c>
      <c r="G55" s="118" t="s">
        <v>488</v>
      </c>
      <c r="H55" s="189">
        <v>3143</v>
      </c>
      <c r="I55" s="118"/>
      <c r="J55" s="118"/>
      <c r="K55" s="118"/>
      <c r="L55" s="118"/>
    </row>
    <row r="56" spans="2:12" ht="15">
      <c r="B56" s="127">
        <f t="shared" si="0"/>
        <v>50</v>
      </c>
      <c r="C56" s="191"/>
      <c r="D56" s="128"/>
      <c r="E56" s="118" t="s">
        <v>420</v>
      </c>
      <c r="F56" s="118" t="s">
        <v>388</v>
      </c>
      <c r="G56" s="118" t="s">
        <v>488</v>
      </c>
      <c r="H56" s="189">
        <v>3313</v>
      </c>
      <c r="I56" s="118"/>
      <c r="J56" s="118"/>
      <c r="K56" s="118"/>
      <c r="L56" s="118"/>
    </row>
    <row r="57" spans="2:12" ht="15">
      <c r="B57" s="127">
        <f t="shared" si="0"/>
        <v>51</v>
      </c>
      <c r="C57" s="191"/>
      <c r="D57" s="128"/>
      <c r="E57" s="118" t="s">
        <v>423</v>
      </c>
      <c r="F57" s="118" t="s">
        <v>388</v>
      </c>
      <c r="G57" s="118" t="s">
        <v>488</v>
      </c>
      <c r="H57" s="189">
        <v>3311</v>
      </c>
      <c r="I57" s="118"/>
      <c r="J57" s="118"/>
      <c r="K57" s="118"/>
      <c r="L57" s="118"/>
    </row>
    <row r="58" spans="2:12" ht="15">
      <c r="B58" s="127">
        <f t="shared" si="0"/>
        <v>52</v>
      </c>
      <c r="C58" s="191"/>
      <c r="D58" s="128"/>
      <c r="E58" s="118" t="s">
        <v>424</v>
      </c>
      <c r="F58" s="118" t="s">
        <v>388</v>
      </c>
      <c r="G58" s="118" t="s">
        <v>488</v>
      </c>
      <c r="H58" s="189">
        <v>8113</v>
      </c>
      <c r="I58" s="118"/>
      <c r="J58" s="118"/>
      <c r="K58" s="118"/>
      <c r="L58" s="118"/>
    </row>
    <row r="59" spans="2:12" ht="15">
      <c r="B59" s="127">
        <f t="shared" si="0"/>
        <v>53</v>
      </c>
      <c r="C59" s="191"/>
      <c r="D59" s="131"/>
      <c r="E59" s="118" t="s">
        <v>427</v>
      </c>
      <c r="F59" s="118" t="s">
        <v>388</v>
      </c>
      <c r="G59" s="118" t="s">
        <v>488</v>
      </c>
      <c r="H59" s="189">
        <v>9307</v>
      </c>
      <c r="I59" s="122"/>
      <c r="J59" s="122"/>
      <c r="K59" s="122"/>
      <c r="L59" s="122"/>
    </row>
    <row r="60" spans="2:12" ht="15">
      <c r="B60" s="127">
        <f t="shared" si="0"/>
        <v>54</v>
      </c>
      <c r="C60" s="192"/>
      <c r="D60" s="131"/>
      <c r="E60" s="118" t="s">
        <v>430</v>
      </c>
      <c r="F60" s="118" t="s">
        <v>388</v>
      </c>
      <c r="G60" s="118" t="s">
        <v>488</v>
      </c>
      <c r="H60" s="189">
        <v>10105</v>
      </c>
      <c r="I60" s="122"/>
      <c r="J60" s="122"/>
      <c r="K60" s="122"/>
      <c r="L60" s="122"/>
    </row>
    <row r="61" spans="2:12">
      <c r="B61" s="127">
        <f t="shared" si="0"/>
        <v>55</v>
      </c>
      <c r="C61" s="188"/>
      <c r="D61" s="131"/>
      <c r="E61" s="118"/>
      <c r="F61" s="118"/>
      <c r="G61" s="122"/>
      <c r="H61" s="122"/>
      <c r="I61" s="122"/>
      <c r="J61" s="122"/>
      <c r="K61" s="122"/>
      <c r="L61" s="122"/>
    </row>
  </sheetData>
  <sheetProtection sort="0" autoFilter="0"/>
  <mergeCells count="1">
    <mergeCell ref="B4:B6"/>
  </mergeCells>
  <phoneticPr fontId="12"/>
  <hyperlinks>
    <hyperlink ref="A3" location="パラメータ設定一覧!A1" display="パラメータ設定一覧へ" xr:uid="{CD4AF5BE-3C19-4101-87FF-9B717DE1F2A5}"/>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B4E8-B4AF-4A4D-ACDA-636342E78D71}">
  <sheetPr codeName="Sheet124"/>
  <dimension ref="A1:L34"/>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92" customWidth="1"/>
    <col min="2" max="2" width="3.77734375" style="92" customWidth="1"/>
    <col min="3" max="3" width="16.77734375" style="92" customWidth="1"/>
    <col min="4" max="4" width="19.21875" style="92" customWidth="1"/>
    <col min="5" max="5" width="16.5546875" style="92" customWidth="1"/>
    <col min="6" max="6" width="22.5546875" style="92" customWidth="1"/>
    <col min="7" max="7" width="44.6640625" style="92" customWidth="1"/>
    <col min="8" max="8" width="27.5546875" style="92" customWidth="1"/>
    <col min="9" max="9" width="17.44140625" style="93" customWidth="1"/>
    <col min="10" max="10" width="22.44140625" style="92" customWidth="1"/>
    <col min="11" max="11" width="18.21875" style="92" customWidth="1"/>
    <col min="12" max="12" width="13.21875" style="92" customWidth="1"/>
    <col min="13" max="16384" width="8.77734375" style="92"/>
  </cols>
  <sheetData>
    <row r="1" spans="1:12" s="91" customFormat="1" ht="19.5">
      <c r="A1" s="90" t="s">
        <v>25</v>
      </c>
      <c r="C1" s="92"/>
      <c r="D1" s="92"/>
      <c r="E1" s="92"/>
      <c r="F1" s="92"/>
      <c r="G1" s="92"/>
      <c r="H1" s="92"/>
      <c r="I1" s="93"/>
    </row>
    <row r="2" spans="1:12" s="91" customFormat="1" ht="15">
      <c r="B2" s="91" t="s">
        <v>492</v>
      </c>
      <c r="C2" s="92"/>
      <c r="D2" s="92"/>
      <c r="E2" s="92"/>
      <c r="F2" s="92"/>
      <c r="G2" s="92"/>
      <c r="H2" s="92"/>
      <c r="I2" s="93"/>
    </row>
    <row r="3" spans="1:12" s="91" customFormat="1" ht="15">
      <c r="B3" s="91" t="s">
        <v>493</v>
      </c>
      <c r="C3" s="92"/>
      <c r="D3" s="92"/>
      <c r="E3" s="92"/>
      <c r="F3" s="92"/>
      <c r="G3" s="92"/>
      <c r="H3" s="92"/>
      <c r="I3" s="93"/>
    </row>
    <row r="4" spans="1:12" s="91" customFormat="1" ht="15">
      <c r="A4" s="94" t="s">
        <v>67</v>
      </c>
      <c r="C4" s="92"/>
      <c r="D4" s="92"/>
      <c r="E4" s="92"/>
      <c r="F4" s="92"/>
      <c r="G4" s="92"/>
      <c r="H4" s="92"/>
      <c r="I4" s="93"/>
    </row>
    <row r="5" spans="1:12">
      <c r="B5" s="10" t="s">
        <v>68</v>
      </c>
      <c r="C5" s="10" t="s">
        <v>69</v>
      </c>
      <c r="D5" s="10" t="s">
        <v>70</v>
      </c>
      <c r="E5" s="10" t="s">
        <v>71</v>
      </c>
      <c r="F5" s="18" t="s">
        <v>72</v>
      </c>
      <c r="G5" s="18" t="s">
        <v>73</v>
      </c>
      <c r="H5" s="10" t="s">
        <v>74</v>
      </c>
      <c r="I5" s="10" t="s">
        <v>75</v>
      </c>
      <c r="J5" s="10" t="s">
        <v>76</v>
      </c>
      <c r="K5" s="12" t="s">
        <v>77</v>
      </c>
      <c r="L5" s="12" t="s">
        <v>78</v>
      </c>
    </row>
    <row r="6" spans="1:12" ht="121.5">
      <c r="B6" s="19">
        <f>ROW() - 5</f>
        <v>1</v>
      </c>
      <c r="C6" s="14" t="s">
        <v>88</v>
      </c>
      <c r="D6" s="14" t="s">
        <v>494</v>
      </c>
      <c r="E6" s="101" t="s">
        <v>495</v>
      </c>
      <c r="F6" s="20" t="s">
        <v>496</v>
      </c>
      <c r="G6" s="20"/>
      <c r="H6" s="20" t="s">
        <v>497</v>
      </c>
      <c r="I6" s="21" t="s">
        <v>498</v>
      </c>
      <c r="J6" s="21" t="s">
        <v>499</v>
      </c>
      <c r="K6" s="1"/>
      <c r="L6" s="2"/>
    </row>
    <row r="7" spans="1:12">
      <c r="B7" s="19">
        <f>ROW() - 5</f>
        <v>2</v>
      </c>
      <c r="C7" s="73"/>
      <c r="D7" s="35"/>
      <c r="E7" s="14" t="s">
        <v>500</v>
      </c>
      <c r="F7" s="20" t="s">
        <v>501</v>
      </c>
      <c r="G7" s="20"/>
      <c r="H7" s="20" t="s">
        <v>94</v>
      </c>
      <c r="I7" s="21" t="s">
        <v>95</v>
      </c>
      <c r="J7" s="21"/>
      <c r="K7" s="1"/>
      <c r="L7" s="2"/>
    </row>
    <row r="8" spans="1:12">
      <c r="B8" s="19">
        <f>ROW() - 5</f>
        <v>3</v>
      </c>
      <c r="C8" s="73"/>
      <c r="D8" s="73"/>
      <c r="E8" s="73"/>
      <c r="F8" s="20" t="s">
        <v>502</v>
      </c>
      <c r="G8" s="20" t="s">
        <v>503</v>
      </c>
      <c r="H8" s="20" t="s">
        <v>94</v>
      </c>
      <c r="I8" s="21" t="s">
        <v>381</v>
      </c>
      <c r="J8" s="21"/>
      <c r="K8" s="1"/>
      <c r="L8" s="2"/>
    </row>
    <row r="9" spans="1:12">
      <c r="B9" s="19">
        <f t="shared" ref="B9:B19" si="0">ROW() - 5</f>
        <v>4</v>
      </c>
      <c r="C9" s="73"/>
      <c r="D9" s="73"/>
      <c r="E9" s="14" t="s">
        <v>504</v>
      </c>
      <c r="F9" s="20" t="s">
        <v>505</v>
      </c>
      <c r="G9" s="20"/>
      <c r="H9" s="20" t="s">
        <v>94</v>
      </c>
      <c r="I9" s="21" t="s">
        <v>95</v>
      </c>
      <c r="J9" s="21"/>
      <c r="K9" s="1"/>
      <c r="L9" s="2"/>
    </row>
    <row r="10" spans="1:12">
      <c r="B10" s="19">
        <f t="shared" si="0"/>
        <v>5</v>
      </c>
      <c r="C10" s="73"/>
      <c r="D10" s="73"/>
      <c r="E10" s="73"/>
      <c r="F10" s="20" t="s">
        <v>506</v>
      </c>
      <c r="G10" s="20"/>
      <c r="H10" s="20" t="s">
        <v>94</v>
      </c>
      <c r="I10" s="21" t="s">
        <v>381</v>
      </c>
      <c r="J10" s="21"/>
      <c r="K10" s="1"/>
      <c r="L10" s="2"/>
    </row>
    <row r="11" spans="1:12" ht="32.25" customHeight="1">
      <c r="B11" s="19">
        <f t="shared" si="0"/>
        <v>6</v>
      </c>
      <c r="C11" s="73"/>
      <c r="D11" s="73"/>
      <c r="E11" s="14" t="s">
        <v>507</v>
      </c>
      <c r="F11" s="20" t="s">
        <v>508</v>
      </c>
      <c r="G11" s="20"/>
      <c r="H11" s="20" t="s">
        <v>509</v>
      </c>
      <c r="I11" s="21" t="s">
        <v>510</v>
      </c>
      <c r="J11" s="21"/>
      <c r="K11" s="1"/>
      <c r="L11" s="2"/>
    </row>
    <row r="12" spans="1:12" ht="40.5">
      <c r="B12" s="19">
        <f t="shared" si="0"/>
        <v>7</v>
      </c>
      <c r="C12" s="73"/>
      <c r="D12" s="73"/>
      <c r="E12" s="14" t="s">
        <v>511</v>
      </c>
      <c r="F12" s="20" t="s">
        <v>512</v>
      </c>
      <c r="G12" s="20" t="s">
        <v>513</v>
      </c>
      <c r="H12" s="20" t="s">
        <v>94</v>
      </c>
      <c r="I12" s="21" t="s">
        <v>95</v>
      </c>
      <c r="J12" s="21"/>
      <c r="K12" s="1"/>
      <c r="L12" s="2"/>
    </row>
    <row r="13" spans="1:12" ht="27">
      <c r="B13" s="19">
        <f t="shared" si="0"/>
        <v>8</v>
      </c>
      <c r="C13" s="73"/>
      <c r="D13" s="73"/>
      <c r="E13" s="14" t="s">
        <v>514</v>
      </c>
      <c r="F13" s="20" t="s">
        <v>515</v>
      </c>
      <c r="G13" s="20" t="s">
        <v>516</v>
      </c>
      <c r="H13" s="20" t="s">
        <v>94</v>
      </c>
      <c r="I13" s="21" t="s">
        <v>95</v>
      </c>
      <c r="J13" s="21"/>
      <c r="K13" s="1"/>
      <c r="L13" s="2"/>
    </row>
    <row r="14" spans="1:12" ht="27">
      <c r="B14" s="19">
        <f t="shared" si="0"/>
        <v>9</v>
      </c>
      <c r="C14" s="73"/>
      <c r="D14" s="73"/>
      <c r="E14" s="14" t="s">
        <v>517</v>
      </c>
      <c r="F14" s="20" t="s">
        <v>518</v>
      </c>
      <c r="G14" s="20" t="s">
        <v>519</v>
      </c>
      <c r="H14" s="20" t="s">
        <v>94</v>
      </c>
      <c r="I14" s="21" t="s">
        <v>95</v>
      </c>
      <c r="J14" s="21"/>
      <c r="K14" s="1"/>
      <c r="L14" s="2"/>
    </row>
    <row r="15" spans="1:12" ht="27">
      <c r="B15" s="19">
        <f t="shared" si="0"/>
        <v>10</v>
      </c>
      <c r="C15" s="73"/>
      <c r="D15" s="73"/>
      <c r="E15" s="14" t="s">
        <v>520</v>
      </c>
      <c r="F15" s="20" t="s">
        <v>521</v>
      </c>
      <c r="G15" s="20"/>
      <c r="H15" s="20" t="s">
        <v>509</v>
      </c>
      <c r="I15" s="21" t="s">
        <v>510</v>
      </c>
      <c r="J15" s="21"/>
      <c r="K15" s="1"/>
      <c r="L15" s="2"/>
    </row>
    <row r="16" spans="1:12" ht="27">
      <c r="B16" s="19">
        <f t="shared" si="0"/>
        <v>11</v>
      </c>
      <c r="C16" s="73"/>
      <c r="D16" s="73"/>
      <c r="E16" s="73"/>
      <c r="F16" s="20" t="s">
        <v>522</v>
      </c>
      <c r="G16" s="20"/>
      <c r="H16" s="20" t="s">
        <v>509</v>
      </c>
      <c r="I16" s="21" t="s">
        <v>510</v>
      </c>
      <c r="J16" s="21"/>
      <c r="K16" s="1"/>
      <c r="L16" s="2"/>
    </row>
    <row r="17" spans="2:12" ht="27">
      <c r="B17" s="19">
        <f t="shared" si="0"/>
        <v>12</v>
      </c>
      <c r="C17" s="73"/>
      <c r="D17" s="73"/>
      <c r="E17" s="73"/>
      <c r="F17" s="20" t="s">
        <v>523</v>
      </c>
      <c r="G17" s="20"/>
      <c r="H17" s="20" t="s">
        <v>509</v>
      </c>
      <c r="I17" s="21" t="s">
        <v>510</v>
      </c>
      <c r="J17" s="21"/>
      <c r="K17" s="1"/>
      <c r="L17" s="2"/>
    </row>
    <row r="18" spans="2:12" ht="27">
      <c r="B18" s="19">
        <f t="shared" si="0"/>
        <v>13</v>
      </c>
      <c r="C18" s="73"/>
      <c r="D18" s="73"/>
      <c r="E18" s="73"/>
      <c r="F18" s="20" t="s">
        <v>524</v>
      </c>
      <c r="G18" s="20"/>
      <c r="H18" s="20" t="s">
        <v>509</v>
      </c>
      <c r="I18" s="21" t="s">
        <v>510</v>
      </c>
      <c r="J18" s="21"/>
      <c r="K18" s="1"/>
      <c r="L18" s="2"/>
    </row>
    <row r="19" spans="2:12" ht="116.85" customHeight="1">
      <c r="B19" s="246">
        <f t="shared" si="0"/>
        <v>14</v>
      </c>
      <c r="C19" s="14" t="s">
        <v>525</v>
      </c>
      <c r="D19" s="14" t="s">
        <v>526</v>
      </c>
      <c r="E19" s="14"/>
      <c r="F19" s="104" t="s">
        <v>527</v>
      </c>
      <c r="G19" s="104"/>
      <c r="H19" s="249" t="s">
        <v>528</v>
      </c>
      <c r="I19" s="249" t="s">
        <v>528</v>
      </c>
      <c r="J19" s="252" t="s">
        <v>529</v>
      </c>
      <c r="K19" s="255"/>
      <c r="L19" s="255"/>
    </row>
    <row r="20" spans="2:12" ht="409.5" customHeight="1">
      <c r="B20" s="247"/>
      <c r="C20" s="258"/>
      <c r="D20" s="258"/>
      <c r="E20" s="258"/>
      <c r="F20" s="105"/>
      <c r="G20" s="105"/>
      <c r="H20" s="250"/>
      <c r="I20" s="250"/>
      <c r="J20" s="253"/>
      <c r="K20" s="256"/>
      <c r="L20" s="256"/>
    </row>
    <row r="21" spans="2:12" ht="409.5" customHeight="1">
      <c r="B21" s="247"/>
      <c r="C21" s="258"/>
      <c r="D21" s="258"/>
      <c r="E21" s="258"/>
      <c r="F21" s="105"/>
      <c r="G21" s="105"/>
      <c r="H21" s="250"/>
      <c r="I21" s="250"/>
      <c r="J21" s="253"/>
      <c r="K21" s="256"/>
      <c r="L21" s="256"/>
    </row>
    <row r="22" spans="2:12" ht="409.5" customHeight="1">
      <c r="B22" s="247"/>
      <c r="C22" s="258"/>
      <c r="D22" s="258"/>
      <c r="E22" s="258"/>
      <c r="F22" s="105"/>
      <c r="G22" s="105"/>
      <c r="H22" s="250"/>
      <c r="I22" s="250"/>
      <c r="J22" s="253"/>
      <c r="K22" s="256"/>
      <c r="L22" s="256"/>
    </row>
    <row r="23" spans="2:12" ht="409.5" customHeight="1">
      <c r="B23" s="247"/>
      <c r="C23" s="258"/>
      <c r="D23" s="258"/>
      <c r="E23" s="258"/>
      <c r="F23" s="105"/>
      <c r="G23" s="105"/>
      <c r="H23" s="250"/>
      <c r="I23" s="250"/>
      <c r="J23" s="253"/>
      <c r="K23" s="256"/>
      <c r="L23" s="256"/>
    </row>
    <row r="24" spans="2:12" ht="15.75" customHeight="1">
      <c r="B24" s="247"/>
      <c r="C24" s="258"/>
      <c r="D24" s="258"/>
      <c r="E24" s="258"/>
      <c r="F24" s="105"/>
      <c r="G24" s="105"/>
      <c r="H24" s="250"/>
      <c r="I24" s="250"/>
      <c r="J24" s="253"/>
      <c r="K24" s="256"/>
      <c r="L24" s="256"/>
    </row>
    <row r="25" spans="2:12">
      <c r="B25" s="248"/>
      <c r="C25" s="258"/>
      <c r="D25" s="258"/>
      <c r="E25" s="258"/>
      <c r="F25" s="105"/>
      <c r="G25" s="105"/>
      <c r="H25" s="251"/>
      <c r="I25" s="251"/>
      <c r="J25" s="254"/>
      <c r="K25" s="257"/>
      <c r="L25" s="257"/>
    </row>
    <row r="26" spans="2:12">
      <c r="B26" s="246">
        <f>ROW() - 11</f>
        <v>15</v>
      </c>
      <c r="C26" s="73"/>
      <c r="D26" s="73"/>
      <c r="E26" s="73"/>
      <c r="F26" s="259" t="s">
        <v>530</v>
      </c>
      <c r="G26" s="259"/>
      <c r="H26" s="249" t="s">
        <v>531</v>
      </c>
      <c r="I26" s="249" t="s">
        <v>531</v>
      </c>
      <c r="J26" s="252"/>
      <c r="K26" s="255"/>
      <c r="L26" s="255"/>
    </row>
    <row r="27" spans="2:12">
      <c r="B27" s="247"/>
      <c r="C27" s="73"/>
      <c r="D27" s="73"/>
      <c r="E27" s="73"/>
      <c r="F27" s="260"/>
      <c r="G27" s="260"/>
      <c r="H27" s="250"/>
      <c r="I27" s="250"/>
      <c r="J27" s="253"/>
      <c r="K27" s="256"/>
      <c r="L27" s="256"/>
    </row>
    <row r="28" spans="2:12">
      <c r="B28" s="247"/>
      <c r="C28" s="73"/>
      <c r="D28" s="73"/>
      <c r="E28" s="73"/>
      <c r="F28" s="260"/>
      <c r="G28" s="260"/>
      <c r="H28" s="250"/>
      <c r="I28" s="250"/>
      <c r="J28" s="253"/>
      <c r="K28" s="256"/>
      <c r="L28" s="256"/>
    </row>
    <row r="29" spans="2:12">
      <c r="B29" s="247"/>
      <c r="C29" s="73"/>
      <c r="D29" s="73"/>
      <c r="E29" s="73"/>
      <c r="F29" s="260"/>
      <c r="G29" s="260"/>
      <c r="H29" s="250"/>
      <c r="I29" s="250"/>
      <c r="J29" s="253"/>
      <c r="K29" s="256"/>
      <c r="L29" s="256"/>
    </row>
    <row r="30" spans="2:12">
      <c r="B30" s="247"/>
      <c r="C30" s="73"/>
      <c r="D30" s="73"/>
      <c r="E30" s="73"/>
      <c r="F30" s="260"/>
      <c r="G30" s="260"/>
      <c r="H30" s="250"/>
      <c r="I30" s="250"/>
      <c r="J30" s="253"/>
      <c r="K30" s="256"/>
      <c r="L30" s="256"/>
    </row>
    <row r="31" spans="2:12">
      <c r="B31" s="247"/>
      <c r="C31" s="73"/>
      <c r="D31" s="73"/>
      <c r="E31" s="73"/>
      <c r="F31" s="260"/>
      <c r="G31" s="260"/>
      <c r="H31" s="250"/>
      <c r="I31" s="250"/>
      <c r="J31" s="253"/>
      <c r="K31" s="256"/>
      <c r="L31" s="256"/>
    </row>
    <row r="32" spans="2:12">
      <c r="B32" s="247"/>
      <c r="C32" s="73"/>
      <c r="D32" s="73"/>
      <c r="E32" s="73"/>
      <c r="F32" s="260"/>
      <c r="G32" s="260"/>
      <c r="H32" s="250"/>
      <c r="I32" s="250"/>
      <c r="J32" s="253"/>
      <c r="K32" s="256"/>
      <c r="L32" s="256"/>
    </row>
    <row r="33" spans="2:12">
      <c r="B33" s="247"/>
      <c r="C33" s="73"/>
      <c r="D33" s="73"/>
      <c r="E33" s="73"/>
      <c r="F33" s="260"/>
      <c r="G33" s="260"/>
      <c r="H33" s="250"/>
      <c r="I33" s="250"/>
      <c r="J33" s="253"/>
      <c r="K33" s="256"/>
      <c r="L33" s="256"/>
    </row>
    <row r="34" spans="2:12">
      <c r="B34" s="248"/>
      <c r="C34" s="17"/>
      <c r="D34" s="17"/>
      <c r="E34" s="17"/>
      <c r="F34" s="261"/>
      <c r="G34" s="261"/>
      <c r="H34" s="251"/>
      <c r="I34" s="251"/>
      <c r="J34" s="254"/>
      <c r="K34" s="257"/>
      <c r="L34" s="257"/>
    </row>
  </sheetData>
  <mergeCells count="17">
    <mergeCell ref="B26:B34"/>
    <mergeCell ref="F26:F34"/>
    <mergeCell ref="G26:G34"/>
    <mergeCell ref="H26:H34"/>
    <mergeCell ref="I26:I34"/>
    <mergeCell ref="L19:L25"/>
    <mergeCell ref="C20:C25"/>
    <mergeCell ref="D20:D25"/>
    <mergeCell ref="E20:E25"/>
    <mergeCell ref="J26:J34"/>
    <mergeCell ref="K26:K34"/>
    <mergeCell ref="L26:L34"/>
    <mergeCell ref="B19:B25"/>
    <mergeCell ref="H19:H25"/>
    <mergeCell ref="I19:I25"/>
    <mergeCell ref="J19:J25"/>
    <mergeCell ref="K19:K25"/>
  </mergeCells>
  <phoneticPr fontId="12"/>
  <hyperlinks>
    <hyperlink ref="A4" location="パラメータ設定一覧!A1" display="パラメータ設定一覧へ" xr:uid="{B587C5FB-AE58-41AF-9172-6B689ABFF2A0}"/>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7A12-C98D-4CBD-935B-2CFEBC6140E4}">
  <sheetPr codeName="Sheet125"/>
  <dimension ref="A1:L9"/>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7" t="s">
        <v>28</v>
      </c>
      <c r="C1" s="38"/>
      <c r="D1" s="38"/>
      <c r="E1" s="38"/>
      <c r="F1" s="38"/>
      <c r="G1" s="38"/>
      <c r="H1" s="38"/>
      <c r="I1" s="40"/>
    </row>
    <row r="2" spans="1:12" customFormat="1" ht="15">
      <c r="B2" t="s">
        <v>532</v>
      </c>
      <c r="C2" s="38"/>
      <c r="D2" s="38"/>
      <c r="E2" s="38"/>
      <c r="F2" s="38"/>
      <c r="G2" s="38"/>
      <c r="H2" s="38"/>
      <c r="I2" s="40"/>
    </row>
    <row r="3" spans="1:12" customFormat="1" ht="15">
      <c r="B3" t="s">
        <v>533</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c r="B6" s="19">
        <f>ROW() - 5</f>
        <v>1</v>
      </c>
      <c r="C6" s="14"/>
      <c r="D6" s="14"/>
      <c r="E6" s="101" t="s">
        <v>534</v>
      </c>
      <c r="F6" s="20" t="s">
        <v>80</v>
      </c>
      <c r="G6" s="20"/>
      <c r="H6" s="39" t="s">
        <v>81</v>
      </c>
      <c r="I6" s="37" t="s">
        <v>535</v>
      </c>
      <c r="J6" s="21"/>
      <c r="K6" s="1"/>
      <c r="L6" s="2"/>
    </row>
    <row r="7" spans="1:12">
      <c r="B7" s="19">
        <f>ROW() - 5</f>
        <v>2</v>
      </c>
      <c r="C7" s="73"/>
      <c r="D7" s="35"/>
      <c r="E7" s="17"/>
      <c r="F7" s="20" t="s">
        <v>133</v>
      </c>
      <c r="G7" s="20" t="s">
        <v>536</v>
      </c>
      <c r="H7" s="39" t="s">
        <v>81</v>
      </c>
      <c r="I7" s="37" t="s">
        <v>535</v>
      </c>
      <c r="J7" s="21"/>
      <c r="K7" s="1"/>
      <c r="L7" s="2"/>
    </row>
    <row r="8" spans="1:12" ht="54">
      <c r="B8" s="19">
        <f>ROW() - 5</f>
        <v>3</v>
      </c>
      <c r="C8" s="73"/>
      <c r="D8" s="73"/>
      <c r="E8" s="73" t="s">
        <v>537</v>
      </c>
      <c r="F8" s="20" t="s">
        <v>538</v>
      </c>
      <c r="G8" s="20"/>
      <c r="H8" s="39" t="s">
        <v>539</v>
      </c>
      <c r="I8" s="39" t="s">
        <v>539</v>
      </c>
      <c r="J8" s="21" t="s">
        <v>540</v>
      </c>
      <c r="K8" s="1"/>
      <c r="L8" s="2"/>
    </row>
    <row r="9" spans="1:12" ht="54">
      <c r="B9" s="19">
        <f t="shared" ref="B9" si="0">ROW() - 5</f>
        <v>4</v>
      </c>
      <c r="C9" s="17"/>
      <c r="D9" s="17"/>
      <c r="E9" s="17"/>
      <c r="F9" s="20" t="s">
        <v>541</v>
      </c>
      <c r="G9" s="20"/>
      <c r="H9" s="39" t="s">
        <v>539</v>
      </c>
      <c r="I9" s="37" t="s">
        <v>535</v>
      </c>
      <c r="J9" s="21" t="s">
        <v>540</v>
      </c>
      <c r="K9" s="1"/>
      <c r="L9" s="2"/>
    </row>
  </sheetData>
  <phoneticPr fontId="12"/>
  <hyperlinks>
    <hyperlink ref="A4" location="パラメータ設定一覧!A1" display="パラメータ設定一覧へ" xr:uid="{0149BA87-569D-45F2-B28B-9C76399CDFDE}"/>
  </hyperlink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A770-0908-4AB5-91F2-9315AD94F216}">
  <sheetPr codeName="Sheet126"/>
  <dimension ref="A1:L15"/>
  <sheetViews>
    <sheetView showGridLines="0" zoomScaleNormal="100" workbookViewId="0">
      <pane xSplit="6" ySplit="5" topLeftCell="H6" activePane="bottomRight" state="frozen"/>
      <selection pane="bottomRight"/>
      <selection pane="bottomLeft"/>
      <selection pane="topRight"/>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7" t="s">
        <v>31</v>
      </c>
      <c r="C1" s="38"/>
      <c r="D1" s="38"/>
      <c r="E1" s="38"/>
      <c r="F1" s="38"/>
      <c r="G1" s="38"/>
      <c r="H1" s="38"/>
      <c r="I1" s="40"/>
    </row>
    <row r="2" spans="1:12" customFormat="1" ht="15">
      <c r="B2" t="s">
        <v>542</v>
      </c>
      <c r="C2" s="38"/>
      <c r="D2" s="38"/>
      <c r="E2" s="38"/>
      <c r="F2" s="38"/>
      <c r="G2" s="38"/>
      <c r="H2" s="38"/>
      <c r="I2" s="40"/>
    </row>
    <row r="3" spans="1:12" customFormat="1" ht="15">
      <c r="B3" t="s">
        <v>543</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ht="121.5">
      <c r="B6" s="19">
        <f>ROW() - 5</f>
        <v>1</v>
      </c>
      <c r="C6" s="14"/>
      <c r="D6" s="14"/>
      <c r="E6" s="101" t="s">
        <v>496</v>
      </c>
      <c r="F6" s="20" t="s">
        <v>496</v>
      </c>
      <c r="G6" s="20"/>
      <c r="H6" s="39" t="s">
        <v>81</v>
      </c>
      <c r="I6" s="37" t="s">
        <v>544</v>
      </c>
      <c r="J6" s="21" t="s">
        <v>545</v>
      </c>
      <c r="K6" s="1" t="s">
        <v>546</v>
      </c>
      <c r="L6" s="2"/>
    </row>
    <row r="7" spans="1:12" ht="409.5" customHeight="1">
      <c r="B7" s="19">
        <f>ROW() - 5</f>
        <v>2</v>
      </c>
      <c r="C7" s="73"/>
      <c r="D7" s="35"/>
      <c r="E7" s="73"/>
      <c r="F7" s="20" t="s">
        <v>133</v>
      </c>
      <c r="G7" s="20"/>
      <c r="H7" s="39" t="s">
        <v>81</v>
      </c>
      <c r="I7" s="37" t="s">
        <v>547</v>
      </c>
      <c r="J7" s="21" t="s">
        <v>548</v>
      </c>
      <c r="K7" s="1" t="s">
        <v>546</v>
      </c>
      <c r="L7" s="2"/>
    </row>
    <row r="8" spans="1:12" ht="67.5">
      <c r="B8" s="19">
        <f>ROW() - 5</f>
        <v>3</v>
      </c>
      <c r="C8" s="73"/>
      <c r="D8" s="73"/>
      <c r="E8" s="73"/>
      <c r="F8" s="20" t="s">
        <v>133</v>
      </c>
      <c r="G8" s="20"/>
      <c r="H8" s="39" t="s">
        <v>549</v>
      </c>
      <c r="I8" s="39" t="s">
        <v>535</v>
      </c>
      <c r="J8" s="39" t="s">
        <v>550</v>
      </c>
      <c r="K8" s="1" t="s">
        <v>546</v>
      </c>
      <c r="L8" s="2"/>
    </row>
    <row r="9" spans="1:12">
      <c r="B9" s="19">
        <f t="shared" ref="B9:B15" si="0">ROW() - 5</f>
        <v>4</v>
      </c>
      <c r="C9" s="73"/>
      <c r="D9" s="73"/>
      <c r="E9" s="73"/>
      <c r="F9" s="20" t="s">
        <v>551</v>
      </c>
      <c r="G9" s="20"/>
      <c r="H9" s="39" t="s">
        <v>81</v>
      </c>
      <c r="I9" s="37" t="s">
        <v>535</v>
      </c>
      <c r="J9" s="21"/>
      <c r="K9" s="1" t="s">
        <v>546</v>
      </c>
      <c r="L9" s="2"/>
    </row>
    <row r="10" spans="1:12" ht="67.5">
      <c r="B10" s="19">
        <f t="shared" si="0"/>
        <v>5</v>
      </c>
      <c r="C10" s="73"/>
      <c r="D10" s="73"/>
      <c r="E10" s="73"/>
      <c r="F10" s="20" t="s">
        <v>551</v>
      </c>
      <c r="G10" s="20"/>
      <c r="H10" s="39" t="s">
        <v>549</v>
      </c>
      <c r="I10" s="39" t="s">
        <v>535</v>
      </c>
      <c r="J10" s="39" t="s">
        <v>550</v>
      </c>
      <c r="K10" s="1" t="s">
        <v>546</v>
      </c>
      <c r="L10" s="2"/>
    </row>
    <row r="11" spans="1:12">
      <c r="B11" s="19">
        <f t="shared" si="0"/>
        <v>6</v>
      </c>
      <c r="C11" s="73"/>
      <c r="D11" s="73"/>
      <c r="E11" s="73"/>
      <c r="F11" s="20" t="s">
        <v>551</v>
      </c>
      <c r="G11" s="20"/>
      <c r="H11" s="39" t="s">
        <v>535</v>
      </c>
      <c r="I11" s="37" t="s">
        <v>535</v>
      </c>
      <c r="J11" s="21"/>
      <c r="K11" s="1" t="s">
        <v>546</v>
      </c>
      <c r="L11" s="2"/>
    </row>
    <row r="12" spans="1:12" ht="54">
      <c r="B12" s="19">
        <f t="shared" si="0"/>
        <v>7</v>
      </c>
      <c r="C12" s="73"/>
      <c r="D12" s="73"/>
      <c r="E12" s="73"/>
      <c r="F12" s="20" t="s">
        <v>551</v>
      </c>
      <c r="G12" s="20"/>
      <c r="H12" s="39" t="s">
        <v>552</v>
      </c>
      <c r="I12" s="39" t="s">
        <v>535</v>
      </c>
      <c r="J12" s="39" t="s">
        <v>550</v>
      </c>
      <c r="K12" s="1" t="s">
        <v>546</v>
      </c>
      <c r="L12" s="2"/>
    </row>
    <row r="13" spans="1:12">
      <c r="B13" s="19">
        <f t="shared" si="0"/>
        <v>8</v>
      </c>
      <c r="C13" s="73"/>
      <c r="D13" s="73"/>
      <c r="E13" s="73"/>
      <c r="F13" s="20" t="s">
        <v>551</v>
      </c>
      <c r="G13" s="20"/>
      <c r="H13" s="39" t="s">
        <v>81</v>
      </c>
      <c r="I13" s="37" t="s">
        <v>535</v>
      </c>
      <c r="J13" s="21"/>
      <c r="K13" s="1" t="s">
        <v>546</v>
      </c>
      <c r="L13" s="2"/>
    </row>
    <row r="14" spans="1:12" ht="67.5">
      <c r="B14" s="19">
        <f t="shared" si="0"/>
        <v>9</v>
      </c>
      <c r="C14" s="73"/>
      <c r="D14" s="73"/>
      <c r="E14" s="73"/>
      <c r="F14" s="20" t="s">
        <v>551</v>
      </c>
      <c r="G14" s="20"/>
      <c r="H14" s="39" t="s">
        <v>553</v>
      </c>
      <c r="I14" s="37" t="s">
        <v>535</v>
      </c>
      <c r="J14" s="21"/>
      <c r="K14" s="1" t="s">
        <v>546</v>
      </c>
      <c r="L14" s="2"/>
    </row>
    <row r="15" spans="1:12" ht="30.75" customHeight="1">
      <c r="B15" s="19">
        <f t="shared" si="0"/>
        <v>10</v>
      </c>
      <c r="C15" s="17"/>
      <c r="D15" s="17"/>
      <c r="E15" s="17"/>
      <c r="F15" s="20" t="s">
        <v>554</v>
      </c>
      <c r="G15" s="20"/>
      <c r="H15" s="39" t="s">
        <v>535</v>
      </c>
      <c r="I15" s="37" t="s">
        <v>535</v>
      </c>
      <c r="J15" s="21" t="s">
        <v>555</v>
      </c>
      <c r="K15" s="1" t="s">
        <v>546</v>
      </c>
      <c r="L15" s="2"/>
    </row>
  </sheetData>
  <phoneticPr fontId="12"/>
  <hyperlinks>
    <hyperlink ref="A4" location="パラメータ設定一覧!A1" display="パラメータ設定一覧へ" xr:uid="{849552A0-2D93-4662-8413-71A68D5B4888}"/>
  </hyperlink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CE18-DAC8-48F1-92CC-EFB70A6513A5}">
  <sheetPr codeName="Sheet127"/>
  <dimension ref="A1:L15"/>
  <sheetViews>
    <sheetView showGridLines="0" zoomScaleNormal="100" workbookViewId="0">
      <pane xSplit="3" ySplit="6" topLeftCell="D7" activePane="bottomRight" state="frozen"/>
      <selection pane="bottomRight" activeCell="D7" sqref="D7"/>
      <selection pane="bottomLeft"/>
      <selection pane="topRight"/>
    </sheetView>
  </sheetViews>
  <sheetFormatPr defaultColWidth="8.77734375" defaultRowHeight="13.5"/>
  <cols>
    <col min="1" max="1" width="2.77734375" style="38" customWidth="1"/>
    <col min="2" max="2" width="3.5546875" style="38" bestFit="1" customWidth="1"/>
    <col min="3" max="3" width="17.21875" style="38" customWidth="1"/>
    <col min="4" max="5" width="19.77734375" style="38" customWidth="1"/>
    <col min="6" max="12" width="18.44140625" style="38" customWidth="1"/>
    <col min="13" max="16384" width="8.77734375" style="38"/>
  </cols>
  <sheetData>
    <row r="1" spans="1:12" customFormat="1" ht="19.5">
      <c r="A1" s="7" t="s">
        <v>556</v>
      </c>
    </row>
    <row r="2" spans="1:12" customFormat="1" ht="15"/>
    <row r="3" spans="1:12" customFormat="1" ht="15">
      <c r="A3" s="9" t="s">
        <v>67</v>
      </c>
      <c r="D3" t="s">
        <v>557</v>
      </c>
    </row>
    <row r="4" spans="1:12">
      <c r="B4" s="277" t="s">
        <v>68</v>
      </c>
      <c r="C4" s="107" t="s">
        <v>496</v>
      </c>
      <c r="D4" s="108"/>
      <c r="E4" s="108"/>
      <c r="F4" s="108"/>
      <c r="G4" s="108"/>
      <c r="H4" s="108"/>
      <c r="I4" s="108"/>
      <c r="J4" s="108"/>
      <c r="K4" s="108"/>
      <c r="L4" s="106"/>
    </row>
    <row r="5" spans="1:12">
      <c r="B5" s="278"/>
      <c r="C5" s="97" t="s">
        <v>496</v>
      </c>
      <c r="D5" s="97" t="s">
        <v>133</v>
      </c>
      <c r="E5" s="97" t="s">
        <v>133</v>
      </c>
      <c r="F5" s="97" t="s">
        <v>551</v>
      </c>
      <c r="G5" s="97" t="s">
        <v>551</v>
      </c>
      <c r="H5" s="97" t="s">
        <v>551</v>
      </c>
      <c r="I5" s="97" t="s">
        <v>551</v>
      </c>
      <c r="J5" s="97" t="s">
        <v>551</v>
      </c>
      <c r="K5" s="97" t="s">
        <v>551</v>
      </c>
      <c r="L5" s="97" t="s">
        <v>554</v>
      </c>
    </row>
    <row r="6" spans="1:12">
      <c r="B6" s="278"/>
      <c r="C6" s="4"/>
      <c r="D6" s="4" t="s">
        <v>81</v>
      </c>
      <c r="E6" s="4"/>
      <c r="F6" s="4" t="s">
        <v>81</v>
      </c>
      <c r="G6" s="4"/>
      <c r="H6" s="4" t="s">
        <v>81</v>
      </c>
      <c r="I6" s="4"/>
      <c r="J6" s="4" t="s">
        <v>81</v>
      </c>
      <c r="K6" s="4"/>
      <c r="L6" s="4" t="s">
        <v>558</v>
      </c>
    </row>
    <row r="7" spans="1:12">
      <c r="B7" s="118">
        <f>ROW() - 6</f>
        <v>1</v>
      </c>
      <c r="C7" s="119" t="s">
        <v>559</v>
      </c>
      <c r="D7" s="119" t="s">
        <v>560</v>
      </c>
      <c r="E7" s="119" t="s">
        <v>561</v>
      </c>
      <c r="F7" s="118" t="s">
        <v>562</v>
      </c>
      <c r="G7" s="118" t="s">
        <v>563</v>
      </c>
      <c r="H7" s="120" t="s">
        <v>374</v>
      </c>
      <c r="I7" s="118" t="s">
        <v>564</v>
      </c>
      <c r="J7" s="120" t="s">
        <v>82</v>
      </c>
      <c r="K7" s="118" t="s">
        <v>82</v>
      </c>
      <c r="L7" s="118" t="s">
        <v>565</v>
      </c>
    </row>
    <row r="8" spans="1:12">
      <c r="B8" s="118">
        <f t="shared" ref="B8:B15" si="0">ROW() - 6</f>
        <v>2</v>
      </c>
      <c r="C8" s="119" t="s">
        <v>566</v>
      </c>
      <c r="D8" s="118" t="s">
        <v>567</v>
      </c>
      <c r="E8" s="118" t="s">
        <v>561</v>
      </c>
      <c r="F8" s="118" t="s">
        <v>562</v>
      </c>
      <c r="G8" s="118" t="s">
        <v>563</v>
      </c>
      <c r="H8" s="120" t="s">
        <v>562</v>
      </c>
      <c r="I8" s="118" t="s">
        <v>568</v>
      </c>
      <c r="J8" s="120" t="s">
        <v>82</v>
      </c>
      <c r="K8" s="118" t="s">
        <v>564</v>
      </c>
      <c r="L8" s="118" t="s">
        <v>569</v>
      </c>
    </row>
    <row r="9" spans="1:12">
      <c r="B9" s="118">
        <f t="shared" si="0"/>
        <v>3</v>
      </c>
      <c r="C9" s="119" t="s">
        <v>570</v>
      </c>
      <c r="D9" s="118" t="s">
        <v>571</v>
      </c>
      <c r="E9" s="118" t="s">
        <v>561</v>
      </c>
      <c r="F9" s="118" t="s">
        <v>562</v>
      </c>
      <c r="G9" s="118" t="s">
        <v>568</v>
      </c>
      <c r="H9" s="120" t="s">
        <v>562</v>
      </c>
      <c r="I9" s="118" t="s">
        <v>563</v>
      </c>
      <c r="J9" s="120" t="s">
        <v>82</v>
      </c>
      <c r="K9" s="118" t="s">
        <v>564</v>
      </c>
      <c r="L9" s="118" t="s">
        <v>572</v>
      </c>
    </row>
    <row r="10" spans="1:12">
      <c r="B10" s="118">
        <f t="shared" si="0"/>
        <v>4</v>
      </c>
      <c r="C10" s="121" t="s">
        <v>573</v>
      </c>
      <c r="D10" s="118" t="s">
        <v>574</v>
      </c>
      <c r="E10" s="118" t="s">
        <v>563</v>
      </c>
      <c r="F10" s="118" t="s">
        <v>575</v>
      </c>
      <c r="G10" s="118" t="s">
        <v>561</v>
      </c>
      <c r="H10" s="120" t="s">
        <v>374</v>
      </c>
      <c r="I10" s="118" t="s">
        <v>564</v>
      </c>
      <c r="J10" s="120" t="s">
        <v>82</v>
      </c>
      <c r="K10" s="118" t="s">
        <v>82</v>
      </c>
      <c r="L10" s="118" t="s">
        <v>576</v>
      </c>
    </row>
    <row r="11" spans="1:12">
      <c r="B11" s="118">
        <f t="shared" si="0"/>
        <v>5</v>
      </c>
      <c r="C11" s="121" t="s">
        <v>577</v>
      </c>
      <c r="D11" s="132" t="s">
        <v>578</v>
      </c>
      <c r="E11" s="118" t="s">
        <v>563</v>
      </c>
      <c r="F11" s="118" t="s">
        <v>575</v>
      </c>
      <c r="G11" s="118" t="s">
        <v>561</v>
      </c>
      <c r="H11" s="120" t="s">
        <v>562</v>
      </c>
      <c r="I11" s="118" t="s">
        <v>568</v>
      </c>
      <c r="J11" s="120" t="s">
        <v>82</v>
      </c>
      <c r="K11" s="118" t="s">
        <v>564</v>
      </c>
      <c r="L11" s="118" t="s">
        <v>579</v>
      </c>
    </row>
    <row r="12" spans="1:12">
      <c r="B12" s="118">
        <f t="shared" si="0"/>
        <v>6</v>
      </c>
      <c r="C12" s="120" t="s">
        <v>580</v>
      </c>
      <c r="D12" s="120" t="s">
        <v>580</v>
      </c>
      <c r="E12" s="120" t="s">
        <v>563</v>
      </c>
      <c r="F12" s="118" t="s">
        <v>562</v>
      </c>
      <c r="G12" s="118" t="s">
        <v>561</v>
      </c>
      <c r="H12" s="120" t="s">
        <v>374</v>
      </c>
      <c r="I12" s="118" t="s">
        <v>564</v>
      </c>
      <c r="J12" s="120" t="s">
        <v>82</v>
      </c>
      <c r="K12" s="118" t="s">
        <v>82</v>
      </c>
      <c r="L12" s="118" t="s">
        <v>581</v>
      </c>
    </row>
    <row r="13" spans="1:12">
      <c r="B13" s="118">
        <f t="shared" si="0"/>
        <v>7</v>
      </c>
      <c r="C13" s="120" t="s">
        <v>582</v>
      </c>
      <c r="D13" s="118" t="s">
        <v>583</v>
      </c>
      <c r="E13" s="120" t="s">
        <v>563</v>
      </c>
      <c r="F13" s="118" t="s">
        <v>562</v>
      </c>
      <c r="G13" s="118" t="s">
        <v>561</v>
      </c>
      <c r="H13" s="120" t="s">
        <v>562</v>
      </c>
      <c r="I13" s="118" t="s">
        <v>568</v>
      </c>
      <c r="J13" s="120" t="s">
        <v>82</v>
      </c>
      <c r="K13" s="118" t="s">
        <v>564</v>
      </c>
      <c r="L13" s="118" t="s">
        <v>584</v>
      </c>
    </row>
    <row r="14" spans="1:12">
      <c r="B14" s="118">
        <f t="shared" si="0"/>
        <v>8</v>
      </c>
      <c r="C14" s="120" t="s">
        <v>585</v>
      </c>
      <c r="D14" s="132" t="s">
        <v>586</v>
      </c>
      <c r="E14" s="120" t="s">
        <v>563</v>
      </c>
      <c r="F14" s="118" t="s">
        <v>562</v>
      </c>
      <c r="G14" s="118" t="s">
        <v>568</v>
      </c>
      <c r="H14" s="120" t="s">
        <v>562</v>
      </c>
      <c r="I14" s="118" t="s">
        <v>561</v>
      </c>
      <c r="J14" s="120" t="s">
        <v>82</v>
      </c>
      <c r="K14" s="118" t="s">
        <v>564</v>
      </c>
      <c r="L14" s="118" t="s">
        <v>587</v>
      </c>
    </row>
    <row r="15" spans="1:12">
      <c r="B15" s="118">
        <f t="shared" si="0"/>
        <v>9</v>
      </c>
      <c r="C15" s="120" t="s">
        <v>588</v>
      </c>
      <c r="D15" s="118" t="s">
        <v>589</v>
      </c>
      <c r="E15" s="120" t="s">
        <v>563</v>
      </c>
      <c r="F15" s="118" t="s">
        <v>562</v>
      </c>
      <c r="G15" s="118" t="s">
        <v>561</v>
      </c>
      <c r="H15" s="120" t="s">
        <v>374</v>
      </c>
      <c r="I15" s="118" t="s">
        <v>564</v>
      </c>
      <c r="J15" s="120" t="s">
        <v>82</v>
      </c>
      <c r="K15" s="118" t="s">
        <v>82</v>
      </c>
      <c r="L15" s="120" t="s">
        <v>590</v>
      </c>
    </row>
  </sheetData>
  <sheetProtection insertRows="0" deleteRows="0" sort="0" autoFilter="0"/>
  <dataConsolidate/>
  <mergeCells count="1">
    <mergeCell ref="B4:B6"/>
  </mergeCells>
  <phoneticPr fontId="12"/>
  <dataValidations count="1">
    <dataValidation allowBlank="1" showInputMessage="1" sqref="E7:L15" xr:uid="{98214A83-1E05-4A45-8600-033ADF2A4B86}"/>
  </dataValidations>
  <hyperlinks>
    <hyperlink ref="A3" location="パラメータ設定一覧!A1" display="パラメータ設定一覧へ" xr:uid="{695EF820-7F05-457B-83CC-7B26904C51D9}"/>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6F56-12ED-42B4-99B4-95633E1BDBB5}">
  <sheetPr codeName="Sheet128"/>
  <dimension ref="A1:L9"/>
  <sheetViews>
    <sheetView showGridLines="0" zoomScaleNormal="100" workbookViewId="0">
      <pane xSplit="6" ySplit="5" topLeftCell="G6" activePane="bottomRight" state="frozen"/>
      <selection pane="bottomRight" activeCell="G9" sqref="G9"/>
      <selection pane="bottomLeft"/>
      <selection pane="topRight"/>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7" t="s">
        <v>35</v>
      </c>
      <c r="C1" s="38"/>
      <c r="D1" s="38"/>
      <c r="E1" s="38"/>
      <c r="F1" s="38"/>
      <c r="G1" s="38"/>
      <c r="H1" s="38"/>
      <c r="I1" s="40"/>
    </row>
    <row r="2" spans="1:12" customFormat="1" ht="15">
      <c r="B2" t="s">
        <v>591</v>
      </c>
      <c r="C2" s="38"/>
      <c r="D2" s="38"/>
      <c r="E2" s="38"/>
      <c r="F2" s="38"/>
      <c r="G2" s="38"/>
      <c r="H2" s="38"/>
      <c r="I2" s="40"/>
    </row>
    <row r="3" spans="1:12" customFormat="1" ht="15">
      <c r="B3" t="s">
        <v>592</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ht="27">
      <c r="B6" s="19">
        <f>ROW() - 5</f>
        <v>1</v>
      </c>
      <c r="C6" s="14"/>
      <c r="D6" s="14"/>
      <c r="E6" s="101" t="s">
        <v>593</v>
      </c>
      <c r="F6" s="20" t="s">
        <v>114</v>
      </c>
      <c r="G6" s="20"/>
      <c r="H6" s="39" t="s">
        <v>81</v>
      </c>
      <c r="I6" s="37" t="s">
        <v>535</v>
      </c>
      <c r="J6" s="21"/>
      <c r="K6" s="1" t="s">
        <v>594</v>
      </c>
      <c r="L6" s="2"/>
    </row>
    <row r="7" spans="1:12" ht="27">
      <c r="B7" s="19">
        <f>ROW() - 5</f>
        <v>2</v>
      </c>
      <c r="C7" s="73"/>
      <c r="D7" s="35"/>
      <c r="E7" s="73"/>
      <c r="F7" s="20" t="s">
        <v>133</v>
      </c>
      <c r="G7" s="20"/>
      <c r="H7" s="39" t="s">
        <v>81</v>
      </c>
      <c r="I7" s="37" t="s">
        <v>535</v>
      </c>
      <c r="J7" s="21"/>
      <c r="K7" s="1" t="s">
        <v>594</v>
      </c>
      <c r="L7" s="2"/>
    </row>
    <row r="8" spans="1:12" ht="27">
      <c r="B8" s="19">
        <f>ROW() - 5</f>
        <v>3</v>
      </c>
      <c r="C8" s="73"/>
      <c r="D8" s="73"/>
      <c r="E8" s="73"/>
      <c r="F8" s="20" t="s">
        <v>595</v>
      </c>
      <c r="G8" s="20"/>
      <c r="H8" s="39" t="s">
        <v>461</v>
      </c>
      <c r="I8" s="39" t="s">
        <v>535</v>
      </c>
      <c r="J8" s="39"/>
      <c r="K8" s="1" t="s">
        <v>594</v>
      </c>
      <c r="L8" s="2"/>
    </row>
    <row r="9" spans="1:12" ht="27">
      <c r="B9" s="19">
        <f t="shared" ref="B9" si="0">ROW() - 5</f>
        <v>4</v>
      </c>
      <c r="C9" s="17"/>
      <c r="D9" s="17"/>
      <c r="E9" s="17"/>
      <c r="F9" s="20" t="s">
        <v>596</v>
      </c>
      <c r="G9" s="20" t="s">
        <v>597</v>
      </c>
      <c r="H9" s="39" t="s">
        <v>461</v>
      </c>
      <c r="I9" s="37" t="s">
        <v>535</v>
      </c>
      <c r="J9" s="21"/>
      <c r="K9" s="1" t="s">
        <v>594</v>
      </c>
      <c r="L9" s="2"/>
    </row>
  </sheetData>
  <phoneticPr fontId="12"/>
  <hyperlinks>
    <hyperlink ref="A4" location="パラメータ設定一覧!A1" display="パラメータ設定一覧へ" xr:uid="{FBBA716A-A172-4D28-B5A9-0CB1167DA75F}"/>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7B94-0804-4E28-B0E6-37EFCBF3BA22}">
  <sheetPr codeName="Sheet129"/>
  <dimension ref="A1:F26"/>
  <sheetViews>
    <sheetView showGridLines="0" zoomScaleNormal="100" workbookViewId="0">
      <pane ySplit="5" topLeftCell="A6" activePane="bottomLeft" state="frozen"/>
      <selection pane="bottomLeft" activeCell="D27" sqref="D27"/>
    </sheetView>
  </sheetViews>
  <sheetFormatPr defaultColWidth="8.77734375" defaultRowHeight="13.5"/>
  <cols>
    <col min="1" max="1" width="2.77734375" style="38" customWidth="1"/>
    <col min="2" max="2" width="3.5546875" style="38" bestFit="1" customWidth="1"/>
    <col min="3" max="3" width="26.21875" style="38" bestFit="1" customWidth="1"/>
    <col min="4" max="6" width="17.77734375" style="38" customWidth="1"/>
    <col min="7" max="16384" width="8.77734375" style="38"/>
  </cols>
  <sheetData>
    <row r="1" spans="1:6" customFormat="1" ht="19.5">
      <c r="A1" s="7" t="s">
        <v>598</v>
      </c>
    </row>
    <row r="2" spans="1:6" customFormat="1" ht="15"/>
    <row r="3" spans="1:6" customFormat="1" ht="15">
      <c r="A3" s="9" t="s">
        <v>67</v>
      </c>
      <c r="D3" t="s">
        <v>599</v>
      </c>
    </row>
    <row r="4" spans="1:6">
      <c r="B4" s="279" t="s">
        <v>68</v>
      </c>
      <c r="C4" s="34" t="s">
        <v>114</v>
      </c>
      <c r="D4" s="96" t="s">
        <v>459</v>
      </c>
      <c r="E4" s="96" t="s">
        <v>595</v>
      </c>
      <c r="F4" s="96" t="s">
        <v>596</v>
      </c>
    </row>
    <row r="5" spans="1:6">
      <c r="B5" s="280"/>
      <c r="C5" s="3" t="s">
        <v>460</v>
      </c>
      <c r="D5" s="4" t="s">
        <v>558</v>
      </c>
      <c r="E5" s="4" t="s">
        <v>287</v>
      </c>
      <c r="F5" s="4" t="s">
        <v>287</v>
      </c>
    </row>
    <row r="6" spans="1:6">
      <c r="B6" s="127">
        <f t="shared" ref="B6:B26" si="0">ROW() - 5</f>
        <v>1</v>
      </c>
      <c r="C6" s="128" t="s">
        <v>600</v>
      </c>
      <c r="D6" s="127" t="s">
        <v>601</v>
      </c>
      <c r="E6" s="118" t="s">
        <v>602</v>
      </c>
      <c r="F6" s="118" t="s">
        <v>602</v>
      </c>
    </row>
    <row r="7" spans="1:6">
      <c r="B7" s="127">
        <f t="shared" si="0"/>
        <v>2</v>
      </c>
      <c r="C7" s="128" t="s">
        <v>603</v>
      </c>
      <c r="D7" s="127" t="s">
        <v>604</v>
      </c>
      <c r="E7" s="118" t="s">
        <v>602</v>
      </c>
      <c r="F7" s="118"/>
    </row>
    <row r="8" spans="1:6">
      <c r="B8" s="127">
        <f t="shared" si="0"/>
        <v>3</v>
      </c>
      <c r="C8" s="128" t="s">
        <v>605</v>
      </c>
      <c r="D8" s="127" t="s">
        <v>606</v>
      </c>
      <c r="E8" s="118" t="s">
        <v>602</v>
      </c>
      <c r="F8" s="118"/>
    </row>
    <row r="9" spans="1:6">
      <c r="B9" s="127">
        <f t="shared" si="0"/>
        <v>4</v>
      </c>
      <c r="C9" s="131" t="s">
        <v>607</v>
      </c>
      <c r="D9" s="127" t="s">
        <v>608</v>
      </c>
      <c r="E9" s="118" t="s">
        <v>602</v>
      </c>
      <c r="F9" s="122"/>
    </row>
    <row r="10" spans="1:6">
      <c r="B10" s="127">
        <f t="shared" si="0"/>
        <v>5</v>
      </c>
      <c r="C10" s="131" t="s">
        <v>609</v>
      </c>
      <c r="D10" s="127" t="s">
        <v>610</v>
      </c>
      <c r="E10" s="118" t="s">
        <v>602</v>
      </c>
      <c r="F10" s="122"/>
    </row>
    <row r="11" spans="1:6">
      <c r="B11" s="127">
        <f t="shared" si="0"/>
        <v>6</v>
      </c>
      <c r="C11" s="131" t="s">
        <v>611</v>
      </c>
      <c r="D11" s="127" t="s">
        <v>612</v>
      </c>
      <c r="E11" s="118" t="s">
        <v>602</v>
      </c>
      <c r="F11" s="118" t="s">
        <v>602</v>
      </c>
    </row>
    <row r="12" spans="1:6">
      <c r="B12" s="127">
        <f t="shared" si="0"/>
        <v>7</v>
      </c>
      <c r="C12" s="131" t="s">
        <v>613</v>
      </c>
      <c r="D12" s="127" t="s">
        <v>614</v>
      </c>
      <c r="E12" s="118" t="s">
        <v>602</v>
      </c>
      <c r="F12" s="118" t="s">
        <v>602</v>
      </c>
    </row>
    <row r="13" spans="1:6">
      <c r="B13" s="127">
        <f t="shared" si="0"/>
        <v>8</v>
      </c>
      <c r="C13" s="131" t="s">
        <v>615</v>
      </c>
      <c r="D13" s="127" t="s">
        <v>616</v>
      </c>
      <c r="E13" s="118" t="s">
        <v>602</v>
      </c>
      <c r="F13" s="122"/>
    </row>
    <row r="14" spans="1:6">
      <c r="B14" s="127">
        <f t="shared" si="0"/>
        <v>9</v>
      </c>
      <c r="C14" s="131" t="s">
        <v>617</v>
      </c>
      <c r="D14" s="127" t="s">
        <v>618</v>
      </c>
      <c r="E14" s="118" t="s">
        <v>602</v>
      </c>
      <c r="F14" s="122"/>
    </row>
    <row r="15" spans="1:6">
      <c r="B15" s="127">
        <f t="shared" si="0"/>
        <v>10</v>
      </c>
      <c r="C15" s="131" t="s">
        <v>619</v>
      </c>
      <c r="D15" s="127" t="s">
        <v>620</v>
      </c>
      <c r="E15" s="118" t="s">
        <v>602</v>
      </c>
      <c r="F15" s="118" t="s">
        <v>602</v>
      </c>
    </row>
    <row r="16" spans="1:6">
      <c r="B16" s="127">
        <f t="shared" si="0"/>
        <v>11</v>
      </c>
      <c r="C16" s="131" t="s">
        <v>621</v>
      </c>
      <c r="D16" s="127" t="s">
        <v>622</v>
      </c>
      <c r="E16" s="118" t="s">
        <v>602</v>
      </c>
      <c r="F16" s="122"/>
    </row>
    <row r="17" spans="2:6">
      <c r="B17" s="127">
        <f t="shared" si="0"/>
        <v>12</v>
      </c>
      <c r="C17" s="131" t="s">
        <v>623</v>
      </c>
      <c r="D17" s="127" t="s">
        <v>624</v>
      </c>
      <c r="E17" s="118" t="s">
        <v>602</v>
      </c>
      <c r="F17" s="122"/>
    </row>
    <row r="18" spans="2:6">
      <c r="B18" s="127">
        <f t="shared" si="0"/>
        <v>13</v>
      </c>
      <c r="C18" s="131" t="s">
        <v>625</v>
      </c>
      <c r="D18" s="127" t="s">
        <v>626</v>
      </c>
      <c r="E18" s="118" t="s">
        <v>602</v>
      </c>
      <c r="F18" s="118" t="s">
        <v>602</v>
      </c>
    </row>
    <row r="19" spans="2:6">
      <c r="B19" s="127">
        <f t="shared" si="0"/>
        <v>14</v>
      </c>
      <c r="C19" s="131" t="s">
        <v>627</v>
      </c>
      <c r="D19" s="127" t="s">
        <v>628</v>
      </c>
      <c r="E19" s="118" t="s">
        <v>602</v>
      </c>
      <c r="F19" s="122"/>
    </row>
    <row r="20" spans="2:6">
      <c r="B20" s="127">
        <f t="shared" si="0"/>
        <v>15</v>
      </c>
      <c r="C20" s="131" t="s">
        <v>629</v>
      </c>
      <c r="D20" s="127" t="s">
        <v>630</v>
      </c>
      <c r="E20" s="118" t="s">
        <v>602</v>
      </c>
      <c r="F20" s="122"/>
    </row>
    <row r="21" spans="2:6">
      <c r="B21" s="127">
        <f t="shared" si="0"/>
        <v>16</v>
      </c>
      <c r="C21" s="131" t="s">
        <v>631</v>
      </c>
      <c r="D21" s="127" t="s">
        <v>631</v>
      </c>
      <c r="E21" s="118"/>
      <c r="F21" s="118" t="s">
        <v>602</v>
      </c>
    </row>
    <row r="22" spans="2:6">
      <c r="B22" s="127">
        <f t="shared" si="0"/>
        <v>17</v>
      </c>
      <c r="C22" s="131" t="s">
        <v>632</v>
      </c>
      <c r="D22" s="127" t="s">
        <v>633</v>
      </c>
      <c r="E22" s="118" t="s">
        <v>602</v>
      </c>
      <c r="F22" s="122"/>
    </row>
    <row r="23" spans="2:6">
      <c r="B23" s="127">
        <f t="shared" si="0"/>
        <v>18</v>
      </c>
      <c r="C23" s="131" t="s">
        <v>634</v>
      </c>
      <c r="D23" s="127" t="s">
        <v>635</v>
      </c>
      <c r="E23" s="118" t="s">
        <v>602</v>
      </c>
      <c r="F23" s="122"/>
    </row>
    <row r="24" spans="2:6">
      <c r="B24" s="127">
        <f t="shared" si="0"/>
        <v>19</v>
      </c>
      <c r="C24" s="131" t="s">
        <v>636</v>
      </c>
      <c r="D24" s="127" t="s">
        <v>636</v>
      </c>
      <c r="E24" s="118" t="s">
        <v>602</v>
      </c>
      <c r="F24" s="122"/>
    </row>
    <row r="25" spans="2:6">
      <c r="B25" s="127">
        <f t="shared" si="0"/>
        <v>20</v>
      </c>
      <c r="C25" s="131" t="s">
        <v>637</v>
      </c>
      <c r="D25" s="127" t="s">
        <v>638</v>
      </c>
      <c r="E25" s="118" t="s">
        <v>602</v>
      </c>
      <c r="F25" s="122"/>
    </row>
    <row r="26" spans="2:6">
      <c r="B26" s="127">
        <f t="shared" si="0"/>
        <v>21</v>
      </c>
      <c r="C26" s="131" t="s">
        <v>639</v>
      </c>
      <c r="D26" s="131" t="s">
        <v>639</v>
      </c>
      <c r="E26" s="118"/>
      <c r="F26" s="118" t="s">
        <v>602</v>
      </c>
    </row>
  </sheetData>
  <sheetProtection sort="0" autoFilter="0"/>
  <mergeCells count="1">
    <mergeCell ref="B4:B5"/>
  </mergeCells>
  <phoneticPr fontId="12"/>
  <hyperlinks>
    <hyperlink ref="A3" location="パラメータ設定一覧!A1" display="パラメータ設定一覧へ" xr:uid="{331F9674-BC12-4CED-A359-E3D756A238F7}"/>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84A4-FB7D-423A-9A7E-A059305DAB3F}">
  <sheetPr codeName="Sheet142"/>
  <dimension ref="A1:L8"/>
  <sheetViews>
    <sheetView showGridLines="0" zoomScaleNormal="100" workbookViewId="0">
      <pane xSplit="6" ySplit="5" topLeftCell="G6" activePane="bottomRight" state="frozen"/>
      <selection pane="bottomRight" activeCell="G6" sqref="G6"/>
      <selection pane="bottomLeft"/>
      <selection pane="topRight"/>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8" t="s">
        <v>640</v>
      </c>
      <c r="C1" s="38"/>
      <c r="D1" s="38"/>
      <c r="E1" s="38"/>
      <c r="F1" s="38"/>
      <c r="G1" s="38"/>
      <c r="H1" s="38"/>
      <c r="I1" s="40"/>
    </row>
    <row r="2" spans="1:12" customFormat="1" ht="15">
      <c r="B2" t="s">
        <v>641</v>
      </c>
      <c r="C2" s="38"/>
      <c r="D2" s="38"/>
      <c r="E2" s="38"/>
      <c r="F2" s="38"/>
      <c r="G2" s="38"/>
      <c r="H2" s="38"/>
      <c r="I2" s="40"/>
    </row>
    <row r="3" spans="1:12" customFormat="1" ht="15">
      <c r="A3" s="9"/>
      <c r="B3" t="s">
        <v>642</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c r="B6" s="19">
        <f>ROW() - 5</f>
        <v>1</v>
      </c>
      <c r="C6" s="14" t="s">
        <v>643</v>
      </c>
      <c r="D6" s="14"/>
      <c r="E6" s="101"/>
      <c r="F6" s="20" t="s">
        <v>80</v>
      </c>
      <c r="G6" s="20"/>
      <c r="H6" s="39" t="s">
        <v>81</v>
      </c>
      <c r="I6" s="37" t="s">
        <v>535</v>
      </c>
      <c r="J6" s="21"/>
      <c r="K6" s="1" t="s">
        <v>644</v>
      </c>
      <c r="L6" s="2"/>
    </row>
    <row r="7" spans="1:12" ht="243">
      <c r="B7" s="19">
        <f>ROW() - 5</f>
        <v>2</v>
      </c>
      <c r="C7" s="15" t="s">
        <v>114</v>
      </c>
      <c r="D7" s="53"/>
      <c r="E7" s="15"/>
      <c r="F7" s="20" t="s">
        <v>645</v>
      </c>
      <c r="G7" s="20"/>
      <c r="H7" s="39" t="s">
        <v>646</v>
      </c>
      <c r="I7" s="37" t="s">
        <v>535</v>
      </c>
      <c r="J7" s="21"/>
      <c r="K7" s="1" t="s">
        <v>644</v>
      </c>
      <c r="L7" s="2"/>
    </row>
    <row r="8" spans="1:12" ht="81">
      <c r="B8" s="19">
        <f>ROW() - 5</f>
        <v>3</v>
      </c>
      <c r="C8" s="17" t="s">
        <v>647</v>
      </c>
      <c r="D8" s="17"/>
      <c r="E8" s="17"/>
      <c r="F8" s="20" t="s">
        <v>647</v>
      </c>
      <c r="G8" s="20"/>
      <c r="H8" s="39" t="s">
        <v>648</v>
      </c>
      <c r="I8" s="39" t="s">
        <v>535</v>
      </c>
      <c r="J8" s="39"/>
      <c r="K8" s="1" t="s">
        <v>644</v>
      </c>
      <c r="L8" s="2"/>
    </row>
  </sheetData>
  <phoneticPr fontId="12"/>
  <hyperlinks>
    <hyperlink ref="A4" location="パラメータ設定一覧!A1" display="パラメータ設定一覧へ" xr:uid="{7F8B8053-3A99-41E7-AFB0-3F5EEA18E5F6}"/>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F0230-EACD-42E0-8894-96063057EEB9}">
  <sheetPr codeName="Sheet143"/>
  <dimension ref="A1:E12"/>
  <sheetViews>
    <sheetView showGridLines="0" zoomScaleNormal="100" workbookViewId="0">
      <pane xSplit="3" ySplit="6" topLeftCell="D7" activePane="bottomRight" state="frozen"/>
      <selection pane="bottomRight" activeCell="D7" sqref="D7"/>
      <selection pane="bottomLeft"/>
      <selection pane="topRight"/>
    </sheetView>
  </sheetViews>
  <sheetFormatPr defaultColWidth="8.77734375" defaultRowHeight="13.5"/>
  <cols>
    <col min="1" max="1" width="2.77734375" style="38" customWidth="1"/>
    <col min="2" max="2" width="3.5546875" style="38" bestFit="1" customWidth="1"/>
    <col min="3" max="3" width="17.21875" style="38" customWidth="1"/>
    <col min="4" max="5" width="19.77734375" style="38" customWidth="1"/>
    <col min="6" max="16384" width="8.77734375" style="38"/>
  </cols>
  <sheetData>
    <row r="1" spans="1:5" customFormat="1" ht="19.5">
      <c r="A1" s="8" t="s">
        <v>649</v>
      </c>
    </row>
    <row r="2" spans="1:5" customFormat="1" ht="15"/>
    <row r="3" spans="1:5" customFormat="1" ht="15">
      <c r="A3" s="9" t="s">
        <v>67</v>
      </c>
    </row>
    <row r="4" spans="1:5">
      <c r="B4" s="279" t="s">
        <v>68</v>
      </c>
      <c r="C4" s="65" t="s">
        <v>643</v>
      </c>
      <c r="D4" s="67" t="s">
        <v>114</v>
      </c>
      <c r="E4" s="95" t="s">
        <v>647</v>
      </c>
    </row>
    <row r="5" spans="1:5">
      <c r="B5" s="281"/>
      <c r="C5" s="96" t="s">
        <v>80</v>
      </c>
      <c r="D5" s="96" t="s">
        <v>645</v>
      </c>
      <c r="E5" s="96" t="s">
        <v>647</v>
      </c>
    </row>
    <row r="6" spans="1:5">
      <c r="B6" s="280"/>
      <c r="C6" s="4" t="s">
        <v>81</v>
      </c>
      <c r="D6" s="4"/>
      <c r="E6" s="4"/>
    </row>
    <row r="7" spans="1:5">
      <c r="B7" s="175">
        <f>ROW() - 6</f>
        <v>1</v>
      </c>
      <c r="C7" s="175" t="s">
        <v>650</v>
      </c>
      <c r="D7" s="126" t="s">
        <v>651</v>
      </c>
      <c r="E7" s="133"/>
    </row>
    <row r="8" spans="1:5">
      <c r="B8" s="176"/>
      <c r="C8" s="172"/>
      <c r="D8" s="118" t="s">
        <v>652</v>
      </c>
      <c r="E8" s="118"/>
    </row>
    <row r="9" spans="1:5">
      <c r="B9" s="175">
        <v>2</v>
      </c>
      <c r="C9" s="175" t="s">
        <v>650</v>
      </c>
      <c r="D9" s="126" t="s">
        <v>651</v>
      </c>
      <c r="E9" s="133"/>
    </row>
    <row r="10" spans="1:5">
      <c r="B10" s="176"/>
      <c r="C10" s="172"/>
      <c r="D10" s="118" t="s">
        <v>652</v>
      </c>
      <c r="E10" s="118"/>
    </row>
    <row r="11" spans="1:5">
      <c r="B11" s="175">
        <v>3</v>
      </c>
      <c r="C11" s="175" t="s">
        <v>650</v>
      </c>
      <c r="D11" s="126" t="s">
        <v>651</v>
      </c>
      <c r="E11" s="133"/>
    </row>
    <row r="12" spans="1:5">
      <c r="B12" s="176"/>
      <c r="C12" s="172"/>
      <c r="D12" s="118" t="s">
        <v>652</v>
      </c>
      <c r="E12" s="118"/>
    </row>
  </sheetData>
  <sheetProtection insertRows="0" deleteRows="0" sort="0" autoFilter="0"/>
  <dataConsolidate/>
  <mergeCells count="1">
    <mergeCell ref="B4:B6"/>
  </mergeCells>
  <phoneticPr fontId="12"/>
  <hyperlinks>
    <hyperlink ref="A3" location="パラメータ設定一覧!A1" display="パラメータ設定一覧へ" xr:uid="{4D5D9482-9DF7-4C2F-920A-EFF712CD952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1F57C-16C2-4B74-A193-79AAC78FEB2D}">
  <sheetPr codeName="Sheet144"/>
  <dimension ref="A1:L9"/>
  <sheetViews>
    <sheetView showGridLines="0" zoomScaleNormal="100" workbookViewId="0">
      <pane xSplit="6" ySplit="5" topLeftCell="G6" activePane="bottomRight" state="frozen"/>
      <selection pane="bottomRight"/>
      <selection pane="bottomLeft"/>
      <selection pane="topRight"/>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8" t="s">
        <v>653</v>
      </c>
      <c r="C1" s="38"/>
      <c r="D1" s="38"/>
      <c r="E1" s="38"/>
      <c r="F1" s="38"/>
      <c r="G1" s="38"/>
      <c r="H1" s="38"/>
      <c r="I1" s="40"/>
    </row>
    <row r="2" spans="1:12" customFormat="1" ht="15">
      <c r="B2" t="s">
        <v>654</v>
      </c>
      <c r="C2" s="38"/>
      <c r="D2" s="38"/>
      <c r="E2" s="38"/>
      <c r="F2" s="38"/>
      <c r="G2" s="38"/>
      <c r="H2" s="38"/>
      <c r="I2" s="40"/>
    </row>
    <row r="3" spans="1:12" customFormat="1" ht="15">
      <c r="A3" s="9"/>
      <c r="B3" t="s">
        <v>655</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ht="243">
      <c r="B6" s="19">
        <f>ROW() - 5</f>
        <v>1</v>
      </c>
      <c r="C6" s="14" t="s">
        <v>656</v>
      </c>
      <c r="D6" s="14"/>
      <c r="E6" s="101"/>
      <c r="F6" s="20" t="s">
        <v>114</v>
      </c>
      <c r="G6" s="20"/>
      <c r="H6" s="39" t="s">
        <v>657</v>
      </c>
      <c r="I6" s="37" t="s">
        <v>535</v>
      </c>
      <c r="J6" s="21" t="s">
        <v>658</v>
      </c>
      <c r="K6" s="1" t="s">
        <v>659</v>
      </c>
      <c r="L6" s="2"/>
    </row>
    <row r="7" spans="1:12" ht="27">
      <c r="B7" s="19">
        <f>ROW() - 5</f>
        <v>2</v>
      </c>
      <c r="C7" s="14" t="s">
        <v>660</v>
      </c>
      <c r="D7" s="43"/>
      <c r="E7" s="14"/>
      <c r="F7" s="20" t="s">
        <v>307</v>
      </c>
      <c r="G7" s="20"/>
      <c r="H7" s="38" t="s">
        <v>461</v>
      </c>
      <c r="I7" s="37" t="s">
        <v>535</v>
      </c>
      <c r="J7" s="21" t="s">
        <v>661</v>
      </c>
      <c r="K7" s="1" t="s">
        <v>659</v>
      </c>
      <c r="L7" s="2"/>
    </row>
    <row r="8" spans="1:12" ht="121.5">
      <c r="B8" s="19">
        <f>ROW() - 5</f>
        <v>3</v>
      </c>
      <c r="C8" s="17"/>
      <c r="D8" s="36"/>
      <c r="E8" s="17"/>
      <c r="F8" s="20" t="s">
        <v>662</v>
      </c>
      <c r="G8" s="20" t="s">
        <v>185</v>
      </c>
      <c r="H8" s="39" t="s">
        <v>663</v>
      </c>
      <c r="I8" s="37" t="s">
        <v>535</v>
      </c>
      <c r="J8" s="21" t="s">
        <v>661</v>
      </c>
      <c r="K8" s="1" t="s">
        <v>659</v>
      </c>
      <c r="L8" s="2"/>
    </row>
    <row r="9" spans="1:12" ht="81">
      <c r="B9" s="19">
        <f>ROW() - 5</f>
        <v>4</v>
      </c>
      <c r="C9" s="17" t="s">
        <v>647</v>
      </c>
      <c r="D9" s="17"/>
      <c r="E9" s="17"/>
      <c r="F9" s="20" t="s">
        <v>647</v>
      </c>
      <c r="G9" s="20"/>
      <c r="H9" s="39" t="s">
        <v>648</v>
      </c>
      <c r="I9" s="39" t="s">
        <v>535</v>
      </c>
      <c r="J9" s="21" t="s">
        <v>661</v>
      </c>
      <c r="K9" s="1" t="s">
        <v>659</v>
      </c>
      <c r="L9" s="2"/>
    </row>
  </sheetData>
  <phoneticPr fontId="12"/>
  <hyperlinks>
    <hyperlink ref="A4" location="パラメータ設定一覧!A1" display="パラメータ設定一覧へ" xr:uid="{06FF8E37-4764-4270-AB11-AD3367AAE081}"/>
  </hyperlinks>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7241-5BFC-4113-BC18-E627AD27484F}">
  <sheetPr codeName="Sheet145"/>
  <dimension ref="A1:F12"/>
  <sheetViews>
    <sheetView showGridLines="0" zoomScaleNormal="100" workbookViewId="0">
      <pane xSplit="3" ySplit="6" topLeftCell="D7" activePane="bottomRight" state="frozen"/>
      <selection pane="bottomRight" activeCell="A3" sqref="A3"/>
      <selection pane="bottomLeft"/>
      <selection pane="topRight"/>
    </sheetView>
  </sheetViews>
  <sheetFormatPr defaultColWidth="8.77734375" defaultRowHeight="13.5"/>
  <cols>
    <col min="1" max="1" width="2.77734375" style="38" customWidth="1"/>
    <col min="2" max="2" width="3.5546875" style="38" bestFit="1" customWidth="1"/>
    <col min="3" max="3" width="17.21875" style="38" customWidth="1"/>
    <col min="4" max="6" width="19.77734375" style="38" customWidth="1"/>
    <col min="7" max="16384" width="8.77734375" style="38"/>
  </cols>
  <sheetData>
    <row r="1" spans="1:6" customFormat="1" ht="19.5">
      <c r="A1" s="8" t="s">
        <v>664</v>
      </c>
    </row>
    <row r="2" spans="1:6" customFormat="1" ht="15"/>
    <row r="3" spans="1:6" customFormat="1" ht="15">
      <c r="A3" s="9" t="s">
        <v>67</v>
      </c>
    </row>
    <row r="4" spans="1:6">
      <c r="B4" s="279" t="s">
        <v>68</v>
      </c>
      <c r="C4" s="65" t="s">
        <v>656</v>
      </c>
      <c r="D4" s="66" t="s">
        <v>662</v>
      </c>
      <c r="E4" s="67"/>
      <c r="F4" s="95" t="s">
        <v>647</v>
      </c>
    </row>
    <row r="5" spans="1:6">
      <c r="B5" s="281"/>
      <c r="C5" s="96" t="s">
        <v>80</v>
      </c>
      <c r="D5" s="96" t="s">
        <v>307</v>
      </c>
      <c r="E5" s="96" t="s">
        <v>662</v>
      </c>
      <c r="F5" s="96" t="s">
        <v>647</v>
      </c>
    </row>
    <row r="6" spans="1:6">
      <c r="B6" s="280"/>
      <c r="C6" s="4"/>
      <c r="D6" s="4" t="s">
        <v>461</v>
      </c>
      <c r="E6" s="4"/>
      <c r="F6" s="4"/>
    </row>
    <row r="7" spans="1:6">
      <c r="B7" s="171">
        <f>ROW() - 6</f>
        <v>1</v>
      </c>
      <c r="C7" s="175" t="s">
        <v>651</v>
      </c>
      <c r="D7" s="118"/>
      <c r="E7" s="118" t="s">
        <v>665</v>
      </c>
      <c r="F7" s="133"/>
    </row>
    <row r="8" spans="1:6">
      <c r="B8" s="173"/>
      <c r="C8" s="177"/>
      <c r="D8" s="118"/>
      <c r="E8" s="118" t="s">
        <v>666</v>
      </c>
      <c r="F8" s="133"/>
    </row>
    <row r="9" spans="1:6">
      <c r="B9" s="172"/>
      <c r="C9" s="176"/>
      <c r="D9" s="126"/>
      <c r="E9" s="118" t="s">
        <v>667</v>
      </c>
      <c r="F9" s="133"/>
    </row>
    <row r="10" spans="1:6">
      <c r="B10" s="171">
        <v>2</v>
      </c>
      <c r="C10" s="175" t="s">
        <v>652</v>
      </c>
      <c r="D10" s="122"/>
      <c r="E10" s="118" t="s">
        <v>665</v>
      </c>
      <c r="F10" s="133"/>
    </row>
    <row r="11" spans="1:6">
      <c r="B11" s="173"/>
      <c r="C11" s="177"/>
      <c r="D11" s="122"/>
      <c r="E11" s="118" t="s">
        <v>666</v>
      </c>
      <c r="F11" s="133"/>
    </row>
    <row r="12" spans="1:6">
      <c r="B12" s="172"/>
      <c r="C12" s="176"/>
      <c r="D12" s="122"/>
      <c r="E12" s="118" t="s">
        <v>667</v>
      </c>
      <c r="F12" s="133"/>
    </row>
  </sheetData>
  <sheetProtection insertRows="0" deleteRows="0" sort="0" autoFilter="0"/>
  <dataConsolidate/>
  <mergeCells count="1">
    <mergeCell ref="B4:B6"/>
  </mergeCells>
  <phoneticPr fontId="12"/>
  <hyperlinks>
    <hyperlink ref="A3" location="パラメータ設定一覧!A1" display="パラメータ設定一覧へ" xr:uid="{EC275CF5-3D5B-46C4-9CB1-DDE64C5533B8}"/>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5B73-08C6-4C72-8B4A-D235F10B47CA}">
  <sheetPr codeName="Sheet146"/>
  <dimension ref="A1:L36"/>
  <sheetViews>
    <sheetView showGridLines="0" zoomScale="70" zoomScaleNormal="70" workbookViewId="0">
      <pane xSplit="6" ySplit="5" topLeftCell="G6" activePane="bottomRight" state="frozen"/>
      <selection pane="bottomRight" activeCell="D12" activeCellId="1" sqref="A1 D12"/>
      <selection pane="bottomLeft"/>
      <selection pane="topRight"/>
    </sheetView>
  </sheetViews>
  <sheetFormatPr defaultColWidth="8.77734375" defaultRowHeight="13.5"/>
  <cols>
    <col min="1" max="1" width="2.77734375" style="38" customWidth="1"/>
    <col min="2" max="2" width="3.33203125" style="38" bestFit="1" customWidth="1"/>
    <col min="3" max="3" width="13" style="38" bestFit="1" customWidth="1"/>
    <col min="4" max="4" width="40.5546875" style="38" customWidth="1"/>
    <col min="5" max="5" width="16.77734375" style="38" customWidth="1"/>
    <col min="6" max="6" width="17.21875" style="38" customWidth="1"/>
    <col min="7" max="7" width="26.77734375" style="38" customWidth="1"/>
    <col min="8" max="8" width="23" style="38" bestFit="1" customWidth="1"/>
    <col min="9" max="9" width="11.33203125" style="38" customWidth="1"/>
    <col min="10" max="10" width="21.44140625" style="38" customWidth="1"/>
    <col min="11" max="11" width="23.33203125" style="38" bestFit="1" customWidth="1"/>
    <col min="12" max="12" width="13.21875" style="38" customWidth="1"/>
    <col min="13" max="16384" width="8.77734375" style="38"/>
  </cols>
  <sheetData>
    <row r="1" spans="1:12" customFormat="1" ht="19.5">
      <c r="A1" s="6" t="s">
        <v>668</v>
      </c>
    </row>
    <row r="2" spans="1:12" customFormat="1" ht="15">
      <c r="B2" t="s">
        <v>669</v>
      </c>
    </row>
    <row r="3" spans="1:12" customFormat="1" ht="15">
      <c r="A3" s="9"/>
      <c r="B3" t="s">
        <v>670</v>
      </c>
    </row>
    <row r="4" spans="1:12" customFormat="1" ht="15">
      <c r="A4" s="9" t="s">
        <v>67</v>
      </c>
    </row>
    <row r="5" spans="1:12">
      <c r="B5" s="10" t="s">
        <v>68</v>
      </c>
      <c r="C5" s="11" t="s">
        <v>69</v>
      </c>
      <c r="D5" s="10" t="s">
        <v>70</v>
      </c>
      <c r="E5" s="10" t="s">
        <v>71</v>
      </c>
      <c r="F5" s="18" t="s">
        <v>72</v>
      </c>
      <c r="G5" s="18" t="s">
        <v>73</v>
      </c>
      <c r="H5" s="10" t="s">
        <v>74</v>
      </c>
      <c r="I5" s="10" t="s">
        <v>75</v>
      </c>
      <c r="J5" s="10" t="s">
        <v>76</v>
      </c>
      <c r="K5" s="12" t="s">
        <v>77</v>
      </c>
      <c r="L5" s="12" t="s">
        <v>78</v>
      </c>
    </row>
    <row r="6" spans="1:12" ht="21.75" customHeight="1">
      <c r="B6" s="13">
        <f>ROW() - 5</f>
        <v>1</v>
      </c>
      <c r="C6" s="73" t="s">
        <v>252</v>
      </c>
      <c r="D6" s="54"/>
      <c r="E6" s="14"/>
      <c r="F6" s="20" t="s">
        <v>671</v>
      </c>
      <c r="G6" s="20"/>
      <c r="H6" s="20" t="s">
        <v>81</v>
      </c>
      <c r="I6" s="21" t="s">
        <v>82</v>
      </c>
      <c r="J6" s="21"/>
      <c r="K6" s="1" t="s">
        <v>672</v>
      </c>
      <c r="L6" s="2"/>
    </row>
    <row r="7" spans="1:12">
      <c r="B7" s="13">
        <f t="shared" ref="B7:B36" si="0">ROW() - 5</f>
        <v>2</v>
      </c>
      <c r="C7" s="73"/>
      <c r="D7" s="73"/>
      <c r="E7" s="73"/>
      <c r="F7" s="20" t="s">
        <v>80</v>
      </c>
      <c r="G7" s="20"/>
      <c r="H7" s="20" t="s">
        <v>81</v>
      </c>
      <c r="I7" s="21" t="s">
        <v>82</v>
      </c>
      <c r="J7" s="21"/>
      <c r="K7" s="1" t="s">
        <v>672</v>
      </c>
      <c r="L7" s="2"/>
    </row>
    <row r="8" spans="1:12" ht="105.75" customHeight="1">
      <c r="B8" s="13">
        <f t="shared" si="0"/>
        <v>3</v>
      </c>
      <c r="C8" s="14" t="s">
        <v>673</v>
      </c>
      <c r="D8" s="14"/>
      <c r="E8" s="14"/>
      <c r="F8" s="20" t="s">
        <v>674</v>
      </c>
      <c r="G8" s="20"/>
      <c r="H8" s="20" t="s">
        <v>675</v>
      </c>
      <c r="I8" s="21" t="s">
        <v>676</v>
      </c>
      <c r="J8" s="21"/>
      <c r="K8" s="1" t="s">
        <v>672</v>
      </c>
      <c r="L8" s="2"/>
    </row>
    <row r="9" spans="1:12" ht="40.5">
      <c r="B9" s="13">
        <f t="shared" si="0"/>
        <v>4</v>
      </c>
      <c r="C9" s="73"/>
      <c r="D9" s="73"/>
      <c r="E9" s="73"/>
      <c r="F9" s="103" t="s">
        <v>84</v>
      </c>
      <c r="G9" s="20"/>
      <c r="H9" s="20"/>
      <c r="I9" s="21"/>
      <c r="J9" s="21" t="s">
        <v>677</v>
      </c>
      <c r="K9" s="1"/>
      <c r="L9" s="2"/>
    </row>
    <row r="10" spans="1:12" ht="40.5">
      <c r="B10" s="13">
        <f t="shared" si="0"/>
        <v>5</v>
      </c>
      <c r="C10" s="73"/>
      <c r="D10" s="73"/>
      <c r="E10" s="73"/>
      <c r="F10" s="103" t="s">
        <v>678</v>
      </c>
      <c r="G10" s="20"/>
      <c r="H10" s="20"/>
      <c r="I10" s="21"/>
      <c r="J10" s="21" t="s">
        <v>679</v>
      </c>
      <c r="K10" s="1"/>
      <c r="L10" s="2"/>
    </row>
    <row r="11" spans="1:12" ht="27">
      <c r="B11" s="13"/>
      <c r="C11" s="73"/>
      <c r="D11" s="73"/>
      <c r="E11" s="73"/>
      <c r="F11" s="103" t="s">
        <v>680</v>
      </c>
      <c r="G11" s="20"/>
      <c r="H11" s="20"/>
      <c r="I11" s="21"/>
      <c r="J11" s="21" t="s">
        <v>681</v>
      </c>
      <c r="K11" s="1"/>
      <c r="L11" s="2"/>
    </row>
    <row r="12" spans="1:12" ht="54">
      <c r="B12" s="13">
        <f t="shared" si="0"/>
        <v>7</v>
      </c>
      <c r="C12" s="73"/>
      <c r="D12" s="73"/>
      <c r="E12" s="73"/>
      <c r="F12" s="103" t="s">
        <v>682</v>
      </c>
      <c r="G12" s="20" t="s">
        <v>683</v>
      </c>
      <c r="H12" s="20"/>
      <c r="I12" s="21"/>
      <c r="J12" s="21" t="s">
        <v>684</v>
      </c>
      <c r="K12" s="1"/>
      <c r="L12" s="2"/>
    </row>
    <row r="13" spans="1:12" ht="54">
      <c r="B13" s="13">
        <f t="shared" si="0"/>
        <v>8</v>
      </c>
      <c r="C13" s="73"/>
      <c r="D13" s="73"/>
      <c r="E13" s="73"/>
      <c r="F13" s="103" t="s">
        <v>685</v>
      </c>
      <c r="G13" s="20" t="s">
        <v>686</v>
      </c>
      <c r="H13" s="20"/>
      <c r="I13" s="21"/>
      <c r="J13" s="21" t="s">
        <v>684</v>
      </c>
      <c r="K13" s="1"/>
      <c r="L13" s="2"/>
    </row>
    <row r="14" spans="1:12" ht="54">
      <c r="B14" s="13">
        <f t="shared" si="0"/>
        <v>9</v>
      </c>
      <c r="C14" s="73"/>
      <c r="D14" s="73"/>
      <c r="E14" s="73"/>
      <c r="F14" s="103" t="s">
        <v>687</v>
      </c>
      <c r="G14" s="20" t="s">
        <v>688</v>
      </c>
      <c r="H14" s="20"/>
      <c r="I14" s="21"/>
      <c r="J14" s="21" t="s">
        <v>684</v>
      </c>
      <c r="K14" s="1"/>
      <c r="L14" s="2"/>
    </row>
    <row r="15" spans="1:12" ht="81">
      <c r="B15" s="13">
        <f t="shared" si="0"/>
        <v>10</v>
      </c>
      <c r="C15" s="73"/>
      <c r="D15" s="73"/>
      <c r="E15" s="73"/>
      <c r="F15" s="103" t="s">
        <v>689</v>
      </c>
      <c r="G15" s="20"/>
      <c r="H15" s="20" t="s">
        <v>690</v>
      </c>
      <c r="I15" s="21"/>
      <c r="J15" s="21" t="s">
        <v>691</v>
      </c>
      <c r="K15" s="1"/>
      <c r="L15" s="2"/>
    </row>
    <row r="16" spans="1:12" ht="27">
      <c r="B16" s="13">
        <f t="shared" si="0"/>
        <v>11</v>
      </c>
      <c r="C16" s="14" t="s">
        <v>692</v>
      </c>
      <c r="D16" s="14"/>
      <c r="E16" s="14" t="s">
        <v>693</v>
      </c>
      <c r="F16" s="103" t="s">
        <v>692</v>
      </c>
      <c r="G16" s="20"/>
      <c r="H16" s="20" t="s">
        <v>694</v>
      </c>
      <c r="I16" s="21" t="s">
        <v>695</v>
      </c>
      <c r="J16" s="21"/>
      <c r="K16" s="1" t="s">
        <v>672</v>
      </c>
      <c r="L16" s="2"/>
    </row>
    <row r="17" spans="2:12">
      <c r="B17" s="13">
        <f t="shared" si="0"/>
        <v>12</v>
      </c>
      <c r="C17" s="73"/>
      <c r="D17" s="73"/>
      <c r="E17" s="73"/>
      <c r="F17" s="20" t="s">
        <v>696</v>
      </c>
      <c r="G17" s="55"/>
      <c r="H17" s="56" t="s">
        <v>81</v>
      </c>
      <c r="I17" s="26" t="s">
        <v>82</v>
      </c>
      <c r="J17" s="21"/>
      <c r="K17" s="1" t="s">
        <v>672</v>
      </c>
      <c r="L17" s="2"/>
    </row>
    <row r="18" spans="2:12">
      <c r="B18" s="13">
        <f>ROW() - 5</f>
        <v>13</v>
      </c>
      <c r="C18" s="73"/>
      <c r="D18" s="73"/>
      <c r="E18" s="73"/>
      <c r="F18" s="20" t="s">
        <v>697</v>
      </c>
      <c r="G18" s="55"/>
      <c r="H18" s="56" t="s">
        <v>698</v>
      </c>
      <c r="I18" s="26" t="s">
        <v>82</v>
      </c>
      <c r="J18" s="21"/>
      <c r="K18" s="1" t="s">
        <v>672</v>
      </c>
      <c r="L18" s="2"/>
    </row>
    <row r="19" spans="2:12" ht="67.5">
      <c r="B19" s="13">
        <f>ROW() - 5</f>
        <v>14</v>
      </c>
      <c r="C19" s="73"/>
      <c r="D19" s="73"/>
      <c r="E19" s="73"/>
      <c r="F19" s="20" t="s">
        <v>699</v>
      </c>
      <c r="G19" s="55" t="s">
        <v>700</v>
      </c>
      <c r="H19" s="56" t="s">
        <v>698</v>
      </c>
      <c r="I19" s="26" t="s">
        <v>82</v>
      </c>
      <c r="J19" s="21"/>
      <c r="K19" s="1" t="s">
        <v>672</v>
      </c>
      <c r="L19" s="2"/>
    </row>
    <row r="20" spans="2:12" ht="330.75" customHeight="1">
      <c r="B20" s="13">
        <f t="shared" si="0"/>
        <v>15</v>
      </c>
      <c r="C20" s="14" t="s">
        <v>701</v>
      </c>
      <c r="D20" s="262"/>
      <c r="E20" s="14" t="s">
        <v>693</v>
      </c>
      <c r="F20" s="20" t="s">
        <v>702</v>
      </c>
      <c r="G20" s="20" t="s">
        <v>703</v>
      </c>
      <c r="H20" s="29" t="s">
        <v>704</v>
      </c>
      <c r="I20" s="29" t="s">
        <v>82</v>
      </c>
      <c r="J20" s="21"/>
      <c r="K20" s="1" t="s">
        <v>672</v>
      </c>
      <c r="L20" s="2"/>
    </row>
    <row r="21" spans="2:12" ht="27">
      <c r="B21" s="13">
        <f t="shared" si="0"/>
        <v>16</v>
      </c>
      <c r="C21" s="73"/>
      <c r="D21" s="263"/>
      <c r="E21" s="73"/>
      <c r="F21" s="20" t="s">
        <v>701</v>
      </c>
      <c r="G21" s="20"/>
      <c r="H21" s="29" t="s">
        <v>705</v>
      </c>
      <c r="I21" s="29" t="s">
        <v>82</v>
      </c>
      <c r="J21" s="21"/>
      <c r="K21" s="1" t="s">
        <v>672</v>
      </c>
      <c r="L21" s="2"/>
    </row>
    <row r="22" spans="2:12">
      <c r="B22" s="13">
        <f t="shared" si="0"/>
        <v>17</v>
      </c>
      <c r="C22" s="73"/>
      <c r="D22" s="263"/>
      <c r="E22" s="73"/>
      <c r="F22" s="20" t="s">
        <v>706</v>
      </c>
      <c r="G22" s="20"/>
      <c r="H22" s="29" t="s">
        <v>461</v>
      </c>
      <c r="I22" s="29" t="s">
        <v>463</v>
      </c>
      <c r="J22" s="21"/>
      <c r="K22" s="1" t="s">
        <v>672</v>
      </c>
      <c r="L22" s="2"/>
    </row>
    <row r="23" spans="2:12">
      <c r="B23" s="13">
        <f t="shared" si="0"/>
        <v>18</v>
      </c>
      <c r="C23" s="134"/>
      <c r="D23" s="134"/>
      <c r="E23" s="73"/>
      <c r="F23" s="20" t="s">
        <v>707</v>
      </c>
      <c r="G23" s="20"/>
      <c r="H23" s="29" t="s">
        <v>708</v>
      </c>
      <c r="I23" s="29" t="s">
        <v>82</v>
      </c>
      <c r="J23" s="21"/>
      <c r="K23" s="1" t="s">
        <v>672</v>
      </c>
      <c r="L23" s="2"/>
    </row>
    <row r="24" spans="2:12">
      <c r="B24" s="13">
        <f t="shared" si="0"/>
        <v>19</v>
      </c>
      <c r="C24" s="135" t="s">
        <v>88</v>
      </c>
      <c r="D24" s="135"/>
      <c r="E24" s="135" t="s">
        <v>709</v>
      </c>
      <c r="F24" s="20" t="s">
        <v>710</v>
      </c>
      <c r="G24" s="20"/>
      <c r="H24" s="29" t="s">
        <v>94</v>
      </c>
      <c r="I24" s="29" t="s">
        <v>95</v>
      </c>
      <c r="J24" s="21"/>
      <c r="K24" s="1" t="s">
        <v>672</v>
      </c>
      <c r="L24" s="2"/>
    </row>
    <row r="25" spans="2:12">
      <c r="B25" s="13">
        <f t="shared" si="0"/>
        <v>20</v>
      </c>
      <c r="C25" s="134"/>
      <c r="D25" s="134"/>
      <c r="E25" s="134"/>
      <c r="F25" s="20" t="s">
        <v>711</v>
      </c>
      <c r="G25" s="20"/>
      <c r="H25" s="29" t="s">
        <v>94</v>
      </c>
      <c r="I25" s="29" t="s">
        <v>95</v>
      </c>
      <c r="J25" s="21"/>
      <c r="K25" s="1" t="s">
        <v>672</v>
      </c>
      <c r="L25" s="2"/>
    </row>
    <row r="26" spans="2:12">
      <c r="B26" s="13">
        <f t="shared" si="0"/>
        <v>21</v>
      </c>
      <c r="C26" s="134"/>
      <c r="D26" s="134"/>
      <c r="E26" s="134"/>
      <c r="F26" s="20" t="s">
        <v>712</v>
      </c>
      <c r="G26" s="20"/>
      <c r="H26" s="29" t="s">
        <v>94</v>
      </c>
      <c r="I26" s="29" t="s">
        <v>95</v>
      </c>
      <c r="J26" s="21"/>
      <c r="K26" s="1" t="s">
        <v>672</v>
      </c>
      <c r="L26" s="2"/>
    </row>
    <row r="27" spans="2:12">
      <c r="B27" s="13">
        <f t="shared" si="0"/>
        <v>22</v>
      </c>
      <c r="C27" s="134"/>
      <c r="D27" s="134"/>
      <c r="E27" s="136"/>
      <c r="F27" s="20" t="s">
        <v>713</v>
      </c>
      <c r="G27" s="20"/>
      <c r="H27" s="29" t="s">
        <v>94</v>
      </c>
      <c r="I27" s="29" t="s">
        <v>95</v>
      </c>
      <c r="J27" s="21"/>
      <c r="K27" s="1" t="s">
        <v>672</v>
      </c>
      <c r="L27" s="2"/>
    </row>
    <row r="28" spans="2:12">
      <c r="B28" s="13">
        <f t="shared" si="0"/>
        <v>23</v>
      </c>
      <c r="C28" s="134"/>
      <c r="D28" s="134"/>
      <c r="E28" s="135" t="s">
        <v>714</v>
      </c>
      <c r="F28" s="20" t="s">
        <v>715</v>
      </c>
      <c r="G28" s="20"/>
      <c r="H28" s="29" t="s">
        <v>94</v>
      </c>
      <c r="I28" s="29" t="s">
        <v>95</v>
      </c>
      <c r="J28" s="21"/>
      <c r="K28" s="1" t="s">
        <v>672</v>
      </c>
      <c r="L28" s="2"/>
    </row>
    <row r="29" spans="2:12">
      <c r="B29" s="13">
        <f t="shared" si="0"/>
        <v>24</v>
      </c>
      <c r="C29" s="134"/>
      <c r="D29" s="134"/>
      <c r="E29" s="136"/>
      <c r="F29" s="20" t="s">
        <v>716</v>
      </c>
      <c r="G29" s="20"/>
      <c r="H29" s="29" t="s">
        <v>94</v>
      </c>
      <c r="I29" s="29" t="s">
        <v>95</v>
      </c>
      <c r="J29" s="21"/>
      <c r="K29" s="1" t="s">
        <v>672</v>
      </c>
      <c r="L29" s="2"/>
    </row>
    <row r="30" spans="2:12">
      <c r="B30" s="13">
        <f t="shared" si="0"/>
        <v>25</v>
      </c>
      <c r="C30" s="134"/>
      <c r="D30" s="134"/>
      <c r="E30" s="135" t="s">
        <v>717</v>
      </c>
      <c r="F30" s="20" t="s">
        <v>718</v>
      </c>
      <c r="G30" s="20"/>
      <c r="H30" s="29" t="s">
        <v>158</v>
      </c>
      <c r="I30" s="26">
        <v>1</v>
      </c>
      <c r="J30" s="21"/>
      <c r="K30" s="1" t="s">
        <v>672</v>
      </c>
      <c r="L30" s="2"/>
    </row>
    <row r="31" spans="2:12">
      <c r="B31" s="13">
        <f t="shared" si="0"/>
        <v>26</v>
      </c>
      <c r="C31" s="134"/>
      <c r="D31" s="134"/>
      <c r="E31" s="134"/>
      <c r="F31" s="20" t="s">
        <v>719</v>
      </c>
      <c r="G31" s="20"/>
      <c r="H31" s="29" t="s">
        <v>158</v>
      </c>
      <c r="I31" s="26">
        <v>999999999</v>
      </c>
      <c r="J31" s="21"/>
      <c r="K31" s="1" t="s">
        <v>672</v>
      </c>
      <c r="L31" s="2"/>
    </row>
    <row r="32" spans="2:12">
      <c r="B32" s="13">
        <f t="shared" si="0"/>
        <v>27</v>
      </c>
      <c r="C32" s="136"/>
      <c r="D32" s="136"/>
      <c r="E32" s="136"/>
      <c r="F32" s="20" t="s">
        <v>720</v>
      </c>
      <c r="G32" s="20"/>
      <c r="H32" s="29" t="s">
        <v>158</v>
      </c>
      <c r="I32" s="26">
        <v>1</v>
      </c>
      <c r="J32" s="21"/>
      <c r="K32" s="1" t="s">
        <v>672</v>
      </c>
      <c r="L32" s="2"/>
    </row>
    <row r="33" spans="2:12" ht="61.5" customHeight="1">
      <c r="B33" s="13">
        <f t="shared" si="0"/>
        <v>28</v>
      </c>
      <c r="C33" s="101" t="s">
        <v>721</v>
      </c>
      <c r="D33" s="252" t="s">
        <v>722</v>
      </c>
      <c r="E33" s="19" t="s">
        <v>723</v>
      </c>
      <c r="F33" s="20" t="s">
        <v>724</v>
      </c>
      <c r="G33" s="20"/>
      <c r="H33" s="29" t="s">
        <v>94</v>
      </c>
      <c r="I33" s="29" t="s">
        <v>95</v>
      </c>
      <c r="J33" s="21"/>
      <c r="K33" s="1" t="s">
        <v>672</v>
      </c>
      <c r="L33" s="2"/>
    </row>
    <row r="34" spans="2:12" ht="63.75" customHeight="1">
      <c r="B34" s="13">
        <f t="shared" si="0"/>
        <v>29</v>
      </c>
      <c r="C34" s="134"/>
      <c r="D34" s="253"/>
      <c r="E34" s="135" t="s">
        <v>725</v>
      </c>
      <c r="F34" s="20" t="s">
        <v>726</v>
      </c>
      <c r="G34" s="20"/>
      <c r="H34" s="29" t="s">
        <v>158</v>
      </c>
      <c r="I34" s="29" t="s">
        <v>82</v>
      </c>
      <c r="J34" s="21"/>
      <c r="K34" s="1" t="s">
        <v>672</v>
      </c>
      <c r="L34" s="2"/>
    </row>
    <row r="35" spans="2:12" ht="62.25" customHeight="1">
      <c r="B35" s="13">
        <f t="shared" si="0"/>
        <v>30</v>
      </c>
      <c r="C35" s="134"/>
      <c r="D35" s="253"/>
      <c r="E35" s="134"/>
      <c r="F35" s="20" t="s">
        <v>720</v>
      </c>
      <c r="G35" s="20"/>
      <c r="H35" s="29" t="s">
        <v>698</v>
      </c>
      <c r="I35" s="29" t="s">
        <v>82</v>
      </c>
      <c r="J35" s="21"/>
      <c r="K35" s="1" t="s">
        <v>672</v>
      </c>
      <c r="L35" s="2"/>
    </row>
    <row r="36" spans="2:12" ht="17.25" customHeight="1">
      <c r="B36" s="13">
        <f t="shared" si="0"/>
        <v>31</v>
      </c>
      <c r="C36" s="136"/>
      <c r="D36" s="254"/>
      <c r="E36" s="136"/>
      <c r="F36" s="20" t="s">
        <v>719</v>
      </c>
      <c r="G36" s="20"/>
      <c r="H36" s="29" t="s">
        <v>698</v>
      </c>
      <c r="I36" s="29" t="s">
        <v>82</v>
      </c>
      <c r="J36" s="21"/>
      <c r="K36" s="1" t="s">
        <v>672</v>
      </c>
      <c r="L36" s="2"/>
    </row>
  </sheetData>
  <mergeCells count="2">
    <mergeCell ref="D20:D22"/>
    <mergeCell ref="D33:D36"/>
  </mergeCells>
  <phoneticPr fontId="12"/>
  <hyperlinks>
    <hyperlink ref="A4" location="パラメータ設定一覧!A1" display="パラメータ設定一覧へ" xr:uid="{29D90437-4122-4448-B029-ED37DCEC45B4}"/>
  </hyperlinks>
  <pageMargins left="0.7" right="0.7" top="0.75" bottom="0.75" header="0.3" footer="0.3"/>
  <pageSetup paperSize="9"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7553-56F3-4F71-A2C9-3D365AAFBD6A}">
  <sheetPr codeName="Sheet147"/>
  <dimension ref="A1:AG517"/>
  <sheetViews>
    <sheetView showGridLines="0" tabSelected="1" zoomScale="70" zoomScaleNormal="70" workbookViewId="0">
      <pane xSplit="4" ySplit="7" topLeftCell="P486" activePane="bottomRight" state="frozen"/>
      <selection pane="bottomRight" activeCell="V509" sqref="V509:V511"/>
      <selection pane="bottomLeft"/>
      <selection pane="topRight"/>
    </sheetView>
  </sheetViews>
  <sheetFormatPr defaultColWidth="8.77734375" defaultRowHeight="14.25"/>
  <cols>
    <col min="1" max="1" width="2.77734375" style="38" customWidth="1"/>
    <col min="2" max="2" width="6.5546875" style="38" bestFit="1" customWidth="1"/>
    <col min="3" max="3" width="16.77734375" style="38" customWidth="1"/>
    <col min="4" max="4" width="33.5546875" style="38" customWidth="1"/>
    <col min="5" max="11" width="16.77734375" style="38" customWidth="1"/>
    <col min="12" max="12" width="19.21875" style="38" customWidth="1"/>
    <col min="13" max="13" width="12.21875" style="38" customWidth="1"/>
    <col min="14" max="14" width="23" style="162" bestFit="1" customWidth="1"/>
    <col min="15" max="15" width="11.77734375" style="38" customWidth="1"/>
    <col min="16" max="16" width="22.5546875" style="38" customWidth="1"/>
    <col min="17" max="17" width="18.77734375" style="163" customWidth="1"/>
    <col min="18" max="18" width="16" style="163" bestFit="1" customWidth="1"/>
    <col min="19" max="19" width="16.6640625" style="163" customWidth="1"/>
    <col min="20" max="20" width="15.21875" style="163" customWidth="1"/>
    <col min="21" max="23" width="15.21875" style="38" customWidth="1"/>
    <col min="24" max="24" width="11.77734375" style="38" customWidth="1"/>
    <col min="25" max="25" width="13" style="38" customWidth="1"/>
    <col min="26" max="26" width="12.21875" style="38" customWidth="1"/>
    <col min="27" max="27" width="11.77734375" style="38" customWidth="1"/>
    <col min="28" max="28" width="19.5546875" style="38" bestFit="1" customWidth="1"/>
    <col min="29" max="29" width="12.21875" style="38" bestFit="1" customWidth="1"/>
    <col min="30" max="30" width="15.33203125" style="38" customWidth="1"/>
    <col min="31" max="31" width="9.21875" style="38" customWidth="1"/>
    <col min="32" max="33" width="8.21875" style="38" customWidth="1"/>
    <col min="34" max="16384" width="8.77734375" style="38"/>
  </cols>
  <sheetData>
    <row r="1" spans="1:33" customFormat="1" ht="19.5">
      <c r="A1" s="6" t="s">
        <v>727</v>
      </c>
      <c r="Q1" s="58"/>
      <c r="R1" s="58"/>
      <c r="S1" s="58"/>
      <c r="T1" s="58"/>
    </row>
    <row r="2" spans="1:33" customFormat="1" ht="15">
      <c r="M2" s="57"/>
      <c r="N2" t="s">
        <v>728</v>
      </c>
      <c r="Q2" s="58" t="s">
        <v>729</v>
      </c>
      <c r="R2" s="58"/>
      <c r="S2" s="58"/>
      <c r="T2" s="58"/>
      <c r="U2" t="s">
        <v>730</v>
      </c>
    </row>
    <row r="3" spans="1:33" customFormat="1" ht="15">
      <c r="A3" s="9" t="s">
        <v>67</v>
      </c>
      <c r="D3" t="s">
        <v>731</v>
      </c>
      <c r="Q3" s="58"/>
      <c r="R3" s="58"/>
      <c r="S3" s="58"/>
      <c r="T3" s="58"/>
    </row>
    <row r="4" spans="1:33" ht="15.75" customHeight="1">
      <c r="B4" s="278" t="s">
        <v>732</v>
      </c>
      <c r="C4" s="137" t="s">
        <v>252</v>
      </c>
      <c r="D4" s="138"/>
      <c r="E4" s="137" t="s">
        <v>673</v>
      </c>
      <c r="F4" s="138"/>
      <c r="G4" s="138"/>
      <c r="H4" s="138"/>
      <c r="I4" s="138"/>
      <c r="J4" s="138"/>
      <c r="K4" s="138"/>
      <c r="L4" s="139"/>
      <c r="M4" s="137" t="s">
        <v>692</v>
      </c>
      <c r="N4" s="138"/>
      <c r="O4" s="138"/>
      <c r="P4" s="139"/>
      <c r="Q4" s="140" t="s">
        <v>701</v>
      </c>
      <c r="R4" s="141"/>
      <c r="S4" s="141"/>
      <c r="T4" s="142"/>
      <c r="U4" s="143" t="s">
        <v>88</v>
      </c>
      <c r="V4" s="143"/>
      <c r="W4" s="143"/>
      <c r="X4" s="143"/>
      <c r="Y4" s="143"/>
      <c r="Z4" s="143"/>
      <c r="AA4" s="143"/>
      <c r="AB4" s="143"/>
      <c r="AC4" s="144"/>
      <c r="AD4" s="145" t="s">
        <v>721</v>
      </c>
      <c r="AE4" s="143"/>
      <c r="AF4" s="143"/>
      <c r="AG4" s="144"/>
    </row>
    <row r="5" spans="1:33" ht="13.5">
      <c r="B5" s="278"/>
      <c r="C5" s="146"/>
      <c r="D5" s="147"/>
      <c r="E5" s="146"/>
      <c r="F5" s="148"/>
      <c r="G5" s="148"/>
      <c r="H5" s="148"/>
      <c r="I5" s="148"/>
      <c r="J5" s="148"/>
      <c r="K5" s="148"/>
      <c r="L5" s="147"/>
      <c r="M5" s="146"/>
      <c r="N5" s="148"/>
      <c r="O5" s="148"/>
      <c r="P5" s="147"/>
      <c r="Q5" s="149"/>
      <c r="R5" s="150"/>
      <c r="S5" s="150"/>
      <c r="T5" s="151"/>
      <c r="U5" s="143" t="s">
        <v>709</v>
      </c>
      <c r="V5" s="143"/>
      <c r="W5" s="143"/>
      <c r="X5" s="144"/>
      <c r="Y5" s="145" t="s">
        <v>714</v>
      </c>
      <c r="Z5" s="143"/>
      <c r="AA5" s="145" t="s">
        <v>717</v>
      </c>
      <c r="AB5" s="143"/>
      <c r="AC5" s="144"/>
      <c r="AD5" s="144" t="s">
        <v>733</v>
      </c>
      <c r="AE5" s="145" t="s">
        <v>725</v>
      </c>
      <c r="AF5" s="143"/>
      <c r="AG5" s="144"/>
    </row>
    <row r="6" spans="1:33" ht="13.5">
      <c r="B6" s="278"/>
      <c r="C6" s="152" t="s">
        <v>734</v>
      </c>
      <c r="D6" s="152" t="s">
        <v>80</v>
      </c>
      <c r="E6" s="153" t="s">
        <v>674</v>
      </c>
      <c r="F6" s="153" t="s">
        <v>84</v>
      </c>
      <c r="G6" s="153" t="s">
        <v>678</v>
      </c>
      <c r="H6" s="153" t="s">
        <v>680</v>
      </c>
      <c r="I6" s="153" t="s">
        <v>682</v>
      </c>
      <c r="J6" s="153" t="s">
        <v>735</v>
      </c>
      <c r="K6" s="153" t="s">
        <v>687</v>
      </c>
      <c r="L6" s="153" t="s">
        <v>736</v>
      </c>
      <c r="M6" s="96" t="s">
        <v>692</v>
      </c>
      <c r="N6" s="96" t="s">
        <v>696</v>
      </c>
      <c r="O6" s="96" t="s">
        <v>697</v>
      </c>
      <c r="P6" s="97" t="s">
        <v>699</v>
      </c>
      <c r="Q6" s="59" t="s">
        <v>702</v>
      </c>
      <c r="R6" s="59" t="s">
        <v>737</v>
      </c>
      <c r="S6" s="59" t="s">
        <v>706</v>
      </c>
      <c r="T6" s="59" t="s">
        <v>738</v>
      </c>
      <c r="U6" s="96" t="s">
        <v>710</v>
      </c>
      <c r="V6" s="96" t="s">
        <v>711</v>
      </c>
      <c r="W6" s="96" t="s">
        <v>712</v>
      </c>
      <c r="X6" s="96" t="s">
        <v>713</v>
      </c>
      <c r="Y6" s="96" t="s">
        <v>715</v>
      </c>
      <c r="Z6" s="96" t="s">
        <v>739</v>
      </c>
      <c r="AA6" s="96" t="s">
        <v>718</v>
      </c>
      <c r="AB6" s="96" t="s">
        <v>719</v>
      </c>
      <c r="AC6" s="96" t="s">
        <v>720</v>
      </c>
      <c r="AD6" s="96" t="s">
        <v>740</v>
      </c>
      <c r="AE6" s="96" t="s">
        <v>726</v>
      </c>
      <c r="AF6" s="96" t="s">
        <v>720</v>
      </c>
      <c r="AG6" s="96" t="s">
        <v>719</v>
      </c>
    </row>
    <row r="7" spans="1:33" ht="40.5">
      <c r="B7" s="278"/>
      <c r="C7" s="4" t="s">
        <v>81</v>
      </c>
      <c r="D7" s="4" t="s">
        <v>81</v>
      </c>
      <c r="E7" s="4"/>
      <c r="F7" s="4" t="s">
        <v>741</v>
      </c>
      <c r="G7" s="4" t="s">
        <v>741</v>
      </c>
      <c r="H7" s="4" t="s">
        <v>742</v>
      </c>
      <c r="I7" s="4" t="s">
        <v>743</v>
      </c>
      <c r="J7" s="4" t="s">
        <v>744</v>
      </c>
      <c r="K7" s="4" t="s">
        <v>745</v>
      </c>
      <c r="L7" s="4" t="s">
        <v>742</v>
      </c>
      <c r="M7" s="4" t="s">
        <v>746</v>
      </c>
      <c r="N7" s="4" t="s">
        <v>81</v>
      </c>
      <c r="O7" s="4" t="s">
        <v>747</v>
      </c>
      <c r="P7" s="4" t="s">
        <v>747</v>
      </c>
      <c r="Q7" s="59"/>
      <c r="R7" s="59"/>
      <c r="S7" s="59" t="s">
        <v>461</v>
      </c>
      <c r="T7" s="59" t="s">
        <v>708</v>
      </c>
      <c r="U7" s="4" t="s">
        <v>94</v>
      </c>
      <c r="V7" s="4" t="s">
        <v>94</v>
      </c>
      <c r="W7" s="4" t="s">
        <v>94</v>
      </c>
      <c r="X7" s="4" t="s">
        <v>94</v>
      </c>
      <c r="Y7" s="4" t="s">
        <v>94</v>
      </c>
      <c r="Z7" s="4" t="s">
        <v>94</v>
      </c>
      <c r="AA7" s="4" t="s">
        <v>158</v>
      </c>
      <c r="AB7" s="4" t="s">
        <v>748</v>
      </c>
      <c r="AC7" s="4" t="s">
        <v>158</v>
      </c>
      <c r="AD7" s="4" t="s">
        <v>94</v>
      </c>
      <c r="AE7" s="4" t="s">
        <v>158</v>
      </c>
      <c r="AF7" s="4"/>
      <c r="AG7" s="4"/>
    </row>
    <row r="8" spans="1:33" ht="13.5">
      <c r="B8" s="282">
        <v>1</v>
      </c>
      <c r="C8" s="283" t="s">
        <v>749</v>
      </c>
      <c r="D8" s="283" t="s">
        <v>749</v>
      </c>
      <c r="E8" s="282" t="s">
        <v>676</v>
      </c>
      <c r="F8" s="282" t="s">
        <v>535</v>
      </c>
      <c r="G8" s="282" t="s">
        <v>535</v>
      </c>
      <c r="H8" s="282" t="s">
        <v>535</v>
      </c>
      <c r="I8" s="282" t="s">
        <v>535</v>
      </c>
      <c r="J8" s="282" t="s">
        <v>535</v>
      </c>
      <c r="K8" s="282" t="s">
        <v>535</v>
      </c>
      <c r="L8" s="282" t="s">
        <v>535</v>
      </c>
      <c r="M8" s="154" t="s">
        <v>695</v>
      </c>
      <c r="N8" s="155" t="s">
        <v>750</v>
      </c>
      <c r="O8" s="155">
        <v>9</v>
      </c>
      <c r="P8" s="284" t="s">
        <v>751</v>
      </c>
      <c r="Q8" s="156"/>
      <c r="R8" s="156"/>
      <c r="S8" s="157"/>
      <c r="T8" s="156"/>
      <c r="U8" s="156"/>
      <c r="V8" s="284"/>
      <c r="W8" s="284" t="s">
        <v>752</v>
      </c>
      <c r="X8" s="284"/>
      <c r="Y8" s="284"/>
      <c r="Z8" s="284"/>
      <c r="AA8" s="274"/>
      <c r="AB8" s="274"/>
      <c r="AC8" s="274"/>
      <c r="AD8" s="284" t="s">
        <v>381</v>
      </c>
      <c r="AE8" s="284">
        <v>10</v>
      </c>
      <c r="AF8" s="284"/>
      <c r="AG8" s="284"/>
    </row>
    <row r="9" spans="1:33" ht="13.5">
      <c r="B9" s="285"/>
      <c r="C9" s="283"/>
      <c r="D9" s="283"/>
      <c r="E9" s="285"/>
      <c r="F9" s="285"/>
      <c r="G9" s="285"/>
      <c r="H9" s="285"/>
      <c r="I9" s="285"/>
      <c r="J9" s="285"/>
      <c r="K9" s="285"/>
      <c r="L9" s="285"/>
      <c r="M9" s="158"/>
      <c r="N9" s="159"/>
      <c r="O9" s="159"/>
      <c r="P9" s="286"/>
      <c r="Q9" s="156"/>
      <c r="R9" s="156"/>
      <c r="S9" s="157"/>
      <c r="T9" s="156"/>
      <c r="U9" s="156"/>
      <c r="V9" s="286"/>
      <c r="W9" s="286"/>
      <c r="X9" s="286"/>
      <c r="Y9" s="286"/>
      <c r="Z9" s="286"/>
      <c r="AA9" s="275"/>
      <c r="AB9" s="275"/>
      <c r="AC9" s="275"/>
      <c r="AD9" s="286"/>
      <c r="AE9" s="286"/>
      <c r="AF9" s="286"/>
      <c r="AG9" s="286"/>
    </row>
    <row r="10" spans="1:33" ht="13.5">
      <c r="B10" s="287"/>
      <c r="C10" s="283"/>
      <c r="D10" s="283"/>
      <c r="E10" s="287"/>
      <c r="F10" s="287"/>
      <c r="G10" s="287"/>
      <c r="H10" s="287"/>
      <c r="I10" s="287"/>
      <c r="J10" s="287"/>
      <c r="K10" s="287"/>
      <c r="L10" s="287"/>
      <c r="M10" s="160"/>
      <c r="N10" s="161"/>
      <c r="O10" s="161"/>
      <c r="P10" s="288"/>
      <c r="Q10" s="156"/>
      <c r="R10" s="156"/>
      <c r="S10" s="157"/>
      <c r="T10" s="156"/>
      <c r="U10" s="156"/>
      <c r="V10" s="288"/>
      <c r="W10" s="288"/>
      <c r="X10" s="288"/>
      <c r="Y10" s="288"/>
      <c r="Z10" s="288"/>
      <c r="AA10" s="276"/>
      <c r="AB10" s="276"/>
      <c r="AC10" s="276"/>
      <c r="AD10" s="288"/>
      <c r="AE10" s="288"/>
      <c r="AF10" s="288"/>
      <c r="AG10" s="288"/>
    </row>
    <row r="11" spans="1:33" ht="13.5">
      <c r="B11" s="282">
        <v>3</v>
      </c>
      <c r="C11" s="283" t="s">
        <v>753</v>
      </c>
      <c r="D11" s="283" t="s">
        <v>754</v>
      </c>
      <c r="E11" s="282" t="s">
        <v>84</v>
      </c>
      <c r="F11" s="282" t="s">
        <v>441</v>
      </c>
      <c r="G11" s="282" t="s">
        <v>535</v>
      </c>
      <c r="H11" s="282" t="s">
        <v>535</v>
      </c>
      <c r="I11" s="282" t="s">
        <v>535</v>
      </c>
      <c r="J11" s="282" t="s">
        <v>535</v>
      </c>
      <c r="K11" s="282" t="s">
        <v>535</v>
      </c>
      <c r="L11" s="282" t="s">
        <v>535</v>
      </c>
      <c r="M11" s="154" t="s">
        <v>755</v>
      </c>
      <c r="N11" s="155" t="s">
        <v>756</v>
      </c>
      <c r="O11" s="155">
        <v>5</v>
      </c>
      <c r="P11" s="284" t="s">
        <v>757</v>
      </c>
      <c r="Q11" s="156"/>
      <c r="R11" s="156"/>
      <c r="S11" s="157"/>
      <c r="T11" s="156"/>
      <c r="U11" s="156"/>
      <c r="V11" s="284"/>
      <c r="W11" s="284" t="s">
        <v>95</v>
      </c>
      <c r="X11" s="284"/>
      <c r="Y11" s="284"/>
      <c r="Z11" s="284"/>
      <c r="AA11" s="274"/>
      <c r="AB11" s="274"/>
      <c r="AC11" s="274"/>
      <c r="AD11" s="284" t="s">
        <v>381</v>
      </c>
      <c r="AE11" s="284">
        <v>25</v>
      </c>
      <c r="AF11" s="284"/>
      <c r="AG11" s="284"/>
    </row>
    <row r="12" spans="1:33" ht="13.5">
      <c r="B12" s="285"/>
      <c r="C12" s="283"/>
      <c r="D12" s="283"/>
      <c r="E12" s="285"/>
      <c r="F12" s="285"/>
      <c r="G12" s="285"/>
      <c r="H12" s="285"/>
      <c r="I12" s="285"/>
      <c r="J12" s="285"/>
      <c r="K12" s="285"/>
      <c r="L12" s="285"/>
      <c r="M12" s="194" t="s">
        <v>755</v>
      </c>
      <c r="N12" s="195" t="s">
        <v>758</v>
      </c>
      <c r="O12" s="195">
        <v>2</v>
      </c>
      <c r="P12" s="286"/>
      <c r="Q12" s="156"/>
      <c r="R12" s="156"/>
      <c r="S12" s="157"/>
      <c r="T12" s="156"/>
      <c r="U12" s="156"/>
      <c r="V12" s="286"/>
      <c r="W12" s="286"/>
      <c r="X12" s="286"/>
      <c r="Y12" s="286"/>
      <c r="Z12" s="286"/>
      <c r="AA12" s="275"/>
      <c r="AB12" s="275"/>
      <c r="AC12" s="275"/>
      <c r="AD12" s="286"/>
      <c r="AE12" s="286"/>
      <c r="AF12" s="286"/>
      <c r="AG12" s="286"/>
    </row>
    <row r="13" spans="1:33" ht="13.5">
      <c r="B13" s="285"/>
      <c r="C13" s="283"/>
      <c r="D13" s="283"/>
      <c r="E13" s="285"/>
      <c r="F13" s="285"/>
      <c r="G13" s="285"/>
      <c r="H13" s="285"/>
      <c r="I13" s="285"/>
      <c r="J13" s="285"/>
      <c r="K13" s="285"/>
      <c r="L13" s="285"/>
      <c r="M13" s="158" t="s">
        <v>695</v>
      </c>
      <c r="N13" s="159" t="s">
        <v>759</v>
      </c>
      <c r="O13" s="159">
        <v>8</v>
      </c>
      <c r="P13" s="286"/>
      <c r="Q13" s="156"/>
      <c r="R13" s="156"/>
      <c r="S13" s="157"/>
      <c r="T13" s="156"/>
      <c r="U13" s="156"/>
      <c r="V13" s="286"/>
      <c r="W13" s="286"/>
      <c r="X13" s="286"/>
      <c r="Y13" s="286"/>
      <c r="Z13" s="286"/>
      <c r="AA13" s="275"/>
      <c r="AB13" s="275"/>
      <c r="AC13" s="275"/>
      <c r="AD13" s="286"/>
      <c r="AE13" s="286"/>
      <c r="AF13" s="286"/>
      <c r="AG13" s="286"/>
    </row>
    <row r="14" spans="1:33" ht="13.5">
      <c r="B14" s="287"/>
      <c r="C14" s="283"/>
      <c r="D14" s="283"/>
      <c r="E14" s="287"/>
      <c r="F14" s="287"/>
      <c r="G14" s="287"/>
      <c r="H14" s="287"/>
      <c r="I14" s="287"/>
      <c r="J14" s="287"/>
      <c r="K14" s="287"/>
      <c r="L14" s="287"/>
      <c r="M14" s="160" t="s">
        <v>755</v>
      </c>
      <c r="N14" s="161" t="s">
        <v>760</v>
      </c>
      <c r="O14" s="161">
        <v>3</v>
      </c>
      <c r="P14" s="288"/>
      <c r="Q14" s="156"/>
      <c r="R14" s="156"/>
      <c r="S14" s="157"/>
      <c r="T14" s="156"/>
      <c r="U14" s="156"/>
      <c r="V14" s="288"/>
      <c r="W14" s="288"/>
      <c r="X14" s="288"/>
      <c r="Y14" s="288"/>
      <c r="Z14" s="288"/>
      <c r="AA14" s="276"/>
      <c r="AB14" s="276"/>
      <c r="AC14" s="276"/>
      <c r="AD14" s="288"/>
      <c r="AE14" s="288"/>
      <c r="AF14" s="288"/>
      <c r="AG14" s="288"/>
    </row>
    <row r="15" spans="1:33" ht="13.5">
      <c r="B15" s="282">
        <v>4</v>
      </c>
      <c r="C15" s="283" t="s">
        <v>761</v>
      </c>
      <c r="D15" s="283" t="s">
        <v>762</v>
      </c>
      <c r="E15" s="282" t="s">
        <v>84</v>
      </c>
      <c r="F15" s="282" t="s">
        <v>434</v>
      </c>
      <c r="G15" s="282" t="s">
        <v>535</v>
      </c>
      <c r="H15" s="282" t="s">
        <v>535</v>
      </c>
      <c r="I15" s="282" t="s">
        <v>535</v>
      </c>
      <c r="J15" s="282" t="s">
        <v>535</v>
      </c>
      <c r="K15" s="282" t="s">
        <v>535</v>
      </c>
      <c r="L15" s="282" t="s">
        <v>535</v>
      </c>
      <c r="M15" s="154" t="s">
        <v>755</v>
      </c>
      <c r="N15" s="155" t="s">
        <v>756</v>
      </c>
      <c r="O15" s="155">
        <v>5</v>
      </c>
      <c r="P15" s="284" t="s">
        <v>763</v>
      </c>
      <c r="Q15" s="156"/>
      <c r="R15" s="156"/>
      <c r="S15" s="157"/>
      <c r="T15" s="156"/>
      <c r="U15" s="156"/>
      <c r="V15" s="284"/>
      <c r="W15" s="284" t="s">
        <v>95</v>
      </c>
      <c r="X15" s="284"/>
      <c r="Y15" s="284"/>
      <c r="Z15" s="284"/>
      <c r="AA15" s="274"/>
      <c r="AB15" s="274"/>
      <c r="AC15" s="274"/>
      <c r="AD15" s="284" t="s">
        <v>381</v>
      </c>
      <c r="AE15" s="284">
        <v>25</v>
      </c>
      <c r="AF15" s="284"/>
      <c r="AG15" s="284"/>
    </row>
    <row r="16" spans="1:33" ht="13.5">
      <c r="B16" s="285"/>
      <c r="C16" s="283"/>
      <c r="D16" s="283"/>
      <c r="E16" s="285"/>
      <c r="F16" s="285"/>
      <c r="G16" s="285"/>
      <c r="H16" s="285"/>
      <c r="I16" s="285"/>
      <c r="J16" s="285"/>
      <c r="K16" s="285"/>
      <c r="L16" s="285"/>
      <c r="M16" s="194" t="s">
        <v>755</v>
      </c>
      <c r="N16" s="195" t="s">
        <v>764</v>
      </c>
      <c r="O16" s="195">
        <v>2</v>
      </c>
      <c r="P16" s="286"/>
      <c r="Q16" s="156"/>
      <c r="R16" s="156"/>
      <c r="S16" s="157"/>
      <c r="T16" s="156"/>
      <c r="U16" s="156"/>
      <c r="V16" s="286"/>
      <c r="W16" s="286"/>
      <c r="X16" s="286"/>
      <c r="Y16" s="286"/>
      <c r="Z16" s="286"/>
      <c r="AA16" s="275"/>
      <c r="AB16" s="275"/>
      <c r="AC16" s="275"/>
      <c r="AD16" s="286"/>
      <c r="AE16" s="286"/>
      <c r="AF16" s="286"/>
      <c r="AG16" s="286"/>
    </row>
    <row r="17" spans="2:33" ht="13.5">
      <c r="B17" s="285"/>
      <c r="C17" s="283"/>
      <c r="D17" s="283"/>
      <c r="E17" s="285"/>
      <c r="F17" s="285"/>
      <c r="G17" s="285"/>
      <c r="H17" s="285"/>
      <c r="I17" s="285"/>
      <c r="J17" s="285"/>
      <c r="K17" s="285"/>
      <c r="L17" s="285"/>
      <c r="M17" s="158" t="s">
        <v>695</v>
      </c>
      <c r="N17" s="159" t="s">
        <v>759</v>
      </c>
      <c r="O17" s="159">
        <v>8</v>
      </c>
      <c r="P17" s="286"/>
      <c r="Q17" s="156"/>
      <c r="R17" s="156"/>
      <c r="S17" s="157"/>
      <c r="T17" s="156"/>
      <c r="U17" s="156"/>
      <c r="V17" s="286"/>
      <c r="W17" s="286"/>
      <c r="X17" s="286"/>
      <c r="Y17" s="286"/>
      <c r="Z17" s="286"/>
      <c r="AA17" s="275"/>
      <c r="AB17" s="275"/>
      <c r="AC17" s="275"/>
      <c r="AD17" s="286"/>
      <c r="AE17" s="286"/>
      <c r="AF17" s="286"/>
      <c r="AG17" s="286"/>
    </row>
    <row r="18" spans="2:33" ht="13.5">
      <c r="B18" s="287"/>
      <c r="C18" s="283"/>
      <c r="D18" s="283"/>
      <c r="E18" s="287"/>
      <c r="F18" s="287"/>
      <c r="G18" s="287"/>
      <c r="H18" s="287"/>
      <c r="I18" s="287"/>
      <c r="J18" s="287"/>
      <c r="K18" s="287"/>
      <c r="L18" s="287"/>
      <c r="M18" s="160" t="s">
        <v>755</v>
      </c>
      <c r="N18" s="161" t="s">
        <v>760</v>
      </c>
      <c r="O18" s="161">
        <v>3</v>
      </c>
      <c r="P18" s="288"/>
      <c r="Q18" s="156"/>
      <c r="R18" s="156"/>
      <c r="S18" s="157"/>
      <c r="T18" s="156"/>
      <c r="U18" s="156"/>
      <c r="V18" s="288"/>
      <c r="W18" s="288"/>
      <c r="X18" s="288"/>
      <c r="Y18" s="288"/>
      <c r="Z18" s="288"/>
      <c r="AA18" s="276"/>
      <c r="AB18" s="276"/>
      <c r="AC18" s="276"/>
      <c r="AD18" s="288"/>
      <c r="AE18" s="288"/>
      <c r="AF18" s="288"/>
      <c r="AG18" s="288"/>
    </row>
    <row r="19" spans="2:33" ht="13.5">
      <c r="B19" s="282">
        <v>5</v>
      </c>
      <c r="C19" s="283" t="s">
        <v>765</v>
      </c>
      <c r="D19" s="283" t="s">
        <v>766</v>
      </c>
      <c r="E19" s="282" t="s">
        <v>84</v>
      </c>
      <c r="F19" s="282" t="s">
        <v>372</v>
      </c>
      <c r="G19" s="282" t="s">
        <v>535</v>
      </c>
      <c r="H19" s="282" t="s">
        <v>535</v>
      </c>
      <c r="I19" s="282" t="s">
        <v>535</v>
      </c>
      <c r="J19" s="282" t="s">
        <v>535</v>
      </c>
      <c r="K19" s="282" t="s">
        <v>535</v>
      </c>
      <c r="L19" s="282" t="s">
        <v>535</v>
      </c>
      <c r="M19" s="154" t="s">
        <v>755</v>
      </c>
      <c r="N19" s="155" t="s">
        <v>756</v>
      </c>
      <c r="O19" s="155">
        <v>5</v>
      </c>
      <c r="P19" s="284" t="s">
        <v>767</v>
      </c>
      <c r="Q19" s="156"/>
      <c r="R19" s="156"/>
      <c r="S19" s="157"/>
      <c r="T19" s="156"/>
      <c r="U19" s="156"/>
      <c r="V19" s="284"/>
      <c r="W19" s="284" t="s">
        <v>95</v>
      </c>
      <c r="X19" s="284"/>
      <c r="Y19" s="284"/>
      <c r="Z19" s="284"/>
      <c r="AA19" s="274"/>
      <c r="AB19" s="274"/>
      <c r="AC19" s="274"/>
      <c r="AD19" s="284" t="s">
        <v>381</v>
      </c>
      <c r="AE19" s="284">
        <v>25</v>
      </c>
      <c r="AF19" s="284"/>
      <c r="AG19" s="284"/>
    </row>
    <row r="20" spans="2:33" ht="13.5">
      <c r="B20" s="285"/>
      <c r="C20" s="283"/>
      <c r="D20" s="283"/>
      <c r="E20" s="285"/>
      <c r="F20" s="285"/>
      <c r="G20" s="285"/>
      <c r="H20" s="285"/>
      <c r="I20" s="285"/>
      <c r="J20" s="285"/>
      <c r="K20" s="285"/>
      <c r="L20" s="285"/>
      <c r="M20" s="194" t="s">
        <v>755</v>
      </c>
      <c r="N20" s="195" t="s">
        <v>768</v>
      </c>
      <c r="O20" s="195">
        <v>2</v>
      </c>
      <c r="P20" s="286"/>
      <c r="Q20" s="156"/>
      <c r="R20" s="156"/>
      <c r="S20" s="157"/>
      <c r="T20" s="156"/>
      <c r="U20" s="156"/>
      <c r="V20" s="286"/>
      <c r="W20" s="286"/>
      <c r="X20" s="286"/>
      <c r="Y20" s="286"/>
      <c r="Z20" s="286"/>
      <c r="AA20" s="275"/>
      <c r="AB20" s="275"/>
      <c r="AC20" s="275"/>
      <c r="AD20" s="286"/>
      <c r="AE20" s="286"/>
      <c r="AF20" s="286"/>
      <c r="AG20" s="286"/>
    </row>
    <row r="21" spans="2:33" ht="13.5">
      <c r="B21" s="285"/>
      <c r="C21" s="283"/>
      <c r="D21" s="283"/>
      <c r="E21" s="285"/>
      <c r="F21" s="285"/>
      <c r="G21" s="285"/>
      <c r="H21" s="285"/>
      <c r="I21" s="285"/>
      <c r="J21" s="285"/>
      <c r="K21" s="285"/>
      <c r="L21" s="285"/>
      <c r="M21" s="158" t="s">
        <v>695</v>
      </c>
      <c r="N21" s="159" t="s">
        <v>759</v>
      </c>
      <c r="O21" s="159">
        <v>8</v>
      </c>
      <c r="P21" s="286"/>
      <c r="Q21" s="156"/>
      <c r="R21" s="156"/>
      <c r="S21" s="157"/>
      <c r="T21" s="156"/>
      <c r="U21" s="156"/>
      <c r="V21" s="286"/>
      <c r="W21" s="286"/>
      <c r="X21" s="286"/>
      <c r="Y21" s="286"/>
      <c r="Z21" s="286"/>
      <c r="AA21" s="275"/>
      <c r="AB21" s="275"/>
      <c r="AC21" s="275"/>
      <c r="AD21" s="286"/>
      <c r="AE21" s="286"/>
      <c r="AF21" s="286"/>
      <c r="AG21" s="286"/>
    </row>
    <row r="22" spans="2:33" ht="13.5">
      <c r="B22" s="287"/>
      <c r="C22" s="283"/>
      <c r="D22" s="283"/>
      <c r="E22" s="287"/>
      <c r="F22" s="287"/>
      <c r="G22" s="287"/>
      <c r="H22" s="287"/>
      <c r="I22" s="287"/>
      <c r="J22" s="287"/>
      <c r="K22" s="287"/>
      <c r="L22" s="287"/>
      <c r="M22" s="160" t="s">
        <v>755</v>
      </c>
      <c r="N22" s="161" t="s">
        <v>760</v>
      </c>
      <c r="O22" s="161">
        <v>3</v>
      </c>
      <c r="P22" s="288"/>
      <c r="Q22" s="156"/>
      <c r="R22" s="156"/>
      <c r="S22" s="157"/>
      <c r="T22" s="156"/>
      <c r="U22" s="156"/>
      <c r="V22" s="288"/>
      <c r="W22" s="288"/>
      <c r="X22" s="288"/>
      <c r="Y22" s="288"/>
      <c r="Z22" s="288"/>
      <c r="AA22" s="276"/>
      <c r="AB22" s="276"/>
      <c r="AC22" s="276"/>
      <c r="AD22" s="288"/>
      <c r="AE22" s="288"/>
      <c r="AF22" s="288"/>
      <c r="AG22" s="288"/>
    </row>
    <row r="23" spans="2:33" ht="13.5">
      <c r="B23" s="282">
        <v>6</v>
      </c>
      <c r="C23" s="282" t="s">
        <v>769</v>
      </c>
      <c r="D23" s="282" t="s">
        <v>769</v>
      </c>
      <c r="E23" s="282" t="s">
        <v>676</v>
      </c>
      <c r="F23" s="282" t="s">
        <v>535</v>
      </c>
      <c r="G23" s="282" t="s">
        <v>770</v>
      </c>
      <c r="H23" s="282" t="s">
        <v>535</v>
      </c>
      <c r="I23" s="282" t="s">
        <v>535</v>
      </c>
      <c r="J23" s="282" t="s">
        <v>535</v>
      </c>
      <c r="K23" s="282" t="s">
        <v>535</v>
      </c>
      <c r="L23" s="282" t="s">
        <v>535</v>
      </c>
      <c r="M23" s="154" t="s">
        <v>695</v>
      </c>
      <c r="N23" s="155" t="s">
        <v>759</v>
      </c>
      <c r="O23" s="155">
        <v>8</v>
      </c>
      <c r="P23" s="284" t="s">
        <v>759</v>
      </c>
      <c r="Q23" s="156" t="s">
        <v>771</v>
      </c>
      <c r="R23" s="156" t="s">
        <v>772</v>
      </c>
      <c r="S23" s="157"/>
      <c r="T23" s="156"/>
      <c r="U23" s="156"/>
      <c r="V23" s="284" t="s">
        <v>95</v>
      </c>
      <c r="W23" s="284" t="s">
        <v>381</v>
      </c>
      <c r="X23" s="284" t="s">
        <v>95</v>
      </c>
      <c r="Y23" s="284" t="s">
        <v>95</v>
      </c>
      <c r="Z23" s="284" t="s">
        <v>95</v>
      </c>
      <c r="AA23" s="274"/>
      <c r="AB23" s="274"/>
      <c r="AC23" s="274"/>
      <c r="AD23" s="284" t="s">
        <v>95</v>
      </c>
      <c r="AE23" s="284"/>
      <c r="AF23" s="284"/>
      <c r="AG23" s="284"/>
    </row>
    <row r="24" spans="2:33" ht="13.5">
      <c r="B24" s="285"/>
      <c r="C24" s="285"/>
      <c r="D24" s="285"/>
      <c r="E24" s="285"/>
      <c r="F24" s="285"/>
      <c r="G24" s="285"/>
      <c r="H24" s="285"/>
      <c r="I24" s="285"/>
      <c r="J24" s="285"/>
      <c r="K24" s="285"/>
      <c r="L24" s="285"/>
      <c r="M24" s="158"/>
      <c r="N24" s="159"/>
      <c r="O24" s="159"/>
      <c r="P24" s="286"/>
      <c r="Q24" s="156"/>
      <c r="R24" s="156"/>
      <c r="S24" s="157"/>
      <c r="T24" s="156"/>
      <c r="U24" s="156"/>
      <c r="V24" s="286"/>
      <c r="W24" s="286"/>
      <c r="X24" s="286"/>
      <c r="Y24" s="286"/>
      <c r="Z24" s="286"/>
      <c r="AA24" s="275"/>
      <c r="AB24" s="275"/>
      <c r="AC24" s="275"/>
      <c r="AD24" s="286"/>
      <c r="AE24" s="286"/>
      <c r="AF24" s="286"/>
      <c r="AG24" s="286"/>
    </row>
    <row r="25" spans="2:33" ht="13.5">
      <c r="B25" s="287"/>
      <c r="C25" s="287"/>
      <c r="D25" s="287"/>
      <c r="E25" s="287"/>
      <c r="F25" s="287"/>
      <c r="G25" s="287"/>
      <c r="H25" s="287"/>
      <c r="I25" s="287"/>
      <c r="J25" s="287"/>
      <c r="K25" s="287"/>
      <c r="L25" s="287"/>
      <c r="M25" s="160"/>
      <c r="N25" s="161"/>
      <c r="O25" s="161"/>
      <c r="P25" s="288"/>
      <c r="Q25" s="156"/>
      <c r="R25" s="156"/>
      <c r="S25" s="157"/>
      <c r="T25" s="156"/>
      <c r="U25" s="156"/>
      <c r="V25" s="288"/>
      <c r="W25" s="288"/>
      <c r="X25" s="288"/>
      <c r="Y25" s="288"/>
      <c r="Z25" s="288"/>
      <c r="AA25" s="276"/>
      <c r="AB25" s="276"/>
      <c r="AC25" s="276"/>
      <c r="AD25" s="288"/>
      <c r="AE25" s="288"/>
      <c r="AF25" s="288"/>
      <c r="AG25" s="288"/>
    </row>
    <row r="26" spans="2:33" ht="13.5">
      <c r="B26" s="282">
        <v>7</v>
      </c>
      <c r="C26" s="282" t="s">
        <v>773</v>
      </c>
      <c r="D26" s="282" t="s">
        <v>773</v>
      </c>
      <c r="E26" s="282" t="s">
        <v>774</v>
      </c>
      <c r="F26" s="282" t="s">
        <v>441</v>
      </c>
      <c r="G26" s="282" t="s">
        <v>770</v>
      </c>
      <c r="H26" s="282" t="s">
        <v>535</v>
      </c>
      <c r="I26" s="282" t="s">
        <v>535</v>
      </c>
      <c r="J26" s="282" t="s">
        <v>535</v>
      </c>
      <c r="K26" s="282" t="s">
        <v>535</v>
      </c>
      <c r="L26" s="282" t="s">
        <v>535</v>
      </c>
      <c r="M26" s="154" t="s">
        <v>695</v>
      </c>
      <c r="N26" s="155" t="s">
        <v>759</v>
      </c>
      <c r="O26" s="155">
        <v>8</v>
      </c>
      <c r="P26" s="284" t="s">
        <v>759</v>
      </c>
      <c r="Q26" s="156" t="s">
        <v>775</v>
      </c>
      <c r="R26" s="156" t="s">
        <v>776</v>
      </c>
      <c r="S26" s="157"/>
      <c r="T26" s="156"/>
      <c r="U26" s="156"/>
      <c r="V26" s="284" t="s">
        <v>95</v>
      </c>
      <c r="W26" s="284" t="s">
        <v>381</v>
      </c>
      <c r="X26" s="284" t="s">
        <v>95</v>
      </c>
      <c r="Y26" s="284" t="s">
        <v>95</v>
      </c>
      <c r="Z26" s="284" t="s">
        <v>95</v>
      </c>
      <c r="AA26" s="274"/>
      <c r="AB26" s="274"/>
      <c r="AC26" s="274"/>
      <c r="AD26" s="284" t="s">
        <v>95</v>
      </c>
      <c r="AE26" s="284"/>
      <c r="AF26" s="284"/>
      <c r="AG26" s="284"/>
    </row>
    <row r="27" spans="2:33" ht="13.5">
      <c r="B27" s="285"/>
      <c r="C27" s="285"/>
      <c r="D27" s="285"/>
      <c r="E27" s="285"/>
      <c r="F27" s="285"/>
      <c r="G27" s="285"/>
      <c r="H27" s="285"/>
      <c r="I27" s="285"/>
      <c r="J27" s="285"/>
      <c r="K27" s="285"/>
      <c r="L27" s="285"/>
      <c r="M27" s="158"/>
      <c r="N27" s="159"/>
      <c r="O27" s="159"/>
      <c r="P27" s="286"/>
      <c r="Q27" s="156"/>
      <c r="R27" s="156"/>
      <c r="S27" s="157"/>
      <c r="T27" s="156"/>
      <c r="U27" s="156"/>
      <c r="V27" s="286"/>
      <c r="W27" s="286"/>
      <c r="X27" s="286"/>
      <c r="Y27" s="286"/>
      <c r="Z27" s="286"/>
      <c r="AA27" s="275"/>
      <c r="AB27" s="275"/>
      <c r="AC27" s="275"/>
      <c r="AD27" s="286"/>
      <c r="AE27" s="286"/>
      <c r="AF27" s="286"/>
      <c r="AG27" s="286"/>
    </row>
    <row r="28" spans="2:33" ht="13.5">
      <c r="B28" s="287"/>
      <c r="C28" s="287"/>
      <c r="D28" s="287"/>
      <c r="E28" s="287"/>
      <c r="F28" s="287"/>
      <c r="G28" s="287"/>
      <c r="H28" s="287"/>
      <c r="I28" s="287"/>
      <c r="J28" s="287"/>
      <c r="K28" s="287"/>
      <c r="L28" s="287"/>
      <c r="M28" s="160"/>
      <c r="N28" s="161"/>
      <c r="O28" s="161"/>
      <c r="P28" s="288"/>
      <c r="Q28" s="156"/>
      <c r="R28" s="156"/>
      <c r="S28" s="157"/>
      <c r="T28" s="156"/>
      <c r="U28" s="156"/>
      <c r="V28" s="288"/>
      <c r="W28" s="288"/>
      <c r="X28" s="288"/>
      <c r="Y28" s="288"/>
      <c r="Z28" s="288"/>
      <c r="AA28" s="276"/>
      <c r="AB28" s="276"/>
      <c r="AC28" s="276"/>
      <c r="AD28" s="288"/>
      <c r="AE28" s="288"/>
      <c r="AF28" s="288"/>
      <c r="AG28" s="288"/>
    </row>
    <row r="29" spans="2:33" ht="13.5">
      <c r="B29" s="282">
        <v>8</v>
      </c>
      <c r="C29" s="282" t="s">
        <v>777</v>
      </c>
      <c r="D29" s="282" t="s">
        <v>777</v>
      </c>
      <c r="E29" s="282" t="s">
        <v>774</v>
      </c>
      <c r="F29" s="282" t="s">
        <v>434</v>
      </c>
      <c r="G29" s="282" t="s">
        <v>770</v>
      </c>
      <c r="H29" s="282" t="s">
        <v>535</v>
      </c>
      <c r="I29" s="282" t="s">
        <v>535</v>
      </c>
      <c r="J29" s="282" t="s">
        <v>535</v>
      </c>
      <c r="K29" s="282" t="s">
        <v>535</v>
      </c>
      <c r="L29" s="282" t="s">
        <v>535</v>
      </c>
      <c r="M29" s="154" t="s">
        <v>695</v>
      </c>
      <c r="N29" s="155" t="s">
        <v>759</v>
      </c>
      <c r="O29" s="155">
        <v>8</v>
      </c>
      <c r="P29" s="284" t="s">
        <v>759</v>
      </c>
      <c r="Q29" s="156" t="s">
        <v>775</v>
      </c>
      <c r="R29" s="156" t="s">
        <v>776</v>
      </c>
      <c r="S29" s="157"/>
      <c r="T29" s="156"/>
      <c r="U29" s="156"/>
      <c r="V29" s="284" t="s">
        <v>95</v>
      </c>
      <c r="W29" s="284" t="s">
        <v>381</v>
      </c>
      <c r="X29" s="284" t="s">
        <v>95</v>
      </c>
      <c r="Y29" s="284" t="s">
        <v>95</v>
      </c>
      <c r="Z29" s="284" t="s">
        <v>95</v>
      </c>
      <c r="AA29" s="274"/>
      <c r="AB29" s="274"/>
      <c r="AC29" s="274"/>
      <c r="AD29" s="284" t="s">
        <v>95</v>
      </c>
      <c r="AE29" s="284"/>
      <c r="AF29" s="284"/>
      <c r="AG29" s="284"/>
    </row>
    <row r="30" spans="2:33" ht="13.5">
      <c r="B30" s="285"/>
      <c r="C30" s="285"/>
      <c r="D30" s="285"/>
      <c r="E30" s="285"/>
      <c r="F30" s="285"/>
      <c r="G30" s="285"/>
      <c r="H30" s="285"/>
      <c r="I30" s="285"/>
      <c r="J30" s="285"/>
      <c r="K30" s="285"/>
      <c r="L30" s="285"/>
      <c r="M30" s="158"/>
      <c r="N30" s="159"/>
      <c r="O30" s="159"/>
      <c r="P30" s="286"/>
      <c r="Q30" s="156"/>
      <c r="R30" s="156"/>
      <c r="S30" s="157"/>
      <c r="T30" s="156"/>
      <c r="U30" s="156"/>
      <c r="V30" s="286"/>
      <c r="W30" s="286"/>
      <c r="X30" s="286"/>
      <c r="Y30" s="286"/>
      <c r="Z30" s="286"/>
      <c r="AA30" s="275"/>
      <c r="AB30" s="275"/>
      <c r="AC30" s="275"/>
      <c r="AD30" s="286"/>
      <c r="AE30" s="286"/>
      <c r="AF30" s="286"/>
      <c r="AG30" s="286"/>
    </row>
    <row r="31" spans="2:33" ht="13.5">
      <c r="B31" s="287"/>
      <c r="C31" s="287"/>
      <c r="D31" s="287"/>
      <c r="E31" s="287"/>
      <c r="F31" s="287"/>
      <c r="G31" s="287"/>
      <c r="H31" s="287"/>
      <c r="I31" s="287"/>
      <c r="J31" s="287"/>
      <c r="K31" s="287"/>
      <c r="L31" s="287"/>
      <c r="M31" s="160"/>
      <c r="N31" s="161"/>
      <c r="O31" s="161"/>
      <c r="P31" s="288"/>
      <c r="Q31" s="156"/>
      <c r="R31" s="156"/>
      <c r="S31" s="157"/>
      <c r="T31" s="156"/>
      <c r="U31" s="156"/>
      <c r="V31" s="288"/>
      <c r="W31" s="288"/>
      <c r="X31" s="288"/>
      <c r="Y31" s="288"/>
      <c r="Z31" s="288"/>
      <c r="AA31" s="276"/>
      <c r="AB31" s="276"/>
      <c r="AC31" s="276"/>
      <c r="AD31" s="288"/>
      <c r="AE31" s="288"/>
      <c r="AF31" s="288"/>
      <c r="AG31" s="288"/>
    </row>
    <row r="32" spans="2:33" ht="13.5">
      <c r="B32" s="282">
        <v>9</v>
      </c>
      <c r="C32" s="283" t="s">
        <v>778</v>
      </c>
      <c r="D32" s="282" t="s">
        <v>778</v>
      </c>
      <c r="E32" s="282" t="s">
        <v>774</v>
      </c>
      <c r="F32" s="282" t="s">
        <v>441</v>
      </c>
      <c r="G32" s="282" t="s">
        <v>770</v>
      </c>
      <c r="H32" s="282" t="s">
        <v>535</v>
      </c>
      <c r="I32" s="282" t="s">
        <v>535</v>
      </c>
      <c r="J32" s="282" t="s">
        <v>535</v>
      </c>
      <c r="K32" s="282" t="s">
        <v>535</v>
      </c>
      <c r="L32" s="282" t="s">
        <v>535</v>
      </c>
      <c r="M32" s="154" t="s">
        <v>779</v>
      </c>
      <c r="N32" s="155" t="s">
        <v>780</v>
      </c>
      <c r="O32" s="155">
        <v>5</v>
      </c>
      <c r="P32" s="284" t="s">
        <v>781</v>
      </c>
      <c r="Q32" s="156" t="s">
        <v>775</v>
      </c>
      <c r="R32" s="156" t="s">
        <v>782</v>
      </c>
      <c r="S32" s="157"/>
      <c r="T32" s="156"/>
      <c r="U32" s="156"/>
      <c r="V32" s="284" t="s">
        <v>95</v>
      </c>
      <c r="W32" s="284" t="s">
        <v>95</v>
      </c>
      <c r="X32" s="284" t="s">
        <v>95</v>
      </c>
      <c r="Y32" s="284" t="s">
        <v>95</v>
      </c>
      <c r="Z32" s="284" t="s">
        <v>95</v>
      </c>
      <c r="AA32" s="274"/>
      <c r="AB32" s="274"/>
      <c r="AC32" s="274"/>
      <c r="AD32" s="284" t="s">
        <v>95</v>
      </c>
      <c r="AE32" s="284"/>
      <c r="AF32" s="284"/>
      <c r="AG32" s="284"/>
    </row>
    <row r="33" spans="2:33" ht="13.5">
      <c r="B33" s="285"/>
      <c r="C33" s="283"/>
      <c r="D33" s="285"/>
      <c r="E33" s="285"/>
      <c r="F33" s="285"/>
      <c r="G33" s="285"/>
      <c r="H33" s="285"/>
      <c r="I33" s="285"/>
      <c r="J33" s="285"/>
      <c r="K33" s="285"/>
      <c r="L33" s="285"/>
      <c r="M33" s="158" t="s">
        <v>695</v>
      </c>
      <c r="N33" s="159" t="s">
        <v>751</v>
      </c>
      <c r="O33" s="159">
        <v>9</v>
      </c>
      <c r="P33" s="286"/>
      <c r="Q33" s="156"/>
      <c r="R33" s="156"/>
      <c r="S33" s="157"/>
      <c r="T33" s="156"/>
      <c r="U33" s="156"/>
      <c r="V33" s="286"/>
      <c r="W33" s="286"/>
      <c r="X33" s="286"/>
      <c r="Y33" s="286"/>
      <c r="Z33" s="286"/>
      <c r="AA33" s="275"/>
      <c r="AB33" s="275"/>
      <c r="AC33" s="275"/>
      <c r="AD33" s="286"/>
      <c r="AE33" s="286"/>
      <c r="AF33" s="286"/>
      <c r="AG33" s="286"/>
    </row>
    <row r="34" spans="2:33" ht="13.5">
      <c r="B34" s="287"/>
      <c r="C34" s="283"/>
      <c r="D34" s="287"/>
      <c r="E34" s="287"/>
      <c r="F34" s="287"/>
      <c r="G34" s="287"/>
      <c r="H34" s="287"/>
      <c r="I34" s="287"/>
      <c r="J34" s="287"/>
      <c r="K34" s="287"/>
      <c r="L34" s="287"/>
      <c r="M34" s="160"/>
      <c r="N34" s="161"/>
      <c r="O34" s="161"/>
      <c r="P34" s="288"/>
      <c r="Q34" s="156"/>
      <c r="R34" s="156"/>
      <c r="S34" s="157"/>
      <c r="T34" s="156"/>
      <c r="U34" s="156"/>
      <c r="V34" s="288"/>
      <c r="W34" s="288"/>
      <c r="X34" s="288"/>
      <c r="Y34" s="288"/>
      <c r="Z34" s="288"/>
      <c r="AA34" s="276"/>
      <c r="AB34" s="276"/>
      <c r="AC34" s="276"/>
      <c r="AD34" s="288"/>
      <c r="AE34" s="288"/>
      <c r="AF34" s="288"/>
      <c r="AG34" s="288"/>
    </row>
    <row r="35" spans="2:33" ht="13.5">
      <c r="B35" s="282">
        <v>10</v>
      </c>
      <c r="C35" s="282" t="s">
        <v>783</v>
      </c>
      <c r="D35" s="282" t="s">
        <v>783</v>
      </c>
      <c r="E35" s="282" t="s">
        <v>774</v>
      </c>
      <c r="F35" s="282" t="s">
        <v>434</v>
      </c>
      <c r="G35" s="282" t="s">
        <v>770</v>
      </c>
      <c r="H35" s="282" t="s">
        <v>535</v>
      </c>
      <c r="I35" s="282" t="s">
        <v>535</v>
      </c>
      <c r="J35" s="282" t="s">
        <v>535</v>
      </c>
      <c r="K35" s="282" t="s">
        <v>535</v>
      </c>
      <c r="L35" s="282" t="s">
        <v>535</v>
      </c>
      <c r="M35" s="154" t="s">
        <v>779</v>
      </c>
      <c r="N35" s="155" t="s">
        <v>780</v>
      </c>
      <c r="O35" s="155">
        <v>5</v>
      </c>
      <c r="P35" s="284" t="s">
        <v>781</v>
      </c>
      <c r="Q35" s="156" t="s">
        <v>775</v>
      </c>
      <c r="R35" s="156" t="s">
        <v>782</v>
      </c>
      <c r="S35" s="157"/>
      <c r="T35" s="156"/>
      <c r="U35" s="156"/>
      <c r="V35" s="284" t="s">
        <v>95</v>
      </c>
      <c r="W35" s="284" t="s">
        <v>95</v>
      </c>
      <c r="X35" s="284" t="s">
        <v>95</v>
      </c>
      <c r="Y35" s="284" t="s">
        <v>95</v>
      </c>
      <c r="Z35" s="284" t="s">
        <v>95</v>
      </c>
      <c r="AA35" s="274"/>
      <c r="AB35" s="274"/>
      <c r="AC35" s="274"/>
      <c r="AD35" s="284" t="s">
        <v>95</v>
      </c>
      <c r="AE35" s="284"/>
      <c r="AF35" s="284"/>
      <c r="AG35" s="284"/>
    </row>
    <row r="36" spans="2:33" ht="13.5">
      <c r="B36" s="285"/>
      <c r="C36" s="285"/>
      <c r="D36" s="285"/>
      <c r="E36" s="285"/>
      <c r="F36" s="285"/>
      <c r="G36" s="285"/>
      <c r="H36" s="285"/>
      <c r="I36" s="285"/>
      <c r="J36" s="285"/>
      <c r="K36" s="285"/>
      <c r="L36" s="285"/>
      <c r="M36" s="158" t="s">
        <v>695</v>
      </c>
      <c r="N36" s="159" t="s">
        <v>751</v>
      </c>
      <c r="O36" s="159">
        <v>9</v>
      </c>
      <c r="P36" s="286"/>
      <c r="Q36" s="156"/>
      <c r="R36" s="156"/>
      <c r="S36" s="157"/>
      <c r="T36" s="156"/>
      <c r="U36" s="156"/>
      <c r="V36" s="286"/>
      <c r="W36" s="286"/>
      <c r="X36" s="286"/>
      <c r="Y36" s="286"/>
      <c r="Z36" s="286"/>
      <c r="AA36" s="275"/>
      <c r="AB36" s="275"/>
      <c r="AC36" s="275"/>
      <c r="AD36" s="286"/>
      <c r="AE36" s="286"/>
      <c r="AF36" s="286"/>
      <c r="AG36" s="286"/>
    </row>
    <row r="37" spans="2:33" ht="13.5">
      <c r="B37" s="287"/>
      <c r="C37" s="287"/>
      <c r="D37" s="287"/>
      <c r="E37" s="287"/>
      <c r="F37" s="287"/>
      <c r="G37" s="287"/>
      <c r="H37" s="287"/>
      <c r="I37" s="287"/>
      <c r="J37" s="287"/>
      <c r="K37" s="287"/>
      <c r="L37" s="287"/>
      <c r="M37" s="160"/>
      <c r="N37" s="161"/>
      <c r="O37" s="161"/>
      <c r="P37" s="288"/>
      <c r="Q37" s="156"/>
      <c r="R37" s="156"/>
      <c r="S37" s="157"/>
      <c r="T37" s="156"/>
      <c r="U37" s="156"/>
      <c r="V37" s="288"/>
      <c r="W37" s="288"/>
      <c r="X37" s="288"/>
      <c r="Y37" s="288"/>
      <c r="Z37" s="288"/>
      <c r="AA37" s="276"/>
      <c r="AB37" s="276"/>
      <c r="AC37" s="276"/>
      <c r="AD37" s="288"/>
      <c r="AE37" s="288"/>
      <c r="AF37" s="288"/>
      <c r="AG37" s="288"/>
    </row>
    <row r="38" spans="2:33" ht="13.5">
      <c r="B38" s="282">
        <v>11</v>
      </c>
      <c r="C38" s="282" t="s">
        <v>784</v>
      </c>
      <c r="D38" s="282" t="s">
        <v>784</v>
      </c>
      <c r="E38" s="282" t="s">
        <v>774</v>
      </c>
      <c r="F38" s="282" t="s">
        <v>441</v>
      </c>
      <c r="G38" s="282" t="s">
        <v>770</v>
      </c>
      <c r="H38" s="282" t="s">
        <v>535</v>
      </c>
      <c r="I38" s="282" t="s">
        <v>535</v>
      </c>
      <c r="J38" s="282" t="s">
        <v>535</v>
      </c>
      <c r="K38" s="282" t="s">
        <v>535</v>
      </c>
      <c r="L38" s="282" t="s">
        <v>535</v>
      </c>
      <c r="M38" s="154" t="s">
        <v>779</v>
      </c>
      <c r="N38" s="155" t="s">
        <v>785</v>
      </c>
      <c r="O38" s="155">
        <v>3</v>
      </c>
      <c r="P38" s="284" t="s">
        <v>786</v>
      </c>
      <c r="Q38" s="156" t="s">
        <v>787</v>
      </c>
      <c r="R38" s="156" t="s">
        <v>788</v>
      </c>
      <c r="S38" s="157"/>
      <c r="T38" s="156"/>
      <c r="U38" s="156"/>
      <c r="V38" s="284" t="s">
        <v>95</v>
      </c>
      <c r="W38" s="284" t="s">
        <v>95</v>
      </c>
      <c r="X38" s="284" t="s">
        <v>95</v>
      </c>
      <c r="Y38" s="284" t="s">
        <v>95</v>
      </c>
      <c r="Z38" s="284" t="s">
        <v>95</v>
      </c>
      <c r="AA38" s="274"/>
      <c r="AB38" s="274"/>
      <c r="AC38" s="274"/>
      <c r="AD38" s="284" t="s">
        <v>95</v>
      </c>
      <c r="AE38" s="284"/>
      <c r="AF38" s="284"/>
      <c r="AG38" s="284"/>
    </row>
    <row r="39" spans="2:33" ht="13.5">
      <c r="B39" s="285"/>
      <c r="C39" s="285"/>
      <c r="D39" s="285"/>
      <c r="E39" s="285"/>
      <c r="F39" s="285"/>
      <c r="G39" s="285"/>
      <c r="H39" s="285"/>
      <c r="I39" s="285"/>
      <c r="J39" s="285"/>
      <c r="K39" s="285"/>
      <c r="L39" s="285"/>
      <c r="M39" s="158" t="s">
        <v>695</v>
      </c>
      <c r="N39" s="159" t="s">
        <v>751</v>
      </c>
      <c r="O39" s="159">
        <v>9</v>
      </c>
      <c r="P39" s="286"/>
      <c r="Q39" s="156"/>
      <c r="R39" s="156"/>
      <c r="S39" s="157"/>
      <c r="T39" s="156"/>
      <c r="U39" s="156"/>
      <c r="V39" s="286"/>
      <c r="W39" s="286"/>
      <c r="X39" s="286"/>
      <c r="Y39" s="286"/>
      <c r="Z39" s="286"/>
      <c r="AA39" s="275"/>
      <c r="AB39" s="275"/>
      <c r="AC39" s="275"/>
      <c r="AD39" s="286"/>
      <c r="AE39" s="286"/>
      <c r="AF39" s="286"/>
      <c r="AG39" s="286"/>
    </row>
    <row r="40" spans="2:33" ht="13.5">
      <c r="B40" s="287"/>
      <c r="C40" s="287"/>
      <c r="D40" s="287"/>
      <c r="E40" s="287"/>
      <c r="F40" s="287"/>
      <c r="G40" s="287"/>
      <c r="H40" s="287"/>
      <c r="I40" s="287"/>
      <c r="J40" s="287"/>
      <c r="K40" s="287"/>
      <c r="L40" s="287"/>
      <c r="M40" s="160"/>
      <c r="N40" s="161"/>
      <c r="O40" s="161"/>
      <c r="P40" s="288"/>
      <c r="Q40" s="156"/>
      <c r="R40" s="156"/>
      <c r="S40" s="157"/>
      <c r="T40" s="156"/>
      <c r="U40" s="156"/>
      <c r="V40" s="288"/>
      <c r="W40" s="288"/>
      <c r="X40" s="288"/>
      <c r="Y40" s="288"/>
      <c r="Z40" s="288"/>
      <c r="AA40" s="276"/>
      <c r="AB40" s="276"/>
      <c r="AC40" s="276"/>
      <c r="AD40" s="288"/>
      <c r="AE40" s="288"/>
      <c r="AF40" s="288"/>
      <c r="AG40" s="288"/>
    </row>
    <row r="41" spans="2:33" ht="13.5">
      <c r="B41" s="282">
        <v>12</v>
      </c>
      <c r="C41" s="283" t="s">
        <v>789</v>
      </c>
      <c r="D41" s="282" t="s">
        <v>789</v>
      </c>
      <c r="E41" s="282" t="s">
        <v>774</v>
      </c>
      <c r="F41" s="282" t="s">
        <v>434</v>
      </c>
      <c r="G41" s="282" t="s">
        <v>770</v>
      </c>
      <c r="H41" s="282" t="s">
        <v>535</v>
      </c>
      <c r="I41" s="282" t="s">
        <v>535</v>
      </c>
      <c r="J41" s="282" t="s">
        <v>535</v>
      </c>
      <c r="K41" s="282" t="s">
        <v>535</v>
      </c>
      <c r="L41" s="282" t="s">
        <v>535</v>
      </c>
      <c r="M41" s="154" t="s">
        <v>779</v>
      </c>
      <c r="N41" s="155" t="s">
        <v>785</v>
      </c>
      <c r="O41" s="155">
        <v>3</v>
      </c>
      <c r="P41" s="284" t="s">
        <v>786</v>
      </c>
      <c r="Q41" s="156" t="s">
        <v>787</v>
      </c>
      <c r="R41" s="156" t="s">
        <v>788</v>
      </c>
      <c r="S41" s="157"/>
      <c r="T41" s="156"/>
      <c r="U41" s="156"/>
      <c r="V41" s="284" t="s">
        <v>95</v>
      </c>
      <c r="W41" s="284" t="s">
        <v>95</v>
      </c>
      <c r="X41" s="284" t="s">
        <v>95</v>
      </c>
      <c r="Y41" s="284" t="s">
        <v>95</v>
      </c>
      <c r="Z41" s="284" t="s">
        <v>95</v>
      </c>
      <c r="AA41" s="274"/>
      <c r="AB41" s="274"/>
      <c r="AC41" s="274"/>
      <c r="AD41" s="284" t="s">
        <v>95</v>
      </c>
      <c r="AE41" s="284"/>
      <c r="AF41" s="284"/>
      <c r="AG41" s="284"/>
    </row>
    <row r="42" spans="2:33" ht="13.5">
      <c r="B42" s="285"/>
      <c r="C42" s="283"/>
      <c r="D42" s="285"/>
      <c r="E42" s="285"/>
      <c r="F42" s="285"/>
      <c r="G42" s="285"/>
      <c r="H42" s="285"/>
      <c r="I42" s="285"/>
      <c r="J42" s="285"/>
      <c r="K42" s="285"/>
      <c r="L42" s="285"/>
      <c r="M42" s="158" t="s">
        <v>695</v>
      </c>
      <c r="N42" s="159" t="s">
        <v>751</v>
      </c>
      <c r="O42" s="159">
        <v>9</v>
      </c>
      <c r="P42" s="286"/>
      <c r="Q42" s="156"/>
      <c r="R42" s="156"/>
      <c r="S42" s="157"/>
      <c r="T42" s="156"/>
      <c r="U42" s="156"/>
      <c r="V42" s="286"/>
      <c r="W42" s="286"/>
      <c r="X42" s="286"/>
      <c r="Y42" s="286"/>
      <c r="Z42" s="286"/>
      <c r="AA42" s="275"/>
      <c r="AB42" s="275"/>
      <c r="AC42" s="275"/>
      <c r="AD42" s="286"/>
      <c r="AE42" s="286"/>
      <c r="AF42" s="286"/>
      <c r="AG42" s="286"/>
    </row>
    <row r="43" spans="2:33" ht="13.5">
      <c r="B43" s="287"/>
      <c r="C43" s="283"/>
      <c r="D43" s="287"/>
      <c r="E43" s="287"/>
      <c r="F43" s="287"/>
      <c r="G43" s="287"/>
      <c r="H43" s="287"/>
      <c r="I43" s="287"/>
      <c r="J43" s="287"/>
      <c r="K43" s="287"/>
      <c r="L43" s="287"/>
      <c r="M43" s="160"/>
      <c r="N43" s="161"/>
      <c r="O43" s="161"/>
      <c r="P43" s="288"/>
      <c r="Q43" s="156"/>
      <c r="R43" s="156"/>
      <c r="S43" s="157"/>
      <c r="T43" s="156"/>
      <c r="U43" s="156"/>
      <c r="V43" s="288"/>
      <c r="W43" s="288"/>
      <c r="X43" s="288"/>
      <c r="Y43" s="288"/>
      <c r="Z43" s="288"/>
      <c r="AA43" s="276"/>
      <c r="AB43" s="276"/>
      <c r="AC43" s="276"/>
      <c r="AD43" s="288"/>
      <c r="AE43" s="288"/>
      <c r="AF43" s="288"/>
      <c r="AG43" s="288"/>
    </row>
    <row r="44" spans="2:33" ht="13.5">
      <c r="B44" s="282">
        <v>13</v>
      </c>
      <c r="C44" s="282" t="s">
        <v>790</v>
      </c>
      <c r="D44" s="282" t="s">
        <v>790</v>
      </c>
      <c r="E44" s="282" t="s">
        <v>774</v>
      </c>
      <c r="F44" s="282" t="s">
        <v>441</v>
      </c>
      <c r="G44" s="282" t="s">
        <v>770</v>
      </c>
      <c r="H44" s="282" t="s">
        <v>535</v>
      </c>
      <c r="I44" s="282" t="s">
        <v>535</v>
      </c>
      <c r="J44" s="282" t="s">
        <v>535</v>
      </c>
      <c r="K44" s="282" t="s">
        <v>535</v>
      </c>
      <c r="L44" s="282" t="s">
        <v>535</v>
      </c>
      <c r="M44" s="154" t="s">
        <v>779</v>
      </c>
      <c r="N44" s="155" t="s">
        <v>791</v>
      </c>
      <c r="O44" s="155">
        <v>3</v>
      </c>
      <c r="P44" s="284" t="s">
        <v>792</v>
      </c>
      <c r="Q44" s="156" t="s">
        <v>787</v>
      </c>
      <c r="R44" s="156" t="s">
        <v>793</v>
      </c>
      <c r="S44" s="157"/>
      <c r="T44" s="156"/>
      <c r="U44" s="156"/>
      <c r="V44" s="284" t="s">
        <v>95</v>
      </c>
      <c r="W44" s="284" t="s">
        <v>95</v>
      </c>
      <c r="X44" s="284" t="s">
        <v>95</v>
      </c>
      <c r="Y44" s="284" t="s">
        <v>95</v>
      </c>
      <c r="Z44" s="284" t="s">
        <v>95</v>
      </c>
      <c r="AA44" s="274"/>
      <c r="AB44" s="274"/>
      <c r="AC44" s="274"/>
      <c r="AD44" s="284" t="s">
        <v>95</v>
      </c>
      <c r="AE44" s="284"/>
      <c r="AF44" s="284"/>
      <c r="AG44" s="284"/>
    </row>
    <row r="45" spans="2:33" ht="13.5">
      <c r="B45" s="285"/>
      <c r="C45" s="285"/>
      <c r="D45" s="285"/>
      <c r="E45" s="285"/>
      <c r="F45" s="285"/>
      <c r="G45" s="285"/>
      <c r="H45" s="285"/>
      <c r="I45" s="285"/>
      <c r="J45" s="285"/>
      <c r="K45" s="285"/>
      <c r="L45" s="285"/>
      <c r="M45" s="158" t="s">
        <v>695</v>
      </c>
      <c r="N45" s="159" t="s">
        <v>751</v>
      </c>
      <c r="O45" s="159">
        <v>9</v>
      </c>
      <c r="P45" s="286"/>
      <c r="Q45" s="156"/>
      <c r="R45" s="156"/>
      <c r="S45" s="157"/>
      <c r="T45" s="156"/>
      <c r="U45" s="156"/>
      <c r="V45" s="286"/>
      <c r="W45" s="286"/>
      <c r="X45" s="286"/>
      <c r="Y45" s="286"/>
      <c r="Z45" s="286"/>
      <c r="AA45" s="275"/>
      <c r="AB45" s="275"/>
      <c r="AC45" s="275"/>
      <c r="AD45" s="286"/>
      <c r="AE45" s="286"/>
      <c r="AF45" s="286"/>
      <c r="AG45" s="286"/>
    </row>
    <row r="46" spans="2:33" ht="13.5">
      <c r="B46" s="287"/>
      <c r="C46" s="287"/>
      <c r="D46" s="287"/>
      <c r="E46" s="287"/>
      <c r="F46" s="287"/>
      <c r="G46" s="287"/>
      <c r="H46" s="287"/>
      <c r="I46" s="287"/>
      <c r="J46" s="287"/>
      <c r="K46" s="287"/>
      <c r="L46" s="287"/>
      <c r="M46" s="160"/>
      <c r="N46" s="161"/>
      <c r="O46" s="161"/>
      <c r="P46" s="288"/>
      <c r="Q46" s="156"/>
      <c r="R46" s="156"/>
      <c r="S46" s="157"/>
      <c r="T46" s="156"/>
      <c r="U46" s="156"/>
      <c r="V46" s="288"/>
      <c r="W46" s="288"/>
      <c r="X46" s="288"/>
      <c r="Y46" s="288"/>
      <c r="Z46" s="288"/>
      <c r="AA46" s="276"/>
      <c r="AB46" s="276"/>
      <c r="AC46" s="276"/>
      <c r="AD46" s="288"/>
      <c r="AE46" s="288"/>
      <c r="AF46" s="288"/>
      <c r="AG46" s="288"/>
    </row>
    <row r="47" spans="2:33" ht="13.5">
      <c r="B47" s="282">
        <v>14</v>
      </c>
      <c r="C47" s="282" t="s">
        <v>794</v>
      </c>
      <c r="D47" s="282" t="s">
        <v>794</v>
      </c>
      <c r="E47" s="282" t="s">
        <v>774</v>
      </c>
      <c r="F47" s="282" t="s">
        <v>434</v>
      </c>
      <c r="G47" s="282" t="s">
        <v>770</v>
      </c>
      <c r="H47" s="282" t="s">
        <v>535</v>
      </c>
      <c r="I47" s="282" t="s">
        <v>535</v>
      </c>
      <c r="J47" s="282" t="s">
        <v>535</v>
      </c>
      <c r="K47" s="282" t="s">
        <v>535</v>
      </c>
      <c r="L47" s="282" t="s">
        <v>535</v>
      </c>
      <c r="M47" s="154" t="s">
        <v>779</v>
      </c>
      <c r="N47" s="155" t="s">
        <v>791</v>
      </c>
      <c r="O47" s="155">
        <v>3</v>
      </c>
      <c r="P47" s="284" t="s">
        <v>792</v>
      </c>
      <c r="Q47" s="156" t="s">
        <v>787</v>
      </c>
      <c r="R47" s="156" t="s">
        <v>793</v>
      </c>
      <c r="S47" s="157"/>
      <c r="T47" s="156"/>
      <c r="U47" s="156"/>
      <c r="V47" s="284" t="s">
        <v>95</v>
      </c>
      <c r="W47" s="284" t="s">
        <v>95</v>
      </c>
      <c r="X47" s="284" t="s">
        <v>95</v>
      </c>
      <c r="Y47" s="284" t="s">
        <v>95</v>
      </c>
      <c r="Z47" s="284" t="s">
        <v>95</v>
      </c>
      <c r="AA47" s="274"/>
      <c r="AB47" s="274"/>
      <c r="AC47" s="274"/>
      <c r="AD47" s="284" t="s">
        <v>95</v>
      </c>
      <c r="AE47" s="284"/>
      <c r="AF47" s="284"/>
      <c r="AG47" s="284"/>
    </row>
    <row r="48" spans="2:33" ht="13.5">
      <c r="B48" s="285"/>
      <c r="C48" s="285"/>
      <c r="D48" s="285"/>
      <c r="E48" s="285"/>
      <c r="F48" s="285"/>
      <c r="G48" s="285"/>
      <c r="H48" s="285"/>
      <c r="I48" s="285"/>
      <c r="J48" s="285"/>
      <c r="K48" s="285"/>
      <c r="L48" s="285"/>
      <c r="M48" s="158" t="s">
        <v>695</v>
      </c>
      <c r="N48" s="159" t="s">
        <v>751</v>
      </c>
      <c r="O48" s="159">
        <v>9</v>
      </c>
      <c r="P48" s="286"/>
      <c r="Q48" s="156"/>
      <c r="R48" s="156"/>
      <c r="S48" s="157"/>
      <c r="T48" s="156"/>
      <c r="U48" s="156"/>
      <c r="V48" s="286"/>
      <c r="W48" s="286"/>
      <c r="X48" s="286"/>
      <c r="Y48" s="286"/>
      <c r="Z48" s="286"/>
      <c r="AA48" s="275"/>
      <c r="AB48" s="275"/>
      <c r="AC48" s="275"/>
      <c r="AD48" s="286"/>
      <c r="AE48" s="286"/>
      <c r="AF48" s="286"/>
      <c r="AG48" s="286"/>
    </row>
    <row r="49" spans="2:33" ht="13.5">
      <c r="B49" s="287"/>
      <c r="C49" s="287"/>
      <c r="D49" s="287"/>
      <c r="E49" s="287"/>
      <c r="F49" s="287"/>
      <c r="G49" s="287"/>
      <c r="H49" s="287"/>
      <c r="I49" s="287"/>
      <c r="J49" s="287"/>
      <c r="K49" s="287"/>
      <c r="L49" s="287"/>
      <c r="M49" s="160"/>
      <c r="N49" s="161"/>
      <c r="O49" s="161"/>
      <c r="P49" s="288"/>
      <c r="Q49" s="156"/>
      <c r="R49" s="156"/>
      <c r="S49" s="157"/>
      <c r="T49" s="156"/>
      <c r="U49" s="156"/>
      <c r="V49" s="288"/>
      <c r="W49" s="288"/>
      <c r="X49" s="288"/>
      <c r="Y49" s="288"/>
      <c r="Z49" s="288"/>
      <c r="AA49" s="276"/>
      <c r="AB49" s="276"/>
      <c r="AC49" s="276"/>
      <c r="AD49" s="288"/>
      <c r="AE49" s="288"/>
      <c r="AF49" s="288"/>
      <c r="AG49" s="288"/>
    </row>
    <row r="50" spans="2:33" ht="13.5">
      <c r="B50" s="282">
        <v>15</v>
      </c>
      <c r="C50" s="282" t="s">
        <v>795</v>
      </c>
      <c r="D50" s="282" t="s">
        <v>795</v>
      </c>
      <c r="E50" s="282" t="s">
        <v>774</v>
      </c>
      <c r="F50" s="282" t="s">
        <v>441</v>
      </c>
      <c r="G50" s="282" t="s">
        <v>770</v>
      </c>
      <c r="H50" s="282" t="s">
        <v>535</v>
      </c>
      <c r="I50" s="282" t="s">
        <v>535</v>
      </c>
      <c r="J50" s="282" t="s">
        <v>535</v>
      </c>
      <c r="K50" s="282" t="s">
        <v>535</v>
      </c>
      <c r="L50" s="282" t="s">
        <v>535</v>
      </c>
      <c r="M50" s="154" t="s">
        <v>779</v>
      </c>
      <c r="N50" s="155" t="s">
        <v>796</v>
      </c>
      <c r="O50" s="155">
        <v>5</v>
      </c>
      <c r="P50" s="284" t="s">
        <v>797</v>
      </c>
      <c r="Q50" s="156" t="s">
        <v>787</v>
      </c>
      <c r="R50" s="156" t="s">
        <v>798</v>
      </c>
      <c r="S50" s="157"/>
      <c r="T50" s="156" t="s">
        <v>793</v>
      </c>
      <c r="U50" s="156"/>
      <c r="V50" s="284" t="s">
        <v>95</v>
      </c>
      <c r="W50" s="284" t="s">
        <v>95</v>
      </c>
      <c r="X50" s="284" t="s">
        <v>95</v>
      </c>
      <c r="Y50" s="284" t="s">
        <v>95</v>
      </c>
      <c r="Z50" s="284" t="s">
        <v>95</v>
      </c>
      <c r="AA50" s="274"/>
      <c r="AB50" s="274"/>
      <c r="AC50" s="274"/>
      <c r="AD50" s="284" t="s">
        <v>95</v>
      </c>
      <c r="AE50" s="284"/>
      <c r="AF50" s="284"/>
      <c r="AG50" s="284"/>
    </row>
    <row r="51" spans="2:33" ht="13.5">
      <c r="B51" s="285"/>
      <c r="C51" s="285"/>
      <c r="D51" s="285"/>
      <c r="E51" s="285"/>
      <c r="F51" s="285"/>
      <c r="G51" s="285"/>
      <c r="H51" s="285"/>
      <c r="I51" s="285"/>
      <c r="J51" s="285"/>
      <c r="K51" s="285"/>
      <c r="L51" s="285"/>
      <c r="M51" s="158" t="s">
        <v>695</v>
      </c>
      <c r="N51" s="159" t="s">
        <v>751</v>
      </c>
      <c r="O51" s="159">
        <v>9</v>
      </c>
      <c r="P51" s="286"/>
      <c r="Q51" s="156"/>
      <c r="R51" s="156"/>
      <c r="S51" s="157"/>
      <c r="T51" s="156"/>
      <c r="U51" s="156"/>
      <c r="V51" s="286"/>
      <c r="W51" s="286"/>
      <c r="X51" s="286"/>
      <c r="Y51" s="286"/>
      <c r="Z51" s="286"/>
      <c r="AA51" s="275"/>
      <c r="AB51" s="275"/>
      <c r="AC51" s="275"/>
      <c r="AD51" s="286"/>
      <c r="AE51" s="286"/>
      <c r="AF51" s="286"/>
      <c r="AG51" s="286"/>
    </row>
    <row r="52" spans="2:33" ht="13.5">
      <c r="B52" s="287"/>
      <c r="C52" s="287"/>
      <c r="D52" s="287"/>
      <c r="E52" s="287"/>
      <c r="F52" s="287"/>
      <c r="G52" s="287"/>
      <c r="H52" s="287"/>
      <c r="I52" s="287"/>
      <c r="J52" s="287"/>
      <c r="K52" s="287"/>
      <c r="L52" s="287"/>
      <c r="M52" s="160"/>
      <c r="N52" s="161"/>
      <c r="O52" s="161"/>
      <c r="P52" s="288"/>
      <c r="Q52" s="156"/>
      <c r="R52" s="156"/>
      <c r="S52" s="157"/>
      <c r="T52" s="156"/>
      <c r="U52" s="156"/>
      <c r="V52" s="288"/>
      <c r="W52" s="288"/>
      <c r="X52" s="288"/>
      <c r="Y52" s="288"/>
      <c r="Z52" s="288"/>
      <c r="AA52" s="276"/>
      <c r="AB52" s="276"/>
      <c r="AC52" s="276"/>
      <c r="AD52" s="288"/>
      <c r="AE52" s="288"/>
      <c r="AF52" s="288"/>
      <c r="AG52" s="288"/>
    </row>
    <row r="53" spans="2:33" ht="13.5">
      <c r="B53" s="282">
        <v>16</v>
      </c>
      <c r="C53" s="282" t="s">
        <v>799</v>
      </c>
      <c r="D53" s="282" t="s">
        <v>799</v>
      </c>
      <c r="E53" s="282" t="s">
        <v>774</v>
      </c>
      <c r="F53" s="282" t="s">
        <v>434</v>
      </c>
      <c r="G53" s="282" t="s">
        <v>770</v>
      </c>
      <c r="H53" s="282" t="s">
        <v>535</v>
      </c>
      <c r="I53" s="282" t="s">
        <v>535</v>
      </c>
      <c r="J53" s="282" t="s">
        <v>535</v>
      </c>
      <c r="K53" s="282" t="s">
        <v>535</v>
      </c>
      <c r="L53" s="282" t="s">
        <v>535</v>
      </c>
      <c r="M53" s="154" t="s">
        <v>779</v>
      </c>
      <c r="N53" s="155" t="s">
        <v>796</v>
      </c>
      <c r="O53" s="155">
        <v>5</v>
      </c>
      <c r="P53" s="284" t="s">
        <v>797</v>
      </c>
      <c r="Q53" s="156" t="s">
        <v>787</v>
      </c>
      <c r="R53" s="156" t="s">
        <v>798</v>
      </c>
      <c r="S53" s="157"/>
      <c r="T53" s="156" t="s">
        <v>793</v>
      </c>
      <c r="U53" s="156"/>
      <c r="V53" s="284" t="s">
        <v>95</v>
      </c>
      <c r="W53" s="284" t="s">
        <v>95</v>
      </c>
      <c r="X53" s="284" t="s">
        <v>95</v>
      </c>
      <c r="Y53" s="284" t="s">
        <v>95</v>
      </c>
      <c r="Z53" s="284" t="s">
        <v>95</v>
      </c>
      <c r="AA53" s="274"/>
      <c r="AB53" s="274"/>
      <c r="AC53" s="274"/>
      <c r="AD53" s="284" t="s">
        <v>95</v>
      </c>
      <c r="AE53" s="284"/>
      <c r="AF53" s="284"/>
      <c r="AG53" s="284"/>
    </row>
    <row r="54" spans="2:33" ht="13.5">
      <c r="B54" s="285"/>
      <c r="C54" s="285"/>
      <c r="D54" s="285"/>
      <c r="E54" s="285"/>
      <c r="F54" s="285"/>
      <c r="G54" s="285"/>
      <c r="H54" s="285"/>
      <c r="I54" s="285"/>
      <c r="J54" s="285"/>
      <c r="K54" s="285"/>
      <c r="L54" s="285"/>
      <c r="M54" s="158" t="s">
        <v>695</v>
      </c>
      <c r="N54" s="159" t="s">
        <v>751</v>
      </c>
      <c r="O54" s="159">
        <v>9</v>
      </c>
      <c r="P54" s="286"/>
      <c r="Q54" s="156"/>
      <c r="R54" s="156"/>
      <c r="S54" s="157"/>
      <c r="T54" s="156"/>
      <c r="U54" s="156"/>
      <c r="V54" s="286"/>
      <c r="W54" s="286"/>
      <c r="X54" s="286"/>
      <c r="Y54" s="286"/>
      <c r="Z54" s="286"/>
      <c r="AA54" s="275"/>
      <c r="AB54" s="275"/>
      <c r="AC54" s="275"/>
      <c r="AD54" s="286"/>
      <c r="AE54" s="286"/>
      <c r="AF54" s="286"/>
      <c r="AG54" s="286"/>
    </row>
    <row r="55" spans="2:33" ht="13.5">
      <c r="B55" s="287"/>
      <c r="C55" s="287"/>
      <c r="D55" s="287"/>
      <c r="E55" s="287"/>
      <c r="F55" s="287"/>
      <c r="G55" s="287"/>
      <c r="H55" s="287"/>
      <c r="I55" s="287"/>
      <c r="J55" s="287"/>
      <c r="K55" s="287"/>
      <c r="L55" s="287"/>
      <c r="M55" s="160"/>
      <c r="N55" s="161"/>
      <c r="O55" s="161"/>
      <c r="P55" s="288"/>
      <c r="Q55" s="156"/>
      <c r="R55" s="156"/>
      <c r="S55" s="157"/>
      <c r="T55" s="156"/>
      <c r="U55" s="156"/>
      <c r="V55" s="288"/>
      <c r="W55" s="288"/>
      <c r="X55" s="288"/>
      <c r="Y55" s="288"/>
      <c r="Z55" s="288"/>
      <c r="AA55" s="276"/>
      <c r="AB55" s="276"/>
      <c r="AC55" s="276"/>
      <c r="AD55" s="288"/>
      <c r="AE55" s="288"/>
      <c r="AF55" s="288"/>
      <c r="AG55" s="288"/>
    </row>
    <row r="56" spans="2:33" ht="13.5">
      <c r="B56" s="282">
        <v>17</v>
      </c>
      <c r="C56" s="282" t="s">
        <v>800</v>
      </c>
      <c r="D56" s="282" t="s">
        <v>800</v>
      </c>
      <c r="E56" s="282" t="s">
        <v>774</v>
      </c>
      <c r="F56" s="282" t="s">
        <v>441</v>
      </c>
      <c r="G56" s="282" t="s">
        <v>770</v>
      </c>
      <c r="H56" s="282" t="s">
        <v>535</v>
      </c>
      <c r="I56" s="282" t="s">
        <v>535</v>
      </c>
      <c r="J56" s="282" t="s">
        <v>535</v>
      </c>
      <c r="K56" s="282" t="s">
        <v>535</v>
      </c>
      <c r="L56" s="282" t="s">
        <v>535</v>
      </c>
      <c r="M56" s="154" t="s">
        <v>779</v>
      </c>
      <c r="N56" s="155" t="s">
        <v>801</v>
      </c>
      <c r="O56" s="155">
        <v>3</v>
      </c>
      <c r="P56" s="284" t="s">
        <v>802</v>
      </c>
      <c r="Q56" s="156" t="s">
        <v>787</v>
      </c>
      <c r="R56" s="156" t="s">
        <v>803</v>
      </c>
      <c r="S56" s="157"/>
      <c r="T56" s="156"/>
      <c r="U56" s="156"/>
      <c r="V56" s="284" t="s">
        <v>95</v>
      </c>
      <c r="W56" s="284" t="s">
        <v>95</v>
      </c>
      <c r="X56" s="284" t="s">
        <v>95</v>
      </c>
      <c r="Y56" s="284" t="s">
        <v>95</v>
      </c>
      <c r="Z56" s="284" t="s">
        <v>95</v>
      </c>
      <c r="AA56" s="274"/>
      <c r="AB56" s="274"/>
      <c r="AC56" s="274"/>
      <c r="AD56" s="284" t="s">
        <v>95</v>
      </c>
      <c r="AE56" s="284"/>
      <c r="AF56" s="284"/>
      <c r="AG56" s="284"/>
    </row>
    <row r="57" spans="2:33" ht="13.5">
      <c r="B57" s="285"/>
      <c r="C57" s="285"/>
      <c r="D57" s="285"/>
      <c r="E57" s="285"/>
      <c r="F57" s="285"/>
      <c r="G57" s="285"/>
      <c r="H57" s="285"/>
      <c r="I57" s="285"/>
      <c r="J57" s="285"/>
      <c r="K57" s="285"/>
      <c r="L57" s="285"/>
      <c r="M57" s="158" t="s">
        <v>695</v>
      </c>
      <c r="N57" s="159" t="s">
        <v>751</v>
      </c>
      <c r="O57" s="159">
        <v>9</v>
      </c>
      <c r="P57" s="286"/>
      <c r="Q57" s="156"/>
      <c r="R57" s="156"/>
      <c r="S57" s="157"/>
      <c r="T57" s="156"/>
      <c r="U57" s="156"/>
      <c r="V57" s="286"/>
      <c r="W57" s="286"/>
      <c r="X57" s="286"/>
      <c r="Y57" s="286"/>
      <c r="Z57" s="286"/>
      <c r="AA57" s="275"/>
      <c r="AB57" s="275"/>
      <c r="AC57" s="275"/>
      <c r="AD57" s="286"/>
      <c r="AE57" s="286"/>
      <c r="AF57" s="286"/>
      <c r="AG57" s="286"/>
    </row>
    <row r="58" spans="2:33" ht="13.5">
      <c r="B58" s="287"/>
      <c r="C58" s="287"/>
      <c r="D58" s="287"/>
      <c r="E58" s="287"/>
      <c r="F58" s="287"/>
      <c r="G58" s="287"/>
      <c r="H58" s="287"/>
      <c r="I58" s="287"/>
      <c r="J58" s="287"/>
      <c r="K58" s="287"/>
      <c r="L58" s="287"/>
      <c r="M58" s="160"/>
      <c r="N58" s="161"/>
      <c r="O58" s="161"/>
      <c r="P58" s="288"/>
      <c r="Q58" s="156"/>
      <c r="R58" s="156"/>
      <c r="S58" s="157"/>
      <c r="T58" s="156"/>
      <c r="U58" s="156"/>
      <c r="V58" s="288"/>
      <c r="W58" s="288"/>
      <c r="X58" s="288"/>
      <c r="Y58" s="288"/>
      <c r="Z58" s="288"/>
      <c r="AA58" s="276"/>
      <c r="AB58" s="276"/>
      <c r="AC58" s="276"/>
      <c r="AD58" s="288"/>
      <c r="AE58" s="288"/>
      <c r="AF58" s="288"/>
      <c r="AG58" s="288"/>
    </row>
    <row r="59" spans="2:33" ht="13.5">
      <c r="B59" s="282">
        <v>18</v>
      </c>
      <c r="C59" s="282" t="s">
        <v>804</v>
      </c>
      <c r="D59" s="282" t="s">
        <v>804</v>
      </c>
      <c r="E59" s="282" t="s">
        <v>774</v>
      </c>
      <c r="F59" s="282" t="s">
        <v>434</v>
      </c>
      <c r="G59" s="282" t="s">
        <v>770</v>
      </c>
      <c r="H59" s="282" t="s">
        <v>535</v>
      </c>
      <c r="I59" s="282" t="s">
        <v>535</v>
      </c>
      <c r="J59" s="282" t="s">
        <v>535</v>
      </c>
      <c r="K59" s="282" t="s">
        <v>535</v>
      </c>
      <c r="L59" s="282" t="s">
        <v>535</v>
      </c>
      <c r="M59" s="154" t="s">
        <v>779</v>
      </c>
      <c r="N59" s="155" t="s">
        <v>801</v>
      </c>
      <c r="O59" s="155">
        <v>3</v>
      </c>
      <c r="P59" s="284" t="s">
        <v>802</v>
      </c>
      <c r="Q59" s="156" t="s">
        <v>787</v>
      </c>
      <c r="R59" s="156" t="s">
        <v>803</v>
      </c>
      <c r="S59" s="157"/>
      <c r="T59" s="156"/>
      <c r="U59" s="156"/>
      <c r="V59" s="284" t="s">
        <v>95</v>
      </c>
      <c r="W59" s="284" t="s">
        <v>95</v>
      </c>
      <c r="X59" s="284" t="s">
        <v>95</v>
      </c>
      <c r="Y59" s="284" t="s">
        <v>95</v>
      </c>
      <c r="Z59" s="284" t="s">
        <v>95</v>
      </c>
      <c r="AA59" s="274"/>
      <c r="AB59" s="274"/>
      <c r="AC59" s="274"/>
      <c r="AD59" s="284" t="s">
        <v>95</v>
      </c>
      <c r="AE59" s="284"/>
      <c r="AF59" s="284"/>
      <c r="AG59" s="284"/>
    </row>
    <row r="60" spans="2:33" ht="13.5">
      <c r="B60" s="285"/>
      <c r="C60" s="285"/>
      <c r="D60" s="285"/>
      <c r="E60" s="285"/>
      <c r="F60" s="285"/>
      <c r="G60" s="285"/>
      <c r="H60" s="285"/>
      <c r="I60" s="285"/>
      <c r="J60" s="285"/>
      <c r="K60" s="285"/>
      <c r="L60" s="285"/>
      <c r="M60" s="158" t="s">
        <v>695</v>
      </c>
      <c r="N60" s="159" t="s">
        <v>751</v>
      </c>
      <c r="O60" s="159">
        <v>9</v>
      </c>
      <c r="P60" s="286"/>
      <c r="Q60" s="156"/>
      <c r="R60" s="156"/>
      <c r="S60" s="157"/>
      <c r="T60" s="156"/>
      <c r="U60" s="156"/>
      <c r="V60" s="286"/>
      <c r="W60" s="286"/>
      <c r="X60" s="286"/>
      <c r="Y60" s="286"/>
      <c r="Z60" s="286"/>
      <c r="AA60" s="275"/>
      <c r="AB60" s="275"/>
      <c r="AC60" s="275"/>
      <c r="AD60" s="286"/>
      <c r="AE60" s="286"/>
      <c r="AF60" s="286"/>
      <c r="AG60" s="286"/>
    </row>
    <row r="61" spans="2:33" ht="13.5">
      <c r="B61" s="287"/>
      <c r="C61" s="287"/>
      <c r="D61" s="287"/>
      <c r="E61" s="287"/>
      <c r="F61" s="287"/>
      <c r="G61" s="287"/>
      <c r="H61" s="287"/>
      <c r="I61" s="287"/>
      <c r="J61" s="287"/>
      <c r="K61" s="287"/>
      <c r="L61" s="287"/>
      <c r="M61" s="160"/>
      <c r="N61" s="161"/>
      <c r="O61" s="161"/>
      <c r="P61" s="288"/>
      <c r="Q61" s="156"/>
      <c r="R61" s="156"/>
      <c r="S61" s="157"/>
      <c r="T61" s="156"/>
      <c r="U61" s="156"/>
      <c r="V61" s="288"/>
      <c r="W61" s="288"/>
      <c r="X61" s="288"/>
      <c r="Y61" s="288"/>
      <c r="Z61" s="288"/>
      <c r="AA61" s="276"/>
      <c r="AB61" s="276"/>
      <c r="AC61" s="276"/>
      <c r="AD61" s="288"/>
      <c r="AE61" s="288"/>
      <c r="AF61" s="288"/>
      <c r="AG61" s="288"/>
    </row>
    <row r="62" spans="2:33" ht="13.5">
      <c r="B62" s="282">
        <v>19</v>
      </c>
      <c r="C62" s="282" t="s">
        <v>805</v>
      </c>
      <c r="D62" s="282" t="s">
        <v>805</v>
      </c>
      <c r="E62" s="282" t="s">
        <v>774</v>
      </c>
      <c r="F62" s="282" t="s">
        <v>441</v>
      </c>
      <c r="G62" s="282" t="s">
        <v>770</v>
      </c>
      <c r="H62" s="282" t="s">
        <v>535</v>
      </c>
      <c r="I62" s="282" t="s">
        <v>535</v>
      </c>
      <c r="J62" s="282" t="s">
        <v>535</v>
      </c>
      <c r="K62" s="282" t="s">
        <v>535</v>
      </c>
      <c r="L62" s="282" t="s">
        <v>535</v>
      </c>
      <c r="M62" s="154" t="s">
        <v>779</v>
      </c>
      <c r="N62" s="155" t="s">
        <v>806</v>
      </c>
      <c r="O62" s="155">
        <v>5</v>
      </c>
      <c r="P62" s="284" t="s">
        <v>807</v>
      </c>
      <c r="Q62" s="156" t="s">
        <v>787</v>
      </c>
      <c r="R62" s="156" t="s">
        <v>808</v>
      </c>
      <c r="S62" s="157"/>
      <c r="T62" s="156" t="s">
        <v>803</v>
      </c>
      <c r="U62" s="156"/>
      <c r="V62" s="284" t="s">
        <v>95</v>
      </c>
      <c r="W62" s="284" t="s">
        <v>95</v>
      </c>
      <c r="X62" s="284" t="s">
        <v>95</v>
      </c>
      <c r="Y62" s="284" t="s">
        <v>95</v>
      </c>
      <c r="Z62" s="284" t="s">
        <v>95</v>
      </c>
      <c r="AA62" s="274"/>
      <c r="AB62" s="274"/>
      <c r="AC62" s="274"/>
      <c r="AD62" s="284" t="s">
        <v>95</v>
      </c>
      <c r="AE62" s="284"/>
      <c r="AF62" s="284"/>
      <c r="AG62" s="284"/>
    </row>
    <row r="63" spans="2:33" ht="13.5">
      <c r="B63" s="285"/>
      <c r="C63" s="285"/>
      <c r="D63" s="285"/>
      <c r="E63" s="285"/>
      <c r="F63" s="285"/>
      <c r="G63" s="285"/>
      <c r="H63" s="285"/>
      <c r="I63" s="285"/>
      <c r="J63" s="285"/>
      <c r="K63" s="285"/>
      <c r="L63" s="285"/>
      <c r="M63" s="158" t="s">
        <v>695</v>
      </c>
      <c r="N63" s="159" t="s">
        <v>751</v>
      </c>
      <c r="O63" s="159">
        <v>9</v>
      </c>
      <c r="P63" s="286"/>
      <c r="Q63" s="156"/>
      <c r="R63" s="156"/>
      <c r="S63" s="157"/>
      <c r="T63" s="156"/>
      <c r="U63" s="156"/>
      <c r="V63" s="286"/>
      <c r="W63" s="286"/>
      <c r="X63" s="286"/>
      <c r="Y63" s="286"/>
      <c r="Z63" s="286"/>
      <c r="AA63" s="275"/>
      <c r="AB63" s="275"/>
      <c r="AC63" s="275"/>
      <c r="AD63" s="286"/>
      <c r="AE63" s="286"/>
      <c r="AF63" s="286"/>
      <c r="AG63" s="286"/>
    </row>
    <row r="64" spans="2:33" ht="13.5">
      <c r="B64" s="287"/>
      <c r="C64" s="287"/>
      <c r="D64" s="287"/>
      <c r="E64" s="287"/>
      <c r="F64" s="287"/>
      <c r="G64" s="287"/>
      <c r="H64" s="287"/>
      <c r="I64" s="287"/>
      <c r="J64" s="287"/>
      <c r="K64" s="287"/>
      <c r="L64" s="287"/>
      <c r="M64" s="160"/>
      <c r="N64" s="161"/>
      <c r="O64" s="161"/>
      <c r="P64" s="288"/>
      <c r="Q64" s="156"/>
      <c r="R64" s="156"/>
      <c r="S64" s="157"/>
      <c r="T64" s="156"/>
      <c r="U64" s="156"/>
      <c r="V64" s="288"/>
      <c r="W64" s="288"/>
      <c r="X64" s="288"/>
      <c r="Y64" s="288"/>
      <c r="Z64" s="288"/>
      <c r="AA64" s="276"/>
      <c r="AB64" s="276"/>
      <c r="AC64" s="276"/>
      <c r="AD64" s="288"/>
      <c r="AE64" s="288"/>
      <c r="AF64" s="288"/>
      <c r="AG64" s="288"/>
    </row>
    <row r="65" spans="2:33" ht="13.5">
      <c r="B65" s="282">
        <v>20</v>
      </c>
      <c r="C65" s="282" t="s">
        <v>809</v>
      </c>
      <c r="D65" s="282" t="s">
        <v>809</v>
      </c>
      <c r="E65" s="282" t="s">
        <v>774</v>
      </c>
      <c r="F65" s="282" t="s">
        <v>434</v>
      </c>
      <c r="G65" s="282" t="s">
        <v>770</v>
      </c>
      <c r="H65" s="282" t="s">
        <v>535</v>
      </c>
      <c r="I65" s="282" t="s">
        <v>535</v>
      </c>
      <c r="J65" s="282" t="s">
        <v>535</v>
      </c>
      <c r="K65" s="282" t="s">
        <v>535</v>
      </c>
      <c r="L65" s="282" t="s">
        <v>535</v>
      </c>
      <c r="M65" s="154" t="s">
        <v>779</v>
      </c>
      <c r="N65" s="155" t="s">
        <v>806</v>
      </c>
      <c r="O65" s="155">
        <v>5</v>
      </c>
      <c r="P65" s="284" t="s">
        <v>807</v>
      </c>
      <c r="Q65" s="156" t="s">
        <v>787</v>
      </c>
      <c r="R65" s="156" t="s">
        <v>808</v>
      </c>
      <c r="S65" s="157"/>
      <c r="T65" s="156" t="s">
        <v>803</v>
      </c>
      <c r="U65" s="156"/>
      <c r="V65" s="284" t="s">
        <v>95</v>
      </c>
      <c r="W65" s="284" t="s">
        <v>95</v>
      </c>
      <c r="X65" s="284" t="s">
        <v>95</v>
      </c>
      <c r="Y65" s="284" t="s">
        <v>95</v>
      </c>
      <c r="Z65" s="284" t="s">
        <v>95</v>
      </c>
      <c r="AA65" s="274"/>
      <c r="AB65" s="274"/>
      <c r="AC65" s="274"/>
      <c r="AD65" s="284" t="s">
        <v>95</v>
      </c>
      <c r="AE65" s="284"/>
      <c r="AF65" s="284"/>
      <c r="AG65" s="284"/>
    </row>
    <row r="66" spans="2:33" ht="13.5">
      <c r="B66" s="285"/>
      <c r="C66" s="285"/>
      <c r="D66" s="285"/>
      <c r="E66" s="285"/>
      <c r="F66" s="285"/>
      <c r="G66" s="285"/>
      <c r="H66" s="285"/>
      <c r="I66" s="285"/>
      <c r="J66" s="285"/>
      <c r="K66" s="285"/>
      <c r="L66" s="285"/>
      <c r="M66" s="158" t="s">
        <v>695</v>
      </c>
      <c r="N66" s="159" t="s">
        <v>751</v>
      </c>
      <c r="O66" s="159">
        <v>9</v>
      </c>
      <c r="P66" s="286"/>
      <c r="Q66" s="156"/>
      <c r="R66" s="156"/>
      <c r="S66" s="157"/>
      <c r="T66" s="156"/>
      <c r="U66" s="156"/>
      <c r="V66" s="286"/>
      <c r="W66" s="286"/>
      <c r="X66" s="286"/>
      <c r="Y66" s="286"/>
      <c r="Z66" s="286"/>
      <c r="AA66" s="275"/>
      <c r="AB66" s="275"/>
      <c r="AC66" s="275"/>
      <c r="AD66" s="286"/>
      <c r="AE66" s="286"/>
      <c r="AF66" s="286"/>
      <c r="AG66" s="286"/>
    </row>
    <row r="67" spans="2:33" ht="13.5">
      <c r="B67" s="287"/>
      <c r="C67" s="287"/>
      <c r="D67" s="287"/>
      <c r="E67" s="287"/>
      <c r="F67" s="287"/>
      <c r="G67" s="287"/>
      <c r="H67" s="287"/>
      <c r="I67" s="287"/>
      <c r="J67" s="287"/>
      <c r="K67" s="287"/>
      <c r="L67" s="287"/>
      <c r="M67" s="160"/>
      <c r="N67" s="161"/>
      <c r="O67" s="161"/>
      <c r="P67" s="288"/>
      <c r="Q67" s="156"/>
      <c r="R67" s="156"/>
      <c r="S67" s="157"/>
      <c r="T67" s="156"/>
      <c r="U67" s="156"/>
      <c r="V67" s="288"/>
      <c r="W67" s="288"/>
      <c r="X67" s="288"/>
      <c r="Y67" s="288"/>
      <c r="Z67" s="288"/>
      <c r="AA67" s="276"/>
      <c r="AB67" s="276"/>
      <c r="AC67" s="276"/>
      <c r="AD67" s="288"/>
      <c r="AE67" s="288"/>
      <c r="AF67" s="288"/>
      <c r="AG67" s="288"/>
    </row>
    <row r="68" spans="2:33" ht="13.5">
      <c r="B68" s="282">
        <v>21</v>
      </c>
      <c r="C68" s="282" t="s">
        <v>810</v>
      </c>
      <c r="D68" s="282" t="s">
        <v>811</v>
      </c>
      <c r="E68" s="282" t="s">
        <v>774</v>
      </c>
      <c r="F68" s="282" t="s">
        <v>441</v>
      </c>
      <c r="G68" s="282" t="s">
        <v>770</v>
      </c>
      <c r="H68" s="282" t="s">
        <v>535</v>
      </c>
      <c r="I68" s="282" t="s">
        <v>535</v>
      </c>
      <c r="J68" s="282" t="s">
        <v>535</v>
      </c>
      <c r="K68" s="282" t="s">
        <v>535</v>
      </c>
      <c r="L68" s="282" t="s">
        <v>535</v>
      </c>
      <c r="M68" s="154" t="s">
        <v>779</v>
      </c>
      <c r="N68" s="155" t="s">
        <v>812</v>
      </c>
      <c r="O68" s="155">
        <v>6</v>
      </c>
      <c r="P68" s="284" t="s">
        <v>813</v>
      </c>
      <c r="Q68" s="156" t="s">
        <v>787</v>
      </c>
      <c r="R68" s="156" t="s">
        <v>798</v>
      </c>
      <c r="S68" s="157"/>
      <c r="T68" s="156" t="s">
        <v>793</v>
      </c>
      <c r="U68" s="156"/>
      <c r="V68" s="284" t="s">
        <v>95</v>
      </c>
      <c r="W68" s="284" t="s">
        <v>95</v>
      </c>
      <c r="X68" s="284" t="s">
        <v>381</v>
      </c>
      <c r="Y68" s="284" t="s">
        <v>95</v>
      </c>
      <c r="Z68" s="284" t="s">
        <v>95</v>
      </c>
      <c r="AA68" s="274"/>
      <c r="AB68" s="274"/>
      <c r="AC68" s="274"/>
      <c r="AD68" s="284" t="s">
        <v>95</v>
      </c>
      <c r="AE68" s="284"/>
      <c r="AF68" s="284"/>
      <c r="AG68" s="284"/>
    </row>
    <row r="69" spans="2:33" ht="13.5">
      <c r="B69" s="285"/>
      <c r="C69" s="285"/>
      <c r="D69" s="285"/>
      <c r="E69" s="285"/>
      <c r="F69" s="285"/>
      <c r="G69" s="285"/>
      <c r="H69" s="285"/>
      <c r="I69" s="285"/>
      <c r="J69" s="285"/>
      <c r="K69" s="285"/>
      <c r="L69" s="285"/>
      <c r="M69" s="158" t="s">
        <v>695</v>
      </c>
      <c r="N69" s="159" t="s">
        <v>751</v>
      </c>
      <c r="O69" s="159">
        <v>9</v>
      </c>
      <c r="P69" s="286"/>
      <c r="Q69" s="156"/>
      <c r="R69" s="156"/>
      <c r="S69" s="157"/>
      <c r="T69" s="156"/>
      <c r="U69" s="156"/>
      <c r="V69" s="286"/>
      <c r="W69" s="286"/>
      <c r="X69" s="286"/>
      <c r="Y69" s="286"/>
      <c r="Z69" s="286"/>
      <c r="AA69" s="275"/>
      <c r="AB69" s="275"/>
      <c r="AC69" s="275"/>
      <c r="AD69" s="286"/>
      <c r="AE69" s="286"/>
      <c r="AF69" s="286"/>
      <c r="AG69" s="286"/>
    </row>
    <row r="70" spans="2:33" ht="13.5">
      <c r="B70" s="287"/>
      <c r="C70" s="287"/>
      <c r="D70" s="287"/>
      <c r="E70" s="287"/>
      <c r="F70" s="287"/>
      <c r="G70" s="287"/>
      <c r="H70" s="287"/>
      <c r="I70" s="287"/>
      <c r="J70" s="287"/>
      <c r="K70" s="287"/>
      <c r="L70" s="287"/>
      <c r="M70" s="160"/>
      <c r="N70" s="161"/>
      <c r="O70" s="161"/>
      <c r="P70" s="288"/>
      <c r="Q70" s="156"/>
      <c r="R70" s="156"/>
      <c r="S70" s="157"/>
      <c r="T70" s="156"/>
      <c r="U70" s="156"/>
      <c r="V70" s="288"/>
      <c r="W70" s="288"/>
      <c r="X70" s="288"/>
      <c r="Y70" s="288"/>
      <c r="Z70" s="288"/>
      <c r="AA70" s="276"/>
      <c r="AB70" s="276"/>
      <c r="AC70" s="276"/>
      <c r="AD70" s="288"/>
      <c r="AE70" s="288"/>
      <c r="AF70" s="288"/>
      <c r="AG70" s="288"/>
    </row>
    <row r="71" spans="2:33" ht="13.5">
      <c r="B71" s="282">
        <v>22</v>
      </c>
      <c r="C71" s="282" t="s">
        <v>814</v>
      </c>
      <c r="D71" s="282" t="s">
        <v>811</v>
      </c>
      <c r="E71" s="282" t="s">
        <v>774</v>
      </c>
      <c r="F71" s="282" t="s">
        <v>434</v>
      </c>
      <c r="G71" s="282" t="s">
        <v>770</v>
      </c>
      <c r="H71" s="282" t="s">
        <v>535</v>
      </c>
      <c r="I71" s="282" t="s">
        <v>535</v>
      </c>
      <c r="J71" s="282" t="s">
        <v>535</v>
      </c>
      <c r="K71" s="282" t="s">
        <v>535</v>
      </c>
      <c r="L71" s="282" t="s">
        <v>535</v>
      </c>
      <c r="M71" s="154" t="s">
        <v>779</v>
      </c>
      <c r="N71" s="155" t="s">
        <v>812</v>
      </c>
      <c r="O71" s="155">
        <v>6</v>
      </c>
      <c r="P71" s="284" t="s">
        <v>813</v>
      </c>
      <c r="Q71" s="156" t="s">
        <v>787</v>
      </c>
      <c r="R71" s="156" t="s">
        <v>798</v>
      </c>
      <c r="S71" s="157"/>
      <c r="T71" s="156" t="s">
        <v>793</v>
      </c>
      <c r="U71" s="156"/>
      <c r="V71" s="284" t="s">
        <v>95</v>
      </c>
      <c r="W71" s="284" t="s">
        <v>95</v>
      </c>
      <c r="X71" s="284" t="s">
        <v>381</v>
      </c>
      <c r="Y71" s="284" t="s">
        <v>95</v>
      </c>
      <c r="Z71" s="284" t="s">
        <v>95</v>
      </c>
      <c r="AA71" s="274"/>
      <c r="AB71" s="274"/>
      <c r="AC71" s="274"/>
      <c r="AD71" s="284" t="s">
        <v>95</v>
      </c>
      <c r="AE71" s="284"/>
      <c r="AF71" s="284"/>
      <c r="AG71" s="284"/>
    </row>
    <row r="72" spans="2:33" ht="13.5">
      <c r="B72" s="285"/>
      <c r="C72" s="285"/>
      <c r="D72" s="285"/>
      <c r="E72" s="285"/>
      <c r="F72" s="285"/>
      <c r="G72" s="285"/>
      <c r="H72" s="285"/>
      <c r="I72" s="285"/>
      <c r="J72" s="285"/>
      <c r="K72" s="285"/>
      <c r="L72" s="285"/>
      <c r="M72" s="158" t="s">
        <v>695</v>
      </c>
      <c r="N72" s="159" t="s">
        <v>751</v>
      </c>
      <c r="O72" s="159">
        <v>9</v>
      </c>
      <c r="P72" s="286"/>
      <c r="Q72" s="156"/>
      <c r="R72" s="156"/>
      <c r="S72" s="157"/>
      <c r="T72" s="156"/>
      <c r="U72" s="156"/>
      <c r="V72" s="286"/>
      <c r="W72" s="286"/>
      <c r="X72" s="286"/>
      <c r="Y72" s="286"/>
      <c r="Z72" s="286"/>
      <c r="AA72" s="275"/>
      <c r="AB72" s="275"/>
      <c r="AC72" s="275"/>
      <c r="AD72" s="286"/>
      <c r="AE72" s="286"/>
      <c r="AF72" s="286"/>
      <c r="AG72" s="286"/>
    </row>
    <row r="73" spans="2:33" ht="13.5">
      <c r="B73" s="287"/>
      <c r="C73" s="287"/>
      <c r="D73" s="287"/>
      <c r="E73" s="287"/>
      <c r="F73" s="287"/>
      <c r="G73" s="287"/>
      <c r="H73" s="287"/>
      <c r="I73" s="287"/>
      <c r="J73" s="287"/>
      <c r="K73" s="287"/>
      <c r="L73" s="287"/>
      <c r="M73" s="160"/>
      <c r="N73" s="161"/>
      <c r="O73" s="161"/>
      <c r="P73" s="288"/>
      <c r="Q73" s="156"/>
      <c r="R73" s="156"/>
      <c r="S73" s="157"/>
      <c r="T73" s="156"/>
      <c r="U73" s="156"/>
      <c r="V73" s="288"/>
      <c r="W73" s="288"/>
      <c r="X73" s="288"/>
      <c r="Y73" s="288"/>
      <c r="Z73" s="288"/>
      <c r="AA73" s="276"/>
      <c r="AB73" s="276"/>
      <c r="AC73" s="276"/>
      <c r="AD73" s="288"/>
      <c r="AE73" s="288"/>
      <c r="AF73" s="288"/>
      <c r="AG73" s="288"/>
    </row>
    <row r="74" spans="2:33" ht="13.5">
      <c r="B74" s="282">
        <v>23</v>
      </c>
      <c r="C74" s="282" t="s">
        <v>815</v>
      </c>
      <c r="D74" s="282" t="s">
        <v>811</v>
      </c>
      <c r="E74" s="282" t="s">
        <v>774</v>
      </c>
      <c r="F74" s="282" t="s">
        <v>372</v>
      </c>
      <c r="G74" s="282" t="s">
        <v>770</v>
      </c>
      <c r="H74" s="282" t="s">
        <v>535</v>
      </c>
      <c r="I74" s="282" t="s">
        <v>535</v>
      </c>
      <c r="J74" s="282" t="s">
        <v>535</v>
      </c>
      <c r="K74" s="282" t="s">
        <v>535</v>
      </c>
      <c r="L74" s="282" t="s">
        <v>535</v>
      </c>
      <c r="M74" s="154" t="s">
        <v>779</v>
      </c>
      <c r="N74" s="155" t="s">
        <v>812</v>
      </c>
      <c r="O74" s="155">
        <v>6</v>
      </c>
      <c r="P74" s="284" t="s">
        <v>813</v>
      </c>
      <c r="Q74" s="156" t="s">
        <v>787</v>
      </c>
      <c r="R74" s="156" t="s">
        <v>798</v>
      </c>
      <c r="S74" s="157"/>
      <c r="T74" s="156" t="s">
        <v>793</v>
      </c>
      <c r="U74" s="156"/>
      <c r="V74" s="284" t="s">
        <v>95</v>
      </c>
      <c r="W74" s="284" t="s">
        <v>95</v>
      </c>
      <c r="X74" s="284" t="s">
        <v>381</v>
      </c>
      <c r="Y74" s="284" t="s">
        <v>95</v>
      </c>
      <c r="Z74" s="284" t="s">
        <v>95</v>
      </c>
      <c r="AA74" s="274"/>
      <c r="AB74" s="274"/>
      <c r="AC74" s="274"/>
      <c r="AD74" s="284" t="s">
        <v>95</v>
      </c>
      <c r="AE74" s="284"/>
      <c r="AF74" s="284"/>
      <c r="AG74" s="284"/>
    </row>
    <row r="75" spans="2:33" ht="13.5">
      <c r="B75" s="285"/>
      <c r="C75" s="285"/>
      <c r="D75" s="285"/>
      <c r="E75" s="285"/>
      <c r="F75" s="285"/>
      <c r="G75" s="285"/>
      <c r="H75" s="285"/>
      <c r="I75" s="285"/>
      <c r="J75" s="285"/>
      <c r="K75" s="285"/>
      <c r="L75" s="285"/>
      <c r="M75" s="158" t="s">
        <v>695</v>
      </c>
      <c r="N75" s="159" t="s">
        <v>751</v>
      </c>
      <c r="O75" s="159">
        <v>9</v>
      </c>
      <c r="P75" s="286"/>
      <c r="Q75" s="156"/>
      <c r="R75" s="156"/>
      <c r="S75" s="157"/>
      <c r="T75" s="156"/>
      <c r="U75" s="156"/>
      <c r="V75" s="286"/>
      <c r="W75" s="286"/>
      <c r="X75" s="286"/>
      <c r="Y75" s="286"/>
      <c r="Z75" s="286"/>
      <c r="AA75" s="275"/>
      <c r="AB75" s="275"/>
      <c r="AC75" s="275"/>
      <c r="AD75" s="286"/>
      <c r="AE75" s="286"/>
      <c r="AF75" s="286"/>
      <c r="AG75" s="286"/>
    </row>
    <row r="76" spans="2:33" ht="13.5">
      <c r="B76" s="287"/>
      <c r="C76" s="287"/>
      <c r="D76" s="287"/>
      <c r="E76" s="287"/>
      <c r="F76" s="287"/>
      <c r="G76" s="287"/>
      <c r="H76" s="287"/>
      <c r="I76" s="287"/>
      <c r="J76" s="287"/>
      <c r="K76" s="287"/>
      <c r="L76" s="287"/>
      <c r="M76" s="160"/>
      <c r="N76" s="161"/>
      <c r="O76" s="161"/>
      <c r="P76" s="288"/>
      <c r="Q76" s="156"/>
      <c r="R76" s="156"/>
      <c r="S76" s="157"/>
      <c r="T76" s="156"/>
      <c r="U76" s="156"/>
      <c r="V76" s="288"/>
      <c r="W76" s="288"/>
      <c r="X76" s="288"/>
      <c r="Y76" s="288"/>
      <c r="Z76" s="288"/>
      <c r="AA76" s="276"/>
      <c r="AB76" s="276"/>
      <c r="AC76" s="276"/>
      <c r="AD76" s="288"/>
      <c r="AE76" s="288"/>
      <c r="AF76" s="288"/>
      <c r="AG76" s="288"/>
    </row>
    <row r="77" spans="2:33" ht="13.5">
      <c r="B77" s="282">
        <v>24</v>
      </c>
      <c r="C77" s="283" t="s">
        <v>816</v>
      </c>
      <c r="D77" s="283" t="s">
        <v>817</v>
      </c>
      <c r="E77" s="282" t="s">
        <v>84</v>
      </c>
      <c r="F77" s="282" t="s">
        <v>818</v>
      </c>
      <c r="G77" s="282"/>
      <c r="H77" s="282" t="s">
        <v>770</v>
      </c>
      <c r="I77" s="282" t="s">
        <v>770</v>
      </c>
      <c r="J77" s="282" t="s">
        <v>770</v>
      </c>
      <c r="K77" s="282" t="s">
        <v>770</v>
      </c>
      <c r="L77" s="282" t="s">
        <v>770</v>
      </c>
      <c r="M77" s="154" t="s">
        <v>779</v>
      </c>
      <c r="N77" s="200" t="s">
        <v>819</v>
      </c>
      <c r="O77" s="200">
        <v>6</v>
      </c>
      <c r="P77" s="284" t="s">
        <v>820</v>
      </c>
      <c r="Q77" s="156"/>
      <c r="R77" s="156"/>
      <c r="S77" s="157"/>
      <c r="T77" s="156"/>
      <c r="U77" s="156"/>
      <c r="V77" s="284" t="s">
        <v>752</v>
      </c>
      <c r="W77" s="284" t="s">
        <v>752</v>
      </c>
      <c r="X77" s="284" t="s">
        <v>752</v>
      </c>
      <c r="Y77" s="284" t="s">
        <v>752</v>
      </c>
      <c r="Z77" s="284" t="s">
        <v>752</v>
      </c>
      <c r="AA77" s="274"/>
      <c r="AB77" s="274"/>
      <c r="AC77" s="274"/>
      <c r="AD77" s="284" t="s">
        <v>381</v>
      </c>
      <c r="AE77" s="284">
        <v>5</v>
      </c>
      <c r="AF77" s="284"/>
      <c r="AG77" s="284"/>
    </row>
    <row r="78" spans="2:33" ht="13.5">
      <c r="B78" s="285"/>
      <c r="C78" s="283"/>
      <c r="D78" s="283"/>
      <c r="E78" s="285"/>
      <c r="F78" s="285"/>
      <c r="G78" s="285"/>
      <c r="H78" s="285"/>
      <c r="I78" s="285"/>
      <c r="J78" s="285"/>
      <c r="K78" s="285"/>
      <c r="L78" s="285"/>
      <c r="M78" s="158" t="s">
        <v>695</v>
      </c>
      <c r="N78" s="159" t="s">
        <v>821</v>
      </c>
      <c r="O78" s="159">
        <v>10</v>
      </c>
      <c r="P78" s="286"/>
      <c r="Q78" s="156"/>
      <c r="R78" s="156"/>
      <c r="S78" s="157"/>
      <c r="T78" s="156"/>
      <c r="U78" s="156"/>
      <c r="V78" s="286"/>
      <c r="W78" s="286"/>
      <c r="X78" s="286"/>
      <c r="Y78" s="286"/>
      <c r="Z78" s="286"/>
      <c r="AA78" s="275"/>
      <c r="AB78" s="275"/>
      <c r="AC78" s="275"/>
      <c r="AD78" s="286"/>
      <c r="AE78" s="286"/>
      <c r="AF78" s="286"/>
      <c r="AG78" s="286"/>
    </row>
    <row r="79" spans="2:33" ht="13.5">
      <c r="B79" s="287"/>
      <c r="C79" s="283"/>
      <c r="D79" s="283"/>
      <c r="E79" s="287"/>
      <c r="F79" s="287"/>
      <c r="G79" s="287"/>
      <c r="H79" s="287"/>
      <c r="I79" s="287"/>
      <c r="J79" s="287"/>
      <c r="K79" s="287"/>
      <c r="L79" s="287"/>
      <c r="M79" s="160"/>
      <c r="N79" s="161"/>
      <c r="O79" s="161"/>
      <c r="P79" s="288"/>
      <c r="Q79" s="156"/>
      <c r="R79" s="156"/>
      <c r="S79" s="157"/>
      <c r="T79" s="156"/>
      <c r="U79" s="156"/>
      <c r="V79" s="288"/>
      <c r="W79" s="288"/>
      <c r="X79" s="288"/>
      <c r="Y79" s="288"/>
      <c r="Z79" s="288"/>
      <c r="AA79" s="276"/>
      <c r="AB79" s="276"/>
      <c r="AC79" s="276"/>
      <c r="AD79" s="288"/>
      <c r="AE79" s="288"/>
      <c r="AF79" s="288"/>
      <c r="AG79" s="288"/>
    </row>
    <row r="80" spans="2:33" ht="13.5">
      <c r="B80" s="282">
        <v>25</v>
      </c>
      <c r="C80" s="283" t="s">
        <v>822</v>
      </c>
      <c r="D80" s="283" t="s">
        <v>817</v>
      </c>
      <c r="E80" s="282" t="s">
        <v>84</v>
      </c>
      <c r="F80" s="282" t="s">
        <v>823</v>
      </c>
      <c r="G80" s="282"/>
      <c r="H80" s="282" t="s">
        <v>770</v>
      </c>
      <c r="I80" s="282" t="s">
        <v>770</v>
      </c>
      <c r="J80" s="282" t="s">
        <v>770</v>
      </c>
      <c r="K80" s="282" t="s">
        <v>770</v>
      </c>
      <c r="L80" s="282" t="s">
        <v>770</v>
      </c>
      <c r="M80" s="154" t="s">
        <v>779</v>
      </c>
      <c r="N80" s="200" t="s">
        <v>819</v>
      </c>
      <c r="O80" s="200">
        <v>6</v>
      </c>
      <c r="P80" s="284" t="s">
        <v>820</v>
      </c>
      <c r="Q80" s="156"/>
      <c r="R80" s="156"/>
      <c r="S80" s="157"/>
      <c r="T80" s="156"/>
      <c r="U80" s="156"/>
      <c r="V80" s="284" t="s">
        <v>752</v>
      </c>
      <c r="W80" s="284" t="s">
        <v>752</v>
      </c>
      <c r="X80" s="284" t="s">
        <v>752</v>
      </c>
      <c r="Y80" s="284" t="s">
        <v>752</v>
      </c>
      <c r="Z80" s="284" t="s">
        <v>752</v>
      </c>
      <c r="AA80" s="274"/>
      <c r="AB80" s="274"/>
      <c r="AC80" s="274"/>
      <c r="AD80" s="284" t="s">
        <v>381</v>
      </c>
      <c r="AE80" s="284">
        <v>5</v>
      </c>
      <c r="AF80" s="284"/>
      <c r="AG80" s="284"/>
    </row>
    <row r="81" spans="2:33" ht="13.5">
      <c r="B81" s="285"/>
      <c r="C81" s="283"/>
      <c r="D81" s="283"/>
      <c r="E81" s="285"/>
      <c r="F81" s="285"/>
      <c r="G81" s="285"/>
      <c r="H81" s="285"/>
      <c r="I81" s="285"/>
      <c r="J81" s="285"/>
      <c r="K81" s="285"/>
      <c r="L81" s="285"/>
      <c r="M81" s="158" t="s">
        <v>695</v>
      </c>
      <c r="N81" s="159" t="s">
        <v>821</v>
      </c>
      <c r="O81" s="159">
        <v>10</v>
      </c>
      <c r="P81" s="286"/>
      <c r="Q81" s="156"/>
      <c r="R81" s="156"/>
      <c r="S81" s="157"/>
      <c r="T81" s="156"/>
      <c r="U81" s="156"/>
      <c r="V81" s="286"/>
      <c r="W81" s="286"/>
      <c r="X81" s="286"/>
      <c r="Y81" s="286"/>
      <c r="Z81" s="286"/>
      <c r="AA81" s="275"/>
      <c r="AB81" s="275"/>
      <c r="AC81" s="275"/>
      <c r="AD81" s="286"/>
      <c r="AE81" s="286"/>
      <c r="AF81" s="286"/>
      <c r="AG81" s="286"/>
    </row>
    <row r="82" spans="2:33" ht="13.5">
      <c r="B82" s="287"/>
      <c r="C82" s="283"/>
      <c r="D82" s="283"/>
      <c r="E82" s="287"/>
      <c r="F82" s="287"/>
      <c r="G82" s="287"/>
      <c r="H82" s="287"/>
      <c r="I82" s="287"/>
      <c r="J82" s="287"/>
      <c r="K82" s="287"/>
      <c r="L82" s="287"/>
      <c r="M82" s="160"/>
      <c r="N82" s="161"/>
      <c r="O82" s="161"/>
      <c r="P82" s="288"/>
      <c r="Q82" s="156"/>
      <c r="R82" s="156"/>
      <c r="S82" s="157"/>
      <c r="T82" s="156"/>
      <c r="U82" s="156"/>
      <c r="V82" s="288"/>
      <c r="W82" s="288"/>
      <c r="X82" s="288"/>
      <c r="Y82" s="288"/>
      <c r="Z82" s="288"/>
      <c r="AA82" s="276"/>
      <c r="AB82" s="276"/>
      <c r="AC82" s="276"/>
      <c r="AD82" s="288"/>
      <c r="AE82" s="288"/>
      <c r="AF82" s="288"/>
      <c r="AG82" s="288"/>
    </row>
    <row r="83" spans="2:33" ht="13.5">
      <c r="B83" s="282">
        <v>26</v>
      </c>
      <c r="C83" s="283" t="s">
        <v>824</v>
      </c>
      <c r="D83" s="283" t="s">
        <v>817</v>
      </c>
      <c r="E83" s="282" t="s">
        <v>84</v>
      </c>
      <c r="F83" s="282" t="s">
        <v>825</v>
      </c>
      <c r="G83" s="282"/>
      <c r="H83" s="282" t="s">
        <v>770</v>
      </c>
      <c r="I83" s="282" t="s">
        <v>770</v>
      </c>
      <c r="J83" s="282" t="s">
        <v>770</v>
      </c>
      <c r="K83" s="282" t="s">
        <v>770</v>
      </c>
      <c r="L83" s="282" t="s">
        <v>770</v>
      </c>
      <c r="M83" s="154" t="s">
        <v>779</v>
      </c>
      <c r="N83" s="155" t="s">
        <v>819</v>
      </c>
      <c r="O83" s="155">
        <v>6</v>
      </c>
      <c r="P83" s="284" t="s">
        <v>820</v>
      </c>
      <c r="Q83" s="156"/>
      <c r="R83" s="156"/>
      <c r="S83" s="157"/>
      <c r="T83" s="156"/>
      <c r="U83" s="156"/>
      <c r="V83" s="284" t="s">
        <v>752</v>
      </c>
      <c r="W83" s="284" t="s">
        <v>752</v>
      </c>
      <c r="X83" s="284" t="s">
        <v>752</v>
      </c>
      <c r="Y83" s="284" t="s">
        <v>752</v>
      </c>
      <c r="Z83" s="284" t="s">
        <v>752</v>
      </c>
      <c r="AA83" s="274"/>
      <c r="AB83" s="274"/>
      <c r="AC83" s="274"/>
      <c r="AD83" s="284" t="s">
        <v>381</v>
      </c>
      <c r="AE83" s="284">
        <v>5</v>
      </c>
      <c r="AF83" s="284"/>
      <c r="AG83" s="284"/>
    </row>
    <row r="84" spans="2:33" ht="13.5">
      <c r="B84" s="285"/>
      <c r="C84" s="283"/>
      <c r="D84" s="283"/>
      <c r="E84" s="285"/>
      <c r="F84" s="285"/>
      <c r="G84" s="285"/>
      <c r="H84" s="285"/>
      <c r="I84" s="285"/>
      <c r="J84" s="285"/>
      <c r="K84" s="285"/>
      <c r="L84" s="285"/>
      <c r="M84" s="158" t="s">
        <v>695</v>
      </c>
      <c r="N84" s="159" t="s">
        <v>821</v>
      </c>
      <c r="O84" s="159">
        <v>10</v>
      </c>
      <c r="P84" s="286"/>
      <c r="Q84" s="156"/>
      <c r="R84" s="156"/>
      <c r="S84" s="157"/>
      <c r="T84" s="156"/>
      <c r="U84" s="156"/>
      <c r="V84" s="286"/>
      <c r="W84" s="286"/>
      <c r="X84" s="286"/>
      <c r="Y84" s="286"/>
      <c r="Z84" s="286"/>
      <c r="AA84" s="275"/>
      <c r="AB84" s="275"/>
      <c r="AC84" s="275"/>
      <c r="AD84" s="286"/>
      <c r="AE84" s="286"/>
      <c r="AF84" s="286"/>
      <c r="AG84" s="286"/>
    </row>
    <row r="85" spans="2:33" ht="13.5">
      <c r="B85" s="287"/>
      <c r="C85" s="283"/>
      <c r="D85" s="283"/>
      <c r="E85" s="287"/>
      <c r="F85" s="287"/>
      <c r="G85" s="287"/>
      <c r="H85" s="287"/>
      <c r="I85" s="287"/>
      <c r="J85" s="287"/>
      <c r="K85" s="287"/>
      <c r="L85" s="287"/>
      <c r="M85" s="160"/>
      <c r="N85" s="161"/>
      <c r="O85" s="161"/>
      <c r="P85" s="288"/>
      <c r="Q85" s="156"/>
      <c r="R85" s="156"/>
      <c r="S85" s="157"/>
      <c r="T85" s="156"/>
      <c r="U85" s="156"/>
      <c r="V85" s="288"/>
      <c r="W85" s="288"/>
      <c r="X85" s="288"/>
      <c r="Y85" s="288"/>
      <c r="Z85" s="288"/>
      <c r="AA85" s="276"/>
      <c r="AB85" s="276"/>
      <c r="AC85" s="276"/>
      <c r="AD85" s="288"/>
      <c r="AE85" s="288"/>
      <c r="AF85" s="288"/>
      <c r="AG85" s="288"/>
    </row>
    <row r="86" spans="2:33" ht="13.5">
      <c r="B86" s="282">
        <v>27</v>
      </c>
      <c r="C86" s="283" t="s">
        <v>826</v>
      </c>
      <c r="D86" s="283" t="s">
        <v>827</v>
      </c>
      <c r="E86" s="282" t="s">
        <v>84</v>
      </c>
      <c r="F86" s="282" t="s">
        <v>818</v>
      </c>
      <c r="G86" s="282"/>
      <c r="H86" s="282" t="s">
        <v>770</v>
      </c>
      <c r="I86" s="282" t="s">
        <v>770</v>
      </c>
      <c r="J86" s="282" t="s">
        <v>770</v>
      </c>
      <c r="K86" s="282" t="s">
        <v>770</v>
      </c>
      <c r="L86" s="282" t="s">
        <v>770</v>
      </c>
      <c r="M86" s="154" t="s">
        <v>779</v>
      </c>
      <c r="N86" s="155" t="s">
        <v>828</v>
      </c>
      <c r="O86" s="155">
        <v>4</v>
      </c>
      <c r="P86" s="284" t="s">
        <v>829</v>
      </c>
      <c r="Q86" s="156"/>
      <c r="R86" s="156"/>
      <c r="S86" s="157"/>
      <c r="T86" s="156"/>
      <c r="U86" s="156"/>
      <c r="V86" s="284" t="s">
        <v>752</v>
      </c>
      <c r="W86" s="284" t="s">
        <v>752</v>
      </c>
      <c r="X86" s="284" t="s">
        <v>830</v>
      </c>
      <c r="Y86" s="284" t="s">
        <v>752</v>
      </c>
      <c r="Z86" s="284" t="s">
        <v>752</v>
      </c>
      <c r="AA86" s="274"/>
      <c r="AB86" s="274"/>
      <c r="AC86" s="274"/>
      <c r="AD86" s="284" t="s">
        <v>95</v>
      </c>
      <c r="AE86" s="284"/>
      <c r="AF86" s="284"/>
      <c r="AG86" s="284"/>
    </row>
    <row r="87" spans="2:33" ht="13.5">
      <c r="B87" s="285"/>
      <c r="C87" s="283"/>
      <c r="D87" s="283"/>
      <c r="E87" s="285"/>
      <c r="F87" s="285"/>
      <c r="G87" s="285"/>
      <c r="H87" s="285"/>
      <c r="I87" s="285"/>
      <c r="J87" s="285"/>
      <c r="K87" s="285"/>
      <c r="L87" s="285"/>
      <c r="M87" s="158" t="s">
        <v>695</v>
      </c>
      <c r="N87" s="159" t="s">
        <v>821</v>
      </c>
      <c r="O87" s="159">
        <v>10</v>
      </c>
      <c r="P87" s="286"/>
      <c r="Q87" s="156"/>
      <c r="R87" s="156"/>
      <c r="S87" s="157"/>
      <c r="T87" s="156"/>
      <c r="U87" s="156"/>
      <c r="V87" s="286"/>
      <c r="W87" s="286"/>
      <c r="X87" s="286"/>
      <c r="Y87" s="286"/>
      <c r="Z87" s="286"/>
      <c r="AA87" s="275"/>
      <c r="AB87" s="275"/>
      <c r="AC87" s="275"/>
      <c r="AD87" s="286"/>
      <c r="AE87" s="286"/>
      <c r="AF87" s="286"/>
      <c r="AG87" s="286"/>
    </row>
    <row r="88" spans="2:33" ht="13.5">
      <c r="B88" s="287"/>
      <c r="C88" s="283"/>
      <c r="D88" s="283"/>
      <c r="E88" s="287"/>
      <c r="F88" s="287"/>
      <c r="G88" s="287"/>
      <c r="H88" s="287"/>
      <c r="I88" s="287"/>
      <c r="J88" s="287"/>
      <c r="K88" s="287"/>
      <c r="L88" s="287"/>
      <c r="M88" s="160"/>
      <c r="N88" s="161"/>
      <c r="O88" s="161"/>
      <c r="P88" s="288"/>
      <c r="Q88" s="156"/>
      <c r="R88" s="156"/>
      <c r="S88" s="157"/>
      <c r="T88" s="156"/>
      <c r="U88" s="156"/>
      <c r="V88" s="288"/>
      <c r="W88" s="288"/>
      <c r="X88" s="288"/>
      <c r="Y88" s="288"/>
      <c r="Z88" s="288"/>
      <c r="AA88" s="276"/>
      <c r="AB88" s="276"/>
      <c r="AC88" s="276"/>
      <c r="AD88" s="288"/>
      <c r="AE88" s="288"/>
      <c r="AF88" s="288"/>
      <c r="AG88" s="288"/>
    </row>
    <row r="89" spans="2:33" ht="13.5">
      <c r="B89" s="282">
        <v>28</v>
      </c>
      <c r="C89" s="283" t="s">
        <v>831</v>
      </c>
      <c r="D89" s="283" t="s">
        <v>827</v>
      </c>
      <c r="E89" s="282" t="s">
        <v>84</v>
      </c>
      <c r="F89" s="282" t="s">
        <v>823</v>
      </c>
      <c r="G89" s="282"/>
      <c r="H89" s="282" t="s">
        <v>770</v>
      </c>
      <c r="I89" s="282" t="s">
        <v>770</v>
      </c>
      <c r="J89" s="282" t="s">
        <v>770</v>
      </c>
      <c r="K89" s="282" t="s">
        <v>770</v>
      </c>
      <c r="L89" s="282" t="s">
        <v>770</v>
      </c>
      <c r="M89" s="154" t="s">
        <v>779</v>
      </c>
      <c r="N89" s="155" t="s">
        <v>828</v>
      </c>
      <c r="O89" s="155">
        <v>4</v>
      </c>
      <c r="P89" s="284" t="s">
        <v>829</v>
      </c>
      <c r="Q89" s="156"/>
      <c r="R89" s="156"/>
      <c r="S89" s="157"/>
      <c r="T89" s="156"/>
      <c r="U89" s="156"/>
      <c r="V89" s="284" t="s">
        <v>752</v>
      </c>
      <c r="W89" s="284" t="s">
        <v>752</v>
      </c>
      <c r="X89" s="284" t="s">
        <v>830</v>
      </c>
      <c r="Y89" s="284" t="s">
        <v>752</v>
      </c>
      <c r="Z89" s="284" t="s">
        <v>752</v>
      </c>
      <c r="AA89" s="274"/>
      <c r="AB89" s="274"/>
      <c r="AC89" s="274"/>
      <c r="AD89" s="284" t="s">
        <v>95</v>
      </c>
      <c r="AE89" s="284"/>
      <c r="AF89" s="284"/>
      <c r="AG89" s="284"/>
    </row>
    <row r="90" spans="2:33" ht="13.5">
      <c r="B90" s="285"/>
      <c r="C90" s="283"/>
      <c r="D90" s="283"/>
      <c r="E90" s="285"/>
      <c r="F90" s="285"/>
      <c r="G90" s="285"/>
      <c r="H90" s="285"/>
      <c r="I90" s="285"/>
      <c r="J90" s="285"/>
      <c r="K90" s="285"/>
      <c r="L90" s="285"/>
      <c r="M90" s="158" t="s">
        <v>695</v>
      </c>
      <c r="N90" s="159" t="s">
        <v>821</v>
      </c>
      <c r="O90" s="159">
        <v>10</v>
      </c>
      <c r="P90" s="286"/>
      <c r="Q90" s="156"/>
      <c r="R90" s="156"/>
      <c r="S90" s="157"/>
      <c r="T90" s="156"/>
      <c r="U90" s="156"/>
      <c r="V90" s="286"/>
      <c r="W90" s="286"/>
      <c r="X90" s="286"/>
      <c r="Y90" s="286"/>
      <c r="Z90" s="286"/>
      <c r="AA90" s="275"/>
      <c r="AB90" s="275"/>
      <c r="AC90" s="275"/>
      <c r="AD90" s="286"/>
      <c r="AE90" s="286"/>
      <c r="AF90" s="286"/>
      <c r="AG90" s="286"/>
    </row>
    <row r="91" spans="2:33" ht="13.5">
      <c r="B91" s="287"/>
      <c r="C91" s="283"/>
      <c r="D91" s="283"/>
      <c r="E91" s="287"/>
      <c r="F91" s="287"/>
      <c r="G91" s="287"/>
      <c r="H91" s="287"/>
      <c r="I91" s="287"/>
      <c r="J91" s="287"/>
      <c r="K91" s="287"/>
      <c r="L91" s="287"/>
      <c r="M91" s="160"/>
      <c r="N91" s="161"/>
      <c r="O91" s="161"/>
      <c r="P91" s="288"/>
      <c r="Q91" s="156"/>
      <c r="R91" s="156"/>
      <c r="S91" s="157"/>
      <c r="T91" s="156"/>
      <c r="U91" s="156"/>
      <c r="V91" s="288"/>
      <c r="W91" s="288"/>
      <c r="X91" s="288"/>
      <c r="Y91" s="288"/>
      <c r="Z91" s="288"/>
      <c r="AA91" s="276"/>
      <c r="AB91" s="276"/>
      <c r="AC91" s="276"/>
      <c r="AD91" s="288"/>
      <c r="AE91" s="288"/>
      <c r="AF91" s="288"/>
      <c r="AG91" s="288"/>
    </row>
    <row r="92" spans="2:33" ht="13.5">
      <c r="B92" s="282">
        <v>29</v>
      </c>
      <c r="C92" s="283" t="s">
        <v>832</v>
      </c>
      <c r="D92" s="283" t="s">
        <v>827</v>
      </c>
      <c r="E92" s="282" t="s">
        <v>84</v>
      </c>
      <c r="F92" s="282" t="s">
        <v>825</v>
      </c>
      <c r="G92" s="282"/>
      <c r="H92" s="282" t="s">
        <v>770</v>
      </c>
      <c r="I92" s="282" t="s">
        <v>770</v>
      </c>
      <c r="J92" s="282" t="s">
        <v>770</v>
      </c>
      <c r="K92" s="282" t="s">
        <v>770</v>
      </c>
      <c r="L92" s="282" t="s">
        <v>770</v>
      </c>
      <c r="M92" s="154" t="s">
        <v>779</v>
      </c>
      <c r="N92" s="155" t="s">
        <v>828</v>
      </c>
      <c r="O92" s="155">
        <v>4</v>
      </c>
      <c r="P92" s="284" t="s">
        <v>829</v>
      </c>
      <c r="Q92" s="156"/>
      <c r="R92" s="156"/>
      <c r="S92" s="157"/>
      <c r="T92" s="156"/>
      <c r="U92" s="156"/>
      <c r="V92" s="284" t="s">
        <v>752</v>
      </c>
      <c r="W92" s="284" t="s">
        <v>752</v>
      </c>
      <c r="X92" s="284" t="s">
        <v>830</v>
      </c>
      <c r="Y92" s="284" t="s">
        <v>752</v>
      </c>
      <c r="Z92" s="284" t="s">
        <v>752</v>
      </c>
      <c r="AA92" s="274"/>
      <c r="AB92" s="274"/>
      <c r="AC92" s="274"/>
      <c r="AD92" s="284" t="s">
        <v>95</v>
      </c>
      <c r="AE92" s="284"/>
      <c r="AF92" s="284"/>
      <c r="AG92" s="284"/>
    </row>
    <row r="93" spans="2:33" ht="13.5">
      <c r="B93" s="285"/>
      <c r="C93" s="283"/>
      <c r="D93" s="283"/>
      <c r="E93" s="285"/>
      <c r="F93" s="285"/>
      <c r="G93" s="285"/>
      <c r="H93" s="285"/>
      <c r="I93" s="285"/>
      <c r="J93" s="285"/>
      <c r="K93" s="285"/>
      <c r="L93" s="285"/>
      <c r="M93" s="158" t="s">
        <v>695</v>
      </c>
      <c r="N93" s="159" t="s">
        <v>821</v>
      </c>
      <c r="O93" s="159">
        <v>10</v>
      </c>
      <c r="P93" s="286"/>
      <c r="Q93" s="156"/>
      <c r="R93" s="156"/>
      <c r="S93" s="157"/>
      <c r="T93" s="156"/>
      <c r="U93" s="156"/>
      <c r="V93" s="286"/>
      <c r="W93" s="286"/>
      <c r="X93" s="286"/>
      <c r="Y93" s="286"/>
      <c r="Z93" s="286"/>
      <c r="AA93" s="275"/>
      <c r="AB93" s="275"/>
      <c r="AC93" s="275"/>
      <c r="AD93" s="286"/>
      <c r="AE93" s="286"/>
      <c r="AF93" s="286"/>
      <c r="AG93" s="286"/>
    </row>
    <row r="94" spans="2:33" ht="13.5">
      <c r="B94" s="287"/>
      <c r="C94" s="283"/>
      <c r="D94" s="283"/>
      <c r="E94" s="287"/>
      <c r="F94" s="287"/>
      <c r="G94" s="287"/>
      <c r="H94" s="287"/>
      <c r="I94" s="287"/>
      <c r="J94" s="287"/>
      <c r="K94" s="287"/>
      <c r="L94" s="287"/>
      <c r="M94" s="160"/>
      <c r="N94" s="161"/>
      <c r="O94" s="161"/>
      <c r="P94" s="288"/>
      <c r="Q94" s="156"/>
      <c r="R94" s="156"/>
      <c r="S94" s="157"/>
      <c r="T94" s="156"/>
      <c r="U94" s="156"/>
      <c r="V94" s="288"/>
      <c r="W94" s="288"/>
      <c r="X94" s="288"/>
      <c r="Y94" s="288"/>
      <c r="Z94" s="288"/>
      <c r="AA94" s="276"/>
      <c r="AB94" s="276"/>
      <c r="AC94" s="276"/>
      <c r="AD94" s="288"/>
      <c r="AE94" s="288"/>
      <c r="AF94" s="288"/>
      <c r="AG94" s="288"/>
    </row>
    <row r="95" spans="2:33" ht="13.5">
      <c r="B95" s="282">
        <v>30</v>
      </c>
      <c r="C95" s="283" t="s">
        <v>833</v>
      </c>
      <c r="D95" s="283" t="s">
        <v>834</v>
      </c>
      <c r="E95" s="282" t="s">
        <v>84</v>
      </c>
      <c r="F95" s="282" t="s">
        <v>818</v>
      </c>
      <c r="G95" s="282"/>
      <c r="H95" s="282" t="s">
        <v>770</v>
      </c>
      <c r="I95" s="282" t="s">
        <v>770</v>
      </c>
      <c r="J95" s="282" t="s">
        <v>770</v>
      </c>
      <c r="K95" s="282" t="s">
        <v>770</v>
      </c>
      <c r="L95" s="282" t="s">
        <v>770</v>
      </c>
      <c r="M95" s="154" t="s">
        <v>779</v>
      </c>
      <c r="N95" s="200" t="s">
        <v>835</v>
      </c>
      <c r="O95" s="200">
        <v>3</v>
      </c>
      <c r="P95" s="284" t="s">
        <v>836</v>
      </c>
      <c r="Q95" s="156"/>
      <c r="R95" s="156"/>
      <c r="S95" s="157"/>
      <c r="T95" s="156"/>
      <c r="U95" s="156"/>
      <c r="V95" s="284" t="s">
        <v>752</v>
      </c>
      <c r="W95" s="284" t="s">
        <v>752</v>
      </c>
      <c r="X95" s="284" t="s">
        <v>830</v>
      </c>
      <c r="Y95" s="284" t="s">
        <v>752</v>
      </c>
      <c r="Z95" s="284" t="s">
        <v>752</v>
      </c>
      <c r="AA95" s="274"/>
      <c r="AB95" s="274"/>
      <c r="AC95" s="274"/>
      <c r="AD95" s="284" t="s">
        <v>95</v>
      </c>
      <c r="AE95" s="284"/>
      <c r="AF95" s="284"/>
      <c r="AG95" s="284"/>
    </row>
    <row r="96" spans="2:33" ht="13.5">
      <c r="B96" s="285"/>
      <c r="C96" s="283"/>
      <c r="D96" s="283"/>
      <c r="E96" s="285"/>
      <c r="F96" s="285"/>
      <c r="G96" s="285"/>
      <c r="H96" s="285"/>
      <c r="I96" s="285"/>
      <c r="J96" s="285"/>
      <c r="K96" s="285"/>
      <c r="L96" s="285"/>
      <c r="M96" s="158" t="s">
        <v>695</v>
      </c>
      <c r="N96" s="159" t="s">
        <v>821</v>
      </c>
      <c r="O96" s="159">
        <v>10</v>
      </c>
      <c r="P96" s="286"/>
      <c r="Q96" s="156"/>
      <c r="R96" s="156"/>
      <c r="S96" s="157"/>
      <c r="T96" s="156"/>
      <c r="U96" s="156"/>
      <c r="V96" s="286"/>
      <c r="W96" s="286"/>
      <c r="X96" s="286"/>
      <c r="Y96" s="286"/>
      <c r="Z96" s="286"/>
      <c r="AA96" s="275"/>
      <c r="AB96" s="275"/>
      <c r="AC96" s="275"/>
      <c r="AD96" s="286"/>
      <c r="AE96" s="286"/>
      <c r="AF96" s="286"/>
      <c r="AG96" s="286"/>
    </row>
    <row r="97" spans="2:33" ht="13.5">
      <c r="B97" s="287"/>
      <c r="C97" s="283"/>
      <c r="D97" s="283"/>
      <c r="E97" s="287"/>
      <c r="F97" s="287"/>
      <c r="G97" s="287"/>
      <c r="H97" s="287"/>
      <c r="I97" s="287"/>
      <c r="J97" s="287"/>
      <c r="K97" s="287"/>
      <c r="L97" s="287"/>
      <c r="M97" s="160"/>
      <c r="N97" s="161"/>
      <c r="O97" s="161"/>
      <c r="P97" s="288"/>
      <c r="Q97" s="156"/>
      <c r="R97" s="156"/>
      <c r="S97" s="157"/>
      <c r="T97" s="156"/>
      <c r="U97" s="156"/>
      <c r="V97" s="288"/>
      <c r="W97" s="288"/>
      <c r="X97" s="288"/>
      <c r="Y97" s="288"/>
      <c r="Z97" s="288"/>
      <c r="AA97" s="276"/>
      <c r="AB97" s="276"/>
      <c r="AC97" s="276"/>
      <c r="AD97" s="288"/>
      <c r="AE97" s="288"/>
      <c r="AF97" s="288"/>
      <c r="AG97" s="288"/>
    </row>
    <row r="98" spans="2:33" ht="13.5">
      <c r="B98" s="282">
        <v>31</v>
      </c>
      <c r="C98" s="283" t="s">
        <v>837</v>
      </c>
      <c r="D98" s="283" t="s">
        <v>834</v>
      </c>
      <c r="E98" s="282" t="s">
        <v>84</v>
      </c>
      <c r="F98" s="282" t="s">
        <v>823</v>
      </c>
      <c r="G98" s="282"/>
      <c r="H98" s="282" t="s">
        <v>770</v>
      </c>
      <c r="I98" s="282" t="s">
        <v>770</v>
      </c>
      <c r="J98" s="282" t="s">
        <v>770</v>
      </c>
      <c r="K98" s="282" t="s">
        <v>770</v>
      </c>
      <c r="L98" s="282" t="s">
        <v>770</v>
      </c>
      <c r="M98" s="154" t="s">
        <v>779</v>
      </c>
      <c r="N98" s="200" t="s">
        <v>835</v>
      </c>
      <c r="O98" s="200">
        <v>3</v>
      </c>
      <c r="P98" s="284" t="s">
        <v>836</v>
      </c>
      <c r="Q98" s="156"/>
      <c r="R98" s="156"/>
      <c r="S98" s="157"/>
      <c r="T98" s="156"/>
      <c r="U98" s="156"/>
      <c r="V98" s="284" t="s">
        <v>752</v>
      </c>
      <c r="W98" s="284" t="s">
        <v>752</v>
      </c>
      <c r="X98" s="284" t="s">
        <v>830</v>
      </c>
      <c r="Y98" s="284" t="s">
        <v>752</v>
      </c>
      <c r="Z98" s="284" t="s">
        <v>752</v>
      </c>
      <c r="AA98" s="274"/>
      <c r="AB98" s="274"/>
      <c r="AC98" s="274"/>
      <c r="AD98" s="284" t="s">
        <v>95</v>
      </c>
      <c r="AE98" s="284"/>
      <c r="AF98" s="284"/>
      <c r="AG98" s="284"/>
    </row>
    <row r="99" spans="2:33" ht="13.5">
      <c r="B99" s="285"/>
      <c r="C99" s="283"/>
      <c r="D99" s="283"/>
      <c r="E99" s="285"/>
      <c r="F99" s="285"/>
      <c r="G99" s="285"/>
      <c r="H99" s="285"/>
      <c r="I99" s="285"/>
      <c r="J99" s="285"/>
      <c r="K99" s="285"/>
      <c r="L99" s="285"/>
      <c r="M99" s="158" t="s">
        <v>695</v>
      </c>
      <c r="N99" s="159" t="s">
        <v>821</v>
      </c>
      <c r="O99" s="159">
        <v>10</v>
      </c>
      <c r="P99" s="286"/>
      <c r="Q99" s="156"/>
      <c r="R99" s="156"/>
      <c r="S99" s="157"/>
      <c r="T99" s="156"/>
      <c r="U99" s="156"/>
      <c r="V99" s="286"/>
      <c r="W99" s="286"/>
      <c r="X99" s="286"/>
      <c r="Y99" s="286"/>
      <c r="Z99" s="286"/>
      <c r="AA99" s="275"/>
      <c r="AB99" s="275"/>
      <c r="AC99" s="275"/>
      <c r="AD99" s="286"/>
      <c r="AE99" s="286"/>
      <c r="AF99" s="286"/>
      <c r="AG99" s="286"/>
    </row>
    <row r="100" spans="2:33" ht="13.5">
      <c r="B100" s="287"/>
      <c r="C100" s="283"/>
      <c r="D100" s="283"/>
      <c r="E100" s="287"/>
      <c r="F100" s="287"/>
      <c r="G100" s="287"/>
      <c r="H100" s="287"/>
      <c r="I100" s="287"/>
      <c r="J100" s="287"/>
      <c r="K100" s="287"/>
      <c r="L100" s="287"/>
      <c r="M100" s="160"/>
      <c r="N100" s="161"/>
      <c r="O100" s="161"/>
      <c r="P100" s="288"/>
      <c r="Q100" s="156"/>
      <c r="R100" s="156"/>
      <c r="S100" s="157"/>
      <c r="T100" s="156"/>
      <c r="U100" s="156"/>
      <c r="V100" s="288"/>
      <c r="W100" s="288"/>
      <c r="X100" s="288"/>
      <c r="Y100" s="288"/>
      <c r="Z100" s="288"/>
      <c r="AA100" s="276"/>
      <c r="AB100" s="276"/>
      <c r="AC100" s="276"/>
      <c r="AD100" s="288"/>
      <c r="AE100" s="288"/>
      <c r="AF100" s="288"/>
      <c r="AG100" s="288"/>
    </row>
    <row r="101" spans="2:33" ht="13.5">
      <c r="B101" s="282">
        <v>32</v>
      </c>
      <c r="C101" s="283" t="s">
        <v>838</v>
      </c>
      <c r="D101" s="283" t="s">
        <v>834</v>
      </c>
      <c r="E101" s="282" t="s">
        <v>84</v>
      </c>
      <c r="F101" s="282" t="s">
        <v>825</v>
      </c>
      <c r="G101" s="282"/>
      <c r="H101" s="282" t="s">
        <v>770</v>
      </c>
      <c r="I101" s="282" t="s">
        <v>770</v>
      </c>
      <c r="J101" s="282" t="s">
        <v>770</v>
      </c>
      <c r="K101" s="282" t="s">
        <v>770</v>
      </c>
      <c r="L101" s="282" t="s">
        <v>770</v>
      </c>
      <c r="M101" s="154" t="s">
        <v>779</v>
      </c>
      <c r="N101" s="155" t="s">
        <v>835</v>
      </c>
      <c r="O101" s="155">
        <v>3</v>
      </c>
      <c r="P101" s="284" t="s">
        <v>836</v>
      </c>
      <c r="Q101" s="156"/>
      <c r="R101" s="156"/>
      <c r="S101" s="157"/>
      <c r="T101" s="156"/>
      <c r="U101" s="156"/>
      <c r="V101" s="284" t="s">
        <v>752</v>
      </c>
      <c r="W101" s="284" t="s">
        <v>752</v>
      </c>
      <c r="X101" s="284" t="s">
        <v>830</v>
      </c>
      <c r="Y101" s="284" t="s">
        <v>752</v>
      </c>
      <c r="Z101" s="284" t="s">
        <v>752</v>
      </c>
      <c r="AA101" s="274"/>
      <c r="AB101" s="274"/>
      <c r="AC101" s="274"/>
      <c r="AD101" s="284" t="s">
        <v>95</v>
      </c>
      <c r="AE101" s="284"/>
      <c r="AF101" s="284"/>
      <c r="AG101" s="284"/>
    </row>
    <row r="102" spans="2:33" ht="13.5">
      <c r="B102" s="285"/>
      <c r="C102" s="283"/>
      <c r="D102" s="283"/>
      <c r="E102" s="285"/>
      <c r="F102" s="285"/>
      <c r="G102" s="285"/>
      <c r="H102" s="285"/>
      <c r="I102" s="285"/>
      <c r="J102" s="285"/>
      <c r="K102" s="285"/>
      <c r="L102" s="285"/>
      <c r="M102" s="158" t="s">
        <v>695</v>
      </c>
      <c r="N102" s="159" t="s">
        <v>821</v>
      </c>
      <c r="O102" s="159">
        <v>10</v>
      </c>
      <c r="P102" s="286"/>
      <c r="Q102" s="156"/>
      <c r="R102" s="156"/>
      <c r="S102" s="157"/>
      <c r="T102" s="156"/>
      <c r="U102" s="156"/>
      <c r="V102" s="286"/>
      <c r="W102" s="286"/>
      <c r="X102" s="286"/>
      <c r="Y102" s="286"/>
      <c r="Z102" s="286"/>
      <c r="AA102" s="275"/>
      <c r="AB102" s="275"/>
      <c r="AC102" s="275"/>
      <c r="AD102" s="286"/>
      <c r="AE102" s="286"/>
      <c r="AF102" s="286"/>
      <c r="AG102" s="286"/>
    </row>
    <row r="103" spans="2:33" ht="13.5">
      <c r="B103" s="287"/>
      <c r="C103" s="283"/>
      <c r="D103" s="283"/>
      <c r="E103" s="287"/>
      <c r="F103" s="287"/>
      <c r="G103" s="287"/>
      <c r="H103" s="287"/>
      <c r="I103" s="287"/>
      <c r="J103" s="287"/>
      <c r="K103" s="287"/>
      <c r="L103" s="287"/>
      <c r="M103" s="160"/>
      <c r="N103" s="161"/>
      <c r="O103" s="161"/>
      <c r="P103" s="288"/>
      <c r="Q103" s="156"/>
      <c r="R103" s="156"/>
      <c r="S103" s="157"/>
      <c r="T103" s="156"/>
      <c r="U103" s="156"/>
      <c r="V103" s="288"/>
      <c r="W103" s="288"/>
      <c r="X103" s="288"/>
      <c r="Y103" s="288"/>
      <c r="Z103" s="288"/>
      <c r="AA103" s="276"/>
      <c r="AB103" s="276"/>
      <c r="AC103" s="276"/>
      <c r="AD103" s="288"/>
      <c r="AE103" s="288"/>
      <c r="AF103" s="288"/>
      <c r="AG103" s="288"/>
    </row>
    <row r="104" spans="2:33" ht="13.5">
      <c r="B104" s="282">
        <v>33</v>
      </c>
      <c r="C104" s="283" t="s">
        <v>839</v>
      </c>
      <c r="D104" s="283" t="s">
        <v>840</v>
      </c>
      <c r="E104" s="282" t="s">
        <v>84</v>
      </c>
      <c r="F104" s="282" t="s">
        <v>818</v>
      </c>
      <c r="G104" s="282"/>
      <c r="H104" s="282" t="s">
        <v>770</v>
      </c>
      <c r="I104" s="282" t="s">
        <v>770</v>
      </c>
      <c r="J104" s="282" t="s">
        <v>770</v>
      </c>
      <c r="K104" s="282" t="s">
        <v>770</v>
      </c>
      <c r="L104" s="282" t="s">
        <v>770</v>
      </c>
      <c r="M104" s="154" t="s">
        <v>779</v>
      </c>
      <c r="N104" s="200" t="s">
        <v>841</v>
      </c>
      <c r="O104" s="200">
        <v>4</v>
      </c>
      <c r="P104" s="284" t="s">
        <v>842</v>
      </c>
      <c r="Q104" s="156"/>
      <c r="R104" s="156"/>
      <c r="S104" s="157"/>
      <c r="T104" s="156"/>
      <c r="U104" s="156"/>
      <c r="V104" s="284" t="s">
        <v>752</v>
      </c>
      <c r="W104" s="284" t="s">
        <v>752</v>
      </c>
      <c r="X104" s="284" t="s">
        <v>830</v>
      </c>
      <c r="Y104" s="284" t="s">
        <v>752</v>
      </c>
      <c r="Z104" s="284" t="s">
        <v>752</v>
      </c>
      <c r="AA104" s="274"/>
      <c r="AB104" s="274"/>
      <c r="AC104" s="274"/>
      <c r="AD104" s="284" t="s">
        <v>95</v>
      </c>
      <c r="AE104" s="284"/>
      <c r="AF104" s="284"/>
      <c r="AG104" s="284"/>
    </row>
    <row r="105" spans="2:33" ht="13.5">
      <c r="B105" s="285"/>
      <c r="C105" s="283"/>
      <c r="D105" s="283"/>
      <c r="E105" s="285"/>
      <c r="F105" s="285"/>
      <c r="G105" s="285"/>
      <c r="H105" s="285"/>
      <c r="I105" s="285"/>
      <c r="J105" s="285"/>
      <c r="K105" s="285"/>
      <c r="L105" s="285"/>
      <c r="M105" s="158" t="s">
        <v>695</v>
      </c>
      <c r="N105" s="159" t="s">
        <v>821</v>
      </c>
      <c r="O105" s="159">
        <v>10</v>
      </c>
      <c r="P105" s="286"/>
      <c r="Q105" s="156"/>
      <c r="R105" s="156"/>
      <c r="S105" s="157"/>
      <c r="T105" s="156"/>
      <c r="U105" s="156"/>
      <c r="V105" s="286"/>
      <c r="W105" s="286"/>
      <c r="X105" s="286"/>
      <c r="Y105" s="286"/>
      <c r="Z105" s="286"/>
      <c r="AA105" s="275"/>
      <c r="AB105" s="275"/>
      <c r="AC105" s="275"/>
      <c r="AD105" s="286"/>
      <c r="AE105" s="286"/>
      <c r="AF105" s="286"/>
      <c r="AG105" s="286"/>
    </row>
    <row r="106" spans="2:33" ht="13.5">
      <c r="B106" s="287"/>
      <c r="C106" s="283"/>
      <c r="D106" s="283"/>
      <c r="E106" s="287"/>
      <c r="F106" s="287"/>
      <c r="G106" s="287"/>
      <c r="H106" s="287"/>
      <c r="I106" s="287"/>
      <c r="J106" s="287"/>
      <c r="K106" s="287"/>
      <c r="L106" s="287"/>
      <c r="M106" s="160"/>
      <c r="N106" s="161"/>
      <c r="O106" s="161">
        <v>0</v>
      </c>
      <c r="P106" s="288"/>
      <c r="Q106" s="156"/>
      <c r="R106" s="156"/>
      <c r="S106" s="157"/>
      <c r="T106" s="156"/>
      <c r="U106" s="156"/>
      <c r="V106" s="288"/>
      <c r="W106" s="288"/>
      <c r="X106" s="288"/>
      <c r="Y106" s="288"/>
      <c r="Z106" s="288"/>
      <c r="AA106" s="276"/>
      <c r="AB106" s="276"/>
      <c r="AC106" s="276"/>
      <c r="AD106" s="288"/>
      <c r="AE106" s="288"/>
      <c r="AF106" s="288"/>
      <c r="AG106" s="288"/>
    </row>
    <row r="107" spans="2:33" ht="13.5">
      <c r="B107" s="282">
        <v>34</v>
      </c>
      <c r="C107" s="283" t="s">
        <v>843</v>
      </c>
      <c r="D107" s="283" t="s">
        <v>840</v>
      </c>
      <c r="E107" s="282" t="s">
        <v>84</v>
      </c>
      <c r="F107" s="282" t="s">
        <v>823</v>
      </c>
      <c r="G107" s="282"/>
      <c r="H107" s="282" t="s">
        <v>770</v>
      </c>
      <c r="I107" s="282" t="s">
        <v>770</v>
      </c>
      <c r="J107" s="282" t="s">
        <v>770</v>
      </c>
      <c r="K107" s="282" t="s">
        <v>770</v>
      </c>
      <c r="L107" s="282" t="s">
        <v>770</v>
      </c>
      <c r="M107" s="154" t="s">
        <v>779</v>
      </c>
      <c r="N107" s="155" t="s">
        <v>841</v>
      </c>
      <c r="O107" s="155">
        <v>4</v>
      </c>
      <c r="P107" s="284" t="s">
        <v>842</v>
      </c>
      <c r="Q107" s="156"/>
      <c r="R107" s="156"/>
      <c r="S107" s="157"/>
      <c r="T107" s="156"/>
      <c r="U107" s="156"/>
      <c r="V107" s="284" t="s">
        <v>752</v>
      </c>
      <c r="W107" s="284" t="s">
        <v>752</v>
      </c>
      <c r="X107" s="284" t="s">
        <v>830</v>
      </c>
      <c r="Y107" s="284" t="s">
        <v>752</v>
      </c>
      <c r="Z107" s="284" t="s">
        <v>752</v>
      </c>
      <c r="AA107" s="274"/>
      <c r="AB107" s="274"/>
      <c r="AC107" s="274"/>
      <c r="AD107" s="284" t="s">
        <v>95</v>
      </c>
      <c r="AE107" s="284"/>
      <c r="AF107" s="284"/>
      <c r="AG107" s="284"/>
    </row>
    <row r="108" spans="2:33" ht="13.5">
      <c r="B108" s="285"/>
      <c r="C108" s="283"/>
      <c r="D108" s="283"/>
      <c r="E108" s="285"/>
      <c r="F108" s="285"/>
      <c r="G108" s="285"/>
      <c r="H108" s="285"/>
      <c r="I108" s="285"/>
      <c r="J108" s="285"/>
      <c r="K108" s="285"/>
      <c r="L108" s="285"/>
      <c r="M108" s="158" t="s">
        <v>695</v>
      </c>
      <c r="N108" s="159" t="s">
        <v>821</v>
      </c>
      <c r="O108" s="159">
        <v>10</v>
      </c>
      <c r="P108" s="286"/>
      <c r="Q108" s="156"/>
      <c r="R108" s="156"/>
      <c r="S108" s="157"/>
      <c r="T108" s="156"/>
      <c r="U108" s="156"/>
      <c r="V108" s="286"/>
      <c r="W108" s="286"/>
      <c r="X108" s="286"/>
      <c r="Y108" s="286"/>
      <c r="Z108" s="286"/>
      <c r="AA108" s="275"/>
      <c r="AB108" s="275"/>
      <c r="AC108" s="275"/>
      <c r="AD108" s="286"/>
      <c r="AE108" s="286"/>
      <c r="AF108" s="286"/>
      <c r="AG108" s="286"/>
    </row>
    <row r="109" spans="2:33" ht="13.5">
      <c r="B109" s="287"/>
      <c r="C109" s="283"/>
      <c r="D109" s="283"/>
      <c r="E109" s="287"/>
      <c r="F109" s="287"/>
      <c r="G109" s="287"/>
      <c r="H109" s="287"/>
      <c r="I109" s="287"/>
      <c r="J109" s="287"/>
      <c r="K109" s="287"/>
      <c r="L109" s="287"/>
      <c r="M109" s="160"/>
      <c r="N109" s="161"/>
      <c r="O109" s="161"/>
      <c r="P109" s="288"/>
      <c r="Q109" s="156"/>
      <c r="R109" s="156"/>
      <c r="S109" s="157"/>
      <c r="T109" s="156"/>
      <c r="U109" s="156"/>
      <c r="V109" s="288"/>
      <c r="W109" s="288"/>
      <c r="X109" s="288"/>
      <c r="Y109" s="288"/>
      <c r="Z109" s="288"/>
      <c r="AA109" s="276"/>
      <c r="AB109" s="276"/>
      <c r="AC109" s="276"/>
      <c r="AD109" s="288"/>
      <c r="AE109" s="288"/>
      <c r="AF109" s="288"/>
      <c r="AG109" s="288"/>
    </row>
    <row r="110" spans="2:33" ht="13.5">
      <c r="B110" s="282">
        <v>35</v>
      </c>
      <c r="C110" s="283" t="s">
        <v>844</v>
      </c>
      <c r="D110" s="283" t="s">
        <v>840</v>
      </c>
      <c r="E110" s="282" t="s">
        <v>84</v>
      </c>
      <c r="F110" s="282" t="s">
        <v>825</v>
      </c>
      <c r="G110" s="282"/>
      <c r="H110" s="282" t="s">
        <v>770</v>
      </c>
      <c r="I110" s="282" t="s">
        <v>770</v>
      </c>
      <c r="J110" s="282" t="s">
        <v>770</v>
      </c>
      <c r="K110" s="282" t="s">
        <v>770</v>
      </c>
      <c r="L110" s="282" t="s">
        <v>770</v>
      </c>
      <c r="M110" s="154" t="s">
        <v>779</v>
      </c>
      <c r="N110" s="155" t="s">
        <v>841</v>
      </c>
      <c r="O110" s="155">
        <v>4</v>
      </c>
      <c r="P110" s="284" t="s">
        <v>842</v>
      </c>
      <c r="Q110" s="156"/>
      <c r="R110" s="156"/>
      <c r="S110" s="157"/>
      <c r="T110" s="156"/>
      <c r="U110" s="156"/>
      <c r="V110" s="284" t="s">
        <v>752</v>
      </c>
      <c r="W110" s="284" t="s">
        <v>752</v>
      </c>
      <c r="X110" s="284" t="s">
        <v>830</v>
      </c>
      <c r="Y110" s="284" t="s">
        <v>752</v>
      </c>
      <c r="Z110" s="284" t="s">
        <v>752</v>
      </c>
      <c r="AA110" s="274"/>
      <c r="AB110" s="274"/>
      <c r="AC110" s="274"/>
      <c r="AD110" s="284" t="s">
        <v>95</v>
      </c>
      <c r="AE110" s="284"/>
      <c r="AF110" s="284"/>
      <c r="AG110" s="284"/>
    </row>
    <row r="111" spans="2:33" ht="13.5">
      <c r="B111" s="285"/>
      <c r="C111" s="283"/>
      <c r="D111" s="283"/>
      <c r="E111" s="285"/>
      <c r="F111" s="285"/>
      <c r="G111" s="285"/>
      <c r="H111" s="285"/>
      <c r="I111" s="285"/>
      <c r="J111" s="285"/>
      <c r="K111" s="285"/>
      <c r="L111" s="285"/>
      <c r="M111" s="158" t="s">
        <v>695</v>
      </c>
      <c r="N111" s="159" t="s">
        <v>821</v>
      </c>
      <c r="O111" s="159">
        <v>10</v>
      </c>
      <c r="P111" s="286"/>
      <c r="Q111" s="156"/>
      <c r="R111" s="156"/>
      <c r="S111" s="157"/>
      <c r="T111" s="156"/>
      <c r="U111" s="156"/>
      <c r="V111" s="286"/>
      <c r="W111" s="286"/>
      <c r="X111" s="286"/>
      <c r="Y111" s="286"/>
      <c r="Z111" s="286"/>
      <c r="AA111" s="275"/>
      <c r="AB111" s="275"/>
      <c r="AC111" s="275"/>
      <c r="AD111" s="286"/>
      <c r="AE111" s="286"/>
      <c r="AF111" s="286"/>
      <c r="AG111" s="286"/>
    </row>
    <row r="112" spans="2:33" ht="13.5">
      <c r="B112" s="287"/>
      <c r="C112" s="283"/>
      <c r="D112" s="283"/>
      <c r="E112" s="287"/>
      <c r="F112" s="287"/>
      <c r="G112" s="287"/>
      <c r="H112" s="287"/>
      <c r="I112" s="287"/>
      <c r="J112" s="287"/>
      <c r="K112" s="287"/>
      <c r="L112" s="287"/>
      <c r="M112" s="160"/>
      <c r="N112" s="161"/>
      <c r="O112" s="161"/>
      <c r="P112" s="288"/>
      <c r="Q112" s="156"/>
      <c r="R112" s="156"/>
      <c r="S112" s="157"/>
      <c r="T112" s="156"/>
      <c r="U112" s="156"/>
      <c r="V112" s="288"/>
      <c r="W112" s="288"/>
      <c r="X112" s="288"/>
      <c r="Y112" s="288"/>
      <c r="Z112" s="288"/>
      <c r="AA112" s="276"/>
      <c r="AB112" s="276"/>
      <c r="AC112" s="276"/>
      <c r="AD112" s="288"/>
      <c r="AE112" s="288"/>
      <c r="AF112" s="288"/>
      <c r="AG112" s="288"/>
    </row>
    <row r="113" spans="2:33" ht="13.5">
      <c r="B113" s="282">
        <v>36</v>
      </c>
      <c r="C113" s="283" t="s">
        <v>845</v>
      </c>
      <c r="D113" s="283" t="s">
        <v>846</v>
      </c>
      <c r="E113" s="282" t="s">
        <v>84</v>
      </c>
      <c r="F113" s="282" t="s">
        <v>818</v>
      </c>
      <c r="G113" s="282"/>
      <c r="H113" s="282" t="s">
        <v>770</v>
      </c>
      <c r="I113" s="282" t="s">
        <v>770</v>
      </c>
      <c r="J113" s="282" t="s">
        <v>770</v>
      </c>
      <c r="K113" s="282" t="s">
        <v>770</v>
      </c>
      <c r="L113" s="282" t="s">
        <v>770</v>
      </c>
      <c r="M113" s="154" t="s">
        <v>779</v>
      </c>
      <c r="N113" s="200" t="s">
        <v>847</v>
      </c>
      <c r="O113" s="200">
        <v>3</v>
      </c>
      <c r="P113" s="284" t="s">
        <v>848</v>
      </c>
      <c r="Q113" s="156"/>
      <c r="R113" s="156"/>
      <c r="S113" s="157"/>
      <c r="T113" s="156"/>
      <c r="U113" s="156"/>
      <c r="V113" s="284" t="s">
        <v>752</v>
      </c>
      <c r="W113" s="284" t="s">
        <v>752</v>
      </c>
      <c r="X113" s="284" t="s">
        <v>830</v>
      </c>
      <c r="Y113" s="284" t="s">
        <v>752</v>
      </c>
      <c r="Z113" s="284" t="s">
        <v>752</v>
      </c>
      <c r="AA113" s="274"/>
      <c r="AB113" s="274"/>
      <c r="AC113" s="274"/>
      <c r="AD113" s="284" t="s">
        <v>95</v>
      </c>
      <c r="AE113" s="284"/>
      <c r="AF113" s="284"/>
      <c r="AG113" s="284"/>
    </row>
    <row r="114" spans="2:33" ht="13.5">
      <c r="B114" s="285"/>
      <c r="C114" s="283"/>
      <c r="D114" s="283"/>
      <c r="E114" s="285"/>
      <c r="F114" s="285"/>
      <c r="G114" s="285"/>
      <c r="H114" s="285"/>
      <c r="I114" s="285"/>
      <c r="J114" s="285"/>
      <c r="K114" s="285"/>
      <c r="L114" s="285"/>
      <c r="M114" s="158" t="s">
        <v>695</v>
      </c>
      <c r="N114" s="159" t="s">
        <v>821</v>
      </c>
      <c r="O114" s="159">
        <v>10</v>
      </c>
      <c r="P114" s="286"/>
      <c r="Q114" s="156"/>
      <c r="R114" s="156"/>
      <c r="S114" s="157"/>
      <c r="T114" s="156"/>
      <c r="U114" s="156"/>
      <c r="V114" s="286"/>
      <c r="W114" s="286"/>
      <c r="X114" s="286"/>
      <c r="Y114" s="286"/>
      <c r="Z114" s="286"/>
      <c r="AA114" s="275"/>
      <c r="AB114" s="275"/>
      <c r="AC114" s="275"/>
      <c r="AD114" s="286"/>
      <c r="AE114" s="286"/>
      <c r="AF114" s="286"/>
      <c r="AG114" s="286"/>
    </row>
    <row r="115" spans="2:33" ht="13.5">
      <c r="B115" s="287"/>
      <c r="C115" s="283"/>
      <c r="D115" s="283"/>
      <c r="E115" s="287"/>
      <c r="F115" s="287"/>
      <c r="G115" s="287"/>
      <c r="H115" s="287"/>
      <c r="I115" s="287"/>
      <c r="J115" s="287"/>
      <c r="K115" s="287"/>
      <c r="L115" s="287"/>
      <c r="M115" s="160"/>
      <c r="N115" s="161"/>
      <c r="O115" s="161"/>
      <c r="P115" s="288"/>
      <c r="Q115" s="156"/>
      <c r="R115" s="156"/>
      <c r="S115" s="157"/>
      <c r="T115" s="156"/>
      <c r="U115" s="156"/>
      <c r="V115" s="288"/>
      <c r="W115" s="288"/>
      <c r="X115" s="288"/>
      <c r="Y115" s="288"/>
      <c r="Z115" s="288"/>
      <c r="AA115" s="276"/>
      <c r="AB115" s="276"/>
      <c r="AC115" s="276"/>
      <c r="AD115" s="288"/>
      <c r="AE115" s="288"/>
      <c r="AF115" s="288"/>
      <c r="AG115" s="288"/>
    </row>
    <row r="116" spans="2:33" ht="13.5">
      <c r="B116" s="282">
        <v>37</v>
      </c>
      <c r="C116" s="283" t="s">
        <v>849</v>
      </c>
      <c r="D116" s="283" t="s">
        <v>846</v>
      </c>
      <c r="E116" s="282" t="s">
        <v>84</v>
      </c>
      <c r="F116" s="282" t="s">
        <v>823</v>
      </c>
      <c r="G116" s="282"/>
      <c r="H116" s="282" t="s">
        <v>770</v>
      </c>
      <c r="I116" s="282" t="s">
        <v>770</v>
      </c>
      <c r="J116" s="282" t="s">
        <v>770</v>
      </c>
      <c r="K116" s="282" t="s">
        <v>770</v>
      </c>
      <c r="L116" s="282" t="s">
        <v>770</v>
      </c>
      <c r="M116" s="154" t="s">
        <v>779</v>
      </c>
      <c r="N116" s="200" t="s">
        <v>847</v>
      </c>
      <c r="O116" s="200">
        <v>3</v>
      </c>
      <c r="P116" s="284" t="s">
        <v>848</v>
      </c>
      <c r="Q116" s="156"/>
      <c r="R116" s="156"/>
      <c r="S116" s="157"/>
      <c r="T116" s="156"/>
      <c r="U116" s="156"/>
      <c r="V116" s="284" t="s">
        <v>752</v>
      </c>
      <c r="W116" s="284" t="s">
        <v>752</v>
      </c>
      <c r="X116" s="284" t="s">
        <v>830</v>
      </c>
      <c r="Y116" s="284" t="s">
        <v>752</v>
      </c>
      <c r="Z116" s="284" t="s">
        <v>752</v>
      </c>
      <c r="AA116" s="274"/>
      <c r="AB116" s="274"/>
      <c r="AC116" s="274"/>
      <c r="AD116" s="284" t="s">
        <v>95</v>
      </c>
      <c r="AE116" s="284"/>
      <c r="AF116" s="284"/>
      <c r="AG116" s="284"/>
    </row>
    <row r="117" spans="2:33" ht="13.5">
      <c r="B117" s="285"/>
      <c r="C117" s="283"/>
      <c r="D117" s="283"/>
      <c r="E117" s="285"/>
      <c r="F117" s="285"/>
      <c r="G117" s="285"/>
      <c r="H117" s="285"/>
      <c r="I117" s="285"/>
      <c r="J117" s="285"/>
      <c r="K117" s="285"/>
      <c r="L117" s="285"/>
      <c r="M117" s="158" t="s">
        <v>695</v>
      </c>
      <c r="N117" s="159" t="s">
        <v>821</v>
      </c>
      <c r="O117" s="159">
        <v>10</v>
      </c>
      <c r="P117" s="286"/>
      <c r="Q117" s="156"/>
      <c r="R117" s="156"/>
      <c r="S117" s="157"/>
      <c r="T117" s="156"/>
      <c r="U117" s="156"/>
      <c r="V117" s="286"/>
      <c r="W117" s="286"/>
      <c r="X117" s="286"/>
      <c r="Y117" s="286"/>
      <c r="Z117" s="286"/>
      <c r="AA117" s="275"/>
      <c r="AB117" s="275"/>
      <c r="AC117" s="275"/>
      <c r="AD117" s="286"/>
      <c r="AE117" s="286"/>
      <c r="AF117" s="286"/>
      <c r="AG117" s="286"/>
    </row>
    <row r="118" spans="2:33" ht="13.5">
      <c r="B118" s="287"/>
      <c r="C118" s="283"/>
      <c r="D118" s="283"/>
      <c r="E118" s="287"/>
      <c r="F118" s="287"/>
      <c r="G118" s="287"/>
      <c r="H118" s="287"/>
      <c r="I118" s="287"/>
      <c r="J118" s="287"/>
      <c r="K118" s="287"/>
      <c r="L118" s="287"/>
      <c r="M118" s="160"/>
      <c r="N118" s="161"/>
      <c r="O118" s="161"/>
      <c r="P118" s="288"/>
      <c r="Q118" s="156"/>
      <c r="R118" s="156"/>
      <c r="S118" s="157"/>
      <c r="T118" s="156"/>
      <c r="U118" s="156"/>
      <c r="V118" s="288"/>
      <c r="W118" s="288"/>
      <c r="X118" s="288"/>
      <c r="Y118" s="288"/>
      <c r="Z118" s="288"/>
      <c r="AA118" s="276"/>
      <c r="AB118" s="276"/>
      <c r="AC118" s="276"/>
      <c r="AD118" s="288"/>
      <c r="AE118" s="288"/>
      <c r="AF118" s="288"/>
      <c r="AG118" s="288"/>
    </row>
    <row r="119" spans="2:33" ht="13.5">
      <c r="B119" s="282">
        <v>38</v>
      </c>
      <c r="C119" s="283" t="s">
        <v>850</v>
      </c>
      <c r="D119" s="283" t="s">
        <v>846</v>
      </c>
      <c r="E119" s="282" t="s">
        <v>84</v>
      </c>
      <c r="F119" s="282" t="s">
        <v>825</v>
      </c>
      <c r="G119" s="282"/>
      <c r="H119" s="282" t="s">
        <v>770</v>
      </c>
      <c r="I119" s="282" t="s">
        <v>770</v>
      </c>
      <c r="J119" s="282" t="s">
        <v>770</v>
      </c>
      <c r="K119" s="282" t="s">
        <v>770</v>
      </c>
      <c r="L119" s="282" t="s">
        <v>770</v>
      </c>
      <c r="M119" s="154" t="s">
        <v>779</v>
      </c>
      <c r="N119" s="155" t="s">
        <v>847</v>
      </c>
      <c r="O119" s="155">
        <v>3</v>
      </c>
      <c r="P119" s="284" t="s">
        <v>848</v>
      </c>
      <c r="Q119" s="156"/>
      <c r="R119" s="156"/>
      <c r="S119" s="157"/>
      <c r="T119" s="156"/>
      <c r="U119" s="156"/>
      <c r="V119" s="284" t="s">
        <v>752</v>
      </c>
      <c r="W119" s="284" t="s">
        <v>752</v>
      </c>
      <c r="X119" s="284" t="s">
        <v>830</v>
      </c>
      <c r="Y119" s="284" t="s">
        <v>752</v>
      </c>
      <c r="Z119" s="284" t="s">
        <v>752</v>
      </c>
      <c r="AA119" s="274"/>
      <c r="AB119" s="274"/>
      <c r="AC119" s="274"/>
      <c r="AD119" s="284" t="s">
        <v>95</v>
      </c>
      <c r="AE119" s="284"/>
      <c r="AF119" s="284"/>
      <c r="AG119" s="284"/>
    </row>
    <row r="120" spans="2:33" ht="13.5">
      <c r="B120" s="285"/>
      <c r="C120" s="283"/>
      <c r="D120" s="283"/>
      <c r="E120" s="285"/>
      <c r="F120" s="285"/>
      <c r="G120" s="285"/>
      <c r="H120" s="285"/>
      <c r="I120" s="285"/>
      <c r="J120" s="285"/>
      <c r="K120" s="285"/>
      <c r="L120" s="285"/>
      <c r="M120" s="158" t="s">
        <v>695</v>
      </c>
      <c r="N120" s="159" t="s">
        <v>821</v>
      </c>
      <c r="O120" s="159">
        <v>10</v>
      </c>
      <c r="P120" s="286"/>
      <c r="Q120" s="156"/>
      <c r="R120" s="156"/>
      <c r="S120" s="157"/>
      <c r="T120" s="156"/>
      <c r="U120" s="156"/>
      <c r="V120" s="286"/>
      <c r="W120" s="286"/>
      <c r="X120" s="286"/>
      <c r="Y120" s="286"/>
      <c r="Z120" s="286"/>
      <c r="AA120" s="275"/>
      <c r="AB120" s="275"/>
      <c r="AC120" s="275"/>
      <c r="AD120" s="286"/>
      <c r="AE120" s="286"/>
      <c r="AF120" s="286"/>
      <c r="AG120" s="286"/>
    </row>
    <row r="121" spans="2:33" ht="13.5">
      <c r="B121" s="287"/>
      <c r="C121" s="283"/>
      <c r="D121" s="283"/>
      <c r="E121" s="287"/>
      <c r="F121" s="287"/>
      <c r="G121" s="287"/>
      <c r="H121" s="287"/>
      <c r="I121" s="287"/>
      <c r="J121" s="287"/>
      <c r="K121" s="287"/>
      <c r="L121" s="287"/>
      <c r="M121" s="160"/>
      <c r="N121" s="161"/>
      <c r="O121" s="161"/>
      <c r="P121" s="288"/>
      <c r="Q121" s="156"/>
      <c r="R121" s="156"/>
      <c r="S121" s="157"/>
      <c r="T121" s="156"/>
      <c r="U121" s="156"/>
      <c r="V121" s="288"/>
      <c r="W121" s="288"/>
      <c r="X121" s="288"/>
      <c r="Y121" s="288"/>
      <c r="Z121" s="288"/>
      <c r="AA121" s="276"/>
      <c r="AB121" s="276"/>
      <c r="AC121" s="276"/>
      <c r="AD121" s="288"/>
      <c r="AE121" s="288"/>
      <c r="AF121" s="288"/>
      <c r="AG121" s="288"/>
    </row>
    <row r="122" spans="2:33" ht="13.5">
      <c r="B122" s="289">
        <v>39</v>
      </c>
      <c r="C122" s="283" t="s">
        <v>851</v>
      </c>
      <c r="D122" s="283" t="s">
        <v>852</v>
      </c>
      <c r="E122" s="282" t="s">
        <v>84</v>
      </c>
      <c r="F122" s="282" t="s">
        <v>818</v>
      </c>
      <c r="G122" s="282"/>
      <c r="H122" s="197" t="s">
        <v>853</v>
      </c>
      <c r="I122" s="197" t="s">
        <v>853</v>
      </c>
      <c r="J122" s="197" t="s">
        <v>853</v>
      </c>
      <c r="K122" s="197" t="s">
        <v>853</v>
      </c>
      <c r="L122" s="197" t="s">
        <v>853</v>
      </c>
      <c r="M122" s="154" t="s">
        <v>854</v>
      </c>
      <c r="N122" s="200" t="s">
        <v>855</v>
      </c>
      <c r="O122" s="200">
        <v>3</v>
      </c>
      <c r="P122" s="284" t="s">
        <v>856</v>
      </c>
      <c r="Q122" s="156"/>
      <c r="R122" s="156"/>
      <c r="S122" s="157"/>
      <c r="T122" s="156"/>
      <c r="U122" s="156"/>
      <c r="V122" s="284" t="s">
        <v>752</v>
      </c>
      <c r="W122" s="284" t="s">
        <v>752</v>
      </c>
      <c r="X122" s="284" t="s">
        <v>752</v>
      </c>
      <c r="Y122" s="284" t="s">
        <v>752</v>
      </c>
      <c r="Z122" s="284" t="s">
        <v>752</v>
      </c>
      <c r="AA122" s="274"/>
      <c r="AB122" s="274"/>
      <c r="AC122" s="274"/>
      <c r="AD122" s="284" t="s">
        <v>857</v>
      </c>
      <c r="AE122" s="284"/>
      <c r="AF122" s="284"/>
      <c r="AG122" s="284"/>
    </row>
    <row r="123" spans="2:33" ht="13.5">
      <c r="B123" s="289"/>
      <c r="C123" s="283"/>
      <c r="D123" s="283"/>
      <c r="E123" s="285"/>
      <c r="F123" s="285"/>
      <c r="G123" s="285"/>
      <c r="H123" s="198"/>
      <c r="I123" s="198"/>
      <c r="J123" s="198"/>
      <c r="K123" s="198"/>
      <c r="L123" s="198"/>
      <c r="M123" s="194" t="s">
        <v>854</v>
      </c>
      <c r="N123" s="201" t="s">
        <v>858</v>
      </c>
      <c r="O123" s="201">
        <v>2</v>
      </c>
      <c r="P123" s="286"/>
      <c r="Q123" s="156"/>
      <c r="R123" s="156"/>
      <c r="S123" s="157"/>
      <c r="T123" s="156"/>
      <c r="U123" s="156"/>
      <c r="V123" s="286"/>
      <c r="W123" s="286"/>
      <c r="X123" s="286"/>
      <c r="Y123" s="286"/>
      <c r="Z123" s="286"/>
      <c r="AA123" s="275"/>
      <c r="AB123" s="275"/>
      <c r="AC123" s="275"/>
      <c r="AD123" s="290"/>
      <c r="AE123" s="286"/>
      <c r="AF123" s="286"/>
      <c r="AG123" s="286"/>
    </row>
    <row r="124" spans="2:33" ht="13.5">
      <c r="B124" s="289"/>
      <c r="C124" s="283"/>
      <c r="D124" s="283"/>
      <c r="E124" s="285"/>
      <c r="F124" s="285"/>
      <c r="G124" s="285"/>
      <c r="H124" s="198"/>
      <c r="I124" s="198"/>
      <c r="J124" s="198"/>
      <c r="K124" s="198"/>
      <c r="L124" s="198"/>
      <c r="M124" s="158" t="s">
        <v>695</v>
      </c>
      <c r="N124" s="159" t="s">
        <v>859</v>
      </c>
      <c r="O124" s="159">
        <v>5</v>
      </c>
      <c r="P124" s="286"/>
      <c r="Q124" s="156"/>
      <c r="R124" s="156"/>
      <c r="S124" s="157"/>
      <c r="T124" s="156"/>
      <c r="U124" s="156"/>
      <c r="V124" s="286"/>
      <c r="W124" s="286"/>
      <c r="X124" s="286"/>
      <c r="Y124" s="286"/>
      <c r="Z124" s="286"/>
      <c r="AA124" s="275"/>
      <c r="AB124" s="275"/>
      <c r="AC124" s="275"/>
      <c r="AD124" s="290"/>
      <c r="AE124" s="286"/>
      <c r="AF124" s="286"/>
      <c r="AG124" s="286"/>
    </row>
    <row r="125" spans="2:33" ht="13.5">
      <c r="B125" s="289"/>
      <c r="C125" s="283"/>
      <c r="D125" s="283"/>
      <c r="E125" s="287"/>
      <c r="F125" s="287"/>
      <c r="G125" s="287"/>
      <c r="H125" s="199"/>
      <c r="I125" s="199"/>
      <c r="J125" s="199"/>
      <c r="K125" s="199"/>
      <c r="L125" s="199"/>
      <c r="M125" s="160" t="s">
        <v>854</v>
      </c>
      <c r="N125" s="161" t="s">
        <v>860</v>
      </c>
      <c r="O125" s="161">
        <v>3</v>
      </c>
      <c r="P125" s="288"/>
      <c r="Q125" s="156"/>
      <c r="R125" s="156"/>
      <c r="S125" s="157"/>
      <c r="T125" s="156"/>
      <c r="U125" s="156"/>
      <c r="V125" s="288"/>
      <c r="W125" s="288"/>
      <c r="X125" s="288"/>
      <c r="Y125" s="288"/>
      <c r="Z125" s="288"/>
      <c r="AA125" s="276"/>
      <c r="AB125" s="276"/>
      <c r="AC125" s="276"/>
      <c r="AD125" s="291"/>
      <c r="AE125" s="288"/>
      <c r="AF125" s="288"/>
      <c r="AG125" s="288"/>
    </row>
    <row r="126" spans="2:33" ht="13.5">
      <c r="B126" s="289">
        <v>40</v>
      </c>
      <c r="C126" s="283" t="s">
        <v>861</v>
      </c>
      <c r="D126" s="283" t="s">
        <v>862</v>
      </c>
      <c r="E126" s="282" t="s">
        <v>84</v>
      </c>
      <c r="F126" s="282" t="s">
        <v>823</v>
      </c>
      <c r="G126" s="282"/>
      <c r="H126" s="197" t="s">
        <v>853</v>
      </c>
      <c r="I126" s="197" t="s">
        <v>853</v>
      </c>
      <c r="J126" s="197" t="s">
        <v>853</v>
      </c>
      <c r="K126" s="197" t="s">
        <v>853</v>
      </c>
      <c r="L126" s="197" t="s">
        <v>853</v>
      </c>
      <c r="M126" s="154" t="s">
        <v>854</v>
      </c>
      <c r="N126" s="155" t="s">
        <v>855</v>
      </c>
      <c r="O126" s="155">
        <v>3</v>
      </c>
      <c r="P126" s="284" t="s">
        <v>863</v>
      </c>
      <c r="Q126" s="156"/>
      <c r="R126" s="156"/>
      <c r="S126" s="157"/>
      <c r="T126" s="156"/>
      <c r="U126" s="156"/>
      <c r="V126" s="284" t="s">
        <v>752</v>
      </c>
      <c r="W126" s="284" t="s">
        <v>752</v>
      </c>
      <c r="X126" s="284" t="s">
        <v>752</v>
      </c>
      <c r="Y126" s="284" t="s">
        <v>752</v>
      </c>
      <c r="Z126" s="284" t="s">
        <v>752</v>
      </c>
      <c r="AA126" s="274"/>
      <c r="AB126" s="274"/>
      <c r="AC126" s="274"/>
      <c r="AD126" s="284" t="s">
        <v>857</v>
      </c>
      <c r="AE126" s="284"/>
      <c r="AF126" s="284"/>
      <c r="AG126" s="284"/>
    </row>
    <row r="127" spans="2:33" ht="13.5">
      <c r="B127" s="289"/>
      <c r="C127" s="283"/>
      <c r="D127" s="283"/>
      <c r="E127" s="285"/>
      <c r="F127" s="285"/>
      <c r="G127" s="285"/>
      <c r="H127" s="198"/>
      <c r="I127" s="198"/>
      <c r="J127" s="198"/>
      <c r="K127" s="198"/>
      <c r="L127" s="198"/>
      <c r="M127" s="194" t="s">
        <v>854</v>
      </c>
      <c r="N127" s="159" t="s">
        <v>864</v>
      </c>
      <c r="O127" s="159">
        <v>2</v>
      </c>
      <c r="P127" s="286"/>
      <c r="Q127" s="156"/>
      <c r="R127" s="156"/>
      <c r="S127" s="157"/>
      <c r="T127" s="156"/>
      <c r="U127" s="156"/>
      <c r="V127" s="286"/>
      <c r="W127" s="286"/>
      <c r="X127" s="286"/>
      <c r="Y127" s="286"/>
      <c r="Z127" s="286"/>
      <c r="AA127" s="275"/>
      <c r="AB127" s="275"/>
      <c r="AC127" s="275"/>
      <c r="AD127" s="290"/>
      <c r="AE127" s="286"/>
      <c r="AF127" s="286"/>
      <c r="AG127" s="286"/>
    </row>
    <row r="128" spans="2:33" ht="13.5">
      <c r="B128" s="289"/>
      <c r="C128" s="283"/>
      <c r="D128" s="283"/>
      <c r="E128" s="285"/>
      <c r="F128" s="285"/>
      <c r="G128" s="285"/>
      <c r="H128" s="198"/>
      <c r="I128" s="198"/>
      <c r="J128" s="198"/>
      <c r="K128" s="198"/>
      <c r="L128" s="198"/>
      <c r="M128" s="158" t="s">
        <v>695</v>
      </c>
      <c r="N128" s="202" t="s">
        <v>859</v>
      </c>
      <c r="O128" s="202">
        <v>5</v>
      </c>
      <c r="P128" s="286"/>
      <c r="Q128" s="156"/>
      <c r="R128" s="156"/>
      <c r="S128" s="157"/>
      <c r="T128" s="156"/>
      <c r="U128" s="156"/>
      <c r="V128" s="286"/>
      <c r="W128" s="286"/>
      <c r="X128" s="286"/>
      <c r="Y128" s="286"/>
      <c r="Z128" s="286"/>
      <c r="AA128" s="275"/>
      <c r="AB128" s="275"/>
      <c r="AC128" s="275"/>
      <c r="AD128" s="290"/>
      <c r="AE128" s="286"/>
      <c r="AF128" s="286"/>
      <c r="AG128" s="286"/>
    </row>
    <row r="129" spans="2:33" ht="13.5">
      <c r="B129" s="289"/>
      <c r="C129" s="283"/>
      <c r="D129" s="283"/>
      <c r="E129" s="287"/>
      <c r="F129" s="287"/>
      <c r="G129" s="287"/>
      <c r="H129" s="199"/>
      <c r="I129" s="199"/>
      <c r="J129" s="199"/>
      <c r="K129" s="199"/>
      <c r="L129" s="199"/>
      <c r="M129" s="160" t="s">
        <v>854</v>
      </c>
      <c r="N129" s="161" t="s">
        <v>860</v>
      </c>
      <c r="O129" s="161">
        <v>3</v>
      </c>
      <c r="P129" s="288"/>
      <c r="Q129" s="156"/>
      <c r="R129" s="156"/>
      <c r="S129" s="157"/>
      <c r="T129" s="156"/>
      <c r="U129" s="156"/>
      <c r="V129" s="288"/>
      <c r="W129" s="288"/>
      <c r="X129" s="288"/>
      <c r="Y129" s="288"/>
      <c r="Z129" s="288"/>
      <c r="AA129" s="276"/>
      <c r="AB129" s="276"/>
      <c r="AC129" s="276"/>
      <c r="AD129" s="291"/>
      <c r="AE129" s="288"/>
      <c r="AF129" s="288"/>
      <c r="AG129" s="288"/>
    </row>
    <row r="130" spans="2:33" ht="13.5">
      <c r="B130" s="289">
        <v>41</v>
      </c>
      <c r="C130" s="283" t="s">
        <v>865</v>
      </c>
      <c r="D130" s="283" t="s">
        <v>866</v>
      </c>
      <c r="E130" s="282" t="s">
        <v>84</v>
      </c>
      <c r="F130" s="282" t="s">
        <v>825</v>
      </c>
      <c r="G130" s="282"/>
      <c r="H130" s="197" t="s">
        <v>853</v>
      </c>
      <c r="I130" s="197" t="s">
        <v>853</v>
      </c>
      <c r="J130" s="197" t="s">
        <v>853</v>
      </c>
      <c r="K130" s="197" t="s">
        <v>853</v>
      </c>
      <c r="L130" s="197" t="s">
        <v>853</v>
      </c>
      <c r="M130" s="154" t="s">
        <v>854</v>
      </c>
      <c r="N130" s="155" t="s">
        <v>855</v>
      </c>
      <c r="O130" s="155">
        <v>3</v>
      </c>
      <c r="P130" s="284" t="s">
        <v>867</v>
      </c>
      <c r="Q130" s="156"/>
      <c r="R130" s="156"/>
      <c r="S130" s="157"/>
      <c r="T130" s="156"/>
      <c r="U130" s="156"/>
      <c r="V130" s="284" t="s">
        <v>752</v>
      </c>
      <c r="W130" s="284" t="s">
        <v>752</v>
      </c>
      <c r="X130" s="284" t="s">
        <v>752</v>
      </c>
      <c r="Y130" s="284" t="s">
        <v>752</v>
      </c>
      <c r="Z130" s="284" t="s">
        <v>752</v>
      </c>
      <c r="AA130" s="274"/>
      <c r="AB130" s="274"/>
      <c r="AC130" s="274"/>
      <c r="AD130" s="284" t="s">
        <v>857</v>
      </c>
      <c r="AE130" s="284"/>
      <c r="AF130" s="284"/>
      <c r="AG130" s="284"/>
    </row>
    <row r="131" spans="2:33" ht="13.5">
      <c r="B131" s="289"/>
      <c r="C131" s="283"/>
      <c r="D131" s="283"/>
      <c r="E131" s="285"/>
      <c r="F131" s="285"/>
      <c r="G131" s="285"/>
      <c r="H131" s="198"/>
      <c r="I131" s="198"/>
      <c r="J131" s="198"/>
      <c r="K131" s="198"/>
      <c r="L131" s="198"/>
      <c r="M131" s="194" t="s">
        <v>854</v>
      </c>
      <c r="N131" s="159" t="s">
        <v>868</v>
      </c>
      <c r="O131" s="159">
        <v>2</v>
      </c>
      <c r="P131" s="286"/>
      <c r="Q131" s="156"/>
      <c r="R131" s="156"/>
      <c r="S131" s="157"/>
      <c r="T131" s="156"/>
      <c r="U131" s="156"/>
      <c r="V131" s="286"/>
      <c r="W131" s="286"/>
      <c r="X131" s="286"/>
      <c r="Y131" s="286"/>
      <c r="Z131" s="286"/>
      <c r="AA131" s="275"/>
      <c r="AB131" s="275"/>
      <c r="AC131" s="275"/>
      <c r="AD131" s="290"/>
      <c r="AE131" s="286"/>
      <c r="AF131" s="286"/>
      <c r="AG131" s="286"/>
    </row>
    <row r="132" spans="2:33" ht="13.5">
      <c r="B132" s="289"/>
      <c r="C132" s="283"/>
      <c r="D132" s="283"/>
      <c r="E132" s="285"/>
      <c r="F132" s="285"/>
      <c r="G132" s="285"/>
      <c r="H132" s="198"/>
      <c r="I132" s="198"/>
      <c r="J132" s="198"/>
      <c r="K132" s="198"/>
      <c r="L132" s="198"/>
      <c r="M132" s="158" t="s">
        <v>695</v>
      </c>
      <c r="N132" s="202" t="s">
        <v>859</v>
      </c>
      <c r="O132" s="202">
        <v>5</v>
      </c>
      <c r="P132" s="286"/>
      <c r="Q132" s="156"/>
      <c r="R132" s="156"/>
      <c r="S132" s="157"/>
      <c r="T132" s="156"/>
      <c r="U132" s="156"/>
      <c r="V132" s="286"/>
      <c r="W132" s="286"/>
      <c r="X132" s="286"/>
      <c r="Y132" s="286"/>
      <c r="Z132" s="286"/>
      <c r="AA132" s="275"/>
      <c r="AB132" s="275"/>
      <c r="AC132" s="275"/>
      <c r="AD132" s="290"/>
      <c r="AE132" s="286"/>
      <c r="AF132" s="286"/>
      <c r="AG132" s="286"/>
    </row>
    <row r="133" spans="2:33" ht="13.5">
      <c r="B133" s="289"/>
      <c r="C133" s="283"/>
      <c r="D133" s="283"/>
      <c r="E133" s="287"/>
      <c r="F133" s="287"/>
      <c r="G133" s="287"/>
      <c r="H133" s="199"/>
      <c r="I133" s="199"/>
      <c r="J133" s="199"/>
      <c r="K133" s="199"/>
      <c r="L133" s="199"/>
      <c r="M133" s="160" t="s">
        <v>854</v>
      </c>
      <c r="N133" s="161" t="s">
        <v>860</v>
      </c>
      <c r="O133" s="161">
        <v>3</v>
      </c>
      <c r="P133" s="288"/>
      <c r="Q133" s="156"/>
      <c r="R133" s="156"/>
      <c r="S133" s="157"/>
      <c r="T133" s="156"/>
      <c r="U133" s="156"/>
      <c r="V133" s="288"/>
      <c r="W133" s="288"/>
      <c r="X133" s="288"/>
      <c r="Y133" s="288"/>
      <c r="Z133" s="288"/>
      <c r="AA133" s="276"/>
      <c r="AB133" s="276"/>
      <c r="AC133" s="276"/>
      <c r="AD133" s="291"/>
      <c r="AE133" s="288"/>
      <c r="AF133" s="288"/>
      <c r="AG133" s="288"/>
    </row>
    <row r="134" spans="2:33" ht="13.5">
      <c r="B134" s="289">
        <v>42</v>
      </c>
      <c r="C134" s="283" t="s">
        <v>869</v>
      </c>
      <c r="D134" s="283" t="s">
        <v>870</v>
      </c>
      <c r="E134" s="282" t="s">
        <v>84</v>
      </c>
      <c r="F134" s="282" t="s">
        <v>818</v>
      </c>
      <c r="G134" s="282"/>
      <c r="H134" s="197" t="s">
        <v>853</v>
      </c>
      <c r="I134" s="197" t="s">
        <v>853</v>
      </c>
      <c r="J134" s="197" t="s">
        <v>853</v>
      </c>
      <c r="K134" s="197" t="s">
        <v>853</v>
      </c>
      <c r="L134" s="197" t="s">
        <v>853</v>
      </c>
      <c r="M134" s="154" t="s">
        <v>854</v>
      </c>
      <c r="N134" s="155" t="s">
        <v>871</v>
      </c>
      <c r="O134" s="155">
        <v>3</v>
      </c>
      <c r="P134" s="284" t="s">
        <v>872</v>
      </c>
      <c r="Q134" s="156"/>
      <c r="R134" s="156"/>
      <c r="S134" s="157"/>
      <c r="T134" s="156"/>
      <c r="U134" s="156"/>
      <c r="V134" s="284" t="s">
        <v>752</v>
      </c>
      <c r="W134" s="284" t="s">
        <v>752</v>
      </c>
      <c r="X134" s="284" t="s">
        <v>752</v>
      </c>
      <c r="Y134" s="284" t="s">
        <v>752</v>
      </c>
      <c r="Z134" s="284" t="s">
        <v>752</v>
      </c>
      <c r="AA134" s="274"/>
      <c r="AB134" s="274"/>
      <c r="AC134" s="274"/>
      <c r="AD134" s="284" t="s">
        <v>857</v>
      </c>
      <c r="AE134" s="284"/>
      <c r="AF134" s="284"/>
      <c r="AG134" s="284"/>
    </row>
    <row r="135" spans="2:33" ht="13.5">
      <c r="B135" s="289"/>
      <c r="C135" s="283"/>
      <c r="D135" s="283"/>
      <c r="E135" s="285"/>
      <c r="F135" s="285"/>
      <c r="G135" s="285"/>
      <c r="H135" s="198"/>
      <c r="I135" s="198"/>
      <c r="J135" s="198"/>
      <c r="K135" s="198"/>
      <c r="L135" s="198"/>
      <c r="M135" s="194" t="s">
        <v>854</v>
      </c>
      <c r="N135" s="159" t="s">
        <v>858</v>
      </c>
      <c r="O135" s="159">
        <v>2</v>
      </c>
      <c r="P135" s="286"/>
      <c r="Q135" s="156"/>
      <c r="R135" s="156"/>
      <c r="S135" s="157"/>
      <c r="T135" s="156"/>
      <c r="U135" s="156"/>
      <c r="V135" s="286"/>
      <c r="W135" s="286"/>
      <c r="X135" s="286"/>
      <c r="Y135" s="286"/>
      <c r="Z135" s="286"/>
      <c r="AA135" s="275"/>
      <c r="AB135" s="275"/>
      <c r="AC135" s="275"/>
      <c r="AD135" s="290"/>
      <c r="AE135" s="286"/>
      <c r="AF135" s="286"/>
      <c r="AG135" s="286"/>
    </row>
    <row r="136" spans="2:33" ht="13.5">
      <c r="B136" s="289"/>
      <c r="C136" s="283"/>
      <c r="D136" s="283"/>
      <c r="E136" s="285"/>
      <c r="F136" s="285"/>
      <c r="G136" s="285"/>
      <c r="H136" s="198"/>
      <c r="I136" s="198"/>
      <c r="J136" s="198"/>
      <c r="K136" s="198"/>
      <c r="L136" s="198"/>
      <c r="M136" s="158" t="s">
        <v>695</v>
      </c>
      <c r="N136" s="202" t="s">
        <v>859</v>
      </c>
      <c r="O136" s="202">
        <v>5</v>
      </c>
      <c r="P136" s="286"/>
      <c r="Q136" s="156"/>
      <c r="R136" s="156"/>
      <c r="S136" s="157"/>
      <c r="T136" s="156"/>
      <c r="U136" s="156"/>
      <c r="V136" s="286"/>
      <c r="W136" s="286"/>
      <c r="X136" s="286"/>
      <c r="Y136" s="286"/>
      <c r="Z136" s="286"/>
      <c r="AA136" s="275"/>
      <c r="AB136" s="275"/>
      <c r="AC136" s="275"/>
      <c r="AD136" s="290"/>
      <c r="AE136" s="286"/>
      <c r="AF136" s="286"/>
      <c r="AG136" s="286"/>
    </row>
    <row r="137" spans="2:33" ht="13.5">
      <c r="B137" s="289"/>
      <c r="C137" s="283"/>
      <c r="D137" s="283"/>
      <c r="E137" s="287"/>
      <c r="F137" s="287"/>
      <c r="G137" s="287"/>
      <c r="H137" s="199"/>
      <c r="I137" s="199"/>
      <c r="J137" s="199"/>
      <c r="K137" s="199"/>
      <c r="L137" s="199"/>
      <c r="M137" s="160" t="s">
        <v>854</v>
      </c>
      <c r="N137" s="161" t="s">
        <v>860</v>
      </c>
      <c r="O137" s="161">
        <v>3</v>
      </c>
      <c r="P137" s="288"/>
      <c r="Q137" s="156"/>
      <c r="R137" s="156"/>
      <c r="S137" s="157"/>
      <c r="T137" s="156"/>
      <c r="U137" s="156"/>
      <c r="V137" s="288"/>
      <c r="W137" s="288"/>
      <c r="X137" s="288"/>
      <c r="Y137" s="288"/>
      <c r="Z137" s="288"/>
      <c r="AA137" s="276"/>
      <c r="AB137" s="276"/>
      <c r="AC137" s="276"/>
      <c r="AD137" s="291"/>
      <c r="AE137" s="288"/>
      <c r="AF137" s="288"/>
      <c r="AG137" s="288"/>
    </row>
    <row r="138" spans="2:33" ht="13.5">
      <c r="B138" s="289">
        <v>43</v>
      </c>
      <c r="C138" s="283" t="s">
        <v>873</v>
      </c>
      <c r="D138" s="283" t="s">
        <v>874</v>
      </c>
      <c r="E138" s="282" t="s">
        <v>84</v>
      </c>
      <c r="F138" s="282" t="s">
        <v>823</v>
      </c>
      <c r="G138" s="282"/>
      <c r="H138" s="197" t="s">
        <v>853</v>
      </c>
      <c r="I138" s="197" t="s">
        <v>853</v>
      </c>
      <c r="J138" s="197" t="s">
        <v>853</v>
      </c>
      <c r="K138" s="197" t="s">
        <v>853</v>
      </c>
      <c r="L138" s="197" t="s">
        <v>853</v>
      </c>
      <c r="M138" s="154" t="s">
        <v>854</v>
      </c>
      <c r="N138" s="200" t="s">
        <v>871</v>
      </c>
      <c r="O138" s="200">
        <v>3</v>
      </c>
      <c r="P138" s="284" t="s">
        <v>875</v>
      </c>
      <c r="Q138" s="156"/>
      <c r="R138" s="156"/>
      <c r="S138" s="157"/>
      <c r="T138" s="156"/>
      <c r="U138" s="156"/>
      <c r="V138" s="284" t="s">
        <v>752</v>
      </c>
      <c r="W138" s="284" t="s">
        <v>752</v>
      </c>
      <c r="X138" s="284" t="s">
        <v>752</v>
      </c>
      <c r="Y138" s="284" t="s">
        <v>752</v>
      </c>
      <c r="Z138" s="284" t="s">
        <v>752</v>
      </c>
      <c r="AA138" s="274"/>
      <c r="AB138" s="274"/>
      <c r="AC138" s="274"/>
      <c r="AD138" s="284" t="s">
        <v>857</v>
      </c>
      <c r="AE138" s="284"/>
      <c r="AF138" s="284"/>
      <c r="AG138" s="284"/>
    </row>
    <row r="139" spans="2:33" ht="13.5">
      <c r="B139" s="289"/>
      <c r="C139" s="283"/>
      <c r="D139" s="283"/>
      <c r="E139" s="285"/>
      <c r="F139" s="285"/>
      <c r="G139" s="285"/>
      <c r="H139" s="198"/>
      <c r="I139" s="198"/>
      <c r="J139" s="198"/>
      <c r="K139" s="198"/>
      <c r="L139" s="198"/>
      <c r="M139" s="194" t="s">
        <v>854</v>
      </c>
      <c r="N139" s="159" t="s">
        <v>864</v>
      </c>
      <c r="O139" s="159">
        <v>2</v>
      </c>
      <c r="P139" s="286"/>
      <c r="Q139" s="156"/>
      <c r="R139" s="156"/>
      <c r="S139" s="157"/>
      <c r="T139" s="156"/>
      <c r="U139" s="156"/>
      <c r="V139" s="286"/>
      <c r="W139" s="286"/>
      <c r="X139" s="286"/>
      <c r="Y139" s="286"/>
      <c r="Z139" s="286"/>
      <c r="AA139" s="275"/>
      <c r="AB139" s="275"/>
      <c r="AC139" s="275"/>
      <c r="AD139" s="290"/>
      <c r="AE139" s="286"/>
      <c r="AF139" s="286"/>
      <c r="AG139" s="286"/>
    </row>
    <row r="140" spans="2:33" ht="13.5">
      <c r="B140" s="289"/>
      <c r="C140" s="283"/>
      <c r="D140" s="283"/>
      <c r="E140" s="285"/>
      <c r="F140" s="285"/>
      <c r="G140" s="285"/>
      <c r="H140" s="198"/>
      <c r="I140" s="198"/>
      <c r="J140" s="198"/>
      <c r="K140" s="198"/>
      <c r="L140" s="198"/>
      <c r="M140" s="158" t="s">
        <v>695</v>
      </c>
      <c r="N140" s="202" t="s">
        <v>859</v>
      </c>
      <c r="O140" s="202">
        <v>5</v>
      </c>
      <c r="P140" s="286"/>
      <c r="Q140" s="156"/>
      <c r="R140" s="156"/>
      <c r="S140" s="157"/>
      <c r="T140" s="156"/>
      <c r="U140" s="156"/>
      <c r="V140" s="286"/>
      <c r="W140" s="286"/>
      <c r="X140" s="286"/>
      <c r="Y140" s="286"/>
      <c r="Z140" s="286"/>
      <c r="AA140" s="275"/>
      <c r="AB140" s="275"/>
      <c r="AC140" s="275"/>
      <c r="AD140" s="290"/>
      <c r="AE140" s="286"/>
      <c r="AF140" s="286"/>
      <c r="AG140" s="286"/>
    </row>
    <row r="141" spans="2:33" ht="13.5">
      <c r="B141" s="289"/>
      <c r="C141" s="283"/>
      <c r="D141" s="283"/>
      <c r="E141" s="287"/>
      <c r="F141" s="287"/>
      <c r="G141" s="287"/>
      <c r="H141" s="199"/>
      <c r="I141" s="199"/>
      <c r="J141" s="199"/>
      <c r="K141" s="199"/>
      <c r="L141" s="199"/>
      <c r="M141" s="160" t="s">
        <v>854</v>
      </c>
      <c r="N141" s="161" t="s">
        <v>860</v>
      </c>
      <c r="O141" s="161">
        <v>3</v>
      </c>
      <c r="P141" s="288"/>
      <c r="Q141" s="156"/>
      <c r="R141" s="156"/>
      <c r="S141" s="157"/>
      <c r="T141" s="156"/>
      <c r="U141" s="156"/>
      <c r="V141" s="288"/>
      <c r="W141" s="288"/>
      <c r="X141" s="288"/>
      <c r="Y141" s="288"/>
      <c r="Z141" s="288"/>
      <c r="AA141" s="276"/>
      <c r="AB141" s="276"/>
      <c r="AC141" s="276"/>
      <c r="AD141" s="291"/>
      <c r="AE141" s="288"/>
      <c r="AF141" s="288"/>
      <c r="AG141" s="288"/>
    </row>
    <row r="142" spans="2:33" ht="13.5">
      <c r="B142" s="289">
        <v>44</v>
      </c>
      <c r="C142" s="283" t="s">
        <v>876</v>
      </c>
      <c r="D142" s="283" t="s">
        <v>877</v>
      </c>
      <c r="E142" s="282" t="s">
        <v>84</v>
      </c>
      <c r="F142" s="282" t="s">
        <v>825</v>
      </c>
      <c r="G142" s="282"/>
      <c r="H142" s="197" t="s">
        <v>853</v>
      </c>
      <c r="I142" s="197" t="s">
        <v>853</v>
      </c>
      <c r="J142" s="197" t="s">
        <v>853</v>
      </c>
      <c r="K142" s="197" t="s">
        <v>853</v>
      </c>
      <c r="L142" s="197" t="s">
        <v>853</v>
      </c>
      <c r="M142" s="154" t="s">
        <v>854</v>
      </c>
      <c r="N142" s="155" t="s">
        <v>871</v>
      </c>
      <c r="O142" s="155">
        <v>3</v>
      </c>
      <c r="P142" s="284" t="s">
        <v>878</v>
      </c>
      <c r="Q142" s="156"/>
      <c r="R142" s="156"/>
      <c r="S142" s="157"/>
      <c r="T142" s="156"/>
      <c r="U142" s="156"/>
      <c r="V142" s="284" t="s">
        <v>752</v>
      </c>
      <c r="W142" s="284" t="s">
        <v>752</v>
      </c>
      <c r="X142" s="284" t="s">
        <v>752</v>
      </c>
      <c r="Y142" s="284" t="s">
        <v>752</v>
      </c>
      <c r="Z142" s="284" t="s">
        <v>752</v>
      </c>
      <c r="AA142" s="274"/>
      <c r="AB142" s="274"/>
      <c r="AC142" s="274"/>
      <c r="AD142" s="284" t="s">
        <v>857</v>
      </c>
      <c r="AE142" s="284"/>
      <c r="AF142" s="284"/>
      <c r="AG142" s="284"/>
    </row>
    <row r="143" spans="2:33" ht="13.5">
      <c r="B143" s="289"/>
      <c r="C143" s="283"/>
      <c r="D143" s="283"/>
      <c r="E143" s="285"/>
      <c r="F143" s="285"/>
      <c r="G143" s="285"/>
      <c r="H143" s="198"/>
      <c r="I143" s="198"/>
      <c r="J143" s="198"/>
      <c r="K143" s="198"/>
      <c r="L143" s="198"/>
      <c r="M143" s="194" t="s">
        <v>854</v>
      </c>
      <c r="N143" s="159" t="s">
        <v>868</v>
      </c>
      <c r="O143" s="159">
        <v>2</v>
      </c>
      <c r="P143" s="286"/>
      <c r="Q143" s="156"/>
      <c r="R143" s="156"/>
      <c r="S143" s="157"/>
      <c r="T143" s="156"/>
      <c r="U143" s="156"/>
      <c r="V143" s="286"/>
      <c r="W143" s="286"/>
      <c r="X143" s="286"/>
      <c r="Y143" s="286"/>
      <c r="Z143" s="286"/>
      <c r="AA143" s="275"/>
      <c r="AB143" s="275"/>
      <c r="AC143" s="275"/>
      <c r="AD143" s="290"/>
      <c r="AE143" s="286"/>
      <c r="AF143" s="286"/>
      <c r="AG143" s="286"/>
    </row>
    <row r="144" spans="2:33" ht="13.5">
      <c r="B144" s="289"/>
      <c r="C144" s="283"/>
      <c r="D144" s="283"/>
      <c r="E144" s="285"/>
      <c r="F144" s="285"/>
      <c r="G144" s="285"/>
      <c r="H144" s="198"/>
      <c r="I144" s="198"/>
      <c r="J144" s="198"/>
      <c r="K144" s="198"/>
      <c r="L144" s="198"/>
      <c r="M144" s="158" t="s">
        <v>695</v>
      </c>
      <c r="N144" s="202" t="s">
        <v>859</v>
      </c>
      <c r="O144" s="202">
        <v>5</v>
      </c>
      <c r="P144" s="286"/>
      <c r="Q144" s="156"/>
      <c r="R144" s="156"/>
      <c r="S144" s="157"/>
      <c r="T144" s="156"/>
      <c r="U144" s="156"/>
      <c r="V144" s="286"/>
      <c r="W144" s="286"/>
      <c r="X144" s="286"/>
      <c r="Y144" s="286"/>
      <c r="Z144" s="286"/>
      <c r="AA144" s="275"/>
      <c r="AB144" s="275"/>
      <c r="AC144" s="275"/>
      <c r="AD144" s="290"/>
      <c r="AE144" s="286"/>
      <c r="AF144" s="286"/>
      <c r="AG144" s="286"/>
    </row>
    <row r="145" spans="2:33" ht="13.5">
      <c r="B145" s="289"/>
      <c r="C145" s="283"/>
      <c r="D145" s="283"/>
      <c r="E145" s="287"/>
      <c r="F145" s="287"/>
      <c r="G145" s="287"/>
      <c r="H145" s="199"/>
      <c r="I145" s="199"/>
      <c r="J145" s="199"/>
      <c r="K145" s="199"/>
      <c r="L145" s="199"/>
      <c r="M145" s="160" t="s">
        <v>854</v>
      </c>
      <c r="N145" s="161" t="s">
        <v>860</v>
      </c>
      <c r="O145" s="161">
        <v>3</v>
      </c>
      <c r="P145" s="288"/>
      <c r="Q145" s="156"/>
      <c r="R145" s="156"/>
      <c r="S145" s="157"/>
      <c r="T145" s="156"/>
      <c r="U145" s="156"/>
      <c r="V145" s="288"/>
      <c r="W145" s="288"/>
      <c r="X145" s="288"/>
      <c r="Y145" s="288"/>
      <c r="Z145" s="288"/>
      <c r="AA145" s="276"/>
      <c r="AB145" s="276"/>
      <c r="AC145" s="276"/>
      <c r="AD145" s="291"/>
      <c r="AE145" s="288"/>
      <c r="AF145" s="288"/>
      <c r="AG145" s="288"/>
    </row>
    <row r="146" spans="2:33" ht="13.5">
      <c r="B146" s="289">
        <v>45</v>
      </c>
      <c r="C146" s="283" t="s">
        <v>879</v>
      </c>
      <c r="D146" s="283" t="s">
        <v>880</v>
      </c>
      <c r="E146" s="282" t="s">
        <v>84</v>
      </c>
      <c r="F146" s="282" t="s">
        <v>818</v>
      </c>
      <c r="G146" s="282"/>
      <c r="H146" s="197" t="s">
        <v>853</v>
      </c>
      <c r="I146" s="197" t="s">
        <v>853</v>
      </c>
      <c r="J146" s="197" t="s">
        <v>853</v>
      </c>
      <c r="K146" s="197" t="s">
        <v>853</v>
      </c>
      <c r="L146" s="197" t="s">
        <v>853</v>
      </c>
      <c r="M146" s="154" t="s">
        <v>854</v>
      </c>
      <c r="N146" s="155" t="s">
        <v>881</v>
      </c>
      <c r="O146" s="155">
        <v>3</v>
      </c>
      <c r="P146" s="284" t="s">
        <v>882</v>
      </c>
      <c r="Q146" s="156"/>
      <c r="R146" s="156"/>
      <c r="S146" s="157"/>
      <c r="T146" s="156"/>
      <c r="U146" s="156"/>
      <c r="V146" s="284" t="s">
        <v>752</v>
      </c>
      <c r="W146" s="284" t="s">
        <v>752</v>
      </c>
      <c r="X146" s="284" t="s">
        <v>752</v>
      </c>
      <c r="Y146" s="284" t="s">
        <v>752</v>
      </c>
      <c r="Z146" s="284" t="s">
        <v>752</v>
      </c>
      <c r="AA146" s="274"/>
      <c r="AB146" s="274"/>
      <c r="AC146" s="274"/>
      <c r="AD146" s="284" t="s">
        <v>857</v>
      </c>
      <c r="AE146" s="284"/>
      <c r="AF146" s="284"/>
      <c r="AG146" s="284"/>
    </row>
    <row r="147" spans="2:33" ht="13.5">
      <c r="B147" s="289"/>
      <c r="C147" s="283"/>
      <c r="D147" s="283"/>
      <c r="E147" s="285"/>
      <c r="F147" s="285"/>
      <c r="G147" s="285"/>
      <c r="H147" s="198"/>
      <c r="I147" s="198"/>
      <c r="J147" s="198"/>
      <c r="K147" s="198"/>
      <c r="L147" s="198"/>
      <c r="M147" s="194" t="s">
        <v>854</v>
      </c>
      <c r="N147" s="159" t="s">
        <v>858</v>
      </c>
      <c r="O147" s="159">
        <v>2</v>
      </c>
      <c r="P147" s="286"/>
      <c r="Q147" s="156"/>
      <c r="R147" s="156"/>
      <c r="S147" s="157"/>
      <c r="T147" s="156"/>
      <c r="U147" s="156"/>
      <c r="V147" s="286"/>
      <c r="W147" s="286"/>
      <c r="X147" s="286"/>
      <c r="Y147" s="286"/>
      <c r="Z147" s="286"/>
      <c r="AA147" s="275"/>
      <c r="AB147" s="275"/>
      <c r="AC147" s="275"/>
      <c r="AD147" s="290"/>
      <c r="AE147" s="286"/>
      <c r="AF147" s="286"/>
      <c r="AG147" s="286"/>
    </row>
    <row r="148" spans="2:33" ht="13.5">
      <c r="B148" s="289"/>
      <c r="C148" s="283"/>
      <c r="D148" s="283"/>
      <c r="E148" s="285"/>
      <c r="F148" s="285"/>
      <c r="G148" s="285"/>
      <c r="H148" s="198"/>
      <c r="I148" s="198"/>
      <c r="J148" s="198"/>
      <c r="K148" s="198"/>
      <c r="L148" s="198"/>
      <c r="M148" s="158" t="s">
        <v>695</v>
      </c>
      <c r="N148" s="202" t="s">
        <v>859</v>
      </c>
      <c r="O148" s="202">
        <v>5</v>
      </c>
      <c r="P148" s="286"/>
      <c r="Q148" s="156"/>
      <c r="R148" s="156"/>
      <c r="S148" s="157"/>
      <c r="T148" s="156"/>
      <c r="U148" s="156"/>
      <c r="V148" s="286"/>
      <c r="W148" s="286"/>
      <c r="X148" s="286"/>
      <c r="Y148" s="286"/>
      <c r="Z148" s="286"/>
      <c r="AA148" s="275"/>
      <c r="AB148" s="275"/>
      <c r="AC148" s="275"/>
      <c r="AD148" s="290"/>
      <c r="AE148" s="286"/>
      <c r="AF148" s="286"/>
      <c r="AG148" s="286"/>
    </row>
    <row r="149" spans="2:33" ht="13.5">
      <c r="B149" s="289"/>
      <c r="C149" s="283"/>
      <c r="D149" s="283"/>
      <c r="E149" s="287"/>
      <c r="F149" s="287"/>
      <c r="G149" s="287"/>
      <c r="H149" s="199"/>
      <c r="I149" s="199"/>
      <c r="J149" s="199"/>
      <c r="K149" s="199"/>
      <c r="L149" s="199"/>
      <c r="M149" s="160" t="s">
        <v>854</v>
      </c>
      <c r="N149" s="161" t="s">
        <v>860</v>
      </c>
      <c r="O149" s="161">
        <v>3</v>
      </c>
      <c r="P149" s="288"/>
      <c r="Q149" s="156"/>
      <c r="R149" s="156"/>
      <c r="S149" s="157"/>
      <c r="T149" s="156"/>
      <c r="U149" s="156"/>
      <c r="V149" s="288"/>
      <c r="W149" s="288"/>
      <c r="X149" s="288"/>
      <c r="Y149" s="288"/>
      <c r="Z149" s="288"/>
      <c r="AA149" s="276"/>
      <c r="AB149" s="276"/>
      <c r="AC149" s="276"/>
      <c r="AD149" s="291"/>
      <c r="AE149" s="288"/>
      <c r="AF149" s="288"/>
      <c r="AG149" s="288"/>
    </row>
    <row r="150" spans="2:33" ht="13.5">
      <c r="B150" s="289">
        <v>46</v>
      </c>
      <c r="C150" s="283" t="s">
        <v>883</v>
      </c>
      <c r="D150" s="283" t="s">
        <v>884</v>
      </c>
      <c r="E150" s="282" t="s">
        <v>84</v>
      </c>
      <c r="F150" s="282" t="s">
        <v>823</v>
      </c>
      <c r="G150" s="282"/>
      <c r="H150" s="197" t="s">
        <v>853</v>
      </c>
      <c r="I150" s="197" t="s">
        <v>853</v>
      </c>
      <c r="J150" s="197" t="s">
        <v>853</v>
      </c>
      <c r="K150" s="197" t="s">
        <v>853</v>
      </c>
      <c r="L150" s="197" t="s">
        <v>853</v>
      </c>
      <c r="M150" s="154" t="s">
        <v>854</v>
      </c>
      <c r="N150" s="155" t="s">
        <v>881</v>
      </c>
      <c r="O150" s="155">
        <v>3</v>
      </c>
      <c r="P150" s="284" t="s">
        <v>885</v>
      </c>
      <c r="Q150" s="156"/>
      <c r="R150" s="156"/>
      <c r="S150" s="157"/>
      <c r="T150" s="156"/>
      <c r="U150" s="156"/>
      <c r="V150" s="284" t="s">
        <v>752</v>
      </c>
      <c r="W150" s="284" t="s">
        <v>752</v>
      </c>
      <c r="X150" s="284" t="s">
        <v>752</v>
      </c>
      <c r="Y150" s="284" t="s">
        <v>752</v>
      </c>
      <c r="Z150" s="284" t="s">
        <v>752</v>
      </c>
      <c r="AA150" s="274"/>
      <c r="AB150" s="274"/>
      <c r="AC150" s="274"/>
      <c r="AD150" s="284" t="s">
        <v>857</v>
      </c>
      <c r="AE150" s="284"/>
      <c r="AF150" s="284"/>
      <c r="AG150" s="284"/>
    </row>
    <row r="151" spans="2:33" ht="13.5">
      <c r="B151" s="289"/>
      <c r="C151" s="283"/>
      <c r="D151" s="283"/>
      <c r="E151" s="285"/>
      <c r="F151" s="285"/>
      <c r="G151" s="285"/>
      <c r="H151" s="198"/>
      <c r="I151" s="198"/>
      <c r="J151" s="198"/>
      <c r="K151" s="198"/>
      <c r="L151" s="198"/>
      <c r="M151" s="194" t="s">
        <v>854</v>
      </c>
      <c r="N151" s="159" t="s">
        <v>864</v>
      </c>
      <c r="O151" s="159">
        <v>2</v>
      </c>
      <c r="P151" s="286"/>
      <c r="Q151" s="156"/>
      <c r="R151" s="156"/>
      <c r="S151" s="157"/>
      <c r="T151" s="156"/>
      <c r="U151" s="156"/>
      <c r="V151" s="286"/>
      <c r="W151" s="286"/>
      <c r="X151" s="286"/>
      <c r="Y151" s="286"/>
      <c r="Z151" s="286"/>
      <c r="AA151" s="275"/>
      <c r="AB151" s="275"/>
      <c r="AC151" s="275"/>
      <c r="AD151" s="290"/>
      <c r="AE151" s="286"/>
      <c r="AF151" s="286"/>
      <c r="AG151" s="286"/>
    </row>
    <row r="152" spans="2:33" ht="13.5">
      <c r="B152" s="289"/>
      <c r="C152" s="283"/>
      <c r="D152" s="283"/>
      <c r="E152" s="285"/>
      <c r="F152" s="285"/>
      <c r="G152" s="285"/>
      <c r="H152" s="198"/>
      <c r="I152" s="198"/>
      <c r="J152" s="198"/>
      <c r="K152" s="198"/>
      <c r="L152" s="198"/>
      <c r="M152" s="158" t="s">
        <v>695</v>
      </c>
      <c r="N152" s="202" t="s">
        <v>859</v>
      </c>
      <c r="O152" s="202">
        <v>5</v>
      </c>
      <c r="P152" s="286"/>
      <c r="Q152" s="156"/>
      <c r="R152" s="156"/>
      <c r="S152" s="157"/>
      <c r="T152" s="156"/>
      <c r="U152" s="156"/>
      <c r="V152" s="286"/>
      <c r="W152" s="286"/>
      <c r="X152" s="286"/>
      <c r="Y152" s="286"/>
      <c r="Z152" s="286"/>
      <c r="AA152" s="275"/>
      <c r="AB152" s="275"/>
      <c r="AC152" s="275"/>
      <c r="AD152" s="290"/>
      <c r="AE152" s="286"/>
      <c r="AF152" s="286"/>
      <c r="AG152" s="286"/>
    </row>
    <row r="153" spans="2:33" ht="13.5">
      <c r="B153" s="289"/>
      <c r="C153" s="283"/>
      <c r="D153" s="283"/>
      <c r="E153" s="287"/>
      <c r="F153" s="287"/>
      <c r="G153" s="287"/>
      <c r="H153" s="199"/>
      <c r="I153" s="199"/>
      <c r="J153" s="199"/>
      <c r="K153" s="199"/>
      <c r="L153" s="199"/>
      <c r="M153" s="160" t="s">
        <v>854</v>
      </c>
      <c r="N153" s="161" t="s">
        <v>860</v>
      </c>
      <c r="O153" s="161">
        <v>3</v>
      </c>
      <c r="P153" s="288"/>
      <c r="Q153" s="156"/>
      <c r="R153" s="156"/>
      <c r="S153" s="157"/>
      <c r="T153" s="156"/>
      <c r="U153" s="156"/>
      <c r="V153" s="288"/>
      <c r="W153" s="288"/>
      <c r="X153" s="288"/>
      <c r="Y153" s="288"/>
      <c r="Z153" s="288"/>
      <c r="AA153" s="276"/>
      <c r="AB153" s="276"/>
      <c r="AC153" s="276"/>
      <c r="AD153" s="291"/>
      <c r="AE153" s="288"/>
      <c r="AF153" s="288"/>
      <c r="AG153" s="288"/>
    </row>
    <row r="154" spans="2:33" ht="13.5">
      <c r="B154" s="289">
        <v>47</v>
      </c>
      <c r="C154" s="283" t="s">
        <v>886</v>
      </c>
      <c r="D154" s="283" t="s">
        <v>887</v>
      </c>
      <c r="E154" s="282" t="s">
        <v>84</v>
      </c>
      <c r="F154" s="282" t="s">
        <v>825</v>
      </c>
      <c r="G154" s="282"/>
      <c r="H154" s="197" t="s">
        <v>853</v>
      </c>
      <c r="I154" s="197" t="s">
        <v>853</v>
      </c>
      <c r="J154" s="197" t="s">
        <v>853</v>
      </c>
      <c r="K154" s="197" t="s">
        <v>853</v>
      </c>
      <c r="L154" s="197" t="s">
        <v>853</v>
      </c>
      <c r="M154" s="154" t="s">
        <v>854</v>
      </c>
      <c r="N154" s="155" t="s">
        <v>881</v>
      </c>
      <c r="O154" s="155">
        <v>3</v>
      </c>
      <c r="P154" s="284" t="s">
        <v>888</v>
      </c>
      <c r="Q154" s="156"/>
      <c r="R154" s="156"/>
      <c r="S154" s="157"/>
      <c r="T154" s="156"/>
      <c r="U154" s="156"/>
      <c r="V154" s="284" t="s">
        <v>752</v>
      </c>
      <c r="W154" s="284" t="s">
        <v>752</v>
      </c>
      <c r="X154" s="284" t="s">
        <v>752</v>
      </c>
      <c r="Y154" s="284" t="s">
        <v>752</v>
      </c>
      <c r="Z154" s="284" t="s">
        <v>752</v>
      </c>
      <c r="AA154" s="274"/>
      <c r="AB154" s="274"/>
      <c r="AC154" s="274"/>
      <c r="AD154" s="284" t="s">
        <v>857</v>
      </c>
      <c r="AE154" s="284"/>
      <c r="AF154" s="284"/>
      <c r="AG154" s="284"/>
    </row>
    <row r="155" spans="2:33" ht="13.5">
      <c r="B155" s="289"/>
      <c r="C155" s="283"/>
      <c r="D155" s="283"/>
      <c r="E155" s="285"/>
      <c r="F155" s="285"/>
      <c r="G155" s="285"/>
      <c r="H155" s="198"/>
      <c r="I155" s="198"/>
      <c r="J155" s="198"/>
      <c r="K155" s="198"/>
      <c r="L155" s="198"/>
      <c r="M155" s="194" t="s">
        <v>854</v>
      </c>
      <c r="N155" s="159" t="s">
        <v>868</v>
      </c>
      <c r="O155" s="159">
        <v>2</v>
      </c>
      <c r="P155" s="286"/>
      <c r="Q155" s="156"/>
      <c r="R155" s="156"/>
      <c r="S155" s="157"/>
      <c r="T155" s="156"/>
      <c r="U155" s="156"/>
      <c r="V155" s="286"/>
      <c r="W155" s="286"/>
      <c r="X155" s="286"/>
      <c r="Y155" s="286"/>
      <c r="Z155" s="286"/>
      <c r="AA155" s="275"/>
      <c r="AB155" s="275"/>
      <c r="AC155" s="275"/>
      <c r="AD155" s="290"/>
      <c r="AE155" s="286"/>
      <c r="AF155" s="286"/>
      <c r="AG155" s="286"/>
    </row>
    <row r="156" spans="2:33" ht="13.5">
      <c r="B156" s="289"/>
      <c r="C156" s="283"/>
      <c r="D156" s="283"/>
      <c r="E156" s="285"/>
      <c r="F156" s="285"/>
      <c r="G156" s="285"/>
      <c r="H156" s="198"/>
      <c r="I156" s="198"/>
      <c r="J156" s="198"/>
      <c r="K156" s="198"/>
      <c r="L156" s="198"/>
      <c r="M156" s="158" t="s">
        <v>695</v>
      </c>
      <c r="N156" s="203" t="s">
        <v>859</v>
      </c>
      <c r="O156" s="203">
        <v>5</v>
      </c>
      <c r="P156" s="286"/>
      <c r="Q156" s="156"/>
      <c r="R156" s="156"/>
      <c r="S156" s="157"/>
      <c r="T156" s="156"/>
      <c r="U156" s="156"/>
      <c r="V156" s="286"/>
      <c r="W156" s="286"/>
      <c r="X156" s="286"/>
      <c r="Y156" s="286"/>
      <c r="Z156" s="286"/>
      <c r="AA156" s="275"/>
      <c r="AB156" s="275"/>
      <c r="AC156" s="275"/>
      <c r="AD156" s="290"/>
      <c r="AE156" s="286"/>
      <c r="AF156" s="286"/>
      <c r="AG156" s="286"/>
    </row>
    <row r="157" spans="2:33" ht="13.5">
      <c r="B157" s="289"/>
      <c r="C157" s="283"/>
      <c r="D157" s="283"/>
      <c r="E157" s="287"/>
      <c r="F157" s="287"/>
      <c r="G157" s="287"/>
      <c r="H157" s="199"/>
      <c r="I157" s="199"/>
      <c r="J157" s="199"/>
      <c r="K157" s="199"/>
      <c r="L157" s="199"/>
      <c r="M157" s="160" t="s">
        <v>854</v>
      </c>
      <c r="N157" s="161" t="s">
        <v>860</v>
      </c>
      <c r="O157" s="161">
        <v>3</v>
      </c>
      <c r="P157" s="288"/>
      <c r="Q157" s="156"/>
      <c r="R157" s="156"/>
      <c r="S157" s="157"/>
      <c r="T157" s="156"/>
      <c r="U157" s="156"/>
      <c r="V157" s="288"/>
      <c r="W157" s="288"/>
      <c r="X157" s="288"/>
      <c r="Y157" s="288"/>
      <c r="Z157" s="288"/>
      <c r="AA157" s="276"/>
      <c r="AB157" s="276"/>
      <c r="AC157" s="276"/>
      <c r="AD157" s="291"/>
      <c r="AE157" s="288"/>
      <c r="AF157" s="288"/>
      <c r="AG157" s="288"/>
    </row>
    <row r="158" spans="2:33" ht="13.5">
      <c r="B158" s="289">
        <v>48</v>
      </c>
      <c r="C158" s="283" t="s">
        <v>889</v>
      </c>
      <c r="D158" s="283" t="s">
        <v>890</v>
      </c>
      <c r="E158" s="282" t="s">
        <v>84</v>
      </c>
      <c r="F158" s="282" t="s">
        <v>818</v>
      </c>
      <c r="G158" s="282"/>
      <c r="H158" s="197" t="s">
        <v>853</v>
      </c>
      <c r="I158" s="197" t="s">
        <v>853</v>
      </c>
      <c r="J158" s="197" t="s">
        <v>853</v>
      </c>
      <c r="K158" s="197" t="s">
        <v>853</v>
      </c>
      <c r="L158" s="197" t="s">
        <v>853</v>
      </c>
      <c r="M158" s="154" t="s">
        <v>854</v>
      </c>
      <c r="N158" s="155" t="s">
        <v>891</v>
      </c>
      <c r="O158" s="155">
        <v>3</v>
      </c>
      <c r="P158" s="284" t="s">
        <v>892</v>
      </c>
      <c r="Q158" s="156"/>
      <c r="R158" s="156"/>
      <c r="S158" s="157"/>
      <c r="T158" s="156"/>
      <c r="U158" s="156"/>
      <c r="V158" s="284" t="s">
        <v>752</v>
      </c>
      <c r="W158" s="284" t="s">
        <v>752</v>
      </c>
      <c r="X158" s="284" t="s">
        <v>752</v>
      </c>
      <c r="Y158" s="284" t="s">
        <v>752</v>
      </c>
      <c r="Z158" s="284" t="s">
        <v>752</v>
      </c>
      <c r="AA158" s="274"/>
      <c r="AB158" s="274"/>
      <c r="AC158" s="274"/>
      <c r="AD158" s="284" t="s">
        <v>857</v>
      </c>
      <c r="AE158" s="284"/>
      <c r="AF158" s="284"/>
      <c r="AG158" s="284"/>
    </row>
    <row r="159" spans="2:33" ht="13.5">
      <c r="B159" s="289"/>
      <c r="C159" s="283"/>
      <c r="D159" s="283"/>
      <c r="E159" s="285"/>
      <c r="F159" s="285"/>
      <c r="G159" s="285"/>
      <c r="H159" s="198"/>
      <c r="I159" s="198"/>
      <c r="J159" s="198"/>
      <c r="K159" s="198"/>
      <c r="L159" s="198"/>
      <c r="M159" s="194" t="s">
        <v>854</v>
      </c>
      <c r="N159" s="159" t="s">
        <v>858</v>
      </c>
      <c r="O159" s="159">
        <v>2</v>
      </c>
      <c r="P159" s="286"/>
      <c r="Q159" s="156"/>
      <c r="R159" s="156"/>
      <c r="S159" s="157"/>
      <c r="T159" s="156"/>
      <c r="U159" s="156"/>
      <c r="V159" s="286"/>
      <c r="W159" s="286"/>
      <c r="X159" s="286"/>
      <c r="Y159" s="286"/>
      <c r="Z159" s="286"/>
      <c r="AA159" s="275"/>
      <c r="AB159" s="275"/>
      <c r="AC159" s="275"/>
      <c r="AD159" s="290"/>
      <c r="AE159" s="286"/>
      <c r="AF159" s="286"/>
      <c r="AG159" s="286"/>
    </row>
    <row r="160" spans="2:33" ht="13.5">
      <c r="B160" s="289"/>
      <c r="C160" s="283"/>
      <c r="D160" s="283"/>
      <c r="E160" s="285"/>
      <c r="F160" s="285"/>
      <c r="G160" s="285"/>
      <c r="H160" s="198"/>
      <c r="I160" s="198"/>
      <c r="J160" s="198"/>
      <c r="K160" s="198"/>
      <c r="L160" s="198"/>
      <c r="M160" s="158" t="s">
        <v>695</v>
      </c>
      <c r="N160" s="202" t="s">
        <v>859</v>
      </c>
      <c r="O160" s="202">
        <v>5</v>
      </c>
      <c r="P160" s="286"/>
      <c r="Q160" s="156"/>
      <c r="R160" s="156"/>
      <c r="S160" s="157"/>
      <c r="T160" s="156"/>
      <c r="U160" s="156"/>
      <c r="V160" s="286"/>
      <c r="W160" s="286"/>
      <c r="X160" s="286"/>
      <c r="Y160" s="286"/>
      <c r="Z160" s="286"/>
      <c r="AA160" s="275"/>
      <c r="AB160" s="275"/>
      <c r="AC160" s="275"/>
      <c r="AD160" s="290"/>
      <c r="AE160" s="286"/>
      <c r="AF160" s="286"/>
      <c r="AG160" s="286"/>
    </row>
    <row r="161" spans="2:33" ht="13.5">
      <c r="B161" s="289"/>
      <c r="C161" s="283"/>
      <c r="D161" s="283"/>
      <c r="E161" s="287"/>
      <c r="F161" s="287"/>
      <c r="G161" s="287"/>
      <c r="H161" s="199"/>
      <c r="I161" s="199"/>
      <c r="J161" s="199"/>
      <c r="K161" s="199"/>
      <c r="L161" s="199"/>
      <c r="M161" s="160" t="s">
        <v>854</v>
      </c>
      <c r="N161" s="161" t="s">
        <v>860</v>
      </c>
      <c r="O161" s="161">
        <v>3</v>
      </c>
      <c r="P161" s="288"/>
      <c r="Q161" s="156"/>
      <c r="R161" s="156"/>
      <c r="S161" s="157"/>
      <c r="T161" s="156"/>
      <c r="U161" s="156"/>
      <c r="V161" s="288"/>
      <c r="W161" s="288"/>
      <c r="X161" s="288"/>
      <c r="Y161" s="288"/>
      <c r="Z161" s="288"/>
      <c r="AA161" s="276"/>
      <c r="AB161" s="276"/>
      <c r="AC161" s="276"/>
      <c r="AD161" s="291"/>
      <c r="AE161" s="288"/>
      <c r="AF161" s="288"/>
      <c r="AG161" s="288"/>
    </row>
    <row r="162" spans="2:33" ht="13.5">
      <c r="B162" s="289">
        <v>49</v>
      </c>
      <c r="C162" s="283" t="s">
        <v>893</v>
      </c>
      <c r="D162" s="283" t="s">
        <v>894</v>
      </c>
      <c r="E162" s="282" t="s">
        <v>84</v>
      </c>
      <c r="F162" s="282" t="s">
        <v>823</v>
      </c>
      <c r="G162" s="282"/>
      <c r="H162" s="197" t="s">
        <v>853</v>
      </c>
      <c r="I162" s="197" t="s">
        <v>853</v>
      </c>
      <c r="J162" s="197" t="s">
        <v>853</v>
      </c>
      <c r="K162" s="197" t="s">
        <v>853</v>
      </c>
      <c r="L162" s="197" t="s">
        <v>853</v>
      </c>
      <c r="M162" s="154" t="s">
        <v>854</v>
      </c>
      <c r="N162" s="155" t="s">
        <v>891</v>
      </c>
      <c r="O162" s="155">
        <v>3</v>
      </c>
      <c r="P162" s="284" t="s">
        <v>895</v>
      </c>
      <c r="Q162" s="156"/>
      <c r="R162" s="156"/>
      <c r="S162" s="157"/>
      <c r="T162" s="156"/>
      <c r="U162" s="156"/>
      <c r="V162" s="284" t="s">
        <v>752</v>
      </c>
      <c r="W162" s="284" t="s">
        <v>752</v>
      </c>
      <c r="X162" s="284" t="s">
        <v>752</v>
      </c>
      <c r="Y162" s="284" t="s">
        <v>752</v>
      </c>
      <c r="Z162" s="284" t="s">
        <v>752</v>
      </c>
      <c r="AA162" s="274"/>
      <c r="AB162" s="274"/>
      <c r="AC162" s="274"/>
      <c r="AD162" s="284" t="s">
        <v>857</v>
      </c>
      <c r="AE162" s="284"/>
      <c r="AF162" s="284"/>
      <c r="AG162" s="284"/>
    </row>
    <row r="163" spans="2:33" ht="13.5">
      <c r="B163" s="289"/>
      <c r="C163" s="283"/>
      <c r="D163" s="283"/>
      <c r="E163" s="285"/>
      <c r="F163" s="285"/>
      <c r="G163" s="285"/>
      <c r="H163" s="198"/>
      <c r="I163" s="198"/>
      <c r="J163" s="198"/>
      <c r="K163" s="198"/>
      <c r="L163" s="198"/>
      <c r="M163" s="194" t="s">
        <v>854</v>
      </c>
      <c r="N163" s="159" t="s">
        <v>864</v>
      </c>
      <c r="O163" s="159">
        <v>2</v>
      </c>
      <c r="P163" s="286"/>
      <c r="Q163" s="156"/>
      <c r="R163" s="156"/>
      <c r="S163" s="157"/>
      <c r="T163" s="156"/>
      <c r="U163" s="156"/>
      <c r="V163" s="286"/>
      <c r="W163" s="286"/>
      <c r="X163" s="286"/>
      <c r="Y163" s="286"/>
      <c r="Z163" s="286"/>
      <c r="AA163" s="275"/>
      <c r="AB163" s="275"/>
      <c r="AC163" s="275"/>
      <c r="AD163" s="290"/>
      <c r="AE163" s="286"/>
      <c r="AF163" s="286"/>
      <c r="AG163" s="286"/>
    </row>
    <row r="164" spans="2:33" ht="13.5">
      <c r="B164" s="289"/>
      <c r="C164" s="283"/>
      <c r="D164" s="283"/>
      <c r="E164" s="285"/>
      <c r="F164" s="285"/>
      <c r="G164" s="285"/>
      <c r="H164" s="198"/>
      <c r="I164" s="198"/>
      <c r="J164" s="198"/>
      <c r="K164" s="198"/>
      <c r="L164" s="198"/>
      <c r="M164" s="158" t="s">
        <v>695</v>
      </c>
      <c r="N164" s="202" t="s">
        <v>859</v>
      </c>
      <c r="O164" s="202">
        <v>5</v>
      </c>
      <c r="P164" s="286"/>
      <c r="Q164" s="156"/>
      <c r="R164" s="156"/>
      <c r="S164" s="157"/>
      <c r="T164" s="156"/>
      <c r="U164" s="156"/>
      <c r="V164" s="286"/>
      <c r="W164" s="286"/>
      <c r="X164" s="286"/>
      <c r="Y164" s="286"/>
      <c r="Z164" s="286"/>
      <c r="AA164" s="275"/>
      <c r="AB164" s="275"/>
      <c r="AC164" s="275"/>
      <c r="AD164" s="290"/>
      <c r="AE164" s="286"/>
      <c r="AF164" s="286"/>
      <c r="AG164" s="286"/>
    </row>
    <row r="165" spans="2:33" ht="13.5">
      <c r="B165" s="289"/>
      <c r="C165" s="283"/>
      <c r="D165" s="283"/>
      <c r="E165" s="287"/>
      <c r="F165" s="287"/>
      <c r="G165" s="287"/>
      <c r="H165" s="199"/>
      <c r="I165" s="199"/>
      <c r="J165" s="199"/>
      <c r="K165" s="199"/>
      <c r="L165" s="199"/>
      <c r="M165" s="160" t="s">
        <v>854</v>
      </c>
      <c r="N165" s="161" t="s">
        <v>860</v>
      </c>
      <c r="O165" s="161">
        <v>3</v>
      </c>
      <c r="P165" s="288"/>
      <c r="Q165" s="156"/>
      <c r="R165" s="156"/>
      <c r="S165" s="157"/>
      <c r="T165" s="156"/>
      <c r="U165" s="156"/>
      <c r="V165" s="288"/>
      <c r="W165" s="288"/>
      <c r="X165" s="288"/>
      <c r="Y165" s="288"/>
      <c r="Z165" s="288"/>
      <c r="AA165" s="276"/>
      <c r="AB165" s="276"/>
      <c r="AC165" s="276"/>
      <c r="AD165" s="291"/>
      <c r="AE165" s="288"/>
      <c r="AF165" s="288"/>
      <c r="AG165" s="288"/>
    </row>
    <row r="166" spans="2:33" ht="13.5">
      <c r="B166" s="289">
        <v>50</v>
      </c>
      <c r="C166" s="283" t="s">
        <v>896</v>
      </c>
      <c r="D166" s="283" t="s">
        <v>897</v>
      </c>
      <c r="E166" s="282" t="s">
        <v>84</v>
      </c>
      <c r="F166" s="282" t="s">
        <v>825</v>
      </c>
      <c r="G166" s="282"/>
      <c r="H166" s="197" t="s">
        <v>853</v>
      </c>
      <c r="I166" s="197" t="s">
        <v>853</v>
      </c>
      <c r="J166" s="197" t="s">
        <v>853</v>
      </c>
      <c r="K166" s="197" t="s">
        <v>853</v>
      </c>
      <c r="L166" s="197" t="s">
        <v>853</v>
      </c>
      <c r="M166" s="154" t="s">
        <v>854</v>
      </c>
      <c r="N166" s="155" t="s">
        <v>891</v>
      </c>
      <c r="O166" s="155">
        <v>3</v>
      </c>
      <c r="P166" s="284" t="s">
        <v>898</v>
      </c>
      <c r="Q166" s="156"/>
      <c r="R166" s="156"/>
      <c r="S166" s="157"/>
      <c r="T166" s="156"/>
      <c r="U166" s="156"/>
      <c r="V166" s="284" t="s">
        <v>752</v>
      </c>
      <c r="W166" s="284" t="s">
        <v>752</v>
      </c>
      <c r="X166" s="284" t="s">
        <v>752</v>
      </c>
      <c r="Y166" s="284" t="s">
        <v>752</v>
      </c>
      <c r="Z166" s="284" t="s">
        <v>752</v>
      </c>
      <c r="AA166" s="274"/>
      <c r="AB166" s="274"/>
      <c r="AC166" s="274"/>
      <c r="AD166" s="284" t="s">
        <v>857</v>
      </c>
      <c r="AE166" s="284"/>
      <c r="AF166" s="284"/>
      <c r="AG166" s="284"/>
    </row>
    <row r="167" spans="2:33" ht="13.5">
      <c r="B167" s="289"/>
      <c r="C167" s="283"/>
      <c r="D167" s="283"/>
      <c r="E167" s="285"/>
      <c r="F167" s="285"/>
      <c r="G167" s="285"/>
      <c r="H167" s="198"/>
      <c r="I167" s="198"/>
      <c r="J167" s="198"/>
      <c r="K167" s="198"/>
      <c r="L167" s="198"/>
      <c r="M167" s="194" t="s">
        <v>854</v>
      </c>
      <c r="N167" s="159" t="s">
        <v>868</v>
      </c>
      <c r="O167" s="159">
        <v>2</v>
      </c>
      <c r="P167" s="286"/>
      <c r="Q167" s="156"/>
      <c r="R167" s="156"/>
      <c r="S167" s="157"/>
      <c r="T167" s="156"/>
      <c r="U167" s="156"/>
      <c r="V167" s="286"/>
      <c r="W167" s="286"/>
      <c r="X167" s="286"/>
      <c r="Y167" s="286"/>
      <c r="Z167" s="286"/>
      <c r="AA167" s="275"/>
      <c r="AB167" s="275"/>
      <c r="AC167" s="275"/>
      <c r="AD167" s="290"/>
      <c r="AE167" s="286"/>
      <c r="AF167" s="286"/>
      <c r="AG167" s="286"/>
    </row>
    <row r="168" spans="2:33" ht="13.5">
      <c r="B168" s="289"/>
      <c r="C168" s="283"/>
      <c r="D168" s="283"/>
      <c r="E168" s="285"/>
      <c r="F168" s="285"/>
      <c r="G168" s="285"/>
      <c r="H168" s="198"/>
      <c r="I168" s="198"/>
      <c r="J168" s="198"/>
      <c r="K168" s="198"/>
      <c r="L168" s="198"/>
      <c r="M168" s="158" t="s">
        <v>695</v>
      </c>
      <c r="N168" s="202" t="s">
        <v>859</v>
      </c>
      <c r="O168" s="202">
        <v>5</v>
      </c>
      <c r="P168" s="286"/>
      <c r="Q168" s="156"/>
      <c r="R168" s="156"/>
      <c r="S168" s="157"/>
      <c r="T168" s="156"/>
      <c r="U168" s="156"/>
      <c r="V168" s="286"/>
      <c r="W168" s="286"/>
      <c r="X168" s="286"/>
      <c r="Y168" s="286"/>
      <c r="Z168" s="286"/>
      <c r="AA168" s="275"/>
      <c r="AB168" s="275"/>
      <c r="AC168" s="275"/>
      <c r="AD168" s="290"/>
      <c r="AE168" s="286"/>
      <c r="AF168" s="286"/>
      <c r="AG168" s="286"/>
    </row>
    <row r="169" spans="2:33" ht="13.5">
      <c r="B169" s="289"/>
      <c r="C169" s="283"/>
      <c r="D169" s="283"/>
      <c r="E169" s="287"/>
      <c r="F169" s="287"/>
      <c r="G169" s="287"/>
      <c r="H169" s="199"/>
      <c r="I169" s="199"/>
      <c r="J169" s="199"/>
      <c r="K169" s="199"/>
      <c r="L169" s="199"/>
      <c r="M169" s="160" t="s">
        <v>854</v>
      </c>
      <c r="N169" s="161" t="s">
        <v>860</v>
      </c>
      <c r="O169" s="161">
        <v>3</v>
      </c>
      <c r="P169" s="288"/>
      <c r="Q169" s="156"/>
      <c r="R169" s="156"/>
      <c r="S169" s="157"/>
      <c r="T169" s="156"/>
      <c r="U169" s="156"/>
      <c r="V169" s="288"/>
      <c r="W169" s="288"/>
      <c r="X169" s="288"/>
      <c r="Y169" s="288"/>
      <c r="Z169" s="288"/>
      <c r="AA169" s="276"/>
      <c r="AB169" s="276"/>
      <c r="AC169" s="276"/>
      <c r="AD169" s="291"/>
      <c r="AE169" s="288"/>
      <c r="AF169" s="288"/>
      <c r="AG169" s="288"/>
    </row>
    <row r="170" spans="2:33" ht="13.5">
      <c r="B170" s="289">
        <v>51</v>
      </c>
      <c r="C170" s="283" t="s">
        <v>899</v>
      </c>
      <c r="D170" s="283" t="s">
        <v>900</v>
      </c>
      <c r="E170" s="282" t="s">
        <v>84</v>
      </c>
      <c r="F170" s="282" t="s">
        <v>818</v>
      </c>
      <c r="G170" s="282"/>
      <c r="H170" s="197" t="s">
        <v>853</v>
      </c>
      <c r="I170" s="197" t="s">
        <v>853</v>
      </c>
      <c r="J170" s="197" t="s">
        <v>853</v>
      </c>
      <c r="K170" s="197" t="s">
        <v>853</v>
      </c>
      <c r="L170" s="197" t="s">
        <v>853</v>
      </c>
      <c r="M170" s="154" t="s">
        <v>854</v>
      </c>
      <c r="N170" s="200" t="s">
        <v>901</v>
      </c>
      <c r="O170" s="200">
        <v>3</v>
      </c>
      <c r="P170" s="284" t="s">
        <v>902</v>
      </c>
      <c r="Q170" s="156"/>
      <c r="R170" s="156"/>
      <c r="S170" s="157"/>
      <c r="T170" s="156"/>
      <c r="U170" s="156"/>
      <c r="V170" s="284" t="s">
        <v>752</v>
      </c>
      <c r="W170" s="284" t="s">
        <v>752</v>
      </c>
      <c r="X170" s="284" t="s">
        <v>752</v>
      </c>
      <c r="Y170" s="284" t="s">
        <v>752</v>
      </c>
      <c r="Z170" s="284" t="s">
        <v>752</v>
      </c>
      <c r="AA170" s="274"/>
      <c r="AB170" s="274"/>
      <c r="AC170" s="274"/>
      <c r="AD170" s="284" t="s">
        <v>857</v>
      </c>
      <c r="AE170" s="284"/>
      <c r="AF170" s="284"/>
      <c r="AG170" s="284"/>
    </row>
    <row r="171" spans="2:33" ht="13.5">
      <c r="B171" s="289"/>
      <c r="C171" s="283"/>
      <c r="D171" s="283"/>
      <c r="E171" s="285"/>
      <c r="F171" s="285"/>
      <c r="G171" s="285"/>
      <c r="H171" s="198"/>
      <c r="I171" s="198"/>
      <c r="J171" s="198"/>
      <c r="K171" s="198"/>
      <c r="L171" s="198"/>
      <c r="M171" s="194" t="s">
        <v>854</v>
      </c>
      <c r="N171" s="159" t="s">
        <v>903</v>
      </c>
      <c r="O171" s="159">
        <v>2</v>
      </c>
      <c r="P171" s="286"/>
      <c r="Q171" s="156"/>
      <c r="R171" s="156"/>
      <c r="S171" s="157"/>
      <c r="T171" s="156"/>
      <c r="U171" s="156"/>
      <c r="V171" s="286"/>
      <c r="W171" s="286"/>
      <c r="X171" s="286"/>
      <c r="Y171" s="286"/>
      <c r="Z171" s="286"/>
      <c r="AA171" s="275"/>
      <c r="AB171" s="275"/>
      <c r="AC171" s="275"/>
      <c r="AD171" s="290"/>
      <c r="AE171" s="286"/>
      <c r="AF171" s="286"/>
      <c r="AG171" s="286"/>
    </row>
    <row r="172" spans="2:33" ht="13.5">
      <c r="B172" s="289"/>
      <c r="C172" s="283"/>
      <c r="D172" s="283"/>
      <c r="E172" s="285"/>
      <c r="F172" s="285"/>
      <c r="G172" s="285"/>
      <c r="H172" s="198"/>
      <c r="I172" s="198"/>
      <c r="J172" s="198"/>
      <c r="K172" s="198"/>
      <c r="L172" s="198"/>
      <c r="M172" s="158" t="s">
        <v>695</v>
      </c>
      <c r="N172" s="202" t="s">
        <v>904</v>
      </c>
      <c r="O172" s="202">
        <v>5</v>
      </c>
      <c r="P172" s="286"/>
      <c r="Q172" s="156"/>
      <c r="R172" s="156"/>
      <c r="S172" s="157"/>
      <c r="T172" s="156"/>
      <c r="U172" s="156"/>
      <c r="V172" s="286"/>
      <c r="W172" s="286"/>
      <c r="X172" s="286"/>
      <c r="Y172" s="286"/>
      <c r="Z172" s="286"/>
      <c r="AA172" s="275"/>
      <c r="AB172" s="275"/>
      <c r="AC172" s="275"/>
      <c r="AD172" s="290"/>
      <c r="AE172" s="286"/>
      <c r="AF172" s="286"/>
      <c r="AG172" s="286"/>
    </row>
    <row r="173" spans="2:33" ht="13.5">
      <c r="B173" s="289"/>
      <c r="C173" s="283"/>
      <c r="D173" s="283"/>
      <c r="E173" s="287"/>
      <c r="F173" s="287"/>
      <c r="G173" s="287"/>
      <c r="H173" s="199"/>
      <c r="I173" s="199"/>
      <c r="J173" s="199"/>
      <c r="K173" s="199"/>
      <c r="L173" s="199"/>
      <c r="M173" s="160" t="s">
        <v>854</v>
      </c>
      <c r="N173" s="161" t="s">
        <v>905</v>
      </c>
      <c r="O173" s="161">
        <v>3</v>
      </c>
      <c r="P173" s="288"/>
      <c r="Q173" s="156"/>
      <c r="R173" s="156"/>
      <c r="S173" s="157"/>
      <c r="T173" s="156"/>
      <c r="U173" s="156"/>
      <c r="V173" s="288"/>
      <c r="W173" s="288"/>
      <c r="X173" s="288"/>
      <c r="Y173" s="288"/>
      <c r="Z173" s="288"/>
      <c r="AA173" s="276"/>
      <c r="AB173" s="276"/>
      <c r="AC173" s="276"/>
      <c r="AD173" s="291"/>
      <c r="AE173" s="288"/>
      <c r="AF173" s="288"/>
      <c r="AG173" s="288"/>
    </row>
    <row r="174" spans="2:33" ht="13.5">
      <c r="B174" s="289">
        <v>52</v>
      </c>
      <c r="C174" s="283" t="s">
        <v>906</v>
      </c>
      <c r="D174" s="283" t="s">
        <v>907</v>
      </c>
      <c r="E174" s="282" t="s">
        <v>84</v>
      </c>
      <c r="F174" s="282" t="s">
        <v>823</v>
      </c>
      <c r="G174" s="282"/>
      <c r="H174" s="197" t="s">
        <v>853</v>
      </c>
      <c r="I174" s="197" t="s">
        <v>853</v>
      </c>
      <c r="J174" s="197" t="s">
        <v>853</v>
      </c>
      <c r="K174" s="197" t="s">
        <v>853</v>
      </c>
      <c r="L174" s="197" t="s">
        <v>853</v>
      </c>
      <c r="M174" s="154" t="s">
        <v>854</v>
      </c>
      <c r="N174" s="155" t="s">
        <v>901</v>
      </c>
      <c r="O174" s="155">
        <v>3</v>
      </c>
      <c r="P174" s="284" t="s">
        <v>908</v>
      </c>
      <c r="Q174" s="156"/>
      <c r="R174" s="156"/>
      <c r="S174" s="157"/>
      <c r="T174" s="156"/>
      <c r="U174" s="156"/>
      <c r="V174" s="284" t="s">
        <v>752</v>
      </c>
      <c r="W174" s="284" t="s">
        <v>752</v>
      </c>
      <c r="X174" s="284" t="s">
        <v>752</v>
      </c>
      <c r="Y174" s="284" t="s">
        <v>752</v>
      </c>
      <c r="Z174" s="284" t="s">
        <v>752</v>
      </c>
      <c r="AA174" s="274"/>
      <c r="AB174" s="274"/>
      <c r="AC174" s="274"/>
      <c r="AD174" s="284" t="s">
        <v>857</v>
      </c>
      <c r="AE174" s="284"/>
      <c r="AF174" s="284"/>
      <c r="AG174" s="284"/>
    </row>
    <row r="175" spans="2:33" ht="13.5">
      <c r="B175" s="289"/>
      <c r="C175" s="283"/>
      <c r="D175" s="283"/>
      <c r="E175" s="285"/>
      <c r="F175" s="285"/>
      <c r="G175" s="285"/>
      <c r="H175" s="198"/>
      <c r="I175" s="198"/>
      <c r="J175" s="198"/>
      <c r="K175" s="198"/>
      <c r="L175" s="198"/>
      <c r="M175" s="194" t="s">
        <v>854</v>
      </c>
      <c r="N175" s="159" t="s">
        <v>864</v>
      </c>
      <c r="O175" s="159">
        <v>2</v>
      </c>
      <c r="P175" s="286"/>
      <c r="Q175" s="156"/>
      <c r="R175" s="156"/>
      <c r="S175" s="157"/>
      <c r="T175" s="156"/>
      <c r="U175" s="156"/>
      <c r="V175" s="286"/>
      <c r="W175" s="286"/>
      <c r="X175" s="286"/>
      <c r="Y175" s="286"/>
      <c r="Z175" s="286"/>
      <c r="AA175" s="275"/>
      <c r="AB175" s="275"/>
      <c r="AC175" s="275"/>
      <c r="AD175" s="290"/>
      <c r="AE175" s="286"/>
      <c r="AF175" s="286"/>
      <c r="AG175" s="286"/>
    </row>
    <row r="176" spans="2:33" ht="13.5">
      <c r="B176" s="289"/>
      <c r="C176" s="283"/>
      <c r="D176" s="283"/>
      <c r="E176" s="285"/>
      <c r="F176" s="285"/>
      <c r="G176" s="285"/>
      <c r="H176" s="198"/>
      <c r="I176" s="198"/>
      <c r="J176" s="198"/>
      <c r="K176" s="198"/>
      <c r="L176" s="198"/>
      <c r="M176" s="158" t="s">
        <v>695</v>
      </c>
      <c r="N176" s="202" t="s">
        <v>859</v>
      </c>
      <c r="O176" s="202">
        <v>5</v>
      </c>
      <c r="P176" s="286"/>
      <c r="Q176" s="156"/>
      <c r="R176" s="156"/>
      <c r="S176" s="157"/>
      <c r="T176" s="156"/>
      <c r="U176" s="156"/>
      <c r="V176" s="286"/>
      <c r="W176" s="286"/>
      <c r="X176" s="286"/>
      <c r="Y176" s="286"/>
      <c r="Z176" s="286"/>
      <c r="AA176" s="275"/>
      <c r="AB176" s="275"/>
      <c r="AC176" s="275"/>
      <c r="AD176" s="290"/>
      <c r="AE176" s="286"/>
      <c r="AF176" s="286"/>
      <c r="AG176" s="286"/>
    </row>
    <row r="177" spans="2:33" ht="13.5">
      <c r="B177" s="289"/>
      <c r="C177" s="283"/>
      <c r="D177" s="283"/>
      <c r="E177" s="287"/>
      <c r="F177" s="287"/>
      <c r="G177" s="287"/>
      <c r="H177" s="199"/>
      <c r="I177" s="199"/>
      <c r="J177" s="199"/>
      <c r="K177" s="199"/>
      <c r="L177" s="199"/>
      <c r="M177" s="160" t="s">
        <v>854</v>
      </c>
      <c r="N177" s="161" t="s">
        <v>860</v>
      </c>
      <c r="O177" s="161">
        <v>3</v>
      </c>
      <c r="P177" s="288"/>
      <c r="Q177" s="156"/>
      <c r="R177" s="156"/>
      <c r="S177" s="157"/>
      <c r="T177" s="156"/>
      <c r="U177" s="156"/>
      <c r="V177" s="288"/>
      <c r="W177" s="288"/>
      <c r="X177" s="288"/>
      <c r="Y177" s="288"/>
      <c r="Z177" s="288"/>
      <c r="AA177" s="276"/>
      <c r="AB177" s="276"/>
      <c r="AC177" s="276"/>
      <c r="AD177" s="291"/>
      <c r="AE177" s="288"/>
      <c r="AF177" s="288"/>
      <c r="AG177" s="288"/>
    </row>
    <row r="178" spans="2:33" ht="13.5">
      <c r="B178" s="289">
        <v>53</v>
      </c>
      <c r="C178" s="283" t="s">
        <v>909</v>
      </c>
      <c r="D178" s="283" t="s">
        <v>910</v>
      </c>
      <c r="E178" s="282" t="s">
        <v>84</v>
      </c>
      <c r="F178" s="282" t="s">
        <v>825</v>
      </c>
      <c r="G178" s="282"/>
      <c r="H178" s="197" t="s">
        <v>853</v>
      </c>
      <c r="I178" s="197" t="s">
        <v>853</v>
      </c>
      <c r="J178" s="197" t="s">
        <v>853</v>
      </c>
      <c r="K178" s="197" t="s">
        <v>853</v>
      </c>
      <c r="L178" s="197" t="s">
        <v>853</v>
      </c>
      <c r="M178" s="154" t="s">
        <v>854</v>
      </c>
      <c r="N178" s="155" t="s">
        <v>911</v>
      </c>
      <c r="O178" s="155">
        <v>3</v>
      </c>
      <c r="P178" s="284" t="s">
        <v>912</v>
      </c>
      <c r="Q178" s="156"/>
      <c r="R178" s="156"/>
      <c r="S178" s="157"/>
      <c r="T178" s="156"/>
      <c r="U178" s="156"/>
      <c r="V178" s="284" t="s">
        <v>752</v>
      </c>
      <c r="W178" s="284" t="s">
        <v>752</v>
      </c>
      <c r="X178" s="284" t="s">
        <v>752</v>
      </c>
      <c r="Y178" s="284" t="s">
        <v>752</v>
      </c>
      <c r="Z178" s="284" t="s">
        <v>752</v>
      </c>
      <c r="AA178" s="274"/>
      <c r="AB178" s="274"/>
      <c r="AC178" s="274"/>
      <c r="AD178" s="284" t="s">
        <v>857</v>
      </c>
      <c r="AE178" s="284"/>
      <c r="AF178" s="284"/>
      <c r="AG178" s="284"/>
    </row>
    <row r="179" spans="2:33" ht="13.5">
      <c r="B179" s="289"/>
      <c r="C179" s="283"/>
      <c r="D179" s="283"/>
      <c r="E179" s="285"/>
      <c r="F179" s="285"/>
      <c r="G179" s="285"/>
      <c r="H179" s="198"/>
      <c r="I179" s="198"/>
      <c r="J179" s="198"/>
      <c r="K179" s="198"/>
      <c r="L179" s="198"/>
      <c r="M179" s="194" t="s">
        <v>854</v>
      </c>
      <c r="N179" s="159" t="s">
        <v>913</v>
      </c>
      <c r="O179" s="159">
        <v>2</v>
      </c>
      <c r="P179" s="286"/>
      <c r="Q179" s="156"/>
      <c r="R179" s="156"/>
      <c r="S179" s="157"/>
      <c r="T179" s="156"/>
      <c r="U179" s="156"/>
      <c r="V179" s="286"/>
      <c r="W179" s="286"/>
      <c r="X179" s="286"/>
      <c r="Y179" s="286"/>
      <c r="Z179" s="286"/>
      <c r="AA179" s="275"/>
      <c r="AB179" s="275"/>
      <c r="AC179" s="275"/>
      <c r="AD179" s="290"/>
      <c r="AE179" s="286"/>
      <c r="AF179" s="286"/>
      <c r="AG179" s="286"/>
    </row>
    <row r="180" spans="2:33" ht="13.5">
      <c r="B180" s="289"/>
      <c r="C180" s="283"/>
      <c r="D180" s="283"/>
      <c r="E180" s="285"/>
      <c r="F180" s="285"/>
      <c r="G180" s="285"/>
      <c r="H180" s="198"/>
      <c r="I180" s="198"/>
      <c r="J180" s="198"/>
      <c r="K180" s="198"/>
      <c r="L180" s="198"/>
      <c r="M180" s="158" t="s">
        <v>695</v>
      </c>
      <c r="N180" s="202" t="s">
        <v>904</v>
      </c>
      <c r="O180" s="202">
        <v>5</v>
      </c>
      <c r="P180" s="286"/>
      <c r="Q180" s="156"/>
      <c r="R180" s="156"/>
      <c r="S180" s="157"/>
      <c r="T180" s="156"/>
      <c r="U180" s="156"/>
      <c r="V180" s="286"/>
      <c r="W180" s="286"/>
      <c r="X180" s="286"/>
      <c r="Y180" s="286"/>
      <c r="Z180" s="286"/>
      <c r="AA180" s="275"/>
      <c r="AB180" s="275"/>
      <c r="AC180" s="275"/>
      <c r="AD180" s="290"/>
      <c r="AE180" s="286"/>
      <c r="AF180" s="286"/>
      <c r="AG180" s="286"/>
    </row>
    <row r="181" spans="2:33" ht="13.5">
      <c r="B181" s="289"/>
      <c r="C181" s="283"/>
      <c r="D181" s="283"/>
      <c r="E181" s="287"/>
      <c r="F181" s="287"/>
      <c r="G181" s="287"/>
      <c r="H181" s="199"/>
      <c r="I181" s="199"/>
      <c r="J181" s="199"/>
      <c r="K181" s="199"/>
      <c r="L181" s="199"/>
      <c r="M181" s="160" t="s">
        <v>854</v>
      </c>
      <c r="N181" s="161" t="s">
        <v>905</v>
      </c>
      <c r="O181" s="161">
        <v>3</v>
      </c>
      <c r="P181" s="288"/>
      <c r="Q181" s="156"/>
      <c r="R181" s="156"/>
      <c r="S181" s="157"/>
      <c r="T181" s="156"/>
      <c r="U181" s="156"/>
      <c r="V181" s="288"/>
      <c r="W181" s="288"/>
      <c r="X181" s="288"/>
      <c r="Y181" s="288"/>
      <c r="Z181" s="288"/>
      <c r="AA181" s="276"/>
      <c r="AB181" s="276"/>
      <c r="AC181" s="276"/>
      <c r="AD181" s="291"/>
      <c r="AE181" s="288"/>
      <c r="AF181" s="288"/>
      <c r="AG181" s="288"/>
    </row>
    <row r="182" spans="2:33" ht="13.5">
      <c r="B182" s="289">
        <v>54</v>
      </c>
      <c r="C182" s="283" t="s">
        <v>914</v>
      </c>
      <c r="D182" s="283" t="s">
        <v>915</v>
      </c>
      <c r="E182" s="282" t="s">
        <v>84</v>
      </c>
      <c r="F182" s="282" t="s">
        <v>818</v>
      </c>
      <c r="G182" s="282"/>
      <c r="H182" s="197" t="s">
        <v>853</v>
      </c>
      <c r="I182" s="197" t="s">
        <v>853</v>
      </c>
      <c r="J182" s="197" t="s">
        <v>853</v>
      </c>
      <c r="K182" s="197" t="s">
        <v>853</v>
      </c>
      <c r="L182" s="197" t="s">
        <v>853</v>
      </c>
      <c r="M182" s="154" t="s">
        <v>854</v>
      </c>
      <c r="N182" s="155" t="s">
        <v>916</v>
      </c>
      <c r="O182" s="155">
        <v>3</v>
      </c>
      <c r="P182" s="284" t="s">
        <v>917</v>
      </c>
      <c r="Q182" s="156"/>
      <c r="R182" s="156"/>
      <c r="S182" s="157"/>
      <c r="T182" s="156"/>
      <c r="U182" s="156"/>
      <c r="V182" s="284" t="s">
        <v>752</v>
      </c>
      <c r="W182" s="284" t="s">
        <v>752</v>
      </c>
      <c r="X182" s="284" t="s">
        <v>752</v>
      </c>
      <c r="Y182" s="284" t="s">
        <v>752</v>
      </c>
      <c r="Z182" s="284" t="s">
        <v>752</v>
      </c>
      <c r="AA182" s="274"/>
      <c r="AB182" s="274"/>
      <c r="AC182" s="274"/>
      <c r="AD182" s="284" t="s">
        <v>857</v>
      </c>
      <c r="AE182" s="284"/>
      <c r="AF182" s="284"/>
      <c r="AG182" s="284"/>
    </row>
    <row r="183" spans="2:33" ht="13.5">
      <c r="B183" s="289"/>
      <c r="C183" s="283"/>
      <c r="D183" s="283"/>
      <c r="E183" s="285"/>
      <c r="F183" s="285"/>
      <c r="G183" s="285"/>
      <c r="H183" s="198"/>
      <c r="I183" s="198"/>
      <c r="J183" s="198"/>
      <c r="K183" s="198"/>
      <c r="L183" s="198"/>
      <c r="M183" s="194" t="s">
        <v>854</v>
      </c>
      <c r="N183" s="159" t="s">
        <v>903</v>
      </c>
      <c r="O183" s="159">
        <v>2</v>
      </c>
      <c r="P183" s="286"/>
      <c r="Q183" s="156"/>
      <c r="R183" s="156"/>
      <c r="S183" s="157"/>
      <c r="T183" s="156"/>
      <c r="U183" s="156"/>
      <c r="V183" s="286"/>
      <c r="W183" s="286"/>
      <c r="X183" s="286"/>
      <c r="Y183" s="286"/>
      <c r="Z183" s="286"/>
      <c r="AA183" s="275"/>
      <c r="AB183" s="275"/>
      <c r="AC183" s="275"/>
      <c r="AD183" s="290"/>
      <c r="AE183" s="286"/>
      <c r="AF183" s="286"/>
      <c r="AG183" s="286"/>
    </row>
    <row r="184" spans="2:33" ht="13.5">
      <c r="B184" s="289"/>
      <c r="C184" s="283"/>
      <c r="D184" s="283"/>
      <c r="E184" s="285"/>
      <c r="F184" s="285"/>
      <c r="G184" s="285"/>
      <c r="H184" s="198"/>
      <c r="I184" s="198"/>
      <c r="J184" s="198"/>
      <c r="K184" s="198"/>
      <c r="L184" s="198"/>
      <c r="M184" s="158" t="s">
        <v>695</v>
      </c>
      <c r="N184" s="202" t="s">
        <v>904</v>
      </c>
      <c r="O184" s="202">
        <v>5</v>
      </c>
      <c r="P184" s="286"/>
      <c r="Q184" s="156"/>
      <c r="R184" s="156"/>
      <c r="S184" s="157"/>
      <c r="T184" s="156"/>
      <c r="U184" s="156"/>
      <c r="V184" s="286"/>
      <c r="W184" s="286"/>
      <c r="X184" s="286"/>
      <c r="Y184" s="286"/>
      <c r="Z184" s="286"/>
      <c r="AA184" s="275"/>
      <c r="AB184" s="275"/>
      <c r="AC184" s="275"/>
      <c r="AD184" s="290"/>
      <c r="AE184" s="286"/>
      <c r="AF184" s="286"/>
      <c r="AG184" s="286"/>
    </row>
    <row r="185" spans="2:33" ht="13.5">
      <c r="B185" s="289"/>
      <c r="C185" s="283"/>
      <c r="D185" s="283"/>
      <c r="E185" s="287"/>
      <c r="F185" s="287"/>
      <c r="G185" s="287"/>
      <c r="H185" s="199"/>
      <c r="I185" s="199"/>
      <c r="J185" s="199"/>
      <c r="K185" s="199"/>
      <c r="L185" s="199"/>
      <c r="M185" s="160" t="s">
        <v>854</v>
      </c>
      <c r="N185" s="161" t="s">
        <v>905</v>
      </c>
      <c r="O185" s="161">
        <v>3</v>
      </c>
      <c r="P185" s="288"/>
      <c r="Q185" s="156"/>
      <c r="R185" s="156"/>
      <c r="S185" s="157"/>
      <c r="T185" s="156"/>
      <c r="U185" s="156"/>
      <c r="V185" s="288"/>
      <c r="W185" s="288"/>
      <c r="X185" s="288"/>
      <c r="Y185" s="288"/>
      <c r="Z185" s="288"/>
      <c r="AA185" s="276"/>
      <c r="AB185" s="276"/>
      <c r="AC185" s="276"/>
      <c r="AD185" s="291"/>
      <c r="AE185" s="288"/>
      <c r="AF185" s="288"/>
      <c r="AG185" s="288"/>
    </row>
    <row r="186" spans="2:33" ht="13.5">
      <c r="B186" s="289">
        <v>55</v>
      </c>
      <c r="C186" s="283" t="s">
        <v>918</v>
      </c>
      <c r="D186" s="283" t="s">
        <v>919</v>
      </c>
      <c r="E186" s="282" t="s">
        <v>84</v>
      </c>
      <c r="F186" s="282" t="s">
        <v>823</v>
      </c>
      <c r="G186" s="282"/>
      <c r="H186" s="197" t="s">
        <v>853</v>
      </c>
      <c r="I186" s="197" t="s">
        <v>853</v>
      </c>
      <c r="J186" s="197" t="s">
        <v>853</v>
      </c>
      <c r="K186" s="197" t="s">
        <v>853</v>
      </c>
      <c r="L186" s="197" t="s">
        <v>853</v>
      </c>
      <c r="M186" s="154" t="s">
        <v>854</v>
      </c>
      <c r="N186" s="155" t="s">
        <v>916</v>
      </c>
      <c r="O186" s="155">
        <v>3</v>
      </c>
      <c r="P186" s="284" t="s">
        <v>920</v>
      </c>
      <c r="Q186" s="156"/>
      <c r="R186" s="156"/>
      <c r="S186" s="157"/>
      <c r="T186" s="156"/>
      <c r="U186" s="156"/>
      <c r="V186" s="284" t="s">
        <v>752</v>
      </c>
      <c r="W186" s="284" t="s">
        <v>752</v>
      </c>
      <c r="X186" s="284" t="s">
        <v>752</v>
      </c>
      <c r="Y186" s="284" t="s">
        <v>752</v>
      </c>
      <c r="Z186" s="284" t="s">
        <v>752</v>
      </c>
      <c r="AA186" s="274"/>
      <c r="AB186" s="274"/>
      <c r="AC186" s="274"/>
      <c r="AD186" s="284" t="s">
        <v>857</v>
      </c>
      <c r="AE186" s="284"/>
      <c r="AF186" s="284"/>
      <c r="AG186" s="284"/>
    </row>
    <row r="187" spans="2:33" ht="13.5">
      <c r="B187" s="289"/>
      <c r="C187" s="283"/>
      <c r="D187" s="283"/>
      <c r="E187" s="285"/>
      <c r="F187" s="285"/>
      <c r="G187" s="285"/>
      <c r="H187" s="198"/>
      <c r="I187" s="198"/>
      <c r="J187" s="198"/>
      <c r="K187" s="198"/>
      <c r="L187" s="198"/>
      <c r="M187" s="194" t="s">
        <v>854</v>
      </c>
      <c r="N187" s="159" t="s">
        <v>921</v>
      </c>
      <c r="O187" s="159">
        <v>2</v>
      </c>
      <c r="P187" s="286"/>
      <c r="Q187" s="156"/>
      <c r="R187" s="156"/>
      <c r="S187" s="157"/>
      <c r="T187" s="156"/>
      <c r="U187" s="156"/>
      <c r="V187" s="286"/>
      <c r="W187" s="286"/>
      <c r="X187" s="286"/>
      <c r="Y187" s="286"/>
      <c r="Z187" s="286"/>
      <c r="AA187" s="275"/>
      <c r="AB187" s="275"/>
      <c r="AC187" s="275"/>
      <c r="AD187" s="290"/>
      <c r="AE187" s="286"/>
      <c r="AF187" s="286"/>
      <c r="AG187" s="286"/>
    </row>
    <row r="188" spans="2:33" ht="13.5">
      <c r="B188" s="289"/>
      <c r="C188" s="283"/>
      <c r="D188" s="283"/>
      <c r="E188" s="285"/>
      <c r="F188" s="285"/>
      <c r="G188" s="285"/>
      <c r="H188" s="198"/>
      <c r="I188" s="198"/>
      <c r="J188" s="198"/>
      <c r="K188" s="198"/>
      <c r="L188" s="198"/>
      <c r="M188" s="158" t="s">
        <v>695</v>
      </c>
      <c r="N188" s="202" t="s">
        <v>904</v>
      </c>
      <c r="O188" s="202">
        <v>5</v>
      </c>
      <c r="P188" s="286"/>
      <c r="Q188" s="156"/>
      <c r="R188" s="156"/>
      <c r="S188" s="157"/>
      <c r="T188" s="156"/>
      <c r="U188" s="156"/>
      <c r="V188" s="286"/>
      <c r="W188" s="286"/>
      <c r="X188" s="286"/>
      <c r="Y188" s="286"/>
      <c r="Z188" s="286"/>
      <c r="AA188" s="275"/>
      <c r="AB188" s="275"/>
      <c r="AC188" s="275"/>
      <c r="AD188" s="290"/>
      <c r="AE188" s="286"/>
      <c r="AF188" s="286"/>
      <c r="AG188" s="286"/>
    </row>
    <row r="189" spans="2:33" ht="13.5">
      <c r="B189" s="289"/>
      <c r="C189" s="283"/>
      <c r="D189" s="283"/>
      <c r="E189" s="287"/>
      <c r="F189" s="287"/>
      <c r="G189" s="287"/>
      <c r="H189" s="199"/>
      <c r="I189" s="199"/>
      <c r="J189" s="199"/>
      <c r="K189" s="199"/>
      <c r="L189" s="199"/>
      <c r="M189" s="160" t="s">
        <v>854</v>
      </c>
      <c r="N189" s="161" t="s">
        <v>905</v>
      </c>
      <c r="O189" s="161">
        <v>3</v>
      </c>
      <c r="P189" s="288"/>
      <c r="Q189" s="156"/>
      <c r="R189" s="156"/>
      <c r="S189" s="157"/>
      <c r="T189" s="156"/>
      <c r="U189" s="156"/>
      <c r="V189" s="288"/>
      <c r="W189" s="288"/>
      <c r="X189" s="288"/>
      <c r="Y189" s="288"/>
      <c r="Z189" s="288"/>
      <c r="AA189" s="276"/>
      <c r="AB189" s="276"/>
      <c r="AC189" s="276"/>
      <c r="AD189" s="291"/>
      <c r="AE189" s="288"/>
      <c r="AF189" s="288"/>
      <c r="AG189" s="288"/>
    </row>
    <row r="190" spans="2:33" ht="13.5">
      <c r="B190" s="289">
        <v>56</v>
      </c>
      <c r="C190" s="283" t="s">
        <v>922</v>
      </c>
      <c r="D190" s="283" t="s">
        <v>923</v>
      </c>
      <c r="E190" s="282" t="s">
        <v>84</v>
      </c>
      <c r="F190" s="282" t="s">
        <v>825</v>
      </c>
      <c r="G190" s="282"/>
      <c r="H190" s="197" t="s">
        <v>853</v>
      </c>
      <c r="I190" s="197" t="s">
        <v>853</v>
      </c>
      <c r="J190" s="197" t="s">
        <v>853</v>
      </c>
      <c r="K190" s="197" t="s">
        <v>853</v>
      </c>
      <c r="L190" s="197" t="s">
        <v>853</v>
      </c>
      <c r="M190" s="154" t="s">
        <v>854</v>
      </c>
      <c r="N190" s="155" t="s">
        <v>916</v>
      </c>
      <c r="O190" s="155">
        <v>3</v>
      </c>
      <c r="P190" s="284" t="s">
        <v>924</v>
      </c>
      <c r="Q190" s="156"/>
      <c r="R190" s="156"/>
      <c r="S190" s="157"/>
      <c r="T190" s="156"/>
      <c r="U190" s="156"/>
      <c r="V190" s="284" t="s">
        <v>752</v>
      </c>
      <c r="W190" s="284" t="s">
        <v>752</v>
      </c>
      <c r="X190" s="284" t="s">
        <v>752</v>
      </c>
      <c r="Y190" s="284" t="s">
        <v>752</v>
      </c>
      <c r="Z190" s="284" t="s">
        <v>752</v>
      </c>
      <c r="AA190" s="274"/>
      <c r="AB190" s="274"/>
      <c r="AC190" s="274"/>
      <c r="AD190" s="284" t="s">
        <v>857</v>
      </c>
      <c r="AE190" s="284"/>
      <c r="AF190" s="284"/>
      <c r="AG190" s="284"/>
    </row>
    <row r="191" spans="2:33" ht="13.5">
      <c r="B191" s="289"/>
      <c r="C191" s="283"/>
      <c r="D191" s="283"/>
      <c r="E191" s="285"/>
      <c r="F191" s="285"/>
      <c r="G191" s="285"/>
      <c r="H191" s="198"/>
      <c r="I191" s="198"/>
      <c r="J191" s="198"/>
      <c r="K191" s="198"/>
      <c r="L191" s="198"/>
      <c r="M191" s="194" t="s">
        <v>854</v>
      </c>
      <c r="N191" s="195" t="s">
        <v>913</v>
      </c>
      <c r="O191" s="195">
        <v>2</v>
      </c>
      <c r="P191" s="286"/>
      <c r="Q191" s="156"/>
      <c r="R191" s="156"/>
      <c r="S191" s="157"/>
      <c r="T191" s="156"/>
      <c r="U191" s="156"/>
      <c r="V191" s="286"/>
      <c r="W191" s="286"/>
      <c r="X191" s="286"/>
      <c r="Y191" s="286"/>
      <c r="Z191" s="286"/>
      <c r="AA191" s="275"/>
      <c r="AB191" s="275"/>
      <c r="AC191" s="275"/>
      <c r="AD191" s="290"/>
      <c r="AE191" s="286"/>
      <c r="AF191" s="286"/>
      <c r="AG191" s="286"/>
    </row>
    <row r="192" spans="2:33" ht="13.5">
      <c r="B192" s="289"/>
      <c r="C192" s="283"/>
      <c r="D192" s="283"/>
      <c r="E192" s="285"/>
      <c r="F192" s="285"/>
      <c r="G192" s="285"/>
      <c r="H192" s="198"/>
      <c r="I192" s="198"/>
      <c r="J192" s="198"/>
      <c r="K192" s="198"/>
      <c r="L192" s="198"/>
      <c r="M192" s="158" t="s">
        <v>695</v>
      </c>
      <c r="N192" s="159" t="s">
        <v>904</v>
      </c>
      <c r="O192" s="159">
        <v>5</v>
      </c>
      <c r="P192" s="286"/>
      <c r="Q192" s="156"/>
      <c r="R192" s="156"/>
      <c r="S192" s="157"/>
      <c r="T192" s="156"/>
      <c r="U192" s="156"/>
      <c r="V192" s="286"/>
      <c r="W192" s="286"/>
      <c r="X192" s="286"/>
      <c r="Y192" s="286"/>
      <c r="Z192" s="286"/>
      <c r="AA192" s="275"/>
      <c r="AB192" s="275"/>
      <c r="AC192" s="275"/>
      <c r="AD192" s="290"/>
      <c r="AE192" s="286"/>
      <c r="AF192" s="286"/>
      <c r="AG192" s="286"/>
    </row>
    <row r="193" spans="2:33" ht="13.5">
      <c r="B193" s="289"/>
      <c r="C193" s="283"/>
      <c r="D193" s="283"/>
      <c r="E193" s="287"/>
      <c r="F193" s="287"/>
      <c r="G193" s="287"/>
      <c r="H193" s="199"/>
      <c r="I193" s="199"/>
      <c r="J193" s="199"/>
      <c r="K193" s="199"/>
      <c r="L193" s="199"/>
      <c r="M193" s="160" t="s">
        <v>854</v>
      </c>
      <c r="N193" s="161" t="s">
        <v>905</v>
      </c>
      <c r="O193" s="161">
        <v>3</v>
      </c>
      <c r="P193" s="288"/>
      <c r="Q193" s="156"/>
      <c r="R193" s="156"/>
      <c r="S193" s="157"/>
      <c r="T193" s="156"/>
      <c r="U193" s="156"/>
      <c r="V193" s="288"/>
      <c r="W193" s="288"/>
      <c r="X193" s="288"/>
      <c r="Y193" s="288"/>
      <c r="Z193" s="288"/>
      <c r="AA193" s="276"/>
      <c r="AB193" s="276"/>
      <c r="AC193" s="276"/>
      <c r="AD193" s="291"/>
      <c r="AE193" s="288"/>
      <c r="AF193" s="288"/>
      <c r="AG193" s="288"/>
    </row>
    <row r="194" spans="2:33" ht="13.5">
      <c r="B194" s="289">
        <v>57</v>
      </c>
      <c r="C194" s="283" t="s">
        <v>925</v>
      </c>
      <c r="D194" s="283" t="s">
        <v>926</v>
      </c>
      <c r="E194" s="282" t="s">
        <v>84</v>
      </c>
      <c r="F194" s="282" t="s">
        <v>818</v>
      </c>
      <c r="G194" s="282"/>
      <c r="H194" s="197" t="s">
        <v>853</v>
      </c>
      <c r="I194" s="197" t="s">
        <v>853</v>
      </c>
      <c r="J194" s="197" t="s">
        <v>853</v>
      </c>
      <c r="K194" s="197" t="s">
        <v>853</v>
      </c>
      <c r="L194" s="197" t="s">
        <v>853</v>
      </c>
      <c r="M194" s="154" t="s">
        <v>854</v>
      </c>
      <c r="N194" s="155" t="s">
        <v>927</v>
      </c>
      <c r="O194" s="155">
        <v>3</v>
      </c>
      <c r="P194" s="284" t="s">
        <v>928</v>
      </c>
      <c r="Q194" s="156"/>
      <c r="R194" s="156"/>
      <c r="S194" s="157"/>
      <c r="T194" s="156"/>
      <c r="U194" s="156"/>
      <c r="V194" s="284" t="s">
        <v>752</v>
      </c>
      <c r="W194" s="284" t="s">
        <v>752</v>
      </c>
      <c r="X194" s="284" t="s">
        <v>752</v>
      </c>
      <c r="Y194" s="284" t="s">
        <v>752</v>
      </c>
      <c r="Z194" s="284" t="s">
        <v>752</v>
      </c>
      <c r="AA194" s="274"/>
      <c r="AB194" s="274"/>
      <c r="AC194" s="274"/>
      <c r="AD194" s="284" t="s">
        <v>857</v>
      </c>
      <c r="AE194" s="284"/>
      <c r="AF194" s="284"/>
      <c r="AG194" s="284"/>
    </row>
    <row r="195" spans="2:33" ht="13.5">
      <c r="B195" s="289"/>
      <c r="C195" s="283"/>
      <c r="D195" s="283"/>
      <c r="E195" s="285"/>
      <c r="F195" s="285"/>
      <c r="G195" s="285"/>
      <c r="H195" s="198"/>
      <c r="I195" s="198"/>
      <c r="J195" s="198"/>
      <c r="K195" s="198"/>
      <c r="L195" s="198"/>
      <c r="M195" s="194" t="s">
        <v>854</v>
      </c>
      <c r="N195" s="159" t="s">
        <v>903</v>
      </c>
      <c r="O195" s="159">
        <v>2</v>
      </c>
      <c r="P195" s="286"/>
      <c r="Q195" s="156"/>
      <c r="R195" s="156"/>
      <c r="S195" s="157"/>
      <c r="T195" s="156"/>
      <c r="U195" s="156"/>
      <c r="V195" s="286"/>
      <c r="W195" s="286"/>
      <c r="X195" s="286"/>
      <c r="Y195" s="286"/>
      <c r="Z195" s="286"/>
      <c r="AA195" s="275"/>
      <c r="AB195" s="275"/>
      <c r="AC195" s="275"/>
      <c r="AD195" s="290"/>
      <c r="AE195" s="286"/>
      <c r="AF195" s="286"/>
      <c r="AG195" s="286"/>
    </row>
    <row r="196" spans="2:33" ht="13.5">
      <c r="B196" s="289"/>
      <c r="C196" s="283"/>
      <c r="D196" s="283"/>
      <c r="E196" s="285"/>
      <c r="F196" s="285"/>
      <c r="G196" s="285"/>
      <c r="H196" s="198"/>
      <c r="I196" s="198"/>
      <c r="J196" s="198"/>
      <c r="K196" s="198"/>
      <c r="L196" s="198"/>
      <c r="M196" s="158" t="s">
        <v>695</v>
      </c>
      <c r="N196" s="202" t="s">
        <v>904</v>
      </c>
      <c r="O196" s="202">
        <v>5</v>
      </c>
      <c r="P196" s="286"/>
      <c r="Q196" s="156"/>
      <c r="R196" s="156"/>
      <c r="S196" s="157"/>
      <c r="T196" s="156"/>
      <c r="U196" s="156"/>
      <c r="V196" s="286"/>
      <c r="W196" s="286"/>
      <c r="X196" s="286"/>
      <c r="Y196" s="286"/>
      <c r="Z196" s="286"/>
      <c r="AA196" s="275"/>
      <c r="AB196" s="275"/>
      <c r="AC196" s="275"/>
      <c r="AD196" s="290"/>
      <c r="AE196" s="286"/>
      <c r="AF196" s="286"/>
      <c r="AG196" s="286"/>
    </row>
    <row r="197" spans="2:33" ht="13.5">
      <c r="B197" s="289"/>
      <c r="C197" s="283"/>
      <c r="D197" s="283"/>
      <c r="E197" s="287"/>
      <c r="F197" s="287"/>
      <c r="G197" s="287"/>
      <c r="H197" s="199"/>
      <c r="I197" s="199"/>
      <c r="J197" s="199"/>
      <c r="K197" s="199"/>
      <c r="L197" s="199"/>
      <c r="M197" s="160" t="s">
        <v>854</v>
      </c>
      <c r="N197" s="161" t="s">
        <v>905</v>
      </c>
      <c r="O197" s="161">
        <v>3</v>
      </c>
      <c r="P197" s="288"/>
      <c r="Q197" s="156"/>
      <c r="R197" s="156"/>
      <c r="S197" s="157"/>
      <c r="T197" s="156"/>
      <c r="U197" s="156"/>
      <c r="V197" s="288"/>
      <c r="W197" s="288"/>
      <c r="X197" s="288"/>
      <c r="Y197" s="288"/>
      <c r="Z197" s="288"/>
      <c r="AA197" s="276"/>
      <c r="AB197" s="276"/>
      <c r="AC197" s="276"/>
      <c r="AD197" s="291"/>
      <c r="AE197" s="288"/>
      <c r="AF197" s="288"/>
      <c r="AG197" s="288"/>
    </row>
    <row r="198" spans="2:33" ht="13.5">
      <c r="B198" s="289">
        <v>58</v>
      </c>
      <c r="C198" s="283" t="s">
        <v>929</v>
      </c>
      <c r="D198" s="283" t="s">
        <v>930</v>
      </c>
      <c r="E198" s="282" t="s">
        <v>84</v>
      </c>
      <c r="F198" s="282" t="s">
        <v>823</v>
      </c>
      <c r="G198" s="282"/>
      <c r="H198" s="197" t="s">
        <v>853</v>
      </c>
      <c r="I198" s="197" t="s">
        <v>853</v>
      </c>
      <c r="J198" s="197" t="s">
        <v>853</v>
      </c>
      <c r="K198" s="197" t="s">
        <v>853</v>
      </c>
      <c r="L198" s="197" t="s">
        <v>853</v>
      </c>
      <c r="M198" s="154" t="s">
        <v>854</v>
      </c>
      <c r="N198" s="155" t="s">
        <v>927</v>
      </c>
      <c r="O198" s="155">
        <v>3</v>
      </c>
      <c r="P198" s="284" t="s">
        <v>931</v>
      </c>
      <c r="Q198" s="156"/>
      <c r="R198" s="156"/>
      <c r="S198" s="157"/>
      <c r="T198" s="156"/>
      <c r="U198" s="156"/>
      <c r="V198" s="284" t="s">
        <v>752</v>
      </c>
      <c r="W198" s="284" t="s">
        <v>752</v>
      </c>
      <c r="X198" s="284" t="s">
        <v>752</v>
      </c>
      <c r="Y198" s="284" t="s">
        <v>752</v>
      </c>
      <c r="Z198" s="284" t="s">
        <v>752</v>
      </c>
      <c r="AA198" s="274"/>
      <c r="AB198" s="274"/>
      <c r="AC198" s="274"/>
      <c r="AD198" s="284" t="s">
        <v>857</v>
      </c>
      <c r="AE198" s="284"/>
      <c r="AF198" s="284"/>
      <c r="AG198" s="284"/>
    </row>
    <row r="199" spans="2:33" ht="13.5">
      <c r="B199" s="289"/>
      <c r="C199" s="283"/>
      <c r="D199" s="283"/>
      <c r="E199" s="285"/>
      <c r="F199" s="285"/>
      <c r="G199" s="285"/>
      <c r="H199" s="198"/>
      <c r="I199" s="198"/>
      <c r="J199" s="198"/>
      <c r="K199" s="198"/>
      <c r="L199" s="198"/>
      <c r="M199" s="194" t="s">
        <v>854</v>
      </c>
      <c r="N199" s="159" t="s">
        <v>921</v>
      </c>
      <c r="O199" s="159">
        <v>2</v>
      </c>
      <c r="P199" s="286"/>
      <c r="Q199" s="156"/>
      <c r="R199" s="156"/>
      <c r="S199" s="157"/>
      <c r="T199" s="156"/>
      <c r="U199" s="156"/>
      <c r="V199" s="286"/>
      <c r="W199" s="286"/>
      <c r="X199" s="286"/>
      <c r="Y199" s="286"/>
      <c r="Z199" s="286"/>
      <c r="AA199" s="275"/>
      <c r="AB199" s="275"/>
      <c r="AC199" s="275"/>
      <c r="AD199" s="290"/>
      <c r="AE199" s="286"/>
      <c r="AF199" s="286"/>
      <c r="AG199" s="286"/>
    </row>
    <row r="200" spans="2:33" ht="13.5">
      <c r="B200" s="289"/>
      <c r="C200" s="283"/>
      <c r="D200" s="283"/>
      <c r="E200" s="285"/>
      <c r="F200" s="285"/>
      <c r="G200" s="285"/>
      <c r="H200" s="198"/>
      <c r="I200" s="198"/>
      <c r="J200" s="198"/>
      <c r="K200" s="198"/>
      <c r="L200" s="198"/>
      <c r="M200" s="158" t="s">
        <v>695</v>
      </c>
      <c r="N200" s="202" t="s">
        <v>904</v>
      </c>
      <c r="O200" s="202">
        <v>5</v>
      </c>
      <c r="P200" s="286"/>
      <c r="Q200" s="156"/>
      <c r="R200" s="156"/>
      <c r="S200" s="157"/>
      <c r="T200" s="156"/>
      <c r="U200" s="156"/>
      <c r="V200" s="286"/>
      <c r="W200" s="286"/>
      <c r="X200" s="286"/>
      <c r="Y200" s="286"/>
      <c r="Z200" s="286"/>
      <c r="AA200" s="275"/>
      <c r="AB200" s="275"/>
      <c r="AC200" s="275"/>
      <c r="AD200" s="290"/>
      <c r="AE200" s="286"/>
      <c r="AF200" s="286"/>
      <c r="AG200" s="286"/>
    </row>
    <row r="201" spans="2:33" ht="13.5">
      <c r="B201" s="289"/>
      <c r="C201" s="283"/>
      <c r="D201" s="283"/>
      <c r="E201" s="287"/>
      <c r="F201" s="287"/>
      <c r="G201" s="287"/>
      <c r="H201" s="199"/>
      <c r="I201" s="199"/>
      <c r="J201" s="199"/>
      <c r="K201" s="199"/>
      <c r="L201" s="199"/>
      <c r="M201" s="160" t="s">
        <v>854</v>
      </c>
      <c r="N201" s="161" t="s">
        <v>905</v>
      </c>
      <c r="O201" s="161">
        <v>3</v>
      </c>
      <c r="P201" s="288"/>
      <c r="Q201" s="156"/>
      <c r="R201" s="156"/>
      <c r="S201" s="157"/>
      <c r="T201" s="156"/>
      <c r="U201" s="156"/>
      <c r="V201" s="288"/>
      <c r="W201" s="288"/>
      <c r="X201" s="288"/>
      <c r="Y201" s="288"/>
      <c r="Z201" s="288"/>
      <c r="AA201" s="276"/>
      <c r="AB201" s="276"/>
      <c r="AC201" s="276"/>
      <c r="AD201" s="291"/>
      <c r="AE201" s="288"/>
      <c r="AF201" s="288"/>
      <c r="AG201" s="288"/>
    </row>
    <row r="202" spans="2:33" ht="13.5">
      <c r="B202" s="289">
        <v>59</v>
      </c>
      <c r="C202" s="283" t="s">
        <v>932</v>
      </c>
      <c r="D202" s="283" t="s">
        <v>933</v>
      </c>
      <c r="E202" s="282" t="s">
        <v>84</v>
      </c>
      <c r="F202" s="282" t="s">
        <v>825</v>
      </c>
      <c r="G202" s="282"/>
      <c r="H202" s="197" t="s">
        <v>853</v>
      </c>
      <c r="I202" s="197" t="s">
        <v>853</v>
      </c>
      <c r="J202" s="197" t="s">
        <v>853</v>
      </c>
      <c r="K202" s="197" t="s">
        <v>853</v>
      </c>
      <c r="L202" s="197" t="s">
        <v>853</v>
      </c>
      <c r="M202" s="154" t="s">
        <v>854</v>
      </c>
      <c r="N202" s="155" t="s">
        <v>927</v>
      </c>
      <c r="O202" s="155">
        <v>3</v>
      </c>
      <c r="P202" s="284" t="s">
        <v>934</v>
      </c>
      <c r="Q202" s="156"/>
      <c r="R202" s="156"/>
      <c r="S202" s="157"/>
      <c r="T202" s="156"/>
      <c r="U202" s="156"/>
      <c r="V202" s="284" t="s">
        <v>752</v>
      </c>
      <c r="W202" s="284" t="s">
        <v>752</v>
      </c>
      <c r="X202" s="284" t="s">
        <v>752</v>
      </c>
      <c r="Y202" s="284" t="s">
        <v>752</v>
      </c>
      <c r="Z202" s="284" t="s">
        <v>752</v>
      </c>
      <c r="AA202" s="274"/>
      <c r="AB202" s="274"/>
      <c r="AC202" s="274"/>
      <c r="AD202" s="284" t="s">
        <v>857</v>
      </c>
      <c r="AE202" s="284"/>
      <c r="AF202" s="284"/>
      <c r="AG202" s="284"/>
    </row>
    <row r="203" spans="2:33" ht="13.5">
      <c r="B203" s="289"/>
      <c r="C203" s="283"/>
      <c r="D203" s="283"/>
      <c r="E203" s="285"/>
      <c r="F203" s="285"/>
      <c r="G203" s="285"/>
      <c r="H203" s="198"/>
      <c r="I203" s="198"/>
      <c r="J203" s="198"/>
      <c r="K203" s="198"/>
      <c r="L203" s="198"/>
      <c r="M203" s="194" t="s">
        <v>854</v>
      </c>
      <c r="N203" s="159" t="s">
        <v>913</v>
      </c>
      <c r="O203" s="159">
        <v>2</v>
      </c>
      <c r="P203" s="286"/>
      <c r="Q203" s="156"/>
      <c r="R203" s="156"/>
      <c r="S203" s="157"/>
      <c r="T203" s="156"/>
      <c r="U203" s="156"/>
      <c r="V203" s="286"/>
      <c r="W203" s="286"/>
      <c r="X203" s="286"/>
      <c r="Y203" s="286"/>
      <c r="Z203" s="286"/>
      <c r="AA203" s="275"/>
      <c r="AB203" s="275"/>
      <c r="AC203" s="275"/>
      <c r="AD203" s="290"/>
      <c r="AE203" s="286"/>
      <c r="AF203" s="286"/>
      <c r="AG203" s="286"/>
    </row>
    <row r="204" spans="2:33" ht="13.5">
      <c r="B204" s="289"/>
      <c r="C204" s="283"/>
      <c r="D204" s="283"/>
      <c r="E204" s="285"/>
      <c r="F204" s="285"/>
      <c r="G204" s="285"/>
      <c r="H204" s="198"/>
      <c r="I204" s="198"/>
      <c r="J204" s="198"/>
      <c r="K204" s="198"/>
      <c r="L204" s="198"/>
      <c r="M204" s="158" t="s">
        <v>695</v>
      </c>
      <c r="N204" s="202" t="s">
        <v>904</v>
      </c>
      <c r="O204" s="202">
        <v>5</v>
      </c>
      <c r="P204" s="286"/>
      <c r="Q204" s="156"/>
      <c r="R204" s="156"/>
      <c r="S204" s="157"/>
      <c r="T204" s="156"/>
      <c r="U204" s="156"/>
      <c r="V204" s="286"/>
      <c r="W204" s="286"/>
      <c r="X204" s="286"/>
      <c r="Y204" s="286"/>
      <c r="Z204" s="286"/>
      <c r="AA204" s="275"/>
      <c r="AB204" s="275"/>
      <c r="AC204" s="275"/>
      <c r="AD204" s="290"/>
      <c r="AE204" s="286"/>
      <c r="AF204" s="286"/>
      <c r="AG204" s="286"/>
    </row>
    <row r="205" spans="2:33" ht="13.5">
      <c r="B205" s="289"/>
      <c r="C205" s="283"/>
      <c r="D205" s="283"/>
      <c r="E205" s="287"/>
      <c r="F205" s="287"/>
      <c r="G205" s="287"/>
      <c r="H205" s="199"/>
      <c r="I205" s="199"/>
      <c r="J205" s="199"/>
      <c r="K205" s="199"/>
      <c r="L205" s="199"/>
      <c r="M205" s="160" t="s">
        <v>854</v>
      </c>
      <c r="N205" s="161" t="s">
        <v>905</v>
      </c>
      <c r="O205" s="161">
        <v>3</v>
      </c>
      <c r="P205" s="288"/>
      <c r="Q205" s="156"/>
      <c r="R205" s="156"/>
      <c r="S205" s="157"/>
      <c r="T205" s="156"/>
      <c r="U205" s="156"/>
      <c r="V205" s="288"/>
      <c r="W205" s="288"/>
      <c r="X205" s="288"/>
      <c r="Y205" s="288"/>
      <c r="Z205" s="288"/>
      <c r="AA205" s="276"/>
      <c r="AB205" s="276"/>
      <c r="AC205" s="276"/>
      <c r="AD205" s="291"/>
      <c r="AE205" s="288"/>
      <c r="AF205" s="288"/>
      <c r="AG205" s="288"/>
    </row>
    <row r="206" spans="2:33" ht="13.5">
      <c r="B206" s="289">
        <v>60</v>
      </c>
      <c r="C206" s="283" t="s">
        <v>935</v>
      </c>
      <c r="D206" s="283" t="s">
        <v>936</v>
      </c>
      <c r="E206" s="282" t="s">
        <v>84</v>
      </c>
      <c r="F206" s="282" t="s">
        <v>818</v>
      </c>
      <c r="G206" s="282"/>
      <c r="H206" s="197" t="s">
        <v>853</v>
      </c>
      <c r="I206" s="197" t="s">
        <v>853</v>
      </c>
      <c r="J206" s="197" t="s">
        <v>853</v>
      </c>
      <c r="K206" s="197" t="s">
        <v>853</v>
      </c>
      <c r="L206" s="197" t="s">
        <v>853</v>
      </c>
      <c r="M206" s="154" t="s">
        <v>854</v>
      </c>
      <c r="N206" s="155" t="s">
        <v>937</v>
      </c>
      <c r="O206" s="155">
        <v>3</v>
      </c>
      <c r="P206" s="284" t="s">
        <v>938</v>
      </c>
      <c r="Q206" s="156"/>
      <c r="R206" s="156"/>
      <c r="S206" s="157"/>
      <c r="T206" s="156"/>
      <c r="U206" s="156"/>
      <c r="V206" s="284" t="s">
        <v>752</v>
      </c>
      <c r="W206" s="284" t="s">
        <v>752</v>
      </c>
      <c r="X206" s="284" t="s">
        <v>752</v>
      </c>
      <c r="Y206" s="284" t="s">
        <v>752</v>
      </c>
      <c r="Z206" s="284" t="s">
        <v>752</v>
      </c>
      <c r="AA206" s="274"/>
      <c r="AB206" s="274"/>
      <c r="AC206" s="274"/>
      <c r="AD206" s="284" t="s">
        <v>857</v>
      </c>
      <c r="AE206" s="284"/>
      <c r="AF206" s="284"/>
      <c r="AG206" s="284"/>
    </row>
    <row r="207" spans="2:33" ht="13.5">
      <c r="B207" s="289"/>
      <c r="C207" s="283"/>
      <c r="D207" s="283"/>
      <c r="E207" s="285"/>
      <c r="F207" s="285"/>
      <c r="G207" s="285"/>
      <c r="H207" s="198"/>
      <c r="I207" s="198"/>
      <c r="J207" s="198"/>
      <c r="K207" s="198"/>
      <c r="L207" s="198"/>
      <c r="M207" s="194" t="s">
        <v>854</v>
      </c>
      <c r="N207" s="159" t="s">
        <v>903</v>
      </c>
      <c r="O207" s="159">
        <v>2</v>
      </c>
      <c r="P207" s="286"/>
      <c r="Q207" s="156"/>
      <c r="R207" s="156"/>
      <c r="S207" s="157"/>
      <c r="T207" s="156"/>
      <c r="U207" s="156"/>
      <c r="V207" s="286"/>
      <c r="W207" s="286"/>
      <c r="X207" s="286"/>
      <c r="Y207" s="286"/>
      <c r="Z207" s="286"/>
      <c r="AA207" s="275"/>
      <c r="AB207" s="275"/>
      <c r="AC207" s="275"/>
      <c r="AD207" s="290"/>
      <c r="AE207" s="286"/>
      <c r="AF207" s="286"/>
      <c r="AG207" s="286"/>
    </row>
    <row r="208" spans="2:33" ht="13.5">
      <c r="B208" s="289"/>
      <c r="C208" s="283"/>
      <c r="D208" s="283"/>
      <c r="E208" s="285"/>
      <c r="F208" s="285"/>
      <c r="G208" s="285"/>
      <c r="H208" s="198"/>
      <c r="I208" s="198"/>
      <c r="J208" s="198"/>
      <c r="K208" s="198"/>
      <c r="L208" s="198"/>
      <c r="M208" s="158" t="s">
        <v>695</v>
      </c>
      <c r="N208" s="202" t="s">
        <v>904</v>
      </c>
      <c r="O208" s="202">
        <v>5</v>
      </c>
      <c r="P208" s="286"/>
      <c r="Q208" s="156"/>
      <c r="R208" s="156"/>
      <c r="S208" s="157"/>
      <c r="T208" s="156"/>
      <c r="U208" s="156"/>
      <c r="V208" s="286"/>
      <c r="W208" s="286"/>
      <c r="X208" s="286"/>
      <c r="Y208" s="286"/>
      <c r="Z208" s="286"/>
      <c r="AA208" s="275"/>
      <c r="AB208" s="275"/>
      <c r="AC208" s="275"/>
      <c r="AD208" s="290"/>
      <c r="AE208" s="286"/>
      <c r="AF208" s="286"/>
      <c r="AG208" s="286"/>
    </row>
    <row r="209" spans="2:33" ht="13.5">
      <c r="B209" s="289"/>
      <c r="C209" s="283"/>
      <c r="D209" s="283"/>
      <c r="E209" s="287"/>
      <c r="F209" s="287"/>
      <c r="G209" s="287"/>
      <c r="H209" s="199"/>
      <c r="I209" s="199"/>
      <c r="J209" s="199"/>
      <c r="K209" s="199"/>
      <c r="L209" s="199"/>
      <c r="M209" s="160" t="s">
        <v>854</v>
      </c>
      <c r="N209" s="161" t="s">
        <v>905</v>
      </c>
      <c r="O209" s="161">
        <v>3</v>
      </c>
      <c r="P209" s="288"/>
      <c r="Q209" s="156"/>
      <c r="R209" s="156"/>
      <c r="S209" s="157"/>
      <c r="T209" s="156"/>
      <c r="U209" s="156"/>
      <c r="V209" s="288"/>
      <c r="W209" s="288"/>
      <c r="X209" s="288"/>
      <c r="Y209" s="288"/>
      <c r="Z209" s="288"/>
      <c r="AA209" s="276"/>
      <c r="AB209" s="276"/>
      <c r="AC209" s="276"/>
      <c r="AD209" s="291"/>
      <c r="AE209" s="288"/>
      <c r="AF209" s="288"/>
      <c r="AG209" s="288"/>
    </row>
    <row r="210" spans="2:33" ht="13.5">
      <c r="B210" s="289">
        <v>61</v>
      </c>
      <c r="C210" s="283" t="s">
        <v>939</v>
      </c>
      <c r="D210" s="283" t="s">
        <v>940</v>
      </c>
      <c r="E210" s="282" t="s">
        <v>84</v>
      </c>
      <c r="F210" s="282" t="s">
        <v>823</v>
      </c>
      <c r="G210" s="282"/>
      <c r="H210" s="197" t="s">
        <v>853</v>
      </c>
      <c r="I210" s="197" t="s">
        <v>853</v>
      </c>
      <c r="J210" s="197" t="s">
        <v>853</v>
      </c>
      <c r="K210" s="197" t="s">
        <v>853</v>
      </c>
      <c r="L210" s="197" t="s">
        <v>853</v>
      </c>
      <c r="M210" s="154" t="s">
        <v>854</v>
      </c>
      <c r="N210" s="155" t="s">
        <v>937</v>
      </c>
      <c r="O210" s="155">
        <v>3</v>
      </c>
      <c r="P210" s="284" t="s">
        <v>941</v>
      </c>
      <c r="Q210" s="156"/>
      <c r="R210" s="156"/>
      <c r="S210" s="157"/>
      <c r="T210" s="156"/>
      <c r="U210" s="156"/>
      <c r="V210" s="284" t="s">
        <v>752</v>
      </c>
      <c r="W210" s="284" t="s">
        <v>752</v>
      </c>
      <c r="X210" s="284" t="s">
        <v>752</v>
      </c>
      <c r="Y210" s="284" t="s">
        <v>752</v>
      </c>
      <c r="Z210" s="284" t="s">
        <v>752</v>
      </c>
      <c r="AA210" s="274"/>
      <c r="AB210" s="274"/>
      <c r="AC210" s="274"/>
      <c r="AD210" s="284" t="s">
        <v>857</v>
      </c>
      <c r="AE210" s="284"/>
      <c r="AF210" s="284"/>
      <c r="AG210" s="284"/>
    </row>
    <row r="211" spans="2:33" ht="13.5">
      <c r="B211" s="289"/>
      <c r="C211" s="283"/>
      <c r="D211" s="283"/>
      <c r="E211" s="285"/>
      <c r="F211" s="285"/>
      <c r="G211" s="285"/>
      <c r="H211" s="198"/>
      <c r="I211" s="198"/>
      <c r="J211" s="198"/>
      <c r="K211" s="198"/>
      <c r="L211" s="198"/>
      <c r="M211" s="194" t="s">
        <v>854</v>
      </c>
      <c r="N211" s="159" t="s">
        <v>921</v>
      </c>
      <c r="O211" s="159">
        <v>2</v>
      </c>
      <c r="P211" s="286"/>
      <c r="Q211" s="156"/>
      <c r="R211" s="156"/>
      <c r="S211" s="157"/>
      <c r="T211" s="156"/>
      <c r="U211" s="156"/>
      <c r="V211" s="286"/>
      <c r="W211" s="286"/>
      <c r="X211" s="286"/>
      <c r="Y211" s="286"/>
      <c r="Z211" s="286"/>
      <c r="AA211" s="275"/>
      <c r="AB211" s="275"/>
      <c r="AC211" s="275"/>
      <c r="AD211" s="290"/>
      <c r="AE211" s="286"/>
      <c r="AF211" s="286"/>
      <c r="AG211" s="286"/>
    </row>
    <row r="212" spans="2:33" ht="13.5">
      <c r="B212" s="289"/>
      <c r="C212" s="283"/>
      <c r="D212" s="283"/>
      <c r="E212" s="285"/>
      <c r="F212" s="285"/>
      <c r="G212" s="285"/>
      <c r="H212" s="198"/>
      <c r="I212" s="198"/>
      <c r="J212" s="198"/>
      <c r="K212" s="198"/>
      <c r="L212" s="198"/>
      <c r="M212" s="158" t="s">
        <v>695</v>
      </c>
      <c r="N212" s="202" t="s">
        <v>904</v>
      </c>
      <c r="O212" s="202">
        <v>5</v>
      </c>
      <c r="P212" s="286"/>
      <c r="Q212" s="156"/>
      <c r="R212" s="156"/>
      <c r="S212" s="157"/>
      <c r="T212" s="156"/>
      <c r="U212" s="156"/>
      <c r="V212" s="286"/>
      <c r="W212" s="286"/>
      <c r="X212" s="286"/>
      <c r="Y212" s="286"/>
      <c r="Z212" s="286"/>
      <c r="AA212" s="275"/>
      <c r="AB212" s="275"/>
      <c r="AC212" s="275"/>
      <c r="AD212" s="290"/>
      <c r="AE212" s="286"/>
      <c r="AF212" s="286"/>
      <c r="AG212" s="286"/>
    </row>
    <row r="213" spans="2:33" ht="13.5">
      <c r="B213" s="289"/>
      <c r="C213" s="283"/>
      <c r="D213" s="283"/>
      <c r="E213" s="287"/>
      <c r="F213" s="287"/>
      <c r="G213" s="287"/>
      <c r="H213" s="199"/>
      <c r="I213" s="199"/>
      <c r="J213" s="199"/>
      <c r="K213" s="199"/>
      <c r="L213" s="199"/>
      <c r="M213" s="160" t="s">
        <v>854</v>
      </c>
      <c r="N213" s="161" t="s">
        <v>905</v>
      </c>
      <c r="O213" s="161">
        <v>3</v>
      </c>
      <c r="P213" s="288"/>
      <c r="Q213" s="156"/>
      <c r="R213" s="156"/>
      <c r="S213" s="157"/>
      <c r="T213" s="156"/>
      <c r="U213" s="156"/>
      <c r="V213" s="288"/>
      <c r="W213" s="288"/>
      <c r="X213" s="288"/>
      <c r="Y213" s="288"/>
      <c r="Z213" s="288"/>
      <c r="AA213" s="276"/>
      <c r="AB213" s="276"/>
      <c r="AC213" s="276"/>
      <c r="AD213" s="291"/>
      <c r="AE213" s="288"/>
      <c r="AF213" s="288"/>
      <c r="AG213" s="288"/>
    </row>
    <row r="214" spans="2:33" ht="13.5">
      <c r="B214" s="289">
        <v>62</v>
      </c>
      <c r="C214" s="283" t="s">
        <v>942</v>
      </c>
      <c r="D214" s="283" t="s">
        <v>943</v>
      </c>
      <c r="E214" s="282" t="s">
        <v>84</v>
      </c>
      <c r="F214" s="282" t="s">
        <v>825</v>
      </c>
      <c r="G214" s="282"/>
      <c r="H214" s="197" t="s">
        <v>853</v>
      </c>
      <c r="I214" s="197" t="s">
        <v>853</v>
      </c>
      <c r="J214" s="197" t="s">
        <v>853</v>
      </c>
      <c r="K214" s="197" t="s">
        <v>853</v>
      </c>
      <c r="L214" s="197" t="s">
        <v>853</v>
      </c>
      <c r="M214" s="154" t="s">
        <v>854</v>
      </c>
      <c r="N214" s="155" t="s">
        <v>937</v>
      </c>
      <c r="O214" s="155">
        <v>3</v>
      </c>
      <c r="P214" s="284" t="s">
        <v>944</v>
      </c>
      <c r="Q214" s="156"/>
      <c r="R214" s="156"/>
      <c r="S214" s="157"/>
      <c r="T214" s="156"/>
      <c r="U214" s="156"/>
      <c r="V214" s="284" t="s">
        <v>752</v>
      </c>
      <c r="W214" s="284" t="s">
        <v>752</v>
      </c>
      <c r="X214" s="284" t="s">
        <v>752</v>
      </c>
      <c r="Y214" s="284" t="s">
        <v>752</v>
      </c>
      <c r="Z214" s="284" t="s">
        <v>752</v>
      </c>
      <c r="AA214" s="274"/>
      <c r="AB214" s="274"/>
      <c r="AC214" s="274"/>
      <c r="AD214" s="284" t="s">
        <v>857</v>
      </c>
      <c r="AE214" s="284"/>
      <c r="AF214" s="284"/>
      <c r="AG214" s="284"/>
    </row>
    <row r="215" spans="2:33" ht="13.5">
      <c r="B215" s="289"/>
      <c r="C215" s="283"/>
      <c r="D215" s="283"/>
      <c r="E215" s="285"/>
      <c r="F215" s="285"/>
      <c r="G215" s="285"/>
      <c r="H215" s="198"/>
      <c r="I215" s="198"/>
      <c r="J215" s="198"/>
      <c r="K215" s="198"/>
      <c r="L215" s="198"/>
      <c r="M215" s="194" t="s">
        <v>854</v>
      </c>
      <c r="N215" s="159" t="s">
        <v>913</v>
      </c>
      <c r="O215" s="159">
        <v>2</v>
      </c>
      <c r="P215" s="286"/>
      <c r="Q215" s="156"/>
      <c r="R215" s="156"/>
      <c r="S215" s="157"/>
      <c r="T215" s="156"/>
      <c r="U215" s="156"/>
      <c r="V215" s="286"/>
      <c r="W215" s="286"/>
      <c r="X215" s="286"/>
      <c r="Y215" s="286"/>
      <c r="Z215" s="286"/>
      <c r="AA215" s="275"/>
      <c r="AB215" s="275"/>
      <c r="AC215" s="275"/>
      <c r="AD215" s="290"/>
      <c r="AE215" s="286"/>
      <c r="AF215" s="286"/>
      <c r="AG215" s="286"/>
    </row>
    <row r="216" spans="2:33" ht="13.5">
      <c r="B216" s="289"/>
      <c r="C216" s="283"/>
      <c r="D216" s="283"/>
      <c r="E216" s="285"/>
      <c r="F216" s="285"/>
      <c r="G216" s="285"/>
      <c r="H216" s="198"/>
      <c r="I216" s="198"/>
      <c r="J216" s="198"/>
      <c r="K216" s="198"/>
      <c r="L216" s="198"/>
      <c r="M216" s="158" t="s">
        <v>695</v>
      </c>
      <c r="N216" s="202" t="s">
        <v>904</v>
      </c>
      <c r="O216" s="202">
        <v>5</v>
      </c>
      <c r="P216" s="286"/>
      <c r="Q216" s="156"/>
      <c r="R216" s="156"/>
      <c r="S216" s="157"/>
      <c r="T216" s="156"/>
      <c r="U216" s="156"/>
      <c r="V216" s="286"/>
      <c r="W216" s="286"/>
      <c r="X216" s="286"/>
      <c r="Y216" s="286"/>
      <c r="Z216" s="286"/>
      <c r="AA216" s="275"/>
      <c r="AB216" s="275"/>
      <c r="AC216" s="275"/>
      <c r="AD216" s="290"/>
      <c r="AE216" s="286"/>
      <c r="AF216" s="286"/>
      <c r="AG216" s="286"/>
    </row>
    <row r="217" spans="2:33" ht="13.5">
      <c r="B217" s="289"/>
      <c r="C217" s="283"/>
      <c r="D217" s="283"/>
      <c r="E217" s="287"/>
      <c r="F217" s="287"/>
      <c r="G217" s="287"/>
      <c r="H217" s="199"/>
      <c r="I217" s="199"/>
      <c r="J217" s="199"/>
      <c r="K217" s="199"/>
      <c r="L217" s="199"/>
      <c r="M217" s="160" t="s">
        <v>854</v>
      </c>
      <c r="N217" s="161" t="s">
        <v>905</v>
      </c>
      <c r="O217" s="161">
        <v>3</v>
      </c>
      <c r="P217" s="288"/>
      <c r="Q217" s="156"/>
      <c r="R217" s="156"/>
      <c r="S217" s="157"/>
      <c r="T217" s="156"/>
      <c r="U217" s="156"/>
      <c r="V217" s="288"/>
      <c r="W217" s="288"/>
      <c r="X217" s="288"/>
      <c r="Y217" s="288"/>
      <c r="Z217" s="288"/>
      <c r="AA217" s="276"/>
      <c r="AB217" s="276"/>
      <c r="AC217" s="276"/>
      <c r="AD217" s="291"/>
      <c r="AE217" s="288"/>
      <c r="AF217" s="288"/>
      <c r="AG217" s="288"/>
    </row>
    <row r="218" spans="2:33" ht="13.5">
      <c r="B218" s="289">
        <v>63</v>
      </c>
      <c r="C218" s="283" t="s">
        <v>945</v>
      </c>
      <c r="D218" s="283" t="s">
        <v>946</v>
      </c>
      <c r="E218" s="282" t="s">
        <v>84</v>
      </c>
      <c r="F218" s="282" t="s">
        <v>818</v>
      </c>
      <c r="G218" s="282"/>
      <c r="H218" s="197" t="s">
        <v>853</v>
      </c>
      <c r="I218" s="197" t="s">
        <v>853</v>
      </c>
      <c r="J218" s="197" t="s">
        <v>853</v>
      </c>
      <c r="K218" s="197" t="s">
        <v>853</v>
      </c>
      <c r="L218" s="197" t="s">
        <v>853</v>
      </c>
      <c r="M218" s="154" t="s">
        <v>854</v>
      </c>
      <c r="N218" s="155" t="s">
        <v>947</v>
      </c>
      <c r="O218" s="155">
        <v>3</v>
      </c>
      <c r="P218" s="284" t="s">
        <v>948</v>
      </c>
      <c r="Q218" s="156"/>
      <c r="R218" s="156"/>
      <c r="S218" s="157"/>
      <c r="T218" s="156"/>
      <c r="U218" s="156"/>
      <c r="V218" s="284" t="s">
        <v>752</v>
      </c>
      <c r="W218" s="284" t="s">
        <v>752</v>
      </c>
      <c r="X218" s="284" t="s">
        <v>752</v>
      </c>
      <c r="Y218" s="284" t="s">
        <v>752</v>
      </c>
      <c r="Z218" s="284" t="s">
        <v>752</v>
      </c>
      <c r="AA218" s="274"/>
      <c r="AB218" s="274"/>
      <c r="AC218" s="274"/>
      <c r="AD218" s="284" t="s">
        <v>857</v>
      </c>
      <c r="AE218" s="284"/>
      <c r="AF218" s="284"/>
      <c r="AG218" s="284"/>
    </row>
    <row r="219" spans="2:33" ht="13.5">
      <c r="B219" s="289"/>
      <c r="C219" s="283"/>
      <c r="D219" s="283"/>
      <c r="E219" s="285"/>
      <c r="F219" s="285"/>
      <c r="G219" s="285"/>
      <c r="H219" s="198"/>
      <c r="I219" s="198"/>
      <c r="J219" s="198"/>
      <c r="K219" s="198"/>
      <c r="L219" s="198"/>
      <c r="M219" s="194" t="s">
        <v>854</v>
      </c>
      <c r="N219" s="159" t="s">
        <v>903</v>
      </c>
      <c r="O219" s="159">
        <v>2</v>
      </c>
      <c r="P219" s="286"/>
      <c r="Q219" s="156"/>
      <c r="R219" s="156"/>
      <c r="S219" s="157"/>
      <c r="T219" s="156"/>
      <c r="U219" s="156"/>
      <c r="V219" s="286"/>
      <c r="W219" s="286"/>
      <c r="X219" s="286"/>
      <c r="Y219" s="286"/>
      <c r="Z219" s="286"/>
      <c r="AA219" s="275"/>
      <c r="AB219" s="275"/>
      <c r="AC219" s="275"/>
      <c r="AD219" s="290"/>
      <c r="AE219" s="286"/>
      <c r="AF219" s="286"/>
      <c r="AG219" s="286"/>
    </row>
    <row r="220" spans="2:33" ht="13.5">
      <c r="B220" s="289"/>
      <c r="C220" s="283"/>
      <c r="D220" s="283"/>
      <c r="E220" s="285"/>
      <c r="F220" s="285"/>
      <c r="G220" s="285"/>
      <c r="H220" s="198"/>
      <c r="I220" s="198"/>
      <c r="J220" s="198"/>
      <c r="K220" s="198"/>
      <c r="L220" s="198"/>
      <c r="M220" s="158" t="s">
        <v>695</v>
      </c>
      <c r="N220" s="202" t="s">
        <v>904</v>
      </c>
      <c r="O220" s="202">
        <v>5</v>
      </c>
      <c r="P220" s="286"/>
      <c r="Q220" s="156"/>
      <c r="R220" s="156"/>
      <c r="S220" s="157"/>
      <c r="T220" s="156"/>
      <c r="U220" s="156"/>
      <c r="V220" s="286"/>
      <c r="W220" s="286"/>
      <c r="X220" s="286"/>
      <c r="Y220" s="286"/>
      <c r="Z220" s="286"/>
      <c r="AA220" s="275"/>
      <c r="AB220" s="275"/>
      <c r="AC220" s="275"/>
      <c r="AD220" s="290"/>
      <c r="AE220" s="286"/>
      <c r="AF220" s="286"/>
      <c r="AG220" s="286"/>
    </row>
    <row r="221" spans="2:33" ht="13.5">
      <c r="B221" s="289"/>
      <c r="C221" s="283"/>
      <c r="D221" s="283"/>
      <c r="E221" s="287"/>
      <c r="F221" s="287"/>
      <c r="G221" s="287"/>
      <c r="H221" s="199"/>
      <c r="I221" s="199"/>
      <c r="J221" s="199"/>
      <c r="K221" s="199"/>
      <c r="L221" s="199"/>
      <c r="M221" s="160" t="s">
        <v>854</v>
      </c>
      <c r="N221" s="161" t="s">
        <v>905</v>
      </c>
      <c r="O221" s="161">
        <v>3</v>
      </c>
      <c r="P221" s="288"/>
      <c r="Q221" s="156"/>
      <c r="R221" s="156"/>
      <c r="S221" s="157"/>
      <c r="T221" s="156"/>
      <c r="U221" s="156"/>
      <c r="V221" s="288"/>
      <c r="W221" s="288"/>
      <c r="X221" s="288"/>
      <c r="Y221" s="288"/>
      <c r="Z221" s="288"/>
      <c r="AA221" s="276"/>
      <c r="AB221" s="276"/>
      <c r="AC221" s="276"/>
      <c r="AD221" s="291"/>
      <c r="AE221" s="288"/>
      <c r="AF221" s="288"/>
      <c r="AG221" s="288"/>
    </row>
    <row r="222" spans="2:33" ht="13.5">
      <c r="B222" s="289">
        <v>64</v>
      </c>
      <c r="C222" s="283" t="s">
        <v>949</v>
      </c>
      <c r="D222" s="283" t="s">
        <v>950</v>
      </c>
      <c r="E222" s="282" t="s">
        <v>84</v>
      </c>
      <c r="F222" s="282" t="s">
        <v>823</v>
      </c>
      <c r="G222" s="282"/>
      <c r="H222" s="197" t="s">
        <v>853</v>
      </c>
      <c r="I222" s="197" t="s">
        <v>853</v>
      </c>
      <c r="J222" s="197" t="s">
        <v>853</v>
      </c>
      <c r="K222" s="197" t="s">
        <v>853</v>
      </c>
      <c r="L222" s="197" t="s">
        <v>853</v>
      </c>
      <c r="M222" s="154" t="s">
        <v>854</v>
      </c>
      <c r="N222" s="155" t="s">
        <v>947</v>
      </c>
      <c r="O222" s="155">
        <v>3</v>
      </c>
      <c r="P222" s="284" t="s">
        <v>951</v>
      </c>
      <c r="Q222" s="156"/>
      <c r="R222" s="156"/>
      <c r="S222" s="157"/>
      <c r="T222" s="156"/>
      <c r="U222" s="156"/>
      <c r="V222" s="284" t="s">
        <v>752</v>
      </c>
      <c r="W222" s="284" t="s">
        <v>752</v>
      </c>
      <c r="X222" s="284" t="s">
        <v>752</v>
      </c>
      <c r="Y222" s="284" t="s">
        <v>752</v>
      </c>
      <c r="Z222" s="284" t="s">
        <v>752</v>
      </c>
      <c r="AA222" s="274"/>
      <c r="AB222" s="274"/>
      <c r="AC222" s="274"/>
      <c r="AD222" s="284" t="s">
        <v>857</v>
      </c>
      <c r="AE222" s="284"/>
      <c r="AF222" s="284"/>
      <c r="AG222" s="284"/>
    </row>
    <row r="223" spans="2:33" ht="13.5">
      <c r="B223" s="289"/>
      <c r="C223" s="283"/>
      <c r="D223" s="283"/>
      <c r="E223" s="285"/>
      <c r="F223" s="285"/>
      <c r="G223" s="285"/>
      <c r="H223" s="198"/>
      <c r="I223" s="198"/>
      <c r="J223" s="198"/>
      <c r="K223" s="198"/>
      <c r="L223" s="198"/>
      <c r="M223" s="194" t="s">
        <v>854</v>
      </c>
      <c r="N223" s="159" t="s">
        <v>921</v>
      </c>
      <c r="O223" s="159">
        <v>2</v>
      </c>
      <c r="P223" s="286"/>
      <c r="Q223" s="156"/>
      <c r="R223" s="156"/>
      <c r="S223" s="157"/>
      <c r="T223" s="156"/>
      <c r="U223" s="156"/>
      <c r="V223" s="286"/>
      <c r="W223" s="286"/>
      <c r="X223" s="286"/>
      <c r="Y223" s="286"/>
      <c r="Z223" s="286"/>
      <c r="AA223" s="275"/>
      <c r="AB223" s="275"/>
      <c r="AC223" s="275"/>
      <c r="AD223" s="290"/>
      <c r="AE223" s="286"/>
      <c r="AF223" s="286"/>
      <c r="AG223" s="286"/>
    </row>
    <row r="224" spans="2:33" ht="13.5">
      <c r="B224" s="289"/>
      <c r="C224" s="283"/>
      <c r="D224" s="283"/>
      <c r="E224" s="285"/>
      <c r="F224" s="285"/>
      <c r="G224" s="285"/>
      <c r="H224" s="198"/>
      <c r="I224" s="198"/>
      <c r="J224" s="198"/>
      <c r="K224" s="198"/>
      <c r="L224" s="198"/>
      <c r="M224" s="158" t="s">
        <v>695</v>
      </c>
      <c r="N224" s="202" t="s">
        <v>904</v>
      </c>
      <c r="O224" s="202">
        <v>5</v>
      </c>
      <c r="P224" s="286"/>
      <c r="Q224" s="156"/>
      <c r="R224" s="156"/>
      <c r="S224" s="157"/>
      <c r="T224" s="156"/>
      <c r="U224" s="156"/>
      <c r="V224" s="286"/>
      <c r="W224" s="286"/>
      <c r="X224" s="286"/>
      <c r="Y224" s="286"/>
      <c r="Z224" s="286"/>
      <c r="AA224" s="275"/>
      <c r="AB224" s="275"/>
      <c r="AC224" s="275"/>
      <c r="AD224" s="290"/>
      <c r="AE224" s="286"/>
      <c r="AF224" s="286"/>
      <c r="AG224" s="286"/>
    </row>
    <row r="225" spans="2:33" ht="13.5">
      <c r="B225" s="289"/>
      <c r="C225" s="283"/>
      <c r="D225" s="283"/>
      <c r="E225" s="287"/>
      <c r="F225" s="287"/>
      <c r="G225" s="287"/>
      <c r="H225" s="199"/>
      <c r="I225" s="199"/>
      <c r="J225" s="199"/>
      <c r="K225" s="199"/>
      <c r="L225" s="199"/>
      <c r="M225" s="160" t="s">
        <v>854</v>
      </c>
      <c r="N225" s="161" t="s">
        <v>905</v>
      </c>
      <c r="O225" s="161">
        <v>3</v>
      </c>
      <c r="P225" s="288"/>
      <c r="Q225" s="156"/>
      <c r="R225" s="156"/>
      <c r="S225" s="157"/>
      <c r="T225" s="156"/>
      <c r="U225" s="156"/>
      <c r="V225" s="288"/>
      <c r="W225" s="288"/>
      <c r="X225" s="288"/>
      <c r="Y225" s="288"/>
      <c r="Z225" s="288"/>
      <c r="AA225" s="276"/>
      <c r="AB225" s="276"/>
      <c r="AC225" s="276"/>
      <c r="AD225" s="291"/>
      <c r="AE225" s="288"/>
      <c r="AF225" s="288"/>
      <c r="AG225" s="288"/>
    </row>
    <row r="226" spans="2:33" ht="13.5">
      <c r="B226" s="289">
        <v>65</v>
      </c>
      <c r="C226" s="283" t="s">
        <v>952</v>
      </c>
      <c r="D226" s="283" t="s">
        <v>953</v>
      </c>
      <c r="E226" s="282" t="s">
        <v>84</v>
      </c>
      <c r="F226" s="282" t="s">
        <v>825</v>
      </c>
      <c r="G226" s="282"/>
      <c r="H226" s="197" t="s">
        <v>853</v>
      </c>
      <c r="I226" s="197" t="s">
        <v>853</v>
      </c>
      <c r="J226" s="197" t="s">
        <v>853</v>
      </c>
      <c r="K226" s="197" t="s">
        <v>853</v>
      </c>
      <c r="L226" s="197" t="s">
        <v>853</v>
      </c>
      <c r="M226" s="154" t="s">
        <v>854</v>
      </c>
      <c r="N226" s="155" t="s">
        <v>947</v>
      </c>
      <c r="O226" s="155">
        <v>3</v>
      </c>
      <c r="P226" s="284" t="s">
        <v>954</v>
      </c>
      <c r="Q226" s="156"/>
      <c r="R226" s="156"/>
      <c r="S226" s="157"/>
      <c r="T226" s="156"/>
      <c r="U226" s="156"/>
      <c r="V226" s="284" t="s">
        <v>752</v>
      </c>
      <c r="W226" s="284" t="s">
        <v>752</v>
      </c>
      <c r="X226" s="284" t="s">
        <v>752</v>
      </c>
      <c r="Y226" s="284" t="s">
        <v>752</v>
      </c>
      <c r="Z226" s="284" t="s">
        <v>752</v>
      </c>
      <c r="AA226" s="274"/>
      <c r="AB226" s="274"/>
      <c r="AC226" s="274"/>
      <c r="AD226" s="284" t="s">
        <v>857</v>
      </c>
      <c r="AE226" s="284"/>
      <c r="AF226" s="284"/>
      <c r="AG226" s="284"/>
    </row>
    <row r="227" spans="2:33" ht="13.5">
      <c r="B227" s="289"/>
      <c r="C227" s="283"/>
      <c r="D227" s="283"/>
      <c r="E227" s="285"/>
      <c r="F227" s="285"/>
      <c r="G227" s="285"/>
      <c r="H227" s="198"/>
      <c r="I227" s="198"/>
      <c r="J227" s="198"/>
      <c r="K227" s="198"/>
      <c r="L227" s="198"/>
      <c r="M227" s="194" t="s">
        <v>854</v>
      </c>
      <c r="N227" s="159" t="s">
        <v>913</v>
      </c>
      <c r="O227" s="159">
        <v>2</v>
      </c>
      <c r="P227" s="286"/>
      <c r="Q227" s="156"/>
      <c r="R227" s="156"/>
      <c r="S227" s="157"/>
      <c r="T227" s="156"/>
      <c r="U227" s="156"/>
      <c r="V227" s="286"/>
      <c r="W227" s="286"/>
      <c r="X227" s="286"/>
      <c r="Y227" s="286"/>
      <c r="Z227" s="286"/>
      <c r="AA227" s="275"/>
      <c r="AB227" s="275"/>
      <c r="AC227" s="275"/>
      <c r="AD227" s="290"/>
      <c r="AE227" s="286"/>
      <c r="AF227" s="286"/>
      <c r="AG227" s="286"/>
    </row>
    <row r="228" spans="2:33" ht="13.5">
      <c r="B228" s="289"/>
      <c r="C228" s="283"/>
      <c r="D228" s="283"/>
      <c r="E228" s="285"/>
      <c r="F228" s="285"/>
      <c r="G228" s="285"/>
      <c r="H228" s="198"/>
      <c r="I228" s="198"/>
      <c r="J228" s="198"/>
      <c r="K228" s="198"/>
      <c r="L228" s="198"/>
      <c r="M228" s="158" t="s">
        <v>695</v>
      </c>
      <c r="N228" s="202" t="s">
        <v>904</v>
      </c>
      <c r="O228" s="202">
        <v>5</v>
      </c>
      <c r="P228" s="286"/>
      <c r="Q228" s="156"/>
      <c r="R228" s="156"/>
      <c r="S228" s="157"/>
      <c r="T228" s="156"/>
      <c r="U228" s="156"/>
      <c r="V228" s="286"/>
      <c r="W228" s="286"/>
      <c r="X228" s="286"/>
      <c r="Y228" s="286"/>
      <c r="Z228" s="286"/>
      <c r="AA228" s="275"/>
      <c r="AB228" s="275"/>
      <c r="AC228" s="275"/>
      <c r="AD228" s="290"/>
      <c r="AE228" s="286"/>
      <c r="AF228" s="286"/>
      <c r="AG228" s="286"/>
    </row>
    <row r="229" spans="2:33" ht="13.5">
      <c r="B229" s="289"/>
      <c r="C229" s="283"/>
      <c r="D229" s="283"/>
      <c r="E229" s="287"/>
      <c r="F229" s="287"/>
      <c r="G229" s="287"/>
      <c r="H229" s="199"/>
      <c r="I229" s="199"/>
      <c r="J229" s="199"/>
      <c r="K229" s="199"/>
      <c r="L229" s="199"/>
      <c r="M229" s="160" t="s">
        <v>854</v>
      </c>
      <c r="N229" s="161" t="s">
        <v>905</v>
      </c>
      <c r="O229" s="161">
        <v>3</v>
      </c>
      <c r="P229" s="288"/>
      <c r="Q229" s="156"/>
      <c r="R229" s="156"/>
      <c r="S229" s="157"/>
      <c r="T229" s="156"/>
      <c r="U229" s="156"/>
      <c r="V229" s="288"/>
      <c r="W229" s="288"/>
      <c r="X229" s="288"/>
      <c r="Y229" s="288"/>
      <c r="Z229" s="288"/>
      <c r="AA229" s="276"/>
      <c r="AB229" s="276"/>
      <c r="AC229" s="276"/>
      <c r="AD229" s="291"/>
      <c r="AE229" s="288"/>
      <c r="AF229" s="288"/>
      <c r="AG229" s="288"/>
    </row>
    <row r="230" spans="2:33" ht="13.5">
      <c r="B230" s="289">
        <v>66</v>
      </c>
      <c r="C230" s="283" t="s">
        <v>955</v>
      </c>
      <c r="D230" s="283" t="s">
        <v>956</v>
      </c>
      <c r="E230" s="282" t="s">
        <v>84</v>
      </c>
      <c r="F230" s="282" t="s">
        <v>818</v>
      </c>
      <c r="G230" s="282"/>
      <c r="H230" s="197" t="s">
        <v>853</v>
      </c>
      <c r="I230" s="197" t="s">
        <v>853</v>
      </c>
      <c r="J230" s="197" t="s">
        <v>853</v>
      </c>
      <c r="K230" s="197" t="s">
        <v>853</v>
      </c>
      <c r="L230" s="197" t="s">
        <v>853</v>
      </c>
      <c r="M230" s="154" t="s">
        <v>854</v>
      </c>
      <c r="N230" s="155" t="s">
        <v>957</v>
      </c>
      <c r="O230" s="155">
        <v>3</v>
      </c>
      <c r="P230" s="284" t="s">
        <v>958</v>
      </c>
      <c r="Q230" s="156"/>
      <c r="R230" s="156"/>
      <c r="S230" s="157"/>
      <c r="T230" s="156"/>
      <c r="U230" s="156"/>
      <c r="V230" s="284" t="s">
        <v>752</v>
      </c>
      <c r="W230" s="284" t="s">
        <v>752</v>
      </c>
      <c r="X230" s="284" t="s">
        <v>752</v>
      </c>
      <c r="Y230" s="284" t="s">
        <v>752</v>
      </c>
      <c r="Z230" s="284" t="s">
        <v>752</v>
      </c>
      <c r="AA230" s="274"/>
      <c r="AB230" s="274"/>
      <c r="AC230" s="274"/>
      <c r="AD230" s="284" t="s">
        <v>857</v>
      </c>
      <c r="AE230" s="284"/>
      <c r="AF230" s="284"/>
      <c r="AG230" s="284"/>
    </row>
    <row r="231" spans="2:33" ht="13.5">
      <c r="B231" s="289"/>
      <c r="C231" s="283"/>
      <c r="D231" s="283"/>
      <c r="E231" s="285"/>
      <c r="F231" s="285"/>
      <c r="G231" s="285"/>
      <c r="H231" s="198"/>
      <c r="I231" s="198"/>
      <c r="J231" s="198"/>
      <c r="K231" s="198"/>
      <c r="L231" s="198"/>
      <c r="M231" s="194" t="s">
        <v>854</v>
      </c>
      <c r="N231" s="159" t="s">
        <v>903</v>
      </c>
      <c r="O231" s="159">
        <v>2</v>
      </c>
      <c r="P231" s="286"/>
      <c r="Q231" s="156"/>
      <c r="R231" s="156"/>
      <c r="S231" s="157"/>
      <c r="T231" s="156"/>
      <c r="U231" s="156"/>
      <c r="V231" s="286"/>
      <c r="W231" s="286"/>
      <c r="X231" s="286"/>
      <c r="Y231" s="286"/>
      <c r="Z231" s="286"/>
      <c r="AA231" s="275"/>
      <c r="AB231" s="275"/>
      <c r="AC231" s="275"/>
      <c r="AD231" s="290"/>
      <c r="AE231" s="286"/>
      <c r="AF231" s="286"/>
      <c r="AG231" s="286"/>
    </row>
    <row r="232" spans="2:33" ht="13.5">
      <c r="B232" s="289"/>
      <c r="C232" s="283"/>
      <c r="D232" s="283"/>
      <c r="E232" s="285"/>
      <c r="F232" s="285"/>
      <c r="G232" s="285"/>
      <c r="H232" s="198"/>
      <c r="I232" s="198"/>
      <c r="J232" s="198"/>
      <c r="K232" s="198"/>
      <c r="L232" s="198"/>
      <c r="M232" s="158" t="s">
        <v>695</v>
      </c>
      <c r="N232" s="202" t="s">
        <v>904</v>
      </c>
      <c r="O232" s="202">
        <v>5</v>
      </c>
      <c r="P232" s="286"/>
      <c r="Q232" s="156"/>
      <c r="R232" s="156"/>
      <c r="S232" s="157"/>
      <c r="T232" s="156"/>
      <c r="U232" s="156"/>
      <c r="V232" s="286"/>
      <c r="W232" s="286"/>
      <c r="X232" s="286"/>
      <c r="Y232" s="286"/>
      <c r="Z232" s="286"/>
      <c r="AA232" s="275"/>
      <c r="AB232" s="275"/>
      <c r="AC232" s="275"/>
      <c r="AD232" s="290"/>
      <c r="AE232" s="286"/>
      <c r="AF232" s="286"/>
      <c r="AG232" s="286"/>
    </row>
    <row r="233" spans="2:33" ht="13.5">
      <c r="B233" s="289"/>
      <c r="C233" s="283"/>
      <c r="D233" s="283"/>
      <c r="E233" s="287"/>
      <c r="F233" s="287"/>
      <c r="G233" s="287"/>
      <c r="H233" s="199"/>
      <c r="I233" s="199"/>
      <c r="J233" s="199"/>
      <c r="K233" s="199"/>
      <c r="L233" s="199"/>
      <c r="M233" s="160" t="s">
        <v>854</v>
      </c>
      <c r="N233" s="161" t="s">
        <v>905</v>
      </c>
      <c r="O233" s="161">
        <v>3</v>
      </c>
      <c r="P233" s="288"/>
      <c r="Q233" s="156"/>
      <c r="R233" s="156"/>
      <c r="S233" s="157"/>
      <c r="T233" s="156"/>
      <c r="U233" s="156"/>
      <c r="V233" s="288"/>
      <c r="W233" s="288"/>
      <c r="X233" s="288"/>
      <c r="Y233" s="288"/>
      <c r="Z233" s="288"/>
      <c r="AA233" s="276"/>
      <c r="AB233" s="276"/>
      <c r="AC233" s="276"/>
      <c r="AD233" s="291"/>
      <c r="AE233" s="288"/>
      <c r="AF233" s="288"/>
      <c r="AG233" s="288"/>
    </row>
    <row r="234" spans="2:33" ht="13.5">
      <c r="B234" s="289">
        <v>67</v>
      </c>
      <c r="C234" s="283" t="s">
        <v>959</v>
      </c>
      <c r="D234" s="283" t="s">
        <v>960</v>
      </c>
      <c r="E234" s="282" t="s">
        <v>84</v>
      </c>
      <c r="F234" s="282" t="s">
        <v>823</v>
      </c>
      <c r="G234" s="282"/>
      <c r="H234" s="197" t="s">
        <v>853</v>
      </c>
      <c r="I234" s="197" t="s">
        <v>853</v>
      </c>
      <c r="J234" s="197" t="s">
        <v>853</v>
      </c>
      <c r="K234" s="197" t="s">
        <v>853</v>
      </c>
      <c r="L234" s="197" t="s">
        <v>853</v>
      </c>
      <c r="M234" s="154" t="s">
        <v>854</v>
      </c>
      <c r="N234" s="155" t="s">
        <v>957</v>
      </c>
      <c r="O234" s="155">
        <v>3</v>
      </c>
      <c r="P234" s="284" t="s">
        <v>961</v>
      </c>
      <c r="Q234" s="156"/>
      <c r="R234" s="156"/>
      <c r="S234" s="157"/>
      <c r="T234" s="156"/>
      <c r="U234" s="156"/>
      <c r="V234" s="284" t="s">
        <v>752</v>
      </c>
      <c r="W234" s="284" t="s">
        <v>752</v>
      </c>
      <c r="X234" s="284" t="s">
        <v>752</v>
      </c>
      <c r="Y234" s="284" t="s">
        <v>752</v>
      </c>
      <c r="Z234" s="284" t="s">
        <v>752</v>
      </c>
      <c r="AA234" s="274"/>
      <c r="AB234" s="274"/>
      <c r="AC234" s="274"/>
      <c r="AD234" s="284" t="s">
        <v>857</v>
      </c>
      <c r="AE234" s="284"/>
      <c r="AF234" s="284"/>
      <c r="AG234" s="284"/>
    </row>
    <row r="235" spans="2:33" ht="13.5">
      <c r="B235" s="289"/>
      <c r="C235" s="283"/>
      <c r="D235" s="283"/>
      <c r="E235" s="285"/>
      <c r="F235" s="285"/>
      <c r="G235" s="285"/>
      <c r="H235" s="198"/>
      <c r="I235" s="198"/>
      <c r="J235" s="198"/>
      <c r="K235" s="198"/>
      <c r="L235" s="198"/>
      <c r="M235" s="194" t="s">
        <v>854</v>
      </c>
      <c r="N235" s="159" t="s">
        <v>921</v>
      </c>
      <c r="O235" s="159">
        <v>2</v>
      </c>
      <c r="P235" s="286"/>
      <c r="Q235" s="156"/>
      <c r="R235" s="156"/>
      <c r="S235" s="157"/>
      <c r="T235" s="156"/>
      <c r="U235" s="156"/>
      <c r="V235" s="286"/>
      <c r="W235" s="286"/>
      <c r="X235" s="286"/>
      <c r="Y235" s="286"/>
      <c r="Z235" s="286"/>
      <c r="AA235" s="275"/>
      <c r="AB235" s="275"/>
      <c r="AC235" s="275"/>
      <c r="AD235" s="290"/>
      <c r="AE235" s="286"/>
      <c r="AF235" s="286"/>
      <c r="AG235" s="286"/>
    </row>
    <row r="236" spans="2:33" ht="13.5">
      <c r="B236" s="289"/>
      <c r="C236" s="283"/>
      <c r="D236" s="283"/>
      <c r="E236" s="285"/>
      <c r="F236" s="285"/>
      <c r="G236" s="285"/>
      <c r="H236" s="198"/>
      <c r="I236" s="198"/>
      <c r="J236" s="198"/>
      <c r="K236" s="198"/>
      <c r="L236" s="198"/>
      <c r="M236" s="158" t="s">
        <v>695</v>
      </c>
      <c r="N236" s="202" t="s">
        <v>904</v>
      </c>
      <c r="O236" s="202">
        <v>5</v>
      </c>
      <c r="P236" s="286"/>
      <c r="Q236" s="156"/>
      <c r="R236" s="156"/>
      <c r="S236" s="157"/>
      <c r="T236" s="156"/>
      <c r="U236" s="156"/>
      <c r="V236" s="286"/>
      <c r="W236" s="286"/>
      <c r="X236" s="286"/>
      <c r="Y236" s="286"/>
      <c r="Z236" s="286"/>
      <c r="AA236" s="275"/>
      <c r="AB236" s="275"/>
      <c r="AC236" s="275"/>
      <c r="AD236" s="290"/>
      <c r="AE236" s="286"/>
      <c r="AF236" s="286"/>
      <c r="AG236" s="286"/>
    </row>
    <row r="237" spans="2:33" ht="13.5">
      <c r="B237" s="289"/>
      <c r="C237" s="283"/>
      <c r="D237" s="283"/>
      <c r="E237" s="287"/>
      <c r="F237" s="287"/>
      <c r="G237" s="287"/>
      <c r="H237" s="199"/>
      <c r="I237" s="199"/>
      <c r="J237" s="199"/>
      <c r="K237" s="199"/>
      <c r="L237" s="199"/>
      <c r="M237" s="160" t="s">
        <v>854</v>
      </c>
      <c r="N237" s="161" t="s">
        <v>905</v>
      </c>
      <c r="O237" s="161">
        <v>3</v>
      </c>
      <c r="P237" s="288"/>
      <c r="Q237" s="156"/>
      <c r="R237" s="156"/>
      <c r="S237" s="157"/>
      <c r="T237" s="156"/>
      <c r="U237" s="156"/>
      <c r="V237" s="288"/>
      <c r="W237" s="288"/>
      <c r="X237" s="288"/>
      <c r="Y237" s="288"/>
      <c r="Z237" s="288"/>
      <c r="AA237" s="276"/>
      <c r="AB237" s="276"/>
      <c r="AC237" s="276"/>
      <c r="AD237" s="291"/>
      <c r="AE237" s="288"/>
      <c r="AF237" s="288"/>
      <c r="AG237" s="288"/>
    </row>
    <row r="238" spans="2:33" ht="13.5">
      <c r="B238" s="289">
        <v>68</v>
      </c>
      <c r="C238" s="283" t="s">
        <v>962</v>
      </c>
      <c r="D238" s="283" t="s">
        <v>963</v>
      </c>
      <c r="E238" s="282" t="s">
        <v>84</v>
      </c>
      <c r="F238" s="282" t="s">
        <v>825</v>
      </c>
      <c r="G238" s="282"/>
      <c r="H238" s="197" t="s">
        <v>853</v>
      </c>
      <c r="I238" s="197" t="s">
        <v>853</v>
      </c>
      <c r="J238" s="197" t="s">
        <v>853</v>
      </c>
      <c r="K238" s="197" t="s">
        <v>853</v>
      </c>
      <c r="L238" s="197" t="s">
        <v>853</v>
      </c>
      <c r="M238" s="154" t="s">
        <v>854</v>
      </c>
      <c r="N238" s="155" t="s">
        <v>957</v>
      </c>
      <c r="O238" s="155">
        <v>3</v>
      </c>
      <c r="P238" s="284" t="s">
        <v>964</v>
      </c>
      <c r="Q238" s="156"/>
      <c r="R238" s="156"/>
      <c r="S238" s="157"/>
      <c r="T238" s="156"/>
      <c r="U238" s="156"/>
      <c r="V238" s="284" t="s">
        <v>752</v>
      </c>
      <c r="W238" s="284" t="s">
        <v>752</v>
      </c>
      <c r="X238" s="284" t="s">
        <v>752</v>
      </c>
      <c r="Y238" s="284" t="s">
        <v>752</v>
      </c>
      <c r="Z238" s="284" t="s">
        <v>752</v>
      </c>
      <c r="AA238" s="274"/>
      <c r="AB238" s="274"/>
      <c r="AC238" s="274"/>
      <c r="AD238" s="284" t="s">
        <v>857</v>
      </c>
      <c r="AE238" s="284"/>
      <c r="AF238" s="284"/>
      <c r="AG238" s="284"/>
    </row>
    <row r="239" spans="2:33" ht="13.5">
      <c r="B239" s="289"/>
      <c r="C239" s="283"/>
      <c r="D239" s="283"/>
      <c r="E239" s="285"/>
      <c r="F239" s="285"/>
      <c r="G239" s="285"/>
      <c r="H239" s="198"/>
      <c r="I239" s="198"/>
      <c r="J239" s="198"/>
      <c r="K239" s="198"/>
      <c r="L239" s="198"/>
      <c r="M239" s="194" t="s">
        <v>854</v>
      </c>
      <c r="N239" s="159" t="s">
        <v>913</v>
      </c>
      <c r="O239" s="159">
        <v>2</v>
      </c>
      <c r="P239" s="286"/>
      <c r="Q239" s="156"/>
      <c r="R239" s="156"/>
      <c r="S239" s="157"/>
      <c r="T239" s="156"/>
      <c r="U239" s="156"/>
      <c r="V239" s="286"/>
      <c r="W239" s="286"/>
      <c r="X239" s="286"/>
      <c r="Y239" s="286"/>
      <c r="Z239" s="286"/>
      <c r="AA239" s="275"/>
      <c r="AB239" s="275"/>
      <c r="AC239" s="275"/>
      <c r="AD239" s="290"/>
      <c r="AE239" s="286"/>
      <c r="AF239" s="286"/>
      <c r="AG239" s="286"/>
    </row>
    <row r="240" spans="2:33" ht="13.5">
      <c r="B240" s="289"/>
      <c r="C240" s="283"/>
      <c r="D240" s="283"/>
      <c r="E240" s="285"/>
      <c r="F240" s="285"/>
      <c r="G240" s="285"/>
      <c r="H240" s="198"/>
      <c r="I240" s="198"/>
      <c r="J240" s="198"/>
      <c r="K240" s="198"/>
      <c r="L240" s="198"/>
      <c r="M240" s="158" t="s">
        <v>695</v>
      </c>
      <c r="N240" s="202" t="s">
        <v>904</v>
      </c>
      <c r="O240" s="202">
        <v>5</v>
      </c>
      <c r="P240" s="286"/>
      <c r="Q240" s="156"/>
      <c r="R240" s="156"/>
      <c r="S240" s="157"/>
      <c r="T240" s="156"/>
      <c r="U240" s="156"/>
      <c r="V240" s="286"/>
      <c r="W240" s="286"/>
      <c r="X240" s="286"/>
      <c r="Y240" s="286"/>
      <c r="Z240" s="286"/>
      <c r="AA240" s="275"/>
      <c r="AB240" s="275"/>
      <c r="AC240" s="275"/>
      <c r="AD240" s="290"/>
      <c r="AE240" s="286"/>
      <c r="AF240" s="286"/>
      <c r="AG240" s="286"/>
    </row>
    <row r="241" spans="2:33" ht="13.5">
      <c r="B241" s="289"/>
      <c r="C241" s="283"/>
      <c r="D241" s="283"/>
      <c r="E241" s="287"/>
      <c r="F241" s="287"/>
      <c r="G241" s="287"/>
      <c r="H241" s="199"/>
      <c r="I241" s="199"/>
      <c r="J241" s="199"/>
      <c r="K241" s="199"/>
      <c r="L241" s="199"/>
      <c r="M241" s="160" t="s">
        <v>854</v>
      </c>
      <c r="N241" s="161" t="s">
        <v>905</v>
      </c>
      <c r="O241" s="161">
        <v>3</v>
      </c>
      <c r="P241" s="288"/>
      <c r="Q241" s="156"/>
      <c r="R241" s="156"/>
      <c r="S241" s="157"/>
      <c r="T241" s="156"/>
      <c r="U241" s="156"/>
      <c r="V241" s="288"/>
      <c r="W241" s="288"/>
      <c r="X241" s="288"/>
      <c r="Y241" s="288"/>
      <c r="Z241" s="288"/>
      <c r="AA241" s="276"/>
      <c r="AB241" s="276"/>
      <c r="AC241" s="276"/>
      <c r="AD241" s="291"/>
      <c r="AE241" s="288"/>
      <c r="AF241" s="288"/>
      <c r="AG241" s="288"/>
    </row>
    <row r="242" spans="2:33" ht="13.5">
      <c r="B242" s="289">
        <v>69</v>
      </c>
      <c r="C242" s="283" t="s">
        <v>965</v>
      </c>
      <c r="D242" s="283" t="s">
        <v>966</v>
      </c>
      <c r="E242" s="282" t="s">
        <v>84</v>
      </c>
      <c r="F242" s="282" t="s">
        <v>818</v>
      </c>
      <c r="G242" s="282"/>
      <c r="H242" s="197" t="s">
        <v>853</v>
      </c>
      <c r="I242" s="197" t="s">
        <v>853</v>
      </c>
      <c r="J242" s="197" t="s">
        <v>853</v>
      </c>
      <c r="K242" s="197" t="s">
        <v>853</v>
      </c>
      <c r="L242" s="197" t="s">
        <v>853</v>
      </c>
      <c r="M242" s="154" t="s">
        <v>854</v>
      </c>
      <c r="N242" s="155" t="s">
        <v>967</v>
      </c>
      <c r="O242" s="155">
        <v>3</v>
      </c>
      <c r="P242" s="284" t="s">
        <v>968</v>
      </c>
      <c r="Q242" s="156"/>
      <c r="R242" s="156"/>
      <c r="S242" s="157"/>
      <c r="T242" s="156"/>
      <c r="U242" s="156"/>
      <c r="V242" s="284" t="s">
        <v>752</v>
      </c>
      <c r="W242" s="284" t="s">
        <v>752</v>
      </c>
      <c r="X242" s="284" t="s">
        <v>752</v>
      </c>
      <c r="Y242" s="284" t="s">
        <v>752</v>
      </c>
      <c r="Z242" s="284" t="s">
        <v>752</v>
      </c>
      <c r="AA242" s="274"/>
      <c r="AB242" s="274"/>
      <c r="AC242" s="274"/>
      <c r="AD242" s="284" t="s">
        <v>857</v>
      </c>
      <c r="AE242" s="284"/>
      <c r="AF242" s="284"/>
      <c r="AG242" s="284"/>
    </row>
    <row r="243" spans="2:33" ht="13.5">
      <c r="B243" s="289"/>
      <c r="C243" s="283"/>
      <c r="D243" s="283"/>
      <c r="E243" s="285"/>
      <c r="F243" s="285"/>
      <c r="G243" s="285"/>
      <c r="H243" s="198"/>
      <c r="I243" s="198"/>
      <c r="J243" s="198"/>
      <c r="K243" s="198"/>
      <c r="L243" s="198"/>
      <c r="M243" s="194" t="s">
        <v>854</v>
      </c>
      <c r="N243" s="159" t="s">
        <v>903</v>
      </c>
      <c r="O243" s="159">
        <v>2</v>
      </c>
      <c r="P243" s="286"/>
      <c r="Q243" s="156"/>
      <c r="R243" s="156"/>
      <c r="S243" s="157"/>
      <c r="T243" s="156"/>
      <c r="U243" s="156"/>
      <c r="V243" s="286"/>
      <c r="W243" s="286"/>
      <c r="X243" s="286"/>
      <c r="Y243" s="286"/>
      <c r="Z243" s="286"/>
      <c r="AA243" s="275"/>
      <c r="AB243" s="275"/>
      <c r="AC243" s="275"/>
      <c r="AD243" s="290"/>
      <c r="AE243" s="286"/>
      <c r="AF243" s="286"/>
      <c r="AG243" s="286"/>
    </row>
    <row r="244" spans="2:33" ht="13.5">
      <c r="B244" s="289"/>
      <c r="C244" s="283"/>
      <c r="D244" s="283"/>
      <c r="E244" s="285"/>
      <c r="F244" s="285"/>
      <c r="G244" s="285"/>
      <c r="H244" s="198"/>
      <c r="I244" s="198"/>
      <c r="J244" s="198"/>
      <c r="K244" s="198"/>
      <c r="L244" s="198"/>
      <c r="M244" s="158" t="s">
        <v>695</v>
      </c>
      <c r="N244" s="202" t="s">
        <v>904</v>
      </c>
      <c r="O244" s="202">
        <v>5</v>
      </c>
      <c r="P244" s="286"/>
      <c r="Q244" s="156"/>
      <c r="R244" s="156"/>
      <c r="S244" s="157"/>
      <c r="T244" s="156"/>
      <c r="U244" s="156"/>
      <c r="V244" s="286"/>
      <c r="W244" s="286"/>
      <c r="X244" s="286"/>
      <c r="Y244" s="286"/>
      <c r="Z244" s="286"/>
      <c r="AA244" s="275"/>
      <c r="AB244" s="275"/>
      <c r="AC244" s="275"/>
      <c r="AD244" s="290"/>
      <c r="AE244" s="286"/>
      <c r="AF244" s="286"/>
      <c r="AG244" s="286"/>
    </row>
    <row r="245" spans="2:33" ht="13.5">
      <c r="B245" s="289"/>
      <c r="C245" s="283"/>
      <c r="D245" s="283"/>
      <c r="E245" s="287"/>
      <c r="F245" s="287"/>
      <c r="G245" s="287"/>
      <c r="H245" s="199"/>
      <c r="I245" s="199"/>
      <c r="J245" s="199"/>
      <c r="K245" s="199"/>
      <c r="L245" s="199"/>
      <c r="M245" s="160" t="s">
        <v>854</v>
      </c>
      <c r="N245" s="161" t="s">
        <v>905</v>
      </c>
      <c r="O245" s="161">
        <v>3</v>
      </c>
      <c r="P245" s="288"/>
      <c r="Q245" s="156"/>
      <c r="R245" s="156"/>
      <c r="S245" s="157"/>
      <c r="T245" s="156"/>
      <c r="U245" s="156"/>
      <c r="V245" s="288"/>
      <c r="W245" s="288"/>
      <c r="X245" s="288"/>
      <c r="Y245" s="288"/>
      <c r="Z245" s="288"/>
      <c r="AA245" s="276"/>
      <c r="AB245" s="276"/>
      <c r="AC245" s="276"/>
      <c r="AD245" s="291"/>
      <c r="AE245" s="288"/>
      <c r="AF245" s="288"/>
      <c r="AG245" s="288"/>
    </row>
    <row r="246" spans="2:33" ht="13.5">
      <c r="B246" s="289">
        <v>70</v>
      </c>
      <c r="C246" s="283" t="s">
        <v>969</v>
      </c>
      <c r="D246" s="283" t="s">
        <v>970</v>
      </c>
      <c r="E246" s="282" t="s">
        <v>84</v>
      </c>
      <c r="F246" s="282" t="s">
        <v>823</v>
      </c>
      <c r="G246" s="282"/>
      <c r="H246" s="197" t="s">
        <v>853</v>
      </c>
      <c r="I246" s="197" t="s">
        <v>853</v>
      </c>
      <c r="J246" s="197" t="s">
        <v>853</v>
      </c>
      <c r="K246" s="197" t="s">
        <v>853</v>
      </c>
      <c r="L246" s="197" t="s">
        <v>853</v>
      </c>
      <c r="M246" s="154" t="s">
        <v>854</v>
      </c>
      <c r="N246" s="155" t="s">
        <v>967</v>
      </c>
      <c r="O246" s="155">
        <v>3</v>
      </c>
      <c r="P246" s="284" t="s">
        <v>971</v>
      </c>
      <c r="Q246" s="156"/>
      <c r="R246" s="156"/>
      <c r="S246" s="157"/>
      <c r="T246" s="156"/>
      <c r="U246" s="156"/>
      <c r="V246" s="284" t="s">
        <v>752</v>
      </c>
      <c r="W246" s="284" t="s">
        <v>752</v>
      </c>
      <c r="X246" s="284" t="s">
        <v>752</v>
      </c>
      <c r="Y246" s="284" t="s">
        <v>752</v>
      </c>
      <c r="Z246" s="284" t="s">
        <v>752</v>
      </c>
      <c r="AA246" s="274"/>
      <c r="AB246" s="274"/>
      <c r="AC246" s="274"/>
      <c r="AD246" s="284" t="s">
        <v>857</v>
      </c>
      <c r="AE246" s="284"/>
      <c r="AF246" s="284"/>
      <c r="AG246" s="284"/>
    </row>
    <row r="247" spans="2:33" ht="13.5">
      <c r="B247" s="289"/>
      <c r="C247" s="283"/>
      <c r="D247" s="283"/>
      <c r="E247" s="285"/>
      <c r="F247" s="285"/>
      <c r="G247" s="285"/>
      <c r="H247" s="198"/>
      <c r="I247" s="198"/>
      <c r="J247" s="198"/>
      <c r="K247" s="198"/>
      <c r="L247" s="198"/>
      <c r="M247" s="194" t="s">
        <v>854</v>
      </c>
      <c r="N247" s="159" t="s">
        <v>921</v>
      </c>
      <c r="O247" s="159">
        <v>2</v>
      </c>
      <c r="P247" s="286"/>
      <c r="Q247" s="156"/>
      <c r="R247" s="156"/>
      <c r="S247" s="157"/>
      <c r="T247" s="156"/>
      <c r="U247" s="156"/>
      <c r="V247" s="286"/>
      <c r="W247" s="286"/>
      <c r="X247" s="286"/>
      <c r="Y247" s="286"/>
      <c r="Z247" s="286"/>
      <c r="AA247" s="275"/>
      <c r="AB247" s="275"/>
      <c r="AC247" s="275"/>
      <c r="AD247" s="290"/>
      <c r="AE247" s="286"/>
      <c r="AF247" s="286"/>
      <c r="AG247" s="286"/>
    </row>
    <row r="248" spans="2:33" ht="13.5">
      <c r="B248" s="289"/>
      <c r="C248" s="283"/>
      <c r="D248" s="283"/>
      <c r="E248" s="285"/>
      <c r="F248" s="285"/>
      <c r="G248" s="285"/>
      <c r="H248" s="198"/>
      <c r="I248" s="198"/>
      <c r="J248" s="198"/>
      <c r="K248" s="198"/>
      <c r="L248" s="198"/>
      <c r="M248" s="158" t="s">
        <v>695</v>
      </c>
      <c r="N248" s="202" t="s">
        <v>904</v>
      </c>
      <c r="O248" s="202">
        <v>5</v>
      </c>
      <c r="P248" s="286"/>
      <c r="Q248" s="156"/>
      <c r="R248" s="156"/>
      <c r="S248" s="157"/>
      <c r="T248" s="156"/>
      <c r="U248" s="156"/>
      <c r="V248" s="286"/>
      <c r="W248" s="286"/>
      <c r="X248" s="286"/>
      <c r="Y248" s="286"/>
      <c r="Z248" s="286"/>
      <c r="AA248" s="275"/>
      <c r="AB248" s="275"/>
      <c r="AC248" s="275"/>
      <c r="AD248" s="290"/>
      <c r="AE248" s="286"/>
      <c r="AF248" s="286"/>
      <c r="AG248" s="286"/>
    </row>
    <row r="249" spans="2:33" ht="13.5">
      <c r="B249" s="289"/>
      <c r="C249" s="283"/>
      <c r="D249" s="283"/>
      <c r="E249" s="287"/>
      <c r="F249" s="287"/>
      <c r="G249" s="287"/>
      <c r="H249" s="199"/>
      <c r="I249" s="199"/>
      <c r="J249" s="199"/>
      <c r="K249" s="199"/>
      <c r="L249" s="199"/>
      <c r="M249" s="160" t="s">
        <v>854</v>
      </c>
      <c r="N249" s="161" t="s">
        <v>905</v>
      </c>
      <c r="O249" s="161">
        <v>3</v>
      </c>
      <c r="P249" s="288"/>
      <c r="Q249" s="156"/>
      <c r="R249" s="156"/>
      <c r="S249" s="157"/>
      <c r="T249" s="156"/>
      <c r="U249" s="156"/>
      <c r="V249" s="288"/>
      <c r="W249" s="288"/>
      <c r="X249" s="288"/>
      <c r="Y249" s="288"/>
      <c r="Z249" s="288"/>
      <c r="AA249" s="276"/>
      <c r="AB249" s="276"/>
      <c r="AC249" s="276"/>
      <c r="AD249" s="291"/>
      <c r="AE249" s="288"/>
      <c r="AF249" s="288"/>
      <c r="AG249" s="288"/>
    </row>
    <row r="250" spans="2:33" ht="13.5">
      <c r="B250" s="289">
        <v>71</v>
      </c>
      <c r="C250" s="283" t="s">
        <v>972</v>
      </c>
      <c r="D250" s="283" t="s">
        <v>973</v>
      </c>
      <c r="E250" s="282" t="s">
        <v>84</v>
      </c>
      <c r="F250" s="282" t="s">
        <v>825</v>
      </c>
      <c r="G250" s="282"/>
      <c r="H250" s="197" t="s">
        <v>853</v>
      </c>
      <c r="I250" s="197" t="s">
        <v>853</v>
      </c>
      <c r="J250" s="197" t="s">
        <v>853</v>
      </c>
      <c r="K250" s="197" t="s">
        <v>853</v>
      </c>
      <c r="L250" s="197" t="s">
        <v>853</v>
      </c>
      <c r="M250" s="154" t="s">
        <v>854</v>
      </c>
      <c r="N250" s="155" t="s">
        <v>967</v>
      </c>
      <c r="O250" s="155">
        <v>3</v>
      </c>
      <c r="P250" s="284" t="s">
        <v>974</v>
      </c>
      <c r="Q250" s="156"/>
      <c r="R250" s="156"/>
      <c r="S250" s="157"/>
      <c r="T250" s="156"/>
      <c r="U250" s="156"/>
      <c r="V250" s="284" t="s">
        <v>752</v>
      </c>
      <c r="W250" s="284" t="s">
        <v>752</v>
      </c>
      <c r="X250" s="284" t="s">
        <v>752</v>
      </c>
      <c r="Y250" s="284" t="s">
        <v>752</v>
      </c>
      <c r="Z250" s="284" t="s">
        <v>752</v>
      </c>
      <c r="AA250" s="274"/>
      <c r="AB250" s="274"/>
      <c r="AC250" s="274"/>
      <c r="AD250" s="284" t="s">
        <v>857</v>
      </c>
      <c r="AE250" s="284"/>
      <c r="AF250" s="284"/>
      <c r="AG250" s="284"/>
    </row>
    <row r="251" spans="2:33" ht="13.5">
      <c r="B251" s="289"/>
      <c r="C251" s="283"/>
      <c r="D251" s="283"/>
      <c r="E251" s="285"/>
      <c r="F251" s="285"/>
      <c r="G251" s="285"/>
      <c r="H251" s="198"/>
      <c r="I251" s="198"/>
      <c r="J251" s="198"/>
      <c r="K251" s="198"/>
      <c r="L251" s="198"/>
      <c r="M251" s="194" t="s">
        <v>854</v>
      </c>
      <c r="N251" s="159" t="s">
        <v>913</v>
      </c>
      <c r="O251" s="159">
        <v>2</v>
      </c>
      <c r="P251" s="286"/>
      <c r="Q251" s="156"/>
      <c r="R251" s="156"/>
      <c r="S251" s="157"/>
      <c r="T251" s="156"/>
      <c r="U251" s="156"/>
      <c r="V251" s="286"/>
      <c r="W251" s="286"/>
      <c r="X251" s="286"/>
      <c r="Y251" s="286"/>
      <c r="Z251" s="286"/>
      <c r="AA251" s="275"/>
      <c r="AB251" s="275"/>
      <c r="AC251" s="275"/>
      <c r="AD251" s="290"/>
      <c r="AE251" s="286"/>
      <c r="AF251" s="286"/>
      <c r="AG251" s="286"/>
    </row>
    <row r="252" spans="2:33" ht="13.5">
      <c r="B252" s="289"/>
      <c r="C252" s="283"/>
      <c r="D252" s="283"/>
      <c r="E252" s="285"/>
      <c r="F252" s="285"/>
      <c r="G252" s="285"/>
      <c r="H252" s="198"/>
      <c r="I252" s="198"/>
      <c r="J252" s="198"/>
      <c r="K252" s="198"/>
      <c r="L252" s="198"/>
      <c r="M252" s="158" t="s">
        <v>695</v>
      </c>
      <c r="N252" s="202" t="s">
        <v>904</v>
      </c>
      <c r="O252" s="202">
        <v>5</v>
      </c>
      <c r="P252" s="286"/>
      <c r="Q252" s="156"/>
      <c r="R252" s="156"/>
      <c r="S252" s="157"/>
      <c r="T252" s="156"/>
      <c r="U252" s="156"/>
      <c r="V252" s="286"/>
      <c r="W252" s="286"/>
      <c r="X252" s="286"/>
      <c r="Y252" s="286"/>
      <c r="Z252" s="286"/>
      <c r="AA252" s="275"/>
      <c r="AB252" s="275"/>
      <c r="AC252" s="275"/>
      <c r="AD252" s="290"/>
      <c r="AE252" s="286"/>
      <c r="AF252" s="286"/>
      <c r="AG252" s="286"/>
    </row>
    <row r="253" spans="2:33" ht="13.5">
      <c r="B253" s="289"/>
      <c r="C253" s="283"/>
      <c r="D253" s="283"/>
      <c r="E253" s="287"/>
      <c r="F253" s="287"/>
      <c r="G253" s="287"/>
      <c r="H253" s="199"/>
      <c r="I253" s="199"/>
      <c r="J253" s="199"/>
      <c r="K253" s="199"/>
      <c r="L253" s="199"/>
      <c r="M253" s="160" t="s">
        <v>854</v>
      </c>
      <c r="N253" s="161" t="s">
        <v>905</v>
      </c>
      <c r="O253" s="161">
        <v>3</v>
      </c>
      <c r="P253" s="288"/>
      <c r="Q253" s="156"/>
      <c r="R253" s="156"/>
      <c r="S253" s="157"/>
      <c r="T253" s="156"/>
      <c r="U253" s="156"/>
      <c r="V253" s="288"/>
      <c r="W253" s="288"/>
      <c r="X253" s="288"/>
      <c r="Y253" s="288"/>
      <c r="Z253" s="288"/>
      <c r="AA253" s="276"/>
      <c r="AB253" s="276"/>
      <c r="AC253" s="276"/>
      <c r="AD253" s="291"/>
      <c r="AE253" s="288"/>
      <c r="AF253" s="288"/>
      <c r="AG253" s="288"/>
    </row>
    <row r="254" spans="2:33" ht="13.5">
      <c r="B254" s="289">
        <v>72</v>
      </c>
      <c r="C254" s="283" t="s">
        <v>975</v>
      </c>
      <c r="D254" s="283" t="s">
        <v>976</v>
      </c>
      <c r="E254" s="282" t="s">
        <v>84</v>
      </c>
      <c r="F254" s="282" t="s">
        <v>818</v>
      </c>
      <c r="G254" s="282"/>
      <c r="H254" s="197" t="s">
        <v>853</v>
      </c>
      <c r="I254" s="197" t="s">
        <v>853</v>
      </c>
      <c r="J254" s="197" t="s">
        <v>853</v>
      </c>
      <c r="K254" s="197" t="s">
        <v>853</v>
      </c>
      <c r="L254" s="197" t="s">
        <v>853</v>
      </c>
      <c r="M254" s="154" t="s">
        <v>854</v>
      </c>
      <c r="N254" s="155" t="s">
        <v>977</v>
      </c>
      <c r="O254" s="155">
        <v>3</v>
      </c>
      <c r="P254" s="284" t="s">
        <v>978</v>
      </c>
      <c r="Q254" s="156"/>
      <c r="R254" s="156"/>
      <c r="S254" s="157"/>
      <c r="T254" s="156"/>
      <c r="U254" s="156"/>
      <c r="V254" s="284" t="s">
        <v>752</v>
      </c>
      <c r="W254" s="284" t="s">
        <v>752</v>
      </c>
      <c r="X254" s="284" t="s">
        <v>752</v>
      </c>
      <c r="Y254" s="284" t="s">
        <v>752</v>
      </c>
      <c r="Z254" s="284" t="s">
        <v>752</v>
      </c>
      <c r="AA254" s="274"/>
      <c r="AB254" s="274"/>
      <c r="AC254" s="274"/>
      <c r="AD254" s="284" t="s">
        <v>857</v>
      </c>
      <c r="AE254" s="284"/>
      <c r="AF254" s="284"/>
      <c r="AG254" s="284"/>
    </row>
    <row r="255" spans="2:33" ht="13.5">
      <c r="B255" s="289"/>
      <c r="C255" s="283"/>
      <c r="D255" s="283"/>
      <c r="E255" s="285"/>
      <c r="F255" s="285"/>
      <c r="G255" s="285"/>
      <c r="H255" s="198"/>
      <c r="I255" s="198"/>
      <c r="J255" s="198"/>
      <c r="K255" s="198"/>
      <c r="L255" s="198"/>
      <c r="M255" s="194" t="s">
        <v>854</v>
      </c>
      <c r="N255" s="159" t="s">
        <v>903</v>
      </c>
      <c r="O255" s="159">
        <v>2</v>
      </c>
      <c r="P255" s="286"/>
      <c r="Q255" s="156"/>
      <c r="R255" s="156"/>
      <c r="S255" s="157"/>
      <c r="T255" s="156"/>
      <c r="U255" s="156"/>
      <c r="V255" s="286"/>
      <c r="W255" s="286"/>
      <c r="X255" s="286"/>
      <c r="Y255" s="286"/>
      <c r="Z255" s="286"/>
      <c r="AA255" s="275"/>
      <c r="AB255" s="275"/>
      <c r="AC255" s="275"/>
      <c r="AD255" s="290"/>
      <c r="AE255" s="286"/>
      <c r="AF255" s="286"/>
      <c r="AG255" s="286"/>
    </row>
    <row r="256" spans="2:33" ht="13.5">
      <c r="B256" s="289"/>
      <c r="C256" s="283"/>
      <c r="D256" s="283"/>
      <c r="E256" s="285"/>
      <c r="F256" s="285"/>
      <c r="G256" s="285"/>
      <c r="H256" s="198"/>
      <c r="I256" s="198"/>
      <c r="J256" s="198"/>
      <c r="K256" s="198"/>
      <c r="L256" s="198"/>
      <c r="M256" s="158" t="s">
        <v>695</v>
      </c>
      <c r="N256" s="202" t="s">
        <v>904</v>
      </c>
      <c r="O256" s="202">
        <v>5</v>
      </c>
      <c r="P256" s="286"/>
      <c r="Q256" s="156"/>
      <c r="R256" s="156"/>
      <c r="S256" s="157"/>
      <c r="T256" s="156"/>
      <c r="U256" s="156"/>
      <c r="V256" s="286"/>
      <c r="W256" s="286"/>
      <c r="X256" s="286"/>
      <c r="Y256" s="286"/>
      <c r="Z256" s="286"/>
      <c r="AA256" s="275"/>
      <c r="AB256" s="275"/>
      <c r="AC256" s="275"/>
      <c r="AD256" s="290"/>
      <c r="AE256" s="286"/>
      <c r="AF256" s="286"/>
      <c r="AG256" s="286"/>
    </row>
    <row r="257" spans="2:33" ht="13.5">
      <c r="B257" s="289"/>
      <c r="C257" s="283"/>
      <c r="D257" s="283"/>
      <c r="E257" s="287"/>
      <c r="F257" s="287"/>
      <c r="G257" s="287"/>
      <c r="H257" s="199"/>
      <c r="I257" s="199"/>
      <c r="J257" s="199"/>
      <c r="K257" s="199"/>
      <c r="L257" s="199"/>
      <c r="M257" s="160" t="s">
        <v>854</v>
      </c>
      <c r="N257" s="161" t="s">
        <v>905</v>
      </c>
      <c r="O257" s="161">
        <v>3</v>
      </c>
      <c r="P257" s="288"/>
      <c r="Q257" s="156"/>
      <c r="R257" s="156"/>
      <c r="S257" s="157"/>
      <c r="T257" s="156"/>
      <c r="U257" s="156"/>
      <c r="V257" s="288"/>
      <c r="W257" s="288"/>
      <c r="X257" s="288"/>
      <c r="Y257" s="288"/>
      <c r="Z257" s="288"/>
      <c r="AA257" s="276"/>
      <c r="AB257" s="276"/>
      <c r="AC257" s="276"/>
      <c r="AD257" s="291"/>
      <c r="AE257" s="288"/>
      <c r="AF257" s="288"/>
      <c r="AG257" s="288"/>
    </row>
    <row r="258" spans="2:33" ht="13.5">
      <c r="B258" s="289">
        <v>73</v>
      </c>
      <c r="C258" s="283" t="s">
        <v>979</v>
      </c>
      <c r="D258" s="283" t="s">
        <v>980</v>
      </c>
      <c r="E258" s="282" t="s">
        <v>84</v>
      </c>
      <c r="F258" s="282" t="s">
        <v>823</v>
      </c>
      <c r="G258" s="282"/>
      <c r="H258" s="197" t="s">
        <v>853</v>
      </c>
      <c r="I258" s="197" t="s">
        <v>853</v>
      </c>
      <c r="J258" s="197" t="s">
        <v>853</v>
      </c>
      <c r="K258" s="197" t="s">
        <v>853</v>
      </c>
      <c r="L258" s="197" t="s">
        <v>853</v>
      </c>
      <c r="M258" s="154" t="s">
        <v>854</v>
      </c>
      <c r="N258" s="155" t="s">
        <v>977</v>
      </c>
      <c r="O258" s="155">
        <v>3</v>
      </c>
      <c r="P258" s="284" t="s">
        <v>981</v>
      </c>
      <c r="Q258" s="156"/>
      <c r="R258" s="156"/>
      <c r="S258" s="157"/>
      <c r="T258" s="156"/>
      <c r="U258" s="156"/>
      <c r="V258" s="284" t="s">
        <v>752</v>
      </c>
      <c r="W258" s="284" t="s">
        <v>752</v>
      </c>
      <c r="X258" s="284" t="s">
        <v>752</v>
      </c>
      <c r="Y258" s="284" t="s">
        <v>752</v>
      </c>
      <c r="Z258" s="284" t="s">
        <v>752</v>
      </c>
      <c r="AA258" s="274"/>
      <c r="AB258" s="274"/>
      <c r="AC258" s="274"/>
      <c r="AD258" s="284" t="s">
        <v>857</v>
      </c>
      <c r="AE258" s="284"/>
      <c r="AF258" s="284"/>
      <c r="AG258" s="284"/>
    </row>
    <row r="259" spans="2:33" ht="13.5">
      <c r="B259" s="289"/>
      <c r="C259" s="283"/>
      <c r="D259" s="283"/>
      <c r="E259" s="285"/>
      <c r="F259" s="285"/>
      <c r="G259" s="285"/>
      <c r="H259" s="198"/>
      <c r="I259" s="198"/>
      <c r="J259" s="198"/>
      <c r="K259" s="198"/>
      <c r="L259" s="198"/>
      <c r="M259" s="194" t="s">
        <v>854</v>
      </c>
      <c r="N259" s="159" t="s">
        <v>921</v>
      </c>
      <c r="O259" s="159">
        <v>2</v>
      </c>
      <c r="P259" s="286"/>
      <c r="Q259" s="156"/>
      <c r="R259" s="156"/>
      <c r="S259" s="157"/>
      <c r="T259" s="156"/>
      <c r="U259" s="156"/>
      <c r="V259" s="286"/>
      <c r="W259" s="286"/>
      <c r="X259" s="286"/>
      <c r="Y259" s="286"/>
      <c r="Z259" s="286"/>
      <c r="AA259" s="275"/>
      <c r="AB259" s="275"/>
      <c r="AC259" s="275"/>
      <c r="AD259" s="290"/>
      <c r="AE259" s="286"/>
      <c r="AF259" s="286"/>
      <c r="AG259" s="286"/>
    </row>
    <row r="260" spans="2:33" ht="13.5">
      <c r="B260" s="289"/>
      <c r="C260" s="283"/>
      <c r="D260" s="283"/>
      <c r="E260" s="285"/>
      <c r="F260" s="285"/>
      <c r="G260" s="285"/>
      <c r="H260" s="198"/>
      <c r="I260" s="198"/>
      <c r="J260" s="198"/>
      <c r="K260" s="198"/>
      <c r="L260" s="198"/>
      <c r="M260" s="158" t="s">
        <v>695</v>
      </c>
      <c r="N260" s="202" t="s">
        <v>904</v>
      </c>
      <c r="O260" s="202">
        <v>5</v>
      </c>
      <c r="P260" s="286"/>
      <c r="Q260" s="156"/>
      <c r="R260" s="156"/>
      <c r="S260" s="157"/>
      <c r="T260" s="156"/>
      <c r="U260" s="156"/>
      <c r="V260" s="286"/>
      <c r="W260" s="286"/>
      <c r="X260" s="286"/>
      <c r="Y260" s="286"/>
      <c r="Z260" s="286"/>
      <c r="AA260" s="275"/>
      <c r="AB260" s="275"/>
      <c r="AC260" s="275"/>
      <c r="AD260" s="290"/>
      <c r="AE260" s="286"/>
      <c r="AF260" s="286"/>
      <c r="AG260" s="286"/>
    </row>
    <row r="261" spans="2:33" ht="13.5">
      <c r="B261" s="289"/>
      <c r="C261" s="283"/>
      <c r="D261" s="283"/>
      <c r="E261" s="287"/>
      <c r="F261" s="287"/>
      <c r="G261" s="287"/>
      <c r="H261" s="199"/>
      <c r="I261" s="199"/>
      <c r="J261" s="199"/>
      <c r="K261" s="199"/>
      <c r="L261" s="199"/>
      <c r="M261" s="160" t="s">
        <v>854</v>
      </c>
      <c r="N261" s="161" t="s">
        <v>905</v>
      </c>
      <c r="O261" s="161">
        <v>3</v>
      </c>
      <c r="P261" s="288"/>
      <c r="Q261" s="156"/>
      <c r="R261" s="156"/>
      <c r="S261" s="157"/>
      <c r="T261" s="156"/>
      <c r="U261" s="156"/>
      <c r="V261" s="288"/>
      <c r="W261" s="288"/>
      <c r="X261" s="288"/>
      <c r="Y261" s="288"/>
      <c r="Z261" s="288"/>
      <c r="AA261" s="276"/>
      <c r="AB261" s="276"/>
      <c r="AC261" s="276"/>
      <c r="AD261" s="291"/>
      <c r="AE261" s="288"/>
      <c r="AF261" s="288"/>
      <c r="AG261" s="288"/>
    </row>
    <row r="262" spans="2:33" ht="13.5">
      <c r="B262" s="289">
        <v>74</v>
      </c>
      <c r="C262" s="283" t="s">
        <v>982</v>
      </c>
      <c r="D262" s="283" t="s">
        <v>983</v>
      </c>
      <c r="E262" s="282" t="s">
        <v>84</v>
      </c>
      <c r="F262" s="282" t="s">
        <v>825</v>
      </c>
      <c r="G262" s="282"/>
      <c r="H262" s="197" t="s">
        <v>853</v>
      </c>
      <c r="I262" s="197" t="s">
        <v>853</v>
      </c>
      <c r="J262" s="197" t="s">
        <v>853</v>
      </c>
      <c r="K262" s="197" t="s">
        <v>853</v>
      </c>
      <c r="L262" s="197" t="s">
        <v>853</v>
      </c>
      <c r="M262" s="154" t="s">
        <v>854</v>
      </c>
      <c r="N262" s="155" t="s">
        <v>977</v>
      </c>
      <c r="O262" s="155">
        <v>3</v>
      </c>
      <c r="P262" s="284" t="s">
        <v>984</v>
      </c>
      <c r="Q262" s="156"/>
      <c r="R262" s="156"/>
      <c r="S262" s="157"/>
      <c r="T262" s="156"/>
      <c r="U262" s="156"/>
      <c r="V262" s="284" t="s">
        <v>752</v>
      </c>
      <c r="W262" s="284" t="s">
        <v>752</v>
      </c>
      <c r="X262" s="284" t="s">
        <v>752</v>
      </c>
      <c r="Y262" s="284" t="s">
        <v>752</v>
      </c>
      <c r="Z262" s="284" t="s">
        <v>752</v>
      </c>
      <c r="AA262" s="274"/>
      <c r="AB262" s="274"/>
      <c r="AC262" s="274"/>
      <c r="AD262" s="284" t="s">
        <v>857</v>
      </c>
      <c r="AE262" s="284"/>
      <c r="AF262" s="284"/>
      <c r="AG262" s="284"/>
    </row>
    <row r="263" spans="2:33" ht="13.5">
      <c r="B263" s="289"/>
      <c r="C263" s="283"/>
      <c r="D263" s="283"/>
      <c r="E263" s="285"/>
      <c r="F263" s="285"/>
      <c r="G263" s="285"/>
      <c r="H263" s="198"/>
      <c r="I263" s="198"/>
      <c r="J263" s="198"/>
      <c r="K263" s="198"/>
      <c r="L263" s="198"/>
      <c r="M263" s="194" t="s">
        <v>854</v>
      </c>
      <c r="N263" s="159" t="s">
        <v>913</v>
      </c>
      <c r="O263" s="159">
        <v>2</v>
      </c>
      <c r="P263" s="286"/>
      <c r="Q263" s="156"/>
      <c r="R263" s="156"/>
      <c r="S263" s="157"/>
      <c r="T263" s="156"/>
      <c r="U263" s="156"/>
      <c r="V263" s="286"/>
      <c r="W263" s="286"/>
      <c r="X263" s="286"/>
      <c r="Y263" s="286"/>
      <c r="Z263" s="286"/>
      <c r="AA263" s="275"/>
      <c r="AB263" s="275"/>
      <c r="AC263" s="275"/>
      <c r="AD263" s="290"/>
      <c r="AE263" s="286"/>
      <c r="AF263" s="286"/>
      <c r="AG263" s="286"/>
    </row>
    <row r="264" spans="2:33" ht="13.5">
      <c r="B264" s="289"/>
      <c r="C264" s="283"/>
      <c r="D264" s="283"/>
      <c r="E264" s="285"/>
      <c r="F264" s="285"/>
      <c r="G264" s="285"/>
      <c r="H264" s="198"/>
      <c r="I264" s="198"/>
      <c r="J264" s="198"/>
      <c r="K264" s="198"/>
      <c r="L264" s="198"/>
      <c r="M264" s="158" t="s">
        <v>695</v>
      </c>
      <c r="N264" s="202" t="s">
        <v>904</v>
      </c>
      <c r="O264" s="202">
        <v>5</v>
      </c>
      <c r="P264" s="286"/>
      <c r="Q264" s="156"/>
      <c r="R264" s="156"/>
      <c r="S264" s="157"/>
      <c r="T264" s="156"/>
      <c r="U264" s="156"/>
      <c r="V264" s="286"/>
      <c r="W264" s="286"/>
      <c r="X264" s="286"/>
      <c r="Y264" s="286"/>
      <c r="Z264" s="286"/>
      <c r="AA264" s="275"/>
      <c r="AB264" s="275"/>
      <c r="AC264" s="275"/>
      <c r="AD264" s="290"/>
      <c r="AE264" s="286"/>
      <c r="AF264" s="286"/>
      <c r="AG264" s="286"/>
    </row>
    <row r="265" spans="2:33" ht="13.5">
      <c r="B265" s="289"/>
      <c r="C265" s="283"/>
      <c r="D265" s="283"/>
      <c r="E265" s="287"/>
      <c r="F265" s="287"/>
      <c r="G265" s="287"/>
      <c r="H265" s="199"/>
      <c r="I265" s="199"/>
      <c r="J265" s="199"/>
      <c r="K265" s="199"/>
      <c r="L265" s="199"/>
      <c r="M265" s="160" t="s">
        <v>854</v>
      </c>
      <c r="N265" s="161" t="s">
        <v>905</v>
      </c>
      <c r="O265" s="161">
        <v>3</v>
      </c>
      <c r="P265" s="288"/>
      <c r="Q265" s="156"/>
      <c r="R265" s="156"/>
      <c r="S265" s="157"/>
      <c r="T265" s="156"/>
      <c r="U265" s="156"/>
      <c r="V265" s="288"/>
      <c r="W265" s="288"/>
      <c r="X265" s="288"/>
      <c r="Y265" s="288"/>
      <c r="Z265" s="288"/>
      <c r="AA265" s="276"/>
      <c r="AB265" s="276"/>
      <c r="AC265" s="276"/>
      <c r="AD265" s="291"/>
      <c r="AE265" s="288"/>
      <c r="AF265" s="288"/>
      <c r="AG265" s="288"/>
    </row>
    <row r="266" spans="2:33" ht="13.5">
      <c r="B266" s="289">
        <v>75</v>
      </c>
      <c r="C266" s="283" t="s">
        <v>985</v>
      </c>
      <c r="D266" s="283" t="s">
        <v>986</v>
      </c>
      <c r="E266" s="282" t="s">
        <v>84</v>
      </c>
      <c r="F266" s="282" t="s">
        <v>818</v>
      </c>
      <c r="G266" s="282"/>
      <c r="H266" s="197" t="s">
        <v>853</v>
      </c>
      <c r="I266" s="197" t="s">
        <v>853</v>
      </c>
      <c r="J266" s="197" t="s">
        <v>853</v>
      </c>
      <c r="K266" s="197" t="s">
        <v>853</v>
      </c>
      <c r="L266" s="197" t="s">
        <v>853</v>
      </c>
      <c r="M266" s="154" t="s">
        <v>854</v>
      </c>
      <c r="N266" s="155" t="s">
        <v>987</v>
      </c>
      <c r="O266" s="155">
        <v>3</v>
      </c>
      <c r="P266" s="284" t="s">
        <v>988</v>
      </c>
      <c r="Q266" s="156"/>
      <c r="R266" s="156"/>
      <c r="S266" s="157"/>
      <c r="T266" s="156"/>
      <c r="U266" s="156"/>
      <c r="V266" s="284" t="s">
        <v>752</v>
      </c>
      <c r="W266" s="284" t="s">
        <v>752</v>
      </c>
      <c r="X266" s="284" t="s">
        <v>752</v>
      </c>
      <c r="Y266" s="284" t="s">
        <v>752</v>
      </c>
      <c r="Z266" s="284" t="s">
        <v>752</v>
      </c>
      <c r="AA266" s="274"/>
      <c r="AB266" s="274"/>
      <c r="AC266" s="274"/>
      <c r="AD266" s="284" t="s">
        <v>857</v>
      </c>
      <c r="AE266" s="284"/>
      <c r="AF266" s="284"/>
      <c r="AG266" s="284"/>
    </row>
    <row r="267" spans="2:33" ht="13.5">
      <c r="B267" s="289"/>
      <c r="C267" s="283"/>
      <c r="D267" s="283"/>
      <c r="E267" s="285"/>
      <c r="F267" s="285"/>
      <c r="G267" s="285"/>
      <c r="H267" s="198"/>
      <c r="I267" s="198"/>
      <c r="J267" s="198"/>
      <c r="K267" s="198"/>
      <c r="L267" s="198"/>
      <c r="M267" s="194" t="s">
        <v>854</v>
      </c>
      <c r="N267" s="159" t="s">
        <v>903</v>
      </c>
      <c r="O267" s="159">
        <v>2</v>
      </c>
      <c r="P267" s="286"/>
      <c r="Q267" s="156"/>
      <c r="R267" s="156"/>
      <c r="S267" s="157"/>
      <c r="T267" s="156"/>
      <c r="U267" s="156"/>
      <c r="V267" s="286"/>
      <c r="W267" s="286"/>
      <c r="X267" s="286"/>
      <c r="Y267" s="286"/>
      <c r="Z267" s="286"/>
      <c r="AA267" s="275"/>
      <c r="AB267" s="275"/>
      <c r="AC267" s="275"/>
      <c r="AD267" s="290"/>
      <c r="AE267" s="286"/>
      <c r="AF267" s="286"/>
      <c r="AG267" s="286"/>
    </row>
    <row r="268" spans="2:33" ht="13.5">
      <c r="B268" s="289"/>
      <c r="C268" s="283"/>
      <c r="D268" s="283"/>
      <c r="E268" s="285"/>
      <c r="F268" s="285"/>
      <c r="G268" s="285"/>
      <c r="H268" s="198"/>
      <c r="I268" s="198"/>
      <c r="J268" s="198"/>
      <c r="K268" s="198"/>
      <c r="L268" s="198"/>
      <c r="M268" s="158" t="s">
        <v>695</v>
      </c>
      <c r="N268" s="202" t="s">
        <v>904</v>
      </c>
      <c r="O268" s="202">
        <v>5</v>
      </c>
      <c r="P268" s="286"/>
      <c r="Q268" s="156"/>
      <c r="R268" s="156"/>
      <c r="S268" s="157"/>
      <c r="T268" s="156"/>
      <c r="U268" s="156"/>
      <c r="V268" s="286"/>
      <c r="W268" s="286"/>
      <c r="X268" s="286"/>
      <c r="Y268" s="286"/>
      <c r="Z268" s="286"/>
      <c r="AA268" s="275"/>
      <c r="AB268" s="275"/>
      <c r="AC268" s="275"/>
      <c r="AD268" s="290"/>
      <c r="AE268" s="286"/>
      <c r="AF268" s="286"/>
      <c r="AG268" s="286"/>
    </row>
    <row r="269" spans="2:33" ht="13.5">
      <c r="B269" s="289"/>
      <c r="C269" s="283"/>
      <c r="D269" s="283"/>
      <c r="E269" s="287"/>
      <c r="F269" s="287"/>
      <c r="G269" s="287"/>
      <c r="H269" s="199"/>
      <c r="I269" s="199"/>
      <c r="J269" s="199"/>
      <c r="K269" s="199"/>
      <c r="L269" s="199"/>
      <c r="M269" s="160" t="s">
        <v>854</v>
      </c>
      <c r="N269" s="161" t="s">
        <v>905</v>
      </c>
      <c r="O269" s="161">
        <v>3</v>
      </c>
      <c r="P269" s="288"/>
      <c r="Q269" s="156"/>
      <c r="R269" s="156"/>
      <c r="S269" s="157"/>
      <c r="T269" s="156"/>
      <c r="U269" s="156"/>
      <c r="V269" s="288"/>
      <c r="W269" s="288"/>
      <c r="X269" s="288"/>
      <c r="Y269" s="288"/>
      <c r="Z269" s="288"/>
      <c r="AA269" s="276"/>
      <c r="AB269" s="276"/>
      <c r="AC269" s="276"/>
      <c r="AD269" s="291"/>
      <c r="AE269" s="288"/>
      <c r="AF269" s="288"/>
      <c r="AG269" s="288"/>
    </row>
    <row r="270" spans="2:33" ht="13.5">
      <c r="B270" s="289">
        <v>76</v>
      </c>
      <c r="C270" s="283" t="s">
        <v>989</v>
      </c>
      <c r="D270" s="283" t="s">
        <v>990</v>
      </c>
      <c r="E270" s="282" t="s">
        <v>84</v>
      </c>
      <c r="F270" s="282" t="s">
        <v>823</v>
      </c>
      <c r="G270" s="282"/>
      <c r="H270" s="197" t="s">
        <v>853</v>
      </c>
      <c r="I270" s="197" t="s">
        <v>853</v>
      </c>
      <c r="J270" s="197" t="s">
        <v>853</v>
      </c>
      <c r="K270" s="197" t="s">
        <v>853</v>
      </c>
      <c r="L270" s="197" t="s">
        <v>853</v>
      </c>
      <c r="M270" s="154" t="s">
        <v>854</v>
      </c>
      <c r="N270" s="155" t="s">
        <v>987</v>
      </c>
      <c r="O270" s="155">
        <v>3</v>
      </c>
      <c r="P270" s="284" t="s">
        <v>991</v>
      </c>
      <c r="Q270" s="156"/>
      <c r="R270" s="156"/>
      <c r="S270" s="157"/>
      <c r="T270" s="156"/>
      <c r="U270" s="156"/>
      <c r="V270" s="284" t="s">
        <v>752</v>
      </c>
      <c r="W270" s="284" t="s">
        <v>752</v>
      </c>
      <c r="X270" s="284" t="s">
        <v>752</v>
      </c>
      <c r="Y270" s="284" t="s">
        <v>752</v>
      </c>
      <c r="Z270" s="284" t="s">
        <v>752</v>
      </c>
      <c r="AA270" s="274"/>
      <c r="AB270" s="274"/>
      <c r="AC270" s="274"/>
      <c r="AD270" s="284" t="s">
        <v>857</v>
      </c>
      <c r="AE270" s="284"/>
      <c r="AF270" s="284"/>
      <c r="AG270" s="284"/>
    </row>
    <row r="271" spans="2:33" ht="13.5">
      <c r="B271" s="289"/>
      <c r="C271" s="283"/>
      <c r="D271" s="283"/>
      <c r="E271" s="285"/>
      <c r="F271" s="285"/>
      <c r="G271" s="285"/>
      <c r="H271" s="198"/>
      <c r="I271" s="198"/>
      <c r="J271" s="198"/>
      <c r="K271" s="198"/>
      <c r="L271" s="198"/>
      <c r="M271" s="194" t="s">
        <v>854</v>
      </c>
      <c r="N271" s="159" t="s">
        <v>921</v>
      </c>
      <c r="O271" s="159">
        <v>2</v>
      </c>
      <c r="P271" s="286"/>
      <c r="Q271" s="156"/>
      <c r="R271" s="156"/>
      <c r="S271" s="157"/>
      <c r="T271" s="156"/>
      <c r="U271" s="156"/>
      <c r="V271" s="286"/>
      <c r="W271" s="286"/>
      <c r="X271" s="286"/>
      <c r="Y271" s="286"/>
      <c r="Z271" s="286"/>
      <c r="AA271" s="275"/>
      <c r="AB271" s="275"/>
      <c r="AC271" s="275"/>
      <c r="AD271" s="290"/>
      <c r="AE271" s="286"/>
      <c r="AF271" s="286"/>
      <c r="AG271" s="286"/>
    </row>
    <row r="272" spans="2:33" ht="13.5">
      <c r="B272" s="289"/>
      <c r="C272" s="283"/>
      <c r="D272" s="283"/>
      <c r="E272" s="285"/>
      <c r="F272" s="285"/>
      <c r="G272" s="285"/>
      <c r="H272" s="198"/>
      <c r="I272" s="198"/>
      <c r="J272" s="198"/>
      <c r="K272" s="198"/>
      <c r="L272" s="198"/>
      <c r="M272" s="158" t="s">
        <v>695</v>
      </c>
      <c r="N272" s="202" t="s">
        <v>904</v>
      </c>
      <c r="O272" s="202">
        <v>5</v>
      </c>
      <c r="P272" s="286"/>
      <c r="Q272" s="156"/>
      <c r="R272" s="156"/>
      <c r="S272" s="157"/>
      <c r="T272" s="156"/>
      <c r="U272" s="156"/>
      <c r="V272" s="286"/>
      <c r="W272" s="286"/>
      <c r="X272" s="286"/>
      <c r="Y272" s="286"/>
      <c r="Z272" s="286"/>
      <c r="AA272" s="275"/>
      <c r="AB272" s="275"/>
      <c r="AC272" s="275"/>
      <c r="AD272" s="290"/>
      <c r="AE272" s="286"/>
      <c r="AF272" s="286"/>
      <c r="AG272" s="286"/>
    </row>
    <row r="273" spans="2:33" ht="13.5">
      <c r="B273" s="289"/>
      <c r="C273" s="283"/>
      <c r="D273" s="283"/>
      <c r="E273" s="287"/>
      <c r="F273" s="287"/>
      <c r="G273" s="287"/>
      <c r="H273" s="199"/>
      <c r="I273" s="199"/>
      <c r="J273" s="199"/>
      <c r="K273" s="199"/>
      <c r="L273" s="199"/>
      <c r="M273" s="160" t="s">
        <v>854</v>
      </c>
      <c r="N273" s="161" t="s">
        <v>905</v>
      </c>
      <c r="O273" s="161">
        <v>3</v>
      </c>
      <c r="P273" s="288"/>
      <c r="Q273" s="156"/>
      <c r="R273" s="156"/>
      <c r="S273" s="157"/>
      <c r="T273" s="156"/>
      <c r="U273" s="156"/>
      <c r="V273" s="288"/>
      <c r="W273" s="288"/>
      <c r="X273" s="288"/>
      <c r="Y273" s="288"/>
      <c r="Z273" s="288"/>
      <c r="AA273" s="276"/>
      <c r="AB273" s="276"/>
      <c r="AC273" s="276"/>
      <c r="AD273" s="291"/>
      <c r="AE273" s="288"/>
      <c r="AF273" s="288"/>
      <c r="AG273" s="288"/>
    </row>
    <row r="274" spans="2:33" ht="13.5">
      <c r="B274" s="289">
        <v>77</v>
      </c>
      <c r="C274" s="283" t="s">
        <v>992</v>
      </c>
      <c r="D274" s="283" t="s">
        <v>993</v>
      </c>
      <c r="E274" s="282" t="s">
        <v>84</v>
      </c>
      <c r="F274" s="282" t="s">
        <v>825</v>
      </c>
      <c r="G274" s="282"/>
      <c r="H274" s="197" t="s">
        <v>853</v>
      </c>
      <c r="I274" s="197" t="s">
        <v>853</v>
      </c>
      <c r="J274" s="197" t="s">
        <v>853</v>
      </c>
      <c r="K274" s="197" t="s">
        <v>853</v>
      </c>
      <c r="L274" s="197" t="s">
        <v>853</v>
      </c>
      <c r="M274" s="154" t="s">
        <v>854</v>
      </c>
      <c r="N274" s="155" t="s">
        <v>987</v>
      </c>
      <c r="O274" s="155">
        <v>3</v>
      </c>
      <c r="P274" s="284" t="s">
        <v>994</v>
      </c>
      <c r="Q274" s="156"/>
      <c r="R274" s="156"/>
      <c r="S274" s="157"/>
      <c r="T274" s="156"/>
      <c r="U274" s="156"/>
      <c r="V274" s="284" t="s">
        <v>752</v>
      </c>
      <c r="W274" s="284" t="s">
        <v>752</v>
      </c>
      <c r="X274" s="284" t="s">
        <v>752</v>
      </c>
      <c r="Y274" s="284" t="s">
        <v>752</v>
      </c>
      <c r="Z274" s="284" t="s">
        <v>752</v>
      </c>
      <c r="AA274" s="274"/>
      <c r="AB274" s="274"/>
      <c r="AC274" s="274"/>
      <c r="AD274" s="284" t="s">
        <v>857</v>
      </c>
      <c r="AE274" s="284"/>
      <c r="AF274" s="284"/>
      <c r="AG274" s="284"/>
    </row>
    <row r="275" spans="2:33" ht="13.5">
      <c r="B275" s="289"/>
      <c r="C275" s="283"/>
      <c r="D275" s="283"/>
      <c r="E275" s="285"/>
      <c r="F275" s="285"/>
      <c r="G275" s="285"/>
      <c r="H275" s="198"/>
      <c r="I275" s="198"/>
      <c r="J275" s="198"/>
      <c r="K275" s="198"/>
      <c r="L275" s="198"/>
      <c r="M275" s="194" t="s">
        <v>854</v>
      </c>
      <c r="N275" s="159" t="s">
        <v>913</v>
      </c>
      <c r="O275" s="159">
        <v>2</v>
      </c>
      <c r="P275" s="286"/>
      <c r="Q275" s="156"/>
      <c r="R275" s="156"/>
      <c r="S275" s="157"/>
      <c r="T275" s="156"/>
      <c r="U275" s="156"/>
      <c r="V275" s="286"/>
      <c r="W275" s="286"/>
      <c r="X275" s="286"/>
      <c r="Y275" s="286"/>
      <c r="Z275" s="286"/>
      <c r="AA275" s="275"/>
      <c r="AB275" s="275"/>
      <c r="AC275" s="275"/>
      <c r="AD275" s="290"/>
      <c r="AE275" s="286"/>
      <c r="AF275" s="286"/>
      <c r="AG275" s="286"/>
    </row>
    <row r="276" spans="2:33" ht="13.5">
      <c r="B276" s="289"/>
      <c r="C276" s="283"/>
      <c r="D276" s="283"/>
      <c r="E276" s="285"/>
      <c r="F276" s="285"/>
      <c r="G276" s="285"/>
      <c r="H276" s="198"/>
      <c r="I276" s="198"/>
      <c r="J276" s="198"/>
      <c r="K276" s="198"/>
      <c r="L276" s="198"/>
      <c r="M276" s="158" t="s">
        <v>695</v>
      </c>
      <c r="N276" s="202" t="s">
        <v>904</v>
      </c>
      <c r="O276" s="202">
        <v>5</v>
      </c>
      <c r="P276" s="286"/>
      <c r="Q276" s="156"/>
      <c r="R276" s="156"/>
      <c r="S276" s="157"/>
      <c r="T276" s="156"/>
      <c r="U276" s="156"/>
      <c r="V276" s="286"/>
      <c r="W276" s="286"/>
      <c r="X276" s="286"/>
      <c r="Y276" s="286"/>
      <c r="Z276" s="286"/>
      <c r="AA276" s="275"/>
      <c r="AB276" s="275"/>
      <c r="AC276" s="275"/>
      <c r="AD276" s="290"/>
      <c r="AE276" s="286"/>
      <c r="AF276" s="286"/>
      <c r="AG276" s="286"/>
    </row>
    <row r="277" spans="2:33" ht="13.5">
      <c r="B277" s="289"/>
      <c r="C277" s="283"/>
      <c r="D277" s="283"/>
      <c r="E277" s="287"/>
      <c r="F277" s="287"/>
      <c r="G277" s="287"/>
      <c r="H277" s="199"/>
      <c r="I277" s="199"/>
      <c r="J277" s="199"/>
      <c r="K277" s="199"/>
      <c r="L277" s="199"/>
      <c r="M277" s="160" t="s">
        <v>854</v>
      </c>
      <c r="N277" s="161" t="s">
        <v>905</v>
      </c>
      <c r="O277" s="161">
        <v>3</v>
      </c>
      <c r="P277" s="288"/>
      <c r="Q277" s="156"/>
      <c r="R277" s="156"/>
      <c r="S277" s="157"/>
      <c r="T277" s="156"/>
      <c r="U277" s="156"/>
      <c r="V277" s="288"/>
      <c r="W277" s="288"/>
      <c r="X277" s="288"/>
      <c r="Y277" s="288"/>
      <c r="Z277" s="288"/>
      <c r="AA277" s="276"/>
      <c r="AB277" s="276"/>
      <c r="AC277" s="276"/>
      <c r="AD277" s="291"/>
      <c r="AE277" s="288"/>
      <c r="AF277" s="288"/>
      <c r="AG277" s="288"/>
    </row>
    <row r="278" spans="2:33" ht="13.5">
      <c r="B278" s="289">
        <v>78</v>
      </c>
      <c r="C278" s="283" t="s">
        <v>995</v>
      </c>
      <c r="D278" s="283" t="s">
        <v>996</v>
      </c>
      <c r="E278" s="282" t="s">
        <v>84</v>
      </c>
      <c r="F278" s="282" t="s">
        <v>818</v>
      </c>
      <c r="G278" s="282"/>
      <c r="H278" s="197" t="s">
        <v>853</v>
      </c>
      <c r="I278" s="197" t="s">
        <v>853</v>
      </c>
      <c r="J278" s="197" t="s">
        <v>853</v>
      </c>
      <c r="K278" s="197" t="s">
        <v>853</v>
      </c>
      <c r="L278" s="197" t="s">
        <v>853</v>
      </c>
      <c r="M278" s="154" t="s">
        <v>854</v>
      </c>
      <c r="N278" s="155" t="s">
        <v>997</v>
      </c>
      <c r="O278" s="155">
        <v>3</v>
      </c>
      <c r="P278" s="284" t="s">
        <v>998</v>
      </c>
      <c r="Q278" s="156"/>
      <c r="R278" s="156"/>
      <c r="S278" s="157"/>
      <c r="T278" s="156"/>
      <c r="U278" s="156"/>
      <c r="V278" s="284" t="s">
        <v>752</v>
      </c>
      <c r="W278" s="284" t="s">
        <v>752</v>
      </c>
      <c r="X278" s="284" t="s">
        <v>752</v>
      </c>
      <c r="Y278" s="284" t="s">
        <v>752</v>
      </c>
      <c r="Z278" s="284" t="s">
        <v>752</v>
      </c>
      <c r="AA278" s="274"/>
      <c r="AB278" s="274"/>
      <c r="AC278" s="274"/>
      <c r="AD278" s="284" t="s">
        <v>857</v>
      </c>
      <c r="AE278" s="284"/>
      <c r="AF278" s="284"/>
      <c r="AG278" s="284"/>
    </row>
    <row r="279" spans="2:33" ht="13.5">
      <c r="B279" s="289"/>
      <c r="C279" s="283"/>
      <c r="D279" s="283"/>
      <c r="E279" s="285"/>
      <c r="F279" s="285"/>
      <c r="G279" s="285"/>
      <c r="H279" s="198"/>
      <c r="I279" s="198"/>
      <c r="J279" s="198"/>
      <c r="K279" s="198"/>
      <c r="L279" s="198"/>
      <c r="M279" s="194" t="s">
        <v>854</v>
      </c>
      <c r="N279" s="159" t="s">
        <v>903</v>
      </c>
      <c r="O279" s="159">
        <v>2</v>
      </c>
      <c r="P279" s="286"/>
      <c r="Q279" s="156"/>
      <c r="R279" s="156"/>
      <c r="S279" s="157"/>
      <c r="T279" s="156"/>
      <c r="U279" s="156"/>
      <c r="V279" s="286"/>
      <c r="W279" s="286"/>
      <c r="X279" s="286"/>
      <c r="Y279" s="286"/>
      <c r="Z279" s="286"/>
      <c r="AA279" s="275"/>
      <c r="AB279" s="275"/>
      <c r="AC279" s="275"/>
      <c r="AD279" s="290"/>
      <c r="AE279" s="286"/>
      <c r="AF279" s="286"/>
      <c r="AG279" s="286"/>
    </row>
    <row r="280" spans="2:33" ht="13.5">
      <c r="B280" s="289"/>
      <c r="C280" s="283"/>
      <c r="D280" s="283"/>
      <c r="E280" s="285"/>
      <c r="F280" s="285"/>
      <c r="G280" s="285"/>
      <c r="H280" s="198"/>
      <c r="I280" s="198"/>
      <c r="J280" s="198"/>
      <c r="K280" s="198"/>
      <c r="L280" s="198"/>
      <c r="M280" s="158" t="s">
        <v>695</v>
      </c>
      <c r="N280" s="202" t="s">
        <v>904</v>
      </c>
      <c r="O280" s="202">
        <v>5</v>
      </c>
      <c r="P280" s="286"/>
      <c r="Q280" s="156"/>
      <c r="R280" s="156"/>
      <c r="S280" s="157"/>
      <c r="T280" s="156"/>
      <c r="U280" s="156"/>
      <c r="V280" s="286"/>
      <c r="W280" s="286"/>
      <c r="X280" s="286"/>
      <c r="Y280" s="286"/>
      <c r="Z280" s="286"/>
      <c r="AA280" s="275"/>
      <c r="AB280" s="275"/>
      <c r="AC280" s="275"/>
      <c r="AD280" s="290"/>
      <c r="AE280" s="286"/>
      <c r="AF280" s="286"/>
      <c r="AG280" s="286"/>
    </row>
    <row r="281" spans="2:33" ht="13.5">
      <c r="B281" s="289"/>
      <c r="C281" s="283"/>
      <c r="D281" s="283"/>
      <c r="E281" s="287"/>
      <c r="F281" s="287"/>
      <c r="G281" s="287"/>
      <c r="H281" s="199"/>
      <c r="I281" s="199"/>
      <c r="J281" s="199"/>
      <c r="K281" s="199"/>
      <c r="L281" s="199"/>
      <c r="M281" s="160" t="s">
        <v>854</v>
      </c>
      <c r="N281" s="161" t="s">
        <v>905</v>
      </c>
      <c r="O281" s="161">
        <v>3</v>
      </c>
      <c r="P281" s="288"/>
      <c r="Q281" s="156"/>
      <c r="R281" s="156"/>
      <c r="S281" s="157"/>
      <c r="T281" s="156"/>
      <c r="U281" s="156"/>
      <c r="V281" s="288"/>
      <c r="W281" s="288"/>
      <c r="X281" s="288"/>
      <c r="Y281" s="288"/>
      <c r="Z281" s="288"/>
      <c r="AA281" s="276"/>
      <c r="AB281" s="276"/>
      <c r="AC281" s="276"/>
      <c r="AD281" s="291"/>
      <c r="AE281" s="288"/>
      <c r="AF281" s="288"/>
      <c r="AG281" s="288"/>
    </row>
    <row r="282" spans="2:33" ht="13.5">
      <c r="B282" s="289">
        <v>79</v>
      </c>
      <c r="C282" s="283" t="s">
        <v>999</v>
      </c>
      <c r="D282" s="283" t="s">
        <v>1000</v>
      </c>
      <c r="E282" s="282" t="s">
        <v>84</v>
      </c>
      <c r="F282" s="282" t="s">
        <v>823</v>
      </c>
      <c r="G282" s="282"/>
      <c r="H282" s="197" t="s">
        <v>853</v>
      </c>
      <c r="I282" s="197" t="s">
        <v>853</v>
      </c>
      <c r="J282" s="197" t="s">
        <v>853</v>
      </c>
      <c r="K282" s="197" t="s">
        <v>853</v>
      </c>
      <c r="L282" s="197" t="s">
        <v>853</v>
      </c>
      <c r="M282" s="154" t="s">
        <v>854</v>
      </c>
      <c r="N282" s="155" t="s">
        <v>997</v>
      </c>
      <c r="O282" s="155">
        <v>3</v>
      </c>
      <c r="P282" s="284" t="s">
        <v>1001</v>
      </c>
      <c r="Q282" s="156"/>
      <c r="R282" s="156"/>
      <c r="S282" s="157"/>
      <c r="T282" s="156"/>
      <c r="U282" s="156"/>
      <c r="V282" s="284" t="s">
        <v>752</v>
      </c>
      <c r="W282" s="284" t="s">
        <v>752</v>
      </c>
      <c r="X282" s="284" t="s">
        <v>752</v>
      </c>
      <c r="Y282" s="284" t="s">
        <v>752</v>
      </c>
      <c r="Z282" s="284" t="s">
        <v>752</v>
      </c>
      <c r="AA282" s="274"/>
      <c r="AB282" s="274"/>
      <c r="AC282" s="274"/>
      <c r="AD282" s="284" t="s">
        <v>857</v>
      </c>
      <c r="AE282" s="284"/>
      <c r="AF282" s="284"/>
      <c r="AG282" s="284"/>
    </row>
    <row r="283" spans="2:33" ht="13.5">
      <c r="B283" s="289"/>
      <c r="C283" s="283"/>
      <c r="D283" s="283"/>
      <c r="E283" s="285"/>
      <c r="F283" s="285"/>
      <c r="G283" s="285"/>
      <c r="H283" s="198"/>
      <c r="I283" s="198"/>
      <c r="J283" s="198"/>
      <c r="K283" s="198"/>
      <c r="L283" s="198"/>
      <c r="M283" s="194" t="s">
        <v>854</v>
      </c>
      <c r="N283" s="159" t="s">
        <v>921</v>
      </c>
      <c r="O283" s="159">
        <v>2</v>
      </c>
      <c r="P283" s="286"/>
      <c r="Q283" s="156"/>
      <c r="R283" s="156"/>
      <c r="S283" s="157"/>
      <c r="T283" s="156"/>
      <c r="U283" s="156"/>
      <c r="V283" s="286"/>
      <c r="W283" s="286"/>
      <c r="X283" s="286"/>
      <c r="Y283" s="286"/>
      <c r="Z283" s="286"/>
      <c r="AA283" s="275"/>
      <c r="AB283" s="275"/>
      <c r="AC283" s="275"/>
      <c r="AD283" s="290"/>
      <c r="AE283" s="286"/>
      <c r="AF283" s="286"/>
      <c r="AG283" s="286"/>
    </row>
    <row r="284" spans="2:33" ht="13.5">
      <c r="B284" s="289"/>
      <c r="C284" s="283"/>
      <c r="D284" s="283"/>
      <c r="E284" s="285"/>
      <c r="F284" s="285"/>
      <c r="G284" s="285"/>
      <c r="H284" s="198"/>
      <c r="I284" s="198"/>
      <c r="J284" s="198"/>
      <c r="K284" s="198"/>
      <c r="L284" s="198"/>
      <c r="M284" s="158" t="s">
        <v>695</v>
      </c>
      <c r="N284" s="202" t="s">
        <v>904</v>
      </c>
      <c r="O284" s="202">
        <v>5</v>
      </c>
      <c r="P284" s="286"/>
      <c r="Q284" s="156"/>
      <c r="R284" s="156"/>
      <c r="S284" s="157"/>
      <c r="T284" s="156"/>
      <c r="U284" s="156"/>
      <c r="V284" s="286"/>
      <c r="W284" s="286"/>
      <c r="X284" s="286"/>
      <c r="Y284" s="286"/>
      <c r="Z284" s="286"/>
      <c r="AA284" s="275"/>
      <c r="AB284" s="275"/>
      <c r="AC284" s="275"/>
      <c r="AD284" s="290"/>
      <c r="AE284" s="286"/>
      <c r="AF284" s="286"/>
      <c r="AG284" s="286"/>
    </row>
    <row r="285" spans="2:33" ht="13.5">
      <c r="B285" s="289"/>
      <c r="C285" s="283"/>
      <c r="D285" s="283"/>
      <c r="E285" s="287"/>
      <c r="F285" s="287"/>
      <c r="G285" s="287"/>
      <c r="H285" s="199"/>
      <c r="I285" s="199"/>
      <c r="J285" s="199"/>
      <c r="K285" s="199"/>
      <c r="L285" s="199"/>
      <c r="M285" s="160" t="s">
        <v>854</v>
      </c>
      <c r="N285" s="161" t="s">
        <v>905</v>
      </c>
      <c r="O285" s="161">
        <v>3</v>
      </c>
      <c r="P285" s="288"/>
      <c r="Q285" s="156"/>
      <c r="R285" s="156"/>
      <c r="S285" s="157"/>
      <c r="T285" s="156"/>
      <c r="U285" s="156"/>
      <c r="V285" s="288"/>
      <c r="W285" s="288"/>
      <c r="X285" s="288"/>
      <c r="Y285" s="288"/>
      <c r="Z285" s="288"/>
      <c r="AA285" s="276"/>
      <c r="AB285" s="276"/>
      <c r="AC285" s="276"/>
      <c r="AD285" s="291"/>
      <c r="AE285" s="288"/>
      <c r="AF285" s="288"/>
      <c r="AG285" s="288"/>
    </row>
    <row r="286" spans="2:33" ht="13.5">
      <c r="B286" s="289">
        <v>80</v>
      </c>
      <c r="C286" s="283" t="s">
        <v>1002</v>
      </c>
      <c r="D286" s="283" t="s">
        <v>1003</v>
      </c>
      <c r="E286" s="282" t="s">
        <v>84</v>
      </c>
      <c r="F286" s="282" t="s">
        <v>825</v>
      </c>
      <c r="G286" s="282"/>
      <c r="H286" s="197" t="s">
        <v>853</v>
      </c>
      <c r="I286" s="197" t="s">
        <v>853</v>
      </c>
      <c r="J286" s="197" t="s">
        <v>853</v>
      </c>
      <c r="K286" s="197" t="s">
        <v>853</v>
      </c>
      <c r="L286" s="197" t="s">
        <v>853</v>
      </c>
      <c r="M286" s="154" t="s">
        <v>854</v>
      </c>
      <c r="N286" s="155" t="s">
        <v>997</v>
      </c>
      <c r="O286" s="155">
        <v>3</v>
      </c>
      <c r="P286" s="284" t="s">
        <v>1004</v>
      </c>
      <c r="Q286" s="156"/>
      <c r="R286" s="156"/>
      <c r="S286" s="157"/>
      <c r="T286" s="156"/>
      <c r="U286" s="156"/>
      <c r="V286" s="284" t="s">
        <v>752</v>
      </c>
      <c r="W286" s="284" t="s">
        <v>752</v>
      </c>
      <c r="X286" s="284" t="s">
        <v>752</v>
      </c>
      <c r="Y286" s="284" t="s">
        <v>752</v>
      </c>
      <c r="Z286" s="284" t="s">
        <v>752</v>
      </c>
      <c r="AA286" s="274"/>
      <c r="AB286" s="274"/>
      <c r="AC286" s="274"/>
      <c r="AD286" s="284" t="s">
        <v>857</v>
      </c>
      <c r="AE286" s="284"/>
      <c r="AF286" s="284"/>
      <c r="AG286" s="284"/>
    </row>
    <row r="287" spans="2:33" ht="13.5">
      <c r="B287" s="289"/>
      <c r="C287" s="283"/>
      <c r="D287" s="283"/>
      <c r="E287" s="285"/>
      <c r="F287" s="285"/>
      <c r="G287" s="285"/>
      <c r="H287" s="198"/>
      <c r="I287" s="198"/>
      <c r="J287" s="198"/>
      <c r="K287" s="198"/>
      <c r="L287" s="198"/>
      <c r="M287" s="194" t="s">
        <v>854</v>
      </c>
      <c r="N287" s="159" t="s">
        <v>913</v>
      </c>
      <c r="O287" s="159">
        <v>2</v>
      </c>
      <c r="P287" s="286"/>
      <c r="Q287" s="156"/>
      <c r="R287" s="156"/>
      <c r="S287" s="157"/>
      <c r="T287" s="156"/>
      <c r="U287" s="156"/>
      <c r="V287" s="286"/>
      <c r="W287" s="286"/>
      <c r="X287" s="286"/>
      <c r="Y287" s="286"/>
      <c r="Z287" s="286"/>
      <c r="AA287" s="275"/>
      <c r="AB287" s="275"/>
      <c r="AC287" s="275"/>
      <c r="AD287" s="290"/>
      <c r="AE287" s="286"/>
      <c r="AF287" s="286"/>
      <c r="AG287" s="286"/>
    </row>
    <row r="288" spans="2:33" ht="13.5">
      <c r="B288" s="289"/>
      <c r="C288" s="283"/>
      <c r="D288" s="283"/>
      <c r="E288" s="285"/>
      <c r="F288" s="285"/>
      <c r="G288" s="285"/>
      <c r="H288" s="198"/>
      <c r="I288" s="198"/>
      <c r="J288" s="198"/>
      <c r="K288" s="198"/>
      <c r="L288" s="198"/>
      <c r="M288" s="158" t="s">
        <v>695</v>
      </c>
      <c r="N288" s="202" t="s">
        <v>904</v>
      </c>
      <c r="O288" s="202">
        <v>5</v>
      </c>
      <c r="P288" s="286"/>
      <c r="Q288" s="156"/>
      <c r="R288" s="156"/>
      <c r="S288" s="157"/>
      <c r="T288" s="156"/>
      <c r="U288" s="156"/>
      <c r="V288" s="286"/>
      <c r="W288" s="286"/>
      <c r="X288" s="286"/>
      <c r="Y288" s="286"/>
      <c r="Z288" s="286"/>
      <c r="AA288" s="275"/>
      <c r="AB288" s="275"/>
      <c r="AC288" s="275"/>
      <c r="AD288" s="290"/>
      <c r="AE288" s="286"/>
      <c r="AF288" s="286"/>
      <c r="AG288" s="286"/>
    </row>
    <row r="289" spans="2:33" ht="13.5">
      <c r="B289" s="289"/>
      <c r="C289" s="283"/>
      <c r="D289" s="283"/>
      <c r="E289" s="287"/>
      <c r="F289" s="287"/>
      <c r="G289" s="287"/>
      <c r="H289" s="199"/>
      <c r="I289" s="199"/>
      <c r="J289" s="199"/>
      <c r="K289" s="199"/>
      <c r="L289" s="199"/>
      <c r="M289" s="160" t="s">
        <v>854</v>
      </c>
      <c r="N289" s="161" t="s">
        <v>905</v>
      </c>
      <c r="O289" s="161">
        <v>3</v>
      </c>
      <c r="P289" s="288"/>
      <c r="Q289" s="156"/>
      <c r="R289" s="156"/>
      <c r="S289" s="157"/>
      <c r="T289" s="156"/>
      <c r="U289" s="156"/>
      <c r="V289" s="288"/>
      <c r="W289" s="288"/>
      <c r="X289" s="288"/>
      <c r="Y289" s="288"/>
      <c r="Z289" s="288"/>
      <c r="AA289" s="276"/>
      <c r="AB289" s="276"/>
      <c r="AC289" s="276"/>
      <c r="AD289" s="291"/>
      <c r="AE289" s="288"/>
      <c r="AF289" s="288"/>
      <c r="AG289" s="288"/>
    </row>
    <row r="290" spans="2:33" ht="13.5">
      <c r="B290" s="289">
        <v>81</v>
      </c>
      <c r="C290" s="283" t="s">
        <v>1005</v>
      </c>
      <c r="D290" s="283" t="s">
        <v>1006</v>
      </c>
      <c r="E290" s="282" t="s">
        <v>84</v>
      </c>
      <c r="F290" s="282" t="s">
        <v>818</v>
      </c>
      <c r="G290" s="282"/>
      <c r="H290" s="197" t="s">
        <v>853</v>
      </c>
      <c r="I290" s="197" t="s">
        <v>853</v>
      </c>
      <c r="J290" s="197" t="s">
        <v>853</v>
      </c>
      <c r="K290" s="197" t="s">
        <v>853</v>
      </c>
      <c r="L290" s="197" t="s">
        <v>853</v>
      </c>
      <c r="M290" s="154" t="s">
        <v>854</v>
      </c>
      <c r="N290" s="155" t="s">
        <v>1007</v>
      </c>
      <c r="O290" s="155">
        <v>3</v>
      </c>
      <c r="P290" s="284" t="s">
        <v>1008</v>
      </c>
      <c r="Q290" s="156"/>
      <c r="R290" s="156"/>
      <c r="S290" s="157"/>
      <c r="T290" s="156"/>
      <c r="U290" s="156"/>
      <c r="V290" s="284" t="s">
        <v>752</v>
      </c>
      <c r="W290" s="284" t="s">
        <v>752</v>
      </c>
      <c r="X290" s="284" t="s">
        <v>752</v>
      </c>
      <c r="Y290" s="284" t="s">
        <v>752</v>
      </c>
      <c r="Z290" s="284" t="s">
        <v>752</v>
      </c>
      <c r="AA290" s="274"/>
      <c r="AB290" s="274"/>
      <c r="AC290" s="274"/>
      <c r="AD290" s="284" t="s">
        <v>857</v>
      </c>
      <c r="AE290" s="284"/>
      <c r="AF290" s="284"/>
      <c r="AG290" s="284"/>
    </row>
    <row r="291" spans="2:33" ht="13.5">
      <c r="B291" s="289"/>
      <c r="C291" s="283"/>
      <c r="D291" s="283"/>
      <c r="E291" s="285"/>
      <c r="F291" s="285"/>
      <c r="G291" s="285"/>
      <c r="H291" s="198"/>
      <c r="I291" s="198"/>
      <c r="J291" s="198"/>
      <c r="K291" s="198"/>
      <c r="L291" s="198"/>
      <c r="M291" s="194" t="s">
        <v>854</v>
      </c>
      <c r="N291" s="159" t="s">
        <v>903</v>
      </c>
      <c r="O291" s="159">
        <v>2</v>
      </c>
      <c r="P291" s="286"/>
      <c r="Q291" s="156"/>
      <c r="R291" s="156"/>
      <c r="S291" s="157"/>
      <c r="T291" s="156"/>
      <c r="U291" s="156"/>
      <c r="V291" s="286"/>
      <c r="W291" s="286"/>
      <c r="X291" s="286"/>
      <c r="Y291" s="286"/>
      <c r="Z291" s="286"/>
      <c r="AA291" s="275"/>
      <c r="AB291" s="275"/>
      <c r="AC291" s="275"/>
      <c r="AD291" s="290"/>
      <c r="AE291" s="286"/>
      <c r="AF291" s="286"/>
      <c r="AG291" s="286"/>
    </row>
    <row r="292" spans="2:33" ht="13.5">
      <c r="B292" s="289"/>
      <c r="C292" s="283"/>
      <c r="D292" s="283"/>
      <c r="E292" s="285"/>
      <c r="F292" s="285"/>
      <c r="G292" s="285"/>
      <c r="H292" s="198"/>
      <c r="I292" s="198"/>
      <c r="J292" s="198"/>
      <c r="K292" s="198"/>
      <c r="L292" s="198"/>
      <c r="M292" s="158" t="s">
        <v>695</v>
      </c>
      <c r="N292" s="202" t="s">
        <v>904</v>
      </c>
      <c r="O292" s="202">
        <v>5</v>
      </c>
      <c r="P292" s="286"/>
      <c r="Q292" s="156"/>
      <c r="R292" s="156"/>
      <c r="S292" s="157"/>
      <c r="T292" s="156"/>
      <c r="U292" s="156"/>
      <c r="V292" s="286"/>
      <c r="W292" s="286"/>
      <c r="X292" s="286"/>
      <c r="Y292" s="286"/>
      <c r="Z292" s="286"/>
      <c r="AA292" s="275"/>
      <c r="AB292" s="275"/>
      <c r="AC292" s="275"/>
      <c r="AD292" s="290"/>
      <c r="AE292" s="286"/>
      <c r="AF292" s="286"/>
      <c r="AG292" s="286"/>
    </row>
    <row r="293" spans="2:33" ht="13.5">
      <c r="B293" s="289"/>
      <c r="C293" s="283"/>
      <c r="D293" s="283"/>
      <c r="E293" s="287"/>
      <c r="F293" s="287"/>
      <c r="G293" s="287"/>
      <c r="H293" s="199"/>
      <c r="I293" s="199"/>
      <c r="J293" s="199"/>
      <c r="K293" s="199"/>
      <c r="L293" s="199"/>
      <c r="M293" s="160" t="s">
        <v>854</v>
      </c>
      <c r="N293" s="161" t="s">
        <v>905</v>
      </c>
      <c r="O293" s="161">
        <v>3</v>
      </c>
      <c r="P293" s="288"/>
      <c r="Q293" s="156"/>
      <c r="R293" s="156"/>
      <c r="S293" s="157"/>
      <c r="T293" s="156"/>
      <c r="U293" s="156"/>
      <c r="V293" s="288"/>
      <c r="W293" s="288"/>
      <c r="X293" s="288"/>
      <c r="Y293" s="288"/>
      <c r="Z293" s="288"/>
      <c r="AA293" s="276"/>
      <c r="AB293" s="276"/>
      <c r="AC293" s="276"/>
      <c r="AD293" s="291"/>
      <c r="AE293" s="288"/>
      <c r="AF293" s="288"/>
      <c r="AG293" s="288"/>
    </row>
    <row r="294" spans="2:33" ht="13.5">
      <c r="B294" s="289">
        <v>82</v>
      </c>
      <c r="C294" s="283" t="s">
        <v>1009</v>
      </c>
      <c r="D294" s="283" t="s">
        <v>1010</v>
      </c>
      <c r="E294" s="282" t="s">
        <v>84</v>
      </c>
      <c r="F294" s="282" t="s">
        <v>823</v>
      </c>
      <c r="G294" s="282"/>
      <c r="H294" s="197" t="s">
        <v>853</v>
      </c>
      <c r="I294" s="197" t="s">
        <v>853</v>
      </c>
      <c r="J294" s="197" t="s">
        <v>853</v>
      </c>
      <c r="K294" s="197" t="s">
        <v>853</v>
      </c>
      <c r="L294" s="197" t="s">
        <v>853</v>
      </c>
      <c r="M294" s="154" t="s">
        <v>854</v>
      </c>
      <c r="N294" s="155" t="s">
        <v>1007</v>
      </c>
      <c r="O294" s="155">
        <v>3</v>
      </c>
      <c r="P294" s="284" t="s">
        <v>1011</v>
      </c>
      <c r="Q294" s="156"/>
      <c r="R294" s="156"/>
      <c r="S294" s="157"/>
      <c r="T294" s="156"/>
      <c r="U294" s="156"/>
      <c r="V294" s="284" t="s">
        <v>752</v>
      </c>
      <c r="W294" s="284" t="s">
        <v>752</v>
      </c>
      <c r="X294" s="284" t="s">
        <v>752</v>
      </c>
      <c r="Y294" s="284" t="s">
        <v>752</v>
      </c>
      <c r="Z294" s="284" t="s">
        <v>752</v>
      </c>
      <c r="AA294" s="274"/>
      <c r="AB294" s="274"/>
      <c r="AC294" s="274"/>
      <c r="AD294" s="284" t="s">
        <v>857</v>
      </c>
      <c r="AE294" s="284"/>
      <c r="AF294" s="284"/>
      <c r="AG294" s="284"/>
    </row>
    <row r="295" spans="2:33" ht="13.5">
      <c r="B295" s="289"/>
      <c r="C295" s="283"/>
      <c r="D295" s="283"/>
      <c r="E295" s="285"/>
      <c r="F295" s="285"/>
      <c r="G295" s="285"/>
      <c r="H295" s="198"/>
      <c r="I295" s="198"/>
      <c r="J295" s="198"/>
      <c r="K295" s="198"/>
      <c r="L295" s="198"/>
      <c r="M295" s="194" t="s">
        <v>854</v>
      </c>
      <c r="N295" s="159" t="s">
        <v>921</v>
      </c>
      <c r="O295" s="159">
        <v>2</v>
      </c>
      <c r="P295" s="286"/>
      <c r="Q295" s="156"/>
      <c r="R295" s="156"/>
      <c r="S295" s="157"/>
      <c r="T295" s="156"/>
      <c r="U295" s="156"/>
      <c r="V295" s="286"/>
      <c r="W295" s="286"/>
      <c r="X295" s="286"/>
      <c r="Y295" s="286"/>
      <c r="Z295" s="286"/>
      <c r="AA295" s="275"/>
      <c r="AB295" s="275"/>
      <c r="AC295" s="275"/>
      <c r="AD295" s="290"/>
      <c r="AE295" s="286"/>
      <c r="AF295" s="286"/>
      <c r="AG295" s="286"/>
    </row>
    <row r="296" spans="2:33" ht="13.5">
      <c r="B296" s="289"/>
      <c r="C296" s="283"/>
      <c r="D296" s="283"/>
      <c r="E296" s="285"/>
      <c r="F296" s="285"/>
      <c r="G296" s="285"/>
      <c r="H296" s="198"/>
      <c r="I296" s="198"/>
      <c r="J296" s="198"/>
      <c r="K296" s="198"/>
      <c r="L296" s="198"/>
      <c r="M296" s="158" t="s">
        <v>695</v>
      </c>
      <c r="N296" s="202" t="s">
        <v>904</v>
      </c>
      <c r="O296" s="202">
        <v>5</v>
      </c>
      <c r="P296" s="286"/>
      <c r="Q296" s="156"/>
      <c r="R296" s="156"/>
      <c r="S296" s="157"/>
      <c r="T296" s="156"/>
      <c r="U296" s="156"/>
      <c r="V296" s="286"/>
      <c r="W296" s="286"/>
      <c r="X296" s="286"/>
      <c r="Y296" s="286"/>
      <c r="Z296" s="286"/>
      <c r="AA296" s="275"/>
      <c r="AB296" s="275"/>
      <c r="AC296" s="275"/>
      <c r="AD296" s="290"/>
      <c r="AE296" s="286"/>
      <c r="AF296" s="286"/>
      <c r="AG296" s="286"/>
    </row>
    <row r="297" spans="2:33" ht="13.5">
      <c r="B297" s="289"/>
      <c r="C297" s="283"/>
      <c r="D297" s="283"/>
      <c r="E297" s="287"/>
      <c r="F297" s="287"/>
      <c r="G297" s="287"/>
      <c r="H297" s="199"/>
      <c r="I297" s="199"/>
      <c r="J297" s="199"/>
      <c r="K297" s="199"/>
      <c r="L297" s="199"/>
      <c r="M297" s="160" t="s">
        <v>854</v>
      </c>
      <c r="N297" s="161" t="s">
        <v>905</v>
      </c>
      <c r="O297" s="161">
        <v>3</v>
      </c>
      <c r="P297" s="288"/>
      <c r="Q297" s="156"/>
      <c r="R297" s="156"/>
      <c r="S297" s="157"/>
      <c r="T297" s="156"/>
      <c r="U297" s="156"/>
      <c r="V297" s="288"/>
      <c r="W297" s="288"/>
      <c r="X297" s="288"/>
      <c r="Y297" s="288"/>
      <c r="Z297" s="288"/>
      <c r="AA297" s="276"/>
      <c r="AB297" s="276"/>
      <c r="AC297" s="276"/>
      <c r="AD297" s="291"/>
      <c r="AE297" s="288"/>
      <c r="AF297" s="288"/>
      <c r="AG297" s="288"/>
    </row>
    <row r="298" spans="2:33" ht="13.5">
      <c r="B298" s="289">
        <v>83</v>
      </c>
      <c r="C298" s="283" t="s">
        <v>1012</v>
      </c>
      <c r="D298" s="283" t="s">
        <v>1013</v>
      </c>
      <c r="E298" s="282" t="s">
        <v>84</v>
      </c>
      <c r="F298" s="282" t="s">
        <v>825</v>
      </c>
      <c r="G298" s="282"/>
      <c r="H298" s="197" t="s">
        <v>853</v>
      </c>
      <c r="I298" s="197" t="s">
        <v>853</v>
      </c>
      <c r="J298" s="197" t="s">
        <v>853</v>
      </c>
      <c r="K298" s="197" t="s">
        <v>853</v>
      </c>
      <c r="L298" s="197" t="s">
        <v>853</v>
      </c>
      <c r="M298" s="154" t="s">
        <v>854</v>
      </c>
      <c r="N298" s="155" t="s">
        <v>1007</v>
      </c>
      <c r="O298" s="155">
        <v>3</v>
      </c>
      <c r="P298" s="284" t="s">
        <v>1014</v>
      </c>
      <c r="Q298" s="156"/>
      <c r="R298" s="156"/>
      <c r="S298" s="157"/>
      <c r="T298" s="156"/>
      <c r="U298" s="156"/>
      <c r="V298" s="284" t="s">
        <v>752</v>
      </c>
      <c r="W298" s="284" t="s">
        <v>752</v>
      </c>
      <c r="X298" s="284" t="s">
        <v>752</v>
      </c>
      <c r="Y298" s="284" t="s">
        <v>752</v>
      </c>
      <c r="Z298" s="284" t="s">
        <v>752</v>
      </c>
      <c r="AA298" s="274"/>
      <c r="AB298" s="274"/>
      <c r="AC298" s="274"/>
      <c r="AD298" s="284" t="s">
        <v>857</v>
      </c>
      <c r="AE298" s="284"/>
      <c r="AF298" s="284"/>
      <c r="AG298" s="284"/>
    </row>
    <row r="299" spans="2:33" ht="13.5">
      <c r="B299" s="289"/>
      <c r="C299" s="283"/>
      <c r="D299" s="283"/>
      <c r="E299" s="285"/>
      <c r="F299" s="285"/>
      <c r="G299" s="285"/>
      <c r="H299" s="198"/>
      <c r="I299" s="198"/>
      <c r="J299" s="198"/>
      <c r="K299" s="198"/>
      <c r="L299" s="198"/>
      <c r="M299" s="194" t="s">
        <v>854</v>
      </c>
      <c r="N299" s="159" t="s">
        <v>913</v>
      </c>
      <c r="O299" s="159">
        <v>2</v>
      </c>
      <c r="P299" s="286"/>
      <c r="Q299" s="156"/>
      <c r="R299" s="156"/>
      <c r="S299" s="157"/>
      <c r="T299" s="156"/>
      <c r="U299" s="156"/>
      <c r="V299" s="286"/>
      <c r="W299" s="286"/>
      <c r="X299" s="286"/>
      <c r="Y299" s="286"/>
      <c r="Z299" s="286"/>
      <c r="AA299" s="275"/>
      <c r="AB299" s="275"/>
      <c r="AC299" s="275"/>
      <c r="AD299" s="290"/>
      <c r="AE299" s="286"/>
      <c r="AF299" s="286"/>
      <c r="AG299" s="286"/>
    </row>
    <row r="300" spans="2:33" ht="13.5">
      <c r="B300" s="289"/>
      <c r="C300" s="283"/>
      <c r="D300" s="283"/>
      <c r="E300" s="285"/>
      <c r="F300" s="285"/>
      <c r="G300" s="285"/>
      <c r="H300" s="198"/>
      <c r="I300" s="198"/>
      <c r="J300" s="198"/>
      <c r="K300" s="198"/>
      <c r="L300" s="198"/>
      <c r="M300" s="158" t="s">
        <v>695</v>
      </c>
      <c r="N300" s="202" t="s">
        <v>904</v>
      </c>
      <c r="O300" s="202">
        <v>5</v>
      </c>
      <c r="P300" s="286"/>
      <c r="Q300" s="156"/>
      <c r="R300" s="156"/>
      <c r="S300" s="157"/>
      <c r="T300" s="156"/>
      <c r="U300" s="156"/>
      <c r="V300" s="286"/>
      <c r="W300" s="286"/>
      <c r="X300" s="286"/>
      <c r="Y300" s="286"/>
      <c r="Z300" s="286"/>
      <c r="AA300" s="275"/>
      <c r="AB300" s="275"/>
      <c r="AC300" s="275"/>
      <c r="AD300" s="290"/>
      <c r="AE300" s="286"/>
      <c r="AF300" s="286"/>
      <c r="AG300" s="286"/>
    </row>
    <row r="301" spans="2:33" ht="13.5">
      <c r="B301" s="289"/>
      <c r="C301" s="283"/>
      <c r="D301" s="283"/>
      <c r="E301" s="287"/>
      <c r="F301" s="287"/>
      <c r="G301" s="287"/>
      <c r="H301" s="199"/>
      <c r="I301" s="199"/>
      <c r="J301" s="199"/>
      <c r="K301" s="199"/>
      <c r="L301" s="199"/>
      <c r="M301" s="160" t="s">
        <v>854</v>
      </c>
      <c r="N301" s="161" t="s">
        <v>905</v>
      </c>
      <c r="O301" s="161">
        <v>3</v>
      </c>
      <c r="P301" s="288"/>
      <c r="Q301" s="156"/>
      <c r="R301" s="156"/>
      <c r="S301" s="157"/>
      <c r="T301" s="156"/>
      <c r="U301" s="156"/>
      <c r="V301" s="288"/>
      <c r="W301" s="288"/>
      <c r="X301" s="288"/>
      <c r="Y301" s="288"/>
      <c r="Z301" s="288"/>
      <c r="AA301" s="276"/>
      <c r="AB301" s="276"/>
      <c r="AC301" s="276"/>
      <c r="AD301" s="291"/>
      <c r="AE301" s="288"/>
      <c r="AF301" s="288"/>
      <c r="AG301" s="288"/>
    </row>
    <row r="302" spans="2:33" ht="13.5">
      <c r="B302" s="289">
        <v>84</v>
      </c>
      <c r="C302" s="283" t="s">
        <v>1015</v>
      </c>
      <c r="D302" s="283" t="s">
        <v>1016</v>
      </c>
      <c r="E302" s="282" t="s">
        <v>84</v>
      </c>
      <c r="F302" s="282" t="s">
        <v>818</v>
      </c>
      <c r="G302" s="282"/>
      <c r="H302" s="197" t="s">
        <v>853</v>
      </c>
      <c r="I302" s="197" t="s">
        <v>853</v>
      </c>
      <c r="J302" s="197" t="s">
        <v>853</v>
      </c>
      <c r="K302" s="197" t="s">
        <v>853</v>
      </c>
      <c r="L302" s="197" t="s">
        <v>853</v>
      </c>
      <c r="M302" s="154" t="s">
        <v>854</v>
      </c>
      <c r="N302" s="155" t="s">
        <v>1017</v>
      </c>
      <c r="O302" s="155">
        <v>3</v>
      </c>
      <c r="P302" s="284" t="s">
        <v>1018</v>
      </c>
      <c r="Q302" s="156"/>
      <c r="R302" s="156"/>
      <c r="S302" s="157"/>
      <c r="T302" s="156"/>
      <c r="U302" s="156"/>
      <c r="V302" s="284" t="s">
        <v>752</v>
      </c>
      <c r="W302" s="284" t="s">
        <v>752</v>
      </c>
      <c r="X302" s="284" t="s">
        <v>752</v>
      </c>
      <c r="Y302" s="284" t="s">
        <v>752</v>
      </c>
      <c r="Z302" s="284" t="s">
        <v>752</v>
      </c>
      <c r="AA302" s="274"/>
      <c r="AB302" s="274"/>
      <c r="AC302" s="274"/>
      <c r="AD302" s="284" t="s">
        <v>857</v>
      </c>
      <c r="AE302" s="284"/>
      <c r="AF302" s="284"/>
      <c r="AG302" s="284"/>
    </row>
    <row r="303" spans="2:33" ht="13.5">
      <c r="B303" s="289"/>
      <c r="C303" s="283"/>
      <c r="D303" s="283"/>
      <c r="E303" s="285"/>
      <c r="F303" s="285"/>
      <c r="G303" s="285"/>
      <c r="H303" s="198"/>
      <c r="I303" s="198"/>
      <c r="J303" s="198"/>
      <c r="K303" s="198"/>
      <c r="L303" s="198"/>
      <c r="M303" s="194" t="s">
        <v>854</v>
      </c>
      <c r="N303" s="159" t="s">
        <v>903</v>
      </c>
      <c r="O303" s="159">
        <v>2</v>
      </c>
      <c r="P303" s="286"/>
      <c r="Q303" s="156"/>
      <c r="R303" s="156"/>
      <c r="S303" s="157"/>
      <c r="T303" s="156"/>
      <c r="U303" s="156"/>
      <c r="V303" s="286"/>
      <c r="W303" s="286"/>
      <c r="X303" s="286"/>
      <c r="Y303" s="286"/>
      <c r="Z303" s="286"/>
      <c r="AA303" s="275"/>
      <c r="AB303" s="275"/>
      <c r="AC303" s="275"/>
      <c r="AD303" s="290"/>
      <c r="AE303" s="286"/>
      <c r="AF303" s="286"/>
      <c r="AG303" s="286"/>
    </row>
    <row r="304" spans="2:33" ht="13.5">
      <c r="B304" s="289"/>
      <c r="C304" s="283"/>
      <c r="D304" s="283"/>
      <c r="E304" s="285"/>
      <c r="F304" s="285"/>
      <c r="G304" s="285"/>
      <c r="H304" s="198"/>
      <c r="I304" s="198"/>
      <c r="J304" s="198"/>
      <c r="K304" s="198"/>
      <c r="L304" s="198"/>
      <c r="M304" s="158" t="s">
        <v>695</v>
      </c>
      <c r="N304" s="202" t="s">
        <v>904</v>
      </c>
      <c r="O304" s="202">
        <v>5</v>
      </c>
      <c r="P304" s="286"/>
      <c r="Q304" s="156"/>
      <c r="R304" s="156"/>
      <c r="S304" s="157"/>
      <c r="T304" s="156"/>
      <c r="U304" s="156"/>
      <c r="V304" s="286"/>
      <c r="W304" s="286"/>
      <c r="X304" s="286"/>
      <c r="Y304" s="286"/>
      <c r="Z304" s="286"/>
      <c r="AA304" s="275"/>
      <c r="AB304" s="275"/>
      <c r="AC304" s="275"/>
      <c r="AD304" s="290"/>
      <c r="AE304" s="286"/>
      <c r="AF304" s="286"/>
      <c r="AG304" s="286"/>
    </row>
    <row r="305" spans="2:33" ht="13.5">
      <c r="B305" s="289"/>
      <c r="C305" s="283"/>
      <c r="D305" s="283"/>
      <c r="E305" s="287"/>
      <c r="F305" s="287"/>
      <c r="G305" s="287"/>
      <c r="H305" s="199"/>
      <c r="I305" s="199"/>
      <c r="J305" s="199"/>
      <c r="K305" s="199"/>
      <c r="L305" s="199"/>
      <c r="M305" s="160" t="s">
        <v>854</v>
      </c>
      <c r="N305" s="161" t="s">
        <v>905</v>
      </c>
      <c r="O305" s="161">
        <v>3</v>
      </c>
      <c r="P305" s="288"/>
      <c r="Q305" s="156"/>
      <c r="R305" s="156"/>
      <c r="S305" s="157"/>
      <c r="T305" s="156"/>
      <c r="U305" s="156"/>
      <c r="V305" s="288"/>
      <c r="W305" s="288"/>
      <c r="X305" s="288"/>
      <c r="Y305" s="288"/>
      <c r="Z305" s="288"/>
      <c r="AA305" s="276"/>
      <c r="AB305" s="276"/>
      <c r="AC305" s="276"/>
      <c r="AD305" s="291"/>
      <c r="AE305" s="288"/>
      <c r="AF305" s="288"/>
      <c r="AG305" s="288"/>
    </row>
    <row r="306" spans="2:33" ht="13.5">
      <c r="B306" s="289">
        <v>85</v>
      </c>
      <c r="C306" s="283" t="s">
        <v>1019</v>
      </c>
      <c r="D306" s="283" t="s">
        <v>1020</v>
      </c>
      <c r="E306" s="282" t="s">
        <v>84</v>
      </c>
      <c r="F306" s="282" t="s">
        <v>823</v>
      </c>
      <c r="G306" s="282"/>
      <c r="H306" s="197" t="s">
        <v>853</v>
      </c>
      <c r="I306" s="197" t="s">
        <v>853</v>
      </c>
      <c r="J306" s="197" t="s">
        <v>853</v>
      </c>
      <c r="K306" s="197" t="s">
        <v>853</v>
      </c>
      <c r="L306" s="197" t="s">
        <v>853</v>
      </c>
      <c r="M306" s="154" t="s">
        <v>854</v>
      </c>
      <c r="N306" s="155" t="s">
        <v>1017</v>
      </c>
      <c r="O306" s="155">
        <v>3</v>
      </c>
      <c r="P306" s="284" t="s">
        <v>1021</v>
      </c>
      <c r="Q306" s="156"/>
      <c r="R306" s="156"/>
      <c r="S306" s="157"/>
      <c r="T306" s="156"/>
      <c r="U306" s="156"/>
      <c r="V306" s="284" t="s">
        <v>752</v>
      </c>
      <c r="W306" s="284" t="s">
        <v>752</v>
      </c>
      <c r="X306" s="284" t="s">
        <v>752</v>
      </c>
      <c r="Y306" s="284" t="s">
        <v>752</v>
      </c>
      <c r="Z306" s="284" t="s">
        <v>752</v>
      </c>
      <c r="AA306" s="274"/>
      <c r="AB306" s="274"/>
      <c r="AC306" s="274"/>
      <c r="AD306" s="284" t="s">
        <v>857</v>
      </c>
      <c r="AE306" s="284"/>
      <c r="AF306" s="284"/>
      <c r="AG306" s="284"/>
    </row>
    <row r="307" spans="2:33" ht="13.5">
      <c r="B307" s="289"/>
      <c r="C307" s="283"/>
      <c r="D307" s="283"/>
      <c r="E307" s="285"/>
      <c r="F307" s="285"/>
      <c r="G307" s="285"/>
      <c r="H307" s="198"/>
      <c r="I307" s="198"/>
      <c r="J307" s="198"/>
      <c r="K307" s="198"/>
      <c r="L307" s="198"/>
      <c r="M307" s="194" t="s">
        <v>854</v>
      </c>
      <c r="N307" s="159" t="s">
        <v>921</v>
      </c>
      <c r="O307" s="159">
        <v>2</v>
      </c>
      <c r="P307" s="286"/>
      <c r="Q307" s="156"/>
      <c r="R307" s="156"/>
      <c r="S307" s="157"/>
      <c r="T307" s="156"/>
      <c r="U307" s="156"/>
      <c r="V307" s="286"/>
      <c r="W307" s="286"/>
      <c r="X307" s="286"/>
      <c r="Y307" s="286"/>
      <c r="Z307" s="286"/>
      <c r="AA307" s="275"/>
      <c r="AB307" s="275"/>
      <c r="AC307" s="275"/>
      <c r="AD307" s="290"/>
      <c r="AE307" s="286"/>
      <c r="AF307" s="286"/>
      <c r="AG307" s="286"/>
    </row>
    <row r="308" spans="2:33" ht="13.5">
      <c r="B308" s="289"/>
      <c r="C308" s="283"/>
      <c r="D308" s="283"/>
      <c r="E308" s="285"/>
      <c r="F308" s="285"/>
      <c r="G308" s="285"/>
      <c r="H308" s="198"/>
      <c r="I308" s="198"/>
      <c r="J308" s="198"/>
      <c r="K308" s="198"/>
      <c r="L308" s="198"/>
      <c r="M308" s="158" t="s">
        <v>695</v>
      </c>
      <c r="N308" s="202" t="s">
        <v>904</v>
      </c>
      <c r="O308" s="202">
        <v>5</v>
      </c>
      <c r="P308" s="286"/>
      <c r="Q308" s="156"/>
      <c r="R308" s="156"/>
      <c r="S308" s="157"/>
      <c r="T308" s="156"/>
      <c r="U308" s="156"/>
      <c r="V308" s="286"/>
      <c r="W308" s="286"/>
      <c r="X308" s="286"/>
      <c r="Y308" s="286"/>
      <c r="Z308" s="286"/>
      <c r="AA308" s="275"/>
      <c r="AB308" s="275"/>
      <c r="AC308" s="275"/>
      <c r="AD308" s="290"/>
      <c r="AE308" s="286"/>
      <c r="AF308" s="286"/>
      <c r="AG308" s="286"/>
    </row>
    <row r="309" spans="2:33" ht="13.5">
      <c r="B309" s="289"/>
      <c r="C309" s="283"/>
      <c r="D309" s="283"/>
      <c r="E309" s="287"/>
      <c r="F309" s="287"/>
      <c r="G309" s="287"/>
      <c r="H309" s="199"/>
      <c r="I309" s="199"/>
      <c r="J309" s="199"/>
      <c r="K309" s="199"/>
      <c r="L309" s="199"/>
      <c r="M309" s="160" t="s">
        <v>854</v>
      </c>
      <c r="N309" s="161" t="s">
        <v>905</v>
      </c>
      <c r="O309" s="161">
        <v>3</v>
      </c>
      <c r="P309" s="288"/>
      <c r="Q309" s="156"/>
      <c r="R309" s="156"/>
      <c r="S309" s="157"/>
      <c r="T309" s="156"/>
      <c r="U309" s="156"/>
      <c r="V309" s="288"/>
      <c r="W309" s="288"/>
      <c r="X309" s="288"/>
      <c r="Y309" s="288"/>
      <c r="Z309" s="288"/>
      <c r="AA309" s="276"/>
      <c r="AB309" s="276"/>
      <c r="AC309" s="276"/>
      <c r="AD309" s="291"/>
      <c r="AE309" s="288"/>
      <c r="AF309" s="288"/>
      <c r="AG309" s="288"/>
    </row>
    <row r="310" spans="2:33" ht="13.5">
      <c r="B310" s="289">
        <v>86</v>
      </c>
      <c r="C310" s="283" t="s">
        <v>1022</v>
      </c>
      <c r="D310" s="283" t="s">
        <v>1023</v>
      </c>
      <c r="E310" s="282" t="s">
        <v>84</v>
      </c>
      <c r="F310" s="282" t="s">
        <v>825</v>
      </c>
      <c r="G310" s="282"/>
      <c r="H310" s="197" t="s">
        <v>853</v>
      </c>
      <c r="I310" s="197" t="s">
        <v>853</v>
      </c>
      <c r="J310" s="197" t="s">
        <v>853</v>
      </c>
      <c r="K310" s="197" t="s">
        <v>853</v>
      </c>
      <c r="L310" s="197" t="s">
        <v>853</v>
      </c>
      <c r="M310" s="154" t="s">
        <v>854</v>
      </c>
      <c r="N310" s="155" t="s">
        <v>1017</v>
      </c>
      <c r="O310" s="155">
        <v>3</v>
      </c>
      <c r="P310" s="284" t="s">
        <v>1024</v>
      </c>
      <c r="Q310" s="156"/>
      <c r="R310" s="156"/>
      <c r="S310" s="157"/>
      <c r="T310" s="156"/>
      <c r="U310" s="156"/>
      <c r="V310" s="284" t="s">
        <v>752</v>
      </c>
      <c r="W310" s="284" t="s">
        <v>752</v>
      </c>
      <c r="X310" s="284" t="s">
        <v>752</v>
      </c>
      <c r="Y310" s="284" t="s">
        <v>752</v>
      </c>
      <c r="Z310" s="284" t="s">
        <v>752</v>
      </c>
      <c r="AA310" s="274"/>
      <c r="AB310" s="274"/>
      <c r="AC310" s="274"/>
      <c r="AD310" s="284" t="s">
        <v>857</v>
      </c>
      <c r="AE310" s="284"/>
      <c r="AF310" s="284"/>
      <c r="AG310" s="284"/>
    </row>
    <row r="311" spans="2:33" ht="13.5">
      <c r="B311" s="289"/>
      <c r="C311" s="283"/>
      <c r="D311" s="283"/>
      <c r="E311" s="285"/>
      <c r="F311" s="285"/>
      <c r="G311" s="285"/>
      <c r="H311" s="198"/>
      <c r="I311" s="198"/>
      <c r="J311" s="198"/>
      <c r="K311" s="198"/>
      <c r="L311" s="198"/>
      <c r="M311" s="194" t="s">
        <v>854</v>
      </c>
      <c r="N311" s="159" t="s">
        <v>913</v>
      </c>
      <c r="O311" s="159">
        <v>2</v>
      </c>
      <c r="P311" s="286"/>
      <c r="Q311" s="156"/>
      <c r="R311" s="156"/>
      <c r="S311" s="157"/>
      <c r="T311" s="156"/>
      <c r="U311" s="156"/>
      <c r="V311" s="286"/>
      <c r="W311" s="286"/>
      <c r="X311" s="286"/>
      <c r="Y311" s="286"/>
      <c r="Z311" s="286"/>
      <c r="AA311" s="275"/>
      <c r="AB311" s="275"/>
      <c r="AC311" s="275"/>
      <c r="AD311" s="290"/>
      <c r="AE311" s="286"/>
      <c r="AF311" s="286"/>
      <c r="AG311" s="286"/>
    </row>
    <row r="312" spans="2:33" ht="13.5">
      <c r="B312" s="289"/>
      <c r="C312" s="283"/>
      <c r="D312" s="283"/>
      <c r="E312" s="285"/>
      <c r="F312" s="285"/>
      <c r="G312" s="285"/>
      <c r="H312" s="198"/>
      <c r="I312" s="198"/>
      <c r="J312" s="198"/>
      <c r="K312" s="198"/>
      <c r="L312" s="198"/>
      <c r="M312" s="158" t="s">
        <v>695</v>
      </c>
      <c r="N312" s="202" t="s">
        <v>904</v>
      </c>
      <c r="O312" s="202">
        <v>5</v>
      </c>
      <c r="P312" s="286"/>
      <c r="Q312" s="156"/>
      <c r="R312" s="156"/>
      <c r="S312" s="157"/>
      <c r="T312" s="156"/>
      <c r="U312" s="156"/>
      <c r="V312" s="286"/>
      <c r="W312" s="286"/>
      <c r="X312" s="286"/>
      <c r="Y312" s="286"/>
      <c r="Z312" s="286"/>
      <c r="AA312" s="275"/>
      <c r="AB312" s="275"/>
      <c r="AC312" s="275"/>
      <c r="AD312" s="290"/>
      <c r="AE312" s="286"/>
      <c r="AF312" s="286"/>
      <c r="AG312" s="286"/>
    </row>
    <row r="313" spans="2:33" ht="13.5">
      <c r="B313" s="289"/>
      <c r="C313" s="283"/>
      <c r="D313" s="283"/>
      <c r="E313" s="287"/>
      <c r="F313" s="287"/>
      <c r="G313" s="287"/>
      <c r="H313" s="199"/>
      <c r="I313" s="199"/>
      <c r="J313" s="199"/>
      <c r="K313" s="199"/>
      <c r="L313" s="199"/>
      <c r="M313" s="160" t="s">
        <v>854</v>
      </c>
      <c r="N313" s="161" t="s">
        <v>905</v>
      </c>
      <c r="O313" s="161">
        <v>3</v>
      </c>
      <c r="P313" s="288"/>
      <c r="Q313" s="156"/>
      <c r="R313" s="156"/>
      <c r="S313" s="157"/>
      <c r="T313" s="156"/>
      <c r="U313" s="156"/>
      <c r="V313" s="288"/>
      <c r="W313" s="288"/>
      <c r="X313" s="288"/>
      <c r="Y313" s="288"/>
      <c r="Z313" s="288"/>
      <c r="AA313" s="276"/>
      <c r="AB313" s="276"/>
      <c r="AC313" s="276"/>
      <c r="AD313" s="291"/>
      <c r="AE313" s="288"/>
      <c r="AF313" s="288"/>
      <c r="AG313" s="288"/>
    </row>
    <row r="314" spans="2:33" ht="13.5">
      <c r="B314" s="289">
        <v>87</v>
      </c>
      <c r="C314" s="283" t="s">
        <v>1025</v>
      </c>
      <c r="D314" s="283" t="s">
        <v>1026</v>
      </c>
      <c r="E314" s="282" t="s">
        <v>84</v>
      </c>
      <c r="F314" s="282" t="s">
        <v>818</v>
      </c>
      <c r="G314" s="282"/>
      <c r="H314" s="197" t="s">
        <v>853</v>
      </c>
      <c r="I314" s="197" t="s">
        <v>853</v>
      </c>
      <c r="J314" s="197" t="s">
        <v>853</v>
      </c>
      <c r="K314" s="197" t="s">
        <v>853</v>
      </c>
      <c r="L314" s="197" t="s">
        <v>853</v>
      </c>
      <c r="M314" s="154" t="s">
        <v>854</v>
      </c>
      <c r="N314" s="155" t="s">
        <v>1027</v>
      </c>
      <c r="O314" s="155">
        <v>3</v>
      </c>
      <c r="P314" s="284" t="s">
        <v>1028</v>
      </c>
      <c r="Q314" s="156"/>
      <c r="R314" s="156"/>
      <c r="S314" s="157"/>
      <c r="T314" s="156"/>
      <c r="U314" s="156"/>
      <c r="V314" s="284" t="s">
        <v>752</v>
      </c>
      <c r="W314" s="284" t="s">
        <v>752</v>
      </c>
      <c r="X314" s="284" t="s">
        <v>752</v>
      </c>
      <c r="Y314" s="284" t="s">
        <v>752</v>
      </c>
      <c r="Z314" s="284" t="s">
        <v>752</v>
      </c>
      <c r="AA314" s="274"/>
      <c r="AB314" s="274"/>
      <c r="AC314" s="274"/>
      <c r="AD314" s="284" t="s">
        <v>857</v>
      </c>
      <c r="AE314" s="284"/>
      <c r="AF314" s="284"/>
      <c r="AG314" s="284"/>
    </row>
    <row r="315" spans="2:33" ht="13.5">
      <c r="B315" s="289"/>
      <c r="C315" s="283"/>
      <c r="D315" s="283"/>
      <c r="E315" s="285"/>
      <c r="F315" s="285"/>
      <c r="G315" s="285"/>
      <c r="H315" s="198"/>
      <c r="I315" s="198"/>
      <c r="J315" s="198"/>
      <c r="K315" s="198"/>
      <c r="L315" s="198"/>
      <c r="M315" s="194" t="s">
        <v>854</v>
      </c>
      <c r="N315" s="159" t="s">
        <v>903</v>
      </c>
      <c r="O315" s="159">
        <v>2</v>
      </c>
      <c r="P315" s="286"/>
      <c r="Q315" s="156"/>
      <c r="R315" s="156"/>
      <c r="S315" s="157"/>
      <c r="T315" s="156"/>
      <c r="U315" s="156"/>
      <c r="V315" s="286"/>
      <c r="W315" s="286"/>
      <c r="X315" s="286"/>
      <c r="Y315" s="286"/>
      <c r="Z315" s="286"/>
      <c r="AA315" s="275"/>
      <c r="AB315" s="275"/>
      <c r="AC315" s="275"/>
      <c r="AD315" s="290"/>
      <c r="AE315" s="286"/>
      <c r="AF315" s="286"/>
      <c r="AG315" s="286"/>
    </row>
    <row r="316" spans="2:33" ht="13.5">
      <c r="B316" s="289"/>
      <c r="C316" s="283"/>
      <c r="D316" s="283"/>
      <c r="E316" s="285"/>
      <c r="F316" s="285"/>
      <c r="G316" s="285"/>
      <c r="H316" s="198"/>
      <c r="I316" s="198"/>
      <c r="J316" s="198"/>
      <c r="K316" s="198"/>
      <c r="L316" s="198"/>
      <c r="M316" s="158" t="s">
        <v>695</v>
      </c>
      <c r="N316" s="202" t="s">
        <v>904</v>
      </c>
      <c r="O316" s="202">
        <v>5</v>
      </c>
      <c r="P316" s="286"/>
      <c r="Q316" s="156"/>
      <c r="R316" s="156"/>
      <c r="S316" s="157"/>
      <c r="T316" s="156"/>
      <c r="U316" s="156"/>
      <c r="V316" s="286"/>
      <c r="W316" s="286"/>
      <c r="X316" s="286"/>
      <c r="Y316" s="286"/>
      <c r="Z316" s="286"/>
      <c r="AA316" s="275"/>
      <c r="AB316" s="275"/>
      <c r="AC316" s="275"/>
      <c r="AD316" s="290"/>
      <c r="AE316" s="286"/>
      <c r="AF316" s="286"/>
      <c r="AG316" s="286"/>
    </row>
    <row r="317" spans="2:33" ht="13.5">
      <c r="B317" s="289"/>
      <c r="C317" s="283"/>
      <c r="D317" s="283"/>
      <c r="E317" s="287"/>
      <c r="F317" s="287"/>
      <c r="G317" s="287"/>
      <c r="H317" s="199"/>
      <c r="I317" s="199"/>
      <c r="J317" s="199"/>
      <c r="K317" s="199"/>
      <c r="L317" s="199"/>
      <c r="M317" s="160" t="s">
        <v>854</v>
      </c>
      <c r="N317" s="161" t="s">
        <v>905</v>
      </c>
      <c r="O317" s="161">
        <v>3</v>
      </c>
      <c r="P317" s="288"/>
      <c r="Q317" s="156"/>
      <c r="R317" s="156"/>
      <c r="S317" s="157"/>
      <c r="T317" s="156"/>
      <c r="U317" s="156"/>
      <c r="V317" s="288"/>
      <c r="W317" s="288"/>
      <c r="X317" s="288"/>
      <c r="Y317" s="288"/>
      <c r="Z317" s="288"/>
      <c r="AA317" s="276"/>
      <c r="AB317" s="276"/>
      <c r="AC317" s="276"/>
      <c r="AD317" s="291"/>
      <c r="AE317" s="288"/>
      <c r="AF317" s="288"/>
      <c r="AG317" s="288"/>
    </row>
    <row r="318" spans="2:33" ht="13.5">
      <c r="B318" s="289">
        <v>88</v>
      </c>
      <c r="C318" s="283" t="s">
        <v>1029</v>
      </c>
      <c r="D318" s="283" t="s">
        <v>1030</v>
      </c>
      <c r="E318" s="282" t="s">
        <v>84</v>
      </c>
      <c r="F318" s="282" t="s">
        <v>823</v>
      </c>
      <c r="G318" s="282"/>
      <c r="H318" s="197" t="s">
        <v>853</v>
      </c>
      <c r="I318" s="197" t="s">
        <v>853</v>
      </c>
      <c r="J318" s="197" t="s">
        <v>853</v>
      </c>
      <c r="K318" s="197" t="s">
        <v>853</v>
      </c>
      <c r="L318" s="197" t="s">
        <v>853</v>
      </c>
      <c r="M318" s="154" t="s">
        <v>854</v>
      </c>
      <c r="N318" s="155" t="s">
        <v>1027</v>
      </c>
      <c r="O318" s="155">
        <v>3</v>
      </c>
      <c r="P318" s="284" t="s">
        <v>1031</v>
      </c>
      <c r="Q318" s="156"/>
      <c r="R318" s="156"/>
      <c r="S318" s="157"/>
      <c r="T318" s="156"/>
      <c r="U318" s="156"/>
      <c r="V318" s="284" t="s">
        <v>752</v>
      </c>
      <c r="W318" s="284" t="s">
        <v>752</v>
      </c>
      <c r="X318" s="284" t="s">
        <v>752</v>
      </c>
      <c r="Y318" s="284" t="s">
        <v>752</v>
      </c>
      <c r="Z318" s="284" t="s">
        <v>752</v>
      </c>
      <c r="AA318" s="274"/>
      <c r="AB318" s="274"/>
      <c r="AC318" s="274"/>
      <c r="AD318" s="284" t="s">
        <v>857</v>
      </c>
      <c r="AE318" s="284"/>
      <c r="AF318" s="284"/>
      <c r="AG318" s="284"/>
    </row>
    <row r="319" spans="2:33" ht="13.5">
      <c r="B319" s="289"/>
      <c r="C319" s="283"/>
      <c r="D319" s="283"/>
      <c r="E319" s="285"/>
      <c r="F319" s="285"/>
      <c r="G319" s="285"/>
      <c r="H319" s="198"/>
      <c r="I319" s="198"/>
      <c r="J319" s="198"/>
      <c r="K319" s="198"/>
      <c r="L319" s="198"/>
      <c r="M319" s="194" t="s">
        <v>854</v>
      </c>
      <c r="N319" s="159" t="s">
        <v>921</v>
      </c>
      <c r="O319" s="159">
        <v>2</v>
      </c>
      <c r="P319" s="286"/>
      <c r="Q319" s="156"/>
      <c r="R319" s="156"/>
      <c r="S319" s="157"/>
      <c r="T319" s="156"/>
      <c r="U319" s="156"/>
      <c r="V319" s="286"/>
      <c r="W319" s="286"/>
      <c r="X319" s="286"/>
      <c r="Y319" s="286"/>
      <c r="Z319" s="286"/>
      <c r="AA319" s="275"/>
      <c r="AB319" s="275"/>
      <c r="AC319" s="275"/>
      <c r="AD319" s="290"/>
      <c r="AE319" s="286"/>
      <c r="AF319" s="286"/>
      <c r="AG319" s="286"/>
    </row>
    <row r="320" spans="2:33" ht="13.5">
      <c r="B320" s="289"/>
      <c r="C320" s="283"/>
      <c r="D320" s="283"/>
      <c r="E320" s="285"/>
      <c r="F320" s="285"/>
      <c r="G320" s="285"/>
      <c r="H320" s="198"/>
      <c r="I320" s="198"/>
      <c r="J320" s="198"/>
      <c r="K320" s="198"/>
      <c r="L320" s="198"/>
      <c r="M320" s="158" t="s">
        <v>695</v>
      </c>
      <c r="N320" s="202" t="s">
        <v>904</v>
      </c>
      <c r="O320" s="202">
        <v>5</v>
      </c>
      <c r="P320" s="286"/>
      <c r="Q320" s="156"/>
      <c r="R320" s="156"/>
      <c r="S320" s="157"/>
      <c r="T320" s="156"/>
      <c r="U320" s="156"/>
      <c r="V320" s="286"/>
      <c r="W320" s="286"/>
      <c r="X320" s="286"/>
      <c r="Y320" s="286"/>
      <c r="Z320" s="286"/>
      <c r="AA320" s="275"/>
      <c r="AB320" s="275"/>
      <c r="AC320" s="275"/>
      <c r="AD320" s="290"/>
      <c r="AE320" s="286"/>
      <c r="AF320" s="286"/>
      <c r="AG320" s="286"/>
    </row>
    <row r="321" spans="2:33" ht="13.5">
      <c r="B321" s="289"/>
      <c r="C321" s="283"/>
      <c r="D321" s="283"/>
      <c r="E321" s="287"/>
      <c r="F321" s="287"/>
      <c r="G321" s="287"/>
      <c r="H321" s="199"/>
      <c r="I321" s="199"/>
      <c r="J321" s="199"/>
      <c r="K321" s="199"/>
      <c r="L321" s="199"/>
      <c r="M321" s="160" t="s">
        <v>854</v>
      </c>
      <c r="N321" s="161" t="s">
        <v>905</v>
      </c>
      <c r="O321" s="161">
        <v>3</v>
      </c>
      <c r="P321" s="288"/>
      <c r="Q321" s="156"/>
      <c r="R321" s="156"/>
      <c r="S321" s="157"/>
      <c r="T321" s="156"/>
      <c r="U321" s="156"/>
      <c r="V321" s="288"/>
      <c r="W321" s="288"/>
      <c r="X321" s="288"/>
      <c r="Y321" s="288"/>
      <c r="Z321" s="288"/>
      <c r="AA321" s="276"/>
      <c r="AB321" s="276"/>
      <c r="AC321" s="276"/>
      <c r="AD321" s="291"/>
      <c r="AE321" s="288"/>
      <c r="AF321" s="288"/>
      <c r="AG321" s="288"/>
    </row>
    <row r="322" spans="2:33" ht="13.5">
      <c r="B322" s="289">
        <v>89</v>
      </c>
      <c r="C322" s="283" t="s">
        <v>1032</v>
      </c>
      <c r="D322" s="283" t="s">
        <v>1033</v>
      </c>
      <c r="E322" s="282" t="s">
        <v>84</v>
      </c>
      <c r="F322" s="282" t="s">
        <v>825</v>
      </c>
      <c r="G322" s="282"/>
      <c r="H322" s="197" t="s">
        <v>853</v>
      </c>
      <c r="I322" s="197" t="s">
        <v>853</v>
      </c>
      <c r="J322" s="197" t="s">
        <v>853</v>
      </c>
      <c r="K322" s="197" t="s">
        <v>853</v>
      </c>
      <c r="L322" s="197" t="s">
        <v>853</v>
      </c>
      <c r="M322" s="154" t="s">
        <v>854</v>
      </c>
      <c r="N322" s="155" t="s">
        <v>1027</v>
      </c>
      <c r="O322" s="155">
        <v>3</v>
      </c>
      <c r="P322" s="284" t="s">
        <v>1034</v>
      </c>
      <c r="Q322" s="156"/>
      <c r="R322" s="156"/>
      <c r="S322" s="157"/>
      <c r="T322" s="156"/>
      <c r="U322" s="156"/>
      <c r="V322" s="284" t="s">
        <v>752</v>
      </c>
      <c r="W322" s="284" t="s">
        <v>752</v>
      </c>
      <c r="X322" s="284" t="s">
        <v>752</v>
      </c>
      <c r="Y322" s="284" t="s">
        <v>752</v>
      </c>
      <c r="Z322" s="284" t="s">
        <v>752</v>
      </c>
      <c r="AA322" s="274"/>
      <c r="AB322" s="274"/>
      <c r="AC322" s="274"/>
      <c r="AD322" s="284" t="s">
        <v>857</v>
      </c>
      <c r="AE322" s="284"/>
      <c r="AF322" s="284"/>
      <c r="AG322" s="284"/>
    </row>
    <row r="323" spans="2:33" ht="13.5">
      <c r="B323" s="289"/>
      <c r="C323" s="283"/>
      <c r="D323" s="283"/>
      <c r="E323" s="285"/>
      <c r="F323" s="285"/>
      <c r="G323" s="285"/>
      <c r="H323" s="198"/>
      <c r="I323" s="198"/>
      <c r="J323" s="198"/>
      <c r="K323" s="198"/>
      <c r="L323" s="198"/>
      <c r="M323" s="194" t="s">
        <v>854</v>
      </c>
      <c r="N323" s="159" t="s">
        <v>913</v>
      </c>
      <c r="O323" s="159">
        <v>2</v>
      </c>
      <c r="P323" s="286"/>
      <c r="Q323" s="156"/>
      <c r="R323" s="156"/>
      <c r="S323" s="157"/>
      <c r="T323" s="156"/>
      <c r="U323" s="156"/>
      <c r="V323" s="286"/>
      <c r="W323" s="286"/>
      <c r="X323" s="286"/>
      <c r="Y323" s="286"/>
      <c r="Z323" s="286"/>
      <c r="AA323" s="275"/>
      <c r="AB323" s="275"/>
      <c r="AC323" s="275"/>
      <c r="AD323" s="290"/>
      <c r="AE323" s="286"/>
      <c r="AF323" s="286"/>
      <c r="AG323" s="286"/>
    </row>
    <row r="324" spans="2:33" ht="13.5">
      <c r="B324" s="289"/>
      <c r="C324" s="283"/>
      <c r="D324" s="283"/>
      <c r="E324" s="285"/>
      <c r="F324" s="285"/>
      <c r="G324" s="285"/>
      <c r="H324" s="198"/>
      <c r="I324" s="198"/>
      <c r="J324" s="198"/>
      <c r="K324" s="198"/>
      <c r="L324" s="198"/>
      <c r="M324" s="158" t="s">
        <v>695</v>
      </c>
      <c r="N324" s="202" t="s">
        <v>904</v>
      </c>
      <c r="O324" s="202">
        <v>5</v>
      </c>
      <c r="P324" s="286"/>
      <c r="Q324" s="156"/>
      <c r="R324" s="156"/>
      <c r="S324" s="157"/>
      <c r="T324" s="156"/>
      <c r="U324" s="156"/>
      <c r="V324" s="286"/>
      <c r="W324" s="286"/>
      <c r="X324" s="286"/>
      <c r="Y324" s="286"/>
      <c r="Z324" s="286"/>
      <c r="AA324" s="275"/>
      <c r="AB324" s="275"/>
      <c r="AC324" s="275"/>
      <c r="AD324" s="290"/>
      <c r="AE324" s="286"/>
      <c r="AF324" s="286"/>
      <c r="AG324" s="286"/>
    </row>
    <row r="325" spans="2:33" ht="13.5">
      <c r="B325" s="289"/>
      <c r="C325" s="283"/>
      <c r="D325" s="283"/>
      <c r="E325" s="287"/>
      <c r="F325" s="287"/>
      <c r="G325" s="287"/>
      <c r="H325" s="199"/>
      <c r="I325" s="199"/>
      <c r="J325" s="199"/>
      <c r="K325" s="199"/>
      <c r="L325" s="199"/>
      <c r="M325" s="160" t="s">
        <v>854</v>
      </c>
      <c r="N325" s="161" t="s">
        <v>905</v>
      </c>
      <c r="O325" s="161">
        <v>3</v>
      </c>
      <c r="P325" s="288"/>
      <c r="Q325" s="156"/>
      <c r="R325" s="156"/>
      <c r="S325" s="157"/>
      <c r="T325" s="156"/>
      <c r="U325" s="156"/>
      <c r="V325" s="288"/>
      <c r="W325" s="288"/>
      <c r="X325" s="288"/>
      <c r="Y325" s="288"/>
      <c r="Z325" s="288"/>
      <c r="AA325" s="276"/>
      <c r="AB325" s="276"/>
      <c r="AC325" s="276"/>
      <c r="AD325" s="291"/>
      <c r="AE325" s="288"/>
      <c r="AF325" s="288"/>
      <c r="AG325" s="288"/>
    </row>
    <row r="326" spans="2:33" ht="13.5">
      <c r="B326" s="289">
        <v>90</v>
      </c>
      <c r="C326" s="283" t="s">
        <v>1035</v>
      </c>
      <c r="D326" s="283" t="s">
        <v>1036</v>
      </c>
      <c r="E326" s="282" t="s">
        <v>84</v>
      </c>
      <c r="F326" s="282" t="s">
        <v>818</v>
      </c>
      <c r="G326" s="282"/>
      <c r="H326" s="197" t="s">
        <v>853</v>
      </c>
      <c r="I326" s="197" t="s">
        <v>853</v>
      </c>
      <c r="J326" s="197" t="s">
        <v>853</v>
      </c>
      <c r="K326" s="197" t="s">
        <v>853</v>
      </c>
      <c r="L326" s="197" t="s">
        <v>853</v>
      </c>
      <c r="M326" s="154" t="s">
        <v>854</v>
      </c>
      <c r="N326" s="155" t="s">
        <v>1037</v>
      </c>
      <c r="O326" s="155">
        <v>3</v>
      </c>
      <c r="P326" s="284" t="s">
        <v>1038</v>
      </c>
      <c r="Q326" s="156"/>
      <c r="R326" s="156"/>
      <c r="S326" s="157"/>
      <c r="T326" s="156"/>
      <c r="U326" s="156"/>
      <c r="V326" s="284" t="s">
        <v>752</v>
      </c>
      <c r="W326" s="284" t="s">
        <v>752</v>
      </c>
      <c r="X326" s="284" t="s">
        <v>752</v>
      </c>
      <c r="Y326" s="284" t="s">
        <v>752</v>
      </c>
      <c r="Z326" s="284" t="s">
        <v>752</v>
      </c>
      <c r="AA326" s="274"/>
      <c r="AB326" s="274"/>
      <c r="AC326" s="274"/>
      <c r="AD326" s="284" t="s">
        <v>857</v>
      </c>
      <c r="AE326" s="284"/>
      <c r="AF326" s="284"/>
      <c r="AG326" s="284"/>
    </row>
    <row r="327" spans="2:33" ht="13.5">
      <c r="B327" s="289"/>
      <c r="C327" s="283"/>
      <c r="D327" s="283"/>
      <c r="E327" s="285"/>
      <c r="F327" s="285"/>
      <c r="G327" s="285"/>
      <c r="H327" s="198"/>
      <c r="I327" s="198"/>
      <c r="J327" s="198"/>
      <c r="K327" s="198"/>
      <c r="L327" s="198"/>
      <c r="M327" s="194" t="s">
        <v>854</v>
      </c>
      <c r="N327" s="159" t="s">
        <v>903</v>
      </c>
      <c r="O327" s="159">
        <v>2</v>
      </c>
      <c r="P327" s="286"/>
      <c r="Q327" s="156"/>
      <c r="R327" s="156"/>
      <c r="S327" s="157"/>
      <c r="T327" s="156"/>
      <c r="U327" s="156"/>
      <c r="V327" s="286"/>
      <c r="W327" s="286"/>
      <c r="X327" s="286"/>
      <c r="Y327" s="286"/>
      <c r="Z327" s="286"/>
      <c r="AA327" s="275"/>
      <c r="AB327" s="275"/>
      <c r="AC327" s="275"/>
      <c r="AD327" s="290"/>
      <c r="AE327" s="286"/>
      <c r="AF327" s="286"/>
      <c r="AG327" s="286"/>
    </row>
    <row r="328" spans="2:33" ht="13.5">
      <c r="B328" s="289"/>
      <c r="C328" s="283"/>
      <c r="D328" s="283"/>
      <c r="E328" s="285"/>
      <c r="F328" s="285"/>
      <c r="G328" s="285"/>
      <c r="H328" s="198"/>
      <c r="I328" s="198"/>
      <c r="J328" s="198"/>
      <c r="K328" s="198"/>
      <c r="L328" s="198"/>
      <c r="M328" s="158" t="s">
        <v>695</v>
      </c>
      <c r="N328" s="202" t="s">
        <v>904</v>
      </c>
      <c r="O328" s="202">
        <v>5</v>
      </c>
      <c r="P328" s="286"/>
      <c r="Q328" s="156"/>
      <c r="R328" s="156"/>
      <c r="S328" s="157"/>
      <c r="T328" s="156"/>
      <c r="U328" s="156"/>
      <c r="V328" s="286"/>
      <c r="W328" s="286"/>
      <c r="X328" s="286"/>
      <c r="Y328" s="286"/>
      <c r="Z328" s="286"/>
      <c r="AA328" s="275"/>
      <c r="AB328" s="275"/>
      <c r="AC328" s="275"/>
      <c r="AD328" s="290"/>
      <c r="AE328" s="286"/>
      <c r="AF328" s="286"/>
      <c r="AG328" s="286"/>
    </row>
    <row r="329" spans="2:33" ht="13.5">
      <c r="B329" s="289"/>
      <c r="C329" s="283"/>
      <c r="D329" s="283"/>
      <c r="E329" s="287"/>
      <c r="F329" s="287"/>
      <c r="G329" s="287"/>
      <c r="H329" s="199"/>
      <c r="I329" s="199"/>
      <c r="J329" s="199"/>
      <c r="K329" s="199"/>
      <c r="L329" s="199"/>
      <c r="M329" s="160" t="s">
        <v>854</v>
      </c>
      <c r="N329" s="161" t="s">
        <v>905</v>
      </c>
      <c r="O329" s="161">
        <v>3</v>
      </c>
      <c r="P329" s="288"/>
      <c r="Q329" s="156"/>
      <c r="R329" s="156"/>
      <c r="S329" s="157"/>
      <c r="T329" s="156"/>
      <c r="U329" s="156"/>
      <c r="V329" s="288"/>
      <c r="W329" s="288"/>
      <c r="X329" s="288"/>
      <c r="Y329" s="288"/>
      <c r="Z329" s="288"/>
      <c r="AA329" s="276"/>
      <c r="AB329" s="276"/>
      <c r="AC329" s="276"/>
      <c r="AD329" s="291"/>
      <c r="AE329" s="288"/>
      <c r="AF329" s="288"/>
      <c r="AG329" s="288"/>
    </row>
    <row r="330" spans="2:33" ht="13.5">
      <c r="B330" s="289">
        <v>91</v>
      </c>
      <c r="C330" s="283" t="s">
        <v>1039</v>
      </c>
      <c r="D330" s="283" t="s">
        <v>1040</v>
      </c>
      <c r="E330" s="282" t="s">
        <v>84</v>
      </c>
      <c r="F330" s="282" t="s">
        <v>823</v>
      </c>
      <c r="G330" s="282"/>
      <c r="H330" s="197" t="s">
        <v>853</v>
      </c>
      <c r="I330" s="197" t="s">
        <v>853</v>
      </c>
      <c r="J330" s="197" t="s">
        <v>853</v>
      </c>
      <c r="K330" s="197" t="s">
        <v>853</v>
      </c>
      <c r="L330" s="197" t="s">
        <v>853</v>
      </c>
      <c r="M330" s="154" t="s">
        <v>854</v>
      </c>
      <c r="N330" s="155" t="s">
        <v>1037</v>
      </c>
      <c r="O330" s="155">
        <v>3</v>
      </c>
      <c r="P330" s="284" t="s">
        <v>1041</v>
      </c>
      <c r="Q330" s="156"/>
      <c r="R330" s="156"/>
      <c r="S330" s="157"/>
      <c r="T330" s="156"/>
      <c r="U330" s="156"/>
      <c r="V330" s="284" t="s">
        <v>752</v>
      </c>
      <c r="W330" s="284" t="s">
        <v>752</v>
      </c>
      <c r="X330" s="284" t="s">
        <v>752</v>
      </c>
      <c r="Y330" s="284" t="s">
        <v>752</v>
      </c>
      <c r="Z330" s="284" t="s">
        <v>752</v>
      </c>
      <c r="AA330" s="274"/>
      <c r="AB330" s="274"/>
      <c r="AC330" s="274"/>
      <c r="AD330" s="284" t="s">
        <v>857</v>
      </c>
      <c r="AE330" s="284"/>
      <c r="AF330" s="284"/>
      <c r="AG330" s="284"/>
    </row>
    <row r="331" spans="2:33" ht="13.5">
      <c r="B331" s="289"/>
      <c r="C331" s="283"/>
      <c r="D331" s="283"/>
      <c r="E331" s="285"/>
      <c r="F331" s="285"/>
      <c r="G331" s="285"/>
      <c r="H331" s="198"/>
      <c r="I331" s="198"/>
      <c r="J331" s="198"/>
      <c r="K331" s="198"/>
      <c r="L331" s="198"/>
      <c r="M331" s="194" t="s">
        <v>854</v>
      </c>
      <c r="N331" s="159" t="s">
        <v>921</v>
      </c>
      <c r="O331" s="159">
        <v>2</v>
      </c>
      <c r="P331" s="286"/>
      <c r="Q331" s="156"/>
      <c r="R331" s="156"/>
      <c r="S331" s="157"/>
      <c r="T331" s="156"/>
      <c r="U331" s="156"/>
      <c r="V331" s="286"/>
      <c r="W331" s="286"/>
      <c r="X331" s="286"/>
      <c r="Y331" s="286"/>
      <c r="Z331" s="286"/>
      <c r="AA331" s="275"/>
      <c r="AB331" s="275"/>
      <c r="AC331" s="275"/>
      <c r="AD331" s="290"/>
      <c r="AE331" s="286"/>
      <c r="AF331" s="286"/>
      <c r="AG331" s="286"/>
    </row>
    <row r="332" spans="2:33" ht="13.5">
      <c r="B332" s="289"/>
      <c r="C332" s="283"/>
      <c r="D332" s="283"/>
      <c r="E332" s="285"/>
      <c r="F332" s="285"/>
      <c r="G332" s="285"/>
      <c r="H332" s="198"/>
      <c r="I332" s="198"/>
      <c r="J332" s="198"/>
      <c r="K332" s="198"/>
      <c r="L332" s="198"/>
      <c r="M332" s="158" t="s">
        <v>695</v>
      </c>
      <c r="N332" s="202" t="s">
        <v>904</v>
      </c>
      <c r="O332" s="202">
        <v>5</v>
      </c>
      <c r="P332" s="286"/>
      <c r="Q332" s="156"/>
      <c r="R332" s="156"/>
      <c r="S332" s="157"/>
      <c r="T332" s="156"/>
      <c r="U332" s="156"/>
      <c r="V332" s="286"/>
      <c r="W332" s="286"/>
      <c r="X332" s="286"/>
      <c r="Y332" s="286"/>
      <c r="Z332" s="286"/>
      <c r="AA332" s="275"/>
      <c r="AB332" s="275"/>
      <c r="AC332" s="275"/>
      <c r="AD332" s="290"/>
      <c r="AE332" s="286"/>
      <c r="AF332" s="286"/>
      <c r="AG332" s="286"/>
    </row>
    <row r="333" spans="2:33" ht="13.5">
      <c r="B333" s="289"/>
      <c r="C333" s="283"/>
      <c r="D333" s="283"/>
      <c r="E333" s="287"/>
      <c r="F333" s="287"/>
      <c r="G333" s="287"/>
      <c r="H333" s="199"/>
      <c r="I333" s="199"/>
      <c r="J333" s="199"/>
      <c r="K333" s="199"/>
      <c r="L333" s="199"/>
      <c r="M333" s="160" t="s">
        <v>854</v>
      </c>
      <c r="N333" s="161" t="s">
        <v>905</v>
      </c>
      <c r="O333" s="161">
        <v>3</v>
      </c>
      <c r="P333" s="288"/>
      <c r="Q333" s="156"/>
      <c r="R333" s="156"/>
      <c r="S333" s="157"/>
      <c r="T333" s="156"/>
      <c r="U333" s="156"/>
      <c r="V333" s="288"/>
      <c r="W333" s="288"/>
      <c r="X333" s="288"/>
      <c r="Y333" s="288"/>
      <c r="Z333" s="288"/>
      <c r="AA333" s="276"/>
      <c r="AB333" s="276"/>
      <c r="AC333" s="276"/>
      <c r="AD333" s="291"/>
      <c r="AE333" s="288"/>
      <c r="AF333" s="288"/>
      <c r="AG333" s="288"/>
    </row>
    <row r="334" spans="2:33" ht="13.5">
      <c r="B334" s="289">
        <v>92</v>
      </c>
      <c r="C334" s="283" t="s">
        <v>1042</v>
      </c>
      <c r="D334" s="283" t="s">
        <v>1043</v>
      </c>
      <c r="E334" s="282" t="s">
        <v>84</v>
      </c>
      <c r="F334" s="282" t="s">
        <v>825</v>
      </c>
      <c r="G334" s="282"/>
      <c r="H334" s="197" t="s">
        <v>853</v>
      </c>
      <c r="I334" s="197" t="s">
        <v>853</v>
      </c>
      <c r="J334" s="197" t="s">
        <v>853</v>
      </c>
      <c r="K334" s="197" t="s">
        <v>853</v>
      </c>
      <c r="L334" s="197" t="s">
        <v>853</v>
      </c>
      <c r="M334" s="154" t="s">
        <v>854</v>
      </c>
      <c r="N334" s="155" t="s">
        <v>1037</v>
      </c>
      <c r="O334" s="155">
        <v>3</v>
      </c>
      <c r="P334" s="284" t="s">
        <v>1044</v>
      </c>
      <c r="Q334" s="156"/>
      <c r="R334" s="156"/>
      <c r="S334" s="157"/>
      <c r="T334" s="156"/>
      <c r="U334" s="156"/>
      <c r="V334" s="284" t="s">
        <v>752</v>
      </c>
      <c r="W334" s="284" t="s">
        <v>752</v>
      </c>
      <c r="X334" s="284" t="s">
        <v>752</v>
      </c>
      <c r="Y334" s="284" t="s">
        <v>752</v>
      </c>
      <c r="Z334" s="284" t="s">
        <v>752</v>
      </c>
      <c r="AA334" s="274"/>
      <c r="AB334" s="274"/>
      <c r="AC334" s="274"/>
      <c r="AD334" s="284" t="s">
        <v>857</v>
      </c>
      <c r="AE334" s="284"/>
      <c r="AF334" s="284"/>
      <c r="AG334" s="284"/>
    </row>
    <row r="335" spans="2:33" ht="13.5">
      <c r="B335" s="289"/>
      <c r="C335" s="283"/>
      <c r="D335" s="283"/>
      <c r="E335" s="285"/>
      <c r="F335" s="285"/>
      <c r="G335" s="285"/>
      <c r="H335" s="198"/>
      <c r="I335" s="198"/>
      <c r="J335" s="198"/>
      <c r="K335" s="198"/>
      <c r="L335" s="198"/>
      <c r="M335" s="194" t="s">
        <v>854</v>
      </c>
      <c r="N335" s="159" t="s">
        <v>913</v>
      </c>
      <c r="O335" s="159">
        <v>2</v>
      </c>
      <c r="P335" s="286"/>
      <c r="Q335" s="156"/>
      <c r="R335" s="156"/>
      <c r="S335" s="157"/>
      <c r="T335" s="156"/>
      <c r="U335" s="156"/>
      <c r="V335" s="286"/>
      <c r="W335" s="286"/>
      <c r="X335" s="286"/>
      <c r="Y335" s="286"/>
      <c r="Z335" s="286"/>
      <c r="AA335" s="275"/>
      <c r="AB335" s="275"/>
      <c r="AC335" s="275"/>
      <c r="AD335" s="290"/>
      <c r="AE335" s="286"/>
      <c r="AF335" s="286"/>
      <c r="AG335" s="286"/>
    </row>
    <row r="336" spans="2:33" ht="13.5">
      <c r="B336" s="289"/>
      <c r="C336" s="283"/>
      <c r="D336" s="283"/>
      <c r="E336" s="285"/>
      <c r="F336" s="285"/>
      <c r="G336" s="285"/>
      <c r="H336" s="198"/>
      <c r="I336" s="198"/>
      <c r="J336" s="198"/>
      <c r="K336" s="198"/>
      <c r="L336" s="198"/>
      <c r="M336" s="158" t="s">
        <v>695</v>
      </c>
      <c r="N336" s="202" t="s">
        <v>904</v>
      </c>
      <c r="O336" s="202">
        <v>5</v>
      </c>
      <c r="P336" s="286"/>
      <c r="Q336" s="156"/>
      <c r="R336" s="156"/>
      <c r="S336" s="157"/>
      <c r="T336" s="156"/>
      <c r="U336" s="156"/>
      <c r="V336" s="286"/>
      <c r="W336" s="286"/>
      <c r="X336" s="286"/>
      <c r="Y336" s="286"/>
      <c r="Z336" s="286"/>
      <c r="AA336" s="275"/>
      <c r="AB336" s="275"/>
      <c r="AC336" s="275"/>
      <c r="AD336" s="290"/>
      <c r="AE336" s="286"/>
      <c r="AF336" s="286"/>
      <c r="AG336" s="286"/>
    </row>
    <row r="337" spans="2:33" ht="13.5">
      <c r="B337" s="289"/>
      <c r="C337" s="283"/>
      <c r="D337" s="283"/>
      <c r="E337" s="287"/>
      <c r="F337" s="287"/>
      <c r="G337" s="287"/>
      <c r="H337" s="199"/>
      <c r="I337" s="199"/>
      <c r="J337" s="199"/>
      <c r="K337" s="199"/>
      <c r="L337" s="199"/>
      <c r="M337" s="160" t="s">
        <v>854</v>
      </c>
      <c r="N337" s="161" t="s">
        <v>905</v>
      </c>
      <c r="O337" s="161">
        <v>3</v>
      </c>
      <c r="P337" s="288"/>
      <c r="Q337" s="156"/>
      <c r="R337" s="156"/>
      <c r="S337" s="157"/>
      <c r="T337" s="156"/>
      <c r="U337" s="156"/>
      <c r="V337" s="288"/>
      <c r="W337" s="288"/>
      <c r="X337" s="288"/>
      <c r="Y337" s="288"/>
      <c r="Z337" s="288"/>
      <c r="AA337" s="276"/>
      <c r="AB337" s="276"/>
      <c r="AC337" s="276"/>
      <c r="AD337" s="291"/>
      <c r="AE337" s="288"/>
      <c r="AF337" s="288"/>
      <c r="AG337" s="288"/>
    </row>
    <row r="338" spans="2:33" ht="13.5">
      <c r="B338" s="273">
        <v>93</v>
      </c>
      <c r="C338" s="283" t="s">
        <v>1045</v>
      </c>
      <c r="D338" s="283" t="s">
        <v>1046</v>
      </c>
      <c r="E338" s="282" t="s">
        <v>84</v>
      </c>
      <c r="F338" s="282" t="s">
        <v>818</v>
      </c>
      <c r="G338" s="282"/>
      <c r="H338" s="197" t="s">
        <v>853</v>
      </c>
      <c r="I338" s="197" t="s">
        <v>853</v>
      </c>
      <c r="J338" s="197" t="s">
        <v>853</v>
      </c>
      <c r="K338" s="197" t="s">
        <v>853</v>
      </c>
      <c r="L338" s="197" t="s">
        <v>853</v>
      </c>
      <c r="M338" s="154" t="s">
        <v>854</v>
      </c>
      <c r="N338" s="155" t="s">
        <v>1047</v>
      </c>
      <c r="O338" s="155">
        <v>4</v>
      </c>
      <c r="P338" s="284" t="s">
        <v>1048</v>
      </c>
      <c r="Q338" s="156"/>
      <c r="R338" s="156"/>
      <c r="S338" s="157"/>
      <c r="T338" s="156"/>
      <c r="U338" s="156"/>
      <c r="V338" s="284" t="s">
        <v>752</v>
      </c>
      <c r="W338" s="284" t="s">
        <v>752</v>
      </c>
      <c r="X338" s="284" t="s">
        <v>830</v>
      </c>
      <c r="Y338" s="284" t="s">
        <v>752</v>
      </c>
      <c r="Z338" s="284" t="s">
        <v>752</v>
      </c>
      <c r="AA338" s="274"/>
      <c r="AB338" s="274"/>
      <c r="AC338" s="274"/>
      <c r="AD338" s="284" t="s">
        <v>857</v>
      </c>
      <c r="AE338" s="284"/>
      <c r="AF338" s="284"/>
      <c r="AG338" s="284"/>
    </row>
    <row r="339" spans="2:33" ht="13.5">
      <c r="B339" s="273"/>
      <c r="C339" s="283"/>
      <c r="D339" s="283"/>
      <c r="E339" s="285"/>
      <c r="F339" s="285"/>
      <c r="G339" s="285"/>
      <c r="H339" s="198"/>
      <c r="I339" s="198"/>
      <c r="J339" s="198"/>
      <c r="K339" s="198"/>
      <c r="L339" s="198"/>
      <c r="M339" s="158" t="s">
        <v>695</v>
      </c>
      <c r="N339" s="159" t="s">
        <v>821</v>
      </c>
      <c r="O339" s="159">
        <v>10</v>
      </c>
      <c r="P339" s="286"/>
      <c r="Q339" s="156"/>
      <c r="R339" s="156"/>
      <c r="S339" s="157"/>
      <c r="T339" s="156"/>
      <c r="U339" s="156"/>
      <c r="V339" s="286"/>
      <c r="W339" s="286"/>
      <c r="X339" s="286"/>
      <c r="Y339" s="286"/>
      <c r="Z339" s="286"/>
      <c r="AA339" s="275"/>
      <c r="AB339" s="275"/>
      <c r="AC339" s="275"/>
      <c r="AD339" s="290"/>
      <c r="AE339" s="286"/>
      <c r="AF339" s="286"/>
      <c r="AG339" s="286"/>
    </row>
    <row r="340" spans="2:33" ht="13.5">
      <c r="B340" s="273"/>
      <c r="C340" s="283"/>
      <c r="D340" s="283"/>
      <c r="E340" s="287"/>
      <c r="F340" s="287"/>
      <c r="G340" s="287"/>
      <c r="H340" s="199"/>
      <c r="I340" s="199"/>
      <c r="J340" s="199"/>
      <c r="K340" s="199"/>
      <c r="L340" s="199"/>
      <c r="M340" s="160"/>
      <c r="N340" s="161"/>
      <c r="O340" s="161"/>
      <c r="P340" s="288"/>
      <c r="Q340" s="156"/>
      <c r="R340" s="156"/>
      <c r="S340" s="157"/>
      <c r="T340" s="156"/>
      <c r="U340" s="156"/>
      <c r="V340" s="288"/>
      <c r="W340" s="288"/>
      <c r="X340" s="288"/>
      <c r="Y340" s="288"/>
      <c r="Z340" s="288"/>
      <c r="AA340" s="276"/>
      <c r="AB340" s="276"/>
      <c r="AC340" s="276"/>
      <c r="AD340" s="291"/>
      <c r="AE340" s="288"/>
      <c r="AF340" s="288"/>
      <c r="AG340" s="288"/>
    </row>
    <row r="341" spans="2:33" ht="13.5">
      <c r="B341" s="273">
        <v>94</v>
      </c>
      <c r="C341" s="283" t="s">
        <v>1049</v>
      </c>
      <c r="D341" s="283" t="s">
        <v>1046</v>
      </c>
      <c r="E341" s="282" t="s">
        <v>84</v>
      </c>
      <c r="F341" s="282" t="s">
        <v>823</v>
      </c>
      <c r="G341" s="282"/>
      <c r="H341" s="197" t="s">
        <v>853</v>
      </c>
      <c r="I341" s="197" t="s">
        <v>853</v>
      </c>
      <c r="J341" s="197" t="s">
        <v>853</v>
      </c>
      <c r="K341" s="197" t="s">
        <v>853</v>
      </c>
      <c r="L341" s="197" t="s">
        <v>853</v>
      </c>
      <c r="M341" s="154" t="s">
        <v>854</v>
      </c>
      <c r="N341" s="155" t="s">
        <v>1047</v>
      </c>
      <c r="O341" s="155">
        <v>4</v>
      </c>
      <c r="P341" s="284" t="s">
        <v>1048</v>
      </c>
      <c r="Q341" s="156"/>
      <c r="R341" s="156"/>
      <c r="S341" s="157"/>
      <c r="T341" s="156"/>
      <c r="U341" s="156"/>
      <c r="V341" s="284" t="s">
        <v>752</v>
      </c>
      <c r="W341" s="284" t="s">
        <v>752</v>
      </c>
      <c r="X341" s="284" t="s">
        <v>830</v>
      </c>
      <c r="Y341" s="284" t="s">
        <v>752</v>
      </c>
      <c r="Z341" s="284" t="s">
        <v>752</v>
      </c>
      <c r="AA341" s="274"/>
      <c r="AB341" s="274"/>
      <c r="AC341" s="274"/>
      <c r="AD341" s="284" t="s">
        <v>857</v>
      </c>
      <c r="AE341" s="284"/>
      <c r="AF341" s="284"/>
      <c r="AG341" s="284"/>
    </row>
    <row r="342" spans="2:33" ht="13.5">
      <c r="B342" s="273"/>
      <c r="C342" s="283"/>
      <c r="D342" s="283"/>
      <c r="E342" s="285"/>
      <c r="F342" s="285"/>
      <c r="G342" s="285"/>
      <c r="H342" s="198"/>
      <c r="I342" s="198"/>
      <c r="J342" s="198"/>
      <c r="K342" s="198"/>
      <c r="L342" s="198"/>
      <c r="M342" s="158" t="s">
        <v>695</v>
      </c>
      <c r="N342" s="159" t="s">
        <v>821</v>
      </c>
      <c r="O342" s="159">
        <v>10</v>
      </c>
      <c r="P342" s="286"/>
      <c r="Q342" s="156"/>
      <c r="R342" s="156"/>
      <c r="S342" s="157"/>
      <c r="T342" s="156"/>
      <c r="U342" s="156"/>
      <c r="V342" s="286"/>
      <c r="W342" s="286"/>
      <c r="X342" s="286"/>
      <c r="Y342" s="286"/>
      <c r="Z342" s="286"/>
      <c r="AA342" s="275"/>
      <c r="AB342" s="275"/>
      <c r="AC342" s="275"/>
      <c r="AD342" s="290"/>
      <c r="AE342" s="286"/>
      <c r="AF342" s="286"/>
      <c r="AG342" s="286"/>
    </row>
    <row r="343" spans="2:33" ht="13.5">
      <c r="B343" s="273"/>
      <c r="C343" s="283"/>
      <c r="D343" s="283"/>
      <c r="E343" s="287"/>
      <c r="F343" s="287"/>
      <c r="G343" s="287"/>
      <c r="H343" s="199"/>
      <c r="I343" s="199"/>
      <c r="J343" s="199"/>
      <c r="K343" s="199"/>
      <c r="L343" s="199"/>
      <c r="M343" s="160"/>
      <c r="N343" s="161"/>
      <c r="O343" s="161"/>
      <c r="P343" s="288"/>
      <c r="Q343" s="156"/>
      <c r="R343" s="156"/>
      <c r="S343" s="157"/>
      <c r="T343" s="156"/>
      <c r="U343" s="156"/>
      <c r="V343" s="288"/>
      <c r="W343" s="288"/>
      <c r="X343" s="288"/>
      <c r="Y343" s="288"/>
      <c r="Z343" s="288"/>
      <c r="AA343" s="276"/>
      <c r="AB343" s="276"/>
      <c r="AC343" s="276"/>
      <c r="AD343" s="291"/>
      <c r="AE343" s="288"/>
      <c r="AF343" s="288"/>
      <c r="AG343" s="288"/>
    </row>
    <row r="344" spans="2:33" ht="13.5">
      <c r="B344" s="273">
        <v>95</v>
      </c>
      <c r="C344" s="283" t="s">
        <v>1050</v>
      </c>
      <c r="D344" s="283" t="s">
        <v>1046</v>
      </c>
      <c r="E344" s="282" t="s">
        <v>84</v>
      </c>
      <c r="F344" s="282" t="s">
        <v>825</v>
      </c>
      <c r="G344" s="282"/>
      <c r="H344" s="197" t="s">
        <v>853</v>
      </c>
      <c r="I344" s="197" t="s">
        <v>853</v>
      </c>
      <c r="J344" s="197" t="s">
        <v>853</v>
      </c>
      <c r="K344" s="197" t="s">
        <v>853</v>
      </c>
      <c r="L344" s="197" t="s">
        <v>853</v>
      </c>
      <c r="M344" s="154" t="s">
        <v>854</v>
      </c>
      <c r="N344" s="155" t="s">
        <v>1047</v>
      </c>
      <c r="O344" s="155">
        <v>4</v>
      </c>
      <c r="P344" s="284" t="s">
        <v>1048</v>
      </c>
      <c r="Q344" s="156"/>
      <c r="R344" s="156"/>
      <c r="S344" s="157"/>
      <c r="T344" s="156"/>
      <c r="U344" s="156"/>
      <c r="V344" s="284" t="s">
        <v>752</v>
      </c>
      <c r="W344" s="284" t="s">
        <v>752</v>
      </c>
      <c r="X344" s="284" t="s">
        <v>830</v>
      </c>
      <c r="Y344" s="284" t="s">
        <v>752</v>
      </c>
      <c r="Z344" s="284" t="s">
        <v>752</v>
      </c>
      <c r="AA344" s="274"/>
      <c r="AB344" s="274"/>
      <c r="AC344" s="274"/>
      <c r="AD344" s="284" t="s">
        <v>857</v>
      </c>
      <c r="AE344" s="284"/>
      <c r="AF344" s="284"/>
      <c r="AG344" s="284"/>
    </row>
    <row r="345" spans="2:33" ht="13.5">
      <c r="B345" s="273"/>
      <c r="C345" s="283"/>
      <c r="D345" s="283"/>
      <c r="E345" s="285"/>
      <c r="F345" s="285"/>
      <c r="G345" s="285"/>
      <c r="H345" s="198"/>
      <c r="I345" s="198"/>
      <c r="J345" s="198"/>
      <c r="K345" s="198"/>
      <c r="L345" s="198"/>
      <c r="M345" s="158" t="s">
        <v>695</v>
      </c>
      <c r="N345" s="159" t="s">
        <v>821</v>
      </c>
      <c r="O345" s="159">
        <v>10</v>
      </c>
      <c r="P345" s="286"/>
      <c r="Q345" s="156"/>
      <c r="R345" s="156"/>
      <c r="S345" s="157"/>
      <c r="T345" s="156"/>
      <c r="U345" s="156"/>
      <c r="V345" s="286"/>
      <c r="W345" s="286"/>
      <c r="X345" s="286"/>
      <c r="Y345" s="286"/>
      <c r="Z345" s="286"/>
      <c r="AA345" s="275"/>
      <c r="AB345" s="275"/>
      <c r="AC345" s="275"/>
      <c r="AD345" s="290"/>
      <c r="AE345" s="286"/>
      <c r="AF345" s="286"/>
      <c r="AG345" s="286"/>
    </row>
    <row r="346" spans="2:33" ht="13.5">
      <c r="B346" s="273"/>
      <c r="C346" s="283"/>
      <c r="D346" s="283"/>
      <c r="E346" s="287"/>
      <c r="F346" s="287"/>
      <c r="G346" s="287"/>
      <c r="H346" s="199"/>
      <c r="I346" s="199"/>
      <c r="J346" s="199"/>
      <c r="K346" s="199"/>
      <c r="L346" s="199"/>
      <c r="M346" s="160"/>
      <c r="N346" s="161"/>
      <c r="O346" s="161"/>
      <c r="P346" s="288"/>
      <c r="Q346" s="156"/>
      <c r="R346" s="156"/>
      <c r="S346" s="157"/>
      <c r="T346" s="156"/>
      <c r="U346" s="156"/>
      <c r="V346" s="288"/>
      <c r="W346" s="288"/>
      <c r="X346" s="288"/>
      <c r="Y346" s="288"/>
      <c r="Z346" s="288"/>
      <c r="AA346" s="276"/>
      <c r="AB346" s="276"/>
      <c r="AC346" s="276"/>
      <c r="AD346" s="291"/>
      <c r="AE346" s="288"/>
      <c r="AF346" s="288"/>
      <c r="AG346" s="288"/>
    </row>
    <row r="347" spans="2:33" ht="13.5">
      <c r="B347" s="273">
        <v>96</v>
      </c>
      <c r="C347" s="283" t="s">
        <v>1051</v>
      </c>
      <c r="D347" s="283" t="s">
        <v>1052</v>
      </c>
      <c r="E347" s="282" t="s">
        <v>84</v>
      </c>
      <c r="F347" s="282" t="s">
        <v>818</v>
      </c>
      <c r="G347" s="282"/>
      <c r="H347" s="197" t="s">
        <v>853</v>
      </c>
      <c r="I347" s="197" t="s">
        <v>853</v>
      </c>
      <c r="J347" s="197" t="s">
        <v>853</v>
      </c>
      <c r="K347" s="197" t="s">
        <v>853</v>
      </c>
      <c r="L347" s="197" t="s">
        <v>853</v>
      </c>
      <c r="M347" s="154" t="s">
        <v>854</v>
      </c>
      <c r="N347" s="155" t="s">
        <v>1053</v>
      </c>
      <c r="O347" s="155">
        <v>4</v>
      </c>
      <c r="P347" s="284" t="s">
        <v>1054</v>
      </c>
      <c r="Q347" s="156"/>
      <c r="R347" s="156"/>
      <c r="S347" s="157"/>
      <c r="T347" s="156"/>
      <c r="U347" s="156"/>
      <c r="V347" s="284" t="s">
        <v>752</v>
      </c>
      <c r="W347" s="284" t="s">
        <v>752</v>
      </c>
      <c r="X347" s="284" t="s">
        <v>830</v>
      </c>
      <c r="Y347" s="284" t="s">
        <v>752</v>
      </c>
      <c r="Z347" s="284" t="s">
        <v>752</v>
      </c>
      <c r="AA347" s="274"/>
      <c r="AB347" s="274"/>
      <c r="AC347" s="274"/>
      <c r="AD347" s="284" t="s">
        <v>857</v>
      </c>
      <c r="AE347" s="284"/>
      <c r="AF347" s="284"/>
      <c r="AG347" s="284"/>
    </row>
    <row r="348" spans="2:33" ht="13.5">
      <c r="B348" s="273"/>
      <c r="C348" s="283"/>
      <c r="D348" s="283"/>
      <c r="E348" s="285"/>
      <c r="F348" s="285"/>
      <c r="G348" s="285"/>
      <c r="H348" s="198"/>
      <c r="I348" s="198"/>
      <c r="J348" s="198"/>
      <c r="K348" s="198"/>
      <c r="L348" s="198"/>
      <c r="M348" s="158" t="s">
        <v>695</v>
      </c>
      <c r="N348" s="159" t="s">
        <v>821</v>
      </c>
      <c r="O348" s="159">
        <v>10</v>
      </c>
      <c r="P348" s="286"/>
      <c r="Q348" s="156"/>
      <c r="R348" s="156"/>
      <c r="S348" s="157"/>
      <c r="T348" s="156"/>
      <c r="U348" s="156"/>
      <c r="V348" s="286"/>
      <c r="W348" s="286"/>
      <c r="X348" s="286"/>
      <c r="Y348" s="286"/>
      <c r="Z348" s="286"/>
      <c r="AA348" s="275"/>
      <c r="AB348" s="275"/>
      <c r="AC348" s="275"/>
      <c r="AD348" s="290"/>
      <c r="AE348" s="286"/>
      <c r="AF348" s="286"/>
      <c r="AG348" s="286"/>
    </row>
    <row r="349" spans="2:33" ht="13.5">
      <c r="B349" s="273"/>
      <c r="C349" s="283"/>
      <c r="D349" s="283"/>
      <c r="E349" s="287"/>
      <c r="F349" s="287"/>
      <c r="G349" s="287"/>
      <c r="H349" s="199"/>
      <c r="I349" s="199"/>
      <c r="J349" s="199"/>
      <c r="K349" s="199"/>
      <c r="L349" s="199"/>
      <c r="M349" s="160"/>
      <c r="N349" s="161"/>
      <c r="O349" s="161"/>
      <c r="P349" s="288"/>
      <c r="Q349" s="156"/>
      <c r="R349" s="156"/>
      <c r="S349" s="157"/>
      <c r="T349" s="156"/>
      <c r="U349" s="156"/>
      <c r="V349" s="288"/>
      <c r="W349" s="288"/>
      <c r="X349" s="288"/>
      <c r="Y349" s="288"/>
      <c r="Z349" s="288"/>
      <c r="AA349" s="276"/>
      <c r="AB349" s="276"/>
      <c r="AC349" s="276"/>
      <c r="AD349" s="291"/>
      <c r="AE349" s="288"/>
      <c r="AF349" s="288"/>
      <c r="AG349" s="288"/>
    </row>
    <row r="350" spans="2:33" ht="13.5">
      <c r="B350" s="273">
        <v>97</v>
      </c>
      <c r="C350" s="283" t="s">
        <v>1055</v>
      </c>
      <c r="D350" s="283" t="s">
        <v>1052</v>
      </c>
      <c r="E350" s="282" t="s">
        <v>84</v>
      </c>
      <c r="F350" s="282" t="s">
        <v>823</v>
      </c>
      <c r="G350" s="282"/>
      <c r="H350" s="197" t="s">
        <v>853</v>
      </c>
      <c r="I350" s="197" t="s">
        <v>853</v>
      </c>
      <c r="J350" s="197" t="s">
        <v>853</v>
      </c>
      <c r="K350" s="197" t="s">
        <v>853</v>
      </c>
      <c r="L350" s="197" t="s">
        <v>853</v>
      </c>
      <c r="M350" s="154" t="s">
        <v>854</v>
      </c>
      <c r="N350" s="155" t="s">
        <v>1053</v>
      </c>
      <c r="O350" s="155">
        <v>4</v>
      </c>
      <c r="P350" s="284" t="s">
        <v>1054</v>
      </c>
      <c r="Q350" s="156"/>
      <c r="R350" s="156"/>
      <c r="S350" s="157"/>
      <c r="T350" s="156"/>
      <c r="U350" s="156"/>
      <c r="V350" s="284" t="s">
        <v>752</v>
      </c>
      <c r="W350" s="284" t="s">
        <v>752</v>
      </c>
      <c r="X350" s="284" t="s">
        <v>830</v>
      </c>
      <c r="Y350" s="284" t="s">
        <v>752</v>
      </c>
      <c r="Z350" s="284" t="s">
        <v>752</v>
      </c>
      <c r="AA350" s="274"/>
      <c r="AB350" s="274"/>
      <c r="AC350" s="274"/>
      <c r="AD350" s="284" t="s">
        <v>857</v>
      </c>
      <c r="AE350" s="284"/>
      <c r="AF350" s="284"/>
      <c r="AG350" s="284"/>
    </row>
    <row r="351" spans="2:33" ht="13.5">
      <c r="B351" s="273"/>
      <c r="C351" s="283"/>
      <c r="D351" s="283"/>
      <c r="E351" s="285"/>
      <c r="F351" s="285"/>
      <c r="G351" s="285"/>
      <c r="H351" s="198"/>
      <c r="I351" s="198"/>
      <c r="J351" s="198"/>
      <c r="K351" s="198"/>
      <c r="L351" s="198"/>
      <c r="M351" s="158" t="s">
        <v>695</v>
      </c>
      <c r="N351" s="159" t="s">
        <v>821</v>
      </c>
      <c r="O351" s="159">
        <v>10</v>
      </c>
      <c r="P351" s="286"/>
      <c r="Q351" s="156"/>
      <c r="R351" s="156"/>
      <c r="S351" s="157"/>
      <c r="T351" s="156"/>
      <c r="U351" s="156"/>
      <c r="V351" s="286"/>
      <c r="W351" s="286"/>
      <c r="X351" s="286"/>
      <c r="Y351" s="286"/>
      <c r="Z351" s="286"/>
      <c r="AA351" s="275"/>
      <c r="AB351" s="275"/>
      <c r="AC351" s="275"/>
      <c r="AD351" s="290"/>
      <c r="AE351" s="286"/>
      <c r="AF351" s="286"/>
      <c r="AG351" s="286"/>
    </row>
    <row r="352" spans="2:33" ht="13.5">
      <c r="B352" s="273"/>
      <c r="C352" s="283"/>
      <c r="D352" s="283"/>
      <c r="E352" s="287"/>
      <c r="F352" s="287"/>
      <c r="G352" s="287"/>
      <c r="H352" s="199"/>
      <c r="I352" s="199"/>
      <c r="J352" s="199"/>
      <c r="K352" s="199"/>
      <c r="L352" s="199"/>
      <c r="M352" s="160"/>
      <c r="N352" s="161"/>
      <c r="O352" s="161"/>
      <c r="P352" s="288"/>
      <c r="Q352" s="156"/>
      <c r="R352" s="156"/>
      <c r="S352" s="157"/>
      <c r="T352" s="156"/>
      <c r="U352" s="156"/>
      <c r="V352" s="288"/>
      <c r="W352" s="288"/>
      <c r="X352" s="288"/>
      <c r="Y352" s="288"/>
      <c r="Z352" s="288"/>
      <c r="AA352" s="276"/>
      <c r="AB352" s="276"/>
      <c r="AC352" s="276"/>
      <c r="AD352" s="291"/>
      <c r="AE352" s="288"/>
      <c r="AF352" s="288"/>
      <c r="AG352" s="288"/>
    </row>
    <row r="353" spans="2:33" ht="13.5">
      <c r="B353" s="273">
        <v>98</v>
      </c>
      <c r="C353" s="283" t="s">
        <v>1056</v>
      </c>
      <c r="D353" s="283" t="s">
        <v>1052</v>
      </c>
      <c r="E353" s="282" t="s">
        <v>84</v>
      </c>
      <c r="F353" s="282" t="s">
        <v>825</v>
      </c>
      <c r="G353" s="282"/>
      <c r="H353" s="197" t="s">
        <v>853</v>
      </c>
      <c r="I353" s="197" t="s">
        <v>853</v>
      </c>
      <c r="J353" s="197" t="s">
        <v>853</v>
      </c>
      <c r="K353" s="197" t="s">
        <v>853</v>
      </c>
      <c r="L353" s="197" t="s">
        <v>853</v>
      </c>
      <c r="M353" s="154" t="s">
        <v>854</v>
      </c>
      <c r="N353" s="155" t="s">
        <v>1053</v>
      </c>
      <c r="O353" s="155">
        <v>4</v>
      </c>
      <c r="P353" s="284" t="s">
        <v>1054</v>
      </c>
      <c r="Q353" s="156"/>
      <c r="R353" s="156"/>
      <c r="S353" s="157"/>
      <c r="T353" s="156"/>
      <c r="U353" s="156"/>
      <c r="V353" s="284" t="s">
        <v>752</v>
      </c>
      <c r="W353" s="284" t="s">
        <v>752</v>
      </c>
      <c r="X353" s="284" t="s">
        <v>830</v>
      </c>
      <c r="Y353" s="284" t="s">
        <v>752</v>
      </c>
      <c r="Z353" s="284" t="s">
        <v>752</v>
      </c>
      <c r="AA353" s="274"/>
      <c r="AB353" s="274"/>
      <c r="AC353" s="274"/>
      <c r="AD353" s="284" t="s">
        <v>857</v>
      </c>
      <c r="AE353" s="284"/>
      <c r="AF353" s="284"/>
      <c r="AG353" s="284"/>
    </row>
    <row r="354" spans="2:33" ht="13.5">
      <c r="B354" s="273"/>
      <c r="C354" s="283"/>
      <c r="D354" s="283"/>
      <c r="E354" s="285"/>
      <c r="F354" s="285"/>
      <c r="G354" s="285"/>
      <c r="H354" s="198"/>
      <c r="I354" s="198"/>
      <c r="J354" s="198"/>
      <c r="K354" s="198"/>
      <c r="L354" s="198"/>
      <c r="M354" s="158" t="s">
        <v>695</v>
      </c>
      <c r="N354" s="159" t="s">
        <v>821</v>
      </c>
      <c r="O354" s="159">
        <v>10</v>
      </c>
      <c r="P354" s="286"/>
      <c r="Q354" s="156"/>
      <c r="R354" s="156"/>
      <c r="S354" s="157"/>
      <c r="T354" s="156"/>
      <c r="U354" s="156"/>
      <c r="V354" s="286"/>
      <c r="W354" s="286"/>
      <c r="X354" s="286"/>
      <c r="Y354" s="286"/>
      <c r="Z354" s="286"/>
      <c r="AA354" s="275"/>
      <c r="AB354" s="275"/>
      <c r="AC354" s="275"/>
      <c r="AD354" s="290"/>
      <c r="AE354" s="286"/>
      <c r="AF354" s="286"/>
      <c r="AG354" s="286"/>
    </row>
    <row r="355" spans="2:33" ht="13.5">
      <c r="B355" s="273"/>
      <c r="C355" s="283"/>
      <c r="D355" s="283"/>
      <c r="E355" s="287"/>
      <c r="F355" s="287"/>
      <c r="G355" s="287"/>
      <c r="H355" s="199"/>
      <c r="I355" s="199"/>
      <c r="J355" s="199"/>
      <c r="K355" s="199"/>
      <c r="L355" s="199"/>
      <c r="M355" s="160"/>
      <c r="N355" s="161"/>
      <c r="O355" s="161"/>
      <c r="P355" s="288"/>
      <c r="Q355" s="156"/>
      <c r="R355" s="156"/>
      <c r="S355" s="157"/>
      <c r="T355" s="156"/>
      <c r="U355" s="156"/>
      <c r="V355" s="288"/>
      <c r="W355" s="288"/>
      <c r="X355" s="288"/>
      <c r="Y355" s="288"/>
      <c r="Z355" s="288"/>
      <c r="AA355" s="276"/>
      <c r="AB355" s="276"/>
      <c r="AC355" s="276"/>
      <c r="AD355" s="291"/>
      <c r="AE355" s="288"/>
      <c r="AF355" s="288"/>
      <c r="AG355" s="288"/>
    </row>
    <row r="356" spans="2:33" ht="13.5">
      <c r="B356" s="273">
        <v>99</v>
      </c>
      <c r="C356" s="283" t="s">
        <v>1057</v>
      </c>
      <c r="D356" s="283" t="s">
        <v>1058</v>
      </c>
      <c r="E356" s="282" t="s">
        <v>84</v>
      </c>
      <c r="F356" s="282" t="s">
        <v>818</v>
      </c>
      <c r="G356" s="282"/>
      <c r="H356" s="197" t="s">
        <v>853</v>
      </c>
      <c r="I356" s="197" t="s">
        <v>853</v>
      </c>
      <c r="J356" s="197" t="s">
        <v>853</v>
      </c>
      <c r="K356" s="197" t="s">
        <v>853</v>
      </c>
      <c r="L356" s="197" t="s">
        <v>853</v>
      </c>
      <c r="M356" s="154" t="s">
        <v>854</v>
      </c>
      <c r="N356" s="155" t="s">
        <v>1059</v>
      </c>
      <c r="O356" s="155">
        <v>4</v>
      </c>
      <c r="P356" s="284" t="s">
        <v>1060</v>
      </c>
      <c r="Q356" s="156"/>
      <c r="R356" s="156"/>
      <c r="S356" s="157"/>
      <c r="T356" s="156"/>
      <c r="U356" s="156"/>
      <c r="V356" s="284" t="s">
        <v>752</v>
      </c>
      <c r="W356" s="284" t="s">
        <v>752</v>
      </c>
      <c r="X356" s="284" t="s">
        <v>830</v>
      </c>
      <c r="Y356" s="284" t="s">
        <v>752</v>
      </c>
      <c r="Z356" s="284" t="s">
        <v>752</v>
      </c>
      <c r="AA356" s="274"/>
      <c r="AB356" s="274"/>
      <c r="AC356" s="274"/>
      <c r="AD356" s="284" t="s">
        <v>857</v>
      </c>
      <c r="AE356" s="284"/>
      <c r="AF356" s="284"/>
      <c r="AG356" s="284"/>
    </row>
    <row r="357" spans="2:33" ht="13.5">
      <c r="B357" s="273"/>
      <c r="C357" s="283"/>
      <c r="D357" s="283"/>
      <c r="E357" s="285"/>
      <c r="F357" s="285"/>
      <c r="G357" s="285"/>
      <c r="H357" s="198"/>
      <c r="I357" s="198"/>
      <c r="J357" s="198"/>
      <c r="K357" s="198"/>
      <c r="L357" s="198"/>
      <c r="M357" s="158" t="s">
        <v>695</v>
      </c>
      <c r="N357" s="159" t="s">
        <v>821</v>
      </c>
      <c r="O357" s="159">
        <v>10</v>
      </c>
      <c r="P357" s="286"/>
      <c r="Q357" s="156"/>
      <c r="R357" s="156"/>
      <c r="S357" s="157"/>
      <c r="T357" s="156"/>
      <c r="U357" s="156"/>
      <c r="V357" s="286"/>
      <c r="W357" s="286"/>
      <c r="X357" s="286"/>
      <c r="Y357" s="286"/>
      <c r="Z357" s="286"/>
      <c r="AA357" s="275"/>
      <c r="AB357" s="275"/>
      <c r="AC357" s="275"/>
      <c r="AD357" s="290"/>
      <c r="AE357" s="286"/>
      <c r="AF357" s="286"/>
      <c r="AG357" s="286"/>
    </row>
    <row r="358" spans="2:33" ht="13.5">
      <c r="B358" s="273"/>
      <c r="C358" s="283"/>
      <c r="D358" s="283"/>
      <c r="E358" s="287"/>
      <c r="F358" s="287"/>
      <c r="G358" s="287"/>
      <c r="H358" s="199"/>
      <c r="I358" s="199"/>
      <c r="J358" s="199"/>
      <c r="K358" s="199"/>
      <c r="L358" s="199"/>
      <c r="M358" s="160"/>
      <c r="N358" s="161"/>
      <c r="O358" s="161"/>
      <c r="P358" s="288"/>
      <c r="Q358" s="156"/>
      <c r="R358" s="156"/>
      <c r="S358" s="157"/>
      <c r="T358" s="156"/>
      <c r="U358" s="156"/>
      <c r="V358" s="288"/>
      <c r="W358" s="288"/>
      <c r="X358" s="288"/>
      <c r="Y358" s="288"/>
      <c r="Z358" s="288"/>
      <c r="AA358" s="276"/>
      <c r="AB358" s="276"/>
      <c r="AC358" s="276"/>
      <c r="AD358" s="291"/>
      <c r="AE358" s="288"/>
      <c r="AF358" s="288"/>
      <c r="AG358" s="288"/>
    </row>
    <row r="359" spans="2:33" ht="13.5">
      <c r="B359" s="273">
        <v>100</v>
      </c>
      <c r="C359" s="283" t="s">
        <v>1061</v>
      </c>
      <c r="D359" s="283" t="s">
        <v>1058</v>
      </c>
      <c r="E359" s="282" t="s">
        <v>84</v>
      </c>
      <c r="F359" s="282" t="s">
        <v>823</v>
      </c>
      <c r="G359" s="282"/>
      <c r="H359" s="197" t="s">
        <v>853</v>
      </c>
      <c r="I359" s="197" t="s">
        <v>853</v>
      </c>
      <c r="J359" s="197" t="s">
        <v>853</v>
      </c>
      <c r="K359" s="197" t="s">
        <v>853</v>
      </c>
      <c r="L359" s="197" t="s">
        <v>853</v>
      </c>
      <c r="M359" s="154" t="s">
        <v>854</v>
      </c>
      <c r="N359" s="155" t="s">
        <v>1059</v>
      </c>
      <c r="O359" s="155">
        <v>4</v>
      </c>
      <c r="P359" s="284" t="s">
        <v>1060</v>
      </c>
      <c r="Q359" s="156"/>
      <c r="R359" s="156"/>
      <c r="S359" s="157"/>
      <c r="T359" s="156"/>
      <c r="U359" s="156"/>
      <c r="V359" s="284" t="s">
        <v>752</v>
      </c>
      <c r="W359" s="284" t="s">
        <v>752</v>
      </c>
      <c r="X359" s="284" t="s">
        <v>830</v>
      </c>
      <c r="Y359" s="284" t="s">
        <v>752</v>
      </c>
      <c r="Z359" s="284" t="s">
        <v>752</v>
      </c>
      <c r="AA359" s="274"/>
      <c r="AB359" s="274"/>
      <c r="AC359" s="274"/>
      <c r="AD359" s="284" t="s">
        <v>857</v>
      </c>
      <c r="AE359" s="284"/>
      <c r="AF359" s="284"/>
      <c r="AG359" s="284"/>
    </row>
    <row r="360" spans="2:33" ht="13.5">
      <c r="B360" s="273"/>
      <c r="C360" s="283"/>
      <c r="D360" s="283"/>
      <c r="E360" s="285"/>
      <c r="F360" s="285"/>
      <c r="G360" s="285"/>
      <c r="H360" s="198"/>
      <c r="I360" s="198"/>
      <c r="J360" s="198"/>
      <c r="K360" s="198"/>
      <c r="L360" s="198"/>
      <c r="M360" s="158" t="s">
        <v>695</v>
      </c>
      <c r="N360" s="159" t="s">
        <v>821</v>
      </c>
      <c r="O360" s="159">
        <v>10</v>
      </c>
      <c r="P360" s="286"/>
      <c r="Q360" s="156"/>
      <c r="R360" s="156"/>
      <c r="S360" s="157"/>
      <c r="T360" s="156"/>
      <c r="U360" s="156"/>
      <c r="V360" s="286"/>
      <c r="W360" s="286"/>
      <c r="X360" s="286"/>
      <c r="Y360" s="286"/>
      <c r="Z360" s="286"/>
      <c r="AA360" s="275"/>
      <c r="AB360" s="275"/>
      <c r="AC360" s="275"/>
      <c r="AD360" s="290"/>
      <c r="AE360" s="286"/>
      <c r="AF360" s="286"/>
      <c r="AG360" s="286"/>
    </row>
    <row r="361" spans="2:33" ht="13.5">
      <c r="B361" s="273"/>
      <c r="C361" s="283"/>
      <c r="D361" s="283"/>
      <c r="E361" s="287"/>
      <c r="F361" s="287"/>
      <c r="G361" s="287"/>
      <c r="H361" s="199"/>
      <c r="I361" s="199"/>
      <c r="J361" s="199"/>
      <c r="K361" s="199"/>
      <c r="L361" s="199"/>
      <c r="M361" s="160"/>
      <c r="N361" s="161"/>
      <c r="O361" s="161"/>
      <c r="P361" s="288"/>
      <c r="Q361" s="156"/>
      <c r="R361" s="156"/>
      <c r="S361" s="157"/>
      <c r="T361" s="156"/>
      <c r="U361" s="156"/>
      <c r="V361" s="288"/>
      <c r="W361" s="288"/>
      <c r="X361" s="288"/>
      <c r="Y361" s="288"/>
      <c r="Z361" s="288"/>
      <c r="AA361" s="276"/>
      <c r="AB361" s="276"/>
      <c r="AC361" s="276"/>
      <c r="AD361" s="291"/>
      <c r="AE361" s="288"/>
      <c r="AF361" s="288"/>
      <c r="AG361" s="288"/>
    </row>
    <row r="362" spans="2:33" ht="13.5">
      <c r="B362" s="273">
        <v>101</v>
      </c>
      <c r="C362" s="283" t="s">
        <v>1062</v>
      </c>
      <c r="D362" s="283" t="s">
        <v>1058</v>
      </c>
      <c r="E362" s="282" t="s">
        <v>84</v>
      </c>
      <c r="F362" s="282" t="s">
        <v>825</v>
      </c>
      <c r="G362" s="282"/>
      <c r="H362" s="197" t="s">
        <v>853</v>
      </c>
      <c r="I362" s="197" t="s">
        <v>853</v>
      </c>
      <c r="J362" s="197" t="s">
        <v>853</v>
      </c>
      <c r="K362" s="197" t="s">
        <v>853</v>
      </c>
      <c r="L362" s="197" t="s">
        <v>853</v>
      </c>
      <c r="M362" s="154" t="s">
        <v>854</v>
      </c>
      <c r="N362" s="155" t="s">
        <v>1059</v>
      </c>
      <c r="O362" s="155">
        <v>4</v>
      </c>
      <c r="P362" s="284" t="s">
        <v>1060</v>
      </c>
      <c r="Q362" s="156"/>
      <c r="R362" s="156"/>
      <c r="S362" s="157"/>
      <c r="T362" s="156"/>
      <c r="U362" s="156"/>
      <c r="V362" s="284" t="s">
        <v>752</v>
      </c>
      <c r="W362" s="284" t="s">
        <v>752</v>
      </c>
      <c r="X362" s="284" t="s">
        <v>830</v>
      </c>
      <c r="Y362" s="284" t="s">
        <v>752</v>
      </c>
      <c r="Z362" s="284" t="s">
        <v>752</v>
      </c>
      <c r="AA362" s="274"/>
      <c r="AB362" s="274"/>
      <c r="AC362" s="274"/>
      <c r="AD362" s="284" t="s">
        <v>857</v>
      </c>
      <c r="AE362" s="284"/>
      <c r="AF362" s="284"/>
      <c r="AG362" s="284"/>
    </row>
    <row r="363" spans="2:33" ht="13.5">
      <c r="B363" s="273"/>
      <c r="C363" s="283"/>
      <c r="D363" s="283"/>
      <c r="E363" s="285"/>
      <c r="F363" s="285"/>
      <c r="G363" s="285"/>
      <c r="H363" s="198"/>
      <c r="I363" s="198"/>
      <c r="J363" s="198"/>
      <c r="K363" s="198"/>
      <c r="L363" s="198"/>
      <c r="M363" s="158" t="s">
        <v>695</v>
      </c>
      <c r="N363" s="159" t="s">
        <v>821</v>
      </c>
      <c r="O363" s="159">
        <v>10</v>
      </c>
      <c r="P363" s="286"/>
      <c r="Q363" s="156"/>
      <c r="R363" s="156"/>
      <c r="S363" s="157"/>
      <c r="T363" s="156"/>
      <c r="U363" s="156"/>
      <c r="V363" s="286"/>
      <c r="W363" s="286"/>
      <c r="X363" s="286"/>
      <c r="Y363" s="286"/>
      <c r="Z363" s="286"/>
      <c r="AA363" s="275"/>
      <c r="AB363" s="275"/>
      <c r="AC363" s="275"/>
      <c r="AD363" s="290"/>
      <c r="AE363" s="286"/>
      <c r="AF363" s="286"/>
      <c r="AG363" s="286"/>
    </row>
    <row r="364" spans="2:33" ht="13.5">
      <c r="B364" s="273"/>
      <c r="C364" s="283"/>
      <c r="D364" s="283"/>
      <c r="E364" s="287"/>
      <c r="F364" s="287"/>
      <c r="G364" s="287"/>
      <c r="H364" s="199"/>
      <c r="I364" s="199"/>
      <c r="J364" s="199"/>
      <c r="K364" s="199"/>
      <c r="L364" s="199"/>
      <c r="M364" s="160"/>
      <c r="N364" s="161"/>
      <c r="O364" s="161"/>
      <c r="P364" s="288"/>
      <c r="Q364" s="156"/>
      <c r="R364" s="156"/>
      <c r="S364" s="157"/>
      <c r="T364" s="156"/>
      <c r="U364" s="156"/>
      <c r="V364" s="288"/>
      <c r="W364" s="288"/>
      <c r="X364" s="288"/>
      <c r="Y364" s="288"/>
      <c r="Z364" s="288"/>
      <c r="AA364" s="276"/>
      <c r="AB364" s="276"/>
      <c r="AC364" s="276"/>
      <c r="AD364" s="291"/>
      <c r="AE364" s="288"/>
      <c r="AF364" s="288"/>
      <c r="AG364" s="288"/>
    </row>
    <row r="365" spans="2:33" ht="13.5">
      <c r="B365" s="273">
        <v>102</v>
      </c>
      <c r="C365" s="283" t="s">
        <v>1063</v>
      </c>
      <c r="D365" s="283" t="s">
        <v>1064</v>
      </c>
      <c r="E365" s="282" t="s">
        <v>84</v>
      </c>
      <c r="F365" s="282" t="s">
        <v>818</v>
      </c>
      <c r="G365" s="282"/>
      <c r="H365" s="197" t="s">
        <v>853</v>
      </c>
      <c r="I365" s="197" t="s">
        <v>853</v>
      </c>
      <c r="J365" s="197" t="s">
        <v>853</v>
      </c>
      <c r="K365" s="197" t="s">
        <v>853</v>
      </c>
      <c r="L365" s="197" t="s">
        <v>853</v>
      </c>
      <c r="M365" s="154" t="s">
        <v>854</v>
      </c>
      <c r="N365" s="155" t="s">
        <v>1065</v>
      </c>
      <c r="O365" s="155">
        <v>4</v>
      </c>
      <c r="P365" s="284" t="s">
        <v>1066</v>
      </c>
      <c r="Q365" s="156"/>
      <c r="R365" s="156"/>
      <c r="S365" s="157"/>
      <c r="T365" s="156"/>
      <c r="U365" s="156"/>
      <c r="V365" s="284" t="s">
        <v>752</v>
      </c>
      <c r="W365" s="284" t="s">
        <v>752</v>
      </c>
      <c r="X365" s="284" t="s">
        <v>830</v>
      </c>
      <c r="Y365" s="284" t="s">
        <v>752</v>
      </c>
      <c r="Z365" s="284" t="s">
        <v>752</v>
      </c>
      <c r="AA365" s="274"/>
      <c r="AB365" s="274"/>
      <c r="AC365" s="274"/>
      <c r="AD365" s="284" t="s">
        <v>857</v>
      </c>
      <c r="AE365" s="284"/>
      <c r="AF365" s="284"/>
      <c r="AG365" s="284"/>
    </row>
    <row r="366" spans="2:33" ht="13.5">
      <c r="B366" s="273"/>
      <c r="C366" s="283"/>
      <c r="D366" s="283"/>
      <c r="E366" s="285"/>
      <c r="F366" s="285"/>
      <c r="G366" s="285"/>
      <c r="H366" s="198"/>
      <c r="I366" s="198"/>
      <c r="J366" s="198"/>
      <c r="K366" s="198"/>
      <c r="L366" s="198"/>
      <c r="M366" s="158" t="s">
        <v>695</v>
      </c>
      <c r="N366" s="159" t="s">
        <v>821</v>
      </c>
      <c r="O366" s="159">
        <v>10</v>
      </c>
      <c r="P366" s="286"/>
      <c r="Q366" s="156"/>
      <c r="R366" s="156"/>
      <c r="S366" s="157"/>
      <c r="T366" s="156"/>
      <c r="U366" s="156"/>
      <c r="V366" s="286"/>
      <c r="W366" s="286"/>
      <c r="X366" s="286"/>
      <c r="Y366" s="286"/>
      <c r="Z366" s="286"/>
      <c r="AA366" s="275"/>
      <c r="AB366" s="275"/>
      <c r="AC366" s="275"/>
      <c r="AD366" s="290"/>
      <c r="AE366" s="286"/>
      <c r="AF366" s="286"/>
      <c r="AG366" s="286"/>
    </row>
    <row r="367" spans="2:33" ht="13.5">
      <c r="B367" s="273"/>
      <c r="C367" s="283"/>
      <c r="D367" s="283"/>
      <c r="E367" s="287"/>
      <c r="F367" s="287"/>
      <c r="G367" s="287"/>
      <c r="H367" s="199"/>
      <c r="I367" s="199"/>
      <c r="J367" s="199"/>
      <c r="K367" s="199"/>
      <c r="L367" s="199"/>
      <c r="M367" s="160"/>
      <c r="N367" s="161"/>
      <c r="O367" s="161"/>
      <c r="P367" s="288"/>
      <c r="Q367" s="156"/>
      <c r="R367" s="156"/>
      <c r="S367" s="157"/>
      <c r="T367" s="156"/>
      <c r="U367" s="156"/>
      <c r="V367" s="288"/>
      <c r="W367" s="288"/>
      <c r="X367" s="288"/>
      <c r="Y367" s="288"/>
      <c r="Z367" s="288"/>
      <c r="AA367" s="276"/>
      <c r="AB367" s="276"/>
      <c r="AC367" s="276"/>
      <c r="AD367" s="291"/>
      <c r="AE367" s="288"/>
      <c r="AF367" s="288"/>
      <c r="AG367" s="288"/>
    </row>
    <row r="368" spans="2:33" ht="13.5">
      <c r="B368" s="273">
        <v>103</v>
      </c>
      <c r="C368" s="283" t="s">
        <v>1067</v>
      </c>
      <c r="D368" s="283" t="s">
        <v>1064</v>
      </c>
      <c r="E368" s="282" t="s">
        <v>84</v>
      </c>
      <c r="F368" s="282" t="s">
        <v>823</v>
      </c>
      <c r="G368" s="282"/>
      <c r="H368" s="197" t="s">
        <v>853</v>
      </c>
      <c r="I368" s="197" t="s">
        <v>853</v>
      </c>
      <c r="J368" s="197" t="s">
        <v>853</v>
      </c>
      <c r="K368" s="197" t="s">
        <v>853</v>
      </c>
      <c r="L368" s="197" t="s">
        <v>853</v>
      </c>
      <c r="M368" s="154" t="s">
        <v>854</v>
      </c>
      <c r="N368" s="155" t="s">
        <v>1065</v>
      </c>
      <c r="O368" s="155">
        <v>4</v>
      </c>
      <c r="P368" s="284" t="s">
        <v>1066</v>
      </c>
      <c r="Q368" s="156"/>
      <c r="R368" s="156"/>
      <c r="S368" s="157"/>
      <c r="T368" s="156"/>
      <c r="U368" s="156"/>
      <c r="V368" s="284" t="s">
        <v>752</v>
      </c>
      <c r="W368" s="284" t="s">
        <v>752</v>
      </c>
      <c r="X368" s="284" t="s">
        <v>830</v>
      </c>
      <c r="Y368" s="284" t="s">
        <v>752</v>
      </c>
      <c r="Z368" s="284" t="s">
        <v>752</v>
      </c>
      <c r="AA368" s="274"/>
      <c r="AB368" s="274"/>
      <c r="AC368" s="274"/>
      <c r="AD368" s="284" t="s">
        <v>857</v>
      </c>
      <c r="AE368" s="284"/>
      <c r="AF368" s="284"/>
      <c r="AG368" s="284"/>
    </row>
    <row r="369" spans="2:33" ht="13.5">
      <c r="B369" s="273"/>
      <c r="C369" s="283"/>
      <c r="D369" s="283"/>
      <c r="E369" s="285"/>
      <c r="F369" s="285"/>
      <c r="G369" s="285"/>
      <c r="H369" s="198"/>
      <c r="I369" s="198"/>
      <c r="J369" s="198"/>
      <c r="K369" s="198"/>
      <c r="L369" s="198"/>
      <c r="M369" s="158" t="s">
        <v>695</v>
      </c>
      <c r="N369" s="159" t="s">
        <v>821</v>
      </c>
      <c r="O369" s="159">
        <v>10</v>
      </c>
      <c r="P369" s="286"/>
      <c r="Q369" s="156"/>
      <c r="R369" s="156"/>
      <c r="S369" s="157"/>
      <c r="T369" s="156"/>
      <c r="U369" s="156"/>
      <c r="V369" s="286"/>
      <c r="W369" s="286"/>
      <c r="X369" s="286"/>
      <c r="Y369" s="286"/>
      <c r="Z369" s="286"/>
      <c r="AA369" s="275"/>
      <c r="AB369" s="275"/>
      <c r="AC369" s="275"/>
      <c r="AD369" s="290"/>
      <c r="AE369" s="286"/>
      <c r="AF369" s="286"/>
      <c r="AG369" s="286"/>
    </row>
    <row r="370" spans="2:33" ht="13.5">
      <c r="B370" s="273"/>
      <c r="C370" s="283"/>
      <c r="D370" s="283"/>
      <c r="E370" s="287"/>
      <c r="F370" s="287"/>
      <c r="G370" s="287"/>
      <c r="H370" s="199"/>
      <c r="I370" s="199"/>
      <c r="J370" s="199"/>
      <c r="K370" s="199"/>
      <c r="L370" s="199"/>
      <c r="M370" s="160"/>
      <c r="N370" s="161"/>
      <c r="O370" s="161"/>
      <c r="P370" s="288"/>
      <c r="Q370" s="156"/>
      <c r="R370" s="156"/>
      <c r="S370" s="157"/>
      <c r="T370" s="156"/>
      <c r="U370" s="156"/>
      <c r="V370" s="288"/>
      <c r="W370" s="288"/>
      <c r="X370" s="288"/>
      <c r="Y370" s="288"/>
      <c r="Z370" s="288"/>
      <c r="AA370" s="276"/>
      <c r="AB370" s="276"/>
      <c r="AC370" s="276"/>
      <c r="AD370" s="291"/>
      <c r="AE370" s="288"/>
      <c r="AF370" s="288"/>
      <c r="AG370" s="288"/>
    </row>
    <row r="371" spans="2:33" ht="13.5">
      <c r="B371" s="273">
        <v>104</v>
      </c>
      <c r="C371" s="283" t="s">
        <v>1068</v>
      </c>
      <c r="D371" s="283" t="s">
        <v>1064</v>
      </c>
      <c r="E371" s="282" t="s">
        <v>84</v>
      </c>
      <c r="F371" s="282" t="s">
        <v>825</v>
      </c>
      <c r="G371" s="282"/>
      <c r="H371" s="197" t="s">
        <v>853</v>
      </c>
      <c r="I371" s="197" t="s">
        <v>853</v>
      </c>
      <c r="J371" s="197" t="s">
        <v>853</v>
      </c>
      <c r="K371" s="197" t="s">
        <v>853</v>
      </c>
      <c r="L371" s="197" t="s">
        <v>853</v>
      </c>
      <c r="M371" s="154" t="s">
        <v>854</v>
      </c>
      <c r="N371" s="200" t="s">
        <v>1065</v>
      </c>
      <c r="O371" s="200">
        <v>4</v>
      </c>
      <c r="P371" s="284" t="s">
        <v>1066</v>
      </c>
      <c r="Q371" s="156"/>
      <c r="R371" s="156"/>
      <c r="S371" s="157"/>
      <c r="T371" s="156"/>
      <c r="U371" s="156"/>
      <c r="V371" s="284" t="s">
        <v>752</v>
      </c>
      <c r="W371" s="284" t="s">
        <v>752</v>
      </c>
      <c r="X371" s="284" t="s">
        <v>830</v>
      </c>
      <c r="Y371" s="284" t="s">
        <v>752</v>
      </c>
      <c r="Z371" s="284" t="s">
        <v>752</v>
      </c>
      <c r="AA371" s="274"/>
      <c r="AB371" s="274"/>
      <c r="AC371" s="274"/>
      <c r="AD371" s="284" t="s">
        <v>857</v>
      </c>
      <c r="AE371" s="284"/>
      <c r="AF371" s="284"/>
      <c r="AG371" s="284"/>
    </row>
    <row r="372" spans="2:33" ht="13.5">
      <c r="B372" s="273"/>
      <c r="C372" s="283"/>
      <c r="D372" s="283"/>
      <c r="E372" s="285"/>
      <c r="F372" s="285"/>
      <c r="G372" s="285"/>
      <c r="H372" s="198"/>
      <c r="I372" s="198"/>
      <c r="J372" s="198"/>
      <c r="K372" s="198"/>
      <c r="L372" s="198"/>
      <c r="M372" s="158" t="s">
        <v>695</v>
      </c>
      <c r="N372" s="159" t="s">
        <v>821</v>
      </c>
      <c r="O372" s="159">
        <v>10</v>
      </c>
      <c r="P372" s="286"/>
      <c r="Q372" s="156"/>
      <c r="R372" s="156"/>
      <c r="S372" s="157"/>
      <c r="T372" s="156"/>
      <c r="U372" s="156"/>
      <c r="V372" s="286"/>
      <c r="W372" s="286"/>
      <c r="X372" s="286"/>
      <c r="Y372" s="286"/>
      <c r="Z372" s="286"/>
      <c r="AA372" s="275"/>
      <c r="AB372" s="275"/>
      <c r="AC372" s="275"/>
      <c r="AD372" s="290"/>
      <c r="AE372" s="286"/>
      <c r="AF372" s="286"/>
      <c r="AG372" s="286"/>
    </row>
    <row r="373" spans="2:33" ht="13.5">
      <c r="B373" s="273"/>
      <c r="C373" s="283"/>
      <c r="D373" s="283"/>
      <c r="E373" s="287"/>
      <c r="F373" s="287"/>
      <c r="G373" s="287"/>
      <c r="H373" s="199"/>
      <c r="I373" s="199"/>
      <c r="J373" s="199"/>
      <c r="K373" s="199"/>
      <c r="L373" s="199"/>
      <c r="M373" s="160"/>
      <c r="N373" s="161"/>
      <c r="O373" s="161"/>
      <c r="P373" s="288"/>
      <c r="Q373" s="156"/>
      <c r="R373" s="156"/>
      <c r="S373" s="157"/>
      <c r="T373" s="156"/>
      <c r="U373" s="156"/>
      <c r="V373" s="288"/>
      <c r="W373" s="288"/>
      <c r="X373" s="288"/>
      <c r="Y373" s="288"/>
      <c r="Z373" s="288"/>
      <c r="AA373" s="276"/>
      <c r="AB373" s="276"/>
      <c r="AC373" s="276"/>
      <c r="AD373" s="291"/>
      <c r="AE373" s="288"/>
      <c r="AF373" s="288"/>
      <c r="AG373" s="288"/>
    </row>
    <row r="374" spans="2:33" ht="13.5">
      <c r="B374" s="273">
        <v>105</v>
      </c>
      <c r="C374" s="283" t="s">
        <v>1069</v>
      </c>
      <c r="D374" s="283" t="s">
        <v>1070</v>
      </c>
      <c r="E374" s="282" t="s">
        <v>84</v>
      </c>
      <c r="F374" s="282" t="s">
        <v>818</v>
      </c>
      <c r="G374" s="282"/>
      <c r="H374" s="197" t="s">
        <v>853</v>
      </c>
      <c r="I374" s="197" t="s">
        <v>853</v>
      </c>
      <c r="J374" s="197" t="s">
        <v>853</v>
      </c>
      <c r="K374" s="197" t="s">
        <v>853</v>
      </c>
      <c r="L374" s="197" t="s">
        <v>853</v>
      </c>
      <c r="M374" s="154" t="s">
        <v>854</v>
      </c>
      <c r="N374" s="200" t="s">
        <v>1071</v>
      </c>
      <c r="O374" s="200">
        <v>4</v>
      </c>
      <c r="P374" s="284" t="s">
        <v>1072</v>
      </c>
      <c r="Q374" s="156"/>
      <c r="R374" s="156"/>
      <c r="S374" s="157"/>
      <c r="T374" s="156"/>
      <c r="U374" s="156"/>
      <c r="V374" s="284" t="s">
        <v>752</v>
      </c>
      <c r="W374" s="284" t="s">
        <v>752</v>
      </c>
      <c r="X374" s="284" t="s">
        <v>830</v>
      </c>
      <c r="Y374" s="284" t="s">
        <v>752</v>
      </c>
      <c r="Z374" s="284" t="s">
        <v>752</v>
      </c>
      <c r="AA374" s="274"/>
      <c r="AB374" s="274"/>
      <c r="AC374" s="274"/>
      <c r="AD374" s="284" t="s">
        <v>857</v>
      </c>
      <c r="AE374" s="284"/>
      <c r="AF374" s="284"/>
      <c r="AG374" s="284"/>
    </row>
    <row r="375" spans="2:33" ht="13.5">
      <c r="B375" s="273"/>
      <c r="C375" s="283"/>
      <c r="D375" s="283"/>
      <c r="E375" s="285"/>
      <c r="F375" s="285"/>
      <c r="G375" s="285"/>
      <c r="H375" s="198"/>
      <c r="I375" s="198"/>
      <c r="J375" s="198"/>
      <c r="K375" s="198"/>
      <c r="L375" s="198"/>
      <c r="M375" s="158" t="s">
        <v>695</v>
      </c>
      <c r="N375" s="159" t="s">
        <v>821</v>
      </c>
      <c r="O375" s="159">
        <v>10</v>
      </c>
      <c r="P375" s="286"/>
      <c r="Q375" s="156"/>
      <c r="R375" s="156"/>
      <c r="S375" s="157"/>
      <c r="T375" s="156"/>
      <c r="U375" s="156"/>
      <c r="V375" s="286"/>
      <c r="W375" s="286"/>
      <c r="X375" s="286"/>
      <c r="Y375" s="286"/>
      <c r="Z375" s="286"/>
      <c r="AA375" s="275"/>
      <c r="AB375" s="275"/>
      <c r="AC375" s="275"/>
      <c r="AD375" s="290"/>
      <c r="AE375" s="286"/>
      <c r="AF375" s="286"/>
      <c r="AG375" s="286"/>
    </row>
    <row r="376" spans="2:33" ht="13.5">
      <c r="B376" s="273"/>
      <c r="C376" s="283"/>
      <c r="D376" s="283"/>
      <c r="E376" s="287"/>
      <c r="F376" s="287"/>
      <c r="G376" s="287"/>
      <c r="H376" s="199"/>
      <c r="I376" s="199"/>
      <c r="J376" s="199"/>
      <c r="K376" s="199"/>
      <c r="L376" s="199"/>
      <c r="M376" s="160"/>
      <c r="N376" s="161"/>
      <c r="O376" s="161"/>
      <c r="P376" s="288"/>
      <c r="Q376" s="156"/>
      <c r="R376" s="156"/>
      <c r="S376" s="157"/>
      <c r="T376" s="156"/>
      <c r="U376" s="156"/>
      <c r="V376" s="288"/>
      <c r="W376" s="288"/>
      <c r="X376" s="288"/>
      <c r="Y376" s="288"/>
      <c r="Z376" s="288"/>
      <c r="AA376" s="276"/>
      <c r="AB376" s="276"/>
      <c r="AC376" s="276"/>
      <c r="AD376" s="291"/>
      <c r="AE376" s="288"/>
      <c r="AF376" s="288"/>
      <c r="AG376" s="288"/>
    </row>
    <row r="377" spans="2:33" ht="13.5">
      <c r="B377" s="273">
        <v>106</v>
      </c>
      <c r="C377" s="283" t="s">
        <v>1073</v>
      </c>
      <c r="D377" s="283" t="s">
        <v>1070</v>
      </c>
      <c r="E377" s="282" t="s">
        <v>84</v>
      </c>
      <c r="F377" s="282" t="s">
        <v>823</v>
      </c>
      <c r="G377" s="282"/>
      <c r="H377" s="197" t="s">
        <v>853</v>
      </c>
      <c r="I377" s="197" t="s">
        <v>853</v>
      </c>
      <c r="J377" s="197" t="s">
        <v>853</v>
      </c>
      <c r="K377" s="197" t="s">
        <v>853</v>
      </c>
      <c r="L377" s="197" t="s">
        <v>853</v>
      </c>
      <c r="M377" s="154" t="s">
        <v>854</v>
      </c>
      <c r="N377" s="200" t="s">
        <v>1071</v>
      </c>
      <c r="O377" s="200">
        <v>4</v>
      </c>
      <c r="P377" s="284" t="s">
        <v>1072</v>
      </c>
      <c r="Q377" s="156"/>
      <c r="R377" s="156"/>
      <c r="S377" s="157"/>
      <c r="T377" s="156"/>
      <c r="U377" s="156"/>
      <c r="V377" s="284" t="s">
        <v>752</v>
      </c>
      <c r="W377" s="284" t="s">
        <v>752</v>
      </c>
      <c r="X377" s="284" t="s">
        <v>830</v>
      </c>
      <c r="Y377" s="284" t="s">
        <v>752</v>
      </c>
      <c r="Z377" s="284" t="s">
        <v>752</v>
      </c>
      <c r="AA377" s="274"/>
      <c r="AB377" s="274"/>
      <c r="AC377" s="274"/>
      <c r="AD377" s="284" t="s">
        <v>857</v>
      </c>
      <c r="AE377" s="284"/>
      <c r="AF377" s="284"/>
      <c r="AG377" s="284"/>
    </row>
    <row r="378" spans="2:33" ht="13.5">
      <c r="B378" s="273"/>
      <c r="C378" s="283"/>
      <c r="D378" s="283"/>
      <c r="E378" s="285"/>
      <c r="F378" s="285"/>
      <c r="G378" s="285"/>
      <c r="H378" s="198"/>
      <c r="I378" s="198"/>
      <c r="J378" s="198"/>
      <c r="K378" s="198"/>
      <c r="L378" s="198"/>
      <c r="M378" s="158" t="s">
        <v>695</v>
      </c>
      <c r="N378" s="159" t="s">
        <v>821</v>
      </c>
      <c r="O378" s="159">
        <v>10</v>
      </c>
      <c r="P378" s="286"/>
      <c r="Q378" s="156"/>
      <c r="R378" s="156"/>
      <c r="S378" s="157"/>
      <c r="T378" s="156"/>
      <c r="U378" s="156"/>
      <c r="V378" s="286"/>
      <c r="W378" s="286"/>
      <c r="X378" s="286"/>
      <c r="Y378" s="286"/>
      <c r="Z378" s="286"/>
      <c r="AA378" s="275"/>
      <c r="AB378" s="275"/>
      <c r="AC378" s="275"/>
      <c r="AD378" s="290"/>
      <c r="AE378" s="286"/>
      <c r="AF378" s="286"/>
      <c r="AG378" s="286"/>
    </row>
    <row r="379" spans="2:33" ht="13.5">
      <c r="B379" s="273"/>
      <c r="C379" s="283"/>
      <c r="D379" s="283"/>
      <c r="E379" s="287"/>
      <c r="F379" s="287"/>
      <c r="G379" s="287"/>
      <c r="H379" s="199"/>
      <c r="I379" s="199"/>
      <c r="J379" s="199"/>
      <c r="K379" s="199"/>
      <c r="L379" s="199"/>
      <c r="M379" s="160"/>
      <c r="N379" s="161"/>
      <c r="O379" s="161"/>
      <c r="P379" s="288"/>
      <c r="Q379" s="156"/>
      <c r="R379" s="156"/>
      <c r="S379" s="157"/>
      <c r="T379" s="156"/>
      <c r="U379" s="156"/>
      <c r="V379" s="288"/>
      <c r="W379" s="288"/>
      <c r="X379" s="288"/>
      <c r="Y379" s="288"/>
      <c r="Z379" s="288"/>
      <c r="AA379" s="276"/>
      <c r="AB379" s="276"/>
      <c r="AC379" s="276"/>
      <c r="AD379" s="291"/>
      <c r="AE379" s="288"/>
      <c r="AF379" s="288"/>
      <c r="AG379" s="288"/>
    </row>
    <row r="380" spans="2:33" ht="13.5">
      <c r="B380" s="273">
        <v>107</v>
      </c>
      <c r="C380" s="283" t="s">
        <v>1074</v>
      </c>
      <c r="D380" s="283" t="s">
        <v>1070</v>
      </c>
      <c r="E380" s="282" t="s">
        <v>84</v>
      </c>
      <c r="F380" s="282" t="s">
        <v>825</v>
      </c>
      <c r="G380" s="282"/>
      <c r="H380" s="197" t="s">
        <v>853</v>
      </c>
      <c r="I380" s="197" t="s">
        <v>853</v>
      </c>
      <c r="J380" s="197" t="s">
        <v>853</v>
      </c>
      <c r="K380" s="197" t="s">
        <v>853</v>
      </c>
      <c r="L380" s="197" t="s">
        <v>853</v>
      </c>
      <c r="M380" s="154" t="s">
        <v>854</v>
      </c>
      <c r="N380" s="155" t="s">
        <v>1071</v>
      </c>
      <c r="O380" s="155">
        <v>4</v>
      </c>
      <c r="P380" s="284" t="s">
        <v>1072</v>
      </c>
      <c r="Q380" s="156"/>
      <c r="R380" s="156"/>
      <c r="S380" s="157"/>
      <c r="T380" s="156"/>
      <c r="U380" s="156"/>
      <c r="V380" s="284" t="s">
        <v>752</v>
      </c>
      <c r="W380" s="284" t="s">
        <v>752</v>
      </c>
      <c r="X380" s="284" t="s">
        <v>830</v>
      </c>
      <c r="Y380" s="284" t="s">
        <v>752</v>
      </c>
      <c r="Z380" s="284" t="s">
        <v>752</v>
      </c>
      <c r="AA380" s="274"/>
      <c r="AB380" s="274"/>
      <c r="AC380" s="274"/>
      <c r="AD380" s="284" t="s">
        <v>857</v>
      </c>
      <c r="AE380" s="284"/>
      <c r="AF380" s="284"/>
      <c r="AG380" s="284"/>
    </row>
    <row r="381" spans="2:33" ht="13.5">
      <c r="B381" s="273"/>
      <c r="C381" s="283"/>
      <c r="D381" s="283"/>
      <c r="E381" s="285"/>
      <c r="F381" s="285"/>
      <c r="G381" s="285"/>
      <c r="H381" s="198"/>
      <c r="I381" s="198"/>
      <c r="J381" s="198"/>
      <c r="K381" s="198"/>
      <c r="L381" s="198"/>
      <c r="M381" s="158" t="s">
        <v>695</v>
      </c>
      <c r="N381" s="159" t="s">
        <v>821</v>
      </c>
      <c r="O381" s="159">
        <v>10</v>
      </c>
      <c r="P381" s="286"/>
      <c r="Q381" s="156"/>
      <c r="R381" s="156"/>
      <c r="S381" s="157"/>
      <c r="T381" s="156"/>
      <c r="U381" s="156"/>
      <c r="V381" s="286"/>
      <c r="W381" s="286"/>
      <c r="X381" s="286"/>
      <c r="Y381" s="286"/>
      <c r="Z381" s="286"/>
      <c r="AA381" s="275"/>
      <c r="AB381" s="275"/>
      <c r="AC381" s="275"/>
      <c r="AD381" s="290"/>
      <c r="AE381" s="286"/>
      <c r="AF381" s="286"/>
      <c r="AG381" s="286"/>
    </row>
    <row r="382" spans="2:33" ht="13.5">
      <c r="B382" s="273"/>
      <c r="C382" s="283"/>
      <c r="D382" s="283"/>
      <c r="E382" s="287"/>
      <c r="F382" s="287"/>
      <c r="G382" s="287"/>
      <c r="H382" s="199"/>
      <c r="I382" s="199"/>
      <c r="J382" s="199"/>
      <c r="K382" s="199"/>
      <c r="L382" s="199"/>
      <c r="M382" s="160"/>
      <c r="N382" s="161"/>
      <c r="O382" s="161"/>
      <c r="P382" s="288"/>
      <c r="Q382" s="156"/>
      <c r="R382" s="156"/>
      <c r="S382" s="157"/>
      <c r="T382" s="156"/>
      <c r="U382" s="156"/>
      <c r="V382" s="288"/>
      <c r="W382" s="288"/>
      <c r="X382" s="288"/>
      <c r="Y382" s="288"/>
      <c r="Z382" s="288"/>
      <c r="AA382" s="276"/>
      <c r="AB382" s="276"/>
      <c r="AC382" s="276"/>
      <c r="AD382" s="291"/>
      <c r="AE382" s="288"/>
      <c r="AF382" s="288"/>
      <c r="AG382" s="288"/>
    </row>
    <row r="383" spans="2:33" ht="13.5">
      <c r="B383" s="273">
        <v>108</v>
      </c>
      <c r="C383" s="283" t="s">
        <v>1075</v>
      </c>
      <c r="D383" s="283" t="s">
        <v>1076</v>
      </c>
      <c r="E383" s="282" t="s">
        <v>84</v>
      </c>
      <c r="F383" s="282" t="s">
        <v>818</v>
      </c>
      <c r="G383" s="282"/>
      <c r="H383" s="197" t="s">
        <v>853</v>
      </c>
      <c r="I383" s="197" t="s">
        <v>853</v>
      </c>
      <c r="J383" s="197" t="s">
        <v>853</v>
      </c>
      <c r="K383" s="197" t="s">
        <v>853</v>
      </c>
      <c r="L383" s="197" t="s">
        <v>853</v>
      </c>
      <c r="M383" s="154" t="s">
        <v>854</v>
      </c>
      <c r="N383" s="155" t="s">
        <v>1077</v>
      </c>
      <c r="O383" s="155">
        <v>4</v>
      </c>
      <c r="P383" s="284" t="s">
        <v>1078</v>
      </c>
      <c r="Q383" s="156"/>
      <c r="R383" s="156"/>
      <c r="S383" s="157"/>
      <c r="T383" s="156"/>
      <c r="U383" s="156"/>
      <c r="V383" s="284" t="s">
        <v>752</v>
      </c>
      <c r="W383" s="284" t="s">
        <v>752</v>
      </c>
      <c r="X383" s="284" t="s">
        <v>830</v>
      </c>
      <c r="Y383" s="284" t="s">
        <v>752</v>
      </c>
      <c r="Z383" s="284" t="s">
        <v>752</v>
      </c>
      <c r="AA383" s="274"/>
      <c r="AB383" s="274"/>
      <c r="AC383" s="274"/>
      <c r="AD383" s="284" t="s">
        <v>857</v>
      </c>
      <c r="AE383" s="284"/>
      <c r="AF383" s="284"/>
      <c r="AG383" s="284"/>
    </row>
    <row r="384" spans="2:33" ht="13.5">
      <c r="B384" s="273"/>
      <c r="C384" s="283"/>
      <c r="D384" s="283"/>
      <c r="E384" s="285"/>
      <c r="F384" s="285"/>
      <c r="G384" s="285"/>
      <c r="H384" s="198"/>
      <c r="I384" s="198"/>
      <c r="J384" s="198"/>
      <c r="K384" s="198"/>
      <c r="L384" s="198"/>
      <c r="M384" s="158" t="s">
        <v>695</v>
      </c>
      <c r="N384" s="159" t="s">
        <v>821</v>
      </c>
      <c r="O384" s="159">
        <v>10</v>
      </c>
      <c r="P384" s="286"/>
      <c r="Q384" s="156"/>
      <c r="R384" s="156"/>
      <c r="S384" s="157"/>
      <c r="T384" s="156"/>
      <c r="U384" s="156"/>
      <c r="V384" s="286"/>
      <c r="W384" s="286"/>
      <c r="X384" s="286"/>
      <c r="Y384" s="286"/>
      <c r="Z384" s="286"/>
      <c r="AA384" s="275"/>
      <c r="AB384" s="275"/>
      <c r="AC384" s="275"/>
      <c r="AD384" s="290"/>
      <c r="AE384" s="286"/>
      <c r="AF384" s="286"/>
      <c r="AG384" s="286"/>
    </row>
    <row r="385" spans="2:33" ht="13.5">
      <c r="B385" s="273"/>
      <c r="C385" s="283"/>
      <c r="D385" s="283"/>
      <c r="E385" s="287"/>
      <c r="F385" s="287"/>
      <c r="G385" s="287"/>
      <c r="H385" s="199"/>
      <c r="I385" s="199"/>
      <c r="J385" s="199"/>
      <c r="K385" s="199"/>
      <c r="L385" s="199"/>
      <c r="M385" s="160"/>
      <c r="N385" s="161"/>
      <c r="O385" s="161"/>
      <c r="P385" s="288"/>
      <c r="Q385" s="156"/>
      <c r="R385" s="156"/>
      <c r="S385" s="157"/>
      <c r="T385" s="156"/>
      <c r="U385" s="156"/>
      <c r="V385" s="288"/>
      <c r="W385" s="288"/>
      <c r="X385" s="288"/>
      <c r="Y385" s="288"/>
      <c r="Z385" s="288"/>
      <c r="AA385" s="276"/>
      <c r="AB385" s="276"/>
      <c r="AC385" s="276"/>
      <c r="AD385" s="291"/>
      <c r="AE385" s="288"/>
      <c r="AF385" s="288"/>
      <c r="AG385" s="288"/>
    </row>
    <row r="386" spans="2:33" ht="13.5">
      <c r="B386" s="273">
        <v>109</v>
      </c>
      <c r="C386" s="283" t="s">
        <v>1079</v>
      </c>
      <c r="D386" s="283" t="s">
        <v>1076</v>
      </c>
      <c r="E386" s="282" t="s">
        <v>84</v>
      </c>
      <c r="F386" s="282" t="s">
        <v>823</v>
      </c>
      <c r="G386" s="282"/>
      <c r="H386" s="197" t="s">
        <v>853</v>
      </c>
      <c r="I386" s="197" t="s">
        <v>853</v>
      </c>
      <c r="J386" s="197" t="s">
        <v>853</v>
      </c>
      <c r="K386" s="197" t="s">
        <v>853</v>
      </c>
      <c r="L386" s="197" t="s">
        <v>853</v>
      </c>
      <c r="M386" s="154" t="s">
        <v>854</v>
      </c>
      <c r="N386" s="155" t="s">
        <v>1077</v>
      </c>
      <c r="O386" s="155">
        <v>4</v>
      </c>
      <c r="P386" s="284" t="s">
        <v>1078</v>
      </c>
      <c r="Q386" s="156"/>
      <c r="R386" s="156"/>
      <c r="S386" s="157"/>
      <c r="T386" s="156"/>
      <c r="U386" s="156"/>
      <c r="V386" s="284" t="s">
        <v>752</v>
      </c>
      <c r="W386" s="284" t="s">
        <v>752</v>
      </c>
      <c r="X386" s="284" t="s">
        <v>830</v>
      </c>
      <c r="Y386" s="284" t="s">
        <v>752</v>
      </c>
      <c r="Z386" s="284" t="s">
        <v>752</v>
      </c>
      <c r="AA386" s="274"/>
      <c r="AB386" s="274"/>
      <c r="AC386" s="274"/>
      <c r="AD386" s="284" t="s">
        <v>857</v>
      </c>
      <c r="AE386" s="284"/>
      <c r="AF386" s="284"/>
      <c r="AG386" s="284"/>
    </row>
    <row r="387" spans="2:33" ht="13.5">
      <c r="B387" s="273"/>
      <c r="C387" s="283"/>
      <c r="D387" s="283"/>
      <c r="E387" s="285"/>
      <c r="F387" s="285"/>
      <c r="G387" s="285"/>
      <c r="H387" s="198"/>
      <c r="I387" s="198"/>
      <c r="J387" s="198"/>
      <c r="K387" s="198"/>
      <c r="L387" s="198"/>
      <c r="M387" s="158" t="s">
        <v>695</v>
      </c>
      <c r="N387" s="159" t="s">
        <v>821</v>
      </c>
      <c r="O387" s="159">
        <v>10</v>
      </c>
      <c r="P387" s="286"/>
      <c r="Q387" s="156"/>
      <c r="R387" s="156"/>
      <c r="S387" s="157"/>
      <c r="T387" s="156"/>
      <c r="U387" s="156"/>
      <c r="V387" s="286"/>
      <c r="W387" s="286"/>
      <c r="X387" s="286"/>
      <c r="Y387" s="286"/>
      <c r="Z387" s="286"/>
      <c r="AA387" s="275"/>
      <c r="AB387" s="275"/>
      <c r="AC387" s="275"/>
      <c r="AD387" s="290"/>
      <c r="AE387" s="286"/>
      <c r="AF387" s="286"/>
      <c r="AG387" s="286"/>
    </row>
    <row r="388" spans="2:33" ht="13.5">
      <c r="B388" s="273"/>
      <c r="C388" s="283"/>
      <c r="D388" s="283"/>
      <c r="E388" s="287"/>
      <c r="F388" s="287"/>
      <c r="G388" s="287"/>
      <c r="H388" s="199"/>
      <c r="I388" s="199"/>
      <c r="J388" s="199"/>
      <c r="K388" s="199"/>
      <c r="L388" s="199"/>
      <c r="M388" s="160"/>
      <c r="N388" s="161"/>
      <c r="O388" s="161"/>
      <c r="P388" s="288"/>
      <c r="Q388" s="156"/>
      <c r="R388" s="156"/>
      <c r="S388" s="157"/>
      <c r="T388" s="156"/>
      <c r="U388" s="156"/>
      <c r="V388" s="288"/>
      <c r="W388" s="288"/>
      <c r="X388" s="288"/>
      <c r="Y388" s="288"/>
      <c r="Z388" s="288"/>
      <c r="AA388" s="276"/>
      <c r="AB388" s="276"/>
      <c r="AC388" s="276"/>
      <c r="AD388" s="291"/>
      <c r="AE388" s="288"/>
      <c r="AF388" s="288"/>
      <c r="AG388" s="288"/>
    </row>
    <row r="389" spans="2:33" ht="13.5">
      <c r="B389" s="273">
        <v>110</v>
      </c>
      <c r="C389" s="283" t="s">
        <v>1080</v>
      </c>
      <c r="D389" s="283" t="s">
        <v>1076</v>
      </c>
      <c r="E389" s="282" t="s">
        <v>84</v>
      </c>
      <c r="F389" s="282" t="s">
        <v>825</v>
      </c>
      <c r="G389" s="282"/>
      <c r="H389" s="197" t="s">
        <v>853</v>
      </c>
      <c r="I389" s="197" t="s">
        <v>853</v>
      </c>
      <c r="J389" s="197" t="s">
        <v>853</v>
      </c>
      <c r="K389" s="197" t="s">
        <v>853</v>
      </c>
      <c r="L389" s="197" t="s">
        <v>853</v>
      </c>
      <c r="M389" s="154" t="s">
        <v>854</v>
      </c>
      <c r="N389" s="155" t="s">
        <v>1077</v>
      </c>
      <c r="O389" s="155">
        <v>4</v>
      </c>
      <c r="P389" s="284" t="s">
        <v>1078</v>
      </c>
      <c r="Q389" s="156"/>
      <c r="R389" s="156"/>
      <c r="S389" s="157"/>
      <c r="T389" s="156"/>
      <c r="U389" s="156"/>
      <c r="V389" s="284" t="s">
        <v>752</v>
      </c>
      <c r="W389" s="284" t="s">
        <v>752</v>
      </c>
      <c r="X389" s="284" t="s">
        <v>830</v>
      </c>
      <c r="Y389" s="284" t="s">
        <v>752</v>
      </c>
      <c r="Z389" s="284" t="s">
        <v>752</v>
      </c>
      <c r="AA389" s="274"/>
      <c r="AB389" s="274"/>
      <c r="AC389" s="274"/>
      <c r="AD389" s="284" t="s">
        <v>857</v>
      </c>
      <c r="AE389" s="284"/>
      <c r="AF389" s="284"/>
      <c r="AG389" s="284"/>
    </row>
    <row r="390" spans="2:33" ht="13.5">
      <c r="B390" s="273"/>
      <c r="C390" s="283"/>
      <c r="D390" s="283"/>
      <c r="E390" s="285"/>
      <c r="F390" s="285"/>
      <c r="G390" s="285"/>
      <c r="H390" s="198"/>
      <c r="I390" s="198"/>
      <c r="J390" s="198"/>
      <c r="K390" s="198"/>
      <c r="L390" s="198"/>
      <c r="M390" s="158" t="s">
        <v>695</v>
      </c>
      <c r="N390" s="159" t="s">
        <v>821</v>
      </c>
      <c r="O390" s="159">
        <v>10</v>
      </c>
      <c r="P390" s="286"/>
      <c r="Q390" s="156"/>
      <c r="R390" s="156"/>
      <c r="S390" s="157"/>
      <c r="T390" s="156"/>
      <c r="U390" s="156"/>
      <c r="V390" s="286"/>
      <c r="W390" s="286"/>
      <c r="X390" s="286"/>
      <c r="Y390" s="286"/>
      <c r="Z390" s="286"/>
      <c r="AA390" s="275"/>
      <c r="AB390" s="275"/>
      <c r="AC390" s="275"/>
      <c r="AD390" s="290"/>
      <c r="AE390" s="286"/>
      <c r="AF390" s="286"/>
      <c r="AG390" s="286"/>
    </row>
    <row r="391" spans="2:33" ht="13.5">
      <c r="B391" s="273"/>
      <c r="C391" s="283"/>
      <c r="D391" s="283"/>
      <c r="E391" s="287"/>
      <c r="F391" s="287"/>
      <c r="G391" s="287"/>
      <c r="H391" s="199"/>
      <c r="I391" s="199"/>
      <c r="J391" s="199"/>
      <c r="K391" s="199"/>
      <c r="L391" s="199"/>
      <c r="M391" s="160"/>
      <c r="N391" s="161"/>
      <c r="O391" s="161"/>
      <c r="P391" s="288"/>
      <c r="Q391" s="156"/>
      <c r="R391" s="156"/>
      <c r="S391" s="157"/>
      <c r="T391" s="156"/>
      <c r="U391" s="156"/>
      <c r="V391" s="288"/>
      <c r="W391" s="288"/>
      <c r="X391" s="288"/>
      <c r="Y391" s="288"/>
      <c r="Z391" s="288"/>
      <c r="AA391" s="276"/>
      <c r="AB391" s="276"/>
      <c r="AC391" s="276"/>
      <c r="AD391" s="291"/>
      <c r="AE391" s="288"/>
      <c r="AF391" s="288"/>
      <c r="AG391" s="288"/>
    </row>
    <row r="392" spans="2:33" ht="13.5">
      <c r="B392" s="273">
        <v>111</v>
      </c>
      <c r="C392" s="283" t="s">
        <v>1081</v>
      </c>
      <c r="D392" s="283" t="s">
        <v>1082</v>
      </c>
      <c r="E392" s="282" t="s">
        <v>84</v>
      </c>
      <c r="F392" s="282" t="s">
        <v>818</v>
      </c>
      <c r="G392" s="282"/>
      <c r="H392" s="197" t="s">
        <v>853</v>
      </c>
      <c r="I392" s="197" t="s">
        <v>853</v>
      </c>
      <c r="J392" s="197" t="s">
        <v>853</v>
      </c>
      <c r="K392" s="197" t="s">
        <v>853</v>
      </c>
      <c r="L392" s="197" t="s">
        <v>853</v>
      </c>
      <c r="M392" s="154" t="s">
        <v>854</v>
      </c>
      <c r="N392" s="155" t="s">
        <v>1083</v>
      </c>
      <c r="O392" s="155">
        <v>6</v>
      </c>
      <c r="P392" s="284" t="s">
        <v>1084</v>
      </c>
      <c r="Q392" s="156"/>
      <c r="R392" s="156"/>
      <c r="S392" s="157"/>
      <c r="T392" s="156"/>
      <c r="U392" s="156"/>
      <c r="V392" s="284" t="s">
        <v>752</v>
      </c>
      <c r="W392" s="284" t="s">
        <v>752</v>
      </c>
      <c r="X392" s="284" t="s">
        <v>752</v>
      </c>
      <c r="Y392" s="284" t="s">
        <v>752</v>
      </c>
      <c r="Z392" s="284" t="s">
        <v>752</v>
      </c>
      <c r="AA392" s="274"/>
      <c r="AB392" s="274"/>
      <c r="AC392" s="274"/>
      <c r="AD392" s="284" t="s">
        <v>1085</v>
      </c>
      <c r="AE392" s="284">
        <v>5</v>
      </c>
      <c r="AF392" s="284"/>
      <c r="AG392" s="284"/>
    </row>
    <row r="393" spans="2:33" ht="13.5">
      <c r="B393" s="273"/>
      <c r="C393" s="283"/>
      <c r="D393" s="283"/>
      <c r="E393" s="285"/>
      <c r="F393" s="285"/>
      <c r="G393" s="285"/>
      <c r="H393" s="198"/>
      <c r="I393" s="198"/>
      <c r="J393" s="198"/>
      <c r="K393" s="198"/>
      <c r="L393" s="198"/>
      <c r="M393" s="158" t="s">
        <v>695</v>
      </c>
      <c r="N393" s="159" t="s">
        <v>821</v>
      </c>
      <c r="O393" s="159">
        <v>10</v>
      </c>
      <c r="P393" s="286"/>
      <c r="Q393" s="156"/>
      <c r="R393" s="156"/>
      <c r="S393" s="157"/>
      <c r="T393" s="156"/>
      <c r="U393" s="156"/>
      <c r="V393" s="286"/>
      <c r="W393" s="286"/>
      <c r="X393" s="286"/>
      <c r="Y393" s="286"/>
      <c r="Z393" s="286"/>
      <c r="AA393" s="275"/>
      <c r="AB393" s="275"/>
      <c r="AC393" s="275"/>
      <c r="AD393" s="290"/>
      <c r="AE393" s="286"/>
      <c r="AF393" s="286"/>
      <c r="AG393" s="286"/>
    </row>
    <row r="394" spans="2:33" ht="13.5">
      <c r="B394" s="273"/>
      <c r="C394" s="283"/>
      <c r="D394" s="283"/>
      <c r="E394" s="287"/>
      <c r="F394" s="287"/>
      <c r="G394" s="287"/>
      <c r="H394" s="199"/>
      <c r="I394" s="199"/>
      <c r="J394" s="199"/>
      <c r="K394" s="199"/>
      <c r="L394" s="199"/>
      <c r="M394" s="160"/>
      <c r="N394" s="161"/>
      <c r="O394" s="161"/>
      <c r="P394" s="288"/>
      <c r="Q394" s="156"/>
      <c r="R394" s="156"/>
      <c r="S394" s="157"/>
      <c r="T394" s="156"/>
      <c r="U394" s="156"/>
      <c r="V394" s="288"/>
      <c r="W394" s="288"/>
      <c r="X394" s="288"/>
      <c r="Y394" s="288"/>
      <c r="Z394" s="288"/>
      <c r="AA394" s="276"/>
      <c r="AB394" s="276"/>
      <c r="AC394" s="276"/>
      <c r="AD394" s="291"/>
      <c r="AE394" s="288"/>
      <c r="AF394" s="288"/>
      <c r="AG394" s="288"/>
    </row>
    <row r="395" spans="2:33" ht="13.5">
      <c r="B395" s="273">
        <v>112</v>
      </c>
      <c r="C395" s="283" t="s">
        <v>1086</v>
      </c>
      <c r="D395" s="283" t="s">
        <v>1082</v>
      </c>
      <c r="E395" s="282" t="s">
        <v>84</v>
      </c>
      <c r="F395" s="282" t="s">
        <v>823</v>
      </c>
      <c r="G395" s="282"/>
      <c r="H395" s="197" t="s">
        <v>853</v>
      </c>
      <c r="I395" s="197" t="s">
        <v>853</v>
      </c>
      <c r="J395" s="197" t="s">
        <v>853</v>
      </c>
      <c r="K395" s="197" t="s">
        <v>853</v>
      </c>
      <c r="L395" s="197" t="s">
        <v>853</v>
      </c>
      <c r="M395" s="154" t="s">
        <v>854</v>
      </c>
      <c r="N395" s="155" t="s">
        <v>1083</v>
      </c>
      <c r="O395" s="155">
        <v>6</v>
      </c>
      <c r="P395" s="284" t="s">
        <v>1084</v>
      </c>
      <c r="Q395" s="156"/>
      <c r="R395" s="156"/>
      <c r="S395" s="157"/>
      <c r="T395" s="156"/>
      <c r="U395" s="156"/>
      <c r="V395" s="284" t="s">
        <v>752</v>
      </c>
      <c r="W395" s="284" t="s">
        <v>752</v>
      </c>
      <c r="X395" s="284" t="s">
        <v>752</v>
      </c>
      <c r="Y395" s="284" t="s">
        <v>752</v>
      </c>
      <c r="Z395" s="284" t="s">
        <v>752</v>
      </c>
      <c r="AA395" s="274"/>
      <c r="AB395" s="274"/>
      <c r="AC395" s="274"/>
      <c r="AD395" s="284" t="s">
        <v>1085</v>
      </c>
      <c r="AE395" s="284">
        <v>5</v>
      </c>
      <c r="AF395" s="284"/>
      <c r="AG395" s="284"/>
    </row>
    <row r="396" spans="2:33" ht="13.5">
      <c r="B396" s="273"/>
      <c r="C396" s="283"/>
      <c r="D396" s="283"/>
      <c r="E396" s="285"/>
      <c r="F396" s="285"/>
      <c r="G396" s="285"/>
      <c r="H396" s="198"/>
      <c r="I396" s="198"/>
      <c r="J396" s="198"/>
      <c r="K396" s="198"/>
      <c r="L396" s="198"/>
      <c r="M396" s="158" t="s">
        <v>695</v>
      </c>
      <c r="N396" s="159" t="s">
        <v>821</v>
      </c>
      <c r="O396" s="159">
        <v>10</v>
      </c>
      <c r="P396" s="286"/>
      <c r="Q396" s="156"/>
      <c r="R396" s="156"/>
      <c r="S396" s="157"/>
      <c r="T396" s="156"/>
      <c r="U396" s="156"/>
      <c r="V396" s="286"/>
      <c r="W396" s="286"/>
      <c r="X396" s="286"/>
      <c r="Y396" s="286"/>
      <c r="Z396" s="286"/>
      <c r="AA396" s="275"/>
      <c r="AB396" s="275"/>
      <c r="AC396" s="275"/>
      <c r="AD396" s="290"/>
      <c r="AE396" s="286"/>
      <c r="AF396" s="286"/>
      <c r="AG396" s="286"/>
    </row>
    <row r="397" spans="2:33" ht="13.5">
      <c r="B397" s="273"/>
      <c r="C397" s="283"/>
      <c r="D397" s="283"/>
      <c r="E397" s="287"/>
      <c r="F397" s="287"/>
      <c r="G397" s="287"/>
      <c r="H397" s="199"/>
      <c r="I397" s="199"/>
      <c r="J397" s="199"/>
      <c r="K397" s="199"/>
      <c r="L397" s="199"/>
      <c r="M397" s="160"/>
      <c r="N397" s="161"/>
      <c r="O397" s="161"/>
      <c r="P397" s="288"/>
      <c r="Q397" s="156"/>
      <c r="R397" s="156"/>
      <c r="S397" s="157"/>
      <c r="T397" s="156"/>
      <c r="U397" s="156"/>
      <c r="V397" s="288"/>
      <c r="W397" s="288"/>
      <c r="X397" s="288"/>
      <c r="Y397" s="288"/>
      <c r="Z397" s="288"/>
      <c r="AA397" s="276"/>
      <c r="AB397" s="276"/>
      <c r="AC397" s="276"/>
      <c r="AD397" s="291"/>
      <c r="AE397" s="288"/>
      <c r="AF397" s="288"/>
      <c r="AG397" s="288"/>
    </row>
    <row r="398" spans="2:33" ht="13.5">
      <c r="B398" s="273">
        <v>113</v>
      </c>
      <c r="C398" s="283" t="s">
        <v>1087</v>
      </c>
      <c r="D398" s="283" t="s">
        <v>1082</v>
      </c>
      <c r="E398" s="282" t="s">
        <v>84</v>
      </c>
      <c r="F398" s="282" t="s">
        <v>825</v>
      </c>
      <c r="G398" s="282"/>
      <c r="H398" s="197" t="s">
        <v>853</v>
      </c>
      <c r="I398" s="197" t="s">
        <v>853</v>
      </c>
      <c r="J398" s="197" t="s">
        <v>853</v>
      </c>
      <c r="K398" s="197" t="s">
        <v>853</v>
      </c>
      <c r="L398" s="197" t="s">
        <v>853</v>
      </c>
      <c r="M398" s="154" t="s">
        <v>854</v>
      </c>
      <c r="N398" s="155" t="s">
        <v>1083</v>
      </c>
      <c r="O398" s="155">
        <v>6</v>
      </c>
      <c r="P398" s="284" t="s">
        <v>1084</v>
      </c>
      <c r="Q398" s="156"/>
      <c r="R398" s="156"/>
      <c r="S398" s="157"/>
      <c r="T398" s="156"/>
      <c r="U398" s="156"/>
      <c r="V398" s="284" t="s">
        <v>752</v>
      </c>
      <c r="W398" s="284" t="s">
        <v>752</v>
      </c>
      <c r="X398" s="284" t="s">
        <v>752</v>
      </c>
      <c r="Y398" s="284" t="s">
        <v>752</v>
      </c>
      <c r="Z398" s="284" t="s">
        <v>752</v>
      </c>
      <c r="AA398" s="274"/>
      <c r="AB398" s="274"/>
      <c r="AC398" s="274"/>
      <c r="AD398" s="284" t="s">
        <v>1085</v>
      </c>
      <c r="AE398" s="284">
        <v>5</v>
      </c>
      <c r="AF398" s="284"/>
      <c r="AG398" s="284"/>
    </row>
    <row r="399" spans="2:33" ht="13.5">
      <c r="B399" s="273"/>
      <c r="C399" s="283"/>
      <c r="D399" s="283"/>
      <c r="E399" s="285"/>
      <c r="F399" s="285"/>
      <c r="G399" s="285"/>
      <c r="H399" s="198"/>
      <c r="I399" s="198"/>
      <c r="J399" s="198"/>
      <c r="K399" s="198"/>
      <c r="L399" s="198"/>
      <c r="M399" s="158" t="s">
        <v>695</v>
      </c>
      <c r="N399" s="159" t="s">
        <v>821</v>
      </c>
      <c r="O399" s="159">
        <v>10</v>
      </c>
      <c r="P399" s="286"/>
      <c r="Q399" s="156"/>
      <c r="R399" s="156"/>
      <c r="S399" s="157"/>
      <c r="T399" s="156"/>
      <c r="U399" s="156"/>
      <c r="V399" s="286"/>
      <c r="W399" s="286"/>
      <c r="X399" s="286"/>
      <c r="Y399" s="286"/>
      <c r="Z399" s="286"/>
      <c r="AA399" s="275"/>
      <c r="AB399" s="275"/>
      <c r="AC399" s="275"/>
      <c r="AD399" s="290"/>
      <c r="AE399" s="286"/>
      <c r="AF399" s="286"/>
      <c r="AG399" s="286"/>
    </row>
    <row r="400" spans="2:33" ht="13.5">
      <c r="B400" s="273"/>
      <c r="C400" s="283"/>
      <c r="D400" s="283"/>
      <c r="E400" s="287"/>
      <c r="F400" s="287"/>
      <c r="G400" s="287"/>
      <c r="H400" s="199"/>
      <c r="I400" s="199"/>
      <c r="J400" s="199"/>
      <c r="K400" s="199"/>
      <c r="L400" s="199"/>
      <c r="M400" s="160"/>
      <c r="N400" s="161"/>
      <c r="O400" s="161"/>
      <c r="P400" s="288"/>
      <c r="Q400" s="156"/>
      <c r="R400" s="156"/>
      <c r="S400" s="157"/>
      <c r="T400" s="156"/>
      <c r="U400" s="156"/>
      <c r="V400" s="288"/>
      <c r="W400" s="288"/>
      <c r="X400" s="288"/>
      <c r="Y400" s="288"/>
      <c r="Z400" s="288"/>
      <c r="AA400" s="276"/>
      <c r="AB400" s="276"/>
      <c r="AC400" s="276"/>
      <c r="AD400" s="291"/>
      <c r="AE400" s="288"/>
      <c r="AF400" s="288"/>
      <c r="AG400" s="288"/>
    </row>
    <row r="401" spans="2:33" ht="13.5">
      <c r="B401" s="273">
        <v>114</v>
      </c>
      <c r="C401" s="283" t="s">
        <v>1088</v>
      </c>
      <c r="D401" s="283" t="s">
        <v>1089</v>
      </c>
      <c r="E401" s="282" t="s">
        <v>84</v>
      </c>
      <c r="F401" s="282" t="s">
        <v>818</v>
      </c>
      <c r="G401" s="282"/>
      <c r="H401" s="197" t="s">
        <v>853</v>
      </c>
      <c r="I401" s="197" t="s">
        <v>853</v>
      </c>
      <c r="J401" s="197" t="s">
        <v>853</v>
      </c>
      <c r="K401" s="197" t="s">
        <v>853</v>
      </c>
      <c r="L401" s="197" t="s">
        <v>853</v>
      </c>
      <c r="M401" s="154" t="s">
        <v>854</v>
      </c>
      <c r="N401" s="155" t="s">
        <v>1090</v>
      </c>
      <c r="O401" s="155">
        <v>4</v>
      </c>
      <c r="P401" s="284" t="s">
        <v>1091</v>
      </c>
      <c r="Q401" s="156"/>
      <c r="R401" s="156"/>
      <c r="S401" s="157"/>
      <c r="T401" s="156"/>
      <c r="U401" s="156"/>
      <c r="V401" s="284" t="s">
        <v>752</v>
      </c>
      <c r="W401" s="284" t="s">
        <v>752</v>
      </c>
      <c r="X401" s="284" t="s">
        <v>830</v>
      </c>
      <c r="Y401" s="284" t="s">
        <v>752</v>
      </c>
      <c r="Z401" s="284" t="s">
        <v>752</v>
      </c>
      <c r="AA401" s="274"/>
      <c r="AB401" s="274"/>
      <c r="AC401" s="274"/>
      <c r="AD401" s="284" t="s">
        <v>857</v>
      </c>
      <c r="AE401" s="284"/>
      <c r="AF401" s="284"/>
      <c r="AG401" s="284"/>
    </row>
    <row r="402" spans="2:33" ht="13.5">
      <c r="B402" s="273"/>
      <c r="C402" s="283"/>
      <c r="D402" s="283"/>
      <c r="E402" s="285"/>
      <c r="F402" s="285"/>
      <c r="G402" s="285"/>
      <c r="H402" s="198"/>
      <c r="I402" s="198"/>
      <c r="J402" s="198"/>
      <c r="K402" s="198"/>
      <c r="L402" s="198"/>
      <c r="M402" s="158" t="s">
        <v>695</v>
      </c>
      <c r="N402" s="159" t="s">
        <v>821</v>
      </c>
      <c r="O402" s="159">
        <v>10</v>
      </c>
      <c r="P402" s="286"/>
      <c r="Q402" s="156"/>
      <c r="R402" s="156"/>
      <c r="S402" s="157"/>
      <c r="T402" s="156"/>
      <c r="U402" s="156"/>
      <c r="V402" s="286"/>
      <c r="W402" s="286"/>
      <c r="X402" s="286"/>
      <c r="Y402" s="286"/>
      <c r="Z402" s="286"/>
      <c r="AA402" s="275"/>
      <c r="AB402" s="275"/>
      <c r="AC402" s="275"/>
      <c r="AD402" s="290"/>
      <c r="AE402" s="286"/>
      <c r="AF402" s="286"/>
      <c r="AG402" s="286"/>
    </row>
    <row r="403" spans="2:33" ht="13.5">
      <c r="B403" s="273"/>
      <c r="C403" s="283"/>
      <c r="D403" s="283"/>
      <c r="E403" s="287"/>
      <c r="F403" s="287"/>
      <c r="G403" s="287"/>
      <c r="H403" s="199"/>
      <c r="I403" s="199"/>
      <c r="J403" s="199"/>
      <c r="K403" s="199"/>
      <c r="L403" s="199"/>
      <c r="M403" s="160"/>
      <c r="N403" s="161"/>
      <c r="O403" s="161"/>
      <c r="P403" s="288"/>
      <c r="Q403" s="156"/>
      <c r="R403" s="156"/>
      <c r="S403" s="157"/>
      <c r="T403" s="156"/>
      <c r="U403" s="156"/>
      <c r="V403" s="288"/>
      <c r="W403" s="288"/>
      <c r="X403" s="288"/>
      <c r="Y403" s="288"/>
      <c r="Z403" s="288"/>
      <c r="AA403" s="276"/>
      <c r="AB403" s="276"/>
      <c r="AC403" s="276"/>
      <c r="AD403" s="291"/>
      <c r="AE403" s="288"/>
      <c r="AF403" s="288"/>
      <c r="AG403" s="288"/>
    </row>
    <row r="404" spans="2:33" ht="13.5">
      <c r="B404" s="273">
        <v>115</v>
      </c>
      <c r="C404" s="283" t="s">
        <v>1092</v>
      </c>
      <c r="D404" s="283" t="s">
        <v>1089</v>
      </c>
      <c r="E404" s="282" t="s">
        <v>84</v>
      </c>
      <c r="F404" s="282" t="s">
        <v>823</v>
      </c>
      <c r="G404" s="282"/>
      <c r="H404" s="197" t="s">
        <v>853</v>
      </c>
      <c r="I404" s="197" t="s">
        <v>853</v>
      </c>
      <c r="J404" s="197" t="s">
        <v>853</v>
      </c>
      <c r="K404" s="197" t="s">
        <v>853</v>
      </c>
      <c r="L404" s="197" t="s">
        <v>853</v>
      </c>
      <c r="M404" s="154" t="s">
        <v>854</v>
      </c>
      <c r="N404" s="155" t="s">
        <v>1090</v>
      </c>
      <c r="O404" s="155">
        <v>4</v>
      </c>
      <c r="P404" s="284" t="s">
        <v>1091</v>
      </c>
      <c r="Q404" s="156"/>
      <c r="R404" s="156"/>
      <c r="S404" s="157"/>
      <c r="T404" s="156"/>
      <c r="U404" s="156"/>
      <c r="V404" s="284" t="s">
        <v>752</v>
      </c>
      <c r="W404" s="284" t="s">
        <v>752</v>
      </c>
      <c r="X404" s="284" t="s">
        <v>830</v>
      </c>
      <c r="Y404" s="284" t="s">
        <v>752</v>
      </c>
      <c r="Z404" s="284" t="s">
        <v>752</v>
      </c>
      <c r="AA404" s="274"/>
      <c r="AB404" s="274"/>
      <c r="AC404" s="274"/>
      <c r="AD404" s="284" t="s">
        <v>857</v>
      </c>
      <c r="AE404" s="284"/>
      <c r="AF404" s="284"/>
      <c r="AG404" s="284"/>
    </row>
    <row r="405" spans="2:33" ht="13.5">
      <c r="B405" s="273"/>
      <c r="C405" s="283"/>
      <c r="D405" s="283"/>
      <c r="E405" s="285"/>
      <c r="F405" s="285"/>
      <c r="G405" s="285"/>
      <c r="H405" s="198"/>
      <c r="I405" s="198"/>
      <c r="J405" s="198"/>
      <c r="K405" s="198"/>
      <c r="L405" s="198"/>
      <c r="M405" s="158" t="s">
        <v>695</v>
      </c>
      <c r="N405" s="159" t="s">
        <v>821</v>
      </c>
      <c r="O405" s="159">
        <v>10</v>
      </c>
      <c r="P405" s="286"/>
      <c r="Q405" s="156"/>
      <c r="R405" s="156"/>
      <c r="S405" s="157"/>
      <c r="T405" s="156"/>
      <c r="U405" s="156"/>
      <c r="V405" s="286"/>
      <c r="W405" s="286"/>
      <c r="X405" s="286"/>
      <c r="Y405" s="286"/>
      <c r="Z405" s="286"/>
      <c r="AA405" s="275"/>
      <c r="AB405" s="275"/>
      <c r="AC405" s="275"/>
      <c r="AD405" s="290"/>
      <c r="AE405" s="286"/>
      <c r="AF405" s="286"/>
      <c r="AG405" s="286"/>
    </row>
    <row r="406" spans="2:33" ht="13.5">
      <c r="B406" s="273"/>
      <c r="C406" s="283"/>
      <c r="D406" s="283"/>
      <c r="E406" s="287"/>
      <c r="F406" s="287"/>
      <c r="G406" s="287"/>
      <c r="H406" s="199"/>
      <c r="I406" s="199"/>
      <c r="J406" s="199"/>
      <c r="K406" s="199"/>
      <c r="L406" s="199"/>
      <c r="M406" s="160"/>
      <c r="N406" s="161"/>
      <c r="O406" s="161"/>
      <c r="P406" s="288"/>
      <c r="Q406" s="156"/>
      <c r="R406" s="156"/>
      <c r="S406" s="157"/>
      <c r="T406" s="156"/>
      <c r="U406" s="156"/>
      <c r="V406" s="288"/>
      <c r="W406" s="288"/>
      <c r="X406" s="288"/>
      <c r="Y406" s="288"/>
      <c r="Z406" s="288"/>
      <c r="AA406" s="276"/>
      <c r="AB406" s="276"/>
      <c r="AC406" s="276"/>
      <c r="AD406" s="291"/>
      <c r="AE406" s="288"/>
      <c r="AF406" s="288"/>
      <c r="AG406" s="288"/>
    </row>
    <row r="407" spans="2:33" ht="13.5">
      <c r="B407" s="273">
        <v>116</v>
      </c>
      <c r="C407" s="283" t="s">
        <v>1093</v>
      </c>
      <c r="D407" s="283" t="s">
        <v>1089</v>
      </c>
      <c r="E407" s="282" t="s">
        <v>84</v>
      </c>
      <c r="F407" s="282" t="s">
        <v>825</v>
      </c>
      <c r="G407" s="282"/>
      <c r="H407" s="197" t="s">
        <v>853</v>
      </c>
      <c r="I407" s="197" t="s">
        <v>853</v>
      </c>
      <c r="J407" s="197" t="s">
        <v>853</v>
      </c>
      <c r="K407" s="197" t="s">
        <v>853</v>
      </c>
      <c r="L407" s="197" t="s">
        <v>853</v>
      </c>
      <c r="M407" s="154" t="s">
        <v>854</v>
      </c>
      <c r="N407" s="155" t="s">
        <v>1090</v>
      </c>
      <c r="O407" s="155">
        <v>4</v>
      </c>
      <c r="P407" s="284" t="s">
        <v>1091</v>
      </c>
      <c r="Q407" s="156"/>
      <c r="R407" s="156"/>
      <c r="S407" s="157"/>
      <c r="T407" s="156"/>
      <c r="U407" s="156"/>
      <c r="V407" s="284" t="s">
        <v>752</v>
      </c>
      <c r="W407" s="284" t="s">
        <v>752</v>
      </c>
      <c r="X407" s="284" t="s">
        <v>830</v>
      </c>
      <c r="Y407" s="284" t="s">
        <v>752</v>
      </c>
      <c r="Z407" s="284" t="s">
        <v>752</v>
      </c>
      <c r="AA407" s="274"/>
      <c r="AB407" s="274"/>
      <c r="AC407" s="274"/>
      <c r="AD407" s="284" t="s">
        <v>857</v>
      </c>
      <c r="AE407" s="284"/>
      <c r="AF407" s="284"/>
      <c r="AG407" s="284"/>
    </row>
    <row r="408" spans="2:33" ht="13.5">
      <c r="B408" s="273"/>
      <c r="C408" s="283"/>
      <c r="D408" s="283"/>
      <c r="E408" s="285"/>
      <c r="F408" s="285"/>
      <c r="G408" s="285"/>
      <c r="H408" s="198"/>
      <c r="I408" s="198"/>
      <c r="J408" s="198"/>
      <c r="K408" s="198"/>
      <c r="L408" s="198"/>
      <c r="M408" s="158" t="s">
        <v>695</v>
      </c>
      <c r="N408" s="159" t="s">
        <v>821</v>
      </c>
      <c r="O408" s="159">
        <v>10</v>
      </c>
      <c r="P408" s="286"/>
      <c r="Q408" s="156"/>
      <c r="R408" s="156"/>
      <c r="S408" s="157"/>
      <c r="T408" s="156"/>
      <c r="U408" s="156"/>
      <c r="V408" s="286"/>
      <c r="W408" s="286"/>
      <c r="X408" s="286"/>
      <c r="Y408" s="286"/>
      <c r="Z408" s="286"/>
      <c r="AA408" s="275"/>
      <c r="AB408" s="275"/>
      <c r="AC408" s="275"/>
      <c r="AD408" s="290"/>
      <c r="AE408" s="286"/>
      <c r="AF408" s="286"/>
      <c r="AG408" s="286"/>
    </row>
    <row r="409" spans="2:33" ht="13.5">
      <c r="B409" s="273"/>
      <c r="C409" s="283"/>
      <c r="D409" s="283"/>
      <c r="E409" s="287"/>
      <c r="F409" s="287"/>
      <c r="G409" s="287"/>
      <c r="H409" s="199"/>
      <c r="I409" s="199"/>
      <c r="J409" s="199"/>
      <c r="K409" s="199"/>
      <c r="L409" s="199"/>
      <c r="M409" s="160"/>
      <c r="N409" s="161"/>
      <c r="O409" s="161"/>
      <c r="P409" s="288"/>
      <c r="Q409" s="156"/>
      <c r="R409" s="156"/>
      <c r="S409" s="157"/>
      <c r="T409" s="156"/>
      <c r="U409" s="156"/>
      <c r="V409" s="288"/>
      <c r="W409" s="288"/>
      <c r="X409" s="288"/>
      <c r="Y409" s="288"/>
      <c r="Z409" s="288"/>
      <c r="AA409" s="276"/>
      <c r="AB409" s="276"/>
      <c r="AC409" s="276"/>
      <c r="AD409" s="291"/>
      <c r="AE409" s="288"/>
      <c r="AF409" s="288"/>
      <c r="AG409" s="288"/>
    </row>
    <row r="410" spans="2:33" ht="13.5">
      <c r="B410" s="273">
        <v>117</v>
      </c>
      <c r="C410" s="283" t="s">
        <v>1094</v>
      </c>
      <c r="D410" s="283" t="s">
        <v>1095</v>
      </c>
      <c r="E410" s="282" t="s">
        <v>84</v>
      </c>
      <c r="F410" s="282" t="s">
        <v>818</v>
      </c>
      <c r="G410" s="282"/>
      <c r="H410" s="197" t="s">
        <v>853</v>
      </c>
      <c r="I410" s="197" t="s">
        <v>853</v>
      </c>
      <c r="J410" s="197" t="s">
        <v>853</v>
      </c>
      <c r="K410" s="197" t="s">
        <v>853</v>
      </c>
      <c r="L410" s="197" t="s">
        <v>853</v>
      </c>
      <c r="M410" s="154" t="s">
        <v>854</v>
      </c>
      <c r="N410" s="155" t="s">
        <v>1096</v>
      </c>
      <c r="O410" s="155">
        <v>3</v>
      </c>
      <c r="P410" s="284" t="s">
        <v>1097</v>
      </c>
      <c r="Q410" s="156"/>
      <c r="R410" s="156"/>
      <c r="S410" s="157"/>
      <c r="T410" s="156"/>
      <c r="U410" s="156"/>
      <c r="V410" s="284" t="s">
        <v>752</v>
      </c>
      <c r="W410" s="284" t="s">
        <v>752</v>
      </c>
      <c r="X410" s="284" t="s">
        <v>830</v>
      </c>
      <c r="Y410" s="284" t="s">
        <v>752</v>
      </c>
      <c r="Z410" s="284" t="s">
        <v>752</v>
      </c>
      <c r="AA410" s="274"/>
      <c r="AB410" s="274"/>
      <c r="AC410" s="274"/>
      <c r="AD410" s="284" t="s">
        <v>857</v>
      </c>
      <c r="AE410" s="284"/>
      <c r="AF410" s="284"/>
      <c r="AG410" s="284"/>
    </row>
    <row r="411" spans="2:33" ht="13.5">
      <c r="B411" s="273"/>
      <c r="C411" s="283"/>
      <c r="D411" s="283"/>
      <c r="E411" s="285"/>
      <c r="F411" s="285"/>
      <c r="G411" s="285"/>
      <c r="H411" s="198"/>
      <c r="I411" s="198"/>
      <c r="J411" s="198"/>
      <c r="K411" s="198"/>
      <c r="L411" s="198"/>
      <c r="M411" s="158" t="s">
        <v>695</v>
      </c>
      <c r="N411" s="159" t="s">
        <v>821</v>
      </c>
      <c r="O411" s="159">
        <v>10</v>
      </c>
      <c r="P411" s="286"/>
      <c r="Q411" s="156"/>
      <c r="R411" s="156"/>
      <c r="S411" s="157"/>
      <c r="T411" s="156"/>
      <c r="U411" s="156"/>
      <c r="V411" s="286"/>
      <c r="W411" s="286"/>
      <c r="X411" s="286"/>
      <c r="Y411" s="286"/>
      <c r="Z411" s="286"/>
      <c r="AA411" s="275"/>
      <c r="AB411" s="275"/>
      <c r="AC411" s="275"/>
      <c r="AD411" s="290"/>
      <c r="AE411" s="286"/>
      <c r="AF411" s="286"/>
      <c r="AG411" s="286"/>
    </row>
    <row r="412" spans="2:33" ht="13.5">
      <c r="B412" s="273"/>
      <c r="C412" s="283"/>
      <c r="D412" s="283"/>
      <c r="E412" s="287"/>
      <c r="F412" s="287"/>
      <c r="G412" s="287"/>
      <c r="H412" s="199"/>
      <c r="I412" s="199"/>
      <c r="J412" s="199"/>
      <c r="K412" s="199"/>
      <c r="L412" s="199"/>
      <c r="M412" s="160"/>
      <c r="N412" s="161"/>
      <c r="O412" s="161"/>
      <c r="P412" s="288"/>
      <c r="Q412" s="156"/>
      <c r="R412" s="156"/>
      <c r="S412" s="157"/>
      <c r="T412" s="156"/>
      <c r="U412" s="156"/>
      <c r="V412" s="288"/>
      <c r="W412" s="288"/>
      <c r="X412" s="288"/>
      <c r="Y412" s="288"/>
      <c r="Z412" s="288"/>
      <c r="AA412" s="276"/>
      <c r="AB412" s="276"/>
      <c r="AC412" s="276"/>
      <c r="AD412" s="291"/>
      <c r="AE412" s="288"/>
      <c r="AF412" s="288"/>
      <c r="AG412" s="288"/>
    </row>
    <row r="413" spans="2:33" ht="13.5">
      <c r="B413" s="273">
        <v>118</v>
      </c>
      <c r="C413" s="283" t="s">
        <v>1098</v>
      </c>
      <c r="D413" s="283" t="s">
        <v>1095</v>
      </c>
      <c r="E413" s="282" t="s">
        <v>84</v>
      </c>
      <c r="F413" s="282" t="s">
        <v>823</v>
      </c>
      <c r="G413" s="282"/>
      <c r="H413" s="197" t="s">
        <v>853</v>
      </c>
      <c r="I413" s="197" t="s">
        <v>853</v>
      </c>
      <c r="J413" s="197" t="s">
        <v>853</v>
      </c>
      <c r="K413" s="197" t="s">
        <v>853</v>
      </c>
      <c r="L413" s="197" t="s">
        <v>853</v>
      </c>
      <c r="M413" s="154" t="s">
        <v>854</v>
      </c>
      <c r="N413" s="155" t="s">
        <v>1096</v>
      </c>
      <c r="O413" s="155">
        <v>3</v>
      </c>
      <c r="P413" s="284" t="s">
        <v>1097</v>
      </c>
      <c r="Q413" s="156"/>
      <c r="R413" s="156"/>
      <c r="S413" s="157"/>
      <c r="T413" s="156"/>
      <c r="U413" s="156"/>
      <c r="V413" s="284" t="s">
        <v>752</v>
      </c>
      <c r="W413" s="284" t="s">
        <v>752</v>
      </c>
      <c r="X413" s="284" t="s">
        <v>830</v>
      </c>
      <c r="Y413" s="284" t="s">
        <v>752</v>
      </c>
      <c r="Z413" s="284" t="s">
        <v>752</v>
      </c>
      <c r="AA413" s="274"/>
      <c r="AB413" s="274"/>
      <c r="AC413" s="274"/>
      <c r="AD413" s="284" t="s">
        <v>857</v>
      </c>
      <c r="AE413" s="284"/>
      <c r="AF413" s="284"/>
      <c r="AG413" s="284"/>
    </row>
    <row r="414" spans="2:33" ht="13.5">
      <c r="B414" s="273"/>
      <c r="C414" s="283"/>
      <c r="D414" s="283"/>
      <c r="E414" s="285"/>
      <c r="F414" s="285"/>
      <c r="G414" s="285"/>
      <c r="H414" s="198"/>
      <c r="I414" s="198"/>
      <c r="J414" s="198"/>
      <c r="K414" s="198"/>
      <c r="L414" s="198"/>
      <c r="M414" s="158" t="s">
        <v>695</v>
      </c>
      <c r="N414" s="159" t="s">
        <v>821</v>
      </c>
      <c r="O414" s="159">
        <v>10</v>
      </c>
      <c r="P414" s="286"/>
      <c r="Q414" s="156"/>
      <c r="R414" s="156"/>
      <c r="S414" s="157"/>
      <c r="T414" s="156"/>
      <c r="U414" s="156"/>
      <c r="V414" s="286"/>
      <c r="W414" s="286"/>
      <c r="X414" s="286"/>
      <c r="Y414" s="286"/>
      <c r="Z414" s="286"/>
      <c r="AA414" s="275"/>
      <c r="AB414" s="275"/>
      <c r="AC414" s="275"/>
      <c r="AD414" s="290"/>
      <c r="AE414" s="286"/>
      <c r="AF414" s="286"/>
      <c r="AG414" s="286"/>
    </row>
    <row r="415" spans="2:33" ht="13.5">
      <c r="B415" s="273"/>
      <c r="C415" s="283"/>
      <c r="D415" s="283"/>
      <c r="E415" s="287"/>
      <c r="F415" s="287"/>
      <c r="G415" s="287"/>
      <c r="H415" s="199"/>
      <c r="I415" s="199"/>
      <c r="J415" s="199"/>
      <c r="K415" s="199"/>
      <c r="L415" s="199"/>
      <c r="M415" s="160"/>
      <c r="N415" s="161"/>
      <c r="O415" s="161"/>
      <c r="P415" s="288"/>
      <c r="Q415" s="156"/>
      <c r="R415" s="156"/>
      <c r="S415" s="157"/>
      <c r="T415" s="156"/>
      <c r="U415" s="156"/>
      <c r="V415" s="288"/>
      <c r="W415" s="288"/>
      <c r="X415" s="288"/>
      <c r="Y415" s="288"/>
      <c r="Z415" s="288"/>
      <c r="AA415" s="276"/>
      <c r="AB415" s="276"/>
      <c r="AC415" s="276"/>
      <c r="AD415" s="291"/>
      <c r="AE415" s="288"/>
      <c r="AF415" s="288"/>
      <c r="AG415" s="288"/>
    </row>
    <row r="416" spans="2:33" ht="13.5">
      <c r="B416" s="273">
        <v>119</v>
      </c>
      <c r="C416" s="283" t="s">
        <v>1099</v>
      </c>
      <c r="D416" s="283" t="s">
        <v>1095</v>
      </c>
      <c r="E416" s="282" t="s">
        <v>84</v>
      </c>
      <c r="F416" s="282" t="s">
        <v>825</v>
      </c>
      <c r="G416" s="282"/>
      <c r="H416" s="197" t="s">
        <v>853</v>
      </c>
      <c r="I416" s="197" t="s">
        <v>853</v>
      </c>
      <c r="J416" s="197" t="s">
        <v>853</v>
      </c>
      <c r="K416" s="197" t="s">
        <v>853</v>
      </c>
      <c r="L416" s="197" t="s">
        <v>853</v>
      </c>
      <c r="M416" s="154" t="s">
        <v>854</v>
      </c>
      <c r="N416" s="155" t="s">
        <v>1096</v>
      </c>
      <c r="O416" s="155">
        <v>3</v>
      </c>
      <c r="P416" s="284" t="s">
        <v>1097</v>
      </c>
      <c r="Q416" s="156"/>
      <c r="R416" s="156"/>
      <c r="S416" s="157"/>
      <c r="T416" s="156"/>
      <c r="U416" s="156"/>
      <c r="V416" s="284" t="s">
        <v>752</v>
      </c>
      <c r="W416" s="284" t="s">
        <v>752</v>
      </c>
      <c r="X416" s="284" t="s">
        <v>830</v>
      </c>
      <c r="Y416" s="284" t="s">
        <v>752</v>
      </c>
      <c r="Z416" s="284" t="s">
        <v>752</v>
      </c>
      <c r="AA416" s="274"/>
      <c r="AB416" s="274"/>
      <c r="AC416" s="274"/>
      <c r="AD416" s="284" t="s">
        <v>857</v>
      </c>
      <c r="AE416" s="284"/>
      <c r="AF416" s="284"/>
      <c r="AG416" s="284"/>
    </row>
    <row r="417" spans="2:33" ht="13.5">
      <c r="B417" s="273"/>
      <c r="C417" s="283"/>
      <c r="D417" s="283"/>
      <c r="E417" s="285"/>
      <c r="F417" s="285"/>
      <c r="G417" s="285"/>
      <c r="H417" s="198"/>
      <c r="I417" s="198"/>
      <c r="J417" s="198"/>
      <c r="K417" s="198"/>
      <c r="L417" s="198"/>
      <c r="M417" s="158" t="s">
        <v>695</v>
      </c>
      <c r="N417" s="159" t="s">
        <v>821</v>
      </c>
      <c r="O417" s="159">
        <v>10</v>
      </c>
      <c r="P417" s="286"/>
      <c r="Q417" s="156"/>
      <c r="R417" s="156"/>
      <c r="S417" s="157"/>
      <c r="T417" s="156"/>
      <c r="U417" s="156"/>
      <c r="V417" s="286"/>
      <c r="W417" s="286"/>
      <c r="X417" s="286"/>
      <c r="Y417" s="286"/>
      <c r="Z417" s="286"/>
      <c r="AA417" s="275"/>
      <c r="AB417" s="275"/>
      <c r="AC417" s="275"/>
      <c r="AD417" s="290"/>
      <c r="AE417" s="286"/>
      <c r="AF417" s="286"/>
      <c r="AG417" s="286"/>
    </row>
    <row r="418" spans="2:33" ht="13.5">
      <c r="B418" s="273"/>
      <c r="C418" s="283"/>
      <c r="D418" s="283"/>
      <c r="E418" s="287"/>
      <c r="F418" s="287"/>
      <c r="G418" s="287"/>
      <c r="H418" s="199"/>
      <c r="I418" s="199"/>
      <c r="J418" s="199"/>
      <c r="K418" s="199"/>
      <c r="L418" s="199"/>
      <c r="M418" s="160"/>
      <c r="N418" s="161"/>
      <c r="O418" s="161"/>
      <c r="P418" s="288"/>
      <c r="Q418" s="156"/>
      <c r="R418" s="156"/>
      <c r="S418" s="157"/>
      <c r="T418" s="156"/>
      <c r="U418" s="156"/>
      <c r="V418" s="288"/>
      <c r="W418" s="288"/>
      <c r="X418" s="288"/>
      <c r="Y418" s="288"/>
      <c r="Z418" s="288"/>
      <c r="AA418" s="276"/>
      <c r="AB418" s="276"/>
      <c r="AC418" s="276"/>
      <c r="AD418" s="291"/>
      <c r="AE418" s="288"/>
      <c r="AF418" s="288"/>
      <c r="AG418" s="288"/>
    </row>
    <row r="419" spans="2:33" ht="13.5">
      <c r="B419" s="273">
        <v>120</v>
      </c>
      <c r="C419" s="283" t="s">
        <v>1100</v>
      </c>
      <c r="D419" s="283" t="s">
        <v>811</v>
      </c>
      <c r="E419" s="282" t="s">
        <v>84</v>
      </c>
      <c r="F419" s="282" t="s">
        <v>818</v>
      </c>
      <c r="G419" s="282"/>
      <c r="H419" s="197" t="s">
        <v>853</v>
      </c>
      <c r="I419" s="197" t="s">
        <v>853</v>
      </c>
      <c r="J419" s="197" t="s">
        <v>853</v>
      </c>
      <c r="K419" s="197" t="s">
        <v>853</v>
      </c>
      <c r="L419" s="197" t="s">
        <v>853</v>
      </c>
      <c r="M419" s="154" t="s">
        <v>854</v>
      </c>
      <c r="N419" s="155" t="s">
        <v>1101</v>
      </c>
      <c r="O419" s="155">
        <v>6</v>
      </c>
      <c r="P419" s="284" t="s">
        <v>813</v>
      </c>
      <c r="Q419" s="156"/>
      <c r="R419" s="156"/>
      <c r="S419" s="157"/>
      <c r="T419" s="156"/>
      <c r="U419" s="156"/>
      <c r="V419" s="284" t="s">
        <v>752</v>
      </c>
      <c r="W419" s="284" t="s">
        <v>752</v>
      </c>
      <c r="X419" s="284" t="s">
        <v>830</v>
      </c>
      <c r="Y419" s="284" t="s">
        <v>752</v>
      </c>
      <c r="Z419" s="284" t="s">
        <v>752</v>
      </c>
      <c r="AA419" s="274"/>
      <c r="AB419" s="274"/>
      <c r="AC419" s="274"/>
      <c r="AD419" s="284" t="s">
        <v>857</v>
      </c>
      <c r="AE419" s="284"/>
      <c r="AF419" s="284"/>
      <c r="AG419" s="284"/>
    </row>
    <row r="420" spans="2:33" ht="13.5">
      <c r="B420" s="273"/>
      <c r="C420" s="283"/>
      <c r="D420" s="283"/>
      <c r="E420" s="285"/>
      <c r="F420" s="285"/>
      <c r="G420" s="285"/>
      <c r="H420" s="198"/>
      <c r="I420" s="198"/>
      <c r="J420" s="198"/>
      <c r="K420" s="198"/>
      <c r="L420" s="198"/>
      <c r="M420" s="158" t="s">
        <v>695</v>
      </c>
      <c r="N420" s="159" t="s">
        <v>1102</v>
      </c>
      <c r="O420" s="159">
        <v>9</v>
      </c>
      <c r="P420" s="286"/>
      <c r="Q420" s="156"/>
      <c r="R420" s="156"/>
      <c r="S420" s="157"/>
      <c r="T420" s="156"/>
      <c r="U420" s="156"/>
      <c r="V420" s="286"/>
      <c r="W420" s="286"/>
      <c r="X420" s="286"/>
      <c r="Y420" s="286"/>
      <c r="Z420" s="286"/>
      <c r="AA420" s="275"/>
      <c r="AB420" s="275"/>
      <c r="AC420" s="275"/>
      <c r="AD420" s="290"/>
      <c r="AE420" s="286"/>
      <c r="AF420" s="286"/>
      <c r="AG420" s="286"/>
    </row>
    <row r="421" spans="2:33" ht="13.5">
      <c r="B421" s="273"/>
      <c r="C421" s="283"/>
      <c r="D421" s="283"/>
      <c r="E421" s="287"/>
      <c r="F421" s="287"/>
      <c r="G421" s="287"/>
      <c r="H421" s="199"/>
      <c r="I421" s="199"/>
      <c r="J421" s="199"/>
      <c r="K421" s="199"/>
      <c r="L421" s="199"/>
      <c r="M421" s="160"/>
      <c r="N421" s="161"/>
      <c r="O421" s="161"/>
      <c r="P421" s="288"/>
      <c r="Q421" s="156"/>
      <c r="R421" s="156"/>
      <c r="S421" s="157"/>
      <c r="T421" s="156"/>
      <c r="U421" s="156"/>
      <c r="V421" s="288"/>
      <c r="W421" s="288"/>
      <c r="X421" s="288"/>
      <c r="Y421" s="288"/>
      <c r="Z421" s="288"/>
      <c r="AA421" s="276"/>
      <c r="AB421" s="276"/>
      <c r="AC421" s="276"/>
      <c r="AD421" s="291"/>
      <c r="AE421" s="288"/>
      <c r="AF421" s="288"/>
      <c r="AG421" s="288"/>
    </row>
    <row r="422" spans="2:33" ht="13.5">
      <c r="B422" s="273">
        <v>121</v>
      </c>
      <c r="C422" s="283" t="s">
        <v>1103</v>
      </c>
      <c r="D422" s="283" t="s">
        <v>811</v>
      </c>
      <c r="E422" s="282" t="s">
        <v>84</v>
      </c>
      <c r="F422" s="282" t="s">
        <v>823</v>
      </c>
      <c r="G422" s="282"/>
      <c r="H422" s="197" t="s">
        <v>853</v>
      </c>
      <c r="I422" s="197" t="s">
        <v>853</v>
      </c>
      <c r="J422" s="197" t="s">
        <v>853</v>
      </c>
      <c r="K422" s="197" t="s">
        <v>853</v>
      </c>
      <c r="L422" s="197" t="s">
        <v>853</v>
      </c>
      <c r="M422" s="154" t="s">
        <v>854</v>
      </c>
      <c r="N422" s="155" t="s">
        <v>1101</v>
      </c>
      <c r="O422" s="155">
        <v>6</v>
      </c>
      <c r="P422" s="284" t="s">
        <v>813</v>
      </c>
      <c r="Q422" s="156"/>
      <c r="R422" s="156"/>
      <c r="S422" s="157"/>
      <c r="T422" s="156"/>
      <c r="U422" s="156"/>
      <c r="V422" s="284" t="s">
        <v>752</v>
      </c>
      <c r="W422" s="284" t="s">
        <v>752</v>
      </c>
      <c r="X422" s="284" t="s">
        <v>830</v>
      </c>
      <c r="Y422" s="284" t="s">
        <v>752</v>
      </c>
      <c r="Z422" s="284" t="s">
        <v>752</v>
      </c>
      <c r="AA422" s="274"/>
      <c r="AB422" s="274"/>
      <c r="AC422" s="274"/>
      <c r="AD422" s="284" t="s">
        <v>857</v>
      </c>
      <c r="AE422" s="284"/>
      <c r="AF422" s="284"/>
      <c r="AG422" s="284"/>
    </row>
    <row r="423" spans="2:33" ht="13.5">
      <c r="B423" s="273"/>
      <c r="C423" s="283"/>
      <c r="D423" s="283"/>
      <c r="E423" s="285"/>
      <c r="F423" s="285"/>
      <c r="G423" s="285"/>
      <c r="H423" s="198"/>
      <c r="I423" s="198"/>
      <c r="J423" s="198"/>
      <c r="K423" s="198"/>
      <c r="L423" s="198"/>
      <c r="M423" s="158" t="s">
        <v>695</v>
      </c>
      <c r="N423" s="159" t="s">
        <v>1102</v>
      </c>
      <c r="O423" s="159">
        <v>9</v>
      </c>
      <c r="P423" s="286"/>
      <c r="Q423" s="156"/>
      <c r="R423" s="156"/>
      <c r="S423" s="157"/>
      <c r="T423" s="156"/>
      <c r="U423" s="156"/>
      <c r="V423" s="286"/>
      <c r="W423" s="286"/>
      <c r="X423" s="286"/>
      <c r="Y423" s="286"/>
      <c r="Z423" s="286"/>
      <c r="AA423" s="275"/>
      <c r="AB423" s="275"/>
      <c r="AC423" s="275"/>
      <c r="AD423" s="290"/>
      <c r="AE423" s="286"/>
      <c r="AF423" s="286"/>
      <c r="AG423" s="286"/>
    </row>
    <row r="424" spans="2:33" ht="13.5">
      <c r="B424" s="273"/>
      <c r="C424" s="283"/>
      <c r="D424" s="283"/>
      <c r="E424" s="287"/>
      <c r="F424" s="287"/>
      <c r="G424" s="287"/>
      <c r="H424" s="199"/>
      <c r="I424" s="199"/>
      <c r="J424" s="199"/>
      <c r="K424" s="199"/>
      <c r="L424" s="199"/>
      <c r="M424" s="160"/>
      <c r="N424" s="161"/>
      <c r="O424" s="161"/>
      <c r="P424" s="288"/>
      <c r="Q424" s="156"/>
      <c r="R424" s="156"/>
      <c r="S424" s="157"/>
      <c r="T424" s="156"/>
      <c r="U424" s="156"/>
      <c r="V424" s="288"/>
      <c r="W424" s="288"/>
      <c r="X424" s="288"/>
      <c r="Y424" s="288"/>
      <c r="Z424" s="288"/>
      <c r="AA424" s="276"/>
      <c r="AB424" s="276"/>
      <c r="AC424" s="276"/>
      <c r="AD424" s="291"/>
      <c r="AE424" s="288"/>
      <c r="AF424" s="288"/>
      <c r="AG424" s="288"/>
    </row>
    <row r="425" spans="2:33" ht="13.5">
      <c r="B425" s="273">
        <v>122</v>
      </c>
      <c r="C425" s="283" t="s">
        <v>1104</v>
      </c>
      <c r="D425" s="283" t="s">
        <v>811</v>
      </c>
      <c r="E425" s="282" t="s">
        <v>84</v>
      </c>
      <c r="F425" s="282" t="s">
        <v>825</v>
      </c>
      <c r="G425" s="282"/>
      <c r="H425" s="197" t="s">
        <v>853</v>
      </c>
      <c r="I425" s="197" t="s">
        <v>853</v>
      </c>
      <c r="J425" s="197" t="s">
        <v>853</v>
      </c>
      <c r="K425" s="197" t="s">
        <v>853</v>
      </c>
      <c r="L425" s="197" t="s">
        <v>853</v>
      </c>
      <c r="M425" s="154" t="s">
        <v>854</v>
      </c>
      <c r="N425" s="155" t="s">
        <v>1101</v>
      </c>
      <c r="O425" s="155">
        <v>6</v>
      </c>
      <c r="P425" s="284" t="s">
        <v>813</v>
      </c>
      <c r="Q425" s="156"/>
      <c r="R425" s="156"/>
      <c r="S425" s="157"/>
      <c r="T425" s="156"/>
      <c r="U425" s="156"/>
      <c r="V425" s="284" t="s">
        <v>752</v>
      </c>
      <c r="W425" s="284" t="s">
        <v>752</v>
      </c>
      <c r="X425" s="284" t="s">
        <v>830</v>
      </c>
      <c r="Y425" s="284" t="s">
        <v>752</v>
      </c>
      <c r="Z425" s="284" t="s">
        <v>752</v>
      </c>
      <c r="AA425" s="274"/>
      <c r="AB425" s="274"/>
      <c r="AC425" s="274"/>
      <c r="AD425" s="284" t="s">
        <v>857</v>
      </c>
      <c r="AE425" s="284"/>
      <c r="AF425" s="284"/>
      <c r="AG425" s="284"/>
    </row>
    <row r="426" spans="2:33" ht="13.5">
      <c r="B426" s="273"/>
      <c r="C426" s="283"/>
      <c r="D426" s="283"/>
      <c r="E426" s="285"/>
      <c r="F426" s="285"/>
      <c r="G426" s="285"/>
      <c r="H426" s="198"/>
      <c r="I426" s="198"/>
      <c r="J426" s="198"/>
      <c r="K426" s="198"/>
      <c r="L426" s="198"/>
      <c r="M426" s="158" t="s">
        <v>695</v>
      </c>
      <c r="N426" s="159" t="s">
        <v>1102</v>
      </c>
      <c r="O426" s="159">
        <v>9</v>
      </c>
      <c r="P426" s="286"/>
      <c r="Q426" s="156"/>
      <c r="R426" s="156"/>
      <c r="S426" s="157"/>
      <c r="T426" s="156"/>
      <c r="U426" s="156"/>
      <c r="V426" s="286"/>
      <c r="W426" s="286"/>
      <c r="X426" s="286"/>
      <c r="Y426" s="286"/>
      <c r="Z426" s="286"/>
      <c r="AA426" s="275"/>
      <c r="AB426" s="275"/>
      <c r="AC426" s="275"/>
      <c r="AD426" s="290"/>
      <c r="AE426" s="286"/>
      <c r="AF426" s="286"/>
      <c r="AG426" s="286"/>
    </row>
    <row r="427" spans="2:33" ht="13.5">
      <c r="B427" s="273"/>
      <c r="C427" s="283"/>
      <c r="D427" s="283"/>
      <c r="E427" s="287"/>
      <c r="F427" s="287"/>
      <c r="G427" s="287"/>
      <c r="H427" s="199"/>
      <c r="I427" s="199"/>
      <c r="J427" s="199"/>
      <c r="K427" s="199"/>
      <c r="L427" s="199"/>
      <c r="M427" s="160"/>
      <c r="N427" s="161"/>
      <c r="O427" s="161"/>
      <c r="P427" s="288"/>
      <c r="Q427" s="156"/>
      <c r="R427" s="156"/>
      <c r="S427" s="157"/>
      <c r="T427" s="156"/>
      <c r="U427" s="156"/>
      <c r="V427" s="288"/>
      <c r="W427" s="288"/>
      <c r="X427" s="288"/>
      <c r="Y427" s="288"/>
      <c r="Z427" s="288"/>
      <c r="AA427" s="276"/>
      <c r="AB427" s="276"/>
      <c r="AC427" s="276"/>
      <c r="AD427" s="291"/>
      <c r="AE427" s="288"/>
      <c r="AF427" s="288"/>
      <c r="AG427" s="288"/>
    </row>
    <row r="428" spans="2:33" ht="13.5">
      <c r="B428" s="273">
        <v>123</v>
      </c>
      <c r="C428" s="283" t="s">
        <v>1105</v>
      </c>
      <c r="D428" s="283" t="s">
        <v>1106</v>
      </c>
      <c r="E428" s="282" t="s">
        <v>84</v>
      </c>
      <c r="F428" s="282" t="s">
        <v>818</v>
      </c>
      <c r="G428" s="282"/>
      <c r="H428" s="197" t="s">
        <v>853</v>
      </c>
      <c r="I428" s="197" t="s">
        <v>853</v>
      </c>
      <c r="J428" s="197" t="s">
        <v>853</v>
      </c>
      <c r="K428" s="197" t="s">
        <v>853</v>
      </c>
      <c r="L428" s="197" t="s">
        <v>853</v>
      </c>
      <c r="M428" s="154" t="s">
        <v>854</v>
      </c>
      <c r="N428" s="155" t="s">
        <v>1107</v>
      </c>
      <c r="O428" s="155">
        <v>3</v>
      </c>
      <c r="P428" s="284" t="s">
        <v>1108</v>
      </c>
      <c r="Q428" s="156"/>
      <c r="R428" s="156"/>
      <c r="S428" s="157"/>
      <c r="T428" s="156"/>
      <c r="U428" s="156"/>
      <c r="V428" s="284" t="s">
        <v>752</v>
      </c>
      <c r="W428" s="284" t="s">
        <v>752</v>
      </c>
      <c r="X428" s="284" t="s">
        <v>830</v>
      </c>
      <c r="Y428" s="284" t="s">
        <v>95</v>
      </c>
      <c r="Z428" s="284" t="s">
        <v>752</v>
      </c>
      <c r="AA428" s="274"/>
      <c r="AB428" s="274"/>
      <c r="AC428" s="274"/>
      <c r="AD428" s="284" t="s">
        <v>857</v>
      </c>
      <c r="AE428" s="284"/>
      <c r="AF428" s="284"/>
      <c r="AG428" s="284"/>
    </row>
    <row r="429" spans="2:33" ht="13.5">
      <c r="B429" s="273"/>
      <c r="C429" s="283"/>
      <c r="D429" s="283"/>
      <c r="E429" s="285"/>
      <c r="F429" s="285"/>
      <c r="G429" s="285"/>
      <c r="H429" s="198"/>
      <c r="I429" s="198"/>
      <c r="J429" s="198"/>
      <c r="K429" s="198"/>
      <c r="L429" s="198"/>
      <c r="M429" s="158" t="s">
        <v>695</v>
      </c>
      <c r="N429" s="159" t="s">
        <v>821</v>
      </c>
      <c r="O429" s="159">
        <v>10</v>
      </c>
      <c r="P429" s="286"/>
      <c r="Q429" s="156"/>
      <c r="R429" s="156"/>
      <c r="S429" s="157"/>
      <c r="T429" s="156"/>
      <c r="U429" s="156"/>
      <c r="V429" s="286"/>
      <c r="W429" s="286"/>
      <c r="X429" s="286"/>
      <c r="Y429" s="286"/>
      <c r="Z429" s="286"/>
      <c r="AA429" s="275"/>
      <c r="AB429" s="275"/>
      <c r="AC429" s="275"/>
      <c r="AD429" s="290"/>
      <c r="AE429" s="286"/>
      <c r="AF429" s="286"/>
      <c r="AG429" s="286"/>
    </row>
    <row r="430" spans="2:33" ht="13.5">
      <c r="B430" s="273"/>
      <c r="C430" s="283" t="s">
        <v>1109</v>
      </c>
      <c r="D430" s="283" t="s">
        <v>1110</v>
      </c>
      <c r="E430" s="287" t="s">
        <v>1111</v>
      </c>
      <c r="F430" s="287" t="s">
        <v>1112</v>
      </c>
      <c r="G430" s="287"/>
      <c r="H430" s="199"/>
      <c r="I430" s="199"/>
      <c r="J430" s="199"/>
      <c r="K430" s="199"/>
      <c r="L430" s="199"/>
      <c r="M430" s="160"/>
      <c r="N430" s="161"/>
      <c r="O430" s="161"/>
      <c r="P430" s="288" t="s">
        <v>1113</v>
      </c>
      <c r="Q430" s="156"/>
      <c r="R430" s="156"/>
      <c r="S430" s="157"/>
      <c r="T430" s="156"/>
      <c r="U430" s="156"/>
      <c r="V430" s="288" t="s">
        <v>11</v>
      </c>
      <c r="W430" s="288" t="s">
        <v>11</v>
      </c>
      <c r="X430" s="288" t="s">
        <v>1114</v>
      </c>
      <c r="Y430" s="288" t="s">
        <v>752</v>
      </c>
      <c r="Z430" s="288" t="s">
        <v>752</v>
      </c>
      <c r="AA430" s="276"/>
      <c r="AB430" s="276"/>
      <c r="AC430" s="276"/>
      <c r="AD430" s="291"/>
      <c r="AE430" s="288"/>
      <c r="AF430" s="288"/>
      <c r="AG430" s="288"/>
    </row>
    <row r="431" spans="2:33" ht="13.5">
      <c r="B431" s="273">
        <v>124</v>
      </c>
      <c r="C431" s="283" t="s">
        <v>1115</v>
      </c>
      <c r="D431" s="283" t="s">
        <v>1106</v>
      </c>
      <c r="E431" s="282" t="s">
        <v>84</v>
      </c>
      <c r="F431" s="282" t="s">
        <v>823</v>
      </c>
      <c r="G431" s="282"/>
      <c r="H431" s="197" t="s">
        <v>853</v>
      </c>
      <c r="I431" s="197" t="s">
        <v>853</v>
      </c>
      <c r="J431" s="197" t="s">
        <v>853</v>
      </c>
      <c r="K431" s="197" t="s">
        <v>853</v>
      </c>
      <c r="L431" s="197" t="s">
        <v>853</v>
      </c>
      <c r="M431" s="154" t="s">
        <v>854</v>
      </c>
      <c r="N431" s="155" t="s">
        <v>1107</v>
      </c>
      <c r="O431" s="155">
        <v>3</v>
      </c>
      <c r="P431" s="284" t="s">
        <v>1108</v>
      </c>
      <c r="Q431" s="156"/>
      <c r="R431" s="156"/>
      <c r="S431" s="157"/>
      <c r="T431" s="156"/>
      <c r="U431" s="156"/>
      <c r="V431" s="284" t="s">
        <v>752</v>
      </c>
      <c r="W431" s="284" t="s">
        <v>752</v>
      </c>
      <c r="X431" s="284" t="s">
        <v>830</v>
      </c>
      <c r="Y431" s="284" t="s">
        <v>95</v>
      </c>
      <c r="Z431" s="284" t="s">
        <v>752</v>
      </c>
      <c r="AA431" s="274"/>
      <c r="AB431" s="274"/>
      <c r="AC431" s="274"/>
      <c r="AD431" s="284" t="s">
        <v>857</v>
      </c>
      <c r="AE431" s="284"/>
      <c r="AF431" s="284"/>
      <c r="AG431" s="284"/>
    </row>
    <row r="432" spans="2:33" ht="13.5">
      <c r="B432" s="273"/>
      <c r="C432" s="283"/>
      <c r="D432" s="283"/>
      <c r="E432" s="285"/>
      <c r="F432" s="285"/>
      <c r="G432" s="285"/>
      <c r="H432" s="198"/>
      <c r="I432" s="198"/>
      <c r="J432" s="198"/>
      <c r="K432" s="198"/>
      <c r="L432" s="198"/>
      <c r="M432" s="158" t="s">
        <v>695</v>
      </c>
      <c r="N432" s="159" t="s">
        <v>821</v>
      </c>
      <c r="O432" s="159">
        <v>10</v>
      </c>
      <c r="P432" s="286"/>
      <c r="Q432" s="156"/>
      <c r="R432" s="156"/>
      <c r="S432" s="157"/>
      <c r="T432" s="156"/>
      <c r="U432" s="156"/>
      <c r="V432" s="286"/>
      <c r="W432" s="286"/>
      <c r="X432" s="286"/>
      <c r="Y432" s="286"/>
      <c r="Z432" s="286"/>
      <c r="AA432" s="275"/>
      <c r="AB432" s="275"/>
      <c r="AC432" s="275"/>
      <c r="AD432" s="290"/>
      <c r="AE432" s="286"/>
      <c r="AF432" s="286"/>
      <c r="AG432" s="286"/>
    </row>
    <row r="433" spans="2:33" ht="13.5">
      <c r="B433" s="273"/>
      <c r="C433" s="283"/>
      <c r="D433" s="283"/>
      <c r="E433" s="287"/>
      <c r="F433" s="287"/>
      <c r="G433" s="287"/>
      <c r="H433" s="199"/>
      <c r="I433" s="199"/>
      <c r="J433" s="199"/>
      <c r="K433" s="199"/>
      <c r="L433" s="199"/>
      <c r="M433" s="160"/>
      <c r="N433" s="161"/>
      <c r="O433" s="161"/>
      <c r="P433" s="288"/>
      <c r="Q433" s="156"/>
      <c r="R433" s="156"/>
      <c r="S433" s="157"/>
      <c r="T433" s="156"/>
      <c r="U433" s="156"/>
      <c r="V433" s="288"/>
      <c r="W433" s="288"/>
      <c r="X433" s="288"/>
      <c r="Y433" s="288"/>
      <c r="Z433" s="288"/>
      <c r="AA433" s="276"/>
      <c r="AB433" s="276"/>
      <c r="AC433" s="276"/>
      <c r="AD433" s="291"/>
      <c r="AE433" s="288"/>
      <c r="AF433" s="288"/>
      <c r="AG433" s="288"/>
    </row>
    <row r="434" spans="2:33" ht="13.5">
      <c r="B434" s="273">
        <v>125</v>
      </c>
      <c r="C434" s="283" t="s">
        <v>1116</v>
      </c>
      <c r="D434" s="283" t="s">
        <v>1106</v>
      </c>
      <c r="E434" s="282" t="s">
        <v>84</v>
      </c>
      <c r="F434" s="282" t="s">
        <v>825</v>
      </c>
      <c r="G434" s="282"/>
      <c r="H434" s="197" t="s">
        <v>853</v>
      </c>
      <c r="I434" s="197" t="s">
        <v>853</v>
      </c>
      <c r="J434" s="197" t="s">
        <v>853</v>
      </c>
      <c r="K434" s="197" t="s">
        <v>853</v>
      </c>
      <c r="L434" s="197" t="s">
        <v>853</v>
      </c>
      <c r="M434" s="154" t="s">
        <v>854</v>
      </c>
      <c r="N434" s="155" t="s">
        <v>1107</v>
      </c>
      <c r="O434" s="155">
        <v>3</v>
      </c>
      <c r="P434" s="284" t="s">
        <v>1108</v>
      </c>
      <c r="Q434" s="156"/>
      <c r="R434" s="156"/>
      <c r="S434" s="157"/>
      <c r="T434" s="156"/>
      <c r="U434" s="156"/>
      <c r="V434" s="284" t="s">
        <v>752</v>
      </c>
      <c r="W434" s="284" t="s">
        <v>752</v>
      </c>
      <c r="X434" s="284" t="s">
        <v>830</v>
      </c>
      <c r="Y434" s="284" t="s">
        <v>95</v>
      </c>
      <c r="Z434" s="284" t="s">
        <v>752</v>
      </c>
      <c r="AA434" s="274"/>
      <c r="AB434" s="274"/>
      <c r="AC434" s="274"/>
      <c r="AD434" s="284" t="s">
        <v>857</v>
      </c>
      <c r="AE434" s="284"/>
      <c r="AF434" s="284"/>
      <c r="AG434" s="284"/>
    </row>
    <row r="435" spans="2:33" ht="13.5">
      <c r="B435" s="273"/>
      <c r="C435" s="283"/>
      <c r="D435" s="283"/>
      <c r="E435" s="285"/>
      <c r="F435" s="285"/>
      <c r="G435" s="285"/>
      <c r="H435" s="198"/>
      <c r="I435" s="198"/>
      <c r="J435" s="198"/>
      <c r="K435" s="198"/>
      <c r="L435" s="198"/>
      <c r="M435" s="158" t="s">
        <v>695</v>
      </c>
      <c r="N435" s="159" t="s">
        <v>821</v>
      </c>
      <c r="O435" s="159">
        <v>10</v>
      </c>
      <c r="P435" s="286"/>
      <c r="Q435" s="156"/>
      <c r="R435" s="156"/>
      <c r="S435" s="157"/>
      <c r="T435" s="156"/>
      <c r="U435" s="156"/>
      <c r="V435" s="286"/>
      <c r="W435" s="286"/>
      <c r="X435" s="286"/>
      <c r="Y435" s="286"/>
      <c r="Z435" s="286"/>
      <c r="AA435" s="275"/>
      <c r="AB435" s="275"/>
      <c r="AC435" s="275"/>
      <c r="AD435" s="290"/>
      <c r="AE435" s="286"/>
      <c r="AF435" s="286"/>
      <c r="AG435" s="286"/>
    </row>
    <row r="436" spans="2:33" ht="13.5">
      <c r="B436" s="273"/>
      <c r="C436" s="283"/>
      <c r="D436" s="283"/>
      <c r="E436" s="287"/>
      <c r="F436" s="287"/>
      <c r="G436" s="287"/>
      <c r="H436" s="199"/>
      <c r="I436" s="199"/>
      <c r="J436" s="199"/>
      <c r="K436" s="199"/>
      <c r="L436" s="199"/>
      <c r="M436" s="160"/>
      <c r="N436" s="161"/>
      <c r="O436" s="161"/>
      <c r="P436" s="288"/>
      <c r="Q436" s="156"/>
      <c r="R436" s="156"/>
      <c r="S436" s="157"/>
      <c r="T436" s="156"/>
      <c r="U436" s="156"/>
      <c r="V436" s="288"/>
      <c r="W436" s="288"/>
      <c r="X436" s="288"/>
      <c r="Y436" s="288"/>
      <c r="Z436" s="288"/>
      <c r="AA436" s="276"/>
      <c r="AB436" s="276"/>
      <c r="AC436" s="276"/>
      <c r="AD436" s="291"/>
      <c r="AE436" s="288"/>
      <c r="AF436" s="288"/>
      <c r="AG436" s="288"/>
    </row>
    <row r="437" spans="2:33" ht="13.5">
      <c r="B437" s="273">
        <v>126</v>
      </c>
      <c r="C437" s="283" t="s">
        <v>1117</v>
      </c>
      <c r="D437" s="283" t="s">
        <v>1118</v>
      </c>
      <c r="E437" s="282" t="s">
        <v>84</v>
      </c>
      <c r="F437" s="282" t="s">
        <v>818</v>
      </c>
      <c r="G437" s="282"/>
      <c r="H437" s="197" t="s">
        <v>853</v>
      </c>
      <c r="I437" s="197" t="s">
        <v>853</v>
      </c>
      <c r="J437" s="197" t="s">
        <v>853</v>
      </c>
      <c r="K437" s="197" t="s">
        <v>853</v>
      </c>
      <c r="L437" s="197" t="s">
        <v>853</v>
      </c>
      <c r="M437" s="154" t="s">
        <v>854</v>
      </c>
      <c r="N437" s="155" t="s">
        <v>1119</v>
      </c>
      <c r="O437" s="155">
        <v>3</v>
      </c>
      <c r="P437" s="284" t="s">
        <v>1120</v>
      </c>
      <c r="Q437" s="156"/>
      <c r="R437" s="156"/>
      <c r="S437" s="157"/>
      <c r="T437" s="156"/>
      <c r="U437" s="156"/>
      <c r="V437" s="284" t="s">
        <v>752</v>
      </c>
      <c r="W437" s="284" t="s">
        <v>752</v>
      </c>
      <c r="X437" s="284" t="s">
        <v>830</v>
      </c>
      <c r="Y437" s="284" t="s">
        <v>95</v>
      </c>
      <c r="Z437" s="284" t="s">
        <v>752</v>
      </c>
      <c r="AA437" s="274"/>
      <c r="AB437" s="274"/>
      <c r="AC437" s="274"/>
      <c r="AD437" s="284" t="s">
        <v>857</v>
      </c>
      <c r="AE437" s="284"/>
      <c r="AF437" s="284"/>
      <c r="AG437" s="284"/>
    </row>
    <row r="438" spans="2:33" ht="13.5">
      <c r="B438" s="273"/>
      <c r="C438" s="283"/>
      <c r="D438" s="283"/>
      <c r="E438" s="285"/>
      <c r="F438" s="285"/>
      <c r="G438" s="285"/>
      <c r="H438" s="198"/>
      <c r="I438" s="198"/>
      <c r="J438" s="198"/>
      <c r="K438" s="198"/>
      <c r="L438" s="198"/>
      <c r="M438" s="158" t="s">
        <v>695</v>
      </c>
      <c r="N438" s="159" t="s">
        <v>821</v>
      </c>
      <c r="O438" s="159">
        <v>10</v>
      </c>
      <c r="P438" s="286"/>
      <c r="Q438" s="156"/>
      <c r="R438" s="156"/>
      <c r="S438" s="157"/>
      <c r="T438" s="156"/>
      <c r="U438" s="156"/>
      <c r="V438" s="286"/>
      <c r="W438" s="286"/>
      <c r="X438" s="286"/>
      <c r="Y438" s="286"/>
      <c r="Z438" s="286"/>
      <c r="AA438" s="275"/>
      <c r="AB438" s="275"/>
      <c r="AC438" s="275"/>
      <c r="AD438" s="290"/>
      <c r="AE438" s="286"/>
      <c r="AF438" s="286"/>
      <c r="AG438" s="286"/>
    </row>
    <row r="439" spans="2:33" ht="13.5">
      <c r="B439" s="273"/>
      <c r="C439" s="283"/>
      <c r="D439" s="283"/>
      <c r="E439" s="287"/>
      <c r="F439" s="287"/>
      <c r="G439" s="287"/>
      <c r="H439" s="199"/>
      <c r="I439" s="199"/>
      <c r="J439" s="199"/>
      <c r="K439" s="199"/>
      <c r="L439" s="199"/>
      <c r="M439" s="160"/>
      <c r="N439" s="161"/>
      <c r="O439" s="161"/>
      <c r="P439" s="288"/>
      <c r="Q439" s="156"/>
      <c r="R439" s="156"/>
      <c r="S439" s="157"/>
      <c r="T439" s="156"/>
      <c r="U439" s="156"/>
      <c r="V439" s="288"/>
      <c r="W439" s="288"/>
      <c r="X439" s="288"/>
      <c r="Y439" s="288"/>
      <c r="Z439" s="288"/>
      <c r="AA439" s="276"/>
      <c r="AB439" s="276"/>
      <c r="AC439" s="276"/>
      <c r="AD439" s="291"/>
      <c r="AE439" s="288"/>
      <c r="AF439" s="288"/>
      <c r="AG439" s="288"/>
    </row>
    <row r="440" spans="2:33" ht="13.5">
      <c r="B440" s="273">
        <v>127</v>
      </c>
      <c r="C440" s="283" t="s">
        <v>1121</v>
      </c>
      <c r="D440" s="283" t="s">
        <v>1118</v>
      </c>
      <c r="E440" s="282" t="s">
        <v>84</v>
      </c>
      <c r="F440" s="282" t="s">
        <v>823</v>
      </c>
      <c r="G440" s="282"/>
      <c r="H440" s="197" t="s">
        <v>853</v>
      </c>
      <c r="I440" s="197" t="s">
        <v>853</v>
      </c>
      <c r="J440" s="197" t="s">
        <v>853</v>
      </c>
      <c r="K440" s="197" t="s">
        <v>853</v>
      </c>
      <c r="L440" s="197" t="s">
        <v>853</v>
      </c>
      <c r="M440" s="154" t="s">
        <v>854</v>
      </c>
      <c r="N440" s="155" t="s">
        <v>1119</v>
      </c>
      <c r="O440" s="155">
        <v>3</v>
      </c>
      <c r="P440" s="284" t="s">
        <v>1120</v>
      </c>
      <c r="Q440" s="156"/>
      <c r="R440" s="156"/>
      <c r="S440" s="157"/>
      <c r="T440" s="156"/>
      <c r="U440" s="156"/>
      <c r="V440" s="284" t="s">
        <v>752</v>
      </c>
      <c r="W440" s="284" t="s">
        <v>752</v>
      </c>
      <c r="X440" s="284" t="s">
        <v>830</v>
      </c>
      <c r="Y440" s="284" t="s">
        <v>95</v>
      </c>
      <c r="Z440" s="284" t="s">
        <v>752</v>
      </c>
      <c r="AA440" s="274"/>
      <c r="AB440" s="274"/>
      <c r="AC440" s="274"/>
      <c r="AD440" s="284" t="s">
        <v>857</v>
      </c>
      <c r="AE440" s="284"/>
      <c r="AF440" s="284"/>
      <c r="AG440" s="284"/>
    </row>
    <row r="441" spans="2:33" ht="13.5">
      <c r="B441" s="273"/>
      <c r="C441" s="283"/>
      <c r="D441" s="283"/>
      <c r="E441" s="285"/>
      <c r="F441" s="285"/>
      <c r="G441" s="285"/>
      <c r="H441" s="198"/>
      <c r="I441" s="198"/>
      <c r="J441" s="198"/>
      <c r="K441" s="198"/>
      <c r="L441" s="198"/>
      <c r="M441" s="158" t="s">
        <v>695</v>
      </c>
      <c r="N441" s="159" t="s">
        <v>821</v>
      </c>
      <c r="O441" s="159">
        <v>10</v>
      </c>
      <c r="P441" s="286"/>
      <c r="Q441" s="156"/>
      <c r="R441" s="156"/>
      <c r="S441" s="157"/>
      <c r="T441" s="156"/>
      <c r="U441" s="156"/>
      <c r="V441" s="286"/>
      <c r="W441" s="286"/>
      <c r="X441" s="286"/>
      <c r="Y441" s="286"/>
      <c r="Z441" s="286"/>
      <c r="AA441" s="275"/>
      <c r="AB441" s="275"/>
      <c r="AC441" s="275"/>
      <c r="AD441" s="290"/>
      <c r="AE441" s="286"/>
      <c r="AF441" s="286"/>
      <c r="AG441" s="286"/>
    </row>
    <row r="442" spans="2:33" ht="13.5">
      <c r="B442" s="273"/>
      <c r="C442" s="283"/>
      <c r="D442" s="283"/>
      <c r="E442" s="287"/>
      <c r="F442" s="287"/>
      <c r="G442" s="287"/>
      <c r="H442" s="199"/>
      <c r="I442" s="199"/>
      <c r="J442" s="199"/>
      <c r="K442" s="199"/>
      <c r="L442" s="199"/>
      <c r="M442" s="160"/>
      <c r="N442" s="161"/>
      <c r="O442" s="161"/>
      <c r="P442" s="288"/>
      <c r="Q442" s="156"/>
      <c r="R442" s="156"/>
      <c r="S442" s="157"/>
      <c r="T442" s="156"/>
      <c r="U442" s="156"/>
      <c r="V442" s="288"/>
      <c r="W442" s="288"/>
      <c r="X442" s="288"/>
      <c r="Y442" s="288"/>
      <c r="Z442" s="288"/>
      <c r="AA442" s="276"/>
      <c r="AB442" s="276"/>
      <c r="AC442" s="276"/>
      <c r="AD442" s="291"/>
      <c r="AE442" s="288"/>
      <c r="AF442" s="288"/>
      <c r="AG442" s="288"/>
    </row>
    <row r="443" spans="2:33" ht="13.5">
      <c r="B443" s="273">
        <v>128</v>
      </c>
      <c r="C443" s="283" t="s">
        <v>1122</v>
      </c>
      <c r="D443" s="283" t="s">
        <v>1118</v>
      </c>
      <c r="E443" s="282" t="s">
        <v>84</v>
      </c>
      <c r="F443" s="282" t="s">
        <v>825</v>
      </c>
      <c r="G443" s="282"/>
      <c r="H443" s="197" t="s">
        <v>853</v>
      </c>
      <c r="I443" s="197" t="s">
        <v>853</v>
      </c>
      <c r="J443" s="197" t="s">
        <v>853</v>
      </c>
      <c r="K443" s="197" t="s">
        <v>853</v>
      </c>
      <c r="L443" s="197" t="s">
        <v>853</v>
      </c>
      <c r="M443" s="154" t="s">
        <v>854</v>
      </c>
      <c r="N443" s="155" t="s">
        <v>1119</v>
      </c>
      <c r="O443" s="155">
        <v>3</v>
      </c>
      <c r="P443" s="284" t="s">
        <v>1120</v>
      </c>
      <c r="Q443" s="156"/>
      <c r="R443" s="156"/>
      <c r="S443" s="157"/>
      <c r="T443" s="156"/>
      <c r="U443" s="156"/>
      <c r="V443" s="284" t="s">
        <v>752</v>
      </c>
      <c r="W443" s="284" t="s">
        <v>752</v>
      </c>
      <c r="X443" s="284" t="s">
        <v>830</v>
      </c>
      <c r="Y443" s="284" t="s">
        <v>95</v>
      </c>
      <c r="Z443" s="284" t="s">
        <v>752</v>
      </c>
      <c r="AA443" s="274"/>
      <c r="AB443" s="274"/>
      <c r="AC443" s="274"/>
      <c r="AD443" s="284" t="s">
        <v>857</v>
      </c>
      <c r="AE443" s="284"/>
      <c r="AF443" s="284"/>
      <c r="AG443" s="284"/>
    </row>
    <row r="444" spans="2:33" ht="13.5">
      <c r="B444" s="273"/>
      <c r="C444" s="283"/>
      <c r="D444" s="283"/>
      <c r="E444" s="285"/>
      <c r="F444" s="285"/>
      <c r="G444" s="285"/>
      <c r="H444" s="198"/>
      <c r="I444" s="198"/>
      <c r="J444" s="198"/>
      <c r="K444" s="198"/>
      <c r="L444" s="198"/>
      <c r="M444" s="158" t="s">
        <v>695</v>
      </c>
      <c r="N444" s="159" t="s">
        <v>821</v>
      </c>
      <c r="O444" s="159">
        <v>10</v>
      </c>
      <c r="P444" s="286"/>
      <c r="Q444" s="156"/>
      <c r="R444" s="156"/>
      <c r="S444" s="157"/>
      <c r="T444" s="156"/>
      <c r="U444" s="156"/>
      <c r="V444" s="286"/>
      <c r="W444" s="286"/>
      <c r="X444" s="286"/>
      <c r="Y444" s="286"/>
      <c r="Z444" s="286"/>
      <c r="AA444" s="275"/>
      <c r="AB444" s="275"/>
      <c r="AC444" s="275"/>
      <c r="AD444" s="290"/>
      <c r="AE444" s="286"/>
      <c r="AF444" s="286"/>
      <c r="AG444" s="286"/>
    </row>
    <row r="445" spans="2:33" ht="13.5">
      <c r="B445" s="273"/>
      <c r="C445" s="283"/>
      <c r="D445" s="283"/>
      <c r="E445" s="287"/>
      <c r="F445" s="287"/>
      <c r="G445" s="287"/>
      <c r="H445" s="199"/>
      <c r="I445" s="199"/>
      <c r="J445" s="199"/>
      <c r="K445" s="199"/>
      <c r="L445" s="199"/>
      <c r="M445" s="160"/>
      <c r="N445" s="161"/>
      <c r="O445" s="161"/>
      <c r="P445" s="288"/>
      <c r="Q445" s="156"/>
      <c r="R445" s="156"/>
      <c r="S445" s="157"/>
      <c r="T445" s="156"/>
      <c r="U445" s="156"/>
      <c r="V445" s="288"/>
      <c r="W445" s="288"/>
      <c r="X445" s="288"/>
      <c r="Y445" s="288"/>
      <c r="Z445" s="288"/>
      <c r="AA445" s="276"/>
      <c r="AB445" s="276"/>
      <c r="AC445" s="276"/>
      <c r="AD445" s="291"/>
      <c r="AE445" s="288"/>
      <c r="AF445" s="288"/>
      <c r="AG445" s="288"/>
    </row>
    <row r="446" spans="2:33" ht="13.5">
      <c r="B446" s="273">
        <v>129</v>
      </c>
      <c r="C446" s="283" t="s">
        <v>1123</v>
      </c>
      <c r="D446" s="283" t="s">
        <v>1124</v>
      </c>
      <c r="E446" s="282" t="s">
        <v>84</v>
      </c>
      <c r="F446" s="282" t="s">
        <v>818</v>
      </c>
      <c r="G446" s="282"/>
      <c r="H446" s="197" t="s">
        <v>853</v>
      </c>
      <c r="I446" s="197" t="s">
        <v>853</v>
      </c>
      <c r="J446" s="197" t="s">
        <v>853</v>
      </c>
      <c r="K446" s="197" t="s">
        <v>853</v>
      </c>
      <c r="L446" s="197" t="s">
        <v>853</v>
      </c>
      <c r="M446" s="154" t="s">
        <v>854</v>
      </c>
      <c r="N446" s="155" t="s">
        <v>1125</v>
      </c>
      <c r="O446" s="155">
        <v>2</v>
      </c>
      <c r="P446" s="284" t="s">
        <v>1126</v>
      </c>
      <c r="Q446" s="156"/>
      <c r="R446" s="156"/>
      <c r="S446" s="157"/>
      <c r="T446" s="156"/>
      <c r="U446" s="156"/>
      <c r="V446" s="284" t="s">
        <v>752</v>
      </c>
      <c r="W446" s="284" t="s">
        <v>752</v>
      </c>
      <c r="X446" s="284" t="s">
        <v>830</v>
      </c>
      <c r="Y446" s="284" t="s">
        <v>95</v>
      </c>
      <c r="Z446" s="284" t="s">
        <v>752</v>
      </c>
      <c r="AA446" s="274"/>
      <c r="AB446" s="274"/>
      <c r="AC446" s="274"/>
      <c r="AD446" s="284" t="s">
        <v>857</v>
      </c>
      <c r="AE446" s="284"/>
      <c r="AF446" s="284"/>
      <c r="AG446" s="284"/>
    </row>
    <row r="447" spans="2:33" ht="13.5">
      <c r="B447" s="273"/>
      <c r="C447" s="283"/>
      <c r="D447" s="283"/>
      <c r="E447" s="285"/>
      <c r="F447" s="285"/>
      <c r="G447" s="285"/>
      <c r="H447" s="198"/>
      <c r="I447" s="198"/>
      <c r="J447" s="198"/>
      <c r="K447" s="198"/>
      <c r="L447" s="198"/>
      <c r="M447" s="158" t="s">
        <v>695</v>
      </c>
      <c r="N447" s="159" t="s">
        <v>821</v>
      </c>
      <c r="O447" s="159">
        <v>10</v>
      </c>
      <c r="P447" s="286"/>
      <c r="Q447" s="156"/>
      <c r="R447" s="156"/>
      <c r="S447" s="157"/>
      <c r="T447" s="156"/>
      <c r="U447" s="156"/>
      <c r="V447" s="286"/>
      <c r="W447" s="286"/>
      <c r="X447" s="286"/>
      <c r="Y447" s="286"/>
      <c r="Z447" s="286"/>
      <c r="AA447" s="275"/>
      <c r="AB447" s="275"/>
      <c r="AC447" s="275"/>
      <c r="AD447" s="290"/>
      <c r="AE447" s="286"/>
      <c r="AF447" s="286"/>
      <c r="AG447" s="286"/>
    </row>
    <row r="448" spans="2:33" ht="13.5">
      <c r="B448" s="273"/>
      <c r="C448" s="283"/>
      <c r="D448" s="283"/>
      <c r="E448" s="287"/>
      <c r="F448" s="287"/>
      <c r="G448" s="287"/>
      <c r="H448" s="199"/>
      <c r="I448" s="199"/>
      <c r="J448" s="199"/>
      <c r="K448" s="199"/>
      <c r="L448" s="199"/>
      <c r="M448" s="160"/>
      <c r="N448" s="161"/>
      <c r="O448" s="161"/>
      <c r="P448" s="288"/>
      <c r="Q448" s="156"/>
      <c r="R448" s="156"/>
      <c r="S448" s="157"/>
      <c r="T448" s="156"/>
      <c r="U448" s="156"/>
      <c r="V448" s="288"/>
      <c r="W448" s="288"/>
      <c r="X448" s="288"/>
      <c r="Y448" s="288"/>
      <c r="Z448" s="288"/>
      <c r="AA448" s="276"/>
      <c r="AB448" s="276"/>
      <c r="AC448" s="276"/>
      <c r="AD448" s="291"/>
      <c r="AE448" s="288"/>
      <c r="AF448" s="288"/>
      <c r="AG448" s="288"/>
    </row>
    <row r="449" spans="2:33" ht="13.5">
      <c r="B449" s="273">
        <v>130</v>
      </c>
      <c r="C449" s="283" t="s">
        <v>1127</v>
      </c>
      <c r="D449" s="283" t="s">
        <v>1124</v>
      </c>
      <c r="E449" s="282" t="s">
        <v>84</v>
      </c>
      <c r="F449" s="282" t="s">
        <v>823</v>
      </c>
      <c r="G449" s="282"/>
      <c r="H449" s="197" t="s">
        <v>853</v>
      </c>
      <c r="I449" s="197" t="s">
        <v>853</v>
      </c>
      <c r="J449" s="197" t="s">
        <v>853</v>
      </c>
      <c r="K449" s="197" t="s">
        <v>853</v>
      </c>
      <c r="L449" s="197" t="s">
        <v>853</v>
      </c>
      <c r="M449" s="154" t="s">
        <v>854</v>
      </c>
      <c r="N449" s="155" t="s">
        <v>1125</v>
      </c>
      <c r="O449" s="155">
        <v>2</v>
      </c>
      <c r="P449" s="284" t="s">
        <v>1126</v>
      </c>
      <c r="Q449" s="156"/>
      <c r="R449" s="156"/>
      <c r="S449" s="157"/>
      <c r="T449" s="156"/>
      <c r="U449" s="156"/>
      <c r="V449" s="284" t="s">
        <v>752</v>
      </c>
      <c r="W449" s="284" t="s">
        <v>752</v>
      </c>
      <c r="X449" s="284" t="s">
        <v>830</v>
      </c>
      <c r="Y449" s="284" t="s">
        <v>95</v>
      </c>
      <c r="Z449" s="284" t="s">
        <v>752</v>
      </c>
      <c r="AA449" s="274"/>
      <c r="AB449" s="274"/>
      <c r="AC449" s="274"/>
      <c r="AD449" s="284" t="s">
        <v>857</v>
      </c>
      <c r="AE449" s="284"/>
      <c r="AF449" s="284"/>
      <c r="AG449" s="284"/>
    </row>
    <row r="450" spans="2:33" ht="13.5">
      <c r="B450" s="273"/>
      <c r="C450" s="283"/>
      <c r="D450" s="283"/>
      <c r="E450" s="285"/>
      <c r="F450" s="285"/>
      <c r="G450" s="285"/>
      <c r="H450" s="198"/>
      <c r="I450" s="198"/>
      <c r="J450" s="198"/>
      <c r="K450" s="198"/>
      <c r="L450" s="198"/>
      <c r="M450" s="158" t="s">
        <v>695</v>
      </c>
      <c r="N450" s="159" t="s">
        <v>821</v>
      </c>
      <c r="O450" s="159">
        <v>10</v>
      </c>
      <c r="P450" s="286"/>
      <c r="Q450" s="156"/>
      <c r="R450" s="156"/>
      <c r="S450" s="157"/>
      <c r="T450" s="156"/>
      <c r="U450" s="156"/>
      <c r="V450" s="286"/>
      <c r="W450" s="286"/>
      <c r="X450" s="286"/>
      <c r="Y450" s="286"/>
      <c r="Z450" s="286"/>
      <c r="AA450" s="275"/>
      <c r="AB450" s="275"/>
      <c r="AC450" s="275"/>
      <c r="AD450" s="290"/>
      <c r="AE450" s="286"/>
      <c r="AF450" s="286"/>
      <c r="AG450" s="286"/>
    </row>
    <row r="451" spans="2:33" ht="13.5">
      <c r="B451" s="273"/>
      <c r="C451" s="283"/>
      <c r="D451" s="283"/>
      <c r="E451" s="287"/>
      <c r="F451" s="287"/>
      <c r="G451" s="287"/>
      <c r="H451" s="199"/>
      <c r="I451" s="199"/>
      <c r="J451" s="199"/>
      <c r="K451" s="199"/>
      <c r="L451" s="199"/>
      <c r="M451" s="160"/>
      <c r="N451" s="161"/>
      <c r="O451" s="161"/>
      <c r="P451" s="288"/>
      <c r="Q451" s="156"/>
      <c r="R451" s="156"/>
      <c r="S451" s="157"/>
      <c r="T451" s="156"/>
      <c r="U451" s="156"/>
      <c r="V451" s="288"/>
      <c r="W451" s="288"/>
      <c r="X451" s="288"/>
      <c r="Y451" s="288"/>
      <c r="Z451" s="288"/>
      <c r="AA451" s="276"/>
      <c r="AB451" s="276"/>
      <c r="AC451" s="276"/>
      <c r="AD451" s="291"/>
      <c r="AE451" s="288"/>
      <c r="AF451" s="288"/>
      <c r="AG451" s="288"/>
    </row>
    <row r="452" spans="2:33" ht="13.5">
      <c r="B452" s="273">
        <v>131</v>
      </c>
      <c r="C452" s="283" t="s">
        <v>1128</v>
      </c>
      <c r="D452" s="283" t="s">
        <v>1124</v>
      </c>
      <c r="E452" s="282" t="s">
        <v>84</v>
      </c>
      <c r="F452" s="282" t="s">
        <v>825</v>
      </c>
      <c r="G452" s="282"/>
      <c r="H452" s="197" t="s">
        <v>853</v>
      </c>
      <c r="I452" s="197" t="s">
        <v>853</v>
      </c>
      <c r="J452" s="197" t="s">
        <v>853</v>
      </c>
      <c r="K452" s="197" t="s">
        <v>853</v>
      </c>
      <c r="L452" s="197" t="s">
        <v>853</v>
      </c>
      <c r="M452" s="154" t="s">
        <v>854</v>
      </c>
      <c r="N452" s="155" t="s">
        <v>1125</v>
      </c>
      <c r="O452" s="155">
        <v>2</v>
      </c>
      <c r="P452" s="284" t="s">
        <v>1126</v>
      </c>
      <c r="Q452" s="156"/>
      <c r="R452" s="156"/>
      <c r="S452" s="157"/>
      <c r="T452" s="156"/>
      <c r="U452" s="156"/>
      <c r="V452" s="284" t="s">
        <v>752</v>
      </c>
      <c r="W452" s="284" t="s">
        <v>752</v>
      </c>
      <c r="X452" s="284" t="s">
        <v>830</v>
      </c>
      <c r="Y452" s="284" t="s">
        <v>95</v>
      </c>
      <c r="Z452" s="284" t="s">
        <v>752</v>
      </c>
      <c r="AA452" s="274"/>
      <c r="AB452" s="274"/>
      <c r="AC452" s="274"/>
      <c r="AD452" s="284" t="s">
        <v>857</v>
      </c>
      <c r="AE452" s="284"/>
      <c r="AF452" s="284"/>
      <c r="AG452" s="284"/>
    </row>
    <row r="453" spans="2:33" ht="13.5">
      <c r="B453" s="273"/>
      <c r="C453" s="283"/>
      <c r="D453" s="283"/>
      <c r="E453" s="285"/>
      <c r="F453" s="285"/>
      <c r="G453" s="285"/>
      <c r="H453" s="198"/>
      <c r="I453" s="198"/>
      <c r="J453" s="198"/>
      <c r="K453" s="198"/>
      <c r="L453" s="198"/>
      <c r="M453" s="158" t="s">
        <v>695</v>
      </c>
      <c r="N453" s="159" t="s">
        <v>821</v>
      </c>
      <c r="O453" s="159">
        <v>10</v>
      </c>
      <c r="P453" s="286"/>
      <c r="Q453" s="156"/>
      <c r="R453" s="156"/>
      <c r="S453" s="157"/>
      <c r="T453" s="156"/>
      <c r="U453" s="156"/>
      <c r="V453" s="286"/>
      <c r="W453" s="286"/>
      <c r="X453" s="286"/>
      <c r="Y453" s="286"/>
      <c r="Z453" s="286"/>
      <c r="AA453" s="275"/>
      <c r="AB453" s="275"/>
      <c r="AC453" s="275"/>
      <c r="AD453" s="290"/>
      <c r="AE453" s="286"/>
      <c r="AF453" s="286"/>
      <c r="AG453" s="286"/>
    </row>
    <row r="454" spans="2:33" ht="13.5">
      <c r="B454" s="273"/>
      <c r="C454" s="283"/>
      <c r="D454" s="283"/>
      <c r="E454" s="287"/>
      <c r="F454" s="287"/>
      <c r="G454" s="287"/>
      <c r="H454" s="199"/>
      <c r="I454" s="199"/>
      <c r="J454" s="199"/>
      <c r="K454" s="199"/>
      <c r="L454" s="199"/>
      <c r="M454" s="160"/>
      <c r="N454" s="161"/>
      <c r="O454" s="161"/>
      <c r="P454" s="288"/>
      <c r="Q454" s="156"/>
      <c r="R454" s="156"/>
      <c r="S454" s="157"/>
      <c r="T454" s="156"/>
      <c r="U454" s="156"/>
      <c r="V454" s="288"/>
      <c r="W454" s="288"/>
      <c r="X454" s="288"/>
      <c r="Y454" s="288"/>
      <c r="Z454" s="288"/>
      <c r="AA454" s="276"/>
      <c r="AB454" s="276"/>
      <c r="AC454" s="276"/>
      <c r="AD454" s="291"/>
      <c r="AE454" s="288"/>
      <c r="AF454" s="288"/>
      <c r="AG454" s="288"/>
    </row>
    <row r="455" spans="2:33" ht="13.5">
      <c r="B455" s="273">
        <v>132</v>
      </c>
      <c r="C455" s="283" t="s">
        <v>1129</v>
      </c>
      <c r="D455" s="283" t="s">
        <v>1130</v>
      </c>
      <c r="E455" s="282" t="s">
        <v>84</v>
      </c>
      <c r="F455" s="282" t="s">
        <v>818</v>
      </c>
      <c r="G455" s="282"/>
      <c r="H455" s="197" t="s">
        <v>853</v>
      </c>
      <c r="I455" s="197" t="s">
        <v>853</v>
      </c>
      <c r="J455" s="197" t="s">
        <v>853</v>
      </c>
      <c r="K455" s="197" t="s">
        <v>853</v>
      </c>
      <c r="L455" s="197" t="s">
        <v>853</v>
      </c>
      <c r="M455" s="154" t="s">
        <v>854</v>
      </c>
      <c r="N455" s="155" t="s">
        <v>1131</v>
      </c>
      <c r="O455" s="155">
        <v>4</v>
      </c>
      <c r="P455" s="284" t="s">
        <v>1132</v>
      </c>
      <c r="Q455" s="156"/>
      <c r="R455" s="156"/>
      <c r="S455" s="157"/>
      <c r="T455" s="156"/>
      <c r="U455" s="156"/>
      <c r="V455" s="284" t="s">
        <v>752</v>
      </c>
      <c r="W455" s="284" t="s">
        <v>752</v>
      </c>
      <c r="X455" s="284" t="s">
        <v>830</v>
      </c>
      <c r="Y455" s="284" t="s">
        <v>95</v>
      </c>
      <c r="Z455" s="284" t="s">
        <v>752</v>
      </c>
      <c r="AA455" s="274"/>
      <c r="AB455" s="274"/>
      <c r="AC455" s="274"/>
      <c r="AD455" s="284" t="s">
        <v>857</v>
      </c>
      <c r="AE455" s="284"/>
      <c r="AF455" s="284"/>
      <c r="AG455" s="284"/>
    </row>
    <row r="456" spans="2:33" ht="13.5">
      <c r="B456" s="273"/>
      <c r="C456" s="283"/>
      <c r="D456" s="283"/>
      <c r="E456" s="285"/>
      <c r="F456" s="285"/>
      <c r="G456" s="285"/>
      <c r="H456" s="198"/>
      <c r="I456" s="198"/>
      <c r="J456" s="198"/>
      <c r="K456" s="198"/>
      <c r="L456" s="198"/>
      <c r="M456" s="158" t="s">
        <v>695</v>
      </c>
      <c r="N456" s="159" t="s">
        <v>821</v>
      </c>
      <c r="O456" s="159">
        <v>10</v>
      </c>
      <c r="P456" s="286"/>
      <c r="Q456" s="156"/>
      <c r="R456" s="156"/>
      <c r="S456" s="157"/>
      <c r="T456" s="156"/>
      <c r="U456" s="156"/>
      <c r="V456" s="286"/>
      <c r="W456" s="286"/>
      <c r="X456" s="286"/>
      <c r="Y456" s="286"/>
      <c r="Z456" s="286"/>
      <c r="AA456" s="275"/>
      <c r="AB456" s="275"/>
      <c r="AC456" s="275"/>
      <c r="AD456" s="290"/>
      <c r="AE456" s="286"/>
      <c r="AF456" s="286"/>
      <c r="AG456" s="286"/>
    </row>
    <row r="457" spans="2:33" ht="13.5">
      <c r="B457" s="273"/>
      <c r="C457" s="283"/>
      <c r="D457" s="283"/>
      <c r="E457" s="287"/>
      <c r="F457" s="287"/>
      <c r="G457" s="287"/>
      <c r="H457" s="199"/>
      <c r="I457" s="199"/>
      <c r="J457" s="199"/>
      <c r="K457" s="199"/>
      <c r="L457" s="199"/>
      <c r="M457" s="160"/>
      <c r="N457" s="161"/>
      <c r="O457" s="161"/>
      <c r="P457" s="288"/>
      <c r="Q457" s="156"/>
      <c r="R457" s="156"/>
      <c r="S457" s="157"/>
      <c r="T457" s="156"/>
      <c r="U457" s="156"/>
      <c r="V457" s="288"/>
      <c r="W457" s="288"/>
      <c r="X457" s="288"/>
      <c r="Y457" s="288"/>
      <c r="Z457" s="288"/>
      <c r="AA457" s="276"/>
      <c r="AB457" s="276"/>
      <c r="AC457" s="276"/>
      <c r="AD457" s="291"/>
      <c r="AE457" s="288"/>
      <c r="AF457" s="288"/>
      <c r="AG457" s="288"/>
    </row>
    <row r="458" spans="2:33" ht="13.5">
      <c r="B458" s="273">
        <v>133</v>
      </c>
      <c r="C458" s="283" t="s">
        <v>1133</v>
      </c>
      <c r="D458" s="283" t="s">
        <v>1130</v>
      </c>
      <c r="E458" s="282" t="s">
        <v>84</v>
      </c>
      <c r="F458" s="282" t="s">
        <v>823</v>
      </c>
      <c r="G458" s="282"/>
      <c r="H458" s="197" t="s">
        <v>853</v>
      </c>
      <c r="I458" s="197" t="s">
        <v>853</v>
      </c>
      <c r="J458" s="197" t="s">
        <v>853</v>
      </c>
      <c r="K458" s="197" t="s">
        <v>853</v>
      </c>
      <c r="L458" s="197" t="s">
        <v>853</v>
      </c>
      <c r="M458" s="154" t="s">
        <v>854</v>
      </c>
      <c r="N458" s="155" t="s">
        <v>1131</v>
      </c>
      <c r="O458" s="155">
        <v>4</v>
      </c>
      <c r="P458" s="284" t="s">
        <v>1132</v>
      </c>
      <c r="Q458" s="156"/>
      <c r="R458" s="156"/>
      <c r="S458" s="157"/>
      <c r="T458" s="156"/>
      <c r="U458" s="156"/>
      <c r="V458" s="284" t="s">
        <v>752</v>
      </c>
      <c r="W458" s="284" t="s">
        <v>752</v>
      </c>
      <c r="X458" s="284" t="s">
        <v>830</v>
      </c>
      <c r="Y458" s="284" t="s">
        <v>95</v>
      </c>
      <c r="Z458" s="284" t="s">
        <v>752</v>
      </c>
      <c r="AA458" s="274"/>
      <c r="AB458" s="274"/>
      <c r="AC458" s="274"/>
      <c r="AD458" s="284" t="s">
        <v>857</v>
      </c>
      <c r="AE458" s="284"/>
      <c r="AF458" s="284"/>
      <c r="AG458" s="284"/>
    </row>
    <row r="459" spans="2:33" ht="13.5">
      <c r="B459" s="273"/>
      <c r="C459" s="283"/>
      <c r="D459" s="283"/>
      <c r="E459" s="285"/>
      <c r="F459" s="285"/>
      <c r="G459" s="285"/>
      <c r="H459" s="198"/>
      <c r="I459" s="198"/>
      <c r="J459" s="198"/>
      <c r="K459" s="198"/>
      <c r="L459" s="198"/>
      <c r="M459" s="158" t="s">
        <v>695</v>
      </c>
      <c r="N459" s="159" t="s">
        <v>821</v>
      </c>
      <c r="O459" s="159">
        <v>10</v>
      </c>
      <c r="P459" s="286"/>
      <c r="Q459" s="156"/>
      <c r="R459" s="156"/>
      <c r="S459" s="157"/>
      <c r="T459" s="156"/>
      <c r="U459" s="156"/>
      <c r="V459" s="286"/>
      <c r="W459" s="286"/>
      <c r="X459" s="286"/>
      <c r="Y459" s="286"/>
      <c r="Z459" s="286"/>
      <c r="AA459" s="275"/>
      <c r="AB459" s="275"/>
      <c r="AC459" s="275"/>
      <c r="AD459" s="290"/>
      <c r="AE459" s="286"/>
      <c r="AF459" s="286"/>
      <c r="AG459" s="286"/>
    </row>
    <row r="460" spans="2:33" ht="13.5">
      <c r="B460" s="273"/>
      <c r="C460" s="283"/>
      <c r="D460" s="283"/>
      <c r="E460" s="287"/>
      <c r="F460" s="287"/>
      <c r="G460" s="287"/>
      <c r="H460" s="199"/>
      <c r="I460" s="199"/>
      <c r="J460" s="199"/>
      <c r="K460" s="199"/>
      <c r="L460" s="199"/>
      <c r="M460" s="160"/>
      <c r="N460" s="161"/>
      <c r="O460" s="161"/>
      <c r="P460" s="288"/>
      <c r="Q460" s="156"/>
      <c r="R460" s="156"/>
      <c r="S460" s="157"/>
      <c r="T460" s="156"/>
      <c r="U460" s="156"/>
      <c r="V460" s="288"/>
      <c r="W460" s="288"/>
      <c r="X460" s="288"/>
      <c r="Y460" s="288"/>
      <c r="Z460" s="288"/>
      <c r="AA460" s="276"/>
      <c r="AB460" s="276"/>
      <c r="AC460" s="276"/>
      <c r="AD460" s="291"/>
      <c r="AE460" s="288"/>
      <c r="AF460" s="288"/>
      <c r="AG460" s="288"/>
    </row>
    <row r="461" spans="2:33" ht="13.5">
      <c r="B461" s="273">
        <v>134</v>
      </c>
      <c r="C461" s="283" t="s">
        <v>1134</v>
      </c>
      <c r="D461" s="283" t="s">
        <v>1130</v>
      </c>
      <c r="E461" s="282" t="s">
        <v>84</v>
      </c>
      <c r="F461" s="282" t="s">
        <v>825</v>
      </c>
      <c r="G461" s="282"/>
      <c r="H461" s="197" t="s">
        <v>853</v>
      </c>
      <c r="I461" s="197" t="s">
        <v>853</v>
      </c>
      <c r="J461" s="197" t="s">
        <v>853</v>
      </c>
      <c r="K461" s="197" t="s">
        <v>853</v>
      </c>
      <c r="L461" s="197" t="s">
        <v>853</v>
      </c>
      <c r="M461" s="154" t="s">
        <v>854</v>
      </c>
      <c r="N461" s="155" t="s">
        <v>1131</v>
      </c>
      <c r="O461" s="155">
        <v>4</v>
      </c>
      <c r="P461" s="284" t="s">
        <v>1132</v>
      </c>
      <c r="Q461" s="156"/>
      <c r="R461" s="156"/>
      <c r="S461" s="157"/>
      <c r="T461" s="156"/>
      <c r="U461" s="156"/>
      <c r="V461" s="284" t="s">
        <v>752</v>
      </c>
      <c r="W461" s="284" t="s">
        <v>752</v>
      </c>
      <c r="X461" s="284" t="s">
        <v>830</v>
      </c>
      <c r="Y461" s="284" t="s">
        <v>95</v>
      </c>
      <c r="Z461" s="284" t="s">
        <v>752</v>
      </c>
      <c r="AA461" s="274"/>
      <c r="AB461" s="274"/>
      <c r="AC461" s="274"/>
      <c r="AD461" s="284" t="s">
        <v>857</v>
      </c>
      <c r="AE461" s="284"/>
      <c r="AF461" s="284"/>
      <c r="AG461" s="284"/>
    </row>
    <row r="462" spans="2:33" ht="13.5">
      <c r="B462" s="273"/>
      <c r="C462" s="283"/>
      <c r="D462" s="283"/>
      <c r="E462" s="285"/>
      <c r="F462" s="285"/>
      <c r="G462" s="285"/>
      <c r="H462" s="198"/>
      <c r="I462" s="198"/>
      <c r="J462" s="198"/>
      <c r="K462" s="198"/>
      <c r="L462" s="198"/>
      <c r="M462" s="158" t="s">
        <v>695</v>
      </c>
      <c r="N462" s="159" t="s">
        <v>821</v>
      </c>
      <c r="O462" s="159">
        <v>10</v>
      </c>
      <c r="P462" s="286"/>
      <c r="Q462" s="156"/>
      <c r="R462" s="156"/>
      <c r="S462" s="157"/>
      <c r="T462" s="156"/>
      <c r="U462" s="156"/>
      <c r="V462" s="286"/>
      <c r="W462" s="286"/>
      <c r="X462" s="286"/>
      <c r="Y462" s="286"/>
      <c r="Z462" s="286"/>
      <c r="AA462" s="275"/>
      <c r="AB462" s="275"/>
      <c r="AC462" s="275"/>
      <c r="AD462" s="290"/>
      <c r="AE462" s="286"/>
      <c r="AF462" s="286"/>
      <c r="AG462" s="286"/>
    </row>
    <row r="463" spans="2:33" ht="13.5">
      <c r="B463" s="273"/>
      <c r="C463" s="283"/>
      <c r="D463" s="283"/>
      <c r="E463" s="287"/>
      <c r="F463" s="287"/>
      <c r="G463" s="287"/>
      <c r="H463" s="199"/>
      <c r="I463" s="199"/>
      <c r="J463" s="199"/>
      <c r="K463" s="199"/>
      <c r="L463" s="199"/>
      <c r="M463" s="160"/>
      <c r="N463" s="161"/>
      <c r="O463" s="161"/>
      <c r="P463" s="288"/>
      <c r="Q463" s="156"/>
      <c r="R463" s="156"/>
      <c r="S463" s="157"/>
      <c r="T463" s="156"/>
      <c r="U463" s="156"/>
      <c r="V463" s="288"/>
      <c r="W463" s="288"/>
      <c r="X463" s="288"/>
      <c r="Y463" s="288"/>
      <c r="Z463" s="288"/>
      <c r="AA463" s="276"/>
      <c r="AB463" s="276"/>
      <c r="AC463" s="276"/>
      <c r="AD463" s="291"/>
      <c r="AE463" s="288"/>
      <c r="AF463" s="288"/>
      <c r="AG463" s="288"/>
    </row>
    <row r="464" spans="2:33" ht="13.5">
      <c r="B464" s="273">
        <v>135</v>
      </c>
      <c r="C464" s="283" t="s">
        <v>1135</v>
      </c>
      <c r="D464" s="283" t="s">
        <v>1136</v>
      </c>
      <c r="E464" s="282" t="s">
        <v>84</v>
      </c>
      <c r="F464" s="282" t="s">
        <v>818</v>
      </c>
      <c r="G464" s="282"/>
      <c r="H464" s="197" t="s">
        <v>853</v>
      </c>
      <c r="I464" s="197" t="s">
        <v>853</v>
      </c>
      <c r="J464" s="197" t="s">
        <v>853</v>
      </c>
      <c r="K464" s="197" t="s">
        <v>853</v>
      </c>
      <c r="L464" s="197" t="s">
        <v>853</v>
      </c>
      <c r="M464" s="154" t="s">
        <v>854</v>
      </c>
      <c r="N464" s="155" t="s">
        <v>1137</v>
      </c>
      <c r="O464" s="155">
        <v>4</v>
      </c>
      <c r="P464" s="284" t="s">
        <v>1138</v>
      </c>
      <c r="Q464" s="156"/>
      <c r="R464" s="156"/>
      <c r="S464" s="157"/>
      <c r="T464" s="156"/>
      <c r="U464" s="156"/>
      <c r="V464" s="284" t="s">
        <v>752</v>
      </c>
      <c r="W464" s="284" t="s">
        <v>752</v>
      </c>
      <c r="X464" s="284" t="s">
        <v>830</v>
      </c>
      <c r="Y464" s="284" t="s">
        <v>95</v>
      </c>
      <c r="Z464" s="284" t="s">
        <v>752</v>
      </c>
      <c r="AA464" s="274"/>
      <c r="AB464" s="274"/>
      <c r="AC464" s="274"/>
      <c r="AD464" s="284" t="s">
        <v>857</v>
      </c>
      <c r="AE464" s="284"/>
      <c r="AF464" s="284"/>
      <c r="AG464" s="284"/>
    </row>
    <row r="465" spans="2:33" ht="13.5">
      <c r="B465" s="273"/>
      <c r="C465" s="283"/>
      <c r="D465" s="283"/>
      <c r="E465" s="285"/>
      <c r="F465" s="285"/>
      <c r="G465" s="285"/>
      <c r="H465" s="198"/>
      <c r="I465" s="198"/>
      <c r="J465" s="198"/>
      <c r="K465" s="198"/>
      <c r="L465" s="198"/>
      <c r="M465" s="158" t="s">
        <v>695</v>
      </c>
      <c r="N465" s="159" t="s">
        <v>821</v>
      </c>
      <c r="O465" s="159">
        <v>10</v>
      </c>
      <c r="P465" s="286"/>
      <c r="Q465" s="156"/>
      <c r="R465" s="156"/>
      <c r="S465" s="157"/>
      <c r="T465" s="156"/>
      <c r="U465" s="156"/>
      <c r="V465" s="286"/>
      <c r="W465" s="286"/>
      <c r="X465" s="286"/>
      <c r="Y465" s="286"/>
      <c r="Z465" s="286"/>
      <c r="AA465" s="275"/>
      <c r="AB465" s="275"/>
      <c r="AC465" s="275"/>
      <c r="AD465" s="290"/>
      <c r="AE465" s="286"/>
      <c r="AF465" s="286"/>
      <c r="AG465" s="286"/>
    </row>
    <row r="466" spans="2:33" ht="13.5">
      <c r="B466" s="273"/>
      <c r="C466" s="283"/>
      <c r="D466" s="283"/>
      <c r="E466" s="287"/>
      <c r="F466" s="287"/>
      <c r="G466" s="287"/>
      <c r="H466" s="199"/>
      <c r="I466" s="199"/>
      <c r="J466" s="199"/>
      <c r="K466" s="199"/>
      <c r="L466" s="199"/>
      <c r="M466" s="160"/>
      <c r="N466" s="161"/>
      <c r="O466" s="161"/>
      <c r="P466" s="288"/>
      <c r="Q466" s="156"/>
      <c r="R466" s="156"/>
      <c r="S466" s="157"/>
      <c r="T466" s="156"/>
      <c r="U466" s="156"/>
      <c r="V466" s="288"/>
      <c r="W466" s="288"/>
      <c r="X466" s="288"/>
      <c r="Y466" s="288"/>
      <c r="Z466" s="288"/>
      <c r="AA466" s="276"/>
      <c r="AB466" s="276"/>
      <c r="AC466" s="276"/>
      <c r="AD466" s="291"/>
      <c r="AE466" s="288"/>
      <c r="AF466" s="288"/>
      <c r="AG466" s="288"/>
    </row>
    <row r="467" spans="2:33" ht="13.5">
      <c r="B467" s="273">
        <v>136</v>
      </c>
      <c r="C467" s="283" t="s">
        <v>1139</v>
      </c>
      <c r="D467" s="283" t="s">
        <v>1136</v>
      </c>
      <c r="E467" s="282" t="s">
        <v>84</v>
      </c>
      <c r="F467" s="282" t="s">
        <v>823</v>
      </c>
      <c r="G467" s="282"/>
      <c r="H467" s="197" t="s">
        <v>853</v>
      </c>
      <c r="I467" s="197" t="s">
        <v>853</v>
      </c>
      <c r="J467" s="197" t="s">
        <v>853</v>
      </c>
      <c r="K467" s="197" t="s">
        <v>853</v>
      </c>
      <c r="L467" s="197" t="s">
        <v>853</v>
      </c>
      <c r="M467" s="154" t="s">
        <v>854</v>
      </c>
      <c r="N467" s="155" t="s">
        <v>1137</v>
      </c>
      <c r="O467" s="155">
        <v>4</v>
      </c>
      <c r="P467" s="284" t="s">
        <v>1138</v>
      </c>
      <c r="Q467" s="156"/>
      <c r="R467" s="156"/>
      <c r="S467" s="157"/>
      <c r="T467" s="156"/>
      <c r="U467" s="156"/>
      <c r="V467" s="284" t="s">
        <v>752</v>
      </c>
      <c r="W467" s="284" t="s">
        <v>752</v>
      </c>
      <c r="X467" s="284" t="s">
        <v>830</v>
      </c>
      <c r="Y467" s="284" t="s">
        <v>95</v>
      </c>
      <c r="Z467" s="284" t="s">
        <v>752</v>
      </c>
      <c r="AA467" s="274"/>
      <c r="AB467" s="274"/>
      <c r="AC467" s="274"/>
      <c r="AD467" s="284" t="s">
        <v>857</v>
      </c>
      <c r="AE467" s="284"/>
      <c r="AF467" s="284"/>
      <c r="AG467" s="284"/>
    </row>
    <row r="468" spans="2:33" ht="13.5">
      <c r="B468" s="273"/>
      <c r="C468" s="283"/>
      <c r="D468" s="283"/>
      <c r="E468" s="285"/>
      <c r="F468" s="285"/>
      <c r="G468" s="285"/>
      <c r="H468" s="198"/>
      <c r="I468" s="198"/>
      <c r="J468" s="198"/>
      <c r="K468" s="198"/>
      <c r="L468" s="198"/>
      <c r="M468" s="158" t="s">
        <v>695</v>
      </c>
      <c r="N468" s="159" t="s">
        <v>821</v>
      </c>
      <c r="O468" s="159">
        <v>10</v>
      </c>
      <c r="P468" s="286"/>
      <c r="Q468" s="156"/>
      <c r="R468" s="156"/>
      <c r="S468" s="157"/>
      <c r="T468" s="156"/>
      <c r="U468" s="156"/>
      <c r="V468" s="286"/>
      <c r="W468" s="286"/>
      <c r="X468" s="286"/>
      <c r="Y468" s="286"/>
      <c r="Z468" s="286"/>
      <c r="AA468" s="275"/>
      <c r="AB468" s="275"/>
      <c r="AC468" s="275"/>
      <c r="AD468" s="290"/>
      <c r="AE468" s="286"/>
      <c r="AF468" s="286"/>
      <c r="AG468" s="286"/>
    </row>
    <row r="469" spans="2:33" ht="13.5">
      <c r="B469" s="273"/>
      <c r="C469" s="283"/>
      <c r="D469" s="283"/>
      <c r="E469" s="287"/>
      <c r="F469" s="287"/>
      <c r="G469" s="287"/>
      <c r="H469" s="199"/>
      <c r="I469" s="199"/>
      <c r="J469" s="199"/>
      <c r="K469" s="199"/>
      <c r="L469" s="199"/>
      <c r="M469" s="160"/>
      <c r="N469" s="161"/>
      <c r="O469" s="161"/>
      <c r="P469" s="288"/>
      <c r="Q469" s="156"/>
      <c r="R469" s="156"/>
      <c r="S469" s="157"/>
      <c r="T469" s="156"/>
      <c r="U469" s="156"/>
      <c r="V469" s="288"/>
      <c r="W469" s="288"/>
      <c r="X469" s="288"/>
      <c r="Y469" s="288"/>
      <c r="Z469" s="288"/>
      <c r="AA469" s="276"/>
      <c r="AB469" s="276"/>
      <c r="AC469" s="276"/>
      <c r="AD469" s="291"/>
      <c r="AE469" s="288"/>
      <c r="AF469" s="288"/>
      <c r="AG469" s="288"/>
    </row>
    <row r="470" spans="2:33" ht="13.5">
      <c r="B470" s="273">
        <v>137</v>
      </c>
      <c r="C470" s="283" t="s">
        <v>1140</v>
      </c>
      <c r="D470" s="283" t="s">
        <v>1136</v>
      </c>
      <c r="E470" s="282" t="s">
        <v>84</v>
      </c>
      <c r="F470" s="282" t="s">
        <v>825</v>
      </c>
      <c r="G470" s="282"/>
      <c r="H470" s="197" t="s">
        <v>853</v>
      </c>
      <c r="I470" s="197" t="s">
        <v>853</v>
      </c>
      <c r="J470" s="197" t="s">
        <v>853</v>
      </c>
      <c r="K470" s="197" t="s">
        <v>853</v>
      </c>
      <c r="L470" s="197" t="s">
        <v>853</v>
      </c>
      <c r="M470" s="154" t="s">
        <v>854</v>
      </c>
      <c r="N470" s="155" t="s">
        <v>1137</v>
      </c>
      <c r="O470" s="155">
        <v>4</v>
      </c>
      <c r="P470" s="284" t="s">
        <v>1138</v>
      </c>
      <c r="Q470" s="156"/>
      <c r="R470" s="156"/>
      <c r="S470" s="157"/>
      <c r="T470" s="156"/>
      <c r="U470" s="156"/>
      <c r="V470" s="284" t="s">
        <v>752</v>
      </c>
      <c r="W470" s="284" t="s">
        <v>752</v>
      </c>
      <c r="X470" s="284" t="s">
        <v>830</v>
      </c>
      <c r="Y470" s="284" t="s">
        <v>95</v>
      </c>
      <c r="Z470" s="284" t="s">
        <v>752</v>
      </c>
      <c r="AA470" s="274"/>
      <c r="AB470" s="274"/>
      <c r="AC470" s="274"/>
      <c r="AD470" s="284" t="s">
        <v>857</v>
      </c>
      <c r="AE470" s="284"/>
      <c r="AF470" s="284"/>
      <c r="AG470" s="284"/>
    </row>
    <row r="471" spans="2:33" ht="13.5">
      <c r="B471" s="273"/>
      <c r="C471" s="283"/>
      <c r="D471" s="283"/>
      <c r="E471" s="285"/>
      <c r="F471" s="285"/>
      <c r="G471" s="285"/>
      <c r="H471" s="198"/>
      <c r="I471" s="198"/>
      <c r="J471" s="198"/>
      <c r="K471" s="198"/>
      <c r="L471" s="198"/>
      <c r="M471" s="158" t="s">
        <v>695</v>
      </c>
      <c r="N471" s="159" t="s">
        <v>821</v>
      </c>
      <c r="O471" s="159">
        <v>10</v>
      </c>
      <c r="P471" s="286"/>
      <c r="Q471" s="156"/>
      <c r="R471" s="156"/>
      <c r="S471" s="157"/>
      <c r="T471" s="156"/>
      <c r="U471" s="156"/>
      <c r="V471" s="286"/>
      <c r="W471" s="286"/>
      <c r="X471" s="286"/>
      <c r="Y471" s="286"/>
      <c r="Z471" s="286"/>
      <c r="AA471" s="275"/>
      <c r="AB471" s="275"/>
      <c r="AC471" s="275"/>
      <c r="AD471" s="290"/>
      <c r="AE471" s="286"/>
      <c r="AF471" s="286"/>
      <c r="AG471" s="286"/>
    </row>
    <row r="472" spans="2:33" ht="13.5">
      <c r="B472" s="273"/>
      <c r="C472" s="283"/>
      <c r="D472" s="283"/>
      <c r="E472" s="287"/>
      <c r="F472" s="287"/>
      <c r="G472" s="287"/>
      <c r="H472" s="199"/>
      <c r="I472" s="199"/>
      <c r="J472" s="199"/>
      <c r="K472" s="199"/>
      <c r="L472" s="199"/>
      <c r="M472" s="160"/>
      <c r="N472" s="161"/>
      <c r="O472" s="161"/>
      <c r="P472" s="288"/>
      <c r="Q472" s="156"/>
      <c r="R472" s="156"/>
      <c r="S472" s="157"/>
      <c r="T472" s="156"/>
      <c r="U472" s="156"/>
      <c r="V472" s="288"/>
      <c r="W472" s="288"/>
      <c r="X472" s="288"/>
      <c r="Y472" s="288"/>
      <c r="Z472" s="288"/>
      <c r="AA472" s="276"/>
      <c r="AB472" s="276"/>
      <c r="AC472" s="276"/>
      <c r="AD472" s="291"/>
      <c r="AE472" s="288"/>
      <c r="AF472" s="288"/>
      <c r="AG472" s="288"/>
    </row>
    <row r="473" spans="2:33" ht="13.5">
      <c r="B473" s="273">
        <v>138</v>
      </c>
      <c r="C473" s="283" t="s">
        <v>1141</v>
      </c>
      <c r="D473" s="283" t="s">
        <v>1142</v>
      </c>
      <c r="E473" s="282" t="s">
        <v>84</v>
      </c>
      <c r="F473" s="282" t="s">
        <v>818</v>
      </c>
      <c r="G473" s="282"/>
      <c r="H473" s="197" t="s">
        <v>853</v>
      </c>
      <c r="I473" s="197" t="s">
        <v>853</v>
      </c>
      <c r="J473" s="197" t="s">
        <v>853</v>
      </c>
      <c r="K473" s="197" t="s">
        <v>853</v>
      </c>
      <c r="L473" s="197" t="s">
        <v>853</v>
      </c>
      <c r="M473" s="154" t="s">
        <v>854</v>
      </c>
      <c r="N473" s="155" t="s">
        <v>1143</v>
      </c>
      <c r="O473" s="155">
        <v>2</v>
      </c>
      <c r="P473" s="284" t="s">
        <v>1144</v>
      </c>
      <c r="Q473" s="156"/>
      <c r="R473" s="156"/>
      <c r="S473" s="157"/>
      <c r="T473" s="156"/>
      <c r="U473" s="156"/>
      <c r="V473" s="284" t="s">
        <v>752</v>
      </c>
      <c r="W473" s="284" t="s">
        <v>752</v>
      </c>
      <c r="X473" s="284" t="s">
        <v>830</v>
      </c>
      <c r="Y473" s="284" t="s">
        <v>95</v>
      </c>
      <c r="Z473" s="284" t="s">
        <v>752</v>
      </c>
      <c r="AA473" s="274"/>
      <c r="AB473" s="274"/>
      <c r="AC473" s="274"/>
      <c r="AD473" s="284" t="s">
        <v>857</v>
      </c>
      <c r="AE473" s="284"/>
      <c r="AF473" s="284"/>
      <c r="AG473" s="284"/>
    </row>
    <row r="474" spans="2:33" ht="13.5">
      <c r="B474" s="273"/>
      <c r="C474" s="283"/>
      <c r="D474" s="283"/>
      <c r="E474" s="285"/>
      <c r="F474" s="285"/>
      <c r="G474" s="285"/>
      <c r="H474" s="198"/>
      <c r="I474" s="198"/>
      <c r="J474" s="198"/>
      <c r="K474" s="198"/>
      <c r="L474" s="198"/>
      <c r="M474" s="158" t="s">
        <v>695</v>
      </c>
      <c r="N474" s="159" t="s">
        <v>821</v>
      </c>
      <c r="O474" s="159">
        <v>10</v>
      </c>
      <c r="P474" s="286"/>
      <c r="Q474" s="156"/>
      <c r="R474" s="156"/>
      <c r="S474" s="157"/>
      <c r="T474" s="156"/>
      <c r="U474" s="156"/>
      <c r="V474" s="286"/>
      <c r="W474" s="286"/>
      <c r="X474" s="286"/>
      <c r="Y474" s="286"/>
      <c r="Z474" s="286"/>
      <c r="AA474" s="275"/>
      <c r="AB474" s="275"/>
      <c r="AC474" s="275"/>
      <c r="AD474" s="290"/>
      <c r="AE474" s="286"/>
      <c r="AF474" s="286"/>
      <c r="AG474" s="286"/>
    </row>
    <row r="475" spans="2:33" ht="13.5">
      <c r="B475" s="273"/>
      <c r="C475" s="283"/>
      <c r="D475" s="283"/>
      <c r="E475" s="287"/>
      <c r="F475" s="287"/>
      <c r="G475" s="287"/>
      <c r="H475" s="199"/>
      <c r="I475" s="199"/>
      <c r="J475" s="199"/>
      <c r="K475" s="199"/>
      <c r="L475" s="199"/>
      <c r="M475" s="160"/>
      <c r="N475" s="161"/>
      <c r="O475" s="161"/>
      <c r="P475" s="288"/>
      <c r="Q475" s="156"/>
      <c r="R475" s="156"/>
      <c r="S475" s="157"/>
      <c r="T475" s="156"/>
      <c r="U475" s="156"/>
      <c r="V475" s="288"/>
      <c r="W475" s="288"/>
      <c r="X475" s="288"/>
      <c r="Y475" s="288"/>
      <c r="Z475" s="288"/>
      <c r="AA475" s="276"/>
      <c r="AB475" s="276"/>
      <c r="AC475" s="276"/>
      <c r="AD475" s="291"/>
      <c r="AE475" s="288"/>
      <c r="AF475" s="288"/>
      <c r="AG475" s="288"/>
    </row>
    <row r="476" spans="2:33" ht="13.5">
      <c r="B476" s="273">
        <v>139</v>
      </c>
      <c r="C476" s="283" t="s">
        <v>1145</v>
      </c>
      <c r="D476" s="283" t="s">
        <v>1142</v>
      </c>
      <c r="E476" s="282" t="s">
        <v>84</v>
      </c>
      <c r="F476" s="282" t="s">
        <v>823</v>
      </c>
      <c r="G476" s="282"/>
      <c r="H476" s="197" t="s">
        <v>853</v>
      </c>
      <c r="I476" s="197" t="s">
        <v>853</v>
      </c>
      <c r="J476" s="197" t="s">
        <v>853</v>
      </c>
      <c r="K476" s="197" t="s">
        <v>853</v>
      </c>
      <c r="L476" s="197" t="s">
        <v>853</v>
      </c>
      <c r="M476" s="154" t="s">
        <v>854</v>
      </c>
      <c r="N476" s="155" t="s">
        <v>1143</v>
      </c>
      <c r="O476" s="155">
        <v>2</v>
      </c>
      <c r="P476" s="284" t="s">
        <v>1144</v>
      </c>
      <c r="Q476" s="156"/>
      <c r="R476" s="156"/>
      <c r="S476" s="157"/>
      <c r="T476" s="156"/>
      <c r="U476" s="156"/>
      <c r="V476" s="284" t="s">
        <v>752</v>
      </c>
      <c r="W476" s="284" t="s">
        <v>752</v>
      </c>
      <c r="X476" s="284" t="s">
        <v>830</v>
      </c>
      <c r="Y476" s="284" t="s">
        <v>95</v>
      </c>
      <c r="Z476" s="284" t="s">
        <v>752</v>
      </c>
      <c r="AA476" s="274"/>
      <c r="AB476" s="274"/>
      <c r="AC476" s="274"/>
      <c r="AD476" s="284" t="s">
        <v>857</v>
      </c>
      <c r="AE476" s="284"/>
      <c r="AF476" s="284"/>
      <c r="AG476" s="284"/>
    </row>
    <row r="477" spans="2:33" ht="13.5">
      <c r="B477" s="273"/>
      <c r="C477" s="283"/>
      <c r="D477" s="283"/>
      <c r="E477" s="285"/>
      <c r="F477" s="285"/>
      <c r="G477" s="285"/>
      <c r="H477" s="198"/>
      <c r="I477" s="198"/>
      <c r="J477" s="198"/>
      <c r="K477" s="198"/>
      <c r="L477" s="198"/>
      <c r="M477" s="158" t="s">
        <v>695</v>
      </c>
      <c r="N477" s="159" t="s">
        <v>821</v>
      </c>
      <c r="O477" s="159">
        <v>10</v>
      </c>
      <c r="P477" s="286"/>
      <c r="Q477" s="156"/>
      <c r="R477" s="156"/>
      <c r="S477" s="157"/>
      <c r="T477" s="156"/>
      <c r="U477" s="156"/>
      <c r="V477" s="286"/>
      <c r="W477" s="286"/>
      <c r="X477" s="286"/>
      <c r="Y477" s="286"/>
      <c r="Z477" s="286"/>
      <c r="AA477" s="275"/>
      <c r="AB477" s="275"/>
      <c r="AC477" s="275"/>
      <c r="AD477" s="290"/>
      <c r="AE477" s="286"/>
      <c r="AF477" s="286"/>
      <c r="AG477" s="286"/>
    </row>
    <row r="478" spans="2:33" ht="13.5">
      <c r="B478" s="273"/>
      <c r="C478" s="283"/>
      <c r="D478" s="283"/>
      <c r="E478" s="287"/>
      <c r="F478" s="287"/>
      <c r="G478" s="287"/>
      <c r="H478" s="199"/>
      <c r="I478" s="199"/>
      <c r="J478" s="199"/>
      <c r="K478" s="199"/>
      <c r="L478" s="199"/>
      <c r="M478" s="160"/>
      <c r="N478" s="161"/>
      <c r="O478" s="161"/>
      <c r="P478" s="288"/>
      <c r="Q478" s="156"/>
      <c r="R478" s="156"/>
      <c r="S478" s="157"/>
      <c r="T478" s="156"/>
      <c r="U478" s="156"/>
      <c r="V478" s="288"/>
      <c r="W478" s="288"/>
      <c r="X478" s="288"/>
      <c r="Y478" s="288"/>
      <c r="Z478" s="288"/>
      <c r="AA478" s="276"/>
      <c r="AB478" s="276"/>
      <c r="AC478" s="276"/>
      <c r="AD478" s="291"/>
      <c r="AE478" s="288"/>
      <c r="AF478" s="288"/>
      <c r="AG478" s="288"/>
    </row>
    <row r="479" spans="2:33" ht="13.5">
      <c r="B479" s="273">
        <v>140</v>
      </c>
      <c r="C479" s="283" t="s">
        <v>1146</v>
      </c>
      <c r="D479" s="283" t="s">
        <v>1142</v>
      </c>
      <c r="E479" s="282" t="s">
        <v>84</v>
      </c>
      <c r="F479" s="282" t="s">
        <v>825</v>
      </c>
      <c r="G479" s="282"/>
      <c r="H479" s="197" t="s">
        <v>853</v>
      </c>
      <c r="I479" s="197" t="s">
        <v>853</v>
      </c>
      <c r="J479" s="197" t="s">
        <v>853</v>
      </c>
      <c r="K479" s="197" t="s">
        <v>853</v>
      </c>
      <c r="L479" s="197" t="s">
        <v>853</v>
      </c>
      <c r="M479" s="154" t="s">
        <v>854</v>
      </c>
      <c r="N479" s="155" t="s">
        <v>1143</v>
      </c>
      <c r="O479" s="155">
        <v>2</v>
      </c>
      <c r="P479" s="284" t="s">
        <v>1144</v>
      </c>
      <c r="Q479" s="156"/>
      <c r="R479" s="156"/>
      <c r="S479" s="157"/>
      <c r="T479" s="156"/>
      <c r="U479" s="156"/>
      <c r="V479" s="284" t="s">
        <v>752</v>
      </c>
      <c r="W479" s="284" t="s">
        <v>752</v>
      </c>
      <c r="X479" s="284" t="s">
        <v>830</v>
      </c>
      <c r="Y479" s="284" t="s">
        <v>95</v>
      </c>
      <c r="Z479" s="284" t="s">
        <v>752</v>
      </c>
      <c r="AA479" s="274"/>
      <c r="AB479" s="274"/>
      <c r="AC479" s="274"/>
      <c r="AD479" s="284" t="s">
        <v>857</v>
      </c>
      <c r="AE479" s="284"/>
      <c r="AF479" s="284"/>
      <c r="AG479" s="284"/>
    </row>
    <row r="480" spans="2:33" ht="13.5">
      <c r="B480" s="273"/>
      <c r="C480" s="283"/>
      <c r="D480" s="283"/>
      <c r="E480" s="285"/>
      <c r="F480" s="285"/>
      <c r="G480" s="285"/>
      <c r="H480" s="198"/>
      <c r="I480" s="198"/>
      <c r="J480" s="198"/>
      <c r="K480" s="198"/>
      <c r="L480" s="198"/>
      <c r="M480" s="158" t="s">
        <v>695</v>
      </c>
      <c r="N480" s="159" t="s">
        <v>821</v>
      </c>
      <c r="O480" s="159">
        <v>10</v>
      </c>
      <c r="P480" s="286"/>
      <c r="Q480" s="156"/>
      <c r="R480" s="156"/>
      <c r="S480" s="157"/>
      <c r="T480" s="156"/>
      <c r="U480" s="156"/>
      <c r="V480" s="286"/>
      <c r="W480" s="286"/>
      <c r="X480" s="286"/>
      <c r="Y480" s="286"/>
      <c r="Z480" s="286"/>
      <c r="AA480" s="275"/>
      <c r="AB480" s="275"/>
      <c r="AC480" s="275"/>
      <c r="AD480" s="290"/>
      <c r="AE480" s="286"/>
      <c r="AF480" s="286"/>
      <c r="AG480" s="286"/>
    </row>
    <row r="481" spans="1:33" ht="13.5">
      <c r="B481" s="273"/>
      <c r="C481" s="283"/>
      <c r="D481" s="283"/>
      <c r="E481" s="287"/>
      <c r="F481" s="287"/>
      <c r="G481" s="287"/>
      <c r="H481" s="199"/>
      <c r="I481" s="199"/>
      <c r="J481" s="199"/>
      <c r="K481" s="199"/>
      <c r="L481" s="199"/>
      <c r="M481" s="160"/>
      <c r="N481" s="161"/>
      <c r="O481" s="161"/>
      <c r="P481" s="288"/>
      <c r="Q481" s="156"/>
      <c r="R481" s="156"/>
      <c r="S481" s="157"/>
      <c r="T481" s="156"/>
      <c r="U481" s="156"/>
      <c r="V481" s="288"/>
      <c r="W481" s="288"/>
      <c r="X481" s="288"/>
      <c r="Y481" s="288"/>
      <c r="Z481" s="288"/>
      <c r="AA481" s="276"/>
      <c r="AB481" s="276"/>
      <c r="AC481" s="276"/>
      <c r="AD481" s="291"/>
      <c r="AE481" s="288"/>
      <c r="AF481" s="288"/>
      <c r="AG481" s="288"/>
    </row>
    <row r="482" spans="1:33" ht="13.5" customHeight="1">
      <c r="B482" s="273">
        <v>141</v>
      </c>
      <c r="C482" s="283" t="s">
        <v>1147</v>
      </c>
      <c r="D482" s="283" t="s">
        <v>1147</v>
      </c>
      <c r="E482" s="282" t="s">
        <v>1148</v>
      </c>
      <c r="F482" s="282" t="s">
        <v>770</v>
      </c>
      <c r="G482" s="282"/>
      <c r="H482" s="197" t="s">
        <v>853</v>
      </c>
      <c r="I482" s="197" t="s">
        <v>853</v>
      </c>
      <c r="J482" s="197" t="s">
        <v>853</v>
      </c>
      <c r="K482" s="197" t="s">
        <v>853</v>
      </c>
      <c r="L482" s="197" t="s">
        <v>853</v>
      </c>
      <c r="M482" s="158" t="s">
        <v>695</v>
      </c>
      <c r="N482" s="159" t="s">
        <v>1149</v>
      </c>
      <c r="O482" s="159" t="s">
        <v>1150</v>
      </c>
      <c r="P482" s="284" t="s">
        <v>1151</v>
      </c>
      <c r="Q482" s="156"/>
      <c r="R482" s="156"/>
      <c r="S482" s="157"/>
      <c r="T482" s="156"/>
      <c r="U482" s="156"/>
      <c r="V482" s="284" t="s">
        <v>752</v>
      </c>
      <c r="W482" s="292" t="s">
        <v>1085</v>
      </c>
      <c r="X482" s="284" t="s">
        <v>857</v>
      </c>
      <c r="Y482" s="284" t="s">
        <v>95</v>
      </c>
      <c r="Z482" s="284" t="s">
        <v>752</v>
      </c>
      <c r="AA482" s="274"/>
      <c r="AB482" s="274"/>
      <c r="AC482" s="274"/>
      <c r="AD482" s="284" t="s">
        <v>857</v>
      </c>
      <c r="AE482" s="284"/>
      <c r="AF482" s="284"/>
      <c r="AG482" s="284"/>
    </row>
    <row r="483" spans="1:33" ht="13.5" customHeight="1">
      <c r="B483" s="273"/>
      <c r="C483" s="283"/>
      <c r="D483" s="283"/>
      <c r="E483" s="285"/>
      <c r="F483" s="285"/>
      <c r="G483" s="285"/>
      <c r="H483" s="198"/>
      <c r="I483" s="198"/>
      <c r="J483" s="198"/>
      <c r="K483" s="198"/>
      <c r="L483" s="198"/>
      <c r="M483" s="158"/>
      <c r="N483" s="159"/>
      <c r="O483" s="159"/>
      <c r="P483" s="286"/>
      <c r="Q483" s="156"/>
      <c r="R483" s="156"/>
      <c r="S483" s="157"/>
      <c r="T483" s="156"/>
      <c r="U483" s="156"/>
      <c r="V483" s="286"/>
      <c r="W483" s="293"/>
      <c r="X483" s="286"/>
      <c r="Y483" s="286"/>
      <c r="Z483" s="286"/>
      <c r="AA483" s="275"/>
      <c r="AB483" s="275"/>
      <c r="AC483" s="275"/>
      <c r="AD483" s="290"/>
      <c r="AE483" s="286"/>
      <c r="AF483" s="286"/>
      <c r="AG483" s="286"/>
    </row>
    <row r="484" spans="1:33" ht="13.5">
      <c r="B484" s="273"/>
      <c r="C484" s="283"/>
      <c r="D484" s="283"/>
      <c r="E484" s="287"/>
      <c r="F484" s="287"/>
      <c r="G484" s="287"/>
      <c r="H484" s="199"/>
      <c r="I484" s="199"/>
      <c r="J484" s="199"/>
      <c r="K484" s="199"/>
      <c r="L484" s="199"/>
      <c r="M484" s="160"/>
      <c r="N484" s="161"/>
      <c r="O484" s="161"/>
      <c r="P484" s="288"/>
      <c r="Q484" s="156"/>
      <c r="R484" s="156"/>
      <c r="S484" s="157"/>
      <c r="T484" s="156"/>
      <c r="U484" s="156"/>
      <c r="V484" s="288"/>
      <c r="W484" s="294"/>
      <c r="X484" s="288"/>
      <c r="Y484" s="288"/>
      <c r="Z484" s="288"/>
      <c r="AA484" s="276"/>
      <c r="AB484" s="276"/>
      <c r="AC484" s="276"/>
      <c r="AD484" s="291"/>
      <c r="AE484" s="288"/>
      <c r="AF484" s="288"/>
      <c r="AG484" s="288"/>
    </row>
    <row r="485" spans="1:33" ht="13.5">
      <c r="A485" s="295" t="s">
        <v>1152</v>
      </c>
      <c r="B485" s="273">
        <v>142</v>
      </c>
      <c r="C485" s="283" t="s">
        <v>1153</v>
      </c>
      <c r="D485" s="283" t="s">
        <v>1154</v>
      </c>
      <c r="E485" s="282" t="s">
        <v>84</v>
      </c>
      <c r="F485" s="282" t="s">
        <v>825</v>
      </c>
      <c r="G485" s="282"/>
      <c r="H485" s="197" t="s">
        <v>853</v>
      </c>
      <c r="I485" s="197" t="s">
        <v>853</v>
      </c>
      <c r="J485" s="197" t="s">
        <v>853</v>
      </c>
      <c r="K485" s="197" t="s">
        <v>853</v>
      </c>
      <c r="L485" s="197" t="s">
        <v>853</v>
      </c>
      <c r="M485" s="158" t="s">
        <v>695</v>
      </c>
      <c r="N485" s="159" t="s">
        <v>821</v>
      </c>
      <c r="O485" s="159" t="s">
        <v>1155</v>
      </c>
      <c r="P485" s="284" t="s">
        <v>1156</v>
      </c>
      <c r="Q485" s="156"/>
      <c r="R485" s="156"/>
      <c r="S485" s="157"/>
      <c r="T485" s="156"/>
      <c r="U485" s="156"/>
      <c r="V485" s="284" t="s">
        <v>752</v>
      </c>
      <c r="W485" s="267" t="s">
        <v>830</v>
      </c>
      <c r="X485" s="284" t="s">
        <v>857</v>
      </c>
      <c r="Y485" s="284" t="s">
        <v>95</v>
      </c>
      <c r="Z485" s="284" t="s">
        <v>752</v>
      </c>
      <c r="AA485" s="274"/>
      <c r="AB485" s="274"/>
      <c r="AC485" s="274"/>
      <c r="AD485" s="284" t="s">
        <v>857</v>
      </c>
      <c r="AE485" s="284"/>
      <c r="AF485" s="284"/>
      <c r="AG485" s="284"/>
    </row>
    <row r="486" spans="1:33" ht="14.25" customHeight="1">
      <c r="B486" s="273"/>
      <c r="C486" s="283"/>
      <c r="D486" s="283"/>
      <c r="E486" s="285"/>
      <c r="F486" s="285"/>
      <c r="G486" s="285"/>
      <c r="H486" s="198"/>
      <c r="I486" s="198"/>
      <c r="J486" s="198"/>
      <c r="K486" s="198"/>
      <c r="L486" s="198"/>
      <c r="M486" s="158" t="s">
        <v>854</v>
      </c>
      <c r="N486" s="159" t="s">
        <v>770</v>
      </c>
      <c r="O486" s="159" t="s">
        <v>1157</v>
      </c>
      <c r="P486" s="286"/>
      <c r="Q486" s="156"/>
      <c r="R486" s="156"/>
      <c r="S486" s="157"/>
      <c r="T486" s="156"/>
      <c r="U486" s="156"/>
      <c r="V486" s="286"/>
      <c r="W486" s="293"/>
      <c r="X486" s="286"/>
      <c r="Y486" s="286"/>
      <c r="Z486" s="286"/>
      <c r="AA486" s="275"/>
      <c r="AB486" s="275"/>
      <c r="AC486" s="275"/>
      <c r="AD486" s="290"/>
      <c r="AE486" s="286"/>
      <c r="AF486" s="286"/>
      <c r="AG486" s="286"/>
    </row>
    <row r="487" spans="1:33" ht="14.25" customHeight="1">
      <c r="B487" s="273"/>
      <c r="C487" s="283"/>
      <c r="D487" s="283"/>
      <c r="E487" s="287"/>
      <c r="F487" s="287"/>
      <c r="G487" s="287"/>
      <c r="H487" s="199"/>
      <c r="I487" s="199"/>
      <c r="J487" s="199"/>
      <c r="K487" s="199"/>
      <c r="L487" s="199"/>
      <c r="M487" s="158" t="s">
        <v>695</v>
      </c>
      <c r="N487" s="161" t="s">
        <v>1158</v>
      </c>
      <c r="O487" s="161" t="s">
        <v>1159</v>
      </c>
      <c r="P487" s="288"/>
      <c r="Q487" s="156"/>
      <c r="R487" s="156"/>
      <c r="S487" s="157"/>
      <c r="T487" s="156"/>
      <c r="U487" s="156"/>
      <c r="V487" s="288"/>
      <c r="W487" s="294"/>
      <c r="X487" s="288"/>
      <c r="Y487" s="288"/>
      <c r="Z487" s="288"/>
      <c r="AA487" s="276"/>
      <c r="AB487" s="276"/>
      <c r="AC487" s="276"/>
      <c r="AD487" s="291"/>
      <c r="AE487" s="288"/>
      <c r="AF487" s="288"/>
      <c r="AG487" s="288"/>
    </row>
    <row r="488" spans="1:33" ht="14.25" customHeight="1">
      <c r="A488" s="295" t="s">
        <v>1152</v>
      </c>
      <c r="B488" s="273">
        <v>142</v>
      </c>
      <c r="C488" s="283" t="s">
        <v>1160</v>
      </c>
      <c r="D488" s="283" t="s">
        <v>1161</v>
      </c>
      <c r="E488" s="282" t="s">
        <v>84</v>
      </c>
      <c r="F488" s="282" t="s">
        <v>818</v>
      </c>
      <c r="G488" s="282"/>
      <c r="H488" s="197" t="s">
        <v>853</v>
      </c>
      <c r="I488" s="197" t="s">
        <v>853</v>
      </c>
      <c r="J488" s="197" t="s">
        <v>853</v>
      </c>
      <c r="K488" s="197" t="s">
        <v>853</v>
      </c>
      <c r="L488" s="197" t="s">
        <v>853</v>
      </c>
      <c r="M488" s="158" t="s">
        <v>695</v>
      </c>
      <c r="N488" s="159" t="s">
        <v>821</v>
      </c>
      <c r="O488" s="159" t="s">
        <v>1155</v>
      </c>
      <c r="P488" s="284" t="s">
        <v>1156</v>
      </c>
      <c r="Q488" s="156"/>
      <c r="R488" s="156"/>
      <c r="S488" s="157"/>
      <c r="T488" s="156"/>
      <c r="U488" s="156"/>
      <c r="V488" s="284" t="s">
        <v>752</v>
      </c>
      <c r="W488" s="267" t="s">
        <v>830</v>
      </c>
      <c r="X488" s="284" t="s">
        <v>857</v>
      </c>
      <c r="Y488" s="284" t="s">
        <v>95</v>
      </c>
      <c r="Z488" s="284" t="s">
        <v>752</v>
      </c>
      <c r="AA488" s="274"/>
      <c r="AB488" s="274"/>
      <c r="AC488" s="274"/>
      <c r="AD488" s="284" t="s">
        <v>857</v>
      </c>
      <c r="AE488" s="284"/>
      <c r="AF488" s="284"/>
      <c r="AG488" s="284"/>
    </row>
    <row r="489" spans="1:33" ht="14.25" customHeight="1">
      <c r="B489" s="273"/>
      <c r="C489" s="283"/>
      <c r="D489" s="283"/>
      <c r="E489" s="285"/>
      <c r="F489" s="285"/>
      <c r="G489" s="285"/>
      <c r="H489" s="198"/>
      <c r="I489" s="198"/>
      <c r="J489" s="198"/>
      <c r="K489" s="198"/>
      <c r="L489" s="198"/>
      <c r="M489" s="158" t="s">
        <v>854</v>
      </c>
      <c r="N489" s="159" t="s">
        <v>770</v>
      </c>
      <c r="O489" s="159" t="s">
        <v>1157</v>
      </c>
      <c r="P489" s="286"/>
      <c r="Q489" s="156"/>
      <c r="R489" s="156"/>
      <c r="S489" s="157"/>
      <c r="T489" s="156"/>
      <c r="U489" s="156"/>
      <c r="V489" s="286"/>
      <c r="W489" s="293"/>
      <c r="X489" s="286"/>
      <c r="Y489" s="286"/>
      <c r="Z489" s="286"/>
      <c r="AA489" s="275"/>
      <c r="AB489" s="275"/>
      <c r="AC489" s="275"/>
      <c r="AD489" s="290"/>
      <c r="AE489" s="286"/>
      <c r="AF489" s="286"/>
      <c r="AG489" s="286"/>
    </row>
    <row r="490" spans="1:33" ht="14.25" customHeight="1">
      <c r="B490" s="273"/>
      <c r="C490" s="283"/>
      <c r="D490" s="283"/>
      <c r="E490" s="287"/>
      <c r="F490" s="287"/>
      <c r="G490" s="287"/>
      <c r="H490" s="199"/>
      <c r="I490" s="199"/>
      <c r="J490" s="199"/>
      <c r="K490" s="199"/>
      <c r="L490" s="199"/>
      <c r="M490" s="158" t="s">
        <v>695</v>
      </c>
      <c r="N490" s="161" t="s">
        <v>1158</v>
      </c>
      <c r="O490" s="161" t="s">
        <v>1159</v>
      </c>
      <c r="P490" s="288"/>
      <c r="Q490" s="156"/>
      <c r="R490" s="156"/>
      <c r="S490" s="157"/>
      <c r="T490" s="156"/>
      <c r="U490" s="156"/>
      <c r="V490" s="288"/>
      <c r="W490" s="294"/>
      <c r="X490" s="288"/>
      <c r="Y490" s="288"/>
      <c r="Z490" s="288"/>
      <c r="AA490" s="276"/>
      <c r="AB490" s="276"/>
      <c r="AC490" s="276"/>
      <c r="AD490" s="291"/>
      <c r="AE490" s="288"/>
      <c r="AF490" s="288"/>
      <c r="AG490" s="288"/>
    </row>
    <row r="491" spans="1:33" ht="14.25" customHeight="1">
      <c r="A491" s="295" t="s">
        <v>1152</v>
      </c>
      <c r="B491" s="273">
        <v>142</v>
      </c>
      <c r="C491" s="283" t="s">
        <v>1162</v>
      </c>
      <c r="D491" s="283" t="s">
        <v>1163</v>
      </c>
      <c r="E491" s="282" t="s">
        <v>84</v>
      </c>
      <c r="F491" s="282" t="s">
        <v>823</v>
      </c>
      <c r="G491" s="282"/>
      <c r="H491" s="197" t="s">
        <v>853</v>
      </c>
      <c r="I491" s="197" t="s">
        <v>853</v>
      </c>
      <c r="J491" s="197" t="s">
        <v>853</v>
      </c>
      <c r="K491" s="197" t="s">
        <v>853</v>
      </c>
      <c r="L491" s="197" t="s">
        <v>853</v>
      </c>
      <c r="M491" s="158" t="s">
        <v>695</v>
      </c>
      <c r="N491" s="159" t="s">
        <v>821</v>
      </c>
      <c r="O491" s="159" t="s">
        <v>1155</v>
      </c>
      <c r="P491" s="284" t="s">
        <v>1156</v>
      </c>
      <c r="Q491" s="156"/>
      <c r="R491" s="156"/>
      <c r="S491" s="157"/>
      <c r="T491" s="156"/>
      <c r="U491" s="156"/>
      <c r="V491" s="284" t="s">
        <v>752</v>
      </c>
      <c r="W491" s="267" t="s">
        <v>830</v>
      </c>
      <c r="X491" s="284" t="s">
        <v>857</v>
      </c>
      <c r="Y491" s="284" t="s">
        <v>95</v>
      </c>
      <c r="Z491" s="284" t="s">
        <v>752</v>
      </c>
      <c r="AA491" s="274"/>
      <c r="AB491" s="274"/>
      <c r="AC491" s="274"/>
      <c r="AD491" s="284" t="s">
        <v>857</v>
      </c>
      <c r="AE491" s="284"/>
      <c r="AF491" s="284"/>
      <c r="AG491" s="284"/>
    </row>
    <row r="492" spans="1:33" ht="14.25" customHeight="1">
      <c r="B492" s="273"/>
      <c r="C492" s="283"/>
      <c r="D492" s="283"/>
      <c r="E492" s="285"/>
      <c r="F492" s="285"/>
      <c r="G492" s="285"/>
      <c r="H492" s="198"/>
      <c r="I492" s="198"/>
      <c r="J492" s="198"/>
      <c r="K492" s="198"/>
      <c r="L492" s="198"/>
      <c r="M492" s="158" t="s">
        <v>854</v>
      </c>
      <c r="N492" s="159" t="s">
        <v>770</v>
      </c>
      <c r="O492" s="159" t="s">
        <v>1157</v>
      </c>
      <c r="P492" s="286"/>
      <c r="Q492" s="156"/>
      <c r="R492" s="156"/>
      <c r="S492" s="157"/>
      <c r="T492" s="156"/>
      <c r="U492" s="156"/>
      <c r="V492" s="286"/>
      <c r="W492" s="293"/>
      <c r="X492" s="286"/>
      <c r="Y492" s="286"/>
      <c r="Z492" s="286"/>
      <c r="AA492" s="275"/>
      <c r="AB492" s="275"/>
      <c r="AC492" s="275"/>
      <c r="AD492" s="290"/>
      <c r="AE492" s="286"/>
      <c r="AF492" s="286"/>
      <c r="AG492" s="286"/>
    </row>
    <row r="493" spans="1:33" ht="14.25" customHeight="1">
      <c r="B493" s="273"/>
      <c r="C493" s="283"/>
      <c r="D493" s="283"/>
      <c r="E493" s="287"/>
      <c r="F493" s="287"/>
      <c r="G493" s="287"/>
      <c r="H493" s="199"/>
      <c r="I493" s="199"/>
      <c r="J493" s="199"/>
      <c r="K493" s="199"/>
      <c r="L493" s="199"/>
      <c r="M493" s="158" t="s">
        <v>695</v>
      </c>
      <c r="N493" s="161" t="s">
        <v>1158</v>
      </c>
      <c r="O493" s="161" t="s">
        <v>1159</v>
      </c>
      <c r="P493" s="288"/>
      <c r="Q493" s="156"/>
      <c r="R493" s="156"/>
      <c r="S493" s="157"/>
      <c r="T493" s="156"/>
      <c r="U493" s="156"/>
      <c r="V493" s="288"/>
      <c r="W493" s="294"/>
      <c r="X493" s="288"/>
      <c r="Y493" s="288"/>
      <c r="Z493" s="288"/>
      <c r="AA493" s="276"/>
      <c r="AB493" s="276"/>
      <c r="AC493" s="276"/>
      <c r="AD493" s="291"/>
      <c r="AE493" s="288"/>
      <c r="AF493" s="288"/>
      <c r="AG493" s="288"/>
    </row>
    <row r="494" spans="1:33" ht="13.5">
      <c r="B494" s="264">
        <v>143</v>
      </c>
      <c r="C494" s="296" t="s">
        <v>1164</v>
      </c>
      <c r="D494" s="296" t="s">
        <v>1164</v>
      </c>
      <c r="E494" s="282" t="s">
        <v>84</v>
      </c>
      <c r="F494" s="282" t="s">
        <v>1165</v>
      </c>
      <c r="G494" s="282"/>
      <c r="H494" s="197" t="s">
        <v>853</v>
      </c>
      <c r="I494" s="197" t="s">
        <v>853</v>
      </c>
      <c r="J494" s="197" t="s">
        <v>853</v>
      </c>
      <c r="K494" s="197" t="s">
        <v>853</v>
      </c>
      <c r="L494" s="197" t="s">
        <v>853</v>
      </c>
      <c r="M494" s="158" t="s">
        <v>84</v>
      </c>
      <c r="N494" s="159" t="s">
        <v>1165</v>
      </c>
      <c r="O494" s="159" t="s">
        <v>1166</v>
      </c>
      <c r="P494" s="284" t="s">
        <v>1167</v>
      </c>
      <c r="Q494" s="156"/>
      <c r="R494" s="156"/>
      <c r="S494" s="157"/>
      <c r="T494" s="156"/>
      <c r="U494" s="156"/>
      <c r="V494" s="284" t="s">
        <v>752</v>
      </c>
      <c r="W494" s="267" t="s">
        <v>857</v>
      </c>
      <c r="X494" s="284" t="s">
        <v>857</v>
      </c>
      <c r="Y494" s="284" t="s">
        <v>95</v>
      </c>
      <c r="Z494" s="284" t="s">
        <v>752</v>
      </c>
      <c r="AA494" s="270">
        <v>1</v>
      </c>
      <c r="AB494" s="270">
        <v>99999999</v>
      </c>
      <c r="AC494" s="270">
        <v>1000000</v>
      </c>
      <c r="AD494" s="284" t="s">
        <v>857</v>
      </c>
      <c r="AE494" s="284"/>
      <c r="AF494" s="284"/>
      <c r="AG494" s="284"/>
    </row>
    <row r="495" spans="1:33" ht="13.5">
      <c r="B495" s="265"/>
      <c r="C495" s="297"/>
      <c r="D495" s="297"/>
      <c r="E495" s="285"/>
      <c r="F495" s="285"/>
      <c r="G495" s="285"/>
      <c r="H495" s="198"/>
      <c r="I495" s="198"/>
      <c r="J495" s="198"/>
      <c r="K495" s="198"/>
      <c r="L495" s="198"/>
      <c r="M495" s="158" t="s">
        <v>854</v>
      </c>
      <c r="N495" s="159" t="s">
        <v>770</v>
      </c>
      <c r="O495" s="159" t="s">
        <v>1157</v>
      </c>
      <c r="P495" s="286"/>
      <c r="Q495" s="156"/>
      <c r="R495" s="156"/>
      <c r="S495" s="157"/>
      <c r="T495" s="156"/>
      <c r="U495" s="156"/>
      <c r="V495" s="286"/>
      <c r="W495" s="268"/>
      <c r="X495" s="286"/>
      <c r="Y495" s="286"/>
      <c r="Z495" s="286"/>
      <c r="AA495" s="271"/>
      <c r="AB495" s="271"/>
      <c r="AC495" s="271"/>
      <c r="AD495" s="286"/>
      <c r="AE495" s="286"/>
      <c r="AF495" s="286"/>
      <c r="AG495" s="286"/>
    </row>
    <row r="496" spans="1:33" ht="13.5">
      <c r="B496" s="266"/>
      <c r="C496" s="298"/>
      <c r="D496" s="298"/>
      <c r="E496" s="287"/>
      <c r="F496" s="287"/>
      <c r="G496" s="287"/>
      <c r="H496" s="199"/>
      <c r="I496" s="199"/>
      <c r="J496" s="199"/>
      <c r="K496" s="199"/>
      <c r="L496" s="199"/>
      <c r="M496" s="158" t="s">
        <v>695</v>
      </c>
      <c r="N496" s="161" t="s">
        <v>1168</v>
      </c>
      <c r="O496" s="161" t="s">
        <v>1169</v>
      </c>
      <c r="P496" s="288"/>
      <c r="Q496" s="156"/>
      <c r="R496" s="156"/>
      <c r="S496" s="157"/>
      <c r="T496" s="156"/>
      <c r="U496" s="156"/>
      <c r="V496" s="288"/>
      <c r="W496" s="269"/>
      <c r="X496" s="288"/>
      <c r="Y496" s="288"/>
      <c r="Z496" s="288"/>
      <c r="AA496" s="272"/>
      <c r="AB496" s="272"/>
      <c r="AC496" s="272"/>
      <c r="AD496" s="288"/>
      <c r="AE496" s="288"/>
      <c r="AF496" s="288"/>
      <c r="AG496" s="288"/>
    </row>
    <row r="497" spans="2:33" ht="13.5">
      <c r="B497" s="264">
        <v>144</v>
      </c>
      <c r="C497" s="296" t="s">
        <v>1170</v>
      </c>
      <c r="D497" s="296" t="s">
        <v>1170</v>
      </c>
      <c r="E497" s="282" t="s">
        <v>84</v>
      </c>
      <c r="F497" s="282" t="s">
        <v>1165</v>
      </c>
      <c r="G497" s="282"/>
      <c r="H497" s="197" t="s">
        <v>853</v>
      </c>
      <c r="I497" s="197" t="s">
        <v>853</v>
      </c>
      <c r="J497" s="197" t="s">
        <v>853</v>
      </c>
      <c r="K497" s="197" t="s">
        <v>853</v>
      </c>
      <c r="L497" s="197" t="s">
        <v>853</v>
      </c>
      <c r="M497" s="158" t="s">
        <v>695</v>
      </c>
      <c r="N497" s="159" t="s">
        <v>1165</v>
      </c>
      <c r="O497" s="159" t="s">
        <v>1166</v>
      </c>
      <c r="P497" s="284" t="s">
        <v>1167</v>
      </c>
      <c r="Q497" s="156"/>
      <c r="R497" s="156"/>
      <c r="S497" s="157"/>
      <c r="T497" s="156"/>
      <c r="U497" s="156"/>
      <c r="V497" s="284" t="s">
        <v>752</v>
      </c>
      <c r="W497" s="267" t="s">
        <v>857</v>
      </c>
      <c r="X497" s="284" t="s">
        <v>857</v>
      </c>
      <c r="Y497" s="284" t="s">
        <v>95</v>
      </c>
      <c r="Z497" s="284" t="s">
        <v>752</v>
      </c>
      <c r="AA497" s="270">
        <v>1</v>
      </c>
      <c r="AB497" s="270">
        <v>99999999</v>
      </c>
      <c r="AC497" s="270">
        <v>910348</v>
      </c>
      <c r="AD497" s="284" t="s">
        <v>857</v>
      </c>
      <c r="AE497" s="284"/>
      <c r="AF497" s="284"/>
      <c r="AG497" s="284"/>
    </row>
    <row r="498" spans="2:33" ht="13.5">
      <c r="B498" s="265"/>
      <c r="C498" s="297"/>
      <c r="D498" s="297"/>
      <c r="E498" s="285"/>
      <c r="F498" s="285"/>
      <c r="G498" s="285"/>
      <c r="H498" s="198"/>
      <c r="I498" s="198"/>
      <c r="J498" s="198"/>
      <c r="K498" s="198"/>
      <c r="L498" s="198"/>
      <c r="M498" s="158" t="s">
        <v>854</v>
      </c>
      <c r="N498" s="159" t="s">
        <v>770</v>
      </c>
      <c r="O498" s="159" t="s">
        <v>1157</v>
      </c>
      <c r="P498" s="286"/>
      <c r="Q498" s="156"/>
      <c r="R498" s="156"/>
      <c r="S498" s="157"/>
      <c r="T498" s="156"/>
      <c r="U498" s="156"/>
      <c r="V498" s="286"/>
      <c r="W498" s="268"/>
      <c r="X498" s="286"/>
      <c r="Y498" s="286"/>
      <c r="Z498" s="286"/>
      <c r="AA498" s="271"/>
      <c r="AB498" s="271"/>
      <c r="AC498" s="271"/>
      <c r="AD498" s="286"/>
      <c r="AE498" s="286"/>
      <c r="AF498" s="286"/>
      <c r="AG498" s="286"/>
    </row>
    <row r="499" spans="2:33" ht="13.5">
      <c r="B499" s="266"/>
      <c r="C499" s="298"/>
      <c r="D499" s="298"/>
      <c r="E499" s="287"/>
      <c r="F499" s="287"/>
      <c r="G499" s="287"/>
      <c r="H499" s="199"/>
      <c r="I499" s="199"/>
      <c r="J499" s="199"/>
      <c r="K499" s="199"/>
      <c r="L499" s="199"/>
      <c r="M499" s="158" t="s">
        <v>695</v>
      </c>
      <c r="N499" s="161" t="s">
        <v>1168</v>
      </c>
      <c r="O499" s="161" t="s">
        <v>1169</v>
      </c>
      <c r="P499" s="288"/>
      <c r="Q499" s="156"/>
      <c r="R499" s="156"/>
      <c r="S499" s="157"/>
      <c r="T499" s="156"/>
      <c r="U499" s="156"/>
      <c r="V499" s="288"/>
      <c r="W499" s="269"/>
      <c r="X499" s="288"/>
      <c r="Y499" s="288"/>
      <c r="Z499" s="288"/>
      <c r="AA499" s="272"/>
      <c r="AB499" s="272"/>
      <c r="AC499" s="272"/>
      <c r="AD499" s="288"/>
      <c r="AE499" s="288"/>
      <c r="AF499" s="288"/>
      <c r="AG499" s="288"/>
    </row>
    <row r="500" spans="2:33" ht="13.5">
      <c r="B500" s="264">
        <v>145</v>
      </c>
      <c r="C500" s="296" t="s">
        <v>1171</v>
      </c>
      <c r="D500" s="296" t="s">
        <v>1171</v>
      </c>
      <c r="E500" s="282" t="s">
        <v>84</v>
      </c>
      <c r="F500" s="282" t="s">
        <v>1172</v>
      </c>
      <c r="G500" s="282"/>
      <c r="H500" s="197" t="s">
        <v>853</v>
      </c>
      <c r="I500" s="197" t="s">
        <v>853</v>
      </c>
      <c r="J500" s="197" t="s">
        <v>853</v>
      </c>
      <c r="K500" s="197" t="s">
        <v>853</v>
      </c>
      <c r="L500" s="197" t="s">
        <v>853</v>
      </c>
      <c r="M500" s="158" t="s">
        <v>695</v>
      </c>
      <c r="N500" s="159" t="s">
        <v>1172</v>
      </c>
      <c r="O500" s="159" t="s">
        <v>1166</v>
      </c>
      <c r="P500" s="284" t="s">
        <v>1173</v>
      </c>
      <c r="Q500" s="156"/>
      <c r="R500" s="156"/>
      <c r="S500" s="157"/>
      <c r="T500" s="156"/>
      <c r="U500" s="156"/>
      <c r="V500" s="284" t="s">
        <v>752</v>
      </c>
      <c r="W500" s="267" t="s">
        <v>857</v>
      </c>
      <c r="X500" s="284" t="s">
        <v>857</v>
      </c>
      <c r="Y500" s="284" t="s">
        <v>95</v>
      </c>
      <c r="Z500" s="284" t="s">
        <v>752</v>
      </c>
      <c r="AA500" s="270">
        <v>1</v>
      </c>
      <c r="AB500" s="270">
        <v>99999999</v>
      </c>
      <c r="AC500" s="270">
        <v>604613</v>
      </c>
      <c r="AD500" s="284" t="s">
        <v>857</v>
      </c>
      <c r="AE500" s="284"/>
      <c r="AF500" s="284"/>
      <c r="AG500" s="284"/>
    </row>
    <row r="501" spans="2:33" ht="13.5">
      <c r="B501" s="265"/>
      <c r="C501" s="297"/>
      <c r="D501" s="297"/>
      <c r="E501" s="285"/>
      <c r="F501" s="285"/>
      <c r="G501" s="285"/>
      <c r="H501" s="198"/>
      <c r="I501" s="198"/>
      <c r="J501" s="198"/>
      <c r="K501" s="198"/>
      <c r="L501" s="198"/>
      <c r="M501" s="158" t="s">
        <v>854</v>
      </c>
      <c r="N501" s="159" t="s">
        <v>770</v>
      </c>
      <c r="O501" s="159" t="s">
        <v>1157</v>
      </c>
      <c r="P501" s="286"/>
      <c r="Q501" s="156"/>
      <c r="R501" s="156"/>
      <c r="S501" s="157"/>
      <c r="T501" s="156"/>
      <c r="U501" s="156"/>
      <c r="V501" s="286"/>
      <c r="W501" s="268"/>
      <c r="X501" s="286"/>
      <c r="Y501" s="286"/>
      <c r="Z501" s="286"/>
      <c r="AA501" s="271"/>
      <c r="AB501" s="271"/>
      <c r="AC501" s="271"/>
      <c r="AD501" s="286"/>
      <c r="AE501" s="286"/>
      <c r="AF501" s="286"/>
      <c r="AG501" s="286"/>
    </row>
    <row r="502" spans="2:33" ht="13.5">
      <c r="B502" s="266"/>
      <c r="C502" s="298"/>
      <c r="D502" s="298"/>
      <c r="E502" s="287"/>
      <c r="F502" s="287"/>
      <c r="G502" s="287"/>
      <c r="H502" s="199"/>
      <c r="I502" s="199"/>
      <c r="J502" s="199"/>
      <c r="K502" s="199"/>
      <c r="L502" s="199"/>
      <c r="M502" s="158" t="s">
        <v>695</v>
      </c>
      <c r="N502" s="161" t="s">
        <v>1168</v>
      </c>
      <c r="O502" s="161" t="s">
        <v>1169</v>
      </c>
      <c r="P502" s="288"/>
      <c r="Q502" s="156"/>
      <c r="R502" s="156"/>
      <c r="S502" s="157"/>
      <c r="T502" s="156"/>
      <c r="U502" s="156"/>
      <c r="V502" s="288"/>
      <c r="W502" s="269"/>
      <c r="X502" s="288"/>
      <c r="Y502" s="288"/>
      <c r="Z502" s="288"/>
      <c r="AA502" s="272"/>
      <c r="AB502" s="272"/>
      <c r="AC502" s="272"/>
      <c r="AD502" s="288"/>
      <c r="AE502" s="288"/>
      <c r="AF502" s="288"/>
      <c r="AG502" s="288"/>
    </row>
    <row r="503" spans="2:33" ht="13.5">
      <c r="B503" s="264">
        <v>146</v>
      </c>
      <c r="C503" s="296" t="s">
        <v>1174</v>
      </c>
      <c r="D503" s="296" t="s">
        <v>1174</v>
      </c>
      <c r="E503" s="282" t="s">
        <v>84</v>
      </c>
      <c r="F503" s="282" t="s">
        <v>1172</v>
      </c>
      <c r="G503" s="282"/>
      <c r="H503" s="197" t="s">
        <v>853</v>
      </c>
      <c r="I503" s="197" t="s">
        <v>853</v>
      </c>
      <c r="J503" s="197" t="s">
        <v>853</v>
      </c>
      <c r="K503" s="197" t="s">
        <v>853</v>
      </c>
      <c r="L503" s="197" t="s">
        <v>853</v>
      </c>
      <c r="M503" s="158" t="s">
        <v>695</v>
      </c>
      <c r="N503" s="159" t="s">
        <v>1172</v>
      </c>
      <c r="O503" s="159" t="s">
        <v>1166</v>
      </c>
      <c r="P503" s="284" t="s">
        <v>1173</v>
      </c>
      <c r="Q503" s="156"/>
      <c r="R503" s="156"/>
      <c r="S503" s="157"/>
      <c r="T503" s="156"/>
      <c r="U503" s="156"/>
      <c r="V503" s="284" t="s">
        <v>752</v>
      </c>
      <c r="W503" s="267" t="s">
        <v>857</v>
      </c>
      <c r="X503" s="284" t="s">
        <v>857</v>
      </c>
      <c r="Y503" s="284" t="s">
        <v>95</v>
      </c>
      <c r="Z503" s="284" t="s">
        <v>752</v>
      </c>
      <c r="AA503" s="270">
        <v>1</v>
      </c>
      <c r="AB503" s="270">
        <v>99999999</v>
      </c>
      <c r="AC503" s="270">
        <v>634801</v>
      </c>
      <c r="AD503" s="284" t="s">
        <v>857</v>
      </c>
      <c r="AE503" s="284"/>
      <c r="AF503" s="284"/>
      <c r="AG503" s="284"/>
    </row>
    <row r="504" spans="2:33" ht="13.5">
      <c r="B504" s="265"/>
      <c r="C504" s="297"/>
      <c r="D504" s="297"/>
      <c r="E504" s="285"/>
      <c r="F504" s="285"/>
      <c r="G504" s="285"/>
      <c r="H504" s="198"/>
      <c r="I504" s="198"/>
      <c r="J504" s="198"/>
      <c r="K504" s="198"/>
      <c r="L504" s="198"/>
      <c r="M504" s="158" t="s">
        <v>854</v>
      </c>
      <c r="N504" s="159" t="s">
        <v>770</v>
      </c>
      <c r="O504" s="159" t="s">
        <v>1157</v>
      </c>
      <c r="P504" s="286"/>
      <c r="Q504" s="156"/>
      <c r="R504" s="156"/>
      <c r="S504" s="157"/>
      <c r="T504" s="156"/>
      <c r="U504" s="156"/>
      <c r="V504" s="286"/>
      <c r="W504" s="268"/>
      <c r="X504" s="286"/>
      <c r="Y504" s="286"/>
      <c r="Z504" s="286"/>
      <c r="AA504" s="271"/>
      <c r="AB504" s="271"/>
      <c r="AC504" s="271"/>
      <c r="AD504" s="286"/>
      <c r="AE504" s="286"/>
      <c r="AF504" s="286"/>
      <c r="AG504" s="286"/>
    </row>
    <row r="505" spans="2:33" ht="13.5">
      <c r="B505" s="266"/>
      <c r="C505" s="298"/>
      <c r="D505" s="298"/>
      <c r="E505" s="287"/>
      <c r="F505" s="287"/>
      <c r="G505" s="287"/>
      <c r="H505" s="199"/>
      <c r="I505" s="199"/>
      <c r="J505" s="199"/>
      <c r="K505" s="199"/>
      <c r="L505" s="199"/>
      <c r="M505" s="158" t="s">
        <v>695</v>
      </c>
      <c r="N505" s="161" t="s">
        <v>1168</v>
      </c>
      <c r="O505" s="161" t="s">
        <v>1169</v>
      </c>
      <c r="P505" s="288"/>
      <c r="Q505" s="156"/>
      <c r="R505" s="156"/>
      <c r="S505" s="157"/>
      <c r="T505" s="156"/>
      <c r="U505" s="156"/>
      <c r="V505" s="288"/>
      <c r="W505" s="269"/>
      <c r="X505" s="288"/>
      <c r="Y505" s="288"/>
      <c r="Z505" s="288"/>
      <c r="AA505" s="272"/>
      <c r="AB505" s="272"/>
      <c r="AC505" s="272"/>
      <c r="AD505" s="288"/>
      <c r="AE505" s="288"/>
      <c r="AF505" s="288"/>
      <c r="AG505" s="288"/>
    </row>
    <row r="506" spans="2:33" ht="13.5">
      <c r="B506" s="264">
        <v>147</v>
      </c>
      <c r="C506" s="296" t="s">
        <v>1175</v>
      </c>
      <c r="D506" s="296" t="s">
        <v>1175</v>
      </c>
      <c r="E506" s="282" t="s">
        <v>84</v>
      </c>
      <c r="F506" s="282" t="s">
        <v>823</v>
      </c>
      <c r="G506" s="282"/>
      <c r="H506" s="197" t="s">
        <v>853</v>
      </c>
      <c r="I506" s="197" t="s">
        <v>853</v>
      </c>
      <c r="J506" s="197" t="s">
        <v>853</v>
      </c>
      <c r="K506" s="197" t="s">
        <v>853</v>
      </c>
      <c r="L506" s="197" t="s">
        <v>853</v>
      </c>
      <c r="M506" s="158" t="s">
        <v>695</v>
      </c>
      <c r="N506" s="159" t="s">
        <v>1176</v>
      </c>
      <c r="O506" s="159" t="s">
        <v>1166</v>
      </c>
      <c r="P506" s="284" t="s">
        <v>1177</v>
      </c>
      <c r="Q506" s="156"/>
      <c r="R506" s="156"/>
      <c r="S506" s="157"/>
      <c r="T506" s="156"/>
      <c r="U506" s="156"/>
      <c r="V506" s="284" t="s">
        <v>752</v>
      </c>
      <c r="W506" s="267" t="s">
        <v>857</v>
      </c>
      <c r="X506" s="284" t="s">
        <v>857</v>
      </c>
      <c r="Y506" s="284" t="s">
        <v>95</v>
      </c>
      <c r="Z506" s="284" t="s">
        <v>752</v>
      </c>
      <c r="AA506" s="270">
        <v>1</v>
      </c>
      <c r="AB506" s="270">
        <v>99999999</v>
      </c>
      <c r="AC506" s="270">
        <v>11837</v>
      </c>
      <c r="AD506" s="284" t="s">
        <v>857</v>
      </c>
      <c r="AE506" s="284"/>
      <c r="AF506" s="284"/>
      <c r="AG506" s="284"/>
    </row>
    <row r="507" spans="2:33" ht="13.5">
      <c r="B507" s="265"/>
      <c r="C507" s="297"/>
      <c r="D507" s="297"/>
      <c r="E507" s="285"/>
      <c r="F507" s="285"/>
      <c r="G507" s="285"/>
      <c r="H507" s="198"/>
      <c r="I507" s="198"/>
      <c r="J507" s="198"/>
      <c r="K507" s="198"/>
      <c r="L507" s="198"/>
      <c r="M507" s="158" t="s">
        <v>854</v>
      </c>
      <c r="N507" s="159" t="s">
        <v>770</v>
      </c>
      <c r="O507" s="159" t="s">
        <v>1157</v>
      </c>
      <c r="P507" s="286"/>
      <c r="Q507" s="156"/>
      <c r="R507" s="156"/>
      <c r="S507" s="157"/>
      <c r="T507" s="156"/>
      <c r="U507" s="156"/>
      <c r="V507" s="286"/>
      <c r="W507" s="268"/>
      <c r="X507" s="286"/>
      <c r="Y507" s="286"/>
      <c r="Z507" s="286"/>
      <c r="AA507" s="271"/>
      <c r="AB507" s="271"/>
      <c r="AC507" s="271"/>
      <c r="AD507" s="286"/>
      <c r="AE507" s="286"/>
      <c r="AF507" s="286"/>
      <c r="AG507" s="286"/>
    </row>
    <row r="508" spans="2:33">
      <c r="B508" s="266"/>
      <c r="C508" s="298"/>
      <c r="D508" s="298"/>
      <c r="E508" s="287"/>
      <c r="F508" s="287"/>
      <c r="G508" s="287"/>
      <c r="H508" s="199"/>
      <c r="I508" s="199"/>
      <c r="J508" s="199"/>
      <c r="K508" s="199"/>
      <c r="L508" s="199"/>
      <c r="M508" s="158" t="s">
        <v>695</v>
      </c>
      <c r="N508" s="161" t="s">
        <v>1168</v>
      </c>
      <c r="O508" s="161" t="s">
        <v>1169</v>
      </c>
      <c r="P508" s="288"/>
      <c r="Q508" s="156"/>
      <c r="R508" s="156"/>
      <c r="S508" s="157"/>
      <c r="T508" s="156"/>
      <c r="U508" s="156"/>
      <c r="V508" s="288"/>
      <c r="W508" s="269"/>
      <c r="X508" s="288"/>
      <c r="Y508" s="288"/>
      <c r="Z508" s="288"/>
      <c r="AA508" s="272"/>
      <c r="AB508" s="272"/>
      <c r="AC508" s="272"/>
      <c r="AD508" s="288"/>
      <c r="AE508" s="288"/>
      <c r="AF508" s="288"/>
      <c r="AG508" s="288"/>
    </row>
    <row r="509" spans="2:33" ht="13.5" customHeight="1">
      <c r="B509" s="264">
        <v>148</v>
      </c>
      <c r="C509" s="296" t="s">
        <v>1178</v>
      </c>
      <c r="D509" s="296" t="s">
        <v>1178</v>
      </c>
      <c r="E509" s="282" t="s">
        <v>84</v>
      </c>
      <c r="F509" s="282" t="s">
        <v>823</v>
      </c>
      <c r="G509" s="282"/>
      <c r="H509" s="197" t="s">
        <v>853</v>
      </c>
      <c r="I509" s="197" t="s">
        <v>853</v>
      </c>
      <c r="J509" s="197" t="s">
        <v>853</v>
      </c>
      <c r="K509" s="197" t="s">
        <v>853</v>
      </c>
      <c r="L509" s="197" t="s">
        <v>853</v>
      </c>
      <c r="M509" s="158" t="s">
        <v>695</v>
      </c>
      <c r="N509" s="159" t="s">
        <v>1176</v>
      </c>
      <c r="O509" s="159" t="s">
        <v>1166</v>
      </c>
      <c r="P509" s="284" t="s">
        <v>1177</v>
      </c>
      <c r="Q509" s="156"/>
      <c r="R509" s="156"/>
      <c r="S509" s="157"/>
      <c r="T509" s="156"/>
      <c r="U509" s="156"/>
      <c r="V509" s="284" t="s">
        <v>752</v>
      </c>
      <c r="W509" s="267" t="s">
        <v>857</v>
      </c>
      <c r="X509" s="284" t="s">
        <v>857</v>
      </c>
      <c r="Y509" s="284" t="s">
        <v>95</v>
      </c>
      <c r="Z509" s="284" t="s">
        <v>752</v>
      </c>
      <c r="AA509" s="270">
        <v>1</v>
      </c>
      <c r="AB509" s="270">
        <v>99999999</v>
      </c>
      <c r="AC509" s="270">
        <v>2881</v>
      </c>
      <c r="AD509" s="284" t="s">
        <v>857</v>
      </c>
      <c r="AE509" s="284"/>
      <c r="AF509" s="284"/>
      <c r="AG509" s="284"/>
    </row>
    <row r="510" spans="2:33" ht="13.5" customHeight="1">
      <c r="B510" s="265"/>
      <c r="C510" s="297"/>
      <c r="D510" s="297"/>
      <c r="E510" s="285"/>
      <c r="F510" s="285"/>
      <c r="G510" s="285"/>
      <c r="H510" s="198"/>
      <c r="I510" s="198"/>
      <c r="J510" s="198"/>
      <c r="K510" s="198"/>
      <c r="L510" s="198"/>
      <c r="M510" s="158" t="s">
        <v>854</v>
      </c>
      <c r="N510" s="159" t="s">
        <v>770</v>
      </c>
      <c r="O510" s="159" t="s">
        <v>1157</v>
      </c>
      <c r="P510" s="286"/>
      <c r="Q510" s="156"/>
      <c r="R510" s="156"/>
      <c r="S510" s="157"/>
      <c r="T510" s="156"/>
      <c r="U510" s="156"/>
      <c r="V510" s="286"/>
      <c r="W510" s="268"/>
      <c r="X510" s="286"/>
      <c r="Y510" s="286"/>
      <c r="Z510" s="286"/>
      <c r="AA510" s="271"/>
      <c r="AB510" s="271"/>
      <c r="AC510" s="271"/>
      <c r="AD510" s="286"/>
      <c r="AE510" s="286"/>
      <c r="AF510" s="286"/>
      <c r="AG510" s="286"/>
    </row>
    <row r="511" spans="2:33">
      <c r="B511" s="266"/>
      <c r="C511" s="298"/>
      <c r="D511" s="298"/>
      <c r="E511" s="287"/>
      <c r="F511" s="287"/>
      <c r="G511" s="287"/>
      <c r="H511" s="199"/>
      <c r="I511" s="199"/>
      <c r="J511" s="199"/>
      <c r="K511" s="199"/>
      <c r="L511" s="199"/>
      <c r="M511" s="158" t="s">
        <v>695</v>
      </c>
      <c r="N511" s="161" t="s">
        <v>1168</v>
      </c>
      <c r="O511" s="161" t="s">
        <v>1169</v>
      </c>
      <c r="P511" s="288"/>
      <c r="Q511" s="156"/>
      <c r="R511" s="156"/>
      <c r="S511" s="157"/>
      <c r="T511" s="156"/>
      <c r="U511" s="156"/>
      <c r="V511" s="288"/>
      <c r="W511" s="269"/>
      <c r="X511" s="288"/>
      <c r="Y511" s="288"/>
      <c r="Z511" s="288"/>
      <c r="AA511" s="272"/>
      <c r="AB511" s="272"/>
      <c r="AC511" s="272"/>
      <c r="AD511" s="288"/>
      <c r="AE511" s="288"/>
      <c r="AF511" s="288"/>
      <c r="AG511" s="288"/>
    </row>
    <row r="512" spans="2:33">
      <c r="B512" s="264">
        <v>149</v>
      </c>
      <c r="C512" s="296" t="s">
        <v>1175</v>
      </c>
      <c r="D512" s="296" t="s">
        <v>1179</v>
      </c>
      <c r="E512" s="282" t="s">
        <v>84</v>
      </c>
      <c r="F512" s="282" t="s">
        <v>818</v>
      </c>
      <c r="G512" s="282"/>
      <c r="H512" s="197" t="s">
        <v>853</v>
      </c>
      <c r="I512" s="197" t="s">
        <v>853</v>
      </c>
      <c r="J512" s="197" t="s">
        <v>853</v>
      </c>
      <c r="K512" s="197" t="s">
        <v>853</v>
      </c>
      <c r="L512" s="197" t="s">
        <v>853</v>
      </c>
      <c r="M512" s="158" t="s">
        <v>695</v>
      </c>
      <c r="N512" s="159" t="s">
        <v>818</v>
      </c>
      <c r="O512" s="159" t="s">
        <v>1166</v>
      </c>
      <c r="P512" s="284" t="s">
        <v>1180</v>
      </c>
      <c r="Q512" s="156"/>
      <c r="R512" s="156"/>
      <c r="S512" s="157"/>
      <c r="T512" s="156"/>
      <c r="U512" s="156"/>
      <c r="V512" s="284" t="s">
        <v>752</v>
      </c>
      <c r="W512" s="267" t="s">
        <v>857</v>
      </c>
      <c r="X512" s="284" t="s">
        <v>857</v>
      </c>
      <c r="Y512" s="284" t="s">
        <v>95</v>
      </c>
      <c r="Z512" s="284" t="s">
        <v>752</v>
      </c>
      <c r="AA512" s="270">
        <v>1</v>
      </c>
      <c r="AB512" s="270">
        <v>99999999</v>
      </c>
      <c r="AC512" s="270">
        <v>607111</v>
      </c>
      <c r="AD512" s="284" t="s">
        <v>857</v>
      </c>
      <c r="AE512" s="284"/>
      <c r="AF512" s="284"/>
      <c r="AG512" s="284"/>
    </row>
    <row r="513" spans="2:33">
      <c r="B513" s="265"/>
      <c r="C513" s="297"/>
      <c r="D513" s="297"/>
      <c r="E513" s="285"/>
      <c r="F513" s="285"/>
      <c r="G513" s="285"/>
      <c r="H513" s="198"/>
      <c r="I513" s="198"/>
      <c r="J513" s="198"/>
      <c r="K513" s="198"/>
      <c r="L513" s="198"/>
      <c r="M513" s="158" t="s">
        <v>854</v>
      </c>
      <c r="N513" s="159" t="s">
        <v>770</v>
      </c>
      <c r="O513" s="159" t="s">
        <v>1157</v>
      </c>
      <c r="P513" s="286"/>
      <c r="Q513" s="156"/>
      <c r="R513" s="156"/>
      <c r="S513" s="157"/>
      <c r="T513" s="156"/>
      <c r="U513" s="156"/>
      <c r="V513" s="286"/>
      <c r="W513" s="268"/>
      <c r="X513" s="286"/>
      <c r="Y513" s="286"/>
      <c r="Z513" s="286"/>
      <c r="AA513" s="271"/>
      <c r="AB513" s="271"/>
      <c r="AC513" s="271"/>
      <c r="AD513" s="286"/>
      <c r="AE513" s="286"/>
      <c r="AF513" s="286"/>
      <c r="AG513" s="286"/>
    </row>
    <row r="514" spans="2:33">
      <c r="B514" s="266"/>
      <c r="C514" s="298"/>
      <c r="D514" s="298"/>
      <c r="E514" s="287"/>
      <c r="F514" s="287"/>
      <c r="G514" s="287"/>
      <c r="H514" s="199"/>
      <c r="I514" s="199"/>
      <c r="J514" s="199"/>
      <c r="K514" s="199"/>
      <c r="L514" s="199"/>
      <c r="M514" s="158" t="s">
        <v>695</v>
      </c>
      <c r="N514" s="161" t="s">
        <v>1168</v>
      </c>
      <c r="O514" s="161" t="s">
        <v>1169</v>
      </c>
      <c r="P514" s="288"/>
      <c r="Q514" s="156"/>
      <c r="R514" s="156"/>
      <c r="S514" s="157"/>
      <c r="T514" s="156"/>
      <c r="U514" s="156"/>
      <c r="V514" s="288"/>
      <c r="W514" s="269"/>
      <c r="X514" s="288"/>
      <c r="Y514" s="288"/>
      <c r="Z514" s="288"/>
      <c r="AA514" s="272"/>
      <c r="AB514" s="272"/>
      <c r="AC514" s="272"/>
      <c r="AD514" s="288"/>
      <c r="AE514" s="288"/>
      <c r="AF514" s="288"/>
      <c r="AG514" s="288"/>
    </row>
    <row r="515" spans="2:33">
      <c r="B515" s="264">
        <v>150</v>
      </c>
      <c r="C515" s="296" t="s">
        <v>1178</v>
      </c>
      <c r="D515" s="296" t="s">
        <v>1181</v>
      </c>
      <c r="E515" s="282" t="s">
        <v>84</v>
      </c>
      <c r="F515" s="282" t="s">
        <v>825</v>
      </c>
      <c r="G515" s="282"/>
      <c r="H515" s="197" t="s">
        <v>853</v>
      </c>
      <c r="I515" s="197" t="s">
        <v>853</v>
      </c>
      <c r="J515" s="197" t="s">
        <v>853</v>
      </c>
      <c r="K515" s="197" t="s">
        <v>853</v>
      </c>
      <c r="L515" s="197" t="s">
        <v>853</v>
      </c>
      <c r="M515" s="158" t="s">
        <v>695</v>
      </c>
      <c r="N515" s="159" t="s">
        <v>825</v>
      </c>
      <c r="O515" s="159" t="s">
        <v>1166</v>
      </c>
      <c r="P515" s="284" t="s">
        <v>1182</v>
      </c>
      <c r="Q515" s="156"/>
      <c r="R515" s="156"/>
      <c r="S515" s="157"/>
      <c r="T515" s="156"/>
      <c r="U515" s="156"/>
      <c r="V515" s="284" t="s">
        <v>752</v>
      </c>
      <c r="W515" s="267" t="s">
        <v>857</v>
      </c>
      <c r="X515" s="284" t="s">
        <v>857</v>
      </c>
      <c r="Y515" s="284" t="s">
        <v>95</v>
      </c>
      <c r="Z515" s="284" t="s">
        <v>752</v>
      </c>
      <c r="AA515" s="270">
        <v>1</v>
      </c>
      <c r="AB515" s="270">
        <v>99999999</v>
      </c>
      <c r="AC515" s="270">
        <v>1000000</v>
      </c>
      <c r="AD515" s="284" t="s">
        <v>857</v>
      </c>
      <c r="AE515" s="284"/>
      <c r="AF515" s="284"/>
      <c r="AG515" s="284"/>
    </row>
    <row r="516" spans="2:33">
      <c r="B516" s="265"/>
      <c r="C516" s="297"/>
      <c r="D516" s="297"/>
      <c r="E516" s="285"/>
      <c r="F516" s="285"/>
      <c r="G516" s="285"/>
      <c r="H516" s="198"/>
      <c r="I516" s="198"/>
      <c r="J516" s="198"/>
      <c r="K516" s="198"/>
      <c r="L516" s="198"/>
      <c r="M516" s="158" t="s">
        <v>854</v>
      </c>
      <c r="N516" s="159" t="s">
        <v>770</v>
      </c>
      <c r="O516" s="159" t="s">
        <v>1157</v>
      </c>
      <c r="P516" s="286"/>
      <c r="Q516" s="156"/>
      <c r="R516" s="156"/>
      <c r="S516" s="157"/>
      <c r="T516" s="156"/>
      <c r="U516" s="156"/>
      <c r="V516" s="286"/>
      <c r="W516" s="268"/>
      <c r="X516" s="286"/>
      <c r="Y516" s="286"/>
      <c r="Z516" s="286"/>
      <c r="AA516" s="271"/>
      <c r="AB516" s="271"/>
      <c r="AC516" s="271"/>
      <c r="AD516" s="286"/>
      <c r="AE516" s="286"/>
      <c r="AF516" s="286"/>
      <c r="AG516" s="286"/>
    </row>
    <row r="517" spans="2:33">
      <c r="B517" s="266"/>
      <c r="C517" s="298"/>
      <c r="D517" s="298"/>
      <c r="E517" s="287"/>
      <c r="F517" s="287"/>
      <c r="G517" s="287"/>
      <c r="H517" s="199"/>
      <c r="I517" s="199"/>
      <c r="J517" s="199"/>
      <c r="K517" s="199"/>
      <c r="L517" s="199"/>
      <c r="M517" s="158" t="s">
        <v>695</v>
      </c>
      <c r="N517" s="161" t="s">
        <v>1168</v>
      </c>
      <c r="O517" s="161" t="s">
        <v>1169</v>
      </c>
      <c r="P517" s="288"/>
      <c r="Q517" s="156"/>
      <c r="R517" s="156"/>
      <c r="S517" s="157"/>
      <c r="T517" s="156"/>
      <c r="U517" s="156"/>
      <c r="V517" s="288"/>
      <c r="W517" s="269"/>
      <c r="X517" s="288"/>
      <c r="Y517" s="288"/>
      <c r="Z517" s="288"/>
      <c r="AA517" s="272"/>
      <c r="AB517" s="272"/>
      <c r="AC517" s="272"/>
      <c r="AD517" s="288"/>
      <c r="AE517" s="288"/>
      <c r="AF517" s="288"/>
      <c r="AG517" s="288"/>
    </row>
  </sheetData>
  <sheetProtection insertRows="0" deleteRows="0" sort="0" autoFilter="0"/>
  <mergeCells count="3055">
    <mergeCell ref="AF512:AF514"/>
    <mergeCell ref="AG512:AG514"/>
    <mergeCell ref="B515:B517"/>
    <mergeCell ref="C515:C517"/>
    <mergeCell ref="D515:D517"/>
    <mergeCell ref="E515:E517"/>
    <mergeCell ref="F515:F517"/>
    <mergeCell ref="G515:G517"/>
    <mergeCell ref="P515:P517"/>
    <mergeCell ref="V515:V517"/>
    <mergeCell ref="W515:W517"/>
    <mergeCell ref="X515:X517"/>
    <mergeCell ref="Y515:Y517"/>
    <mergeCell ref="Z515:Z517"/>
    <mergeCell ref="AA515:AA517"/>
    <mergeCell ref="AB515:AB517"/>
    <mergeCell ref="AC515:AC517"/>
    <mergeCell ref="AD515:AD517"/>
    <mergeCell ref="AE515:AE517"/>
    <mergeCell ref="AF515:AF517"/>
    <mergeCell ref="AG515:AG517"/>
    <mergeCell ref="B512:B514"/>
    <mergeCell ref="C512:C514"/>
    <mergeCell ref="D512:D514"/>
    <mergeCell ref="E512:E514"/>
    <mergeCell ref="F512:F514"/>
    <mergeCell ref="G512:G514"/>
    <mergeCell ref="P512:P514"/>
    <mergeCell ref="V512:V514"/>
    <mergeCell ref="W512:W514"/>
    <mergeCell ref="X512:X514"/>
    <mergeCell ref="Y512:Y514"/>
    <mergeCell ref="Z512:Z514"/>
    <mergeCell ref="AA512:AA514"/>
    <mergeCell ref="AB512:AB514"/>
    <mergeCell ref="AC512:AC514"/>
    <mergeCell ref="AD512:AD514"/>
    <mergeCell ref="AE512:AE514"/>
    <mergeCell ref="AF482:AF484"/>
    <mergeCell ref="AG482:AG484"/>
    <mergeCell ref="B482:B484"/>
    <mergeCell ref="C482:C484"/>
    <mergeCell ref="D482:D484"/>
    <mergeCell ref="E482:E484"/>
    <mergeCell ref="F482:F484"/>
    <mergeCell ref="G482:G484"/>
    <mergeCell ref="P482:P484"/>
    <mergeCell ref="V482:V484"/>
    <mergeCell ref="W482:W484"/>
    <mergeCell ref="X482:X484"/>
    <mergeCell ref="Y482:Y484"/>
    <mergeCell ref="Z482:Z484"/>
    <mergeCell ref="AA482:AA484"/>
    <mergeCell ref="AB482:AB484"/>
    <mergeCell ref="AC482:AC484"/>
    <mergeCell ref="AD482:AD484"/>
    <mergeCell ref="AE482:AE484"/>
    <mergeCell ref="B461:B463"/>
    <mergeCell ref="B464:B466"/>
    <mergeCell ref="B467:B469"/>
    <mergeCell ref="B470:B472"/>
    <mergeCell ref="B473:B475"/>
    <mergeCell ref="B476:B478"/>
    <mergeCell ref="B479:B481"/>
    <mergeCell ref="B122:B125"/>
    <mergeCell ref="B126:B129"/>
    <mergeCell ref="B130:B133"/>
    <mergeCell ref="B134:B137"/>
    <mergeCell ref="B138:B141"/>
    <mergeCell ref="B142:B145"/>
    <mergeCell ref="B146:B149"/>
    <mergeCell ref="B150:B153"/>
    <mergeCell ref="B154:B157"/>
    <mergeCell ref="B158:B161"/>
    <mergeCell ref="B162:B165"/>
    <mergeCell ref="B166:B169"/>
    <mergeCell ref="B170:B173"/>
    <mergeCell ref="B174:B177"/>
    <mergeCell ref="B178:B181"/>
    <mergeCell ref="B182:B185"/>
    <mergeCell ref="B186:B189"/>
    <mergeCell ref="B446:B448"/>
    <mergeCell ref="B449:B451"/>
    <mergeCell ref="B452:B454"/>
    <mergeCell ref="B455:B457"/>
    <mergeCell ref="B458:B460"/>
    <mergeCell ref="B422:B424"/>
    <mergeCell ref="B425:B427"/>
    <mergeCell ref="B428:B430"/>
    <mergeCell ref="B431:B433"/>
    <mergeCell ref="B434:B436"/>
    <mergeCell ref="B437:B439"/>
    <mergeCell ref="B440:B442"/>
    <mergeCell ref="B443:B445"/>
    <mergeCell ref="B407:B409"/>
    <mergeCell ref="B410:B412"/>
    <mergeCell ref="B413:B415"/>
    <mergeCell ref="B416:B418"/>
    <mergeCell ref="B419:B421"/>
    <mergeCell ref="B380:B382"/>
    <mergeCell ref="B383:B385"/>
    <mergeCell ref="B386:B388"/>
    <mergeCell ref="B389:B391"/>
    <mergeCell ref="B392:B394"/>
    <mergeCell ref="B395:B397"/>
    <mergeCell ref="B398:B400"/>
    <mergeCell ref="B401:B403"/>
    <mergeCell ref="B404:B406"/>
    <mergeCell ref="B353:B355"/>
    <mergeCell ref="B356:B358"/>
    <mergeCell ref="B359:B361"/>
    <mergeCell ref="B362:B364"/>
    <mergeCell ref="B365:B367"/>
    <mergeCell ref="B368:B370"/>
    <mergeCell ref="B371:B373"/>
    <mergeCell ref="B374:B376"/>
    <mergeCell ref="B377:B379"/>
    <mergeCell ref="B338:B340"/>
    <mergeCell ref="B341:B343"/>
    <mergeCell ref="B344:B346"/>
    <mergeCell ref="B347:B349"/>
    <mergeCell ref="B350:B352"/>
    <mergeCell ref="B326:B329"/>
    <mergeCell ref="B330:B333"/>
    <mergeCell ref="B334:B337"/>
    <mergeCell ref="B298:B301"/>
    <mergeCell ref="B302:B305"/>
    <mergeCell ref="B306:B309"/>
    <mergeCell ref="B310:B313"/>
    <mergeCell ref="B314:B317"/>
    <mergeCell ref="B318:B321"/>
    <mergeCell ref="B322:B325"/>
    <mergeCell ref="B270:B273"/>
    <mergeCell ref="B274:B277"/>
    <mergeCell ref="B278:B281"/>
    <mergeCell ref="B282:B285"/>
    <mergeCell ref="B286:B289"/>
    <mergeCell ref="B290:B293"/>
    <mergeCell ref="B294:B297"/>
    <mergeCell ref="B242:B245"/>
    <mergeCell ref="B246:B249"/>
    <mergeCell ref="B250:B253"/>
    <mergeCell ref="B254:B257"/>
    <mergeCell ref="B258:B261"/>
    <mergeCell ref="B262:B265"/>
    <mergeCell ref="B266:B269"/>
    <mergeCell ref="B218:B221"/>
    <mergeCell ref="B222:B225"/>
    <mergeCell ref="B226:B229"/>
    <mergeCell ref="B230:B233"/>
    <mergeCell ref="B234:B237"/>
    <mergeCell ref="B238:B241"/>
    <mergeCell ref="B190:B193"/>
    <mergeCell ref="B194:B197"/>
    <mergeCell ref="B198:B201"/>
    <mergeCell ref="B202:B205"/>
    <mergeCell ref="B206:B209"/>
    <mergeCell ref="B210:B213"/>
    <mergeCell ref="B214:B217"/>
    <mergeCell ref="AD479:AD481"/>
    <mergeCell ref="AE479:AE481"/>
    <mergeCell ref="AF479:AF481"/>
    <mergeCell ref="AG479:AG481"/>
    <mergeCell ref="AE476:AE478"/>
    <mergeCell ref="AF476:AF478"/>
    <mergeCell ref="AG476:AG478"/>
    <mergeCell ref="C479:C481"/>
    <mergeCell ref="D479:D481"/>
    <mergeCell ref="E479:E481"/>
    <mergeCell ref="F479:F481"/>
    <mergeCell ref="G479:G481"/>
    <mergeCell ref="P479:P481"/>
    <mergeCell ref="V479:V481"/>
    <mergeCell ref="W479:W481"/>
    <mergeCell ref="X479:X481"/>
    <mergeCell ref="Y479:Y481"/>
    <mergeCell ref="Z479:Z481"/>
    <mergeCell ref="AA479:AA481"/>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AC476:AC478"/>
    <mergeCell ref="AD476:AD478"/>
    <mergeCell ref="AD461:AD463"/>
    <mergeCell ref="AC458:AC460"/>
    <mergeCell ref="AD458:AD460"/>
    <mergeCell ref="AC446:AC448"/>
    <mergeCell ref="AD446:AD448"/>
    <mergeCell ref="AD431:AD433"/>
    <mergeCell ref="AC428:AC430"/>
    <mergeCell ref="AD428:AD430"/>
    <mergeCell ref="AD413:AD415"/>
    <mergeCell ref="AC410:AC412"/>
    <mergeCell ref="AD410:AD412"/>
    <mergeCell ref="AC401:AC403"/>
    <mergeCell ref="AD401:AD403"/>
    <mergeCell ref="AD386:AD388"/>
    <mergeCell ref="AC383:AC385"/>
    <mergeCell ref="AB479:AB481"/>
    <mergeCell ref="AC479:AC481"/>
    <mergeCell ref="P476:P478"/>
    <mergeCell ref="V476:V478"/>
    <mergeCell ref="W476:W478"/>
    <mergeCell ref="X476:X478"/>
    <mergeCell ref="Y476:Y478"/>
    <mergeCell ref="Z476:Z478"/>
    <mergeCell ref="AA476:AA478"/>
    <mergeCell ref="AB476:AB478"/>
    <mergeCell ref="C476:C478"/>
    <mergeCell ref="D476:D478"/>
    <mergeCell ref="E476:E478"/>
    <mergeCell ref="F476:F478"/>
    <mergeCell ref="G476:G478"/>
    <mergeCell ref="AG470:AG472"/>
    <mergeCell ref="C473:C475"/>
    <mergeCell ref="D473:D475"/>
    <mergeCell ref="E473:E475"/>
    <mergeCell ref="F473:F475"/>
    <mergeCell ref="G473:G475"/>
    <mergeCell ref="P473:P475"/>
    <mergeCell ref="V473:V475"/>
    <mergeCell ref="W473:W475"/>
    <mergeCell ref="X473:X475"/>
    <mergeCell ref="Y473:Y475"/>
    <mergeCell ref="Z473:Z475"/>
    <mergeCell ref="AA473:AA475"/>
    <mergeCell ref="AB473:AB475"/>
    <mergeCell ref="AC473:AC475"/>
    <mergeCell ref="AD473:AD475"/>
    <mergeCell ref="AE473:AE475"/>
    <mergeCell ref="X470:X472"/>
    <mergeCell ref="Y470:Y472"/>
    <mergeCell ref="Z470:Z472"/>
    <mergeCell ref="AA470:AA472"/>
    <mergeCell ref="AB470:AB472"/>
    <mergeCell ref="AC470:AC472"/>
    <mergeCell ref="AD470:AD472"/>
    <mergeCell ref="AE470:AE472"/>
    <mergeCell ref="AF470:AF472"/>
    <mergeCell ref="C467:C469"/>
    <mergeCell ref="D467:D469"/>
    <mergeCell ref="E467:E469"/>
    <mergeCell ref="F467:F469"/>
    <mergeCell ref="G467:G469"/>
    <mergeCell ref="P467:P469"/>
    <mergeCell ref="V467:V469"/>
    <mergeCell ref="W467:W469"/>
    <mergeCell ref="X467:X469"/>
    <mergeCell ref="Y467:Y469"/>
    <mergeCell ref="Z467:Z469"/>
    <mergeCell ref="AA467:AA469"/>
    <mergeCell ref="AB467:AB469"/>
    <mergeCell ref="AC467:AC469"/>
    <mergeCell ref="AD467:AD469"/>
    <mergeCell ref="AE467:AE469"/>
    <mergeCell ref="AF473:AF475"/>
    <mergeCell ref="AF461:AF463"/>
    <mergeCell ref="AG461:AG463"/>
    <mergeCell ref="C464:C466"/>
    <mergeCell ref="D464:D466"/>
    <mergeCell ref="E464:E466"/>
    <mergeCell ref="F464:F466"/>
    <mergeCell ref="G464:G466"/>
    <mergeCell ref="P464:P466"/>
    <mergeCell ref="V464:V466"/>
    <mergeCell ref="W464:W466"/>
    <mergeCell ref="X464:X466"/>
    <mergeCell ref="Y464:Y466"/>
    <mergeCell ref="Z464:Z466"/>
    <mergeCell ref="AA464:AA466"/>
    <mergeCell ref="AB464:AB466"/>
    <mergeCell ref="AC464:AC466"/>
    <mergeCell ref="AD464:AD466"/>
    <mergeCell ref="AE464:AE466"/>
    <mergeCell ref="AF464:AF466"/>
    <mergeCell ref="AG464:AG466"/>
    <mergeCell ref="AG473:AG475"/>
    <mergeCell ref="AF467:AF469"/>
    <mergeCell ref="AG467:AG469"/>
    <mergeCell ref="C470:C472"/>
    <mergeCell ref="D470:D472"/>
    <mergeCell ref="E470:E472"/>
    <mergeCell ref="F470:F472"/>
    <mergeCell ref="G470:G472"/>
    <mergeCell ref="P470:P472"/>
    <mergeCell ref="V470:V472"/>
    <mergeCell ref="W470:W472"/>
    <mergeCell ref="AG455:AG457"/>
    <mergeCell ref="AE458:AE460"/>
    <mergeCell ref="AF458:AF460"/>
    <mergeCell ref="AG458:AG460"/>
    <mergeCell ref="C461:C463"/>
    <mergeCell ref="D461:D463"/>
    <mergeCell ref="E461:E463"/>
    <mergeCell ref="F461:F463"/>
    <mergeCell ref="G461:G463"/>
    <mergeCell ref="P461:P463"/>
    <mergeCell ref="V461:V463"/>
    <mergeCell ref="W461:W463"/>
    <mergeCell ref="X461:X463"/>
    <mergeCell ref="Y461:Y463"/>
    <mergeCell ref="Z461:Z463"/>
    <mergeCell ref="AA461:AA463"/>
    <mergeCell ref="AB461:AB463"/>
    <mergeCell ref="AC461:AC463"/>
    <mergeCell ref="P458:P460"/>
    <mergeCell ref="V458:V460"/>
    <mergeCell ref="W458:W460"/>
    <mergeCell ref="X458:X460"/>
    <mergeCell ref="Y458:Y460"/>
    <mergeCell ref="Z458:Z460"/>
    <mergeCell ref="AA458:AA460"/>
    <mergeCell ref="AB458:AB460"/>
    <mergeCell ref="C458:C460"/>
    <mergeCell ref="D458:D460"/>
    <mergeCell ref="E458:E460"/>
    <mergeCell ref="F458:F460"/>
    <mergeCell ref="G458:G460"/>
    <mergeCell ref="AE461:AE463"/>
    <mergeCell ref="C455:C457"/>
    <mergeCell ref="D455:D457"/>
    <mergeCell ref="E455:E457"/>
    <mergeCell ref="F455:F457"/>
    <mergeCell ref="G455:G457"/>
    <mergeCell ref="P455:P457"/>
    <mergeCell ref="V455:V457"/>
    <mergeCell ref="W455:W457"/>
    <mergeCell ref="X455:X457"/>
    <mergeCell ref="Y455:Y457"/>
    <mergeCell ref="Z455:Z457"/>
    <mergeCell ref="AA455:AA457"/>
    <mergeCell ref="AB455:AB457"/>
    <mergeCell ref="AC455:AC457"/>
    <mergeCell ref="AD455:AD457"/>
    <mergeCell ref="AE455:AE457"/>
    <mergeCell ref="AF455:AF457"/>
    <mergeCell ref="AF449:AF451"/>
    <mergeCell ref="AG449:AG451"/>
    <mergeCell ref="C452:C454"/>
    <mergeCell ref="D452:D454"/>
    <mergeCell ref="E452:E454"/>
    <mergeCell ref="F452:F454"/>
    <mergeCell ref="G452:G454"/>
    <mergeCell ref="P452:P454"/>
    <mergeCell ref="V452:V454"/>
    <mergeCell ref="W452:W454"/>
    <mergeCell ref="X452:X454"/>
    <mergeCell ref="Y452:Y454"/>
    <mergeCell ref="Z452:Z454"/>
    <mergeCell ref="AA452:AA454"/>
    <mergeCell ref="AB452:AB454"/>
    <mergeCell ref="AC452:AC454"/>
    <mergeCell ref="AD452:AD454"/>
    <mergeCell ref="AE452:AE454"/>
    <mergeCell ref="AF452:AF454"/>
    <mergeCell ref="AG452:AG454"/>
    <mergeCell ref="AE446:AE448"/>
    <mergeCell ref="AF446:AF448"/>
    <mergeCell ref="AG446:AG448"/>
    <mergeCell ref="C449:C451"/>
    <mergeCell ref="D449:D451"/>
    <mergeCell ref="E449:E451"/>
    <mergeCell ref="F449:F451"/>
    <mergeCell ref="G449:G451"/>
    <mergeCell ref="P449:P451"/>
    <mergeCell ref="V449:V451"/>
    <mergeCell ref="W449:W451"/>
    <mergeCell ref="X449:X451"/>
    <mergeCell ref="Y449:Y451"/>
    <mergeCell ref="Z449:Z451"/>
    <mergeCell ref="AA449:AA451"/>
    <mergeCell ref="AB449:AB451"/>
    <mergeCell ref="AC449:AC451"/>
    <mergeCell ref="AD449:AD451"/>
    <mergeCell ref="AE449:AE451"/>
    <mergeCell ref="C446:C448"/>
    <mergeCell ref="D446:D448"/>
    <mergeCell ref="E446:E448"/>
    <mergeCell ref="F446:F448"/>
    <mergeCell ref="G446:G448"/>
    <mergeCell ref="P446:P448"/>
    <mergeCell ref="V446:V448"/>
    <mergeCell ref="W446:W448"/>
    <mergeCell ref="X446:X448"/>
    <mergeCell ref="Y446:Y448"/>
    <mergeCell ref="Z446:Z448"/>
    <mergeCell ref="AA446:AA448"/>
    <mergeCell ref="AB446:AB448"/>
    <mergeCell ref="AG440:AG442"/>
    <mergeCell ref="C437:C439"/>
    <mergeCell ref="D437:D439"/>
    <mergeCell ref="E437:E439"/>
    <mergeCell ref="F437:F439"/>
    <mergeCell ref="G437:G439"/>
    <mergeCell ref="P437:P439"/>
    <mergeCell ref="V437:V439"/>
    <mergeCell ref="W437:W439"/>
    <mergeCell ref="X437:X439"/>
    <mergeCell ref="Y437:Y439"/>
    <mergeCell ref="Z437:Z439"/>
    <mergeCell ref="AA437:AA439"/>
    <mergeCell ref="AB437:AB439"/>
    <mergeCell ref="C443:C445"/>
    <mergeCell ref="D443:D445"/>
    <mergeCell ref="E443:E445"/>
    <mergeCell ref="F443:F445"/>
    <mergeCell ref="G443:G445"/>
    <mergeCell ref="P443:P445"/>
    <mergeCell ref="V443:V445"/>
    <mergeCell ref="W443:W445"/>
    <mergeCell ref="X443:X445"/>
    <mergeCell ref="Y443:Y445"/>
    <mergeCell ref="Z443:Z445"/>
    <mergeCell ref="AA443:AA445"/>
    <mergeCell ref="AB443:AB445"/>
    <mergeCell ref="AC443:AC445"/>
    <mergeCell ref="AD443:AD445"/>
    <mergeCell ref="AE443:AE445"/>
    <mergeCell ref="AF443:AF445"/>
    <mergeCell ref="AG443:AG445"/>
    <mergeCell ref="C440:C442"/>
    <mergeCell ref="D440:D442"/>
    <mergeCell ref="E440:E442"/>
    <mergeCell ref="F440:F442"/>
    <mergeCell ref="G440:G442"/>
    <mergeCell ref="P440:P442"/>
    <mergeCell ref="V440:V442"/>
    <mergeCell ref="W440:W442"/>
    <mergeCell ref="X440:X442"/>
    <mergeCell ref="Y440:Y442"/>
    <mergeCell ref="Z440:Z442"/>
    <mergeCell ref="AA440:AA442"/>
    <mergeCell ref="AB440:AB442"/>
    <mergeCell ref="AC440:AC442"/>
    <mergeCell ref="AD440:AD442"/>
    <mergeCell ref="AE440:AE442"/>
    <mergeCell ref="AF440:AF442"/>
    <mergeCell ref="AC437:AC439"/>
    <mergeCell ref="AD437:AD439"/>
    <mergeCell ref="AE437:AE439"/>
    <mergeCell ref="AF437:AF439"/>
    <mergeCell ref="AF431:AF433"/>
    <mergeCell ref="AG431:AG433"/>
    <mergeCell ref="C434:C436"/>
    <mergeCell ref="D434:D436"/>
    <mergeCell ref="E434:E436"/>
    <mergeCell ref="F434:F436"/>
    <mergeCell ref="G434:G436"/>
    <mergeCell ref="P434:P436"/>
    <mergeCell ref="V434:V436"/>
    <mergeCell ref="W434:W436"/>
    <mergeCell ref="X434:X436"/>
    <mergeCell ref="Y434:Y436"/>
    <mergeCell ref="Z434:Z436"/>
    <mergeCell ref="AA434:AA436"/>
    <mergeCell ref="AB434:AB436"/>
    <mergeCell ref="AC434:AC436"/>
    <mergeCell ref="AD434:AD436"/>
    <mergeCell ref="AE434:AE436"/>
    <mergeCell ref="AF434:AF436"/>
    <mergeCell ref="AG434:AG436"/>
    <mergeCell ref="AG437:AG439"/>
    <mergeCell ref="AE428:AE430"/>
    <mergeCell ref="AF428:AF430"/>
    <mergeCell ref="AG428:AG430"/>
    <mergeCell ref="C431:C433"/>
    <mergeCell ref="D431:D433"/>
    <mergeCell ref="E431:E433"/>
    <mergeCell ref="F431:F433"/>
    <mergeCell ref="G431:G433"/>
    <mergeCell ref="P431:P433"/>
    <mergeCell ref="V431:V433"/>
    <mergeCell ref="W431:W433"/>
    <mergeCell ref="X431:X433"/>
    <mergeCell ref="Y431:Y433"/>
    <mergeCell ref="Z431:Z433"/>
    <mergeCell ref="AA431:AA433"/>
    <mergeCell ref="AB431:AB433"/>
    <mergeCell ref="AC431:AC433"/>
    <mergeCell ref="P428:P430"/>
    <mergeCell ref="V428:V430"/>
    <mergeCell ref="W428:W430"/>
    <mergeCell ref="X428:X430"/>
    <mergeCell ref="Y428:Y430"/>
    <mergeCell ref="Z428:Z430"/>
    <mergeCell ref="AA428:AA430"/>
    <mergeCell ref="AB428:AB430"/>
    <mergeCell ref="C428:C430"/>
    <mergeCell ref="D428:D430"/>
    <mergeCell ref="E428:E430"/>
    <mergeCell ref="F428:F430"/>
    <mergeCell ref="G428:G430"/>
    <mergeCell ref="AE431:AE433"/>
    <mergeCell ref="AG422:AG424"/>
    <mergeCell ref="C419:C421"/>
    <mergeCell ref="D419:D421"/>
    <mergeCell ref="E419:E421"/>
    <mergeCell ref="F419:F421"/>
    <mergeCell ref="G419:G421"/>
    <mergeCell ref="P419:P421"/>
    <mergeCell ref="V419:V421"/>
    <mergeCell ref="W419:W421"/>
    <mergeCell ref="X419:X421"/>
    <mergeCell ref="Y419:Y421"/>
    <mergeCell ref="Z419:Z421"/>
    <mergeCell ref="AA419:AA421"/>
    <mergeCell ref="AB419:AB421"/>
    <mergeCell ref="C425:C427"/>
    <mergeCell ref="D425:D427"/>
    <mergeCell ref="E425:E427"/>
    <mergeCell ref="F425:F427"/>
    <mergeCell ref="G425:G427"/>
    <mergeCell ref="P425:P427"/>
    <mergeCell ref="V425:V427"/>
    <mergeCell ref="W425:W427"/>
    <mergeCell ref="X425:X427"/>
    <mergeCell ref="Y425:Y427"/>
    <mergeCell ref="Z425:Z427"/>
    <mergeCell ref="AA425:AA427"/>
    <mergeCell ref="AB425:AB427"/>
    <mergeCell ref="AC425:AC427"/>
    <mergeCell ref="AD425:AD427"/>
    <mergeCell ref="AE425:AE427"/>
    <mergeCell ref="AF425:AF427"/>
    <mergeCell ref="AG425:AG427"/>
    <mergeCell ref="C422:C424"/>
    <mergeCell ref="D422:D424"/>
    <mergeCell ref="E422:E424"/>
    <mergeCell ref="F422:F424"/>
    <mergeCell ref="G422:G424"/>
    <mergeCell ref="P422:P424"/>
    <mergeCell ref="V422:V424"/>
    <mergeCell ref="W422:W424"/>
    <mergeCell ref="X422:X424"/>
    <mergeCell ref="Y422:Y424"/>
    <mergeCell ref="Z422:Z424"/>
    <mergeCell ref="AA422:AA424"/>
    <mergeCell ref="AB422:AB424"/>
    <mergeCell ref="AC422:AC424"/>
    <mergeCell ref="AD422:AD424"/>
    <mergeCell ref="AE422:AE424"/>
    <mergeCell ref="AF422:AF424"/>
    <mergeCell ref="AC419:AC421"/>
    <mergeCell ref="AD419:AD421"/>
    <mergeCell ref="AE419:AE421"/>
    <mergeCell ref="AF419:AF421"/>
    <mergeCell ref="AG413:AG415"/>
    <mergeCell ref="C416:C418"/>
    <mergeCell ref="D416:D418"/>
    <mergeCell ref="E416:E418"/>
    <mergeCell ref="F416:F418"/>
    <mergeCell ref="G416:G418"/>
    <mergeCell ref="P416:P418"/>
    <mergeCell ref="V416:V418"/>
    <mergeCell ref="W416:W418"/>
    <mergeCell ref="X416:X418"/>
    <mergeCell ref="Y416:Y418"/>
    <mergeCell ref="Z416:Z418"/>
    <mergeCell ref="AA416:AA418"/>
    <mergeCell ref="AB416:AB418"/>
    <mergeCell ref="AC416:AC418"/>
    <mergeCell ref="AD416:AD418"/>
    <mergeCell ref="AE416:AE418"/>
    <mergeCell ref="AF416:AF418"/>
    <mergeCell ref="AG416:AG418"/>
    <mergeCell ref="AG419:AG421"/>
    <mergeCell ref="AE410:AE412"/>
    <mergeCell ref="AF410:AF412"/>
    <mergeCell ref="AG410:AG412"/>
    <mergeCell ref="C413:C415"/>
    <mergeCell ref="D413:D415"/>
    <mergeCell ref="E413:E415"/>
    <mergeCell ref="F413:F415"/>
    <mergeCell ref="G413:G415"/>
    <mergeCell ref="P413:P415"/>
    <mergeCell ref="V413:V415"/>
    <mergeCell ref="W413:W415"/>
    <mergeCell ref="X413:X415"/>
    <mergeCell ref="Y413:Y415"/>
    <mergeCell ref="Z413:Z415"/>
    <mergeCell ref="AA413:AA415"/>
    <mergeCell ref="AB413:AB415"/>
    <mergeCell ref="AC413:AC415"/>
    <mergeCell ref="P410:P412"/>
    <mergeCell ref="V410:V412"/>
    <mergeCell ref="W410:W412"/>
    <mergeCell ref="X410:X412"/>
    <mergeCell ref="Y410:Y412"/>
    <mergeCell ref="Z410:Z412"/>
    <mergeCell ref="AA410:AA412"/>
    <mergeCell ref="AB410:AB412"/>
    <mergeCell ref="C410:C412"/>
    <mergeCell ref="D410:D412"/>
    <mergeCell ref="E410:E412"/>
    <mergeCell ref="F410:F412"/>
    <mergeCell ref="G410:G412"/>
    <mergeCell ref="AE413:AE415"/>
    <mergeCell ref="AF413:AF415"/>
    <mergeCell ref="C398:C400"/>
    <mergeCell ref="AE407:AE409"/>
    <mergeCell ref="AF407:AF409"/>
    <mergeCell ref="AG407:AG409"/>
    <mergeCell ref="AD404:AD406"/>
    <mergeCell ref="AE404:AE406"/>
    <mergeCell ref="AF404:AF406"/>
    <mergeCell ref="AG404:AG406"/>
    <mergeCell ref="C407:C409"/>
    <mergeCell ref="D407:D409"/>
    <mergeCell ref="E407:E409"/>
    <mergeCell ref="F407:F409"/>
    <mergeCell ref="G407:G409"/>
    <mergeCell ref="P407:P409"/>
    <mergeCell ref="V407:V409"/>
    <mergeCell ref="W407:W409"/>
    <mergeCell ref="X407:X409"/>
    <mergeCell ref="Y407:Y409"/>
    <mergeCell ref="Z407:Z409"/>
    <mergeCell ref="AA407:AA409"/>
    <mergeCell ref="AB407:AB409"/>
    <mergeCell ref="AC407:AC409"/>
    <mergeCell ref="AD407:AD409"/>
    <mergeCell ref="AE401:AE403"/>
    <mergeCell ref="AF401:AF403"/>
    <mergeCell ref="AG401:AG403"/>
    <mergeCell ref="C404:C406"/>
    <mergeCell ref="D404:D406"/>
    <mergeCell ref="E404:E406"/>
    <mergeCell ref="F404:F406"/>
    <mergeCell ref="G404:G406"/>
    <mergeCell ref="P404:P406"/>
    <mergeCell ref="V404:V406"/>
    <mergeCell ref="W404:W406"/>
    <mergeCell ref="X404:X406"/>
    <mergeCell ref="Y404:Y406"/>
    <mergeCell ref="Z404:Z406"/>
    <mergeCell ref="AA404:AA406"/>
    <mergeCell ref="AB404:AB406"/>
    <mergeCell ref="AC404:AC406"/>
    <mergeCell ref="P401:P403"/>
    <mergeCell ref="V401:V403"/>
    <mergeCell ref="W401:W403"/>
    <mergeCell ref="X401:X403"/>
    <mergeCell ref="Y401:Y403"/>
    <mergeCell ref="Z401:Z403"/>
    <mergeCell ref="AA401:AA403"/>
    <mergeCell ref="AB401:AB403"/>
    <mergeCell ref="C401:C403"/>
    <mergeCell ref="D401:D403"/>
    <mergeCell ref="E401:E403"/>
    <mergeCell ref="F401:F403"/>
    <mergeCell ref="G401:G403"/>
    <mergeCell ref="D398:D400"/>
    <mergeCell ref="E398:E400"/>
    <mergeCell ref="F398:F400"/>
    <mergeCell ref="G398:G400"/>
    <mergeCell ref="P398:P400"/>
    <mergeCell ref="V398:V400"/>
    <mergeCell ref="W398:W400"/>
    <mergeCell ref="X398:X400"/>
    <mergeCell ref="Y398:Y400"/>
    <mergeCell ref="Z398:Z400"/>
    <mergeCell ref="AA398:AA400"/>
    <mergeCell ref="AB398:AB400"/>
    <mergeCell ref="AC398:AC400"/>
    <mergeCell ref="AD398:AD400"/>
    <mergeCell ref="AE398:AE400"/>
    <mergeCell ref="AF398:AF400"/>
    <mergeCell ref="AG392:AG394"/>
    <mergeCell ref="AG395:AG397"/>
    <mergeCell ref="AG398:AG400"/>
    <mergeCell ref="C395:C397"/>
    <mergeCell ref="D395:D397"/>
    <mergeCell ref="E395:E397"/>
    <mergeCell ref="F395:F397"/>
    <mergeCell ref="G395:G397"/>
    <mergeCell ref="P395:P397"/>
    <mergeCell ref="V395:V397"/>
    <mergeCell ref="W395:W397"/>
    <mergeCell ref="X395:X397"/>
    <mergeCell ref="Y395:Y397"/>
    <mergeCell ref="Z395:Z397"/>
    <mergeCell ref="AA395:AA397"/>
    <mergeCell ref="AB395:AB397"/>
    <mergeCell ref="AC395:AC397"/>
    <mergeCell ref="AD395:AD397"/>
    <mergeCell ref="AE395:AE397"/>
    <mergeCell ref="AF395:AF397"/>
    <mergeCell ref="C392:C394"/>
    <mergeCell ref="D392:D394"/>
    <mergeCell ref="E392:E394"/>
    <mergeCell ref="F392:F394"/>
    <mergeCell ref="G392:G394"/>
    <mergeCell ref="P392:P394"/>
    <mergeCell ref="V392:V394"/>
    <mergeCell ref="W392:W394"/>
    <mergeCell ref="X392:X394"/>
    <mergeCell ref="Y392:Y394"/>
    <mergeCell ref="Z392:Z394"/>
    <mergeCell ref="AA392:AA394"/>
    <mergeCell ref="AB392:AB394"/>
    <mergeCell ref="AC392:AC394"/>
    <mergeCell ref="AD392:AD394"/>
    <mergeCell ref="AE392:AE394"/>
    <mergeCell ref="AF392:AF394"/>
    <mergeCell ref="AF386:AF388"/>
    <mergeCell ref="AG386:AG388"/>
    <mergeCell ref="C389:C391"/>
    <mergeCell ref="D389:D391"/>
    <mergeCell ref="E389:E391"/>
    <mergeCell ref="F389:F391"/>
    <mergeCell ref="G389:G391"/>
    <mergeCell ref="P389:P391"/>
    <mergeCell ref="V389:V391"/>
    <mergeCell ref="W389:W391"/>
    <mergeCell ref="X389:X391"/>
    <mergeCell ref="Y389:Y391"/>
    <mergeCell ref="Z389:Z391"/>
    <mergeCell ref="AA389:AA391"/>
    <mergeCell ref="AB389:AB391"/>
    <mergeCell ref="AC389:AC391"/>
    <mergeCell ref="AD389:AD391"/>
    <mergeCell ref="AE389:AE391"/>
    <mergeCell ref="AF389:AF391"/>
    <mergeCell ref="AG389:AG391"/>
    <mergeCell ref="AD383:AD385"/>
    <mergeCell ref="AE383:AE385"/>
    <mergeCell ref="AF383:AF385"/>
    <mergeCell ref="AG383:AG385"/>
    <mergeCell ref="C386:C388"/>
    <mergeCell ref="D386:D388"/>
    <mergeCell ref="E386:E388"/>
    <mergeCell ref="F386:F388"/>
    <mergeCell ref="G386:G388"/>
    <mergeCell ref="P386:P388"/>
    <mergeCell ref="V386:V388"/>
    <mergeCell ref="W386:W388"/>
    <mergeCell ref="X386:X388"/>
    <mergeCell ref="Y386:Y388"/>
    <mergeCell ref="Z386:Z388"/>
    <mergeCell ref="AA386:AA388"/>
    <mergeCell ref="AB386:AB388"/>
    <mergeCell ref="AC386:AC388"/>
    <mergeCell ref="P383:P385"/>
    <mergeCell ref="V383:V385"/>
    <mergeCell ref="W383:W385"/>
    <mergeCell ref="X383:X385"/>
    <mergeCell ref="Y383:Y385"/>
    <mergeCell ref="Z383:Z385"/>
    <mergeCell ref="AA383:AA385"/>
    <mergeCell ref="AB383:AB385"/>
    <mergeCell ref="C383:C385"/>
    <mergeCell ref="D383:D385"/>
    <mergeCell ref="E383:E385"/>
    <mergeCell ref="F383:F385"/>
    <mergeCell ref="G383:G385"/>
    <mergeCell ref="AE386:AE388"/>
    <mergeCell ref="AG377:AG379"/>
    <mergeCell ref="C374:C376"/>
    <mergeCell ref="D374:D376"/>
    <mergeCell ref="E374:E376"/>
    <mergeCell ref="F374:F376"/>
    <mergeCell ref="G374:G376"/>
    <mergeCell ref="P374:P376"/>
    <mergeCell ref="V374:V376"/>
    <mergeCell ref="W374:W376"/>
    <mergeCell ref="X374:X376"/>
    <mergeCell ref="Y374:Y376"/>
    <mergeCell ref="Z374:Z376"/>
    <mergeCell ref="AA374:AA376"/>
    <mergeCell ref="AB374:AB376"/>
    <mergeCell ref="C380:C382"/>
    <mergeCell ref="D380:D382"/>
    <mergeCell ref="E380:E382"/>
    <mergeCell ref="F380:F382"/>
    <mergeCell ref="G380:G382"/>
    <mergeCell ref="P380:P382"/>
    <mergeCell ref="V380:V382"/>
    <mergeCell ref="W380:W382"/>
    <mergeCell ref="X380:X382"/>
    <mergeCell ref="Y380:Y382"/>
    <mergeCell ref="Z380:Z382"/>
    <mergeCell ref="AA380:AA382"/>
    <mergeCell ref="AB380:AB382"/>
    <mergeCell ref="AC380:AC382"/>
    <mergeCell ref="AD380:AD382"/>
    <mergeCell ref="AE380:AE382"/>
    <mergeCell ref="AF380:AF382"/>
    <mergeCell ref="AG380:AG382"/>
    <mergeCell ref="C377:C379"/>
    <mergeCell ref="D377:D379"/>
    <mergeCell ref="E377:E379"/>
    <mergeCell ref="F377:F379"/>
    <mergeCell ref="G377:G379"/>
    <mergeCell ref="P377:P379"/>
    <mergeCell ref="V377:V379"/>
    <mergeCell ref="W377:W379"/>
    <mergeCell ref="X377:X379"/>
    <mergeCell ref="Y377:Y379"/>
    <mergeCell ref="Z377:Z379"/>
    <mergeCell ref="AA377:AA379"/>
    <mergeCell ref="AB377:AB379"/>
    <mergeCell ref="AC377:AC379"/>
    <mergeCell ref="AD377:AD379"/>
    <mergeCell ref="AE377:AE379"/>
    <mergeCell ref="AF377:AF379"/>
    <mergeCell ref="AC374:AC376"/>
    <mergeCell ref="AD374:AD376"/>
    <mergeCell ref="AE374:AE376"/>
    <mergeCell ref="AF374:AF376"/>
    <mergeCell ref="G365:G367"/>
    <mergeCell ref="AD368:AD370"/>
    <mergeCell ref="AE368:AE370"/>
    <mergeCell ref="AF368:AF370"/>
    <mergeCell ref="AG368:AG370"/>
    <mergeCell ref="C371:C373"/>
    <mergeCell ref="D371:D373"/>
    <mergeCell ref="E371:E373"/>
    <mergeCell ref="F371:F373"/>
    <mergeCell ref="G371:G373"/>
    <mergeCell ref="P371:P373"/>
    <mergeCell ref="V371:V373"/>
    <mergeCell ref="W371:W373"/>
    <mergeCell ref="X371:X373"/>
    <mergeCell ref="Y371:Y373"/>
    <mergeCell ref="Z371:Z373"/>
    <mergeCell ref="AA371:AA373"/>
    <mergeCell ref="AB371:AB373"/>
    <mergeCell ref="AC371:AC373"/>
    <mergeCell ref="AD371:AD373"/>
    <mergeCell ref="AE371:AE373"/>
    <mergeCell ref="AF371:AF373"/>
    <mergeCell ref="AG371:AG373"/>
    <mergeCell ref="AG374:AG376"/>
    <mergeCell ref="AC365:AC367"/>
    <mergeCell ref="AD365:AD367"/>
    <mergeCell ref="AE365:AE367"/>
    <mergeCell ref="AF365:AF367"/>
    <mergeCell ref="AG365:AG367"/>
    <mergeCell ref="C368:C370"/>
    <mergeCell ref="D368:D370"/>
    <mergeCell ref="E368:E370"/>
    <mergeCell ref="F368:F370"/>
    <mergeCell ref="G368:G370"/>
    <mergeCell ref="P368:P370"/>
    <mergeCell ref="V368:V370"/>
    <mergeCell ref="W368:W370"/>
    <mergeCell ref="X368:X370"/>
    <mergeCell ref="Y368:Y370"/>
    <mergeCell ref="Z368:Z370"/>
    <mergeCell ref="AA368:AA370"/>
    <mergeCell ref="AB368:AB370"/>
    <mergeCell ref="AC368:AC370"/>
    <mergeCell ref="P365:P367"/>
    <mergeCell ref="V365:V367"/>
    <mergeCell ref="W365:W367"/>
    <mergeCell ref="X365:X367"/>
    <mergeCell ref="Y365:Y367"/>
    <mergeCell ref="Z365:Z367"/>
    <mergeCell ref="AA365:AA367"/>
    <mergeCell ref="AB365:AB367"/>
    <mergeCell ref="C365:C367"/>
    <mergeCell ref="D365:D367"/>
    <mergeCell ref="E365:E367"/>
    <mergeCell ref="F365:F367"/>
    <mergeCell ref="AG359:AG361"/>
    <mergeCell ref="C356:C358"/>
    <mergeCell ref="D356:D358"/>
    <mergeCell ref="E356:E358"/>
    <mergeCell ref="F356:F358"/>
    <mergeCell ref="G356:G358"/>
    <mergeCell ref="P356:P358"/>
    <mergeCell ref="V356:V358"/>
    <mergeCell ref="W356:W358"/>
    <mergeCell ref="X356:X358"/>
    <mergeCell ref="Y356:Y358"/>
    <mergeCell ref="Z356:Z358"/>
    <mergeCell ref="AA356:AA358"/>
    <mergeCell ref="AB356:AB358"/>
    <mergeCell ref="C362:C364"/>
    <mergeCell ref="D362:D364"/>
    <mergeCell ref="E362:E364"/>
    <mergeCell ref="F362:F364"/>
    <mergeCell ref="G362:G364"/>
    <mergeCell ref="P362:P364"/>
    <mergeCell ref="V362:V364"/>
    <mergeCell ref="W362:W364"/>
    <mergeCell ref="X362:X364"/>
    <mergeCell ref="Y362:Y364"/>
    <mergeCell ref="Z362:Z364"/>
    <mergeCell ref="AA362:AA364"/>
    <mergeCell ref="AB362:AB364"/>
    <mergeCell ref="AC362:AC364"/>
    <mergeCell ref="AD362:AD364"/>
    <mergeCell ref="AE362:AE364"/>
    <mergeCell ref="AF362:AF364"/>
    <mergeCell ref="AG362:AG364"/>
    <mergeCell ref="C359:C361"/>
    <mergeCell ref="D359:D361"/>
    <mergeCell ref="E359:E361"/>
    <mergeCell ref="F359:F361"/>
    <mergeCell ref="G359:G361"/>
    <mergeCell ref="P359:P361"/>
    <mergeCell ref="V359:V361"/>
    <mergeCell ref="W359:W361"/>
    <mergeCell ref="X359:X361"/>
    <mergeCell ref="Y359:Y361"/>
    <mergeCell ref="Z359:Z361"/>
    <mergeCell ref="AA359:AA361"/>
    <mergeCell ref="AB359:AB361"/>
    <mergeCell ref="AC359:AC361"/>
    <mergeCell ref="AD359:AD361"/>
    <mergeCell ref="AE359:AE361"/>
    <mergeCell ref="AF359:AF361"/>
    <mergeCell ref="AC356:AC358"/>
    <mergeCell ref="AD356:AD358"/>
    <mergeCell ref="AE356:AE358"/>
    <mergeCell ref="AF356:AF358"/>
    <mergeCell ref="G347:G349"/>
    <mergeCell ref="AD350:AD352"/>
    <mergeCell ref="AE350:AE352"/>
    <mergeCell ref="AF350:AF352"/>
    <mergeCell ref="AG350:AG352"/>
    <mergeCell ref="C353:C355"/>
    <mergeCell ref="D353:D355"/>
    <mergeCell ref="E353:E355"/>
    <mergeCell ref="F353:F355"/>
    <mergeCell ref="G353:G355"/>
    <mergeCell ref="P353:P355"/>
    <mergeCell ref="V353:V355"/>
    <mergeCell ref="W353:W355"/>
    <mergeCell ref="X353:X355"/>
    <mergeCell ref="Y353:Y355"/>
    <mergeCell ref="Z353:Z355"/>
    <mergeCell ref="AA353:AA355"/>
    <mergeCell ref="AB353:AB355"/>
    <mergeCell ref="AC353:AC355"/>
    <mergeCell ref="AD353:AD355"/>
    <mergeCell ref="AE353:AE355"/>
    <mergeCell ref="AF353:AF355"/>
    <mergeCell ref="AG353:AG355"/>
    <mergeCell ref="AG356:AG358"/>
    <mergeCell ref="AC347:AC349"/>
    <mergeCell ref="AD347:AD349"/>
    <mergeCell ref="AE347:AE349"/>
    <mergeCell ref="AF347:AF349"/>
    <mergeCell ref="AG347:AG349"/>
    <mergeCell ref="C350:C352"/>
    <mergeCell ref="D350:D352"/>
    <mergeCell ref="E350:E352"/>
    <mergeCell ref="F350:F352"/>
    <mergeCell ref="G350:G352"/>
    <mergeCell ref="P350:P352"/>
    <mergeCell ref="V350:V352"/>
    <mergeCell ref="W350:W352"/>
    <mergeCell ref="X350:X352"/>
    <mergeCell ref="Y350:Y352"/>
    <mergeCell ref="Z350:Z352"/>
    <mergeCell ref="AA350:AA352"/>
    <mergeCell ref="AB350:AB352"/>
    <mergeCell ref="AC350:AC352"/>
    <mergeCell ref="P347:P349"/>
    <mergeCell ref="V347:V349"/>
    <mergeCell ref="W347:W349"/>
    <mergeCell ref="X347:X349"/>
    <mergeCell ref="Y347:Y349"/>
    <mergeCell ref="Z347:Z349"/>
    <mergeCell ref="AA347:AA349"/>
    <mergeCell ref="AB347:AB349"/>
    <mergeCell ref="C347:C349"/>
    <mergeCell ref="D347:D349"/>
    <mergeCell ref="E347:E349"/>
    <mergeCell ref="F347:F349"/>
    <mergeCell ref="AG341:AG343"/>
    <mergeCell ref="C338:C340"/>
    <mergeCell ref="D338:D340"/>
    <mergeCell ref="E338:E340"/>
    <mergeCell ref="F338:F340"/>
    <mergeCell ref="G338:G340"/>
    <mergeCell ref="P338:P340"/>
    <mergeCell ref="V338:V340"/>
    <mergeCell ref="W338:W340"/>
    <mergeCell ref="X338:X340"/>
    <mergeCell ref="Y338:Y340"/>
    <mergeCell ref="Z338:Z340"/>
    <mergeCell ref="AA338:AA340"/>
    <mergeCell ref="AB338:AB340"/>
    <mergeCell ref="C344:C346"/>
    <mergeCell ref="D344:D346"/>
    <mergeCell ref="E344:E346"/>
    <mergeCell ref="F344:F346"/>
    <mergeCell ref="G344:G346"/>
    <mergeCell ref="P344:P346"/>
    <mergeCell ref="V344:V346"/>
    <mergeCell ref="W344:W346"/>
    <mergeCell ref="X344:X346"/>
    <mergeCell ref="Y344:Y346"/>
    <mergeCell ref="Z344:Z346"/>
    <mergeCell ref="AA344:AA346"/>
    <mergeCell ref="AB344:AB346"/>
    <mergeCell ref="AC344:AC346"/>
    <mergeCell ref="AD344:AD346"/>
    <mergeCell ref="AE344:AE346"/>
    <mergeCell ref="AF344:AF346"/>
    <mergeCell ref="AG344:AG346"/>
    <mergeCell ref="C341:C343"/>
    <mergeCell ref="D341:D343"/>
    <mergeCell ref="E341:E343"/>
    <mergeCell ref="F341:F343"/>
    <mergeCell ref="G341:G343"/>
    <mergeCell ref="P341:P343"/>
    <mergeCell ref="V341:V343"/>
    <mergeCell ref="W341:W343"/>
    <mergeCell ref="X341:X343"/>
    <mergeCell ref="Y341:Y343"/>
    <mergeCell ref="Z341:Z343"/>
    <mergeCell ref="AA341:AA343"/>
    <mergeCell ref="AB341:AB343"/>
    <mergeCell ref="AC341:AC343"/>
    <mergeCell ref="AD341:AD343"/>
    <mergeCell ref="AE341:AE343"/>
    <mergeCell ref="AF341:AF343"/>
    <mergeCell ref="AC338:AC340"/>
    <mergeCell ref="AD338:AD340"/>
    <mergeCell ref="AE338:AE340"/>
    <mergeCell ref="AF338:AF340"/>
    <mergeCell ref="G326:G329"/>
    <mergeCell ref="AD330:AD333"/>
    <mergeCell ref="AE330:AE333"/>
    <mergeCell ref="AF330:AF333"/>
    <mergeCell ref="AG330:AG333"/>
    <mergeCell ref="C334:C337"/>
    <mergeCell ref="D334:D337"/>
    <mergeCell ref="E334:E337"/>
    <mergeCell ref="F334:F337"/>
    <mergeCell ref="G334:G337"/>
    <mergeCell ref="P334:P337"/>
    <mergeCell ref="V334:V337"/>
    <mergeCell ref="W334:W337"/>
    <mergeCell ref="X334:X337"/>
    <mergeCell ref="Y334:Y337"/>
    <mergeCell ref="Z334:Z337"/>
    <mergeCell ref="AA334:AA337"/>
    <mergeCell ref="AB334:AB337"/>
    <mergeCell ref="AC334:AC337"/>
    <mergeCell ref="AD334:AD337"/>
    <mergeCell ref="AE334:AE337"/>
    <mergeCell ref="AF334:AF337"/>
    <mergeCell ref="AG334:AG337"/>
    <mergeCell ref="AG338:AG340"/>
    <mergeCell ref="AC326:AC329"/>
    <mergeCell ref="AD326:AD329"/>
    <mergeCell ref="AE326:AE329"/>
    <mergeCell ref="AF326:AF329"/>
    <mergeCell ref="AG326:AG329"/>
    <mergeCell ref="C330:C333"/>
    <mergeCell ref="D330:D333"/>
    <mergeCell ref="E330:E333"/>
    <mergeCell ref="F330:F333"/>
    <mergeCell ref="G330:G333"/>
    <mergeCell ref="P330:P333"/>
    <mergeCell ref="V330:V333"/>
    <mergeCell ref="W330:W333"/>
    <mergeCell ref="X330:X333"/>
    <mergeCell ref="Y330:Y333"/>
    <mergeCell ref="Z330:Z333"/>
    <mergeCell ref="AA330:AA333"/>
    <mergeCell ref="AB330:AB333"/>
    <mergeCell ref="AC330:AC333"/>
    <mergeCell ref="P326:P329"/>
    <mergeCell ref="V326:V329"/>
    <mergeCell ref="W326:W329"/>
    <mergeCell ref="X326:X329"/>
    <mergeCell ref="Y326:Y329"/>
    <mergeCell ref="Z326:Z329"/>
    <mergeCell ref="AA326:AA329"/>
    <mergeCell ref="AB326:AB329"/>
    <mergeCell ref="C326:C329"/>
    <mergeCell ref="D326:D329"/>
    <mergeCell ref="E326:E329"/>
    <mergeCell ref="F326:F329"/>
    <mergeCell ref="AG318:AG321"/>
    <mergeCell ref="C314:C317"/>
    <mergeCell ref="D314:D317"/>
    <mergeCell ref="E314:E317"/>
    <mergeCell ref="F314:F317"/>
    <mergeCell ref="G314:G317"/>
    <mergeCell ref="P314:P317"/>
    <mergeCell ref="V314:V317"/>
    <mergeCell ref="W314:W317"/>
    <mergeCell ref="X314:X317"/>
    <mergeCell ref="Y314:Y317"/>
    <mergeCell ref="Z314:Z317"/>
    <mergeCell ref="AA314:AA317"/>
    <mergeCell ref="AB314:AB317"/>
    <mergeCell ref="C322:C325"/>
    <mergeCell ref="D322:D325"/>
    <mergeCell ref="E322:E325"/>
    <mergeCell ref="F322:F325"/>
    <mergeCell ref="G322:G325"/>
    <mergeCell ref="P322:P325"/>
    <mergeCell ref="V322:V325"/>
    <mergeCell ref="W322:W325"/>
    <mergeCell ref="X322:X325"/>
    <mergeCell ref="Y322:Y325"/>
    <mergeCell ref="Z322:Z325"/>
    <mergeCell ref="AA322:AA325"/>
    <mergeCell ref="AB322:AB325"/>
    <mergeCell ref="AC322:AC325"/>
    <mergeCell ref="AD322:AD325"/>
    <mergeCell ref="AE322:AE325"/>
    <mergeCell ref="AF322:AF325"/>
    <mergeCell ref="AG322:AG325"/>
    <mergeCell ref="C318:C321"/>
    <mergeCell ref="D318:D321"/>
    <mergeCell ref="E318:E321"/>
    <mergeCell ref="F318:F321"/>
    <mergeCell ref="G318:G321"/>
    <mergeCell ref="P318:P321"/>
    <mergeCell ref="V318:V321"/>
    <mergeCell ref="W318:W321"/>
    <mergeCell ref="X318:X321"/>
    <mergeCell ref="Y318:Y321"/>
    <mergeCell ref="Z318:Z321"/>
    <mergeCell ref="AA318:AA321"/>
    <mergeCell ref="AB318:AB321"/>
    <mergeCell ref="AC318:AC321"/>
    <mergeCell ref="AD318:AD321"/>
    <mergeCell ref="AE318:AE321"/>
    <mergeCell ref="AF318:AF321"/>
    <mergeCell ref="AC314:AC317"/>
    <mergeCell ref="AD314:AD317"/>
    <mergeCell ref="AE314:AE317"/>
    <mergeCell ref="AF314:AF317"/>
    <mergeCell ref="G302:G305"/>
    <mergeCell ref="AD306:AD309"/>
    <mergeCell ref="AE306:AE309"/>
    <mergeCell ref="AF306:AF309"/>
    <mergeCell ref="AG306:AG309"/>
    <mergeCell ref="C310:C313"/>
    <mergeCell ref="D310:D313"/>
    <mergeCell ref="E310:E313"/>
    <mergeCell ref="F310:F313"/>
    <mergeCell ref="G310:G313"/>
    <mergeCell ref="P310:P313"/>
    <mergeCell ref="V310:V313"/>
    <mergeCell ref="W310:W313"/>
    <mergeCell ref="X310:X313"/>
    <mergeCell ref="Y310:Y313"/>
    <mergeCell ref="Z310:Z313"/>
    <mergeCell ref="AA310:AA313"/>
    <mergeCell ref="AB310:AB313"/>
    <mergeCell ref="AC310:AC313"/>
    <mergeCell ref="AD310:AD313"/>
    <mergeCell ref="AE310:AE313"/>
    <mergeCell ref="AF310:AF313"/>
    <mergeCell ref="AG310:AG313"/>
    <mergeCell ref="AG314:AG317"/>
    <mergeCell ref="AC302:AC305"/>
    <mergeCell ref="AD302:AD305"/>
    <mergeCell ref="AE302:AE305"/>
    <mergeCell ref="AF302:AF305"/>
    <mergeCell ref="AG302:AG305"/>
    <mergeCell ref="C306:C309"/>
    <mergeCell ref="D306:D309"/>
    <mergeCell ref="E306:E309"/>
    <mergeCell ref="F306:F309"/>
    <mergeCell ref="G306:G309"/>
    <mergeCell ref="P306:P309"/>
    <mergeCell ref="V306:V309"/>
    <mergeCell ref="W306:W309"/>
    <mergeCell ref="X306:X309"/>
    <mergeCell ref="Y306:Y309"/>
    <mergeCell ref="Z306:Z309"/>
    <mergeCell ref="AA306:AA309"/>
    <mergeCell ref="AB306:AB309"/>
    <mergeCell ref="AC306:AC309"/>
    <mergeCell ref="P302:P305"/>
    <mergeCell ref="V302:V305"/>
    <mergeCell ref="W302:W305"/>
    <mergeCell ref="X302:X305"/>
    <mergeCell ref="Y302:Y305"/>
    <mergeCell ref="Z302:Z305"/>
    <mergeCell ref="AA302:AA305"/>
    <mergeCell ref="AB302:AB305"/>
    <mergeCell ref="C302:C305"/>
    <mergeCell ref="D302:D305"/>
    <mergeCell ref="E302:E305"/>
    <mergeCell ref="F302:F305"/>
    <mergeCell ref="AG294:AG297"/>
    <mergeCell ref="C290:C293"/>
    <mergeCell ref="D290:D293"/>
    <mergeCell ref="E290:E293"/>
    <mergeCell ref="F290:F293"/>
    <mergeCell ref="G290:G293"/>
    <mergeCell ref="P290:P293"/>
    <mergeCell ref="V290:V293"/>
    <mergeCell ref="W290:W293"/>
    <mergeCell ref="X290:X293"/>
    <mergeCell ref="Y290:Y293"/>
    <mergeCell ref="Z290:Z293"/>
    <mergeCell ref="AA290:AA293"/>
    <mergeCell ref="AB290:AB293"/>
    <mergeCell ref="C298:C301"/>
    <mergeCell ref="D298:D301"/>
    <mergeCell ref="E298:E301"/>
    <mergeCell ref="F298:F301"/>
    <mergeCell ref="G298:G301"/>
    <mergeCell ref="P298:P301"/>
    <mergeCell ref="V298:V301"/>
    <mergeCell ref="W298:W301"/>
    <mergeCell ref="X298:X301"/>
    <mergeCell ref="Y298:Y301"/>
    <mergeCell ref="Z298:Z301"/>
    <mergeCell ref="AA298:AA301"/>
    <mergeCell ref="AB298:AB301"/>
    <mergeCell ref="AC298:AC301"/>
    <mergeCell ref="AD298:AD301"/>
    <mergeCell ref="AE298:AE301"/>
    <mergeCell ref="AF298:AF301"/>
    <mergeCell ref="AG298:AG301"/>
    <mergeCell ref="C294:C297"/>
    <mergeCell ref="D294:D297"/>
    <mergeCell ref="E294:E297"/>
    <mergeCell ref="F294:F297"/>
    <mergeCell ref="G294:G297"/>
    <mergeCell ref="P294:P297"/>
    <mergeCell ref="V294:V297"/>
    <mergeCell ref="W294:W297"/>
    <mergeCell ref="X294:X297"/>
    <mergeCell ref="Y294:Y297"/>
    <mergeCell ref="Z294:Z297"/>
    <mergeCell ref="AA294:AA297"/>
    <mergeCell ref="AB294:AB297"/>
    <mergeCell ref="AC294:AC297"/>
    <mergeCell ref="AD294:AD297"/>
    <mergeCell ref="AE294:AE297"/>
    <mergeCell ref="AF294:AF297"/>
    <mergeCell ref="AC290:AC293"/>
    <mergeCell ref="AD290:AD293"/>
    <mergeCell ref="AE290:AE293"/>
    <mergeCell ref="AF290:AF293"/>
    <mergeCell ref="G278:G281"/>
    <mergeCell ref="AD282:AD285"/>
    <mergeCell ref="AE282:AE285"/>
    <mergeCell ref="AF282:AF285"/>
    <mergeCell ref="AG282:AG285"/>
    <mergeCell ref="C286:C289"/>
    <mergeCell ref="D286:D289"/>
    <mergeCell ref="E286:E289"/>
    <mergeCell ref="F286:F289"/>
    <mergeCell ref="G286:G289"/>
    <mergeCell ref="P286:P289"/>
    <mergeCell ref="V286:V289"/>
    <mergeCell ref="W286:W289"/>
    <mergeCell ref="X286:X289"/>
    <mergeCell ref="Y286:Y289"/>
    <mergeCell ref="Z286:Z289"/>
    <mergeCell ref="AA286:AA289"/>
    <mergeCell ref="AB286:AB289"/>
    <mergeCell ref="AC286:AC289"/>
    <mergeCell ref="AD286:AD289"/>
    <mergeCell ref="AE286:AE289"/>
    <mergeCell ref="AF286:AF289"/>
    <mergeCell ref="AG286:AG289"/>
    <mergeCell ref="AG290:AG293"/>
    <mergeCell ref="AC278:AC281"/>
    <mergeCell ref="AD278:AD281"/>
    <mergeCell ref="AE278:AE281"/>
    <mergeCell ref="AF278:AF281"/>
    <mergeCell ref="AG278:AG281"/>
    <mergeCell ref="C282:C285"/>
    <mergeCell ref="D282:D285"/>
    <mergeCell ref="E282:E285"/>
    <mergeCell ref="F282:F285"/>
    <mergeCell ref="G282:G285"/>
    <mergeCell ref="P282:P285"/>
    <mergeCell ref="V282:V285"/>
    <mergeCell ref="W282:W285"/>
    <mergeCell ref="X282:X285"/>
    <mergeCell ref="Y282:Y285"/>
    <mergeCell ref="Z282:Z285"/>
    <mergeCell ref="AA282:AA285"/>
    <mergeCell ref="AB282:AB285"/>
    <mergeCell ref="AC282:AC285"/>
    <mergeCell ref="P278:P281"/>
    <mergeCell ref="V278:V281"/>
    <mergeCell ref="W278:W281"/>
    <mergeCell ref="X278:X281"/>
    <mergeCell ref="Y278:Y281"/>
    <mergeCell ref="Z278:Z281"/>
    <mergeCell ref="AA278:AA281"/>
    <mergeCell ref="AB278:AB281"/>
    <mergeCell ref="C278:C281"/>
    <mergeCell ref="D278:D281"/>
    <mergeCell ref="E278:E281"/>
    <mergeCell ref="F278:F281"/>
    <mergeCell ref="AG270:AG273"/>
    <mergeCell ref="C266:C269"/>
    <mergeCell ref="D266:D269"/>
    <mergeCell ref="E266:E269"/>
    <mergeCell ref="F266:F269"/>
    <mergeCell ref="G266:G269"/>
    <mergeCell ref="P266:P269"/>
    <mergeCell ref="V266:V269"/>
    <mergeCell ref="W266:W269"/>
    <mergeCell ref="X266:X269"/>
    <mergeCell ref="Y266:Y269"/>
    <mergeCell ref="Z266:Z269"/>
    <mergeCell ref="AA266:AA269"/>
    <mergeCell ref="AB266:AB269"/>
    <mergeCell ref="C274:C277"/>
    <mergeCell ref="D274:D277"/>
    <mergeCell ref="E274:E277"/>
    <mergeCell ref="F274:F277"/>
    <mergeCell ref="G274:G277"/>
    <mergeCell ref="P274:P277"/>
    <mergeCell ref="V274:V277"/>
    <mergeCell ref="W274:W277"/>
    <mergeCell ref="X274:X277"/>
    <mergeCell ref="Y274:Y277"/>
    <mergeCell ref="Z274:Z277"/>
    <mergeCell ref="AA274:AA277"/>
    <mergeCell ref="AB274:AB277"/>
    <mergeCell ref="AC274:AC277"/>
    <mergeCell ref="AD274:AD277"/>
    <mergeCell ref="AE274:AE277"/>
    <mergeCell ref="AF274:AF277"/>
    <mergeCell ref="AG274:AG277"/>
    <mergeCell ref="C270:C273"/>
    <mergeCell ref="D270:D273"/>
    <mergeCell ref="E270:E273"/>
    <mergeCell ref="F270:F273"/>
    <mergeCell ref="G270:G273"/>
    <mergeCell ref="P270:P273"/>
    <mergeCell ref="V270:V273"/>
    <mergeCell ref="W270:W273"/>
    <mergeCell ref="X270:X273"/>
    <mergeCell ref="Y270:Y273"/>
    <mergeCell ref="Z270:Z273"/>
    <mergeCell ref="AA270:AA273"/>
    <mergeCell ref="AB270:AB273"/>
    <mergeCell ref="AC270:AC273"/>
    <mergeCell ref="AD270:AD273"/>
    <mergeCell ref="AE270:AE273"/>
    <mergeCell ref="AF270:AF273"/>
    <mergeCell ref="AC266:AC269"/>
    <mergeCell ref="AD266:AD269"/>
    <mergeCell ref="AE266:AE269"/>
    <mergeCell ref="AF266:AF269"/>
    <mergeCell ref="G254:G257"/>
    <mergeCell ref="AD258:AD261"/>
    <mergeCell ref="AE258:AE261"/>
    <mergeCell ref="AF258:AF261"/>
    <mergeCell ref="AG258:AG261"/>
    <mergeCell ref="C262:C265"/>
    <mergeCell ref="D262:D265"/>
    <mergeCell ref="E262:E265"/>
    <mergeCell ref="F262:F265"/>
    <mergeCell ref="G262:G265"/>
    <mergeCell ref="P262:P265"/>
    <mergeCell ref="V262:V265"/>
    <mergeCell ref="W262:W265"/>
    <mergeCell ref="X262:X265"/>
    <mergeCell ref="Y262:Y265"/>
    <mergeCell ref="Z262:Z265"/>
    <mergeCell ref="AA262:AA265"/>
    <mergeCell ref="AB262:AB265"/>
    <mergeCell ref="AC262:AC265"/>
    <mergeCell ref="AD262:AD265"/>
    <mergeCell ref="AE262:AE265"/>
    <mergeCell ref="AF262:AF265"/>
    <mergeCell ref="AG262:AG265"/>
    <mergeCell ref="AG266:AG269"/>
    <mergeCell ref="AC254:AC257"/>
    <mergeCell ref="AD254:AD257"/>
    <mergeCell ref="AE254:AE257"/>
    <mergeCell ref="AF254:AF257"/>
    <mergeCell ref="AG254:AG257"/>
    <mergeCell ref="C258:C261"/>
    <mergeCell ref="D258:D261"/>
    <mergeCell ref="E258:E261"/>
    <mergeCell ref="F258:F261"/>
    <mergeCell ref="G258:G261"/>
    <mergeCell ref="P258:P261"/>
    <mergeCell ref="V258:V261"/>
    <mergeCell ref="W258:W261"/>
    <mergeCell ref="X258:X261"/>
    <mergeCell ref="Y258:Y261"/>
    <mergeCell ref="Z258:Z261"/>
    <mergeCell ref="AA258:AA261"/>
    <mergeCell ref="AB258:AB261"/>
    <mergeCell ref="AC258:AC261"/>
    <mergeCell ref="P254:P257"/>
    <mergeCell ref="V254:V257"/>
    <mergeCell ref="W254:W257"/>
    <mergeCell ref="X254:X257"/>
    <mergeCell ref="Y254:Y257"/>
    <mergeCell ref="Z254:Z257"/>
    <mergeCell ref="AA254:AA257"/>
    <mergeCell ref="AB254:AB257"/>
    <mergeCell ref="C254:C257"/>
    <mergeCell ref="D254:D257"/>
    <mergeCell ref="E254:E257"/>
    <mergeCell ref="F254:F257"/>
    <mergeCell ref="AG246:AG249"/>
    <mergeCell ref="C242:C245"/>
    <mergeCell ref="D242:D245"/>
    <mergeCell ref="E242:E245"/>
    <mergeCell ref="F242:F245"/>
    <mergeCell ref="G242:G245"/>
    <mergeCell ref="P242:P245"/>
    <mergeCell ref="V242:V245"/>
    <mergeCell ref="W242:W245"/>
    <mergeCell ref="X242:X245"/>
    <mergeCell ref="Y242:Y245"/>
    <mergeCell ref="Z242:Z245"/>
    <mergeCell ref="AA242:AA245"/>
    <mergeCell ref="AB242:AB245"/>
    <mergeCell ref="C250:C253"/>
    <mergeCell ref="D250:D253"/>
    <mergeCell ref="E250:E253"/>
    <mergeCell ref="F250:F253"/>
    <mergeCell ref="G250:G253"/>
    <mergeCell ref="P250:P253"/>
    <mergeCell ref="V250:V253"/>
    <mergeCell ref="W250:W253"/>
    <mergeCell ref="X250:X253"/>
    <mergeCell ref="Y250:Y253"/>
    <mergeCell ref="Z250:Z253"/>
    <mergeCell ref="AA250:AA253"/>
    <mergeCell ref="AB250:AB253"/>
    <mergeCell ref="AC250:AC253"/>
    <mergeCell ref="AD250:AD253"/>
    <mergeCell ref="AE250:AE253"/>
    <mergeCell ref="AF250:AF253"/>
    <mergeCell ref="AG250:AG253"/>
    <mergeCell ref="C246:C249"/>
    <mergeCell ref="D246:D249"/>
    <mergeCell ref="E246:E249"/>
    <mergeCell ref="F246:F249"/>
    <mergeCell ref="G246:G249"/>
    <mergeCell ref="P246:P249"/>
    <mergeCell ref="V246:V249"/>
    <mergeCell ref="W246:W249"/>
    <mergeCell ref="X246:X249"/>
    <mergeCell ref="Y246:Y249"/>
    <mergeCell ref="Z246:Z249"/>
    <mergeCell ref="AA246:AA249"/>
    <mergeCell ref="AB246:AB249"/>
    <mergeCell ref="AC246:AC249"/>
    <mergeCell ref="AD246:AD249"/>
    <mergeCell ref="AE246:AE249"/>
    <mergeCell ref="AF246:AF249"/>
    <mergeCell ref="AC242:AC245"/>
    <mergeCell ref="AD242:AD245"/>
    <mergeCell ref="AE242:AE245"/>
    <mergeCell ref="AF242:AF245"/>
    <mergeCell ref="G230:G233"/>
    <mergeCell ref="AD234:AD237"/>
    <mergeCell ref="AE234:AE237"/>
    <mergeCell ref="AF234:AF237"/>
    <mergeCell ref="AG234:AG237"/>
    <mergeCell ref="C238:C241"/>
    <mergeCell ref="D238:D241"/>
    <mergeCell ref="E238:E241"/>
    <mergeCell ref="F238:F241"/>
    <mergeCell ref="G238:G241"/>
    <mergeCell ref="P238:P241"/>
    <mergeCell ref="V238:V241"/>
    <mergeCell ref="W238:W241"/>
    <mergeCell ref="X238:X241"/>
    <mergeCell ref="Y238:Y241"/>
    <mergeCell ref="Z238:Z241"/>
    <mergeCell ref="AA238:AA241"/>
    <mergeCell ref="AB238:AB241"/>
    <mergeCell ref="AC238:AC241"/>
    <mergeCell ref="AD238:AD241"/>
    <mergeCell ref="AE238:AE241"/>
    <mergeCell ref="AF238:AF241"/>
    <mergeCell ref="AG238:AG241"/>
    <mergeCell ref="AG242:AG245"/>
    <mergeCell ref="AC230:AC233"/>
    <mergeCell ref="AD230:AD233"/>
    <mergeCell ref="AE230:AE233"/>
    <mergeCell ref="AF230:AF233"/>
    <mergeCell ref="AG230:AG233"/>
    <mergeCell ref="C234:C237"/>
    <mergeCell ref="D234:D237"/>
    <mergeCell ref="E234:E237"/>
    <mergeCell ref="F234:F237"/>
    <mergeCell ref="G234:G237"/>
    <mergeCell ref="P234:P237"/>
    <mergeCell ref="V234:V237"/>
    <mergeCell ref="W234:W237"/>
    <mergeCell ref="X234:X237"/>
    <mergeCell ref="Y234:Y237"/>
    <mergeCell ref="Z234:Z237"/>
    <mergeCell ref="AA234:AA237"/>
    <mergeCell ref="AB234:AB237"/>
    <mergeCell ref="AC234:AC237"/>
    <mergeCell ref="P230:P233"/>
    <mergeCell ref="V230:V233"/>
    <mergeCell ref="W230:W233"/>
    <mergeCell ref="X230:X233"/>
    <mergeCell ref="Y230:Y233"/>
    <mergeCell ref="Z230:Z233"/>
    <mergeCell ref="AA230:AA233"/>
    <mergeCell ref="AB230:AB233"/>
    <mergeCell ref="C230:C233"/>
    <mergeCell ref="D230:D233"/>
    <mergeCell ref="E230:E233"/>
    <mergeCell ref="F230:F233"/>
    <mergeCell ref="AG222:AG225"/>
    <mergeCell ref="C218:C221"/>
    <mergeCell ref="D218:D221"/>
    <mergeCell ref="E218:E221"/>
    <mergeCell ref="F218:F221"/>
    <mergeCell ref="G218:G221"/>
    <mergeCell ref="P218:P221"/>
    <mergeCell ref="V218:V221"/>
    <mergeCell ref="W218:W221"/>
    <mergeCell ref="X218:X221"/>
    <mergeCell ref="Y218:Y221"/>
    <mergeCell ref="Z218:Z221"/>
    <mergeCell ref="AA218:AA221"/>
    <mergeCell ref="AB218:AB221"/>
    <mergeCell ref="C226:C229"/>
    <mergeCell ref="D226:D229"/>
    <mergeCell ref="E226:E229"/>
    <mergeCell ref="F226:F229"/>
    <mergeCell ref="G226:G229"/>
    <mergeCell ref="P226:P229"/>
    <mergeCell ref="V226:V229"/>
    <mergeCell ref="W226:W229"/>
    <mergeCell ref="X226:X229"/>
    <mergeCell ref="Y226:Y229"/>
    <mergeCell ref="Z226:Z229"/>
    <mergeCell ref="AA226:AA229"/>
    <mergeCell ref="AB226:AB229"/>
    <mergeCell ref="AC226:AC229"/>
    <mergeCell ref="AD226:AD229"/>
    <mergeCell ref="AE226:AE229"/>
    <mergeCell ref="AF226:AF229"/>
    <mergeCell ref="AG226:AG229"/>
    <mergeCell ref="C222:C225"/>
    <mergeCell ref="D222:D225"/>
    <mergeCell ref="E222:E225"/>
    <mergeCell ref="F222:F225"/>
    <mergeCell ref="G222:G225"/>
    <mergeCell ref="P222:P225"/>
    <mergeCell ref="V222:V225"/>
    <mergeCell ref="W222:W225"/>
    <mergeCell ref="X222:X225"/>
    <mergeCell ref="Y222:Y225"/>
    <mergeCell ref="Z222:Z225"/>
    <mergeCell ref="AA222:AA225"/>
    <mergeCell ref="AB222:AB225"/>
    <mergeCell ref="AC222:AC225"/>
    <mergeCell ref="AD222:AD225"/>
    <mergeCell ref="AE222:AE225"/>
    <mergeCell ref="AF222:AF225"/>
    <mergeCell ref="AC218:AC221"/>
    <mergeCell ref="AD218:AD221"/>
    <mergeCell ref="AE218:AE221"/>
    <mergeCell ref="AF218:AF221"/>
    <mergeCell ref="G206:G209"/>
    <mergeCell ref="AD210:AD213"/>
    <mergeCell ref="AE210:AE213"/>
    <mergeCell ref="AF210:AF213"/>
    <mergeCell ref="AG210:AG213"/>
    <mergeCell ref="C214:C217"/>
    <mergeCell ref="D214:D217"/>
    <mergeCell ref="E214:E217"/>
    <mergeCell ref="F214:F217"/>
    <mergeCell ref="G214:G217"/>
    <mergeCell ref="P214:P217"/>
    <mergeCell ref="V214:V217"/>
    <mergeCell ref="W214:W217"/>
    <mergeCell ref="X214:X217"/>
    <mergeCell ref="Y214:Y217"/>
    <mergeCell ref="Z214:Z217"/>
    <mergeCell ref="AA214:AA217"/>
    <mergeCell ref="AB214:AB217"/>
    <mergeCell ref="AC214:AC217"/>
    <mergeCell ref="AD214:AD217"/>
    <mergeCell ref="AE214:AE217"/>
    <mergeCell ref="AF214:AF217"/>
    <mergeCell ref="AG214:AG217"/>
    <mergeCell ref="AG218:AG221"/>
    <mergeCell ref="AC206:AC209"/>
    <mergeCell ref="AD206:AD209"/>
    <mergeCell ref="AE206:AE209"/>
    <mergeCell ref="AF206:AF209"/>
    <mergeCell ref="AG206:AG209"/>
    <mergeCell ref="C210:C213"/>
    <mergeCell ref="D210:D213"/>
    <mergeCell ref="E210:E213"/>
    <mergeCell ref="F210:F213"/>
    <mergeCell ref="G210:G213"/>
    <mergeCell ref="P210:P213"/>
    <mergeCell ref="V210:V213"/>
    <mergeCell ref="W210:W213"/>
    <mergeCell ref="X210:X213"/>
    <mergeCell ref="Y210:Y213"/>
    <mergeCell ref="Z210:Z213"/>
    <mergeCell ref="AA210:AA213"/>
    <mergeCell ref="AB210:AB213"/>
    <mergeCell ref="AC210:AC213"/>
    <mergeCell ref="P206:P209"/>
    <mergeCell ref="V206:V209"/>
    <mergeCell ref="W206:W209"/>
    <mergeCell ref="X206:X209"/>
    <mergeCell ref="Y206:Y209"/>
    <mergeCell ref="Z206:Z209"/>
    <mergeCell ref="AA206:AA209"/>
    <mergeCell ref="AB206:AB209"/>
    <mergeCell ref="C206:C209"/>
    <mergeCell ref="D206:D209"/>
    <mergeCell ref="E206:E209"/>
    <mergeCell ref="F206:F209"/>
    <mergeCell ref="AG198:AG201"/>
    <mergeCell ref="C194:C197"/>
    <mergeCell ref="D194:D197"/>
    <mergeCell ref="E194:E197"/>
    <mergeCell ref="F194:F197"/>
    <mergeCell ref="G194:G197"/>
    <mergeCell ref="P194:P197"/>
    <mergeCell ref="V194:V197"/>
    <mergeCell ref="W194:W197"/>
    <mergeCell ref="X194:X197"/>
    <mergeCell ref="Y194:Y197"/>
    <mergeCell ref="Z194:Z197"/>
    <mergeCell ref="AA194:AA197"/>
    <mergeCell ref="AB194:AB197"/>
    <mergeCell ref="C202:C205"/>
    <mergeCell ref="D202:D205"/>
    <mergeCell ref="E202:E205"/>
    <mergeCell ref="F202:F205"/>
    <mergeCell ref="G202:G205"/>
    <mergeCell ref="P202:P205"/>
    <mergeCell ref="V202:V205"/>
    <mergeCell ref="W202:W205"/>
    <mergeCell ref="X202:X205"/>
    <mergeCell ref="Y202:Y205"/>
    <mergeCell ref="Z202:Z205"/>
    <mergeCell ref="AA202:AA205"/>
    <mergeCell ref="AB202:AB205"/>
    <mergeCell ref="AC202:AC205"/>
    <mergeCell ref="AD202:AD205"/>
    <mergeCell ref="AE202:AE205"/>
    <mergeCell ref="AF202:AF205"/>
    <mergeCell ref="AG202:AG205"/>
    <mergeCell ref="C198:C201"/>
    <mergeCell ref="D198:D201"/>
    <mergeCell ref="E198:E201"/>
    <mergeCell ref="F198:F201"/>
    <mergeCell ref="G198:G201"/>
    <mergeCell ref="P198:P201"/>
    <mergeCell ref="V198:V201"/>
    <mergeCell ref="W198:W201"/>
    <mergeCell ref="X198:X201"/>
    <mergeCell ref="Y198:Y201"/>
    <mergeCell ref="Z198:Z201"/>
    <mergeCell ref="AA198:AA201"/>
    <mergeCell ref="AB198:AB201"/>
    <mergeCell ref="AC198:AC201"/>
    <mergeCell ref="AD198:AD201"/>
    <mergeCell ref="AE198:AE201"/>
    <mergeCell ref="AF198:AF201"/>
    <mergeCell ref="AC194:AC197"/>
    <mergeCell ref="AD194:AD197"/>
    <mergeCell ref="AE194:AE197"/>
    <mergeCell ref="AF194:AF197"/>
    <mergeCell ref="G182:G185"/>
    <mergeCell ref="AD186:AD189"/>
    <mergeCell ref="AE186:AE189"/>
    <mergeCell ref="AF186:AF189"/>
    <mergeCell ref="AG186:AG189"/>
    <mergeCell ref="C190:C193"/>
    <mergeCell ref="D190:D193"/>
    <mergeCell ref="E190:E193"/>
    <mergeCell ref="F190:F193"/>
    <mergeCell ref="G190:G193"/>
    <mergeCell ref="P190:P193"/>
    <mergeCell ref="V190:V193"/>
    <mergeCell ref="W190:W193"/>
    <mergeCell ref="X190:X193"/>
    <mergeCell ref="Y190:Y193"/>
    <mergeCell ref="Z190:Z193"/>
    <mergeCell ref="AA190:AA193"/>
    <mergeCell ref="AB190:AB193"/>
    <mergeCell ref="AC190:AC193"/>
    <mergeCell ref="AD190:AD193"/>
    <mergeCell ref="AE190:AE193"/>
    <mergeCell ref="AF190:AF193"/>
    <mergeCell ref="AG190:AG193"/>
    <mergeCell ref="AG194:AG197"/>
    <mergeCell ref="AC182:AC185"/>
    <mergeCell ref="AD182:AD185"/>
    <mergeCell ref="AE182:AE185"/>
    <mergeCell ref="AF182:AF185"/>
    <mergeCell ref="AG182:AG185"/>
    <mergeCell ref="C186:C189"/>
    <mergeCell ref="D186:D189"/>
    <mergeCell ref="E186:E189"/>
    <mergeCell ref="F186:F189"/>
    <mergeCell ref="G186:G189"/>
    <mergeCell ref="P186:P189"/>
    <mergeCell ref="V186:V189"/>
    <mergeCell ref="W186:W189"/>
    <mergeCell ref="X186:X189"/>
    <mergeCell ref="Y186:Y189"/>
    <mergeCell ref="Z186:Z189"/>
    <mergeCell ref="AA186:AA189"/>
    <mergeCell ref="AB186:AB189"/>
    <mergeCell ref="AC186:AC189"/>
    <mergeCell ref="P182:P185"/>
    <mergeCell ref="V182:V185"/>
    <mergeCell ref="W182:W185"/>
    <mergeCell ref="X182:X185"/>
    <mergeCell ref="Y182:Y185"/>
    <mergeCell ref="Z182:Z185"/>
    <mergeCell ref="AA182:AA185"/>
    <mergeCell ref="AB182:AB185"/>
    <mergeCell ref="C182:C185"/>
    <mergeCell ref="D182:D185"/>
    <mergeCell ref="E182:E185"/>
    <mergeCell ref="F182:F185"/>
    <mergeCell ref="AG174:AG177"/>
    <mergeCell ref="C170:C173"/>
    <mergeCell ref="D170:D173"/>
    <mergeCell ref="E170:E173"/>
    <mergeCell ref="F170:F173"/>
    <mergeCell ref="G170:G173"/>
    <mergeCell ref="P170:P173"/>
    <mergeCell ref="V170:V173"/>
    <mergeCell ref="W170:W173"/>
    <mergeCell ref="X170:X173"/>
    <mergeCell ref="Y170:Y173"/>
    <mergeCell ref="Z170:Z173"/>
    <mergeCell ref="AA170:AA173"/>
    <mergeCell ref="AB170:AB173"/>
    <mergeCell ref="C178:C181"/>
    <mergeCell ref="D178:D181"/>
    <mergeCell ref="E178:E181"/>
    <mergeCell ref="F178:F181"/>
    <mergeCell ref="G178:G181"/>
    <mergeCell ref="P178:P181"/>
    <mergeCell ref="V178:V181"/>
    <mergeCell ref="W178:W181"/>
    <mergeCell ref="X178:X181"/>
    <mergeCell ref="Y178:Y181"/>
    <mergeCell ref="Z178:Z181"/>
    <mergeCell ref="AA178:AA181"/>
    <mergeCell ref="AB178:AB181"/>
    <mergeCell ref="AC178:AC181"/>
    <mergeCell ref="AD178:AD181"/>
    <mergeCell ref="AE178:AE181"/>
    <mergeCell ref="AF178:AF181"/>
    <mergeCell ref="AG178:AG181"/>
    <mergeCell ref="C174:C177"/>
    <mergeCell ref="D174:D177"/>
    <mergeCell ref="E174:E177"/>
    <mergeCell ref="F174:F177"/>
    <mergeCell ref="G174:G177"/>
    <mergeCell ref="P174:P177"/>
    <mergeCell ref="V174:V177"/>
    <mergeCell ref="W174:W177"/>
    <mergeCell ref="X174:X177"/>
    <mergeCell ref="Y174:Y177"/>
    <mergeCell ref="Z174:Z177"/>
    <mergeCell ref="AA174:AA177"/>
    <mergeCell ref="AB174:AB177"/>
    <mergeCell ref="AC174:AC177"/>
    <mergeCell ref="AD174:AD177"/>
    <mergeCell ref="AE174:AE177"/>
    <mergeCell ref="AF174:AF177"/>
    <mergeCell ref="AC170:AC173"/>
    <mergeCell ref="AD170:AD173"/>
    <mergeCell ref="AE170:AE173"/>
    <mergeCell ref="AF170:AF173"/>
    <mergeCell ref="G158:G161"/>
    <mergeCell ref="AD162:AD165"/>
    <mergeCell ref="AE162:AE165"/>
    <mergeCell ref="AF162:AF165"/>
    <mergeCell ref="AG162:AG165"/>
    <mergeCell ref="C166:C169"/>
    <mergeCell ref="D166:D169"/>
    <mergeCell ref="E166:E169"/>
    <mergeCell ref="F166:F169"/>
    <mergeCell ref="G166:G169"/>
    <mergeCell ref="P166:P169"/>
    <mergeCell ref="V166:V169"/>
    <mergeCell ref="W166:W169"/>
    <mergeCell ref="X166:X169"/>
    <mergeCell ref="Y166:Y169"/>
    <mergeCell ref="Z166:Z169"/>
    <mergeCell ref="AA166:AA169"/>
    <mergeCell ref="AB166:AB169"/>
    <mergeCell ref="AC166:AC169"/>
    <mergeCell ref="AD166:AD169"/>
    <mergeCell ref="AE166:AE169"/>
    <mergeCell ref="AF166:AF169"/>
    <mergeCell ref="AG166:AG169"/>
    <mergeCell ref="AG170:AG173"/>
    <mergeCell ref="AC158:AC161"/>
    <mergeCell ref="AD158:AD161"/>
    <mergeCell ref="AE158:AE161"/>
    <mergeCell ref="AF158:AF161"/>
    <mergeCell ref="AG158:AG161"/>
    <mergeCell ref="C162:C165"/>
    <mergeCell ref="D162:D165"/>
    <mergeCell ref="E162:E165"/>
    <mergeCell ref="F162:F165"/>
    <mergeCell ref="G162:G165"/>
    <mergeCell ref="P162:P165"/>
    <mergeCell ref="V162:V165"/>
    <mergeCell ref="W162:W165"/>
    <mergeCell ref="X162:X165"/>
    <mergeCell ref="Y162:Y165"/>
    <mergeCell ref="Z162:Z165"/>
    <mergeCell ref="AA162:AA165"/>
    <mergeCell ref="AB162:AB165"/>
    <mergeCell ref="AC162:AC165"/>
    <mergeCell ref="P158:P161"/>
    <mergeCell ref="V158:V161"/>
    <mergeCell ref="W158:W161"/>
    <mergeCell ref="X158:X161"/>
    <mergeCell ref="Y158:Y161"/>
    <mergeCell ref="Z158:Z161"/>
    <mergeCell ref="AA158:AA161"/>
    <mergeCell ref="AB158:AB161"/>
    <mergeCell ref="C158:C161"/>
    <mergeCell ref="D158:D161"/>
    <mergeCell ref="E158:E161"/>
    <mergeCell ref="F158:F161"/>
    <mergeCell ref="AG150:AG153"/>
    <mergeCell ref="C146:C149"/>
    <mergeCell ref="D146:D149"/>
    <mergeCell ref="E146:E149"/>
    <mergeCell ref="F146:F149"/>
    <mergeCell ref="G146:G149"/>
    <mergeCell ref="P146:P149"/>
    <mergeCell ref="V146:V149"/>
    <mergeCell ref="W146:W149"/>
    <mergeCell ref="X146:X149"/>
    <mergeCell ref="Y146:Y149"/>
    <mergeCell ref="Z146:Z149"/>
    <mergeCell ref="AA146:AA149"/>
    <mergeCell ref="AB146:AB149"/>
    <mergeCell ref="C154:C157"/>
    <mergeCell ref="D154:D157"/>
    <mergeCell ref="E154:E157"/>
    <mergeCell ref="F154:F157"/>
    <mergeCell ref="G154:G157"/>
    <mergeCell ref="P154:P157"/>
    <mergeCell ref="V154:V157"/>
    <mergeCell ref="W154:W157"/>
    <mergeCell ref="X154:X157"/>
    <mergeCell ref="Y154:Y157"/>
    <mergeCell ref="Z154:Z157"/>
    <mergeCell ref="AA154:AA157"/>
    <mergeCell ref="AB154:AB157"/>
    <mergeCell ref="AC154:AC157"/>
    <mergeCell ref="AD154:AD157"/>
    <mergeCell ref="AE154:AE157"/>
    <mergeCell ref="AF154:AF157"/>
    <mergeCell ref="AG154:AG157"/>
    <mergeCell ref="C150:C153"/>
    <mergeCell ref="D150:D153"/>
    <mergeCell ref="E150:E153"/>
    <mergeCell ref="F150:F153"/>
    <mergeCell ref="G150:G153"/>
    <mergeCell ref="P150:P153"/>
    <mergeCell ref="V150:V153"/>
    <mergeCell ref="W150:W153"/>
    <mergeCell ref="X150:X153"/>
    <mergeCell ref="Y150:Y153"/>
    <mergeCell ref="Z150:Z153"/>
    <mergeCell ref="AA150:AA153"/>
    <mergeCell ref="AB150:AB153"/>
    <mergeCell ref="AC150:AC153"/>
    <mergeCell ref="AD150:AD153"/>
    <mergeCell ref="AE150:AE153"/>
    <mergeCell ref="AF150:AF153"/>
    <mergeCell ref="AC146:AC149"/>
    <mergeCell ref="AD146:AD149"/>
    <mergeCell ref="AE146:AE149"/>
    <mergeCell ref="AF146:AF149"/>
    <mergeCell ref="G134:G137"/>
    <mergeCell ref="AD138:AD141"/>
    <mergeCell ref="AE138:AE141"/>
    <mergeCell ref="AF138:AF141"/>
    <mergeCell ref="AG138:AG141"/>
    <mergeCell ref="C142:C145"/>
    <mergeCell ref="D142:D145"/>
    <mergeCell ref="E142:E145"/>
    <mergeCell ref="F142:F145"/>
    <mergeCell ref="G142:G145"/>
    <mergeCell ref="P142:P145"/>
    <mergeCell ref="V142:V145"/>
    <mergeCell ref="W142:W145"/>
    <mergeCell ref="X142:X145"/>
    <mergeCell ref="Y142:Y145"/>
    <mergeCell ref="Z142:Z145"/>
    <mergeCell ref="AA142:AA145"/>
    <mergeCell ref="AB142:AB145"/>
    <mergeCell ref="AC142:AC145"/>
    <mergeCell ref="AD142:AD145"/>
    <mergeCell ref="AE142:AE145"/>
    <mergeCell ref="AF142:AF145"/>
    <mergeCell ref="AG142:AG145"/>
    <mergeCell ref="AG146:AG149"/>
    <mergeCell ref="AC134:AC137"/>
    <mergeCell ref="AD134:AD137"/>
    <mergeCell ref="AE134:AE137"/>
    <mergeCell ref="AF134:AF137"/>
    <mergeCell ref="AG134:AG137"/>
    <mergeCell ref="C138:C141"/>
    <mergeCell ref="D138:D141"/>
    <mergeCell ref="E138:E141"/>
    <mergeCell ref="F138:F141"/>
    <mergeCell ref="G138:G141"/>
    <mergeCell ref="P138:P141"/>
    <mergeCell ref="V138:V141"/>
    <mergeCell ref="W138:W141"/>
    <mergeCell ref="X138:X141"/>
    <mergeCell ref="Y138:Y141"/>
    <mergeCell ref="Z138:Z141"/>
    <mergeCell ref="AA138:AA141"/>
    <mergeCell ref="AB138:AB141"/>
    <mergeCell ref="AC138:AC141"/>
    <mergeCell ref="P134:P137"/>
    <mergeCell ref="V134:V137"/>
    <mergeCell ref="W134:W137"/>
    <mergeCell ref="X134:X137"/>
    <mergeCell ref="Y134:Y137"/>
    <mergeCell ref="Z134:Z137"/>
    <mergeCell ref="AA134:AA137"/>
    <mergeCell ref="AB134:AB137"/>
    <mergeCell ref="C134:C137"/>
    <mergeCell ref="D134:D137"/>
    <mergeCell ref="E134:E137"/>
    <mergeCell ref="F134:F137"/>
    <mergeCell ref="AG126:AG129"/>
    <mergeCell ref="C122:C125"/>
    <mergeCell ref="D122:D125"/>
    <mergeCell ref="E122:E125"/>
    <mergeCell ref="F122:F125"/>
    <mergeCell ref="G122:G125"/>
    <mergeCell ref="P122:P125"/>
    <mergeCell ref="V122:V125"/>
    <mergeCell ref="W122:W125"/>
    <mergeCell ref="X122:X125"/>
    <mergeCell ref="Y122:Y125"/>
    <mergeCell ref="Z122:Z125"/>
    <mergeCell ref="AA122:AA125"/>
    <mergeCell ref="AB122:AB125"/>
    <mergeCell ref="C130:C133"/>
    <mergeCell ref="D130:D133"/>
    <mergeCell ref="E130:E133"/>
    <mergeCell ref="F130:F133"/>
    <mergeCell ref="G130:G133"/>
    <mergeCell ref="P130:P133"/>
    <mergeCell ref="V130:V133"/>
    <mergeCell ref="W130:W133"/>
    <mergeCell ref="X130:X133"/>
    <mergeCell ref="Y130:Y133"/>
    <mergeCell ref="Z130:Z133"/>
    <mergeCell ref="AA130:AA133"/>
    <mergeCell ref="AB130:AB133"/>
    <mergeCell ref="AC130:AC133"/>
    <mergeCell ref="AD130:AD133"/>
    <mergeCell ref="AE130:AE133"/>
    <mergeCell ref="AF130:AF133"/>
    <mergeCell ref="AG130:AG133"/>
    <mergeCell ref="C126:C129"/>
    <mergeCell ref="D126:D129"/>
    <mergeCell ref="E126:E129"/>
    <mergeCell ref="F126:F129"/>
    <mergeCell ref="G126:G129"/>
    <mergeCell ref="P126:P129"/>
    <mergeCell ref="V126:V129"/>
    <mergeCell ref="W126:W129"/>
    <mergeCell ref="X126:X129"/>
    <mergeCell ref="Y126:Y129"/>
    <mergeCell ref="Z126:Z129"/>
    <mergeCell ref="AA126:AA129"/>
    <mergeCell ref="AB126:AB129"/>
    <mergeCell ref="AC126:AC129"/>
    <mergeCell ref="AD126:AD129"/>
    <mergeCell ref="AE126:AE129"/>
    <mergeCell ref="AF126:AF129"/>
    <mergeCell ref="AC122:AC125"/>
    <mergeCell ref="AD122:AD125"/>
    <mergeCell ref="AE122:AE125"/>
    <mergeCell ref="AF122:AF125"/>
    <mergeCell ref="AD116:AD118"/>
    <mergeCell ref="AE116:AE118"/>
    <mergeCell ref="AF116:AF118"/>
    <mergeCell ref="AG116:AG118"/>
    <mergeCell ref="C119:C121"/>
    <mergeCell ref="D119:D121"/>
    <mergeCell ref="E119:E121"/>
    <mergeCell ref="F119:F121"/>
    <mergeCell ref="G119:G121"/>
    <mergeCell ref="H119:H121"/>
    <mergeCell ref="I119:I121"/>
    <mergeCell ref="J119:J121"/>
    <mergeCell ref="K119:K121"/>
    <mergeCell ref="L119:L121"/>
    <mergeCell ref="P119:P121"/>
    <mergeCell ref="V119:V121"/>
    <mergeCell ref="W119:W121"/>
    <mergeCell ref="X119:X121"/>
    <mergeCell ref="Y119:Y121"/>
    <mergeCell ref="Z119:Z121"/>
    <mergeCell ref="AA119:AA121"/>
    <mergeCell ref="AB119:AB121"/>
    <mergeCell ref="AC119:AC121"/>
    <mergeCell ref="AD119:AD121"/>
    <mergeCell ref="AE119:AE121"/>
    <mergeCell ref="AF119:AF121"/>
    <mergeCell ref="AG119:AG121"/>
    <mergeCell ref="AG122:AG125"/>
    <mergeCell ref="AC113:AC115"/>
    <mergeCell ref="AD113:AD115"/>
    <mergeCell ref="AE113:AE115"/>
    <mergeCell ref="AF113:AF115"/>
    <mergeCell ref="AG113:AG115"/>
    <mergeCell ref="C116:C118"/>
    <mergeCell ref="D116:D118"/>
    <mergeCell ref="E116:E118"/>
    <mergeCell ref="F116:F118"/>
    <mergeCell ref="G116:G118"/>
    <mergeCell ref="H116:H118"/>
    <mergeCell ref="I116:I118"/>
    <mergeCell ref="J116:J118"/>
    <mergeCell ref="K116:K118"/>
    <mergeCell ref="L116:L118"/>
    <mergeCell ref="P116:P118"/>
    <mergeCell ref="V116:V118"/>
    <mergeCell ref="W116:W118"/>
    <mergeCell ref="X116:X118"/>
    <mergeCell ref="Y116:Y118"/>
    <mergeCell ref="Z116:Z118"/>
    <mergeCell ref="AA116:AA118"/>
    <mergeCell ref="AB116:AB118"/>
    <mergeCell ref="AC116:AC118"/>
    <mergeCell ref="L113:L115"/>
    <mergeCell ref="P113:P115"/>
    <mergeCell ref="V113:V115"/>
    <mergeCell ref="W113:W115"/>
    <mergeCell ref="X113:X115"/>
    <mergeCell ref="Y113:Y115"/>
    <mergeCell ref="Z113:Z115"/>
    <mergeCell ref="AA113:AA115"/>
    <mergeCell ref="AB113:AB115"/>
    <mergeCell ref="C113:C115"/>
    <mergeCell ref="D113:D115"/>
    <mergeCell ref="E113:E115"/>
    <mergeCell ref="F113:F115"/>
    <mergeCell ref="G113:G115"/>
    <mergeCell ref="H113:H115"/>
    <mergeCell ref="I113:I115"/>
    <mergeCell ref="J113:J115"/>
    <mergeCell ref="K113:K115"/>
    <mergeCell ref="AG107:AG109"/>
    <mergeCell ref="C110:C112"/>
    <mergeCell ref="D110:D112"/>
    <mergeCell ref="E110:E112"/>
    <mergeCell ref="F110:F112"/>
    <mergeCell ref="G110:G112"/>
    <mergeCell ref="H110:H112"/>
    <mergeCell ref="I110:I112"/>
    <mergeCell ref="J110:J112"/>
    <mergeCell ref="K110:K112"/>
    <mergeCell ref="L110:L112"/>
    <mergeCell ref="P110:P112"/>
    <mergeCell ref="V110:V112"/>
    <mergeCell ref="W110:W112"/>
    <mergeCell ref="X110:X112"/>
    <mergeCell ref="Y110:Y112"/>
    <mergeCell ref="Z110:Z112"/>
    <mergeCell ref="AA110:AA112"/>
    <mergeCell ref="AB110:AB112"/>
    <mergeCell ref="AC110:AC112"/>
    <mergeCell ref="AD110:AD112"/>
    <mergeCell ref="AE110:AE112"/>
    <mergeCell ref="AF110:AF112"/>
    <mergeCell ref="AG110:AG112"/>
    <mergeCell ref="AF104:AF106"/>
    <mergeCell ref="AG104:AG106"/>
    <mergeCell ref="C107:C109"/>
    <mergeCell ref="D107:D109"/>
    <mergeCell ref="E107:E109"/>
    <mergeCell ref="F107:F109"/>
    <mergeCell ref="G107:G109"/>
    <mergeCell ref="H107:H109"/>
    <mergeCell ref="I107:I109"/>
    <mergeCell ref="J107:J109"/>
    <mergeCell ref="K107:K109"/>
    <mergeCell ref="L107:L109"/>
    <mergeCell ref="P107:P109"/>
    <mergeCell ref="V107:V109"/>
    <mergeCell ref="W107:W109"/>
    <mergeCell ref="X107:X109"/>
    <mergeCell ref="Y107:Y109"/>
    <mergeCell ref="Z107:Z109"/>
    <mergeCell ref="AA107:AA109"/>
    <mergeCell ref="AB107:AB109"/>
    <mergeCell ref="AC107:AC109"/>
    <mergeCell ref="AD107:AD109"/>
    <mergeCell ref="AE107:AE109"/>
    <mergeCell ref="AF107:AF109"/>
    <mergeCell ref="C104:C106"/>
    <mergeCell ref="D104:D106"/>
    <mergeCell ref="E104:E106"/>
    <mergeCell ref="F104:F106"/>
    <mergeCell ref="G104:G106"/>
    <mergeCell ref="H104:H106"/>
    <mergeCell ref="I104:I106"/>
    <mergeCell ref="J104:J106"/>
    <mergeCell ref="K104:K106"/>
    <mergeCell ref="L104:L106"/>
    <mergeCell ref="P104:P106"/>
    <mergeCell ref="V104:V106"/>
    <mergeCell ref="W104:W106"/>
    <mergeCell ref="X104:X106"/>
    <mergeCell ref="Y104:Y106"/>
    <mergeCell ref="Z104:Z106"/>
    <mergeCell ref="AA104:AA106"/>
    <mergeCell ref="AD98:AD100"/>
    <mergeCell ref="AE98:AE100"/>
    <mergeCell ref="AB104:AB106"/>
    <mergeCell ref="AC104:AC106"/>
    <mergeCell ref="AD104:AD106"/>
    <mergeCell ref="AE104:AE106"/>
    <mergeCell ref="AF98:AF100"/>
    <mergeCell ref="AG98:AG100"/>
    <mergeCell ref="C101:C103"/>
    <mergeCell ref="D101:D103"/>
    <mergeCell ref="E101:E103"/>
    <mergeCell ref="F101:F103"/>
    <mergeCell ref="G101:G103"/>
    <mergeCell ref="H101:H103"/>
    <mergeCell ref="I101:I103"/>
    <mergeCell ref="J101:J103"/>
    <mergeCell ref="K101:K103"/>
    <mergeCell ref="L101:L103"/>
    <mergeCell ref="P101:P103"/>
    <mergeCell ref="V101:V103"/>
    <mergeCell ref="W101:W103"/>
    <mergeCell ref="X101:X103"/>
    <mergeCell ref="Y101:Y103"/>
    <mergeCell ref="Z101:Z103"/>
    <mergeCell ref="AA101:AA103"/>
    <mergeCell ref="AB101:AB103"/>
    <mergeCell ref="AC101:AC103"/>
    <mergeCell ref="AD101:AD103"/>
    <mergeCell ref="AE101:AE103"/>
    <mergeCell ref="AF101:AF103"/>
    <mergeCell ref="AG101:AG103"/>
    <mergeCell ref="AC95:AC97"/>
    <mergeCell ref="AD95:AD97"/>
    <mergeCell ref="AE95:AE97"/>
    <mergeCell ref="AF95:AF97"/>
    <mergeCell ref="AG95:AG97"/>
    <mergeCell ref="C98:C100"/>
    <mergeCell ref="D98:D100"/>
    <mergeCell ref="E98:E100"/>
    <mergeCell ref="F98:F100"/>
    <mergeCell ref="G98:G100"/>
    <mergeCell ref="H98:H100"/>
    <mergeCell ref="I98:I100"/>
    <mergeCell ref="J98:J100"/>
    <mergeCell ref="K98:K100"/>
    <mergeCell ref="L98:L100"/>
    <mergeCell ref="P98:P100"/>
    <mergeCell ref="V98:V100"/>
    <mergeCell ref="W98:W100"/>
    <mergeCell ref="X98:X100"/>
    <mergeCell ref="Y98:Y100"/>
    <mergeCell ref="Z98:Z100"/>
    <mergeCell ref="AA98:AA100"/>
    <mergeCell ref="AB98:AB100"/>
    <mergeCell ref="AC98:AC100"/>
    <mergeCell ref="L95:L97"/>
    <mergeCell ref="P95:P97"/>
    <mergeCell ref="V95:V97"/>
    <mergeCell ref="W95:W97"/>
    <mergeCell ref="X95:X97"/>
    <mergeCell ref="Y95:Y97"/>
    <mergeCell ref="Z95:Z97"/>
    <mergeCell ref="AA95:AA97"/>
    <mergeCell ref="AB95:AB97"/>
    <mergeCell ref="C95:C97"/>
    <mergeCell ref="D95:D97"/>
    <mergeCell ref="E95:E97"/>
    <mergeCell ref="F95:F97"/>
    <mergeCell ref="G95:G97"/>
    <mergeCell ref="H95:H97"/>
    <mergeCell ref="I95:I97"/>
    <mergeCell ref="J95:J97"/>
    <mergeCell ref="K95:K97"/>
    <mergeCell ref="AG89:AG91"/>
    <mergeCell ref="C92:C94"/>
    <mergeCell ref="D92:D94"/>
    <mergeCell ref="E92:E94"/>
    <mergeCell ref="F92:F94"/>
    <mergeCell ref="G92:G94"/>
    <mergeCell ref="H92:H94"/>
    <mergeCell ref="I92:I94"/>
    <mergeCell ref="J92:J94"/>
    <mergeCell ref="K92:K94"/>
    <mergeCell ref="L92:L94"/>
    <mergeCell ref="P92:P94"/>
    <mergeCell ref="V92:V94"/>
    <mergeCell ref="W92:W94"/>
    <mergeCell ref="X92:X94"/>
    <mergeCell ref="Y92:Y94"/>
    <mergeCell ref="Z92:Z94"/>
    <mergeCell ref="AA92:AA94"/>
    <mergeCell ref="AB92:AB94"/>
    <mergeCell ref="AC92:AC94"/>
    <mergeCell ref="AD92:AD94"/>
    <mergeCell ref="AE92:AE94"/>
    <mergeCell ref="AF92:AF94"/>
    <mergeCell ref="AG92:AG94"/>
    <mergeCell ref="AF86:AF88"/>
    <mergeCell ref="AG86:AG88"/>
    <mergeCell ref="C89:C91"/>
    <mergeCell ref="D89:D91"/>
    <mergeCell ref="E89:E91"/>
    <mergeCell ref="F89:F91"/>
    <mergeCell ref="G89:G91"/>
    <mergeCell ref="H89:H91"/>
    <mergeCell ref="I89:I91"/>
    <mergeCell ref="J89:J91"/>
    <mergeCell ref="K89:K91"/>
    <mergeCell ref="L89:L91"/>
    <mergeCell ref="P89:P91"/>
    <mergeCell ref="V89:V91"/>
    <mergeCell ref="W89:W91"/>
    <mergeCell ref="X89:X91"/>
    <mergeCell ref="Y89:Y91"/>
    <mergeCell ref="Z89:Z91"/>
    <mergeCell ref="AA89:AA91"/>
    <mergeCell ref="AB89:AB91"/>
    <mergeCell ref="AC89:AC91"/>
    <mergeCell ref="AD89:AD91"/>
    <mergeCell ref="AE89:AE91"/>
    <mergeCell ref="AF89:AF91"/>
    <mergeCell ref="C86:C88"/>
    <mergeCell ref="D86:D88"/>
    <mergeCell ref="E86:E88"/>
    <mergeCell ref="F86:F88"/>
    <mergeCell ref="G86:G88"/>
    <mergeCell ref="H86:H88"/>
    <mergeCell ref="I86:I88"/>
    <mergeCell ref="J86:J88"/>
    <mergeCell ref="K86:K88"/>
    <mergeCell ref="L86:L88"/>
    <mergeCell ref="P86:P88"/>
    <mergeCell ref="V86:V88"/>
    <mergeCell ref="W86:W88"/>
    <mergeCell ref="X86:X88"/>
    <mergeCell ref="Y86:Y88"/>
    <mergeCell ref="Z86:Z88"/>
    <mergeCell ref="AA86:AA88"/>
    <mergeCell ref="AD80:AD82"/>
    <mergeCell ref="AE80:AE82"/>
    <mergeCell ref="AB86:AB88"/>
    <mergeCell ref="AC86:AC88"/>
    <mergeCell ref="AD86:AD88"/>
    <mergeCell ref="AE86:AE88"/>
    <mergeCell ref="AF80:AF82"/>
    <mergeCell ref="AG80:AG82"/>
    <mergeCell ref="C83:C85"/>
    <mergeCell ref="D83:D85"/>
    <mergeCell ref="E83:E85"/>
    <mergeCell ref="F83:F85"/>
    <mergeCell ref="G83:G85"/>
    <mergeCell ref="H83:H85"/>
    <mergeCell ref="I83:I85"/>
    <mergeCell ref="J83:J85"/>
    <mergeCell ref="K83:K85"/>
    <mergeCell ref="L83:L85"/>
    <mergeCell ref="P83:P85"/>
    <mergeCell ref="V83:V85"/>
    <mergeCell ref="W83:W85"/>
    <mergeCell ref="X83:X85"/>
    <mergeCell ref="Y83:Y85"/>
    <mergeCell ref="Z83:Z85"/>
    <mergeCell ref="AA83:AA85"/>
    <mergeCell ref="AB83:AB85"/>
    <mergeCell ref="AC83:AC85"/>
    <mergeCell ref="AD83:AD85"/>
    <mergeCell ref="AE83:AE85"/>
    <mergeCell ref="AF83:AF85"/>
    <mergeCell ref="AG83:AG85"/>
    <mergeCell ref="AC77:AC79"/>
    <mergeCell ref="AD77:AD79"/>
    <mergeCell ref="AE77:AE79"/>
    <mergeCell ref="AF77:AF79"/>
    <mergeCell ref="AG77:AG79"/>
    <mergeCell ref="C80:C82"/>
    <mergeCell ref="D80:D82"/>
    <mergeCell ref="E80:E82"/>
    <mergeCell ref="F80:F82"/>
    <mergeCell ref="G80:G82"/>
    <mergeCell ref="H80:H82"/>
    <mergeCell ref="I80:I82"/>
    <mergeCell ref="J80:J82"/>
    <mergeCell ref="K80:K82"/>
    <mergeCell ref="L80:L82"/>
    <mergeCell ref="P80:P82"/>
    <mergeCell ref="V80:V82"/>
    <mergeCell ref="W80:W82"/>
    <mergeCell ref="X80:X82"/>
    <mergeCell ref="Y80:Y82"/>
    <mergeCell ref="Z80:Z82"/>
    <mergeCell ref="AA80:AA82"/>
    <mergeCell ref="AB80:AB82"/>
    <mergeCell ref="AC80:AC82"/>
    <mergeCell ref="L77:L79"/>
    <mergeCell ref="P77:P79"/>
    <mergeCell ref="V77:V79"/>
    <mergeCell ref="W77:W79"/>
    <mergeCell ref="X77:X79"/>
    <mergeCell ref="Y77:Y79"/>
    <mergeCell ref="Z77:Z79"/>
    <mergeCell ref="AA77:AA79"/>
    <mergeCell ref="AB77:AB79"/>
    <mergeCell ref="C77:C79"/>
    <mergeCell ref="D77:D79"/>
    <mergeCell ref="E77:E79"/>
    <mergeCell ref="F77:F79"/>
    <mergeCell ref="G77:G79"/>
    <mergeCell ref="H77:H79"/>
    <mergeCell ref="I77:I79"/>
    <mergeCell ref="J77:J79"/>
    <mergeCell ref="K77:K79"/>
    <mergeCell ref="AB65:AB67"/>
    <mergeCell ref="AC65:AC67"/>
    <mergeCell ref="AD65:AD67"/>
    <mergeCell ref="AE65:AE67"/>
    <mergeCell ref="AF65:AF67"/>
    <mergeCell ref="AG65:AG67"/>
    <mergeCell ref="AB62:AB64"/>
    <mergeCell ref="AC62:AC64"/>
    <mergeCell ref="AD62:AD64"/>
    <mergeCell ref="AE62:AE64"/>
    <mergeCell ref="AF62:AF64"/>
    <mergeCell ref="AG62:AG64"/>
    <mergeCell ref="AA65:AA67"/>
    <mergeCell ref="L74:L76"/>
    <mergeCell ref="P74:P76"/>
    <mergeCell ref="V74:V76"/>
    <mergeCell ref="W74:W76"/>
    <mergeCell ref="X74:X76"/>
    <mergeCell ref="Y74:Y76"/>
    <mergeCell ref="Z74:Z76"/>
    <mergeCell ref="AA74:AA76"/>
    <mergeCell ref="K71:K73"/>
    <mergeCell ref="B65:B67"/>
    <mergeCell ref="C65:C67"/>
    <mergeCell ref="D65:D67"/>
    <mergeCell ref="E65:E67"/>
    <mergeCell ref="F65:F67"/>
    <mergeCell ref="G65:G67"/>
    <mergeCell ref="H65:H67"/>
    <mergeCell ref="I65:I67"/>
    <mergeCell ref="J65:J67"/>
    <mergeCell ref="K65:K67"/>
    <mergeCell ref="L65:L67"/>
    <mergeCell ref="P65:P67"/>
    <mergeCell ref="V65:V67"/>
    <mergeCell ref="W65:W67"/>
    <mergeCell ref="X65:X67"/>
    <mergeCell ref="Y65:Y67"/>
    <mergeCell ref="Z65:Z67"/>
    <mergeCell ref="AB59:AB61"/>
    <mergeCell ref="AC59:AC61"/>
    <mergeCell ref="AD59:AD61"/>
    <mergeCell ref="AE59:AE61"/>
    <mergeCell ref="AF59:AF61"/>
    <mergeCell ref="AG59:AG61"/>
    <mergeCell ref="B62:B64"/>
    <mergeCell ref="C62:C64"/>
    <mergeCell ref="D62:D64"/>
    <mergeCell ref="E62:E64"/>
    <mergeCell ref="F62:F64"/>
    <mergeCell ref="G62:G64"/>
    <mergeCell ref="H62:H64"/>
    <mergeCell ref="I62:I64"/>
    <mergeCell ref="J62:J64"/>
    <mergeCell ref="K62:K64"/>
    <mergeCell ref="L62:L64"/>
    <mergeCell ref="P62:P64"/>
    <mergeCell ref="V62:V64"/>
    <mergeCell ref="W62:W64"/>
    <mergeCell ref="X62:X64"/>
    <mergeCell ref="Y62:Y64"/>
    <mergeCell ref="Z62:Z64"/>
    <mergeCell ref="AA62:AA64"/>
    <mergeCell ref="AB56:AB58"/>
    <mergeCell ref="AC56:AC58"/>
    <mergeCell ref="AD56:AD58"/>
    <mergeCell ref="AE56:AE58"/>
    <mergeCell ref="AF56:AF58"/>
    <mergeCell ref="AG56:AG58"/>
    <mergeCell ref="B59:B61"/>
    <mergeCell ref="C59:C61"/>
    <mergeCell ref="D59:D61"/>
    <mergeCell ref="E59:E61"/>
    <mergeCell ref="F59:F61"/>
    <mergeCell ref="G59:G61"/>
    <mergeCell ref="H59:H61"/>
    <mergeCell ref="I59:I61"/>
    <mergeCell ref="J59:J61"/>
    <mergeCell ref="K59:K61"/>
    <mergeCell ref="L59:L61"/>
    <mergeCell ref="P59:P61"/>
    <mergeCell ref="V59:V61"/>
    <mergeCell ref="W59:W61"/>
    <mergeCell ref="X59:X61"/>
    <mergeCell ref="Y59:Y61"/>
    <mergeCell ref="Z59:Z61"/>
    <mergeCell ref="AA59:AA61"/>
    <mergeCell ref="K56:K58"/>
    <mergeCell ref="L56:L58"/>
    <mergeCell ref="P56:P58"/>
    <mergeCell ref="V56:V58"/>
    <mergeCell ref="W56:W58"/>
    <mergeCell ref="X56:X58"/>
    <mergeCell ref="Y56:Y58"/>
    <mergeCell ref="Z56:Z58"/>
    <mergeCell ref="AA56:AA58"/>
    <mergeCell ref="B56:B58"/>
    <mergeCell ref="C56:C58"/>
    <mergeCell ref="D56:D58"/>
    <mergeCell ref="E56:E58"/>
    <mergeCell ref="F56:F58"/>
    <mergeCell ref="G56:G58"/>
    <mergeCell ref="H56:H58"/>
    <mergeCell ref="I56:I58"/>
    <mergeCell ref="J56:J58"/>
    <mergeCell ref="AB74:AB76"/>
    <mergeCell ref="AC74:AC76"/>
    <mergeCell ref="AD74:AD76"/>
    <mergeCell ref="AE74:AE76"/>
    <mergeCell ref="AF74:AF76"/>
    <mergeCell ref="AG74:AG76"/>
    <mergeCell ref="AB71:AB73"/>
    <mergeCell ref="AC71:AC73"/>
    <mergeCell ref="AD71:AD73"/>
    <mergeCell ref="AE71:AE73"/>
    <mergeCell ref="AF71:AF73"/>
    <mergeCell ref="AG71:AG73"/>
    <mergeCell ref="B74:B76"/>
    <mergeCell ref="C74:C76"/>
    <mergeCell ref="D74:D76"/>
    <mergeCell ref="E74:E76"/>
    <mergeCell ref="F74:F76"/>
    <mergeCell ref="G74:G76"/>
    <mergeCell ref="H74:H76"/>
    <mergeCell ref="I74:I76"/>
    <mergeCell ref="J74:J76"/>
    <mergeCell ref="K74:K76"/>
    <mergeCell ref="L71:L73"/>
    <mergeCell ref="P71:P73"/>
    <mergeCell ref="V71:V73"/>
    <mergeCell ref="W71:W73"/>
    <mergeCell ref="X71:X73"/>
    <mergeCell ref="Y71:Y73"/>
    <mergeCell ref="Z71:Z73"/>
    <mergeCell ref="AA71:AA73"/>
    <mergeCell ref="B71:B73"/>
    <mergeCell ref="C71:C73"/>
    <mergeCell ref="D71:D73"/>
    <mergeCell ref="E71:E73"/>
    <mergeCell ref="F71:F73"/>
    <mergeCell ref="G71:G73"/>
    <mergeCell ref="H71:H73"/>
    <mergeCell ref="I71:I73"/>
    <mergeCell ref="J71:J73"/>
    <mergeCell ref="AB53:AB55"/>
    <mergeCell ref="AC53:AC55"/>
    <mergeCell ref="AD53:AD55"/>
    <mergeCell ref="AE53:AE55"/>
    <mergeCell ref="AF53:AF55"/>
    <mergeCell ref="AG53:AG55"/>
    <mergeCell ref="K53:K55"/>
    <mergeCell ref="L53:L55"/>
    <mergeCell ref="P53:P55"/>
    <mergeCell ref="V53:V55"/>
    <mergeCell ref="W53:W55"/>
    <mergeCell ref="X53:X55"/>
    <mergeCell ref="Y53:Y55"/>
    <mergeCell ref="Z53:Z55"/>
    <mergeCell ref="AA53:AA55"/>
    <mergeCell ref="B53:B55"/>
    <mergeCell ref="C53:C55"/>
    <mergeCell ref="D53:D55"/>
    <mergeCell ref="E53:E55"/>
    <mergeCell ref="F53:F55"/>
    <mergeCell ref="G53:G55"/>
    <mergeCell ref="H53:H55"/>
    <mergeCell ref="I53:I55"/>
    <mergeCell ref="J53:J55"/>
    <mergeCell ref="H44:H46"/>
    <mergeCell ref="I44:I46"/>
    <mergeCell ref="J44:J46"/>
    <mergeCell ref="K44:K46"/>
    <mergeCell ref="H47:H49"/>
    <mergeCell ref="I47:I49"/>
    <mergeCell ref="J47:J49"/>
    <mergeCell ref="K47:K49"/>
    <mergeCell ref="H50:H52"/>
    <mergeCell ref="I50:I52"/>
    <mergeCell ref="J50:J52"/>
    <mergeCell ref="K50:K52"/>
    <mergeCell ref="AF47:AF49"/>
    <mergeCell ref="AG47:AG49"/>
    <mergeCell ref="B50:B52"/>
    <mergeCell ref="C50:C52"/>
    <mergeCell ref="D50:D52"/>
    <mergeCell ref="E50:E52"/>
    <mergeCell ref="F50:F52"/>
    <mergeCell ref="G50:G52"/>
    <mergeCell ref="L50:L52"/>
    <mergeCell ref="P50:P52"/>
    <mergeCell ref="V50:V52"/>
    <mergeCell ref="W50:W52"/>
    <mergeCell ref="X50:X52"/>
    <mergeCell ref="Y50:Y52"/>
    <mergeCell ref="Z50:Z52"/>
    <mergeCell ref="AA50:AA52"/>
    <mergeCell ref="AB50:AB52"/>
    <mergeCell ref="AC50:AC52"/>
    <mergeCell ref="AD50:AD52"/>
    <mergeCell ref="AE50:AE52"/>
    <mergeCell ref="AF50:AF52"/>
    <mergeCell ref="AG50:AG52"/>
    <mergeCell ref="W47:W49"/>
    <mergeCell ref="X47:X49"/>
    <mergeCell ref="Y47:Y49"/>
    <mergeCell ref="Z47:Z49"/>
    <mergeCell ref="AA47:AA49"/>
    <mergeCell ref="AB47:AB49"/>
    <mergeCell ref="AC47:AC49"/>
    <mergeCell ref="AD47:AD49"/>
    <mergeCell ref="AE47:AE49"/>
    <mergeCell ref="B47:B49"/>
    <mergeCell ref="C47:C49"/>
    <mergeCell ref="D47:D49"/>
    <mergeCell ref="E47:E49"/>
    <mergeCell ref="F47:F49"/>
    <mergeCell ref="G47:G49"/>
    <mergeCell ref="L47:L49"/>
    <mergeCell ref="P47:P49"/>
    <mergeCell ref="V47:V49"/>
    <mergeCell ref="AF41:AF43"/>
    <mergeCell ref="AG41:AG43"/>
    <mergeCell ref="B44:B46"/>
    <mergeCell ref="C44:C46"/>
    <mergeCell ref="D44:D46"/>
    <mergeCell ref="E44:E46"/>
    <mergeCell ref="F44:F46"/>
    <mergeCell ref="G44:G46"/>
    <mergeCell ref="L44:L46"/>
    <mergeCell ref="P44:P46"/>
    <mergeCell ref="V44:V46"/>
    <mergeCell ref="W44:W46"/>
    <mergeCell ref="X44:X46"/>
    <mergeCell ref="Y44:Y46"/>
    <mergeCell ref="Z44:Z46"/>
    <mergeCell ref="AA44:AA46"/>
    <mergeCell ref="AB44:AB46"/>
    <mergeCell ref="AC44:AC46"/>
    <mergeCell ref="AD44:AD46"/>
    <mergeCell ref="AE44:AE46"/>
    <mergeCell ref="AF44:AF46"/>
    <mergeCell ref="AG44:AG46"/>
    <mergeCell ref="H41:H43"/>
    <mergeCell ref="I41:I43"/>
    <mergeCell ref="W41:W43"/>
    <mergeCell ref="X41:X43"/>
    <mergeCell ref="Y41:Y43"/>
    <mergeCell ref="Z41:Z43"/>
    <mergeCell ref="AA41:AA43"/>
    <mergeCell ref="AB41:AB43"/>
    <mergeCell ref="AC41:AC43"/>
    <mergeCell ref="AD41:AD43"/>
    <mergeCell ref="AE41:AE43"/>
    <mergeCell ref="B41:B43"/>
    <mergeCell ref="C41:C43"/>
    <mergeCell ref="D41:D43"/>
    <mergeCell ref="E41:E43"/>
    <mergeCell ref="F41:F43"/>
    <mergeCell ref="G41:G43"/>
    <mergeCell ref="L41:L43"/>
    <mergeCell ref="P41:P43"/>
    <mergeCell ref="V41:V43"/>
    <mergeCell ref="J41:J43"/>
    <mergeCell ref="K41:K43"/>
    <mergeCell ref="F23:F25"/>
    <mergeCell ref="F26:F28"/>
    <mergeCell ref="F29:F31"/>
    <mergeCell ref="F32:F34"/>
    <mergeCell ref="G23:G25"/>
    <mergeCell ref="G26:G28"/>
    <mergeCell ref="G29:G31"/>
    <mergeCell ref="G32:G34"/>
    <mergeCell ref="B38:B40"/>
    <mergeCell ref="C38:C40"/>
    <mergeCell ref="D38:D40"/>
    <mergeCell ref="E38:E40"/>
    <mergeCell ref="L38:L40"/>
    <mergeCell ref="P38:P40"/>
    <mergeCell ref="F38:F40"/>
    <mergeCell ref="G38:G40"/>
    <mergeCell ref="H38:H40"/>
    <mergeCell ref="I38:I40"/>
    <mergeCell ref="J38:J40"/>
    <mergeCell ref="K38:K40"/>
    <mergeCell ref="AG38:AG40"/>
    <mergeCell ref="V38:V40"/>
    <mergeCell ref="W38:W40"/>
    <mergeCell ref="X38:X40"/>
    <mergeCell ref="Y38:Y40"/>
    <mergeCell ref="Z38:Z40"/>
    <mergeCell ref="AA38:AA40"/>
    <mergeCell ref="AB38:AB40"/>
    <mergeCell ref="AC38:AC40"/>
    <mergeCell ref="AD38:AD40"/>
    <mergeCell ref="Y23:Y25"/>
    <mergeCell ref="Z23:Z25"/>
    <mergeCell ref="AA23:AA25"/>
    <mergeCell ref="AB23:AB25"/>
    <mergeCell ref="AC23:AC25"/>
    <mergeCell ref="AD23:AD25"/>
    <mergeCell ref="AE23:AE25"/>
    <mergeCell ref="AF23:AF25"/>
    <mergeCell ref="AG23:AG25"/>
    <mergeCell ref="Y26:Y28"/>
    <mergeCell ref="W23:W25"/>
    <mergeCell ref="X23:X25"/>
    <mergeCell ref="Z26:Z28"/>
    <mergeCell ref="AA26:AA28"/>
    <mergeCell ref="AB26:AB28"/>
    <mergeCell ref="AC26:AC28"/>
    <mergeCell ref="AD26:AD28"/>
    <mergeCell ref="AE26:AE28"/>
    <mergeCell ref="AF26:AF28"/>
    <mergeCell ref="AG26:AG28"/>
    <mergeCell ref="AG35:AG37"/>
    <mergeCell ref="AA35:AA37"/>
    <mergeCell ref="AC8:AC10"/>
    <mergeCell ref="AD8:AD10"/>
    <mergeCell ref="AE8:AE10"/>
    <mergeCell ref="AF8:AF10"/>
    <mergeCell ref="B4:B7"/>
    <mergeCell ref="B8:B10"/>
    <mergeCell ref="C8:C10"/>
    <mergeCell ref="D8:D10"/>
    <mergeCell ref="E8:E10"/>
    <mergeCell ref="L8:L10"/>
    <mergeCell ref="P8:P10"/>
    <mergeCell ref="V8:V10"/>
    <mergeCell ref="W8:W10"/>
    <mergeCell ref="F8:F10"/>
    <mergeCell ref="H8:H10"/>
    <mergeCell ref="I8:I10"/>
    <mergeCell ref="J8:J10"/>
    <mergeCell ref="K8:K10"/>
    <mergeCell ref="G8:G10"/>
    <mergeCell ref="L23:L25"/>
    <mergeCell ref="P23:P25"/>
    <mergeCell ref="V23:V25"/>
    <mergeCell ref="X26:X28"/>
    <mergeCell ref="C26:C28"/>
    <mergeCell ref="D26:D28"/>
    <mergeCell ref="H29:H31"/>
    <mergeCell ref="I29:I31"/>
    <mergeCell ref="J29:J31"/>
    <mergeCell ref="K29:K31"/>
    <mergeCell ref="H26:H28"/>
    <mergeCell ref="I26:I28"/>
    <mergeCell ref="J26:J28"/>
    <mergeCell ref="K26:K28"/>
    <mergeCell ref="B29:B31"/>
    <mergeCell ref="C29:C31"/>
    <mergeCell ref="D29:D31"/>
    <mergeCell ref="E29:E31"/>
    <mergeCell ref="L29:L31"/>
    <mergeCell ref="AG8:AG10"/>
    <mergeCell ref="X8:X10"/>
    <mergeCell ref="Y8:Y10"/>
    <mergeCell ref="Z8:Z10"/>
    <mergeCell ref="AA8:AA10"/>
    <mergeCell ref="AB8:AB10"/>
    <mergeCell ref="B32:B34"/>
    <mergeCell ref="E32:E34"/>
    <mergeCell ref="L32:L34"/>
    <mergeCell ref="P32:P34"/>
    <mergeCell ref="V32:V34"/>
    <mergeCell ref="W32:W34"/>
    <mergeCell ref="X32:X34"/>
    <mergeCell ref="Y32:Y34"/>
    <mergeCell ref="Z32:Z34"/>
    <mergeCell ref="AA32:AA34"/>
    <mergeCell ref="AB32:AB34"/>
    <mergeCell ref="AC32:AC34"/>
    <mergeCell ref="AD32:AD34"/>
    <mergeCell ref="AE32:AE34"/>
    <mergeCell ref="AF32:AF34"/>
    <mergeCell ref="AG32:AG34"/>
    <mergeCell ref="H23:H25"/>
    <mergeCell ref="I23:I25"/>
    <mergeCell ref="J23:J25"/>
    <mergeCell ref="K23:K25"/>
    <mergeCell ref="B26:B28"/>
    <mergeCell ref="C32:C34"/>
    <mergeCell ref="D32:D34"/>
    <mergeCell ref="E26:E28"/>
    <mergeCell ref="L26:L28"/>
    <mergeCell ref="H32:H34"/>
    <mergeCell ref="AF38:AF40"/>
    <mergeCell ref="B11:B14"/>
    <mergeCell ref="C11:C14"/>
    <mergeCell ref="D11:D14"/>
    <mergeCell ref="E11:E14"/>
    <mergeCell ref="F11:F14"/>
    <mergeCell ref="G11:G14"/>
    <mergeCell ref="H11:H14"/>
    <mergeCell ref="I11:I14"/>
    <mergeCell ref="J11:J14"/>
    <mergeCell ref="K11:K14"/>
    <mergeCell ref="L11:L14"/>
    <mergeCell ref="P11:P14"/>
    <mergeCell ref="V11:V14"/>
    <mergeCell ref="W11:W14"/>
    <mergeCell ref="X11:X14"/>
    <mergeCell ref="Y11:Y14"/>
    <mergeCell ref="Z11:Z14"/>
    <mergeCell ref="AA11:AA14"/>
    <mergeCell ref="AB11:AB14"/>
    <mergeCell ref="I32:I34"/>
    <mergeCell ref="J32:J34"/>
    <mergeCell ref="K32:K34"/>
    <mergeCell ref="P26:P28"/>
    <mergeCell ref="V26:V28"/>
    <mergeCell ref="W26:W28"/>
    <mergeCell ref="J35:J37"/>
    <mergeCell ref="K35:K37"/>
    <mergeCell ref="Y35:Y37"/>
    <mergeCell ref="Z35:Z37"/>
    <mergeCell ref="P29:P31"/>
    <mergeCell ref="V29:V31"/>
    <mergeCell ref="AC11:AC14"/>
    <mergeCell ref="AD11:AD14"/>
    <mergeCell ref="AE11:AE14"/>
    <mergeCell ref="AF11:AF14"/>
    <mergeCell ref="K19:K22"/>
    <mergeCell ref="L19:L22"/>
    <mergeCell ref="AB19:AB22"/>
    <mergeCell ref="AG11:AG14"/>
    <mergeCell ref="B15:B18"/>
    <mergeCell ref="C15:C18"/>
    <mergeCell ref="D15:D18"/>
    <mergeCell ref="E15:E18"/>
    <mergeCell ref="F15:F18"/>
    <mergeCell ref="G15:G18"/>
    <mergeCell ref="H15:H18"/>
    <mergeCell ref="I15:I18"/>
    <mergeCell ref="J15:J18"/>
    <mergeCell ref="K15:K18"/>
    <mergeCell ref="L15:L18"/>
    <mergeCell ref="P15:P18"/>
    <mergeCell ref="V15:V18"/>
    <mergeCell ref="W15:W18"/>
    <mergeCell ref="X15:X18"/>
    <mergeCell ref="Y15:Y18"/>
    <mergeCell ref="Z15:Z18"/>
    <mergeCell ref="AA15:AA18"/>
    <mergeCell ref="P19:P22"/>
    <mergeCell ref="V19:V22"/>
    <mergeCell ref="W19:W22"/>
    <mergeCell ref="X19:X22"/>
    <mergeCell ref="Y19:Y22"/>
    <mergeCell ref="Z19:Z22"/>
    <mergeCell ref="AA19:AA22"/>
    <mergeCell ref="B19:B22"/>
    <mergeCell ref="C19:C22"/>
    <mergeCell ref="D19:D22"/>
    <mergeCell ref="E19:E22"/>
    <mergeCell ref="F19:F22"/>
    <mergeCell ref="G19:G22"/>
    <mergeCell ref="H19:H22"/>
    <mergeCell ref="I19:I22"/>
    <mergeCell ref="J19:J22"/>
    <mergeCell ref="B35:B37"/>
    <mergeCell ref="C35:C37"/>
    <mergeCell ref="D35:D37"/>
    <mergeCell ref="E35:E37"/>
    <mergeCell ref="L35:L37"/>
    <mergeCell ref="P35:P37"/>
    <mergeCell ref="V35:V37"/>
    <mergeCell ref="W35:W37"/>
    <mergeCell ref="X35:X37"/>
    <mergeCell ref="F35:F37"/>
    <mergeCell ref="G35:G37"/>
    <mergeCell ref="H35:H37"/>
    <mergeCell ref="I35:I37"/>
    <mergeCell ref="W29:W31"/>
    <mergeCell ref="X29:X31"/>
    <mergeCell ref="Y29:Y31"/>
    <mergeCell ref="Z29:Z31"/>
    <mergeCell ref="AA29:AA31"/>
    <mergeCell ref="B23:B25"/>
    <mergeCell ref="C23:C25"/>
    <mergeCell ref="D23:D25"/>
    <mergeCell ref="E23:E25"/>
    <mergeCell ref="B68:B70"/>
    <mergeCell ref="C68:C70"/>
    <mergeCell ref="D68:D70"/>
    <mergeCell ref="E68:E70"/>
    <mergeCell ref="F68:F70"/>
    <mergeCell ref="G68:G70"/>
    <mergeCell ref="H68:H70"/>
    <mergeCell ref="I68:I70"/>
    <mergeCell ref="J68:J70"/>
    <mergeCell ref="AB68:AB70"/>
    <mergeCell ref="AC68:AC70"/>
    <mergeCell ref="AD68:AD70"/>
    <mergeCell ref="AE68:AE70"/>
    <mergeCell ref="AF68:AF70"/>
    <mergeCell ref="AG68:AG70"/>
    <mergeCell ref="K68:K70"/>
    <mergeCell ref="L68:L70"/>
    <mergeCell ref="P68:P70"/>
    <mergeCell ref="V68:V70"/>
    <mergeCell ref="W68:W70"/>
    <mergeCell ref="X68:X70"/>
    <mergeCell ref="Z485:Z487"/>
    <mergeCell ref="AA485:AA487"/>
    <mergeCell ref="AB485:AB487"/>
    <mergeCell ref="AC485:AC487"/>
    <mergeCell ref="AD485:AD487"/>
    <mergeCell ref="AE485:AE487"/>
    <mergeCell ref="Y68:Y70"/>
    <mergeCell ref="Z68:Z70"/>
    <mergeCell ref="AA68:AA70"/>
    <mergeCell ref="AC19:AC22"/>
    <mergeCell ref="AD19:AD22"/>
    <mergeCell ref="AE19:AE22"/>
    <mergeCell ref="AF19:AF22"/>
    <mergeCell ref="AG19:AG22"/>
    <mergeCell ref="AB15:AB18"/>
    <mergeCell ref="AC15:AC18"/>
    <mergeCell ref="AD15:AD18"/>
    <mergeCell ref="AE15:AE18"/>
    <mergeCell ref="AF15:AF18"/>
    <mergeCell ref="AG15:AG18"/>
    <mergeCell ref="AB29:AB31"/>
    <mergeCell ref="AC29:AC31"/>
    <mergeCell ref="AD29:AD31"/>
    <mergeCell ref="AE29:AE31"/>
    <mergeCell ref="AF29:AF31"/>
    <mergeCell ref="AG29:AG31"/>
    <mergeCell ref="AB35:AB37"/>
    <mergeCell ref="AC35:AC37"/>
    <mergeCell ref="AD35:AD37"/>
    <mergeCell ref="AE35:AE37"/>
    <mergeCell ref="AF35:AF37"/>
    <mergeCell ref="AE38:AE40"/>
    <mergeCell ref="AF485:AF487"/>
    <mergeCell ref="AG485:AG487"/>
    <mergeCell ref="B488:B490"/>
    <mergeCell ref="C488:C490"/>
    <mergeCell ref="D488:D490"/>
    <mergeCell ref="E488:E490"/>
    <mergeCell ref="F488:F490"/>
    <mergeCell ref="G488:G490"/>
    <mergeCell ref="P488:P490"/>
    <mergeCell ref="V488:V490"/>
    <mergeCell ref="W488:W490"/>
    <mergeCell ref="X488:X490"/>
    <mergeCell ref="Y488:Y490"/>
    <mergeCell ref="Z488:Z490"/>
    <mergeCell ref="AA488:AA490"/>
    <mergeCell ref="AB488:AB490"/>
    <mergeCell ref="AC488:AC490"/>
    <mergeCell ref="AD488:AD490"/>
    <mergeCell ref="AE488:AE490"/>
    <mergeCell ref="AF488:AF490"/>
    <mergeCell ref="AG488:AG490"/>
    <mergeCell ref="B485:B487"/>
    <mergeCell ref="C485:C487"/>
    <mergeCell ref="D485:D487"/>
    <mergeCell ref="E485:E487"/>
    <mergeCell ref="F485:F487"/>
    <mergeCell ref="G485:G487"/>
    <mergeCell ref="P485:P487"/>
    <mergeCell ref="V485:V487"/>
    <mergeCell ref="W485:W487"/>
    <mergeCell ref="X485:X487"/>
    <mergeCell ref="Y485:Y487"/>
    <mergeCell ref="AF491:AF493"/>
    <mergeCell ref="AG491:AG493"/>
    <mergeCell ref="B491:B493"/>
    <mergeCell ref="C491:C493"/>
    <mergeCell ref="D491:D493"/>
    <mergeCell ref="E491:E493"/>
    <mergeCell ref="F491:F493"/>
    <mergeCell ref="G491:G493"/>
    <mergeCell ref="P491:P493"/>
    <mergeCell ref="V491:V493"/>
    <mergeCell ref="W491:W493"/>
    <mergeCell ref="X491:X493"/>
    <mergeCell ref="Y491:Y493"/>
    <mergeCell ref="Z491:Z493"/>
    <mergeCell ref="AA491:AA493"/>
    <mergeCell ref="AB491:AB493"/>
    <mergeCell ref="AC491:AC493"/>
    <mergeCell ref="AD491:AD493"/>
    <mergeCell ref="AE491:AE493"/>
    <mergeCell ref="AG497:AG499"/>
    <mergeCell ref="B494:B496"/>
    <mergeCell ref="C494:C496"/>
    <mergeCell ref="D494:D496"/>
    <mergeCell ref="E494:E496"/>
    <mergeCell ref="F494:F496"/>
    <mergeCell ref="G494:G496"/>
    <mergeCell ref="P494:P496"/>
    <mergeCell ref="V494:V496"/>
    <mergeCell ref="W494:W496"/>
    <mergeCell ref="X494:X496"/>
    <mergeCell ref="Y494:Y496"/>
    <mergeCell ref="Z494:Z496"/>
    <mergeCell ref="AA494:AA496"/>
    <mergeCell ref="AB494:AB496"/>
    <mergeCell ref="AC494:AC496"/>
    <mergeCell ref="AD494:AD496"/>
    <mergeCell ref="AE494:AE496"/>
    <mergeCell ref="G500:G502"/>
    <mergeCell ref="P500:P502"/>
    <mergeCell ref="V500:V502"/>
    <mergeCell ref="W500:W502"/>
    <mergeCell ref="X500:X502"/>
    <mergeCell ref="Y500:Y502"/>
    <mergeCell ref="Z500:Z502"/>
    <mergeCell ref="AA500:AA502"/>
    <mergeCell ref="AB500:AB502"/>
    <mergeCell ref="AC500:AC502"/>
    <mergeCell ref="AD500:AD502"/>
    <mergeCell ref="AE500:AE502"/>
    <mergeCell ref="AF494:AF496"/>
    <mergeCell ref="AG494:AG496"/>
    <mergeCell ref="B497:B499"/>
    <mergeCell ref="C497:C499"/>
    <mergeCell ref="D497:D499"/>
    <mergeCell ref="E497:E499"/>
    <mergeCell ref="F497:F499"/>
    <mergeCell ref="G497:G499"/>
    <mergeCell ref="P497:P499"/>
    <mergeCell ref="V497:V499"/>
    <mergeCell ref="W497:W499"/>
    <mergeCell ref="X497:X499"/>
    <mergeCell ref="Y497:Y499"/>
    <mergeCell ref="Z497:Z499"/>
    <mergeCell ref="AA497:AA499"/>
    <mergeCell ref="AB497:AB499"/>
    <mergeCell ref="AC497:AC499"/>
    <mergeCell ref="AD497:AD499"/>
    <mergeCell ref="AE497:AE499"/>
    <mergeCell ref="AF497:AF499"/>
    <mergeCell ref="Z506:Z508"/>
    <mergeCell ref="AA506:AA508"/>
    <mergeCell ref="AB506:AB508"/>
    <mergeCell ref="AC506:AC508"/>
    <mergeCell ref="AD506:AD508"/>
    <mergeCell ref="AE506:AE508"/>
    <mergeCell ref="AF500:AF502"/>
    <mergeCell ref="AG500:AG502"/>
    <mergeCell ref="B503:B505"/>
    <mergeCell ref="C503:C505"/>
    <mergeCell ref="D503:D505"/>
    <mergeCell ref="E503:E505"/>
    <mergeCell ref="F503:F505"/>
    <mergeCell ref="G503:G505"/>
    <mergeCell ref="P503:P505"/>
    <mergeCell ref="V503:V505"/>
    <mergeCell ref="W503:W505"/>
    <mergeCell ref="X503:X505"/>
    <mergeCell ref="Y503:Y505"/>
    <mergeCell ref="Z503:Z505"/>
    <mergeCell ref="AA503:AA505"/>
    <mergeCell ref="AB503:AB505"/>
    <mergeCell ref="AC503:AC505"/>
    <mergeCell ref="AD503:AD505"/>
    <mergeCell ref="AE503:AE505"/>
    <mergeCell ref="AF503:AF505"/>
    <mergeCell ref="AG503:AG505"/>
    <mergeCell ref="B500:B502"/>
    <mergeCell ref="C500:C502"/>
    <mergeCell ref="D500:D502"/>
    <mergeCell ref="E500:E502"/>
    <mergeCell ref="F500:F502"/>
    <mergeCell ref="AF506:AF508"/>
    <mergeCell ref="AG506:AG508"/>
    <mergeCell ref="B509:B511"/>
    <mergeCell ref="C509:C511"/>
    <mergeCell ref="D509:D511"/>
    <mergeCell ref="E509:E511"/>
    <mergeCell ref="F509:F511"/>
    <mergeCell ref="G509:G511"/>
    <mergeCell ref="P509:P511"/>
    <mergeCell ref="V509:V511"/>
    <mergeCell ref="W509:W511"/>
    <mergeCell ref="X509:X511"/>
    <mergeCell ref="Y509:Y511"/>
    <mergeCell ref="Z509:Z511"/>
    <mergeCell ref="AA509:AA511"/>
    <mergeCell ref="AB509:AB511"/>
    <mergeCell ref="AC509:AC511"/>
    <mergeCell ref="AD509:AD511"/>
    <mergeCell ref="AE509:AE511"/>
    <mergeCell ref="AF509:AF511"/>
    <mergeCell ref="AG509:AG511"/>
    <mergeCell ref="B506:B508"/>
    <mergeCell ref="C506:C508"/>
    <mergeCell ref="D506:D508"/>
    <mergeCell ref="E506:E508"/>
    <mergeCell ref="F506:F508"/>
    <mergeCell ref="G506:G508"/>
    <mergeCell ref="P506:P508"/>
    <mergeCell ref="V506:V508"/>
    <mergeCell ref="W506:W508"/>
    <mergeCell ref="X506:X508"/>
    <mergeCell ref="Y506:Y508"/>
  </mergeCells>
  <phoneticPr fontId="34"/>
  <dataValidations count="3">
    <dataValidation type="whole" allowBlank="1" showInputMessage="1" showErrorMessage="1" sqref="AA8 AC8 AA23 AA47 AA26 AA32 AC23 AA29 AC47 AC32 AA15:AA16 AC15:AC16 AA19:AA20 AC19:AC20 AA11:AA12 AC11:AC12 AC26 AA35 AA38 AC29 AC35 AC38 AA41 AC41 AA44 AC44 AA53 AC53 AA50 AC50 AA68 AC68 AA71 AC71 AA74 AC74 AA59 AC59 AA56 AC56 AA65 AC65 AA62 AC62" xr:uid="{493123E9-FB9C-41A7-BFA4-4C8DFBA57257}">
      <formula1>1</formula1>
      <formula2>999</formula2>
    </dataValidation>
    <dataValidation type="whole" allowBlank="1" showInputMessage="1" showErrorMessage="1" sqref="AB8 AB23 AB26 AB47 AB32 AB15:AB16 AB19:AB20 AB11:AB12 AB29 AB35 AB38 AB41 AB44 AB53 AB50 AB68 AB71 AB74 AB59 AB56 AB65 AB62" xr:uid="{F84149B1-C83E-410E-98A0-F700797FF5EC}">
      <formula1>1</formula1>
      <formula2>2147483647</formula2>
    </dataValidation>
    <dataValidation type="list" allowBlank="1" showInputMessage="1" showErrorMessage="1" sqref="R10 R34 R25 R28 R31 R14 R18 R22 R37 R43 R40 R46 R49 R52 R76 R70 R73 R55 R58 R61 R64 R67" xr:uid="{311371F0-9E2B-4E6A-BA7D-866C5B3927A1}">
      <formula1>番号順序参照</formula1>
    </dataValidation>
  </dataValidations>
  <hyperlinks>
    <hyperlink ref="A3" location="パラメータ設定一覧!A1" display="パラメータ設定一覧へ" xr:uid="{152D17E6-B6AC-4657-AB59-009EFFD41250}"/>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97FC-66EC-4A18-93F4-467E84D6BD92}">
  <sheetPr codeName="Sheet17"/>
  <dimension ref="A1:L14"/>
  <sheetViews>
    <sheetView showGridLines="0" zoomScale="70" zoomScaleNormal="100" workbookViewId="0">
      <pane xSplit="6" ySplit="5" topLeftCell="G6" activePane="bottomRight" state="frozen"/>
      <selection pane="bottomRight" activeCell="H9" sqref="H9"/>
      <selection pane="bottomLeft"/>
      <selection pane="topRight"/>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8" t="s">
        <v>1183</v>
      </c>
      <c r="C1" s="38"/>
      <c r="D1" s="38"/>
      <c r="E1" s="38"/>
      <c r="F1" s="38"/>
      <c r="G1" s="38"/>
      <c r="H1" s="38"/>
      <c r="I1" s="40"/>
    </row>
    <row r="2" spans="1:12" customFormat="1" ht="15">
      <c r="B2" t="s">
        <v>1184</v>
      </c>
      <c r="C2" s="38"/>
      <c r="D2" s="38"/>
      <c r="E2" s="38"/>
      <c r="F2" s="38"/>
      <c r="G2" s="38"/>
      <c r="H2" s="38"/>
      <c r="I2" s="40"/>
    </row>
    <row r="3" spans="1:12" customFormat="1" ht="15">
      <c r="A3" s="9"/>
      <c r="B3" t="s">
        <v>1185</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ht="27">
      <c r="B6" s="19">
        <f>ROW() - 5</f>
        <v>1</v>
      </c>
      <c r="C6" s="14"/>
      <c r="D6" s="14"/>
      <c r="E6" s="101"/>
      <c r="F6" s="20" t="s">
        <v>134</v>
      </c>
      <c r="G6" s="20"/>
      <c r="H6" s="39" t="s">
        <v>81</v>
      </c>
      <c r="I6" s="37" t="s">
        <v>374</v>
      </c>
      <c r="J6" s="21"/>
      <c r="K6" s="1" t="s">
        <v>1186</v>
      </c>
      <c r="L6" s="2"/>
    </row>
    <row r="7" spans="1:12" ht="27">
      <c r="B7" s="19">
        <f>ROW() - 5</f>
        <v>2</v>
      </c>
      <c r="C7" s="73"/>
      <c r="D7" s="35"/>
      <c r="E7" s="73"/>
      <c r="F7" s="20" t="s">
        <v>80</v>
      </c>
      <c r="G7" s="20"/>
      <c r="H7" s="38" t="s">
        <v>81</v>
      </c>
      <c r="I7" s="37" t="s">
        <v>374</v>
      </c>
      <c r="J7" s="21"/>
      <c r="K7" s="1" t="s">
        <v>1186</v>
      </c>
      <c r="L7" s="2"/>
    </row>
    <row r="8" spans="1:12" ht="40.5">
      <c r="B8" s="19">
        <f>ROW() - 5</f>
        <v>3</v>
      </c>
      <c r="C8" s="14" t="s">
        <v>88</v>
      </c>
      <c r="D8" s="43"/>
      <c r="E8" s="14"/>
      <c r="F8" s="20" t="s">
        <v>1187</v>
      </c>
      <c r="G8" s="20"/>
      <c r="H8" s="39" t="s">
        <v>1188</v>
      </c>
      <c r="I8" s="37" t="s">
        <v>1189</v>
      </c>
      <c r="J8" s="21"/>
      <c r="K8" s="1" t="s">
        <v>1186</v>
      </c>
      <c r="L8" s="2"/>
    </row>
    <row r="9" spans="1:12" ht="81">
      <c r="B9" s="19">
        <f>ROW() - 5</f>
        <v>4</v>
      </c>
      <c r="C9" s="73"/>
      <c r="D9" s="73"/>
      <c r="E9" s="73"/>
      <c r="F9" s="20" t="s">
        <v>1190</v>
      </c>
      <c r="G9" s="20"/>
      <c r="H9" s="39" t="s">
        <v>1191</v>
      </c>
      <c r="I9" s="39" t="s">
        <v>1192</v>
      </c>
      <c r="J9" s="21"/>
      <c r="K9" s="1" t="s">
        <v>1186</v>
      </c>
      <c r="L9" s="2"/>
    </row>
    <row r="10" spans="1:12" ht="189">
      <c r="B10" s="19">
        <f t="shared" ref="B10:B14" si="0">ROW() - 5</f>
        <v>5</v>
      </c>
      <c r="C10" s="73"/>
      <c r="D10" s="73"/>
      <c r="E10" s="73"/>
      <c r="F10" s="20" t="s">
        <v>1193</v>
      </c>
      <c r="G10" s="20"/>
      <c r="H10" s="39" t="s">
        <v>1194</v>
      </c>
      <c r="I10" s="39" t="s">
        <v>1195</v>
      </c>
      <c r="J10" s="21"/>
      <c r="K10" s="1" t="s">
        <v>1186</v>
      </c>
      <c r="L10" s="2"/>
    </row>
    <row r="11" spans="1:12" ht="40.5">
      <c r="B11" s="19">
        <f t="shared" si="0"/>
        <v>6</v>
      </c>
      <c r="C11" s="73"/>
      <c r="D11" s="73"/>
      <c r="E11" s="73"/>
      <c r="F11" s="20" t="s">
        <v>1196</v>
      </c>
      <c r="G11" s="20"/>
      <c r="H11" s="39" t="s">
        <v>1197</v>
      </c>
      <c r="I11" s="39"/>
      <c r="J11" s="21"/>
      <c r="K11" s="1" t="s">
        <v>1186</v>
      </c>
      <c r="L11" s="2"/>
    </row>
    <row r="12" spans="1:12" ht="27">
      <c r="B12" s="19">
        <f t="shared" si="0"/>
        <v>7</v>
      </c>
      <c r="C12" s="73"/>
      <c r="D12" s="73"/>
      <c r="E12" s="73"/>
      <c r="F12" s="20" t="s">
        <v>1198</v>
      </c>
      <c r="G12" s="20"/>
      <c r="H12" s="39"/>
      <c r="I12" s="39"/>
      <c r="J12" s="21"/>
      <c r="K12" s="1" t="s">
        <v>1186</v>
      </c>
      <c r="L12" s="2"/>
    </row>
    <row r="13" spans="1:12" ht="27">
      <c r="B13" s="19">
        <f t="shared" si="0"/>
        <v>8</v>
      </c>
      <c r="C13" s="73"/>
      <c r="D13" s="73"/>
      <c r="E13" s="14" t="s">
        <v>1199</v>
      </c>
      <c r="F13" s="20" t="s">
        <v>303</v>
      </c>
      <c r="G13" s="20"/>
      <c r="H13" s="39" t="s">
        <v>1200</v>
      </c>
      <c r="I13" s="39" t="s">
        <v>1201</v>
      </c>
      <c r="J13" s="21"/>
      <c r="K13" s="1" t="s">
        <v>1186</v>
      </c>
      <c r="L13" s="2"/>
    </row>
    <row r="14" spans="1:12" ht="27">
      <c r="B14" s="19">
        <f t="shared" si="0"/>
        <v>9</v>
      </c>
      <c r="C14" s="17"/>
      <c r="D14" s="17"/>
      <c r="E14" s="17"/>
      <c r="F14" s="20" t="s">
        <v>1202</v>
      </c>
      <c r="G14" s="20"/>
      <c r="H14" s="39" t="s">
        <v>94</v>
      </c>
      <c r="I14" s="39" t="s">
        <v>95</v>
      </c>
      <c r="J14" s="21"/>
      <c r="K14" s="1" t="s">
        <v>1186</v>
      </c>
      <c r="L14" s="2"/>
    </row>
  </sheetData>
  <phoneticPr fontId="12"/>
  <hyperlinks>
    <hyperlink ref="A4" location="パラメータ設定一覧!A1" display="パラメータ設定一覧へ" xr:uid="{31850A6B-0A0B-4887-908D-8FBCA265CCCD}"/>
  </hyperlinks>
  <pageMargins left="0.7" right="0.7" top="0.75" bottom="0.75" header="0.3" footer="0.3"/>
  <pageSetup paperSize="9"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13AA-A8A0-4706-9FD9-D7C481A05741}">
  <sheetPr codeName="Sheet18"/>
  <dimension ref="A1:K24"/>
  <sheetViews>
    <sheetView showGridLines="0" zoomScaleNormal="100" workbookViewId="0">
      <pane xSplit="4" ySplit="6" topLeftCell="E7" activePane="bottomRight" state="frozen"/>
      <selection pane="bottomRight" activeCell="C35" sqref="C35"/>
      <selection pane="bottomLeft"/>
      <selection pane="topRight"/>
    </sheetView>
  </sheetViews>
  <sheetFormatPr defaultColWidth="8.77734375" defaultRowHeight="13.5"/>
  <cols>
    <col min="1" max="1" width="2.77734375" style="38" customWidth="1"/>
    <col min="2" max="2" width="3.5546875" style="38" bestFit="1" customWidth="1"/>
    <col min="3" max="3" width="17.21875" style="38" customWidth="1"/>
    <col min="4" max="11" width="19.77734375" style="38" customWidth="1"/>
    <col min="12" max="16384" width="8.77734375" style="38"/>
  </cols>
  <sheetData>
    <row r="1" spans="1:11" customFormat="1" ht="19.5">
      <c r="A1" s="8" t="s">
        <v>1203</v>
      </c>
    </row>
    <row r="2" spans="1:11" customFormat="1" ht="15"/>
    <row r="3" spans="1:11" customFormat="1" ht="15">
      <c r="A3" s="9" t="s">
        <v>67</v>
      </c>
    </row>
    <row r="4" spans="1:11">
      <c r="B4" s="279" t="s">
        <v>68</v>
      </c>
      <c r="C4" s="107"/>
      <c r="D4" s="106"/>
      <c r="E4" s="107" t="s">
        <v>88</v>
      </c>
      <c r="F4" s="164"/>
      <c r="G4" s="164"/>
      <c r="H4" s="164"/>
      <c r="I4" s="164"/>
      <c r="J4" s="164"/>
      <c r="K4" s="165"/>
    </row>
    <row r="5" spans="1:11">
      <c r="B5" s="281"/>
      <c r="C5" s="96" t="s">
        <v>1204</v>
      </c>
      <c r="D5" s="96" t="s">
        <v>80</v>
      </c>
      <c r="E5" s="96" t="s">
        <v>1205</v>
      </c>
      <c r="F5" s="96" t="s">
        <v>1206</v>
      </c>
      <c r="G5" s="96" t="s">
        <v>1207</v>
      </c>
      <c r="H5" s="96" t="s">
        <v>1196</v>
      </c>
      <c r="I5" s="96" t="s">
        <v>1208</v>
      </c>
      <c r="J5" s="96" t="s">
        <v>303</v>
      </c>
      <c r="K5" s="96" t="s">
        <v>1202</v>
      </c>
    </row>
    <row r="6" spans="1:11">
      <c r="B6" s="280"/>
      <c r="C6" s="4" t="s">
        <v>81</v>
      </c>
      <c r="D6" s="4" t="s">
        <v>81</v>
      </c>
      <c r="E6" s="4"/>
      <c r="F6" s="4"/>
      <c r="G6" s="4"/>
      <c r="H6" s="4"/>
      <c r="I6" s="4" t="s">
        <v>81</v>
      </c>
      <c r="J6" s="4"/>
      <c r="K6" s="4" t="s">
        <v>94</v>
      </c>
    </row>
    <row r="7" spans="1:11">
      <c r="B7" s="118">
        <f>ROW() - 6</f>
        <v>1</v>
      </c>
      <c r="C7" s="133"/>
      <c r="D7" s="133"/>
      <c r="E7" s="133"/>
      <c r="F7" s="133"/>
      <c r="G7" s="133"/>
      <c r="H7" s="133"/>
      <c r="I7" s="133"/>
      <c r="J7" s="133"/>
      <c r="K7" s="133"/>
    </row>
    <row r="8" spans="1:11">
      <c r="B8" s="118">
        <f t="shared" ref="B8:B24" si="0">ROW() - 6</f>
        <v>2</v>
      </c>
      <c r="C8" s="133"/>
      <c r="D8" s="133"/>
      <c r="E8" s="133"/>
      <c r="F8" s="133"/>
      <c r="G8" s="133"/>
      <c r="H8" s="133"/>
      <c r="I8" s="133"/>
      <c r="J8" s="133"/>
      <c r="K8" s="133"/>
    </row>
    <row r="9" spans="1:11">
      <c r="B9" s="118">
        <f t="shared" si="0"/>
        <v>3</v>
      </c>
      <c r="C9" s="133"/>
      <c r="D9" s="133"/>
      <c r="E9" s="133"/>
      <c r="F9" s="133"/>
      <c r="G9" s="133"/>
      <c r="H9" s="133"/>
      <c r="I9" s="133"/>
      <c r="J9" s="133"/>
      <c r="K9" s="133"/>
    </row>
    <row r="10" spans="1:11">
      <c r="B10" s="118">
        <f t="shared" si="0"/>
        <v>4</v>
      </c>
      <c r="C10" s="133"/>
      <c r="D10" s="133"/>
      <c r="E10" s="133"/>
      <c r="F10" s="133"/>
      <c r="G10" s="133"/>
      <c r="H10" s="133"/>
      <c r="I10" s="133"/>
      <c r="J10" s="133"/>
      <c r="K10" s="133"/>
    </row>
    <row r="11" spans="1:11">
      <c r="B11" s="118">
        <f t="shared" si="0"/>
        <v>5</v>
      </c>
      <c r="C11" s="133"/>
      <c r="D11" s="133"/>
      <c r="E11" s="133"/>
      <c r="F11" s="133"/>
      <c r="G11" s="133"/>
      <c r="H11" s="133"/>
      <c r="I11" s="133"/>
      <c r="J11" s="133"/>
      <c r="K11" s="133"/>
    </row>
    <row r="12" spans="1:11">
      <c r="B12" s="118">
        <f t="shared" si="0"/>
        <v>6</v>
      </c>
      <c r="C12" s="133"/>
      <c r="D12" s="133"/>
      <c r="E12" s="133"/>
      <c r="F12" s="133"/>
      <c r="G12" s="133"/>
      <c r="H12" s="133"/>
      <c r="I12" s="133"/>
      <c r="J12" s="133"/>
      <c r="K12" s="133"/>
    </row>
    <row r="13" spans="1:11">
      <c r="B13" s="118">
        <f t="shared" si="0"/>
        <v>7</v>
      </c>
      <c r="C13" s="133"/>
      <c r="D13" s="133"/>
      <c r="E13" s="133"/>
      <c r="F13" s="133"/>
      <c r="G13" s="133"/>
      <c r="H13" s="133"/>
      <c r="I13" s="133"/>
      <c r="J13" s="133"/>
      <c r="K13" s="133"/>
    </row>
    <row r="14" spans="1:11">
      <c r="B14" s="118">
        <f t="shared" si="0"/>
        <v>8</v>
      </c>
      <c r="C14" s="133"/>
      <c r="D14" s="133"/>
      <c r="E14" s="133"/>
      <c r="F14" s="133"/>
      <c r="G14" s="133"/>
      <c r="H14" s="133"/>
      <c r="I14" s="133"/>
      <c r="J14" s="133"/>
      <c r="K14" s="133"/>
    </row>
    <row r="15" spans="1:11">
      <c r="B15" s="118">
        <f t="shared" si="0"/>
        <v>9</v>
      </c>
      <c r="C15" s="133"/>
      <c r="D15" s="133"/>
      <c r="E15" s="133"/>
      <c r="F15" s="133"/>
      <c r="G15" s="133"/>
      <c r="H15" s="133"/>
      <c r="I15" s="133"/>
      <c r="J15" s="133"/>
      <c r="K15" s="133"/>
    </row>
    <row r="16" spans="1:11">
      <c r="B16" s="118">
        <f t="shared" si="0"/>
        <v>10</v>
      </c>
      <c r="C16" s="133"/>
      <c r="D16" s="133"/>
      <c r="E16" s="133"/>
      <c r="F16" s="133"/>
      <c r="G16" s="133"/>
      <c r="H16" s="133"/>
      <c r="I16" s="133"/>
      <c r="J16" s="133"/>
      <c r="K16" s="133"/>
    </row>
    <row r="17" spans="2:11">
      <c r="B17" s="118">
        <f t="shared" si="0"/>
        <v>11</v>
      </c>
      <c r="C17" s="133"/>
      <c r="D17" s="133"/>
      <c r="E17" s="133"/>
      <c r="F17" s="133"/>
      <c r="G17" s="133"/>
      <c r="H17" s="133"/>
      <c r="I17" s="133"/>
      <c r="J17" s="133"/>
      <c r="K17" s="133"/>
    </row>
    <row r="18" spans="2:11">
      <c r="B18" s="118">
        <f t="shared" si="0"/>
        <v>12</v>
      </c>
      <c r="C18" s="118"/>
      <c r="D18" s="118"/>
      <c r="E18" s="118"/>
      <c r="F18" s="118"/>
      <c r="G18" s="118"/>
      <c r="H18" s="118"/>
      <c r="I18" s="118"/>
      <c r="J18" s="118"/>
      <c r="K18" s="118"/>
    </row>
    <row r="19" spans="2:11">
      <c r="B19" s="118">
        <f t="shared" si="0"/>
        <v>13</v>
      </c>
      <c r="C19" s="133"/>
      <c r="D19" s="133"/>
      <c r="E19" s="133"/>
      <c r="F19" s="133"/>
      <c r="G19" s="133"/>
      <c r="H19" s="133"/>
      <c r="I19" s="133"/>
      <c r="J19" s="133"/>
      <c r="K19" s="133"/>
    </row>
    <row r="20" spans="2:11">
      <c r="B20" s="118">
        <f t="shared" si="0"/>
        <v>14</v>
      </c>
      <c r="C20" s="133"/>
      <c r="D20" s="133"/>
      <c r="E20" s="133"/>
      <c r="F20" s="133"/>
      <c r="G20" s="133"/>
      <c r="H20" s="133"/>
      <c r="I20" s="133"/>
      <c r="J20" s="133"/>
      <c r="K20" s="133"/>
    </row>
    <row r="21" spans="2:11">
      <c r="B21" s="118">
        <f t="shared" si="0"/>
        <v>15</v>
      </c>
      <c r="C21" s="133"/>
      <c r="D21" s="133"/>
      <c r="E21" s="133"/>
      <c r="F21" s="133"/>
      <c r="G21" s="133"/>
      <c r="H21" s="133"/>
      <c r="I21" s="133"/>
      <c r="J21" s="133"/>
      <c r="K21" s="133"/>
    </row>
    <row r="22" spans="2:11">
      <c r="B22" s="118">
        <f t="shared" si="0"/>
        <v>16</v>
      </c>
      <c r="C22" s="133"/>
      <c r="D22" s="133"/>
      <c r="E22" s="133"/>
      <c r="F22" s="133"/>
      <c r="G22" s="133"/>
      <c r="H22" s="133"/>
      <c r="I22" s="133"/>
      <c r="J22" s="133"/>
      <c r="K22" s="133"/>
    </row>
    <row r="23" spans="2:11">
      <c r="B23" s="118">
        <f t="shared" si="0"/>
        <v>17</v>
      </c>
      <c r="C23" s="133"/>
      <c r="D23" s="133"/>
      <c r="E23" s="133"/>
      <c r="F23" s="133"/>
      <c r="G23" s="133"/>
      <c r="H23" s="133"/>
      <c r="I23" s="133"/>
      <c r="J23" s="133"/>
      <c r="K23" s="133"/>
    </row>
    <row r="24" spans="2:11">
      <c r="B24" s="118">
        <f t="shared" si="0"/>
        <v>18</v>
      </c>
      <c r="C24" s="133"/>
      <c r="D24" s="133"/>
      <c r="E24" s="133"/>
      <c r="F24" s="133"/>
      <c r="G24" s="133"/>
      <c r="H24" s="133"/>
      <c r="I24" s="133"/>
      <c r="J24" s="133"/>
      <c r="K24" s="133"/>
    </row>
  </sheetData>
  <sheetProtection insertRows="0" deleteRows="0" sort="0" autoFilter="0"/>
  <dataConsolidate/>
  <mergeCells count="1">
    <mergeCell ref="B4:B6"/>
  </mergeCells>
  <phoneticPr fontId="12"/>
  <hyperlinks>
    <hyperlink ref="A3" location="パラメータ設定一覧!A1" display="パラメータ設定一覧へ" xr:uid="{8939CFFD-B867-40EE-B382-4737C15B9DBB}"/>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3820F-BA7B-4064-92A8-F8B029E88A9F}">
  <sheetPr codeName="Sheet19"/>
  <dimension ref="A1:L15"/>
  <sheetViews>
    <sheetView showGridLines="0" zoomScaleNormal="100" workbookViewId="0">
      <pane xSplit="6" ySplit="5" topLeftCell="I6" activePane="bottomRight" state="frozen"/>
      <selection pane="bottomRight" activeCell="K6" sqref="K6:K11"/>
      <selection pane="bottomLeft" activeCell="G6" sqref="G6"/>
      <selection pane="topRight" activeCell="G6" sqref="G6"/>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8" t="s">
        <v>1209</v>
      </c>
      <c r="C1" s="38"/>
      <c r="D1" s="38"/>
      <c r="E1" s="38"/>
      <c r="F1" s="38"/>
      <c r="G1" s="38"/>
      <c r="H1" s="38"/>
      <c r="I1" s="40"/>
    </row>
    <row r="2" spans="1:12" customFormat="1" ht="15">
      <c r="B2" t="s">
        <v>1210</v>
      </c>
      <c r="C2" s="38"/>
      <c r="D2" s="38"/>
      <c r="E2" s="38"/>
      <c r="F2" s="38"/>
      <c r="G2" s="38"/>
      <c r="H2" s="38"/>
      <c r="I2" s="40"/>
    </row>
    <row r="3" spans="1:12" customFormat="1" ht="15">
      <c r="A3" s="9"/>
      <c r="B3" t="s">
        <v>1211</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c r="B6" s="19">
        <f>ROW() - 5</f>
        <v>1</v>
      </c>
      <c r="C6" s="14"/>
      <c r="D6" s="14"/>
      <c r="E6" s="101"/>
      <c r="F6" s="20" t="s">
        <v>1212</v>
      </c>
      <c r="G6" s="20"/>
      <c r="H6" s="39" t="s">
        <v>81</v>
      </c>
      <c r="I6" s="37" t="s">
        <v>374</v>
      </c>
      <c r="J6" s="21"/>
      <c r="K6" s="1" t="s">
        <v>1213</v>
      </c>
      <c r="L6" s="2"/>
    </row>
    <row r="7" spans="1:12" ht="27">
      <c r="B7" s="19">
        <f t="shared" ref="B7:B9" si="0">ROW() - 5</f>
        <v>2</v>
      </c>
      <c r="C7" s="73"/>
      <c r="D7" s="35"/>
      <c r="E7" s="102"/>
      <c r="F7" s="20" t="s">
        <v>1214</v>
      </c>
      <c r="G7" s="20"/>
      <c r="H7" s="39" t="s">
        <v>81</v>
      </c>
      <c r="I7" s="37" t="s">
        <v>374</v>
      </c>
      <c r="J7" s="21"/>
      <c r="K7" s="1" t="s">
        <v>1215</v>
      </c>
      <c r="L7" s="2"/>
    </row>
    <row r="8" spans="1:12">
      <c r="B8" s="19">
        <f t="shared" si="0"/>
        <v>3</v>
      </c>
      <c r="C8" s="73"/>
      <c r="D8" s="35"/>
      <c r="E8" s="102"/>
      <c r="F8" s="20" t="s">
        <v>1216</v>
      </c>
      <c r="G8" s="20"/>
      <c r="H8" s="39" t="s">
        <v>81</v>
      </c>
      <c r="I8" s="37" t="s">
        <v>374</v>
      </c>
      <c r="J8" s="21"/>
      <c r="K8" s="1" t="s">
        <v>1217</v>
      </c>
      <c r="L8" s="2"/>
    </row>
    <row r="9" spans="1:12" ht="27">
      <c r="B9" s="19">
        <f t="shared" si="0"/>
        <v>4</v>
      </c>
      <c r="C9" s="73"/>
      <c r="D9" s="35"/>
      <c r="E9" s="73"/>
      <c r="F9" s="20" t="s">
        <v>1218</v>
      </c>
      <c r="G9" s="20"/>
      <c r="H9" s="39" t="s">
        <v>81</v>
      </c>
      <c r="I9" s="37" t="s">
        <v>374</v>
      </c>
      <c r="J9" s="21"/>
      <c r="K9" s="1" t="s">
        <v>1219</v>
      </c>
      <c r="L9" s="2"/>
    </row>
    <row r="10" spans="1:12">
      <c r="B10" s="19">
        <f>ROW() - 5</f>
        <v>5</v>
      </c>
      <c r="C10" s="14" t="s">
        <v>88</v>
      </c>
      <c r="D10" s="43"/>
      <c r="E10" s="14"/>
      <c r="F10" s="20" t="s">
        <v>1220</v>
      </c>
      <c r="G10" s="20"/>
      <c r="H10" s="39" t="s">
        <v>1221</v>
      </c>
      <c r="I10" s="37" t="s">
        <v>374</v>
      </c>
      <c r="J10" s="21"/>
      <c r="K10" s="1" t="s">
        <v>1222</v>
      </c>
      <c r="L10" s="2"/>
    </row>
    <row r="11" spans="1:12" ht="40.5">
      <c r="B11" s="19">
        <f>ROW() - 5</f>
        <v>6</v>
      </c>
      <c r="C11" s="73"/>
      <c r="D11" s="73"/>
      <c r="E11" s="73"/>
      <c r="F11" s="20" t="s">
        <v>1223</v>
      </c>
      <c r="G11" s="20"/>
      <c r="H11" s="39" t="s">
        <v>1224</v>
      </c>
      <c r="I11" s="37" t="s">
        <v>1225</v>
      </c>
      <c r="J11" s="21"/>
      <c r="K11" s="1" t="s">
        <v>1225</v>
      </c>
      <c r="L11" s="2"/>
    </row>
    <row r="12" spans="1:12">
      <c r="B12" s="19">
        <f t="shared" ref="B12" si="1">ROW() - 5</f>
        <v>7</v>
      </c>
      <c r="C12" s="73"/>
      <c r="D12" s="73"/>
      <c r="E12" s="73"/>
      <c r="F12" s="20" t="s">
        <v>1226</v>
      </c>
      <c r="G12" s="20"/>
      <c r="H12" s="39" t="s">
        <v>1227</v>
      </c>
      <c r="I12" s="37" t="s">
        <v>374</v>
      </c>
      <c r="J12" s="21"/>
      <c r="K12" s="1"/>
      <c r="L12" s="2"/>
    </row>
    <row r="13" spans="1:12" ht="27">
      <c r="B13" s="19">
        <f>ROW() - 5</f>
        <v>8</v>
      </c>
      <c r="C13" s="14" t="s">
        <v>1228</v>
      </c>
      <c r="D13" s="43"/>
      <c r="E13" s="14"/>
      <c r="F13" s="20" t="s">
        <v>104</v>
      </c>
      <c r="G13" s="20"/>
      <c r="H13" s="39" t="s">
        <v>1221</v>
      </c>
      <c r="I13" s="37" t="s">
        <v>374</v>
      </c>
      <c r="J13" s="21"/>
      <c r="K13" s="1" t="s">
        <v>1229</v>
      </c>
      <c r="L13" s="2"/>
    </row>
    <row r="14" spans="1:12" ht="27">
      <c r="B14" s="19">
        <f>ROW() - 5</f>
        <v>9</v>
      </c>
      <c r="C14" s="73"/>
      <c r="D14" s="73"/>
      <c r="E14" s="73"/>
      <c r="F14" s="20" t="s">
        <v>1230</v>
      </c>
      <c r="G14" s="20"/>
      <c r="H14" s="39" t="s">
        <v>81</v>
      </c>
      <c r="I14" s="37" t="s">
        <v>374</v>
      </c>
      <c r="J14" s="21"/>
      <c r="K14" s="1" t="s">
        <v>1229</v>
      </c>
      <c r="L14" s="2"/>
    </row>
    <row r="15" spans="1:12" ht="27">
      <c r="B15" s="19">
        <f t="shared" ref="B15" si="2">ROW() - 5</f>
        <v>10</v>
      </c>
      <c r="C15" s="17"/>
      <c r="D15" s="17"/>
      <c r="E15" s="17"/>
      <c r="F15" s="20" t="s">
        <v>1231</v>
      </c>
      <c r="G15" s="20"/>
      <c r="H15" s="39" t="s">
        <v>1232</v>
      </c>
      <c r="I15" s="37" t="s">
        <v>1233</v>
      </c>
      <c r="J15" s="21"/>
      <c r="K15" s="1" t="s">
        <v>1229</v>
      </c>
      <c r="L15" s="2"/>
    </row>
  </sheetData>
  <phoneticPr fontId="12"/>
  <hyperlinks>
    <hyperlink ref="A4" location="パラメータ設定一覧!A1" display="パラメータ設定一覧へ" xr:uid="{6B92AB29-2431-472B-8ACB-6A69D572E708}"/>
  </hyperlinks>
  <pageMargins left="0.7" right="0.7" top="0.75" bottom="0.75" header="0.3" footer="0.3"/>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846E-43EE-4EFC-921C-9ABEC748A8E6}">
  <sheetPr codeName="Sheet20"/>
  <dimension ref="A1:E24"/>
  <sheetViews>
    <sheetView showGridLines="0" zoomScaleNormal="100" workbookViewId="0">
      <pane ySplit="6" topLeftCell="A7" activePane="bottomLeft" state="frozen"/>
      <selection pane="bottomLeft" activeCell="C7" sqref="C7:E7"/>
      <selection activeCell="G6" sqref="G6"/>
    </sheetView>
  </sheetViews>
  <sheetFormatPr defaultColWidth="8.77734375" defaultRowHeight="13.5"/>
  <cols>
    <col min="1" max="1" width="2.77734375" style="38" customWidth="1"/>
    <col min="2" max="2" width="3.5546875" style="38" bestFit="1" customWidth="1"/>
    <col min="3" max="3" width="17.21875" style="38" customWidth="1"/>
    <col min="4" max="5" width="19.77734375" style="38" customWidth="1"/>
    <col min="6" max="16384" width="8.77734375" style="38"/>
  </cols>
  <sheetData>
    <row r="1" spans="1:5" customFormat="1" ht="19.5">
      <c r="A1" s="8" t="s">
        <v>1234</v>
      </c>
    </row>
    <row r="2" spans="1:5" customFormat="1" ht="15"/>
    <row r="3" spans="1:5" customFormat="1" ht="15">
      <c r="A3" s="9" t="s">
        <v>67</v>
      </c>
    </row>
    <row r="4" spans="1:5" ht="13.5" customHeight="1">
      <c r="B4" s="279" t="s">
        <v>68</v>
      </c>
      <c r="C4" s="166" t="s">
        <v>1235</v>
      </c>
      <c r="D4" s="66"/>
      <c r="E4" s="67"/>
    </row>
    <row r="5" spans="1:5">
      <c r="B5" s="281"/>
      <c r="C5" s="96" t="s">
        <v>104</v>
      </c>
      <c r="D5" s="96" t="s">
        <v>1230</v>
      </c>
      <c r="E5" s="96" t="s">
        <v>1231</v>
      </c>
    </row>
    <row r="6" spans="1:5">
      <c r="B6" s="280"/>
      <c r="C6" s="4" t="s">
        <v>1236</v>
      </c>
      <c r="D6" s="4" t="s">
        <v>81</v>
      </c>
      <c r="E6" s="4" t="s">
        <v>1232</v>
      </c>
    </row>
    <row r="7" spans="1:5">
      <c r="B7" s="118">
        <f>ROW() - 6</f>
        <v>1</v>
      </c>
      <c r="C7" s="133" t="s">
        <v>377</v>
      </c>
      <c r="D7" s="133" t="s">
        <v>1237</v>
      </c>
      <c r="E7" s="133" t="s">
        <v>1238</v>
      </c>
    </row>
    <row r="8" spans="1:5">
      <c r="B8" s="118">
        <f t="shared" ref="B8:B24" si="0">ROW() - 6</f>
        <v>2</v>
      </c>
      <c r="C8" s="133"/>
      <c r="D8" s="133"/>
      <c r="E8" s="133"/>
    </row>
    <row r="9" spans="1:5">
      <c r="B9" s="118">
        <f t="shared" si="0"/>
        <v>3</v>
      </c>
      <c r="C9" s="133"/>
      <c r="D9" s="133"/>
      <c r="E9" s="133"/>
    </row>
    <row r="10" spans="1:5">
      <c r="B10" s="118">
        <f t="shared" si="0"/>
        <v>4</v>
      </c>
      <c r="C10" s="133"/>
      <c r="D10" s="133"/>
      <c r="E10" s="133"/>
    </row>
    <row r="11" spans="1:5">
      <c r="B11" s="118">
        <f t="shared" si="0"/>
        <v>5</v>
      </c>
      <c r="C11" s="133"/>
      <c r="D11" s="133"/>
      <c r="E11" s="133"/>
    </row>
    <row r="12" spans="1:5">
      <c r="B12" s="118">
        <f t="shared" si="0"/>
        <v>6</v>
      </c>
      <c r="C12" s="133"/>
      <c r="D12" s="133"/>
      <c r="E12" s="133"/>
    </row>
    <row r="13" spans="1:5">
      <c r="B13" s="118">
        <f t="shared" si="0"/>
        <v>7</v>
      </c>
      <c r="C13" s="133"/>
      <c r="D13" s="133"/>
      <c r="E13" s="133"/>
    </row>
    <row r="14" spans="1:5">
      <c r="B14" s="118">
        <f t="shared" si="0"/>
        <v>8</v>
      </c>
      <c r="C14" s="133"/>
      <c r="D14" s="133"/>
      <c r="E14" s="133"/>
    </row>
    <row r="15" spans="1:5">
      <c r="B15" s="118">
        <f t="shared" si="0"/>
        <v>9</v>
      </c>
      <c r="C15" s="133"/>
      <c r="D15" s="133"/>
      <c r="E15" s="133"/>
    </row>
    <row r="16" spans="1:5">
      <c r="B16" s="118">
        <f t="shared" si="0"/>
        <v>10</v>
      </c>
      <c r="C16" s="133"/>
      <c r="D16" s="133"/>
      <c r="E16" s="133"/>
    </row>
    <row r="17" spans="2:5">
      <c r="B17" s="118">
        <f t="shared" si="0"/>
        <v>11</v>
      </c>
      <c r="C17" s="133"/>
      <c r="D17" s="133"/>
      <c r="E17" s="133"/>
    </row>
    <row r="18" spans="2:5">
      <c r="B18" s="118">
        <f t="shared" si="0"/>
        <v>12</v>
      </c>
      <c r="C18" s="118"/>
      <c r="D18" s="118"/>
      <c r="E18" s="118"/>
    </row>
    <row r="19" spans="2:5">
      <c r="B19" s="118">
        <f t="shared" si="0"/>
        <v>13</v>
      </c>
      <c r="C19" s="133"/>
      <c r="D19" s="133"/>
      <c r="E19" s="133"/>
    </row>
    <row r="20" spans="2:5">
      <c r="B20" s="118">
        <f t="shared" si="0"/>
        <v>14</v>
      </c>
      <c r="C20" s="133"/>
      <c r="D20" s="133"/>
      <c r="E20" s="133"/>
    </row>
    <row r="21" spans="2:5">
      <c r="B21" s="118">
        <f t="shared" si="0"/>
        <v>15</v>
      </c>
      <c r="C21" s="133"/>
      <c r="D21" s="133"/>
      <c r="E21" s="133"/>
    </row>
    <row r="22" spans="2:5">
      <c r="B22" s="118">
        <f t="shared" si="0"/>
        <v>16</v>
      </c>
      <c r="C22" s="133"/>
      <c r="D22" s="133"/>
      <c r="E22" s="133"/>
    </row>
    <row r="23" spans="2:5">
      <c r="B23" s="118">
        <f t="shared" si="0"/>
        <v>17</v>
      </c>
      <c r="C23" s="133"/>
      <c r="D23" s="133"/>
      <c r="E23" s="133"/>
    </row>
    <row r="24" spans="2:5">
      <c r="B24" s="118">
        <f t="shared" si="0"/>
        <v>18</v>
      </c>
      <c r="C24" s="133"/>
      <c r="D24" s="133"/>
      <c r="E24" s="133"/>
    </row>
  </sheetData>
  <sheetProtection insertRows="0" deleteRows="0" sort="0" autoFilter="0"/>
  <dataConsolidate/>
  <mergeCells count="1">
    <mergeCell ref="B4:B6"/>
  </mergeCells>
  <phoneticPr fontId="12"/>
  <hyperlinks>
    <hyperlink ref="A3" location="パラメータ設定一覧!A1" display="パラメータ設定一覧へ" xr:uid="{E10DBFD6-AB37-4D99-978F-ED7E40027A1B}"/>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1A20-45D3-49CB-95D9-FC8BC8595B7A}">
  <dimension ref="A1:L9"/>
  <sheetViews>
    <sheetView showGridLines="0" zoomScaleNormal="100" workbookViewId="0">
      <pane xSplit="6" ySplit="5" topLeftCell="H6" activePane="bottomRight" state="frozen"/>
      <selection pane="bottomRight" activeCell="B3" sqref="B3"/>
      <selection pane="bottomLeft" activeCell="A3" sqref="A3"/>
      <selection pane="topRight" activeCell="A3" sqref="A3"/>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8" t="s">
        <v>61</v>
      </c>
      <c r="C1" s="38"/>
      <c r="D1" s="38"/>
      <c r="E1" s="38"/>
      <c r="F1" s="38"/>
      <c r="G1" s="38"/>
      <c r="H1" s="38"/>
      <c r="I1" s="40"/>
    </row>
    <row r="2" spans="1:12" customFormat="1" ht="15">
      <c r="B2" t="s">
        <v>1239</v>
      </c>
      <c r="C2" s="38"/>
      <c r="D2" s="38"/>
      <c r="E2" s="38"/>
      <c r="F2" s="38"/>
      <c r="G2" s="38"/>
      <c r="H2" s="38"/>
      <c r="I2" s="40"/>
    </row>
    <row r="3" spans="1:12" customFormat="1" ht="15">
      <c r="A3" s="185"/>
      <c r="B3" t="s">
        <v>1240</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ht="27">
      <c r="B6" s="19">
        <f>ROW() - 5</f>
        <v>1</v>
      </c>
      <c r="C6" s="14"/>
      <c r="D6" s="14"/>
      <c r="E6" s="101"/>
      <c r="F6" s="20" t="s">
        <v>1241</v>
      </c>
      <c r="G6" s="20"/>
      <c r="H6" s="39" t="s">
        <v>81</v>
      </c>
      <c r="I6" s="37" t="s">
        <v>374</v>
      </c>
      <c r="J6" s="21"/>
      <c r="K6" s="1" t="s">
        <v>1242</v>
      </c>
      <c r="L6" s="2"/>
    </row>
    <row r="7" spans="1:12" ht="27">
      <c r="B7" s="19">
        <f t="shared" ref="B7:B9" si="0">ROW() - 5</f>
        <v>2</v>
      </c>
      <c r="C7" s="73"/>
      <c r="D7" s="35"/>
      <c r="E7" s="102"/>
      <c r="F7" s="20" t="s">
        <v>80</v>
      </c>
      <c r="G7" s="20"/>
      <c r="H7" s="39" t="s">
        <v>81</v>
      </c>
      <c r="I7" s="37" t="s">
        <v>374</v>
      </c>
      <c r="J7" s="21"/>
      <c r="K7" s="1" t="s">
        <v>1242</v>
      </c>
      <c r="L7" s="2"/>
    </row>
    <row r="8" spans="1:12" ht="27">
      <c r="B8" s="19">
        <f t="shared" si="0"/>
        <v>3</v>
      </c>
      <c r="C8" s="73"/>
      <c r="D8" s="35"/>
      <c r="E8" s="102"/>
      <c r="F8" s="20" t="s">
        <v>1243</v>
      </c>
      <c r="G8" s="20"/>
      <c r="H8" s="39" t="s">
        <v>1244</v>
      </c>
      <c r="I8" s="37" t="s">
        <v>374</v>
      </c>
      <c r="J8" s="21"/>
      <c r="K8" s="1" t="s">
        <v>1242</v>
      </c>
      <c r="L8" s="2"/>
    </row>
    <row r="9" spans="1:12" ht="27">
      <c r="B9" s="19">
        <f t="shared" si="0"/>
        <v>4</v>
      </c>
      <c r="C9" s="17"/>
      <c r="D9" s="36"/>
      <c r="E9" s="17"/>
      <c r="F9" s="20" t="s">
        <v>1245</v>
      </c>
      <c r="G9" s="20"/>
      <c r="H9" s="39" t="s">
        <v>158</v>
      </c>
      <c r="I9" s="37" t="s">
        <v>374</v>
      </c>
      <c r="J9" s="21"/>
      <c r="K9" s="1" t="s">
        <v>1242</v>
      </c>
      <c r="L9" s="2"/>
    </row>
  </sheetData>
  <phoneticPr fontId="12"/>
  <hyperlinks>
    <hyperlink ref="A4" location="パラメータ設定一覧!A1" display="パラメータ設定一覧へ" xr:uid="{604D6895-7105-4BBA-BA4B-BA0A3BC34C33}"/>
  </hyperlinks>
  <pageMargins left="0.7" right="0.7" top="0.75" bottom="0.75" header="0.3" footer="0.3"/>
  <pageSetup paperSize="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C939-2E7F-4697-85BE-9165C19317CB}">
  <dimension ref="A1:F24"/>
  <sheetViews>
    <sheetView showGridLines="0" zoomScaleNormal="100" workbookViewId="0">
      <pane ySplit="6" topLeftCell="A7" activePane="bottomLeft" state="frozen"/>
      <selection pane="bottomLeft"/>
      <selection activeCell="A3" sqref="A3"/>
    </sheetView>
  </sheetViews>
  <sheetFormatPr defaultColWidth="8.77734375" defaultRowHeight="13.5"/>
  <cols>
    <col min="1" max="1" width="2.77734375" style="38" customWidth="1"/>
    <col min="2" max="2" width="3.5546875" style="38" bestFit="1" customWidth="1"/>
    <col min="3" max="3" width="17.21875" style="38" customWidth="1"/>
    <col min="4" max="6" width="19.77734375" style="38" customWidth="1"/>
    <col min="7" max="16384" width="8.77734375" style="38"/>
  </cols>
  <sheetData>
    <row r="1" spans="1:6" customFormat="1" ht="19.5">
      <c r="A1" s="8" t="s">
        <v>1246</v>
      </c>
    </row>
    <row r="2" spans="1:6" customFormat="1" ht="15">
      <c r="A2" t="s">
        <v>1247</v>
      </c>
    </row>
    <row r="3" spans="1:6" customFormat="1" ht="15">
      <c r="A3" s="9" t="s">
        <v>67</v>
      </c>
    </row>
    <row r="4" spans="1:6" ht="13.5" customHeight="1">
      <c r="B4" s="279" t="s">
        <v>68</v>
      </c>
      <c r="C4" s="166"/>
      <c r="D4" s="66"/>
      <c r="E4" s="66"/>
      <c r="F4" s="106"/>
    </row>
    <row r="5" spans="1:6">
      <c r="B5" s="281"/>
      <c r="C5" s="178" t="s">
        <v>1241</v>
      </c>
      <c r="D5" s="178" t="s">
        <v>80</v>
      </c>
      <c r="E5" s="178" t="s">
        <v>1243</v>
      </c>
      <c r="F5" s="178" t="s">
        <v>1245</v>
      </c>
    </row>
    <row r="6" spans="1:6">
      <c r="B6" s="280"/>
      <c r="C6" s="179" t="s">
        <v>81</v>
      </c>
      <c r="D6" s="179" t="s">
        <v>81</v>
      </c>
      <c r="E6" s="179" t="s">
        <v>1244</v>
      </c>
      <c r="F6" s="179" t="s">
        <v>158</v>
      </c>
    </row>
    <row r="7" spans="1:6">
      <c r="B7" s="118">
        <f>ROW() - 6</f>
        <v>1</v>
      </c>
      <c r="C7" s="133" t="s">
        <v>1248</v>
      </c>
      <c r="D7" s="133" t="s">
        <v>1248</v>
      </c>
      <c r="E7" s="133"/>
      <c r="F7" s="133"/>
    </row>
    <row r="8" spans="1:6">
      <c r="B8" s="118">
        <f t="shared" ref="B8:B24" si="0">ROW() - 6</f>
        <v>2</v>
      </c>
      <c r="C8" s="133"/>
      <c r="D8" s="133"/>
      <c r="E8" s="133"/>
      <c r="F8" s="133"/>
    </row>
    <row r="9" spans="1:6">
      <c r="B9" s="118">
        <f t="shared" si="0"/>
        <v>3</v>
      </c>
      <c r="C9" s="133"/>
      <c r="D9" s="133"/>
      <c r="E9" s="133"/>
      <c r="F9" s="133"/>
    </row>
    <row r="10" spans="1:6">
      <c r="B10" s="118">
        <f t="shared" si="0"/>
        <v>4</v>
      </c>
      <c r="C10" s="133"/>
      <c r="D10" s="133"/>
      <c r="E10" s="133"/>
      <c r="F10" s="133"/>
    </row>
    <row r="11" spans="1:6">
      <c r="B11" s="118">
        <f t="shared" si="0"/>
        <v>5</v>
      </c>
      <c r="C11" s="133"/>
      <c r="D11" s="133"/>
      <c r="E11" s="133"/>
      <c r="F11" s="133"/>
    </row>
    <row r="12" spans="1:6">
      <c r="B12" s="118">
        <f t="shared" si="0"/>
        <v>6</v>
      </c>
      <c r="C12" s="133"/>
      <c r="D12" s="133"/>
      <c r="E12" s="133"/>
      <c r="F12" s="133"/>
    </row>
    <row r="13" spans="1:6">
      <c r="B13" s="118">
        <f t="shared" si="0"/>
        <v>7</v>
      </c>
      <c r="C13" s="133"/>
      <c r="D13" s="133"/>
      <c r="E13" s="133"/>
      <c r="F13" s="133"/>
    </row>
    <row r="14" spans="1:6">
      <c r="B14" s="118">
        <f t="shared" si="0"/>
        <v>8</v>
      </c>
      <c r="C14" s="133"/>
      <c r="D14" s="133"/>
      <c r="E14" s="133"/>
      <c r="F14" s="133"/>
    </row>
    <row r="15" spans="1:6">
      <c r="B15" s="118">
        <f t="shared" si="0"/>
        <v>9</v>
      </c>
      <c r="C15" s="133"/>
      <c r="D15" s="133"/>
      <c r="E15" s="133"/>
      <c r="F15" s="133"/>
    </row>
    <row r="16" spans="1:6">
      <c r="B16" s="118">
        <f t="shared" si="0"/>
        <v>10</v>
      </c>
      <c r="C16" s="133"/>
      <c r="D16" s="133"/>
      <c r="E16" s="133"/>
      <c r="F16" s="133"/>
    </row>
    <row r="17" spans="2:6">
      <c r="B17" s="118">
        <f t="shared" si="0"/>
        <v>11</v>
      </c>
      <c r="C17" s="133"/>
      <c r="D17" s="133"/>
      <c r="E17" s="133"/>
      <c r="F17" s="133"/>
    </row>
    <row r="18" spans="2:6">
      <c r="B18" s="118">
        <f t="shared" si="0"/>
        <v>12</v>
      </c>
      <c r="C18" s="118"/>
      <c r="D18" s="118"/>
      <c r="E18" s="118"/>
      <c r="F18" s="118"/>
    </row>
    <row r="19" spans="2:6">
      <c r="B19" s="118">
        <f t="shared" si="0"/>
        <v>13</v>
      </c>
      <c r="C19" s="133"/>
      <c r="D19" s="133"/>
      <c r="E19" s="133"/>
      <c r="F19" s="133"/>
    </row>
    <row r="20" spans="2:6">
      <c r="B20" s="118">
        <f t="shared" si="0"/>
        <v>14</v>
      </c>
      <c r="C20" s="133"/>
      <c r="D20" s="133"/>
      <c r="E20" s="133"/>
      <c r="F20" s="133"/>
    </row>
    <row r="21" spans="2:6">
      <c r="B21" s="118">
        <f t="shared" si="0"/>
        <v>15</v>
      </c>
      <c r="C21" s="133"/>
      <c r="D21" s="133"/>
      <c r="E21" s="133"/>
      <c r="F21" s="133"/>
    </row>
    <row r="22" spans="2:6">
      <c r="B22" s="118">
        <f t="shared" si="0"/>
        <v>16</v>
      </c>
      <c r="C22" s="133"/>
      <c r="D22" s="133"/>
      <c r="E22" s="133"/>
      <c r="F22" s="133"/>
    </row>
    <row r="23" spans="2:6">
      <c r="B23" s="118">
        <f t="shared" si="0"/>
        <v>17</v>
      </c>
      <c r="C23" s="133"/>
      <c r="D23" s="133"/>
      <c r="E23" s="133"/>
      <c r="F23" s="133"/>
    </row>
    <row r="24" spans="2:6">
      <c r="B24" s="118">
        <f t="shared" si="0"/>
        <v>18</v>
      </c>
      <c r="C24" s="133"/>
      <c r="D24" s="133"/>
      <c r="E24" s="133"/>
      <c r="F24" s="133"/>
    </row>
  </sheetData>
  <sheetProtection insertRows="0" deleteRows="0" sort="0" autoFilter="0"/>
  <dataConsolidate/>
  <mergeCells count="1">
    <mergeCell ref="B4:B6"/>
  </mergeCells>
  <phoneticPr fontId="12"/>
  <hyperlinks>
    <hyperlink ref="A3" location="パラメータ設定一覧!A1" display="パラメータ設定一覧へ" xr:uid="{0BEE0E55-4A27-4A66-A9EA-125A37D8432C}"/>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4F649-49E1-40F5-96F3-365699B10D05}">
  <dimension ref="A1:L35"/>
  <sheetViews>
    <sheetView showGridLines="0" zoomScaleNormal="100" workbookViewId="0">
      <pane xSplit="6" ySplit="5" topLeftCell="G6" activePane="bottomRight" state="frozen"/>
      <selection pane="bottomRight" activeCell="A4" sqref="A4"/>
      <selection pane="bottomLeft" activeCell="A3" sqref="A3"/>
      <selection pane="topRight" activeCell="A3" sqref="A3"/>
    </sheetView>
  </sheetViews>
  <sheetFormatPr defaultColWidth="8.77734375" defaultRowHeight="13.5"/>
  <cols>
    <col min="1" max="1" width="2.77734375" style="38" customWidth="1"/>
    <col min="2" max="2" width="3.77734375" style="38" customWidth="1"/>
    <col min="3" max="3" width="16.77734375" style="38" customWidth="1"/>
    <col min="4" max="4" width="19.21875" style="38" customWidth="1"/>
    <col min="5" max="5" width="16.5546875" style="38" customWidth="1"/>
    <col min="6" max="6" width="22.5546875" style="38" customWidth="1"/>
    <col min="7" max="7" width="44.6640625" style="38" customWidth="1"/>
    <col min="8" max="8" width="27.5546875" style="38" customWidth="1"/>
    <col min="9" max="9" width="17.44140625" style="40" customWidth="1"/>
    <col min="10" max="10" width="22.44140625" style="38" customWidth="1"/>
    <col min="11" max="11" width="18.21875" style="38" customWidth="1"/>
    <col min="12" max="12" width="13.21875" style="38" customWidth="1"/>
    <col min="13" max="16384" width="8.77734375" style="38"/>
  </cols>
  <sheetData>
    <row r="1" spans="1:12" customFormat="1" ht="19.5">
      <c r="A1" s="8" t="s">
        <v>63</v>
      </c>
      <c r="C1" s="38"/>
      <c r="D1" s="38"/>
      <c r="E1" s="38"/>
      <c r="F1" s="38"/>
      <c r="G1" s="38"/>
      <c r="H1" s="38"/>
      <c r="I1" s="40"/>
    </row>
    <row r="2" spans="1:12" customFormat="1" ht="15">
      <c r="B2" t="s">
        <v>1249</v>
      </c>
      <c r="C2" s="38"/>
      <c r="D2" s="38"/>
      <c r="E2" s="38"/>
      <c r="F2" s="38"/>
      <c r="G2" s="38"/>
      <c r="H2" s="38"/>
      <c r="I2" s="40"/>
    </row>
    <row r="3" spans="1:12" customFormat="1" ht="15">
      <c r="A3" s="185"/>
      <c r="B3" t="s">
        <v>1250</v>
      </c>
      <c r="C3" s="38"/>
      <c r="D3" s="38"/>
      <c r="E3" s="38"/>
      <c r="F3" s="38"/>
      <c r="G3" s="38"/>
      <c r="H3" s="38"/>
      <c r="I3" s="40"/>
    </row>
    <row r="4" spans="1:12" customFormat="1" ht="15">
      <c r="A4" s="9" t="s">
        <v>67</v>
      </c>
      <c r="C4" s="38"/>
      <c r="D4" s="38"/>
      <c r="E4" s="38"/>
      <c r="F4" s="38"/>
      <c r="G4" s="38"/>
      <c r="H4" s="38"/>
      <c r="I4" s="40"/>
    </row>
    <row r="5" spans="1:12">
      <c r="B5" s="10" t="s">
        <v>68</v>
      </c>
      <c r="C5" s="10" t="s">
        <v>69</v>
      </c>
      <c r="D5" s="10" t="s">
        <v>70</v>
      </c>
      <c r="E5" s="10" t="s">
        <v>71</v>
      </c>
      <c r="F5" s="18" t="s">
        <v>72</v>
      </c>
      <c r="G5" s="18" t="s">
        <v>73</v>
      </c>
      <c r="H5" s="10" t="s">
        <v>74</v>
      </c>
      <c r="I5" s="41" t="s">
        <v>75</v>
      </c>
      <c r="J5" s="10" t="s">
        <v>76</v>
      </c>
      <c r="K5" s="12" t="s">
        <v>77</v>
      </c>
      <c r="L5" s="12" t="s">
        <v>78</v>
      </c>
    </row>
    <row r="6" spans="1:12" ht="27">
      <c r="B6" s="19">
        <f>ROW() - 5</f>
        <v>1</v>
      </c>
      <c r="C6" s="14"/>
      <c r="D6" s="14"/>
      <c r="E6" s="101"/>
      <c r="F6" s="20" t="s">
        <v>63</v>
      </c>
      <c r="G6" s="20"/>
      <c r="H6" s="39" t="s">
        <v>81</v>
      </c>
      <c r="I6" s="37" t="s">
        <v>374</v>
      </c>
      <c r="J6" s="21"/>
      <c r="K6" s="1" t="s">
        <v>1251</v>
      </c>
      <c r="L6" s="2"/>
    </row>
    <row r="7" spans="1:12" ht="27">
      <c r="B7" s="19">
        <f t="shared" ref="B7:B35" si="0">ROW() - 5</f>
        <v>2</v>
      </c>
      <c r="C7" s="73"/>
      <c r="D7" s="35"/>
      <c r="E7" s="102"/>
      <c r="F7" s="20" t="s">
        <v>80</v>
      </c>
      <c r="G7" s="20"/>
      <c r="H7" s="39" t="s">
        <v>81</v>
      </c>
      <c r="I7" s="37" t="s">
        <v>374</v>
      </c>
      <c r="J7" s="21"/>
      <c r="K7" s="1" t="s">
        <v>1251</v>
      </c>
      <c r="L7" s="2"/>
    </row>
    <row r="8" spans="1:12" ht="27">
      <c r="B8" s="19">
        <f t="shared" si="0"/>
        <v>3</v>
      </c>
      <c r="C8" s="73"/>
      <c r="D8" s="35"/>
      <c r="E8" s="101" t="s">
        <v>1252</v>
      </c>
      <c r="F8" s="20" t="s">
        <v>1253</v>
      </c>
      <c r="G8" s="20"/>
      <c r="H8" s="39" t="s">
        <v>1254</v>
      </c>
      <c r="I8" s="180">
        <v>0</v>
      </c>
      <c r="J8" s="21"/>
      <c r="K8" s="1" t="s">
        <v>1251</v>
      </c>
      <c r="L8" s="2"/>
    </row>
    <row r="9" spans="1:12" ht="27">
      <c r="B9" s="19">
        <f t="shared" si="0"/>
        <v>4</v>
      </c>
      <c r="C9" s="73"/>
      <c r="D9" s="35"/>
      <c r="E9" s="102"/>
      <c r="F9" s="20" t="s">
        <v>1255</v>
      </c>
      <c r="G9" s="20"/>
      <c r="H9" s="39" t="s">
        <v>1254</v>
      </c>
      <c r="I9" s="181">
        <v>1</v>
      </c>
      <c r="J9" s="21"/>
      <c r="K9" s="1" t="s">
        <v>1251</v>
      </c>
      <c r="L9" s="2"/>
    </row>
    <row r="10" spans="1:12" ht="27">
      <c r="B10" s="19">
        <f t="shared" si="0"/>
        <v>5</v>
      </c>
      <c r="C10" s="73"/>
      <c r="D10" s="35"/>
      <c r="E10" s="102"/>
      <c r="F10" s="20" t="s">
        <v>1256</v>
      </c>
      <c r="G10" s="20"/>
      <c r="H10" s="39" t="s">
        <v>158</v>
      </c>
      <c r="I10" s="37">
        <v>100</v>
      </c>
      <c r="J10" s="21"/>
      <c r="K10" s="1" t="s">
        <v>1251</v>
      </c>
      <c r="L10" s="2"/>
    </row>
    <row r="11" spans="1:12" ht="27">
      <c r="B11" s="19">
        <f t="shared" si="0"/>
        <v>6</v>
      </c>
      <c r="C11" s="73"/>
      <c r="D11" s="35"/>
      <c r="E11" s="102"/>
      <c r="F11" s="20" t="s">
        <v>1257</v>
      </c>
      <c r="G11" s="20"/>
      <c r="H11" s="39" t="s">
        <v>1258</v>
      </c>
      <c r="I11" s="37" t="s">
        <v>374</v>
      </c>
      <c r="J11" s="21"/>
      <c r="K11" s="1" t="s">
        <v>1251</v>
      </c>
      <c r="L11" s="2"/>
    </row>
    <row r="12" spans="1:12" ht="27">
      <c r="B12" s="19">
        <f t="shared" si="0"/>
        <v>7</v>
      </c>
      <c r="C12" s="73"/>
      <c r="D12" s="35"/>
      <c r="E12" s="101" t="s">
        <v>1259</v>
      </c>
      <c r="F12" s="20" t="s">
        <v>1253</v>
      </c>
      <c r="G12" s="20"/>
      <c r="H12" s="39" t="s">
        <v>1254</v>
      </c>
      <c r="I12" s="180">
        <v>0</v>
      </c>
      <c r="J12" s="21"/>
      <c r="K12" s="1" t="s">
        <v>1251</v>
      </c>
      <c r="L12" s="2"/>
    </row>
    <row r="13" spans="1:12" ht="27">
      <c r="B13" s="19">
        <f t="shared" si="0"/>
        <v>8</v>
      </c>
      <c r="C13" s="73"/>
      <c r="D13" s="35"/>
      <c r="E13" s="102"/>
      <c r="F13" s="20" t="s">
        <v>1255</v>
      </c>
      <c r="G13" s="20"/>
      <c r="H13" s="39" t="s">
        <v>1254</v>
      </c>
      <c r="I13" s="181">
        <v>1</v>
      </c>
      <c r="J13" s="21"/>
      <c r="K13" s="1" t="s">
        <v>1251</v>
      </c>
      <c r="L13" s="2"/>
    </row>
    <row r="14" spans="1:12" ht="27">
      <c r="B14" s="19">
        <f t="shared" si="0"/>
        <v>9</v>
      </c>
      <c r="C14" s="73"/>
      <c r="D14" s="35"/>
      <c r="E14" s="102"/>
      <c r="F14" s="20" t="s">
        <v>1256</v>
      </c>
      <c r="G14" s="20"/>
      <c r="H14" s="39" t="s">
        <v>158</v>
      </c>
      <c r="I14" s="37">
        <v>100</v>
      </c>
      <c r="J14" s="21"/>
      <c r="K14" s="1" t="s">
        <v>1251</v>
      </c>
      <c r="L14" s="2"/>
    </row>
    <row r="15" spans="1:12" ht="27">
      <c r="B15" s="19">
        <f t="shared" si="0"/>
        <v>10</v>
      </c>
      <c r="C15" s="73"/>
      <c r="D15" s="35"/>
      <c r="E15" s="102"/>
      <c r="F15" s="20" t="s">
        <v>1257</v>
      </c>
      <c r="G15" s="20"/>
      <c r="H15" s="39" t="s">
        <v>1258</v>
      </c>
      <c r="I15" s="37" t="s">
        <v>374</v>
      </c>
      <c r="J15" s="21"/>
      <c r="K15" s="1" t="s">
        <v>1251</v>
      </c>
      <c r="L15" s="2"/>
    </row>
    <row r="16" spans="1:12" ht="27">
      <c r="B16" s="19">
        <f t="shared" si="0"/>
        <v>11</v>
      </c>
      <c r="C16" s="73"/>
      <c r="D16" s="35"/>
      <c r="E16" s="101" t="s">
        <v>1260</v>
      </c>
      <c r="F16" s="20" t="s">
        <v>1253</v>
      </c>
      <c r="G16" s="20"/>
      <c r="H16" s="39" t="s">
        <v>1254</v>
      </c>
      <c r="I16" s="180">
        <v>0</v>
      </c>
      <c r="J16" s="21"/>
      <c r="K16" s="1" t="s">
        <v>1251</v>
      </c>
      <c r="L16" s="2"/>
    </row>
    <row r="17" spans="2:12" ht="27">
      <c r="B17" s="19">
        <f t="shared" si="0"/>
        <v>12</v>
      </c>
      <c r="C17" s="73"/>
      <c r="D17" s="35"/>
      <c r="E17" s="102"/>
      <c r="F17" s="20" t="s">
        <v>1255</v>
      </c>
      <c r="G17" s="20"/>
      <c r="H17" s="39" t="s">
        <v>1254</v>
      </c>
      <c r="I17" s="181">
        <v>1</v>
      </c>
      <c r="J17" s="21"/>
      <c r="K17" s="1" t="s">
        <v>1251</v>
      </c>
      <c r="L17" s="2"/>
    </row>
    <row r="18" spans="2:12" ht="27">
      <c r="B18" s="19">
        <f t="shared" si="0"/>
        <v>13</v>
      </c>
      <c r="C18" s="73"/>
      <c r="D18" s="35"/>
      <c r="E18" s="102"/>
      <c r="F18" s="20" t="s">
        <v>1256</v>
      </c>
      <c r="G18" s="20"/>
      <c r="H18" s="39" t="s">
        <v>158</v>
      </c>
      <c r="I18" s="37">
        <v>100</v>
      </c>
      <c r="J18" s="21"/>
      <c r="K18" s="1" t="s">
        <v>1251</v>
      </c>
      <c r="L18" s="2"/>
    </row>
    <row r="19" spans="2:12" ht="27">
      <c r="B19" s="19">
        <f t="shared" si="0"/>
        <v>14</v>
      </c>
      <c r="C19" s="73"/>
      <c r="D19" s="35"/>
      <c r="E19" s="102"/>
      <c r="F19" s="20" t="s">
        <v>1257</v>
      </c>
      <c r="G19" s="20"/>
      <c r="H19" s="39" t="s">
        <v>1258</v>
      </c>
      <c r="I19" s="37" t="s">
        <v>374</v>
      </c>
      <c r="J19" s="21"/>
      <c r="K19" s="1" t="s">
        <v>1251</v>
      </c>
      <c r="L19" s="2"/>
    </row>
    <row r="20" spans="2:12" ht="27">
      <c r="B20" s="19">
        <f t="shared" si="0"/>
        <v>15</v>
      </c>
      <c r="C20" s="73"/>
      <c r="D20" s="35"/>
      <c r="E20" s="101" t="s">
        <v>1261</v>
      </c>
      <c r="F20" s="20" t="s">
        <v>1253</v>
      </c>
      <c r="G20" s="20"/>
      <c r="H20" s="39" t="s">
        <v>1254</v>
      </c>
      <c r="I20" s="180">
        <v>0</v>
      </c>
      <c r="J20" s="21"/>
      <c r="K20" s="1" t="s">
        <v>1251</v>
      </c>
      <c r="L20" s="2"/>
    </row>
    <row r="21" spans="2:12" ht="27">
      <c r="B21" s="19">
        <f t="shared" si="0"/>
        <v>16</v>
      </c>
      <c r="C21" s="73"/>
      <c r="D21" s="35"/>
      <c r="E21" s="102"/>
      <c r="F21" s="20" t="s">
        <v>1255</v>
      </c>
      <c r="G21" s="20"/>
      <c r="H21" s="39" t="s">
        <v>1254</v>
      </c>
      <c r="I21" s="181">
        <v>1</v>
      </c>
      <c r="J21" s="21"/>
      <c r="K21" s="1" t="s">
        <v>1251</v>
      </c>
      <c r="L21" s="2"/>
    </row>
    <row r="22" spans="2:12" ht="27">
      <c r="B22" s="19">
        <f t="shared" si="0"/>
        <v>17</v>
      </c>
      <c r="C22" s="73"/>
      <c r="D22" s="35"/>
      <c r="E22" s="102"/>
      <c r="F22" s="20" t="s">
        <v>1256</v>
      </c>
      <c r="G22" s="20"/>
      <c r="H22" s="39" t="s">
        <v>158</v>
      </c>
      <c r="I22" s="37">
        <v>100</v>
      </c>
      <c r="J22" s="21"/>
      <c r="K22" s="1" t="s">
        <v>1251</v>
      </c>
      <c r="L22" s="2"/>
    </row>
    <row r="23" spans="2:12" ht="27">
      <c r="B23" s="19">
        <f t="shared" si="0"/>
        <v>18</v>
      </c>
      <c r="C23" s="73"/>
      <c r="D23" s="35"/>
      <c r="E23" s="102"/>
      <c r="F23" s="20" t="s">
        <v>1257</v>
      </c>
      <c r="G23" s="20"/>
      <c r="H23" s="39" t="s">
        <v>1258</v>
      </c>
      <c r="I23" s="37" t="s">
        <v>374</v>
      </c>
      <c r="J23" s="21"/>
      <c r="K23" s="1" t="s">
        <v>1251</v>
      </c>
      <c r="L23" s="2"/>
    </row>
    <row r="24" spans="2:12" ht="27">
      <c r="B24" s="19">
        <f t="shared" si="0"/>
        <v>19</v>
      </c>
      <c r="C24" s="73"/>
      <c r="D24" s="35"/>
      <c r="E24" s="101" t="s">
        <v>1262</v>
      </c>
      <c r="F24" s="20" t="s">
        <v>1253</v>
      </c>
      <c r="G24" s="20"/>
      <c r="H24" s="39" t="s">
        <v>1254</v>
      </c>
      <c r="I24" s="180">
        <v>0</v>
      </c>
      <c r="J24" s="21"/>
      <c r="K24" s="1" t="s">
        <v>1251</v>
      </c>
      <c r="L24" s="2"/>
    </row>
    <row r="25" spans="2:12" ht="27">
      <c r="B25" s="19">
        <f t="shared" si="0"/>
        <v>20</v>
      </c>
      <c r="C25" s="73"/>
      <c r="D25" s="35"/>
      <c r="E25" s="102"/>
      <c r="F25" s="20" t="s">
        <v>1255</v>
      </c>
      <c r="G25" s="20"/>
      <c r="H25" s="39" t="s">
        <v>1254</v>
      </c>
      <c r="I25" s="181">
        <v>1</v>
      </c>
      <c r="J25" s="21"/>
      <c r="K25" s="1" t="s">
        <v>1251</v>
      </c>
      <c r="L25" s="2"/>
    </row>
    <row r="26" spans="2:12" ht="27">
      <c r="B26" s="19">
        <f t="shared" si="0"/>
        <v>21</v>
      </c>
      <c r="C26" s="73"/>
      <c r="D26" s="35"/>
      <c r="E26" s="102"/>
      <c r="F26" s="20" t="s">
        <v>1256</v>
      </c>
      <c r="G26" s="20"/>
      <c r="H26" s="39" t="s">
        <v>158</v>
      </c>
      <c r="I26" s="37">
        <v>100</v>
      </c>
      <c r="J26" s="21"/>
      <c r="K26" s="1" t="s">
        <v>1251</v>
      </c>
      <c r="L26" s="2"/>
    </row>
    <row r="27" spans="2:12" ht="27">
      <c r="B27" s="19">
        <f t="shared" si="0"/>
        <v>22</v>
      </c>
      <c r="C27" s="73"/>
      <c r="D27" s="35"/>
      <c r="E27" s="102"/>
      <c r="F27" s="20" t="s">
        <v>1257</v>
      </c>
      <c r="G27" s="20"/>
      <c r="H27" s="39" t="s">
        <v>1258</v>
      </c>
      <c r="I27" s="37" t="s">
        <v>374</v>
      </c>
      <c r="J27" s="21"/>
      <c r="K27" s="1" t="s">
        <v>1251</v>
      </c>
      <c r="L27" s="2"/>
    </row>
    <row r="28" spans="2:12" ht="27">
      <c r="B28" s="19">
        <f t="shared" si="0"/>
        <v>23</v>
      </c>
      <c r="C28" s="73"/>
      <c r="D28" s="35"/>
      <c r="E28" s="101" t="s">
        <v>1263</v>
      </c>
      <c r="F28" s="20" t="s">
        <v>1253</v>
      </c>
      <c r="G28" s="20"/>
      <c r="H28" s="39" t="s">
        <v>1254</v>
      </c>
      <c r="I28" s="180">
        <v>0</v>
      </c>
      <c r="J28" s="21"/>
      <c r="K28" s="1" t="s">
        <v>1251</v>
      </c>
      <c r="L28" s="2"/>
    </row>
    <row r="29" spans="2:12" ht="27">
      <c r="B29" s="19">
        <f t="shared" si="0"/>
        <v>24</v>
      </c>
      <c r="C29" s="73"/>
      <c r="D29" s="35"/>
      <c r="E29" s="102"/>
      <c r="F29" s="20" t="s">
        <v>1255</v>
      </c>
      <c r="G29" s="20"/>
      <c r="H29" s="39" t="s">
        <v>1254</v>
      </c>
      <c r="I29" s="181">
        <v>1</v>
      </c>
      <c r="J29" s="21"/>
      <c r="K29" s="1" t="s">
        <v>1251</v>
      </c>
      <c r="L29" s="2"/>
    </row>
    <row r="30" spans="2:12" ht="27">
      <c r="B30" s="19">
        <f t="shared" si="0"/>
        <v>25</v>
      </c>
      <c r="C30" s="73"/>
      <c r="D30" s="35"/>
      <c r="E30" s="102"/>
      <c r="F30" s="20" t="s">
        <v>1256</v>
      </c>
      <c r="G30" s="20"/>
      <c r="H30" s="39" t="s">
        <v>158</v>
      </c>
      <c r="I30" s="37">
        <v>100</v>
      </c>
      <c r="J30" s="21"/>
      <c r="K30" s="1" t="s">
        <v>1251</v>
      </c>
      <c r="L30" s="2"/>
    </row>
    <row r="31" spans="2:12" ht="27">
      <c r="B31" s="19">
        <f t="shared" si="0"/>
        <v>26</v>
      </c>
      <c r="C31" s="73"/>
      <c r="D31" s="35"/>
      <c r="E31" s="102"/>
      <c r="F31" s="20" t="s">
        <v>1257</v>
      </c>
      <c r="G31" s="20"/>
      <c r="H31" s="39" t="s">
        <v>1258</v>
      </c>
      <c r="I31" s="37" t="s">
        <v>374</v>
      </c>
      <c r="J31" s="21"/>
      <c r="K31" s="1" t="s">
        <v>1251</v>
      </c>
      <c r="L31" s="2"/>
    </row>
    <row r="32" spans="2:12" ht="27">
      <c r="B32" s="19">
        <f t="shared" si="0"/>
        <v>27</v>
      </c>
      <c r="C32" s="73"/>
      <c r="D32" s="35"/>
      <c r="E32" s="101" t="s">
        <v>1264</v>
      </c>
      <c r="F32" s="20" t="s">
        <v>1253</v>
      </c>
      <c r="G32" s="20"/>
      <c r="H32" s="39" t="s">
        <v>1254</v>
      </c>
      <c r="I32" s="180">
        <v>0</v>
      </c>
      <c r="J32" s="21"/>
      <c r="K32" s="1" t="s">
        <v>1251</v>
      </c>
      <c r="L32" s="2"/>
    </row>
    <row r="33" spans="2:12" ht="27">
      <c r="B33" s="19">
        <f t="shared" si="0"/>
        <v>28</v>
      </c>
      <c r="C33" s="73"/>
      <c r="D33" s="35"/>
      <c r="E33" s="102"/>
      <c r="F33" s="20" t="s">
        <v>1255</v>
      </c>
      <c r="G33" s="20"/>
      <c r="H33" s="39" t="s">
        <v>1254</v>
      </c>
      <c r="I33" s="181">
        <v>1</v>
      </c>
      <c r="J33" s="21"/>
      <c r="K33" s="1" t="s">
        <v>1251</v>
      </c>
      <c r="L33" s="2"/>
    </row>
    <row r="34" spans="2:12" ht="27">
      <c r="B34" s="19">
        <f t="shared" si="0"/>
        <v>29</v>
      </c>
      <c r="C34" s="73"/>
      <c r="D34" s="35"/>
      <c r="E34" s="102"/>
      <c r="F34" s="20" t="s">
        <v>1256</v>
      </c>
      <c r="G34" s="20"/>
      <c r="H34" s="39" t="s">
        <v>158</v>
      </c>
      <c r="I34" s="37">
        <v>100</v>
      </c>
      <c r="J34" s="21"/>
      <c r="K34" s="1" t="s">
        <v>1251</v>
      </c>
      <c r="L34" s="2"/>
    </row>
    <row r="35" spans="2:12" ht="27">
      <c r="B35" s="19">
        <f t="shared" si="0"/>
        <v>30</v>
      </c>
      <c r="C35" s="17"/>
      <c r="D35" s="36"/>
      <c r="E35" s="174"/>
      <c r="F35" s="20" t="s">
        <v>1257</v>
      </c>
      <c r="G35" s="20"/>
      <c r="H35" s="39" t="s">
        <v>1258</v>
      </c>
      <c r="I35" s="37" t="s">
        <v>374</v>
      </c>
      <c r="J35" s="21"/>
      <c r="K35" s="1" t="s">
        <v>1251</v>
      </c>
      <c r="L35" s="2"/>
    </row>
  </sheetData>
  <phoneticPr fontId="12"/>
  <hyperlinks>
    <hyperlink ref="A4" location="パラメータ設定一覧!A1" display="パラメータ設定一覧へ" xr:uid="{35004B51-1919-45BE-8941-529B991970D6}"/>
  </hyperlinks>
  <pageMargins left="0.7" right="0.7" top="0.75" bottom="0.75" header="0.3" footer="0.3"/>
  <pageSetup paperSize="9"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42879-8074-434C-8AAA-7CCF3A6D5290}">
  <dimension ref="A1:BS24"/>
  <sheetViews>
    <sheetView showGridLines="0" zoomScaleNormal="100" workbookViewId="0">
      <pane ySplit="6" topLeftCell="A7" activePane="bottomLeft" state="frozen"/>
      <selection pane="bottomLeft"/>
      <selection activeCell="A3" sqref="A3"/>
    </sheetView>
  </sheetViews>
  <sheetFormatPr defaultColWidth="8.77734375" defaultRowHeight="15"/>
  <cols>
    <col min="1" max="1" width="2.77734375" style="38" customWidth="1"/>
    <col min="2" max="2" width="3.5546875" style="38" bestFit="1" customWidth="1"/>
    <col min="3" max="3" width="17.21875" style="38" customWidth="1"/>
    <col min="4" max="32" width="19.77734375" style="38" customWidth="1"/>
    <col min="33" max="70" width="8.77734375" style="38"/>
    <col min="72" max="16384" width="8.77734375" style="38"/>
  </cols>
  <sheetData>
    <row r="1" spans="1:32" customFormat="1" ht="19.5">
      <c r="A1" s="8" t="s">
        <v>1265</v>
      </c>
    </row>
    <row r="2" spans="1:32" customFormat="1"/>
    <row r="3" spans="1:32" customFormat="1">
      <c r="A3" s="9" t="s">
        <v>67</v>
      </c>
    </row>
    <row r="4" spans="1:32" ht="13.5" customHeight="1">
      <c r="B4" s="279" t="s">
        <v>68</v>
      </c>
      <c r="C4" s="166"/>
      <c r="D4" s="66"/>
      <c r="E4" s="107" t="s">
        <v>1252</v>
      </c>
      <c r="F4" s="66"/>
      <c r="G4" s="66"/>
      <c r="H4" s="67"/>
      <c r="I4" s="107" t="s">
        <v>1259</v>
      </c>
      <c r="J4" s="66"/>
      <c r="K4" s="66"/>
      <c r="L4" s="67"/>
      <c r="M4" s="107" t="s">
        <v>1260</v>
      </c>
      <c r="N4" s="66"/>
      <c r="O4" s="66"/>
      <c r="P4" s="67"/>
      <c r="Q4" s="107" t="s">
        <v>1261</v>
      </c>
      <c r="R4" s="66"/>
      <c r="S4" s="66"/>
      <c r="T4" s="67"/>
      <c r="U4" s="107" t="s">
        <v>1262</v>
      </c>
      <c r="V4" s="66"/>
      <c r="W4" s="66"/>
      <c r="X4" s="67"/>
      <c r="Y4" s="107" t="s">
        <v>1263</v>
      </c>
      <c r="Z4" s="66"/>
      <c r="AA4" s="66"/>
      <c r="AB4" s="67"/>
      <c r="AC4" s="107" t="s">
        <v>1264</v>
      </c>
      <c r="AD4" s="66"/>
      <c r="AE4" s="66"/>
      <c r="AF4" s="67"/>
    </row>
    <row r="5" spans="1:32">
      <c r="B5" s="281"/>
      <c r="C5" s="178" t="s">
        <v>63</v>
      </c>
      <c r="D5" s="178" t="s">
        <v>80</v>
      </c>
      <c r="E5" s="178" t="s">
        <v>1253</v>
      </c>
      <c r="F5" s="178" t="s">
        <v>1255</v>
      </c>
      <c r="G5" s="178" t="s">
        <v>1256</v>
      </c>
      <c r="H5" s="178" t="s">
        <v>1257</v>
      </c>
      <c r="I5" s="178" t="s">
        <v>1253</v>
      </c>
      <c r="J5" s="178" t="s">
        <v>1255</v>
      </c>
      <c r="K5" s="178" t="s">
        <v>1256</v>
      </c>
      <c r="L5" s="178" t="s">
        <v>1257</v>
      </c>
      <c r="M5" s="178" t="s">
        <v>1253</v>
      </c>
      <c r="N5" s="178" t="s">
        <v>1255</v>
      </c>
      <c r="O5" s="178" t="s">
        <v>1256</v>
      </c>
      <c r="P5" s="178" t="s">
        <v>1257</v>
      </c>
      <c r="Q5" s="178" t="s">
        <v>1253</v>
      </c>
      <c r="R5" s="178" t="s">
        <v>1255</v>
      </c>
      <c r="S5" s="178" t="s">
        <v>1256</v>
      </c>
      <c r="T5" s="178" t="s">
        <v>1257</v>
      </c>
      <c r="U5" s="178" t="s">
        <v>1253</v>
      </c>
      <c r="V5" s="178" t="s">
        <v>1255</v>
      </c>
      <c r="W5" s="178" t="s">
        <v>1256</v>
      </c>
      <c r="X5" s="178" t="s">
        <v>1257</v>
      </c>
      <c r="Y5" s="178" t="s">
        <v>1253</v>
      </c>
      <c r="Z5" s="178" t="s">
        <v>1255</v>
      </c>
      <c r="AA5" s="178" t="s">
        <v>1256</v>
      </c>
      <c r="AB5" s="178" t="s">
        <v>1257</v>
      </c>
      <c r="AC5" s="178" t="s">
        <v>1253</v>
      </c>
      <c r="AD5" s="178" t="s">
        <v>1255</v>
      </c>
      <c r="AE5" s="178" t="s">
        <v>1256</v>
      </c>
      <c r="AF5" s="178" t="s">
        <v>1257</v>
      </c>
    </row>
    <row r="6" spans="1:32">
      <c r="B6" s="280"/>
      <c r="C6" s="179" t="s">
        <v>81</v>
      </c>
      <c r="D6" s="179" t="s">
        <v>81</v>
      </c>
      <c r="E6" s="179" t="s">
        <v>1254</v>
      </c>
      <c r="F6" s="179" t="s">
        <v>1254</v>
      </c>
      <c r="G6" s="179" t="s">
        <v>158</v>
      </c>
      <c r="H6" s="179" t="s">
        <v>1258</v>
      </c>
      <c r="I6" s="179" t="s">
        <v>1254</v>
      </c>
      <c r="J6" s="179" t="s">
        <v>1254</v>
      </c>
      <c r="K6" s="179" t="s">
        <v>158</v>
      </c>
      <c r="L6" s="179" t="s">
        <v>1258</v>
      </c>
      <c r="M6" s="179" t="s">
        <v>1254</v>
      </c>
      <c r="N6" s="179" t="s">
        <v>1254</v>
      </c>
      <c r="O6" s="179" t="s">
        <v>158</v>
      </c>
      <c r="P6" s="179" t="s">
        <v>1258</v>
      </c>
      <c r="Q6" s="179" t="s">
        <v>1254</v>
      </c>
      <c r="R6" s="179" t="s">
        <v>1254</v>
      </c>
      <c r="S6" s="179" t="s">
        <v>158</v>
      </c>
      <c r="T6" s="179" t="s">
        <v>1258</v>
      </c>
      <c r="U6" s="179" t="s">
        <v>1254</v>
      </c>
      <c r="V6" s="179" t="s">
        <v>1254</v>
      </c>
      <c r="W6" s="179" t="s">
        <v>158</v>
      </c>
      <c r="X6" s="179" t="s">
        <v>1258</v>
      </c>
      <c r="Y6" s="179" t="s">
        <v>1254</v>
      </c>
      <c r="Z6" s="179" t="s">
        <v>1254</v>
      </c>
      <c r="AA6" s="179" t="s">
        <v>158</v>
      </c>
      <c r="AB6" s="179" t="s">
        <v>1258</v>
      </c>
      <c r="AC6" s="179" t="s">
        <v>1254</v>
      </c>
      <c r="AD6" s="179" t="s">
        <v>1254</v>
      </c>
      <c r="AE6" s="179" t="s">
        <v>158</v>
      </c>
      <c r="AF6" s="179" t="s">
        <v>1258</v>
      </c>
    </row>
    <row r="7" spans="1:32">
      <c r="B7" s="118">
        <f>ROW() - 6</f>
        <v>1</v>
      </c>
      <c r="C7" s="133" t="s">
        <v>1248</v>
      </c>
      <c r="D7" s="133" t="s">
        <v>1248</v>
      </c>
      <c r="E7" s="180">
        <v>0</v>
      </c>
      <c r="F7" s="181">
        <v>1</v>
      </c>
      <c r="G7" s="133">
        <v>100</v>
      </c>
      <c r="H7" s="133"/>
      <c r="I7" s="180">
        <v>0</v>
      </c>
      <c r="J7" s="181">
        <v>1</v>
      </c>
      <c r="K7" s="133">
        <v>100</v>
      </c>
      <c r="L7" s="133"/>
      <c r="M7" s="180">
        <v>0</v>
      </c>
      <c r="N7" s="181">
        <v>1</v>
      </c>
      <c r="O7" s="133">
        <v>100</v>
      </c>
      <c r="P7" s="133"/>
      <c r="Q7" s="180">
        <v>0</v>
      </c>
      <c r="R7" s="181">
        <v>1</v>
      </c>
      <c r="S7" s="133">
        <v>100</v>
      </c>
      <c r="T7" s="133"/>
      <c r="U7" s="180">
        <v>0</v>
      </c>
      <c r="V7" s="181">
        <v>1</v>
      </c>
      <c r="W7" s="133">
        <v>100</v>
      </c>
      <c r="X7" s="133"/>
      <c r="Y7" s="182"/>
      <c r="Z7" s="183"/>
      <c r="AA7" s="184"/>
      <c r="AB7" s="184"/>
      <c r="AC7" s="182"/>
      <c r="AD7" s="183"/>
      <c r="AE7" s="184"/>
      <c r="AF7" s="184"/>
    </row>
    <row r="8" spans="1:32">
      <c r="B8" s="118">
        <f t="shared" ref="B8:B24" si="0">ROW() - 6</f>
        <v>2</v>
      </c>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row>
    <row r="9" spans="1:32">
      <c r="B9" s="118">
        <f t="shared" si="0"/>
        <v>3</v>
      </c>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row>
    <row r="10" spans="1:32">
      <c r="B10" s="118">
        <f t="shared" si="0"/>
        <v>4</v>
      </c>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row>
    <row r="11" spans="1:32">
      <c r="B11" s="118">
        <f t="shared" si="0"/>
        <v>5</v>
      </c>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row>
    <row r="12" spans="1:32">
      <c r="B12" s="118">
        <f t="shared" si="0"/>
        <v>6</v>
      </c>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row>
    <row r="13" spans="1:32">
      <c r="B13" s="118">
        <f t="shared" si="0"/>
        <v>7</v>
      </c>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row>
    <row r="14" spans="1:32">
      <c r="B14" s="118">
        <f t="shared" si="0"/>
        <v>8</v>
      </c>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row>
    <row r="15" spans="1:32">
      <c r="B15" s="118">
        <f t="shared" si="0"/>
        <v>9</v>
      </c>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row>
    <row r="16" spans="1:32">
      <c r="B16" s="118">
        <f t="shared" si="0"/>
        <v>10</v>
      </c>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row>
    <row r="17" spans="2:32">
      <c r="B17" s="118">
        <f t="shared" si="0"/>
        <v>11</v>
      </c>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row>
    <row r="18" spans="2:32">
      <c r="B18" s="118">
        <f t="shared" si="0"/>
        <v>12</v>
      </c>
      <c r="C18" s="118"/>
      <c r="D18" s="118"/>
      <c r="E18" s="118"/>
      <c r="F18" s="118"/>
      <c r="G18" s="118"/>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row>
    <row r="19" spans="2:32">
      <c r="B19" s="118">
        <f t="shared" si="0"/>
        <v>13</v>
      </c>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c r="AA19" s="133"/>
      <c r="AB19" s="133"/>
      <c r="AC19" s="133"/>
      <c r="AD19" s="133"/>
      <c r="AE19" s="133"/>
      <c r="AF19" s="133"/>
    </row>
    <row r="20" spans="2:32">
      <c r="B20" s="118">
        <f t="shared" si="0"/>
        <v>14</v>
      </c>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row>
    <row r="21" spans="2:32">
      <c r="B21" s="118">
        <f t="shared" si="0"/>
        <v>15</v>
      </c>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row>
    <row r="22" spans="2:32">
      <c r="B22" s="118">
        <f t="shared" si="0"/>
        <v>16</v>
      </c>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row>
    <row r="23" spans="2:32">
      <c r="B23" s="118">
        <f t="shared" si="0"/>
        <v>17</v>
      </c>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row>
    <row r="24" spans="2:32">
      <c r="B24" s="118">
        <f t="shared" si="0"/>
        <v>18</v>
      </c>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row>
  </sheetData>
  <sheetProtection insertRows="0" deleteRows="0" sort="0" autoFilter="0"/>
  <dataConsolidate/>
  <mergeCells count="1">
    <mergeCell ref="B4:B6"/>
  </mergeCells>
  <phoneticPr fontId="12"/>
  <hyperlinks>
    <hyperlink ref="A3" location="パラメータ設定一覧!A1" display="パラメータ設定一覧へ" xr:uid="{992AF100-C46A-43A0-992C-CD113527F8FA}"/>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83D4F6-6C4F-4EC4-A69D-A1DCC93F8C91}"/>
</file>

<file path=customXml/itemProps2.xml><?xml version="1.0" encoding="utf-8"?>
<ds:datastoreItem xmlns:ds="http://schemas.openxmlformats.org/officeDocument/2006/customXml" ds:itemID="{391605AE-180C-4357-9531-2DC69F7FC83D}"/>
</file>

<file path=customXml/itemProps3.xml><?xml version="1.0" encoding="utf-8"?>
<ds:datastoreItem xmlns:ds="http://schemas.openxmlformats.org/officeDocument/2006/customXml" ds:itemID="{C2DE05E9-9F9C-482E-8A2F-60E8FCD115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Nakamura, Yuki</cp:lastModifiedBy>
  <cp:revision/>
  <dcterms:created xsi:type="dcterms:W3CDTF">2019-08-21T01:28:53Z</dcterms:created>
  <dcterms:modified xsi:type="dcterms:W3CDTF">2026-02-06T02:23:56Z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