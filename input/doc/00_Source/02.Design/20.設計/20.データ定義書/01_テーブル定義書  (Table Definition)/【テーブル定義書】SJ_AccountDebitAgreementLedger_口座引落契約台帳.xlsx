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323" documentId="13_ncr:1_{2956A8A5-81D9-4CDF-A134-95BD3CCDBCEC}" xr6:coauthVersionLast="47" xr6:coauthVersionMax="47" xr10:uidLastSave="{1D40FC25-3EC0-4FD7-8096-5B71C15D4B37}"/>
  <bookViews>
    <workbookView xWindow="-110" yWindow="-110" windowWidth="19420" windowHeight="1150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その他定義!$A$1:$BG$35</definedName>
    <definedName name="_xlnm.Print_Area" localSheetId="1">テーブル定義!$A$1:$M$54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24" i="5"/>
  <c r="B26" i="5"/>
  <c r="B21" i="5"/>
  <c r="B16" i="5"/>
  <c r="B25" i="5" l="1"/>
  <c r="B23" i="5"/>
  <c r="B22" i="5"/>
  <c r="B20" i="5"/>
  <c r="B19" i="5"/>
  <c r="B8" i="5"/>
  <c r="B9" i="5"/>
  <c r="B10" i="5"/>
  <c r="B11" i="5"/>
  <c r="B12" i="5"/>
  <c r="B13" i="5"/>
  <c r="B14" i="5"/>
  <c r="B17" i="5"/>
  <c r="B18" i="5"/>
  <c r="B27" i="5"/>
  <c r="BA2" i="9" l="1"/>
  <c r="H3" i="5" s="1"/>
  <c r="AT2" i="9"/>
  <c r="H2" i="5" s="1"/>
  <c r="AT3" i="9" a="1"/>
  <c r="BA3" i="9"/>
  <c r="M3" i="5" l="1"/>
  <c r="AT3" i="9"/>
  <c r="M2" i="5" s="1"/>
  <c r="B53" i="5" l="1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<sst xmlns="http://schemas.openxmlformats.org/spreadsheetml/2006/main" count="345" uniqueCount="211">
  <si>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</si>
  <si>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</si>
  <si>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</si>
  <si>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</si>
  <si>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</si>
  <si>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</si>
  <si>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口座引落契約台帳</t>
    <rPh sb="0" eb="8">
      <t>コウザヒキオトシケイヤクダイチョウ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</si>
  <si>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</si>
  <si>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</si>
  <si>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</si>
  <si>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</si>
  <si>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</si>
  <si>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</si>
  <si>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</si>
  <si>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</si>
  <si>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</si>
  <si>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</si>
  <si>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</si>
  <si>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シート：テーブル定義</t>
    <rPh sb="8" eb="10">
      <t>テイギ</t>
    </rPh>
    <phoneticPr fontId="2"/>
  </si>
  <si>
    <t>項目：総金額税込み(リース物件内容)　の備考を追記
項目：1回あたり金額税込み(リース物件内容)　を削除</t>
    <rPh sb="0" eb="2">
      <t>コウモク</t>
    </rPh>
    <rPh sb="20" eb="22">
      <t>ビコウ</t>
    </rPh>
    <rPh sb="23" eb="25">
      <t>ツイキ</t>
    </rPh>
    <rPh sb="26" eb="28">
      <t>コウモク</t>
    </rPh>
    <rPh sb="50" eb="52">
      <t>サクジョ</t>
    </rPh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</si>
  <si>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</si>
  <si>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</si>
  <si>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</si>
  <si>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</si>
  <si>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</si>
  <si>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</si>
  <si>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</si>
  <si>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</si>
  <si>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</si>
  <si>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</si>
  <si>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</si>
  <si>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</si>
  <si>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</si>
  <si>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</si>
  <si>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SJ00202</t>
    <phoneticPr fontId="2"/>
  </si>
  <si>
    <t>SJ_AccountDebitAgreementLedger</t>
    <phoneticPr fontId="2"/>
  </si>
  <si>
    <t>Regular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</si>
  <si>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</si>
  <si>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</si>
  <si>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</si>
  <si>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</si>
  <si>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</si>
  <si>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</si>
  <si>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</si>
  <si>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</si>
  <si>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</si>
  <si>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振替対象外</t>
    <rPh sb="0" eb="2">
      <t>フリカエ</t>
    </rPh>
    <rPh sb="2" eb="4">
      <t>タイショウ</t>
    </rPh>
    <rPh sb="4" eb="5">
      <t>ガイ</t>
    </rPh>
    <phoneticPr fontId="2"/>
  </si>
  <si>
    <t>SJ00203</t>
  </si>
  <si>
    <t>ExcludedTransfer</t>
    <phoneticPr fontId="2"/>
  </si>
  <si>
    <t>Enum</t>
    <phoneticPr fontId="2"/>
  </si>
  <si>
    <t>SJ_ExcludedTransfer</t>
    <phoneticPr fontId="2"/>
  </si>
  <si>
    <t>-</t>
    <phoneticPr fontId="2"/>
  </si>
  <si>
    <t>NO</t>
  </si>
  <si>
    <t>委託者番号</t>
    <rPh sb="0" eb="3">
      <t>イタクシャ</t>
    </rPh>
    <rPh sb="3" eb="5">
      <t>バンゴウ</t>
    </rPh>
    <phoneticPr fontId="2"/>
  </si>
  <si>
    <t>SJ00204</t>
  </si>
  <si>
    <t>OutsourcingNumber</t>
    <phoneticPr fontId="2"/>
  </si>
  <si>
    <t>String</t>
    <phoneticPr fontId="2"/>
  </si>
  <si>
    <t>SJ_OutsourcingNumber</t>
    <phoneticPr fontId="2"/>
  </si>
  <si>
    <t>委託者名</t>
    <rPh sb="0" eb="3">
      <t>イタクシャ</t>
    </rPh>
    <rPh sb="3" eb="4">
      <t>メイ</t>
    </rPh>
    <phoneticPr fontId="2"/>
  </si>
  <si>
    <t>SJ00205</t>
  </si>
  <si>
    <t>OutsourcingName</t>
    <phoneticPr fontId="2"/>
  </si>
  <si>
    <t>SJ_OutsourcingName</t>
    <phoneticPr fontId="2"/>
  </si>
  <si>
    <t>160</t>
    <phoneticPr fontId="2"/>
  </si>
  <si>
    <t>摘要</t>
    <rPh sb="0" eb="2">
      <t>テキヨウ</t>
    </rPh>
    <phoneticPr fontId="2"/>
  </si>
  <si>
    <t>SJ00206</t>
  </si>
  <si>
    <t>Summary</t>
    <phoneticPr fontId="2"/>
  </si>
  <si>
    <t>SJ_Summary</t>
    <phoneticPr fontId="2"/>
  </si>
  <si>
    <t>YES</t>
  </si>
  <si>
    <t>需要家番号</t>
    <rPh sb="0" eb="3">
      <t>ジュヨウカ</t>
    </rPh>
    <rPh sb="3" eb="5">
      <t>バンゴウ</t>
    </rPh>
    <phoneticPr fontId="2"/>
  </si>
  <si>
    <t>SJ00207</t>
  </si>
  <si>
    <t>ConsumerNumber</t>
    <phoneticPr fontId="2"/>
  </si>
  <si>
    <t>SJ_ConsumerNumber</t>
    <phoneticPr fontId="2"/>
  </si>
  <si>
    <t>48</t>
    <phoneticPr fontId="2"/>
  </si>
  <si>
    <t>お客様番号</t>
    <rPh sb="1" eb="3">
      <t>キャクサマ</t>
    </rPh>
    <rPh sb="3" eb="5">
      <t>バンゴウ</t>
    </rPh>
    <phoneticPr fontId="2"/>
  </si>
  <si>
    <t>SJ00208</t>
  </si>
  <si>
    <t>CustomerNumber</t>
    <phoneticPr fontId="2"/>
  </si>
  <si>
    <t>SJ_CustomerNumber</t>
    <phoneticPr fontId="2"/>
  </si>
  <si>
    <t>255</t>
    <phoneticPr fontId="2"/>
  </si>
  <si>
    <t>借方科目コード</t>
    <rPh sb="0" eb="2">
      <t>カリカタ</t>
    </rPh>
    <rPh sb="2" eb="4">
      <t>カモク</t>
    </rPh>
    <phoneticPr fontId="2"/>
  </si>
  <si>
    <t>SJ00209</t>
  </si>
  <si>
    <t>DebitAccountCode</t>
    <phoneticPr fontId="2"/>
  </si>
  <si>
    <t>SJ_DebitAccountCode</t>
    <phoneticPr fontId="2"/>
  </si>
  <si>
    <t>20</t>
    <phoneticPr fontId="2"/>
  </si>
  <si>
    <t>借方勘定細目</t>
    <rPh sb="0" eb="2">
      <t>カリカタ</t>
    </rPh>
    <rPh sb="2" eb="4">
      <t>カンジョウ</t>
    </rPh>
    <rPh sb="4" eb="6">
      <t>サイモク</t>
    </rPh>
    <phoneticPr fontId="2"/>
  </si>
  <si>
    <t>SJ00706</t>
  </si>
  <si>
    <t>DebitAccountDetails</t>
    <phoneticPr fontId="2"/>
  </si>
  <si>
    <t>SJ_AccountDetails</t>
    <phoneticPr fontId="2"/>
  </si>
  <si>
    <t>借方原価センタ</t>
    <rPh sb="0" eb="2">
      <t>カリカタ</t>
    </rPh>
    <rPh sb="2" eb="4">
      <t>ゲンカ</t>
    </rPh>
    <phoneticPr fontId="2"/>
  </si>
  <si>
    <t>SJ00210</t>
  </si>
  <si>
    <t>DebitCostCenter</t>
    <phoneticPr fontId="2"/>
  </si>
  <si>
    <t>SJ_DebitCostCenter</t>
    <phoneticPr fontId="2"/>
  </si>
  <si>
    <t>30</t>
    <phoneticPr fontId="2"/>
  </si>
  <si>
    <t>借方利益センタ</t>
    <rPh sb="0" eb="2">
      <t>カリカタ</t>
    </rPh>
    <rPh sb="2" eb="4">
      <t>リエキ</t>
    </rPh>
    <phoneticPr fontId="2"/>
  </si>
  <si>
    <t>SJ00211</t>
    <phoneticPr fontId="2"/>
  </si>
  <si>
    <t>DebitProfitCenter</t>
    <phoneticPr fontId="2"/>
  </si>
  <si>
    <t>SJ_DebitProfitCenter</t>
    <phoneticPr fontId="2"/>
  </si>
  <si>
    <t>貸方利益センタ</t>
    <rPh sb="0" eb="2">
      <t>カシカタ</t>
    </rPh>
    <rPh sb="2" eb="4">
      <t>リエキ</t>
    </rPh>
    <phoneticPr fontId="2"/>
  </si>
  <si>
    <t>SJ00212</t>
  </si>
  <si>
    <t>CreditProfitCenter</t>
    <phoneticPr fontId="2"/>
  </si>
  <si>
    <t>SJ_CreditProfitCenter</t>
    <phoneticPr fontId="2"/>
  </si>
  <si>
    <t>消費税コード</t>
    <rPh sb="0" eb="3">
      <t>ショウヒゼイ</t>
    </rPh>
    <phoneticPr fontId="2"/>
  </si>
  <si>
    <t>TaxCode</t>
    <phoneticPr fontId="2"/>
  </si>
  <si>
    <t>10</t>
    <phoneticPr fontId="2"/>
  </si>
  <si>
    <t>備考</t>
    <rPh sb="0" eb="2">
      <t>ビコウ</t>
    </rPh>
    <phoneticPr fontId="2"/>
  </si>
  <si>
    <t>SJ00213</t>
  </si>
  <si>
    <t>Comment</t>
    <phoneticPr fontId="2"/>
  </si>
  <si>
    <t>SJ_Comment</t>
    <phoneticPr fontId="2"/>
  </si>
  <si>
    <t>複数明細対象</t>
    <rPh sb="0" eb="6">
      <t>フクスウメイサイタイショウ</t>
    </rPh>
    <phoneticPr fontId="2"/>
  </si>
  <si>
    <t>SJ00214</t>
  </si>
  <si>
    <t>MultipleLine</t>
    <phoneticPr fontId="2"/>
  </si>
  <si>
    <t>SJ_MultipleLine</t>
    <phoneticPr fontId="2"/>
  </si>
  <si>
    <t>金額(個別)</t>
    <rPh sb="0" eb="2">
      <t>キンガク</t>
    </rPh>
    <phoneticPr fontId="2"/>
  </si>
  <si>
    <t>SJ00215</t>
  </si>
  <si>
    <t>IndividualAmout</t>
    <phoneticPr fontId="2"/>
  </si>
  <si>
    <t>Real</t>
    <phoneticPr fontId="2"/>
  </si>
  <si>
    <t>SJ_IndividualAmout</t>
    <phoneticPr fontId="2"/>
  </si>
  <si>
    <t>マイナス金額の入力は不可</t>
    <rPh sb="4" eb="6">
      <t>キンガク</t>
    </rPh>
    <rPh sb="7" eb="9">
      <t>ニュウリョク</t>
    </rPh>
    <rPh sb="10" eb="12">
      <t>フカ</t>
    </rPh>
    <phoneticPr fontId="2"/>
  </si>
  <si>
    <t>指図コード</t>
    <rPh sb="0" eb="2">
      <t>サシズ</t>
    </rPh>
    <phoneticPr fontId="2"/>
  </si>
  <si>
    <t>SJ00003</t>
    <phoneticPr fontId="2"/>
  </si>
  <si>
    <t>OrderCode</t>
    <phoneticPr fontId="2"/>
  </si>
  <si>
    <t>SJ_OrderCode</t>
  </si>
  <si>
    <t>12</t>
    <phoneticPr fontId="2"/>
  </si>
  <si>
    <t>借方チャネル</t>
  </si>
  <si>
    <t>SJ00707</t>
  </si>
  <si>
    <t>DebitChannel</t>
    <phoneticPr fontId="2"/>
  </si>
  <si>
    <t>String</t>
  </si>
  <si>
    <t>SJ_Channel</t>
  </si>
  <si>
    <t>借方ブランド</t>
    <phoneticPr fontId="2"/>
  </si>
  <si>
    <t>SJ00708</t>
  </si>
  <si>
    <t xml:space="preserve">DebitBrand									</t>
    <phoneticPr fontId="2"/>
  </si>
  <si>
    <t>SJ_BrandCode</t>
  </si>
  <si>
    <t>借方カテゴリ</t>
    <phoneticPr fontId="2"/>
  </si>
  <si>
    <t>SJ00709</t>
  </si>
  <si>
    <t xml:space="preserve">DebitCategory									</t>
    <phoneticPr fontId="2"/>
  </si>
  <si>
    <t>SJ_Category</t>
  </si>
  <si>
    <t>契約番号(リース物件内容)</t>
    <rPh sb="0" eb="4">
      <t>ケイヤクバンゴウ</t>
    </rPh>
    <rPh sb="8" eb="12">
      <t>ブッケンナイヨウ</t>
    </rPh>
    <phoneticPr fontId="2"/>
  </si>
  <si>
    <t>SJ00216</t>
  </si>
  <si>
    <t>AssetLeaseContractNumber</t>
    <phoneticPr fontId="2"/>
  </si>
  <si>
    <t>SJ_AssetLeaseContractNumber</t>
    <phoneticPr fontId="2"/>
  </si>
  <si>
    <t>区分(リース物件内容)</t>
    <rPh sb="0" eb="2">
      <t>クブン</t>
    </rPh>
    <rPh sb="6" eb="10">
      <t>ブッケンナイヨウ</t>
    </rPh>
    <phoneticPr fontId="2"/>
  </si>
  <si>
    <t>SJ00217</t>
    <phoneticPr fontId="2"/>
  </si>
  <si>
    <t>AssetLeaseClassification</t>
    <phoneticPr fontId="2"/>
  </si>
  <si>
    <t>SJ_AssetLeaseClassification</t>
    <phoneticPr fontId="2"/>
  </si>
  <si>
    <t>開始年月日(リース物件内容)</t>
    <rPh sb="0" eb="2">
      <t>カイシ</t>
    </rPh>
    <rPh sb="2" eb="5">
      <t>ネンガッピ</t>
    </rPh>
    <rPh sb="9" eb="13">
      <t>ブッケンナイヨウ</t>
    </rPh>
    <phoneticPr fontId="2"/>
  </si>
  <si>
    <t>SJ00218</t>
  </si>
  <si>
    <t>AssetLeaseStartDate</t>
    <phoneticPr fontId="2"/>
  </si>
  <si>
    <t>Date</t>
    <phoneticPr fontId="2"/>
  </si>
  <si>
    <t>SJ_AssetLeaseStartDate</t>
    <phoneticPr fontId="2"/>
  </si>
  <si>
    <t>総回数(リース物件内容)</t>
    <rPh sb="0" eb="3">
      <t>ソウカイスウ</t>
    </rPh>
    <rPh sb="7" eb="11">
      <t>ブッケンナイヨウ</t>
    </rPh>
    <phoneticPr fontId="2"/>
  </si>
  <si>
    <t>SJ00219</t>
  </si>
  <si>
    <t>AssetLeaseTotalCount</t>
    <phoneticPr fontId="2"/>
  </si>
  <si>
    <t>Integer</t>
  </si>
  <si>
    <t>SJ_AssetLeaseTotalCount</t>
    <phoneticPr fontId="2"/>
  </si>
  <si>
    <t>マイナスの入力は不可</t>
    <phoneticPr fontId="2"/>
  </si>
  <si>
    <t>総金額税込み(リース物件内容)</t>
    <rPh sb="0" eb="1">
      <t>ソウ</t>
    </rPh>
    <rPh sb="1" eb="3">
      <t>キンガク</t>
    </rPh>
    <rPh sb="3" eb="5">
      <t>ゼイコ</t>
    </rPh>
    <rPh sb="10" eb="14">
      <t>ブッケンナイヨウ</t>
    </rPh>
    <phoneticPr fontId="2"/>
  </si>
  <si>
    <t>SJ00220</t>
  </si>
  <si>
    <t>AssetLeaseTotalAmountIncludingTax</t>
    <phoneticPr fontId="2"/>
  </si>
  <si>
    <t>Real</t>
  </si>
  <si>
    <t>SJ_AssetLeaseTotalAmountIncludingTax</t>
    <phoneticPr fontId="2"/>
  </si>
  <si>
    <t>作成者</t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</si>
  <si>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</si>
  <si>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</si>
  <si>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</si>
  <si>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</si>
  <si>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</si>
  <si>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</si>
  <si>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</si>
  <si>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</si>
  <si>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</si>
  <si>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</si>
  <si>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</si>
  <si>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</si>
  <si>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</si>
  <si>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</si>
  <si>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</si>
  <si>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</si>
  <si>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</si>
  <si>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</si>
  <si>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</si>
  <si>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</si>
  <si>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SJ_sortIdx</t>
  </si>
  <si>
    <t>Yes</t>
  </si>
  <si>
    <t>OutsourcingNumber</t>
  </si>
  <si>
    <t>ConsumerNumber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</si>
  <si>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</si>
  <si>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</si>
  <si>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</si>
  <si>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</si>
  <si>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</si>
  <si>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</si>
  <si>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MainAccount</t>
  </si>
  <si>
    <t>NotSpecified</t>
  </si>
  <si>
    <t>DebitAccountCode == MainAccountId</t>
  </si>
  <si>
    <t>OMOperatingUnit</t>
  </si>
  <si>
    <t>DebitCostCenter == OMOperatingUnitNumber &amp;&amp; OMOperatingUnitType == OMOperatingUnitType::OMCostCenter</t>
  </si>
  <si>
    <t>DebitProfitCenter == OMOperatingUnitNumber &amp;&amp; OMOperatingUnitType == OMOperatingUnitType::OMDepartment</t>
  </si>
  <si>
    <t>CreditProfitCenter == OMOperatingUnitNumber &amp;&amp; OMOperatingUnitType == OMOperatingUnitType::OMDepartment</t>
  </si>
  <si>
    <t>TaxData</t>
  </si>
  <si>
    <t>TaxCode == TaxCode</t>
  </si>
  <si>
    <t>SJ_OrderTable</t>
  </si>
  <si>
    <t>OrderCode == OrderCode &amp;&amp; DeleteFlg == NoYes::No</t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</si>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</sst>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7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8" fillId="5" borderId="3" xfId="2" applyNumberFormat="1" applyFont="1" applyFill="1" applyBorder="1">
      <alignment vertical="center"/>
    </xf>
    <xf numFmtId="0" fontId="8" fillId="0" borderId="3" xfId="2" applyFont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0" fontId="13" fillId="0" borderId="1" xfId="2" applyFont="1" applyBorder="1" applyAlignment="1">
      <alignment vertical="center" wrapText="1"/>
    </xf>
    <xf numFmtId="0" fontId="13" fillId="0" borderId="2" xfId="2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49" fontId="24" fillId="5" borderId="3" xfId="2" applyNumberFormat="1" applyFont="1" applyFill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62" t="s">
        <v>0</v>
      </c>
      <c r="B1" s="63"/>
      <c r="C1" s="63"/>
      <c r="D1" s="63"/>
      <c r="E1" s="64"/>
      <c r="F1" s="65" t="s">
        <v>1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68" t="s">
        <v>2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70"/>
      <c r="AR1" s="68" t="s">
        <v>3</v>
      </c>
      <c r="AS1" s="69"/>
      <c r="AT1" s="69"/>
      <c r="AU1" s="69"/>
      <c r="AV1" s="69"/>
      <c r="AW1" s="69"/>
      <c r="AX1" s="69"/>
      <c r="AY1" s="69"/>
      <c r="AZ1" s="70"/>
      <c r="BA1" s="68" t="s">
        <v>4</v>
      </c>
      <c r="BB1" s="69"/>
      <c r="BC1" s="69"/>
      <c r="BD1" s="69"/>
      <c r="BE1" s="69"/>
      <c r="BF1" s="69"/>
      <c r="BG1" s="69"/>
      <c r="BH1" s="69"/>
      <c r="BI1" s="70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71" t="s">
        <v>5</v>
      </c>
      <c r="B2" s="72"/>
      <c r="C2" s="72"/>
      <c r="D2" s="72"/>
      <c r="E2" s="73"/>
      <c r="F2" s="77" t="s">
        <v>6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3" t="s">
        <v>7</v>
      </c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5"/>
      <c r="AR2" s="89" t="s">
        <v>8</v>
      </c>
      <c r="AS2" s="90"/>
      <c r="AT2" s="91">
        <f>A6</f>
        <v>45449</v>
      </c>
      <c r="AU2" s="92"/>
      <c r="AV2" s="92"/>
      <c r="AW2" s="92"/>
      <c r="AX2" s="92"/>
      <c r="AY2" s="92"/>
      <c r="AZ2" s="93"/>
      <c r="BA2" s="94" t="str">
        <f>AZ6</f>
        <v>JBS　秋信</v>
      </c>
      <c r="BB2" s="95"/>
      <c r="BC2" s="95"/>
      <c r="BD2" s="95"/>
      <c r="BE2" s="95"/>
      <c r="BF2" s="95"/>
      <c r="BG2" s="95"/>
      <c r="BH2" s="95"/>
      <c r="BI2" s="96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74"/>
      <c r="B3" s="75"/>
      <c r="C3" s="75"/>
      <c r="D3" s="75"/>
      <c r="E3" s="76"/>
      <c r="F3" s="80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8"/>
      <c r="AR3" s="97" t="s">
        <v>9</v>
      </c>
      <c r="AS3" s="98"/>
      <c r="AT3" s="99" cm="1">
        <f t="array" aca="1" ref="AT3" ca="1">IF(OR(COUNTA(A:E)=3),"",INDIRECT("A"&amp;COUNTA(A:E)+2))</f>
        <v>45580</v>
      </c>
      <c r="AU3" s="100"/>
      <c r="AV3" s="100"/>
      <c r="AW3" s="100"/>
      <c r="AX3" s="100"/>
      <c r="AY3" s="100"/>
      <c r="AZ3" s="101"/>
      <c r="BA3" s="102" t="str">
        <f ca="1">IF(COUNTA(AZ5:BD100000)=1,"",INDIRECT("変更履歴!AZ"&amp;COUNTA(AZ5:BD100000)+4))</f>
        <v>JBS　秋信</v>
      </c>
      <c r="BB3" s="103"/>
      <c r="BC3" s="103"/>
      <c r="BD3" s="103"/>
      <c r="BE3" s="103"/>
      <c r="BF3" s="103"/>
      <c r="BG3" s="103"/>
      <c r="BH3" s="103"/>
      <c r="BI3" s="104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55" t="s">
        <v>10</v>
      </c>
      <c r="B5" s="55"/>
      <c r="C5" s="55"/>
      <c r="D5" s="55"/>
      <c r="E5" s="55"/>
      <c r="F5" s="55" t="s">
        <v>11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 t="s">
        <v>12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 t="s">
        <v>13</v>
      </c>
      <c r="BA5" s="55"/>
      <c r="BB5" s="55"/>
      <c r="BC5" s="55"/>
      <c r="BD5" s="55"/>
      <c r="BE5" s="55" t="s">
        <v>14</v>
      </c>
      <c r="BF5" s="55"/>
      <c r="BG5" s="55"/>
      <c r="BH5" s="55"/>
      <c r="BI5" s="55"/>
    </row>
    <row r="6" spans="1:68" ht="13.5">
      <c r="A6" s="56">
        <v>45449</v>
      </c>
      <c r="B6" s="56"/>
      <c r="C6" s="56"/>
      <c r="D6" s="56"/>
      <c r="E6" s="56"/>
      <c r="F6" s="57" t="s">
        <v>15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8" t="s">
        <v>15</v>
      </c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9" t="s">
        <v>16</v>
      </c>
      <c r="BA6" s="59"/>
      <c r="BB6" s="59"/>
      <c r="BC6" s="59"/>
      <c r="BD6" s="59"/>
      <c r="BE6" s="60" t="s">
        <v>17</v>
      </c>
      <c r="BF6" s="61"/>
      <c r="BG6" s="61"/>
      <c r="BH6" s="61"/>
      <c r="BI6" s="61"/>
    </row>
    <row r="7" spans="1:68" ht="30" customHeight="1">
      <c r="A7" s="44">
        <v>45580</v>
      </c>
      <c r="B7" s="44"/>
      <c r="C7" s="44"/>
      <c r="D7" s="44"/>
      <c r="E7" s="44"/>
      <c r="F7" s="45" t="s">
        <v>18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54" t="s">
        <v>19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7" t="s">
        <v>16</v>
      </c>
      <c r="BA7" s="47"/>
      <c r="BB7" s="47"/>
      <c r="BC7" s="47"/>
      <c r="BD7" s="47"/>
      <c r="BE7" s="48"/>
      <c r="BF7" s="48"/>
      <c r="BG7" s="48"/>
      <c r="BH7" s="48"/>
      <c r="BI7" s="48"/>
    </row>
    <row r="8" spans="1:68" ht="13.5">
      <c r="A8" s="44"/>
      <c r="B8" s="44"/>
      <c r="C8" s="44"/>
      <c r="D8" s="44"/>
      <c r="E8" s="44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7"/>
      <c r="BA8" s="47"/>
      <c r="BB8" s="47"/>
      <c r="BC8" s="47"/>
      <c r="BD8" s="47"/>
      <c r="BE8" s="48"/>
      <c r="BF8" s="48"/>
      <c r="BG8" s="48"/>
      <c r="BH8" s="48"/>
      <c r="BI8" s="48"/>
    </row>
    <row r="9" spans="1:68" ht="13.5">
      <c r="A9" s="44"/>
      <c r="B9" s="44"/>
      <c r="C9" s="44"/>
      <c r="D9" s="44"/>
      <c r="E9" s="44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54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7"/>
      <c r="BA9" s="47"/>
      <c r="BB9" s="47"/>
      <c r="BC9" s="47"/>
      <c r="BD9" s="47"/>
      <c r="BE9" s="48"/>
      <c r="BF9" s="48"/>
      <c r="BG9" s="48"/>
      <c r="BH9" s="48"/>
      <c r="BI9" s="48"/>
    </row>
    <row r="10" spans="1:68" ht="15" customHeight="1">
      <c r="A10" s="44"/>
      <c r="B10" s="44"/>
      <c r="C10" s="44"/>
      <c r="D10" s="44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7"/>
      <c r="BA10" s="47"/>
      <c r="BB10" s="47"/>
      <c r="BC10" s="47"/>
      <c r="BD10" s="47"/>
      <c r="BE10" s="48"/>
      <c r="BF10" s="48"/>
      <c r="BG10" s="48"/>
      <c r="BH10" s="48"/>
      <c r="BI10" s="48"/>
    </row>
    <row r="11" spans="1:68" ht="15" customHeight="1">
      <c r="A11" s="44"/>
      <c r="B11" s="44"/>
      <c r="C11" s="44"/>
      <c r="D11" s="44"/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7"/>
      <c r="BA11" s="47"/>
      <c r="BB11" s="47"/>
      <c r="BC11" s="47"/>
      <c r="BD11" s="47"/>
      <c r="BE11" s="48"/>
      <c r="BF11" s="48"/>
      <c r="BG11" s="48"/>
      <c r="BH11" s="48"/>
      <c r="BI11" s="48"/>
    </row>
    <row r="12" spans="1:68" ht="15" customHeight="1">
      <c r="A12" s="44"/>
      <c r="B12" s="44"/>
      <c r="C12" s="44"/>
      <c r="D12" s="44"/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7"/>
      <c r="BA12" s="47"/>
      <c r="BB12" s="47"/>
      <c r="BC12" s="47"/>
      <c r="BD12" s="47"/>
      <c r="BE12" s="48"/>
      <c r="BF12" s="48"/>
      <c r="BG12" s="48"/>
      <c r="BH12" s="48"/>
      <c r="BI12" s="48"/>
    </row>
    <row r="13" spans="1:68" ht="15" customHeight="1">
      <c r="A13" s="44"/>
      <c r="B13" s="44"/>
      <c r="C13" s="44"/>
      <c r="D13" s="44"/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7"/>
      <c r="BA13" s="47"/>
      <c r="BB13" s="47"/>
      <c r="BC13" s="47"/>
      <c r="BD13" s="47"/>
      <c r="BE13" s="48"/>
      <c r="BF13" s="48"/>
      <c r="BG13" s="48"/>
      <c r="BH13" s="48"/>
      <c r="BI13" s="48"/>
    </row>
    <row r="14" spans="1:68" ht="15" customHeight="1">
      <c r="A14" s="44"/>
      <c r="B14" s="44"/>
      <c r="C14" s="44"/>
      <c r="D14" s="44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7"/>
      <c r="BA14" s="47"/>
      <c r="BB14" s="47"/>
      <c r="BC14" s="47"/>
      <c r="BD14" s="47"/>
      <c r="BE14" s="48"/>
      <c r="BF14" s="48"/>
      <c r="BG14" s="48"/>
      <c r="BH14" s="48"/>
      <c r="BI14" s="48"/>
    </row>
    <row r="15" spans="1:68" ht="15" customHeight="1">
      <c r="A15" s="44"/>
      <c r="B15" s="44"/>
      <c r="C15" s="44"/>
      <c r="D15" s="44"/>
      <c r="E15" s="44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7"/>
      <c r="BA15" s="47"/>
      <c r="BB15" s="47"/>
      <c r="BC15" s="47"/>
      <c r="BD15" s="47"/>
      <c r="BE15" s="48"/>
      <c r="BF15" s="48"/>
      <c r="BG15" s="48"/>
      <c r="BH15" s="48"/>
      <c r="BI15" s="48"/>
    </row>
    <row r="16" spans="1:68" ht="15" customHeight="1">
      <c r="A16" s="44"/>
      <c r="B16" s="44"/>
      <c r="C16" s="44"/>
      <c r="D16" s="44"/>
      <c r="E16" s="44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7"/>
      <c r="BA16" s="47"/>
      <c r="BB16" s="47"/>
      <c r="BC16" s="47"/>
      <c r="BD16" s="47"/>
      <c r="BE16" s="48"/>
      <c r="BF16" s="48"/>
      <c r="BG16" s="48"/>
      <c r="BH16" s="48"/>
      <c r="BI16" s="48"/>
    </row>
    <row r="17" spans="1:61" ht="15" customHeight="1">
      <c r="A17" s="44"/>
      <c r="B17" s="44"/>
      <c r="C17" s="44"/>
      <c r="D17" s="44"/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7"/>
      <c r="BA17" s="47"/>
      <c r="BB17" s="47"/>
      <c r="BC17" s="47"/>
      <c r="BD17" s="47"/>
      <c r="BE17" s="48"/>
      <c r="BF17" s="48"/>
      <c r="BG17" s="48"/>
      <c r="BH17" s="48"/>
      <c r="BI17" s="48"/>
    </row>
    <row r="18" spans="1:61" ht="15" customHeight="1">
      <c r="A18" s="44"/>
      <c r="B18" s="44"/>
      <c r="C18" s="44"/>
      <c r="D18" s="44"/>
      <c r="E18" s="44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7"/>
      <c r="BA18" s="47"/>
      <c r="BB18" s="47"/>
      <c r="BC18" s="47"/>
      <c r="BD18" s="47"/>
      <c r="BE18" s="48"/>
      <c r="BF18" s="48"/>
      <c r="BG18" s="48"/>
      <c r="BH18" s="48"/>
      <c r="BI18" s="48"/>
    </row>
    <row r="19" spans="1:61" ht="15" customHeight="1">
      <c r="A19" s="44"/>
      <c r="B19" s="44"/>
      <c r="C19" s="44"/>
      <c r="D19" s="44"/>
      <c r="E19" s="44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7"/>
      <c r="BA19" s="47"/>
      <c r="BB19" s="47"/>
      <c r="BC19" s="47"/>
      <c r="BD19" s="47"/>
      <c r="BE19" s="48"/>
      <c r="BF19" s="48"/>
      <c r="BG19" s="48"/>
      <c r="BH19" s="48"/>
      <c r="BI19" s="48"/>
    </row>
    <row r="20" spans="1:61" ht="15" customHeight="1">
      <c r="A20" s="44"/>
      <c r="B20" s="44"/>
      <c r="C20" s="44"/>
      <c r="D20" s="44"/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7"/>
      <c r="BA20" s="47"/>
      <c r="BB20" s="47"/>
      <c r="BC20" s="47"/>
      <c r="BD20" s="47"/>
      <c r="BE20" s="48"/>
      <c r="BF20" s="48"/>
      <c r="BG20" s="48"/>
      <c r="BH20" s="48"/>
      <c r="BI20" s="48"/>
    </row>
    <row r="21" spans="1:61" ht="15" customHeight="1">
      <c r="A21" s="44"/>
      <c r="B21" s="44"/>
      <c r="C21" s="44"/>
      <c r="D21" s="44"/>
      <c r="E21" s="44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7"/>
      <c r="BA21" s="47"/>
      <c r="BB21" s="47"/>
      <c r="BC21" s="47"/>
      <c r="BD21" s="47"/>
      <c r="BE21" s="48"/>
      <c r="BF21" s="48"/>
      <c r="BG21" s="48"/>
      <c r="BH21" s="48"/>
      <c r="BI21" s="48"/>
    </row>
    <row r="22" spans="1:61" ht="15" customHeight="1" thickBot="1">
      <c r="A22" s="49"/>
      <c r="B22" s="49"/>
      <c r="C22" s="49"/>
      <c r="D22" s="49"/>
      <c r="E22" s="49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2"/>
      <c r="BA22" s="52"/>
      <c r="BB22" s="52"/>
      <c r="BC22" s="52"/>
      <c r="BD22" s="52"/>
      <c r="BE22" s="53"/>
      <c r="BF22" s="53"/>
      <c r="BG22" s="53"/>
      <c r="BH22" s="53"/>
      <c r="BI22" s="5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X53"/>
  <sheetViews>
    <sheetView showGridLines="0" tabSelected="1" topLeftCell="A14" zoomScaleNormal="100" zoomScaleSheetLayoutView="89" workbookViewId="0">
      <selection activeCell="K33" sqref="K33:M33"/>
    </sheetView>
  </sheetViews>
  <sheetFormatPr defaultColWidth="9" defaultRowHeight="12.6"/>
  <cols>
    <col min="1" max="1" width="0.875" style="18" customWidth="1"/>
    <col min="2" max="2" width="3.625" style="18" bestFit="1" customWidth="1"/>
    <col min="3" max="3" width="18.625" style="18" customWidth="1"/>
    <col min="4" max="4" width="14.125" style="18" bestFit="1" customWidth="1"/>
    <col min="5" max="5" width="28.125" style="18" customWidth="1"/>
    <col min="6" max="6" width="9.625" style="18" customWidth="1"/>
    <col min="7" max="7" width="25.875" style="18" customWidth="1"/>
    <col min="8" max="8" width="8.625" style="18" customWidth="1"/>
    <col min="9" max="10" width="5.5" style="18" customWidth="1"/>
    <col min="11" max="11" width="2.625" style="18" customWidth="1"/>
    <col min="12" max="12" width="17" style="18" customWidth="1"/>
    <col min="13" max="13" width="23.125" style="18" customWidth="1"/>
    <col min="14" max="14" width="0.875" style="18" customWidth="1"/>
    <col min="15" max="16384" width="9" style="18"/>
  </cols>
  <sheetData>
    <row r="1" spans="2:13" ht="5.0999999999999996" customHeight="1"/>
    <row r="2" spans="2:13">
      <c r="B2" s="105" t="s">
        <v>20</v>
      </c>
      <c r="C2" s="105"/>
      <c r="D2" s="105"/>
      <c r="E2" s="105" t="s">
        <v>21</v>
      </c>
      <c r="F2" s="105"/>
      <c r="G2" s="19" t="s">
        <v>22</v>
      </c>
      <c r="H2" s="106">
        <f>変更履歴!AT2</f>
        <v>45449</v>
      </c>
      <c r="I2" s="107"/>
      <c r="J2" s="107"/>
      <c r="K2" s="108"/>
      <c r="L2" s="9" t="s">
        <v>23</v>
      </c>
      <c r="M2" s="5">
        <f ca="1">変更履歴!AT3</f>
        <v>45580</v>
      </c>
    </row>
    <row r="3" spans="2:13">
      <c r="B3" s="109" t="s">
        <v>24</v>
      </c>
      <c r="C3" s="109"/>
      <c r="D3" s="109"/>
      <c r="E3" s="109" t="s">
        <v>25</v>
      </c>
      <c r="F3" s="109"/>
      <c r="G3" s="19" t="s">
        <v>26</v>
      </c>
      <c r="H3" s="110" t="str">
        <f>変更履歴!BA2</f>
        <v>JBS　秋信</v>
      </c>
      <c r="I3" s="111"/>
      <c r="J3" s="111"/>
      <c r="K3" s="112"/>
      <c r="L3" s="9" t="s">
        <v>27</v>
      </c>
      <c r="M3" s="2" t="str">
        <f ca="1">変更履歴!BA3</f>
        <v>JBS　秋信</v>
      </c>
    </row>
    <row r="4" spans="2:13">
      <c r="B4" s="105" t="s">
        <v>28</v>
      </c>
      <c r="C4" s="105"/>
      <c r="D4" s="8" t="s">
        <v>29</v>
      </c>
      <c r="E4" s="116" t="s">
        <v>30</v>
      </c>
      <c r="F4" s="117"/>
      <c r="G4" s="19" t="s">
        <v>31</v>
      </c>
      <c r="H4" s="151" t="s">
        <v>32</v>
      </c>
      <c r="I4" s="152"/>
      <c r="J4" s="152"/>
      <c r="K4" s="153"/>
      <c r="L4" s="19" t="s">
        <v>33</v>
      </c>
      <c r="M4" s="10"/>
    </row>
    <row r="5" spans="2:13">
      <c r="B5" s="109" t="s">
        <v>6</v>
      </c>
      <c r="C5" s="109"/>
      <c r="D5" s="1" t="s">
        <v>34</v>
      </c>
      <c r="E5" s="113" t="s">
        <v>35</v>
      </c>
      <c r="F5" s="115"/>
      <c r="G5" s="20" t="s">
        <v>36</v>
      </c>
      <c r="H5" s="118"/>
      <c r="I5" s="119"/>
      <c r="J5" s="119"/>
      <c r="K5" s="120"/>
      <c r="L5" s="20" t="s">
        <v>37</v>
      </c>
      <c r="M5" s="21"/>
    </row>
    <row r="6" spans="2:13" ht="5.0999999999999996" customHeight="1"/>
    <row r="7" spans="2:13">
      <c r="B7" s="7" t="s">
        <v>38</v>
      </c>
      <c r="C7" s="7" t="s">
        <v>39</v>
      </c>
      <c r="D7" s="7" t="s">
        <v>29</v>
      </c>
      <c r="E7" s="7" t="s">
        <v>40</v>
      </c>
      <c r="F7" s="7" t="s">
        <v>41</v>
      </c>
      <c r="G7" s="7" t="s">
        <v>42</v>
      </c>
      <c r="H7" s="7" t="s">
        <v>43</v>
      </c>
      <c r="I7" s="7" t="s">
        <v>44</v>
      </c>
      <c r="J7" s="7" t="s">
        <v>45</v>
      </c>
      <c r="K7" s="121"/>
      <c r="L7" s="121"/>
      <c r="M7" s="122"/>
    </row>
    <row r="8" spans="2:13">
      <c r="B8" s="2">
        <f t="shared" ref="B8:B53" si="0">ROW()-7</f>
        <v>1</v>
      </c>
      <c r="C8" s="1" t="s">
        <v>46</v>
      </c>
      <c r="D8" s="1" t="s">
        <v>47</v>
      </c>
      <c r="E8" s="22" t="s">
        <v>48</v>
      </c>
      <c r="F8" s="23" t="s">
        <v>49</v>
      </c>
      <c r="G8" s="1" t="s">
        <v>50</v>
      </c>
      <c r="H8" s="3" t="s">
        <v>51</v>
      </c>
      <c r="I8" s="2" t="s">
        <v>52</v>
      </c>
      <c r="J8" s="2" t="s">
        <v>52</v>
      </c>
      <c r="K8" s="113"/>
      <c r="L8" s="114"/>
      <c r="M8" s="115"/>
    </row>
    <row r="9" spans="2:13">
      <c r="B9" s="2">
        <f t="shared" si="0"/>
        <v>2</v>
      </c>
      <c r="C9" s="1" t="s">
        <v>53</v>
      </c>
      <c r="D9" s="1" t="s">
        <v>54</v>
      </c>
      <c r="E9" s="22" t="s">
        <v>55</v>
      </c>
      <c r="F9" s="23" t="s">
        <v>56</v>
      </c>
      <c r="G9" s="1" t="s">
        <v>57</v>
      </c>
      <c r="H9" s="26">
        <v>10</v>
      </c>
      <c r="I9" s="2" t="s">
        <v>52</v>
      </c>
      <c r="J9" s="2" t="s">
        <v>52</v>
      </c>
      <c r="K9" s="113"/>
      <c r="L9" s="114"/>
      <c r="M9" s="115"/>
    </row>
    <row r="10" spans="2:13">
      <c r="B10" s="2">
        <f t="shared" si="0"/>
        <v>3</v>
      </c>
      <c r="C10" s="1" t="s">
        <v>58</v>
      </c>
      <c r="D10" s="1" t="s">
        <v>59</v>
      </c>
      <c r="E10" s="22" t="s">
        <v>60</v>
      </c>
      <c r="F10" s="23" t="s">
        <v>56</v>
      </c>
      <c r="G10" s="1" t="s">
        <v>61</v>
      </c>
      <c r="H10" s="3" t="s">
        <v>62</v>
      </c>
      <c r="I10" s="2" t="s">
        <v>52</v>
      </c>
      <c r="J10" s="2" t="s">
        <v>52</v>
      </c>
      <c r="K10" s="113"/>
      <c r="L10" s="114"/>
      <c r="M10" s="115"/>
    </row>
    <row r="11" spans="2:13">
      <c r="B11" s="2">
        <f t="shared" si="0"/>
        <v>4</v>
      </c>
      <c r="C11" s="1" t="s">
        <v>63</v>
      </c>
      <c r="D11" s="1" t="s">
        <v>64</v>
      </c>
      <c r="E11" s="22" t="s">
        <v>65</v>
      </c>
      <c r="F11" s="23" t="s">
        <v>56</v>
      </c>
      <c r="G11" s="22" t="s">
        <v>66</v>
      </c>
      <c r="H11" s="3" t="s">
        <v>62</v>
      </c>
      <c r="I11" s="2" t="s">
        <v>52</v>
      </c>
      <c r="J11" s="2" t="s">
        <v>67</v>
      </c>
      <c r="K11" s="113"/>
      <c r="L11" s="114"/>
      <c r="M11" s="115"/>
    </row>
    <row r="12" spans="2:13">
      <c r="B12" s="2">
        <f t="shared" si="0"/>
        <v>5</v>
      </c>
      <c r="C12" s="1" t="s">
        <v>68</v>
      </c>
      <c r="D12" s="1" t="s">
        <v>69</v>
      </c>
      <c r="E12" s="22" t="s">
        <v>70</v>
      </c>
      <c r="F12" s="23" t="s">
        <v>56</v>
      </c>
      <c r="G12" s="22" t="s">
        <v>71</v>
      </c>
      <c r="H12" s="3" t="s">
        <v>72</v>
      </c>
      <c r="I12" s="2" t="s">
        <v>52</v>
      </c>
      <c r="J12" s="2" t="s">
        <v>52</v>
      </c>
      <c r="K12" s="113"/>
      <c r="L12" s="114"/>
      <c r="M12" s="115"/>
    </row>
    <row r="13" spans="2:13">
      <c r="B13" s="2">
        <f t="shared" si="0"/>
        <v>6</v>
      </c>
      <c r="C13" s="1" t="s">
        <v>73</v>
      </c>
      <c r="D13" s="1" t="s">
        <v>74</v>
      </c>
      <c r="E13" s="22" t="s">
        <v>75</v>
      </c>
      <c r="F13" s="23" t="s">
        <v>56</v>
      </c>
      <c r="G13" s="22" t="s">
        <v>76</v>
      </c>
      <c r="H13" s="3" t="s">
        <v>77</v>
      </c>
      <c r="I13" s="2" t="s">
        <v>52</v>
      </c>
      <c r="J13" s="2" t="s">
        <v>52</v>
      </c>
      <c r="K13" s="113"/>
      <c r="L13" s="114"/>
      <c r="M13" s="115"/>
    </row>
    <row r="14" spans="2:13">
      <c r="B14" s="2">
        <f t="shared" si="0"/>
        <v>7</v>
      </c>
      <c r="C14" s="1" t="s">
        <v>78</v>
      </c>
      <c r="D14" s="1" t="s">
        <v>79</v>
      </c>
      <c r="E14" s="22" t="s">
        <v>80</v>
      </c>
      <c r="F14" s="23" t="s">
        <v>56</v>
      </c>
      <c r="G14" s="22" t="s">
        <v>81</v>
      </c>
      <c r="H14" s="3" t="s">
        <v>82</v>
      </c>
      <c r="I14" s="2" t="s">
        <v>52</v>
      </c>
      <c r="J14" s="2" t="s">
        <v>67</v>
      </c>
      <c r="K14" s="113"/>
      <c r="L14" s="114"/>
      <c r="M14" s="115"/>
    </row>
    <row r="15" spans="2:13">
      <c r="B15" s="32">
        <f t="shared" si="0"/>
        <v>8</v>
      </c>
      <c r="C15" s="24" t="s">
        <v>83</v>
      </c>
      <c r="D15" s="43" t="s">
        <v>84</v>
      </c>
      <c r="E15" s="25" t="s">
        <v>85</v>
      </c>
      <c r="F15" s="30" t="s">
        <v>56</v>
      </c>
      <c r="G15" s="25" t="s">
        <v>86</v>
      </c>
      <c r="H15" s="31" t="s">
        <v>82</v>
      </c>
      <c r="I15" s="32" t="s">
        <v>52</v>
      </c>
      <c r="J15" s="32" t="s">
        <v>52</v>
      </c>
      <c r="K15" s="123"/>
      <c r="L15" s="124"/>
      <c r="M15" s="125"/>
    </row>
    <row r="16" spans="2:13">
      <c r="B16" s="2">
        <f t="shared" si="0"/>
        <v>9</v>
      </c>
      <c r="C16" s="1" t="s">
        <v>87</v>
      </c>
      <c r="D16" s="1" t="s">
        <v>88</v>
      </c>
      <c r="E16" s="22" t="s">
        <v>89</v>
      </c>
      <c r="F16" s="23" t="s">
        <v>56</v>
      </c>
      <c r="G16" s="22" t="s">
        <v>90</v>
      </c>
      <c r="H16" s="3" t="s">
        <v>91</v>
      </c>
      <c r="I16" s="2" t="s">
        <v>52</v>
      </c>
      <c r="J16" s="2" t="s">
        <v>52</v>
      </c>
      <c r="K16" s="27"/>
      <c r="L16" s="28"/>
      <c r="M16" s="29"/>
    </row>
    <row r="17" spans="2:24">
      <c r="B17" s="2">
        <f t="shared" si="0"/>
        <v>10</v>
      </c>
      <c r="C17" s="1" t="s">
        <v>92</v>
      </c>
      <c r="D17" s="1" t="s">
        <v>93</v>
      </c>
      <c r="E17" s="22" t="s">
        <v>94</v>
      </c>
      <c r="F17" s="23" t="s">
        <v>56</v>
      </c>
      <c r="G17" s="22" t="s">
        <v>95</v>
      </c>
      <c r="H17" s="3" t="s">
        <v>91</v>
      </c>
      <c r="I17" s="2" t="s">
        <v>52</v>
      </c>
      <c r="J17" s="2" t="s">
        <v>52</v>
      </c>
      <c r="K17" s="113"/>
      <c r="L17" s="114"/>
      <c r="M17" s="115"/>
    </row>
    <row r="18" spans="2:24">
      <c r="B18" s="2">
        <f t="shared" si="0"/>
        <v>11</v>
      </c>
      <c r="C18" s="22" t="s">
        <v>96</v>
      </c>
      <c r="D18" s="1" t="s">
        <v>97</v>
      </c>
      <c r="E18" s="22" t="s">
        <v>98</v>
      </c>
      <c r="F18" s="23" t="s">
        <v>56</v>
      </c>
      <c r="G18" s="22" t="s">
        <v>99</v>
      </c>
      <c r="H18" s="3" t="s">
        <v>91</v>
      </c>
      <c r="I18" s="2" t="s">
        <v>52</v>
      </c>
      <c r="J18" s="2" t="s">
        <v>52</v>
      </c>
      <c r="K18" s="113"/>
      <c r="L18" s="114"/>
      <c r="M18" s="115"/>
    </row>
    <row r="19" spans="2:24">
      <c r="B19" s="2">
        <f t="shared" si="0"/>
        <v>12</v>
      </c>
      <c r="C19" s="22" t="s">
        <v>100</v>
      </c>
      <c r="D19" s="1" t="s">
        <v>51</v>
      </c>
      <c r="E19" s="1" t="s">
        <v>101</v>
      </c>
      <c r="F19" s="23" t="s">
        <v>56</v>
      </c>
      <c r="G19" s="1" t="s">
        <v>101</v>
      </c>
      <c r="H19" s="3" t="s">
        <v>102</v>
      </c>
      <c r="I19" s="2" t="s">
        <v>52</v>
      </c>
      <c r="J19" s="2" t="s">
        <v>67</v>
      </c>
      <c r="K19" s="113"/>
      <c r="L19" s="114"/>
      <c r="M19" s="115"/>
    </row>
    <row r="20" spans="2:24">
      <c r="B20" s="2">
        <f t="shared" si="0"/>
        <v>13</v>
      </c>
      <c r="C20" s="22" t="s">
        <v>103</v>
      </c>
      <c r="D20" s="1" t="s">
        <v>104</v>
      </c>
      <c r="E20" s="1" t="s">
        <v>105</v>
      </c>
      <c r="F20" s="23" t="s">
        <v>56</v>
      </c>
      <c r="G20" s="1" t="s">
        <v>106</v>
      </c>
      <c r="H20" s="3" t="s">
        <v>77</v>
      </c>
      <c r="I20" s="2" t="s">
        <v>52</v>
      </c>
      <c r="J20" s="2" t="s">
        <v>52</v>
      </c>
      <c r="K20" s="113"/>
      <c r="L20" s="114"/>
      <c r="M20" s="115"/>
    </row>
    <row r="21" spans="2:24">
      <c r="B21" s="2">
        <f t="shared" si="0"/>
        <v>14</v>
      </c>
      <c r="C21" s="22" t="s">
        <v>107</v>
      </c>
      <c r="D21" s="1" t="s">
        <v>108</v>
      </c>
      <c r="E21" s="1" t="s">
        <v>109</v>
      </c>
      <c r="F21" s="23" t="s">
        <v>49</v>
      </c>
      <c r="G21" s="1" t="s">
        <v>110</v>
      </c>
      <c r="H21" s="3" t="s">
        <v>51</v>
      </c>
      <c r="I21" s="2" t="s">
        <v>52</v>
      </c>
      <c r="J21" s="2" t="s">
        <v>52</v>
      </c>
      <c r="K21" s="113"/>
      <c r="L21" s="114"/>
      <c r="M21" s="115"/>
    </row>
    <row r="22" spans="2:24" ht="13.5">
      <c r="B22" s="2">
        <f t="shared" si="0"/>
        <v>15</v>
      </c>
      <c r="C22" s="22" t="s">
        <v>111</v>
      </c>
      <c r="D22" s="1" t="s">
        <v>112</v>
      </c>
      <c r="E22" s="1" t="s">
        <v>113</v>
      </c>
      <c r="F22" s="23" t="s">
        <v>114</v>
      </c>
      <c r="G22" s="1" t="s">
        <v>115</v>
      </c>
      <c r="H22" s="3" t="s">
        <v>51</v>
      </c>
      <c r="I22" s="2" t="s">
        <v>52</v>
      </c>
      <c r="J22" s="2" t="s">
        <v>52</v>
      </c>
      <c r="K22" s="113" t="s">
        <v>116</v>
      </c>
      <c r="L22" s="114"/>
      <c r="M22" s="115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2:24" ht="13.5">
      <c r="B23" s="2">
        <f t="shared" si="0"/>
        <v>16</v>
      </c>
      <c r="C23" s="22" t="s">
        <v>117</v>
      </c>
      <c r="D23" s="1" t="s">
        <v>118</v>
      </c>
      <c r="E23" s="1" t="s">
        <v>119</v>
      </c>
      <c r="F23" s="23" t="s">
        <v>56</v>
      </c>
      <c r="G23" s="1" t="s">
        <v>120</v>
      </c>
      <c r="H23" s="3" t="s">
        <v>121</v>
      </c>
      <c r="I23" s="2" t="s">
        <v>52</v>
      </c>
      <c r="J23" s="2" t="s">
        <v>52</v>
      </c>
      <c r="K23" s="113"/>
      <c r="L23" s="114"/>
      <c r="M23" s="115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2:24" ht="13.5">
      <c r="B24" s="2">
        <f t="shared" si="0"/>
        <v>17</v>
      </c>
      <c r="C24" s="25" t="s">
        <v>122</v>
      </c>
      <c r="D24" s="43" t="s">
        <v>123</v>
      </c>
      <c r="E24" s="24" t="s">
        <v>124</v>
      </c>
      <c r="F24" s="30" t="s">
        <v>125</v>
      </c>
      <c r="G24" s="24" t="s">
        <v>126</v>
      </c>
      <c r="H24" s="31" t="s">
        <v>102</v>
      </c>
      <c r="I24" s="32" t="s">
        <v>52</v>
      </c>
      <c r="J24" s="32" t="s">
        <v>52</v>
      </c>
      <c r="K24" s="113"/>
      <c r="L24" s="114"/>
      <c r="M24" s="115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2:24">
      <c r="B25" s="2">
        <f t="shared" si="0"/>
        <v>18</v>
      </c>
      <c r="C25" s="25" t="s">
        <v>127</v>
      </c>
      <c r="D25" s="43" t="s">
        <v>128</v>
      </c>
      <c r="E25" s="24" t="s">
        <v>129</v>
      </c>
      <c r="F25" s="30" t="s">
        <v>125</v>
      </c>
      <c r="G25" s="24" t="s">
        <v>130</v>
      </c>
      <c r="H25" s="31" t="s">
        <v>102</v>
      </c>
      <c r="I25" s="32" t="s">
        <v>52</v>
      </c>
      <c r="J25" s="32" t="s">
        <v>52</v>
      </c>
      <c r="K25" s="113"/>
      <c r="L25" s="114"/>
      <c r="M25" s="115"/>
    </row>
    <row r="26" spans="2:24">
      <c r="B26" s="2">
        <f t="shared" si="0"/>
        <v>19</v>
      </c>
      <c r="C26" s="25" t="s">
        <v>131</v>
      </c>
      <c r="D26" s="43" t="s">
        <v>132</v>
      </c>
      <c r="E26" s="24" t="s">
        <v>133</v>
      </c>
      <c r="F26" s="30" t="s">
        <v>125</v>
      </c>
      <c r="G26" s="24" t="s">
        <v>134</v>
      </c>
      <c r="H26" s="31" t="s">
        <v>102</v>
      </c>
      <c r="I26" s="32" t="s">
        <v>52</v>
      </c>
      <c r="J26" s="32" t="s">
        <v>52</v>
      </c>
      <c r="K26" s="113"/>
      <c r="L26" s="114"/>
      <c r="M26" s="115"/>
    </row>
    <row r="27" spans="2:24">
      <c r="B27" s="2">
        <f t="shared" si="0"/>
        <v>20</v>
      </c>
      <c r="C27" s="1" t="s">
        <v>135</v>
      </c>
      <c r="D27" s="1" t="s">
        <v>136</v>
      </c>
      <c r="E27" s="1" t="s">
        <v>137</v>
      </c>
      <c r="F27" s="23" t="s">
        <v>56</v>
      </c>
      <c r="G27" s="1" t="s">
        <v>138</v>
      </c>
      <c r="H27" s="3" t="s">
        <v>62</v>
      </c>
      <c r="I27" s="2" t="s">
        <v>52</v>
      </c>
      <c r="J27" s="2" t="s">
        <v>52</v>
      </c>
      <c r="K27" s="113"/>
      <c r="L27" s="114"/>
      <c r="M27" s="115"/>
    </row>
    <row r="28" spans="2:24">
      <c r="B28" s="2">
        <f t="shared" si="0"/>
        <v>21</v>
      </c>
      <c r="C28" s="1" t="s">
        <v>139</v>
      </c>
      <c r="D28" s="1" t="s">
        <v>140</v>
      </c>
      <c r="E28" s="1" t="s">
        <v>141</v>
      </c>
      <c r="F28" s="23" t="s">
        <v>49</v>
      </c>
      <c r="G28" s="1" t="s">
        <v>142</v>
      </c>
      <c r="H28" s="3" t="s">
        <v>51</v>
      </c>
      <c r="I28" s="2" t="s">
        <v>52</v>
      </c>
      <c r="J28" s="2" t="s">
        <v>52</v>
      </c>
      <c r="K28" s="113"/>
      <c r="L28" s="114"/>
      <c r="M28" s="115"/>
    </row>
    <row r="29" spans="2:24">
      <c r="B29" s="2">
        <f t="shared" si="0"/>
        <v>22</v>
      </c>
      <c r="C29" s="1" t="s">
        <v>143</v>
      </c>
      <c r="D29" s="1" t="s">
        <v>144</v>
      </c>
      <c r="E29" s="1" t="s">
        <v>145</v>
      </c>
      <c r="F29" s="23" t="s">
        <v>146</v>
      </c>
      <c r="G29" s="1" t="s">
        <v>147</v>
      </c>
      <c r="H29" s="3" t="s">
        <v>51</v>
      </c>
      <c r="I29" s="2" t="s">
        <v>52</v>
      </c>
      <c r="J29" s="2" t="s">
        <v>52</v>
      </c>
      <c r="K29" s="113"/>
      <c r="L29" s="114"/>
      <c r="M29" s="115"/>
    </row>
    <row r="30" spans="2:24">
      <c r="B30" s="2">
        <f t="shared" si="0"/>
        <v>23</v>
      </c>
      <c r="C30" s="1" t="s">
        <v>148</v>
      </c>
      <c r="D30" s="1" t="s">
        <v>149</v>
      </c>
      <c r="E30" s="1" t="s">
        <v>150</v>
      </c>
      <c r="F30" s="23" t="s">
        <v>151</v>
      </c>
      <c r="G30" s="1" t="s">
        <v>152</v>
      </c>
      <c r="H30" s="3" t="s">
        <v>51</v>
      </c>
      <c r="I30" s="2" t="s">
        <v>52</v>
      </c>
      <c r="J30" s="2" t="s">
        <v>52</v>
      </c>
      <c r="K30" s="113" t="s">
        <v>153</v>
      </c>
      <c r="L30" s="114"/>
      <c r="M30" s="115"/>
    </row>
    <row r="31" spans="2:24">
      <c r="B31" s="2">
        <f t="shared" si="0"/>
        <v>24</v>
      </c>
      <c r="C31" s="1" t="s">
        <v>154</v>
      </c>
      <c r="D31" s="1" t="s">
        <v>155</v>
      </c>
      <c r="E31" s="1" t="s">
        <v>156</v>
      </c>
      <c r="F31" s="23" t="s">
        <v>157</v>
      </c>
      <c r="G31" s="1" t="s">
        <v>158</v>
      </c>
      <c r="H31" s="3" t="s">
        <v>51</v>
      </c>
      <c r="I31" s="2" t="s">
        <v>52</v>
      </c>
      <c r="J31" s="2" t="s">
        <v>52</v>
      </c>
      <c r="K31" s="113" t="s">
        <v>153</v>
      </c>
      <c r="L31" s="114"/>
      <c r="M31" s="115"/>
    </row>
    <row r="32" spans="2:24">
      <c r="B32" s="2">
        <f t="shared" si="0"/>
        <v>25</v>
      </c>
      <c r="C32" s="1" t="s">
        <v>159</v>
      </c>
      <c r="D32" s="1" t="s">
        <v>51</v>
      </c>
      <c r="E32" s="22" t="s">
        <v>160</v>
      </c>
      <c r="F32" s="23" t="s">
        <v>56</v>
      </c>
      <c r="G32" s="22" t="s">
        <v>160</v>
      </c>
      <c r="H32" s="3" t="s">
        <v>82</v>
      </c>
      <c r="I32" s="2" t="s">
        <v>52</v>
      </c>
      <c r="J32" s="2" t="s">
        <v>52</v>
      </c>
      <c r="K32" s="113" t="s">
        <v>161</v>
      </c>
      <c r="L32" s="114"/>
      <c r="M32" s="115"/>
    </row>
    <row r="33" spans="2:13">
      <c r="B33" s="2">
        <f t="shared" si="0"/>
        <v>26</v>
      </c>
      <c r="C33" s="1" t="s">
        <v>162</v>
      </c>
      <c r="D33" s="1" t="s">
        <v>51</v>
      </c>
      <c r="E33" s="22" t="s">
        <v>163</v>
      </c>
      <c r="F33" s="23" t="s">
        <v>164</v>
      </c>
      <c r="G33" s="22" t="s">
        <v>163</v>
      </c>
      <c r="H33" s="3"/>
      <c r="I33" s="2" t="s">
        <v>52</v>
      </c>
      <c r="J33" s="2" t="s">
        <v>52</v>
      </c>
      <c r="K33" s="113" t="s">
        <v>165</v>
      </c>
      <c r="L33" s="114"/>
      <c r="M33" s="115"/>
    </row>
    <row r="34" spans="2:13">
      <c r="B34" s="2">
        <f t="shared" si="0"/>
        <v>27</v>
      </c>
      <c r="C34" s="1" t="s">
        <v>166</v>
      </c>
      <c r="D34" s="1" t="s">
        <v>51</v>
      </c>
      <c r="E34" s="22" t="s">
        <v>167</v>
      </c>
      <c r="F34" s="23" t="s">
        <v>56</v>
      </c>
      <c r="G34" s="22" t="s">
        <v>167</v>
      </c>
      <c r="H34" s="3" t="s">
        <v>82</v>
      </c>
      <c r="I34" s="2" t="s">
        <v>52</v>
      </c>
      <c r="J34" s="2" t="s">
        <v>52</v>
      </c>
      <c r="K34" s="113" t="s">
        <v>168</v>
      </c>
      <c r="L34" s="114"/>
      <c r="M34" s="115"/>
    </row>
    <row r="35" spans="2:13">
      <c r="B35" s="2">
        <f t="shared" si="0"/>
        <v>28</v>
      </c>
      <c r="C35" s="22" t="s">
        <v>169</v>
      </c>
      <c r="D35" s="1" t="s">
        <v>51</v>
      </c>
      <c r="E35" s="1" t="s">
        <v>170</v>
      </c>
      <c r="F35" s="23" t="s">
        <v>164</v>
      </c>
      <c r="G35" s="1" t="s">
        <v>170</v>
      </c>
      <c r="H35" s="3"/>
      <c r="I35" s="2" t="s">
        <v>52</v>
      </c>
      <c r="J35" s="2" t="s">
        <v>52</v>
      </c>
      <c r="K35" s="113" t="s">
        <v>171</v>
      </c>
      <c r="L35" s="114"/>
      <c r="M35" s="115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13"/>
      <c r="L36" s="114"/>
      <c r="M36" s="115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13"/>
      <c r="L37" s="114"/>
      <c r="M37" s="115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13"/>
      <c r="L38" s="114"/>
      <c r="M38" s="115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13"/>
      <c r="L39" s="114"/>
      <c r="M39" s="115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13"/>
      <c r="L40" s="114"/>
      <c r="M40" s="115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13"/>
      <c r="L41" s="114"/>
      <c r="M41" s="115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13"/>
      <c r="L42" s="114"/>
      <c r="M42" s="115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13"/>
      <c r="L43" s="114"/>
      <c r="M43" s="115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13"/>
      <c r="L44" s="114"/>
      <c r="M44" s="115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13"/>
      <c r="L45" s="114"/>
      <c r="M45" s="115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113"/>
      <c r="L46" s="114"/>
      <c r="M46" s="115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113"/>
      <c r="L47" s="114"/>
      <c r="M47" s="115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113"/>
      <c r="L48" s="114"/>
      <c r="M48" s="115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113"/>
      <c r="L49" s="114"/>
      <c r="M49" s="115"/>
    </row>
    <row r="50" spans="2:13">
      <c r="B50" s="2">
        <f t="shared" si="0"/>
        <v>43</v>
      </c>
      <c r="C50" s="22"/>
      <c r="D50" s="1"/>
      <c r="E50" s="1"/>
      <c r="F50" s="23"/>
      <c r="G50" s="1"/>
      <c r="H50" s="3"/>
      <c r="I50" s="2"/>
      <c r="J50" s="2"/>
      <c r="K50" s="113"/>
      <c r="L50" s="114"/>
      <c r="M50" s="115"/>
    </row>
    <row r="51" spans="2:13">
      <c r="B51" s="2">
        <f t="shared" si="0"/>
        <v>44</v>
      </c>
      <c r="C51" s="22"/>
      <c r="D51" s="1"/>
      <c r="E51" s="1"/>
      <c r="F51" s="23"/>
      <c r="G51" s="1"/>
      <c r="H51" s="3"/>
      <c r="I51" s="2"/>
      <c r="J51" s="2"/>
      <c r="K51" s="113"/>
      <c r="L51" s="114"/>
      <c r="M51" s="115"/>
    </row>
    <row r="52" spans="2:13">
      <c r="B52" s="2">
        <f t="shared" si="0"/>
        <v>45</v>
      </c>
      <c r="C52" s="22"/>
      <c r="D52" s="1"/>
      <c r="E52" s="1"/>
      <c r="F52" s="23"/>
      <c r="G52" s="1"/>
      <c r="H52" s="3"/>
      <c r="I52" s="2"/>
      <c r="J52" s="2"/>
      <c r="K52" s="113"/>
      <c r="L52" s="114"/>
      <c r="M52" s="115"/>
    </row>
    <row r="53" spans="2:13">
      <c r="B53" s="2">
        <f t="shared" si="0"/>
        <v>46</v>
      </c>
      <c r="C53" s="22"/>
      <c r="D53" s="22"/>
      <c r="E53" s="22"/>
      <c r="F53" s="22"/>
      <c r="G53" s="4"/>
      <c r="H53" s="22"/>
      <c r="I53" s="22"/>
      <c r="J53" s="2"/>
      <c r="K53" s="114"/>
      <c r="L53" s="114"/>
      <c r="M53" s="115"/>
    </row>
  </sheetData>
  <mergeCells count="58">
    <mergeCell ref="K51:M51"/>
    <mergeCell ref="K52:M52"/>
    <mergeCell ref="K53:M53"/>
    <mergeCell ref="K50:M50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38:M38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27:M27"/>
    <mergeCell ref="K12:M12"/>
    <mergeCell ref="K13:M13"/>
    <mergeCell ref="K14:M14"/>
    <mergeCell ref="K17:M17"/>
    <mergeCell ref="K18:M18"/>
    <mergeCell ref="K19:M19"/>
    <mergeCell ref="K20:M20"/>
    <mergeCell ref="K22:M22"/>
    <mergeCell ref="K23:M23"/>
    <mergeCell ref="K25:M25"/>
    <mergeCell ref="K21:M21"/>
    <mergeCell ref="K26:M26"/>
    <mergeCell ref="K24:M24"/>
    <mergeCell ref="K15:M15"/>
    <mergeCell ref="K11:M11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52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35"/>
  <sheetViews>
    <sheetView showGridLines="0" zoomScaleNormal="100" zoomScaleSheetLayoutView="100" workbookViewId="0">
      <selection activeCell="AB24" sqref="AB24:BG24"/>
    </sheetView>
  </sheetViews>
  <sheetFormatPr defaultColWidth="2.625" defaultRowHeight="16.5" customHeight="1"/>
  <cols>
    <col min="1" max="11" width="2.625" style="6"/>
    <col min="12" max="12" width="5.125" style="6" customWidth="1"/>
    <col min="13" max="17" width="3.375" style="6" customWidth="1"/>
    <col min="18" max="22" width="2.625" style="6"/>
    <col min="23" max="27" width="3.625" style="6" customWidth="1"/>
    <col min="28" max="58" width="2.625" style="6"/>
    <col min="59" max="59" width="9.125" style="6" customWidth="1"/>
    <col min="60" max="16384" width="2.625" style="6"/>
  </cols>
  <sheetData>
    <row r="1" spans="1:59" ht="11.25" customHeight="1">
      <c r="A1" s="126" t="s">
        <v>172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8"/>
    </row>
    <row r="2" spans="1:59" ht="11.25" customHeight="1">
      <c r="A2" s="129" t="s">
        <v>38</v>
      </c>
      <c r="B2" s="130"/>
      <c r="C2" s="129" t="s">
        <v>173</v>
      </c>
      <c r="D2" s="131"/>
      <c r="E2" s="131"/>
      <c r="F2" s="131"/>
      <c r="G2" s="131"/>
      <c r="H2" s="131"/>
      <c r="I2" s="131"/>
      <c r="J2" s="131"/>
      <c r="K2" s="131"/>
      <c r="L2" s="130"/>
      <c r="M2" s="129" t="s">
        <v>174</v>
      </c>
      <c r="N2" s="131"/>
      <c r="O2" s="131"/>
      <c r="P2" s="130"/>
      <c r="Q2" s="129" t="s">
        <v>175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0"/>
      <c r="BB2" s="129" t="s">
        <v>176</v>
      </c>
      <c r="BC2" s="131"/>
      <c r="BD2" s="131"/>
      <c r="BE2" s="131"/>
      <c r="BF2" s="131"/>
      <c r="BG2" s="130"/>
    </row>
    <row r="3" spans="1:59" ht="11.25" customHeight="1">
      <c r="A3" s="132">
        <v>1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6"/>
      <c r="M3" s="137"/>
      <c r="N3" s="138"/>
      <c r="O3" s="138"/>
      <c r="P3" s="139"/>
      <c r="Q3" s="134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134"/>
      <c r="BC3" s="135"/>
      <c r="BD3" s="135"/>
      <c r="BE3" s="135"/>
      <c r="BF3" s="135"/>
      <c r="BG3" s="136"/>
    </row>
    <row r="4" spans="1:59" ht="11.25" customHeight="1">
      <c r="A4" s="132">
        <v>2</v>
      </c>
      <c r="B4" s="133"/>
      <c r="C4" s="134"/>
      <c r="D4" s="135"/>
      <c r="E4" s="135"/>
      <c r="F4" s="135"/>
      <c r="G4" s="135"/>
      <c r="H4" s="135"/>
      <c r="I4" s="135"/>
      <c r="J4" s="135"/>
      <c r="K4" s="135"/>
      <c r="L4" s="136"/>
      <c r="M4" s="137"/>
      <c r="N4" s="138"/>
      <c r="O4" s="138"/>
      <c r="P4" s="139"/>
      <c r="Q4" s="134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6"/>
      <c r="BB4" s="134"/>
      <c r="BC4" s="135"/>
      <c r="BD4" s="135"/>
      <c r="BE4" s="135"/>
      <c r="BF4" s="135"/>
      <c r="BG4" s="136"/>
    </row>
    <row r="5" spans="1:59" ht="11.25" customHeight="1">
      <c r="A5" s="132">
        <v>3</v>
      </c>
      <c r="B5" s="133"/>
      <c r="C5" s="134"/>
      <c r="D5" s="135"/>
      <c r="E5" s="135"/>
      <c r="F5" s="135"/>
      <c r="G5" s="135"/>
      <c r="H5" s="135"/>
      <c r="I5" s="135"/>
      <c r="J5" s="135"/>
      <c r="K5" s="135"/>
      <c r="L5" s="136"/>
      <c r="M5" s="137"/>
      <c r="N5" s="138"/>
      <c r="O5" s="138"/>
      <c r="P5" s="139"/>
      <c r="Q5" s="134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6"/>
      <c r="BB5" s="134"/>
      <c r="BC5" s="135"/>
      <c r="BD5" s="135"/>
      <c r="BE5" s="135"/>
      <c r="BF5" s="135"/>
      <c r="BG5" s="136"/>
    </row>
    <row r="6" spans="1:59" ht="11.25" customHeight="1">
      <c r="A6" s="132">
        <v>4</v>
      </c>
      <c r="B6" s="133"/>
      <c r="C6" s="134"/>
      <c r="D6" s="135"/>
      <c r="E6" s="135"/>
      <c r="F6" s="135"/>
      <c r="G6" s="135"/>
      <c r="H6" s="135"/>
      <c r="I6" s="135"/>
      <c r="J6" s="135"/>
      <c r="K6" s="135"/>
      <c r="L6" s="136"/>
      <c r="M6" s="137"/>
      <c r="N6" s="138"/>
      <c r="O6" s="138"/>
      <c r="P6" s="139"/>
      <c r="Q6" s="134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6"/>
      <c r="BB6" s="134"/>
      <c r="BC6" s="135"/>
      <c r="BD6" s="135"/>
      <c r="BE6" s="135"/>
      <c r="BF6" s="135"/>
      <c r="BG6" s="136"/>
    </row>
    <row r="7" spans="1:59" ht="11.25" customHeight="1">
      <c r="A7" s="132">
        <v>5</v>
      </c>
      <c r="B7" s="133"/>
      <c r="C7" s="134"/>
      <c r="D7" s="135"/>
      <c r="E7" s="135"/>
      <c r="F7" s="135"/>
      <c r="G7" s="135"/>
      <c r="H7" s="135"/>
      <c r="I7" s="135"/>
      <c r="J7" s="135"/>
      <c r="K7" s="135"/>
      <c r="L7" s="136"/>
      <c r="M7" s="137"/>
      <c r="N7" s="138"/>
      <c r="O7" s="138"/>
      <c r="P7" s="139"/>
      <c r="Q7" s="134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6"/>
      <c r="BB7" s="134"/>
      <c r="BC7" s="135"/>
      <c r="BD7" s="135"/>
      <c r="BE7" s="135"/>
      <c r="BF7" s="135"/>
      <c r="BG7" s="136"/>
    </row>
    <row r="8" spans="1:59" ht="11.25" customHeight="1">
      <c r="A8" s="126" t="s">
        <v>177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</row>
    <row r="9" spans="1:59" ht="11.25" customHeight="1">
      <c r="A9" s="129" t="s">
        <v>38</v>
      </c>
      <c r="B9" s="130"/>
      <c r="C9" s="129" t="s">
        <v>178</v>
      </c>
      <c r="D9" s="131"/>
      <c r="E9" s="131"/>
      <c r="F9" s="131"/>
      <c r="G9" s="131"/>
      <c r="H9" s="131"/>
      <c r="I9" s="131"/>
      <c r="J9" s="131"/>
      <c r="K9" s="131"/>
      <c r="L9" s="130"/>
      <c r="M9" s="129" t="s">
        <v>179</v>
      </c>
      <c r="N9" s="131"/>
      <c r="O9" s="130"/>
      <c r="P9" s="129" t="s">
        <v>175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0"/>
      <c r="AQ9" s="129" t="s">
        <v>176</v>
      </c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0"/>
    </row>
    <row r="10" spans="1:59" ht="11.25" customHeight="1">
      <c r="A10" s="132">
        <v>1</v>
      </c>
      <c r="B10" s="133"/>
      <c r="C10" s="134" t="s">
        <v>180</v>
      </c>
      <c r="D10" s="135"/>
      <c r="E10" s="135"/>
      <c r="F10" s="135"/>
      <c r="G10" s="135"/>
      <c r="H10" s="135"/>
      <c r="I10" s="135"/>
      <c r="J10" s="135"/>
      <c r="K10" s="135"/>
      <c r="L10" s="136"/>
      <c r="M10" s="140" t="s">
        <v>181</v>
      </c>
      <c r="N10" s="140"/>
      <c r="O10" s="140"/>
      <c r="P10" s="134" t="s">
        <v>182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6"/>
      <c r="AQ10" s="134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6"/>
    </row>
    <row r="11" spans="1:59" ht="11.25" customHeight="1">
      <c r="A11" s="132">
        <v>2</v>
      </c>
      <c r="B11" s="133"/>
      <c r="C11" s="134" t="s">
        <v>180</v>
      </c>
      <c r="D11" s="135"/>
      <c r="E11" s="135"/>
      <c r="F11" s="135"/>
      <c r="G11" s="135"/>
      <c r="H11" s="135"/>
      <c r="I11" s="135"/>
      <c r="J11" s="135"/>
      <c r="K11" s="135"/>
      <c r="L11" s="136"/>
      <c r="M11" s="140" t="s">
        <v>181</v>
      </c>
      <c r="N11" s="140"/>
      <c r="O11" s="140"/>
      <c r="P11" s="134" t="s">
        <v>183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6"/>
      <c r="AQ11" s="134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6"/>
    </row>
    <row r="12" spans="1:59" ht="11.25" customHeight="1">
      <c r="A12" s="132">
        <v>3</v>
      </c>
      <c r="B12" s="133"/>
      <c r="C12" s="134"/>
      <c r="D12" s="135"/>
      <c r="E12" s="135"/>
      <c r="F12" s="135"/>
      <c r="G12" s="135"/>
      <c r="H12" s="135"/>
      <c r="I12" s="135"/>
      <c r="J12" s="135"/>
      <c r="K12" s="135"/>
      <c r="L12" s="136"/>
      <c r="M12" s="140"/>
      <c r="N12" s="140"/>
      <c r="O12" s="140"/>
      <c r="P12" s="134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6"/>
      <c r="AQ12" s="134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6"/>
    </row>
    <row r="13" spans="1:59" ht="11.25" customHeight="1">
      <c r="A13" s="132">
        <v>4</v>
      </c>
      <c r="B13" s="133"/>
      <c r="C13" s="134"/>
      <c r="D13" s="135"/>
      <c r="E13" s="135"/>
      <c r="F13" s="135"/>
      <c r="G13" s="135"/>
      <c r="H13" s="135"/>
      <c r="I13" s="135"/>
      <c r="J13" s="135"/>
      <c r="K13" s="135"/>
      <c r="L13" s="136"/>
      <c r="M13" s="140"/>
      <c r="N13" s="140"/>
      <c r="O13" s="140"/>
      <c r="P13" s="134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  <c r="AQ13" s="134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6"/>
    </row>
    <row r="14" spans="1:59" ht="11.25" customHeight="1">
      <c r="A14" s="132">
        <v>5</v>
      </c>
      <c r="B14" s="133"/>
      <c r="C14" s="134"/>
      <c r="D14" s="135"/>
      <c r="E14" s="135"/>
      <c r="F14" s="135"/>
      <c r="G14" s="135"/>
      <c r="H14" s="135"/>
      <c r="I14" s="135"/>
      <c r="J14" s="135"/>
      <c r="K14" s="135"/>
      <c r="L14" s="136"/>
      <c r="M14" s="140"/>
      <c r="N14" s="140"/>
      <c r="O14" s="140"/>
      <c r="P14" s="134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6"/>
      <c r="AQ14" s="134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6"/>
    </row>
    <row r="15" spans="1:59" ht="11.25" customHeight="1">
      <c r="A15" s="126" t="s">
        <v>184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</row>
    <row r="16" spans="1:59" ht="11.25" customHeight="1">
      <c r="A16" s="129" t="s">
        <v>38</v>
      </c>
      <c r="B16" s="130"/>
      <c r="C16" s="129" t="s">
        <v>185</v>
      </c>
      <c r="D16" s="131"/>
      <c r="E16" s="131"/>
      <c r="F16" s="131"/>
      <c r="G16" s="131"/>
      <c r="H16" s="131"/>
      <c r="I16" s="131"/>
      <c r="J16" s="131"/>
      <c r="K16" s="131"/>
      <c r="L16" s="130"/>
      <c r="M16" s="129" t="s">
        <v>186</v>
      </c>
      <c r="N16" s="131"/>
      <c r="O16" s="131"/>
      <c r="P16" s="131"/>
      <c r="Q16" s="130"/>
      <c r="R16" s="129" t="s">
        <v>187</v>
      </c>
      <c r="S16" s="131"/>
      <c r="T16" s="131"/>
      <c r="U16" s="131"/>
      <c r="V16" s="130"/>
      <c r="W16" s="129" t="s">
        <v>188</v>
      </c>
      <c r="X16" s="131"/>
      <c r="Y16" s="131"/>
      <c r="Z16" s="131"/>
      <c r="AA16" s="130"/>
      <c r="AB16" s="129" t="s">
        <v>189</v>
      </c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0"/>
    </row>
    <row r="17" spans="1:59" ht="11.25" customHeight="1">
      <c r="A17" s="132">
        <v>1</v>
      </c>
      <c r="B17" s="133"/>
      <c r="C17" s="134" t="s">
        <v>190</v>
      </c>
      <c r="D17" s="135"/>
      <c r="E17" s="135"/>
      <c r="F17" s="135"/>
      <c r="G17" s="135"/>
      <c r="H17" s="135"/>
      <c r="I17" s="135"/>
      <c r="J17" s="135"/>
      <c r="K17" s="135"/>
      <c r="L17" s="136"/>
      <c r="M17" s="132" t="s">
        <v>191</v>
      </c>
      <c r="N17" s="141"/>
      <c r="O17" s="141"/>
      <c r="P17" s="141"/>
      <c r="Q17" s="133"/>
      <c r="R17" s="132" t="s">
        <v>191</v>
      </c>
      <c r="S17" s="141"/>
      <c r="T17" s="141"/>
      <c r="U17" s="141"/>
      <c r="V17" s="133"/>
      <c r="W17" s="132" t="s">
        <v>191</v>
      </c>
      <c r="X17" s="141"/>
      <c r="Y17" s="141"/>
      <c r="Z17" s="141"/>
      <c r="AA17" s="133"/>
      <c r="AB17" s="132" t="s">
        <v>192</v>
      </c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33"/>
    </row>
    <row r="18" spans="1:59" ht="11.25" customHeight="1">
      <c r="A18" s="132">
        <v>2</v>
      </c>
      <c r="B18" s="133"/>
      <c r="C18" s="38" t="s">
        <v>193</v>
      </c>
      <c r="D18" s="39"/>
      <c r="E18" s="39"/>
      <c r="F18" s="39"/>
      <c r="G18" s="39"/>
      <c r="H18" s="39"/>
      <c r="I18" s="39"/>
      <c r="J18" s="39"/>
      <c r="K18" s="39"/>
      <c r="L18" s="40"/>
      <c r="M18" s="132" t="s">
        <v>191</v>
      </c>
      <c r="N18" s="141"/>
      <c r="O18" s="141"/>
      <c r="P18" s="141"/>
      <c r="Q18" s="133"/>
      <c r="R18" s="132" t="s">
        <v>191</v>
      </c>
      <c r="S18" s="141"/>
      <c r="T18" s="141"/>
      <c r="U18" s="141"/>
      <c r="V18" s="133"/>
      <c r="W18" s="132" t="s">
        <v>191</v>
      </c>
      <c r="X18" s="141"/>
      <c r="Y18" s="141"/>
      <c r="Z18" s="141"/>
      <c r="AA18" s="133"/>
      <c r="AB18" s="132" t="s">
        <v>194</v>
      </c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33"/>
    </row>
    <row r="19" spans="1:59" ht="11.25" customHeight="1">
      <c r="A19" s="132">
        <v>3</v>
      </c>
      <c r="B19" s="133"/>
      <c r="C19" s="38" t="s">
        <v>193</v>
      </c>
      <c r="D19" s="39"/>
      <c r="E19" s="39"/>
      <c r="F19" s="39"/>
      <c r="G19" s="39"/>
      <c r="H19" s="39"/>
      <c r="I19" s="39"/>
      <c r="J19" s="39"/>
      <c r="K19" s="39"/>
      <c r="L19" s="40"/>
      <c r="M19" s="132" t="s">
        <v>191</v>
      </c>
      <c r="N19" s="141"/>
      <c r="O19" s="141"/>
      <c r="P19" s="141"/>
      <c r="Q19" s="133"/>
      <c r="R19" s="132" t="s">
        <v>191</v>
      </c>
      <c r="S19" s="141"/>
      <c r="T19" s="141"/>
      <c r="U19" s="141"/>
      <c r="V19" s="133"/>
      <c r="W19" s="132" t="s">
        <v>191</v>
      </c>
      <c r="X19" s="141"/>
      <c r="Y19" s="141"/>
      <c r="Z19" s="141"/>
      <c r="AA19" s="133"/>
      <c r="AB19" s="132" t="s">
        <v>195</v>
      </c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33"/>
    </row>
    <row r="20" spans="1:59" ht="11.25" customHeight="1">
      <c r="A20" s="132">
        <v>4</v>
      </c>
      <c r="B20" s="133"/>
      <c r="C20" s="38" t="s">
        <v>193</v>
      </c>
      <c r="D20" s="39"/>
      <c r="E20" s="39"/>
      <c r="F20" s="39"/>
      <c r="G20" s="39"/>
      <c r="H20" s="39"/>
      <c r="I20" s="39"/>
      <c r="J20" s="39"/>
      <c r="K20" s="39"/>
      <c r="L20" s="40"/>
      <c r="M20" s="132" t="s">
        <v>191</v>
      </c>
      <c r="N20" s="141"/>
      <c r="O20" s="141"/>
      <c r="P20" s="141"/>
      <c r="Q20" s="133"/>
      <c r="R20" s="132" t="s">
        <v>191</v>
      </c>
      <c r="S20" s="141"/>
      <c r="T20" s="141"/>
      <c r="U20" s="141"/>
      <c r="V20" s="133"/>
      <c r="W20" s="132" t="s">
        <v>191</v>
      </c>
      <c r="X20" s="141"/>
      <c r="Y20" s="141"/>
      <c r="Z20" s="141"/>
      <c r="AA20" s="133"/>
      <c r="AB20" s="132" t="s">
        <v>196</v>
      </c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33"/>
    </row>
    <row r="21" spans="1:59" ht="11.25" customHeight="1">
      <c r="A21" s="132">
        <v>5</v>
      </c>
      <c r="B21" s="133"/>
      <c r="C21" s="38" t="s">
        <v>197</v>
      </c>
      <c r="D21" s="39"/>
      <c r="E21" s="39"/>
      <c r="F21" s="39"/>
      <c r="G21" s="39"/>
      <c r="H21" s="39"/>
      <c r="I21" s="39"/>
      <c r="J21" s="39"/>
      <c r="K21" s="39"/>
      <c r="L21" s="40"/>
      <c r="M21" s="132" t="s">
        <v>191</v>
      </c>
      <c r="N21" s="141"/>
      <c r="O21" s="141"/>
      <c r="P21" s="141"/>
      <c r="Q21" s="133"/>
      <c r="R21" s="132" t="s">
        <v>191</v>
      </c>
      <c r="S21" s="141"/>
      <c r="T21" s="141"/>
      <c r="U21" s="141"/>
      <c r="V21" s="133"/>
      <c r="W21" s="132" t="s">
        <v>191</v>
      </c>
      <c r="X21" s="141"/>
      <c r="Y21" s="141"/>
      <c r="Z21" s="141"/>
      <c r="AA21" s="133"/>
      <c r="AB21" s="132" t="s">
        <v>198</v>
      </c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33"/>
    </row>
    <row r="22" spans="1:59" ht="11.25" customHeight="1">
      <c r="A22" s="132">
        <v>6</v>
      </c>
      <c r="B22" s="133"/>
      <c r="C22" s="38" t="s">
        <v>199</v>
      </c>
      <c r="D22" s="39"/>
      <c r="E22" s="39"/>
      <c r="F22" s="39"/>
      <c r="G22" s="39"/>
      <c r="H22" s="39"/>
      <c r="I22" s="39"/>
      <c r="J22" s="39"/>
      <c r="K22" s="39"/>
      <c r="L22" s="40"/>
      <c r="M22" s="132" t="s">
        <v>191</v>
      </c>
      <c r="N22" s="141"/>
      <c r="O22" s="141"/>
      <c r="P22" s="141"/>
      <c r="Q22" s="133"/>
      <c r="R22" s="132" t="s">
        <v>191</v>
      </c>
      <c r="S22" s="141"/>
      <c r="T22" s="141"/>
      <c r="U22" s="141"/>
      <c r="V22" s="133"/>
      <c r="W22" s="132" t="s">
        <v>191</v>
      </c>
      <c r="X22" s="141"/>
      <c r="Y22" s="141"/>
      <c r="Z22" s="141"/>
      <c r="AA22" s="133"/>
      <c r="AB22" s="132" t="s">
        <v>200</v>
      </c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33"/>
    </row>
    <row r="23" spans="1:59" ht="11.25" customHeight="1">
      <c r="A23" s="132">
        <v>7</v>
      </c>
      <c r="B23" s="133"/>
      <c r="C23" s="38"/>
      <c r="D23" s="39"/>
      <c r="E23" s="39"/>
      <c r="F23" s="39"/>
      <c r="G23" s="39"/>
      <c r="H23" s="39"/>
      <c r="I23" s="39"/>
      <c r="J23" s="39"/>
      <c r="K23" s="39"/>
      <c r="L23" s="40"/>
      <c r="M23" s="36"/>
      <c r="N23" s="41"/>
      <c r="O23" s="41"/>
      <c r="P23" s="41"/>
      <c r="Q23" s="37"/>
      <c r="R23" s="36"/>
      <c r="S23" s="41"/>
      <c r="T23" s="41"/>
      <c r="U23" s="41"/>
      <c r="V23" s="37"/>
      <c r="W23" s="36"/>
      <c r="X23" s="41"/>
      <c r="Y23" s="41"/>
      <c r="Z23" s="41"/>
      <c r="AA23" s="37"/>
      <c r="AB23" s="38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40"/>
    </row>
    <row r="24" spans="1:59" ht="11.25" customHeight="1">
      <c r="A24" s="132">
        <v>8</v>
      </c>
      <c r="B24" s="133"/>
      <c r="C24" s="134"/>
      <c r="D24" s="135"/>
      <c r="E24" s="135"/>
      <c r="F24" s="135"/>
      <c r="G24" s="135"/>
      <c r="H24" s="135"/>
      <c r="I24" s="135"/>
      <c r="J24" s="135"/>
      <c r="K24" s="135"/>
      <c r="L24" s="136"/>
      <c r="M24" s="132"/>
      <c r="N24" s="141"/>
      <c r="O24" s="141"/>
      <c r="P24" s="141"/>
      <c r="Q24" s="133"/>
      <c r="R24" s="132"/>
      <c r="S24" s="141"/>
      <c r="T24" s="141"/>
      <c r="U24" s="141"/>
      <c r="V24" s="133"/>
      <c r="W24" s="132"/>
      <c r="X24" s="141"/>
      <c r="Y24" s="141"/>
      <c r="Z24" s="141"/>
      <c r="AA24" s="133"/>
      <c r="AB24" s="134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6"/>
    </row>
    <row r="25" spans="1:59" ht="11.25" customHeight="1">
      <c r="A25" s="132">
        <v>9</v>
      </c>
      <c r="B25" s="133"/>
      <c r="C25" s="134"/>
      <c r="D25" s="135"/>
      <c r="E25" s="135"/>
      <c r="F25" s="135"/>
      <c r="G25" s="135"/>
      <c r="H25" s="135"/>
      <c r="I25" s="135"/>
      <c r="J25" s="135"/>
      <c r="K25" s="135"/>
      <c r="L25" s="136"/>
      <c r="M25" s="132"/>
      <c r="N25" s="141"/>
      <c r="O25" s="141"/>
      <c r="P25" s="141"/>
      <c r="Q25" s="133"/>
      <c r="R25" s="132"/>
      <c r="S25" s="141"/>
      <c r="T25" s="141"/>
      <c r="U25" s="141"/>
      <c r="V25" s="133"/>
      <c r="W25" s="132"/>
      <c r="X25" s="141"/>
      <c r="Y25" s="141"/>
      <c r="Z25" s="141"/>
      <c r="AA25" s="133"/>
      <c r="AB25" s="142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6"/>
    </row>
    <row r="26" spans="1:59" ht="11.25" customHeight="1">
      <c r="A26" s="126" t="s">
        <v>201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</row>
    <row r="27" spans="1:59" ht="11.25" customHeight="1">
      <c r="A27" s="129" t="s">
        <v>38</v>
      </c>
      <c r="B27" s="130"/>
      <c r="C27" s="129" t="s">
        <v>202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0"/>
      <c r="R27" s="129" t="s">
        <v>203</v>
      </c>
      <c r="S27" s="131"/>
      <c r="T27" s="131"/>
      <c r="U27" s="131"/>
      <c r="V27" s="131"/>
      <c r="W27" s="131"/>
      <c r="X27" s="131"/>
      <c r="Y27" s="131"/>
      <c r="Z27" s="131"/>
      <c r="AA27" s="130"/>
      <c r="AB27" s="129" t="s">
        <v>204</v>
      </c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0"/>
      <c r="BB27" s="129" t="s">
        <v>176</v>
      </c>
      <c r="BC27" s="131"/>
      <c r="BD27" s="131"/>
      <c r="BE27" s="131"/>
      <c r="BF27" s="131"/>
      <c r="BG27" s="130"/>
    </row>
    <row r="28" spans="1:59" ht="11.25" customHeight="1">
      <c r="A28" s="132">
        <v>1</v>
      </c>
      <c r="B28" s="133"/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6"/>
      <c r="R28" s="132"/>
      <c r="S28" s="141"/>
      <c r="T28" s="141"/>
      <c r="U28" s="141"/>
      <c r="V28" s="141"/>
      <c r="W28" s="141"/>
      <c r="X28" s="141"/>
      <c r="Y28" s="141"/>
      <c r="Z28" s="141"/>
      <c r="AA28" s="133"/>
      <c r="AB28" s="134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6"/>
      <c r="BB28" s="134"/>
      <c r="BC28" s="135"/>
      <c r="BD28" s="135"/>
      <c r="BE28" s="135"/>
      <c r="BF28" s="135"/>
      <c r="BG28" s="136"/>
    </row>
    <row r="29" spans="1:59" ht="11.25" customHeight="1">
      <c r="A29" s="132">
        <v>2</v>
      </c>
      <c r="B29" s="133"/>
      <c r="C29" s="134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  <c r="R29" s="132"/>
      <c r="S29" s="141"/>
      <c r="T29" s="141"/>
      <c r="U29" s="141"/>
      <c r="V29" s="141"/>
      <c r="W29" s="141"/>
      <c r="X29" s="141"/>
      <c r="Y29" s="141"/>
      <c r="Z29" s="141"/>
      <c r="AA29" s="133"/>
      <c r="AB29" s="134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6"/>
      <c r="BB29" s="134"/>
      <c r="BC29" s="135"/>
      <c r="BD29" s="135"/>
      <c r="BE29" s="135"/>
      <c r="BF29" s="135"/>
      <c r="BG29" s="136"/>
    </row>
    <row r="30" spans="1:59" ht="11.25" customHeight="1">
      <c r="A30" s="132">
        <v>3</v>
      </c>
      <c r="B30" s="133"/>
      <c r="C30" s="13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6"/>
      <c r="R30" s="132"/>
      <c r="S30" s="141"/>
      <c r="T30" s="141"/>
      <c r="U30" s="141"/>
      <c r="V30" s="141"/>
      <c r="W30" s="141"/>
      <c r="X30" s="141"/>
      <c r="Y30" s="141"/>
      <c r="Z30" s="141"/>
      <c r="AA30" s="133"/>
      <c r="AB30" s="134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6"/>
      <c r="BB30" s="134"/>
      <c r="BC30" s="135"/>
      <c r="BD30" s="135"/>
      <c r="BE30" s="135"/>
      <c r="BF30" s="135"/>
      <c r="BG30" s="136"/>
    </row>
    <row r="31" spans="1:59" ht="11.25" customHeight="1">
      <c r="A31" s="147" t="s">
        <v>205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9"/>
    </row>
    <row r="32" spans="1:59" ht="11.25" customHeight="1">
      <c r="A32" s="143" t="s">
        <v>206</v>
      </c>
      <c r="B32" s="150"/>
      <c r="C32" s="143" t="s">
        <v>207</v>
      </c>
      <c r="D32" s="144"/>
      <c r="E32" s="144"/>
      <c r="F32" s="144"/>
      <c r="G32" s="144"/>
      <c r="H32" s="144"/>
      <c r="I32" s="144"/>
      <c r="J32" s="144"/>
      <c r="K32" s="144"/>
      <c r="L32" s="150"/>
      <c r="M32" s="143" t="s">
        <v>208</v>
      </c>
      <c r="N32" s="144"/>
      <c r="O32" s="144"/>
      <c r="P32" s="144"/>
      <c r="Q32" s="144"/>
      <c r="R32" s="144"/>
      <c r="S32" s="144"/>
      <c r="T32" s="150"/>
      <c r="U32" s="143" t="s">
        <v>209</v>
      </c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50"/>
      <c r="AK32" s="143" t="s">
        <v>210</v>
      </c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</row>
    <row r="33" spans="1:59" ht="13.5">
      <c r="A33" s="145">
        <v>1</v>
      </c>
      <c r="B33" s="146"/>
      <c r="C33" s="154"/>
      <c r="D33" s="155"/>
      <c r="E33" s="155"/>
      <c r="F33" s="155"/>
      <c r="G33" s="155"/>
      <c r="H33" s="155"/>
      <c r="I33" s="155"/>
      <c r="J33" s="155"/>
      <c r="K33" s="155"/>
      <c r="L33" s="156"/>
      <c r="M33" s="154"/>
      <c r="N33" s="155"/>
      <c r="O33" s="155"/>
      <c r="P33" s="155"/>
      <c r="Q33" s="155"/>
      <c r="R33" s="155"/>
      <c r="S33" s="155"/>
      <c r="T33" s="156"/>
      <c r="U33" s="154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6"/>
      <c r="AK33" s="33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5"/>
    </row>
    <row r="34" spans="1:59" ht="11.25" customHeight="1">
      <c r="A34" s="145">
        <v>2</v>
      </c>
      <c r="B34" s="146"/>
      <c r="C34" s="154"/>
      <c r="D34" s="155"/>
      <c r="E34" s="155"/>
      <c r="F34" s="155"/>
      <c r="G34" s="155"/>
      <c r="H34" s="155"/>
      <c r="I34" s="155"/>
      <c r="J34" s="155"/>
      <c r="K34" s="155"/>
      <c r="L34" s="156"/>
      <c r="M34" s="154"/>
      <c r="N34" s="155"/>
      <c r="O34" s="155"/>
      <c r="P34" s="155"/>
      <c r="Q34" s="155"/>
      <c r="R34" s="155"/>
      <c r="S34" s="155"/>
      <c r="T34" s="156"/>
      <c r="U34" s="154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6"/>
      <c r="AK34" s="11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3"/>
    </row>
    <row r="35" spans="1:59" ht="11.25" customHeight="1">
      <c r="A35" s="145">
        <v>3</v>
      </c>
      <c r="B35" s="146"/>
      <c r="C35" s="154"/>
      <c r="D35" s="155"/>
      <c r="E35" s="155"/>
      <c r="F35" s="155"/>
      <c r="G35" s="155"/>
      <c r="H35" s="155"/>
      <c r="I35" s="155"/>
      <c r="J35" s="155"/>
      <c r="K35" s="155"/>
      <c r="L35" s="156"/>
      <c r="M35" s="154"/>
      <c r="N35" s="155"/>
      <c r="O35" s="155"/>
      <c r="P35" s="155"/>
      <c r="Q35" s="155"/>
      <c r="R35" s="155"/>
      <c r="S35" s="155"/>
      <c r="T35" s="156"/>
      <c r="U35" s="154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6"/>
      <c r="AK35" s="11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3"/>
    </row>
  </sheetData>
  <mergeCells count="152">
    <mergeCell ref="AB18:BG18"/>
    <mergeCell ref="AB19:BG19"/>
    <mergeCell ref="AB20:BG20"/>
    <mergeCell ref="AB21:BG21"/>
    <mergeCell ref="AB22:BG22"/>
    <mergeCell ref="M20:Q20"/>
    <mergeCell ref="R20:V20"/>
    <mergeCell ref="W20:AA20"/>
    <mergeCell ref="M21:Q21"/>
    <mergeCell ref="R21:V21"/>
    <mergeCell ref="W21:AA21"/>
    <mergeCell ref="M22:Q22"/>
    <mergeCell ref="R22:V22"/>
    <mergeCell ref="W22:AA22"/>
    <mergeCell ref="A34:B34"/>
    <mergeCell ref="C34:L34"/>
    <mergeCell ref="M34:T34"/>
    <mergeCell ref="U34:AJ34"/>
    <mergeCell ref="A35:B35"/>
    <mergeCell ref="C35:L35"/>
    <mergeCell ref="M35:T35"/>
    <mergeCell ref="U35:AJ35"/>
    <mergeCell ref="A32:B32"/>
    <mergeCell ref="C32:L32"/>
    <mergeCell ref="M32:T32"/>
    <mergeCell ref="U32:AJ32"/>
    <mergeCell ref="AK32:BG32"/>
    <mergeCell ref="A33:B33"/>
    <mergeCell ref="C33:L33"/>
    <mergeCell ref="M33:T33"/>
    <mergeCell ref="U33:AJ33"/>
    <mergeCell ref="A30:B30"/>
    <mergeCell ref="C30:Q30"/>
    <mergeCell ref="R30:AA30"/>
    <mergeCell ref="AB30:BA30"/>
    <mergeCell ref="BB30:BG30"/>
    <mergeCell ref="A31:BG31"/>
    <mergeCell ref="A28:B28"/>
    <mergeCell ref="C28:Q28"/>
    <mergeCell ref="R28:AA28"/>
    <mergeCell ref="AB28:BA28"/>
    <mergeCell ref="BB28:BG28"/>
    <mergeCell ref="A29:B29"/>
    <mergeCell ref="C29:Q29"/>
    <mergeCell ref="R29:AA29"/>
    <mergeCell ref="AB29:BA29"/>
    <mergeCell ref="BB29:BG29"/>
    <mergeCell ref="A26:BG26"/>
    <mergeCell ref="A27:B27"/>
    <mergeCell ref="C27:Q27"/>
    <mergeCell ref="R27:AA27"/>
    <mergeCell ref="AB27:BA27"/>
    <mergeCell ref="BB27:BG27"/>
    <mergeCell ref="A25:B25"/>
    <mergeCell ref="C25:L25"/>
    <mergeCell ref="M25:Q25"/>
    <mergeCell ref="R25:V25"/>
    <mergeCell ref="W25:AA25"/>
    <mergeCell ref="AB25:BG25"/>
    <mergeCell ref="A24:B24"/>
    <mergeCell ref="C24:L24"/>
    <mergeCell ref="M24:Q24"/>
    <mergeCell ref="R24:V24"/>
    <mergeCell ref="W24:AA24"/>
    <mergeCell ref="AB24:BG24"/>
    <mergeCell ref="A17:B17"/>
    <mergeCell ref="C17:L17"/>
    <mergeCell ref="M17:Q17"/>
    <mergeCell ref="R17:V17"/>
    <mergeCell ref="W17:AA17"/>
    <mergeCell ref="AB17:BG17"/>
    <mergeCell ref="A18:B18"/>
    <mergeCell ref="A19:B19"/>
    <mergeCell ref="A20:B20"/>
    <mergeCell ref="A21:B21"/>
    <mergeCell ref="A22:B22"/>
    <mergeCell ref="A23:B23"/>
    <mergeCell ref="M18:Q18"/>
    <mergeCell ref="R18:V18"/>
    <mergeCell ref="W18:AA18"/>
    <mergeCell ref="M19:Q19"/>
    <mergeCell ref="R19:V19"/>
    <mergeCell ref="W19:AA19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disablePrompts="1" count="5">
    <dataValidation type="list" showInputMessage="1" showErrorMessage="1" sqref="R28:AA30" xr:uid="{8CBFBFAA-FB92-4567-AB3D-CB627C442A4A}">
      <formula1>"Cascade,Restricted,Cascade + Restricted"</formula1>
    </dataValidation>
    <dataValidation type="list" allowBlank="1" showInputMessage="1" showErrorMessage="1" sqref="W17:AA25" xr:uid="{89F9137F-8086-4BAD-B19C-58AF6F04D52A}">
      <formula1>"ZeroOne,ExactlyOne,NotSpecified"</formula1>
    </dataValidation>
    <dataValidation type="list" allowBlank="1" showInputMessage="1" showErrorMessage="1" sqref="R17:V25" xr:uid="{F26F6DFA-B393-4108-9E7A-4DF662180B1B}">
      <formula1>"ZeroMore,OneMore,ZeroOne,ExactlyOne,NotSpecified"</formula1>
    </dataValidation>
    <dataValidation type="list" showInputMessage="1" showErrorMessage="1" sqref="M17:Q25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4879C-55DC-4F97-9280-6524D5AC04EA}"/>
</file>

<file path=customXml/itemProps2.xml><?xml version="1.0" encoding="utf-8"?>
<ds:datastoreItem xmlns:ds="http://schemas.openxmlformats.org/officeDocument/2006/customXml" ds:itemID="{0CD90A09-F9C1-4822-8BFB-245A099C4C80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2025-09-03T08:16:05Z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