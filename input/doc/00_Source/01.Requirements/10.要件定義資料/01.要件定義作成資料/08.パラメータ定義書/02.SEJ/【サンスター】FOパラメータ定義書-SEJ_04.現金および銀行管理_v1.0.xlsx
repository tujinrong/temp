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208" documentId="8_{5FA108E2-FA46-4B45-A83D-9212682CE7EA}" xr6:coauthVersionLast="47" xr6:coauthVersionMax="47" xr10:uidLastSave="{7A6435AE-E013-4813-B50D-BC96200BA491}"/>
  <bookViews>
    <workbookView xWindow="-110" yWindow="-110" windowWidth="19420" windowHeight="10300" tabRatio="778" activeTab="3" xr2:uid="{FF37A431-138E-498D-9932-FE4CAD8F52B8}"/>
  </bookViews>
  <sheets>
    <sheet name="表紙" sheetId="366" r:id="rId1"/>
    <sheet name="パラメータ設定一覧" sheetId="365" r:id="rId2"/>
    <sheet name="現金および銀行管理パラメーター" sheetId="47" r:id="rId3"/>
    <sheet name="現金および銀行管理パラメータ-番号順序" sheetId="362" r:id="rId4"/>
    <sheet name="銀行口座" sheetId="248" state="hidden" r:id="rId5"/>
    <sheet name="銀行口座-設定値" sheetId="331" state="hidden" r:id="rId6"/>
    <sheet name="銀行グループ" sheetId="329" state="hidden" r:id="rId7"/>
    <sheet name="銀行グループ-設定値" sheetId="330" state="hidden" r:id="rId8"/>
  </sheets>
  <externalReferences>
    <externalReference r:id="rId9"/>
  </externalReferences>
  <definedNames>
    <definedName name="_Fill" hidden="1">[1]テーブル仕様!#REF!</definedName>
    <definedName name="_xlnm._FilterDatabase" localSheetId="3" hidden="1">'現金および銀行管理パラメータ-番号順序'!#REF!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47" l="1"/>
  <c r="B30" i="47"/>
  <c r="B23" i="47"/>
  <c r="B71" i="248"/>
  <c r="B17" i="362" l="1"/>
  <c r="B29" i="331" l="1"/>
  <c r="B28" i="331"/>
  <c r="B27" i="331"/>
  <c r="B26" i="331"/>
  <c r="B25" i="331"/>
  <c r="B24" i="331"/>
  <c r="B23" i="331"/>
  <c r="B22" i="331"/>
  <c r="B21" i="331"/>
  <c r="B20" i="331"/>
  <c r="B19" i="331"/>
  <c r="B18" i="331"/>
  <c r="B17" i="331"/>
  <c r="B16" i="362"/>
  <c r="B55" i="248"/>
  <c r="B56" i="248"/>
  <c r="B27" i="248"/>
  <c r="B29" i="47"/>
  <c r="B28" i="47"/>
  <c r="B8" i="47"/>
  <c r="B6" i="365"/>
  <c r="B5" i="365"/>
  <c r="B4" i="365"/>
  <c r="B10" i="331" l="1"/>
  <c r="B9" i="331"/>
  <c r="B11" i="331"/>
  <c r="B12" i="331"/>
  <c r="B11" i="330" l="1"/>
  <c r="B12" i="330"/>
  <c r="B13" i="330"/>
  <c r="B14" i="330"/>
  <c r="B15" i="330"/>
  <c r="B16" i="330"/>
  <c r="B17" i="330"/>
  <c r="B18" i="330"/>
  <c r="B19" i="330"/>
  <c r="B20" i="330"/>
  <c r="B21" i="330"/>
  <c r="B22" i="330"/>
  <c r="B23" i="330"/>
  <c r="B24" i="330"/>
  <c r="B25" i="330"/>
  <c r="B26" i="330"/>
  <c r="B27" i="330"/>
  <c r="B31" i="331"/>
  <c r="B32" i="331"/>
  <c r="B33" i="331"/>
  <c r="B34" i="331"/>
  <c r="B35" i="331"/>
  <c r="B36" i="331"/>
  <c r="B37" i="331"/>
  <c r="B38" i="331"/>
  <c r="B39" i="331"/>
  <c r="B40" i="331"/>
  <c r="B41" i="331"/>
  <c r="B43" i="47"/>
  <c r="B42" i="47"/>
  <c r="B41" i="47"/>
  <c r="B15" i="362"/>
  <c r="B14" i="362"/>
  <c r="B13" i="362"/>
  <c r="B12" i="362"/>
  <c r="B11" i="362"/>
  <c r="B10" i="362"/>
  <c r="B9" i="362"/>
  <c r="B8" i="362"/>
  <c r="B7" i="362"/>
  <c r="B6" i="362"/>
  <c r="B15" i="331" l="1"/>
  <c r="B16" i="331"/>
  <c r="B30" i="331"/>
  <c r="B14" i="331"/>
  <c r="B13" i="331"/>
  <c r="B8" i="331"/>
  <c r="B10" i="330"/>
  <c r="B9" i="330"/>
  <c r="B8" i="330"/>
  <c r="B41" i="329"/>
  <c r="B40" i="329"/>
  <c r="B39" i="329"/>
  <c r="B38" i="329"/>
  <c r="B37" i="329"/>
  <c r="B36" i="329"/>
  <c r="B35" i="329"/>
  <c r="B34" i="329"/>
  <c r="B33" i="329"/>
  <c r="B32" i="329"/>
  <c r="B31" i="329"/>
  <c r="B30" i="329"/>
  <c r="B29" i="329"/>
  <c r="B28" i="329"/>
  <c r="B27" i="329"/>
  <c r="B26" i="329"/>
  <c r="B25" i="329"/>
  <c r="B24" i="329"/>
  <c r="B23" i="329"/>
  <c r="B22" i="329"/>
  <c r="B21" i="329"/>
  <c r="B20" i="329"/>
  <c r="B19" i="329"/>
  <c r="B18" i="329"/>
  <c r="B17" i="329"/>
  <c r="B16" i="329"/>
  <c r="B15" i="329"/>
  <c r="B14" i="329"/>
  <c r="B13" i="329"/>
  <c r="B12" i="329"/>
  <c r="B11" i="329"/>
  <c r="B10" i="329"/>
  <c r="B9" i="329"/>
  <c r="B8" i="329"/>
  <c r="B7" i="329"/>
  <c r="B6" i="329"/>
  <c r="B16" i="47"/>
  <c r="B77" i="248" l="1"/>
  <c r="B50" i="248"/>
  <c r="B51" i="248"/>
  <c r="B52" i="248"/>
  <c r="B53" i="248"/>
  <c r="B54" i="248"/>
  <c r="B57" i="248"/>
  <c r="B58" i="248"/>
  <c r="B59" i="248"/>
  <c r="B60" i="248"/>
  <c r="B61" i="248"/>
  <c r="B62" i="248"/>
  <c r="B63" i="248"/>
  <c r="B64" i="248"/>
  <c r="B65" i="248"/>
  <c r="B66" i="248"/>
  <c r="B67" i="248"/>
  <c r="B68" i="248"/>
  <c r="B69" i="248"/>
  <c r="B70" i="248"/>
  <c r="B72" i="248"/>
  <c r="B73" i="248"/>
  <c r="B74" i="248"/>
  <c r="B75" i="248"/>
  <c r="B76" i="248"/>
  <c r="B78" i="248"/>
  <c r="B79" i="248"/>
  <c r="B80" i="248"/>
  <c r="B81" i="248"/>
  <c r="B82" i="248"/>
  <c r="B83" i="248"/>
  <c r="B84" i="248"/>
  <c r="B7" i="248"/>
  <c r="B7" i="47"/>
  <c r="B9" i="47"/>
  <c r="B10" i="47"/>
  <c r="B11" i="47"/>
  <c r="B12" i="47"/>
  <c r="B13" i="47"/>
  <c r="B14" i="47"/>
  <c r="B15" i="47"/>
  <c r="B17" i="47"/>
  <c r="B18" i="47"/>
  <c r="B19" i="47"/>
  <c r="B20" i="47"/>
  <c r="B21" i="47"/>
  <c r="B22" i="47"/>
  <c r="B24" i="47"/>
  <c r="B25" i="47"/>
  <c r="B26" i="47"/>
  <c r="B27" i="47"/>
  <c r="B31" i="47"/>
  <c r="B33" i="47"/>
  <c r="B34" i="47"/>
  <c r="B35" i="47"/>
  <c r="B36" i="47"/>
  <c r="B37" i="47"/>
  <c r="B38" i="47"/>
  <c r="B39" i="47"/>
  <c r="B40" i="47"/>
  <c r="B6" i="47"/>
  <c r="B8" i="248"/>
  <c r="B9" i="248"/>
  <c r="B10" i="248"/>
  <c r="B11" i="248"/>
  <c r="B12" i="248"/>
  <c r="B13" i="248"/>
  <c r="B14" i="248"/>
  <c r="B15" i="248"/>
  <c r="B16" i="248"/>
  <c r="B17" i="248"/>
  <c r="B18" i="248"/>
  <c r="B19" i="248"/>
  <c r="B20" i="248"/>
  <c r="B21" i="248"/>
  <c r="B22" i="248"/>
  <c r="B23" i="248"/>
  <c r="B24" i="248"/>
  <c r="B25" i="248"/>
  <c r="B26" i="248"/>
  <c r="B28" i="248"/>
  <c r="B29" i="248"/>
  <c r="B30" i="248"/>
  <c r="B31" i="248"/>
  <c r="B32" i="248"/>
  <c r="B33" i="248"/>
  <c r="B34" i="248"/>
  <c r="B35" i="248"/>
  <c r="B36" i="248"/>
  <c r="B37" i="248"/>
  <c r="B38" i="248"/>
  <c r="B39" i="248"/>
  <c r="B40" i="248"/>
  <c r="B41" i="248"/>
  <c r="B42" i="248"/>
  <c r="B43" i="248"/>
  <c r="B44" i="248"/>
  <c r="B45" i="248"/>
  <c r="B46" i="248"/>
  <c r="B47" i="248"/>
  <c r="B48" i="248"/>
  <c r="B49" i="248"/>
  <c r="B6" i="248"/>
</calcChain>
</file>

<file path=xl/sharedStrings.xml><?xml version="1.0" encoding="utf-8"?>
<sst xmlns="http://schemas.openxmlformats.org/spreadsheetml/2006/main" count="1141" uniqueCount="426">
  <si>
    <t>サンスター株式会社　御中</t>
    <phoneticPr fontId="27"/>
  </si>
  <si>
    <t>会計システム刷新プロジェクト（LIBRA）</t>
    <phoneticPr fontId="27"/>
  </si>
  <si>
    <t>FOパラメータ定義書-SEJ_04.現金および銀行管理</t>
    <rPh sb="7" eb="10">
      <t>テイギショ</t>
    </rPh>
    <rPh sb="18" eb="20">
      <t>ゲンキン</t>
    </rPh>
    <rPh sb="23" eb="25">
      <t>ギンコウ</t>
    </rPh>
    <rPh sb="25" eb="27">
      <t>カンリ</t>
    </rPh>
    <phoneticPr fontId="11"/>
  </si>
  <si>
    <t>第1.0版</t>
  </si>
  <si>
    <t>日本ビジネスシステムズ株式会社</t>
    <rPh sb="0" eb="2">
      <t>ニホン</t>
    </rPh>
    <rPh sb="11" eb="15">
      <t>カブシキガイシャ</t>
    </rPh>
    <phoneticPr fontId="27"/>
  </si>
  <si>
    <t>作成者</t>
    <rPh sb="0" eb="3">
      <t>サクセイシャ</t>
    </rPh>
    <phoneticPr fontId="27"/>
  </si>
  <si>
    <t>JBS承認者</t>
    <rPh sb="3" eb="6">
      <t>ショウニンシャ</t>
    </rPh>
    <phoneticPr fontId="27"/>
  </si>
  <si>
    <t>＜YYYY/MM/DD＞</t>
    <phoneticPr fontId="27"/>
  </si>
  <si>
    <t>JBS石岡</t>
    <rPh sb="3" eb="5">
      <t>イシオカ</t>
    </rPh>
    <phoneticPr fontId="27"/>
  </si>
  <si>
    <t>氏名</t>
    <rPh sb="0" eb="2">
      <t>シメイ</t>
    </rPh>
    <phoneticPr fontId="27"/>
  </si>
  <si>
    <t>パラメータ設定一覧</t>
  </si>
  <si>
    <t>No</t>
  </si>
  <si>
    <t>該当モジュール</t>
  </si>
  <si>
    <t>法人共通/個別</t>
    <rPh sb="0" eb="4">
      <t>ホウジンキョウツウ</t>
    </rPh>
    <rPh sb="5" eb="7">
      <t>コベツ</t>
    </rPh>
    <phoneticPr fontId="11"/>
  </si>
  <si>
    <t>設定項目</t>
  </si>
  <si>
    <t>GC設定担当者</t>
    <rPh sb="2" eb="4">
      <t>セッテイ</t>
    </rPh>
    <rPh sb="4" eb="7">
      <t>タントウシャ</t>
    </rPh>
    <phoneticPr fontId="11"/>
  </si>
  <si>
    <t>GC設定完了日</t>
    <rPh sb="2" eb="4">
      <t>セッテイ</t>
    </rPh>
    <rPh sb="4" eb="7">
      <t>カンリョウビ</t>
    </rPh>
    <phoneticPr fontId="11"/>
  </si>
  <si>
    <t>説明</t>
  </si>
  <si>
    <t>パス</t>
    <phoneticPr fontId="11"/>
  </si>
  <si>
    <t>現金および銀行管理</t>
    <phoneticPr fontId="11"/>
  </si>
  <si>
    <t>個別</t>
    <rPh sb="0" eb="2">
      <t>コベツ</t>
    </rPh>
    <phoneticPr fontId="11"/>
  </si>
  <si>
    <t>現金および銀行管理パラメーター</t>
    <phoneticPr fontId="11"/>
  </si>
  <si>
    <t>JBS石岡</t>
  </si>
  <si>
    <t>現金および銀行管理モジュール用パラメーター定義となる。
銀行管理機能は使用しないが、仕入先マスタや顧客マスタ上で銀行口座の情報を保持するため設定する。</t>
    <phoneticPr fontId="11"/>
  </si>
  <si>
    <t>現金および銀行管理＞設定＞現金および銀行管理パラメーター
Cash and bank management &gt; Setup &gt; Cash and bank management parameters</t>
    <phoneticPr fontId="11"/>
  </si>
  <si>
    <t>銀行口座</t>
    <rPh sb="0" eb="2">
      <t>ギンコウ</t>
    </rPh>
    <rPh sb="2" eb="4">
      <t>コウザ</t>
    </rPh>
    <phoneticPr fontId="11"/>
  </si>
  <si>
    <t>（移行対象）</t>
    <rPh sb="1" eb="5">
      <t>イコウタイショウ</t>
    </rPh>
    <phoneticPr fontId="11"/>
  </si>
  <si>
    <t>銀行口座の定義となる。</t>
    <rPh sb="0" eb="2">
      <t>ギンコウ</t>
    </rPh>
    <rPh sb="2" eb="4">
      <t>コウザ</t>
    </rPh>
    <rPh sb="5" eb="7">
      <t>テイギ</t>
    </rPh>
    <phoneticPr fontId="11"/>
  </si>
  <si>
    <t>現金および銀行管理＞銀行口座＞銀行口座
Cash and bank management &gt; Bank accounts &gt; Bank accounts</t>
    <phoneticPr fontId="11"/>
  </si>
  <si>
    <t>銀行グループ</t>
    <rPh sb="0" eb="2">
      <t>ギンコウ</t>
    </rPh>
    <phoneticPr fontId="11"/>
  </si>
  <si>
    <t>銀行のグループの定義となる</t>
    <rPh sb="0" eb="2">
      <t>ギンコウ</t>
    </rPh>
    <rPh sb="8" eb="10">
      <t>テイギ</t>
    </rPh>
    <phoneticPr fontId="11"/>
  </si>
  <si>
    <t>現金および銀行管理＞設定＞銀行グループ
Cash and bank management &gt; Setup &gt; Bank groups</t>
    <rPh sb="0" eb="2">
      <t>ゲンキン</t>
    </rPh>
    <rPh sb="5" eb="7">
      <t>ギンコウ</t>
    </rPh>
    <rPh sb="7" eb="9">
      <t>カンリ</t>
    </rPh>
    <rPh sb="10" eb="12">
      <t>セッテイ</t>
    </rPh>
    <rPh sb="13" eb="15">
      <t>ギンコウ</t>
    </rPh>
    <phoneticPr fontId="11"/>
  </si>
  <si>
    <t>現金および銀行管理＞設定＞現金および銀行管理パラメーター</t>
  </si>
  <si>
    <t>Cash and bank management &gt; Setup &gt; Cash and bank management parameters</t>
    <phoneticPr fontId="11"/>
  </si>
  <si>
    <t>パラメータ設定一覧へ</t>
  </si>
  <si>
    <t>#</t>
  </si>
  <si>
    <t>タブ</t>
  </si>
  <si>
    <t>タブ説明</t>
    <rPh sb="2" eb="4">
      <t>セツメイ</t>
    </rPh>
    <phoneticPr fontId="19"/>
  </si>
  <si>
    <t>項目分類</t>
    <rPh sb="0" eb="2">
      <t>コウモク</t>
    </rPh>
    <rPh sb="2" eb="4">
      <t>ブンルイ</t>
    </rPh>
    <phoneticPr fontId="14"/>
  </si>
  <si>
    <t>項目</t>
  </si>
  <si>
    <t>項目説明</t>
    <rPh sb="0" eb="2">
      <t>コウモク</t>
    </rPh>
    <rPh sb="2" eb="4">
      <t>セツメイ</t>
    </rPh>
    <phoneticPr fontId="14"/>
  </si>
  <si>
    <t>設定可能値</t>
  </si>
  <si>
    <t>デフォルト値</t>
    <rPh sb="5" eb="6">
      <t>チ</t>
    </rPh>
    <phoneticPr fontId="19"/>
  </si>
  <si>
    <t>備考</t>
  </si>
  <si>
    <t>設定値</t>
  </si>
  <si>
    <t>設定基準</t>
  </si>
  <si>
    <t>一般</t>
    <rPh sb="0" eb="2">
      <t>イッパン</t>
    </rPh>
    <phoneticPr fontId="19"/>
  </si>
  <si>
    <t>銀行の一般情報を設定します</t>
    <rPh sb="0" eb="2">
      <t>ギンコウ</t>
    </rPh>
    <rPh sb="3" eb="5">
      <t>イッパン</t>
    </rPh>
    <rPh sb="5" eb="7">
      <t>ジョウホウ</t>
    </rPh>
    <rPh sb="8" eb="10">
      <t>セッテイ</t>
    </rPh>
    <phoneticPr fontId="11"/>
  </si>
  <si>
    <t>一般＞預金不足</t>
    <rPh sb="0" eb="1">
      <t>イッ</t>
    </rPh>
    <rPh sb="3" eb="5">
      <t>ヨキン</t>
    </rPh>
    <rPh sb="4" eb="6">
      <t>ヨキンブソク</t>
    </rPh>
    <phoneticPr fontId="11"/>
  </si>
  <si>
    <t>NSF</t>
    <phoneticPr fontId="11"/>
  </si>
  <si>
    <t>預金不足 (NSF) に使用される銀行トランザクション タイプを選択します。</t>
  </si>
  <si>
    <t>NSF(ユーザー定義)</t>
    <rPh sb="8" eb="10">
      <t>テイギ</t>
    </rPh>
    <phoneticPr fontId="11"/>
  </si>
  <si>
    <t>ー</t>
  </si>
  <si>
    <t>-</t>
    <phoneticPr fontId="11"/>
  </si>
  <si>
    <t>一般＞設定の確認</t>
    <rPh sb="0" eb="2">
      <t>イッパン</t>
    </rPh>
    <rPh sb="2" eb="4">
      <t>セッテイ</t>
    </rPh>
    <rPh sb="5" eb="7">
      <t>カクニン</t>
    </rPh>
    <phoneticPr fontId="11"/>
  </si>
  <si>
    <t>銀行口座または勘定科目の小切手を許可</t>
    <phoneticPr fontId="11"/>
  </si>
  <si>
    <t>銀行口座または勘定科目に対して小切手の印刷を許可する場合は、このオプションを選択します。このオプションを選択して、買掛金勘定の支払仕訳帳明細行で全般タブの勘定タイプフィールドの元帳または銀行を選択すると、受取人の名前フィールドが、選択した支払仕訳帳明細行の支払タブに表示されます。</t>
  </si>
  <si>
    <t>はい/いいえ</t>
    <phoneticPr fontId="11"/>
  </si>
  <si>
    <t>いいえ</t>
    <phoneticPr fontId="11"/>
  </si>
  <si>
    <t>[小切手] ページで空白の小切手の作成を許可する</t>
    <phoneticPr fontId="11"/>
  </si>
  <si>
    <t>[小切手] ページで空白の小切手の作成を許可する</t>
  </si>
  <si>
    <t>一般＞取消</t>
    <rPh sb="0" eb="2">
      <t>イッパン</t>
    </rPh>
    <rPh sb="3" eb="5">
      <t>トリケシ</t>
    </rPh>
    <phoneticPr fontId="11"/>
  </si>
  <si>
    <t>支払取消の確認プロセスを使用</t>
  </si>
  <si>
    <t>転記前に小切手の取消を小切手取消仕訳帳で確認する必要があることを示す場合は、このオプションを選択します。このオプションがオフの場合は、小切手ページで支払取消をクリックするとすぐに取消が転記されます。</t>
  </si>
  <si>
    <t>預金伝票の支払取消の確認プロセスを使用</t>
  </si>
  <si>
    <t>転記前に預金伝票の支払取消仕訳帳で預金伝票の支払の取消をレビューするには、このオプションを選択します。このオプションがオフの場合は、預金伝票ページで支払のキャンセルをクリックするとすぐに取消が転記されます。</t>
  </si>
  <si>
    <t>没収の有効化</t>
    <rPh sb="0" eb="2">
      <t>ボッシュウ</t>
    </rPh>
    <rPh sb="3" eb="6">
      <t>ユウコウカ</t>
    </rPh>
    <phoneticPr fontId="11"/>
  </si>
  <si>
    <t>一般＞理由コード要求</t>
    <rPh sb="0" eb="2">
      <t>イッパン</t>
    </rPh>
    <rPh sb="3" eb="5">
      <t>リユウ</t>
    </rPh>
    <rPh sb="8" eb="10">
      <t>ヨウキュウ</t>
    </rPh>
    <phoneticPr fontId="11"/>
  </si>
  <si>
    <t>支払取消の理由を要求</t>
    <rPh sb="5" eb="7">
      <t>リユウ</t>
    </rPh>
    <rPh sb="8" eb="10">
      <t>ヨウキュウ</t>
    </rPh>
    <phoneticPr fontId="11"/>
  </si>
  <si>
    <t>預金伝票の支払キャンセルの理由を要求</t>
    <rPh sb="5" eb="7">
      <t>シハライ</t>
    </rPh>
    <rPh sb="13" eb="15">
      <t>リユウ</t>
    </rPh>
    <rPh sb="16" eb="18">
      <t>ヨウキュウ</t>
    </rPh>
    <phoneticPr fontId="11"/>
  </si>
  <si>
    <t>一般＞事前通知</t>
    <rPh sb="0" eb="2">
      <t>イッパン</t>
    </rPh>
    <rPh sb="3" eb="5">
      <t>ジゼン</t>
    </rPh>
    <rPh sb="5" eb="7">
      <t>ツウチ</t>
    </rPh>
    <phoneticPr fontId="11"/>
  </si>
  <si>
    <t>無効な銀行口座での事前通知の作成を許容:</t>
    <rPh sb="0" eb="2">
      <t>ムコウ</t>
    </rPh>
    <rPh sb="3" eb="5">
      <t>ギンコウ</t>
    </rPh>
    <rPh sb="5" eb="7">
      <t>コウザ</t>
    </rPh>
    <rPh sb="9" eb="11">
      <t>ジゼン</t>
    </rPh>
    <rPh sb="11" eb="13">
      <t>ツウチ</t>
    </rPh>
    <rPh sb="14" eb="16">
      <t>サクセイ</t>
    </rPh>
    <rPh sb="17" eb="19">
      <t>キョヨウ</t>
    </rPh>
    <phoneticPr fontId="11"/>
  </si>
  <si>
    <t>一般＞非譲渡性の支払のコピー</t>
    <rPh sb="0" eb="2">
      <t>イッパン</t>
    </rPh>
    <rPh sb="3" eb="4">
      <t>ヒ</t>
    </rPh>
    <rPh sb="4" eb="7">
      <t>ジョウトセイ</t>
    </rPh>
    <rPh sb="8" eb="10">
      <t>シハライ</t>
    </rPh>
    <phoneticPr fontId="11"/>
  </si>
  <si>
    <t>支払のコピーを許可:</t>
    <rPh sb="0" eb="2">
      <t>シハライ</t>
    </rPh>
    <rPh sb="7" eb="9">
      <t>キョカ</t>
    </rPh>
    <phoneticPr fontId="11"/>
  </si>
  <si>
    <t>ユーザーが支払のコピーを印刷できるようにする場合は、このオプションを選択します。これらの支払には、小切手、支払手形、および電子支払が含まれます。支払のコピーが、仕入先との不整合を解決するために使用できる譲渡不可小切手として印刷されます。</t>
  </si>
  <si>
    <t>一般＞与信限度額の許容範囲</t>
    <rPh sb="0" eb="2">
      <t>イッパン</t>
    </rPh>
    <rPh sb="3" eb="5">
      <t>ヨシン</t>
    </rPh>
    <rPh sb="5" eb="7">
      <t>ゲンド</t>
    </rPh>
    <rPh sb="7" eb="8">
      <t>ガク</t>
    </rPh>
    <rPh sb="9" eb="11">
      <t>キョヨウ</t>
    </rPh>
    <rPh sb="11" eb="13">
      <t>ハンイ</t>
    </rPh>
    <phoneticPr fontId="11"/>
  </si>
  <si>
    <t>銀行の与信限度額の許容範囲</t>
    <phoneticPr fontId="11"/>
  </si>
  <si>
    <t>支払仕訳帳の転記によって残高が与信限度額を超えたときのユーザーへの通知のタイプを選択します。以下のオプションから選択します。与信限度額を無視しないを選択。警告を選択する、与信限度額を超えたとき警告を表示するがプロセスは続行する。エラーを選択する、与信限度額を超えたときエラーを表示しプロセスを停止する。</t>
  </si>
  <si>
    <t>・なし
・警告
・エラー</t>
    <rPh sb="5" eb="7">
      <t>ケイコク</t>
    </rPh>
    <phoneticPr fontId="11"/>
  </si>
  <si>
    <t>なし</t>
    <phoneticPr fontId="11"/>
  </si>
  <si>
    <t>一般＞JBAファイル形式</t>
    <rPh sb="0" eb="2">
      <t>イッパン</t>
    </rPh>
    <rPh sb="10" eb="12">
      <t>ケイシキ</t>
    </rPh>
    <phoneticPr fontId="11"/>
  </si>
  <si>
    <t>JBA ファイル カナ名の検証</t>
    <phoneticPr fontId="11"/>
  </si>
  <si>
    <t>文字を検証しない
マスターデータの検証
マスターと支払ファイルの検証</t>
    <rPh sb="0" eb="2">
      <t>モジ</t>
    </rPh>
    <rPh sb="3" eb="5">
      <t>ケンショウ</t>
    </rPh>
    <rPh sb="17" eb="19">
      <t>ケンショウ</t>
    </rPh>
    <rPh sb="25" eb="27">
      <t>シハライ</t>
    </rPh>
    <rPh sb="32" eb="34">
      <t>ケンショウ</t>
    </rPh>
    <phoneticPr fontId="11"/>
  </si>
  <si>
    <t>マスターデータの検証</t>
  </si>
  <si>
    <t>コンマの許可</t>
    <rPh sb="4" eb="6">
      <t>キョカ</t>
    </rPh>
    <phoneticPr fontId="11"/>
  </si>
  <si>
    <t>銀行ドキュメント＞信用状/輸入取立/費用</t>
    <rPh sb="0" eb="2">
      <t>ギンコウ</t>
    </rPh>
    <rPh sb="9" eb="12">
      <t>シンヨウジョウ</t>
    </rPh>
    <rPh sb="13" eb="15">
      <t>ユニュウ</t>
    </rPh>
    <rPh sb="15" eb="17">
      <t>トリタテ</t>
    </rPh>
    <rPh sb="18" eb="20">
      <t>ヒヨウ</t>
    </rPh>
    <phoneticPr fontId="11"/>
  </si>
  <si>
    <t>輸入信用状の有効化</t>
    <rPh sb="0" eb="2">
      <t>ユニュウ</t>
    </rPh>
    <rPh sb="2" eb="5">
      <t>シンヨウジョウ</t>
    </rPh>
    <rPh sb="6" eb="9">
      <t>ユウコウカ</t>
    </rPh>
    <phoneticPr fontId="11"/>
  </si>
  <si>
    <t>仕入先の輸入信用状機能を有効にする場合は、このオプションを選択します。</t>
  </si>
  <si>
    <t>輸出信用状の有効化</t>
    <rPh sb="0" eb="2">
      <t>ユシュツ</t>
    </rPh>
    <rPh sb="2" eb="5">
      <t>シンヨウジョウ</t>
    </rPh>
    <rPh sb="6" eb="9">
      <t>ユウコウカ</t>
    </rPh>
    <phoneticPr fontId="11"/>
  </si>
  <si>
    <t>顧客の輸出信用状機能を有効にする場合は、このオプションを選択します。</t>
  </si>
  <si>
    <t>銀行ドキュメント＞信用状保証</t>
    <rPh sb="0" eb="2">
      <t>ギンコウ</t>
    </rPh>
    <rPh sb="9" eb="12">
      <t>シンヨウジョウ</t>
    </rPh>
    <rPh sb="12" eb="14">
      <t>ホショウ</t>
    </rPh>
    <phoneticPr fontId="11"/>
  </si>
  <si>
    <t>信用保証状の有効化</t>
    <rPh sb="0" eb="2">
      <t>シンヨウ</t>
    </rPh>
    <rPh sb="2" eb="4">
      <t>ホショウ</t>
    </rPh>
    <rPh sb="4" eb="5">
      <t>ジョウ</t>
    </rPh>
    <rPh sb="6" eb="9">
      <t>ユウコウカ</t>
    </rPh>
    <phoneticPr fontId="11"/>
  </si>
  <si>
    <t>銀行ドキュメント＞トランザクション仕訳帳</t>
    <rPh sb="0" eb="2">
      <t>ギンコウ</t>
    </rPh>
    <rPh sb="17" eb="20">
      <t>シワケチョウ</t>
    </rPh>
    <phoneticPr fontId="11"/>
  </si>
  <si>
    <t>トランザクション仕訳帳</t>
    <rPh sb="8" eb="11">
      <t>シワケチョウ</t>
    </rPh>
    <phoneticPr fontId="11"/>
  </si>
  <si>
    <t>信用保証状が転記される仕訳帳を選択します。その仕訳帳の仕訳帳タイプが毎日である必要があります。このフィールドは、信用保証状の有効化オプションが選択されている場合にのみ使用できます。</t>
  </si>
  <si>
    <t>追加</t>
    <rPh sb="0" eb="2">
      <t>ツイカ</t>
    </rPh>
    <phoneticPr fontId="11"/>
  </si>
  <si>
    <t>支払い</t>
    <rPh sb="0" eb="2">
      <t>シハライ</t>
    </rPh>
    <phoneticPr fontId="11"/>
  </si>
  <si>
    <t>支払い情報を設定します</t>
    <rPh sb="0" eb="2">
      <t>シハラ</t>
    </rPh>
    <rPh sb="3" eb="5">
      <t>ジョウホウ</t>
    </rPh>
    <rPh sb="6" eb="8">
      <t>セッテイ</t>
    </rPh>
    <phoneticPr fontId="11"/>
  </si>
  <si>
    <t>支払期日</t>
    <rPh sb="0" eb="4">
      <t>シハライキジツ</t>
    </rPh>
    <phoneticPr fontId="11"/>
  </si>
  <si>
    <t>月次締め日丸め</t>
    <rPh sb="0" eb="2">
      <t>ゲツジ</t>
    </rPh>
    <rPh sb="2" eb="3">
      <t>シ</t>
    </rPh>
    <rPh sb="4" eb="5">
      <t>ビ</t>
    </rPh>
    <rPh sb="5" eb="6">
      <t>マル</t>
    </rPh>
    <phoneticPr fontId="11"/>
  </si>
  <si>
    <t>このパラメーターがオフの場合、期日丸めロジックが適用されます。オンの場合、その月の計算上の期日より締め日が大きいと、期日の月が増分されます。</t>
    <rPh sb="12" eb="14">
      <t>バアイ</t>
    </rPh>
    <rPh sb="15" eb="17">
      <t>キジツ</t>
    </rPh>
    <rPh sb="17" eb="18">
      <t>マル</t>
    </rPh>
    <rPh sb="24" eb="26">
      <t>テキヨウ</t>
    </rPh>
    <rPh sb="34" eb="36">
      <t>バアイ</t>
    </rPh>
    <rPh sb="39" eb="40">
      <t>ツキ</t>
    </rPh>
    <rPh sb="41" eb="44">
      <t>ケイサンジョウ</t>
    </rPh>
    <rPh sb="45" eb="47">
      <t>キジツ</t>
    </rPh>
    <rPh sb="49" eb="50">
      <t>シ</t>
    </rPh>
    <rPh sb="51" eb="52">
      <t>ビ</t>
    </rPh>
    <rPh sb="53" eb="54">
      <t>オオ</t>
    </rPh>
    <rPh sb="58" eb="60">
      <t>キジツ</t>
    </rPh>
    <rPh sb="61" eb="62">
      <t>ツキ</t>
    </rPh>
    <rPh sb="63" eb="65">
      <t>ゾウブン</t>
    </rPh>
    <phoneticPr fontId="11"/>
  </si>
  <si>
    <t>口座調整</t>
    <rPh sb="0" eb="2">
      <t>コウザ</t>
    </rPh>
    <rPh sb="2" eb="4">
      <t>チョウセイ</t>
    </rPh>
    <phoneticPr fontId="11"/>
  </si>
  <si>
    <t>口座調整の設定情報</t>
    <phoneticPr fontId="11"/>
  </si>
  <si>
    <t>借方/貸方欄の明細業の金額を表示する</t>
  </si>
  <si>
    <t>このオプションを選択すると、口座取引明細行ページの借方/貸方の 2 つの列の明細行金額が表示されます。</t>
  </si>
  <si>
    <t>日付の違いの検証</t>
    <rPh sb="0" eb="2">
      <t>ヒヅケ</t>
    </rPh>
    <rPh sb="3" eb="4">
      <t>チガ</t>
    </rPh>
    <rPh sb="6" eb="8">
      <t>ケンショウ</t>
    </rPh>
    <phoneticPr fontId="11"/>
  </si>
  <si>
    <t>日付の違いの許容範囲</t>
    <rPh sb="0" eb="2">
      <t>ヒヅケ</t>
    </rPh>
    <rPh sb="3" eb="4">
      <t>チガ</t>
    </rPh>
    <rPh sb="6" eb="8">
      <t>キョヨウ</t>
    </rPh>
    <rPh sb="8" eb="10">
      <t>ハンイ</t>
    </rPh>
    <phoneticPr fontId="11"/>
  </si>
  <si>
    <t>数値</t>
    <rPh sb="0" eb="2">
      <t>スウチ</t>
    </rPh>
    <phoneticPr fontId="11"/>
  </si>
  <si>
    <t>トランザクション タイプ マッピングの検証</t>
  </si>
  <si>
    <t>口座取引明細書の編集を許可</t>
    <rPh sb="0" eb="2">
      <t>コウザ</t>
    </rPh>
    <rPh sb="2" eb="4">
      <t>トリヒキ</t>
    </rPh>
    <rPh sb="4" eb="7">
      <t>メイサイショ</t>
    </rPh>
    <rPh sb="8" eb="10">
      <t>ヘンシュウ</t>
    </rPh>
    <rPh sb="11" eb="13">
      <t>キョカ</t>
    </rPh>
    <phoneticPr fontId="11"/>
  </si>
  <si>
    <t>このパラメーターを有効にすると、口座取引明細書の日付と番号を編集できます。</t>
  </si>
  <si>
    <t>詳細な口座調整の照合ルールで金額に一致する複数のドキュメントを検索する場合は、手動照合が必要です</t>
  </si>
  <si>
    <t>このパラメーターで、詳細な口座調整の照合ルールが、金額の 1 つのステートメントに一致する複数のドキュメントを見つける場合に、手動照合が必要かどうかを決定します。</t>
  </si>
  <si>
    <t>予約日を新しいトランザクションの既定の転記日として設定する</t>
    <phoneticPr fontId="11"/>
  </si>
  <si>
    <t>このオプションを選択すると、新しい銀行詳細調整トランザクションに対する既定の会計日を、銀行取引明細書明細行の記帳日として設定します。 このオプションを選択しない場合は、銀行取引明細書のインポート日を、新しいトランザクションに対する既定の転記日として使用します。</t>
    <phoneticPr fontId="11"/>
  </si>
  <si>
    <t>はい</t>
    <phoneticPr fontId="11"/>
  </si>
  <si>
    <t>調整済みとしてマークされている場合に空の口座取引明細書を許可する</t>
  </si>
  <si>
    <t>この機能を有効にした場合、明細書を調整済みとしてマークするにあたって、少なくとも 1 つの銀行トランザクションが 1 つの口座取引明細書トランザクションと一致することが求められません。</t>
  </si>
  <si>
    <t>相殺決済</t>
    <rPh sb="0" eb="4">
      <t>ソウサイケッサイ</t>
    </rPh>
    <phoneticPr fontId="11"/>
  </si>
  <si>
    <t>相殺決済に関する情報の設定</t>
    <rPh sb="0" eb="2">
      <t>ソウサイ</t>
    </rPh>
    <rPh sb="2" eb="4">
      <t>ケッサイ</t>
    </rPh>
    <rPh sb="5" eb="6">
      <t>カン</t>
    </rPh>
    <rPh sb="8" eb="10">
      <t>ジョウホウ</t>
    </rPh>
    <rPh sb="11" eb="13">
      <t>セッテイ</t>
    </rPh>
    <phoneticPr fontId="11"/>
  </si>
  <si>
    <t>会社間相殺決済の許可</t>
    <rPh sb="0" eb="5">
      <t>カイシャカンソウサイ</t>
    </rPh>
    <rPh sb="5" eb="7">
      <t>ケッサイ</t>
    </rPh>
    <rPh sb="8" eb="10">
      <t>キョカ</t>
    </rPh>
    <phoneticPr fontId="11"/>
  </si>
  <si>
    <t>先日付小切手</t>
    <rPh sb="0" eb="1">
      <t>サキ</t>
    </rPh>
    <rPh sb="1" eb="3">
      <t>ヒヅケ</t>
    </rPh>
    <rPh sb="3" eb="6">
      <t>コギッテ</t>
    </rPh>
    <phoneticPr fontId="11"/>
  </si>
  <si>
    <t>先日付小切手の情報を設定します</t>
    <rPh sb="0" eb="1">
      <t>サキ</t>
    </rPh>
    <rPh sb="1" eb="3">
      <t>ヒヅケ</t>
    </rPh>
    <rPh sb="3" eb="6">
      <t>コギッテ</t>
    </rPh>
    <rPh sb="7" eb="9">
      <t>ジョウホウ</t>
    </rPh>
    <rPh sb="10" eb="12">
      <t>セッテイ</t>
    </rPh>
    <phoneticPr fontId="11"/>
  </si>
  <si>
    <t>発行済の小切手の清算勘定</t>
    <rPh sb="0" eb="2">
      <t>ハッコウ</t>
    </rPh>
    <rPh sb="2" eb="3">
      <t>ズミ</t>
    </rPh>
    <rPh sb="4" eb="7">
      <t>コギッテ</t>
    </rPh>
    <rPh sb="8" eb="10">
      <t>セイサン</t>
    </rPh>
    <rPh sb="10" eb="12">
      <t>カンジョウ</t>
    </rPh>
    <phoneticPr fontId="11"/>
  </si>
  <si>
    <t>仕入先に発行された小切手の精算勘定を選択します。精算勘定とは、先日付小切手の金額を含む一時勘定です。このフィールドは、先日付小切手オプションの仕訳帳転記エントリを選択した場合にのみ使用できます。</t>
  </si>
  <si>
    <t>受領済みの小切手の清算勘定</t>
    <rPh sb="0" eb="2">
      <t>ジュリョウ</t>
    </rPh>
    <rPh sb="2" eb="3">
      <t>ズミ</t>
    </rPh>
    <rPh sb="5" eb="8">
      <t>コギッテ</t>
    </rPh>
    <rPh sb="9" eb="11">
      <t>セイサン</t>
    </rPh>
    <rPh sb="11" eb="13">
      <t>カンジョウ</t>
    </rPh>
    <phoneticPr fontId="11"/>
  </si>
  <si>
    <t>顧客から受領した小切手の精算勘定を選択します。このフィールドは、先日付小切手オプションの仕訳帳転記エントリを選択した場合にのみ使用できます。</t>
  </si>
  <si>
    <t>先日付小切手の有効化</t>
  </si>
  <si>
    <t>先日付小切手の使用を許可するには、このオプションを選択します。</t>
  </si>
  <si>
    <t>先日付小切手用の仕訳入力の転記</t>
  </si>
  <si>
    <t>仕入先または顧客の精算勘定に財務トランザクションを転送するか転記する場合は、このオプションを選択します。このオプションを選択しない場合、先日付小切手情報は登録されますが、財務トランザクションは転記されません。</t>
  </si>
  <si>
    <t>先日付小切手が引き落とされたときに条件付税を現金化する</t>
  </si>
  <si>
    <t>先日付小切手が口座から引き落とされる場合のみ条件付税を現金化するには、このオプションを選択します。</t>
  </si>
  <si>
    <t>清算項目用の一般仕訳帳</t>
    <rPh sb="0" eb="2">
      <t>セイサン</t>
    </rPh>
    <rPh sb="2" eb="4">
      <t>コウモク</t>
    </rPh>
    <rPh sb="4" eb="5">
      <t>ヨウ</t>
    </rPh>
    <rPh sb="6" eb="8">
      <t>イッパン</t>
    </rPh>
    <rPh sb="8" eb="11">
      <t>シワケチョウ</t>
    </rPh>
    <phoneticPr fontId="11"/>
  </si>
  <si>
    <t>先日付小切手のトランザクションを決済する仕訳帳を選択します。このフィールドは、先日付小切手オプションの仕訳帳転記エントリを選択した場合にのみ使用できます。</t>
  </si>
  <si>
    <t>この仕入先の支払仕訳帳への先日付小切手の転送</t>
  </si>
  <si>
    <t>先日付小切手のトランザクションの記録先となる仕入先支払仕訳帳を選択します。このフィールドは、先日付小切手オプションの仕訳帳転記エントリを選択した場合にのみ使用できます。</t>
  </si>
  <si>
    <t>源泉徴収税の清算勘定</t>
  </si>
  <si>
    <t>番号順序</t>
    <rPh sb="0" eb="2">
      <t>バンゴウ</t>
    </rPh>
    <rPh sb="2" eb="4">
      <t>ジュンジョ</t>
    </rPh>
    <phoneticPr fontId="11"/>
  </si>
  <si>
    <t>銀行ドキュメント用の番号順序を設定します</t>
    <rPh sb="0" eb="2">
      <t>ギンコウ</t>
    </rPh>
    <rPh sb="8" eb="9">
      <t>ヨウ</t>
    </rPh>
    <rPh sb="10" eb="12">
      <t>バンゴウ</t>
    </rPh>
    <rPh sb="12" eb="14">
      <t>ジュンジョ</t>
    </rPh>
    <rPh sb="15" eb="17">
      <t>セッテイ</t>
    </rPh>
    <phoneticPr fontId="11"/>
  </si>
  <si>
    <t>参照</t>
    <rPh sb="0" eb="2">
      <t>サンショウ</t>
    </rPh>
    <phoneticPr fontId="11"/>
  </si>
  <si>
    <t>番号順序を選択するための参照キー。</t>
  </si>
  <si>
    <t>システム自動入力</t>
    <rPh sb="4" eb="8">
      <t>ジドウニュウリョク</t>
    </rPh>
    <phoneticPr fontId="11"/>
  </si>
  <si>
    <t>ー</t>
    <phoneticPr fontId="11"/>
  </si>
  <si>
    <t>「現金および銀行管理パラメータ-番号順序」を参照</t>
    <rPh sb="22" eb="24">
      <t>サンショウ</t>
    </rPh>
    <phoneticPr fontId="11"/>
  </si>
  <si>
    <t>番号順序コード</t>
    <rPh sb="0" eb="2">
      <t>バンゴウ</t>
    </rPh>
    <rPh sb="2" eb="4">
      <t>ジュンジョ</t>
    </rPh>
    <phoneticPr fontId="11"/>
  </si>
  <si>
    <t>その法人に適したそれぞれの参照の番号順序を選択します。番号順序コードを定義するため、番号順序ページを使用します。</t>
  </si>
  <si>
    <t>説明</t>
    <rPh sb="0" eb="2">
      <t>セツメイ</t>
    </rPh>
    <phoneticPr fontId="11"/>
  </si>
  <si>
    <t>現金および銀行管理パラメータ-番号順序</t>
    <phoneticPr fontId="11"/>
  </si>
  <si>
    <t>参照</t>
  </si>
  <si>
    <t>番号順序コード</t>
    <rPh sb="2" eb="4">
      <t>ジュンジョ</t>
    </rPh>
    <phoneticPr fontId="19"/>
  </si>
  <si>
    <t>説明</t>
    <rPh sb="0" eb="2">
      <t>セツメイ</t>
    </rPh>
    <phoneticPr fontId="19"/>
  </si>
  <si>
    <t>（システム自動入力）</t>
  </si>
  <si>
    <t>番号順序（ユーザ定義）</t>
  </si>
  <si>
    <t>預金伝票</t>
    <rPh sb="0" eb="2">
      <t>ヨキン</t>
    </rPh>
    <rPh sb="2" eb="4">
      <t>デンピョウ</t>
    </rPh>
    <phoneticPr fontId="11"/>
  </si>
  <si>
    <t>預金伝票に割り当てる固有キー</t>
  </si>
  <si>
    <t>口座調整で作成された伝票に割り当てる固有キー</t>
  </si>
  <si>
    <t>事前通知</t>
    <rPh sb="0" eb="2">
      <t>ジゼン</t>
    </rPh>
    <rPh sb="2" eb="4">
      <t>ツウチ</t>
    </rPh>
    <phoneticPr fontId="11"/>
  </si>
  <si>
    <t>事前通知に使用される番号順序</t>
  </si>
  <si>
    <t>ステートメントID</t>
  </si>
  <si>
    <t>ステートメント ID が指定されていない口座取引明細書のインポート時に割り当てる固有キー。</t>
  </si>
  <si>
    <t>ダウンロードID</t>
  </si>
  <si>
    <t>ファイル内の口座取引明細書のインポートに割り当てる固有キー。</t>
  </si>
  <si>
    <t>調整ID</t>
    <rPh sb="0" eb="2">
      <t>チョウセイ</t>
    </rPh>
    <phoneticPr fontId="11"/>
  </si>
  <si>
    <t>調整ワークシートに割り当てる固有識別子</t>
  </si>
  <si>
    <t>信用保証状の番号</t>
    <rPh sb="0" eb="2">
      <t>シンヨウ</t>
    </rPh>
    <rPh sb="2" eb="4">
      <t>ホショウ</t>
    </rPh>
    <rPh sb="4" eb="5">
      <t>ジョウ</t>
    </rPh>
    <rPh sb="6" eb="8">
      <t>バンゴウ</t>
    </rPh>
    <phoneticPr fontId="11"/>
  </si>
  <si>
    <t>信用保証状の番号順序を選択します。</t>
  </si>
  <si>
    <t>信用保証状のトランザクション</t>
    <rPh sb="0" eb="2">
      <t>シンヨウ</t>
    </rPh>
    <rPh sb="2" eb="4">
      <t>ホショウ</t>
    </rPh>
    <rPh sb="4" eb="5">
      <t>ジョウ</t>
    </rPh>
    <phoneticPr fontId="11"/>
  </si>
  <si>
    <t>信用保証状のトランザクション番号。</t>
  </si>
  <si>
    <t>確認後支払番号</t>
    <rPh sb="0" eb="2">
      <t>カクニン</t>
    </rPh>
    <rPh sb="2" eb="3">
      <t>ゴ</t>
    </rPh>
    <rPh sb="3" eb="5">
      <t>シハライ</t>
    </rPh>
    <rPh sb="5" eb="7">
      <t>バンゴウ</t>
    </rPh>
    <phoneticPr fontId="11"/>
  </si>
  <si>
    <t>銀行口座の小切手リストが含まれる確認後支払ファイルの ID を定義する番号順序</t>
  </si>
  <si>
    <t>外貨再評価</t>
    <rPh sb="0" eb="2">
      <t>ガイカ</t>
    </rPh>
    <rPh sb="2" eb="5">
      <t>サイヒョウカ</t>
    </rPh>
    <phoneticPr fontId="11"/>
  </si>
  <si>
    <t>伝票の固有キーです。外貨再評価調整を転記する際に使用されます</t>
  </si>
  <si>
    <t>銀行トランザクションの集計 ID</t>
  </si>
  <si>
    <t>集計した銀行トランザクションに割り当てる一意のキー</t>
  </si>
  <si>
    <t>口座取引明細書の取消</t>
    <phoneticPr fontId="11"/>
  </si>
  <si>
    <t>取消済み口座取引明細書を転記するときに使用される伝票の固有キー</t>
    <phoneticPr fontId="11"/>
  </si>
  <si>
    <t>銀行口座</t>
    <phoneticPr fontId="11"/>
  </si>
  <si>
    <t>現金および銀行管理＞銀行口座＞銀行口座</t>
    <phoneticPr fontId="11"/>
  </si>
  <si>
    <t>Cash and bank management &gt; Bank accounts &gt; Bank accounts</t>
    <phoneticPr fontId="11"/>
  </si>
  <si>
    <t>一般</t>
    <rPh sb="0" eb="2">
      <t>イッパン</t>
    </rPh>
    <phoneticPr fontId="11"/>
  </si>
  <si>
    <t>銀行支店コードタイプ</t>
    <rPh sb="0" eb="2">
      <t>ギンコウ</t>
    </rPh>
    <rPh sb="2" eb="4">
      <t>シテン</t>
    </rPh>
    <phoneticPr fontId="11"/>
  </si>
  <si>
    <t>銀行口座に使用されるルーティング番号のタイプ。この情報は重要であり、自分の法人が国際支払を行う場合は必須です。</t>
  </si>
  <si>
    <t>なし
AT
BL
CC
CP
CH
FW
SC</t>
  </si>
  <si>
    <t>「銀行口座-設定値」を参照</t>
    <rPh sb="1" eb="3">
      <t>ギンコウ</t>
    </rPh>
    <rPh sb="3" eb="5">
      <t>コウザ</t>
    </rPh>
    <rPh sb="6" eb="9">
      <t>セッテイチ</t>
    </rPh>
    <rPh sb="11" eb="13">
      <t>サンショウ</t>
    </rPh>
    <phoneticPr fontId="11"/>
  </si>
  <si>
    <t>印刷済のレポートおよびシステム全体で、銀行口座を識別するために使用する固有 ID。最大 10 文字の英数字を使用できます。</t>
  </si>
  <si>
    <t>文字列</t>
    <rPh sb="0" eb="3">
      <t>モジレツ</t>
    </rPh>
    <phoneticPr fontId="11"/>
  </si>
  <si>
    <t>文字数制限(10文字)あり</t>
    <rPh sb="0" eb="5">
      <t>モジスウセイゲン</t>
    </rPh>
    <rPh sb="8" eb="10">
      <t>モジ</t>
    </rPh>
    <phoneticPr fontId="11"/>
  </si>
  <si>
    <t>銀行支店コード</t>
    <rPh sb="0" eb="2">
      <t>ギンコウ</t>
    </rPh>
    <rPh sb="2" eb="4">
      <t>シテン</t>
    </rPh>
    <phoneticPr fontId="11"/>
  </si>
  <si>
    <t>銀行を識別するために使用する、固有の銀行登録番号。これは、特定の銀行口座を識別する場合にも銀行口座番号とともに使用される、最大 10 文字の英数字です。法人の基本住所がアメリカ合衆国にある場合は、銀行の支店コードを入力します。ルーティング番号の長さは、ルーティング番号タイプ フィールドで選択されたオプションに基づいています。たとえば、ルーティング番号タイプ フィールドの FW を選択すると、ルーティング番号には 9 桁が含まれます。CP を選択すると、ルーティング番号には6 桁が含まれます。CH を選択すると、ルーティング番号には 4 桁が含まれます。</t>
    <phoneticPr fontId="11"/>
  </si>
  <si>
    <t>銀行口座番号</t>
    <rPh sb="0" eb="2">
      <t>ギンコウ</t>
    </rPh>
    <rPh sb="2" eb="4">
      <t>コウザ</t>
    </rPh>
    <rPh sb="4" eb="6">
      <t>バンゴウ</t>
    </rPh>
    <phoneticPr fontId="11"/>
  </si>
  <si>
    <t>銀行により指定された銀行口座番号。最大 34 文字の英数字を使用できます。法人の基本住所がアメリカ合衆国にある場合は、7 ～ 14 桁の銀行口座番号を入力します。</t>
  </si>
  <si>
    <t>内部情報</t>
    <rPh sb="0" eb="2">
      <t>ナイブ</t>
    </rPh>
    <rPh sb="2" eb="4">
      <t>ジョウホウ</t>
    </rPh>
    <phoneticPr fontId="11"/>
  </si>
  <si>
    <t>主勘定</t>
    <rPh sb="0" eb="1">
      <t>シュ</t>
    </rPh>
    <rPh sb="1" eb="3">
      <t>カンジョウ</t>
    </rPh>
    <phoneticPr fontId="11"/>
  </si>
  <si>
    <t>すべての銀行口座取引が自動的に転記される主勘定。口座取引明細書により銀行口座の調整の際に入力された修正は、取引明細書の調整が完了し転記される時に主勘定に転記されます。</t>
  </si>
  <si>
    <t>主勘定（ユーザー定義）</t>
    <rPh sb="0" eb="1">
      <t>シュ</t>
    </rPh>
    <rPh sb="1" eb="3">
      <t>カンジョウ</t>
    </rPh>
    <rPh sb="8" eb="10">
      <t>テイギ</t>
    </rPh>
    <phoneticPr fontId="11"/>
  </si>
  <si>
    <t>取引明細書上会社名</t>
    <rPh sb="0" eb="2">
      <t>トリヒキ</t>
    </rPh>
    <rPh sb="2" eb="5">
      <t>メイサイショ</t>
    </rPh>
    <rPh sb="5" eb="6">
      <t>ジョウ</t>
    </rPh>
    <rPh sb="6" eb="9">
      <t>カイシャメイ</t>
    </rPh>
    <phoneticPr fontId="11"/>
  </si>
  <si>
    <t>口座取引明細書に表示したい法人名を入力します。</t>
  </si>
  <si>
    <t>入力不可</t>
    <rPh sb="0" eb="2">
      <t>ニュウリョク</t>
    </rPh>
    <rPh sb="2" eb="4">
      <t>フカ</t>
    </rPh>
    <phoneticPr fontId="11"/>
  </si>
  <si>
    <t>宛先名</t>
    <rPh sb="0" eb="2">
      <t>アテサキ</t>
    </rPh>
    <rPh sb="2" eb="3">
      <t>メイ</t>
    </rPh>
    <phoneticPr fontId="11"/>
  </si>
  <si>
    <t>自動決済機関 (ACH) または電子決済 (EFT) トランザクションの入荷場所の名前。</t>
  </si>
  <si>
    <t>名前</t>
    <rPh sb="0" eb="2">
      <t>ナマエ</t>
    </rPh>
    <phoneticPr fontId="11"/>
  </si>
  <si>
    <t>印刷済のレポートおよびシステム全体で、銀行口座を識別するために使用する固有の名前。</t>
  </si>
  <si>
    <t>銀行口座 (カナ)</t>
  </si>
  <si>
    <t>文字列（カナ）</t>
    <rPh sb="0" eb="3">
      <t>モジレツ</t>
    </rPh>
    <phoneticPr fontId="11"/>
  </si>
  <si>
    <t>銀行口座に適用および追加識別する銀行グループ。</t>
  </si>
  <si>
    <t>銀行グループ(ユーザー定義)</t>
    <rPh sb="0" eb="2">
      <t>ギンコウ</t>
    </rPh>
    <rPh sb="11" eb="13">
      <t>テイギ</t>
    </rPh>
    <phoneticPr fontId="11"/>
  </si>
  <si>
    <t>通貨</t>
    <rPh sb="0" eb="2">
      <t>ツウカ</t>
    </rPh>
    <phoneticPr fontId="11"/>
  </si>
  <si>
    <t>銀行口座の通貨コード。複数の通貨オプションが選択されている場合、この通貨コードは調整目的で使われます。</t>
  </si>
  <si>
    <t>通貨（ユーザー定義）</t>
    <rPh sb="0" eb="2">
      <t>ツウカ</t>
    </rPh>
    <rPh sb="7" eb="9">
      <t>テイギ</t>
    </rPh>
    <phoneticPr fontId="11"/>
  </si>
  <si>
    <t>JPY</t>
    <phoneticPr fontId="11"/>
  </si>
  <si>
    <t>他の通貨でのトランザクションを許可する</t>
  </si>
  <si>
    <t>銀行口座詳細</t>
    <rPh sb="0" eb="2">
      <t>ギンコウ</t>
    </rPh>
    <rPh sb="2" eb="4">
      <t>コウザ</t>
    </rPh>
    <rPh sb="4" eb="6">
      <t>ショウサイ</t>
    </rPh>
    <phoneticPr fontId="11"/>
  </si>
  <si>
    <t>銀行トランザクションタイプ</t>
    <rPh sb="0" eb="2">
      <t>ギンコウ</t>
    </rPh>
    <phoneticPr fontId="11"/>
  </si>
  <si>
    <t>普通預金口座
当座預金口座
その他の勘定</t>
    <rPh sb="0" eb="2">
      <t>フツウ</t>
    </rPh>
    <rPh sb="2" eb="4">
      <t>ヨキン</t>
    </rPh>
    <rPh sb="4" eb="6">
      <t>コウザ</t>
    </rPh>
    <rPh sb="7" eb="9">
      <t>トウザ</t>
    </rPh>
    <rPh sb="9" eb="11">
      <t>ヨキン</t>
    </rPh>
    <rPh sb="11" eb="13">
      <t>コウザ</t>
    </rPh>
    <rPh sb="16" eb="17">
      <t>タ</t>
    </rPh>
    <rPh sb="18" eb="20">
      <t>カンジョウ</t>
    </rPh>
    <phoneticPr fontId="11"/>
  </si>
  <si>
    <t>普通預金口座</t>
    <rPh sb="0" eb="4">
      <t>フツウヨキン</t>
    </rPh>
    <rPh sb="4" eb="6">
      <t>コウザ</t>
    </rPh>
    <phoneticPr fontId="11"/>
  </si>
  <si>
    <t>口座の有効状態</t>
    <rPh sb="0" eb="2">
      <t>コウザ</t>
    </rPh>
    <rPh sb="3" eb="5">
      <t>ユウコウ</t>
    </rPh>
    <rPh sb="5" eb="7">
      <t>ジョウタイ</t>
    </rPh>
    <phoneticPr fontId="11"/>
  </si>
  <si>
    <t>有効開始日</t>
    <rPh sb="0" eb="2">
      <t>ユウコウ</t>
    </rPh>
    <rPh sb="2" eb="5">
      <t>カイシビ</t>
    </rPh>
    <phoneticPr fontId="11"/>
  </si>
  <si>
    <t>銀行口座が有効化されて新規取引に利用できるようになる日付を入力します。日付を入力しない場合、新規取引のための銀行口座はすぐに利用できます。このフィールドは、銀行口座のステータス フィールドが、すべてのトランザクションに対して有効に設定されている場合にのみ使用できます。</t>
  </si>
  <si>
    <t>日付</t>
    <rPh sb="0" eb="2">
      <t>ヒヅケ</t>
    </rPh>
    <phoneticPr fontId="11"/>
  </si>
  <si>
    <t>有効終了日</t>
    <rPh sb="0" eb="2">
      <t>ユウコウ</t>
    </rPh>
    <rPh sb="2" eb="5">
      <t>シュウリョウビ</t>
    </rPh>
    <phoneticPr fontId="11"/>
  </si>
  <si>
    <t>銀行口座が新規の取引に対して有効でなくなる日付を入力します。保留中の支払などの、この日までに完了していない既存のどんなトランザクションも、元のスケジュールどおりに実行されます。日付を入力しない場合、銀行口座は無期限で有効なままです。このフィールドは、銀行口座のステータス フィールドが、すべてのトランザクションに対して有効に設定されている場合にのみ使用できます。</t>
  </si>
  <si>
    <t>銀行口座のステータス</t>
    <rPh sb="0" eb="2">
      <t>ギンコウ</t>
    </rPh>
    <rPh sb="2" eb="4">
      <t>コウザ</t>
    </rPh>
    <phoneticPr fontId="11"/>
  </si>
  <si>
    <t>銀行口座に使用するステータスを選択します。銀行口座が有効で、すべてのトランザクションが使用可能な場合、すべてのトランザクションの [有効] を選択します。新しいトランザクションが、この銀行口座に対してスケジュールできない場合は、新しいトランザクションの無効を選択します。保留中の支払など、完了していない既存のトランザクションは、元のスケジュールどおりに実行されます。この銀行口座のためのスケジュールまたは処理の可能な新規や既存のトランザクションがない場合は、すべてのトランザクションの無効を選択します。</t>
  </si>
  <si>
    <t>すべてのトランザクションに対してアクティブ
新規トランザクションに対して非アクティブ
すべてのトランザクションに対して非アクティブ</t>
    <rPh sb="13" eb="14">
      <t>タイ</t>
    </rPh>
    <rPh sb="22" eb="24">
      <t>シンキ</t>
    </rPh>
    <rPh sb="33" eb="34">
      <t>タイ</t>
    </rPh>
    <rPh sb="36" eb="37">
      <t>ヒ</t>
    </rPh>
    <rPh sb="56" eb="57">
      <t>タイ</t>
    </rPh>
    <rPh sb="59" eb="60">
      <t>ヒ</t>
    </rPh>
    <phoneticPr fontId="11"/>
  </si>
  <si>
    <t>すべてのトランザクションに対してアクティブ</t>
  </si>
  <si>
    <t>与信限度額</t>
    <rPh sb="0" eb="2">
      <t>ヨシン</t>
    </rPh>
    <rPh sb="2" eb="4">
      <t>ゲンド</t>
    </rPh>
    <rPh sb="4" eb="5">
      <t>ガク</t>
    </rPh>
    <phoneticPr fontId="11"/>
  </si>
  <si>
    <t>銀行の与信限度額を入力します。このフィールドに、マイナスの金額を入力する必要があります。支払仕訳帳に転記すると、銀行預金残高がこの制限を超えた場合に通知されます。法人の基本住所がアメリカ合衆国にある場合、また現金および銀行管理パラメーター ページで銀行の与信限度額の許容範囲フィールドが警告に設定されている場合は、仕訳帳が転記された後、与信限度額に関して通知されます。キャッシュおよび銀行管理パラメーター ページで、銀行の与信限度額の許容範囲フィールドが [エラー] に設定されている場合、仕訳帳を転記することができません。</t>
    <phoneticPr fontId="11"/>
  </si>
  <si>
    <t>確認後支払形式</t>
    <rPh sb="0" eb="2">
      <t>カクニン</t>
    </rPh>
    <rPh sb="2" eb="3">
      <t>ゴ</t>
    </rPh>
    <rPh sb="3" eb="5">
      <t>シハライ</t>
    </rPh>
    <rPh sb="5" eb="7">
      <t>ケイシキ</t>
    </rPh>
    <phoneticPr fontId="11"/>
  </si>
  <si>
    <t>形式</t>
    <rPh sb="0" eb="2">
      <t>ケイシキ</t>
    </rPh>
    <phoneticPr fontId="11"/>
  </si>
  <si>
    <t>支払形式（ユーザー定義）</t>
    <rPh sb="0" eb="2">
      <t>シハライ</t>
    </rPh>
    <rPh sb="2" eb="4">
      <t>ケイシキ</t>
    </rPh>
    <rPh sb="9" eb="11">
      <t>テイギ</t>
    </rPh>
    <phoneticPr fontId="11"/>
  </si>
  <si>
    <t>確認後支払の開始日</t>
    <rPh sb="0" eb="2">
      <t>カクニン</t>
    </rPh>
    <rPh sb="2" eb="3">
      <t>ゴ</t>
    </rPh>
    <rPh sb="3" eb="5">
      <t>シハライ</t>
    </rPh>
    <rPh sb="6" eb="9">
      <t>カイシビ</t>
    </rPh>
    <phoneticPr fontId="11"/>
  </si>
  <si>
    <t>追加ID</t>
    <rPh sb="0" eb="2">
      <t>ツイカ</t>
    </rPh>
    <phoneticPr fontId="11"/>
  </si>
  <si>
    <t>CIN</t>
    <phoneticPr fontId="11"/>
  </si>
  <si>
    <t>国際仕入先支払に必要な CIN (Control Internal Number)。</t>
  </si>
  <si>
    <t>SWIFTコード</t>
    <phoneticPr fontId="11"/>
  </si>
  <si>
    <t>SWIFT (国際銀行間通信協会) (Society for Worldwide Interbank Financial Telecommunication) コードは、BIC (金融機関識別コード) (Bank Identifier Code) としても知られています。</t>
  </si>
  <si>
    <t>IBAN</t>
    <phoneticPr fontId="11"/>
  </si>
  <si>
    <t>国際銀行番号 (IBAN)。このフィールドには、最大 34 文字の英数字を含めることができます。</t>
    <phoneticPr fontId="11"/>
  </si>
  <si>
    <t>QR-IBAN</t>
  </si>
  <si>
    <t>会社ID</t>
    <rPh sb="0" eb="2">
      <t>カイシャ</t>
    </rPh>
    <phoneticPr fontId="11"/>
  </si>
  <si>
    <t>法人の銀行振替または郵便振替の ID。</t>
  </si>
  <si>
    <t>区分</t>
    <rPh sb="0" eb="2">
      <t>クブン</t>
    </rPh>
    <phoneticPr fontId="11"/>
  </si>
  <si>
    <t>区分の銀行振替または郵便振替の ID。</t>
  </si>
  <si>
    <t>郵便口座</t>
    <rPh sb="0" eb="2">
      <t>ユウビン</t>
    </rPh>
    <rPh sb="2" eb="4">
      <t>コウザ</t>
    </rPh>
    <phoneticPr fontId="11"/>
  </si>
  <si>
    <t>郵便、電話、および電報 (PTT) 口座番号を入力します。これは、金銭が PTT 銀行口座へ転送されるときに使用されます。</t>
  </si>
  <si>
    <t>並び替えコード</t>
    <rPh sb="0" eb="1">
      <t>ナラ</t>
    </rPh>
    <rPh sb="2" eb="3">
      <t>カ</t>
    </rPh>
    <phoneticPr fontId="11"/>
  </si>
  <si>
    <t>銀行自動決済システム (BACS) により提示されるコードを入力します。このコードは、BACS の電子銀行支払に使用されます。並べ替えコードでは、クライアントを BACS によって識別します。</t>
  </si>
  <si>
    <t>ESR</t>
    <phoneticPr fontId="11"/>
  </si>
  <si>
    <t>この銀行口座の、Einzahlungsschein mit Referenznummer (ESR) 口座番号。請求書の作成から支払まで、請求書を追跡するためにこの番号が使用されます。</t>
  </si>
  <si>
    <t>手数料ESR勘定番号</t>
    <rPh sb="0" eb="3">
      <t>テスウリョウ</t>
    </rPh>
    <rPh sb="6" eb="8">
      <t>カンジョウ</t>
    </rPh>
    <rPh sb="8" eb="10">
      <t>バンゴウ</t>
    </rPh>
    <phoneticPr fontId="11"/>
  </si>
  <si>
    <t>この銀行口座の ESR 口座番号の手数料。</t>
  </si>
  <si>
    <t>BESR ID 番号</t>
  </si>
  <si>
    <t>この銀行口座の、BankenEinzahlungsschein mit Referenznummer (BESR) 契約番号。</t>
  </si>
  <si>
    <t>手数料勘定</t>
    <rPh sb="0" eb="3">
      <t>テスウリョウ</t>
    </rPh>
    <rPh sb="3" eb="5">
      <t>カンジョウ</t>
    </rPh>
    <phoneticPr fontId="11"/>
  </si>
  <si>
    <t>入力不可</t>
    <rPh sb="0" eb="4">
      <t>ニュウリョクフカ</t>
    </rPh>
    <phoneticPr fontId="11"/>
  </si>
  <si>
    <t>手数料の転記</t>
    <rPh sb="0" eb="3">
      <t>テスウリョウ</t>
    </rPh>
    <rPh sb="4" eb="6">
      <t>テンキ</t>
    </rPh>
    <phoneticPr fontId="11"/>
  </si>
  <si>
    <t>預金手数料を転記する場合は、このオプションを選択します。</t>
  </si>
  <si>
    <t>口座引落ID</t>
    <rPh sb="0" eb="2">
      <t>コウザ</t>
    </rPh>
    <rPh sb="2" eb="4">
      <t>ヒキオトシ</t>
    </rPh>
    <phoneticPr fontId="11"/>
  </si>
  <si>
    <t>口座引落に使用される会社の顧客番号。</t>
  </si>
  <si>
    <t>精算中</t>
    <phoneticPr fontId="11"/>
  </si>
  <si>
    <t>銀行の制御コード。</t>
    <phoneticPr fontId="11"/>
  </si>
  <si>
    <t>銀行間決済コード</t>
    <rPh sb="0" eb="3">
      <t>ギンコウカン</t>
    </rPh>
    <rPh sb="3" eb="5">
      <t>ケッサイ</t>
    </rPh>
    <phoneticPr fontId="11"/>
  </si>
  <si>
    <t>選択された銀行口座の銀行間決済コードを選択します。</t>
    <phoneticPr fontId="11"/>
  </si>
  <si>
    <t>支払管理</t>
    <rPh sb="0" eb="2">
      <t>シハライ</t>
    </rPh>
    <rPh sb="2" eb="4">
      <t>カンリ</t>
    </rPh>
    <phoneticPr fontId="11"/>
  </si>
  <si>
    <t>最大割引幅</t>
    <rPh sb="0" eb="2">
      <t>サイダイ</t>
    </rPh>
    <rPh sb="2" eb="5">
      <t>ワリビキハバ</t>
    </rPh>
    <phoneticPr fontId="11"/>
  </si>
  <si>
    <t>現在の銀行に対して付与される送金割引金額の最大値。銀行送金ページに金額が表示されます。</t>
  </si>
  <si>
    <t>0.00</t>
    <phoneticPr fontId="11"/>
  </si>
  <si>
    <t>接尾語</t>
    <rPh sb="0" eb="3">
      <t>セツビゴ</t>
    </rPh>
    <phoneticPr fontId="11"/>
  </si>
  <si>
    <t>銀行の敬称。</t>
    <rPh sb="0" eb="2">
      <t>ギンコウ</t>
    </rPh>
    <rPh sb="3" eb="5">
      <t>ケイショウ</t>
    </rPh>
    <phoneticPr fontId="11"/>
  </si>
  <si>
    <t>手形振出人</t>
    <rPh sb="0" eb="2">
      <t>テガタ</t>
    </rPh>
    <rPh sb="2" eb="5">
      <t>フリダシニン</t>
    </rPh>
    <phoneticPr fontId="11"/>
  </si>
  <si>
    <t>ドロワーのコード。このコードは、銀行が指定します。</t>
  </si>
  <si>
    <t>事前通知が必要です</t>
    <rPh sb="0" eb="4">
      <t>ジゼンツウチ</t>
    </rPh>
    <rPh sb="5" eb="7">
      <t>ヒツヨウ</t>
    </rPh>
    <phoneticPr fontId="11"/>
  </si>
  <si>
    <t>事前通知の返信日数</t>
    <rPh sb="0" eb="2">
      <t>ジゼン</t>
    </rPh>
    <rPh sb="2" eb="4">
      <t>ツウチ</t>
    </rPh>
    <rPh sb="5" eb="7">
      <t>ヘンシン</t>
    </rPh>
    <rPh sb="7" eb="9">
      <t>ニッスウ</t>
    </rPh>
    <phoneticPr fontId="11"/>
  </si>
  <si>
    <t>銀行が事前通知の処理に要する日数を指定します。銀行は、電子支払を受け入れる前に、事前通知を処理する必要があります。このフィールドは、事前通知要求オプションを選択した場合にのみ使用できます。詳細については、[事前通知の設定] をご覧ください。</t>
  </si>
  <si>
    <t>振替</t>
    <rPh sb="0" eb="2">
      <t>フリカエ</t>
    </rPh>
    <phoneticPr fontId="11"/>
  </si>
  <si>
    <t>顧客請求書およびプロジェクト請求書に印刷される振替送金伝票に表示するため、選択した銀行口座に関する情報を取得する場合は、このオプションを選択します。</t>
    <phoneticPr fontId="11"/>
  </si>
  <si>
    <t>銀行のバーコード</t>
    <rPh sb="0" eb="2">
      <t>ギンコウ</t>
    </rPh>
    <phoneticPr fontId="11"/>
  </si>
  <si>
    <t>この銀行口座を使用する振替送金伝票にバーコードを印刷する際は、このオプションを選択します。</t>
  </si>
  <si>
    <t>預金不足</t>
    <rPh sb="0" eb="2">
      <t>ヨキン</t>
    </rPh>
    <rPh sb="2" eb="4">
      <t>ブソク</t>
    </rPh>
    <phoneticPr fontId="11"/>
  </si>
  <si>
    <t>諸掛グループ</t>
    <rPh sb="0" eb="2">
      <t>ショガカリ</t>
    </rPh>
    <phoneticPr fontId="11"/>
  </si>
  <si>
    <t>回収担当者が NSF 支払を処理するには、回収手数料に使用する顧客請求金額グループを選択します。NSF 支払は、回収ページまたは回収リスト ページを使用して処理されます。</t>
  </si>
  <si>
    <t>諸掛グループ（ユーザー定義）</t>
    <rPh sb="0" eb="2">
      <t>ショガカリ</t>
    </rPh>
    <rPh sb="11" eb="13">
      <t>テイギ</t>
    </rPh>
    <phoneticPr fontId="11"/>
  </si>
  <si>
    <t>NSF支払仕訳帳</t>
    <rPh sb="3" eb="5">
      <t>シハライ</t>
    </rPh>
    <rPh sb="5" eb="8">
      <t>シワケチョウ</t>
    </rPh>
    <phoneticPr fontId="11"/>
  </si>
  <si>
    <t>回収担当者が NSF 支払を処理するには、顧客支払を使用できるよう設定した仕訳帳名を選択します。NSF 支払は、回収ページまたは回収リスト ページを使用して処理されます。</t>
  </si>
  <si>
    <t>支払仕訳帳（ユーザー定義）</t>
    <rPh sb="0" eb="2">
      <t>シハライ</t>
    </rPh>
    <rPh sb="2" eb="5">
      <t>シワケチョウ</t>
    </rPh>
    <rPh sb="10" eb="12">
      <t>テイギ</t>
    </rPh>
    <phoneticPr fontId="11"/>
  </si>
  <si>
    <t>銀行統合</t>
    <rPh sb="0" eb="2">
      <t>ギンコウ</t>
    </rPh>
    <rPh sb="2" eb="4">
      <t>トウゴウ</t>
    </rPh>
    <phoneticPr fontId="11"/>
  </si>
  <si>
    <t>NACHA ファイルではレコードを追加ブロックする必要がありますか?</t>
  </si>
  <si>
    <t>調整</t>
    <rPh sb="0" eb="2">
      <t>チョウセイ</t>
    </rPh>
    <phoneticPr fontId="11"/>
  </si>
  <si>
    <t>詳細な口座調整</t>
    <phoneticPr fontId="11"/>
  </si>
  <si>
    <t>銀行口座の詳細な調整を有効にするには、このオプションを選択します。詳細な調整を使用すると、電子口座取引明細書ファイルをインポートできます。ルールに基づいて、法人の銀行レコードの口座取引明細書を調整できます。</t>
  </si>
  <si>
    <t>口座取引明細書を電子支払確認書として使用します</t>
    <phoneticPr fontId="11"/>
  </si>
  <si>
    <t>支払仕訳帳明細行のステータスを変更し送信するには、銀行ドキュメントを生成するこのオプションを選択します。ステータスは、銀行ドキュメントが口座取引明細書と調整されると、"受入済" に更新されます。このオプションを選択しなかった場合は、手動で銀行ドキュメントを作成する必要があります。</t>
    <phoneticPr fontId="11"/>
  </si>
  <si>
    <t>許容少額差額</t>
    <rPh sb="0" eb="2">
      <t>キョヨウ</t>
    </rPh>
    <rPh sb="2" eb="4">
      <t>ショウガク</t>
    </rPh>
    <rPh sb="4" eb="6">
      <t>サガク</t>
    </rPh>
    <phoneticPr fontId="11"/>
  </si>
  <si>
    <t>銀行ドキュメント明細行と調整するため、口座取引明細書行に許可された最大差額を入力します。たとえば、口座取引明細書行には 50.00 の金額が、また銀行ドキュメント明細行には 50.04 の金額があります。このフィールドに .05 が入力されている場合は、口座調整プロセス中に二つの明細行は統合されますが、このフィールドに .02 が入力されている場合は、行は調整されません。</t>
  </si>
  <si>
    <t>明細書形式</t>
    <rPh sb="0" eb="3">
      <t>メイサイショ</t>
    </rPh>
    <rPh sb="3" eb="5">
      <t>ケイシキ</t>
    </rPh>
    <phoneticPr fontId="11"/>
  </si>
  <si>
    <t>口座取引明細書が交付される形式を選択します。詳細な口座調整オプションが選択されている場合にのみ、このフィールドを変更できます。</t>
  </si>
  <si>
    <t>明細書における銀行名</t>
    <rPh sb="0" eb="3">
      <t>メイサイショ</t>
    </rPh>
    <rPh sb="7" eb="10">
      <t>ギンコウメイ</t>
    </rPh>
    <phoneticPr fontId="11"/>
  </si>
  <si>
    <t>口座取引明細書に表示される銀行の名前を入力します。詳細な口座調整オプションが選択されている場合にのみ、このフィールドを変更できます。</t>
  </si>
  <si>
    <t>タイムゾーンの基本設定</t>
  </si>
  <si>
    <t>自動</t>
  </si>
  <si>
    <t>借方貸方マークの反転</t>
  </si>
  <si>
    <t>詳細な口座調整で口座取引明細書のインポート中に、借方貸方マークを反転させます。</t>
  </si>
  <si>
    <t>自動化</t>
    <rPh sb="0" eb="3">
      <t>ジドウカ</t>
    </rPh>
    <phoneticPr fontId="11"/>
  </si>
  <si>
    <t>インポート後の調整</t>
    <rPh sb="5" eb="6">
      <t>ゴ</t>
    </rPh>
    <rPh sb="7" eb="9">
      <t>チョウセイ</t>
    </rPh>
    <phoneticPr fontId="11"/>
  </si>
  <si>
    <t>新しい調整ワークシートを作成し、銀行ドキュメントとインポートされた後の口座取引明細書を調整するためにこのオプションを選択します。詳細な口座調整オプションが選択されている場合にのみ、このフィールドを変更できます。</t>
  </si>
  <si>
    <t>既定の照合ルールセット</t>
    <rPh sb="0" eb="2">
      <t>キテイ</t>
    </rPh>
    <rPh sb="3" eb="5">
      <t>ショウゴウ</t>
    </rPh>
    <phoneticPr fontId="11"/>
  </si>
  <si>
    <t>銀行口座調整時に実行される、照合ルール セットを選択します。照合ルール セットは、口座取引明細書の調整プロセス中に順番に実行される、一連の調整照合ルールです。詳細な口座調整オプションが選択されている場合にのみ、このフィールドを変更できます。</t>
  </si>
  <si>
    <t>流通証券</t>
    <rPh sb="0" eb="2">
      <t>リュウツウ</t>
    </rPh>
    <rPh sb="2" eb="4">
      <t>ショウケン</t>
    </rPh>
    <phoneticPr fontId="11"/>
  </si>
  <si>
    <t>手数料仕訳帳</t>
  </si>
  <si>
    <t>受取手形または支払手形のために生成される送金手数料の仕訳帳を選択します。手数料は、仕訳帳名ページの中の手数料転記フィールドにある、このジャーナルに選択された値に応じて転記されます。</t>
  </si>
  <si>
    <t>仕訳帳（ユーザー定義）</t>
    <rPh sb="0" eb="3">
      <t>シワケチョウ</t>
    </rPh>
    <rPh sb="8" eb="10">
      <t>テイギ</t>
    </rPh>
    <phoneticPr fontId="11"/>
  </si>
  <si>
    <t>取立費用手数料</t>
    <rPh sb="0" eb="2">
      <t>トリタテ</t>
    </rPh>
    <rPh sb="2" eb="4">
      <t>ヒヨウ</t>
    </rPh>
    <rPh sb="4" eb="7">
      <t>テスウリョウ</t>
    </rPh>
    <phoneticPr fontId="11"/>
  </si>
  <si>
    <t>受取手形の取立に関連する送金があるたびに、銀行口座に支払われる手数料を入力します。</t>
  </si>
  <si>
    <t>割引利息手数料</t>
    <rPh sb="0" eb="2">
      <t>ワリビキ</t>
    </rPh>
    <rPh sb="2" eb="4">
      <t>リソク</t>
    </rPh>
    <rPh sb="4" eb="7">
      <t>テスウリョウ</t>
    </rPh>
    <phoneticPr fontId="11"/>
  </si>
  <si>
    <t>送金ファイルに表示される為替手形に割引利息が追加されるたびに、銀行口座に支払われる手数料を入力します。</t>
  </si>
  <si>
    <t>請求書の送金手数料</t>
    <rPh sb="0" eb="3">
      <t>セイキュウショ</t>
    </rPh>
    <rPh sb="4" eb="6">
      <t>ソウキン</t>
    </rPh>
    <rPh sb="6" eb="9">
      <t>テスウリョウ</t>
    </rPh>
    <phoneticPr fontId="11"/>
  </si>
  <si>
    <t>請求書送金ファイルに示される支払手形に割引利息が追加されるごとに、銀行口座に支払われる手数料を入力します。</t>
  </si>
  <si>
    <t>取立勘定</t>
    <rPh sb="0" eb="2">
      <t>トリタテ</t>
    </rPh>
    <rPh sb="2" eb="4">
      <t>カンジョウ</t>
    </rPh>
    <phoneticPr fontId="11"/>
  </si>
  <si>
    <t>割引勘定</t>
    <rPh sb="0" eb="2">
      <t>ワリビキ</t>
    </rPh>
    <rPh sb="2" eb="4">
      <t>カンジョウ</t>
    </rPh>
    <phoneticPr fontId="11"/>
  </si>
  <si>
    <t>請求書送付先顧客</t>
    <rPh sb="0" eb="3">
      <t>セイキュウショ</t>
    </rPh>
    <rPh sb="3" eb="6">
      <t>ソウフサキ</t>
    </rPh>
    <rPh sb="6" eb="8">
      <t>コキャク</t>
    </rPh>
    <phoneticPr fontId="11"/>
  </si>
  <si>
    <t>住所</t>
    <rPh sb="0" eb="2">
      <t>ジュウショ</t>
    </rPh>
    <phoneticPr fontId="11"/>
  </si>
  <si>
    <t>新しい住所</t>
    <rPh sb="0" eb="1">
      <t>アタラ</t>
    </rPh>
    <rPh sb="3" eb="5">
      <t>ジュウショ</t>
    </rPh>
    <phoneticPr fontId="11"/>
  </si>
  <si>
    <t>名前または説明</t>
    <rPh sb="0" eb="2">
      <t>ナマエ</t>
    </rPh>
    <rPh sb="5" eb="7">
      <t>セツメイ</t>
    </rPh>
    <phoneticPr fontId="11"/>
  </si>
  <si>
    <t>国/地域</t>
    <rPh sb="0" eb="1">
      <t>クニ</t>
    </rPh>
    <rPh sb="2" eb="4">
      <t>チイキ</t>
    </rPh>
    <phoneticPr fontId="11"/>
  </si>
  <si>
    <t>住所の設定-国/地域（ユーザー定義）</t>
    <rPh sb="6" eb="7">
      <t>クニ</t>
    </rPh>
    <rPh sb="8" eb="10">
      <t>チイキ</t>
    </rPh>
    <rPh sb="15" eb="17">
      <t>テイギ</t>
    </rPh>
    <phoneticPr fontId="11"/>
  </si>
  <si>
    <t>Jpn</t>
    <phoneticPr fontId="11"/>
  </si>
  <si>
    <t>郵便番号</t>
    <rPh sb="0" eb="4">
      <t>ユウビンバンゴウ</t>
    </rPh>
    <phoneticPr fontId="11"/>
  </si>
  <si>
    <t>住所の設定-郵便番号（ユーザー定義）</t>
    <rPh sb="6" eb="8">
      <t>ユウビン</t>
    </rPh>
    <rPh sb="8" eb="10">
      <t>バンゴウ</t>
    </rPh>
    <rPh sb="15" eb="17">
      <t>テイギ</t>
    </rPh>
    <phoneticPr fontId="11"/>
  </si>
  <si>
    <t>住所</t>
    <phoneticPr fontId="11"/>
  </si>
  <si>
    <t>建物名 (補足)</t>
    <phoneticPr fontId="11"/>
  </si>
  <si>
    <t>市町村</t>
    <rPh sb="0" eb="3">
      <t>シチョウソン</t>
    </rPh>
    <phoneticPr fontId="11"/>
  </si>
  <si>
    <t>住所の設定-市町村（ユーザー定義）</t>
    <rPh sb="6" eb="9">
      <t>シチョウソン</t>
    </rPh>
    <rPh sb="14" eb="16">
      <t>テイギ</t>
    </rPh>
    <phoneticPr fontId="11"/>
  </si>
  <si>
    <t>都道府県</t>
    <rPh sb="0" eb="4">
      <t>トドウフケン</t>
    </rPh>
    <phoneticPr fontId="11"/>
  </si>
  <si>
    <t>住所の設定-都道府県（ユーザー定義）</t>
    <rPh sb="6" eb="10">
      <t>トドウフケン</t>
    </rPh>
    <rPh sb="15" eb="17">
      <t>テイギ</t>
    </rPh>
    <phoneticPr fontId="11"/>
  </si>
  <si>
    <t>連絡先情報</t>
    <rPh sb="0" eb="3">
      <t>レンラクサキ</t>
    </rPh>
    <rPh sb="3" eb="5">
      <t>ジョウホウ</t>
    </rPh>
    <phoneticPr fontId="11"/>
  </si>
  <si>
    <t>氏名</t>
    <rPh sb="0" eb="2">
      <t>シメイ</t>
    </rPh>
    <phoneticPr fontId="11"/>
  </si>
  <si>
    <t>電話番号</t>
    <rPh sb="0" eb="2">
      <t>デンワ</t>
    </rPh>
    <rPh sb="2" eb="4">
      <t>バンゴウ</t>
    </rPh>
    <phoneticPr fontId="11"/>
  </si>
  <si>
    <t>携帯電話</t>
    <rPh sb="0" eb="2">
      <t>ケイタイ</t>
    </rPh>
    <rPh sb="2" eb="4">
      <t>デンワ</t>
    </rPh>
    <phoneticPr fontId="11"/>
  </si>
  <si>
    <t>携帯電話番号</t>
    <rPh sb="0" eb="2">
      <t>ケイタイ</t>
    </rPh>
    <rPh sb="2" eb="4">
      <t>デンワ</t>
    </rPh>
    <rPh sb="4" eb="6">
      <t>バンゴウ</t>
    </rPh>
    <phoneticPr fontId="11"/>
  </si>
  <si>
    <t>ポケベル</t>
    <phoneticPr fontId="11"/>
  </si>
  <si>
    <t>ポケベル番号</t>
    <rPh sb="4" eb="6">
      <t>バンゴウ</t>
    </rPh>
    <phoneticPr fontId="11"/>
  </si>
  <si>
    <t>電話</t>
    <rPh sb="0" eb="2">
      <t>デンワ</t>
    </rPh>
    <phoneticPr fontId="11"/>
  </si>
  <si>
    <t>FAX</t>
    <phoneticPr fontId="11"/>
  </si>
  <si>
    <t>FAX番号</t>
  </si>
  <si>
    <t>メッセージ</t>
    <phoneticPr fontId="11"/>
  </si>
  <si>
    <t>電子メール</t>
    <rPh sb="0" eb="2">
      <t>デンシ</t>
    </rPh>
    <phoneticPr fontId="11"/>
  </si>
  <si>
    <t>メールアドレス</t>
    <phoneticPr fontId="11"/>
  </si>
  <si>
    <t>SMS</t>
    <phoneticPr fontId="11"/>
  </si>
  <si>
    <t>SMS番号</t>
  </si>
  <si>
    <t>インターネットアドレス</t>
    <phoneticPr fontId="11"/>
  </si>
  <si>
    <t>URL</t>
    <phoneticPr fontId="11"/>
  </si>
  <si>
    <t>テレックス番号</t>
    <rPh sb="5" eb="7">
      <t>バンゴウ</t>
    </rPh>
    <phoneticPr fontId="11"/>
  </si>
  <si>
    <t>財務分析コード</t>
    <rPh sb="0" eb="2">
      <t>ザイム</t>
    </rPh>
    <rPh sb="2" eb="4">
      <t>ブンセキ</t>
    </rPh>
    <phoneticPr fontId="11"/>
  </si>
  <si>
    <t>既定の財務分析コード</t>
    <rPh sb="0" eb="2">
      <t>キテイ</t>
    </rPh>
    <rPh sb="3" eb="5">
      <t>ザイム</t>
    </rPh>
    <rPh sb="5" eb="7">
      <t>ブンセキ</t>
    </rPh>
    <phoneticPr fontId="11"/>
  </si>
  <si>
    <t>財務分析コードを含む勘定構造が元帳に対して選択されていません。</t>
  </si>
  <si>
    <t>銀行口座-設定値</t>
    <rPh sb="0" eb="2">
      <t>ギンコウ</t>
    </rPh>
    <rPh sb="2" eb="4">
      <t>コウザ</t>
    </rPh>
    <phoneticPr fontId="11"/>
  </si>
  <si>
    <t>財務分析コード</t>
    <rPh sb="0" eb="4">
      <t>ザイムブンセキ</t>
    </rPh>
    <phoneticPr fontId="11"/>
  </si>
  <si>
    <t>メッセージング</t>
    <phoneticPr fontId="11"/>
  </si>
  <si>
    <t>銀行支店コードタイプ</t>
    <rPh sb="0" eb="4">
      <t>ギンコウシテン</t>
    </rPh>
    <phoneticPr fontId="11"/>
  </si>
  <si>
    <t>宛名名</t>
    <rPh sb="0" eb="2">
      <t>アテナ</t>
    </rPh>
    <rPh sb="2" eb="3">
      <t>メイ</t>
    </rPh>
    <phoneticPr fontId="11"/>
  </si>
  <si>
    <t>銀行口座（カナ）</t>
    <rPh sb="0" eb="2">
      <t>ギンコウ</t>
    </rPh>
    <rPh sb="2" eb="4">
      <t>コウザ</t>
    </rPh>
    <phoneticPr fontId="11"/>
  </si>
  <si>
    <t>他の通貨でのトランザクションを許可する</t>
    <phoneticPr fontId="11"/>
  </si>
  <si>
    <t>郵便口座</t>
    <rPh sb="0" eb="4">
      <t>ユウビンコウザ</t>
    </rPh>
    <phoneticPr fontId="11"/>
  </si>
  <si>
    <t>BESR ID番号</t>
    <rPh sb="7" eb="9">
      <t>バンゴウ</t>
    </rPh>
    <phoneticPr fontId="11"/>
  </si>
  <si>
    <t>手形振出人</t>
    <rPh sb="0" eb="5">
      <t>テガタフリダシニン</t>
    </rPh>
    <phoneticPr fontId="11"/>
  </si>
  <si>
    <t>事前通知が必要です</t>
    <rPh sb="0" eb="2">
      <t>ジゼン</t>
    </rPh>
    <rPh sb="2" eb="4">
      <t>ツウチ</t>
    </rPh>
    <rPh sb="5" eb="7">
      <t>ヒツヨウ</t>
    </rPh>
    <phoneticPr fontId="11"/>
  </si>
  <si>
    <t>NACHA ファイルではレコードを追加ブロックする必要がありますか?</t>
    <phoneticPr fontId="11"/>
  </si>
  <si>
    <t>口座取引明細書を電子支払確認書として使用します</t>
  </si>
  <si>
    <t>許容少額差異</t>
    <rPh sb="0" eb="2">
      <t>キョヨウ</t>
    </rPh>
    <rPh sb="2" eb="4">
      <t>ショウガク</t>
    </rPh>
    <rPh sb="4" eb="6">
      <t>サイ</t>
    </rPh>
    <phoneticPr fontId="11"/>
  </si>
  <si>
    <t>手数料仕訳帳</t>
    <rPh sb="0" eb="3">
      <t>テスウリョウ</t>
    </rPh>
    <rPh sb="3" eb="6">
      <t>シワケチョウ</t>
    </rPh>
    <phoneticPr fontId="11"/>
  </si>
  <si>
    <t>取引費用手数料</t>
    <rPh sb="0" eb="2">
      <t>トリヒキ</t>
    </rPh>
    <rPh sb="2" eb="4">
      <t>ヒヨウ</t>
    </rPh>
    <rPh sb="4" eb="7">
      <t>テスウリョウ</t>
    </rPh>
    <phoneticPr fontId="11"/>
  </si>
  <si>
    <t>建物名（補足）</t>
    <rPh sb="0" eb="2">
      <t>タテモノ</t>
    </rPh>
    <rPh sb="2" eb="3">
      <t>メイ</t>
    </rPh>
    <rPh sb="4" eb="6">
      <t>ホソク</t>
    </rPh>
    <phoneticPr fontId="11"/>
  </si>
  <si>
    <t>銀行口座</t>
    <rPh sb="0" eb="4">
      <t>ギンコウコウザ</t>
    </rPh>
    <phoneticPr fontId="11"/>
  </si>
  <si>
    <t>相手先会社</t>
    <rPh sb="0" eb="5">
      <t>アイテサキガイシャ</t>
    </rPh>
    <phoneticPr fontId="11"/>
  </si>
  <si>
    <t>顧客</t>
    <rPh sb="0" eb="2">
      <t>コキャク</t>
    </rPh>
    <phoneticPr fontId="11"/>
  </si>
  <si>
    <t>支店</t>
    <rPh sb="0" eb="2">
      <t>シテン</t>
    </rPh>
    <phoneticPr fontId="11"/>
  </si>
  <si>
    <t>部門</t>
    <rPh sb="0" eb="2">
      <t>ブモン</t>
    </rPh>
    <phoneticPr fontId="11"/>
  </si>
  <si>
    <t>商品分類</t>
    <rPh sb="0" eb="4">
      <t>ショウヒンブンルイ</t>
    </rPh>
    <phoneticPr fontId="11"/>
  </si>
  <si>
    <t>補助科目</t>
    <rPh sb="0" eb="4">
      <t>ホジョカモク</t>
    </rPh>
    <phoneticPr fontId="11"/>
  </si>
  <si>
    <t>仕入先</t>
    <rPh sb="0" eb="3">
      <t>シイレサキ</t>
    </rPh>
    <phoneticPr fontId="11"/>
  </si>
  <si>
    <t>勘定科目</t>
    <rPh sb="0" eb="2">
      <t>カンジョウ</t>
    </rPh>
    <rPh sb="2" eb="4">
      <t>カモク</t>
    </rPh>
    <phoneticPr fontId="11"/>
  </si>
  <si>
    <t>（ユーザー定義）</t>
    <rPh sb="5" eb="7">
      <t>テイギ</t>
    </rPh>
    <phoneticPr fontId="11"/>
  </si>
  <si>
    <t>文字列</t>
    <rPh sb="0" eb="2">
      <t>モジ</t>
    </rPh>
    <rPh sb="2" eb="3">
      <t>レツ</t>
    </rPh>
    <phoneticPr fontId="11"/>
  </si>
  <si>
    <t>（システム自動入力）</t>
    <rPh sb="5" eb="9">
      <t>ジドウニュウリョク</t>
    </rPh>
    <phoneticPr fontId="11"/>
  </si>
  <si>
    <t>住所</t>
  </si>
  <si>
    <t>現金および銀行管理＞設定＞銀行グループ</t>
    <rPh sb="10" eb="12">
      <t>セッテイ</t>
    </rPh>
    <rPh sb="13" eb="15">
      <t>ギンコウ</t>
    </rPh>
    <phoneticPr fontId="11"/>
  </si>
  <si>
    <t>Cash and bank management &gt; Setup &gt; Bank groups</t>
    <phoneticPr fontId="11"/>
  </si>
  <si>
    <t>銀行グループの固有 ID。銀行グループの固有 ID。通常は、銀行グループの銀行口座を含む銀行のコードまたは短縮名です。</t>
  </si>
  <si>
    <t>「銀行グループ-設定値」を参照</t>
    <rPh sb="1" eb="3">
      <t>ギンコウ</t>
    </rPh>
    <rPh sb="8" eb="11">
      <t>セッテイチ</t>
    </rPh>
    <rPh sb="13" eb="15">
      <t>サンショウ</t>
    </rPh>
    <phoneticPr fontId="11"/>
  </si>
  <si>
    <t>[+追加]ボタンより設定</t>
    <rPh sb="2" eb="4">
      <t>ツイカ</t>
    </rPh>
    <rPh sb="10" eb="12">
      <t>セッテイ</t>
    </rPh>
    <phoneticPr fontId="11"/>
  </si>
  <si>
    <t>[+追加] 名前または説明</t>
    <rPh sb="2" eb="4">
      <t>ツイカ</t>
    </rPh>
    <rPh sb="6" eb="8">
      <t>ナマエ</t>
    </rPh>
    <rPh sb="11" eb="13">
      <t>セツメイ</t>
    </rPh>
    <phoneticPr fontId="11"/>
  </si>
  <si>
    <t>[+追加] 国/地域</t>
    <rPh sb="6" eb="7">
      <t>クニ</t>
    </rPh>
    <rPh sb="8" eb="10">
      <t>チイキ</t>
    </rPh>
    <phoneticPr fontId="11"/>
  </si>
  <si>
    <t>[+追加] 郵便番号</t>
    <rPh sb="6" eb="10">
      <t>ユウビンバンゴウ</t>
    </rPh>
    <phoneticPr fontId="11"/>
  </si>
  <si>
    <t>[+追加] 住所</t>
    <rPh sb="6" eb="8">
      <t>ジュウショ</t>
    </rPh>
    <phoneticPr fontId="11"/>
  </si>
  <si>
    <t>[+追加] 建物名（補足）</t>
    <rPh sb="6" eb="8">
      <t>タテモノ</t>
    </rPh>
    <rPh sb="8" eb="9">
      <t>メイ</t>
    </rPh>
    <rPh sb="10" eb="12">
      <t>ホソク</t>
    </rPh>
    <phoneticPr fontId="11"/>
  </si>
  <si>
    <t>[+追加] 市町村</t>
    <rPh sb="6" eb="9">
      <t>シチョウソン</t>
    </rPh>
    <phoneticPr fontId="11"/>
  </si>
  <si>
    <t>[+追加] 都道府県</t>
    <rPh sb="6" eb="10">
      <t>トドウフケン</t>
    </rPh>
    <phoneticPr fontId="11"/>
  </si>
  <si>
    <t>・なし
・AT
・BL
・CC
・CP
・CH
・FW
・SC</t>
    <phoneticPr fontId="11"/>
  </si>
  <si>
    <t>支払に使用される銀行グループの銀行決済または郵便振替の ID。</t>
  </si>
  <si>
    <t>銀行コード</t>
    <rPh sb="0" eb="2">
      <t>ギンコウ</t>
    </rPh>
    <phoneticPr fontId="11"/>
  </si>
  <si>
    <t>銀行名</t>
    <rPh sb="0" eb="3">
      <t>ギンコウメイ</t>
    </rPh>
    <phoneticPr fontId="11"/>
  </si>
  <si>
    <t>銀行名（カナ）</t>
    <rPh sb="0" eb="3">
      <t>ギンコウメイ</t>
    </rPh>
    <phoneticPr fontId="11"/>
  </si>
  <si>
    <t>支店コード</t>
    <rPh sb="0" eb="2">
      <t>シテン</t>
    </rPh>
    <phoneticPr fontId="11"/>
  </si>
  <si>
    <t>支店名（JP）</t>
    <rPh sb="0" eb="3">
      <t>シテンメイ</t>
    </rPh>
    <phoneticPr fontId="11"/>
  </si>
  <si>
    <t>支店名（カナ）</t>
    <rPh sb="0" eb="3">
      <t>シテンメイ</t>
    </rPh>
    <phoneticPr fontId="11"/>
  </si>
  <si>
    <t>手形振出人のコード。このコードは銀行が指定します。</t>
  </si>
  <si>
    <t>この口座を取り扱う銀行の連絡担当者。</t>
  </si>
  <si>
    <t>内線</t>
    <rPh sb="0" eb="2">
      <t>ナイセン</t>
    </rPh>
    <phoneticPr fontId="11"/>
  </si>
  <si>
    <t>携帯電話</t>
    <rPh sb="0" eb="4">
      <t>ケイタイデンワ</t>
    </rPh>
    <phoneticPr fontId="11"/>
  </si>
  <si>
    <t>データベースのレコードの固有 ID</t>
  </si>
  <si>
    <t>リスト選択</t>
    <rPh sb="3" eb="5">
      <t>センタク</t>
    </rPh>
    <phoneticPr fontId="11"/>
  </si>
  <si>
    <t>銀行グループ-設定値</t>
    <rPh sb="0" eb="2">
      <t>ギンコウ</t>
    </rPh>
    <phoneticPr fontId="11"/>
  </si>
  <si>
    <t>連絡先情報</t>
    <rPh sb="0" eb="5">
      <t>レンラクサキジョウホウ</t>
    </rPh>
    <phoneticPr fontId="11"/>
  </si>
  <si>
    <t>銀行_2</t>
  </si>
  <si>
    <t>銀行_6</t>
  </si>
  <si>
    <t>銀行_10</t>
  </si>
  <si>
    <t>銀行_14</t>
  </si>
  <si>
    <t>銀行_18</t>
  </si>
  <si>
    <t>銀行_22</t>
  </si>
  <si>
    <t>銀行_26</t>
  </si>
  <si>
    <t>銀行_30</t>
  </si>
  <si>
    <t>銀行_34</t>
  </si>
  <si>
    <t>銀行_38</t>
  </si>
  <si>
    <t>銀行_42</t>
  </si>
  <si>
    <t>銀行_46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</si>
</sst>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0"/>
      <color rgb="FF00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0"/>
      <color theme="1"/>
      <name val="Meiryo UI"/>
      <family val="3"/>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theme="0"/>
      </bottom>
      <diagonal/>
    </border>
  </borders>
  <cellStyleXfs count="21">
    <xf numFmtId="0" fontId="0" fillId="0" borderId="0">
      <alignment vertical="center"/>
    </xf>
    <xf numFmtId="0" fontId="12" fillId="0" borderId="0">
      <alignment vertical="center"/>
    </xf>
    <xf numFmtId="0" fontId="16" fillId="0" borderId="0"/>
    <xf numFmtId="0" fontId="21" fillId="0" borderId="0" applyNumberFormat="0" applyFill="0" applyBorder="0" applyAlignment="0" applyProtection="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22" fillId="0" borderId="0"/>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23" fillId="0" borderId="0">
      <alignment vertical="center"/>
    </xf>
    <xf numFmtId="0" fontId="24" fillId="0" borderId="0">
      <alignment vertical="center"/>
    </xf>
    <xf numFmtId="0" fontId="3" fillId="0" borderId="0">
      <alignment vertical="center"/>
    </xf>
    <xf numFmtId="0" fontId="2" fillId="0" borderId="0">
      <alignment vertical="center"/>
    </xf>
    <xf numFmtId="0" fontId="1" fillId="0" borderId="0">
      <alignment vertical="center"/>
    </xf>
  </cellStyleXfs>
  <cellXfs count="156">
    <xf numFmtId="0" fontId="0" fillId="0" borderId="0" xfId="0">
      <alignment vertical="center"/>
    </xf>
    <xf numFmtId="0" fontId="18" fillId="6" borderId="1" xfId="0" applyFont="1" applyFill="1" applyBorder="1" applyAlignment="1" applyProtection="1">
      <alignment horizontal="left" vertical="top" wrapText="1"/>
      <protection locked="0"/>
    </xf>
    <xf numFmtId="0" fontId="18" fillId="6" borderId="1" xfId="0" applyFont="1" applyFill="1" applyBorder="1" applyAlignment="1" applyProtection="1">
      <alignment vertical="top" wrapText="1"/>
      <protection locked="0"/>
    </xf>
    <xf numFmtId="0" fontId="17" fillId="6" borderId="13" xfId="0" applyFont="1" applyFill="1" applyBorder="1" applyAlignment="1">
      <alignment vertical="top" wrapText="1"/>
    </xf>
    <xf numFmtId="0" fontId="17" fillId="6" borderId="1" xfId="0" applyFont="1" applyFill="1" applyBorder="1" applyAlignment="1">
      <alignment vertical="top" wrapText="1"/>
    </xf>
    <xf numFmtId="0" fontId="13" fillId="0" borderId="0" xfId="4" applyFont="1">
      <alignment vertical="center"/>
    </xf>
    <xf numFmtId="0" fontId="21" fillId="0" borderId="0" xfId="3" applyProtection="1">
      <alignment vertical="center"/>
    </xf>
    <xf numFmtId="0" fontId="20" fillId="4" borderId="1" xfId="0" applyFont="1" applyFill="1" applyBorder="1" applyAlignment="1">
      <alignment horizontal="center" vertical="top" wrapText="1"/>
    </xf>
    <xf numFmtId="0" fontId="20" fillId="5" borderId="1" xfId="0" applyFont="1" applyFill="1" applyBorder="1" applyAlignment="1">
      <alignment horizontal="center" vertical="top"/>
    </xf>
    <xf numFmtId="0" fontId="18" fillId="0" borderId="11" xfId="0" applyFont="1" applyBorder="1" applyAlignment="1">
      <alignment vertical="top" wrapText="1"/>
    </xf>
    <xf numFmtId="0" fontId="18" fillId="0" borderId="1" xfId="0" applyFont="1" applyBorder="1" applyAlignment="1">
      <alignment vertical="top" wrapText="1"/>
    </xf>
    <xf numFmtId="0" fontId="18" fillId="0" borderId="12" xfId="0" applyFont="1" applyBorder="1" applyAlignment="1">
      <alignment vertical="top" wrapText="1"/>
    </xf>
    <xf numFmtId="0" fontId="18" fillId="0" borderId="10" xfId="0" applyFont="1" applyBorder="1" applyAlignment="1">
      <alignment vertical="top" wrapText="1"/>
    </xf>
    <xf numFmtId="0" fontId="20" fillId="4" borderId="1" xfId="0" applyFont="1" applyFill="1" applyBorder="1" applyAlignment="1">
      <alignment horizontal="center" vertical="top"/>
    </xf>
    <xf numFmtId="0" fontId="18" fillId="0" borderId="1" xfId="0" applyFont="1" applyBorder="1" applyAlignment="1">
      <alignment vertical="top"/>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7" fillId="0" borderId="1" xfId="0" applyFont="1" applyBorder="1" applyAlignment="1">
      <alignment vertical="top" wrapText="1"/>
    </xf>
    <xf numFmtId="0" fontId="17" fillId="5" borderId="13" xfId="0" applyFont="1" applyFill="1" applyBorder="1" applyAlignment="1">
      <alignment vertical="top" wrapText="1"/>
    </xf>
    <xf numFmtId="0" fontId="0" fillId="0" borderId="1" xfId="0" applyBorder="1">
      <alignment vertical="center"/>
    </xf>
    <xf numFmtId="0" fontId="18" fillId="0" borderId="5" xfId="0" applyFont="1" applyBorder="1" applyAlignment="1">
      <alignment vertical="top" wrapText="1"/>
    </xf>
    <xf numFmtId="0" fontId="17" fillId="0" borderId="14" xfId="0" applyFont="1" applyBorder="1" applyAlignment="1">
      <alignment horizontal="left" vertical="top" wrapText="1"/>
    </xf>
    <xf numFmtId="0" fontId="0" fillId="0" borderId="0" xfId="0" applyAlignment="1">
      <alignment vertical="center" wrapText="1"/>
    </xf>
    <xf numFmtId="0" fontId="17" fillId="0" borderId="15" xfId="0" applyFont="1" applyBorder="1" applyAlignment="1">
      <alignment horizontal="left" vertical="top" wrapText="1"/>
    </xf>
    <xf numFmtId="0" fontId="17" fillId="5" borderId="7" xfId="0" applyFont="1" applyFill="1" applyBorder="1" applyAlignment="1">
      <alignment vertical="center" wrapText="1"/>
    </xf>
    <xf numFmtId="0" fontId="17" fillId="5" borderId="8" xfId="0" applyFont="1" applyFill="1" applyBorder="1" applyAlignment="1">
      <alignment vertical="center" wrapText="1"/>
    </xf>
    <xf numFmtId="0" fontId="17" fillId="5" borderId="9" xfId="0" applyFont="1" applyFill="1" applyBorder="1" applyAlignment="1">
      <alignment vertical="center" wrapText="1"/>
    </xf>
    <xf numFmtId="0" fontId="18" fillId="0" borderId="6" xfId="0" applyFont="1" applyBorder="1" applyAlignment="1">
      <alignment vertical="top" wrapText="1"/>
    </xf>
    <xf numFmtId="0" fontId="0" fillId="0" borderId="0" xfId="0" applyAlignment="1">
      <alignment vertical="top"/>
    </xf>
    <xf numFmtId="0" fontId="18" fillId="0" borderId="0" xfId="0" applyFont="1">
      <alignment vertical="center"/>
    </xf>
    <xf numFmtId="0" fontId="18" fillId="0" borderId="0" xfId="0" applyFont="1" applyAlignment="1">
      <alignment vertical="top"/>
    </xf>
    <xf numFmtId="0" fontId="18" fillId="0" borderId="0" xfId="0" applyFont="1" applyAlignment="1">
      <alignment vertical="top" wrapText="1"/>
    </xf>
    <xf numFmtId="0" fontId="18" fillId="0" borderId="1" xfId="0" applyFont="1" applyBorder="1" applyAlignment="1">
      <alignment horizontal="left" vertical="top"/>
    </xf>
    <xf numFmtId="0" fontId="18" fillId="0" borderId="1" xfId="0" applyFont="1" applyBorder="1" applyAlignment="1">
      <alignment vertical="center" wrapText="1"/>
    </xf>
    <xf numFmtId="0" fontId="18" fillId="0" borderId="1" xfId="0" applyFont="1" applyBorder="1">
      <alignment vertical="center"/>
    </xf>
    <xf numFmtId="0" fontId="18" fillId="0" borderId="0" xfId="0" applyFont="1" applyAlignment="1">
      <alignment vertical="center" wrapText="1"/>
    </xf>
    <xf numFmtId="49" fontId="0" fillId="0" borderId="0" xfId="0" applyNumberFormat="1" applyAlignment="1">
      <alignment vertical="top"/>
    </xf>
    <xf numFmtId="49" fontId="20" fillId="5" borderId="1" xfId="0" applyNumberFormat="1" applyFont="1" applyFill="1" applyBorder="1" applyAlignment="1">
      <alignment horizontal="center" vertical="top"/>
    </xf>
    <xf numFmtId="0" fontId="18" fillId="0" borderId="14" xfId="0" applyFont="1" applyBorder="1" applyAlignment="1">
      <alignment vertical="top" wrapText="1"/>
    </xf>
    <xf numFmtId="0" fontId="17" fillId="0" borderId="16" xfId="0" applyFont="1" applyBorder="1" applyAlignment="1">
      <alignment horizontal="left" vertical="top" wrapText="1"/>
    </xf>
    <xf numFmtId="49" fontId="18" fillId="0" borderId="1" xfId="0" applyNumberFormat="1" applyFont="1" applyBorder="1" applyAlignment="1">
      <alignment vertical="top"/>
    </xf>
    <xf numFmtId="0" fontId="18" fillId="0" borderId="10" xfId="0" applyFont="1" applyBorder="1" applyAlignment="1">
      <alignment vertical="top"/>
    </xf>
    <xf numFmtId="0" fontId="17" fillId="5" borderId="15" xfId="0" applyFont="1" applyFill="1" applyBorder="1" applyAlignment="1">
      <alignment vertical="center" wrapText="1"/>
    </xf>
    <xf numFmtId="0" fontId="17" fillId="5" borderId="16" xfId="0" applyFont="1" applyFill="1" applyBorder="1" applyAlignment="1">
      <alignment vertical="center" wrapText="1"/>
    </xf>
    <xf numFmtId="0" fontId="17" fillId="5" borderId="14" xfId="0" applyFont="1" applyFill="1" applyBorder="1" applyAlignment="1">
      <alignment vertical="center" wrapText="1"/>
    </xf>
    <xf numFmtId="0" fontId="17" fillId="5" borderId="1" xfId="0" applyFont="1" applyFill="1" applyBorder="1" applyAlignment="1">
      <alignment vertical="top" wrapText="1"/>
    </xf>
    <xf numFmtId="0" fontId="17" fillId="5" borderId="1" xfId="0" applyFont="1" applyFill="1" applyBorder="1" applyAlignment="1">
      <alignment vertical="center" wrapText="1"/>
    </xf>
    <xf numFmtId="0" fontId="17" fillId="5" borderId="14" xfId="0" applyFont="1" applyFill="1" applyBorder="1" applyAlignment="1">
      <alignment vertical="top" wrapText="1"/>
    </xf>
    <xf numFmtId="0" fontId="17" fillId="5" borderId="14" xfId="0" applyFont="1" applyFill="1" applyBorder="1" applyAlignment="1">
      <alignment horizontal="left" vertical="top" wrapText="1"/>
    </xf>
    <xf numFmtId="0" fontId="17" fillId="5" borderId="4" xfId="0" applyFont="1" applyFill="1" applyBorder="1" applyAlignment="1">
      <alignment horizontal="left" vertical="top" wrapText="1"/>
    </xf>
    <xf numFmtId="0" fontId="13" fillId="0" borderId="0" xfId="12" applyFont="1">
      <alignment vertical="center"/>
    </xf>
    <xf numFmtId="0" fontId="0" fillId="0" borderId="0" xfId="0" applyAlignment="1">
      <alignment horizontal="left" vertical="center"/>
    </xf>
    <xf numFmtId="0" fontId="13" fillId="0" borderId="0" xfId="18" applyFont="1">
      <alignment vertical="center"/>
    </xf>
    <xf numFmtId="0" fontId="0" fillId="4" borderId="1" xfId="0" applyFill="1" applyBorder="1">
      <alignment vertical="center"/>
    </xf>
    <xf numFmtId="0" fontId="0" fillId="4" borderId="1" xfId="0" applyFill="1" applyBorder="1" applyAlignment="1">
      <alignment horizontal="center" vertical="center"/>
    </xf>
    <xf numFmtId="49" fontId="0" fillId="0" borderId="0" xfId="0" applyNumberFormat="1">
      <alignment vertical="center"/>
    </xf>
    <xf numFmtId="49" fontId="17" fillId="5" borderId="3" xfId="0" applyNumberFormat="1" applyFont="1" applyFill="1" applyBorder="1" applyAlignment="1">
      <alignment horizontal="left" vertical="top" wrapText="1"/>
    </xf>
    <xf numFmtId="49" fontId="17" fillId="5" borderId="16" xfId="0" applyNumberFormat="1" applyFont="1" applyFill="1" applyBorder="1" applyAlignment="1">
      <alignment vertical="center" wrapText="1"/>
    </xf>
    <xf numFmtId="49" fontId="17" fillId="5" borderId="1" xfId="0" applyNumberFormat="1" applyFont="1" applyFill="1" applyBorder="1" applyAlignment="1">
      <alignment vertical="top" wrapText="1"/>
    </xf>
    <xf numFmtId="49" fontId="17" fillId="6" borderId="1" xfId="0" applyNumberFormat="1" applyFont="1" applyFill="1" applyBorder="1" applyAlignment="1">
      <alignment vertical="top" wrapText="1"/>
    </xf>
    <xf numFmtId="0" fontId="15" fillId="0" borderId="0" xfId="0" applyFont="1" applyAlignment="1"/>
    <xf numFmtId="0" fontId="15" fillId="2" borderId="0" xfId="10" applyFont="1" applyFill="1"/>
    <xf numFmtId="0" fontId="26" fillId="0" borderId="0" xfId="0" applyFont="1" applyAlignment="1"/>
    <xf numFmtId="0" fontId="26" fillId="0" borderId="0" xfId="0" applyFont="1">
      <alignment vertical="center"/>
    </xf>
    <xf numFmtId="0" fontId="28" fillId="0" borderId="0" xfId="0" applyFont="1" applyAlignment="1"/>
    <xf numFmtId="0" fontId="28" fillId="0" borderId="19" xfId="0" applyFont="1" applyBorder="1" applyAlignment="1"/>
    <xf numFmtId="0" fontId="15" fillId="0" borderId="0" xfId="0" applyFont="1">
      <alignment vertical="center"/>
    </xf>
    <xf numFmtId="0" fontId="15" fillId="0" borderId="5" xfId="0" applyFont="1" applyBorder="1">
      <alignment vertical="center"/>
    </xf>
    <xf numFmtId="0" fontId="0" fillId="0" borderId="1" xfId="0" applyBorder="1" applyAlignment="1">
      <alignment horizontal="center" vertical="center"/>
    </xf>
    <xf numFmtId="0" fontId="21" fillId="0" borderId="1" xfId="3" applyBorder="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7" fillId="5" borderId="10" xfId="0" applyFont="1" applyFill="1" applyBorder="1" applyAlignment="1">
      <alignment vertical="center" wrapText="1"/>
    </xf>
    <xf numFmtId="0" fontId="17" fillId="5" borderId="3" xfId="0" applyFont="1" applyFill="1" applyBorder="1" applyAlignment="1">
      <alignment horizontal="left" vertical="top" wrapText="1"/>
    </xf>
    <xf numFmtId="0" fontId="18" fillId="6" borderId="1" xfId="0" applyFont="1" applyFill="1" applyBorder="1" applyAlignment="1" applyProtection="1">
      <alignment horizontal="left" vertical="top"/>
      <protection locked="0"/>
    </xf>
    <xf numFmtId="0" fontId="18" fillId="6" borderId="1" xfId="0" applyFont="1" applyFill="1" applyBorder="1" applyAlignment="1" applyProtection="1">
      <alignment vertical="top"/>
      <protection locked="0"/>
    </xf>
    <xf numFmtId="0" fontId="13" fillId="0" borderId="0" xfId="1" applyFont="1" applyAlignment="1">
      <alignment vertical="top"/>
    </xf>
    <xf numFmtId="0" fontId="21" fillId="0" borderId="0" xfId="3" applyAlignment="1" applyProtection="1">
      <alignment vertical="top"/>
    </xf>
    <xf numFmtId="0" fontId="18" fillId="0" borderId="17" xfId="0" applyFont="1" applyBorder="1" applyAlignment="1">
      <alignment vertical="top"/>
    </xf>
    <xf numFmtId="0" fontId="18" fillId="0" borderId="18" xfId="0" applyFont="1" applyBorder="1" applyAlignment="1">
      <alignment vertical="top"/>
    </xf>
    <xf numFmtId="0" fontId="18" fillId="0" borderId="12" xfId="0" applyFont="1" applyBorder="1" applyAlignment="1">
      <alignment vertical="top"/>
    </xf>
    <xf numFmtId="0" fontId="25" fillId="0" borderId="1" xfId="0" applyFont="1" applyBorder="1" applyAlignment="1">
      <alignment vertical="top" wrapText="1"/>
    </xf>
    <xf numFmtId="0" fontId="18" fillId="0" borderId="11" xfId="0" applyFont="1" applyBorder="1" applyAlignment="1">
      <alignment vertical="top"/>
    </xf>
    <xf numFmtId="0" fontId="18" fillId="3" borderId="1" xfId="0" applyFont="1" applyFill="1" applyBorder="1" applyAlignment="1"/>
    <xf numFmtId="0" fontId="18" fillId="3" borderId="1" xfId="0" applyFont="1" applyFill="1" applyBorder="1" applyAlignment="1" applyProtection="1">
      <protection locked="0"/>
    </xf>
    <xf numFmtId="0" fontId="18" fillId="0" borderId="1" xfId="0" applyFont="1" applyBorder="1" applyAlignment="1"/>
    <xf numFmtId="0" fontId="18" fillId="0" borderId="1" xfId="0" applyFont="1" applyBorder="1" applyAlignment="1" applyProtection="1">
      <protection locked="0"/>
    </xf>
    <xf numFmtId="0" fontId="18" fillId="0" borderId="15" xfId="0" applyFont="1" applyBorder="1" applyAlignment="1">
      <alignment vertical="top"/>
    </xf>
    <xf numFmtId="49" fontId="18" fillId="6" borderId="1" xfId="0" applyNumberFormat="1" applyFont="1" applyFill="1" applyBorder="1" applyAlignment="1" applyProtection="1">
      <alignment horizontal="left" vertical="top" wrapText="1"/>
      <protection locked="0"/>
    </xf>
    <xf numFmtId="49" fontId="18" fillId="0" borderId="0" xfId="0" applyNumberFormat="1" applyFont="1" applyAlignment="1">
      <alignment vertical="top"/>
    </xf>
    <xf numFmtId="0" fontId="32" fillId="0" borderId="0" xfId="0" applyFont="1">
      <alignment vertical="center"/>
    </xf>
    <xf numFmtId="49" fontId="18" fillId="0" borderId="1" xfId="0" applyNumberFormat="1" applyFont="1" applyBorder="1" applyAlignment="1" applyProtection="1">
      <protection locked="0"/>
    </xf>
    <xf numFmtId="49" fontId="18" fillId="3" borderId="1" xfId="0" applyNumberFormat="1" applyFont="1" applyFill="1" applyBorder="1" applyAlignment="1" applyProtection="1">
      <protection locked="0"/>
    </xf>
    <xf numFmtId="0" fontId="18" fillId="0" borderId="12" xfId="0" applyFont="1" applyBorder="1" applyAlignment="1" applyProtection="1">
      <protection locked="0"/>
    </xf>
    <xf numFmtId="49" fontId="18" fillId="3" borderId="1" xfId="0" applyNumberFormat="1" applyFont="1" applyFill="1" applyBorder="1" applyAlignment="1" applyProtection="1">
      <alignment horizontal="right"/>
      <protection locked="0"/>
    </xf>
    <xf numFmtId="49" fontId="18" fillId="3" borderId="1" xfId="0" applyNumberFormat="1" applyFont="1" applyFill="1" applyBorder="1" applyAlignment="1" applyProtection="1">
      <alignment wrapText="1"/>
      <protection locked="0"/>
    </xf>
    <xf numFmtId="49" fontId="18" fillId="0" borderId="0" xfId="0" applyNumberFormat="1" applyFont="1">
      <alignment vertical="center"/>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18" fillId="0" borderId="16" xfId="0" applyFont="1" applyBorder="1" applyAlignment="1">
      <alignment vertical="top" wrapText="1"/>
    </xf>
    <xf numFmtId="0" fontId="18" fillId="7" borderId="1" xfId="0" applyFont="1" applyFill="1" applyBorder="1" applyAlignment="1">
      <alignment vertical="top"/>
    </xf>
    <xf numFmtId="0" fontId="0" fillId="8" borderId="1" xfId="0" applyFill="1" applyBorder="1">
      <alignment vertical="center"/>
    </xf>
    <xf numFmtId="0" fontId="0" fillId="8" borderId="1" xfId="0" applyFill="1" applyBorder="1" applyAlignment="1">
      <alignment horizontal="center" vertical="center"/>
    </xf>
    <xf numFmtId="0" fontId="21" fillId="8" borderId="1" xfId="3" applyFill="1" applyBorder="1">
      <alignment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31" fillId="0" borderId="0" xfId="0" applyFont="1" applyAlignment="1">
      <alignment horizontal="center" vertical="center"/>
    </xf>
    <xf numFmtId="0" fontId="29" fillId="0" borderId="0" xfId="0" applyFont="1" applyAlignment="1">
      <alignment horizontal="center"/>
    </xf>
    <xf numFmtId="0" fontId="29" fillId="0" borderId="19" xfId="0" applyFont="1" applyBorder="1" applyAlignment="1">
      <alignment horizont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29" fillId="0" borderId="5" xfId="0" applyFont="1" applyBorder="1" applyAlignment="1">
      <alignment horizontal="center" vertical="center"/>
    </xf>
    <xf numFmtId="0" fontId="29" fillId="0" borderId="0" xfId="0" applyFont="1" applyAlignment="1">
      <alignment horizontal="center" vertical="center"/>
    </xf>
    <xf numFmtId="0" fontId="29" fillId="0" borderId="6"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9" xfId="0" applyFont="1" applyBorder="1" applyAlignment="1">
      <alignment horizontal="center" vertical="center"/>
    </xf>
    <xf numFmtId="14" fontId="31" fillId="0" borderId="0" xfId="0" applyNumberFormat="1" applyFont="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14" fontId="15" fillId="0" borderId="15" xfId="0" applyNumberFormat="1" applyFont="1" applyBorder="1" applyAlignment="1">
      <alignment horizontal="center" vertical="center"/>
    </xf>
    <xf numFmtId="14" fontId="15" fillId="0" borderId="16" xfId="0" applyNumberFormat="1" applyFont="1" applyBorder="1" applyAlignment="1">
      <alignment horizontal="center" vertical="center"/>
    </xf>
    <xf numFmtId="14" fontId="15" fillId="0" borderId="14" xfId="0" applyNumberFormat="1" applyFont="1" applyBorder="1" applyAlignment="1">
      <alignment horizontal="center" vertical="center"/>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vertical="top"/>
    </xf>
    <xf numFmtId="0" fontId="18" fillId="0" borderId="12" xfId="0" applyFont="1" applyBorder="1" applyAlignment="1">
      <alignment vertical="top"/>
    </xf>
    <xf numFmtId="0" fontId="18" fillId="0" borderId="11" xfId="0" applyFont="1" applyBorder="1" applyAlignment="1">
      <alignment vertical="top" wrapText="1"/>
    </xf>
    <xf numFmtId="0" fontId="18" fillId="0" borderId="12" xfId="0" applyFont="1" applyBorder="1" applyAlignment="1">
      <alignment vertical="top" wrapText="1"/>
    </xf>
    <xf numFmtId="0" fontId="18" fillId="5" borderId="1" xfId="0" applyFont="1" applyFill="1" applyBorder="1">
      <alignment vertical="center"/>
    </xf>
    <xf numFmtId="0" fontId="17" fillId="5" borderId="11" xfId="0" applyFont="1" applyFill="1" applyBorder="1" applyAlignment="1">
      <alignment vertical="center" wrapText="1"/>
    </xf>
    <xf numFmtId="0" fontId="17" fillId="5" borderId="10" xfId="0" applyFont="1" applyFill="1" applyBorder="1" applyAlignment="1">
      <alignment vertical="center" wrapText="1"/>
    </xf>
    <xf numFmtId="0" fontId="18" fillId="0" borderId="12" xfId="0" applyFont="1" applyBorder="1" applyAlignment="1">
      <alignment horizontal="left" vertical="top" wrapText="1"/>
    </xf>
    <xf numFmtId="0" fontId="17" fillId="5" borderId="2" xfId="0" applyFont="1" applyFill="1" applyBorder="1" applyAlignment="1">
      <alignment horizontal="left" vertical="top" wrapText="1"/>
    </xf>
    <xf numFmtId="0" fontId="17" fillId="5" borderId="3" xfId="0" applyFont="1" applyFill="1" applyBorder="1" applyAlignment="1">
      <alignment horizontal="left" vertical="top" wrapText="1"/>
    </xf>
  </cellXfs>
  <cellStyles count="21">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469ED9C0-36AB-4027-B833-AFB58EB17D33}"/>
    <cellStyle name="標準 2 2 2 3 2" xfId="16" xr:uid="{EB761549-99F4-40BF-B87A-7F77794912F4}"/>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9" xr:uid="{B953ED63-C00B-47D1-9050-19AEF5A56F88}"/>
    <cellStyle name="標準 2 6 2" xfId="20" xr:uid="{F69DA9FF-2621-4784-ACFF-96A3DFC1B091}"/>
    <cellStyle name="標準 3" xfId="10" xr:uid="{942EA3AA-1AAC-488E-A27D-5DABE16255B0}"/>
    <cellStyle name="標準 3 3" xfId="17" xr:uid="{B8AE9058-CFA7-49F0-AFAF-7B0A3F2164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0FBA-1893-410A-984E-CE53D13FC7E5}">
  <sheetPr>
    <pageSetUpPr autoPageBreaks="0"/>
  </sheetPr>
  <dimension ref="A1:AK37"/>
  <sheetViews>
    <sheetView showGridLines="0" zoomScaleNormal="100" zoomScaleSheetLayoutView="100" workbookViewId="0">
      <selection activeCell="B17" sqref="B17"/>
    </sheetView>
  </sheetViews>
  <sheetFormatPr defaultColWidth="2.140625" defaultRowHeight="15" customHeight="1" x14ac:dyDescent="0.35"/>
  <cols>
    <col min="1" max="16384" width="2.140625" style="61"/>
  </cols>
  <sheetData>
    <row r="1" spans="1:37" ht="15" customHeight="1" x14ac:dyDescent="0.35">
      <c r="A1" s="60"/>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x14ac:dyDescent="0.35">
      <c r="A2" s="60"/>
      <c r="B2" s="60"/>
      <c r="C2" s="62"/>
      <c r="D2" s="62"/>
      <c r="E2" s="62"/>
      <c r="F2" s="62"/>
      <c r="G2" s="62"/>
      <c r="H2" s="62"/>
      <c r="I2" s="62"/>
      <c r="J2" s="62"/>
      <c r="K2" s="62"/>
      <c r="L2" s="62"/>
      <c r="M2" s="62"/>
      <c r="N2" s="62"/>
      <c r="O2" s="62"/>
      <c r="P2" s="62"/>
      <c r="Q2" s="62"/>
      <c r="R2" s="60"/>
      <c r="S2" s="60"/>
      <c r="T2" s="60"/>
      <c r="U2" s="60"/>
      <c r="V2" s="60"/>
      <c r="W2" s="60"/>
      <c r="X2" s="60"/>
      <c r="Y2" s="60"/>
      <c r="Z2" s="60"/>
      <c r="AA2" s="60"/>
      <c r="AB2" s="60"/>
      <c r="AC2" s="60"/>
      <c r="AD2" s="60"/>
      <c r="AE2" s="60"/>
      <c r="AF2" s="60"/>
      <c r="AG2" s="60"/>
      <c r="AH2" s="60"/>
      <c r="AI2" s="60"/>
      <c r="AJ2" s="60"/>
      <c r="AK2" s="60"/>
    </row>
    <row r="3" spans="1:37" ht="15" customHeight="1" x14ac:dyDescent="0.35">
      <c r="A3" s="60"/>
      <c r="B3" s="63" t="s">
        <v>0</v>
      </c>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row>
    <row r="4" spans="1:37" ht="15" customHeight="1" x14ac:dyDescent="0.55000000000000004">
      <c r="A4" s="64"/>
      <c r="B4" s="64"/>
      <c r="C4" s="64"/>
      <c r="D4" s="64"/>
      <c r="E4" s="64"/>
      <c r="F4" s="64"/>
      <c r="G4" s="64"/>
      <c r="H4" s="64"/>
      <c r="I4" s="64"/>
      <c r="J4" s="109"/>
      <c r="K4" s="109"/>
      <c r="L4" s="109"/>
      <c r="M4" s="60"/>
      <c r="N4" s="60"/>
      <c r="O4" s="60"/>
      <c r="P4" s="60"/>
      <c r="Q4" s="60"/>
      <c r="R4" s="60"/>
      <c r="S4" s="60"/>
      <c r="T4" s="60"/>
      <c r="U4" s="60"/>
      <c r="V4" s="60"/>
      <c r="W4" s="60"/>
      <c r="X4" s="60"/>
      <c r="Y4" s="60"/>
      <c r="Z4" s="60"/>
      <c r="AA4" s="60"/>
      <c r="AB4" s="60"/>
      <c r="AC4" s="60"/>
      <c r="AD4" s="60"/>
      <c r="AE4" s="60"/>
      <c r="AF4" s="60"/>
      <c r="AG4" s="60"/>
      <c r="AH4" s="60"/>
      <c r="AI4" s="60"/>
      <c r="AJ4" s="60"/>
      <c r="AK4" s="60"/>
    </row>
    <row r="5" spans="1:37" ht="15" customHeight="1" x14ac:dyDescent="0.55000000000000004">
      <c r="A5" s="65"/>
      <c r="B5" s="65"/>
      <c r="C5" s="65"/>
      <c r="D5" s="65"/>
      <c r="E5" s="65"/>
      <c r="F5" s="65"/>
      <c r="G5" s="65"/>
      <c r="H5" s="65"/>
      <c r="I5" s="65"/>
      <c r="J5" s="110"/>
      <c r="K5" s="110"/>
      <c r="L5" s="110"/>
      <c r="M5" s="60"/>
      <c r="N5" s="60"/>
      <c r="O5" s="60"/>
      <c r="P5" s="60"/>
      <c r="Q5" s="60"/>
      <c r="R5" s="60"/>
      <c r="S5" s="60"/>
      <c r="T5" s="60"/>
      <c r="U5" s="60"/>
      <c r="V5" s="60"/>
      <c r="W5" s="60"/>
      <c r="X5" s="60"/>
      <c r="Y5" s="60"/>
      <c r="Z5" s="60"/>
      <c r="AA5" s="60"/>
      <c r="AB5" s="60"/>
      <c r="AC5" s="60"/>
      <c r="AD5" s="60"/>
      <c r="AE5" s="60"/>
      <c r="AF5" s="60"/>
      <c r="AG5" s="60"/>
      <c r="AH5" s="60"/>
      <c r="AI5" s="60"/>
      <c r="AJ5" s="60"/>
      <c r="AK5" s="60"/>
    </row>
    <row r="6" spans="1:37" ht="15" customHeight="1" x14ac:dyDescent="0.35">
      <c r="A6" s="60"/>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row>
    <row r="7" spans="1:37" ht="15" customHeight="1" x14ac:dyDescent="0.35">
      <c r="A7" s="60"/>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row>
    <row r="8" spans="1:37" ht="15" customHeight="1" x14ac:dyDescent="0.35">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row>
    <row r="9" spans="1:37" ht="15" customHeight="1" x14ac:dyDescent="0.35">
      <c r="A9" s="60"/>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row>
    <row r="10" spans="1:37" ht="15" customHeight="1" x14ac:dyDescent="0.35">
      <c r="A10" s="60"/>
      <c r="B10" s="111" t="s">
        <v>1</v>
      </c>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3"/>
      <c r="AF10" s="60"/>
      <c r="AG10" s="60"/>
      <c r="AH10" s="60"/>
      <c r="AI10" s="60"/>
      <c r="AJ10" s="60"/>
      <c r="AK10" s="60"/>
    </row>
    <row r="11" spans="1:37" ht="15" customHeight="1" x14ac:dyDescent="0.35">
      <c r="A11" s="60"/>
      <c r="B11" s="114"/>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6"/>
      <c r="AF11" s="60"/>
      <c r="AG11" s="60"/>
      <c r="AH11" s="60"/>
      <c r="AI11" s="60"/>
      <c r="AJ11" s="60"/>
      <c r="AK11" s="60"/>
    </row>
    <row r="12" spans="1:37" ht="15" customHeight="1" x14ac:dyDescent="0.35">
      <c r="A12" s="60"/>
      <c r="B12" s="114"/>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6"/>
      <c r="AF12" s="60"/>
      <c r="AG12" s="60"/>
      <c r="AH12" s="60"/>
      <c r="AI12" s="60"/>
      <c r="AJ12" s="60"/>
      <c r="AK12" s="60"/>
    </row>
    <row r="13" spans="1:37" ht="15" customHeight="1" x14ac:dyDescent="0.35">
      <c r="A13" s="60"/>
      <c r="B13" s="114"/>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16"/>
      <c r="AF13" s="60"/>
      <c r="AG13" s="60"/>
      <c r="AH13" s="60"/>
      <c r="AI13" s="60"/>
      <c r="AJ13" s="60"/>
      <c r="AK13" s="60"/>
    </row>
    <row r="14" spans="1:37" ht="15" customHeight="1" x14ac:dyDescent="0.35">
      <c r="A14" s="60"/>
      <c r="B14" s="117" t="s">
        <v>2</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9"/>
      <c r="AF14" s="60"/>
      <c r="AG14" s="60"/>
      <c r="AH14" s="60"/>
      <c r="AI14" s="60"/>
      <c r="AJ14" s="60"/>
      <c r="AK14" s="60"/>
    </row>
    <row r="15" spans="1:37" ht="15" customHeight="1" x14ac:dyDescent="0.35">
      <c r="A15" s="60"/>
      <c r="B15" s="117"/>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9"/>
      <c r="AF15" s="60"/>
      <c r="AG15" s="60"/>
      <c r="AH15" s="60"/>
      <c r="AI15" s="60"/>
      <c r="AJ15" s="60"/>
      <c r="AK15" s="60"/>
    </row>
    <row r="16" spans="1:37" ht="15" customHeight="1" x14ac:dyDescent="0.35">
      <c r="A16" s="60"/>
      <c r="B16" s="120"/>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2"/>
      <c r="AF16" s="60"/>
      <c r="AG16" s="60"/>
      <c r="AH16" s="60"/>
      <c r="AI16" s="60"/>
      <c r="AJ16" s="60"/>
      <c r="AK16" s="60"/>
    </row>
    <row r="17" spans="1:37" ht="15" customHeight="1" x14ac:dyDescent="0.35">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row>
    <row r="18" spans="1:37" ht="15" customHeight="1" x14ac:dyDescent="0.35">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row>
    <row r="19" spans="1:37" ht="15" customHeight="1" x14ac:dyDescent="0.35">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row>
    <row r="20" spans="1:37" ht="15" customHeight="1" x14ac:dyDescent="0.35">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row>
    <row r="21" spans="1:37" ht="15" customHeight="1" x14ac:dyDescent="0.35">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row>
    <row r="22" spans="1:37" ht="15" customHeight="1" x14ac:dyDescent="0.35">
      <c r="A22" s="60"/>
      <c r="B22" s="108" t="s">
        <v>3</v>
      </c>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60"/>
      <c r="AG22" s="60"/>
      <c r="AH22" s="60"/>
      <c r="AI22" s="60"/>
      <c r="AJ22" s="60"/>
      <c r="AK22" s="60"/>
    </row>
    <row r="23" spans="1:37" ht="15" customHeight="1" x14ac:dyDescent="0.35">
      <c r="A23" s="60"/>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60"/>
      <c r="AG23" s="60"/>
      <c r="AH23" s="60"/>
      <c r="AI23" s="60"/>
      <c r="AJ23" s="60"/>
      <c r="AK23" s="60"/>
    </row>
    <row r="24" spans="1:37" ht="15" customHeight="1" x14ac:dyDescent="0.35">
      <c r="A24" s="60"/>
      <c r="B24" s="123">
        <v>45546</v>
      </c>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60"/>
      <c r="AG24" s="60"/>
      <c r="AH24" s="60"/>
      <c r="AI24" s="60"/>
      <c r="AJ24" s="60"/>
      <c r="AK24" s="60"/>
    </row>
    <row r="25" spans="1:37" ht="15" customHeight="1" x14ac:dyDescent="0.35">
      <c r="A25" s="60"/>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c r="AA25" s="123"/>
      <c r="AB25" s="123"/>
      <c r="AC25" s="123"/>
      <c r="AD25" s="123"/>
      <c r="AE25" s="123"/>
      <c r="AF25" s="60"/>
      <c r="AG25" s="60"/>
      <c r="AH25" s="60"/>
      <c r="AI25" s="60"/>
      <c r="AJ25" s="60"/>
      <c r="AK25" s="60"/>
    </row>
    <row r="26" spans="1:37" ht="15" customHeight="1" x14ac:dyDescent="0.35">
      <c r="A26" s="60"/>
      <c r="B26" s="108" t="s">
        <v>4</v>
      </c>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60"/>
      <c r="AG26" s="60"/>
      <c r="AH26" s="60"/>
      <c r="AI26" s="60"/>
      <c r="AJ26" s="60"/>
      <c r="AK26" s="60"/>
    </row>
    <row r="27" spans="1:37" ht="15" customHeight="1" x14ac:dyDescent="0.35">
      <c r="A27" s="60"/>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60"/>
      <c r="AG27" s="60"/>
      <c r="AH27" s="60"/>
      <c r="AI27" s="60"/>
      <c r="AJ27" s="60"/>
      <c r="AK27" s="60"/>
    </row>
    <row r="28" spans="1:37" ht="15" customHeight="1" x14ac:dyDescent="0.35">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row>
    <row r="29" spans="1:37" ht="15" customHeight="1" x14ac:dyDescent="0.35">
      <c r="A29" s="60"/>
      <c r="B29" s="60"/>
      <c r="C29" s="60"/>
      <c r="D29" s="60"/>
      <c r="E29" s="60"/>
      <c r="F29" s="139" t="s">
        <v>5</v>
      </c>
      <c r="G29" s="139"/>
      <c r="H29" s="139"/>
      <c r="I29" s="139"/>
      <c r="J29" s="139"/>
      <c r="K29" s="139"/>
      <c r="L29" s="66"/>
      <c r="M29" s="66"/>
      <c r="N29" s="66"/>
      <c r="O29" s="131" t="s">
        <v>6</v>
      </c>
      <c r="P29" s="139"/>
      <c r="Q29" s="139"/>
      <c r="R29" s="139"/>
      <c r="S29" s="66"/>
      <c r="T29" s="66"/>
      <c r="U29" s="66"/>
      <c r="V29" s="60"/>
      <c r="W29" s="60"/>
      <c r="X29" s="60"/>
      <c r="Y29" s="60"/>
      <c r="Z29" s="60"/>
      <c r="AA29" s="60"/>
      <c r="AB29" s="60"/>
      <c r="AC29" s="60"/>
      <c r="AD29" s="60"/>
      <c r="AE29" s="60"/>
      <c r="AF29" s="60"/>
      <c r="AG29" s="60"/>
      <c r="AH29" s="60"/>
      <c r="AI29" s="60"/>
      <c r="AJ29" s="60"/>
      <c r="AK29" s="60"/>
    </row>
    <row r="30" spans="1:37" x14ac:dyDescent="0.35">
      <c r="A30" s="60"/>
      <c r="B30" s="60"/>
      <c r="C30" s="60"/>
      <c r="D30" s="60"/>
      <c r="E30" s="60"/>
      <c r="F30" s="141">
        <v>45546</v>
      </c>
      <c r="G30" s="142"/>
      <c r="H30" s="142"/>
      <c r="I30" s="142"/>
      <c r="J30" s="142"/>
      <c r="K30" s="142"/>
      <c r="L30" s="67"/>
      <c r="M30" s="66"/>
      <c r="N30" s="141" t="s">
        <v>7</v>
      </c>
      <c r="O30" s="142"/>
      <c r="P30" s="142"/>
      <c r="Q30" s="142"/>
      <c r="R30" s="142"/>
      <c r="S30" s="143"/>
      <c r="T30" s="66"/>
      <c r="U30" s="66"/>
      <c r="V30" s="60"/>
      <c r="W30" s="60"/>
      <c r="X30" s="60"/>
      <c r="Y30" s="60"/>
      <c r="Z30" s="60"/>
      <c r="AA30" s="60"/>
      <c r="AB30" s="60"/>
      <c r="AC30" s="60"/>
      <c r="AD30" s="60"/>
      <c r="AE30" s="60"/>
      <c r="AF30" s="60"/>
      <c r="AG30" s="60"/>
      <c r="AH30" s="60"/>
      <c r="AI30" s="60"/>
      <c r="AJ30" s="60"/>
      <c r="AK30" s="60"/>
    </row>
    <row r="31" spans="1:37" ht="15" customHeight="1" x14ac:dyDescent="0.35">
      <c r="A31" s="60"/>
      <c r="B31" s="60"/>
      <c r="C31" s="60"/>
      <c r="D31" s="60"/>
      <c r="E31" s="60"/>
      <c r="F31" s="124" t="s">
        <v>8</v>
      </c>
      <c r="G31" s="125"/>
      <c r="H31" s="125"/>
      <c r="I31" s="125"/>
      <c r="J31" s="125"/>
      <c r="K31" s="126"/>
      <c r="L31" s="67"/>
      <c r="M31" s="66"/>
      <c r="N31" s="124" t="s">
        <v>9</v>
      </c>
      <c r="O31" s="133"/>
      <c r="P31" s="133"/>
      <c r="Q31" s="133"/>
      <c r="R31" s="133"/>
      <c r="S31" s="134"/>
      <c r="T31" s="66"/>
      <c r="U31" s="66"/>
      <c r="V31" s="60"/>
      <c r="W31" s="60"/>
      <c r="X31" s="60"/>
      <c r="Y31" s="60"/>
      <c r="Z31" s="60"/>
      <c r="AA31" s="60"/>
      <c r="AB31" s="60"/>
      <c r="AC31" s="60"/>
      <c r="AD31" s="60"/>
      <c r="AE31" s="60"/>
      <c r="AF31" s="60"/>
      <c r="AG31" s="60"/>
      <c r="AH31" s="60"/>
      <c r="AI31" s="60"/>
      <c r="AJ31" s="60"/>
      <c r="AK31" s="60"/>
    </row>
    <row r="32" spans="1:37" x14ac:dyDescent="0.35">
      <c r="A32" s="60"/>
      <c r="B32" s="60"/>
      <c r="C32" s="60"/>
      <c r="D32" s="60"/>
      <c r="E32" s="60"/>
      <c r="F32" s="127"/>
      <c r="G32" s="128"/>
      <c r="H32" s="128"/>
      <c r="I32" s="128"/>
      <c r="J32" s="128"/>
      <c r="K32" s="129"/>
      <c r="L32" s="67"/>
      <c r="M32" s="66"/>
      <c r="N32" s="135"/>
      <c r="O32" s="136"/>
      <c r="P32" s="136"/>
      <c r="Q32" s="136"/>
      <c r="R32" s="136"/>
      <c r="S32" s="137"/>
      <c r="T32" s="66"/>
      <c r="U32" s="66"/>
      <c r="V32" s="60"/>
      <c r="W32" s="60"/>
      <c r="X32" s="60"/>
      <c r="Y32" s="60"/>
      <c r="Z32" s="60"/>
      <c r="AA32" s="60"/>
      <c r="AB32" s="60"/>
      <c r="AC32" s="60"/>
      <c r="AD32" s="60"/>
      <c r="AE32" s="60"/>
      <c r="AF32" s="60"/>
      <c r="AG32" s="60"/>
      <c r="AH32" s="60"/>
      <c r="AI32" s="60"/>
      <c r="AJ32" s="60"/>
      <c r="AK32" s="60"/>
    </row>
    <row r="33" spans="1:37" x14ac:dyDescent="0.35">
      <c r="A33" s="60"/>
      <c r="B33" s="60"/>
      <c r="C33" s="60"/>
      <c r="D33" s="60"/>
      <c r="E33" s="60"/>
      <c r="F33" s="127"/>
      <c r="G33" s="128"/>
      <c r="H33" s="128"/>
      <c r="I33" s="128"/>
      <c r="J33" s="128"/>
      <c r="K33" s="129"/>
      <c r="L33" s="67"/>
      <c r="M33" s="66"/>
      <c r="N33" s="135"/>
      <c r="O33" s="136"/>
      <c r="P33" s="136"/>
      <c r="Q33" s="136"/>
      <c r="R33" s="136"/>
      <c r="S33" s="137"/>
      <c r="T33" s="66"/>
      <c r="U33" s="66"/>
      <c r="V33" s="60"/>
      <c r="W33" s="60"/>
      <c r="X33" s="60"/>
      <c r="Y33" s="60"/>
      <c r="Z33" s="60"/>
      <c r="AA33" s="60"/>
      <c r="AB33" s="60"/>
      <c r="AC33" s="60"/>
      <c r="AD33" s="60"/>
      <c r="AE33" s="60"/>
      <c r="AF33" s="60"/>
      <c r="AG33" s="60"/>
      <c r="AH33" s="60"/>
      <c r="AI33" s="60"/>
      <c r="AJ33" s="60"/>
      <c r="AK33" s="60"/>
    </row>
    <row r="34" spans="1:37" x14ac:dyDescent="0.35">
      <c r="A34" s="60"/>
      <c r="B34" s="60"/>
      <c r="C34" s="60"/>
      <c r="D34" s="60"/>
      <c r="E34" s="60"/>
      <c r="F34" s="127"/>
      <c r="G34" s="128"/>
      <c r="H34" s="128"/>
      <c r="I34" s="128"/>
      <c r="J34" s="128"/>
      <c r="K34" s="129"/>
      <c r="L34" s="67"/>
      <c r="M34" s="66"/>
      <c r="N34" s="135"/>
      <c r="O34" s="136"/>
      <c r="P34" s="136"/>
      <c r="Q34" s="136"/>
      <c r="R34" s="136"/>
      <c r="S34" s="137"/>
      <c r="T34" s="66"/>
      <c r="U34" s="66"/>
      <c r="V34" s="60"/>
      <c r="W34" s="60"/>
      <c r="X34" s="60"/>
      <c r="Y34" s="60"/>
      <c r="Z34" s="60"/>
      <c r="AA34" s="60"/>
      <c r="AB34" s="60"/>
      <c r="AC34" s="60"/>
      <c r="AD34" s="60"/>
      <c r="AE34" s="60"/>
      <c r="AF34" s="60"/>
      <c r="AG34" s="60"/>
      <c r="AH34" s="60"/>
      <c r="AI34" s="60"/>
      <c r="AJ34" s="60"/>
      <c r="AK34" s="60"/>
    </row>
    <row r="35" spans="1:37" x14ac:dyDescent="0.35">
      <c r="A35" s="60"/>
      <c r="B35" s="60"/>
      <c r="C35" s="60"/>
      <c r="D35" s="60"/>
      <c r="E35" s="60"/>
      <c r="F35" s="130"/>
      <c r="G35" s="131"/>
      <c r="H35" s="131"/>
      <c r="I35" s="131"/>
      <c r="J35" s="131"/>
      <c r="K35" s="132"/>
      <c r="L35" s="67"/>
      <c r="M35" s="66"/>
      <c r="N35" s="138"/>
      <c r="O35" s="139"/>
      <c r="P35" s="139"/>
      <c r="Q35" s="139"/>
      <c r="R35" s="139"/>
      <c r="S35" s="140"/>
      <c r="T35" s="66"/>
      <c r="U35" s="66"/>
      <c r="V35" s="60"/>
      <c r="W35" s="60"/>
      <c r="X35" s="60"/>
      <c r="Y35" s="60"/>
      <c r="Z35" s="60"/>
      <c r="AA35" s="60"/>
      <c r="AB35" s="60"/>
      <c r="AC35" s="60"/>
      <c r="AD35" s="60"/>
      <c r="AE35" s="60"/>
      <c r="AF35" s="60"/>
      <c r="AG35" s="60"/>
      <c r="AH35" s="60"/>
      <c r="AI35" s="60"/>
      <c r="AJ35" s="60"/>
      <c r="AK35" s="60"/>
    </row>
    <row r="36" spans="1:37" ht="15" customHeight="1" x14ac:dyDescent="0.35">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row>
    <row r="37" spans="1:37" ht="15" customHeight="1" x14ac:dyDescent="0.35">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1"/>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904F-EEBC-4440-AFA4-7096D101CE6F}">
  <sheetPr>
    <pageSetUpPr fitToPage="1"/>
  </sheetPr>
  <dimension ref="A1:J18"/>
  <sheetViews>
    <sheetView showGridLines="0" zoomScaleNormal="100" zoomScaleSheetLayoutView="7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6" bestFit="1" customWidth="1"/>
    <col min="4" max="4" width="12.640625" bestFit="1" customWidth="1"/>
    <col min="5" max="5" width="24.42578125" bestFit="1" customWidth="1"/>
    <col min="6" max="7" width="12.140625" style="71" bestFit="1" customWidth="1"/>
    <col min="8" max="8" width="93.78515625" customWidth="1"/>
    <col min="9" max="9" width="59.2109375" customWidth="1"/>
    <col min="10" max="10" width="19.640625" customWidth="1"/>
  </cols>
  <sheetData>
    <row r="1" spans="1:10" ht="19.5" x14ac:dyDescent="0.35">
      <c r="A1" s="52" t="s">
        <v>10</v>
      </c>
      <c r="E1" s="6"/>
    </row>
    <row r="3" spans="1:10" x14ac:dyDescent="0.35">
      <c r="B3" s="53" t="s">
        <v>11</v>
      </c>
      <c r="C3" s="53" t="s">
        <v>12</v>
      </c>
      <c r="D3" s="54" t="s">
        <v>13</v>
      </c>
      <c r="E3" s="53" t="s">
        <v>14</v>
      </c>
      <c r="F3" s="54" t="s">
        <v>15</v>
      </c>
      <c r="G3" s="54" t="s">
        <v>16</v>
      </c>
      <c r="H3" s="53" t="s">
        <v>17</v>
      </c>
      <c r="I3" s="53" t="s">
        <v>18</v>
      </c>
    </row>
    <row r="4" spans="1:10" ht="45" x14ac:dyDescent="0.35">
      <c r="B4" s="19">
        <f t="shared" ref="B4:B6" si="0">ROW()-3</f>
        <v>1</v>
      </c>
      <c r="C4" s="19" t="s">
        <v>19</v>
      </c>
      <c r="D4" s="68" t="s">
        <v>20</v>
      </c>
      <c r="E4" s="69" t="s">
        <v>21</v>
      </c>
      <c r="F4" s="72" t="s">
        <v>22</v>
      </c>
      <c r="G4" s="73">
        <v>45548</v>
      </c>
      <c r="H4" s="70" t="s">
        <v>23</v>
      </c>
      <c r="I4" s="70" t="s">
        <v>24</v>
      </c>
      <c r="J4" s="22"/>
    </row>
    <row r="5" spans="1:10" ht="30" x14ac:dyDescent="0.35">
      <c r="B5" s="103">
        <f t="shared" si="0"/>
        <v>2</v>
      </c>
      <c r="C5" s="103" t="s">
        <v>19</v>
      </c>
      <c r="D5" s="104" t="s">
        <v>20</v>
      </c>
      <c r="E5" s="105" t="s">
        <v>25</v>
      </c>
      <c r="F5" s="106" t="s">
        <v>26</v>
      </c>
      <c r="G5" s="106"/>
      <c r="H5" s="107" t="s">
        <v>27</v>
      </c>
      <c r="I5" s="107" t="s">
        <v>28</v>
      </c>
      <c r="J5" s="22"/>
    </row>
    <row r="6" spans="1:10" ht="30" x14ac:dyDescent="0.35">
      <c r="B6" s="103">
        <f t="shared" si="0"/>
        <v>3</v>
      </c>
      <c r="C6" s="103" t="s">
        <v>19</v>
      </c>
      <c r="D6" s="104" t="s">
        <v>20</v>
      </c>
      <c r="E6" s="105" t="s">
        <v>29</v>
      </c>
      <c r="F6" s="106" t="s">
        <v>26</v>
      </c>
      <c r="G6" s="106"/>
      <c r="H6" s="107" t="s">
        <v>30</v>
      </c>
      <c r="I6" s="107" t="s">
        <v>31</v>
      </c>
      <c r="J6" s="22"/>
    </row>
    <row r="7" spans="1:10" x14ac:dyDescent="0.35">
      <c r="F7"/>
      <c r="G7"/>
      <c r="H7" s="51"/>
    </row>
    <row r="8" spans="1:10" x14ac:dyDescent="0.35">
      <c r="F8"/>
      <c r="G8"/>
    </row>
    <row r="9" spans="1:10" x14ac:dyDescent="0.35">
      <c r="F9"/>
      <c r="G9"/>
    </row>
    <row r="10" spans="1:10" x14ac:dyDescent="0.35">
      <c r="F10"/>
      <c r="G10"/>
    </row>
    <row r="11" spans="1:10" x14ac:dyDescent="0.35">
      <c r="F11"/>
      <c r="G11"/>
    </row>
    <row r="12" spans="1:10" x14ac:dyDescent="0.35">
      <c r="F12"/>
      <c r="G12"/>
    </row>
    <row r="13" spans="1:10" x14ac:dyDescent="0.35">
      <c r="F13"/>
      <c r="G13"/>
    </row>
    <row r="14" spans="1:10" x14ac:dyDescent="0.35">
      <c r="F14"/>
      <c r="G14"/>
    </row>
    <row r="15" spans="1:10" x14ac:dyDescent="0.35">
      <c r="F15"/>
      <c r="G15"/>
    </row>
    <row r="16" spans="1:10" x14ac:dyDescent="0.35">
      <c r="F16"/>
      <c r="G16"/>
    </row>
    <row r="17" spans="6:7" x14ac:dyDescent="0.35">
      <c r="F17"/>
      <c r="G17"/>
    </row>
    <row r="18" spans="6:7" x14ac:dyDescent="0.35">
      <c r="F18"/>
      <c r="G18"/>
    </row>
  </sheetData>
  <phoneticPr fontId="11"/>
  <dataValidations count="1">
    <dataValidation type="list" allowBlank="1" showInputMessage="1" showErrorMessage="1" sqref="D4:D6" xr:uid="{F0A97383-39DE-4B3B-A85E-EBC68C266330}">
      <formula1>"共通,個別"</formula1>
    </dataValidation>
  </dataValidations>
  <hyperlinks>
    <hyperlink ref="E4" location="現金および銀行管理パラメーター!A1" display="現金および銀行管理パラメーター" xr:uid="{88C517E7-AABF-44A8-8CB1-9A43988D2B58}"/>
    <hyperlink ref="E5" location="銀行口座!A1" display="銀行口座" xr:uid="{D276BE28-C8D8-4176-AD43-F2E9441C91A8}"/>
    <hyperlink ref="E6" location="銀行グループ!A1" display="銀行グループ" xr:uid="{9966E92B-0F4F-4E0A-9DC9-3957BE1DBE99}"/>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8E40-5BA6-42C9-BC65-B5E0D3C53C19}">
  <sheetPr codeName="Sheet56">
    <pageSetUpPr fitToPage="1"/>
  </sheetPr>
  <dimension ref="A1:L43"/>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0" customWidth="1"/>
    <col min="2" max="2" width="3.78515625" style="30" customWidth="1"/>
    <col min="3" max="3" width="16.78515625" style="30" customWidth="1"/>
    <col min="4" max="4" width="19.2109375" style="30" customWidth="1"/>
    <col min="5" max="5" width="16.5703125" style="30" customWidth="1"/>
    <col min="6" max="6" width="21" style="30" customWidth="1"/>
    <col min="7" max="7" width="44.640625" style="30" customWidth="1"/>
    <col min="8" max="8" width="27.5703125" style="30" customWidth="1"/>
    <col min="9" max="9" width="17.42578125" style="30" customWidth="1"/>
    <col min="10" max="10" width="13" style="30" customWidth="1"/>
    <col min="11" max="11" width="18.2109375" style="30" customWidth="1"/>
    <col min="12" max="12" width="13.2109375" style="30" customWidth="1"/>
    <col min="13" max="16384" width="8.78515625" style="30"/>
  </cols>
  <sheetData>
    <row r="1" spans="1:12" s="28" customFormat="1" ht="19.5" x14ac:dyDescent="0.35">
      <c r="A1" s="78" t="s">
        <v>21</v>
      </c>
      <c r="C1" s="30"/>
      <c r="D1" s="30"/>
      <c r="E1" s="30"/>
      <c r="F1" s="30"/>
      <c r="G1" s="30"/>
      <c r="H1" s="30"/>
      <c r="I1" s="30"/>
    </row>
    <row r="2" spans="1:12" s="28" customFormat="1" ht="15" x14ac:dyDescent="0.35">
      <c r="B2" s="28" t="s">
        <v>32</v>
      </c>
      <c r="C2" s="30"/>
      <c r="D2" s="30"/>
      <c r="E2" s="30"/>
      <c r="F2" s="30"/>
      <c r="G2" s="30"/>
      <c r="H2" s="30"/>
      <c r="I2" s="30"/>
    </row>
    <row r="3" spans="1:12" s="28" customFormat="1" ht="15" x14ac:dyDescent="0.35">
      <c r="B3" s="28" t="s">
        <v>33</v>
      </c>
      <c r="C3" s="30"/>
      <c r="D3" s="30"/>
      <c r="E3" s="30"/>
      <c r="F3" s="30"/>
      <c r="G3" s="30"/>
      <c r="H3" s="30"/>
      <c r="I3" s="30"/>
    </row>
    <row r="4" spans="1:12" s="28" customFormat="1" ht="15" x14ac:dyDescent="0.35">
      <c r="A4" s="79" t="s">
        <v>34</v>
      </c>
      <c r="C4" s="30"/>
      <c r="D4" s="30"/>
      <c r="E4" s="30"/>
      <c r="F4" s="30"/>
      <c r="G4" s="30"/>
      <c r="H4" s="30"/>
      <c r="I4" s="30"/>
    </row>
    <row r="5" spans="1:12" x14ac:dyDescent="0.35">
      <c r="B5" s="7" t="s">
        <v>35</v>
      </c>
      <c r="C5" s="7" t="s">
        <v>36</v>
      </c>
      <c r="D5" s="7" t="s">
        <v>37</v>
      </c>
      <c r="E5" s="7" t="s">
        <v>38</v>
      </c>
      <c r="F5" s="13" t="s">
        <v>39</v>
      </c>
      <c r="G5" s="13" t="s">
        <v>40</v>
      </c>
      <c r="H5" s="7" t="s">
        <v>41</v>
      </c>
      <c r="I5" s="7" t="s">
        <v>42</v>
      </c>
      <c r="J5" s="7" t="s">
        <v>43</v>
      </c>
      <c r="K5" s="8" t="s">
        <v>44</v>
      </c>
      <c r="L5" s="8" t="s">
        <v>45</v>
      </c>
    </row>
    <row r="6" spans="1:12" x14ac:dyDescent="0.35">
      <c r="B6" s="14">
        <f>ROW() - 5</f>
        <v>1</v>
      </c>
      <c r="C6" s="9" t="s">
        <v>46</v>
      </c>
      <c r="D6" s="9" t="s">
        <v>47</v>
      </c>
      <c r="E6" s="9" t="s">
        <v>48</v>
      </c>
      <c r="F6" s="15" t="s">
        <v>49</v>
      </c>
      <c r="G6" s="15" t="s">
        <v>50</v>
      </c>
      <c r="H6" s="15" t="s">
        <v>51</v>
      </c>
      <c r="I6" s="16" t="s">
        <v>52</v>
      </c>
      <c r="J6" s="16"/>
      <c r="K6" s="76" t="s">
        <v>53</v>
      </c>
      <c r="L6" s="2"/>
    </row>
    <row r="7" spans="1:12" ht="54" x14ac:dyDescent="0.35">
      <c r="B7" s="14">
        <f t="shared" ref="B7:B43" si="0">ROW() - 5</f>
        <v>2</v>
      </c>
      <c r="C7" s="11"/>
      <c r="D7" s="20"/>
      <c r="E7" s="80" t="s">
        <v>54</v>
      </c>
      <c r="F7" s="21" t="s">
        <v>55</v>
      </c>
      <c r="G7" s="15" t="s">
        <v>56</v>
      </c>
      <c r="H7" s="15" t="s">
        <v>57</v>
      </c>
      <c r="I7" s="10" t="s">
        <v>58</v>
      </c>
      <c r="J7" s="16"/>
      <c r="K7" s="76" t="s">
        <v>58</v>
      </c>
      <c r="L7" s="2"/>
    </row>
    <row r="8" spans="1:12" ht="46.5" customHeight="1" x14ac:dyDescent="0.35">
      <c r="B8" s="14">
        <f t="shared" si="0"/>
        <v>3</v>
      </c>
      <c r="C8" s="11"/>
      <c r="D8" s="20"/>
      <c r="E8" s="81"/>
      <c r="F8" s="21" t="s">
        <v>59</v>
      </c>
      <c r="G8" s="15" t="s">
        <v>60</v>
      </c>
      <c r="H8" s="15" t="s">
        <v>57</v>
      </c>
      <c r="I8" s="10" t="s">
        <v>58</v>
      </c>
      <c r="J8" s="16"/>
      <c r="K8" s="76" t="s">
        <v>58</v>
      </c>
      <c r="L8" s="2"/>
    </row>
    <row r="9" spans="1:12" ht="40.5" x14ac:dyDescent="0.35">
      <c r="B9" s="14">
        <f t="shared" si="0"/>
        <v>4</v>
      </c>
      <c r="C9" s="11"/>
      <c r="D9" s="11"/>
      <c r="E9" s="11" t="s">
        <v>61</v>
      </c>
      <c r="F9" s="21" t="s">
        <v>62</v>
      </c>
      <c r="G9" s="15" t="s">
        <v>63</v>
      </c>
      <c r="H9" s="31" t="s">
        <v>57</v>
      </c>
      <c r="I9" s="9" t="s">
        <v>58</v>
      </c>
      <c r="J9" s="16"/>
      <c r="K9" s="76" t="s">
        <v>58</v>
      </c>
      <c r="L9" s="2"/>
    </row>
    <row r="10" spans="1:12" ht="40.5" x14ac:dyDescent="0.35">
      <c r="B10" s="14">
        <f t="shared" si="0"/>
        <v>5</v>
      </c>
      <c r="C10" s="11"/>
      <c r="D10" s="11"/>
      <c r="F10" s="17" t="s">
        <v>64</v>
      </c>
      <c r="G10" s="15" t="s">
        <v>65</v>
      </c>
      <c r="H10" s="10" t="s">
        <v>57</v>
      </c>
      <c r="I10" s="9" t="s">
        <v>58</v>
      </c>
      <c r="J10" s="10"/>
      <c r="K10" s="76" t="s">
        <v>58</v>
      </c>
      <c r="L10" s="2"/>
    </row>
    <row r="11" spans="1:12" x14ac:dyDescent="0.35">
      <c r="B11" s="14">
        <f t="shared" si="0"/>
        <v>6</v>
      </c>
      <c r="C11" s="11"/>
      <c r="D11" s="11"/>
      <c r="E11" s="12"/>
      <c r="F11" s="15" t="s">
        <v>66</v>
      </c>
      <c r="G11" s="15"/>
      <c r="H11" s="23" t="s">
        <v>57</v>
      </c>
      <c r="I11" s="16" t="s">
        <v>58</v>
      </c>
      <c r="J11" s="16"/>
      <c r="K11" s="76" t="s">
        <v>58</v>
      </c>
      <c r="L11" s="2"/>
    </row>
    <row r="12" spans="1:12" x14ac:dyDescent="0.35">
      <c r="B12" s="14">
        <f t="shared" si="0"/>
        <v>7</v>
      </c>
      <c r="C12" s="11"/>
      <c r="D12" s="11"/>
      <c r="E12" s="11" t="s">
        <v>67</v>
      </c>
      <c r="F12" s="15" t="s">
        <v>68</v>
      </c>
      <c r="H12" s="23" t="s">
        <v>57</v>
      </c>
      <c r="I12" s="16" t="s">
        <v>58</v>
      </c>
      <c r="J12" s="16"/>
      <c r="K12" s="76" t="s">
        <v>58</v>
      </c>
      <c r="L12" s="2"/>
    </row>
    <row r="13" spans="1:12" ht="27" x14ac:dyDescent="0.35">
      <c r="B13" s="14">
        <f t="shared" si="0"/>
        <v>8</v>
      </c>
      <c r="C13" s="11"/>
      <c r="D13" s="11"/>
      <c r="E13" s="11"/>
      <c r="F13" s="21" t="s">
        <v>69</v>
      </c>
      <c r="G13" s="21"/>
      <c r="H13" s="23" t="s">
        <v>57</v>
      </c>
      <c r="I13" s="9" t="s">
        <v>58</v>
      </c>
      <c r="J13" s="16"/>
      <c r="K13" s="76" t="s">
        <v>58</v>
      </c>
      <c r="L13" s="2"/>
    </row>
    <row r="14" spans="1:12" ht="27" x14ac:dyDescent="0.35">
      <c r="B14" s="14">
        <f t="shared" si="0"/>
        <v>9</v>
      </c>
      <c r="C14" s="27"/>
      <c r="D14" s="27"/>
      <c r="E14" s="9" t="s">
        <v>70</v>
      </c>
      <c r="F14" s="21" t="s">
        <v>71</v>
      </c>
      <c r="G14" s="15"/>
      <c r="H14" s="23" t="s">
        <v>57</v>
      </c>
      <c r="I14" s="10" t="s">
        <v>58</v>
      </c>
      <c r="J14" s="16"/>
      <c r="K14" s="76" t="s">
        <v>58</v>
      </c>
      <c r="L14" s="2"/>
    </row>
    <row r="15" spans="1:12" ht="54" x14ac:dyDescent="0.35">
      <c r="B15" s="14">
        <f t="shared" si="0"/>
        <v>10</v>
      </c>
      <c r="C15" s="27"/>
      <c r="D15" s="27"/>
      <c r="E15" s="9" t="s">
        <v>72</v>
      </c>
      <c r="F15" s="21" t="s">
        <v>73</v>
      </c>
      <c r="G15" s="15" t="s">
        <v>74</v>
      </c>
      <c r="H15" s="23" t="s">
        <v>57</v>
      </c>
      <c r="I15" s="10" t="s">
        <v>58</v>
      </c>
      <c r="J15" s="16"/>
      <c r="K15" s="76" t="s">
        <v>58</v>
      </c>
      <c r="L15" s="2"/>
    </row>
    <row r="16" spans="1:12" ht="67.5" x14ac:dyDescent="0.35">
      <c r="B16" s="14">
        <f t="shared" si="0"/>
        <v>11</v>
      </c>
      <c r="C16" s="27"/>
      <c r="D16" s="27"/>
      <c r="E16" s="9" t="s">
        <v>75</v>
      </c>
      <c r="F16" s="21" t="s">
        <v>76</v>
      </c>
      <c r="G16" s="15" t="s">
        <v>77</v>
      </c>
      <c r="H16" s="23" t="s">
        <v>78</v>
      </c>
      <c r="I16" s="10" t="s">
        <v>79</v>
      </c>
      <c r="J16" s="16"/>
      <c r="K16" s="76" t="s">
        <v>79</v>
      </c>
      <c r="L16" s="2"/>
    </row>
    <row r="17" spans="1:12" ht="40.5" x14ac:dyDescent="0.35">
      <c r="B17" s="14">
        <f t="shared" si="0"/>
        <v>12</v>
      </c>
      <c r="C17" s="27"/>
      <c r="D17" s="27"/>
      <c r="E17" s="9" t="s">
        <v>80</v>
      </c>
      <c r="F17" s="21" t="s">
        <v>81</v>
      </c>
      <c r="G17" s="15"/>
      <c r="H17" s="23" t="s">
        <v>82</v>
      </c>
      <c r="I17" s="32" t="s">
        <v>83</v>
      </c>
      <c r="J17" s="16"/>
      <c r="K17" s="76" t="s">
        <v>83</v>
      </c>
      <c r="L17" s="2"/>
    </row>
    <row r="18" spans="1:12" x14ac:dyDescent="0.35">
      <c r="B18" s="14">
        <f t="shared" si="0"/>
        <v>13</v>
      </c>
      <c r="C18" s="27"/>
      <c r="D18" s="27"/>
      <c r="E18" s="27"/>
      <c r="F18" s="21" t="s">
        <v>84</v>
      </c>
      <c r="G18" s="15"/>
      <c r="H18" s="23" t="s">
        <v>57</v>
      </c>
      <c r="I18" s="16" t="s">
        <v>58</v>
      </c>
      <c r="K18" s="76" t="s">
        <v>58</v>
      </c>
      <c r="L18" s="2"/>
    </row>
    <row r="19" spans="1:12" x14ac:dyDescent="0.35">
      <c r="B19" s="14">
        <f t="shared" si="0"/>
        <v>14</v>
      </c>
      <c r="C19" s="11"/>
      <c r="D19" s="11"/>
      <c r="E19" s="144" t="s">
        <v>85</v>
      </c>
      <c r="F19" s="21" t="s">
        <v>86</v>
      </c>
      <c r="G19" s="15" t="s">
        <v>87</v>
      </c>
      <c r="H19" s="23" t="s">
        <v>57</v>
      </c>
      <c r="I19" s="10" t="s">
        <v>58</v>
      </c>
      <c r="J19" s="16"/>
      <c r="K19" s="76" t="s">
        <v>58</v>
      </c>
      <c r="L19" s="2"/>
    </row>
    <row r="20" spans="1:12" x14ac:dyDescent="0.35">
      <c r="B20" s="14">
        <f t="shared" si="0"/>
        <v>15</v>
      </c>
      <c r="C20" s="11"/>
      <c r="D20" s="11"/>
      <c r="E20" s="145"/>
      <c r="F20" s="21" t="s">
        <v>88</v>
      </c>
      <c r="G20" s="15" t="s">
        <v>89</v>
      </c>
      <c r="H20" s="23" t="s">
        <v>57</v>
      </c>
      <c r="I20" s="10" t="s">
        <v>58</v>
      </c>
      <c r="J20" s="16"/>
      <c r="K20" s="76" t="s">
        <v>58</v>
      </c>
      <c r="L20" s="2"/>
    </row>
    <row r="21" spans="1:12" ht="27" x14ac:dyDescent="0.35">
      <c r="B21" s="14">
        <f t="shared" si="0"/>
        <v>16</v>
      </c>
      <c r="C21" s="11"/>
      <c r="D21" s="11"/>
      <c r="E21" s="12" t="s">
        <v>90</v>
      </c>
      <c r="F21" s="15" t="s">
        <v>91</v>
      </c>
      <c r="G21" s="15"/>
      <c r="H21" s="23" t="s">
        <v>57</v>
      </c>
      <c r="I21" s="10" t="s">
        <v>58</v>
      </c>
      <c r="J21" s="16"/>
      <c r="K21" s="76" t="s">
        <v>58</v>
      </c>
      <c r="L21" s="2"/>
    </row>
    <row r="22" spans="1:12" ht="40.5" x14ac:dyDescent="0.35">
      <c r="B22" s="84">
        <f t="shared" si="0"/>
        <v>17</v>
      </c>
      <c r="C22" s="11"/>
      <c r="D22" s="11"/>
      <c r="E22" s="11" t="s">
        <v>92</v>
      </c>
      <c r="F22" s="99" t="s">
        <v>93</v>
      </c>
      <c r="G22" s="15" t="s">
        <v>94</v>
      </c>
      <c r="H22" s="23" t="s">
        <v>53</v>
      </c>
      <c r="I22" s="10" t="s">
        <v>53</v>
      </c>
      <c r="J22" s="16"/>
      <c r="K22" s="1" t="s">
        <v>53</v>
      </c>
      <c r="L22" s="2"/>
    </row>
    <row r="23" spans="1:12" ht="27" x14ac:dyDescent="0.35">
      <c r="A23" s="30" t="s">
        <v>95</v>
      </c>
      <c r="B23" s="102">
        <f t="shared" si="0"/>
        <v>18</v>
      </c>
      <c r="C23" s="10" t="s">
        <v>96</v>
      </c>
      <c r="D23" s="10" t="s">
        <v>97</v>
      </c>
      <c r="E23" s="101" t="s">
        <v>98</v>
      </c>
      <c r="F23" s="15" t="s">
        <v>99</v>
      </c>
      <c r="G23" s="15" t="s">
        <v>100</v>
      </c>
      <c r="H23" s="23" t="s">
        <v>57</v>
      </c>
      <c r="I23" s="10" t="s">
        <v>58</v>
      </c>
      <c r="J23" s="16"/>
      <c r="K23" s="1" t="s">
        <v>58</v>
      </c>
      <c r="L23" s="2"/>
    </row>
    <row r="24" spans="1:12" ht="27" x14ac:dyDescent="0.35">
      <c r="B24" s="41">
        <f t="shared" si="0"/>
        <v>19</v>
      </c>
      <c r="C24" s="11" t="s">
        <v>101</v>
      </c>
      <c r="D24" s="11" t="s">
        <v>102</v>
      </c>
      <c r="F24" s="100" t="s">
        <v>103</v>
      </c>
      <c r="G24" s="15" t="s">
        <v>104</v>
      </c>
      <c r="H24" s="23" t="s">
        <v>57</v>
      </c>
      <c r="I24" s="10" t="s">
        <v>58</v>
      </c>
      <c r="J24" s="16"/>
      <c r="K24" s="1" t="s">
        <v>58</v>
      </c>
      <c r="L24" s="2"/>
    </row>
    <row r="25" spans="1:12" x14ac:dyDescent="0.35">
      <c r="B25" s="14">
        <f t="shared" si="0"/>
        <v>20</v>
      </c>
      <c r="C25" s="11"/>
      <c r="D25" s="11"/>
      <c r="E25" s="11"/>
      <c r="F25" s="15" t="s">
        <v>105</v>
      </c>
      <c r="G25" s="15"/>
      <c r="H25" s="23" t="s">
        <v>57</v>
      </c>
      <c r="I25" s="10" t="s">
        <v>58</v>
      </c>
      <c r="J25" s="16"/>
      <c r="K25" s="1" t="s">
        <v>58</v>
      </c>
      <c r="L25" s="2"/>
    </row>
    <row r="26" spans="1:12" x14ac:dyDescent="0.35">
      <c r="B26" s="14">
        <f t="shared" si="0"/>
        <v>21</v>
      </c>
      <c r="C26" s="11"/>
      <c r="D26" s="11"/>
      <c r="E26" s="11"/>
      <c r="F26" s="15" t="s">
        <v>106</v>
      </c>
      <c r="G26" s="15"/>
      <c r="H26" s="23" t="s">
        <v>107</v>
      </c>
      <c r="I26" s="10">
        <v>0</v>
      </c>
      <c r="J26" s="16"/>
      <c r="K26" s="1">
        <v>0</v>
      </c>
      <c r="L26" s="2"/>
    </row>
    <row r="27" spans="1:12" ht="27" x14ac:dyDescent="0.35">
      <c r="B27" s="14">
        <f t="shared" si="0"/>
        <v>22</v>
      </c>
      <c r="C27" s="11"/>
      <c r="D27" s="11"/>
      <c r="E27" s="11"/>
      <c r="F27" s="15" t="s">
        <v>108</v>
      </c>
      <c r="G27" s="15"/>
      <c r="H27" s="23" t="s">
        <v>57</v>
      </c>
      <c r="I27" s="10" t="s">
        <v>58</v>
      </c>
      <c r="J27" s="16"/>
      <c r="K27" s="1" t="s">
        <v>58</v>
      </c>
      <c r="L27" s="2"/>
    </row>
    <row r="28" spans="1:12" ht="27" x14ac:dyDescent="0.35">
      <c r="B28" s="14">
        <f t="shared" si="0"/>
        <v>23</v>
      </c>
      <c r="C28" s="11"/>
      <c r="D28" s="11"/>
      <c r="E28" s="11"/>
      <c r="F28" s="10" t="s">
        <v>109</v>
      </c>
      <c r="G28" s="10" t="s">
        <v>110</v>
      </c>
      <c r="H28" s="14" t="s">
        <v>57</v>
      </c>
      <c r="I28" s="14" t="s">
        <v>58</v>
      </c>
      <c r="J28" s="14"/>
      <c r="K28" s="77" t="s">
        <v>58</v>
      </c>
      <c r="L28" s="77"/>
    </row>
    <row r="29" spans="1:12" ht="54" x14ac:dyDescent="0.35">
      <c r="B29" s="14">
        <f t="shared" si="0"/>
        <v>24</v>
      </c>
      <c r="C29" s="11"/>
      <c r="D29" s="11"/>
      <c r="E29" s="11"/>
      <c r="F29" s="10" t="s">
        <v>111</v>
      </c>
      <c r="G29" s="10" t="s">
        <v>112</v>
      </c>
      <c r="H29" s="14" t="s">
        <v>57</v>
      </c>
      <c r="I29" s="14" t="s">
        <v>58</v>
      </c>
      <c r="J29" s="14"/>
      <c r="K29" s="77" t="s">
        <v>58</v>
      </c>
      <c r="L29" s="77"/>
    </row>
    <row r="30" spans="1:12" ht="54" x14ac:dyDescent="0.35">
      <c r="A30" s="30" t="s">
        <v>95</v>
      </c>
      <c r="B30" s="102">
        <f t="shared" si="0"/>
        <v>25</v>
      </c>
      <c r="C30" s="11"/>
      <c r="D30" s="11"/>
      <c r="E30" s="11"/>
      <c r="F30" s="10" t="s">
        <v>113</v>
      </c>
      <c r="G30" s="10" t="s">
        <v>114</v>
      </c>
      <c r="H30" s="14" t="s">
        <v>57</v>
      </c>
      <c r="I30" s="14" t="s">
        <v>58</v>
      </c>
      <c r="J30" s="14"/>
      <c r="K30" s="77" t="s">
        <v>115</v>
      </c>
      <c r="L30" s="77"/>
    </row>
    <row r="31" spans="1:12" ht="40.5" x14ac:dyDescent="0.35">
      <c r="B31" s="14">
        <f t="shared" si="0"/>
        <v>26</v>
      </c>
      <c r="C31" s="82"/>
      <c r="D31" s="82"/>
      <c r="E31" s="82"/>
      <c r="F31" s="10" t="s">
        <v>116</v>
      </c>
      <c r="G31" s="83" t="s">
        <v>117</v>
      </c>
      <c r="H31" s="14" t="s">
        <v>57</v>
      </c>
      <c r="I31" s="14" t="s">
        <v>58</v>
      </c>
      <c r="J31" s="14"/>
      <c r="K31" s="77" t="s">
        <v>58</v>
      </c>
      <c r="L31" s="77"/>
    </row>
    <row r="32" spans="1:12" x14ac:dyDescent="0.35">
      <c r="B32" s="14">
        <f t="shared" si="0"/>
        <v>27</v>
      </c>
      <c r="C32" s="14" t="s">
        <v>118</v>
      </c>
      <c r="D32" s="14" t="s">
        <v>119</v>
      </c>
      <c r="E32" s="14"/>
      <c r="F32" s="10" t="s">
        <v>120</v>
      </c>
      <c r="G32" s="83"/>
      <c r="H32" s="14" t="s">
        <v>57</v>
      </c>
      <c r="I32" s="14" t="s">
        <v>58</v>
      </c>
      <c r="J32" s="14"/>
      <c r="K32" s="77" t="s">
        <v>58</v>
      </c>
      <c r="L32" s="77"/>
    </row>
    <row r="33" spans="2:12" ht="40.5" x14ac:dyDescent="0.35">
      <c r="B33" s="14">
        <f t="shared" si="0"/>
        <v>28</v>
      </c>
      <c r="C33" s="146" t="s">
        <v>121</v>
      </c>
      <c r="D33" s="148" t="s">
        <v>122</v>
      </c>
      <c r="E33" s="84"/>
      <c r="F33" s="14" t="s">
        <v>123</v>
      </c>
      <c r="G33" s="10" t="s">
        <v>124</v>
      </c>
      <c r="H33" s="14" t="s">
        <v>53</v>
      </c>
      <c r="I33" s="14" t="s">
        <v>53</v>
      </c>
      <c r="J33" s="14"/>
      <c r="K33" s="77" t="s">
        <v>53</v>
      </c>
      <c r="L33" s="77"/>
    </row>
    <row r="34" spans="2:12" ht="39" customHeight="1" x14ac:dyDescent="0.35">
      <c r="B34" s="14">
        <f t="shared" si="0"/>
        <v>29</v>
      </c>
      <c r="C34" s="147"/>
      <c r="D34" s="149"/>
      <c r="E34" s="82"/>
      <c r="F34" s="10" t="s">
        <v>125</v>
      </c>
      <c r="G34" s="10" t="s">
        <v>126</v>
      </c>
      <c r="H34" s="14" t="s">
        <v>53</v>
      </c>
      <c r="I34" s="14" t="s">
        <v>53</v>
      </c>
      <c r="J34" s="14"/>
      <c r="K34" s="77" t="s">
        <v>53</v>
      </c>
      <c r="L34" s="77"/>
    </row>
    <row r="35" spans="2:12" x14ac:dyDescent="0.35">
      <c r="B35" s="14">
        <f t="shared" si="0"/>
        <v>30</v>
      </c>
      <c r="C35" s="82"/>
      <c r="D35" s="82"/>
      <c r="E35" s="82"/>
      <c r="F35" s="14" t="s">
        <v>127</v>
      </c>
      <c r="G35" s="14" t="s">
        <v>128</v>
      </c>
      <c r="H35" s="14" t="s">
        <v>57</v>
      </c>
      <c r="I35" s="14" t="s">
        <v>58</v>
      </c>
      <c r="J35" s="14"/>
      <c r="K35" s="77" t="s">
        <v>58</v>
      </c>
      <c r="L35" s="77"/>
    </row>
    <row r="36" spans="2:12" ht="63.75" customHeight="1" x14ac:dyDescent="0.35">
      <c r="B36" s="14">
        <f t="shared" si="0"/>
        <v>31</v>
      </c>
      <c r="C36" s="82"/>
      <c r="D36" s="82"/>
      <c r="E36" s="82"/>
      <c r="F36" s="10" t="s">
        <v>129</v>
      </c>
      <c r="G36" s="10" t="s">
        <v>130</v>
      </c>
      <c r="H36" s="14" t="s">
        <v>57</v>
      </c>
      <c r="I36" s="14" t="s">
        <v>58</v>
      </c>
      <c r="J36" s="14"/>
      <c r="K36" s="77" t="s">
        <v>58</v>
      </c>
      <c r="L36" s="77"/>
    </row>
    <row r="37" spans="2:12" ht="27" x14ac:dyDescent="0.35">
      <c r="B37" s="14">
        <f t="shared" si="0"/>
        <v>32</v>
      </c>
      <c r="C37" s="82"/>
      <c r="D37" s="82"/>
      <c r="E37" s="82"/>
      <c r="F37" s="10" t="s">
        <v>131</v>
      </c>
      <c r="G37" s="10" t="s">
        <v>132</v>
      </c>
      <c r="H37" s="14" t="s">
        <v>57</v>
      </c>
      <c r="I37" s="14" t="s">
        <v>58</v>
      </c>
      <c r="J37" s="14"/>
      <c r="K37" s="77" t="s">
        <v>58</v>
      </c>
      <c r="L37" s="77"/>
    </row>
    <row r="38" spans="2:12" ht="40.5" x14ac:dyDescent="0.35">
      <c r="B38" s="14">
        <f t="shared" si="0"/>
        <v>33</v>
      </c>
      <c r="C38" s="82"/>
      <c r="D38" s="82"/>
      <c r="E38" s="82"/>
      <c r="F38" s="14" t="s">
        <v>133</v>
      </c>
      <c r="G38" s="10" t="s">
        <v>134</v>
      </c>
      <c r="H38" s="14" t="s">
        <v>53</v>
      </c>
      <c r="I38" s="14" t="s">
        <v>52</v>
      </c>
      <c r="J38" s="14"/>
      <c r="K38" s="77" t="s">
        <v>53</v>
      </c>
      <c r="L38" s="77"/>
    </row>
    <row r="39" spans="2:12" ht="40.5" x14ac:dyDescent="0.35">
      <c r="B39" s="14">
        <f t="shared" si="0"/>
        <v>34</v>
      </c>
      <c r="C39" s="82"/>
      <c r="D39" s="82"/>
      <c r="E39" s="82"/>
      <c r="F39" s="10" t="s">
        <v>135</v>
      </c>
      <c r="G39" s="10" t="s">
        <v>136</v>
      </c>
      <c r="H39" s="14" t="s">
        <v>53</v>
      </c>
      <c r="I39" s="14" t="s">
        <v>52</v>
      </c>
      <c r="J39" s="14"/>
      <c r="K39" s="77" t="s">
        <v>53</v>
      </c>
      <c r="L39" s="77"/>
    </row>
    <row r="40" spans="2:12" x14ac:dyDescent="0.35">
      <c r="B40" s="14">
        <f t="shared" si="0"/>
        <v>35</v>
      </c>
      <c r="C40" s="41"/>
      <c r="D40" s="41"/>
      <c r="E40" s="41"/>
      <c r="F40" s="14" t="s">
        <v>137</v>
      </c>
      <c r="G40" s="14"/>
      <c r="H40" s="14" t="s">
        <v>53</v>
      </c>
      <c r="I40" s="14" t="s">
        <v>52</v>
      </c>
      <c r="J40" s="14"/>
      <c r="K40" s="77" t="s">
        <v>53</v>
      </c>
      <c r="L40" s="77"/>
    </row>
    <row r="41" spans="2:12" ht="27" x14ac:dyDescent="0.35">
      <c r="B41" s="14">
        <f t="shared" si="0"/>
        <v>36</v>
      </c>
      <c r="C41" s="84" t="s">
        <v>138</v>
      </c>
      <c r="D41" s="9" t="s">
        <v>139</v>
      </c>
      <c r="E41" s="84"/>
      <c r="F41" s="84" t="s">
        <v>140</v>
      </c>
      <c r="G41" s="14" t="s">
        <v>141</v>
      </c>
      <c r="H41" s="14" t="s">
        <v>142</v>
      </c>
      <c r="I41" s="14" t="s">
        <v>143</v>
      </c>
      <c r="J41" s="14"/>
      <c r="K41" s="2" t="s">
        <v>144</v>
      </c>
      <c r="L41" s="77"/>
    </row>
    <row r="42" spans="2:12" ht="27" x14ac:dyDescent="0.35">
      <c r="B42" s="14">
        <f t="shared" si="0"/>
        <v>37</v>
      </c>
      <c r="C42" s="82"/>
      <c r="D42" s="11"/>
      <c r="E42" s="82"/>
      <c r="F42" s="14" t="s">
        <v>145</v>
      </c>
      <c r="G42" s="10" t="s">
        <v>146</v>
      </c>
      <c r="H42" s="14" t="s">
        <v>143</v>
      </c>
      <c r="I42" s="14" t="s">
        <v>52</v>
      </c>
      <c r="J42" s="14"/>
      <c r="K42" s="2" t="s">
        <v>144</v>
      </c>
      <c r="L42" s="77"/>
    </row>
    <row r="43" spans="2:12" ht="27" x14ac:dyDescent="0.35">
      <c r="B43" s="14">
        <f t="shared" si="0"/>
        <v>38</v>
      </c>
      <c r="C43" s="41"/>
      <c r="D43" s="41"/>
      <c r="E43" s="41"/>
      <c r="F43" s="14" t="s">
        <v>147</v>
      </c>
      <c r="G43" s="10"/>
      <c r="H43" s="14" t="s">
        <v>142</v>
      </c>
      <c r="I43" s="14" t="s">
        <v>52</v>
      </c>
      <c r="J43" s="14"/>
      <c r="K43" s="2" t="s">
        <v>144</v>
      </c>
      <c r="L43" s="77"/>
    </row>
  </sheetData>
  <mergeCells count="3">
    <mergeCell ref="E19:E20"/>
    <mergeCell ref="C33:C34"/>
    <mergeCell ref="D33:D34"/>
  </mergeCells>
  <phoneticPr fontId="11"/>
  <hyperlinks>
    <hyperlink ref="A4" location="パラメータ設定一覧!A1" display="パラメータ設定一覧へ" xr:uid="{A0B8406E-E0FD-4D23-BE2B-C48D57CE2009}"/>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5885-D9DF-4664-B795-BCC08B0B8318}">
  <sheetPr>
    <pageSetUpPr fitToPage="1"/>
  </sheetPr>
  <dimension ref="A1:E17"/>
  <sheetViews>
    <sheetView showGridLines="0" tabSelected="1" zoomScaleNormal="100" zoomScaleSheetLayoutView="70" workbookViewId="0">
      <pane ySplit="5" topLeftCell="A6" activePane="bottomLeft" state="frozen"/>
      <selection pane="bottomLeft"/>
    </sheetView>
  </sheetViews>
  <sheetFormatPr defaultRowHeight="15" x14ac:dyDescent="0.35"/>
  <cols>
    <col min="1" max="1" width="2.78515625" style="29" customWidth="1"/>
    <col min="2" max="2" width="3.5703125" style="29" bestFit="1" customWidth="1"/>
    <col min="3" max="3" width="26.2109375" style="29" bestFit="1" customWidth="1"/>
    <col min="4" max="4" width="17.78515625" style="29" customWidth="1"/>
    <col min="5" max="5" width="115.2109375" style="29" bestFit="1" customWidth="1"/>
  </cols>
  <sheetData>
    <row r="1" spans="1:5" ht="19.5" x14ac:dyDescent="0.35">
      <c r="A1" s="50" t="s">
        <v>148</v>
      </c>
      <c r="B1"/>
      <c r="C1"/>
      <c r="D1"/>
      <c r="E1"/>
    </row>
    <row r="2" spans="1:5" x14ac:dyDescent="0.35">
      <c r="A2"/>
      <c r="B2"/>
      <c r="C2"/>
      <c r="D2"/>
      <c r="E2"/>
    </row>
    <row r="3" spans="1:5" x14ac:dyDescent="0.35">
      <c r="A3" s="6" t="s">
        <v>34</v>
      </c>
      <c r="B3"/>
      <c r="C3"/>
      <c r="D3"/>
      <c r="E3"/>
    </row>
    <row r="4" spans="1:5" x14ac:dyDescent="0.35">
      <c r="B4" s="150" t="s">
        <v>35</v>
      </c>
      <c r="C4" s="18" t="s">
        <v>149</v>
      </c>
      <c r="D4" s="45" t="s">
        <v>150</v>
      </c>
      <c r="E4" s="151" t="s">
        <v>151</v>
      </c>
    </row>
    <row r="5" spans="1:5" x14ac:dyDescent="0.35">
      <c r="B5" s="150"/>
      <c r="C5" s="3" t="s">
        <v>152</v>
      </c>
      <c r="D5" s="4" t="s">
        <v>153</v>
      </c>
      <c r="E5" s="152"/>
    </row>
    <row r="6" spans="1:5" x14ac:dyDescent="0.3">
      <c r="B6" s="85">
        <f t="shared" ref="B6:B17" si="0">ROW() - 5</f>
        <v>1</v>
      </c>
      <c r="C6" s="34" t="s">
        <v>154</v>
      </c>
      <c r="D6" s="86" t="s">
        <v>414</v>
      </c>
      <c r="E6" s="34" t="s">
        <v>155</v>
      </c>
    </row>
    <row r="7" spans="1:5" x14ac:dyDescent="0.3">
      <c r="B7" s="85">
        <f t="shared" si="0"/>
        <v>2</v>
      </c>
      <c r="C7" s="34" t="s">
        <v>101</v>
      </c>
      <c r="D7" s="86" t="s">
        <v>415</v>
      </c>
      <c r="E7" s="34" t="s">
        <v>156</v>
      </c>
    </row>
    <row r="8" spans="1:5" x14ac:dyDescent="0.3">
      <c r="B8" s="85">
        <f t="shared" si="0"/>
        <v>3</v>
      </c>
      <c r="C8" s="34" t="s">
        <v>157</v>
      </c>
      <c r="D8" s="86" t="s">
        <v>416</v>
      </c>
      <c r="E8" s="34" t="s">
        <v>158</v>
      </c>
    </row>
    <row r="9" spans="1:5" x14ac:dyDescent="0.3">
      <c r="B9" s="85">
        <f t="shared" si="0"/>
        <v>4</v>
      </c>
      <c r="C9" s="34" t="s">
        <v>159</v>
      </c>
      <c r="D9" s="86" t="s">
        <v>417</v>
      </c>
      <c r="E9" s="33" t="s">
        <v>160</v>
      </c>
    </row>
    <row r="10" spans="1:5" x14ac:dyDescent="0.3">
      <c r="B10" s="85">
        <f t="shared" si="0"/>
        <v>5</v>
      </c>
      <c r="C10" s="34" t="s">
        <v>161</v>
      </c>
      <c r="D10" s="86" t="s">
        <v>418</v>
      </c>
      <c r="E10" s="34" t="s">
        <v>162</v>
      </c>
    </row>
    <row r="11" spans="1:5" x14ac:dyDescent="0.3">
      <c r="B11" s="85">
        <f t="shared" si="0"/>
        <v>6</v>
      </c>
      <c r="C11" s="34" t="s">
        <v>163</v>
      </c>
      <c r="D11" s="86" t="s">
        <v>419</v>
      </c>
      <c r="E11" s="34" t="s">
        <v>164</v>
      </c>
    </row>
    <row r="12" spans="1:5" x14ac:dyDescent="0.3">
      <c r="B12" s="85">
        <f t="shared" si="0"/>
        <v>7</v>
      </c>
      <c r="C12" s="34" t="s">
        <v>165</v>
      </c>
      <c r="D12" s="86" t="s">
        <v>420</v>
      </c>
      <c r="E12" s="34" t="s">
        <v>166</v>
      </c>
    </row>
    <row r="13" spans="1:5" x14ac:dyDescent="0.3">
      <c r="B13" s="85">
        <f t="shared" si="0"/>
        <v>8</v>
      </c>
      <c r="C13" s="34" t="s">
        <v>167</v>
      </c>
      <c r="D13" s="86" t="s">
        <v>421</v>
      </c>
      <c r="E13" s="34" t="s">
        <v>168</v>
      </c>
    </row>
    <row r="14" spans="1:5" x14ac:dyDescent="0.3">
      <c r="B14" s="85">
        <f t="shared" si="0"/>
        <v>9</v>
      </c>
      <c r="C14" s="34" t="s">
        <v>169</v>
      </c>
      <c r="D14" s="86" t="s">
        <v>422</v>
      </c>
      <c r="E14" s="33" t="s">
        <v>170</v>
      </c>
    </row>
    <row r="15" spans="1:5" x14ac:dyDescent="0.3">
      <c r="B15" s="85">
        <f t="shared" si="0"/>
        <v>10</v>
      </c>
      <c r="C15" s="34" t="s">
        <v>171</v>
      </c>
      <c r="D15" s="86" t="s">
        <v>423</v>
      </c>
      <c r="E15" s="34" t="s">
        <v>172</v>
      </c>
    </row>
    <row r="16" spans="1:5" x14ac:dyDescent="0.3">
      <c r="B16" s="87">
        <f t="shared" si="0"/>
        <v>11</v>
      </c>
      <c r="C16" s="34" t="s">
        <v>173</v>
      </c>
      <c r="D16" s="88" t="s">
        <v>424</v>
      </c>
      <c r="E16" s="34" t="s">
        <v>174</v>
      </c>
    </row>
    <row r="17" spans="2:5" x14ac:dyDescent="0.3">
      <c r="B17" s="87">
        <f t="shared" si="0"/>
        <v>12</v>
      </c>
      <c r="C17" s="34" t="s">
        <v>175</v>
      </c>
      <c r="D17" s="88" t="s">
        <v>425</v>
      </c>
      <c r="E17" s="34" t="s">
        <v>176</v>
      </c>
    </row>
  </sheetData>
  <sheetProtection insertRows="0" deleteRows="0" sort="0" autoFilter="0"/>
  <mergeCells count="2">
    <mergeCell ref="B4:B5"/>
    <mergeCell ref="E4:E5"/>
  </mergeCells>
  <phoneticPr fontId="11"/>
  <hyperlinks>
    <hyperlink ref="A3" location="パラメータ設定一覧!A1" display="パラメータ設定一覧へ" xr:uid="{7A519ECA-1853-4B77-ACC9-4D005CB119F4}"/>
  </hyperlinks>
  <pageMargins left="0.70866141732283472" right="0.70866141732283472" top="0.74803149606299213" bottom="0.74803149606299213" header="0.31496062992125984" footer="0.31496062992125984"/>
  <pageSetup paperSize="9" scale="55"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5BFD-49D0-4AB3-8493-89B1DDCAA88A}">
  <sheetPr codeName="Sheet57">
    <pageSetUpPr fitToPage="1"/>
  </sheetPr>
  <dimension ref="A1:L84"/>
  <sheetViews>
    <sheetView showGridLines="0" zoomScaleNormal="100" zoomScaleSheetLayoutView="70" workbookViewId="0">
      <pane xSplit="6" ySplit="5" topLeftCell="G6" activePane="bottomRight" state="frozen"/>
      <selection pane="topRight" activeCell="N8" sqref="N8"/>
      <selection pane="bottomLeft" activeCell="N8" sqref="N8"/>
      <selection pane="bottomRight" activeCell="N8" sqref="N8"/>
    </sheetView>
  </sheetViews>
  <sheetFormatPr defaultColWidth="8.78515625" defaultRowHeight="13.5" x14ac:dyDescent="0.35"/>
  <cols>
    <col min="1" max="1" width="2.78515625" style="29" customWidth="1"/>
    <col min="2" max="2" width="3.78515625" style="29" customWidth="1"/>
    <col min="3" max="3" width="16.78515625" style="29" customWidth="1"/>
    <col min="4" max="4" width="19.2109375" style="29" customWidth="1"/>
    <col min="5" max="5" width="16.5703125" style="29" customWidth="1"/>
    <col min="6" max="6" width="21" style="29" customWidth="1"/>
    <col min="7" max="7" width="44.640625" style="35" customWidth="1"/>
    <col min="8" max="8" width="27.5703125" style="30" customWidth="1"/>
    <col min="9" max="9" width="17.42578125" style="30" customWidth="1"/>
    <col min="10" max="10" width="13" style="29" customWidth="1"/>
    <col min="11" max="11" width="18.2109375" style="91" customWidth="1"/>
    <col min="12" max="12" width="13.2109375" style="29" customWidth="1"/>
    <col min="13" max="16384" width="8.78515625" style="29"/>
  </cols>
  <sheetData>
    <row r="1" spans="1:12" customFormat="1" ht="19.5" x14ac:dyDescent="0.35">
      <c r="A1" s="78" t="s">
        <v>177</v>
      </c>
      <c r="B1" s="28"/>
      <c r="C1" s="30"/>
      <c r="D1" s="30"/>
      <c r="E1" s="30"/>
      <c r="F1" s="30"/>
      <c r="G1" s="31"/>
      <c r="H1" s="30"/>
      <c r="I1" s="30"/>
      <c r="J1" s="28"/>
      <c r="K1" s="36"/>
      <c r="L1" s="28"/>
    </row>
    <row r="2" spans="1:12" customFormat="1" ht="15" x14ac:dyDescent="0.35">
      <c r="A2" s="28"/>
      <c r="B2" s="28" t="s">
        <v>178</v>
      </c>
      <c r="C2" s="30"/>
      <c r="D2" s="30"/>
      <c r="E2" s="30"/>
      <c r="F2" s="30"/>
      <c r="G2" s="31"/>
      <c r="H2" s="30"/>
      <c r="I2" s="30"/>
      <c r="J2" s="28"/>
      <c r="K2" s="36"/>
      <c r="L2" s="28"/>
    </row>
    <row r="3" spans="1:12" customFormat="1" ht="15" x14ac:dyDescent="0.35">
      <c r="A3" s="28"/>
      <c r="B3" s="28" t="s">
        <v>179</v>
      </c>
      <c r="C3" s="30"/>
      <c r="D3" s="30"/>
      <c r="E3" s="30"/>
      <c r="F3" s="30"/>
      <c r="G3" s="31"/>
      <c r="H3" s="30"/>
      <c r="I3" s="30"/>
      <c r="J3" s="28"/>
      <c r="K3" s="36"/>
      <c r="L3" s="28"/>
    </row>
    <row r="4" spans="1:12" customFormat="1" ht="15" x14ac:dyDescent="0.35">
      <c r="A4" s="79" t="s">
        <v>34</v>
      </c>
      <c r="B4" s="28"/>
      <c r="C4" s="30"/>
      <c r="D4" s="30"/>
      <c r="E4" s="30"/>
      <c r="F4" s="30"/>
      <c r="G4" s="31"/>
      <c r="H4" s="30"/>
      <c r="I4" s="30"/>
      <c r="J4" s="28"/>
      <c r="K4" s="36"/>
      <c r="L4" s="28"/>
    </row>
    <row r="5" spans="1:12" x14ac:dyDescent="0.35">
      <c r="A5" s="30"/>
      <c r="B5" s="7" t="s">
        <v>35</v>
      </c>
      <c r="C5" s="7" t="s">
        <v>36</v>
      </c>
      <c r="D5" s="7" t="s">
        <v>37</v>
      </c>
      <c r="E5" s="7" t="s">
        <v>38</v>
      </c>
      <c r="F5" s="13" t="s">
        <v>39</v>
      </c>
      <c r="G5" s="7" t="s">
        <v>40</v>
      </c>
      <c r="H5" s="7" t="s">
        <v>41</v>
      </c>
      <c r="I5" s="7" t="s">
        <v>42</v>
      </c>
      <c r="J5" s="7" t="s">
        <v>43</v>
      </c>
      <c r="K5" s="37" t="s">
        <v>44</v>
      </c>
      <c r="L5" s="8" t="s">
        <v>45</v>
      </c>
    </row>
    <row r="6" spans="1:12" ht="108" x14ac:dyDescent="0.35">
      <c r="A6" s="30"/>
      <c r="B6" s="14">
        <f>ROW() - 5</f>
        <v>1</v>
      </c>
      <c r="C6" s="9" t="s">
        <v>180</v>
      </c>
      <c r="D6" s="9"/>
      <c r="E6" s="9" t="s">
        <v>25</v>
      </c>
      <c r="F6" s="30" t="s">
        <v>181</v>
      </c>
      <c r="G6" s="31" t="s">
        <v>182</v>
      </c>
      <c r="H6" s="15" t="s">
        <v>183</v>
      </c>
      <c r="I6" s="16" t="s">
        <v>79</v>
      </c>
      <c r="J6" s="16"/>
      <c r="K6" s="90" t="s">
        <v>184</v>
      </c>
      <c r="L6" s="2"/>
    </row>
    <row r="7" spans="1:12" ht="27" x14ac:dyDescent="0.35">
      <c r="A7" s="30"/>
      <c r="B7" s="14">
        <f>ROW() - 5</f>
        <v>2</v>
      </c>
      <c r="C7" s="11"/>
      <c r="D7" s="11"/>
      <c r="E7" s="11"/>
      <c r="F7" s="15" t="s">
        <v>25</v>
      </c>
      <c r="G7" s="15" t="s">
        <v>185</v>
      </c>
      <c r="H7" s="15" t="s">
        <v>186</v>
      </c>
      <c r="I7" s="16" t="s">
        <v>53</v>
      </c>
      <c r="J7" s="16" t="s">
        <v>187</v>
      </c>
      <c r="K7" s="90" t="s">
        <v>184</v>
      </c>
      <c r="L7" s="2"/>
    </row>
    <row r="8" spans="1:12" ht="108" x14ac:dyDescent="0.35">
      <c r="A8" s="30"/>
      <c r="B8" s="14">
        <f t="shared" ref="B8:B75" si="0">ROW() - 5</f>
        <v>3</v>
      </c>
      <c r="C8" s="11"/>
      <c r="D8" s="11"/>
      <c r="E8" s="82"/>
      <c r="F8" s="17" t="s">
        <v>188</v>
      </c>
      <c r="G8" s="15" t="s">
        <v>189</v>
      </c>
      <c r="H8" s="21" t="s">
        <v>186</v>
      </c>
      <c r="I8" s="10" t="s">
        <v>53</v>
      </c>
      <c r="J8" s="16"/>
      <c r="K8" s="90" t="s">
        <v>184</v>
      </c>
      <c r="L8" s="2"/>
    </row>
    <row r="9" spans="1:12" ht="40.5" x14ac:dyDescent="0.35">
      <c r="A9" s="30"/>
      <c r="B9" s="14">
        <f t="shared" si="0"/>
        <v>4</v>
      </c>
      <c r="C9" s="11"/>
      <c r="D9" s="11"/>
      <c r="E9" s="11"/>
      <c r="F9" s="15" t="s">
        <v>190</v>
      </c>
      <c r="G9" s="15" t="s">
        <v>191</v>
      </c>
      <c r="H9" s="31" t="s">
        <v>107</v>
      </c>
      <c r="I9" s="9" t="s">
        <v>53</v>
      </c>
      <c r="J9" s="16"/>
      <c r="K9" s="90" t="s">
        <v>184</v>
      </c>
      <c r="L9" s="2"/>
    </row>
    <row r="10" spans="1:12" ht="40.5" x14ac:dyDescent="0.35">
      <c r="A10" s="30"/>
      <c r="B10" s="14">
        <f t="shared" si="0"/>
        <v>5</v>
      </c>
      <c r="C10" s="11"/>
      <c r="D10" s="11"/>
      <c r="E10" s="84" t="s">
        <v>192</v>
      </c>
      <c r="F10" s="15" t="s">
        <v>193</v>
      </c>
      <c r="G10" s="10" t="s">
        <v>194</v>
      </c>
      <c r="H10" s="38" t="s">
        <v>195</v>
      </c>
      <c r="I10" s="9" t="s">
        <v>53</v>
      </c>
      <c r="J10" s="10"/>
      <c r="K10" s="90" t="s">
        <v>184</v>
      </c>
      <c r="L10" s="2"/>
    </row>
    <row r="11" spans="1:12" x14ac:dyDescent="0.35">
      <c r="A11" s="30"/>
      <c r="B11" s="14">
        <f t="shared" si="0"/>
        <v>6</v>
      </c>
      <c r="C11" s="11"/>
      <c r="D11" s="11"/>
      <c r="E11" s="11"/>
      <c r="F11" s="14" t="s">
        <v>196</v>
      </c>
      <c r="G11" s="10" t="s">
        <v>197</v>
      </c>
      <c r="H11" s="39" t="s">
        <v>198</v>
      </c>
      <c r="I11" s="16" t="s">
        <v>53</v>
      </c>
      <c r="J11" s="16"/>
      <c r="K11" s="90" t="s">
        <v>184</v>
      </c>
      <c r="L11" s="2"/>
    </row>
    <row r="12" spans="1:12" ht="27" x14ac:dyDescent="0.35">
      <c r="A12" s="30"/>
      <c r="B12" s="14">
        <f t="shared" si="0"/>
        <v>7</v>
      </c>
      <c r="C12" s="11"/>
      <c r="D12" s="11"/>
      <c r="E12" s="11"/>
      <c r="F12" s="14" t="s">
        <v>199</v>
      </c>
      <c r="G12" s="10" t="s">
        <v>200</v>
      </c>
      <c r="H12" s="39" t="s">
        <v>198</v>
      </c>
      <c r="I12" s="16" t="s">
        <v>53</v>
      </c>
      <c r="J12" s="16"/>
      <c r="K12" s="90" t="s">
        <v>184</v>
      </c>
      <c r="L12" s="2"/>
    </row>
    <row r="13" spans="1:12" ht="27" x14ac:dyDescent="0.35">
      <c r="A13" s="30"/>
      <c r="B13" s="14">
        <f t="shared" si="0"/>
        <v>8</v>
      </c>
      <c r="C13" s="11"/>
      <c r="D13" s="11"/>
      <c r="E13" s="11"/>
      <c r="F13" s="21" t="s">
        <v>201</v>
      </c>
      <c r="G13" s="15" t="s">
        <v>202</v>
      </c>
      <c r="H13" s="39" t="s">
        <v>186</v>
      </c>
      <c r="I13" s="9" t="s">
        <v>53</v>
      </c>
      <c r="J13" s="16"/>
      <c r="K13" s="90" t="s">
        <v>184</v>
      </c>
      <c r="L13" s="2"/>
    </row>
    <row r="14" spans="1:12" x14ac:dyDescent="0.35">
      <c r="A14" s="30"/>
      <c r="B14" s="14">
        <f t="shared" si="0"/>
        <v>9</v>
      </c>
      <c r="C14" s="11"/>
      <c r="D14" s="11"/>
      <c r="E14" s="11"/>
      <c r="F14" s="14" t="s">
        <v>203</v>
      </c>
      <c r="G14" s="10"/>
      <c r="H14" s="39" t="s">
        <v>204</v>
      </c>
      <c r="I14" s="10" t="s">
        <v>53</v>
      </c>
      <c r="J14" s="16"/>
      <c r="K14" s="90" t="s">
        <v>184</v>
      </c>
      <c r="L14" s="2"/>
    </row>
    <row r="15" spans="1:12" x14ac:dyDescent="0.35">
      <c r="A15" s="30"/>
      <c r="B15" s="14">
        <f t="shared" si="0"/>
        <v>10</v>
      </c>
      <c r="C15" s="11"/>
      <c r="D15" s="11"/>
      <c r="E15" s="11"/>
      <c r="F15" s="21" t="s">
        <v>29</v>
      </c>
      <c r="G15" s="15" t="s">
        <v>205</v>
      </c>
      <c r="H15" s="23" t="s">
        <v>206</v>
      </c>
      <c r="I15" s="10" t="s">
        <v>53</v>
      </c>
      <c r="J15" s="16"/>
      <c r="K15" s="90" t="s">
        <v>184</v>
      </c>
      <c r="L15" s="2"/>
    </row>
    <row r="16" spans="1:12" ht="27" x14ac:dyDescent="0.35">
      <c r="A16" s="30"/>
      <c r="B16" s="14">
        <f t="shared" si="0"/>
        <v>11</v>
      </c>
      <c r="C16" s="11"/>
      <c r="D16" s="11"/>
      <c r="E16" s="9" t="s">
        <v>207</v>
      </c>
      <c r="F16" s="21" t="s">
        <v>207</v>
      </c>
      <c r="G16" s="21" t="s">
        <v>208</v>
      </c>
      <c r="H16" s="23" t="s">
        <v>209</v>
      </c>
      <c r="I16" s="10" t="s">
        <v>210</v>
      </c>
      <c r="J16" s="16"/>
      <c r="K16" s="90" t="s">
        <v>184</v>
      </c>
      <c r="L16" s="2"/>
    </row>
    <row r="17" spans="1:12" ht="27" x14ac:dyDescent="0.35">
      <c r="A17" s="30"/>
      <c r="B17" s="14">
        <f t="shared" si="0"/>
        <v>12</v>
      </c>
      <c r="C17" s="11"/>
      <c r="D17" s="11"/>
      <c r="E17" s="11"/>
      <c r="F17" s="21" t="s">
        <v>211</v>
      </c>
      <c r="G17" s="15"/>
      <c r="H17" s="23" t="s">
        <v>57</v>
      </c>
      <c r="I17" s="32" t="s">
        <v>58</v>
      </c>
      <c r="J17" s="16"/>
      <c r="K17" s="90" t="s">
        <v>184</v>
      </c>
      <c r="L17" s="2"/>
    </row>
    <row r="18" spans="1:12" ht="40.5" x14ac:dyDescent="0.35">
      <c r="A18" s="30"/>
      <c r="B18" s="14">
        <f t="shared" si="0"/>
        <v>13</v>
      </c>
      <c r="C18" s="11"/>
      <c r="D18" s="11"/>
      <c r="E18" s="9" t="s">
        <v>212</v>
      </c>
      <c r="F18" s="21" t="s">
        <v>213</v>
      </c>
      <c r="G18" s="15"/>
      <c r="H18" s="23" t="s">
        <v>214</v>
      </c>
      <c r="I18" s="16" t="s">
        <v>215</v>
      </c>
      <c r="J18" s="30"/>
      <c r="K18" s="90" t="s">
        <v>184</v>
      </c>
      <c r="L18" s="2"/>
    </row>
    <row r="19" spans="1:12" ht="54" x14ac:dyDescent="0.35">
      <c r="A19" s="30"/>
      <c r="B19" s="14">
        <f t="shared" si="0"/>
        <v>14</v>
      </c>
      <c r="C19" s="11"/>
      <c r="D19" s="11"/>
      <c r="E19" s="144" t="s">
        <v>216</v>
      </c>
      <c r="F19" s="21" t="s">
        <v>217</v>
      </c>
      <c r="G19" s="15" t="s">
        <v>218</v>
      </c>
      <c r="H19" s="23" t="s">
        <v>219</v>
      </c>
      <c r="I19" s="10" t="s">
        <v>53</v>
      </c>
      <c r="J19" s="16"/>
      <c r="K19" s="90" t="s">
        <v>184</v>
      </c>
      <c r="L19" s="2"/>
    </row>
    <row r="20" spans="1:12" ht="67.5" x14ac:dyDescent="0.35">
      <c r="A20" s="30"/>
      <c r="B20" s="14">
        <f t="shared" si="0"/>
        <v>15</v>
      </c>
      <c r="C20" s="11"/>
      <c r="D20" s="11"/>
      <c r="E20" s="153"/>
      <c r="F20" s="21" t="s">
        <v>220</v>
      </c>
      <c r="G20" s="15" t="s">
        <v>221</v>
      </c>
      <c r="H20" s="23" t="s">
        <v>219</v>
      </c>
      <c r="I20" s="10" t="s">
        <v>53</v>
      </c>
      <c r="J20" s="16"/>
      <c r="K20" s="90" t="s">
        <v>184</v>
      </c>
      <c r="L20" s="2"/>
    </row>
    <row r="21" spans="1:12" ht="117" customHeight="1" x14ac:dyDescent="0.35">
      <c r="A21" s="30"/>
      <c r="B21" s="14">
        <f t="shared" si="0"/>
        <v>16</v>
      </c>
      <c r="C21" s="11"/>
      <c r="D21" s="11"/>
      <c r="E21" s="11"/>
      <c r="F21" s="15" t="s">
        <v>222</v>
      </c>
      <c r="G21" s="15" t="s">
        <v>223</v>
      </c>
      <c r="H21" s="23" t="s">
        <v>224</v>
      </c>
      <c r="I21" s="10" t="s">
        <v>225</v>
      </c>
      <c r="J21" s="16"/>
      <c r="K21" s="90" t="s">
        <v>184</v>
      </c>
      <c r="L21" s="2"/>
    </row>
    <row r="22" spans="1:12" ht="108" x14ac:dyDescent="0.35">
      <c r="A22" s="30"/>
      <c r="B22" s="14">
        <f t="shared" si="0"/>
        <v>17</v>
      </c>
      <c r="C22" s="11"/>
      <c r="D22" s="11"/>
      <c r="E22" s="11"/>
      <c r="F22" s="15" t="s">
        <v>226</v>
      </c>
      <c r="G22" s="15" t="s">
        <v>227</v>
      </c>
      <c r="H22" s="23" t="s">
        <v>107</v>
      </c>
      <c r="I22" s="10" t="s">
        <v>53</v>
      </c>
      <c r="J22" s="16"/>
      <c r="K22" s="90" t="s">
        <v>184</v>
      </c>
      <c r="L22" s="2"/>
    </row>
    <row r="23" spans="1:12" x14ac:dyDescent="0.35">
      <c r="A23" s="30"/>
      <c r="B23" s="14">
        <f t="shared" si="0"/>
        <v>18</v>
      </c>
      <c r="C23" s="11"/>
      <c r="D23" s="11"/>
      <c r="E23" s="84" t="s">
        <v>228</v>
      </c>
      <c r="F23" s="15" t="s">
        <v>229</v>
      </c>
      <c r="G23" s="15"/>
      <c r="H23" s="23" t="s">
        <v>230</v>
      </c>
      <c r="I23" s="10" t="s">
        <v>53</v>
      </c>
      <c r="J23" s="16"/>
      <c r="K23" s="90" t="s">
        <v>184</v>
      </c>
      <c r="L23" s="2"/>
    </row>
    <row r="24" spans="1:12" x14ac:dyDescent="0.35">
      <c r="A24" s="30"/>
      <c r="B24" s="14">
        <f t="shared" si="0"/>
        <v>19</v>
      </c>
      <c r="C24" s="11"/>
      <c r="D24" s="11"/>
      <c r="E24" s="11"/>
      <c r="F24" s="15" t="s">
        <v>231</v>
      </c>
      <c r="G24" s="15"/>
      <c r="H24" s="23" t="s">
        <v>219</v>
      </c>
      <c r="I24" s="10" t="s">
        <v>53</v>
      </c>
      <c r="J24" s="16"/>
      <c r="K24" s="90" t="s">
        <v>184</v>
      </c>
      <c r="L24" s="2"/>
    </row>
    <row r="25" spans="1:12" x14ac:dyDescent="0.35">
      <c r="A25" s="30"/>
      <c r="B25" s="14">
        <f t="shared" si="0"/>
        <v>20</v>
      </c>
      <c r="C25" s="9" t="s">
        <v>232</v>
      </c>
      <c r="D25" s="9"/>
      <c r="E25" s="9"/>
      <c r="F25" s="21" t="s">
        <v>233</v>
      </c>
      <c r="G25" s="21" t="s">
        <v>234</v>
      </c>
      <c r="H25" s="23" t="s">
        <v>198</v>
      </c>
      <c r="I25" s="10" t="s">
        <v>53</v>
      </c>
      <c r="J25" s="16"/>
      <c r="K25" s="90" t="s">
        <v>184</v>
      </c>
      <c r="L25" s="2"/>
    </row>
    <row r="26" spans="1:12" ht="40.5" x14ac:dyDescent="0.35">
      <c r="A26" s="30"/>
      <c r="B26" s="14">
        <f t="shared" si="0"/>
        <v>21</v>
      </c>
      <c r="C26" s="11"/>
      <c r="D26" s="11"/>
      <c r="E26" s="11"/>
      <c r="F26" s="15" t="s">
        <v>235</v>
      </c>
      <c r="G26" s="15" t="s">
        <v>236</v>
      </c>
      <c r="H26" s="23" t="s">
        <v>186</v>
      </c>
      <c r="I26" s="10" t="s">
        <v>53</v>
      </c>
      <c r="J26" s="16"/>
      <c r="K26" s="90" t="s">
        <v>184</v>
      </c>
      <c r="L26" s="2"/>
    </row>
    <row r="27" spans="1:12" ht="27" x14ac:dyDescent="0.35">
      <c r="A27" s="30"/>
      <c r="B27" s="14">
        <f t="shared" si="0"/>
        <v>22</v>
      </c>
      <c r="C27" s="11"/>
      <c r="D27" s="11"/>
      <c r="E27" s="11"/>
      <c r="F27" s="10" t="s">
        <v>237</v>
      </c>
      <c r="G27" s="15" t="s">
        <v>238</v>
      </c>
      <c r="H27" s="23" t="s">
        <v>186</v>
      </c>
      <c r="I27" s="10" t="s">
        <v>53</v>
      </c>
      <c r="J27" s="16"/>
      <c r="K27" s="90" t="s">
        <v>184</v>
      </c>
      <c r="L27" s="2"/>
    </row>
    <row r="28" spans="1:12" x14ac:dyDescent="0.35">
      <c r="A28" s="30"/>
      <c r="B28" s="14">
        <f t="shared" si="0"/>
        <v>23</v>
      </c>
      <c r="C28" s="11"/>
      <c r="D28" s="11"/>
      <c r="E28" s="11"/>
      <c r="F28" s="10" t="s">
        <v>239</v>
      </c>
      <c r="G28" s="15"/>
      <c r="H28" s="23" t="s">
        <v>198</v>
      </c>
      <c r="I28" s="10" t="s">
        <v>53</v>
      </c>
      <c r="J28" s="16"/>
      <c r="K28" s="90" t="s">
        <v>184</v>
      </c>
      <c r="L28" s="2"/>
    </row>
    <row r="29" spans="1:12" x14ac:dyDescent="0.35">
      <c r="A29" s="30"/>
      <c r="B29" s="14">
        <f t="shared" si="0"/>
        <v>24</v>
      </c>
      <c r="C29" s="82"/>
      <c r="D29" s="82"/>
      <c r="E29" s="82"/>
      <c r="F29" s="10" t="s">
        <v>240</v>
      </c>
      <c r="G29" s="10" t="s">
        <v>241</v>
      </c>
      <c r="H29" s="23" t="s">
        <v>186</v>
      </c>
      <c r="I29" s="10" t="s">
        <v>53</v>
      </c>
      <c r="J29" s="16"/>
      <c r="K29" s="90" t="s">
        <v>184</v>
      </c>
      <c r="L29" s="77"/>
    </row>
    <row r="30" spans="1:12" ht="16.5" customHeight="1" x14ac:dyDescent="0.35">
      <c r="A30" s="30"/>
      <c r="B30" s="14">
        <f t="shared" si="0"/>
        <v>25</v>
      </c>
      <c r="C30" s="147"/>
      <c r="D30" s="149"/>
      <c r="E30" s="82"/>
      <c r="F30" s="14" t="s">
        <v>242</v>
      </c>
      <c r="G30" s="10" t="s">
        <v>243</v>
      </c>
      <c r="H30" s="23" t="s">
        <v>198</v>
      </c>
      <c r="I30" s="10" t="s">
        <v>53</v>
      </c>
      <c r="J30" s="16"/>
      <c r="K30" s="90" t="s">
        <v>184</v>
      </c>
      <c r="L30" s="77"/>
    </row>
    <row r="31" spans="1:12" ht="27" x14ac:dyDescent="0.35">
      <c r="A31" s="30"/>
      <c r="B31" s="14">
        <f t="shared" si="0"/>
        <v>26</v>
      </c>
      <c r="C31" s="147"/>
      <c r="D31" s="149"/>
      <c r="E31" s="82"/>
      <c r="F31" s="10" t="s">
        <v>244</v>
      </c>
      <c r="G31" s="10" t="s">
        <v>245</v>
      </c>
      <c r="H31" s="23" t="s">
        <v>186</v>
      </c>
      <c r="I31" s="10" t="s">
        <v>53</v>
      </c>
      <c r="J31" s="16"/>
      <c r="K31" s="90" t="s">
        <v>184</v>
      </c>
      <c r="L31" s="77"/>
    </row>
    <row r="32" spans="1:12" ht="40.5" x14ac:dyDescent="0.35">
      <c r="A32" s="30"/>
      <c r="B32" s="14">
        <f t="shared" si="0"/>
        <v>27</v>
      </c>
      <c r="C32" s="82"/>
      <c r="D32" s="82"/>
      <c r="E32" s="82"/>
      <c r="F32" s="14" t="s">
        <v>246</v>
      </c>
      <c r="G32" s="10" t="s">
        <v>247</v>
      </c>
      <c r="H32" s="14" t="s">
        <v>186</v>
      </c>
      <c r="I32" s="14" t="s">
        <v>53</v>
      </c>
      <c r="J32" s="14"/>
      <c r="K32" s="90" t="s">
        <v>184</v>
      </c>
      <c r="L32" s="77"/>
    </row>
    <row r="33" spans="1:12" ht="40.5" x14ac:dyDescent="0.35">
      <c r="A33" s="30"/>
      <c r="B33" s="14">
        <f t="shared" si="0"/>
        <v>28</v>
      </c>
      <c r="C33" s="82"/>
      <c r="D33" s="82"/>
      <c r="E33" s="82"/>
      <c r="F33" s="10" t="s">
        <v>248</v>
      </c>
      <c r="G33" s="10" t="s">
        <v>249</v>
      </c>
      <c r="H33" s="14" t="s">
        <v>186</v>
      </c>
      <c r="I33" s="14" t="s">
        <v>53</v>
      </c>
      <c r="J33" s="14"/>
      <c r="K33" s="90" t="s">
        <v>184</v>
      </c>
      <c r="L33" s="77"/>
    </row>
    <row r="34" spans="1:12" x14ac:dyDescent="0.35">
      <c r="A34" s="30"/>
      <c r="B34" s="14">
        <f t="shared" si="0"/>
        <v>29</v>
      </c>
      <c r="C34" s="82"/>
      <c r="D34" s="82"/>
      <c r="E34" s="82"/>
      <c r="F34" s="30" t="s">
        <v>250</v>
      </c>
      <c r="G34" s="31" t="s">
        <v>251</v>
      </c>
      <c r="H34" s="14" t="s">
        <v>107</v>
      </c>
      <c r="I34" s="14" t="s">
        <v>53</v>
      </c>
      <c r="J34" s="14"/>
      <c r="K34" s="90" t="s">
        <v>184</v>
      </c>
      <c r="L34" s="77"/>
    </row>
    <row r="35" spans="1:12" ht="27" x14ac:dyDescent="0.35">
      <c r="A35" s="30"/>
      <c r="B35" s="14">
        <f t="shared" si="0"/>
        <v>30</v>
      </c>
      <c r="C35" s="82"/>
      <c r="D35" s="82"/>
      <c r="E35" s="82"/>
      <c r="F35" s="21" t="s">
        <v>252</v>
      </c>
      <c r="G35" s="15" t="s">
        <v>253</v>
      </c>
      <c r="H35" s="14" t="s">
        <v>107</v>
      </c>
      <c r="I35" s="14" t="s">
        <v>53</v>
      </c>
      <c r="J35" s="14"/>
      <c r="K35" s="90" t="s">
        <v>184</v>
      </c>
      <c r="L35" s="77"/>
    </row>
    <row r="36" spans="1:12" x14ac:dyDescent="0.35">
      <c r="A36" s="30"/>
      <c r="B36" s="14">
        <f t="shared" si="0"/>
        <v>31</v>
      </c>
      <c r="C36" s="82"/>
      <c r="D36" s="82"/>
      <c r="E36" s="82"/>
      <c r="F36" s="30" t="s">
        <v>254</v>
      </c>
      <c r="G36" s="10"/>
      <c r="H36" s="14" t="s">
        <v>255</v>
      </c>
      <c r="I36" s="14" t="s">
        <v>53</v>
      </c>
      <c r="J36" s="14"/>
      <c r="K36" s="90" t="s">
        <v>184</v>
      </c>
      <c r="L36" s="77"/>
    </row>
    <row r="37" spans="1:12" x14ac:dyDescent="0.35">
      <c r="A37" s="30"/>
      <c r="B37" s="14">
        <f t="shared" si="0"/>
        <v>32</v>
      </c>
      <c r="C37" s="82"/>
      <c r="D37" s="82"/>
      <c r="E37" s="82"/>
      <c r="F37" s="89" t="s">
        <v>256</v>
      </c>
      <c r="G37" s="10" t="s">
        <v>257</v>
      </c>
      <c r="H37" s="14" t="s">
        <v>57</v>
      </c>
      <c r="I37" s="14" t="s">
        <v>58</v>
      </c>
      <c r="J37" s="14"/>
      <c r="K37" s="90" t="s">
        <v>184</v>
      </c>
      <c r="L37" s="77"/>
    </row>
    <row r="38" spans="1:12" ht="15.75" customHeight="1" x14ac:dyDescent="0.35">
      <c r="A38" s="30"/>
      <c r="B38" s="14">
        <f t="shared" si="0"/>
        <v>33</v>
      </c>
      <c r="C38" s="147"/>
      <c r="D38" s="149"/>
      <c r="E38" s="82"/>
      <c r="F38" s="89" t="s">
        <v>258</v>
      </c>
      <c r="G38" s="10" t="s">
        <v>259</v>
      </c>
      <c r="H38" s="14" t="s">
        <v>186</v>
      </c>
      <c r="I38" s="14" t="s">
        <v>53</v>
      </c>
      <c r="J38" s="14"/>
      <c r="K38" s="90" t="s">
        <v>184</v>
      </c>
      <c r="L38" s="77"/>
    </row>
    <row r="39" spans="1:12" x14ac:dyDescent="0.35">
      <c r="A39" s="30"/>
      <c r="B39" s="14">
        <f t="shared" si="0"/>
        <v>34</v>
      </c>
      <c r="C39" s="147"/>
      <c r="D39" s="149"/>
      <c r="E39" s="82"/>
      <c r="F39" s="89" t="s">
        <v>260</v>
      </c>
      <c r="G39" s="10" t="s">
        <v>261</v>
      </c>
      <c r="H39" s="14" t="s">
        <v>186</v>
      </c>
      <c r="I39" s="14" t="s">
        <v>53</v>
      </c>
      <c r="J39" s="14"/>
      <c r="K39" s="90" t="s">
        <v>184</v>
      </c>
      <c r="L39" s="77"/>
    </row>
    <row r="40" spans="1:12" x14ac:dyDescent="0.35">
      <c r="A40" s="30"/>
      <c r="B40" s="14">
        <f t="shared" si="0"/>
        <v>35</v>
      </c>
      <c r="C40" s="82"/>
      <c r="D40" s="82"/>
      <c r="E40" s="82"/>
      <c r="F40" s="89" t="s">
        <v>262</v>
      </c>
      <c r="G40" s="10" t="s">
        <v>263</v>
      </c>
      <c r="H40" s="14" t="s">
        <v>255</v>
      </c>
      <c r="I40" s="14" t="s">
        <v>79</v>
      </c>
      <c r="J40" s="14"/>
      <c r="K40" s="90" t="s">
        <v>184</v>
      </c>
      <c r="L40" s="77"/>
    </row>
    <row r="41" spans="1:12" ht="27" x14ac:dyDescent="0.35">
      <c r="A41" s="30"/>
      <c r="B41" s="14">
        <f t="shared" si="0"/>
        <v>36</v>
      </c>
      <c r="C41" s="84" t="s">
        <v>264</v>
      </c>
      <c r="D41" s="84"/>
      <c r="E41" s="84"/>
      <c r="F41" s="14" t="s">
        <v>265</v>
      </c>
      <c r="G41" s="10" t="s">
        <v>266</v>
      </c>
      <c r="H41" s="14" t="s">
        <v>107</v>
      </c>
      <c r="I41" s="40" t="s">
        <v>267</v>
      </c>
      <c r="J41" s="14"/>
      <c r="K41" s="90" t="s">
        <v>184</v>
      </c>
      <c r="L41" s="77"/>
    </row>
    <row r="42" spans="1:12" x14ac:dyDescent="0.35">
      <c r="A42" s="30"/>
      <c r="B42" s="14">
        <f t="shared" si="0"/>
        <v>37</v>
      </c>
      <c r="C42" s="82"/>
      <c r="D42" s="82"/>
      <c r="E42" s="82"/>
      <c r="F42" s="14" t="s">
        <v>268</v>
      </c>
      <c r="G42" s="10" t="s">
        <v>269</v>
      </c>
      <c r="H42" s="14" t="s">
        <v>186</v>
      </c>
      <c r="I42" s="14" t="s">
        <v>53</v>
      </c>
      <c r="J42" s="14"/>
      <c r="K42" s="90" t="s">
        <v>184</v>
      </c>
      <c r="L42" s="77"/>
    </row>
    <row r="43" spans="1:12" x14ac:dyDescent="0.35">
      <c r="A43" s="30"/>
      <c r="B43" s="14">
        <f t="shared" si="0"/>
        <v>38</v>
      </c>
      <c r="C43" s="82"/>
      <c r="D43" s="82"/>
      <c r="E43" s="82"/>
      <c r="F43" s="14" t="s">
        <v>270</v>
      </c>
      <c r="G43" s="10" t="s">
        <v>271</v>
      </c>
      <c r="H43" s="14" t="s">
        <v>186</v>
      </c>
      <c r="I43" s="14" t="s">
        <v>53</v>
      </c>
      <c r="J43" s="14"/>
      <c r="K43" s="90" t="s">
        <v>184</v>
      </c>
      <c r="L43" s="77"/>
    </row>
    <row r="44" spans="1:12" x14ac:dyDescent="0.35">
      <c r="A44" s="30"/>
      <c r="B44" s="14">
        <f t="shared" si="0"/>
        <v>39</v>
      </c>
      <c r="C44" s="82"/>
      <c r="D44" s="82"/>
      <c r="E44" s="84" t="s">
        <v>157</v>
      </c>
      <c r="F44" s="14" t="s">
        <v>272</v>
      </c>
      <c r="G44" s="10"/>
      <c r="H44" s="14" t="s">
        <v>57</v>
      </c>
      <c r="I44" s="14" t="s">
        <v>58</v>
      </c>
      <c r="J44" s="14"/>
      <c r="K44" s="90" t="s">
        <v>184</v>
      </c>
      <c r="L44" s="77"/>
    </row>
    <row r="45" spans="1:12" ht="54" x14ac:dyDescent="0.35">
      <c r="A45" s="30"/>
      <c r="B45" s="14">
        <f t="shared" si="0"/>
        <v>40</v>
      </c>
      <c r="C45" s="82"/>
      <c r="D45" s="82"/>
      <c r="E45" s="82"/>
      <c r="F45" s="14" t="s">
        <v>273</v>
      </c>
      <c r="G45" s="10" t="s">
        <v>274</v>
      </c>
      <c r="H45" s="14" t="s">
        <v>107</v>
      </c>
      <c r="I45" s="14">
        <v>0</v>
      </c>
      <c r="J45" s="14"/>
      <c r="K45" s="90" t="s">
        <v>184</v>
      </c>
      <c r="L45" s="77"/>
    </row>
    <row r="46" spans="1:12" ht="40.5" x14ac:dyDescent="0.35">
      <c r="A46" s="30"/>
      <c r="B46" s="14">
        <f t="shared" si="0"/>
        <v>41</v>
      </c>
      <c r="C46" s="82"/>
      <c r="D46" s="82"/>
      <c r="E46" s="84" t="s">
        <v>275</v>
      </c>
      <c r="F46" s="14" t="s">
        <v>275</v>
      </c>
      <c r="G46" s="10" t="s">
        <v>276</v>
      </c>
      <c r="H46" s="14" t="s">
        <v>57</v>
      </c>
      <c r="I46" s="14" t="s">
        <v>58</v>
      </c>
      <c r="J46" s="14"/>
      <c r="K46" s="90" t="s">
        <v>184</v>
      </c>
      <c r="L46" s="77"/>
    </row>
    <row r="47" spans="1:12" ht="27" x14ac:dyDescent="0.35">
      <c r="A47" s="30"/>
      <c r="B47" s="14">
        <f t="shared" si="0"/>
        <v>42</v>
      </c>
      <c r="C47" s="82"/>
      <c r="D47" s="82"/>
      <c r="E47" s="82"/>
      <c r="F47" s="14" t="s">
        <v>277</v>
      </c>
      <c r="G47" s="10" t="s">
        <v>278</v>
      </c>
      <c r="H47" s="14" t="s">
        <v>57</v>
      </c>
      <c r="I47" s="14" t="s">
        <v>58</v>
      </c>
      <c r="J47" s="14"/>
      <c r="K47" s="90" t="s">
        <v>184</v>
      </c>
      <c r="L47" s="77"/>
    </row>
    <row r="48" spans="1:12" ht="40.5" x14ac:dyDescent="0.35">
      <c r="A48" s="30"/>
      <c r="B48" s="14">
        <f t="shared" si="0"/>
        <v>43</v>
      </c>
      <c r="C48" s="82"/>
      <c r="D48" s="82"/>
      <c r="E48" s="84" t="s">
        <v>279</v>
      </c>
      <c r="F48" s="14" t="s">
        <v>280</v>
      </c>
      <c r="G48" s="10" t="s">
        <v>281</v>
      </c>
      <c r="H48" s="14" t="s">
        <v>282</v>
      </c>
      <c r="I48" s="14" t="s">
        <v>53</v>
      </c>
      <c r="J48" s="14"/>
      <c r="K48" s="90" t="s">
        <v>184</v>
      </c>
      <c r="L48" s="77"/>
    </row>
    <row r="49" spans="1:12" ht="40.5" x14ac:dyDescent="0.35">
      <c r="A49" s="30"/>
      <c r="B49" s="14">
        <f t="shared" si="0"/>
        <v>44</v>
      </c>
      <c r="C49" s="82"/>
      <c r="D49" s="82"/>
      <c r="E49" s="82"/>
      <c r="F49" s="14" t="s">
        <v>283</v>
      </c>
      <c r="G49" s="10" t="s">
        <v>284</v>
      </c>
      <c r="H49" s="14" t="s">
        <v>285</v>
      </c>
      <c r="I49" s="14" t="s">
        <v>53</v>
      </c>
      <c r="J49" s="14"/>
      <c r="K49" s="90" t="s">
        <v>184</v>
      </c>
      <c r="L49" s="77"/>
    </row>
    <row r="50" spans="1:12" ht="27" x14ac:dyDescent="0.35">
      <c r="A50" s="30"/>
      <c r="B50" s="14">
        <f t="shared" si="0"/>
        <v>45</v>
      </c>
      <c r="C50" s="82"/>
      <c r="D50" s="82"/>
      <c r="E50" s="84" t="s">
        <v>286</v>
      </c>
      <c r="F50" s="10" t="s">
        <v>287</v>
      </c>
      <c r="G50" s="10"/>
      <c r="H50" s="14" t="s">
        <v>57</v>
      </c>
      <c r="I50" s="14" t="s">
        <v>58</v>
      </c>
      <c r="J50" s="14"/>
      <c r="K50" s="90" t="s">
        <v>184</v>
      </c>
      <c r="L50" s="77"/>
    </row>
    <row r="51" spans="1:12" ht="60" customHeight="1" x14ac:dyDescent="0.35">
      <c r="A51" s="30"/>
      <c r="B51" s="14">
        <f t="shared" si="0"/>
        <v>46</v>
      </c>
      <c r="C51" s="84" t="s">
        <v>288</v>
      </c>
      <c r="D51" s="84"/>
      <c r="E51" s="84"/>
      <c r="F51" s="14" t="s">
        <v>289</v>
      </c>
      <c r="G51" s="10" t="s">
        <v>290</v>
      </c>
      <c r="H51" s="14" t="s">
        <v>57</v>
      </c>
      <c r="I51" s="14" t="s">
        <v>58</v>
      </c>
      <c r="J51" s="14"/>
      <c r="K51" s="90" t="s">
        <v>184</v>
      </c>
      <c r="L51" s="77"/>
    </row>
    <row r="52" spans="1:12" ht="72.75" customHeight="1" x14ac:dyDescent="0.35">
      <c r="A52" s="30"/>
      <c r="B52" s="14">
        <f t="shared" si="0"/>
        <v>47</v>
      </c>
      <c r="C52" s="82"/>
      <c r="D52" s="82"/>
      <c r="E52" s="82"/>
      <c r="F52" s="10" t="s">
        <v>291</v>
      </c>
      <c r="G52" s="10" t="s">
        <v>292</v>
      </c>
      <c r="H52" s="14" t="s">
        <v>57</v>
      </c>
      <c r="I52" s="14" t="s">
        <v>58</v>
      </c>
      <c r="J52" s="14"/>
      <c r="K52" s="90" t="s">
        <v>184</v>
      </c>
      <c r="L52" s="77"/>
    </row>
    <row r="53" spans="1:12" ht="67.5" x14ac:dyDescent="0.35">
      <c r="A53" s="30"/>
      <c r="B53" s="14">
        <f t="shared" si="0"/>
        <v>48</v>
      </c>
      <c r="C53" s="82"/>
      <c r="D53" s="82"/>
      <c r="E53" s="82"/>
      <c r="F53" s="14" t="s">
        <v>293</v>
      </c>
      <c r="G53" s="10" t="s">
        <v>294</v>
      </c>
      <c r="H53" s="14" t="s">
        <v>107</v>
      </c>
      <c r="I53" s="40" t="s">
        <v>267</v>
      </c>
      <c r="J53" s="14"/>
      <c r="K53" s="90" t="s">
        <v>184</v>
      </c>
      <c r="L53" s="77"/>
    </row>
    <row r="54" spans="1:12" ht="27" x14ac:dyDescent="0.35">
      <c r="A54" s="30"/>
      <c r="B54" s="14">
        <f t="shared" si="0"/>
        <v>49</v>
      </c>
      <c r="C54" s="82"/>
      <c r="D54" s="82"/>
      <c r="E54" s="82"/>
      <c r="F54" s="14" t="s">
        <v>295</v>
      </c>
      <c r="G54" s="10" t="s">
        <v>296</v>
      </c>
      <c r="H54" s="14" t="s">
        <v>186</v>
      </c>
      <c r="I54" s="14" t="s">
        <v>53</v>
      </c>
      <c r="J54" s="14"/>
      <c r="K54" s="90" t="s">
        <v>184</v>
      </c>
      <c r="L54" s="77"/>
    </row>
    <row r="55" spans="1:12" ht="27" x14ac:dyDescent="0.35">
      <c r="A55" s="30"/>
      <c r="B55" s="14">
        <f t="shared" si="0"/>
        <v>50</v>
      </c>
      <c r="C55" s="82"/>
      <c r="D55" s="82"/>
      <c r="E55" s="82"/>
      <c r="F55" s="14" t="s">
        <v>297</v>
      </c>
      <c r="G55" s="10" t="s">
        <v>298</v>
      </c>
      <c r="H55" s="14" t="s">
        <v>186</v>
      </c>
      <c r="I55" s="14" t="s">
        <v>53</v>
      </c>
      <c r="J55" s="14"/>
      <c r="K55" s="90" t="s">
        <v>184</v>
      </c>
      <c r="L55" s="77"/>
    </row>
    <row r="56" spans="1:12" x14ac:dyDescent="0.35">
      <c r="A56" s="30"/>
      <c r="B56" s="14">
        <f t="shared" si="0"/>
        <v>51</v>
      </c>
      <c r="C56" s="82"/>
      <c r="D56" s="82"/>
      <c r="E56" s="82"/>
      <c r="F56" s="14" t="s">
        <v>299</v>
      </c>
      <c r="G56" s="10"/>
      <c r="H56" s="14" t="s">
        <v>255</v>
      </c>
      <c r="I56" s="14" t="s">
        <v>300</v>
      </c>
      <c r="J56" s="14"/>
      <c r="K56" s="90" t="s">
        <v>184</v>
      </c>
      <c r="L56" s="77"/>
    </row>
    <row r="57" spans="1:12" ht="27" x14ac:dyDescent="0.35">
      <c r="A57" s="30"/>
      <c r="B57" s="14">
        <f t="shared" si="0"/>
        <v>52</v>
      </c>
      <c r="C57" s="82"/>
      <c r="D57" s="82"/>
      <c r="E57" s="82"/>
      <c r="F57" s="14" t="s">
        <v>301</v>
      </c>
      <c r="G57" s="10" t="s">
        <v>302</v>
      </c>
      <c r="H57" s="14" t="s">
        <v>57</v>
      </c>
      <c r="I57" s="14" t="s">
        <v>58</v>
      </c>
      <c r="J57" s="14"/>
      <c r="K57" s="90" t="s">
        <v>184</v>
      </c>
      <c r="L57" s="77"/>
    </row>
    <row r="58" spans="1:12" ht="60.75" customHeight="1" x14ac:dyDescent="0.35">
      <c r="A58" s="30"/>
      <c r="B58" s="14">
        <f t="shared" si="0"/>
        <v>53</v>
      </c>
      <c r="C58" s="82"/>
      <c r="D58" s="82"/>
      <c r="E58" s="84" t="s">
        <v>303</v>
      </c>
      <c r="F58" s="14" t="s">
        <v>304</v>
      </c>
      <c r="G58" s="10" t="s">
        <v>305</v>
      </c>
      <c r="H58" s="14" t="s">
        <v>57</v>
      </c>
      <c r="I58" s="14" t="s">
        <v>58</v>
      </c>
      <c r="J58" s="14"/>
      <c r="K58" s="90" t="s">
        <v>184</v>
      </c>
      <c r="L58" s="77"/>
    </row>
    <row r="59" spans="1:12" ht="54" x14ac:dyDescent="0.35">
      <c r="A59" s="30"/>
      <c r="B59" s="14">
        <f t="shared" si="0"/>
        <v>54</v>
      </c>
      <c r="C59" s="82"/>
      <c r="D59" s="82"/>
      <c r="E59" s="82"/>
      <c r="F59" s="14" t="s">
        <v>306</v>
      </c>
      <c r="G59" s="10" t="s">
        <v>307</v>
      </c>
      <c r="H59" s="14" t="s">
        <v>186</v>
      </c>
      <c r="I59" s="14" t="s">
        <v>53</v>
      </c>
      <c r="J59" s="14"/>
      <c r="K59" s="90" t="s">
        <v>184</v>
      </c>
      <c r="L59" s="77"/>
    </row>
    <row r="60" spans="1:12" ht="40.5" x14ac:dyDescent="0.35">
      <c r="A60" s="30"/>
      <c r="B60" s="14">
        <f t="shared" si="0"/>
        <v>55</v>
      </c>
      <c r="C60" s="84" t="s">
        <v>308</v>
      </c>
      <c r="D60" s="84"/>
      <c r="E60" s="84"/>
      <c r="F60" s="14" t="s">
        <v>309</v>
      </c>
      <c r="G60" s="10" t="s">
        <v>310</v>
      </c>
      <c r="H60" s="14" t="s">
        <v>311</v>
      </c>
      <c r="I60" s="14" t="s">
        <v>53</v>
      </c>
      <c r="J60" s="14"/>
      <c r="K60" s="90" t="s">
        <v>184</v>
      </c>
      <c r="L60" s="77"/>
    </row>
    <row r="61" spans="1:12" ht="27" x14ac:dyDescent="0.35">
      <c r="A61" s="30"/>
      <c r="B61" s="14">
        <f t="shared" si="0"/>
        <v>56</v>
      </c>
      <c r="C61" s="82"/>
      <c r="D61" s="82"/>
      <c r="E61" s="82"/>
      <c r="F61" s="14" t="s">
        <v>312</v>
      </c>
      <c r="G61" s="10" t="s">
        <v>313</v>
      </c>
      <c r="H61" s="14" t="s">
        <v>107</v>
      </c>
      <c r="I61" s="40" t="s">
        <v>267</v>
      </c>
      <c r="J61" s="14"/>
      <c r="K61" s="90" t="s">
        <v>184</v>
      </c>
      <c r="L61" s="77"/>
    </row>
    <row r="62" spans="1:12" ht="27" x14ac:dyDescent="0.35">
      <c r="A62" s="30"/>
      <c r="B62" s="14">
        <f t="shared" si="0"/>
        <v>57</v>
      </c>
      <c r="C62" s="82"/>
      <c r="D62" s="82"/>
      <c r="E62" s="82"/>
      <c r="F62" s="14" t="s">
        <v>314</v>
      </c>
      <c r="G62" s="10" t="s">
        <v>315</v>
      </c>
      <c r="H62" s="14" t="s">
        <v>107</v>
      </c>
      <c r="I62" s="40" t="s">
        <v>267</v>
      </c>
      <c r="J62" s="14"/>
      <c r="K62" s="90" t="s">
        <v>184</v>
      </c>
      <c r="L62" s="77"/>
    </row>
    <row r="63" spans="1:12" ht="27" x14ac:dyDescent="0.35">
      <c r="A63" s="30"/>
      <c r="B63" s="14">
        <f t="shared" si="0"/>
        <v>58</v>
      </c>
      <c r="C63" s="82"/>
      <c r="D63" s="82"/>
      <c r="E63" s="82"/>
      <c r="F63" s="14" t="s">
        <v>316</v>
      </c>
      <c r="G63" s="10" t="s">
        <v>317</v>
      </c>
      <c r="H63" s="14" t="s">
        <v>107</v>
      </c>
      <c r="I63" s="40" t="s">
        <v>267</v>
      </c>
      <c r="J63" s="14"/>
      <c r="K63" s="90" t="s">
        <v>184</v>
      </c>
      <c r="L63" s="77"/>
    </row>
    <row r="64" spans="1:12" x14ac:dyDescent="0.35">
      <c r="A64" s="30"/>
      <c r="B64" s="14">
        <f t="shared" si="0"/>
        <v>59</v>
      </c>
      <c r="C64" s="82"/>
      <c r="D64" s="82"/>
      <c r="E64" s="82"/>
      <c r="F64" s="14" t="s">
        <v>318</v>
      </c>
      <c r="G64" s="10"/>
      <c r="H64" s="14" t="s">
        <v>195</v>
      </c>
      <c r="I64" s="14" t="s">
        <v>53</v>
      </c>
      <c r="J64" s="14"/>
      <c r="K64" s="90" t="s">
        <v>184</v>
      </c>
      <c r="L64" s="77"/>
    </row>
    <row r="65" spans="1:12" x14ac:dyDescent="0.35">
      <c r="A65" s="30"/>
      <c r="B65" s="14">
        <f t="shared" si="0"/>
        <v>60</v>
      </c>
      <c r="C65" s="82"/>
      <c r="D65" s="82"/>
      <c r="E65" s="82"/>
      <c r="F65" s="14" t="s">
        <v>319</v>
      </c>
      <c r="G65" s="10"/>
      <c r="H65" s="14" t="s">
        <v>195</v>
      </c>
      <c r="I65" s="14" t="s">
        <v>53</v>
      </c>
      <c r="J65" s="14"/>
      <c r="K65" s="90" t="s">
        <v>184</v>
      </c>
      <c r="L65" s="77"/>
    </row>
    <row r="66" spans="1:12" x14ac:dyDescent="0.35">
      <c r="A66" s="30"/>
      <c r="B66" s="14">
        <f t="shared" si="0"/>
        <v>61</v>
      </c>
      <c r="C66" s="41"/>
      <c r="D66" s="41"/>
      <c r="E66" s="41"/>
      <c r="F66" s="14" t="s">
        <v>320</v>
      </c>
      <c r="G66" s="10"/>
      <c r="H66" s="14" t="s">
        <v>195</v>
      </c>
      <c r="I66" s="14" t="s">
        <v>53</v>
      </c>
      <c r="J66" s="14"/>
      <c r="K66" s="90" t="s">
        <v>184</v>
      </c>
      <c r="L66" s="77"/>
    </row>
    <row r="67" spans="1:12" x14ac:dyDescent="0.35">
      <c r="A67" s="30"/>
      <c r="B67" s="14">
        <f t="shared" si="0"/>
        <v>62</v>
      </c>
      <c r="C67" s="82" t="s">
        <v>321</v>
      </c>
      <c r="D67" s="82"/>
      <c r="E67" s="82" t="s">
        <v>322</v>
      </c>
      <c r="F67" s="14" t="s">
        <v>323</v>
      </c>
      <c r="G67" s="10"/>
      <c r="H67" s="14" t="s">
        <v>186</v>
      </c>
      <c r="I67" s="14" t="s">
        <v>53</v>
      </c>
      <c r="J67" s="14"/>
      <c r="K67" s="90" t="s">
        <v>184</v>
      </c>
      <c r="L67" s="77"/>
    </row>
    <row r="68" spans="1:12" x14ac:dyDescent="0.35">
      <c r="A68" s="30"/>
      <c r="B68" s="14">
        <f t="shared" si="0"/>
        <v>63</v>
      </c>
      <c r="C68" s="82"/>
      <c r="D68" s="82"/>
      <c r="E68" s="82"/>
      <c r="F68" s="14" t="s">
        <v>324</v>
      </c>
      <c r="G68" s="10"/>
      <c r="H68" s="14" t="s">
        <v>325</v>
      </c>
      <c r="I68" s="14" t="s">
        <v>326</v>
      </c>
      <c r="J68" s="14"/>
      <c r="K68" s="90" t="s">
        <v>184</v>
      </c>
      <c r="L68" s="77"/>
    </row>
    <row r="69" spans="1:12" x14ac:dyDescent="0.35">
      <c r="A69" s="30"/>
      <c r="B69" s="14">
        <f t="shared" si="0"/>
        <v>64</v>
      </c>
      <c r="C69" s="82"/>
      <c r="D69" s="82"/>
      <c r="E69" s="82"/>
      <c r="F69" s="14" t="s">
        <v>327</v>
      </c>
      <c r="G69" s="10"/>
      <c r="H69" s="14" t="s">
        <v>328</v>
      </c>
      <c r="I69" s="14" t="s">
        <v>53</v>
      </c>
      <c r="J69" s="14"/>
      <c r="K69" s="90" t="s">
        <v>184</v>
      </c>
      <c r="L69" s="77"/>
    </row>
    <row r="70" spans="1:12" x14ac:dyDescent="0.35">
      <c r="A70" s="30"/>
      <c r="B70" s="14">
        <f t="shared" si="0"/>
        <v>65</v>
      </c>
      <c r="C70" s="82"/>
      <c r="D70" s="82"/>
      <c r="E70" s="82"/>
      <c r="F70" s="14" t="s">
        <v>321</v>
      </c>
      <c r="G70" s="10"/>
      <c r="H70" s="14" t="s">
        <v>329</v>
      </c>
      <c r="I70" s="14" t="s">
        <v>53</v>
      </c>
      <c r="J70" s="14"/>
      <c r="K70" s="90" t="s">
        <v>184</v>
      </c>
      <c r="L70" s="77"/>
    </row>
    <row r="71" spans="1:12" x14ac:dyDescent="0.35">
      <c r="A71" s="30"/>
      <c r="B71" s="14">
        <f t="shared" si="0"/>
        <v>66</v>
      </c>
      <c r="C71" s="82"/>
      <c r="D71" s="82"/>
      <c r="E71" s="82"/>
      <c r="F71" s="14" t="s">
        <v>330</v>
      </c>
      <c r="G71" s="10"/>
      <c r="H71" s="14" t="s">
        <v>186</v>
      </c>
      <c r="I71" s="14" t="s">
        <v>53</v>
      </c>
      <c r="J71" s="14"/>
      <c r="K71" s="90" t="s">
        <v>184</v>
      </c>
      <c r="L71" s="77"/>
    </row>
    <row r="72" spans="1:12" x14ac:dyDescent="0.35">
      <c r="A72" s="30"/>
      <c r="B72" s="14">
        <f t="shared" si="0"/>
        <v>67</v>
      </c>
      <c r="C72" s="82"/>
      <c r="D72" s="82"/>
      <c r="E72" s="82"/>
      <c r="F72" s="14" t="s">
        <v>331</v>
      </c>
      <c r="G72" s="10"/>
      <c r="H72" s="14" t="s">
        <v>332</v>
      </c>
      <c r="I72" s="14" t="s">
        <v>53</v>
      </c>
      <c r="J72" s="14"/>
      <c r="K72" s="90" t="s">
        <v>184</v>
      </c>
      <c r="L72" s="77"/>
    </row>
    <row r="73" spans="1:12" x14ac:dyDescent="0.35">
      <c r="A73" s="30"/>
      <c r="B73" s="14">
        <f t="shared" si="0"/>
        <v>68</v>
      </c>
      <c r="C73" s="41"/>
      <c r="D73" s="41"/>
      <c r="E73" s="41"/>
      <c r="F73" s="14" t="s">
        <v>333</v>
      </c>
      <c r="G73" s="10"/>
      <c r="H73" s="14" t="s">
        <v>334</v>
      </c>
      <c r="I73" s="14" t="s">
        <v>53</v>
      </c>
      <c r="J73" s="14"/>
      <c r="K73" s="90" t="s">
        <v>184</v>
      </c>
      <c r="L73" s="77"/>
    </row>
    <row r="74" spans="1:12" x14ac:dyDescent="0.35">
      <c r="A74" s="30"/>
      <c r="B74" s="41">
        <f t="shared" si="0"/>
        <v>69</v>
      </c>
      <c r="C74" s="82" t="s">
        <v>335</v>
      </c>
      <c r="D74" s="82"/>
      <c r="E74" s="82"/>
      <c r="F74" s="14" t="s">
        <v>336</v>
      </c>
      <c r="G74" s="10"/>
      <c r="H74" s="14" t="s">
        <v>186</v>
      </c>
      <c r="I74" s="14" t="s">
        <v>53</v>
      </c>
      <c r="J74" s="14"/>
      <c r="K74" s="90" t="s">
        <v>184</v>
      </c>
      <c r="L74" s="77"/>
    </row>
    <row r="75" spans="1:12" x14ac:dyDescent="0.35">
      <c r="A75" s="30"/>
      <c r="B75" s="14">
        <f t="shared" si="0"/>
        <v>70</v>
      </c>
      <c r="C75" s="82"/>
      <c r="D75" s="82"/>
      <c r="E75" s="84" t="s">
        <v>337</v>
      </c>
      <c r="F75" s="14" t="s">
        <v>338</v>
      </c>
      <c r="G75" s="10"/>
      <c r="H75" s="14" t="s">
        <v>339</v>
      </c>
      <c r="I75" s="14" t="s">
        <v>53</v>
      </c>
      <c r="J75" s="14"/>
      <c r="K75" s="90" t="s">
        <v>184</v>
      </c>
      <c r="L75" s="77"/>
    </row>
    <row r="76" spans="1:12" x14ac:dyDescent="0.35">
      <c r="A76" s="30"/>
      <c r="B76" s="14">
        <f t="shared" ref="B76:B84" si="1">ROW() - 5</f>
        <v>71</v>
      </c>
      <c r="C76" s="82"/>
      <c r="D76" s="82"/>
      <c r="E76" s="82"/>
      <c r="F76" s="14" t="s">
        <v>340</v>
      </c>
      <c r="G76" s="10"/>
      <c r="H76" s="14" t="s">
        <v>341</v>
      </c>
      <c r="I76" s="14" t="s">
        <v>53</v>
      </c>
      <c r="J76" s="14"/>
      <c r="K76" s="90" t="s">
        <v>184</v>
      </c>
      <c r="L76" s="77"/>
    </row>
    <row r="77" spans="1:12" x14ac:dyDescent="0.35">
      <c r="A77" s="30"/>
      <c r="B77" s="14">
        <f t="shared" si="1"/>
        <v>72</v>
      </c>
      <c r="C77" s="82"/>
      <c r="D77" s="82"/>
      <c r="E77" s="82"/>
      <c r="F77" s="14" t="s">
        <v>342</v>
      </c>
      <c r="G77" s="10"/>
      <c r="H77" s="14" t="s">
        <v>337</v>
      </c>
      <c r="I77" s="14" t="s">
        <v>53</v>
      </c>
      <c r="J77" s="14"/>
      <c r="K77" s="90" t="s">
        <v>184</v>
      </c>
      <c r="L77" s="77"/>
    </row>
    <row r="78" spans="1:12" x14ac:dyDescent="0.35">
      <c r="A78" s="30"/>
      <c r="B78" s="14">
        <f t="shared" si="1"/>
        <v>73</v>
      </c>
      <c r="C78" s="82"/>
      <c r="D78" s="82"/>
      <c r="E78" s="82"/>
      <c r="F78" s="14" t="s">
        <v>53</v>
      </c>
      <c r="G78" s="10"/>
      <c r="H78" s="14" t="s">
        <v>186</v>
      </c>
      <c r="I78" s="14" t="s">
        <v>53</v>
      </c>
      <c r="J78" s="14"/>
      <c r="K78" s="90" t="s">
        <v>184</v>
      </c>
      <c r="L78" s="77"/>
    </row>
    <row r="79" spans="1:12" x14ac:dyDescent="0.35">
      <c r="A79" s="30"/>
      <c r="B79" s="14">
        <f t="shared" si="1"/>
        <v>74</v>
      </c>
      <c r="C79" s="82"/>
      <c r="D79" s="82"/>
      <c r="E79" s="82"/>
      <c r="F79" s="14" t="s">
        <v>343</v>
      </c>
      <c r="G79" s="10"/>
      <c r="H79" s="14" t="s">
        <v>344</v>
      </c>
      <c r="I79" s="14" t="s">
        <v>53</v>
      </c>
      <c r="J79" s="14"/>
      <c r="K79" s="90" t="s">
        <v>184</v>
      </c>
      <c r="L79" s="77"/>
    </row>
    <row r="80" spans="1:12" x14ac:dyDescent="0.35">
      <c r="A80" s="30"/>
      <c r="B80" s="14">
        <f t="shared" si="1"/>
        <v>75</v>
      </c>
      <c r="C80" s="82"/>
      <c r="D80" s="82"/>
      <c r="E80" s="84" t="s">
        <v>345</v>
      </c>
      <c r="F80" s="14" t="s">
        <v>346</v>
      </c>
      <c r="G80" s="10"/>
      <c r="H80" s="14" t="s">
        <v>347</v>
      </c>
      <c r="I80" s="14" t="s">
        <v>53</v>
      </c>
      <c r="J80" s="14"/>
      <c r="K80" s="90" t="s">
        <v>184</v>
      </c>
      <c r="L80" s="77"/>
    </row>
    <row r="81" spans="1:12" x14ac:dyDescent="0.35">
      <c r="A81" s="30"/>
      <c r="B81" s="14">
        <f t="shared" si="1"/>
        <v>76</v>
      </c>
      <c r="C81" s="82"/>
      <c r="D81" s="82"/>
      <c r="E81" s="41"/>
      <c r="F81" s="14" t="s">
        <v>348</v>
      </c>
      <c r="G81" s="10"/>
      <c r="H81" s="14" t="s">
        <v>349</v>
      </c>
      <c r="I81" s="14" t="s">
        <v>53</v>
      </c>
      <c r="J81" s="14"/>
      <c r="K81" s="90" t="s">
        <v>184</v>
      </c>
      <c r="L81" s="77"/>
    </row>
    <row r="82" spans="1:12" x14ac:dyDescent="0.35">
      <c r="A82" s="30"/>
      <c r="B82" s="14">
        <f t="shared" si="1"/>
        <v>77</v>
      </c>
      <c r="C82" s="82"/>
      <c r="D82" s="82"/>
      <c r="E82" s="82"/>
      <c r="F82" s="14" t="s">
        <v>350</v>
      </c>
      <c r="G82" s="10"/>
      <c r="H82" s="14" t="s">
        <v>351</v>
      </c>
      <c r="I82" s="14" t="s">
        <v>53</v>
      </c>
      <c r="J82" s="14"/>
      <c r="K82" s="90" t="s">
        <v>184</v>
      </c>
      <c r="L82" s="77"/>
    </row>
    <row r="83" spans="1:12" x14ac:dyDescent="0.35">
      <c r="A83" s="30"/>
      <c r="B83" s="14">
        <f t="shared" si="1"/>
        <v>78</v>
      </c>
      <c r="C83" s="41"/>
      <c r="D83" s="41"/>
      <c r="E83" s="41"/>
      <c r="F83" s="14" t="s">
        <v>352</v>
      </c>
      <c r="G83" s="10"/>
      <c r="H83" s="14" t="s">
        <v>107</v>
      </c>
      <c r="I83" s="14" t="s">
        <v>53</v>
      </c>
      <c r="J83" s="14"/>
      <c r="K83" s="90" t="s">
        <v>184</v>
      </c>
      <c r="L83" s="77"/>
    </row>
    <row r="84" spans="1:12" x14ac:dyDescent="0.35">
      <c r="A84" s="30"/>
      <c r="B84" s="14">
        <f t="shared" si="1"/>
        <v>79</v>
      </c>
      <c r="C84" s="14" t="s">
        <v>353</v>
      </c>
      <c r="D84" s="14"/>
      <c r="E84" s="14"/>
      <c r="F84" s="14" t="s">
        <v>354</v>
      </c>
      <c r="G84" s="10" t="s">
        <v>355</v>
      </c>
      <c r="H84" s="14" t="s">
        <v>53</v>
      </c>
      <c r="I84" s="14" t="s">
        <v>53</v>
      </c>
      <c r="J84" s="14"/>
      <c r="K84" s="90" t="s">
        <v>184</v>
      </c>
      <c r="L84" s="77"/>
    </row>
  </sheetData>
  <mergeCells count="5">
    <mergeCell ref="E19:E20"/>
    <mergeCell ref="C30:C31"/>
    <mergeCell ref="D30:D31"/>
    <mergeCell ref="C38:C39"/>
    <mergeCell ref="D38:D39"/>
  </mergeCells>
  <phoneticPr fontId="11"/>
  <hyperlinks>
    <hyperlink ref="A4" location="パラメータ設定一覧!A1" display="パラメータ設定一覧へ" xr:uid="{080CC2C3-C675-42C4-9CF5-D1468ECF6B63}"/>
  </hyperlinks>
  <pageMargins left="0.70866141732283472" right="0.70866141732283472" top="0.74803149606299213" bottom="0.74803149606299213" header="0.31496062992125984" footer="0.31496062992125984"/>
  <pageSetup paperSize="9" scale="23"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C848-D77A-4EDF-AE37-834A46980A48}">
  <sheetPr>
    <pageSetUpPr fitToPage="1"/>
  </sheetPr>
  <dimension ref="A1:CK41"/>
  <sheetViews>
    <sheetView showGridLines="0" zoomScaleNormal="100" zoomScaleSheetLayoutView="70" workbookViewId="0">
      <pane xSplit="6" ySplit="7" topLeftCell="G8" activePane="bottomRight" state="frozen"/>
      <selection pane="topRight" activeCell="N8" sqref="N8"/>
      <selection pane="bottomLeft" activeCell="N8" sqref="N8"/>
      <selection pane="bottomRight" activeCell="N8" sqref="N8"/>
    </sheetView>
  </sheetViews>
  <sheetFormatPr defaultColWidth="8.78515625" defaultRowHeight="15.75" customHeight="1" x14ac:dyDescent="0.35"/>
  <cols>
    <col min="1" max="1" width="2.640625" style="29" customWidth="1"/>
    <col min="2" max="2" width="3.5703125" style="29" bestFit="1" customWidth="1"/>
    <col min="3" max="3" width="12.35546875" style="29" customWidth="1"/>
    <col min="4" max="4" width="16.35546875" style="29" customWidth="1"/>
    <col min="5" max="5" width="24.42578125" style="29" customWidth="1"/>
    <col min="6" max="6" width="24.42578125" style="29" bestFit="1" customWidth="1"/>
    <col min="7" max="9" width="19.5703125" style="29" customWidth="1"/>
    <col min="10" max="10" width="25" style="29" bestFit="1" customWidth="1"/>
    <col min="11" max="17" width="19.5703125" style="29" customWidth="1"/>
    <col min="18" max="18" width="30" style="29" bestFit="1" customWidth="1"/>
    <col min="19" max="89" width="19.5703125" style="29" customWidth="1"/>
    <col min="90" max="16384" width="8.78515625" style="29"/>
  </cols>
  <sheetData>
    <row r="1" spans="1:89" customFormat="1" ht="19.5" x14ac:dyDescent="0.35">
      <c r="A1" s="5" t="s">
        <v>356</v>
      </c>
    </row>
    <row r="2" spans="1:89" customFormat="1" ht="15.75" customHeight="1" x14ac:dyDescent="0.35"/>
    <row r="3" spans="1:89" customFormat="1" ht="15" x14ac:dyDescent="0.35">
      <c r="A3" s="6" t="s">
        <v>34</v>
      </c>
    </row>
    <row r="4" spans="1:89" ht="15.75" customHeight="1" x14ac:dyDescent="0.35">
      <c r="B4" s="150" t="s">
        <v>35</v>
      </c>
      <c r="C4" s="154" t="s">
        <v>180</v>
      </c>
      <c r="D4" s="155"/>
      <c r="E4" s="75"/>
      <c r="F4" s="75"/>
      <c r="G4" s="75"/>
      <c r="H4" s="75"/>
      <c r="I4" s="75"/>
      <c r="J4" s="75"/>
      <c r="K4" s="75"/>
      <c r="L4" s="75"/>
      <c r="M4" s="75"/>
      <c r="N4" s="75"/>
      <c r="O4" s="75"/>
      <c r="P4" s="75"/>
      <c r="Q4" s="75"/>
      <c r="R4" s="75"/>
      <c r="S4" s="75"/>
      <c r="T4" s="75"/>
      <c r="U4" s="49"/>
      <c r="V4" s="75" t="s">
        <v>232</v>
      </c>
      <c r="W4" s="75"/>
      <c r="X4" s="75"/>
      <c r="Y4" s="75"/>
      <c r="Z4" s="75"/>
      <c r="AA4" s="75"/>
      <c r="AB4" s="75"/>
      <c r="AC4" s="75"/>
      <c r="AD4" s="75"/>
      <c r="AE4" s="75"/>
      <c r="AF4" s="75"/>
      <c r="AG4" s="75"/>
      <c r="AH4" s="75"/>
      <c r="AI4" s="75"/>
      <c r="AJ4" s="75"/>
      <c r="AK4" s="49"/>
      <c r="AL4" s="75" t="s">
        <v>264</v>
      </c>
      <c r="AM4" s="75"/>
      <c r="AN4" s="75"/>
      <c r="AO4" s="75"/>
      <c r="AP4" s="75"/>
      <c r="AQ4" s="75"/>
      <c r="AR4" s="75"/>
      <c r="AS4" s="75"/>
      <c r="AT4" s="75"/>
      <c r="AU4" s="49"/>
      <c r="AV4" s="75" t="s">
        <v>288</v>
      </c>
      <c r="AW4" s="75"/>
      <c r="AX4" s="75"/>
      <c r="AY4" s="75"/>
      <c r="AZ4" s="75"/>
      <c r="BA4" s="75"/>
      <c r="BB4" s="75"/>
      <c r="BC4" s="75"/>
      <c r="BD4" s="49"/>
      <c r="BE4" s="75" t="s">
        <v>308</v>
      </c>
      <c r="BF4" s="75"/>
      <c r="BG4" s="75"/>
      <c r="BH4" s="75"/>
      <c r="BI4" s="75"/>
      <c r="BJ4" s="75"/>
      <c r="BK4" s="49"/>
      <c r="BL4" s="75" t="s">
        <v>321</v>
      </c>
      <c r="BM4" s="75"/>
      <c r="BN4" s="75"/>
      <c r="BO4" s="75"/>
      <c r="BP4" s="75"/>
      <c r="BQ4" s="75"/>
      <c r="BR4" s="75"/>
      <c r="BS4" s="48"/>
      <c r="BT4" s="75" t="s">
        <v>335</v>
      </c>
      <c r="BU4" s="75"/>
      <c r="BV4" s="75"/>
      <c r="BW4" s="75"/>
      <c r="BX4" s="75"/>
      <c r="BY4" s="75"/>
      <c r="BZ4" s="75"/>
      <c r="CA4" s="75"/>
      <c r="CB4" s="75"/>
      <c r="CC4" s="49"/>
      <c r="CD4" s="75" t="s">
        <v>357</v>
      </c>
      <c r="CE4" s="75"/>
      <c r="CF4" s="75"/>
      <c r="CG4" s="75"/>
      <c r="CH4" s="75"/>
      <c r="CI4" s="75"/>
      <c r="CJ4" s="75"/>
      <c r="CK4" s="75"/>
    </row>
    <row r="5" spans="1:89" ht="13.5" x14ac:dyDescent="0.35">
      <c r="B5" s="150"/>
      <c r="C5" s="42" t="s">
        <v>177</v>
      </c>
      <c r="D5" s="43"/>
      <c r="E5" s="43"/>
      <c r="F5" s="44"/>
      <c r="G5" s="42" t="s">
        <v>192</v>
      </c>
      <c r="H5" s="43"/>
      <c r="I5" s="43"/>
      <c r="J5" s="43"/>
      <c r="K5" s="43"/>
      <c r="L5" s="43"/>
      <c r="M5" s="42" t="s">
        <v>207</v>
      </c>
      <c r="N5" s="43"/>
      <c r="O5" s="42" t="s">
        <v>212</v>
      </c>
      <c r="P5" s="42" t="s">
        <v>216</v>
      </c>
      <c r="Q5" s="43"/>
      <c r="R5" s="43"/>
      <c r="S5" s="43"/>
      <c r="T5" s="42" t="s">
        <v>228</v>
      </c>
      <c r="U5" s="44"/>
      <c r="V5" s="24"/>
      <c r="W5" s="25"/>
      <c r="X5" s="25"/>
      <c r="Y5" s="25"/>
      <c r="Z5" s="25"/>
      <c r="AA5" s="25"/>
      <c r="AB5" s="25"/>
      <c r="AC5" s="25"/>
      <c r="AD5" s="25"/>
      <c r="AE5" s="25"/>
      <c r="AF5" s="25"/>
      <c r="AG5" s="25"/>
      <c r="AH5" s="25"/>
      <c r="AI5" s="25"/>
      <c r="AJ5" s="25"/>
      <c r="AK5" s="26"/>
      <c r="AL5" s="24"/>
      <c r="AM5" s="25"/>
      <c r="AN5" s="26"/>
      <c r="AO5" s="43" t="s">
        <v>157</v>
      </c>
      <c r="AP5" s="43"/>
      <c r="AQ5" s="42" t="s">
        <v>275</v>
      </c>
      <c r="AR5" s="43"/>
      <c r="AS5" s="42" t="s">
        <v>279</v>
      </c>
      <c r="AT5" s="43"/>
      <c r="AU5" s="46" t="s">
        <v>286</v>
      </c>
      <c r="AV5" s="24"/>
      <c r="AW5" s="25"/>
      <c r="AX5" s="25"/>
      <c r="AY5" s="25"/>
      <c r="AZ5" s="25"/>
      <c r="BA5" s="25"/>
      <c r="BB5" s="25"/>
      <c r="BC5" s="42" t="s">
        <v>303</v>
      </c>
      <c r="BD5" s="44"/>
      <c r="BE5" s="24"/>
      <c r="BF5" s="25"/>
      <c r="BG5" s="25"/>
      <c r="BH5" s="25"/>
      <c r="BI5" s="25"/>
      <c r="BJ5" s="25"/>
      <c r="BK5" s="26"/>
      <c r="BL5" s="74"/>
      <c r="BM5" s="43" t="s">
        <v>95</v>
      </c>
      <c r="BN5" s="43"/>
      <c r="BO5" s="43"/>
      <c r="BP5" s="43"/>
      <c r="BQ5" s="43"/>
      <c r="BR5" s="43"/>
      <c r="BS5" s="44"/>
      <c r="BT5" s="25"/>
      <c r="BU5" s="42" t="s">
        <v>337</v>
      </c>
      <c r="BV5" s="43"/>
      <c r="BW5" s="43"/>
      <c r="BX5" s="43"/>
      <c r="BY5" s="43"/>
      <c r="BZ5" s="42" t="s">
        <v>358</v>
      </c>
      <c r="CA5" s="43"/>
      <c r="CB5" s="43"/>
      <c r="CC5" s="44"/>
      <c r="CD5" s="43" t="s">
        <v>354</v>
      </c>
      <c r="CE5" s="43"/>
      <c r="CF5" s="43"/>
      <c r="CG5" s="43"/>
      <c r="CH5" s="43"/>
      <c r="CI5" s="43"/>
      <c r="CJ5" s="43"/>
      <c r="CK5" s="43"/>
    </row>
    <row r="6" spans="1:89" ht="27" x14ac:dyDescent="0.35">
      <c r="B6" s="150"/>
      <c r="C6" s="45" t="s">
        <v>359</v>
      </c>
      <c r="D6" s="45" t="s">
        <v>25</v>
      </c>
      <c r="E6" s="45" t="s">
        <v>188</v>
      </c>
      <c r="F6" s="45" t="s">
        <v>190</v>
      </c>
      <c r="G6" s="45" t="s">
        <v>193</v>
      </c>
      <c r="H6" s="45" t="s">
        <v>196</v>
      </c>
      <c r="I6" s="45" t="s">
        <v>360</v>
      </c>
      <c r="J6" s="45" t="s">
        <v>201</v>
      </c>
      <c r="K6" s="45" t="s">
        <v>361</v>
      </c>
      <c r="L6" s="45" t="s">
        <v>29</v>
      </c>
      <c r="M6" s="45" t="s">
        <v>207</v>
      </c>
      <c r="N6" s="45" t="s">
        <v>362</v>
      </c>
      <c r="O6" s="45" t="s">
        <v>213</v>
      </c>
      <c r="P6" s="45" t="s">
        <v>217</v>
      </c>
      <c r="Q6" s="45" t="s">
        <v>220</v>
      </c>
      <c r="R6" s="45" t="s">
        <v>222</v>
      </c>
      <c r="S6" s="45" t="s">
        <v>226</v>
      </c>
      <c r="T6" s="45" t="s">
        <v>229</v>
      </c>
      <c r="U6" s="45" t="s">
        <v>231</v>
      </c>
      <c r="V6" s="45" t="s">
        <v>233</v>
      </c>
      <c r="W6" s="45" t="s">
        <v>235</v>
      </c>
      <c r="X6" s="45" t="s">
        <v>237</v>
      </c>
      <c r="Y6" s="45" t="s">
        <v>239</v>
      </c>
      <c r="Z6" s="45" t="s">
        <v>240</v>
      </c>
      <c r="AA6" s="45" t="s">
        <v>242</v>
      </c>
      <c r="AB6" s="45" t="s">
        <v>363</v>
      </c>
      <c r="AC6" s="45" t="s">
        <v>246</v>
      </c>
      <c r="AD6" s="45" t="s">
        <v>248</v>
      </c>
      <c r="AE6" s="45" t="s">
        <v>250</v>
      </c>
      <c r="AF6" s="45" t="s">
        <v>364</v>
      </c>
      <c r="AG6" s="45" t="s">
        <v>254</v>
      </c>
      <c r="AH6" s="45" t="s">
        <v>256</v>
      </c>
      <c r="AI6" s="45" t="s">
        <v>258</v>
      </c>
      <c r="AJ6" s="45" t="s">
        <v>260</v>
      </c>
      <c r="AK6" s="45" t="s">
        <v>262</v>
      </c>
      <c r="AL6" s="45" t="s">
        <v>265</v>
      </c>
      <c r="AM6" s="45" t="s">
        <v>268</v>
      </c>
      <c r="AN6" s="45" t="s">
        <v>365</v>
      </c>
      <c r="AO6" s="45" t="s">
        <v>366</v>
      </c>
      <c r="AP6" s="45" t="s">
        <v>273</v>
      </c>
      <c r="AQ6" s="45" t="s">
        <v>275</v>
      </c>
      <c r="AR6" s="45" t="s">
        <v>277</v>
      </c>
      <c r="AS6" s="45" t="s">
        <v>280</v>
      </c>
      <c r="AT6" s="45" t="s">
        <v>283</v>
      </c>
      <c r="AU6" s="45" t="s">
        <v>367</v>
      </c>
      <c r="AV6" s="45" t="s">
        <v>289</v>
      </c>
      <c r="AW6" s="45" t="s">
        <v>368</v>
      </c>
      <c r="AX6" s="45" t="s">
        <v>369</v>
      </c>
      <c r="AY6" s="45" t="s">
        <v>295</v>
      </c>
      <c r="AZ6" s="45" t="s">
        <v>297</v>
      </c>
      <c r="BA6" s="45" t="s">
        <v>299</v>
      </c>
      <c r="BB6" s="45" t="s">
        <v>301</v>
      </c>
      <c r="BC6" s="45" t="s">
        <v>304</v>
      </c>
      <c r="BD6" s="45" t="s">
        <v>306</v>
      </c>
      <c r="BE6" s="45" t="s">
        <v>370</v>
      </c>
      <c r="BF6" s="45" t="s">
        <v>371</v>
      </c>
      <c r="BG6" s="45" t="s">
        <v>314</v>
      </c>
      <c r="BH6" s="45" t="s">
        <v>316</v>
      </c>
      <c r="BI6" s="45" t="s">
        <v>318</v>
      </c>
      <c r="BJ6" s="45" t="s">
        <v>319</v>
      </c>
      <c r="BK6" s="45" t="s">
        <v>320</v>
      </c>
      <c r="BL6" s="45" t="s">
        <v>321</v>
      </c>
      <c r="BM6" s="45" t="s">
        <v>323</v>
      </c>
      <c r="BN6" s="45" t="s">
        <v>324</v>
      </c>
      <c r="BO6" s="45" t="s">
        <v>327</v>
      </c>
      <c r="BP6" s="45" t="s">
        <v>321</v>
      </c>
      <c r="BQ6" s="45" t="s">
        <v>372</v>
      </c>
      <c r="BR6" s="45" t="s">
        <v>331</v>
      </c>
      <c r="BS6" s="45" t="s">
        <v>333</v>
      </c>
      <c r="BT6" s="45" t="s">
        <v>336</v>
      </c>
      <c r="BU6" s="45" t="s">
        <v>337</v>
      </c>
      <c r="BV6" s="45" t="s">
        <v>340</v>
      </c>
      <c r="BW6" s="45" t="s">
        <v>342</v>
      </c>
      <c r="BX6" s="45" t="s">
        <v>53</v>
      </c>
      <c r="BY6" s="45" t="s">
        <v>343</v>
      </c>
      <c r="BZ6" s="45" t="s">
        <v>346</v>
      </c>
      <c r="CA6" s="45" t="s">
        <v>348</v>
      </c>
      <c r="CB6" s="45" t="s">
        <v>350</v>
      </c>
      <c r="CC6" s="45" t="s">
        <v>352</v>
      </c>
      <c r="CD6" s="47" t="s">
        <v>373</v>
      </c>
      <c r="CE6" s="47" t="s">
        <v>374</v>
      </c>
      <c r="CF6" s="47" t="s">
        <v>375</v>
      </c>
      <c r="CG6" s="47" t="s">
        <v>376</v>
      </c>
      <c r="CH6" s="47" t="s">
        <v>377</v>
      </c>
      <c r="CI6" s="47" t="s">
        <v>378</v>
      </c>
      <c r="CJ6" s="47" t="s">
        <v>379</v>
      </c>
      <c r="CK6" s="45" t="s">
        <v>380</v>
      </c>
    </row>
    <row r="7" spans="1:89" ht="14.25" customHeight="1" x14ac:dyDescent="0.35">
      <c r="A7" s="92"/>
      <c r="B7" s="150"/>
      <c r="C7" s="4"/>
      <c r="D7" s="4" t="s">
        <v>186</v>
      </c>
      <c r="E7" s="4" t="s">
        <v>186</v>
      </c>
      <c r="F7" s="4" t="s">
        <v>186</v>
      </c>
      <c r="G7" s="4" t="s">
        <v>381</v>
      </c>
      <c r="H7" s="4" t="s">
        <v>186</v>
      </c>
      <c r="I7" s="4" t="s">
        <v>186</v>
      </c>
      <c r="J7" s="4" t="s">
        <v>186</v>
      </c>
      <c r="K7" s="4" t="s">
        <v>186</v>
      </c>
      <c r="L7" s="4" t="s">
        <v>186</v>
      </c>
      <c r="M7" s="4" t="s">
        <v>207</v>
      </c>
      <c r="N7" s="4" t="s">
        <v>57</v>
      </c>
      <c r="O7" s="4"/>
      <c r="P7" s="4" t="s">
        <v>219</v>
      </c>
      <c r="Q7" s="4" t="s">
        <v>219</v>
      </c>
      <c r="R7" s="4"/>
      <c r="S7" s="4" t="s">
        <v>107</v>
      </c>
      <c r="T7" s="4" t="s">
        <v>382</v>
      </c>
      <c r="U7" s="4" t="s">
        <v>219</v>
      </c>
      <c r="V7" s="4" t="s">
        <v>186</v>
      </c>
      <c r="W7" s="4" t="s">
        <v>186</v>
      </c>
      <c r="X7" s="4" t="s">
        <v>186</v>
      </c>
      <c r="Y7" s="4" t="s">
        <v>186</v>
      </c>
      <c r="Z7" s="4" t="s">
        <v>186</v>
      </c>
      <c r="AA7" s="4" t="s">
        <v>186</v>
      </c>
      <c r="AB7" s="4" t="s">
        <v>186</v>
      </c>
      <c r="AC7" s="4" t="s">
        <v>186</v>
      </c>
      <c r="AD7" s="4" t="s">
        <v>186</v>
      </c>
      <c r="AE7" s="4" t="s">
        <v>186</v>
      </c>
      <c r="AF7" s="4" t="s">
        <v>186</v>
      </c>
      <c r="AG7" s="4" t="s">
        <v>383</v>
      </c>
      <c r="AH7" s="4" t="s">
        <v>57</v>
      </c>
      <c r="AI7" s="4" t="s">
        <v>186</v>
      </c>
      <c r="AJ7" s="4" t="s">
        <v>186</v>
      </c>
      <c r="AK7" s="4" t="s">
        <v>384</v>
      </c>
      <c r="AL7" s="4" t="s">
        <v>186</v>
      </c>
      <c r="AM7" s="4" t="s">
        <v>186</v>
      </c>
      <c r="AN7" s="4" t="s">
        <v>186</v>
      </c>
      <c r="AO7" s="4" t="s">
        <v>57</v>
      </c>
      <c r="AP7" s="4" t="s">
        <v>107</v>
      </c>
      <c r="AQ7" s="4" t="s">
        <v>57</v>
      </c>
      <c r="AR7" s="4" t="s">
        <v>57</v>
      </c>
      <c r="AS7" s="4" t="s">
        <v>382</v>
      </c>
      <c r="AT7" s="4" t="s">
        <v>382</v>
      </c>
      <c r="AU7" s="4" t="s">
        <v>57</v>
      </c>
      <c r="AV7" s="4" t="s">
        <v>57</v>
      </c>
      <c r="AW7" s="4" t="s">
        <v>57</v>
      </c>
      <c r="AX7" s="4" t="s">
        <v>107</v>
      </c>
      <c r="AY7" s="4" t="s">
        <v>186</v>
      </c>
      <c r="AZ7" s="4" t="s">
        <v>186</v>
      </c>
      <c r="BA7" s="4" t="s">
        <v>186</v>
      </c>
      <c r="BB7" s="4" t="s">
        <v>57</v>
      </c>
      <c r="BC7" s="4" t="s">
        <v>57</v>
      </c>
      <c r="BD7" s="4" t="s">
        <v>186</v>
      </c>
      <c r="BE7" s="4" t="s">
        <v>382</v>
      </c>
      <c r="BF7" s="4" t="s">
        <v>107</v>
      </c>
      <c r="BG7" s="4" t="s">
        <v>107</v>
      </c>
      <c r="BH7" s="4" t="s">
        <v>107</v>
      </c>
      <c r="BI7" s="4" t="s">
        <v>382</v>
      </c>
      <c r="BJ7" s="4" t="s">
        <v>382</v>
      </c>
      <c r="BK7" s="4" t="s">
        <v>382</v>
      </c>
      <c r="BL7" s="4"/>
      <c r="BM7" s="4" t="s">
        <v>186</v>
      </c>
      <c r="BN7" s="4" t="s">
        <v>325</v>
      </c>
      <c r="BO7" s="4" t="s">
        <v>328</v>
      </c>
      <c r="BP7" s="4" t="s">
        <v>385</v>
      </c>
      <c r="BQ7" s="4" t="s">
        <v>186</v>
      </c>
      <c r="BR7" s="4" t="s">
        <v>332</v>
      </c>
      <c r="BS7" s="4" t="s">
        <v>334</v>
      </c>
      <c r="BT7" s="4" t="s">
        <v>186</v>
      </c>
      <c r="BU7" s="4" t="s">
        <v>107</v>
      </c>
      <c r="BV7" s="4" t="s">
        <v>107</v>
      </c>
      <c r="BW7" s="4" t="s">
        <v>107</v>
      </c>
      <c r="BX7" s="4" t="s">
        <v>107</v>
      </c>
      <c r="BY7" s="4" t="s">
        <v>107</v>
      </c>
      <c r="BZ7" s="4" t="s">
        <v>186</v>
      </c>
      <c r="CA7" s="4" t="s">
        <v>186</v>
      </c>
      <c r="CB7" s="4" t="s">
        <v>186</v>
      </c>
      <c r="CC7" s="4" t="s">
        <v>186</v>
      </c>
      <c r="CD7" s="4" t="s">
        <v>382</v>
      </c>
      <c r="CE7" s="4" t="s">
        <v>382</v>
      </c>
      <c r="CF7" s="4" t="s">
        <v>382</v>
      </c>
      <c r="CG7" s="4" t="s">
        <v>382</v>
      </c>
      <c r="CH7" s="4" t="s">
        <v>382</v>
      </c>
      <c r="CI7" s="4" t="s">
        <v>382</v>
      </c>
      <c r="CJ7" s="4" t="s">
        <v>382</v>
      </c>
      <c r="CK7" s="4" t="s">
        <v>382</v>
      </c>
    </row>
    <row r="8" spans="1:89" ht="16.5" customHeight="1" x14ac:dyDescent="0.3">
      <c r="B8" s="86">
        <f>ROW() - 7</f>
        <v>1</v>
      </c>
      <c r="C8" s="88"/>
      <c r="D8" s="88"/>
      <c r="E8" s="93"/>
      <c r="F8" s="93"/>
      <c r="G8" s="88"/>
      <c r="H8" s="86"/>
      <c r="I8" s="86"/>
      <c r="J8" s="86"/>
      <c r="K8" s="86"/>
      <c r="L8" s="94"/>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94"/>
      <c r="BG8" s="94"/>
      <c r="BH8" s="94"/>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row>
    <row r="9" spans="1:89" ht="13.5" x14ac:dyDescent="0.3">
      <c r="B9" s="86">
        <f t="shared" ref="B9:B10" si="0">ROW() - 7</f>
        <v>2</v>
      </c>
      <c r="C9" s="88"/>
      <c r="D9" s="88"/>
      <c r="E9" s="93"/>
      <c r="F9" s="93"/>
      <c r="G9" s="88"/>
      <c r="H9" s="86"/>
      <c r="I9" s="86"/>
      <c r="J9" s="86"/>
      <c r="K9" s="86"/>
      <c r="L9" s="94"/>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94"/>
      <c r="BG9" s="94"/>
      <c r="BH9" s="94"/>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row>
    <row r="10" spans="1:89" ht="16.5" customHeight="1" x14ac:dyDescent="0.3">
      <c r="B10" s="86">
        <f t="shared" si="0"/>
        <v>3</v>
      </c>
      <c r="C10" s="88"/>
      <c r="D10" s="88"/>
      <c r="E10" s="93"/>
      <c r="F10" s="93"/>
      <c r="G10" s="88"/>
      <c r="H10" s="86"/>
      <c r="I10" s="86"/>
      <c r="J10" s="86"/>
      <c r="K10" s="86"/>
      <c r="L10" s="94"/>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94"/>
      <c r="BG10" s="94"/>
      <c r="BH10" s="94"/>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row>
    <row r="11" spans="1:89" ht="13.5" x14ac:dyDescent="0.3">
      <c r="B11" s="86">
        <f t="shared" ref="B11:B41" si="1">ROW() - 7</f>
        <v>4</v>
      </c>
      <c r="C11" s="88"/>
      <c r="D11" s="88"/>
      <c r="E11" s="93"/>
      <c r="F11" s="93"/>
      <c r="G11" s="88"/>
      <c r="H11" s="86"/>
      <c r="I11" s="86"/>
      <c r="J11" s="86"/>
      <c r="K11" s="86"/>
      <c r="L11" s="94"/>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94"/>
      <c r="BG11" s="94"/>
      <c r="BH11" s="94"/>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row>
    <row r="12" spans="1:89" ht="13.5" x14ac:dyDescent="0.3">
      <c r="B12" s="86">
        <f t="shared" si="1"/>
        <v>5</v>
      </c>
      <c r="C12" s="88"/>
      <c r="D12" s="88"/>
      <c r="E12" s="93"/>
      <c r="F12" s="93"/>
      <c r="G12" s="88"/>
      <c r="H12" s="86"/>
      <c r="I12" s="86"/>
      <c r="J12" s="86"/>
      <c r="K12" s="86"/>
      <c r="L12" s="94"/>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94"/>
      <c r="BG12" s="94"/>
      <c r="BH12" s="94"/>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row>
    <row r="13" spans="1:89" ht="13.5" x14ac:dyDescent="0.3">
      <c r="B13" s="86">
        <f t="shared" si="1"/>
        <v>6</v>
      </c>
      <c r="C13" s="88"/>
      <c r="D13" s="88"/>
      <c r="E13" s="93"/>
      <c r="F13" s="93"/>
      <c r="G13" s="88"/>
      <c r="H13" s="86"/>
      <c r="I13" s="86"/>
      <c r="J13" s="86"/>
      <c r="K13" s="86"/>
      <c r="L13" s="94"/>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94"/>
      <c r="BG13" s="94"/>
      <c r="BH13" s="94"/>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row>
    <row r="14" spans="1:89" ht="13.5" x14ac:dyDescent="0.3">
      <c r="B14" s="86">
        <f t="shared" si="1"/>
        <v>7</v>
      </c>
      <c r="C14" s="88"/>
      <c r="D14" s="88"/>
      <c r="E14" s="93"/>
      <c r="F14" s="93"/>
      <c r="G14" s="88"/>
      <c r="H14" s="86"/>
      <c r="I14" s="86"/>
      <c r="J14" s="86"/>
      <c r="K14" s="86"/>
      <c r="L14" s="94"/>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94"/>
      <c r="BG14" s="94"/>
      <c r="BH14" s="94"/>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row>
    <row r="15" spans="1:89" ht="13.5" x14ac:dyDescent="0.3">
      <c r="B15" s="86">
        <f t="shared" si="1"/>
        <v>8</v>
      </c>
      <c r="C15" s="88"/>
      <c r="D15" s="88"/>
      <c r="E15" s="93"/>
      <c r="F15" s="93"/>
      <c r="G15" s="88"/>
      <c r="H15" s="86"/>
      <c r="I15" s="86"/>
      <c r="J15" s="86"/>
      <c r="K15" s="86"/>
      <c r="L15" s="94"/>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94"/>
      <c r="BG15" s="94"/>
      <c r="BH15" s="94"/>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row>
    <row r="16" spans="1:89" ht="13.5" x14ac:dyDescent="0.3">
      <c r="B16" s="86">
        <f t="shared" si="1"/>
        <v>9</v>
      </c>
      <c r="C16" s="88"/>
      <c r="D16" s="88"/>
      <c r="E16" s="93"/>
      <c r="F16" s="93"/>
      <c r="G16" s="88"/>
      <c r="H16" s="86"/>
      <c r="I16" s="86"/>
      <c r="J16" s="86"/>
      <c r="K16" s="86"/>
      <c r="L16" s="94"/>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94"/>
      <c r="BG16" s="94"/>
      <c r="BH16" s="94"/>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row>
    <row r="17" spans="2:89" ht="13.5" x14ac:dyDescent="0.3">
      <c r="B17" s="86">
        <f t="shared" si="1"/>
        <v>10</v>
      </c>
      <c r="C17" s="88"/>
      <c r="D17" s="88"/>
      <c r="E17" s="93"/>
      <c r="F17" s="93"/>
      <c r="G17" s="88"/>
      <c r="H17" s="86"/>
      <c r="I17" s="86"/>
      <c r="J17" s="86"/>
      <c r="K17" s="86"/>
      <c r="L17" s="94"/>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94"/>
      <c r="BG17" s="94"/>
      <c r="BH17" s="94"/>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row>
    <row r="18" spans="2:89" ht="13.5" x14ac:dyDescent="0.3">
      <c r="B18" s="86">
        <f t="shared" si="1"/>
        <v>11</v>
      </c>
      <c r="C18" s="88"/>
      <c r="D18" s="88"/>
      <c r="E18" s="93"/>
      <c r="F18" s="93"/>
      <c r="G18" s="88"/>
      <c r="H18" s="86"/>
      <c r="I18" s="86"/>
      <c r="J18" s="86"/>
      <c r="K18" s="86"/>
      <c r="L18" s="94"/>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94"/>
      <c r="BG18" s="94"/>
      <c r="BH18" s="94"/>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row>
    <row r="19" spans="2:89" ht="13.5" x14ac:dyDescent="0.3">
      <c r="B19" s="86">
        <f t="shared" si="1"/>
        <v>12</v>
      </c>
      <c r="C19" s="88"/>
      <c r="D19" s="88"/>
      <c r="E19" s="93"/>
      <c r="F19" s="93"/>
      <c r="G19" s="88"/>
      <c r="H19" s="86"/>
      <c r="I19" s="86"/>
      <c r="J19" s="86"/>
      <c r="K19" s="86"/>
      <c r="L19" s="94"/>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94"/>
      <c r="BG19" s="94"/>
      <c r="BH19" s="94"/>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row>
    <row r="20" spans="2:89" ht="13.5" x14ac:dyDescent="0.3">
      <c r="B20" s="86">
        <f t="shared" si="1"/>
        <v>13</v>
      </c>
      <c r="C20" s="88"/>
      <c r="D20" s="88"/>
      <c r="E20" s="93"/>
      <c r="F20" s="93"/>
      <c r="G20" s="88"/>
      <c r="H20" s="86"/>
      <c r="I20" s="86"/>
      <c r="J20" s="86"/>
      <c r="K20" s="86"/>
      <c r="L20" s="94"/>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94"/>
      <c r="BG20" s="94"/>
      <c r="BH20" s="94"/>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row>
    <row r="21" spans="2:89" ht="13.5" x14ac:dyDescent="0.3">
      <c r="B21" s="86">
        <f t="shared" si="1"/>
        <v>14</v>
      </c>
      <c r="C21" s="88"/>
      <c r="D21" s="88"/>
      <c r="E21" s="93"/>
      <c r="F21" s="93"/>
      <c r="G21" s="88"/>
      <c r="H21" s="86"/>
      <c r="I21" s="86"/>
      <c r="J21" s="86"/>
      <c r="K21" s="86"/>
      <c r="L21" s="94"/>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94"/>
      <c r="BG21" s="94"/>
      <c r="BH21" s="94"/>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row>
    <row r="22" spans="2:89" ht="13.5" x14ac:dyDescent="0.3">
      <c r="B22" s="86">
        <f t="shared" si="1"/>
        <v>15</v>
      </c>
      <c r="C22" s="88"/>
      <c r="D22" s="88"/>
      <c r="E22" s="93"/>
      <c r="F22" s="93"/>
      <c r="G22" s="88"/>
      <c r="H22" s="86"/>
      <c r="I22" s="86"/>
      <c r="J22" s="86"/>
      <c r="K22" s="86"/>
      <c r="L22" s="94"/>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94"/>
      <c r="BG22" s="94"/>
      <c r="BH22" s="94"/>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row>
    <row r="23" spans="2:89" ht="13.5" x14ac:dyDescent="0.3">
      <c r="B23" s="86">
        <f t="shared" si="1"/>
        <v>16</v>
      </c>
      <c r="C23" s="88"/>
      <c r="D23" s="88"/>
      <c r="E23" s="93"/>
      <c r="F23" s="93"/>
      <c r="G23" s="88"/>
      <c r="H23" s="86"/>
      <c r="I23" s="86"/>
      <c r="J23" s="86"/>
      <c r="K23" s="86"/>
      <c r="L23" s="94"/>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94"/>
      <c r="BG23" s="94"/>
      <c r="BH23" s="94"/>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row>
    <row r="24" spans="2:89" ht="13.5" x14ac:dyDescent="0.3">
      <c r="B24" s="86">
        <f t="shared" si="1"/>
        <v>17</v>
      </c>
      <c r="C24" s="88"/>
      <c r="D24" s="88"/>
      <c r="E24" s="93"/>
      <c r="F24" s="93"/>
      <c r="G24" s="88"/>
      <c r="H24" s="86"/>
      <c r="I24" s="86"/>
      <c r="J24" s="86"/>
      <c r="K24" s="86"/>
      <c r="L24" s="94"/>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94"/>
      <c r="BG24" s="94"/>
      <c r="BH24" s="94"/>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row>
    <row r="25" spans="2:89" ht="13.5" x14ac:dyDescent="0.3">
      <c r="B25" s="86">
        <f t="shared" si="1"/>
        <v>18</v>
      </c>
      <c r="C25" s="88"/>
      <c r="D25" s="88"/>
      <c r="E25" s="93"/>
      <c r="F25" s="93"/>
      <c r="G25" s="88"/>
      <c r="H25" s="86"/>
      <c r="I25" s="86"/>
      <c r="J25" s="86"/>
      <c r="K25" s="86"/>
      <c r="L25" s="94"/>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94"/>
      <c r="BG25" s="94"/>
      <c r="BH25" s="94"/>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row>
    <row r="26" spans="2:89" ht="13.5" x14ac:dyDescent="0.3">
      <c r="B26" s="86">
        <f t="shared" si="1"/>
        <v>19</v>
      </c>
      <c r="C26" s="88"/>
      <c r="D26" s="95"/>
      <c r="E26" s="93"/>
      <c r="F26" s="93"/>
      <c r="G26" s="88"/>
      <c r="H26" s="86"/>
      <c r="I26" s="86"/>
      <c r="J26" s="86"/>
      <c r="K26" s="86"/>
      <c r="L26" s="94"/>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94"/>
      <c r="BG26" s="94"/>
      <c r="BH26" s="94"/>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row>
    <row r="27" spans="2:89" ht="13.5" x14ac:dyDescent="0.3">
      <c r="B27" s="86">
        <f t="shared" si="1"/>
        <v>20</v>
      </c>
      <c r="C27" s="88"/>
      <c r="D27" s="88"/>
      <c r="E27" s="93"/>
      <c r="F27" s="93"/>
      <c r="G27" s="88"/>
      <c r="H27" s="86"/>
      <c r="I27" s="86"/>
      <c r="J27" s="86"/>
      <c r="K27" s="86"/>
      <c r="L27" s="94"/>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94"/>
      <c r="BG27" s="94"/>
      <c r="BH27" s="94"/>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row>
    <row r="28" spans="2:89" ht="13.5" x14ac:dyDescent="0.3">
      <c r="B28" s="86">
        <f t="shared" si="1"/>
        <v>21</v>
      </c>
      <c r="C28" s="88"/>
      <c r="D28" s="88"/>
      <c r="E28" s="93"/>
      <c r="F28" s="93"/>
      <c r="G28" s="88"/>
      <c r="H28" s="86"/>
      <c r="I28" s="86"/>
      <c r="J28" s="86"/>
      <c r="K28" s="86"/>
      <c r="L28" s="94"/>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94"/>
      <c r="BG28" s="94"/>
      <c r="BH28" s="94"/>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row>
    <row r="29" spans="2:89" ht="13.5" x14ac:dyDescent="0.3">
      <c r="B29" s="86">
        <f t="shared" si="1"/>
        <v>22</v>
      </c>
      <c r="C29" s="88"/>
      <c r="D29" s="88"/>
      <c r="E29" s="93"/>
      <c r="F29" s="93"/>
      <c r="G29" s="88"/>
      <c r="H29" s="86"/>
      <c r="I29" s="86"/>
      <c r="J29" s="86"/>
      <c r="K29" s="86"/>
      <c r="L29" s="94"/>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94"/>
      <c r="BG29" s="94"/>
      <c r="BH29" s="94"/>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row>
    <row r="30" spans="2:89" ht="13.5" x14ac:dyDescent="0.3">
      <c r="B30" s="86">
        <f t="shared" si="1"/>
        <v>23</v>
      </c>
      <c r="C30" s="88"/>
      <c r="D30" s="88"/>
      <c r="E30" s="93"/>
      <c r="F30" s="93"/>
      <c r="G30" s="88"/>
      <c r="H30" s="86"/>
      <c r="I30" s="86"/>
      <c r="J30" s="86"/>
      <c r="K30" s="86"/>
      <c r="L30" s="94"/>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94"/>
      <c r="BG30" s="94"/>
      <c r="BH30" s="94"/>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row>
    <row r="31" spans="2:89" ht="13.5" x14ac:dyDescent="0.3">
      <c r="B31" s="86">
        <f t="shared" si="1"/>
        <v>24</v>
      </c>
      <c r="C31" s="88"/>
      <c r="D31" s="88"/>
      <c r="E31" s="93"/>
      <c r="F31" s="93"/>
      <c r="G31" s="88"/>
      <c r="H31" s="86"/>
      <c r="I31" s="86"/>
      <c r="J31" s="86"/>
      <c r="K31" s="86"/>
      <c r="L31" s="94"/>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94"/>
      <c r="BG31" s="94"/>
      <c r="BH31" s="94"/>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row>
    <row r="32" spans="2:89" ht="13.5" x14ac:dyDescent="0.3">
      <c r="B32" s="86">
        <f t="shared" si="1"/>
        <v>25</v>
      </c>
      <c r="C32" s="88"/>
      <c r="D32" s="88"/>
      <c r="E32" s="93"/>
      <c r="F32" s="93"/>
      <c r="G32" s="88"/>
      <c r="H32" s="86"/>
      <c r="I32" s="86"/>
      <c r="J32" s="86"/>
      <c r="K32" s="86"/>
      <c r="L32" s="94"/>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94"/>
      <c r="BG32" s="94"/>
      <c r="BH32" s="94"/>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row>
    <row r="33" spans="2:89" ht="13.5" x14ac:dyDescent="0.3">
      <c r="B33" s="86">
        <f t="shared" si="1"/>
        <v>26</v>
      </c>
      <c r="C33" s="88"/>
      <c r="D33" s="88"/>
      <c r="E33" s="94"/>
      <c r="F33" s="94"/>
      <c r="G33" s="88"/>
      <c r="H33" s="86"/>
      <c r="I33" s="86"/>
      <c r="J33" s="86"/>
      <c r="K33" s="86"/>
      <c r="L33" s="94"/>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94"/>
      <c r="BG33" s="94"/>
      <c r="BH33" s="94"/>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row>
    <row r="34" spans="2:89" ht="13.5" x14ac:dyDescent="0.3">
      <c r="B34" s="86">
        <f t="shared" si="1"/>
        <v>27</v>
      </c>
      <c r="C34" s="88"/>
      <c r="D34" s="88"/>
      <c r="E34" s="94"/>
      <c r="F34" s="94"/>
      <c r="G34" s="88"/>
      <c r="H34" s="86"/>
      <c r="I34" s="86"/>
      <c r="J34" s="86"/>
      <c r="K34" s="86"/>
      <c r="L34" s="94"/>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94"/>
      <c r="BG34" s="94"/>
      <c r="BH34" s="94"/>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row>
    <row r="35" spans="2:89" ht="13.5" x14ac:dyDescent="0.3">
      <c r="B35" s="86">
        <f t="shared" si="1"/>
        <v>28</v>
      </c>
      <c r="C35" s="88"/>
      <c r="D35" s="88"/>
      <c r="E35" s="94"/>
      <c r="F35" s="93"/>
      <c r="G35" s="88"/>
      <c r="H35" s="86"/>
      <c r="I35" s="86"/>
      <c r="J35" s="86"/>
      <c r="K35" s="86"/>
      <c r="L35" s="94"/>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94"/>
      <c r="BG35" s="94"/>
      <c r="BH35" s="94"/>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row>
    <row r="36" spans="2:89" ht="13.5" x14ac:dyDescent="0.3">
      <c r="B36" s="86">
        <f t="shared" si="1"/>
        <v>29</v>
      </c>
      <c r="C36" s="88"/>
      <c r="D36" s="88"/>
      <c r="E36" s="94"/>
      <c r="F36" s="86"/>
      <c r="G36" s="88"/>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94"/>
      <c r="BG36" s="94"/>
      <c r="BH36" s="94"/>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row>
    <row r="37" spans="2:89" ht="13.5" x14ac:dyDescent="0.3">
      <c r="B37" s="86">
        <f t="shared" si="1"/>
        <v>30</v>
      </c>
      <c r="C37" s="88"/>
      <c r="D37" s="88"/>
      <c r="E37" s="94"/>
      <c r="F37" s="86"/>
      <c r="G37" s="88"/>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94"/>
      <c r="BG37" s="94"/>
      <c r="BH37" s="94"/>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row>
    <row r="38" spans="2:89" ht="13.5" x14ac:dyDescent="0.3">
      <c r="B38" s="86">
        <f t="shared" si="1"/>
        <v>31</v>
      </c>
      <c r="C38" s="88"/>
      <c r="D38" s="88"/>
      <c r="E38" s="94"/>
      <c r="F38" s="86"/>
      <c r="G38" s="88"/>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94"/>
      <c r="BG38" s="94"/>
      <c r="BH38" s="94"/>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row>
    <row r="39" spans="2:89" ht="13.5" x14ac:dyDescent="0.3">
      <c r="B39" s="86">
        <f t="shared" si="1"/>
        <v>32</v>
      </c>
      <c r="C39" s="88"/>
      <c r="D39" s="88"/>
      <c r="E39" s="94"/>
      <c r="F39" s="86"/>
      <c r="G39" s="88"/>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94"/>
      <c r="BG39" s="94"/>
      <c r="BH39" s="94"/>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row>
    <row r="40" spans="2:89" ht="13.5" x14ac:dyDescent="0.3">
      <c r="B40" s="86">
        <f t="shared" si="1"/>
        <v>33</v>
      </c>
      <c r="C40" s="88"/>
      <c r="D40" s="88"/>
      <c r="E40" s="94"/>
      <c r="F40" s="86"/>
      <c r="G40" s="88"/>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94"/>
      <c r="BG40" s="94"/>
      <c r="BH40" s="94"/>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row>
    <row r="41" spans="2:89" ht="13.5" x14ac:dyDescent="0.3">
      <c r="B41" s="86">
        <f t="shared" si="1"/>
        <v>34</v>
      </c>
      <c r="C41" s="88"/>
      <c r="D41" s="88"/>
      <c r="E41" s="94"/>
      <c r="F41" s="86"/>
      <c r="G41" s="88"/>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94"/>
      <c r="BG41" s="94"/>
      <c r="BH41" s="94"/>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row>
  </sheetData>
  <sheetProtection insertRows="0" deleteRows="0" sort="0" autoFilter="0"/>
  <mergeCells count="2">
    <mergeCell ref="B4:B7"/>
    <mergeCell ref="C4:D4"/>
  </mergeCells>
  <phoneticPr fontId="11"/>
  <hyperlinks>
    <hyperlink ref="A3" location="パラメータ設定一覧!A1" display="パラメータ設定一覧へ" xr:uid="{3477D9E1-8C5C-46B3-BED6-DA00A223C28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139B-B93F-4859-B543-9A3516A066EF}">
  <sheetPr>
    <pageSetUpPr fitToPage="1"/>
  </sheetPr>
  <dimension ref="A1:L41"/>
  <sheetViews>
    <sheetView showGridLines="0" zoomScaleNormal="100" zoomScaleSheetLayoutView="70" workbookViewId="0">
      <pane xSplit="6" ySplit="5" topLeftCell="G6" activePane="bottomRight" state="frozen"/>
      <selection pane="topRight" activeCell="N8" sqref="N8"/>
      <selection pane="bottomLeft" activeCell="N8" sqref="N8"/>
      <selection pane="bottomRight" activeCell="N8" sqref="N8"/>
    </sheetView>
  </sheetViews>
  <sheetFormatPr defaultColWidth="8.78515625" defaultRowHeight="13.5" x14ac:dyDescent="0.35"/>
  <cols>
    <col min="1" max="1" width="2.78515625" style="29" customWidth="1"/>
    <col min="2" max="2" width="3.78515625" style="29" customWidth="1"/>
    <col min="3" max="3" width="16.78515625" style="29" customWidth="1"/>
    <col min="4" max="4" width="19.2109375" style="29" customWidth="1"/>
    <col min="5" max="5" width="16.5703125" style="29" customWidth="1"/>
    <col min="6" max="6" width="21" style="29" customWidth="1"/>
    <col min="7" max="7" width="44.640625" style="35" customWidth="1"/>
    <col min="8" max="8" width="27.5703125" style="30" customWidth="1"/>
    <col min="9" max="9" width="17.42578125" style="30" customWidth="1"/>
    <col min="10" max="10" width="13" style="29" customWidth="1"/>
    <col min="11" max="11" width="18.2109375" style="91" customWidth="1"/>
    <col min="12" max="12" width="13.2109375" style="29" customWidth="1"/>
    <col min="13" max="16384" width="8.78515625" style="29"/>
  </cols>
  <sheetData>
    <row r="1" spans="1:12" customFormat="1" ht="19.5" x14ac:dyDescent="0.35">
      <c r="A1" s="78" t="s">
        <v>29</v>
      </c>
      <c r="B1" s="28"/>
      <c r="C1" s="30"/>
      <c r="D1" s="30"/>
      <c r="E1" s="30"/>
      <c r="F1" s="30"/>
      <c r="G1" s="31"/>
      <c r="H1" s="30"/>
      <c r="I1" s="30"/>
      <c r="J1" s="28"/>
      <c r="K1" s="36"/>
      <c r="L1" s="28"/>
    </row>
    <row r="2" spans="1:12" customFormat="1" ht="15" x14ac:dyDescent="0.35">
      <c r="A2" s="28"/>
      <c r="B2" s="28" t="s">
        <v>386</v>
      </c>
      <c r="C2" s="30"/>
      <c r="D2" s="30"/>
      <c r="E2" s="30"/>
      <c r="F2" s="30"/>
      <c r="G2" s="31"/>
      <c r="H2" s="30"/>
      <c r="I2" s="30"/>
      <c r="J2" s="28"/>
      <c r="K2" s="36"/>
      <c r="L2" s="28"/>
    </row>
    <row r="3" spans="1:12" customFormat="1" ht="15" x14ac:dyDescent="0.35">
      <c r="A3" s="28"/>
      <c r="B3" s="28" t="s">
        <v>387</v>
      </c>
      <c r="C3" s="30"/>
      <c r="D3" s="30"/>
      <c r="E3" s="30"/>
      <c r="F3" s="30"/>
      <c r="G3" s="31"/>
      <c r="H3" s="30"/>
      <c r="I3" s="30"/>
      <c r="J3" s="28"/>
      <c r="K3" s="36"/>
      <c r="L3" s="28"/>
    </row>
    <row r="4" spans="1:12" customFormat="1" ht="15" x14ac:dyDescent="0.35">
      <c r="A4" s="79" t="s">
        <v>34</v>
      </c>
      <c r="B4" s="28"/>
      <c r="C4" s="30"/>
      <c r="D4" s="30"/>
      <c r="E4" s="30"/>
      <c r="F4" s="30"/>
      <c r="G4" s="31"/>
      <c r="H4" s="30"/>
      <c r="I4" s="30"/>
      <c r="J4" s="28"/>
      <c r="K4" s="36"/>
      <c r="L4" s="28"/>
    </row>
    <row r="5" spans="1:12" x14ac:dyDescent="0.35">
      <c r="A5" s="30"/>
      <c r="B5" s="7" t="s">
        <v>35</v>
      </c>
      <c r="C5" s="7" t="s">
        <v>36</v>
      </c>
      <c r="D5" s="7" t="s">
        <v>37</v>
      </c>
      <c r="E5" s="7" t="s">
        <v>38</v>
      </c>
      <c r="F5" s="13" t="s">
        <v>39</v>
      </c>
      <c r="G5" s="7" t="s">
        <v>40</v>
      </c>
      <c r="H5" s="7" t="s">
        <v>41</v>
      </c>
      <c r="I5" s="7" t="s">
        <v>42</v>
      </c>
      <c r="J5" s="7" t="s">
        <v>43</v>
      </c>
      <c r="K5" s="37" t="s">
        <v>44</v>
      </c>
      <c r="L5" s="8" t="s">
        <v>45</v>
      </c>
    </row>
    <row r="6" spans="1:12" ht="27" x14ac:dyDescent="0.35">
      <c r="A6" s="30"/>
      <c r="B6" s="14">
        <f>ROW() - 5</f>
        <v>1</v>
      </c>
      <c r="C6" s="9"/>
      <c r="D6" s="9"/>
      <c r="E6" s="9"/>
      <c r="F6" s="30" t="s">
        <v>29</v>
      </c>
      <c r="G6" s="31" t="s">
        <v>388</v>
      </c>
      <c r="H6" s="15" t="s">
        <v>186</v>
      </c>
      <c r="I6" s="16" t="s">
        <v>53</v>
      </c>
      <c r="J6" s="16"/>
      <c r="K6" s="90" t="s">
        <v>389</v>
      </c>
      <c r="L6" s="2"/>
    </row>
    <row r="7" spans="1:12" x14ac:dyDescent="0.35">
      <c r="A7" s="30"/>
      <c r="B7" s="14">
        <f>ROW() - 5</f>
        <v>2</v>
      </c>
      <c r="C7" s="11"/>
      <c r="D7" s="11"/>
      <c r="E7" s="11"/>
      <c r="F7" s="15" t="s">
        <v>188</v>
      </c>
      <c r="G7" s="15"/>
      <c r="H7" s="15" t="s">
        <v>186</v>
      </c>
      <c r="I7" s="16" t="s">
        <v>53</v>
      </c>
      <c r="J7" s="16"/>
      <c r="K7" s="90" t="s">
        <v>389</v>
      </c>
      <c r="L7" s="2"/>
    </row>
    <row r="8" spans="1:12" x14ac:dyDescent="0.35">
      <c r="A8" s="30"/>
      <c r="B8" s="14">
        <f t="shared" ref="B8:B41" si="0">ROW() - 5</f>
        <v>3</v>
      </c>
      <c r="C8" s="11"/>
      <c r="D8" s="11"/>
      <c r="E8" s="82"/>
      <c r="F8" s="17" t="s">
        <v>201</v>
      </c>
      <c r="G8" s="15"/>
      <c r="H8" s="15" t="s">
        <v>186</v>
      </c>
      <c r="I8" s="16" t="s">
        <v>53</v>
      </c>
      <c r="J8" s="16"/>
      <c r="K8" s="90" t="s">
        <v>389</v>
      </c>
      <c r="L8" s="2"/>
    </row>
    <row r="9" spans="1:12" ht="27" x14ac:dyDescent="0.35">
      <c r="A9" s="30"/>
      <c r="B9" s="14">
        <f t="shared" si="0"/>
        <v>4</v>
      </c>
      <c r="C9" s="9" t="s">
        <v>321</v>
      </c>
      <c r="D9" s="9"/>
      <c r="E9" s="84"/>
      <c r="F9" s="15"/>
      <c r="G9" s="10"/>
      <c r="H9" s="38"/>
      <c r="I9" s="9"/>
      <c r="J9" s="10" t="s">
        <v>390</v>
      </c>
      <c r="K9" s="90" t="s">
        <v>389</v>
      </c>
      <c r="L9" s="2"/>
    </row>
    <row r="10" spans="1:12" x14ac:dyDescent="0.35">
      <c r="A10" s="30"/>
      <c r="B10" s="14">
        <f t="shared" si="0"/>
        <v>5</v>
      </c>
      <c r="C10" s="11"/>
      <c r="D10" s="11"/>
      <c r="E10" s="11"/>
      <c r="F10" s="14" t="s">
        <v>391</v>
      </c>
      <c r="G10" s="10"/>
      <c r="H10" s="15" t="s">
        <v>186</v>
      </c>
      <c r="I10" s="16" t="s">
        <v>53</v>
      </c>
      <c r="J10" s="16"/>
      <c r="K10" s="90" t="s">
        <v>389</v>
      </c>
      <c r="L10" s="2"/>
    </row>
    <row r="11" spans="1:12" x14ac:dyDescent="0.35">
      <c r="A11" s="30"/>
      <c r="B11" s="14">
        <f t="shared" si="0"/>
        <v>6</v>
      </c>
      <c r="C11" s="11"/>
      <c r="D11" s="11"/>
      <c r="E11" s="11"/>
      <c r="F11" s="14" t="s">
        <v>392</v>
      </c>
      <c r="G11" s="10"/>
      <c r="H11" s="15" t="s">
        <v>186</v>
      </c>
      <c r="I11" s="16" t="s">
        <v>53</v>
      </c>
      <c r="J11" s="16"/>
      <c r="K11" s="90" t="s">
        <v>389</v>
      </c>
      <c r="L11" s="2"/>
    </row>
    <row r="12" spans="1:12" x14ac:dyDescent="0.35">
      <c r="A12" s="30"/>
      <c r="B12" s="14">
        <f t="shared" si="0"/>
        <v>7</v>
      </c>
      <c r="C12" s="11"/>
      <c r="D12" s="11"/>
      <c r="E12" s="11"/>
      <c r="F12" s="21" t="s">
        <v>393</v>
      </c>
      <c r="G12" s="15"/>
      <c r="H12" s="15" t="s">
        <v>186</v>
      </c>
      <c r="I12" s="16" t="s">
        <v>53</v>
      </c>
      <c r="J12" s="16"/>
      <c r="K12" s="90" t="s">
        <v>389</v>
      </c>
      <c r="L12" s="2"/>
    </row>
    <row r="13" spans="1:12" x14ac:dyDescent="0.35">
      <c r="A13" s="30"/>
      <c r="B13" s="14">
        <f t="shared" si="0"/>
        <v>8</v>
      </c>
      <c r="C13" s="11"/>
      <c r="D13" s="11"/>
      <c r="E13" s="11"/>
      <c r="F13" s="14" t="s">
        <v>394</v>
      </c>
      <c r="G13" s="10"/>
      <c r="H13" s="15" t="s">
        <v>186</v>
      </c>
      <c r="I13" s="16" t="s">
        <v>53</v>
      </c>
      <c r="J13" s="16"/>
      <c r="K13" s="90" t="s">
        <v>389</v>
      </c>
      <c r="L13" s="2"/>
    </row>
    <row r="14" spans="1:12" x14ac:dyDescent="0.35">
      <c r="A14" s="30"/>
      <c r="B14" s="14">
        <f t="shared" si="0"/>
        <v>9</v>
      </c>
      <c r="C14" s="11"/>
      <c r="D14" s="11"/>
      <c r="E14" s="11"/>
      <c r="F14" s="21" t="s">
        <v>395</v>
      </c>
      <c r="G14" s="15"/>
      <c r="H14" s="15" t="s">
        <v>186</v>
      </c>
      <c r="I14" s="16" t="s">
        <v>53</v>
      </c>
      <c r="J14" s="16"/>
      <c r="K14" s="90" t="s">
        <v>389</v>
      </c>
      <c r="L14" s="2"/>
    </row>
    <row r="15" spans="1:12" x14ac:dyDescent="0.35">
      <c r="A15" s="30"/>
      <c r="B15" s="14">
        <f t="shared" si="0"/>
        <v>10</v>
      </c>
      <c r="C15" s="11"/>
      <c r="D15" s="11"/>
      <c r="E15" s="11"/>
      <c r="F15" s="21" t="s">
        <v>396</v>
      </c>
      <c r="G15" s="21"/>
      <c r="H15" s="15" t="s">
        <v>186</v>
      </c>
      <c r="I15" s="16" t="s">
        <v>53</v>
      </c>
      <c r="J15" s="16"/>
      <c r="K15" s="90" t="s">
        <v>389</v>
      </c>
      <c r="L15" s="2"/>
    </row>
    <row r="16" spans="1:12" x14ac:dyDescent="0.35">
      <c r="A16" s="30"/>
      <c r="B16" s="14">
        <f t="shared" si="0"/>
        <v>11</v>
      </c>
      <c r="C16" s="12"/>
      <c r="D16" s="12"/>
      <c r="E16" s="12"/>
      <c r="F16" s="21" t="s">
        <v>397</v>
      </c>
      <c r="G16" s="15"/>
      <c r="H16" s="15" t="s">
        <v>186</v>
      </c>
      <c r="I16" s="16" t="s">
        <v>53</v>
      </c>
      <c r="J16" s="16"/>
      <c r="K16" s="90" t="s">
        <v>389</v>
      </c>
      <c r="L16" s="2"/>
    </row>
    <row r="17" spans="1:12" ht="108" x14ac:dyDescent="0.35">
      <c r="A17" s="30"/>
      <c r="B17" s="14">
        <f t="shared" si="0"/>
        <v>12</v>
      </c>
      <c r="C17" s="9" t="s">
        <v>180</v>
      </c>
      <c r="D17" s="9"/>
      <c r="E17" s="9"/>
      <c r="F17" s="21" t="s">
        <v>181</v>
      </c>
      <c r="G17" s="15"/>
      <c r="H17" s="15" t="s">
        <v>398</v>
      </c>
      <c r="I17" s="16" t="s">
        <v>79</v>
      </c>
      <c r="J17" s="30"/>
      <c r="K17" s="90" t="s">
        <v>389</v>
      </c>
      <c r="L17" s="2"/>
    </row>
    <row r="18" spans="1:12" x14ac:dyDescent="0.35">
      <c r="A18" s="30"/>
      <c r="B18" s="14">
        <f t="shared" si="0"/>
        <v>13</v>
      </c>
      <c r="C18" s="11"/>
      <c r="D18" s="11"/>
      <c r="E18" s="153"/>
      <c r="F18" s="21" t="s">
        <v>240</v>
      </c>
      <c r="G18" s="15" t="s">
        <v>399</v>
      </c>
      <c r="H18" s="15" t="s">
        <v>186</v>
      </c>
      <c r="I18" s="16" t="s">
        <v>53</v>
      </c>
      <c r="J18" s="16"/>
      <c r="K18" s="90" t="s">
        <v>389</v>
      </c>
      <c r="L18" s="2"/>
    </row>
    <row r="19" spans="1:12" x14ac:dyDescent="0.35">
      <c r="A19" s="30"/>
      <c r="B19" s="14">
        <f t="shared" si="0"/>
        <v>14</v>
      </c>
      <c r="C19" s="11"/>
      <c r="D19" s="11"/>
      <c r="E19" s="153"/>
      <c r="F19" s="21" t="s">
        <v>400</v>
      </c>
      <c r="G19" s="15"/>
      <c r="H19" s="15" t="s">
        <v>186</v>
      </c>
      <c r="I19" s="16" t="s">
        <v>53</v>
      </c>
      <c r="J19" s="16"/>
      <c r="K19" s="90" t="s">
        <v>389</v>
      </c>
      <c r="L19" s="2"/>
    </row>
    <row r="20" spans="1:12" x14ac:dyDescent="0.35">
      <c r="A20" s="30"/>
      <c r="B20" s="14">
        <f t="shared" si="0"/>
        <v>15</v>
      </c>
      <c r="C20" s="11"/>
      <c r="D20" s="11"/>
      <c r="E20" s="11"/>
      <c r="F20" s="15" t="s">
        <v>401</v>
      </c>
      <c r="G20" s="15"/>
      <c r="H20" s="15" t="s">
        <v>186</v>
      </c>
      <c r="I20" s="16" t="s">
        <v>53</v>
      </c>
      <c r="J20" s="16"/>
      <c r="K20" s="90" t="s">
        <v>389</v>
      </c>
      <c r="L20" s="2"/>
    </row>
    <row r="21" spans="1:12" x14ac:dyDescent="0.35">
      <c r="A21" s="30"/>
      <c r="B21" s="14">
        <f t="shared" si="0"/>
        <v>16</v>
      </c>
      <c r="C21" s="11"/>
      <c r="D21" s="11"/>
      <c r="E21" s="11"/>
      <c r="F21" s="15" t="s">
        <v>402</v>
      </c>
      <c r="G21" s="15"/>
      <c r="H21" s="15" t="s">
        <v>186</v>
      </c>
      <c r="I21" s="16" t="s">
        <v>53</v>
      </c>
      <c r="J21" s="16"/>
      <c r="K21" s="90" t="s">
        <v>389</v>
      </c>
      <c r="L21" s="2"/>
    </row>
    <row r="22" spans="1:12" x14ac:dyDescent="0.35">
      <c r="A22" s="30"/>
      <c r="B22" s="14">
        <f t="shared" si="0"/>
        <v>17</v>
      </c>
      <c r="C22" s="11"/>
      <c r="D22" s="11"/>
      <c r="E22" s="82"/>
      <c r="F22" s="15" t="s">
        <v>403</v>
      </c>
      <c r="G22" s="15"/>
      <c r="H22" s="15" t="s">
        <v>186</v>
      </c>
      <c r="I22" s="16" t="s">
        <v>53</v>
      </c>
      <c r="J22" s="16"/>
      <c r="K22" s="90" t="s">
        <v>389</v>
      </c>
      <c r="L22" s="2"/>
    </row>
    <row r="23" spans="1:12" x14ac:dyDescent="0.35">
      <c r="A23" s="30"/>
      <c r="B23" s="14">
        <f t="shared" si="0"/>
        <v>18</v>
      </c>
      <c r="C23" s="11"/>
      <c r="D23" s="11"/>
      <c r="E23" s="11"/>
      <c r="F23" s="15" t="s">
        <v>404</v>
      </c>
      <c r="G23" s="15"/>
      <c r="H23" s="15" t="s">
        <v>186</v>
      </c>
      <c r="I23" s="16" t="s">
        <v>53</v>
      </c>
      <c r="J23" s="16"/>
      <c r="K23" s="90" t="s">
        <v>389</v>
      </c>
      <c r="L23" s="2"/>
    </row>
    <row r="24" spans="1:12" x14ac:dyDescent="0.35">
      <c r="A24" s="30"/>
      <c r="B24" s="14">
        <f t="shared" si="0"/>
        <v>19</v>
      </c>
      <c r="C24" s="11"/>
      <c r="D24" s="11"/>
      <c r="E24" s="11"/>
      <c r="F24" s="21" t="s">
        <v>405</v>
      </c>
      <c r="G24" s="21"/>
      <c r="H24" s="15" t="s">
        <v>186</v>
      </c>
      <c r="I24" s="16" t="s">
        <v>53</v>
      </c>
      <c r="J24" s="16"/>
      <c r="K24" s="90" t="s">
        <v>389</v>
      </c>
      <c r="L24" s="2"/>
    </row>
    <row r="25" spans="1:12" x14ac:dyDescent="0.35">
      <c r="A25" s="30"/>
      <c r="B25" s="14">
        <f t="shared" si="0"/>
        <v>20</v>
      </c>
      <c r="C25" s="11"/>
      <c r="D25" s="11"/>
      <c r="E25" s="11"/>
      <c r="F25" s="15" t="s">
        <v>207</v>
      </c>
      <c r="G25" s="15"/>
      <c r="H25" s="15" t="s">
        <v>207</v>
      </c>
      <c r="I25" s="16" t="s">
        <v>53</v>
      </c>
      <c r="J25" s="16"/>
      <c r="K25" s="90" t="s">
        <v>389</v>
      </c>
      <c r="L25" s="2"/>
    </row>
    <row r="26" spans="1:12" x14ac:dyDescent="0.35">
      <c r="A26" s="30"/>
      <c r="B26" s="14">
        <f t="shared" si="0"/>
        <v>21</v>
      </c>
      <c r="C26" s="11"/>
      <c r="D26" s="11"/>
      <c r="E26" s="11"/>
      <c r="F26" s="10" t="s">
        <v>244</v>
      </c>
      <c r="G26" s="15" t="s">
        <v>399</v>
      </c>
      <c r="H26" s="15" t="s">
        <v>186</v>
      </c>
      <c r="I26" s="16" t="s">
        <v>53</v>
      </c>
      <c r="J26" s="16"/>
      <c r="K26" s="90" t="s">
        <v>389</v>
      </c>
      <c r="L26" s="2"/>
    </row>
    <row r="27" spans="1:12" x14ac:dyDescent="0.35">
      <c r="A27" s="30"/>
      <c r="B27" s="14">
        <f t="shared" si="0"/>
        <v>22</v>
      </c>
      <c r="C27" s="82"/>
      <c r="D27" s="82"/>
      <c r="E27" s="82"/>
      <c r="F27" s="10" t="s">
        <v>235</v>
      </c>
      <c r="G27" s="10"/>
      <c r="H27" s="15" t="s">
        <v>186</v>
      </c>
      <c r="I27" s="16" t="s">
        <v>53</v>
      </c>
      <c r="J27" s="16"/>
      <c r="K27" s="90" t="s">
        <v>389</v>
      </c>
      <c r="L27" s="77"/>
    </row>
    <row r="28" spans="1:12" x14ac:dyDescent="0.35">
      <c r="A28" s="30"/>
      <c r="B28" s="14">
        <f t="shared" si="0"/>
        <v>23</v>
      </c>
      <c r="C28" s="147"/>
      <c r="D28" s="149"/>
      <c r="E28" s="82"/>
      <c r="F28" s="14" t="s">
        <v>268</v>
      </c>
      <c r="G28" s="10" t="s">
        <v>269</v>
      </c>
      <c r="H28" s="15" t="s">
        <v>186</v>
      </c>
      <c r="I28" s="16" t="s">
        <v>53</v>
      </c>
      <c r="J28" s="16"/>
      <c r="K28" s="90" t="s">
        <v>389</v>
      </c>
      <c r="L28" s="77"/>
    </row>
    <row r="29" spans="1:12" x14ac:dyDescent="0.35">
      <c r="A29" s="30"/>
      <c r="B29" s="14">
        <f t="shared" si="0"/>
        <v>24</v>
      </c>
      <c r="C29" s="147"/>
      <c r="D29" s="149"/>
      <c r="E29" s="82"/>
      <c r="F29" s="10" t="s">
        <v>270</v>
      </c>
      <c r="G29" s="10" t="s">
        <v>406</v>
      </c>
      <c r="H29" s="15" t="s">
        <v>186</v>
      </c>
      <c r="I29" s="16" t="s">
        <v>53</v>
      </c>
      <c r="J29" s="16"/>
      <c r="K29" s="90" t="s">
        <v>389</v>
      </c>
      <c r="L29" s="77"/>
    </row>
    <row r="30" spans="1:12" x14ac:dyDescent="0.35">
      <c r="A30" s="30"/>
      <c r="B30" s="14">
        <f t="shared" si="0"/>
        <v>25</v>
      </c>
      <c r="C30" s="84" t="s">
        <v>335</v>
      </c>
      <c r="D30" s="84"/>
      <c r="E30" s="84"/>
      <c r="F30" s="14" t="s">
        <v>336</v>
      </c>
      <c r="G30" s="10" t="s">
        <v>407</v>
      </c>
      <c r="H30" s="14" t="s">
        <v>186</v>
      </c>
      <c r="I30" s="16" t="s">
        <v>53</v>
      </c>
      <c r="J30" s="14"/>
      <c r="K30" s="90" t="s">
        <v>389</v>
      </c>
      <c r="L30" s="77"/>
    </row>
    <row r="31" spans="1:12" x14ac:dyDescent="0.35">
      <c r="A31" s="30"/>
      <c r="B31" s="14">
        <f t="shared" si="0"/>
        <v>26</v>
      </c>
      <c r="C31" s="82"/>
      <c r="D31" s="82"/>
      <c r="E31" s="82"/>
      <c r="F31" s="10" t="s">
        <v>342</v>
      </c>
      <c r="G31" s="10"/>
      <c r="H31" s="14" t="s">
        <v>107</v>
      </c>
      <c r="I31" s="16" t="s">
        <v>53</v>
      </c>
      <c r="J31" s="14"/>
      <c r="K31" s="90" t="s">
        <v>389</v>
      </c>
      <c r="L31" s="77"/>
    </row>
    <row r="32" spans="1:12" x14ac:dyDescent="0.35">
      <c r="A32" s="30"/>
      <c r="B32" s="14">
        <f t="shared" si="0"/>
        <v>27</v>
      </c>
      <c r="C32" s="82"/>
      <c r="D32" s="82"/>
      <c r="E32" s="82"/>
      <c r="F32" s="30" t="s">
        <v>408</v>
      </c>
      <c r="G32" s="31"/>
      <c r="H32" s="14" t="s">
        <v>107</v>
      </c>
      <c r="I32" s="16" t="s">
        <v>53</v>
      </c>
      <c r="J32" s="14"/>
      <c r="K32" s="90" t="s">
        <v>389</v>
      </c>
      <c r="L32" s="77"/>
    </row>
    <row r="33" spans="1:12" x14ac:dyDescent="0.35">
      <c r="A33" s="30"/>
      <c r="B33" s="14">
        <f t="shared" si="0"/>
        <v>28</v>
      </c>
      <c r="C33" s="82"/>
      <c r="D33" s="82"/>
      <c r="E33" s="82"/>
      <c r="F33" s="21" t="s">
        <v>409</v>
      </c>
      <c r="G33" s="15"/>
      <c r="H33" s="14" t="s">
        <v>107</v>
      </c>
      <c r="I33" s="16" t="s">
        <v>53</v>
      </c>
      <c r="J33" s="14"/>
      <c r="K33" s="90" t="s">
        <v>389</v>
      </c>
      <c r="L33" s="77"/>
    </row>
    <row r="34" spans="1:12" x14ac:dyDescent="0.35">
      <c r="A34" s="30"/>
      <c r="B34" s="14">
        <f t="shared" si="0"/>
        <v>29</v>
      </c>
      <c r="C34" s="82"/>
      <c r="D34" s="82"/>
      <c r="E34" s="82"/>
      <c r="F34" s="30" t="s">
        <v>340</v>
      </c>
      <c r="G34" s="10"/>
      <c r="H34" s="14" t="s">
        <v>107</v>
      </c>
      <c r="I34" s="16" t="s">
        <v>53</v>
      </c>
      <c r="J34" s="14"/>
      <c r="K34" s="90" t="s">
        <v>389</v>
      </c>
      <c r="L34" s="77"/>
    </row>
    <row r="35" spans="1:12" x14ac:dyDescent="0.35">
      <c r="A35" s="30"/>
      <c r="B35" s="14">
        <f t="shared" si="0"/>
        <v>30</v>
      </c>
      <c r="C35" s="82"/>
      <c r="D35" s="82"/>
      <c r="E35" s="82"/>
      <c r="F35" s="89" t="s">
        <v>343</v>
      </c>
      <c r="G35" s="10"/>
      <c r="H35" s="14" t="s">
        <v>107</v>
      </c>
      <c r="I35" s="16" t="s">
        <v>53</v>
      </c>
      <c r="J35" s="14"/>
      <c r="K35" s="90" t="s">
        <v>389</v>
      </c>
      <c r="L35" s="77"/>
    </row>
    <row r="36" spans="1:12" x14ac:dyDescent="0.35">
      <c r="A36" s="30"/>
      <c r="B36" s="14">
        <f t="shared" si="0"/>
        <v>31</v>
      </c>
      <c r="C36" s="147"/>
      <c r="D36" s="149"/>
      <c r="E36" s="82"/>
      <c r="F36" s="89" t="s">
        <v>346</v>
      </c>
      <c r="G36" s="10"/>
      <c r="H36" s="14" t="s">
        <v>186</v>
      </c>
      <c r="I36" s="16" t="s">
        <v>53</v>
      </c>
      <c r="J36" s="14"/>
      <c r="K36" s="90" t="s">
        <v>389</v>
      </c>
      <c r="L36" s="77"/>
    </row>
    <row r="37" spans="1:12" x14ac:dyDescent="0.35">
      <c r="A37" s="30"/>
      <c r="B37" s="14">
        <f t="shared" si="0"/>
        <v>32</v>
      </c>
      <c r="C37" s="147"/>
      <c r="D37" s="149"/>
      <c r="E37" s="82"/>
      <c r="F37" s="89" t="s">
        <v>348</v>
      </c>
      <c r="G37" s="10"/>
      <c r="H37" s="14" t="s">
        <v>107</v>
      </c>
      <c r="I37" s="16" t="s">
        <v>53</v>
      </c>
      <c r="J37" s="14"/>
      <c r="K37" s="90" t="s">
        <v>389</v>
      </c>
      <c r="L37" s="77"/>
    </row>
    <row r="38" spans="1:12" x14ac:dyDescent="0.35">
      <c r="A38" s="30"/>
      <c r="B38" s="14">
        <f t="shared" si="0"/>
        <v>33</v>
      </c>
      <c r="C38" s="82"/>
      <c r="D38" s="82"/>
      <c r="E38" s="82"/>
      <c r="F38" s="89" t="s">
        <v>350</v>
      </c>
      <c r="G38" s="10"/>
      <c r="H38" s="14" t="s">
        <v>186</v>
      </c>
      <c r="I38" s="16" t="s">
        <v>53</v>
      </c>
      <c r="J38" s="14"/>
      <c r="K38" s="90" t="s">
        <v>389</v>
      </c>
      <c r="L38" s="77"/>
    </row>
    <row r="39" spans="1:12" x14ac:dyDescent="0.35">
      <c r="A39" s="30"/>
      <c r="B39" s="14">
        <f t="shared" si="0"/>
        <v>34</v>
      </c>
      <c r="C39" s="82"/>
      <c r="D39" s="82"/>
      <c r="E39" s="82"/>
      <c r="F39" s="14" t="s">
        <v>352</v>
      </c>
      <c r="G39" s="10"/>
      <c r="H39" s="14" t="s">
        <v>107</v>
      </c>
      <c r="I39" s="16" t="s">
        <v>53</v>
      </c>
      <c r="J39" s="14"/>
      <c r="K39" s="90" t="s">
        <v>389</v>
      </c>
      <c r="L39" s="77"/>
    </row>
    <row r="40" spans="1:12" x14ac:dyDescent="0.35">
      <c r="A40" s="30"/>
      <c r="B40" s="14">
        <f t="shared" si="0"/>
        <v>35</v>
      </c>
      <c r="C40" s="84" t="s">
        <v>288</v>
      </c>
      <c r="D40" s="84"/>
      <c r="E40" s="84"/>
      <c r="F40" s="14" t="s">
        <v>297</v>
      </c>
      <c r="G40" s="10"/>
      <c r="H40" s="14" t="s">
        <v>186</v>
      </c>
      <c r="I40" s="16" t="s">
        <v>53</v>
      </c>
      <c r="J40" s="14"/>
      <c r="K40" s="90" t="s">
        <v>389</v>
      </c>
      <c r="L40" s="77"/>
    </row>
    <row r="41" spans="1:12" x14ac:dyDescent="0.35">
      <c r="A41" s="30"/>
      <c r="B41" s="14">
        <f t="shared" si="0"/>
        <v>36</v>
      </c>
      <c r="C41" s="41"/>
      <c r="D41" s="41"/>
      <c r="E41" s="41"/>
      <c r="F41" s="14" t="s">
        <v>295</v>
      </c>
      <c r="G41" s="10" t="s">
        <v>410</v>
      </c>
      <c r="H41" s="14" t="s">
        <v>411</v>
      </c>
      <c r="I41" s="16" t="s">
        <v>53</v>
      </c>
      <c r="J41" s="14"/>
      <c r="K41" s="90" t="s">
        <v>389</v>
      </c>
      <c r="L41" s="77"/>
    </row>
  </sheetData>
  <mergeCells count="5">
    <mergeCell ref="E18:E19"/>
    <mergeCell ref="C28:C29"/>
    <mergeCell ref="D28:D29"/>
    <mergeCell ref="C36:C37"/>
    <mergeCell ref="D36:D37"/>
  </mergeCells>
  <phoneticPr fontId="11"/>
  <hyperlinks>
    <hyperlink ref="A4" location="パラメータ設定一覧!A1" display="パラメータ設定一覧へ" xr:uid="{B7B67FB8-4A01-4EAB-9DDC-3C87B7D92EB0}"/>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CBD3-45C9-4901-B91F-7980FA7C720D}">
  <sheetPr>
    <pageSetUpPr fitToPage="1"/>
  </sheetPr>
  <dimension ref="A1:AL27"/>
  <sheetViews>
    <sheetView showGridLines="0" zoomScaleNormal="100" zoomScaleSheetLayoutView="70" workbookViewId="0">
      <pane xSplit="5" ySplit="7" topLeftCell="I8" activePane="bottomRight" state="frozen"/>
      <selection pane="topRight" activeCell="N8" sqref="N8"/>
      <selection pane="bottomLeft" activeCell="N8" sqref="N8"/>
      <selection pane="bottomRight" activeCell="N8" sqref="N8"/>
    </sheetView>
  </sheetViews>
  <sheetFormatPr defaultColWidth="8.78515625" defaultRowHeight="13.5" outlineLevelCol="1" x14ac:dyDescent="0.35"/>
  <cols>
    <col min="1" max="1" width="2.78515625" style="29" customWidth="1"/>
    <col min="2" max="2" width="3.5703125" style="29" bestFit="1" customWidth="1"/>
    <col min="3" max="3" width="18.78515625" style="29" customWidth="1"/>
    <col min="4" max="4" width="19.5703125" style="29" customWidth="1"/>
    <col min="5" max="5" width="24.42578125" style="29" bestFit="1" customWidth="1"/>
    <col min="6" max="13" width="19.5703125" style="29" hidden="1" customWidth="1" outlineLevel="1"/>
    <col min="14" max="14" width="19.5703125" style="29" customWidth="1" collapsed="1"/>
    <col min="15" max="18" width="19.5703125" style="29" customWidth="1"/>
    <col min="19" max="19" width="19.5703125" style="98" customWidth="1"/>
    <col min="20" max="38" width="19.5703125" style="29" customWidth="1"/>
    <col min="39" max="16384" width="8.78515625" style="29"/>
  </cols>
  <sheetData>
    <row r="1" spans="1:38" customFormat="1" ht="19.5" x14ac:dyDescent="0.35">
      <c r="A1" s="5" t="s">
        <v>412</v>
      </c>
      <c r="S1" s="55"/>
    </row>
    <row r="2" spans="1:38" customFormat="1" ht="15" x14ac:dyDescent="0.35">
      <c r="S2" s="55"/>
    </row>
    <row r="3" spans="1:38" customFormat="1" ht="15" x14ac:dyDescent="0.35">
      <c r="A3" s="6" t="s">
        <v>34</v>
      </c>
      <c r="S3" s="55"/>
    </row>
    <row r="4" spans="1:38" ht="15.75" customHeight="1" x14ac:dyDescent="0.35">
      <c r="B4" s="150" t="s">
        <v>35</v>
      </c>
      <c r="C4" s="154" t="s">
        <v>29</v>
      </c>
      <c r="D4" s="155"/>
      <c r="E4" s="75"/>
      <c r="F4" s="75"/>
      <c r="G4" s="75"/>
      <c r="H4" s="75"/>
      <c r="I4" s="75"/>
      <c r="J4" s="75"/>
      <c r="K4" s="75"/>
      <c r="L4" s="75"/>
      <c r="M4" s="75"/>
      <c r="N4" s="75"/>
      <c r="O4" s="75"/>
      <c r="P4" s="75"/>
      <c r="Q4" s="75"/>
      <c r="R4" s="75"/>
      <c r="S4" s="56"/>
      <c r="T4" s="75"/>
      <c r="U4" s="75"/>
      <c r="V4" s="75"/>
      <c r="W4" s="75"/>
      <c r="X4" s="75"/>
      <c r="Y4" s="75"/>
      <c r="Z4" s="75"/>
      <c r="AA4" s="75"/>
      <c r="AB4" s="75"/>
      <c r="AC4" s="75"/>
      <c r="AD4" s="75"/>
      <c r="AE4" s="75"/>
      <c r="AF4" s="75"/>
      <c r="AG4" s="75"/>
      <c r="AH4" s="75"/>
      <c r="AI4" s="75"/>
      <c r="AJ4" s="75"/>
      <c r="AK4" s="75"/>
      <c r="AL4" s="49"/>
    </row>
    <row r="5" spans="1:38" x14ac:dyDescent="0.35">
      <c r="B5" s="150"/>
      <c r="C5" s="24"/>
      <c r="D5" s="25"/>
      <c r="E5" s="25"/>
      <c r="F5" s="42" t="s">
        <v>321</v>
      </c>
      <c r="G5" s="43"/>
      <c r="H5" s="43"/>
      <c r="I5" s="43"/>
      <c r="J5" s="43"/>
      <c r="K5" s="43"/>
      <c r="L5" s="43"/>
      <c r="M5" s="44"/>
      <c r="N5" s="43" t="s">
        <v>180</v>
      </c>
      <c r="O5" s="43"/>
      <c r="P5" s="43"/>
      <c r="Q5" s="43"/>
      <c r="R5" s="43"/>
      <c r="S5" s="57"/>
      <c r="T5" s="43"/>
      <c r="U5" s="43"/>
      <c r="V5" s="43"/>
      <c r="W5" s="43"/>
      <c r="X5" s="43"/>
      <c r="Y5" s="43"/>
      <c r="Z5" s="43"/>
      <c r="AA5" s="42" t="s">
        <v>413</v>
      </c>
      <c r="AB5" s="43"/>
      <c r="AC5" s="43"/>
      <c r="AD5" s="43"/>
      <c r="AE5" s="43"/>
      <c r="AF5" s="43"/>
      <c r="AG5" s="43"/>
      <c r="AH5" s="43"/>
      <c r="AI5" s="43"/>
      <c r="AJ5" s="43"/>
      <c r="AK5" s="42" t="s">
        <v>288</v>
      </c>
      <c r="AL5" s="44"/>
    </row>
    <row r="6" spans="1:38" x14ac:dyDescent="0.35">
      <c r="B6" s="150"/>
      <c r="C6" s="45" t="s">
        <v>29</v>
      </c>
      <c r="D6" s="45" t="s">
        <v>188</v>
      </c>
      <c r="E6" s="45" t="s">
        <v>201</v>
      </c>
      <c r="F6" s="45" t="s">
        <v>321</v>
      </c>
      <c r="G6" s="45" t="s">
        <v>323</v>
      </c>
      <c r="H6" s="45" t="s">
        <v>324</v>
      </c>
      <c r="I6" s="45" t="s">
        <v>327</v>
      </c>
      <c r="J6" s="45" t="s">
        <v>321</v>
      </c>
      <c r="K6" s="45" t="s">
        <v>372</v>
      </c>
      <c r="L6" s="45" t="s">
        <v>331</v>
      </c>
      <c r="M6" s="45" t="s">
        <v>333</v>
      </c>
      <c r="N6" s="45" t="s">
        <v>181</v>
      </c>
      <c r="O6" s="45" t="s">
        <v>240</v>
      </c>
      <c r="P6" s="45" t="s">
        <v>400</v>
      </c>
      <c r="Q6" s="45" t="s">
        <v>401</v>
      </c>
      <c r="R6" s="45" t="s">
        <v>402</v>
      </c>
      <c r="S6" s="58" t="s">
        <v>403</v>
      </c>
      <c r="T6" s="45" t="s">
        <v>404</v>
      </c>
      <c r="U6" s="45" t="s">
        <v>405</v>
      </c>
      <c r="V6" s="45" t="s">
        <v>207</v>
      </c>
      <c r="W6" s="45" t="s">
        <v>244</v>
      </c>
      <c r="X6" s="45" t="s">
        <v>235</v>
      </c>
      <c r="Y6" s="45" t="s">
        <v>268</v>
      </c>
      <c r="Z6" s="45" t="s">
        <v>365</v>
      </c>
      <c r="AA6" s="45" t="s">
        <v>336</v>
      </c>
      <c r="AB6" s="45" t="s">
        <v>342</v>
      </c>
      <c r="AC6" s="45" t="s">
        <v>408</v>
      </c>
      <c r="AD6" s="45" t="s">
        <v>338</v>
      </c>
      <c r="AE6" s="45" t="s">
        <v>340</v>
      </c>
      <c r="AF6" s="45" t="s">
        <v>343</v>
      </c>
      <c r="AG6" s="45" t="s">
        <v>346</v>
      </c>
      <c r="AH6" s="45" t="s">
        <v>348</v>
      </c>
      <c r="AI6" s="45" t="s">
        <v>350</v>
      </c>
      <c r="AJ6" s="45" t="s">
        <v>352</v>
      </c>
      <c r="AK6" s="45" t="s">
        <v>297</v>
      </c>
      <c r="AL6" s="45" t="s">
        <v>295</v>
      </c>
    </row>
    <row r="7" spans="1:38" ht="14.25" customHeight="1" x14ac:dyDescent="0.35">
      <c r="B7" s="150"/>
      <c r="C7" s="4" t="s">
        <v>186</v>
      </c>
      <c r="D7" s="4" t="s">
        <v>186</v>
      </c>
      <c r="E7" s="4" t="s">
        <v>186</v>
      </c>
      <c r="F7" s="4"/>
      <c r="G7" s="4" t="s">
        <v>186</v>
      </c>
      <c r="H7" s="4" t="s">
        <v>186</v>
      </c>
      <c r="I7" s="4" t="s">
        <v>186</v>
      </c>
      <c r="J7" s="4" t="s">
        <v>186</v>
      </c>
      <c r="K7" s="4" t="s">
        <v>186</v>
      </c>
      <c r="L7" s="4" t="s">
        <v>186</v>
      </c>
      <c r="M7" s="4" t="s">
        <v>186</v>
      </c>
      <c r="N7" s="4"/>
      <c r="O7" s="4" t="s">
        <v>186</v>
      </c>
      <c r="P7" s="4" t="s">
        <v>186</v>
      </c>
      <c r="Q7" s="4" t="s">
        <v>186</v>
      </c>
      <c r="R7" s="4" t="s">
        <v>186</v>
      </c>
      <c r="S7" s="59" t="s">
        <v>186</v>
      </c>
      <c r="T7" s="4" t="s">
        <v>186</v>
      </c>
      <c r="U7" s="4" t="s">
        <v>186</v>
      </c>
      <c r="V7" s="4" t="s">
        <v>207</v>
      </c>
      <c r="W7" s="4" t="s">
        <v>186</v>
      </c>
      <c r="X7" s="4" t="s">
        <v>186</v>
      </c>
      <c r="Y7" s="4" t="s">
        <v>186</v>
      </c>
      <c r="Z7" s="4" t="s">
        <v>186</v>
      </c>
      <c r="AA7" s="4" t="s">
        <v>186</v>
      </c>
      <c r="AB7" s="4" t="s">
        <v>186</v>
      </c>
      <c r="AC7" s="4" t="s">
        <v>186</v>
      </c>
      <c r="AD7" s="4" t="s">
        <v>186</v>
      </c>
      <c r="AE7" s="4" t="s">
        <v>186</v>
      </c>
      <c r="AF7" s="4" t="s">
        <v>186</v>
      </c>
      <c r="AG7" s="4" t="s">
        <v>186</v>
      </c>
      <c r="AH7" s="4" t="s">
        <v>186</v>
      </c>
      <c r="AI7" s="4" t="s">
        <v>186</v>
      </c>
      <c r="AJ7" s="4" t="s">
        <v>186</v>
      </c>
      <c r="AK7" s="4" t="s">
        <v>186</v>
      </c>
      <c r="AL7" s="4" t="s">
        <v>186</v>
      </c>
    </row>
    <row r="8" spans="1:38" ht="16.5" customHeight="1" x14ac:dyDescent="0.3">
      <c r="B8" s="86">
        <f>ROW() - 7</f>
        <v>1</v>
      </c>
      <c r="C8" s="93"/>
      <c r="D8" s="88"/>
      <c r="E8" s="88"/>
      <c r="F8" s="86"/>
      <c r="G8" s="86"/>
      <c r="H8" s="86"/>
      <c r="I8" s="86"/>
      <c r="J8" s="86"/>
      <c r="K8" s="86"/>
      <c r="L8" s="86"/>
      <c r="M8" s="86"/>
      <c r="N8" s="86"/>
      <c r="O8" s="88"/>
      <c r="P8" s="86"/>
      <c r="Q8" s="86"/>
      <c r="R8" s="86"/>
      <c r="S8" s="94"/>
      <c r="T8" s="86"/>
      <c r="U8" s="86"/>
      <c r="V8" s="86"/>
      <c r="W8" s="86"/>
      <c r="X8" s="86"/>
      <c r="Y8" s="86"/>
      <c r="Z8" s="86"/>
      <c r="AA8" s="86"/>
      <c r="AB8" s="86"/>
      <c r="AC8" s="86"/>
      <c r="AD8" s="86"/>
      <c r="AE8" s="86"/>
      <c r="AF8" s="86"/>
      <c r="AG8" s="86"/>
      <c r="AH8" s="86"/>
      <c r="AI8" s="86"/>
      <c r="AJ8" s="86"/>
      <c r="AK8" s="86"/>
      <c r="AL8" s="86"/>
    </row>
    <row r="9" spans="1:38" x14ac:dyDescent="0.3">
      <c r="B9" s="86">
        <f t="shared" ref="B9:B27" si="0">ROW() - 7</f>
        <v>2</v>
      </c>
      <c r="C9" s="93"/>
      <c r="D9" s="88"/>
      <c r="E9" s="88"/>
      <c r="F9" s="86"/>
      <c r="G9" s="86"/>
      <c r="H9" s="86"/>
      <c r="I9" s="86"/>
      <c r="J9" s="86"/>
      <c r="K9" s="86"/>
      <c r="L9" s="86"/>
      <c r="M9" s="86"/>
      <c r="N9" s="86"/>
      <c r="O9" s="88"/>
      <c r="P9" s="94"/>
      <c r="Q9" s="86"/>
      <c r="R9" s="86"/>
      <c r="S9" s="96"/>
      <c r="T9" s="86"/>
      <c r="U9" s="86"/>
      <c r="V9" s="86"/>
      <c r="W9" s="86"/>
      <c r="X9" s="86"/>
      <c r="Y9" s="86"/>
      <c r="Z9" s="86"/>
      <c r="AA9" s="86"/>
      <c r="AB9" s="86"/>
      <c r="AC9" s="86"/>
      <c r="AD9" s="86"/>
      <c r="AE9" s="86"/>
      <c r="AF9" s="86"/>
      <c r="AG9" s="86"/>
      <c r="AH9" s="86"/>
      <c r="AI9" s="86"/>
      <c r="AJ9" s="86"/>
      <c r="AK9" s="86"/>
      <c r="AL9" s="86"/>
    </row>
    <row r="10" spans="1:38" x14ac:dyDescent="0.3">
      <c r="B10" s="86">
        <f t="shared" si="0"/>
        <v>3</v>
      </c>
      <c r="C10" s="94"/>
      <c r="D10" s="86"/>
      <c r="E10" s="86"/>
      <c r="F10" s="86"/>
      <c r="G10" s="86"/>
      <c r="H10" s="86"/>
      <c r="I10" s="86"/>
      <c r="J10" s="86"/>
      <c r="K10" s="86"/>
      <c r="L10" s="86"/>
      <c r="M10" s="86"/>
      <c r="N10" s="86"/>
      <c r="O10" s="88"/>
      <c r="P10" s="97"/>
      <c r="Q10" s="86"/>
      <c r="R10" s="86"/>
      <c r="S10" s="96"/>
      <c r="T10" s="86"/>
      <c r="U10" s="86"/>
      <c r="V10" s="86"/>
      <c r="W10" s="86"/>
      <c r="X10" s="86"/>
      <c r="Y10" s="86"/>
      <c r="Z10" s="86"/>
      <c r="AA10" s="86"/>
      <c r="AB10" s="86"/>
      <c r="AC10" s="86"/>
      <c r="AD10" s="86"/>
      <c r="AE10" s="86"/>
      <c r="AF10" s="86"/>
      <c r="AG10" s="86"/>
      <c r="AH10" s="86"/>
      <c r="AI10" s="86"/>
      <c r="AJ10" s="86"/>
      <c r="AK10" s="86"/>
      <c r="AL10" s="86"/>
    </row>
    <row r="11" spans="1:38" x14ac:dyDescent="0.3">
      <c r="B11" s="86">
        <f t="shared" si="0"/>
        <v>4</v>
      </c>
      <c r="C11" s="94"/>
      <c r="D11" s="86"/>
      <c r="E11" s="86"/>
      <c r="F11" s="86"/>
      <c r="G11" s="86"/>
      <c r="H11" s="86"/>
      <c r="I11" s="86"/>
      <c r="J11" s="86"/>
      <c r="K11" s="86"/>
      <c r="L11" s="86"/>
      <c r="M11" s="86"/>
      <c r="N11" s="86"/>
      <c r="O11" s="86"/>
      <c r="P11" s="86"/>
      <c r="Q11" s="86"/>
      <c r="R11" s="86"/>
      <c r="S11" s="94"/>
      <c r="T11" s="86"/>
      <c r="U11" s="86"/>
      <c r="V11" s="86"/>
      <c r="W11" s="86"/>
      <c r="X11" s="86"/>
      <c r="Y11" s="86"/>
      <c r="Z11" s="86"/>
      <c r="AA11" s="86"/>
      <c r="AB11" s="86"/>
      <c r="AC11" s="86"/>
      <c r="AD11" s="86"/>
      <c r="AE11" s="86"/>
      <c r="AF11" s="86"/>
      <c r="AG11" s="86"/>
      <c r="AH11" s="86"/>
      <c r="AI11" s="86"/>
      <c r="AJ11" s="86"/>
      <c r="AK11" s="86"/>
      <c r="AL11" s="86"/>
    </row>
    <row r="12" spans="1:38" x14ac:dyDescent="0.3">
      <c r="B12" s="86">
        <f t="shared" si="0"/>
        <v>5</v>
      </c>
      <c r="C12" s="94"/>
      <c r="D12" s="86"/>
      <c r="E12" s="86"/>
      <c r="F12" s="86"/>
      <c r="G12" s="86"/>
      <c r="H12" s="86"/>
      <c r="I12" s="86"/>
      <c r="J12" s="86"/>
      <c r="K12" s="86"/>
      <c r="L12" s="86"/>
      <c r="M12" s="86"/>
      <c r="N12" s="86"/>
      <c r="O12" s="86"/>
      <c r="P12" s="86"/>
      <c r="Q12" s="86"/>
      <c r="R12" s="86"/>
      <c r="S12" s="94"/>
      <c r="T12" s="86"/>
      <c r="U12" s="86"/>
      <c r="V12" s="86"/>
      <c r="W12" s="86"/>
      <c r="X12" s="86"/>
      <c r="Y12" s="86"/>
      <c r="Z12" s="86"/>
      <c r="AA12" s="86"/>
      <c r="AB12" s="86"/>
      <c r="AC12" s="86"/>
      <c r="AD12" s="86"/>
      <c r="AE12" s="86"/>
      <c r="AF12" s="86"/>
      <c r="AG12" s="86"/>
      <c r="AH12" s="86"/>
      <c r="AI12" s="86"/>
      <c r="AJ12" s="86"/>
      <c r="AK12" s="86"/>
      <c r="AL12" s="86"/>
    </row>
    <row r="13" spans="1:38" x14ac:dyDescent="0.3">
      <c r="B13" s="86">
        <f t="shared" si="0"/>
        <v>6</v>
      </c>
      <c r="C13" s="94"/>
      <c r="D13" s="86"/>
      <c r="E13" s="86"/>
      <c r="F13" s="86"/>
      <c r="G13" s="86"/>
      <c r="H13" s="86"/>
      <c r="I13" s="86"/>
      <c r="J13" s="86"/>
      <c r="K13" s="86"/>
      <c r="L13" s="86"/>
      <c r="M13" s="86"/>
      <c r="N13" s="86"/>
      <c r="O13" s="86"/>
      <c r="P13" s="86"/>
      <c r="Q13" s="86"/>
      <c r="R13" s="86"/>
      <c r="S13" s="94"/>
      <c r="T13" s="86"/>
      <c r="U13" s="86"/>
      <c r="V13" s="86"/>
      <c r="W13" s="86"/>
      <c r="X13" s="86"/>
      <c r="Y13" s="86"/>
      <c r="Z13" s="86"/>
      <c r="AA13" s="86"/>
      <c r="AB13" s="86"/>
      <c r="AC13" s="86"/>
      <c r="AD13" s="86"/>
      <c r="AE13" s="86"/>
      <c r="AF13" s="86"/>
      <c r="AG13" s="86"/>
      <c r="AH13" s="86"/>
      <c r="AI13" s="86"/>
      <c r="AJ13" s="86"/>
      <c r="AK13" s="86"/>
      <c r="AL13" s="86"/>
    </row>
    <row r="14" spans="1:38" x14ac:dyDescent="0.3">
      <c r="B14" s="86">
        <f t="shared" si="0"/>
        <v>7</v>
      </c>
      <c r="C14" s="94"/>
      <c r="D14" s="86"/>
      <c r="E14" s="86"/>
      <c r="F14" s="86"/>
      <c r="G14" s="86"/>
      <c r="H14" s="86"/>
      <c r="I14" s="86"/>
      <c r="J14" s="86"/>
      <c r="K14" s="86"/>
      <c r="L14" s="86"/>
      <c r="M14" s="86"/>
      <c r="N14" s="86"/>
      <c r="O14" s="86"/>
      <c r="P14" s="86"/>
      <c r="Q14" s="86"/>
      <c r="R14" s="86"/>
      <c r="S14" s="94"/>
      <c r="T14" s="86"/>
      <c r="U14" s="86"/>
      <c r="V14" s="86"/>
      <c r="W14" s="86"/>
      <c r="X14" s="86"/>
      <c r="Y14" s="86"/>
      <c r="Z14" s="86"/>
      <c r="AA14" s="86"/>
      <c r="AB14" s="86"/>
      <c r="AC14" s="86"/>
      <c r="AD14" s="86"/>
      <c r="AE14" s="86"/>
      <c r="AF14" s="86"/>
      <c r="AG14" s="86"/>
      <c r="AH14" s="86"/>
      <c r="AI14" s="86"/>
      <c r="AJ14" s="86"/>
      <c r="AK14" s="86"/>
      <c r="AL14" s="86"/>
    </row>
    <row r="15" spans="1:38" x14ac:dyDescent="0.3">
      <c r="B15" s="86">
        <f t="shared" si="0"/>
        <v>8</v>
      </c>
      <c r="C15" s="94"/>
      <c r="D15" s="86"/>
      <c r="E15" s="86"/>
      <c r="F15" s="86"/>
      <c r="G15" s="86"/>
      <c r="H15" s="86"/>
      <c r="I15" s="86"/>
      <c r="J15" s="86"/>
      <c r="K15" s="86"/>
      <c r="L15" s="86"/>
      <c r="M15" s="86"/>
      <c r="N15" s="86"/>
      <c r="O15" s="86"/>
      <c r="P15" s="86"/>
      <c r="Q15" s="86"/>
      <c r="R15" s="86"/>
      <c r="S15" s="94"/>
      <c r="T15" s="86"/>
      <c r="U15" s="86"/>
      <c r="V15" s="86"/>
      <c r="W15" s="86"/>
      <c r="X15" s="86"/>
      <c r="Y15" s="86"/>
      <c r="Z15" s="86"/>
      <c r="AA15" s="86"/>
      <c r="AB15" s="86"/>
      <c r="AC15" s="86"/>
      <c r="AD15" s="86"/>
      <c r="AE15" s="86"/>
      <c r="AF15" s="86"/>
      <c r="AG15" s="86"/>
      <c r="AH15" s="86"/>
      <c r="AI15" s="86"/>
      <c r="AJ15" s="86"/>
      <c r="AK15" s="86"/>
      <c r="AL15" s="86"/>
    </row>
    <row r="16" spans="1:38" x14ac:dyDescent="0.3">
      <c r="B16" s="86">
        <f t="shared" si="0"/>
        <v>9</v>
      </c>
      <c r="C16" s="94"/>
      <c r="D16" s="86"/>
      <c r="E16" s="86"/>
      <c r="F16" s="86"/>
      <c r="G16" s="86"/>
      <c r="H16" s="86"/>
      <c r="I16" s="86"/>
      <c r="J16" s="86"/>
      <c r="K16" s="86"/>
      <c r="L16" s="86"/>
      <c r="M16" s="86"/>
      <c r="N16" s="86"/>
      <c r="O16" s="86"/>
      <c r="P16" s="86"/>
      <c r="Q16" s="86"/>
      <c r="R16" s="86"/>
      <c r="S16" s="94"/>
      <c r="T16" s="86"/>
      <c r="U16" s="86"/>
      <c r="V16" s="86"/>
      <c r="W16" s="86"/>
      <c r="X16" s="86"/>
      <c r="Y16" s="86"/>
      <c r="Z16" s="86"/>
      <c r="AA16" s="86"/>
      <c r="AB16" s="86"/>
      <c r="AC16" s="86"/>
      <c r="AD16" s="86"/>
      <c r="AE16" s="86"/>
      <c r="AF16" s="86"/>
      <c r="AG16" s="86"/>
      <c r="AH16" s="86"/>
      <c r="AI16" s="86"/>
      <c r="AJ16" s="86"/>
      <c r="AK16" s="86"/>
      <c r="AL16" s="86"/>
    </row>
    <row r="17" spans="2:38" x14ac:dyDescent="0.3">
      <c r="B17" s="86">
        <f t="shared" si="0"/>
        <v>10</v>
      </c>
      <c r="C17" s="94"/>
      <c r="D17" s="86"/>
      <c r="E17" s="86"/>
      <c r="F17" s="86"/>
      <c r="G17" s="86"/>
      <c r="H17" s="86"/>
      <c r="I17" s="86"/>
      <c r="J17" s="86"/>
      <c r="K17" s="86"/>
      <c r="L17" s="86"/>
      <c r="M17" s="86"/>
      <c r="N17" s="86"/>
      <c r="O17" s="86"/>
      <c r="P17" s="86"/>
      <c r="Q17" s="86"/>
      <c r="R17" s="86"/>
      <c r="S17" s="94"/>
      <c r="T17" s="86"/>
      <c r="U17" s="86"/>
      <c r="V17" s="86"/>
      <c r="W17" s="86"/>
      <c r="X17" s="86"/>
      <c r="Y17" s="86"/>
      <c r="Z17" s="86"/>
      <c r="AA17" s="86"/>
      <c r="AB17" s="86"/>
      <c r="AC17" s="86"/>
      <c r="AD17" s="86"/>
      <c r="AE17" s="86"/>
      <c r="AF17" s="86"/>
      <c r="AG17" s="86"/>
      <c r="AH17" s="86"/>
      <c r="AI17" s="86"/>
      <c r="AJ17" s="86"/>
      <c r="AK17" s="86"/>
      <c r="AL17" s="86"/>
    </row>
    <row r="18" spans="2:38" x14ac:dyDescent="0.3">
      <c r="B18" s="86">
        <f t="shared" si="0"/>
        <v>11</v>
      </c>
      <c r="C18" s="94"/>
      <c r="D18" s="86"/>
      <c r="E18" s="86"/>
      <c r="F18" s="86"/>
      <c r="G18" s="86"/>
      <c r="H18" s="86"/>
      <c r="I18" s="86"/>
      <c r="J18" s="86"/>
      <c r="K18" s="86"/>
      <c r="L18" s="86"/>
      <c r="M18" s="86"/>
      <c r="N18" s="86"/>
      <c r="O18" s="86"/>
      <c r="P18" s="86"/>
      <c r="Q18" s="86"/>
      <c r="R18" s="86"/>
      <c r="S18" s="94"/>
      <c r="T18" s="86"/>
      <c r="U18" s="86"/>
      <c r="V18" s="86"/>
      <c r="W18" s="86"/>
      <c r="X18" s="86"/>
      <c r="Y18" s="86"/>
      <c r="Z18" s="86"/>
      <c r="AA18" s="86"/>
      <c r="AB18" s="86"/>
      <c r="AC18" s="86"/>
      <c r="AD18" s="86"/>
      <c r="AE18" s="86"/>
      <c r="AF18" s="86"/>
      <c r="AG18" s="86"/>
      <c r="AH18" s="86"/>
      <c r="AI18" s="86"/>
      <c r="AJ18" s="86"/>
      <c r="AK18" s="86"/>
      <c r="AL18" s="86"/>
    </row>
    <row r="19" spans="2:38" x14ac:dyDescent="0.3">
      <c r="B19" s="86">
        <f t="shared" si="0"/>
        <v>12</v>
      </c>
      <c r="C19" s="94"/>
      <c r="D19" s="86"/>
      <c r="E19" s="86"/>
      <c r="F19" s="86"/>
      <c r="G19" s="86"/>
      <c r="H19" s="86"/>
      <c r="I19" s="86"/>
      <c r="J19" s="86"/>
      <c r="K19" s="86"/>
      <c r="L19" s="86"/>
      <c r="M19" s="86"/>
      <c r="N19" s="86"/>
      <c r="O19" s="86"/>
      <c r="P19" s="86"/>
      <c r="Q19" s="86"/>
      <c r="R19" s="86"/>
      <c r="S19" s="94"/>
      <c r="T19" s="86"/>
      <c r="U19" s="86"/>
      <c r="V19" s="86"/>
      <c r="W19" s="86"/>
      <c r="X19" s="86"/>
      <c r="Y19" s="86"/>
      <c r="Z19" s="86"/>
      <c r="AA19" s="86"/>
      <c r="AB19" s="86"/>
      <c r="AC19" s="86"/>
      <c r="AD19" s="86"/>
      <c r="AE19" s="86"/>
      <c r="AF19" s="86"/>
      <c r="AG19" s="86"/>
      <c r="AH19" s="86"/>
      <c r="AI19" s="86"/>
      <c r="AJ19" s="86"/>
      <c r="AK19" s="86"/>
      <c r="AL19" s="86"/>
    </row>
    <row r="20" spans="2:38" x14ac:dyDescent="0.3">
      <c r="B20" s="86">
        <f t="shared" si="0"/>
        <v>13</v>
      </c>
      <c r="C20" s="94"/>
      <c r="D20" s="86"/>
      <c r="E20" s="86"/>
      <c r="F20" s="86"/>
      <c r="G20" s="86"/>
      <c r="H20" s="86"/>
      <c r="I20" s="86"/>
      <c r="J20" s="86"/>
      <c r="K20" s="86"/>
      <c r="L20" s="86"/>
      <c r="M20" s="86"/>
      <c r="N20" s="86"/>
      <c r="O20" s="86"/>
      <c r="P20" s="86"/>
      <c r="Q20" s="86"/>
      <c r="R20" s="86"/>
      <c r="S20" s="94"/>
      <c r="T20" s="86"/>
      <c r="U20" s="86"/>
      <c r="V20" s="86"/>
      <c r="W20" s="86"/>
      <c r="X20" s="86"/>
      <c r="Y20" s="86"/>
      <c r="Z20" s="86"/>
      <c r="AA20" s="86"/>
      <c r="AB20" s="86"/>
      <c r="AC20" s="86"/>
      <c r="AD20" s="86"/>
      <c r="AE20" s="86"/>
      <c r="AF20" s="86"/>
      <c r="AG20" s="86"/>
      <c r="AH20" s="86"/>
      <c r="AI20" s="86"/>
      <c r="AJ20" s="86"/>
      <c r="AK20" s="86"/>
      <c r="AL20" s="86"/>
    </row>
    <row r="21" spans="2:38" x14ac:dyDescent="0.3">
      <c r="B21" s="86">
        <f t="shared" si="0"/>
        <v>14</v>
      </c>
      <c r="C21" s="94"/>
      <c r="D21" s="86"/>
      <c r="E21" s="86"/>
      <c r="F21" s="86"/>
      <c r="G21" s="86"/>
      <c r="H21" s="86"/>
      <c r="I21" s="86"/>
      <c r="J21" s="86"/>
      <c r="K21" s="86"/>
      <c r="L21" s="86"/>
      <c r="M21" s="86"/>
      <c r="N21" s="86"/>
      <c r="O21" s="86"/>
      <c r="P21" s="86"/>
      <c r="Q21" s="86"/>
      <c r="R21" s="86"/>
      <c r="S21" s="94"/>
      <c r="T21" s="86"/>
      <c r="U21" s="86"/>
      <c r="V21" s="86"/>
      <c r="W21" s="86"/>
      <c r="X21" s="86"/>
      <c r="Y21" s="86"/>
      <c r="Z21" s="86"/>
      <c r="AA21" s="86"/>
      <c r="AB21" s="86"/>
      <c r="AC21" s="86"/>
      <c r="AD21" s="86"/>
      <c r="AE21" s="86"/>
      <c r="AF21" s="86"/>
      <c r="AG21" s="86"/>
      <c r="AH21" s="86"/>
      <c r="AI21" s="86"/>
      <c r="AJ21" s="86"/>
      <c r="AK21" s="86"/>
      <c r="AL21" s="86"/>
    </row>
    <row r="22" spans="2:38" x14ac:dyDescent="0.3">
      <c r="B22" s="86">
        <f t="shared" si="0"/>
        <v>15</v>
      </c>
      <c r="C22" s="94"/>
      <c r="D22" s="86"/>
      <c r="E22" s="86"/>
      <c r="F22" s="86"/>
      <c r="G22" s="86"/>
      <c r="H22" s="86"/>
      <c r="I22" s="86"/>
      <c r="J22" s="86"/>
      <c r="K22" s="86"/>
      <c r="L22" s="86"/>
      <c r="M22" s="86"/>
      <c r="N22" s="86"/>
      <c r="O22" s="86"/>
      <c r="P22" s="86"/>
      <c r="Q22" s="86"/>
      <c r="R22" s="86"/>
      <c r="S22" s="94"/>
      <c r="T22" s="86"/>
      <c r="U22" s="86"/>
      <c r="V22" s="86"/>
      <c r="W22" s="86"/>
      <c r="X22" s="86"/>
      <c r="Y22" s="86"/>
      <c r="Z22" s="86"/>
      <c r="AA22" s="86"/>
      <c r="AB22" s="86"/>
      <c r="AC22" s="86"/>
      <c r="AD22" s="86"/>
      <c r="AE22" s="86"/>
      <c r="AF22" s="86"/>
      <c r="AG22" s="86"/>
      <c r="AH22" s="86"/>
      <c r="AI22" s="86"/>
      <c r="AJ22" s="86"/>
      <c r="AK22" s="86"/>
      <c r="AL22" s="86"/>
    </row>
    <row r="23" spans="2:38" x14ac:dyDescent="0.3">
      <c r="B23" s="86">
        <f t="shared" si="0"/>
        <v>16</v>
      </c>
      <c r="C23" s="94"/>
      <c r="D23" s="86"/>
      <c r="E23" s="86"/>
      <c r="F23" s="86"/>
      <c r="G23" s="86"/>
      <c r="H23" s="86"/>
      <c r="I23" s="86"/>
      <c r="J23" s="86"/>
      <c r="K23" s="86"/>
      <c r="L23" s="86"/>
      <c r="M23" s="86"/>
      <c r="N23" s="86"/>
      <c r="O23" s="86"/>
      <c r="P23" s="86"/>
      <c r="Q23" s="86"/>
      <c r="R23" s="86"/>
      <c r="S23" s="94"/>
      <c r="T23" s="86"/>
      <c r="U23" s="86"/>
      <c r="V23" s="86"/>
      <c r="W23" s="86"/>
      <c r="X23" s="86"/>
      <c r="Y23" s="86"/>
      <c r="Z23" s="86"/>
      <c r="AA23" s="86"/>
      <c r="AB23" s="86"/>
      <c r="AC23" s="86"/>
      <c r="AD23" s="86"/>
      <c r="AE23" s="86"/>
      <c r="AF23" s="86"/>
      <c r="AG23" s="86"/>
      <c r="AH23" s="86"/>
      <c r="AI23" s="86"/>
      <c r="AJ23" s="86"/>
      <c r="AK23" s="86"/>
      <c r="AL23" s="86"/>
    </row>
    <row r="24" spans="2:38" x14ac:dyDescent="0.3">
      <c r="B24" s="86">
        <f t="shared" si="0"/>
        <v>17</v>
      </c>
      <c r="C24" s="94"/>
      <c r="D24" s="86"/>
      <c r="E24" s="86"/>
      <c r="F24" s="86"/>
      <c r="G24" s="86"/>
      <c r="H24" s="86"/>
      <c r="I24" s="86"/>
      <c r="J24" s="86"/>
      <c r="K24" s="86"/>
      <c r="L24" s="86"/>
      <c r="M24" s="86"/>
      <c r="N24" s="86"/>
      <c r="O24" s="86"/>
      <c r="P24" s="86"/>
      <c r="Q24" s="86"/>
      <c r="R24" s="86"/>
      <c r="S24" s="94"/>
      <c r="T24" s="86"/>
      <c r="U24" s="86"/>
      <c r="V24" s="86"/>
      <c r="W24" s="86"/>
      <c r="X24" s="86"/>
      <c r="Y24" s="86"/>
      <c r="Z24" s="86"/>
      <c r="AA24" s="86"/>
      <c r="AB24" s="86"/>
      <c r="AC24" s="86"/>
      <c r="AD24" s="86"/>
      <c r="AE24" s="86"/>
      <c r="AF24" s="86"/>
      <c r="AG24" s="86"/>
      <c r="AH24" s="86"/>
      <c r="AI24" s="86"/>
      <c r="AJ24" s="86"/>
      <c r="AK24" s="86"/>
      <c r="AL24" s="86"/>
    </row>
    <row r="25" spans="2:38" x14ac:dyDescent="0.3">
      <c r="B25" s="86">
        <f t="shared" si="0"/>
        <v>18</v>
      </c>
      <c r="C25" s="94"/>
      <c r="D25" s="86"/>
      <c r="E25" s="86"/>
      <c r="F25" s="86"/>
      <c r="G25" s="86"/>
      <c r="H25" s="86"/>
      <c r="I25" s="86"/>
      <c r="J25" s="86"/>
      <c r="K25" s="86"/>
      <c r="L25" s="86"/>
      <c r="M25" s="86"/>
      <c r="N25" s="86"/>
      <c r="O25" s="86"/>
      <c r="P25" s="86"/>
      <c r="Q25" s="86"/>
      <c r="R25" s="86"/>
      <c r="S25" s="94"/>
      <c r="T25" s="86"/>
      <c r="U25" s="86"/>
      <c r="V25" s="86"/>
      <c r="W25" s="86"/>
      <c r="X25" s="86"/>
      <c r="Y25" s="86"/>
      <c r="Z25" s="86"/>
      <c r="AA25" s="86"/>
      <c r="AB25" s="86"/>
      <c r="AC25" s="86"/>
      <c r="AD25" s="86"/>
      <c r="AE25" s="86"/>
      <c r="AF25" s="86"/>
      <c r="AG25" s="86"/>
      <c r="AH25" s="86"/>
      <c r="AI25" s="86"/>
      <c r="AJ25" s="86"/>
      <c r="AK25" s="86"/>
      <c r="AL25" s="86"/>
    </row>
    <row r="26" spans="2:38" x14ac:dyDescent="0.3">
      <c r="B26" s="86">
        <f t="shared" si="0"/>
        <v>19</v>
      </c>
      <c r="C26" s="94"/>
      <c r="D26" s="86"/>
      <c r="E26" s="86"/>
      <c r="F26" s="86"/>
      <c r="G26" s="86"/>
      <c r="H26" s="86"/>
      <c r="I26" s="86"/>
      <c r="J26" s="86"/>
      <c r="K26" s="86"/>
      <c r="L26" s="86"/>
      <c r="M26" s="86"/>
      <c r="N26" s="86"/>
      <c r="O26" s="86"/>
      <c r="P26" s="86"/>
      <c r="Q26" s="86"/>
      <c r="R26" s="86"/>
      <c r="S26" s="94"/>
      <c r="T26" s="86"/>
      <c r="U26" s="86"/>
      <c r="V26" s="86"/>
      <c r="W26" s="86"/>
      <c r="X26" s="86"/>
      <c r="Y26" s="86"/>
      <c r="Z26" s="86"/>
      <c r="AA26" s="86"/>
      <c r="AB26" s="86"/>
      <c r="AC26" s="86"/>
      <c r="AD26" s="86"/>
      <c r="AE26" s="86"/>
      <c r="AF26" s="86"/>
      <c r="AG26" s="86"/>
      <c r="AH26" s="86"/>
      <c r="AI26" s="86"/>
      <c r="AJ26" s="86"/>
      <c r="AK26" s="86"/>
      <c r="AL26" s="86"/>
    </row>
    <row r="27" spans="2:38" x14ac:dyDescent="0.3">
      <c r="B27" s="86">
        <f t="shared" si="0"/>
        <v>20</v>
      </c>
      <c r="C27" s="94"/>
      <c r="D27" s="86"/>
      <c r="E27" s="86"/>
      <c r="F27" s="86"/>
      <c r="G27" s="86"/>
      <c r="H27" s="86"/>
      <c r="I27" s="86"/>
      <c r="J27" s="86"/>
      <c r="K27" s="86"/>
      <c r="L27" s="86"/>
      <c r="M27" s="86"/>
      <c r="N27" s="86"/>
      <c r="O27" s="86"/>
      <c r="P27" s="86"/>
      <c r="Q27" s="86"/>
      <c r="R27" s="86"/>
      <c r="S27" s="94"/>
      <c r="T27" s="86"/>
      <c r="U27" s="86"/>
      <c r="V27" s="86"/>
      <c r="W27" s="86"/>
      <c r="X27" s="86"/>
      <c r="Y27" s="86"/>
      <c r="Z27" s="86"/>
      <c r="AA27" s="86"/>
      <c r="AB27" s="86"/>
      <c r="AC27" s="86"/>
      <c r="AD27" s="86"/>
      <c r="AE27" s="86"/>
      <c r="AF27" s="86"/>
      <c r="AG27" s="86"/>
      <c r="AH27" s="86"/>
      <c r="AI27" s="86"/>
      <c r="AJ27" s="86"/>
      <c r="AK27" s="86"/>
      <c r="AL27" s="86"/>
    </row>
  </sheetData>
  <sheetProtection insertRows="0" deleteRows="0" sort="0" autoFilter="0"/>
  <mergeCells count="2">
    <mergeCell ref="B4:B7"/>
    <mergeCell ref="C4:D4"/>
  </mergeCells>
  <phoneticPr fontId="11"/>
  <hyperlinks>
    <hyperlink ref="A3" location="パラメータ設定一覧!A1" display="パラメータ設定一覧へ" xr:uid="{EF6C5F87-A86C-435C-BD64-4EDED05C74B4}"/>
  </hyperlinks>
  <pageMargins left="0.70866141732283472" right="0.70866141732283472" top="0.74803149606299213" bottom="0.74803149606299213" header="0.31496062992125984" footer="0.31496062992125984"/>
  <pageSetup paperSize="9" scale="13"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734F4F-C8D9-4B52-9B49-0C2FDCBAF984}"/>
</file>

<file path=customXml/itemProps2.xml><?xml version="1.0" encoding="utf-8"?>
<ds:datastoreItem xmlns:ds="http://schemas.openxmlformats.org/officeDocument/2006/customXml" ds:itemID="{391605AE-180C-4357-9531-2DC69F7FC83D}">
  <ds:schemaRefs>
    <ds:schemaRef ds:uri="http://purl.org/dc/term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1f1f8a3f-673e-4aee-b429-7a8185133956"/>
    <ds:schemaRef ds:uri="http://schemas.microsoft.com/office/infopath/2007/PartnerControls"/>
    <ds:schemaRef ds:uri="1df7edc7-a6f5-4c90-ac32-5bbbd499fd6a"/>
    <ds:schemaRef ds:uri="http://www.w3.org/XML/1998/namespace"/>
    <ds:schemaRef ds:uri="http://purl.org/dc/dcmitype/"/>
  </ds:schemaRefs>
</ds:datastoreItem>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8</vt:i4>
      </vt:variant>
    </vt:vector>
  </HeadingPairs>
  <TitlesOfParts>
    <vt:vector size="8" baseType="lpstr">
      <vt:lpstr>表紙</vt:lpstr>
      <vt:lpstr>パラメータ設定一覧</vt:lpstr>
      <vt:lpstr>現金および銀行管理パラメーター</vt:lpstr>
      <vt:lpstr>現金および銀行管理パラメータ-番号順序</vt:lpstr>
      <vt:lpstr>銀行口座</vt:lpstr>
      <vt:lpstr>銀行口座-設定値</vt:lpstr>
      <vt:lpstr>銀行グループ</vt:lpstr>
      <vt:lpstr>銀行グループ-設定値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2024-12-04T10:20:11Z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