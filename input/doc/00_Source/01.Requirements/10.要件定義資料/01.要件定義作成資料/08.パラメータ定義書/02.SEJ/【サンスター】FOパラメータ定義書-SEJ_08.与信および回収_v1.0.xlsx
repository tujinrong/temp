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388" documentId="14_{784383EF-DF29-4B0E-9248-891BFE8CE9F4}" xr6:coauthVersionLast="47" xr6:coauthVersionMax="47" xr10:uidLastSave="{91C89348-DD5F-4F40-B036-4F6F320C7650}"/>
  <bookViews>
    <workbookView xWindow="28680" yWindow="-120" windowWidth="29040" windowHeight="15720" tabRatio="931" activeTab="17" xr2:uid="{00000000-000D-0000-FFFF-FFFF00000000}"/>
  </bookViews>
  <sheets>
    <sheet name="表紙" sheetId="393" r:id="rId1"/>
    <sheet name="パラメータ設定一覧" sheetId="4" r:id="rId2"/>
    <sheet name="与信および回収のパラメーター" sheetId="18" r:id="rId3"/>
    <sheet name="与信および回収のパラメーター - 与信管理のチェックポイント" sheetId="375" r:id="rId4"/>
    <sheet name="与信および回収のパラメーター - 番号順序" sheetId="19" r:id="rId5"/>
    <sheet name="与信および回収のパラメーター - 共有番号順序" sheetId="376" r:id="rId6"/>
    <sheet name="与信管理の理由" sheetId="381" state="hidden" r:id="rId7"/>
    <sheet name="与信管理の理由 - 設定値" sheetId="378" state="hidden" r:id="rId8"/>
    <sheet name="ブロックのルール" sheetId="382" state="hidden" r:id="rId9"/>
    <sheet name="ブロックのルール - 期限切れ日数のブロック ルールの設定" sheetId="383" state="hidden" r:id="rId10"/>
    <sheet name="ブロックのルール - 勘定状態のブロック ルールの設定" sheetId="384" state="hidden" r:id="rId11"/>
    <sheet name="ブロックのルール - 支払条件のブロック ルールの設定" sheetId="385" state="hidden" r:id="rId12"/>
    <sheet name="ブロックのルール - 期限切れの与信限度額ブロック ルールの設" sheetId="386" state="hidden" r:id="rId13"/>
    <sheet name="ブロックのルール - 期限切れの金額ブロック ルールの設定" sheetId="387" state="hidden" r:id="rId14"/>
    <sheet name="ブロックのルール - 販売注文のブロック ルールの設定" sheetId="388" state="hidden" r:id="rId15"/>
    <sheet name="ブロックのルール - 使用済の与信限度額のブロック ルールの設" sheetId="389" state="hidden" r:id="rId16"/>
    <sheet name="エイジング期間の定義" sheetId="390" r:id="rId17"/>
    <sheet name="エイジング期間の定義 - 設定値" sheetId="392" r:id="rId18"/>
  </sheets>
  <externalReferences>
    <externalReference r:id="rId19"/>
  </externalReferences>
  <definedNames>
    <definedName name="_Fill" hidden="1">[1]テーブル仕様!#REF!</definedName>
    <definedName name="_xlnm._FilterDatabase" localSheetId="5" hidden="1">'与信および回収のパラメーター - 共有番号順序'!#REF!</definedName>
    <definedName name="_xlnm._FilterDatabase" localSheetId="4" hidden="1">'与信および回収のパラメーター - 番号順序'!#REF!</definedName>
    <definedName name="_xlnm._FilterDatabase" localSheetId="3" hidden="1">'与信および回収のパラメーター - 与信管理のチェックポイント'!#REF!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89" l="1"/>
  <c r="B11" i="389"/>
  <c r="B10" i="389"/>
  <c r="B9" i="389"/>
  <c r="B7" i="389"/>
  <c r="B8" i="388"/>
  <c r="B11" i="388"/>
  <c r="B10" i="388"/>
  <c r="B9" i="388"/>
  <c r="B7" i="388"/>
  <c r="B8" i="387"/>
  <c r="B11" i="387"/>
  <c r="B10" i="387"/>
  <c r="B9" i="387"/>
  <c r="B7" i="387"/>
  <c r="B8" i="386"/>
  <c r="B9" i="386"/>
  <c r="B10" i="386"/>
  <c r="B11" i="386"/>
  <c r="B7" i="386"/>
  <c r="B8" i="385"/>
  <c r="B11" i="385"/>
  <c r="B10" i="385"/>
  <c r="B9" i="385"/>
  <c r="B7" i="385"/>
  <c r="B9" i="384"/>
  <c r="B11" i="384"/>
  <c r="B10" i="384"/>
  <c r="B8" i="384"/>
  <c r="B7" i="384"/>
  <c r="B8" i="383"/>
  <c r="B11" i="383"/>
  <c r="B10" i="383"/>
  <c r="B9" i="383"/>
  <c r="B7" i="383"/>
  <c r="B9" i="378"/>
  <c r="B11" i="378"/>
  <c r="B10" i="378"/>
  <c r="B8" i="378"/>
  <c r="B7" i="378"/>
  <c r="B57" i="18" l="1"/>
  <c r="B12" i="390" l="1"/>
  <c r="B11" i="390"/>
  <c r="B10" i="390"/>
  <c r="B9" i="390"/>
  <c r="B8" i="390"/>
  <c r="B13" i="390"/>
  <c r="B7" i="390"/>
  <c r="B6" i="390"/>
  <c r="B53" i="382"/>
  <c r="B52" i="382"/>
  <c r="B51" i="382"/>
  <c r="B50" i="382"/>
  <c r="B49" i="382"/>
  <c r="B48" i="382"/>
  <c r="B47" i="382"/>
  <c r="B46" i="382"/>
  <c r="B43" i="382"/>
  <c r="B42" i="382"/>
  <c r="B41" i="382"/>
  <c r="B40" i="382"/>
  <c r="B39" i="382"/>
  <c r="B37" i="382"/>
  <c r="B36" i="382"/>
  <c r="B38" i="382"/>
  <c r="B35" i="382"/>
  <c r="B34" i="382"/>
  <c r="B33" i="382"/>
  <c r="B32" i="382"/>
  <c r="B31" i="382"/>
  <c r="B30" i="382"/>
  <c r="B17" i="382"/>
  <c r="B16" i="382"/>
  <c r="B14" i="382"/>
  <c r="B13" i="382"/>
  <c r="B12" i="382"/>
  <c r="B11" i="382"/>
  <c r="B10" i="382"/>
  <c r="B45" i="382"/>
  <c r="B44" i="382"/>
  <c r="B29" i="382"/>
  <c r="B28" i="382"/>
  <c r="B27" i="382"/>
  <c r="B26" i="382"/>
  <c r="B25" i="382"/>
  <c r="B24" i="382"/>
  <c r="B23" i="382"/>
  <c r="B22" i="382"/>
  <c r="B21" i="382"/>
  <c r="B20" i="382"/>
  <c r="B19" i="382"/>
  <c r="B18" i="382"/>
  <c r="B15" i="382"/>
  <c r="B9" i="382"/>
  <c r="B8" i="382"/>
  <c r="B7" i="382"/>
  <c r="B6" i="382"/>
  <c r="B63" i="18"/>
  <c r="B61" i="18"/>
  <c r="B60" i="18"/>
  <c r="B48" i="18"/>
  <c r="B7" i="381"/>
  <c r="B8" i="381"/>
  <c r="B6" i="381"/>
  <c r="B6" i="376"/>
  <c r="B59" i="18"/>
  <c r="B58" i="18"/>
  <c r="B62" i="18"/>
  <c r="B47" i="18"/>
  <c r="B46" i="18"/>
  <c r="B45" i="18"/>
  <c r="B44" i="18"/>
  <c r="B43" i="18"/>
  <c r="B53" i="18"/>
  <c r="B52" i="18"/>
  <c r="B51" i="18"/>
  <c r="B50" i="18"/>
  <c r="B49" i="18"/>
  <c r="B10" i="375"/>
  <c r="B9" i="375"/>
  <c r="B8" i="375"/>
  <c r="B7" i="375"/>
  <c r="B6" i="375"/>
  <c r="B40" i="18"/>
  <c r="B39" i="18"/>
  <c r="B38" i="18"/>
  <c r="B37" i="18"/>
  <c r="B55" i="18"/>
  <c r="B54" i="18"/>
  <c r="B42" i="18"/>
  <c r="B41" i="18"/>
  <c r="B56" i="18"/>
  <c r="B31" i="18"/>
  <c r="B30" i="18"/>
  <c r="B29" i="18"/>
  <c r="B28" i="18"/>
  <c r="B27" i="18"/>
  <c r="B34" i="18"/>
  <c r="B33" i="18"/>
  <c r="B32" i="18"/>
  <c r="B7" i="18" l="1"/>
  <c r="B8" i="18"/>
  <c r="B9" i="18"/>
  <c r="B10" i="18"/>
  <c r="B11" i="18"/>
  <c r="B12" i="18"/>
  <c r="B13" i="18"/>
  <c r="B14" i="18"/>
  <c r="B15" i="18"/>
  <c r="B16" i="18"/>
  <c r="B17" i="18"/>
  <c r="B18" i="18"/>
  <c r="B19" i="18"/>
  <c r="B20" i="18"/>
  <c r="B21" i="18"/>
  <c r="B22" i="18"/>
  <c r="B23" i="18"/>
  <c r="B24" i="18"/>
  <c r="B25" i="18"/>
  <c r="B26" i="18"/>
  <c r="B35" i="18"/>
  <c r="B36" i="18"/>
  <c r="B6" i="18"/>
  <c r="B11" i="19" l="1"/>
  <c r="B10" i="19"/>
  <c r="B9" i="19"/>
  <c r="B8" i="19"/>
  <c r="B7" i="19"/>
  <c r="B6" i="19"/>
  <c r="B5" i="4" l="1"/>
  <c r="B6" i="4"/>
  <c r="B7" i="4"/>
  <c r="B8" i="4"/>
  <c r="B4" i="4"/>
</calcChain>
</file>

<file path=xl/sharedStrings.xml><?xml version="1.0" encoding="utf-8"?>
<sst xmlns="http://schemas.openxmlformats.org/spreadsheetml/2006/main" count="863" uniqueCount="341">
  <si>
    <t>No</t>
  </si>
  <si>
    <t>該当モジュール</t>
  </si>
  <si>
    <t>設定項目</t>
  </si>
  <si>
    <t>説明</t>
  </si>
  <si>
    <t>パス</t>
    <phoneticPr fontId="10"/>
  </si>
  <si>
    <t>#</t>
  </si>
  <si>
    <t>参照</t>
  </si>
  <si>
    <t>番号順序コード</t>
    <rPh sb="2" eb="4">
      <t>ジュンジョ</t>
    </rPh>
    <phoneticPr fontId="18"/>
  </si>
  <si>
    <t>説明</t>
    <rPh sb="0" eb="2">
      <t>セツメイ</t>
    </rPh>
    <phoneticPr fontId="18"/>
  </si>
  <si>
    <t>（システム自動入力）</t>
  </si>
  <si>
    <t>タブ</t>
  </si>
  <si>
    <t>タブ説明</t>
    <rPh sb="2" eb="4">
      <t>セツメイ</t>
    </rPh>
    <phoneticPr fontId="18"/>
  </si>
  <si>
    <t>項目分類</t>
    <rPh sb="0" eb="2">
      <t>コウモク</t>
    </rPh>
    <rPh sb="2" eb="4">
      <t>ブンルイ</t>
    </rPh>
    <phoneticPr fontId="13"/>
  </si>
  <si>
    <t>項目</t>
  </si>
  <si>
    <t>Description（標準）</t>
    <phoneticPr fontId="13"/>
  </si>
  <si>
    <t>設定可能値</t>
  </si>
  <si>
    <t>デフォルト値</t>
    <rPh sb="5" eb="6">
      <t>チ</t>
    </rPh>
    <phoneticPr fontId="18"/>
  </si>
  <si>
    <t>備考</t>
  </si>
  <si>
    <t>設定値</t>
  </si>
  <si>
    <t>設定基準</t>
  </si>
  <si>
    <t>はい/いいえ</t>
    <phoneticPr fontId="18"/>
  </si>
  <si>
    <t>いいえ</t>
    <phoneticPr fontId="18"/>
  </si>
  <si>
    <t>ー</t>
  </si>
  <si>
    <t>ー</t>
    <phoneticPr fontId="10"/>
  </si>
  <si>
    <t>なし</t>
    <phoneticPr fontId="10"/>
  </si>
  <si>
    <t>0</t>
    <phoneticPr fontId="10"/>
  </si>
  <si>
    <t>数値</t>
    <rPh sb="0" eb="2">
      <t>スウチ</t>
    </rPh>
    <phoneticPr fontId="10"/>
  </si>
  <si>
    <t>チェック有/チェック無</t>
  </si>
  <si>
    <t>ピッキングリスト</t>
    <phoneticPr fontId="10"/>
  </si>
  <si>
    <t>梱包明細</t>
    <rPh sb="0" eb="2">
      <t>コンポウ</t>
    </rPh>
    <rPh sb="2" eb="4">
      <t>メイサイ</t>
    </rPh>
    <phoneticPr fontId="10"/>
  </si>
  <si>
    <t>請求書</t>
    <rPh sb="0" eb="3">
      <t>セイキュウショ</t>
    </rPh>
    <phoneticPr fontId="10"/>
  </si>
  <si>
    <t>文字列</t>
    <rPh sb="0" eb="3">
      <t>モジレツ</t>
    </rPh>
    <phoneticPr fontId="10"/>
  </si>
  <si>
    <t>データベースのレコードの固有 ID</t>
  </si>
  <si>
    <t>督促状</t>
    <phoneticPr fontId="10"/>
  </si>
  <si>
    <t>督促状コードの更新</t>
  </si>
  <si>
    <t>転記
印刷</t>
    <rPh sb="0" eb="2">
      <t>テンキ</t>
    </rPh>
    <rPh sb="3" eb="5">
      <t>インサツ</t>
    </rPh>
    <phoneticPr fontId="10"/>
  </si>
  <si>
    <t>転記</t>
    <rPh sb="0" eb="2">
      <t>テンキ</t>
    </rPh>
    <phoneticPr fontId="10"/>
  </si>
  <si>
    <t>争議対象のトランザクションを手数料計算から除外</t>
    <phoneticPr fontId="10"/>
  </si>
  <si>
    <t>督促状コードの計算のため、支払いおよびクレジットのメモを無視します</t>
  </si>
  <si>
    <t>次の単位別に督促状を作成:</t>
    <phoneticPr fontId="10"/>
  </si>
  <si>
    <t>トランザクション
顧客</t>
    <rPh sb="9" eb="11">
      <t>コキャク</t>
    </rPh>
    <phoneticPr fontId="10"/>
  </si>
  <si>
    <t>トランザクション</t>
    <phoneticPr fontId="10"/>
  </si>
  <si>
    <t>利息と手数料
＞利息および手数料の顧客限度の免除を管理</t>
    <rPh sb="0" eb="2">
      <t>リソク</t>
    </rPh>
    <rPh sb="3" eb="5">
      <t>テスウ</t>
    </rPh>
    <rPh sb="5" eb="6">
      <t>リョウ</t>
    </rPh>
    <phoneticPr fontId="10"/>
  </si>
  <si>
    <t>通貨</t>
    <rPh sb="0" eb="2">
      <t>ツウカ</t>
    </rPh>
    <phoneticPr fontId="10"/>
  </si>
  <si>
    <t>金額</t>
    <rPh sb="0" eb="2">
      <t>キンガク</t>
    </rPh>
    <phoneticPr fontId="10"/>
  </si>
  <si>
    <t>利息と手数料</t>
    <phoneticPr fontId="10"/>
  </si>
  <si>
    <t>利息計算</t>
    <phoneticPr fontId="10"/>
  </si>
  <si>
    <t>未処理および決算済</t>
    <rPh sb="0" eb="3">
      <t>ミショリ</t>
    </rPh>
    <rPh sb="6" eb="8">
      <t>ケッサン</t>
    </rPh>
    <rPh sb="8" eb="9">
      <t>スミ</t>
    </rPh>
    <phoneticPr fontId="10"/>
  </si>
  <si>
    <t>調整請求書の日付値</t>
    <phoneticPr fontId="10"/>
  </si>
  <si>
    <t>利子計算書日付
現在のシステム日付</t>
    <rPh sb="8" eb="10">
      <t>ゲンザイ</t>
    </rPh>
    <rPh sb="15" eb="17">
      <t>ヒヅケ</t>
    </rPh>
    <phoneticPr fontId="10"/>
  </si>
  <si>
    <t>利子計算書日付</t>
    <phoneticPr fontId="10"/>
  </si>
  <si>
    <t>免除される利息および手数料を許可する最少日数</t>
    <phoneticPr fontId="10"/>
  </si>
  <si>
    <t>免除される利息および手数料を許可する最大日数</t>
    <phoneticPr fontId="10"/>
  </si>
  <si>
    <t>損金処理</t>
    <rPh sb="0" eb="2">
      <t>ソンキン</t>
    </rPh>
    <rPh sb="2" eb="4">
      <t>ショリ</t>
    </rPh>
    <phoneticPr fontId="10"/>
  </si>
  <si>
    <t>損金処理仕訳帳</t>
    <phoneticPr fontId="10"/>
  </si>
  <si>
    <t>消費税を分離する</t>
    <phoneticPr fontId="10"/>
  </si>
  <si>
    <t>既定の損金処理の理由</t>
    <phoneticPr fontId="10"/>
  </si>
  <si>
    <t>回収の既定値</t>
    <rPh sb="0" eb="2">
      <t>カイシュウ</t>
    </rPh>
    <rPh sb="3" eb="6">
      <t>キテイチ</t>
    </rPh>
    <phoneticPr fontId="10"/>
  </si>
  <si>
    <t>エイジング期間の定義</t>
    <phoneticPr fontId="10"/>
  </si>
  <si>
    <t>チーム</t>
  </si>
  <si>
    <t>このオプションを使用して、顧客残高のエイジング時に作成されるバッチ タスクの最大数を管理します。値が指定されていない場合は、2 つのバッチ タスクが作成されます。</t>
    <phoneticPr fontId="10"/>
  </si>
  <si>
    <t>電子メールテンプレート</t>
    <rPh sb="0" eb="2">
      <t>デンシ</t>
    </rPh>
    <phoneticPr fontId="10"/>
  </si>
  <si>
    <t>連絡先に対するトランザクション</t>
    <phoneticPr fontId="10"/>
  </si>
  <si>
    <t>連絡先に対する明細書</t>
    <phoneticPr fontId="10"/>
  </si>
  <si>
    <t>販売担当者に対するトランザクション</t>
    <phoneticPr fontId="10"/>
  </si>
  <si>
    <t>与信限度額のタイプ</t>
    <phoneticPr fontId="10"/>
  </si>
  <si>
    <t>販売注文の与信限度額の確認</t>
    <phoneticPr fontId="10"/>
  </si>
  <si>
    <t>自由書式請求書の与信限度額を確認</t>
    <phoneticPr fontId="10"/>
  </si>
  <si>
    <t>エラー
警告
確認</t>
    <rPh sb="4" eb="6">
      <t>ケイコク</t>
    </rPh>
    <rPh sb="7" eb="9">
      <t>カクニン</t>
    </rPh>
    <phoneticPr fontId="10"/>
  </si>
  <si>
    <t>エラー</t>
    <phoneticPr fontId="10"/>
  </si>
  <si>
    <t>番号順序</t>
    <rPh sb="0" eb="2">
      <t>バンゴウ</t>
    </rPh>
    <rPh sb="2" eb="4">
      <t>ジュンジョ</t>
    </rPh>
    <phoneticPr fontId="10"/>
  </si>
  <si>
    <t>グループ</t>
  </si>
  <si>
    <t>番号順序の選択が可能な参照キー。</t>
  </si>
  <si>
    <t>番号順序コード</t>
  </si>
  <si>
    <t>チェック無</t>
    <rPh sb="4" eb="5">
      <t>ナシ</t>
    </rPh>
    <phoneticPr fontId="10"/>
  </si>
  <si>
    <t>督促状</t>
  </si>
  <si>
    <t>督促状の固有キーです。督促状の処理時に自動的に割り当てられます。</t>
  </si>
  <si>
    <t>利子計算書</t>
  </si>
  <si>
    <t>利子計算書の固有キーです。利子計算書の処理時に自動的に割り当てられます。</t>
  </si>
  <si>
    <t>払い戻し</t>
  </si>
  <si>
    <t>払い戻しの固有キーです。払い戻し処理時に自動的に割り当てられます。</t>
  </si>
  <si>
    <t>督促状伝票</t>
  </si>
  <si>
    <t>伝票の固有キーです。一般会計に転記する際に使用されます。督促状の処理時に自動的に割り当てられます。</t>
  </si>
  <si>
    <t>利子計算書伝票</t>
  </si>
  <si>
    <t>伝票の固有キーです。一般会計へ転記する際に使用されます。利子計算書の処理時に自動的に割り当てられます。</t>
  </si>
  <si>
    <t>説明</t>
    <rPh sb="0" eb="2">
      <t>セツメイ</t>
    </rPh>
    <phoneticPr fontId="10"/>
  </si>
  <si>
    <t>チェック有/チェック無</t>
    <phoneticPr fontId="10"/>
  </si>
  <si>
    <t>期間</t>
    <rPh sb="0" eb="2">
      <t>キカン</t>
    </rPh>
    <phoneticPr fontId="10"/>
  </si>
  <si>
    <t>単位</t>
    <rPh sb="0" eb="2">
      <t>タンイ</t>
    </rPh>
    <phoneticPr fontId="10"/>
  </si>
  <si>
    <t>は</t>
  </si>
  <si>
    <t>次</t>
    <rPh sb="0" eb="1">
      <t>ツギ</t>
    </rPh>
    <phoneticPr fontId="10"/>
  </si>
  <si>
    <t>黄色の三角</t>
  </si>
  <si>
    <t>黄色の感嘆符</t>
  </si>
  <si>
    <t>赤色の菱形</t>
  </si>
  <si>
    <t>いいえ</t>
  </si>
  <si>
    <t>間隔</t>
    <rPh sb="0" eb="2">
      <t>カンカク</t>
    </rPh>
    <phoneticPr fontId="10"/>
  </si>
  <si>
    <t>与信および回収のパラメーター</t>
    <phoneticPr fontId="10"/>
  </si>
  <si>
    <t>与信および回収＞設定＞与信および回収のパラメーター</t>
    <rPh sb="0" eb="2">
      <t>ヨシン</t>
    </rPh>
    <rPh sb="5" eb="7">
      <t>カイシュウ</t>
    </rPh>
    <phoneticPr fontId="10"/>
  </si>
  <si>
    <t>与信および回収</t>
    <rPh sb="0" eb="2">
      <t>ヨシン</t>
    </rPh>
    <rPh sb="5" eb="7">
      <t>カイシュウ</t>
    </rPh>
    <phoneticPr fontId="10"/>
  </si>
  <si>
    <t>与信および回収用パラメータ定義となる。</t>
    <rPh sb="0" eb="2">
      <t>ヨシン</t>
    </rPh>
    <rPh sb="5" eb="7">
      <t>カイシュウ</t>
    </rPh>
    <phoneticPr fontId="10"/>
  </si>
  <si>
    <t>取立</t>
    <rPh sb="0" eb="2">
      <t>トリタテ</t>
    </rPh>
    <phoneticPr fontId="18"/>
  </si>
  <si>
    <t>取立および督促状のオプションを設定します</t>
    <phoneticPr fontId="18"/>
  </si>
  <si>
    <t>はい/いいえ</t>
  </si>
  <si>
    <t>与信</t>
    <rPh sb="0" eb="2">
      <t>ヨシン</t>
    </rPh>
    <phoneticPr fontId="10"/>
  </si>
  <si>
    <t>与信管理のオプションの設定</t>
    <rPh sb="0" eb="2">
      <t>ヨシン</t>
    </rPh>
    <rPh sb="2" eb="4">
      <t>カンリ</t>
    </rPh>
    <rPh sb="11" eb="13">
      <t>セッテイ</t>
    </rPh>
    <phoneticPr fontId="10"/>
  </si>
  <si>
    <t>与信保留</t>
    <rPh sb="0" eb="2">
      <t>ヨシン</t>
    </rPh>
    <rPh sb="2" eb="4">
      <t>ホリュウ</t>
    </rPh>
    <phoneticPr fontId="10"/>
  </si>
  <si>
    <t>注文保留がリリースされた後の販売注文値の編集を許可する</t>
    <phoneticPr fontId="10"/>
  </si>
  <si>
    <t>キャンセルされた注文の理由</t>
    <phoneticPr fontId="10"/>
  </si>
  <si>
    <t>顧客与信グループの与信限度額の確認</t>
    <phoneticPr fontId="10"/>
  </si>
  <si>
    <t>支払条件が増加した場合の与信限度額の確認</t>
    <phoneticPr fontId="10"/>
  </si>
  <si>
    <t>決済割引が増加した場合の与信限度額の確認</t>
  </si>
  <si>
    <t>変更された注文をリリースする理由</t>
    <phoneticPr fontId="10"/>
  </si>
  <si>
    <t>積荷が倉庫にリリースされるたびに与信限度額を確認する</t>
  </si>
  <si>
    <t>有効期限が空白の場合、与信限度額の期限切れルールを無視する</t>
  </si>
  <si>
    <t>梱包明細仕訳帳をキャンセルする際に与信限度額の確認をスキップ</t>
    <phoneticPr fontId="10"/>
  </si>
  <si>
    <t>転記あり
転記なし</t>
    <rPh sb="0" eb="2">
      <t>テンキ</t>
    </rPh>
    <rPh sb="5" eb="7">
      <t>テンキ</t>
    </rPh>
    <phoneticPr fontId="10"/>
  </si>
  <si>
    <t>与信管理のチェックポイント</t>
    <rPh sb="0" eb="2">
      <t>ヨシン</t>
    </rPh>
    <rPh sb="2" eb="4">
      <t>カンリ</t>
    </rPh>
    <phoneticPr fontId="10"/>
  </si>
  <si>
    <t>ドキュメントの状態確認</t>
    <rPh sb="7" eb="9">
      <t>ジョウタイ</t>
    </rPh>
    <rPh sb="9" eb="11">
      <t>カクニン</t>
    </rPh>
    <phoneticPr fontId="10"/>
  </si>
  <si>
    <t>支払猶予日数</t>
    <rPh sb="0" eb="2">
      <t>シハラ</t>
    </rPh>
    <rPh sb="2" eb="4">
      <t>ユウヨ</t>
    </rPh>
    <rPh sb="4" eb="6">
      <t>ニッスウ</t>
    </rPh>
    <phoneticPr fontId="10"/>
  </si>
  <si>
    <t>見積もり</t>
    <rPh sb="0" eb="2">
      <t>ミツ</t>
    </rPh>
    <phoneticPr fontId="10"/>
  </si>
  <si>
    <t>見積</t>
    <rPh sb="0" eb="2">
      <t>ミツ</t>
    </rPh>
    <phoneticPr fontId="10"/>
  </si>
  <si>
    <t>「与信および回収のパラメーター - 与信管理のチェックポイント」を参照</t>
    <rPh sb="18" eb="20">
      <t>ヨシン</t>
    </rPh>
    <rPh sb="20" eb="22">
      <t>カンリ</t>
    </rPh>
    <phoneticPr fontId="10"/>
  </si>
  <si>
    <t>与信および回収のパラメーター - 与信管理のチェックポイント</t>
  </si>
  <si>
    <t>ドキュメントの確認状態</t>
    <rPh sb="7" eb="9">
      <t>カクニン</t>
    </rPh>
    <rPh sb="9" eb="11">
      <t>ジョウタイ</t>
    </rPh>
    <phoneticPr fontId="10"/>
  </si>
  <si>
    <t>確認書</t>
    <rPh sb="0" eb="3">
      <t>カクニンショ</t>
    </rPh>
    <phoneticPr fontId="10"/>
  </si>
  <si>
    <t>倉庫にリリース</t>
    <rPh sb="0" eb="2">
      <t>ソウコ</t>
    </rPh>
    <phoneticPr fontId="10"/>
  </si>
  <si>
    <t>支払猶予日数</t>
    <rPh sb="0" eb="2">
      <t>シハラ</t>
    </rPh>
    <rPh sb="2" eb="4">
      <t>ユウヨ</t>
    </rPh>
    <rPh sb="4" eb="6">
      <t>ニッスウ</t>
    </rPh>
    <phoneticPr fontId="18"/>
  </si>
  <si>
    <t>与信管理統計</t>
    <rPh sb="0" eb="2">
      <t>ヨシン</t>
    </rPh>
    <rPh sb="2" eb="4">
      <t>カンリ</t>
    </rPh>
    <rPh sb="4" eb="6">
      <t>トウケイ</t>
    </rPh>
    <phoneticPr fontId="10"/>
  </si>
  <si>
    <t>チェック無</t>
    <phoneticPr fontId="10"/>
  </si>
  <si>
    <t>与信限度額</t>
    <rPh sb="0" eb="2">
      <t>ヨシン</t>
    </rPh>
    <rPh sb="2" eb="5">
      <t>ゲンドガク</t>
    </rPh>
    <phoneticPr fontId="10"/>
  </si>
  <si>
    <t>与信限度額の為替レートタイプ</t>
    <phoneticPr fontId="10"/>
  </si>
  <si>
    <t>データベースのレコードの固有 ID</t>
    <phoneticPr fontId="10"/>
  </si>
  <si>
    <t>与信限度額の手動編集の許可</t>
    <phoneticPr fontId="10"/>
  </si>
  <si>
    <t>在庫引当のバイパス</t>
    <phoneticPr fontId="10"/>
  </si>
  <si>
    <t>与信管理ブロック ルールを確認するときに在庫引当を無視するには、[はい] を選択します。完了明細行の数量がチェックされ、在庫引当数量に関係なくチェックポイントの支払猶予期間が有効になります。</t>
    <phoneticPr fontId="10"/>
  </si>
  <si>
    <t>なし
残高
残高 ＋ 梱包明細または製品受領書
残高 + すべて</t>
    <rPh sb="3" eb="5">
      <t>ザンダカ</t>
    </rPh>
    <rPh sb="6" eb="8">
      <t>ザンダカ</t>
    </rPh>
    <rPh sb="11" eb="15">
      <t>コンポウメイサイ</t>
    </rPh>
    <rPh sb="18" eb="20">
      <t>セイヒン</t>
    </rPh>
    <rPh sb="20" eb="23">
      <t>ジュリョウショ</t>
    </rPh>
    <rPh sb="24" eb="26">
      <t>ザンダカ</t>
    </rPh>
    <phoneticPr fontId="10"/>
  </si>
  <si>
    <t>与信限度額を超えたときのメッセージ</t>
    <phoneticPr fontId="10"/>
  </si>
  <si>
    <t>見積顧客残高を自動的に再計算する</t>
    <phoneticPr fontId="10"/>
  </si>
  <si>
    <t>与信および回収のパラメーター - 番号順序</t>
    <phoneticPr fontId="10"/>
  </si>
  <si>
    <t>与信限度額の調整番号</t>
  </si>
  <si>
    <t>与信限度額の調整仕訳帳の固有キー。このキーは、新しい与信限度額の調整仕訳帳を作成するときに使用します。</t>
  </si>
  <si>
    <t>与信管理の番号順序の設定</t>
  </si>
  <si>
    <t>「与信および回収のパラメーター - 番号順序」を参照</t>
    <phoneticPr fontId="10"/>
  </si>
  <si>
    <t>与信管理の共有番号順序の設定</t>
  </si>
  <si>
    <t>共有番号順序</t>
    <rPh sb="0" eb="2">
      <t>キョウユウ</t>
    </rPh>
    <rPh sb="2" eb="4">
      <t>バンゴウ</t>
    </rPh>
    <rPh sb="4" eb="6">
      <t>ジュンジョ</t>
    </rPh>
    <phoneticPr fontId="10"/>
  </si>
  <si>
    <t>与信および回収のパラメーター - 共有番号順序</t>
    <rPh sb="17" eb="19">
      <t>キョウユウ</t>
    </rPh>
    <phoneticPr fontId="10"/>
  </si>
  <si>
    <t>与信保留 ID</t>
    <phoneticPr fontId="10"/>
  </si>
  <si>
    <t>与信管理 ID の固有キー。このキーは販売注文が与信管理に送信されるときに使用します。</t>
    <phoneticPr fontId="10"/>
  </si>
  <si>
    <t>「与信および回収のパラメーター - 共有番号順序」を参照</t>
    <rPh sb="18" eb="20">
      <t>キョウユウ</t>
    </rPh>
    <phoneticPr fontId="10"/>
  </si>
  <si>
    <t>与信管理グループ</t>
    <phoneticPr fontId="10"/>
  </si>
  <si>
    <t>与信および回収＞設定＞与信管理設定＞与信管理グループ</t>
  </si>
  <si>
    <t>与信管理の理由</t>
    <rPh sb="0" eb="2">
      <t>ヨシン</t>
    </rPh>
    <rPh sb="2" eb="4">
      <t>カンリ</t>
    </rPh>
    <rPh sb="5" eb="7">
      <t>リユウ</t>
    </rPh>
    <phoneticPr fontId="10"/>
  </si>
  <si>
    <t>与信管理の理由 - 設定値</t>
    <phoneticPr fontId="10"/>
  </si>
  <si>
    <t>与信管理の理由</t>
    <rPh sb="0" eb="2">
      <t>ヨシン</t>
    </rPh>
    <rPh sb="2" eb="4">
      <t>カンリ</t>
    </rPh>
    <rPh sb="5" eb="7">
      <t>リユウ</t>
    </rPh>
    <phoneticPr fontId="18"/>
  </si>
  <si>
    <t>理由のタイプ</t>
    <rPh sb="0" eb="2">
      <t>リユウ</t>
    </rPh>
    <phoneticPr fontId="10"/>
  </si>
  <si>
    <t>勘定状態の理由</t>
    <rPh sb="0" eb="2">
      <t>カンジョウ</t>
    </rPh>
    <rPh sb="2" eb="4">
      <t>ジョウタイ</t>
    </rPh>
    <rPh sb="5" eb="7">
      <t>リユウ</t>
    </rPh>
    <phoneticPr fontId="10"/>
  </si>
  <si>
    <t>与信管理の理由</t>
    <phoneticPr fontId="10"/>
  </si>
  <si>
    <t>「与信管理の理由 - 設定値」を参照</t>
    <rPh sb="1" eb="3">
      <t>ヨシン</t>
    </rPh>
    <rPh sb="3" eb="5">
      <t>カンリ</t>
    </rPh>
    <rPh sb="6" eb="8">
      <t>リユウ</t>
    </rPh>
    <rPh sb="11" eb="14">
      <t>セッテイチ</t>
    </rPh>
    <rPh sb="16" eb="18">
      <t>サンショウ</t>
    </rPh>
    <phoneticPr fontId="10"/>
  </si>
  <si>
    <t>金額
放棄した利子および手数料に関して、限度額を選択した通貨で入力します。これは、すべての顧客に対して放棄することのできる合計金額です。これまで放棄したすべての利息と手数料が含まれます。たとえば、利息と手数料の放棄の制限を 100.00 と設定します。制限の設定前に、ある顧客の 125.00 をすでに放棄してしまったとします。新しい制限は過去に放棄された金額に影響しませんが、制限にすでに達しているため、放棄する金額を追加することはできません。顧客の利子計算書に対して以前に行われたすべての調整は、[すべての顧客] リスト ページの回収タブの [履歴] をクリックすると表示されます。</t>
    <phoneticPr fontId="10"/>
  </si>
  <si>
    <t>未処理および決算済
未処理
クローズ済
支払猶予期間を含めて終了済
支払猶予期間を含めて未処理および決算済</t>
    <rPh sb="10" eb="13">
      <t>ミショリ</t>
    </rPh>
    <rPh sb="18" eb="19">
      <t>スミ</t>
    </rPh>
    <rPh sb="20" eb="22">
      <t>シハラ</t>
    </rPh>
    <rPh sb="22" eb="26">
      <t>ユウヨキカン</t>
    </rPh>
    <rPh sb="27" eb="28">
      <t>フク</t>
    </rPh>
    <rPh sb="30" eb="33">
      <t>シュウリョウズ</t>
    </rPh>
    <rPh sb="34" eb="36">
      <t>シハラ</t>
    </rPh>
    <rPh sb="36" eb="40">
      <t>ユウヨキカン</t>
    </rPh>
    <rPh sb="41" eb="42">
      <t>フク</t>
    </rPh>
    <rPh sb="44" eb="47">
      <t>ミショリ</t>
    </rPh>
    <rPh sb="50" eb="53">
      <t>ケッサンズ</t>
    </rPh>
    <phoneticPr fontId="10"/>
  </si>
  <si>
    <t>指定の期間に達している顧客残高&gt;バッチ タスクの最大数</t>
    <phoneticPr fontId="10"/>
  </si>
  <si>
    <t>販売注文ごとに複数の積荷をリリースする際に与信限度額を常に確認するには、[はい]を選択します。</t>
    <rPh sb="0" eb="4">
      <t>ハンバイチュウモン</t>
    </rPh>
    <rPh sb="7" eb="9">
      <t>フクスウ</t>
    </rPh>
    <rPh sb="10" eb="11">
      <t>ツ</t>
    </rPh>
    <rPh sb="11" eb="12">
      <t>ニ</t>
    </rPh>
    <rPh sb="19" eb="20">
      <t>サイ</t>
    </rPh>
    <rPh sb="21" eb="26">
      <t>ヨシンゲンドガク</t>
    </rPh>
    <rPh sb="27" eb="28">
      <t>ツネ</t>
    </rPh>
    <rPh sb="29" eb="31">
      <t>カクニン</t>
    </rPh>
    <rPh sb="41" eb="43">
      <t>センタク</t>
    </rPh>
    <phoneticPr fontId="10"/>
  </si>
  <si>
    <t>梱包明細仕訳帳をキャンセルするときに与信確認をスキップするには、このオプションを[はい]に設定します。販売注文が与信保留中の場合は、梱包明細仕訳帳がキャンセルされた後も与信保留中のままになります。</t>
    <rPh sb="0" eb="7">
      <t>コンポウメイサイシワケチョウ</t>
    </rPh>
    <rPh sb="18" eb="22">
      <t>ヨシンカクニン</t>
    </rPh>
    <rPh sb="45" eb="47">
      <t>セッテイ</t>
    </rPh>
    <rPh sb="51" eb="55">
      <t>ハンバイチュウモン</t>
    </rPh>
    <rPh sb="56" eb="61">
      <t>ヨシンホリュウチュウ</t>
    </rPh>
    <rPh sb="62" eb="64">
      <t>バアイ</t>
    </rPh>
    <rPh sb="66" eb="73">
      <t>コンポウメイサイシワケチョウ</t>
    </rPh>
    <rPh sb="82" eb="83">
      <t>アト</t>
    </rPh>
    <rPh sb="84" eb="89">
      <t>ヨシンホリュウチュウ</t>
    </rPh>
    <phoneticPr fontId="10"/>
  </si>
  <si>
    <t>このオプションを[はい]に設定すると、未決済トランザクションを持たない顧客の与信統計を、経過期間スナップショットの実行時に更新します。これは未決済注文金額の更新を含みます。これをオンにするとエイジング処理の遅延が発生する場合があります。</t>
    <rPh sb="13" eb="15">
      <t>セッテイ</t>
    </rPh>
    <rPh sb="19" eb="20">
      <t>ミ</t>
    </rPh>
    <rPh sb="20" eb="22">
      <t>ケッサイ</t>
    </rPh>
    <rPh sb="31" eb="32">
      <t>モ</t>
    </rPh>
    <rPh sb="35" eb="37">
      <t>コキャク</t>
    </rPh>
    <rPh sb="38" eb="42">
      <t>ヨシントウケイ</t>
    </rPh>
    <rPh sb="44" eb="48">
      <t>ケイカキカン</t>
    </rPh>
    <rPh sb="57" eb="60">
      <t>ジッコウトキ</t>
    </rPh>
    <rPh sb="61" eb="63">
      <t>コウシン</t>
    </rPh>
    <rPh sb="70" eb="77">
      <t>ミケッサイチュウモンキンガク</t>
    </rPh>
    <rPh sb="78" eb="80">
      <t>コウシン</t>
    </rPh>
    <rPh sb="81" eb="82">
      <t>フク</t>
    </rPh>
    <rPh sb="100" eb="102">
      <t>ショリ</t>
    </rPh>
    <rPh sb="103" eb="105">
      <t>チエン</t>
    </rPh>
    <rPh sb="106" eb="108">
      <t>ハッセイ</t>
    </rPh>
    <rPh sb="110" eb="112">
      <t>バアイ</t>
    </rPh>
    <phoneticPr fontId="10"/>
  </si>
  <si>
    <t>輸送管理＞ブロックされた積荷明細行の削除</t>
    <rPh sb="0" eb="4">
      <t>ユソウカンリ</t>
    </rPh>
    <phoneticPr fontId="10"/>
  </si>
  <si>
    <t>自動リリース＞自動的にリリースする理由</t>
    <rPh sb="0" eb="2">
      <t>ジドウ</t>
    </rPh>
    <phoneticPr fontId="10"/>
  </si>
  <si>
    <t>自動リリース＞自動的にリリース</t>
    <phoneticPr fontId="10"/>
  </si>
  <si>
    <t>売掛債権回転日数＞DSO1 (月)</t>
    <phoneticPr fontId="10"/>
  </si>
  <si>
    <t>売掛債権回転日数＞DSO2 (月)</t>
    <phoneticPr fontId="10"/>
  </si>
  <si>
    <t>残高の統計＞平均残高 1 (月)</t>
    <phoneticPr fontId="10"/>
  </si>
  <si>
    <t>残高の統計＞平均残高 2 (月)</t>
    <phoneticPr fontId="10"/>
  </si>
  <si>
    <t>残高の統計＞平均与信限度額 % (月)</t>
    <phoneticPr fontId="10"/>
  </si>
  <si>
    <t>残高の統計＞平均エクスポージャ % (月)</t>
    <phoneticPr fontId="10"/>
  </si>
  <si>
    <t>残高の統計＞残高ゼロ顧客の統計を計算する</t>
    <rPh sb="6" eb="8">
      <t>ザンダカ</t>
    </rPh>
    <rPh sb="10" eb="12">
      <t>コキャク</t>
    </rPh>
    <rPh sb="13" eb="15">
      <t>トウケイ</t>
    </rPh>
    <rPh sb="16" eb="18">
      <t>ケイサン</t>
    </rPh>
    <phoneticPr fontId="10"/>
  </si>
  <si>
    <t>参照</t>
    <phoneticPr fontId="10"/>
  </si>
  <si>
    <t>ブロックのルール</t>
    <phoneticPr fontId="10"/>
  </si>
  <si>
    <t>与信および回収＞設定＞与信管理設定＞ブロックのルール</t>
    <phoneticPr fontId="10"/>
  </si>
  <si>
    <t>期限切れ日数</t>
    <rPh sb="0" eb="3">
      <t>キゲンギ</t>
    </rPh>
    <rPh sb="4" eb="6">
      <t>ニッスウ</t>
    </rPh>
    <phoneticPr fontId="18"/>
  </si>
  <si>
    <t>期限切れのブロック ルールの設定</t>
    <phoneticPr fontId="10"/>
  </si>
  <si>
    <t>アカウント コード</t>
  </si>
  <si>
    <t>アカウント コード</t>
    <phoneticPr fontId="10"/>
  </si>
  <si>
    <t>アカウント/グループ番号</t>
    <rPh sb="10" eb="12">
      <t>バンゴウ</t>
    </rPh>
    <phoneticPr fontId="10"/>
  </si>
  <si>
    <t>リスク グループ</t>
  </si>
  <si>
    <t>リスク グループ</t>
    <phoneticPr fontId="10"/>
  </si>
  <si>
    <t>ルールの種類</t>
    <rPh sb="4" eb="6">
      <t>シュルイ</t>
    </rPh>
    <phoneticPr fontId="10"/>
  </si>
  <si>
    <t>演算子</t>
    <rPh sb="0" eb="3">
      <t>エンザンシ</t>
    </rPh>
    <phoneticPr fontId="10"/>
  </si>
  <si>
    <t>値のタイプ</t>
    <rPh sb="0" eb="1">
      <t>アタイ</t>
    </rPh>
    <phoneticPr fontId="10"/>
  </si>
  <si>
    <t>期限切れ</t>
    <rPh sb="0" eb="3">
      <t>キゲンキ</t>
    </rPh>
    <phoneticPr fontId="10"/>
  </si>
  <si>
    <t>販売注文のリリース</t>
    <rPh sb="0" eb="4">
      <t>ハンバイチュウモン</t>
    </rPh>
    <phoneticPr fontId="10"/>
  </si>
  <si>
    <t>テーブル
グループ
すべて</t>
  </si>
  <si>
    <t>テーブル
グループ
すべて</t>
    <phoneticPr fontId="10"/>
  </si>
  <si>
    <t>テーブル</t>
    <phoneticPr fontId="10"/>
  </si>
  <si>
    <t>ブロック</t>
    <phoneticPr fontId="10"/>
  </si>
  <si>
    <t>ブロック
除外</t>
    <rPh sb="5" eb="7">
      <t>ジョガイ</t>
    </rPh>
    <phoneticPr fontId="10"/>
  </si>
  <si>
    <t>以上</t>
    <rPh sb="0" eb="2">
      <t>イジョウ</t>
    </rPh>
    <phoneticPr fontId="10"/>
  </si>
  <si>
    <t>日数</t>
    <rPh sb="0" eb="2">
      <t>ニッスウ</t>
    </rPh>
    <phoneticPr fontId="10"/>
  </si>
  <si>
    <t>ブロックのルール - 期限切れのブロック ルールの設定</t>
    <phoneticPr fontId="10"/>
  </si>
  <si>
    <t>勘定状態のブロック ルールの設定</t>
    <phoneticPr fontId="10"/>
  </si>
  <si>
    <t>勘定状態</t>
    <rPh sb="0" eb="4">
      <t>カンジョウジョウタイ</t>
    </rPh>
    <phoneticPr fontId="10"/>
  </si>
  <si>
    <t>は</t>
    <phoneticPr fontId="18"/>
  </si>
  <si>
    <t>は</t>
    <phoneticPr fontId="10"/>
  </si>
  <si>
    <t>勘定状態のブロック ルールの設定</t>
    <rPh sb="0" eb="4">
      <t>カンジョウジョウタイ</t>
    </rPh>
    <rPh sb="14" eb="16">
      <t>セッテイ</t>
    </rPh>
    <phoneticPr fontId="18"/>
  </si>
  <si>
    <t>ブロックのルール - 勘定状態のブロック ルールの設定</t>
    <phoneticPr fontId="10"/>
  </si>
  <si>
    <t>期限切れのブロック ルールの設定</t>
    <phoneticPr fontId="18"/>
  </si>
  <si>
    <t>「ブロックのルール - 勘定状態のブロック ルールの設定」を参照</t>
    <phoneticPr fontId="10"/>
  </si>
  <si>
    <t>支払条件</t>
    <rPh sb="0" eb="2">
      <t>シハラ</t>
    </rPh>
    <rPh sb="2" eb="4">
      <t>ジョウケン</t>
    </rPh>
    <phoneticPr fontId="10"/>
  </si>
  <si>
    <t>支払条件のブロック ルールの設定</t>
    <rPh sb="0" eb="2">
      <t>シハラ</t>
    </rPh>
    <rPh sb="2" eb="4">
      <t>ジョウケン</t>
    </rPh>
    <phoneticPr fontId="10"/>
  </si>
  <si>
    <t>「ブロックのルール - 支払条件のブロック ルールの設定」を参照</t>
    <phoneticPr fontId="10"/>
  </si>
  <si>
    <t>ブロックのルール - 支払条件のブロック ルールの設定</t>
    <rPh sb="11" eb="15">
      <t>シハライジョウケン</t>
    </rPh>
    <phoneticPr fontId="10"/>
  </si>
  <si>
    <t>支払条件のブロック ルールの設定</t>
    <rPh sb="0" eb="4">
      <t>シハライジョウケン</t>
    </rPh>
    <rPh sb="14" eb="16">
      <t>セッテイ</t>
    </rPh>
    <phoneticPr fontId="18"/>
  </si>
  <si>
    <t>支払条件</t>
    <rPh sb="0" eb="4">
      <t>シハライジョウケン</t>
    </rPh>
    <phoneticPr fontId="10"/>
  </si>
  <si>
    <t>期限切れの与信限度額</t>
    <phoneticPr fontId="10"/>
  </si>
  <si>
    <t>与信限度額の期限切れブロック ルールを設定します</t>
    <rPh sb="0" eb="2">
      <t>ヨシン</t>
    </rPh>
    <rPh sb="2" eb="4">
      <t>ゲンド</t>
    </rPh>
    <rPh sb="4" eb="5">
      <t>ガク</t>
    </rPh>
    <rPh sb="6" eb="8">
      <t>キゲン</t>
    </rPh>
    <rPh sb="8" eb="9">
      <t>ギ</t>
    </rPh>
    <rPh sb="19" eb="21">
      <t>セッテイ</t>
    </rPh>
    <phoneticPr fontId="10"/>
  </si>
  <si>
    <t>与信限度額の期限切れ日数</t>
    <rPh sb="0" eb="5">
      <t>ヨシンゲンドガク</t>
    </rPh>
    <rPh sb="6" eb="9">
      <t>キゲンギ</t>
    </rPh>
    <rPh sb="10" eb="12">
      <t>ニッスウ</t>
    </rPh>
    <phoneticPr fontId="10"/>
  </si>
  <si>
    <t>期限切れ金額</t>
    <rPh sb="4" eb="6">
      <t>キンガク</t>
    </rPh>
    <phoneticPr fontId="10"/>
  </si>
  <si>
    <t>期限切れ金額のブロック ルールを設定します</t>
    <rPh sb="0" eb="2">
      <t>キゲン</t>
    </rPh>
    <rPh sb="2" eb="3">
      <t>ギ</t>
    </rPh>
    <rPh sb="4" eb="6">
      <t>キンガク</t>
    </rPh>
    <rPh sb="16" eb="18">
      <t>セッテイ</t>
    </rPh>
    <phoneticPr fontId="10"/>
  </si>
  <si>
    <t>期限切れ金額</t>
    <rPh sb="0" eb="3">
      <t>キゲンギ</t>
    </rPh>
    <rPh sb="4" eb="6">
      <t>キンガク</t>
    </rPh>
    <phoneticPr fontId="10"/>
  </si>
  <si>
    <t>販売注文のリリース</t>
    <phoneticPr fontId="10"/>
  </si>
  <si>
    <t>しきい値</t>
    <rPh sb="3" eb="4">
      <t>アタイ</t>
    </rPh>
    <phoneticPr fontId="10"/>
  </si>
  <si>
    <t>パーセンテージ</t>
    <phoneticPr fontId="10"/>
  </si>
  <si>
    <t>ブロックのルール - 期限切れの金額ブロック ルールの設定</t>
    <phoneticPr fontId="10"/>
  </si>
  <si>
    <t>期限切れの金額ブロック ルールの設定</t>
    <phoneticPr fontId="18"/>
  </si>
  <si>
    <t>「ブロックのルール - 期限切れ金額ブロック ルールの設定」を参照</t>
    <rPh sb="12" eb="14">
      <t>キゲン</t>
    </rPh>
    <rPh sb="14" eb="15">
      <t>ギ</t>
    </rPh>
    <rPh sb="16" eb="18">
      <t>キンガク</t>
    </rPh>
    <phoneticPr fontId="10"/>
  </si>
  <si>
    <t>「ブロックのルール -  期 期限切れ日数のブロック ルールの設定」を参照</t>
    <phoneticPr fontId="10"/>
  </si>
  <si>
    <t>「ブロックのルール - 期限切れの与信限度額ブロック ルールの設定」を参照</t>
    <phoneticPr fontId="10"/>
  </si>
  <si>
    <t>期限切れの与信限度額ブロック ルールの設定</t>
    <phoneticPr fontId="18"/>
  </si>
  <si>
    <t>販売注文金額</t>
    <rPh sb="0" eb="6">
      <t>ハンバイチュウモンキンガク</t>
    </rPh>
    <phoneticPr fontId="10"/>
  </si>
  <si>
    <t>販売注文</t>
    <rPh sb="0" eb="4">
      <t>ハンバイチュウモン</t>
    </rPh>
    <phoneticPr fontId="10"/>
  </si>
  <si>
    <t>販売注文のブロック ルールを設定します</t>
    <rPh sb="0" eb="4">
      <t>ハンバイチュウモン</t>
    </rPh>
    <rPh sb="14" eb="16">
      <t>セッテイ</t>
    </rPh>
    <phoneticPr fontId="10"/>
  </si>
  <si>
    <t>「ブロックのルール - 販売注文のブロック ルールの設定」を参照</t>
    <rPh sb="12" eb="16">
      <t>ハンバイチュウモン</t>
    </rPh>
    <phoneticPr fontId="10"/>
  </si>
  <si>
    <t>ブロックのルール - 販売注文のブロック ルールの設定</t>
    <rPh sb="11" eb="15">
      <t>ハンバイチュウモン</t>
    </rPh>
    <phoneticPr fontId="10"/>
  </si>
  <si>
    <t>販売注文のブロック ルールの設定</t>
    <rPh sb="0" eb="4">
      <t>ハンバイチュウモン</t>
    </rPh>
    <phoneticPr fontId="18"/>
  </si>
  <si>
    <t>販売注文金額</t>
    <rPh sb="0" eb="4">
      <t>ハンバイチュウモン</t>
    </rPh>
    <rPh sb="4" eb="6">
      <t>キンガク</t>
    </rPh>
    <phoneticPr fontId="10"/>
  </si>
  <si>
    <t>使用済の与信限度額</t>
    <rPh sb="0" eb="3">
      <t>シヨウズ</t>
    </rPh>
    <rPh sb="4" eb="9">
      <t>ヨシンゲンドガク</t>
    </rPh>
    <phoneticPr fontId="10"/>
  </si>
  <si>
    <t>与信限度額の使用済みブロック ルールを設定します</t>
    <rPh sb="0" eb="5">
      <t>ヨシンゲンドガク</t>
    </rPh>
    <rPh sb="6" eb="9">
      <t>シヨウズ</t>
    </rPh>
    <rPh sb="19" eb="21">
      <t>セッテイ</t>
    </rPh>
    <phoneticPr fontId="10"/>
  </si>
  <si>
    <t>「ブロックのルール - 使用済の与信限度額のブロック ルールの設定」を参照</t>
    <rPh sb="12" eb="14">
      <t>シヨウ</t>
    </rPh>
    <rPh sb="14" eb="15">
      <t>ズミ</t>
    </rPh>
    <rPh sb="16" eb="18">
      <t>ヨシン</t>
    </rPh>
    <rPh sb="18" eb="20">
      <t>ゲンド</t>
    </rPh>
    <rPh sb="20" eb="21">
      <t>ガク</t>
    </rPh>
    <phoneticPr fontId="10"/>
  </si>
  <si>
    <t>ブロックのルール - 使用済の与信限度額のブロック ルールの設定</t>
    <phoneticPr fontId="10"/>
  </si>
  <si>
    <t>使用済の与信限度額のブロック ルールの設定</t>
    <phoneticPr fontId="18"/>
  </si>
  <si>
    <t>与信および回収＞設定＞エイジング期間の定義</t>
    <rPh sb="16" eb="18">
      <t>キカン</t>
    </rPh>
    <rPh sb="19" eb="21">
      <t>テイギ</t>
    </rPh>
    <phoneticPr fontId="10"/>
  </si>
  <si>
    <t>エイジング期間の定義</t>
    <rPh sb="5" eb="7">
      <t>キカン</t>
    </rPh>
    <rPh sb="8" eb="10">
      <t>テイギ</t>
    </rPh>
    <phoneticPr fontId="18"/>
  </si>
  <si>
    <t>エイジング期間の定義</t>
    <rPh sb="5" eb="7">
      <t>キカン</t>
    </rPh>
    <rPh sb="8" eb="10">
      <t>テイギ</t>
    </rPh>
    <phoneticPr fontId="10"/>
  </si>
  <si>
    <t>インジケータのエイジング</t>
  </si>
  <si>
    <t>インジケータのエイジング</t>
    <phoneticPr fontId="10"/>
  </si>
  <si>
    <t>アイコン</t>
  </si>
  <si>
    <t>アイコン</t>
    <phoneticPr fontId="10"/>
  </si>
  <si>
    <t>印刷方向</t>
    <rPh sb="0" eb="4">
      <t>インサツホウコウ</t>
    </rPh>
    <phoneticPr fontId="10"/>
  </si>
  <si>
    <t>分析ページおよびレポートの列の最上部に表示する、エイジング期間を識別するテキストを入力します。</t>
    <rPh sb="0" eb="2">
      <t>ブンセキ</t>
    </rPh>
    <rPh sb="13" eb="14">
      <t>レツ</t>
    </rPh>
    <rPh sb="15" eb="18">
      <t>サイジョウブ</t>
    </rPh>
    <rPh sb="19" eb="21">
      <t>ヒョウジ</t>
    </rPh>
    <rPh sb="29" eb="31">
      <t>キカン</t>
    </rPh>
    <rPh sb="32" eb="34">
      <t>シキベツ</t>
    </rPh>
    <rPh sb="41" eb="43">
      <t>ニュウリョク</t>
    </rPh>
    <phoneticPr fontId="10"/>
  </si>
  <si>
    <t>エイジング期間のサイズまたは長さの間隔を表す数字を入力します。このフィールドの数字は、正、負、または0（ゼロ）です。設定するエイジング期間の定義ごとに、ゼロの単位行を１行入力する必要があります。ゼロの値は、現在の間隔(1日や1週間など)を表す列を識別します。ゼロのエイジング期間を基準として、正の値は未来を、負の値は過去を表します。負の間隔単位の場合、感覚の終了日は、次のエイジング期間の前日です。正の間隔単位の場合、間隔の開発日は、常に前のエイジング期間の翌日です。</t>
    <rPh sb="5" eb="7">
      <t>キカン</t>
    </rPh>
    <rPh sb="14" eb="15">
      <t>ナガ</t>
    </rPh>
    <rPh sb="17" eb="19">
      <t>カンカク</t>
    </rPh>
    <rPh sb="20" eb="21">
      <t>アラワ</t>
    </rPh>
    <rPh sb="22" eb="24">
      <t>スウジ</t>
    </rPh>
    <rPh sb="25" eb="27">
      <t>ニュウリョク</t>
    </rPh>
    <rPh sb="39" eb="41">
      <t>スウジ</t>
    </rPh>
    <rPh sb="43" eb="44">
      <t>タダ</t>
    </rPh>
    <rPh sb="45" eb="46">
      <t>マ</t>
    </rPh>
    <rPh sb="58" eb="60">
      <t>セッテイ</t>
    </rPh>
    <rPh sb="67" eb="69">
      <t>キカン</t>
    </rPh>
    <rPh sb="70" eb="72">
      <t>テイギ</t>
    </rPh>
    <rPh sb="79" eb="82">
      <t>タンイギョウ</t>
    </rPh>
    <rPh sb="84" eb="85">
      <t>ギョウ</t>
    </rPh>
    <rPh sb="85" eb="87">
      <t>ニュウリョク</t>
    </rPh>
    <rPh sb="89" eb="91">
      <t>ヒツヨウ</t>
    </rPh>
    <rPh sb="100" eb="101">
      <t>アタイ</t>
    </rPh>
    <rPh sb="103" eb="105">
      <t>ゲンザイ</t>
    </rPh>
    <rPh sb="106" eb="108">
      <t>カンカク</t>
    </rPh>
    <rPh sb="110" eb="111">
      <t>ニチ</t>
    </rPh>
    <rPh sb="113" eb="115">
      <t>シュウカン</t>
    </rPh>
    <rPh sb="119" eb="120">
      <t>アラワ</t>
    </rPh>
    <rPh sb="121" eb="122">
      <t>レツ</t>
    </rPh>
    <rPh sb="123" eb="125">
      <t>シキベツ</t>
    </rPh>
    <rPh sb="137" eb="139">
      <t>キカン</t>
    </rPh>
    <rPh sb="140" eb="142">
      <t>キジュン</t>
    </rPh>
    <rPh sb="146" eb="147">
      <t>セイ</t>
    </rPh>
    <rPh sb="148" eb="149">
      <t>アタイ</t>
    </rPh>
    <rPh sb="150" eb="152">
      <t>ミライ</t>
    </rPh>
    <rPh sb="154" eb="155">
      <t>フ</t>
    </rPh>
    <rPh sb="156" eb="157">
      <t>アタイ</t>
    </rPh>
    <rPh sb="158" eb="160">
      <t>カコ</t>
    </rPh>
    <rPh sb="161" eb="162">
      <t>アラワ</t>
    </rPh>
    <rPh sb="166" eb="167">
      <t>フ</t>
    </rPh>
    <rPh sb="168" eb="170">
      <t>カンカク</t>
    </rPh>
    <rPh sb="170" eb="172">
      <t>タンイ</t>
    </rPh>
    <rPh sb="173" eb="175">
      <t>バアイ</t>
    </rPh>
    <rPh sb="176" eb="178">
      <t>カンカク</t>
    </rPh>
    <rPh sb="179" eb="182">
      <t>シュウリョウビ</t>
    </rPh>
    <rPh sb="184" eb="185">
      <t>ツギ</t>
    </rPh>
    <rPh sb="191" eb="193">
      <t>キカン</t>
    </rPh>
    <rPh sb="194" eb="196">
      <t>ゼンジツ</t>
    </rPh>
    <rPh sb="199" eb="200">
      <t>セイ</t>
    </rPh>
    <rPh sb="201" eb="203">
      <t>カンカク</t>
    </rPh>
    <rPh sb="203" eb="205">
      <t>タンイ</t>
    </rPh>
    <rPh sb="206" eb="208">
      <t>バアイ</t>
    </rPh>
    <rPh sb="209" eb="211">
      <t>カンカク</t>
    </rPh>
    <rPh sb="212" eb="215">
      <t>カイハツビ</t>
    </rPh>
    <rPh sb="217" eb="218">
      <t>ツネ</t>
    </rPh>
    <rPh sb="219" eb="220">
      <t>マエ</t>
    </rPh>
    <rPh sb="226" eb="228">
      <t>キカン</t>
    </rPh>
    <rPh sb="229" eb="231">
      <t>ヨクジツ</t>
    </rPh>
    <phoneticPr fontId="10"/>
  </si>
  <si>
    <t>エイジング期間の行の間隔を選択します。元帳のページで選択した会計カレンダーに対して定義されている期間の長さである元帳期間を選択します。期間が１日の場合、週を選択します。正の数量の場合、間隔は今日より前に、現在の週で経過した日数です。負の数量の場合、間隔は今日より後に、現在の週で残っている日数です。週の開始はげうちょうびで、終了日は日曜日です。期間が１か月の場合、月を選択します。正の数量の場合、間隔は今日より前に、現在の月で経過した日数です。負の数量の場合、間隔は今日より後に、現在の月で残っている日数です。期間が四半期（３か月）の場合、四半期を選択します。期間が１年（１２か月）の場合、年を選択します。無制限を選択すると、正の数量に対しては、前のエイジング期間の終了日から期間終了日までのすべての日付が期間に含まれます。たとえば、前のエイジング期間が９０日の場合、無制限の期間には終了日まで９１日の期日経過日付が含まれんす。終了日は、トランザクションで使用される会計カレンダーについて、会計カレンダーのページで作成される前会計年度の最終日です。負の数量に対しては、空白の開始日から、次のエイジング期間の前日までのすべての日付が期間に含まれます。</t>
    <rPh sb="19" eb="21">
      <t>モトチョウ</t>
    </rPh>
    <rPh sb="26" eb="28">
      <t>センタク</t>
    </rPh>
    <rPh sb="30" eb="32">
      <t>カイケイ</t>
    </rPh>
    <rPh sb="38" eb="39">
      <t>タイ</t>
    </rPh>
    <rPh sb="41" eb="43">
      <t>テイギ</t>
    </rPh>
    <rPh sb="48" eb="50">
      <t>キカン</t>
    </rPh>
    <rPh sb="51" eb="52">
      <t>ナガ</t>
    </rPh>
    <rPh sb="56" eb="60">
      <t>モトチョウキカン</t>
    </rPh>
    <rPh sb="61" eb="63">
      <t>センタク</t>
    </rPh>
    <rPh sb="67" eb="69">
      <t>キカン</t>
    </rPh>
    <rPh sb="71" eb="72">
      <t>ニチ</t>
    </rPh>
    <rPh sb="73" eb="75">
      <t>バアイ</t>
    </rPh>
    <rPh sb="76" eb="77">
      <t>シュウ</t>
    </rPh>
    <rPh sb="78" eb="80">
      <t>センタク</t>
    </rPh>
    <rPh sb="84" eb="85">
      <t>セイ</t>
    </rPh>
    <rPh sb="86" eb="88">
      <t>スウリョウ</t>
    </rPh>
    <rPh sb="89" eb="91">
      <t>バアイ</t>
    </rPh>
    <rPh sb="92" eb="94">
      <t>カンカク</t>
    </rPh>
    <rPh sb="95" eb="97">
      <t>キョウ</t>
    </rPh>
    <rPh sb="99" eb="100">
      <t>マエ</t>
    </rPh>
    <rPh sb="102" eb="104">
      <t>ゲンザイ</t>
    </rPh>
    <rPh sb="105" eb="106">
      <t>シュウ</t>
    </rPh>
    <rPh sb="107" eb="109">
      <t>ケイカ</t>
    </rPh>
    <rPh sb="111" eb="113">
      <t>ニッスウ</t>
    </rPh>
    <rPh sb="116" eb="117">
      <t>フ</t>
    </rPh>
    <rPh sb="118" eb="120">
      <t>スウリョウ</t>
    </rPh>
    <rPh sb="121" eb="123">
      <t>バアイ</t>
    </rPh>
    <rPh sb="124" eb="126">
      <t>カンカク</t>
    </rPh>
    <rPh sb="127" eb="129">
      <t>キョウ</t>
    </rPh>
    <rPh sb="131" eb="132">
      <t>アト</t>
    </rPh>
    <rPh sb="134" eb="136">
      <t>ゲンザイ</t>
    </rPh>
    <rPh sb="137" eb="138">
      <t>シュウ</t>
    </rPh>
    <rPh sb="139" eb="140">
      <t>ノコ</t>
    </rPh>
    <rPh sb="144" eb="146">
      <t>ニッスウ</t>
    </rPh>
    <rPh sb="149" eb="150">
      <t>シュウ</t>
    </rPh>
    <rPh sb="151" eb="153">
      <t>カイシ</t>
    </rPh>
    <rPh sb="162" eb="165">
      <t>シュウリョウビ</t>
    </rPh>
    <rPh sb="166" eb="169">
      <t>ニチヨウビ</t>
    </rPh>
    <rPh sb="172" eb="174">
      <t>キカン</t>
    </rPh>
    <rPh sb="177" eb="178">
      <t>ゲツ</t>
    </rPh>
    <rPh sb="179" eb="181">
      <t>バアイ</t>
    </rPh>
    <rPh sb="182" eb="183">
      <t>ツキ</t>
    </rPh>
    <rPh sb="184" eb="186">
      <t>センタク</t>
    </rPh>
    <rPh sb="190" eb="191">
      <t>セイ</t>
    </rPh>
    <rPh sb="192" eb="194">
      <t>スウリョウ</t>
    </rPh>
    <rPh sb="195" eb="197">
      <t>バアイ</t>
    </rPh>
    <rPh sb="198" eb="200">
      <t>カンカク</t>
    </rPh>
    <rPh sb="201" eb="203">
      <t>キョウ</t>
    </rPh>
    <rPh sb="205" eb="206">
      <t>マエ</t>
    </rPh>
    <rPh sb="208" eb="210">
      <t>ゲンザイ</t>
    </rPh>
    <rPh sb="211" eb="212">
      <t>ツキ</t>
    </rPh>
    <rPh sb="213" eb="215">
      <t>ケイカ</t>
    </rPh>
    <rPh sb="217" eb="219">
      <t>ニッスウ</t>
    </rPh>
    <rPh sb="222" eb="223">
      <t>フ</t>
    </rPh>
    <rPh sb="224" eb="226">
      <t>スウリョウ</t>
    </rPh>
    <rPh sb="227" eb="229">
      <t>バアイ</t>
    </rPh>
    <rPh sb="230" eb="232">
      <t>カンカク</t>
    </rPh>
    <rPh sb="233" eb="235">
      <t>キョウ</t>
    </rPh>
    <rPh sb="237" eb="238">
      <t>アト</t>
    </rPh>
    <rPh sb="240" eb="245">
      <t>ゲンザ</t>
    </rPh>
    <rPh sb="245" eb="246">
      <t>ノコ</t>
    </rPh>
    <rPh sb="250" eb="252">
      <t>ニッスウ</t>
    </rPh>
    <rPh sb="255" eb="257">
      <t>キカン</t>
    </rPh>
    <rPh sb="258" eb="261">
      <t>シハンキ</t>
    </rPh>
    <rPh sb="264" eb="265">
      <t>ゲツ</t>
    </rPh>
    <rPh sb="267" eb="269">
      <t>バアイ</t>
    </rPh>
    <rPh sb="270" eb="273">
      <t>シハンキ</t>
    </rPh>
    <rPh sb="274" eb="276">
      <t>センタク</t>
    </rPh>
    <rPh sb="280" eb="282">
      <t>キカン</t>
    </rPh>
    <rPh sb="284" eb="285">
      <t>ネン</t>
    </rPh>
    <rPh sb="289" eb="290">
      <t>ゲツ</t>
    </rPh>
    <rPh sb="292" eb="294">
      <t>バアイ</t>
    </rPh>
    <rPh sb="295" eb="296">
      <t>ネン</t>
    </rPh>
    <rPh sb="297" eb="299">
      <t>センタク</t>
    </rPh>
    <rPh sb="303" eb="306">
      <t>ムセイゲン</t>
    </rPh>
    <rPh sb="307" eb="309">
      <t>センタク</t>
    </rPh>
    <rPh sb="313" eb="314">
      <t>セイ</t>
    </rPh>
    <rPh sb="315" eb="317">
      <t>スウリョウ</t>
    </rPh>
    <rPh sb="318" eb="319">
      <t>タイ</t>
    </rPh>
    <rPh sb="323" eb="324">
      <t>マエ</t>
    </rPh>
    <rPh sb="330" eb="332">
      <t>キカン</t>
    </rPh>
    <rPh sb="333" eb="336">
      <t>シュウリョウビ</t>
    </rPh>
    <rPh sb="338" eb="343">
      <t>キカンシュウリョウビ</t>
    </rPh>
    <rPh sb="350" eb="352">
      <t>ヒヅケ</t>
    </rPh>
    <rPh sb="353" eb="355">
      <t>キカン</t>
    </rPh>
    <rPh sb="356" eb="357">
      <t>フク</t>
    </rPh>
    <rPh sb="367" eb="368">
      <t>マエ</t>
    </rPh>
    <rPh sb="374" eb="376">
      <t>キカン</t>
    </rPh>
    <rPh sb="379" eb="380">
      <t>ニチ</t>
    </rPh>
    <rPh sb="381" eb="383">
      <t>バアイ</t>
    </rPh>
    <rPh sb="384" eb="387">
      <t>ムセイゲン</t>
    </rPh>
    <rPh sb="388" eb="390">
      <t>キカン</t>
    </rPh>
    <rPh sb="392" eb="395">
      <t>シュウリョウビ</t>
    </rPh>
    <rPh sb="399" eb="400">
      <t>ニチ</t>
    </rPh>
    <rPh sb="401" eb="405">
      <t>キジツケイカ</t>
    </rPh>
    <rPh sb="405" eb="407">
      <t>ヒヅケ</t>
    </rPh>
    <rPh sb="408" eb="409">
      <t>フク</t>
    </rPh>
    <rPh sb="414" eb="417">
      <t>シュウリョウビ</t>
    </rPh>
    <rPh sb="428" eb="430">
      <t>シヨウ</t>
    </rPh>
    <rPh sb="433" eb="435">
      <t>カイケイ</t>
    </rPh>
    <rPh sb="445" eb="447">
      <t>カイケイ</t>
    </rPh>
    <rPh sb="457" eb="459">
      <t>サクセイ</t>
    </rPh>
    <rPh sb="462" eb="463">
      <t>マエ</t>
    </rPh>
    <rPh sb="463" eb="467">
      <t>カイケイネンド</t>
    </rPh>
    <rPh sb="468" eb="471">
      <t>サイシュウビ</t>
    </rPh>
    <rPh sb="474" eb="475">
      <t>フ</t>
    </rPh>
    <rPh sb="476" eb="478">
      <t>スウリョウ</t>
    </rPh>
    <rPh sb="479" eb="480">
      <t>タイ</t>
    </rPh>
    <rPh sb="493" eb="494">
      <t>ツギ</t>
    </rPh>
    <rPh sb="500" eb="502">
      <t>キカン</t>
    </rPh>
    <rPh sb="503" eb="505">
      <t>ゼンジツ</t>
    </rPh>
    <rPh sb="512" eb="514">
      <t>ヒヅケ</t>
    </rPh>
    <rPh sb="515" eb="517">
      <t>キカン</t>
    </rPh>
    <rPh sb="518" eb="519">
      <t>フク</t>
    </rPh>
    <phoneticPr fontId="10"/>
  </si>
  <si>
    <t>回収ページおよびリスト ページのエイジング期間を表するインジケーターを選択します。例えば、現在の期間は緑のインジケータ、過去３０日の期間は黄色インジケータ、過去９０日の期間は赤いインジケータを選択します。インジケータを表示しない場合は、空白を選択します。緑のチェックマークを含むアイコンを表示するには、緑糸のチェックマークを選択します。緑の円を含むアイコンを表示うするには、緑の円を選択します。黄色い三角形を含むアイコンを表示するには、黄色の三角を選択します。黄色の感嘆符を含むアイコンを表示するには、黄色の感嘆符を選択します。赤い菱形を含むアイコンを表示するには、赤い菱形を選択します。赤い×印を含むアイコンを表示するには、赤色の×オプションを選択します。青い四角形を表示するには、青のオプションを選択します。赤い四角形を表示するには、赤のオプションを選択します。緑色の四角形を表示するには、緑のオプションを選択します。濃い灰色の四角形を表示するには、濃い灰色のオプションを選択します。オレンジの四角形を表示するには、オレンジのオプションを選択します。黄色の四角形を表示するには、黄色のオプションを選択します。</t>
    <rPh sb="0" eb="2">
      <t>カイシュウ</t>
    </rPh>
    <rPh sb="21" eb="23">
      <t>キカン</t>
    </rPh>
    <rPh sb="24" eb="25">
      <t>ヒョウ</t>
    </rPh>
    <rPh sb="35" eb="37">
      <t>センタク</t>
    </rPh>
    <rPh sb="41" eb="42">
      <t>タト</t>
    </rPh>
    <rPh sb="45" eb="51">
      <t>ゲンザイ</t>
    </rPh>
    <rPh sb="51" eb="52">
      <t>ミドリ</t>
    </rPh>
    <rPh sb="60" eb="62">
      <t>カコ</t>
    </rPh>
    <rPh sb="64" eb="65">
      <t>ニチ</t>
    </rPh>
    <rPh sb="66" eb="68">
      <t>キカン</t>
    </rPh>
    <rPh sb="230" eb="232">
      <t>キイロ</t>
    </rPh>
    <rPh sb="233" eb="236">
      <t>カンタンフ</t>
    </rPh>
    <rPh sb="237" eb="238">
      <t>フク</t>
    </rPh>
    <rPh sb="244" eb="246">
      <t>ヒョウジ</t>
    </rPh>
    <rPh sb="251" eb="253">
      <t>キイロ</t>
    </rPh>
    <rPh sb="254" eb="257">
      <t>カンタンフ</t>
    </rPh>
    <rPh sb="258" eb="260">
      <t>センタク</t>
    </rPh>
    <rPh sb="264" eb="265">
      <t>アカ</t>
    </rPh>
    <rPh sb="266" eb="268">
      <t>ヒシガタ</t>
    </rPh>
    <rPh sb="269" eb="270">
      <t>フク</t>
    </rPh>
    <rPh sb="276" eb="278">
      <t>ヒョウジ</t>
    </rPh>
    <rPh sb="283" eb="284">
      <t>アカ</t>
    </rPh>
    <rPh sb="285" eb="287">
      <t>ヒシガタ</t>
    </rPh>
    <rPh sb="288" eb="290">
      <t>センタク</t>
    </rPh>
    <rPh sb="294" eb="295">
      <t>アカ</t>
    </rPh>
    <rPh sb="297" eb="298">
      <t>ジルシ</t>
    </rPh>
    <rPh sb="299" eb="300">
      <t>フク</t>
    </rPh>
    <rPh sb="306" eb="308">
      <t>ヒョウジ</t>
    </rPh>
    <rPh sb="313" eb="315">
      <t>アカイロ</t>
    </rPh>
    <rPh sb="323" eb="325">
      <t>センタク</t>
    </rPh>
    <rPh sb="329" eb="330">
      <t>アオ</t>
    </rPh>
    <rPh sb="331" eb="334">
      <t>シカッケイ</t>
    </rPh>
    <rPh sb="335" eb="337">
      <t>ヒョウジ</t>
    </rPh>
    <rPh sb="342" eb="343">
      <t>アオ</t>
    </rPh>
    <rPh sb="350" eb="352">
      <t>センタク</t>
    </rPh>
    <rPh sb="356" eb="357">
      <t>アカ</t>
    </rPh>
    <rPh sb="369" eb="370">
      <t>アカ</t>
    </rPh>
    <rPh sb="383" eb="385">
      <t>ミドリイロ</t>
    </rPh>
    <rPh sb="386" eb="389">
      <t>シカッケイ</t>
    </rPh>
    <rPh sb="390" eb="392">
      <t>ヒョウジ</t>
    </rPh>
    <rPh sb="397" eb="398">
      <t>ミドリ</t>
    </rPh>
    <rPh sb="405" eb="407">
      <t>センタク</t>
    </rPh>
    <rPh sb="411" eb="412">
      <t>コ</t>
    </rPh>
    <rPh sb="413" eb="415">
      <t>ハイイロ</t>
    </rPh>
    <rPh sb="477" eb="479">
      <t>キイロ</t>
    </rPh>
    <rPh sb="491" eb="493">
      <t>キイロ</t>
    </rPh>
    <phoneticPr fontId="10"/>
  </si>
  <si>
    <t>エイジング期間の定義の詳細の印刷方向を選択します。このオプションは、顧客エイジングレポートまたは仕入先エイジングレポートに表示する列の順序を決定します。上の行から順に、テーブルのヘッダーが表示されるのと同じ順序で列を印刷する場合、フォワード オプションを選択します。下の行から順に、テーブルのヘッダーが表示されるのと逆の順序で列を印刷する場合、バックワード オプションを選択します。</t>
    <rPh sb="14" eb="18">
      <t>インサツホウコウ</t>
    </rPh>
    <rPh sb="19" eb="21">
      <t>センタク</t>
    </rPh>
    <rPh sb="34" eb="36">
      <t>コキャク</t>
    </rPh>
    <rPh sb="48" eb="51">
      <t>シイレサキ</t>
    </rPh>
    <rPh sb="61" eb="63">
      <t>ヒョウジ</t>
    </rPh>
    <rPh sb="65" eb="66">
      <t>レツ</t>
    </rPh>
    <rPh sb="67" eb="69">
      <t>ジュンジョ</t>
    </rPh>
    <rPh sb="70" eb="72">
      <t>ケッテイ</t>
    </rPh>
    <rPh sb="76" eb="77">
      <t>ウエ</t>
    </rPh>
    <rPh sb="78" eb="79">
      <t>ギョウ</t>
    </rPh>
    <rPh sb="81" eb="82">
      <t>ジュン</t>
    </rPh>
    <rPh sb="94" eb="96">
      <t>ヒョウジ</t>
    </rPh>
    <rPh sb="101" eb="102">
      <t>オナ</t>
    </rPh>
    <rPh sb="103" eb="105">
      <t>ジュンジョ</t>
    </rPh>
    <rPh sb="106" eb="107">
      <t>レツ</t>
    </rPh>
    <rPh sb="108" eb="110">
      <t>インサツ</t>
    </rPh>
    <rPh sb="112" eb="114">
      <t>バアイ</t>
    </rPh>
    <rPh sb="127" eb="129">
      <t>センタク</t>
    </rPh>
    <rPh sb="133" eb="134">
      <t>シタ</t>
    </rPh>
    <rPh sb="135" eb="136">
      <t>ギョウ</t>
    </rPh>
    <rPh sb="138" eb="139">
      <t>ジュン</t>
    </rPh>
    <rPh sb="151" eb="153">
      <t>ヒョウジ</t>
    </rPh>
    <rPh sb="158" eb="159">
      <t>ギャク</t>
    </rPh>
    <rPh sb="160" eb="162">
      <t>ジュンジョ</t>
    </rPh>
    <rPh sb="163" eb="164">
      <t>レツ</t>
    </rPh>
    <rPh sb="165" eb="167">
      <t>インサツ</t>
    </rPh>
    <rPh sb="169" eb="171">
      <t>バアイ</t>
    </rPh>
    <rPh sb="185" eb="187">
      <t>センタク</t>
    </rPh>
    <phoneticPr fontId="10"/>
  </si>
  <si>
    <t>元帳期間</t>
    <rPh sb="0" eb="4">
      <t>モトチョウキカン</t>
    </rPh>
    <phoneticPr fontId="10"/>
  </si>
  <si>
    <t>空白</t>
    <rPh sb="0" eb="2">
      <t>クウハク</t>
    </rPh>
    <phoneticPr fontId="10"/>
  </si>
  <si>
    <t>元帳期間
日
週
月
四半期
年
無制限</t>
    <rPh sb="0" eb="4">
      <t>モトチョウキカン</t>
    </rPh>
    <rPh sb="5" eb="6">
      <t>ニチ</t>
    </rPh>
    <rPh sb="7" eb="8">
      <t>シュウ</t>
    </rPh>
    <rPh sb="9" eb="10">
      <t>ゲツ</t>
    </rPh>
    <rPh sb="11" eb="14">
      <t>シハンキ</t>
    </rPh>
    <rPh sb="15" eb="16">
      <t>ネン</t>
    </rPh>
    <rPh sb="17" eb="20">
      <t>ムセイゲン</t>
    </rPh>
    <phoneticPr fontId="10"/>
  </si>
  <si>
    <t>空白
緑色の円
緑色のチェック マーク
黄色の三角
黄色の感嘆符
赤色の菱形
赤色のX
青
赤
緑
濃い灰色
オレンジ
黄色</t>
    <rPh sb="0" eb="2">
      <t>クウハク</t>
    </rPh>
    <rPh sb="3" eb="5">
      <t>ミドリイロ</t>
    </rPh>
    <rPh sb="6" eb="7">
      <t>エン</t>
    </rPh>
    <rPh sb="8" eb="10">
      <t>ミドリイロ</t>
    </rPh>
    <rPh sb="20" eb="22">
      <t>キイロ</t>
    </rPh>
    <rPh sb="23" eb="25">
      <t>サンカク</t>
    </rPh>
    <rPh sb="26" eb="28">
      <t>キイロ</t>
    </rPh>
    <rPh sb="29" eb="32">
      <t>カンタンフ</t>
    </rPh>
    <rPh sb="33" eb="35">
      <t>アカイロ</t>
    </rPh>
    <rPh sb="36" eb="38">
      <t>ヒシガタ</t>
    </rPh>
    <rPh sb="39" eb="41">
      <t>アカイロ</t>
    </rPh>
    <rPh sb="44" eb="45">
      <t>アオ</t>
    </rPh>
    <rPh sb="46" eb="47">
      <t>アカ</t>
    </rPh>
    <rPh sb="48" eb="49">
      <t>ミドリ</t>
    </rPh>
    <rPh sb="50" eb="51">
      <t>コ</t>
    </rPh>
    <rPh sb="52" eb="54">
      <t>ハイイロ</t>
    </rPh>
    <rPh sb="60" eb="62">
      <t>キイロ</t>
    </rPh>
    <phoneticPr fontId="10"/>
  </si>
  <si>
    <t>前
次</t>
    <rPh sb="0" eb="1">
      <t>マエ</t>
    </rPh>
    <rPh sb="2" eb="3">
      <t>ツギ</t>
    </rPh>
    <phoneticPr fontId="10"/>
  </si>
  <si>
    <t>（システム自動入力）</t>
    <rPh sb="5" eb="9">
      <t>ジドウニュウリョク</t>
    </rPh>
    <phoneticPr fontId="10"/>
  </si>
  <si>
    <t>エイジング期間の定義 - 設定値</t>
    <rPh sb="5" eb="7">
      <t>キカン</t>
    </rPh>
    <rPh sb="8" eb="10">
      <t>テイギ</t>
    </rPh>
    <rPh sb="13" eb="16">
      <t>セッテイチ</t>
    </rPh>
    <phoneticPr fontId="10"/>
  </si>
  <si>
    <t>期間</t>
    <rPh sb="0" eb="2">
      <t>キカン</t>
    </rPh>
    <phoneticPr fontId="18"/>
  </si>
  <si>
    <t>「エイジング期間の定義 - 設定値」を参照</t>
    <rPh sb="6" eb="8">
      <t>キカン</t>
    </rPh>
    <rPh sb="9" eb="11">
      <t>テイギ</t>
    </rPh>
    <rPh sb="14" eb="17">
      <t>セッテイチ</t>
    </rPh>
    <rPh sb="19" eb="21">
      <t>サンショウ</t>
    </rPh>
    <phoneticPr fontId="10"/>
  </si>
  <si>
    <t>印刷方向</t>
    <rPh sb="0" eb="4">
      <t>インサツホウコウ</t>
    </rPh>
    <phoneticPr fontId="18"/>
  </si>
  <si>
    <t>法人共通/個別</t>
    <rPh sb="0" eb="4">
      <t>ホウジンキョウツウ</t>
    </rPh>
    <rPh sb="5" eb="7">
      <t>コベツ</t>
    </rPh>
    <phoneticPr fontId="10"/>
  </si>
  <si>
    <t>個別</t>
  </si>
  <si>
    <t>通貨（ユーザー定義）</t>
    <rPh sb="0" eb="2">
      <t>ツウカ</t>
    </rPh>
    <phoneticPr fontId="18"/>
  </si>
  <si>
    <t>仕訳帳（ユーザー定義）</t>
    <rPh sb="0" eb="3">
      <t>シワケチョウ</t>
    </rPh>
    <phoneticPr fontId="18"/>
  </si>
  <si>
    <t>エイジング期間の定義（ユーザー定義）</t>
    <rPh sb="5" eb="7">
      <t>キカン</t>
    </rPh>
    <rPh sb="8" eb="10">
      <t>テイギ</t>
    </rPh>
    <phoneticPr fontId="18"/>
  </si>
  <si>
    <t>チーム（ユーザー定義）</t>
  </si>
  <si>
    <t>電子メールID（ユーザー定義）</t>
    <rPh sb="0" eb="2">
      <t>デンシ</t>
    </rPh>
    <phoneticPr fontId="18"/>
  </si>
  <si>
    <t>与信管理の理由（ユーザー定義）</t>
    <phoneticPr fontId="10"/>
  </si>
  <si>
    <t>為替レート タイプ（ユーザー定義）</t>
  </si>
  <si>
    <t>番号順序（ユーザー定義）</t>
  </si>
  <si>
    <t>リスク分類（ユーザー定義）</t>
    <rPh sb="3" eb="5">
      <t>ブンルイ</t>
    </rPh>
    <phoneticPr fontId="10"/>
  </si>
  <si>
    <t>勘定状態（ユーザー定義）</t>
    <rPh sb="0" eb="4">
      <t>カンジョウジョウタイ</t>
    </rPh>
    <phoneticPr fontId="10"/>
  </si>
  <si>
    <t>支払条件（ユーザー定義）</t>
    <rPh sb="0" eb="4">
      <t>シハライジョウケン</t>
    </rPh>
    <phoneticPr fontId="10"/>
  </si>
  <si>
    <t>一時的な与信限度＞ビューを元の会社に制限</t>
    <rPh sb="0" eb="3">
      <t>イチジテキ</t>
    </rPh>
    <rPh sb="4" eb="8">
      <t>ヨシンゲンド</t>
    </rPh>
    <rPh sb="13" eb="14">
      <t>モト</t>
    </rPh>
    <rPh sb="15" eb="17">
      <t>カイシャ</t>
    </rPh>
    <rPh sb="18" eb="20">
      <t>セイゲン</t>
    </rPh>
    <phoneticPr fontId="10"/>
  </si>
  <si>
    <t>[アカウントコード]で[テーブル]を選択したとき
　⇒顧客ID（ユーザー定義）
[アカウントコード]で[グループ]を選択したとき
　⇒与信管理グループ（ユーザー定義）
[アカウントコード]で[すべて]を選択したとき
　⇒操作不可</t>
    <rPh sb="18" eb="20">
      <t>センタク</t>
    </rPh>
    <rPh sb="27" eb="29">
      <t>コキャク</t>
    </rPh>
    <rPh sb="36" eb="38">
      <t>テイギ</t>
    </rPh>
    <rPh sb="67" eb="71">
      <t>ヨシンカンリ</t>
    </rPh>
    <phoneticPr fontId="10"/>
  </si>
  <si>
    <t>顧客ID（ユーザー定義）
与信管理グループ（ユーザー定義）</t>
    <rPh sb="0" eb="2">
      <t>コキャク</t>
    </rPh>
    <rPh sb="13" eb="17">
      <t>ヨシンカンリ</t>
    </rPh>
    <phoneticPr fontId="10"/>
  </si>
  <si>
    <t>以上
以下</t>
    <rPh sb="0" eb="2">
      <t>イジョウ</t>
    </rPh>
    <rPh sb="3" eb="5">
      <t>イカ</t>
    </rPh>
    <phoneticPr fontId="10"/>
  </si>
  <si>
    <t>[リスクグループ]で[ブロック]を選択したとき　⇒以上
[リスクグループ]で[除外]を選択したとき　⇒以下</t>
    <rPh sb="17" eb="19">
      <t>センタク</t>
    </rPh>
    <rPh sb="25" eb="27">
      <t>イジョウ</t>
    </rPh>
    <rPh sb="39" eb="41">
      <t>ジョガイ</t>
    </rPh>
    <rPh sb="51" eb="53">
      <t>イカ</t>
    </rPh>
    <phoneticPr fontId="10"/>
  </si>
  <si>
    <t>[リスクグループ]で[ブロック]を選択したとき　⇒日数
[リスクグループ]で[除外]を選択したとき　⇒日数、金額</t>
    <rPh sb="17" eb="19">
      <t>センタク</t>
    </rPh>
    <rPh sb="25" eb="27">
      <t>ニッスウ</t>
    </rPh>
    <rPh sb="39" eb="41">
      <t>ジョガイ</t>
    </rPh>
    <rPh sb="51" eb="53">
      <t>ニッスウ</t>
    </rPh>
    <rPh sb="54" eb="56">
      <t>キンガク</t>
    </rPh>
    <phoneticPr fontId="10"/>
  </si>
  <si>
    <t>日数
金額</t>
    <rPh sb="0" eb="2">
      <t>ニッスウ</t>
    </rPh>
    <rPh sb="3" eb="5">
      <t>キンガク</t>
    </rPh>
    <phoneticPr fontId="10"/>
  </si>
  <si>
    <t>通貨（ユーザー定義）</t>
    <rPh sb="0" eb="2">
      <t>ツウカ</t>
    </rPh>
    <rPh sb="7" eb="9">
      <t>テイギ</t>
    </rPh>
    <phoneticPr fontId="10"/>
  </si>
  <si>
    <t>[値のタイプ]で[金額]を選択したとき　に設定する</t>
    <rPh sb="1" eb="2">
      <t>アタイ</t>
    </rPh>
    <rPh sb="9" eb="11">
      <t>キンガク</t>
    </rPh>
    <rPh sb="13" eb="15">
      <t>センタク</t>
    </rPh>
    <rPh sb="21" eb="23">
      <t>セッテイ</t>
    </rPh>
    <phoneticPr fontId="10"/>
  </si>
  <si>
    <t>30日毎</t>
  </si>
  <si>
    <t>30日-60日-90日</t>
  </si>
  <si>
    <t>90+</t>
  </si>
  <si>
    <t>無制限</t>
  </si>
  <si>
    <t>🔶</t>
    <phoneticPr fontId="10"/>
  </si>
  <si>
    <t>90</t>
  </si>
  <si>
    <t>日</t>
  </si>
  <si>
    <t>赤色の X</t>
  </si>
  <si>
    <t>✖</t>
    <phoneticPr fontId="10"/>
  </si>
  <si>
    <t>60</t>
  </si>
  <si>
    <t>❕</t>
    <phoneticPr fontId="10"/>
  </si>
  <si>
    <t>30</t>
  </si>
  <si>
    <t>🔺</t>
    <phoneticPr fontId="10"/>
  </si>
  <si>
    <t>現在</t>
  </si>
  <si>
    <t>緑色のチェック マーク</t>
  </si>
  <si>
    <t>✔</t>
    <phoneticPr fontId="10"/>
  </si>
  <si>
    <t>エイジング期間の定義をします。</t>
    <rPh sb="5" eb="7">
      <t>キカン</t>
    </rPh>
    <rPh sb="8" eb="10">
      <t>テイギ</t>
    </rPh>
    <phoneticPr fontId="10"/>
  </si>
  <si>
    <t>与信および回収＞設定＞与信および回収のパラメーター
Credit and collections＞Setup＞Credit and collections parameters</t>
    <phoneticPr fontId="10"/>
  </si>
  <si>
    <t>与信および回収＞設定＞与信管理設定＞与信管理の理由
Credit and collections＞Setup＞Credit management setup＞Credit management reasons</t>
    <rPh sb="11" eb="13">
      <t>ヨシン</t>
    </rPh>
    <rPh sb="13" eb="15">
      <t>カンリ</t>
    </rPh>
    <rPh sb="15" eb="17">
      <t>セッテイ</t>
    </rPh>
    <rPh sb="18" eb="20">
      <t>ヨシン</t>
    </rPh>
    <rPh sb="20" eb="22">
      <t>カンリ</t>
    </rPh>
    <rPh sb="23" eb="25">
      <t>リユウ</t>
    </rPh>
    <phoneticPr fontId="10"/>
  </si>
  <si>
    <t>与信および回収＞設定＞与信管理設定＞ブロックのルール
Credit and collections＞Setup＞Credit management setup＞Blocking rules</t>
    <phoneticPr fontId="10"/>
  </si>
  <si>
    <t>与信および回収＞設定＞エイジング期間の定義
Credit and collections＞Setup＞Aging period definitions</t>
    <phoneticPr fontId="10"/>
  </si>
  <si>
    <t>Credit and collections＞Setup＞Credit and collections parameters</t>
  </si>
  <si>
    <t>Credit and collections＞Setup＞Credit management setup＞Credit management reasons</t>
  </si>
  <si>
    <t>Credit and collections＞Setup＞Credit management setup＞Blocking rules</t>
  </si>
  <si>
    <t>Credit and collections＞Setup＞Aging period definitions</t>
  </si>
  <si>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</si>
  <si>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</si>
  <si>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</si>
  <si>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</si>
  <si>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＜YYYY/MM/DD＞</t>
    <phoneticPr fontId="26"/>
  </si>
  <si>
    <t>氏名</t>
    <rPh sb="0" eb="2">
      <t>シメイ</t>
    </rPh>
    <phoneticPr fontId="26"/>
  </si>
  <si>
    <t>パラメータ設定一覧</t>
  </si>
  <si>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</si>
  <si>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</si>
  <si>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</si>
  <si>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phoneticPr fontId="10"/>
  </si>
  <si>
    <t>ブロックのルール - 期限切れの与信限度額ブロック ルールの設定</t>
    <rPh sb="30" eb="32">
      <t>セッテイ</t>
    </rPh>
    <phoneticPr fontId="10"/>
  </si>
  <si>
    <t>サンスター株式会社　御中</t>
  </si>
  <si>
    <t>会計システム刷新プロジェクト（LIBRA）</t>
    <phoneticPr fontId="26"/>
  </si>
  <si>
    <t>JBS秋信</t>
    <rPh sb="3" eb="5">
      <t>アキノブ</t>
    </rPh>
    <phoneticPr fontId="26"/>
  </si>
  <si>
    <t>いいえ</t>
    <phoneticPr fontId="10"/>
  </si>
  <si>
    <t>利子計算書日付</t>
  </si>
  <si>
    <t>0</t>
  </si>
  <si>
    <t>なし</t>
  </si>
  <si>
    <t>エラー</t>
  </si>
  <si>
    <t>はい</t>
    <phoneticPr fontId="10"/>
  </si>
  <si>
    <t>与信の管_1</t>
    <phoneticPr fontId="10"/>
  </si>
  <si>
    <t>JBS秋信</t>
    <rPh sb="3" eb="5">
      <t>アキノブ</t>
    </rPh>
    <phoneticPr fontId="10"/>
  </si>
  <si>
    <t>与信管理で使用する理由を定義します。
※利用想定なし</t>
    <rPh sb="0" eb="2">
      <t>ヨシン</t>
    </rPh>
    <rPh sb="2" eb="4">
      <t>カンリ</t>
    </rPh>
    <rPh sb="5" eb="7">
      <t>シヨウ</t>
    </rPh>
    <rPh sb="9" eb="11">
      <t>リユウ</t>
    </rPh>
    <rPh sb="12" eb="14">
      <t>テイギ</t>
    </rPh>
    <rPh sb="20" eb="24">
      <t>リヨウソウテイ</t>
    </rPh>
    <phoneticPr fontId="10"/>
  </si>
  <si>
    <r>
      <t xml:space="preserve">ブロックのルールの定義をします。
</t>
    </r>
    <r>
      <rPr>
        <sz val="11"/>
        <color rgb="FFFF0000"/>
        <rFont val="Meiryo UI"/>
        <family val="3"/>
        <charset val="128"/>
      </rPr>
      <t xml:space="preserve">※与信管理グループに基づいてルール定義する点については移行対象として管理する。
</t>
    </r>
    <r>
      <rPr>
        <sz val="11"/>
        <rFont val="Meiryo UI"/>
        <family val="3"/>
        <charset val="128"/>
      </rPr>
      <t>※利用想定なし</t>
    </r>
    <rPh sb="9" eb="11">
      <t>テイギ</t>
    </rPh>
    <rPh sb="18" eb="20">
      <t>ヨシン</t>
    </rPh>
    <rPh sb="20" eb="22">
      <t>カンリ</t>
    </rPh>
    <rPh sb="27" eb="28">
      <t>モト</t>
    </rPh>
    <rPh sb="34" eb="36">
      <t>テイギ</t>
    </rPh>
    <rPh sb="38" eb="39">
      <t>テン</t>
    </rPh>
    <rPh sb="44" eb="46">
      <t>イコウ</t>
    </rPh>
    <rPh sb="46" eb="48">
      <t>タイショウ</t>
    </rPh>
    <rPh sb="51" eb="53">
      <t>カンリ</t>
    </rPh>
    <rPh sb="58" eb="62">
      <t>リヨウソウテイ</t>
    </rPh>
    <phoneticPr fontId="10"/>
  </si>
  <si>
    <t>前</t>
    <rPh sb="0" eb="1">
      <t>マエ</t>
    </rPh>
    <phoneticPr fontId="10"/>
  </si>
  <si>
    <t>FOパラメータ定義書-SEJ_08.与信および回収</t>
    <rPh sb="7" eb="10">
      <t>テイギショ</t>
    </rPh>
    <rPh sb="18" eb="20">
      <t>ヨシン</t>
    </rPh>
    <rPh sb="23" eb="25">
      <t>カイシュウ</t>
    </rPh>
    <phoneticPr fontId="10"/>
  </si>
  <si>
    <t>売掛金管_18</t>
    <phoneticPr fontId="10"/>
  </si>
  <si>
    <t>売掛金管_22</t>
    <phoneticPr fontId="10"/>
  </si>
  <si>
    <t>売掛金管_30</t>
    <phoneticPr fontId="10"/>
  </si>
  <si>
    <t>売掛金管_46</t>
    <phoneticPr fontId="10"/>
  </si>
  <si>
    <t>売掛金管_50</t>
    <phoneticPr fontId="10"/>
  </si>
  <si>
    <t>与信の管_3</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</si>
</sst>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1"/>
      <color rgb="FFFF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sz val="10"/>
      <color rgb="FFFF0000"/>
      <name val="Meiryo UI"/>
      <family val="3"/>
      <charset val="128"/>
    </font>
    <font>
      <sz val="10"/>
      <color theme="7"/>
      <name val="Meiryo UI"/>
      <family val="3"/>
      <charset val="128"/>
    </font>
    <font>
      <sz val="10"/>
      <color theme="9"/>
      <name val="Meiryo UI"/>
      <family val="3"/>
      <charset val="128"/>
    </font>
    <font>
      <sz val="11"/>
      <name val="Meiryo UI"/>
      <family val="3"/>
      <charset val="128"/>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21">
    <xf numFmtId="0" fontId="0" fillId="0" borderId="0">
      <alignment vertical="center"/>
    </xf>
    <xf numFmtId="0" fontId="11" fillId="0" borderId="0">
      <alignment vertical="center"/>
    </xf>
    <xf numFmtId="0" fontId="15" fillId="0" borderId="0"/>
    <xf numFmtId="0" fontId="20"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1"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2" fillId="0" borderId="0">
      <alignment vertical="center"/>
    </xf>
    <xf numFmtId="0" fontId="23" fillId="0" borderId="0">
      <alignment vertical="center"/>
    </xf>
    <xf numFmtId="0" fontId="2" fillId="0" borderId="0">
      <alignment vertical="center"/>
    </xf>
    <xf numFmtId="0" fontId="1" fillId="0" borderId="0">
      <alignment vertical="center"/>
    </xf>
    <xf numFmtId="0" fontId="1" fillId="0" borderId="0">
      <alignment vertical="center"/>
    </xf>
  </cellStyleXfs>
  <cellXfs count="152">
    <xf numFmtId="0" fontId="0" fillId="0" borderId="0" xfId="0">
      <alignment vertical="center"/>
    </xf>
    <xf numFmtId="0" fontId="12" fillId="0" borderId="0" xfId="1" applyFont="1">
      <alignment vertical="center"/>
    </xf>
    <xf numFmtId="0" fontId="17" fillId="6" borderId="1" xfId="0" applyFont="1" applyFill="1" applyBorder="1" applyAlignment="1" applyProtection="1">
      <alignment horizontal="left" vertical="top" wrapText="1"/>
      <protection locked="0"/>
    </xf>
    <xf numFmtId="0" fontId="17" fillId="6" borderId="1" xfId="0" applyFont="1" applyFill="1" applyBorder="1" applyAlignment="1" applyProtection="1">
      <alignment vertical="top" wrapText="1"/>
      <protection locked="0"/>
    </xf>
    <xf numFmtId="0" fontId="16" fillId="5" borderId="1" xfId="0" applyFont="1" applyFill="1" applyBorder="1" applyAlignment="1">
      <alignment vertical="top" wrapText="1"/>
    </xf>
    <xf numFmtId="0" fontId="16" fillId="6" borderId="8" xfId="0" applyFont="1" applyFill="1" applyBorder="1" applyAlignment="1">
      <alignment vertical="top" wrapText="1"/>
    </xf>
    <xf numFmtId="0" fontId="16" fillId="6" borderId="1" xfId="0" applyFont="1" applyFill="1" applyBorder="1" applyAlignment="1">
      <alignment vertical="top" wrapText="1"/>
    </xf>
    <xf numFmtId="49" fontId="17" fillId="6" borderId="1" xfId="0" applyNumberFormat="1" applyFont="1" applyFill="1" applyBorder="1" applyAlignment="1" applyProtection="1">
      <alignment horizontal="left" vertical="top" wrapText="1"/>
      <protection locked="0"/>
    </xf>
    <xf numFmtId="0" fontId="19" fillId="4" borderId="1" xfId="0" applyFont="1" applyFill="1" applyBorder="1" applyAlignment="1">
      <alignment horizontal="center" vertical="top" wrapText="1"/>
    </xf>
    <xf numFmtId="0" fontId="19" fillId="5" borderId="1" xfId="0" applyFont="1" applyFill="1" applyBorder="1" applyAlignment="1">
      <alignment horizontal="center" vertical="top"/>
    </xf>
    <xf numFmtId="0" fontId="17" fillId="0" borderId="6" xfId="0" applyFont="1" applyBorder="1" applyAlignment="1">
      <alignment vertical="top" wrapText="1"/>
    </xf>
    <xf numFmtId="0" fontId="17" fillId="0" borderId="7" xfId="0" applyFont="1" applyBorder="1" applyAlignment="1">
      <alignment vertical="top" wrapText="1"/>
    </xf>
    <xf numFmtId="0" fontId="17" fillId="0" borderId="5" xfId="0" applyFont="1" applyBorder="1" applyAlignment="1">
      <alignment vertical="top" wrapText="1"/>
    </xf>
    <xf numFmtId="0" fontId="19" fillId="4" borderId="1" xfId="0" applyFont="1" applyFill="1" applyBorder="1" applyAlignment="1">
      <alignment horizontal="center" vertical="top"/>
    </xf>
    <xf numFmtId="0" fontId="17" fillId="0" borderId="1" xfId="0" applyFont="1" applyBorder="1" applyAlignment="1">
      <alignmen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5" xfId="0" applyFont="1" applyFill="1" applyBorder="1" applyAlignment="1">
      <alignment vertical="top" wrapText="1"/>
    </xf>
    <xf numFmtId="0" fontId="17" fillId="2" borderId="1" xfId="0" quotePrefix="1" applyFont="1" applyFill="1" applyBorder="1" applyAlignment="1">
      <alignment horizontal="left" vertical="top" wrapText="1"/>
    </xf>
    <xf numFmtId="0" fontId="16" fillId="5" borderId="8" xfId="0" applyFont="1" applyFill="1" applyBorder="1" applyAlignment="1">
      <alignment vertical="top" wrapText="1"/>
    </xf>
    <xf numFmtId="0" fontId="17" fillId="0" borderId="1" xfId="0" quotePrefix="1" applyFont="1" applyBorder="1" applyAlignment="1">
      <alignment horizontal="left" vertical="top" wrapText="1"/>
    </xf>
    <xf numFmtId="0" fontId="16" fillId="0" borderId="9" xfId="0" applyFont="1" applyBorder="1" applyAlignment="1">
      <alignment horizontal="left" vertical="top" wrapText="1"/>
    </xf>
    <xf numFmtId="0" fontId="17" fillId="0" borderId="4" xfId="0" applyFont="1" applyBorder="1" applyAlignment="1">
      <alignment vertical="top" wrapText="1"/>
    </xf>
    <xf numFmtId="49" fontId="19" fillId="5" borderId="1" xfId="0" applyNumberFormat="1" applyFont="1" applyFill="1" applyBorder="1" applyAlignment="1">
      <alignment horizontal="center" vertical="top"/>
    </xf>
    <xf numFmtId="49" fontId="17" fillId="6" borderId="1" xfId="0" quotePrefix="1" applyNumberFormat="1" applyFont="1" applyFill="1" applyBorder="1" applyAlignment="1" applyProtection="1">
      <alignment horizontal="left" vertical="top" wrapText="1"/>
      <protection locked="0"/>
    </xf>
    <xf numFmtId="0" fontId="14" fillId="0" borderId="0" xfId="0" applyFont="1">
      <alignment vertical="center"/>
    </xf>
    <xf numFmtId="0" fontId="12" fillId="0" borderId="0" xfId="18" applyFont="1">
      <alignment vertical="center"/>
    </xf>
    <xf numFmtId="0" fontId="17" fillId="0" borderId="3" xfId="0" applyFont="1" applyBorder="1" applyAlignment="1">
      <alignment vertical="top" wrapText="1"/>
    </xf>
    <xf numFmtId="0" fontId="16" fillId="5" borderId="6" xfId="0" applyFont="1" applyFill="1" applyBorder="1" applyAlignment="1">
      <alignment vertical="center" wrapText="1"/>
    </xf>
    <xf numFmtId="0" fontId="17" fillId="0" borderId="1" xfId="0" applyFont="1" applyBorder="1" applyAlignment="1">
      <alignment vertical="top" wrapText="1"/>
    </xf>
    <xf numFmtId="0" fontId="14" fillId="0" borderId="0" xfId="0" applyFont="1" applyAlignment="1"/>
    <xf numFmtId="0" fontId="14"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5" xfId="0" applyFont="1" applyBorder="1" applyAlignment="1"/>
    <xf numFmtId="0" fontId="14" fillId="0" borderId="3" xfId="0" applyFont="1" applyBorder="1">
      <alignment vertical="center"/>
    </xf>
    <xf numFmtId="0" fontId="14" fillId="0" borderId="0" xfId="0" applyFont="1" applyAlignment="1">
      <alignment horizontal="center" vertical="center"/>
    </xf>
    <xf numFmtId="49" fontId="14" fillId="0" borderId="0" xfId="0" applyNumberFormat="1" applyFont="1">
      <alignment vertical="center"/>
    </xf>
    <xf numFmtId="49" fontId="14" fillId="0" borderId="0" xfId="0" applyNumberFormat="1" applyFont="1" applyAlignment="1">
      <alignment horizontal="left" vertical="center"/>
    </xf>
    <xf numFmtId="49" fontId="14" fillId="0" borderId="0" xfId="0" applyNumberFormat="1" applyFont="1" applyAlignment="1">
      <alignment horizontal="center" vertical="center"/>
    </xf>
    <xf numFmtId="0" fontId="14" fillId="4" borderId="1" xfId="0" applyFont="1" applyFill="1" applyBorder="1">
      <alignment vertical="center"/>
    </xf>
    <xf numFmtId="0" fontId="14" fillId="4" borderId="1" xfId="0" applyFont="1" applyFill="1" applyBorder="1" applyAlignment="1">
      <alignment horizontal="center" vertical="center"/>
    </xf>
    <xf numFmtId="0" fontId="14" fillId="0" borderId="1" xfId="0" applyFont="1" applyBorder="1">
      <alignment vertical="center"/>
    </xf>
    <xf numFmtId="0" fontId="14" fillId="0" borderId="14" xfId="0" applyFont="1" applyBorder="1" applyAlignment="1">
      <alignment horizontal="center" vertical="center" wrapText="1"/>
    </xf>
    <xf numFmtId="0" fontId="31" fillId="0" borderId="1" xfId="3" applyFont="1" applyFill="1" applyBorder="1" applyProtection="1">
      <alignment vertical="center"/>
    </xf>
    <xf numFmtId="0" fontId="14" fillId="0" borderId="1" xfId="0" applyFont="1" applyBorder="1" applyAlignment="1">
      <alignment vertical="center" wrapText="1"/>
    </xf>
    <xf numFmtId="0" fontId="14" fillId="7" borderId="1" xfId="0" applyFont="1" applyFill="1" applyBorder="1">
      <alignment vertical="center"/>
    </xf>
    <xf numFmtId="0" fontId="14" fillId="7" borderId="14" xfId="0" applyFont="1" applyFill="1" applyBorder="1" applyAlignment="1">
      <alignment horizontal="center" vertical="center" wrapText="1"/>
    </xf>
    <xf numFmtId="0" fontId="14" fillId="7" borderId="1" xfId="0" applyFont="1" applyFill="1" applyBorder="1" applyAlignment="1">
      <alignment vertical="center" wrapText="1"/>
    </xf>
    <xf numFmtId="0" fontId="20" fillId="0" borderId="0" xfId="3" applyProtection="1">
      <alignment vertical="center"/>
    </xf>
    <xf numFmtId="0" fontId="14" fillId="0" borderId="1" xfId="0" applyFont="1" applyBorder="1" applyAlignment="1">
      <alignment horizontal="center"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0" fillId="7" borderId="0" xfId="0" applyFill="1">
      <alignment vertical="center"/>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0" borderId="0" xfId="0" applyFont="1">
      <alignment vertical="center"/>
    </xf>
    <xf numFmtId="49" fontId="17" fillId="0" borderId="0" xfId="0" applyNumberFormat="1" applyFont="1">
      <alignment vertical="center"/>
    </xf>
    <xf numFmtId="0" fontId="17" fillId="3" borderId="1" xfId="0" applyFont="1" applyFill="1" applyBorder="1" applyAlignment="1"/>
    <xf numFmtId="0" fontId="17" fillId="3" borderId="1" xfId="0" applyFont="1" applyFill="1" applyBorder="1" applyAlignment="1" applyProtection="1">
      <protection locked="0"/>
    </xf>
    <xf numFmtId="49" fontId="17" fillId="0" borderId="1" xfId="10" applyNumberFormat="1" applyFont="1" applyBorder="1" applyAlignment="1">
      <alignment horizontal="left"/>
    </xf>
    <xf numFmtId="49" fontId="17" fillId="0" borderId="1" xfId="0" applyNumberFormat="1" applyFont="1" applyBorder="1" applyAlignment="1">
      <alignment horizontal="left"/>
    </xf>
    <xf numFmtId="0" fontId="17" fillId="0" borderId="1" xfId="10" applyFont="1" applyBorder="1"/>
    <xf numFmtId="0" fontId="17" fillId="0" borderId="7" xfId="0" applyFont="1" applyBorder="1">
      <alignment vertical="center"/>
    </xf>
    <xf numFmtId="0" fontId="17" fillId="0" borderId="1" xfId="0" applyFont="1" applyBorder="1" applyAlignment="1">
      <alignment vertical="center" wrapText="1"/>
    </xf>
    <xf numFmtId="0" fontId="17" fillId="0" borderId="5" xfId="0" applyFont="1" applyBorder="1">
      <alignment vertical="center"/>
    </xf>
    <xf numFmtId="0" fontId="17" fillId="2" borderId="1" xfId="0" quotePrefix="1" applyFont="1" applyFill="1" applyBorder="1" applyAlignment="1" applyProtection="1">
      <protection locked="0"/>
    </xf>
    <xf numFmtId="0" fontId="17" fillId="2" borderId="10" xfId="0" quotePrefix="1" applyFont="1" applyFill="1" applyBorder="1" applyAlignment="1" applyProtection="1">
      <protection locked="0"/>
    </xf>
    <xf numFmtId="0" fontId="17" fillId="3" borderId="8" xfId="0" quotePrefix="1" applyFont="1" applyFill="1" applyBorder="1" applyAlignment="1" applyProtection="1">
      <protection locked="0"/>
    </xf>
    <xf numFmtId="0" fontId="17" fillId="3" borderId="10" xfId="0" quotePrefix="1" applyFont="1" applyFill="1" applyBorder="1" applyAlignment="1" applyProtection="1">
      <protection locked="0"/>
    </xf>
    <xf numFmtId="0" fontId="17" fillId="3" borderId="1" xfId="0" quotePrefix="1" applyFont="1" applyFill="1" applyBorder="1" applyAlignment="1" applyProtection="1">
      <protection locked="0"/>
    </xf>
    <xf numFmtId="0" fontId="16" fillId="5" borderId="1" xfId="0" applyFont="1" applyFill="1" applyBorder="1" applyAlignment="1">
      <alignment vertical="center" wrapText="1"/>
    </xf>
    <xf numFmtId="0" fontId="16" fillId="5" borderId="5" xfId="0" applyFont="1" applyFill="1" applyBorder="1" applyAlignment="1">
      <alignment vertical="top" wrapText="1"/>
    </xf>
    <xf numFmtId="0" fontId="16" fillId="5" borderId="10" xfId="0" applyFont="1" applyFill="1" applyBorder="1" applyAlignment="1">
      <alignment vertical="center" wrapText="1"/>
    </xf>
    <xf numFmtId="0" fontId="16" fillId="5" borderId="18" xfId="0" applyFont="1" applyFill="1" applyBorder="1" applyAlignment="1">
      <alignment vertical="center" wrapText="1"/>
    </xf>
    <xf numFmtId="0" fontId="16" fillId="5" borderId="9" xfId="0" applyFont="1" applyFill="1" applyBorder="1" applyAlignment="1">
      <alignment vertical="center" wrapText="1"/>
    </xf>
    <xf numFmtId="0" fontId="16" fillId="5" borderId="3" xfId="0" applyFont="1" applyFill="1" applyBorder="1">
      <alignment vertical="center"/>
    </xf>
    <xf numFmtId="0" fontId="16" fillId="5" borderId="10" xfId="0" applyFont="1" applyFill="1" applyBorder="1">
      <alignment vertical="center"/>
    </xf>
    <xf numFmtId="0" fontId="16" fillId="5" borderId="0" xfId="0" applyFont="1" applyFill="1">
      <alignment vertical="center"/>
    </xf>
    <xf numFmtId="0" fontId="16" fillId="5" borderId="18" xfId="0" applyFont="1" applyFill="1" applyBorder="1">
      <alignment vertical="center"/>
    </xf>
    <xf numFmtId="0" fontId="16" fillId="5" borderId="9" xfId="0" applyFont="1" applyFill="1" applyBorder="1">
      <alignment vertical="center"/>
    </xf>
    <xf numFmtId="0" fontId="12" fillId="0" borderId="0" xfId="1" applyFont="1" applyAlignment="1">
      <alignment vertical="top"/>
    </xf>
    <xf numFmtId="0" fontId="14" fillId="0" borderId="0" xfId="0" applyFont="1" applyAlignment="1">
      <alignment vertical="top"/>
    </xf>
    <xf numFmtId="0" fontId="20" fillId="0" borderId="0" xfId="3" applyAlignment="1" applyProtection="1">
      <alignment vertical="top"/>
    </xf>
    <xf numFmtId="0" fontId="17" fillId="0" borderId="0" xfId="0" applyFont="1" applyAlignment="1">
      <alignment vertical="top"/>
    </xf>
    <xf numFmtId="0" fontId="17" fillId="0" borderId="5" xfId="0" applyFont="1" applyBorder="1" applyAlignment="1">
      <alignment vertical="top"/>
    </xf>
    <xf numFmtId="0" fontId="17" fillId="0" borderId="7" xfId="0" applyFont="1" applyBorder="1" applyAlignment="1">
      <alignment vertical="top"/>
    </xf>
    <xf numFmtId="0" fontId="17" fillId="3" borderId="6" xfId="0" applyFont="1" applyFill="1" applyBorder="1" applyAlignment="1" applyProtection="1">
      <protection locked="0"/>
    </xf>
    <xf numFmtId="0" fontId="32" fillId="0" borderId="6" xfId="0" applyFont="1" applyBorder="1" applyAlignment="1" applyProtection="1">
      <protection locked="0"/>
    </xf>
    <xf numFmtId="0" fontId="17" fillId="3" borderId="7" xfId="0" applyFont="1" applyFill="1" applyBorder="1" applyAlignment="1" applyProtection="1">
      <protection locked="0"/>
    </xf>
    <xf numFmtId="0" fontId="32" fillId="0" borderId="1" xfId="0" applyFont="1" applyBorder="1" applyAlignment="1" applyProtection="1">
      <protection locked="0"/>
    </xf>
    <xf numFmtId="0" fontId="33" fillId="0" borderId="6" xfId="0" applyFont="1" applyBorder="1" applyAlignment="1" applyProtection="1">
      <protection locked="0"/>
    </xf>
    <xf numFmtId="0" fontId="33" fillId="0" borderId="1" xfId="0" applyFont="1" applyBorder="1" applyAlignment="1" applyProtection="1">
      <protection locked="0"/>
    </xf>
    <xf numFmtId="0" fontId="17" fillId="3" borderId="5" xfId="0" applyFont="1" applyFill="1" applyBorder="1" applyAlignment="1" applyProtection="1">
      <protection locked="0"/>
    </xf>
    <xf numFmtId="0" fontId="34" fillId="0" borderId="1" xfId="0" applyFont="1" applyBorder="1" applyAlignment="1" applyProtection="1">
      <protection locked="0"/>
    </xf>
    <xf numFmtId="0" fontId="17" fillId="5" borderId="10" xfId="0" applyFont="1" applyFill="1" applyBorder="1">
      <alignment vertical="center"/>
    </xf>
    <xf numFmtId="0" fontId="17" fillId="5" borderId="9" xfId="0" applyFont="1" applyFill="1" applyBorder="1">
      <alignment vertical="center"/>
    </xf>
    <xf numFmtId="0" fontId="17" fillId="3" borderId="17" xfId="0" applyFont="1" applyFill="1" applyBorder="1" applyAlignment="1" applyProtection="1">
      <protection locked="0"/>
    </xf>
    <xf numFmtId="0" fontId="17" fillId="3" borderId="12" xfId="0" applyFont="1" applyFill="1" applyBorder="1" applyAlignment="1" applyProtection="1">
      <protection locked="0"/>
    </xf>
    <xf numFmtId="0" fontId="17" fillId="3" borderId="13" xfId="0" applyFont="1" applyFill="1" applyBorder="1" applyAlignment="1" applyProtection="1">
      <protection locked="0"/>
    </xf>
    <xf numFmtId="0" fontId="31" fillId="7" borderId="1" xfId="3" applyFont="1" applyFill="1" applyBorder="1" applyProtection="1">
      <alignment vertical="center"/>
    </xf>
    <xf numFmtId="0" fontId="31" fillId="7" borderId="1" xfId="3" applyFont="1" applyFill="1" applyBorder="1">
      <alignment vertical="center"/>
    </xf>
    <xf numFmtId="0" fontId="17" fillId="3" borderId="6" xfId="0" applyFont="1" applyFill="1" applyBorder="1" applyAlignment="1" applyProtection="1">
      <alignment wrapText="1"/>
      <protection locked="0"/>
    </xf>
    <xf numFmtId="0" fontId="14" fillId="0" borderId="1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0" fontId="14" fillId="0" borderId="1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2" xfId="0" applyFont="1" applyBorder="1" applyAlignment="1">
      <alignment horizontal="center" vertical="center"/>
    </xf>
    <xf numFmtId="0" fontId="14" fillId="0" borderId="17" xfId="0" applyFont="1" applyBorder="1" applyAlignment="1">
      <alignment horizontal="center" vertical="center"/>
    </xf>
    <xf numFmtId="0" fontId="14" fillId="0" borderId="3" xfId="0" applyFont="1" applyBorder="1" applyAlignment="1">
      <alignment horizontal="center" vertical="center"/>
    </xf>
    <xf numFmtId="0" fontId="14" fillId="0" borderId="0" xfId="0" applyFont="1" applyAlignment="1">
      <alignment horizontal="center" vertical="center"/>
    </xf>
    <xf numFmtId="0" fontId="14" fillId="0" borderId="12" xfId="0" applyFont="1" applyBorder="1" applyAlignment="1">
      <alignment horizontal="center" vertical="center"/>
    </xf>
    <xf numFmtId="0" fontId="14" fillId="0" borderId="4" xfId="0" applyFont="1" applyBorder="1" applyAlignment="1">
      <alignment horizontal="center" vertical="center"/>
    </xf>
    <xf numFmtId="0" fontId="14" fillId="0" borderId="11" xfId="0" applyFont="1" applyBorder="1" applyAlignment="1">
      <alignment horizontal="center" vertical="center"/>
    </xf>
    <xf numFmtId="0" fontId="14" fillId="0" borderId="13" xfId="0" applyFont="1" applyBorder="1" applyAlignment="1">
      <alignment horizontal="center" vertical="center"/>
    </xf>
    <xf numFmtId="14" fontId="14" fillId="0" borderId="10" xfId="0" applyNumberFormat="1" applyFont="1" applyBorder="1" applyAlignment="1">
      <alignment horizontal="center" vertical="center"/>
    </xf>
    <xf numFmtId="14" fontId="14" fillId="0" borderId="18"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30" fillId="0" borderId="0" xfId="0" applyFont="1" applyAlignment="1">
      <alignment horizontal="center" vertical="center"/>
    </xf>
    <xf numFmtId="0" fontId="28" fillId="0" borderId="0" xfId="0" applyFont="1" applyAlignment="1">
      <alignment horizontal="center"/>
    </xf>
    <xf numFmtId="0" fontId="28" fillId="0" borderId="15" xfId="0" applyFont="1" applyBorder="1" applyAlignment="1">
      <alignment horizontal="center"/>
    </xf>
    <xf numFmtId="0" fontId="29" fillId="0" borderId="16" xfId="0" applyFont="1" applyBorder="1" applyAlignment="1">
      <alignment horizontal="center" vertical="center"/>
    </xf>
    <xf numFmtId="0" fontId="29" fillId="0" borderId="2" xfId="0" applyFont="1" applyBorder="1" applyAlignment="1">
      <alignment horizontal="center" vertical="center"/>
    </xf>
    <xf numFmtId="0" fontId="29" fillId="0" borderId="17" xfId="0" applyFont="1" applyBorder="1" applyAlignment="1">
      <alignment horizontal="center" vertical="center"/>
    </xf>
    <xf numFmtId="0" fontId="29" fillId="0" borderId="3" xfId="0" applyFont="1" applyBorder="1" applyAlignment="1">
      <alignment horizontal="center" vertical="center"/>
    </xf>
    <xf numFmtId="0" fontId="29" fillId="0" borderId="0" xfId="0" applyFont="1" applyAlignment="1">
      <alignment horizontal="center" vertical="center"/>
    </xf>
    <xf numFmtId="0" fontId="29" fillId="0" borderId="12" xfId="0" applyFont="1" applyBorder="1" applyAlignment="1">
      <alignment horizontal="center" vertical="center"/>
    </xf>
    <xf numFmtId="0" fontId="28" fillId="0" borderId="3" xfId="0" applyFont="1" applyBorder="1" applyAlignment="1">
      <alignment horizontal="center" vertical="center"/>
    </xf>
    <xf numFmtId="0" fontId="28" fillId="0" borderId="0" xfId="0" applyFont="1" applyAlignment="1">
      <alignment horizontal="center" vertical="center"/>
    </xf>
    <xf numFmtId="0" fontId="28" fillId="0" borderId="12" xfId="0" applyFont="1" applyBorder="1" applyAlignment="1">
      <alignment horizontal="center" vertical="center"/>
    </xf>
    <xf numFmtId="0" fontId="28" fillId="0" borderId="4" xfId="0" applyFont="1" applyBorder="1" applyAlignment="1">
      <alignment horizontal="center" vertical="center"/>
    </xf>
    <xf numFmtId="0" fontId="28" fillId="0" borderId="11" xfId="0" applyFont="1" applyBorder="1" applyAlignment="1">
      <alignment horizontal="center" vertical="center"/>
    </xf>
    <xf numFmtId="0" fontId="28" fillId="0" borderId="13" xfId="0" applyFont="1" applyBorder="1" applyAlignment="1">
      <alignment horizontal="center" vertical="center"/>
    </xf>
    <xf numFmtId="14" fontId="30" fillId="0" borderId="0" xfId="0" applyNumberFormat="1" applyFont="1" applyAlignment="1">
      <alignment horizontal="center" vertical="center"/>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5" borderId="6" xfId="0" applyFont="1" applyFill="1" applyBorder="1">
      <alignment vertical="center"/>
    </xf>
    <xf numFmtId="0" fontId="17" fillId="5" borderId="5" xfId="0" applyFont="1" applyFill="1" applyBorder="1">
      <alignment vertical="center"/>
    </xf>
    <xf numFmtId="0" fontId="17" fillId="5" borderId="1" xfId="0" applyFont="1" applyFill="1" applyBorder="1">
      <alignment vertical="center"/>
    </xf>
    <xf numFmtId="0" fontId="17" fillId="5" borderId="10" xfId="0" applyFont="1" applyFill="1" applyBorder="1">
      <alignment vertical="center"/>
    </xf>
    <xf numFmtId="0" fontId="17" fillId="3" borderId="1" xfId="0" applyFont="1" applyFill="1" applyBorder="1" applyAlignment="1" applyProtection="1">
      <alignment wrapText="1"/>
      <protection locked="0"/>
    </xf>
  </cellXfs>
  <cellStyles count="21">
    <cellStyle name="Normal 2" xfId="2" xr:uid="{00000000-0005-0000-0000-000000000000}"/>
    <cellStyle name="ハイパーリンク" xfId="3" builtinId="8"/>
    <cellStyle name="標準" xfId="0" builtinId="0"/>
    <cellStyle name="標準 2" xfId="1" xr:uid="{00000000-0005-0000-0000-000003000000}"/>
    <cellStyle name="標準 2 2" xfId="4" xr:uid="{00000000-0005-0000-0000-000004000000}"/>
    <cellStyle name="標準 2 2 2" xfId="5" xr:uid="{00000000-0005-0000-0000-000005000000}"/>
    <cellStyle name="標準 2 2 2 2" xfId="6" xr:uid="{00000000-0005-0000-0000-000006000000}"/>
    <cellStyle name="標準 2 2 2 2 2" xfId="7" xr:uid="{00000000-0005-0000-0000-000007000000}"/>
    <cellStyle name="標準 2 2 2 2 2 2" xfId="8" xr:uid="{00000000-0005-0000-0000-000008000000}"/>
    <cellStyle name="標準 2 2 2 2 2 3" xfId="9" xr:uid="{00000000-0005-0000-0000-000009000000}"/>
    <cellStyle name="標準 2 2 2 2 3" xfId="14" xr:uid="{00000000-0005-0000-0000-00000A000000}"/>
    <cellStyle name="標準 2 2 2 2 3 3" xfId="18" xr:uid="{3995D1B6-0E86-4DF7-AB8E-67513902AE46}"/>
    <cellStyle name="標準 2 2 2 3 2" xfId="16" xr:uid="{D22D9C07-B47D-4963-9D27-28E2D2DA1311}"/>
    <cellStyle name="標準 2 2 3" xfId="11" xr:uid="{00000000-0005-0000-0000-00000B000000}"/>
    <cellStyle name="標準 2 2 4" xfId="13" xr:uid="{00000000-0005-0000-0000-00000C000000}"/>
    <cellStyle name="標準 2 3" xfId="12" xr:uid="{00000000-0005-0000-0000-00000D000000}"/>
    <cellStyle name="標準 2 4" xfId="15" xr:uid="{00000000-0005-0000-0000-00000E000000}"/>
    <cellStyle name="標準 2 6" xfId="19" xr:uid="{CF0B2CE5-EFBD-4DD9-AB9F-F52F2515F7AB}"/>
    <cellStyle name="標準 2 6 2" xfId="20" xr:uid="{2DBDFF93-B29E-412F-8277-910853B0A4C6}"/>
    <cellStyle name="標準 3" xfId="10" xr:uid="{00000000-0005-0000-0000-00000F000000}"/>
    <cellStyle name="標準 3 3" xfId="17" xr:uid="{894A6CCA-F068-48DE-B08B-CDED81B554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6FF5-2D2B-4E1D-8E85-34C89CE911CE}">
  <sheetPr codeName="Sheet2">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33"/>
  </cols>
  <sheetData>
    <row r="1" spans="1:37" ht="15" customHeigh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row>
    <row r="2" spans="1:37" ht="15" customHeight="1" x14ac:dyDescent="0.35">
      <c r="A2" s="32"/>
      <c r="B2" s="32"/>
      <c r="C2" s="34"/>
      <c r="D2" s="34"/>
      <c r="E2" s="34"/>
      <c r="F2" s="34"/>
      <c r="G2" s="34"/>
      <c r="H2" s="34"/>
      <c r="I2" s="34"/>
      <c r="J2" s="34"/>
      <c r="K2" s="34"/>
      <c r="L2" s="34"/>
      <c r="M2" s="34"/>
      <c r="N2" s="34"/>
      <c r="O2" s="34"/>
      <c r="P2" s="34"/>
      <c r="Q2" s="34"/>
      <c r="R2" s="32"/>
      <c r="S2" s="32"/>
      <c r="T2" s="32"/>
      <c r="U2" s="32"/>
      <c r="V2" s="32"/>
      <c r="W2" s="32"/>
      <c r="X2" s="32"/>
      <c r="Y2" s="32"/>
      <c r="Z2" s="32"/>
      <c r="AA2" s="32"/>
      <c r="AB2" s="32"/>
      <c r="AC2" s="32"/>
      <c r="AD2" s="32"/>
      <c r="AE2" s="32"/>
      <c r="AF2" s="32"/>
      <c r="AG2" s="32"/>
      <c r="AH2" s="32"/>
      <c r="AI2" s="32"/>
      <c r="AJ2" s="32"/>
      <c r="AK2" s="32"/>
    </row>
    <row r="3" spans="1:37" ht="15" customHeight="1" x14ac:dyDescent="0.35">
      <c r="A3" s="32"/>
      <c r="B3" s="35" t="s">
        <v>320</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row>
    <row r="4" spans="1:37" ht="15" customHeight="1" x14ac:dyDescent="0.55000000000000004">
      <c r="A4" s="36"/>
      <c r="B4" s="36"/>
      <c r="C4" s="36"/>
      <c r="D4" s="36"/>
      <c r="E4" s="36"/>
      <c r="F4" s="36"/>
      <c r="G4" s="36"/>
      <c r="H4" s="36"/>
      <c r="I4" s="36"/>
      <c r="J4" s="130"/>
      <c r="K4" s="130"/>
      <c r="L4" s="130"/>
      <c r="M4" s="32"/>
      <c r="N4" s="32"/>
      <c r="O4" s="32"/>
      <c r="P4" s="32"/>
      <c r="Q4" s="32"/>
      <c r="R4" s="32"/>
      <c r="S4" s="32"/>
      <c r="T4" s="32"/>
      <c r="U4" s="32"/>
      <c r="V4" s="32"/>
      <c r="W4" s="32"/>
      <c r="X4" s="32"/>
      <c r="Y4" s="32"/>
      <c r="Z4" s="32"/>
      <c r="AA4" s="32"/>
      <c r="AB4" s="32"/>
      <c r="AC4" s="32"/>
      <c r="AD4" s="32"/>
      <c r="AE4" s="32"/>
      <c r="AF4" s="32"/>
      <c r="AG4" s="32"/>
      <c r="AH4" s="32"/>
      <c r="AI4" s="32"/>
      <c r="AJ4" s="32"/>
      <c r="AK4" s="32"/>
    </row>
    <row r="5" spans="1:37" ht="15" customHeight="1" x14ac:dyDescent="0.55000000000000004">
      <c r="A5" s="37"/>
      <c r="B5" s="37"/>
      <c r="C5" s="37"/>
      <c r="D5" s="37"/>
      <c r="E5" s="37"/>
      <c r="F5" s="37"/>
      <c r="G5" s="37"/>
      <c r="H5" s="37"/>
      <c r="I5" s="37"/>
      <c r="J5" s="131"/>
      <c r="K5" s="131"/>
      <c r="L5" s="131"/>
      <c r="M5" s="32"/>
      <c r="N5" s="32"/>
      <c r="O5" s="32"/>
      <c r="P5" s="32"/>
      <c r="Q5" s="32"/>
      <c r="R5" s="32"/>
      <c r="S5" s="32"/>
      <c r="T5" s="32"/>
      <c r="U5" s="32"/>
      <c r="V5" s="32"/>
      <c r="W5" s="32"/>
      <c r="X5" s="32"/>
      <c r="Y5" s="32"/>
      <c r="Z5" s="32"/>
      <c r="AA5" s="32"/>
      <c r="AB5" s="32"/>
      <c r="AC5" s="32"/>
      <c r="AD5" s="32"/>
      <c r="AE5" s="32"/>
      <c r="AF5" s="32"/>
      <c r="AG5" s="32"/>
      <c r="AH5" s="32"/>
      <c r="AI5" s="32"/>
      <c r="AJ5" s="32"/>
      <c r="AK5" s="32"/>
    </row>
    <row r="6" spans="1:37" ht="15" customHeight="1" x14ac:dyDescent="0.3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row>
    <row r="7" spans="1:37" ht="15" customHeight="1" x14ac:dyDescent="0.35">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row>
    <row r="8" spans="1:37" ht="15" customHeight="1" x14ac:dyDescent="0.3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spans="1:37" ht="15" customHeight="1"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row>
    <row r="10" spans="1:37" ht="15" customHeight="1" x14ac:dyDescent="0.35">
      <c r="A10" s="32"/>
      <c r="B10" s="132" t="s">
        <v>321</v>
      </c>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4"/>
      <c r="AF10" s="32"/>
      <c r="AG10" s="32"/>
      <c r="AH10" s="32"/>
      <c r="AI10" s="32"/>
      <c r="AJ10" s="32"/>
      <c r="AK10" s="32"/>
    </row>
    <row r="11" spans="1:37" ht="15" customHeight="1" x14ac:dyDescent="0.35">
      <c r="A11" s="32"/>
      <c r="B11" s="135"/>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6"/>
      <c r="AD11" s="136"/>
      <c r="AE11" s="137"/>
      <c r="AF11" s="32"/>
      <c r="AG11" s="32"/>
      <c r="AH11" s="32"/>
      <c r="AI11" s="32"/>
      <c r="AJ11" s="32"/>
      <c r="AK11" s="32"/>
    </row>
    <row r="12" spans="1:37" ht="15" customHeight="1" x14ac:dyDescent="0.35">
      <c r="A12" s="32"/>
      <c r="B12" s="135"/>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6"/>
      <c r="AD12" s="136"/>
      <c r="AE12" s="137"/>
      <c r="AF12" s="32"/>
      <c r="AG12" s="32"/>
      <c r="AH12" s="32"/>
      <c r="AI12" s="32"/>
      <c r="AJ12" s="32"/>
      <c r="AK12" s="32"/>
    </row>
    <row r="13" spans="1:37" ht="15" customHeight="1" x14ac:dyDescent="0.35">
      <c r="A13" s="32"/>
      <c r="B13" s="135"/>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7"/>
      <c r="AF13" s="32"/>
      <c r="AG13" s="32"/>
      <c r="AH13" s="32"/>
      <c r="AI13" s="32"/>
      <c r="AJ13" s="32"/>
      <c r="AK13" s="32"/>
    </row>
    <row r="14" spans="1:37" ht="15" customHeight="1" x14ac:dyDescent="0.35">
      <c r="A14" s="32"/>
      <c r="B14" s="138" t="s">
        <v>334</v>
      </c>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40"/>
      <c r="AF14" s="32"/>
      <c r="AG14" s="32"/>
      <c r="AH14" s="32"/>
      <c r="AI14" s="32"/>
      <c r="AJ14" s="32"/>
      <c r="AK14" s="32"/>
    </row>
    <row r="15" spans="1:37" ht="15" customHeight="1" x14ac:dyDescent="0.35">
      <c r="A15" s="32"/>
      <c r="B15" s="138"/>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9"/>
      <c r="AD15" s="139"/>
      <c r="AE15" s="140"/>
      <c r="AF15" s="32"/>
      <c r="AG15" s="32"/>
      <c r="AH15" s="32"/>
      <c r="AI15" s="32"/>
      <c r="AJ15" s="32"/>
      <c r="AK15" s="32"/>
    </row>
    <row r="16" spans="1:37" ht="15" customHeight="1" x14ac:dyDescent="0.35">
      <c r="A16" s="32"/>
      <c r="B16" s="141"/>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3"/>
      <c r="AF16" s="32"/>
      <c r="AG16" s="32"/>
      <c r="AH16" s="32"/>
      <c r="AI16" s="32"/>
      <c r="AJ16" s="32"/>
      <c r="AK16" s="32"/>
    </row>
    <row r="17" spans="1:37" ht="15" customHeight="1"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row>
    <row r="18" spans="1:37" ht="15" customHeight="1"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row>
    <row r="19" spans="1:37" ht="15" customHeight="1"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row>
    <row r="20" spans="1:37" ht="15" customHeight="1"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row>
    <row r="21" spans="1:37" ht="15" customHeight="1"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row>
    <row r="22" spans="1:37" ht="15" customHeight="1" x14ac:dyDescent="0.35">
      <c r="A22" s="32"/>
      <c r="B22" s="129" t="s">
        <v>308</v>
      </c>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32"/>
      <c r="AG22" s="32"/>
      <c r="AH22" s="32"/>
      <c r="AI22" s="32"/>
      <c r="AJ22" s="32"/>
      <c r="AK22" s="32"/>
    </row>
    <row r="23" spans="1:37" ht="15" customHeight="1" x14ac:dyDescent="0.35">
      <c r="A23" s="32"/>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32"/>
      <c r="AG23" s="32"/>
      <c r="AH23" s="32"/>
      <c r="AI23" s="32"/>
      <c r="AJ23" s="32"/>
      <c r="AK23" s="32"/>
    </row>
    <row r="24" spans="1:37" ht="15" customHeight="1" x14ac:dyDescent="0.35">
      <c r="A24" s="32"/>
      <c r="B24" s="144">
        <v>45637</v>
      </c>
      <c r="C24" s="144"/>
      <c r="D24" s="144"/>
      <c r="E24" s="144"/>
      <c r="F24" s="144"/>
      <c r="G24" s="144"/>
      <c r="H24" s="144"/>
      <c r="I24" s="144"/>
      <c r="J24" s="144"/>
      <c r="K24" s="144"/>
      <c r="L24" s="144"/>
      <c r="M24" s="144"/>
      <c r="N24" s="144"/>
      <c r="O24" s="144"/>
      <c r="P24" s="144"/>
      <c r="Q24" s="144"/>
      <c r="R24" s="144"/>
      <c r="S24" s="144"/>
      <c r="T24" s="144"/>
      <c r="U24" s="144"/>
      <c r="V24" s="144"/>
      <c r="W24" s="144"/>
      <c r="X24" s="144"/>
      <c r="Y24" s="144"/>
      <c r="Z24" s="144"/>
      <c r="AA24" s="144"/>
      <c r="AB24" s="144"/>
      <c r="AC24" s="144"/>
      <c r="AD24" s="144"/>
      <c r="AE24" s="144"/>
      <c r="AF24" s="32"/>
      <c r="AG24" s="32"/>
      <c r="AH24" s="32"/>
      <c r="AI24" s="32"/>
      <c r="AJ24" s="32"/>
      <c r="AK24" s="32"/>
    </row>
    <row r="25" spans="1:37" ht="15" customHeight="1" x14ac:dyDescent="0.35">
      <c r="A25" s="32"/>
      <c r="B25" s="144"/>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c r="AA25" s="144"/>
      <c r="AB25" s="144"/>
      <c r="AC25" s="144"/>
      <c r="AD25" s="144"/>
      <c r="AE25" s="144"/>
      <c r="AF25" s="32"/>
      <c r="AG25" s="32"/>
      <c r="AH25" s="32"/>
      <c r="AI25" s="32"/>
      <c r="AJ25" s="32"/>
      <c r="AK25" s="32"/>
    </row>
    <row r="26" spans="1:37" ht="15" customHeight="1" x14ac:dyDescent="0.35">
      <c r="A26" s="32"/>
      <c r="B26" s="129" t="s">
        <v>309</v>
      </c>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32"/>
      <c r="AG26" s="32"/>
      <c r="AH26" s="32"/>
      <c r="AI26" s="32"/>
      <c r="AJ26" s="32"/>
      <c r="AK26" s="32"/>
    </row>
    <row r="27" spans="1:37" ht="15" customHeight="1" x14ac:dyDescent="0.35">
      <c r="A27" s="32"/>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32"/>
      <c r="AG27" s="32"/>
      <c r="AH27" s="32"/>
      <c r="AI27" s="32"/>
      <c r="AJ27" s="32"/>
      <c r="AK27" s="32"/>
    </row>
    <row r="28" spans="1:37" ht="15" customHeight="1"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row>
    <row r="29" spans="1:37" ht="15" customHeight="1" x14ac:dyDescent="0.35">
      <c r="A29" s="32"/>
      <c r="B29" s="32"/>
      <c r="C29" s="32"/>
      <c r="D29" s="32"/>
      <c r="E29" s="32"/>
      <c r="F29" s="124" t="s">
        <v>310</v>
      </c>
      <c r="G29" s="124"/>
      <c r="H29" s="124"/>
      <c r="I29" s="124"/>
      <c r="J29" s="124"/>
      <c r="K29" s="124"/>
      <c r="L29" s="27"/>
      <c r="M29" s="27"/>
      <c r="N29" s="27"/>
      <c r="O29" s="116" t="s">
        <v>311</v>
      </c>
      <c r="P29" s="124"/>
      <c r="Q29" s="124"/>
      <c r="R29" s="124"/>
      <c r="S29" s="27"/>
      <c r="T29" s="27"/>
      <c r="U29" s="27"/>
      <c r="V29" s="32"/>
      <c r="W29" s="32"/>
      <c r="X29" s="32"/>
      <c r="Y29" s="32"/>
      <c r="Z29" s="32"/>
      <c r="AA29" s="32"/>
      <c r="AB29" s="32"/>
      <c r="AC29" s="32"/>
      <c r="AD29" s="32"/>
      <c r="AE29" s="32"/>
      <c r="AF29" s="32"/>
      <c r="AG29" s="32"/>
      <c r="AH29" s="32"/>
      <c r="AI29" s="32"/>
      <c r="AJ29" s="32"/>
      <c r="AK29" s="32"/>
    </row>
    <row r="30" spans="1:37" x14ac:dyDescent="0.35">
      <c r="A30" s="32"/>
      <c r="B30" s="32"/>
      <c r="C30" s="32"/>
      <c r="D30" s="32"/>
      <c r="E30" s="32"/>
      <c r="F30" s="126">
        <v>45637</v>
      </c>
      <c r="G30" s="127"/>
      <c r="H30" s="127"/>
      <c r="I30" s="127"/>
      <c r="J30" s="127"/>
      <c r="K30" s="127"/>
      <c r="L30" s="38"/>
      <c r="M30" s="27"/>
      <c r="N30" s="126" t="s">
        <v>312</v>
      </c>
      <c r="O30" s="127"/>
      <c r="P30" s="127"/>
      <c r="Q30" s="127"/>
      <c r="R30" s="127"/>
      <c r="S30" s="128"/>
      <c r="T30" s="27"/>
      <c r="U30" s="27"/>
      <c r="V30" s="32"/>
      <c r="W30" s="32"/>
      <c r="X30" s="32"/>
      <c r="Y30" s="32"/>
      <c r="Z30" s="32"/>
      <c r="AA30" s="32"/>
      <c r="AB30" s="32"/>
      <c r="AC30" s="32"/>
      <c r="AD30" s="32"/>
      <c r="AE30" s="32"/>
      <c r="AF30" s="32"/>
      <c r="AG30" s="32"/>
      <c r="AH30" s="32"/>
      <c r="AI30" s="32"/>
      <c r="AJ30" s="32"/>
      <c r="AK30" s="32"/>
    </row>
    <row r="31" spans="1:37" ht="15" customHeight="1" x14ac:dyDescent="0.35">
      <c r="A31" s="32"/>
      <c r="B31" s="32"/>
      <c r="C31" s="32"/>
      <c r="D31" s="32"/>
      <c r="E31" s="32"/>
      <c r="F31" s="109" t="s">
        <v>322</v>
      </c>
      <c r="G31" s="110"/>
      <c r="H31" s="110"/>
      <c r="I31" s="110"/>
      <c r="J31" s="110"/>
      <c r="K31" s="111"/>
      <c r="L31" s="38"/>
      <c r="M31" s="27"/>
      <c r="N31" s="109" t="s">
        <v>313</v>
      </c>
      <c r="O31" s="118"/>
      <c r="P31" s="118"/>
      <c r="Q31" s="118"/>
      <c r="R31" s="118"/>
      <c r="S31" s="119"/>
      <c r="T31" s="27"/>
      <c r="U31" s="27"/>
      <c r="V31" s="32"/>
      <c r="W31" s="32"/>
      <c r="X31" s="32"/>
      <c r="Y31" s="32"/>
      <c r="Z31" s="32"/>
      <c r="AA31" s="32"/>
      <c r="AB31" s="32"/>
      <c r="AC31" s="32"/>
      <c r="AD31" s="32"/>
      <c r="AE31" s="32"/>
      <c r="AF31" s="32"/>
      <c r="AG31" s="32"/>
      <c r="AH31" s="32"/>
      <c r="AI31" s="32"/>
      <c r="AJ31" s="32"/>
      <c r="AK31" s="32"/>
    </row>
    <row r="32" spans="1:37" x14ac:dyDescent="0.35">
      <c r="A32" s="32"/>
      <c r="B32" s="32"/>
      <c r="C32" s="32"/>
      <c r="D32" s="32"/>
      <c r="E32" s="32"/>
      <c r="F32" s="112"/>
      <c r="G32" s="113"/>
      <c r="H32" s="113"/>
      <c r="I32" s="113"/>
      <c r="J32" s="113"/>
      <c r="K32" s="114"/>
      <c r="L32" s="38"/>
      <c r="M32" s="27"/>
      <c r="N32" s="120"/>
      <c r="O32" s="121"/>
      <c r="P32" s="121"/>
      <c r="Q32" s="121"/>
      <c r="R32" s="121"/>
      <c r="S32" s="122"/>
      <c r="T32" s="27"/>
      <c r="U32" s="27"/>
      <c r="V32" s="32"/>
      <c r="W32" s="32"/>
      <c r="X32" s="32"/>
      <c r="Y32" s="32"/>
      <c r="Z32" s="32"/>
      <c r="AA32" s="32"/>
      <c r="AB32" s="32"/>
      <c r="AC32" s="32"/>
      <c r="AD32" s="32"/>
      <c r="AE32" s="32"/>
      <c r="AF32" s="32"/>
      <c r="AG32" s="32"/>
      <c r="AH32" s="32"/>
      <c r="AI32" s="32"/>
      <c r="AJ32" s="32"/>
      <c r="AK32" s="32"/>
    </row>
    <row r="33" spans="1:37" x14ac:dyDescent="0.35">
      <c r="A33" s="32"/>
      <c r="B33" s="32"/>
      <c r="C33" s="32"/>
      <c r="D33" s="32"/>
      <c r="E33" s="32"/>
      <c r="F33" s="112"/>
      <c r="G33" s="113"/>
      <c r="H33" s="113"/>
      <c r="I33" s="113"/>
      <c r="J33" s="113"/>
      <c r="K33" s="114"/>
      <c r="L33" s="38"/>
      <c r="M33" s="27"/>
      <c r="N33" s="120"/>
      <c r="O33" s="121"/>
      <c r="P33" s="121"/>
      <c r="Q33" s="121"/>
      <c r="R33" s="121"/>
      <c r="S33" s="122"/>
      <c r="T33" s="27"/>
      <c r="U33" s="27"/>
      <c r="V33" s="32"/>
      <c r="W33" s="32"/>
      <c r="X33" s="32"/>
      <c r="Y33" s="32"/>
      <c r="Z33" s="32"/>
      <c r="AA33" s="32"/>
      <c r="AB33" s="32"/>
      <c r="AC33" s="32"/>
      <c r="AD33" s="32"/>
      <c r="AE33" s="32"/>
      <c r="AF33" s="32"/>
      <c r="AG33" s="32"/>
      <c r="AH33" s="32"/>
      <c r="AI33" s="32"/>
      <c r="AJ33" s="32"/>
      <c r="AK33" s="32"/>
    </row>
    <row r="34" spans="1:37" x14ac:dyDescent="0.35">
      <c r="A34" s="32"/>
      <c r="B34" s="32"/>
      <c r="C34" s="32"/>
      <c r="D34" s="32"/>
      <c r="E34" s="32"/>
      <c r="F34" s="112"/>
      <c r="G34" s="113"/>
      <c r="H34" s="113"/>
      <c r="I34" s="113"/>
      <c r="J34" s="113"/>
      <c r="K34" s="114"/>
      <c r="L34" s="38"/>
      <c r="M34" s="27"/>
      <c r="N34" s="120"/>
      <c r="O34" s="121"/>
      <c r="P34" s="121"/>
      <c r="Q34" s="121"/>
      <c r="R34" s="121"/>
      <c r="S34" s="122"/>
      <c r="T34" s="27"/>
      <c r="U34" s="27"/>
      <c r="V34" s="32"/>
      <c r="W34" s="32"/>
      <c r="X34" s="32"/>
      <c r="Y34" s="32"/>
      <c r="Z34" s="32"/>
      <c r="AA34" s="32"/>
      <c r="AB34" s="32"/>
      <c r="AC34" s="32"/>
      <c r="AD34" s="32"/>
      <c r="AE34" s="32"/>
      <c r="AF34" s="32"/>
      <c r="AG34" s="32"/>
      <c r="AH34" s="32"/>
      <c r="AI34" s="32"/>
      <c r="AJ34" s="32"/>
      <c r="AK34" s="32"/>
    </row>
    <row r="35" spans="1:37" x14ac:dyDescent="0.35">
      <c r="A35" s="32"/>
      <c r="B35" s="32"/>
      <c r="C35" s="32"/>
      <c r="D35" s="32"/>
      <c r="E35" s="32"/>
      <c r="F35" s="115"/>
      <c r="G35" s="116"/>
      <c r="H35" s="116"/>
      <c r="I35" s="116"/>
      <c r="J35" s="116"/>
      <c r="K35" s="117"/>
      <c r="L35" s="38"/>
      <c r="M35" s="27"/>
      <c r="N35" s="123"/>
      <c r="O35" s="124"/>
      <c r="P35" s="124"/>
      <c r="Q35" s="124"/>
      <c r="R35" s="124"/>
      <c r="S35" s="125"/>
      <c r="T35" s="27"/>
      <c r="U35" s="27"/>
      <c r="V35" s="32"/>
      <c r="W35" s="32"/>
      <c r="X35" s="32"/>
      <c r="Y35" s="32"/>
      <c r="Z35" s="32"/>
      <c r="AA35" s="32"/>
      <c r="AB35" s="32"/>
      <c r="AC35" s="32"/>
      <c r="AD35" s="32"/>
      <c r="AE35" s="32"/>
      <c r="AF35" s="32"/>
      <c r="AG35" s="32"/>
      <c r="AH35" s="32"/>
      <c r="AI35" s="32"/>
      <c r="AJ35" s="32"/>
      <c r="AK35" s="32"/>
    </row>
    <row r="36" spans="1:37" ht="15" customHeight="1"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row>
    <row r="37" spans="1:37" ht="15" customHeight="1"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I17"/>
  <sheetViews>
    <sheetView showGridLines="0" zoomScaleNormal="100" zoomScaleSheetLayoutView="80" workbookViewId="0">
      <pane ySplit="3" topLeftCell="A4" activePane="bottomLeft" state="frozen"/>
      <selection pane="bottomLeft"/>
    </sheetView>
  </sheetViews>
  <sheetFormatPr defaultColWidth="8.78515625" defaultRowHeight="15" x14ac:dyDescent="0.35"/>
  <cols>
    <col min="1" max="1" width="2.78515625" style="27" customWidth="1"/>
    <col min="2" max="2" width="3.78515625" style="27" bestFit="1" customWidth="1"/>
    <col min="3" max="3" width="16" style="27" bestFit="1" customWidth="1"/>
    <col min="4" max="4" width="12.0703125" style="39" bestFit="1" customWidth="1"/>
    <col min="5" max="5" width="24.42578125" style="27" bestFit="1" customWidth="1"/>
    <col min="6" max="7" width="12.140625" style="54" bestFit="1" customWidth="1"/>
    <col min="8" max="8" width="57.2109375" style="27" bestFit="1" customWidth="1"/>
    <col min="9" max="9" width="59.2109375" style="27" customWidth="1"/>
    <col min="10" max="16384" width="8.78515625" style="27"/>
  </cols>
  <sheetData>
    <row r="1" spans="1:9" ht="19.5" x14ac:dyDescent="0.35">
      <c r="A1" s="28" t="s">
        <v>314</v>
      </c>
    </row>
    <row r="2" spans="1:9" x14ac:dyDescent="0.35">
      <c r="C2" s="41"/>
      <c r="D2" s="42"/>
    </row>
    <row r="3" spans="1:9" x14ac:dyDescent="0.35">
      <c r="B3" s="43" t="s">
        <v>0</v>
      </c>
      <c r="C3" s="43" t="s">
        <v>1</v>
      </c>
      <c r="D3" s="44" t="s">
        <v>261</v>
      </c>
      <c r="E3" s="43" t="s">
        <v>2</v>
      </c>
      <c r="F3" s="55" t="s">
        <v>316</v>
      </c>
      <c r="G3" s="55" t="s">
        <v>317</v>
      </c>
      <c r="H3" s="43" t="s">
        <v>3</v>
      </c>
      <c r="I3" s="43" t="s">
        <v>4</v>
      </c>
    </row>
    <row r="4" spans="1:9" ht="30" x14ac:dyDescent="0.35">
      <c r="B4" s="45">
        <f t="shared" ref="B4:B8" si="0">ROW()-3</f>
        <v>1</v>
      </c>
      <c r="C4" s="45" t="s">
        <v>98</v>
      </c>
      <c r="D4" s="46" t="s">
        <v>262</v>
      </c>
      <c r="E4" s="47" t="s">
        <v>96</v>
      </c>
      <c r="F4" s="56" t="s">
        <v>330</v>
      </c>
      <c r="G4" s="57">
        <v>45637</v>
      </c>
      <c r="H4" s="48" t="s">
        <v>99</v>
      </c>
      <c r="I4" s="48" t="s">
        <v>300</v>
      </c>
    </row>
    <row r="5" spans="1:9" x14ac:dyDescent="0.35">
      <c r="B5" s="49">
        <f t="shared" si="0"/>
        <v>2</v>
      </c>
      <c r="C5" s="49" t="s">
        <v>98</v>
      </c>
      <c r="D5" s="50" t="s">
        <v>262</v>
      </c>
      <c r="E5" s="59" t="s">
        <v>149</v>
      </c>
      <c r="F5" s="58"/>
      <c r="G5" s="58"/>
      <c r="H5" s="51" t="s">
        <v>318</v>
      </c>
      <c r="I5" s="51" t="s">
        <v>318</v>
      </c>
    </row>
    <row r="6" spans="1:9" ht="45" x14ac:dyDescent="0.35">
      <c r="B6" s="49">
        <f t="shared" si="0"/>
        <v>3</v>
      </c>
      <c r="C6" s="49" t="s">
        <v>98</v>
      </c>
      <c r="D6" s="50" t="s">
        <v>262</v>
      </c>
      <c r="E6" s="106" t="s">
        <v>156</v>
      </c>
      <c r="F6" s="58"/>
      <c r="G6" s="58"/>
      <c r="H6" s="51" t="s">
        <v>331</v>
      </c>
      <c r="I6" s="51" t="s">
        <v>301</v>
      </c>
    </row>
    <row r="7" spans="1:9" ht="45" x14ac:dyDescent="0.35">
      <c r="B7" s="49">
        <f t="shared" si="0"/>
        <v>4</v>
      </c>
      <c r="C7" s="49" t="s">
        <v>98</v>
      </c>
      <c r="D7" s="50" t="s">
        <v>262</v>
      </c>
      <c r="E7" s="107" t="s">
        <v>175</v>
      </c>
      <c r="F7" s="58"/>
      <c r="G7" s="58"/>
      <c r="H7" s="51" t="s">
        <v>332</v>
      </c>
      <c r="I7" s="51" t="s">
        <v>302</v>
      </c>
    </row>
    <row r="8" spans="1:9" ht="30" x14ac:dyDescent="0.35">
      <c r="B8" s="45">
        <f t="shared" si="0"/>
        <v>5</v>
      </c>
      <c r="C8" s="45" t="s">
        <v>98</v>
      </c>
      <c r="D8" s="53" t="s">
        <v>262</v>
      </c>
      <c r="E8" s="47" t="s">
        <v>240</v>
      </c>
      <c r="F8" s="56" t="s">
        <v>330</v>
      </c>
      <c r="G8" s="57">
        <v>45637</v>
      </c>
      <c r="H8" s="48" t="s">
        <v>299</v>
      </c>
      <c r="I8" s="48" t="s">
        <v>303</v>
      </c>
    </row>
    <row r="9" spans="1:9" x14ac:dyDescent="0.35">
      <c r="F9" s="27"/>
      <c r="G9" s="27"/>
    </row>
    <row r="10" spans="1:9" x14ac:dyDescent="0.35">
      <c r="F10" s="27"/>
      <c r="G10" s="27"/>
    </row>
    <row r="11" spans="1:9" x14ac:dyDescent="0.35">
      <c r="F11" s="27"/>
      <c r="G11" s="27"/>
    </row>
    <row r="12" spans="1:9" x14ac:dyDescent="0.35">
      <c r="F12" s="27"/>
      <c r="G12" s="27"/>
    </row>
    <row r="13" spans="1:9" x14ac:dyDescent="0.35">
      <c r="F13" s="27"/>
      <c r="G13" s="27"/>
    </row>
    <row r="14" spans="1:9" x14ac:dyDescent="0.35">
      <c r="F14" s="27"/>
      <c r="G14" s="27"/>
    </row>
    <row r="15" spans="1:9" x14ac:dyDescent="0.35">
      <c r="F15" s="27"/>
      <c r="G15" s="27"/>
    </row>
    <row r="16" spans="1:9" x14ac:dyDescent="0.35">
      <c r="F16" s="27"/>
      <c r="G16" s="27"/>
    </row>
    <row r="17" spans="6:7" x14ac:dyDescent="0.35">
      <c r="F17" s="27"/>
      <c r="G17" s="27"/>
    </row>
  </sheetData>
  <phoneticPr fontId="10"/>
  <dataValidations count="1">
    <dataValidation type="list" allowBlank="1" showInputMessage="1" showErrorMessage="1" sqref="D4:D8" xr:uid="{45D7C738-B26D-412E-AA75-A9B37EE2BD20}">
      <formula1>"共通,個別"</formula1>
    </dataValidation>
  </dataValidations>
  <hyperlinks>
    <hyperlink ref="E4" location="与信および回収のパラメーター!A1" display="与信および回収のパラメーター" xr:uid="{00000000-0004-0000-0100-000000000000}"/>
    <hyperlink ref="E6" location="与信管理の理由!A1" display="与信管理の理由" xr:uid="{990179E5-0AD9-4165-9987-1B18AA9725A5}"/>
    <hyperlink ref="E8" location="エイジング期間の定義!A1" display="エイジング期間の定義" xr:uid="{053E7FA1-3203-41F2-8A8A-6060B9E04277}"/>
    <hyperlink ref="E7" location="ブロックのルール!A1" display="ブロックのルール" xr:uid="{02390FE2-963C-42D4-8EE3-6571BEF32C1E}"/>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3"/>
  <dimension ref="A1:L6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62" customWidth="1"/>
    <col min="2" max="2" width="4"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3" customWidth="1"/>
    <col min="12" max="12" width="24" style="62" customWidth="1"/>
    <col min="13" max="16384" width="8.78515625" style="62"/>
  </cols>
  <sheetData>
    <row r="1" spans="1:12" s="27" customFormat="1" ht="19.5" x14ac:dyDescent="0.35">
      <c r="A1" s="1" t="s">
        <v>96</v>
      </c>
      <c r="K1" s="40"/>
    </row>
    <row r="2" spans="1:12" s="27" customFormat="1" ht="15" x14ac:dyDescent="0.35">
      <c r="B2" s="27" t="s">
        <v>97</v>
      </c>
      <c r="K2" s="40"/>
    </row>
    <row r="3" spans="1:12" s="27" customFormat="1" ht="15" x14ac:dyDescent="0.35">
      <c r="B3" s="27" t="s">
        <v>304</v>
      </c>
      <c r="K3" s="40"/>
      <c r="L3" s="40"/>
    </row>
    <row r="4" spans="1:12" s="27" customFormat="1" ht="15" x14ac:dyDescent="0.35">
      <c r="A4" s="52" t="s">
        <v>315</v>
      </c>
      <c r="K4" s="40"/>
      <c r="L4" s="40"/>
    </row>
    <row r="5" spans="1:12" x14ac:dyDescent="0.35">
      <c r="B5" s="8" t="s">
        <v>5</v>
      </c>
      <c r="C5" s="8" t="s">
        <v>10</v>
      </c>
      <c r="D5" s="8" t="s">
        <v>11</v>
      </c>
      <c r="E5" s="8" t="s">
        <v>12</v>
      </c>
      <c r="F5" s="13" t="s">
        <v>13</v>
      </c>
      <c r="G5" s="13" t="s">
        <v>14</v>
      </c>
      <c r="H5" s="8" t="s">
        <v>15</v>
      </c>
      <c r="I5" s="8" t="s">
        <v>16</v>
      </c>
      <c r="J5" s="8" t="s">
        <v>17</v>
      </c>
      <c r="K5" s="25" t="s">
        <v>18</v>
      </c>
      <c r="L5" s="9" t="s">
        <v>19</v>
      </c>
    </row>
    <row r="6" spans="1:12" ht="27" x14ac:dyDescent="0.35">
      <c r="B6" s="14">
        <f>ROW() - 5</f>
        <v>1</v>
      </c>
      <c r="C6" s="10" t="s">
        <v>100</v>
      </c>
      <c r="D6" s="10" t="s">
        <v>101</v>
      </c>
      <c r="E6" s="61" t="s">
        <v>33</v>
      </c>
      <c r="F6" s="18" t="s">
        <v>34</v>
      </c>
      <c r="G6" s="18"/>
      <c r="H6" s="17" t="s">
        <v>35</v>
      </c>
      <c r="I6" s="18" t="s">
        <v>36</v>
      </c>
      <c r="J6" s="18"/>
      <c r="K6" s="7" t="s">
        <v>36</v>
      </c>
      <c r="L6" s="2"/>
    </row>
    <row r="7" spans="1:12" ht="27" x14ac:dyDescent="0.35">
      <c r="B7" s="14">
        <f t="shared" ref="B7:B63" si="0">ROW() - 5</f>
        <v>2</v>
      </c>
      <c r="C7" s="11"/>
      <c r="D7" s="11"/>
      <c r="E7" s="61"/>
      <c r="F7" s="18" t="s">
        <v>37</v>
      </c>
      <c r="G7" s="18"/>
      <c r="H7" s="17" t="s">
        <v>20</v>
      </c>
      <c r="I7" s="18" t="s">
        <v>21</v>
      </c>
      <c r="J7" s="18"/>
      <c r="K7" s="7" t="s">
        <v>323</v>
      </c>
      <c r="L7" s="2"/>
    </row>
    <row r="8" spans="1:12" ht="27" x14ac:dyDescent="0.35">
      <c r="B8" s="14">
        <f t="shared" si="0"/>
        <v>3</v>
      </c>
      <c r="C8" s="11"/>
      <c r="D8" s="11"/>
      <c r="E8" s="61"/>
      <c r="F8" s="18" t="s">
        <v>38</v>
      </c>
      <c r="G8" s="18"/>
      <c r="H8" s="17" t="s">
        <v>20</v>
      </c>
      <c r="I8" s="18" t="s">
        <v>21</v>
      </c>
      <c r="J8" s="18"/>
      <c r="K8" s="7" t="s">
        <v>323</v>
      </c>
      <c r="L8" s="2"/>
    </row>
    <row r="9" spans="1:12" ht="27" x14ac:dyDescent="0.35">
      <c r="B9" s="14">
        <f t="shared" si="0"/>
        <v>4</v>
      </c>
      <c r="C9" s="11"/>
      <c r="D9" s="11"/>
      <c r="E9" s="61"/>
      <c r="F9" s="18" t="s">
        <v>39</v>
      </c>
      <c r="G9" s="18"/>
      <c r="H9" s="17" t="s">
        <v>40</v>
      </c>
      <c r="I9" s="18" t="s">
        <v>41</v>
      </c>
      <c r="J9" s="18"/>
      <c r="K9" s="7" t="s">
        <v>41</v>
      </c>
      <c r="L9" s="2"/>
    </row>
    <row r="10" spans="1:12" ht="15" customHeight="1" x14ac:dyDescent="0.35">
      <c r="B10" s="14">
        <f t="shared" si="0"/>
        <v>5</v>
      </c>
      <c r="C10" s="11"/>
      <c r="D10" s="11"/>
      <c r="E10" s="145" t="s">
        <v>42</v>
      </c>
      <c r="F10" s="18" t="s">
        <v>43</v>
      </c>
      <c r="G10" s="18"/>
      <c r="H10" s="18" t="s">
        <v>263</v>
      </c>
      <c r="I10" s="18" t="s">
        <v>22</v>
      </c>
      <c r="J10" s="18"/>
      <c r="K10" s="7" t="s">
        <v>22</v>
      </c>
      <c r="L10" s="2"/>
    </row>
    <row r="11" spans="1:12" ht="121.5" x14ac:dyDescent="0.35">
      <c r="B11" s="14">
        <f t="shared" si="0"/>
        <v>6</v>
      </c>
      <c r="C11" s="11"/>
      <c r="D11" s="11"/>
      <c r="E11" s="146"/>
      <c r="F11" s="18" t="s">
        <v>44</v>
      </c>
      <c r="G11" s="18" t="s">
        <v>158</v>
      </c>
      <c r="H11" s="17" t="s">
        <v>26</v>
      </c>
      <c r="I11" s="18" t="s">
        <v>22</v>
      </c>
      <c r="J11" s="18"/>
      <c r="K11" s="7" t="s">
        <v>22</v>
      </c>
      <c r="L11" s="2"/>
    </row>
    <row r="12" spans="1:12" ht="67.5" x14ac:dyDescent="0.35">
      <c r="B12" s="14">
        <f t="shared" si="0"/>
        <v>7</v>
      </c>
      <c r="C12" s="11"/>
      <c r="D12" s="11"/>
      <c r="E12" s="60" t="s">
        <v>45</v>
      </c>
      <c r="F12" s="18" t="s">
        <v>46</v>
      </c>
      <c r="G12" s="18"/>
      <c r="H12" s="17" t="s">
        <v>159</v>
      </c>
      <c r="I12" s="18" t="s">
        <v>47</v>
      </c>
      <c r="J12" s="18"/>
      <c r="K12" s="7" t="s">
        <v>47</v>
      </c>
      <c r="L12" s="2"/>
    </row>
    <row r="13" spans="1:12" ht="27" x14ac:dyDescent="0.35">
      <c r="B13" s="14">
        <f t="shared" si="0"/>
        <v>8</v>
      </c>
      <c r="C13" s="11"/>
      <c r="D13" s="11"/>
      <c r="E13" s="61"/>
      <c r="F13" s="18" t="s">
        <v>48</v>
      </c>
      <c r="G13" s="18"/>
      <c r="H13" s="17" t="s">
        <v>49</v>
      </c>
      <c r="I13" s="18" t="s">
        <v>50</v>
      </c>
      <c r="J13" s="18"/>
      <c r="K13" s="7" t="s">
        <v>324</v>
      </c>
      <c r="L13" s="2"/>
    </row>
    <row r="14" spans="1:12" ht="27" x14ac:dyDescent="0.35">
      <c r="B14" s="14">
        <f t="shared" si="0"/>
        <v>9</v>
      </c>
      <c r="C14" s="11"/>
      <c r="D14" s="11"/>
      <c r="E14" s="61"/>
      <c r="F14" s="18" t="s">
        <v>51</v>
      </c>
      <c r="G14" s="18"/>
      <c r="H14" s="17" t="s">
        <v>26</v>
      </c>
      <c r="I14" s="20" t="s">
        <v>25</v>
      </c>
      <c r="J14" s="18"/>
      <c r="K14" s="26" t="s">
        <v>325</v>
      </c>
      <c r="L14" s="2"/>
    </row>
    <row r="15" spans="1:12" ht="27" x14ac:dyDescent="0.35">
      <c r="B15" s="14">
        <f t="shared" si="0"/>
        <v>10</v>
      </c>
      <c r="C15" s="11"/>
      <c r="D15" s="11"/>
      <c r="E15" s="61"/>
      <c r="F15" s="18" t="s">
        <v>52</v>
      </c>
      <c r="G15" s="18"/>
      <c r="H15" s="17" t="s">
        <v>26</v>
      </c>
      <c r="I15" s="20" t="s">
        <v>25</v>
      </c>
      <c r="J15" s="18"/>
      <c r="K15" s="26" t="s">
        <v>325</v>
      </c>
      <c r="L15" s="2"/>
    </row>
    <row r="16" spans="1:12" x14ac:dyDescent="0.35">
      <c r="B16" s="14">
        <f t="shared" si="0"/>
        <v>11</v>
      </c>
      <c r="C16" s="11"/>
      <c r="D16" s="11"/>
      <c r="E16" s="60" t="s">
        <v>53</v>
      </c>
      <c r="F16" s="16" t="s">
        <v>54</v>
      </c>
      <c r="G16" s="16"/>
      <c r="H16" s="16" t="s">
        <v>264</v>
      </c>
      <c r="I16" s="16" t="s">
        <v>22</v>
      </c>
      <c r="J16" s="18"/>
      <c r="K16" s="7" t="s">
        <v>22</v>
      </c>
      <c r="L16" s="2"/>
    </row>
    <row r="17" spans="2:12" x14ac:dyDescent="0.35">
      <c r="B17" s="14">
        <f t="shared" si="0"/>
        <v>12</v>
      </c>
      <c r="C17" s="11"/>
      <c r="D17" s="11"/>
      <c r="E17" s="61"/>
      <c r="F17" s="16" t="s">
        <v>55</v>
      </c>
      <c r="G17" s="16"/>
      <c r="H17" s="15" t="s">
        <v>20</v>
      </c>
      <c r="I17" s="16" t="s">
        <v>21</v>
      </c>
      <c r="J17" s="18"/>
      <c r="K17" s="7" t="s">
        <v>94</v>
      </c>
      <c r="L17" s="2"/>
    </row>
    <row r="18" spans="2:12" x14ac:dyDescent="0.35">
      <c r="B18" s="14">
        <f t="shared" si="0"/>
        <v>13</v>
      </c>
      <c r="C18" s="11"/>
      <c r="D18" s="11"/>
      <c r="E18" s="61"/>
      <c r="F18" s="16" t="s">
        <v>56</v>
      </c>
      <c r="G18" s="16"/>
      <c r="H18" s="15"/>
      <c r="I18" s="16" t="s">
        <v>22</v>
      </c>
      <c r="J18" s="18"/>
      <c r="K18" s="7" t="s">
        <v>22</v>
      </c>
      <c r="L18" s="2"/>
    </row>
    <row r="19" spans="2:12" x14ac:dyDescent="0.35">
      <c r="B19" s="14">
        <f t="shared" si="0"/>
        <v>14</v>
      </c>
      <c r="C19" s="11"/>
      <c r="D19" s="11"/>
      <c r="E19" s="60" t="s">
        <v>57</v>
      </c>
      <c r="F19" s="18" t="s">
        <v>58</v>
      </c>
      <c r="G19" s="18"/>
      <c r="H19" s="18" t="s">
        <v>265</v>
      </c>
      <c r="I19" s="18" t="s">
        <v>22</v>
      </c>
      <c r="J19" s="18"/>
      <c r="K19" s="7" t="s">
        <v>22</v>
      </c>
      <c r="L19" s="2"/>
    </row>
    <row r="20" spans="2:12" x14ac:dyDescent="0.35">
      <c r="B20" s="14">
        <f t="shared" si="0"/>
        <v>15</v>
      </c>
      <c r="C20" s="11"/>
      <c r="D20" s="11"/>
      <c r="E20" s="61"/>
      <c r="F20" s="18" t="s">
        <v>59</v>
      </c>
      <c r="G20" s="18" t="s">
        <v>32</v>
      </c>
      <c r="H20" s="18" t="s">
        <v>266</v>
      </c>
      <c r="I20" s="18" t="s">
        <v>22</v>
      </c>
      <c r="J20" s="18"/>
      <c r="K20" s="7" t="s">
        <v>22</v>
      </c>
      <c r="L20" s="2"/>
    </row>
    <row r="21" spans="2:12" ht="40.5" x14ac:dyDescent="0.35">
      <c r="B21" s="14">
        <f t="shared" si="0"/>
        <v>16</v>
      </c>
      <c r="C21" s="11"/>
      <c r="D21" s="11"/>
      <c r="E21" s="61"/>
      <c r="F21" s="18" t="s">
        <v>160</v>
      </c>
      <c r="G21" s="18" t="s">
        <v>60</v>
      </c>
      <c r="H21" s="17" t="s">
        <v>26</v>
      </c>
      <c r="I21" s="20" t="s">
        <v>25</v>
      </c>
      <c r="J21" s="18"/>
      <c r="K21" s="26" t="s">
        <v>325</v>
      </c>
      <c r="L21" s="2"/>
    </row>
    <row r="22" spans="2:12" ht="27" x14ac:dyDescent="0.35">
      <c r="B22" s="14">
        <f t="shared" si="0"/>
        <v>17</v>
      </c>
      <c r="C22" s="11"/>
      <c r="D22" s="11"/>
      <c r="E22" s="60" t="s">
        <v>61</v>
      </c>
      <c r="F22" s="18" t="s">
        <v>62</v>
      </c>
      <c r="G22" s="18"/>
      <c r="H22" s="18" t="s">
        <v>267</v>
      </c>
      <c r="I22" s="18" t="s">
        <v>22</v>
      </c>
      <c r="J22" s="18"/>
      <c r="K22" s="7" t="s">
        <v>22</v>
      </c>
      <c r="L22" s="2"/>
    </row>
    <row r="23" spans="2:12" x14ac:dyDescent="0.35">
      <c r="B23" s="14">
        <f t="shared" si="0"/>
        <v>18</v>
      </c>
      <c r="C23" s="11"/>
      <c r="D23" s="11"/>
      <c r="E23" s="61"/>
      <c r="F23" s="18" t="s">
        <v>63</v>
      </c>
      <c r="G23" s="18"/>
      <c r="H23" s="18" t="s">
        <v>267</v>
      </c>
      <c r="I23" s="18" t="s">
        <v>22</v>
      </c>
      <c r="J23" s="18"/>
      <c r="K23" s="7" t="s">
        <v>22</v>
      </c>
      <c r="L23" s="2"/>
    </row>
    <row r="24" spans="2:12" x14ac:dyDescent="0.35">
      <c r="B24" s="14">
        <f t="shared" si="0"/>
        <v>19</v>
      </c>
      <c r="C24" s="12"/>
      <c r="D24" s="12"/>
      <c r="E24" s="19"/>
      <c r="F24" s="18" t="s">
        <v>64</v>
      </c>
      <c r="G24" s="18"/>
      <c r="H24" s="18" t="s">
        <v>267</v>
      </c>
      <c r="I24" s="18" t="s">
        <v>22</v>
      </c>
      <c r="J24" s="18"/>
      <c r="K24" s="7" t="s">
        <v>22</v>
      </c>
      <c r="L24" s="2"/>
    </row>
    <row r="25" spans="2:12" ht="27" x14ac:dyDescent="0.35">
      <c r="B25" s="14">
        <f t="shared" si="0"/>
        <v>20</v>
      </c>
      <c r="C25" s="11" t="s">
        <v>103</v>
      </c>
      <c r="D25" s="11" t="s">
        <v>104</v>
      </c>
      <c r="E25" s="11" t="s">
        <v>105</v>
      </c>
      <c r="F25" s="15" t="s">
        <v>106</v>
      </c>
      <c r="G25" s="15"/>
      <c r="H25" s="15" t="s">
        <v>102</v>
      </c>
      <c r="I25" s="16" t="s">
        <v>94</v>
      </c>
      <c r="J25" s="16"/>
      <c r="K25" s="7" t="s">
        <v>94</v>
      </c>
      <c r="L25" s="3"/>
    </row>
    <row r="26" spans="2:12" x14ac:dyDescent="0.35">
      <c r="B26" s="14">
        <f t="shared" si="0"/>
        <v>21</v>
      </c>
      <c r="C26" s="11"/>
      <c r="D26" s="11"/>
      <c r="E26" s="11"/>
      <c r="F26" s="15" t="s">
        <v>107</v>
      </c>
      <c r="G26" s="15"/>
      <c r="H26" s="15" t="s">
        <v>268</v>
      </c>
      <c r="I26" s="22" t="s">
        <v>23</v>
      </c>
      <c r="J26" s="16"/>
      <c r="K26" s="26" t="s">
        <v>22</v>
      </c>
      <c r="L26" s="3"/>
    </row>
    <row r="27" spans="2:12" ht="27" x14ac:dyDescent="0.35">
      <c r="B27" s="14">
        <f t="shared" si="0"/>
        <v>22</v>
      </c>
      <c r="C27" s="11"/>
      <c r="D27" s="11"/>
      <c r="E27" s="11"/>
      <c r="F27" s="15" t="s">
        <v>108</v>
      </c>
      <c r="G27" s="15"/>
      <c r="H27" s="18" t="s">
        <v>102</v>
      </c>
      <c r="I27" s="16" t="s">
        <v>94</v>
      </c>
      <c r="J27" s="16"/>
      <c r="K27" s="7" t="s">
        <v>94</v>
      </c>
      <c r="L27" s="3"/>
    </row>
    <row r="28" spans="2:12" ht="27" x14ac:dyDescent="0.35">
      <c r="B28" s="14">
        <f t="shared" si="0"/>
        <v>23</v>
      </c>
      <c r="C28" s="11"/>
      <c r="D28" s="11"/>
      <c r="E28" s="11"/>
      <c r="F28" s="15" t="s">
        <v>109</v>
      </c>
      <c r="G28" s="15"/>
      <c r="H28" s="15" t="s">
        <v>102</v>
      </c>
      <c r="I28" s="22" t="s">
        <v>94</v>
      </c>
      <c r="J28" s="16"/>
      <c r="K28" s="26" t="s">
        <v>94</v>
      </c>
      <c r="L28" s="3"/>
    </row>
    <row r="29" spans="2:12" ht="27" x14ac:dyDescent="0.35">
      <c r="B29" s="14">
        <f t="shared" si="0"/>
        <v>24</v>
      </c>
      <c r="C29" s="11"/>
      <c r="D29" s="11"/>
      <c r="E29" s="11"/>
      <c r="F29" s="15" t="s">
        <v>110</v>
      </c>
      <c r="G29" s="15"/>
      <c r="H29" s="15" t="s">
        <v>102</v>
      </c>
      <c r="I29" s="16" t="s">
        <v>94</v>
      </c>
      <c r="J29" s="16"/>
      <c r="K29" s="7" t="s">
        <v>94</v>
      </c>
      <c r="L29" s="3"/>
    </row>
    <row r="30" spans="2:12" x14ac:dyDescent="0.35">
      <c r="B30" s="14">
        <f t="shared" si="0"/>
        <v>25</v>
      </c>
      <c r="C30" s="11"/>
      <c r="D30" s="11"/>
      <c r="E30" s="11"/>
      <c r="F30" s="15" t="s">
        <v>111</v>
      </c>
      <c r="G30" s="15"/>
      <c r="H30" s="18" t="s">
        <v>268</v>
      </c>
      <c r="I30" s="16" t="s">
        <v>22</v>
      </c>
      <c r="J30" s="16"/>
      <c r="K30" s="7" t="s">
        <v>22</v>
      </c>
      <c r="L30" s="3"/>
    </row>
    <row r="31" spans="2:12" ht="27" x14ac:dyDescent="0.35">
      <c r="B31" s="14">
        <f t="shared" si="0"/>
        <v>26</v>
      </c>
      <c r="C31" s="11"/>
      <c r="D31" s="11"/>
      <c r="E31" s="11"/>
      <c r="F31" s="15" t="s">
        <v>112</v>
      </c>
      <c r="G31" s="15" t="s">
        <v>161</v>
      </c>
      <c r="H31" s="15" t="s">
        <v>102</v>
      </c>
      <c r="I31" s="22" t="s">
        <v>94</v>
      </c>
      <c r="J31" s="16"/>
      <c r="K31" s="26" t="s">
        <v>94</v>
      </c>
      <c r="L31" s="3"/>
    </row>
    <row r="32" spans="2:12" ht="27" x14ac:dyDescent="0.35">
      <c r="B32" s="14">
        <f t="shared" si="0"/>
        <v>27</v>
      </c>
      <c r="C32" s="11"/>
      <c r="D32" s="11"/>
      <c r="E32" s="11"/>
      <c r="F32" s="15" t="s">
        <v>113</v>
      </c>
      <c r="G32" s="15"/>
      <c r="H32" s="15" t="s">
        <v>102</v>
      </c>
      <c r="I32" s="22" t="s">
        <v>94</v>
      </c>
      <c r="J32" s="16"/>
      <c r="K32" s="26" t="s">
        <v>94</v>
      </c>
      <c r="L32" s="3"/>
    </row>
    <row r="33" spans="2:12" ht="40.5" x14ac:dyDescent="0.35">
      <c r="B33" s="14">
        <f t="shared" si="0"/>
        <v>28</v>
      </c>
      <c r="C33" s="11"/>
      <c r="D33" s="11"/>
      <c r="E33" s="11"/>
      <c r="F33" s="15" t="s">
        <v>114</v>
      </c>
      <c r="G33" s="15" t="s">
        <v>162</v>
      </c>
      <c r="H33" s="15" t="s">
        <v>102</v>
      </c>
      <c r="I33" s="22" t="s">
        <v>94</v>
      </c>
      <c r="J33" s="16"/>
      <c r="K33" s="26" t="s">
        <v>94</v>
      </c>
      <c r="L33" s="3"/>
    </row>
    <row r="34" spans="2:12" ht="27" x14ac:dyDescent="0.35">
      <c r="B34" s="14">
        <f t="shared" si="0"/>
        <v>29</v>
      </c>
      <c r="C34" s="11"/>
      <c r="D34" s="11"/>
      <c r="E34" s="11"/>
      <c r="F34" s="15" t="s">
        <v>164</v>
      </c>
      <c r="G34" s="15"/>
      <c r="H34" s="15" t="s">
        <v>102</v>
      </c>
      <c r="I34" s="22" t="s">
        <v>94</v>
      </c>
      <c r="J34" s="16"/>
      <c r="K34" s="26" t="s">
        <v>94</v>
      </c>
      <c r="L34" s="3"/>
    </row>
    <row r="35" spans="2:12" ht="27" x14ac:dyDescent="0.35">
      <c r="B35" s="14">
        <f t="shared" si="0"/>
        <v>30</v>
      </c>
      <c r="C35" s="11"/>
      <c r="D35" s="11"/>
      <c r="E35" s="11"/>
      <c r="F35" s="15" t="s">
        <v>165</v>
      </c>
      <c r="G35" s="15"/>
      <c r="H35" s="18" t="s">
        <v>268</v>
      </c>
      <c r="I35" s="16" t="s">
        <v>22</v>
      </c>
      <c r="J35" s="16"/>
      <c r="K35" s="7" t="s">
        <v>22</v>
      </c>
      <c r="L35" s="3"/>
    </row>
    <row r="36" spans="2:12" ht="27" x14ac:dyDescent="0.35">
      <c r="B36" s="14">
        <f t="shared" si="0"/>
        <v>31</v>
      </c>
      <c r="C36" s="11"/>
      <c r="D36" s="11"/>
      <c r="E36" s="12"/>
      <c r="F36" s="15" t="s">
        <v>166</v>
      </c>
      <c r="G36" s="15"/>
      <c r="H36" s="15" t="s">
        <v>115</v>
      </c>
      <c r="I36" s="22" t="s">
        <v>23</v>
      </c>
      <c r="J36" s="16"/>
      <c r="K36" s="26" t="s">
        <v>22</v>
      </c>
      <c r="L36" s="3"/>
    </row>
    <row r="37" spans="2:12" ht="40.5" x14ac:dyDescent="0.35">
      <c r="B37" s="14">
        <f t="shared" si="0"/>
        <v>32</v>
      </c>
      <c r="C37" s="11"/>
      <c r="D37" s="11"/>
      <c r="E37" s="11" t="s">
        <v>116</v>
      </c>
      <c r="F37" s="15" t="s">
        <v>117</v>
      </c>
      <c r="G37" s="15"/>
      <c r="H37" s="15" t="s">
        <v>9</v>
      </c>
      <c r="I37" s="16" t="s">
        <v>23</v>
      </c>
      <c r="J37" s="16"/>
      <c r="K37" s="7" t="s">
        <v>121</v>
      </c>
      <c r="L37" s="3"/>
    </row>
    <row r="38" spans="2:12" ht="40.5" x14ac:dyDescent="0.35">
      <c r="B38" s="14">
        <f t="shared" si="0"/>
        <v>33</v>
      </c>
      <c r="C38" s="11"/>
      <c r="D38" s="11"/>
      <c r="E38" s="11"/>
      <c r="F38" s="15" t="s">
        <v>36</v>
      </c>
      <c r="G38" s="15"/>
      <c r="H38" s="15" t="s">
        <v>86</v>
      </c>
      <c r="I38" s="16" t="s">
        <v>128</v>
      </c>
      <c r="J38" s="16"/>
      <c r="K38" s="7" t="s">
        <v>121</v>
      </c>
      <c r="L38" s="3"/>
    </row>
    <row r="39" spans="2:12" ht="40.5" x14ac:dyDescent="0.35">
      <c r="B39" s="14">
        <f t="shared" si="0"/>
        <v>34</v>
      </c>
      <c r="C39" s="11"/>
      <c r="D39" s="11"/>
      <c r="E39" s="11"/>
      <c r="F39" s="15" t="s">
        <v>118</v>
      </c>
      <c r="G39" s="15"/>
      <c r="H39" s="15" t="s">
        <v>26</v>
      </c>
      <c r="I39" s="16" t="s">
        <v>23</v>
      </c>
      <c r="J39" s="16"/>
      <c r="K39" s="7" t="s">
        <v>121</v>
      </c>
      <c r="L39" s="3"/>
    </row>
    <row r="40" spans="2:12" ht="40.5" x14ac:dyDescent="0.35">
      <c r="B40" s="14">
        <f t="shared" si="0"/>
        <v>35</v>
      </c>
      <c r="C40" s="11"/>
      <c r="D40" s="11"/>
      <c r="E40" s="11"/>
      <c r="F40" s="15" t="s">
        <v>120</v>
      </c>
      <c r="G40" s="15"/>
      <c r="H40" s="15" t="s">
        <v>27</v>
      </c>
      <c r="I40" s="16" t="s">
        <v>128</v>
      </c>
      <c r="J40" s="16"/>
      <c r="K40" s="7" t="s">
        <v>121</v>
      </c>
      <c r="L40" s="3"/>
    </row>
    <row r="41" spans="2:12" ht="40.5" x14ac:dyDescent="0.35">
      <c r="B41" s="14">
        <f t="shared" si="0"/>
        <v>36</v>
      </c>
      <c r="C41" s="11"/>
      <c r="D41" s="11"/>
      <c r="E41" s="12"/>
      <c r="F41" s="15" t="s">
        <v>118</v>
      </c>
      <c r="G41" s="15"/>
      <c r="H41" s="15" t="s">
        <v>26</v>
      </c>
      <c r="I41" s="16" t="s">
        <v>23</v>
      </c>
      <c r="J41" s="16"/>
      <c r="K41" s="7" t="s">
        <v>121</v>
      </c>
      <c r="L41" s="3"/>
    </row>
    <row r="42" spans="2:12" ht="27" x14ac:dyDescent="0.35">
      <c r="B42" s="14">
        <f t="shared" si="0"/>
        <v>37</v>
      </c>
      <c r="C42" s="11"/>
      <c r="D42" s="11"/>
      <c r="E42" s="11" t="s">
        <v>127</v>
      </c>
      <c r="F42" s="15" t="s">
        <v>167</v>
      </c>
      <c r="G42" s="15"/>
      <c r="H42" s="15" t="s">
        <v>26</v>
      </c>
      <c r="I42" s="16">
        <v>0</v>
      </c>
      <c r="J42" s="16"/>
      <c r="K42" s="7">
        <v>0</v>
      </c>
      <c r="L42" s="3"/>
    </row>
    <row r="43" spans="2:12" x14ac:dyDescent="0.35">
      <c r="B43" s="14">
        <f t="shared" si="0"/>
        <v>38</v>
      </c>
      <c r="C43" s="11"/>
      <c r="D43" s="11"/>
      <c r="E43" s="11"/>
      <c r="F43" s="15" t="s">
        <v>168</v>
      </c>
      <c r="G43" s="15"/>
      <c r="H43" s="15" t="s">
        <v>26</v>
      </c>
      <c r="I43" s="16">
        <v>0</v>
      </c>
      <c r="J43" s="16"/>
      <c r="K43" s="7">
        <v>0</v>
      </c>
      <c r="L43" s="3"/>
    </row>
    <row r="44" spans="2:12" x14ac:dyDescent="0.35">
      <c r="B44" s="14">
        <f t="shared" si="0"/>
        <v>39</v>
      </c>
      <c r="C44" s="11"/>
      <c r="D44" s="11"/>
      <c r="E44" s="11"/>
      <c r="F44" s="15" t="s">
        <v>169</v>
      </c>
      <c r="G44" s="15"/>
      <c r="H44" s="15" t="s">
        <v>26</v>
      </c>
      <c r="I44" s="16">
        <v>0</v>
      </c>
      <c r="J44" s="16"/>
      <c r="K44" s="7">
        <v>0</v>
      </c>
      <c r="L44" s="3"/>
    </row>
    <row r="45" spans="2:12" x14ac:dyDescent="0.35">
      <c r="B45" s="14">
        <f t="shared" si="0"/>
        <v>40</v>
      </c>
      <c r="C45" s="11"/>
      <c r="D45" s="11"/>
      <c r="E45" s="11"/>
      <c r="F45" s="15" t="s">
        <v>170</v>
      </c>
      <c r="G45" s="15"/>
      <c r="H45" s="15" t="s">
        <v>26</v>
      </c>
      <c r="I45" s="16">
        <v>0</v>
      </c>
      <c r="J45" s="16"/>
      <c r="K45" s="7">
        <v>0</v>
      </c>
      <c r="L45" s="3"/>
    </row>
    <row r="46" spans="2:12" ht="27" x14ac:dyDescent="0.35">
      <c r="B46" s="14">
        <f t="shared" si="0"/>
        <v>41</v>
      </c>
      <c r="C46" s="11"/>
      <c r="D46" s="11"/>
      <c r="E46" s="11"/>
      <c r="F46" s="15" t="s">
        <v>171</v>
      </c>
      <c r="G46" s="15"/>
      <c r="H46" s="15" t="s">
        <v>26</v>
      </c>
      <c r="I46" s="16">
        <v>0</v>
      </c>
      <c r="J46" s="16"/>
      <c r="K46" s="7">
        <v>0</v>
      </c>
      <c r="L46" s="3"/>
    </row>
    <row r="47" spans="2:12" ht="27" x14ac:dyDescent="0.35">
      <c r="B47" s="14">
        <f t="shared" si="0"/>
        <v>42</v>
      </c>
      <c r="C47" s="11"/>
      <c r="D47" s="11"/>
      <c r="E47" s="11"/>
      <c r="F47" s="15" t="s">
        <v>172</v>
      </c>
      <c r="G47" s="15"/>
      <c r="H47" s="15" t="s">
        <v>26</v>
      </c>
      <c r="I47" s="16">
        <v>0</v>
      </c>
      <c r="J47" s="16"/>
      <c r="K47" s="7">
        <v>0</v>
      </c>
      <c r="L47" s="3"/>
    </row>
    <row r="48" spans="2:12" ht="54" x14ac:dyDescent="0.35">
      <c r="B48" s="14">
        <f t="shared" si="0"/>
        <v>43</v>
      </c>
      <c r="C48" s="11"/>
      <c r="D48" s="11"/>
      <c r="E48" s="12"/>
      <c r="F48" s="15" t="s">
        <v>173</v>
      </c>
      <c r="G48" s="15" t="s">
        <v>163</v>
      </c>
      <c r="H48" s="15" t="s">
        <v>102</v>
      </c>
      <c r="I48" s="16" t="s">
        <v>94</v>
      </c>
      <c r="J48" s="16"/>
      <c r="K48" s="7" t="s">
        <v>94</v>
      </c>
      <c r="L48" s="3"/>
    </row>
    <row r="49" spans="2:12" x14ac:dyDescent="0.35">
      <c r="B49" s="14">
        <f t="shared" si="0"/>
        <v>44</v>
      </c>
      <c r="C49" s="11"/>
      <c r="D49" s="11"/>
      <c r="E49" s="11" t="s">
        <v>129</v>
      </c>
      <c r="F49" s="15" t="s">
        <v>130</v>
      </c>
      <c r="G49" s="15" t="s">
        <v>131</v>
      </c>
      <c r="H49" s="15" t="s">
        <v>269</v>
      </c>
      <c r="I49" s="16"/>
      <c r="J49" s="16"/>
      <c r="K49" s="7"/>
      <c r="L49" s="3"/>
    </row>
    <row r="50" spans="2:12" x14ac:dyDescent="0.35">
      <c r="B50" s="14">
        <f t="shared" si="0"/>
        <v>45</v>
      </c>
      <c r="C50" s="11"/>
      <c r="D50" s="11"/>
      <c r="E50" s="11"/>
      <c r="F50" s="15" t="s">
        <v>132</v>
      </c>
      <c r="G50" s="15"/>
      <c r="H50" s="15" t="s">
        <v>102</v>
      </c>
      <c r="I50" s="16" t="s">
        <v>328</v>
      </c>
      <c r="J50" s="16"/>
      <c r="K50" s="7" t="s">
        <v>328</v>
      </c>
      <c r="L50" s="3"/>
    </row>
    <row r="51" spans="2:12" ht="40.5" x14ac:dyDescent="0.35">
      <c r="B51" s="14">
        <f t="shared" si="0"/>
        <v>46</v>
      </c>
      <c r="C51" s="11"/>
      <c r="D51" s="11"/>
      <c r="E51" s="11"/>
      <c r="F51" s="15" t="s">
        <v>133</v>
      </c>
      <c r="G51" s="15" t="s">
        <v>134</v>
      </c>
      <c r="H51" s="15" t="s">
        <v>102</v>
      </c>
      <c r="I51" s="16" t="s">
        <v>94</v>
      </c>
      <c r="J51" s="16"/>
      <c r="K51" s="7" t="s">
        <v>94</v>
      </c>
      <c r="L51" s="3"/>
    </row>
    <row r="52" spans="2:12" ht="54" x14ac:dyDescent="0.35">
      <c r="B52" s="14">
        <f t="shared" si="0"/>
        <v>47</v>
      </c>
      <c r="C52" s="11"/>
      <c r="D52" s="11"/>
      <c r="E52" s="11"/>
      <c r="F52" s="15" t="s">
        <v>65</v>
      </c>
      <c r="G52" s="15"/>
      <c r="H52" s="15" t="s">
        <v>135</v>
      </c>
      <c r="I52" s="16" t="s">
        <v>24</v>
      </c>
      <c r="J52" s="16"/>
      <c r="K52" s="7" t="s">
        <v>326</v>
      </c>
      <c r="L52" s="3"/>
    </row>
    <row r="53" spans="2:12" x14ac:dyDescent="0.35">
      <c r="B53" s="14">
        <f t="shared" si="0"/>
        <v>48</v>
      </c>
      <c r="C53" s="11"/>
      <c r="D53" s="11"/>
      <c r="E53" s="11"/>
      <c r="F53" s="15" t="s">
        <v>66</v>
      </c>
      <c r="G53" s="15"/>
      <c r="H53" s="15" t="s">
        <v>102</v>
      </c>
      <c r="I53" s="16" t="s">
        <v>94</v>
      </c>
      <c r="J53" s="16"/>
      <c r="K53" s="7" t="s">
        <v>94</v>
      </c>
      <c r="L53" s="3"/>
    </row>
    <row r="54" spans="2:12" ht="27" x14ac:dyDescent="0.35">
      <c r="B54" s="14">
        <f t="shared" si="0"/>
        <v>49</v>
      </c>
      <c r="C54" s="11"/>
      <c r="D54" s="11"/>
      <c r="E54" s="11"/>
      <c r="F54" s="15" t="s">
        <v>67</v>
      </c>
      <c r="G54" s="15"/>
      <c r="H54" s="15" t="s">
        <v>102</v>
      </c>
      <c r="I54" s="16" t="s">
        <v>94</v>
      </c>
      <c r="J54" s="16"/>
      <c r="K54" s="7" t="s">
        <v>94</v>
      </c>
      <c r="L54" s="3"/>
    </row>
    <row r="55" spans="2:12" ht="40.5" x14ac:dyDescent="0.35">
      <c r="B55" s="14">
        <f t="shared" si="0"/>
        <v>50</v>
      </c>
      <c r="C55" s="11"/>
      <c r="D55" s="11"/>
      <c r="E55" s="11"/>
      <c r="F55" s="15" t="s">
        <v>136</v>
      </c>
      <c r="G55" s="15"/>
      <c r="H55" s="15" t="s">
        <v>68</v>
      </c>
      <c r="I55" s="16" t="s">
        <v>69</v>
      </c>
      <c r="J55" s="16"/>
      <c r="K55" s="7" t="s">
        <v>327</v>
      </c>
      <c r="L55" s="3"/>
    </row>
    <row r="56" spans="2:12" ht="27" x14ac:dyDescent="0.35">
      <c r="B56" s="14">
        <f t="shared" si="0"/>
        <v>51</v>
      </c>
      <c r="C56" s="11"/>
      <c r="D56" s="11"/>
      <c r="E56" s="11"/>
      <c r="F56" s="15" t="s">
        <v>137</v>
      </c>
      <c r="G56" s="15"/>
      <c r="H56" s="15" t="s">
        <v>102</v>
      </c>
      <c r="I56" s="16" t="s">
        <v>94</v>
      </c>
      <c r="J56" s="16"/>
      <c r="K56" s="7" t="s">
        <v>94</v>
      </c>
      <c r="L56" s="3"/>
    </row>
    <row r="57" spans="2:12" ht="27" x14ac:dyDescent="0.35">
      <c r="B57" s="14">
        <f t="shared" si="0"/>
        <v>52</v>
      </c>
      <c r="C57" s="12"/>
      <c r="D57" s="12"/>
      <c r="E57" s="12"/>
      <c r="F57" s="15" t="s">
        <v>274</v>
      </c>
      <c r="G57" s="15"/>
      <c r="H57" s="15" t="s">
        <v>102</v>
      </c>
      <c r="I57" s="16" t="s">
        <v>94</v>
      </c>
      <c r="J57" s="16"/>
      <c r="K57" s="7" t="s">
        <v>94</v>
      </c>
      <c r="L57" s="3"/>
    </row>
    <row r="58" spans="2:12" ht="27" x14ac:dyDescent="0.35">
      <c r="B58" s="14">
        <f t="shared" si="0"/>
        <v>53</v>
      </c>
      <c r="C58" s="11" t="s">
        <v>70</v>
      </c>
      <c r="D58" s="11" t="s">
        <v>141</v>
      </c>
      <c r="E58" s="11" t="s">
        <v>71</v>
      </c>
      <c r="F58" s="15" t="s">
        <v>6</v>
      </c>
      <c r="G58" s="15" t="s">
        <v>72</v>
      </c>
      <c r="H58" s="15" t="s">
        <v>9</v>
      </c>
      <c r="I58" s="16"/>
      <c r="J58" s="16"/>
      <c r="K58" s="7" t="s">
        <v>142</v>
      </c>
      <c r="L58" s="3"/>
    </row>
    <row r="59" spans="2:12" ht="27" x14ac:dyDescent="0.35">
      <c r="B59" s="14">
        <f t="shared" si="0"/>
        <v>54</v>
      </c>
      <c r="C59" s="11"/>
      <c r="D59" s="11"/>
      <c r="E59" s="11"/>
      <c r="F59" s="15" t="s">
        <v>73</v>
      </c>
      <c r="G59" s="15"/>
      <c r="H59" s="15" t="s">
        <v>270</v>
      </c>
      <c r="I59" s="16"/>
      <c r="J59" s="16"/>
      <c r="K59" s="7" t="s">
        <v>142</v>
      </c>
      <c r="L59" s="3"/>
    </row>
    <row r="60" spans="2:12" ht="27" x14ac:dyDescent="0.35">
      <c r="B60" s="14">
        <f t="shared" si="0"/>
        <v>55</v>
      </c>
      <c r="C60" s="12"/>
      <c r="D60" s="12"/>
      <c r="E60" s="12"/>
      <c r="F60" s="15" t="s">
        <v>85</v>
      </c>
      <c r="G60" s="15"/>
      <c r="H60" s="15" t="s">
        <v>9</v>
      </c>
      <c r="I60" s="16"/>
      <c r="J60" s="16"/>
      <c r="K60" s="7" t="s">
        <v>142</v>
      </c>
      <c r="L60" s="3"/>
    </row>
    <row r="61" spans="2:12" ht="27" x14ac:dyDescent="0.35">
      <c r="B61" s="14">
        <f t="shared" si="0"/>
        <v>56</v>
      </c>
      <c r="C61" s="11" t="s">
        <v>144</v>
      </c>
      <c r="D61" s="11" t="s">
        <v>143</v>
      </c>
      <c r="E61" s="11" t="s">
        <v>71</v>
      </c>
      <c r="F61" s="15" t="s">
        <v>174</v>
      </c>
      <c r="G61" s="15" t="s">
        <v>72</v>
      </c>
      <c r="H61" s="15" t="s">
        <v>9</v>
      </c>
      <c r="I61" s="16"/>
      <c r="J61" s="16"/>
      <c r="K61" s="7" t="s">
        <v>148</v>
      </c>
      <c r="L61" s="3"/>
    </row>
    <row r="62" spans="2:12" ht="27" x14ac:dyDescent="0.35">
      <c r="B62" s="14">
        <f t="shared" si="0"/>
        <v>57</v>
      </c>
      <c r="C62" s="11"/>
      <c r="D62" s="11"/>
      <c r="E62" s="11"/>
      <c r="F62" s="15" t="s">
        <v>73</v>
      </c>
      <c r="G62" s="15"/>
      <c r="H62" s="15" t="s">
        <v>270</v>
      </c>
      <c r="I62" s="16"/>
      <c r="J62" s="16"/>
      <c r="K62" s="7" t="s">
        <v>148</v>
      </c>
      <c r="L62" s="3"/>
    </row>
    <row r="63" spans="2:12" ht="27" x14ac:dyDescent="0.35">
      <c r="B63" s="14">
        <f t="shared" si="0"/>
        <v>58</v>
      </c>
      <c r="C63" s="12"/>
      <c r="D63" s="12"/>
      <c r="E63" s="12"/>
      <c r="F63" s="15" t="s">
        <v>85</v>
      </c>
      <c r="G63" s="15"/>
      <c r="H63" s="15" t="s">
        <v>9</v>
      </c>
      <c r="I63" s="16"/>
      <c r="J63" s="16"/>
      <c r="K63" s="7" t="s">
        <v>148</v>
      </c>
      <c r="L63" s="3"/>
    </row>
  </sheetData>
  <mergeCells count="1">
    <mergeCell ref="E10:E11"/>
  </mergeCells>
  <phoneticPr fontId="10"/>
  <hyperlinks>
    <hyperlink ref="A4" location="パラメータ設定一覧!A1" display="パラメータ設定一覧へ" xr:uid="{00000000-0004-0000-0300-000000000000}"/>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7FDD-5614-4701-80E5-F9988E189B4E}">
  <sheetPr codeName="Sheet50"/>
  <dimension ref="A1:G10"/>
  <sheetViews>
    <sheetView showGridLines="0" zoomScaleNormal="100" workbookViewId="0">
      <pane ySplit="5" topLeftCell="A6" activePane="bottomLeft" state="frozen"/>
      <selection pane="bottomLeft" activeCell="D6" sqref="D6"/>
    </sheetView>
  </sheetViews>
  <sheetFormatPr defaultColWidth="8.78515625" defaultRowHeight="13.5" x14ac:dyDescent="0.35"/>
  <cols>
    <col min="1" max="1" width="2.78515625" style="62" customWidth="1"/>
    <col min="2" max="2" width="3.5703125" style="62" bestFit="1" customWidth="1"/>
    <col min="3" max="3" width="15.92578125" style="62" bestFit="1" customWidth="1"/>
    <col min="4" max="4" width="12.5703125" style="62" bestFit="1" customWidth="1"/>
    <col min="5" max="7" width="17.78515625" style="62" customWidth="1"/>
    <col min="8" max="16384" width="8.78515625" style="62"/>
  </cols>
  <sheetData>
    <row r="1" spans="1:7" s="27" customFormat="1" ht="19.5" x14ac:dyDescent="0.35">
      <c r="A1" s="1" t="s">
        <v>122</v>
      </c>
    </row>
    <row r="2" spans="1:7" s="27" customFormat="1" ht="15" x14ac:dyDescent="0.35"/>
    <row r="3" spans="1:7" s="27" customFormat="1" ht="15" x14ac:dyDescent="0.35">
      <c r="A3" s="52" t="s">
        <v>315</v>
      </c>
    </row>
    <row r="4" spans="1:7" x14ac:dyDescent="0.35">
      <c r="B4" s="147" t="s">
        <v>5</v>
      </c>
      <c r="C4" s="147" t="s">
        <v>123</v>
      </c>
      <c r="D4" s="21" t="s">
        <v>36</v>
      </c>
      <c r="E4" s="4" t="s">
        <v>126</v>
      </c>
      <c r="F4" s="4" t="s">
        <v>119</v>
      </c>
      <c r="G4" s="4" t="s">
        <v>126</v>
      </c>
    </row>
    <row r="5" spans="1:7" x14ac:dyDescent="0.35">
      <c r="B5" s="148"/>
      <c r="C5" s="148"/>
      <c r="D5" s="5" t="s">
        <v>86</v>
      </c>
      <c r="E5" s="6" t="s">
        <v>26</v>
      </c>
      <c r="F5" s="6" t="s">
        <v>86</v>
      </c>
      <c r="G5" s="6" t="s">
        <v>26</v>
      </c>
    </row>
    <row r="6" spans="1:7" x14ac:dyDescent="0.3">
      <c r="B6" s="64">
        <f t="shared" ref="B6:B10" si="0">ROW() - 5</f>
        <v>1</v>
      </c>
      <c r="C6" s="65" t="s">
        <v>124</v>
      </c>
      <c r="D6" s="66" t="s">
        <v>74</v>
      </c>
      <c r="E6" s="67"/>
      <c r="F6" s="66" t="s">
        <v>74</v>
      </c>
      <c r="G6" s="68"/>
    </row>
    <row r="7" spans="1:7" x14ac:dyDescent="0.3">
      <c r="B7" s="64">
        <f t="shared" si="0"/>
        <v>2</v>
      </c>
      <c r="C7" s="65" t="s">
        <v>28</v>
      </c>
      <c r="D7" s="66" t="s">
        <v>74</v>
      </c>
      <c r="E7" s="67"/>
      <c r="F7" s="66" t="s">
        <v>74</v>
      </c>
      <c r="G7" s="68"/>
    </row>
    <row r="8" spans="1:7" x14ac:dyDescent="0.3">
      <c r="B8" s="64">
        <f t="shared" si="0"/>
        <v>3</v>
      </c>
      <c r="C8" s="65" t="s">
        <v>125</v>
      </c>
      <c r="D8" s="66" t="s">
        <v>74</v>
      </c>
      <c r="E8" s="67"/>
      <c r="F8" s="66" t="s">
        <v>74</v>
      </c>
      <c r="G8" s="68"/>
    </row>
    <row r="9" spans="1:7" x14ac:dyDescent="0.3">
      <c r="B9" s="64">
        <f t="shared" si="0"/>
        <v>4</v>
      </c>
      <c r="C9" s="65" t="s">
        <v>29</v>
      </c>
      <c r="D9" s="66" t="s">
        <v>74</v>
      </c>
      <c r="E9" s="67"/>
      <c r="F9" s="66" t="s">
        <v>74</v>
      </c>
      <c r="G9" s="68"/>
    </row>
    <row r="10" spans="1:7" x14ac:dyDescent="0.3">
      <c r="B10" s="64">
        <f t="shared" si="0"/>
        <v>5</v>
      </c>
      <c r="C10" s="65" t="s">
        <v>30</v>
      </c>
      <c r="D10" s="66" t="s">
        <v>74</v>
      </c>
      <c r="E10" s="67"/>
      <c r="F10" s="66" t="s">
        <v>74</v>
      </c>
      <c r="G10" s="68"/>
    </row>
  </sheetData>
  <sheetProtection sort="0" autoFilter="0"/>
  <mergeCells count="2">
    <mergeCell ref="B4:B5"/>
    <mergeCell ref="C4:C5"/>
  </mergeCells>
  <phoneticPr fontId="10"/>
  <hyperlinks>
    <hyperlink ref="A3" location="パラメータ設定一覧!A1" display="パラメータ設定一覧へ" xr:uid="{4EDE7A71-402F-41BB-931C-98C00960883E}"/>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4"/>
  <dimension ref="A1:E11"/>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26.2109375" style="62" bestFit="1" customWidth="1"/>
    <col min="4" max="4" width="17.78515625" style="62" customWidth="1"/>
    <col min="5" max="5" width="87.0703125" style="62" customWidth="1"/>
    <col min="6" max="16384" width="8.78515625" style="62"/>
  </cols>
  <sheetData>
    <row r="1" spans="1:5" s="27" customFormat="1" ht="19.5" x14ac:dyDescent="0.35">
      <c r="A1" s="1" t="s">
        <v>138</v>
      </c>
    </row>
    <row r="2" spans="1:5" s="27" customFormat="1" ht="15" x14ac:dyDescent="0.35"/>
    <row r="3" spans="1:5" s="27" customFormat="1" ht="15" x14ac:dyDescent="0.35">
      <c r="A3" s="52" t="s">
        <v>315</v>
      </c>
    </row>
    <row r="4" spans="1:5" x14ac:dyDescent="0.35">
      <c r="B4" s="149" t="s">
        <v>5</v>
      </c>
      <c r="C4" s="21" t="s">
        <v>6</v>
      </c>
      <c r="D4" s="4" t="s">
        <v>7</v>
      </c>
      <c r="E4" s="30" t="s">
        <v>8</v>
      </c>
    </row>
    <row r="5" spans="1:5" x14ac:dyDescent="0.35">
      <c r="B5" s="149"/>
      <c r="C5" s="5" t="s">
        <v>9</v>
      </c>
      <c r="D5" s="6" t="s">
        <v>270</v>
      </c>
      <c r="E5" s="5" t="s">
        <v>9</v>
      </c>
    </row>
    <row r="6" spans="1:5" x14ac:dyDescent="0.3">
      <c r="B6" s="64">
        <f t="shared" ref="B6:B11" si="0">ROW() - 5</f>
        <v>1</v>
      </c>
      <c r="C6" s="66" t="s">
        <v>75</v>
      </c>
      <c r="D6" s="67" t="s">
        <v>335</v>
      </c>
      <c r="E6" s="66" t="s">
        <v>76</v>
      </c>
    </row>
    <row r="7" spans="1:5" x14ac:dyDescent="0.3">
      <c r="B7" s="64">
        <f t="shared" si="0"/>
        <v>2</v>
      </c>
      <c r="C7" s="66" t="s">
        <v>77</v>
      </c>
      <c r="D7" s="67" t="s">
        <v>336</v>
      </c>
      <c r="E7" s="66" t="s">
        <v>78</v>
      </c>
    </row>
    <row r="8" spans="1:5" x14ac:dyDescent="0.3">
      <c r="B8" s="64">
        <f t="shared" si="0"/>
        <v>3</v>
      </c>
      <c r="C8" s="66" t="s">
        <v>79</v>
      </c>
      <c r="D8" s="67" t="s">
        <v>337</v>
      </c>
      <c r="E8" s="66" t="s">
        <v>80</v>
      </c>
    </row>
    <row r="9" spans="1:5" x14ac:dyDescent="0.3">
      <c r="B9" s="64">
        <f t="shared" si="0"/>
        <v>4</v>
      </c>
      <c r="C9" s="66" t="s">
        <v>81</v>
      </c>
      <c r="D9" s="67" t="s">
        <v>338</v>
      </c>
      <c r="E9" s="66" t="s">
        <v>82</v>
      </c>
    </row>
    <row r="10" spans="1:5" x14ac:dyDescent="0.3">
      <c r="B10" s="64">
        <f t="shared" si="0"/>
        <v>5</v>
      </c>
      <c r="C10" s="66" t="s">
        <v>83</v>
      </c>
      <c r="D10" s="67" t="s">
        <v>339</v>
      </c>
      <c r="E10" s="66" t="s">
        <v>84</v>
      </c>
    </row>
    <row r="11" spans="1:5" x14ac:dyDescent="0.3">
      <c r="B11" s="64">
        <f t="shared" si="0"/>
        <v>6</v>
      </c>
      <c r="C11" s="66" t="s">
        <v>139</v>
      </c>
      <c r="D11" s="67" t="s">
        <v>340</v>
      </c>
      <c r="E11" s="66" t="s">
        <v>140</v>
      </c>
    </row>
  </sheetData>
  <sheetProtection sort="0" autoFilter="0"/>
  <mergeCells count="1">
    <mergeCell ref="B4:B5"/>
  </mergeCells>
  <phoneticPr fontId="10"/>
  <hyperlinks>
    <hyperlink ref="A3" location="パラメータ設定一覧!A1" display="パラメータ設定一覧へ" xr:uid="{5D4CF989-101E-4205-9A35-C640B1264B25}"/>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9AC12-9CA6-404A-B4F4-34CF54AAAA10}">
  <sheetPr codeName="Sheet53"/>
  <dimension ref="A1:E6"/>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26.2109375" style="62" bestFit="1" customWidth="1"/>
    <col min="4" max="4" width="17.78515625" style="62" customWidth="1"/>
    <col min="5" max="5" width="87.0703125" style="62" customWidth="1"/>
    <col min="6" max="16384" width="8.78515625" style="62"/>
  </cols>
  <sheetData>
    <row r="1" spans="1:5" s="27" customFormat="1" ht="19.5" x14ac:dyDescent="0.35">
      <c r="A1" s="1" t="s">
        <v>145</v>
      </c>
    </row>
    <row r="2" spans="1:5" s="27" customFormat="1" ht="15" x14ac:dyDescent="0.35"/>
    <row r="3" spans="1:5" s="27" customFormat="1" ht="15" x14ac:dyDescent="0.35">
      <c r="A3" s="52" t="s">
        <v>315</v>
      </c>
    </row>
    <row r="4" spans="1:5" x14ac:dyDescent="0.35">
      <c r="B4" s="149" t="s">
        <v>5</v>
      </c>
      <c r="C4" s="21" t="s">
        <v>6</v>
      </c>
      <c r="D4" s="4" t="s">
        <v>7</v>
      </c>
      <c r="E4" s="30" t="s">
        <v>8</v>
      </c>
    </row>
    <row r="5" spans="1:5" x14ac:dyDescent="0.35">
      <c r="B5" s="149"/>
      <c r="C5" s="5" t="s">
        <v>9</v>
      </c>
      <c r="D5" s="6" t="s">
        <v>270</v>
      </c>
      <c r="E5" s="5" t="s">
        <v>9</v>
      </c>
    </row>
    <row r="6" spans="1:5" x14ac:dyDescent="0.3">
      <c r="B6" s="64">
        <f t="shared" ref="B6" si="0">ROW() - 5</f>
        <v>1</v>
      </c>
      <c r="C6" s="66" t="s">
        <v>146</v>
      </c>
      <c r="D6" s="67" t="s">
        <v>329</v>
      </c>
      <c r="E6" s="66" t="s">
        <v>147</v>
      </c>
    </row>
  </sheetData>
  <sheetProtection sort="0" autoFilter="0"/>
  <mergeCells count="1">
    <mergeCell ref="B4:B5"/>
  </mergeCells>
  <phoneticPr fontId="10"/>
  <hyperlinks>
    <hyperlink ref="A3" location="パラメータ設定一覧!A1" display="パラメータ設定一覧へ" xr:uid="{538AFA8C-BE75-49E9-AE1B-79E825D88172}"/>
  </hyperlink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14CE-765A-4F69-A602-34C38F603ADA}">
  <sheetPr>
    <tabColor theme="0" tint="-0.499984740745262"/>
  </sheetPr>
  <dimension ref="A1:L8"/>
  <sheetViews>
    <sheetView showGridLines="0" zoomScaleNormal="100" workbookViewId="0">
      <pane xSplit="6" ySplit="5" topLeftCell="G6" activePane="bottomRight" state="frozen"/>
      <selection activeCell="A4" sqref="A4"/>
      <selection pane="topRight" activeCell="A4" sqref="A4"/>
      <selection pane="bottomLeft" activeCell="A4" sqref="A4"/>
      <selection pane="bottomRight" activeCell="A4" sqref="A4"/>
    </sheetView>
  </sheetViews>
  <sheetFormatPr defaultColWidth="8.78515625" defaultRowHeight="13.5" x14ac:dyDescent="0.35"/>
  <cols>
    <col min="1" max="1" width="2.78515625" style="62" customWidth="1"/>
    <col min="2" max="2" width="3.35546875"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2" customWidth="1"/>
    <col min="12" max="12" width="13.2109375" style="62" customWidth="1"/>
    <col min="13" max="16384" width="8.78515625" style="62"/>
  </cols>
  <sheetData>
    <row r="1" spans="1:12" s="27" customFormat="1" ht="19.5" x14ac:dyDescent="0.35">
      <c r="A1" s="1" t="s">
        <v>151</v>
      </c>
    </row>
    <row r="2" spans="1:12" s="27" customFormat="1" ht="15" x14ac:dyDescent="0.35">
      <c r="B2" s="27" t="s">
        <v>150</v>
      </c>
    </row>
    <row r="3" spans="1:12" s="27" customFormat="1" ht="15" x14ac:dyDescent="0.35">
      <c r="B3" s="27" t="s">
        <v>305</v>
      </c>
    </row>
    <row r="4" spans="1:12" s="27" customFormat="1" ht="15" x14ac:dyDescent="0.35">
      <c r="A4" s="52" t="s">
        <v>315</v>
      </c>
    </row>
    <row r="5" spans="1:12" x14ac:dyDescent="0.35">
      <c r="B5" s="8" t="s">
        <v>5</v>
      </c>
      <c r="C5" s="8" t="s">
        <v>10</v>
      </c>
      <c r="D5" s="8" t="s">
        <v>11</v>
      </c>
      <c r="E5" s="8" t="s">
        <v>12</v>
      </c>
      <c r="F5" s="13" t="s">
        <v>13</v>
      </c>
      <c r="G5" s="13" t="s">
        <v>14</v>
      </c>
      <c r="H5" s="8" t="s">
        <v>15</v>
      </c>
      <c r="I5" s="8" t="s">
        <v>16</v>
      </c>
      <c r="J5" s="8" t="s">
        <v>17</v>
      </c>
      <c r="K5" s="9" t="s">
        <v>18</v>
      </c>
      <c r="L5" s="9" t="s">
        <v>19</v>
      </c>
    </row>
    <row r="6" spans="1:12" ht="27" x14ac:dyDescent="0.35">
      <c r="B6" s="14">
        <f>ROW() - 5</f>
        <v>1</v>
      </c>
      <c r="C6" s="10" t="s">
        <v>153</v>
      </c>
      <c r="D6" s="10"/>
      <c r="E6" s="10"/>
      <c r="F6" s="15" t="s">
        <v>154</v>
      </c>
      <c r="G6" s="15"/>
      <c r="H6" s="15" t="s">
        <v>31</v>
      </c>
      <c r="I6" s="16" t="s">
        <v>22</v>
      </c>
      <c r="J6" s="16"/>
      <c r="K6" s="2" t="s">
        <v>157</v>
      </c>
      <c r="L6" s="3"/>
    </row>
    <row r="7" spans="1:12" ht="27" x14ac:dyDescent="0.35">
      <c r="B7" s="14">
        <f t="shared" ref="B7:B8" si="0">ROW() - 5</f>
        <v>2</v>
      </c>
      <c r="C7" s="11"/>
      <c r="D7" s="29"/>
      <c r="E7" s="69"/>
      <c r="F7" s="23" t="s">
        <v>155</v>
      </c>
      <c r="G7" s="15"/>
      <c r="H7" s="15" t="s">
        <v>31</v>
      </c>
      <c r="I7" s="70" t="s">
        <v>22</v>
      </c>
      <c r="J7" s="16"/>
      <c r="K7" s="2" t="s">
        <v>157</v>
      </c>
      <c r="L7" s="3"/>
    </row>
    <row r="8" spans="1:12" ht="27" x14ac:dyDescent="0.35">
      <c r="B8" s="14">
        <f t="shared" si="0"/>
        <v>3</v>
      </c>
      <c r="C8" s="12"/>
      <c r="D8" s="24"/>
      <c r="E8" s="71"/>
      <c r="F8" s="23" t="s">
        <v>85</v>
      </c>
      <c r="G8" s="15"/>
      <c r="H8" s="15" t="s">
        <v>31</v>
      </c>
      <c r="I8" s="70" t="s">
        <v>22</v>
      </c>
      <c r="J8" s="16"/>
      <c r="K8" s="2" t="s">
        <v>157</v>
      </c>
      <c r="L8" s="3"/>
    </row>
  </sheetData>
  <phoneticPr fontId="10"/>
  <hyperlinks>
    <hyperlink ref="A4" location="パラメータ設定一覧!A1" display="パラメータ設定一覧へ" xr:uid="{4AFC5DA5-6E11-4292-8C53-B89B689CB122}"/>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0541-BE60-4062-80C2-26359D4E606F}">
  <sheetPr codeName="Sheet55">
    <tabColor theme="0" tint="-0.499984740745262"/>
  </sheetPr>
  <dimension ref="A1:E11"/>
  <sheetViews>
    <sheetView showGridLines="0" zoomScaleNormal="100" workbookViewId="0">
      <pane ySplit="6" topLeftCell="A7" activePane="bottomLeft" state="frozen"/>
      <selection activeCell="A4" sqref="A4"/>
      <selection pane="bottomLeft" activeCell="A4" sqref="A4"/>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bestFit="1" customWidth="1"/>
    <col min="11"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5" s="27" customFormat="1" ht="19.5" x14ac:dyDescent="0.35">
      <c r="A1" s="1" t="s">
        <v>152</v>
      </c>
    </row>
    <row r="2" spans="1:5" s="27" customFormat="1" ht="15" x14ac:dyDescent="0.35"/>
    <row r="3" spans="1:5" s="27" customFormat="1" ht="15" x14ac:dyDescent="0.35">
      <c r="A3" s="52" t="s">
        <v>315</v>
      </c>
    </row>
    <row r="4" spans="1:5" ht="15.75" customHeight="1" x14ac:dyDescent="0.35">
      <c r="B4" s="150" t="s">
        <v>5</v>
      </c>
      <c r="C4" s="79" t="s">
        <v>153</v>
      </c>
      <c r="D4" s="80"/>
      <c r="E4" s="81"/>
    </row>
    <row r="5" spans="1:5" x14ac:dyDescent="0.35">
      <c r="B5" s="149"/>
      <c r="C5" s="78" t="s">
        <v>154</v>
      </c>
      <c r="D5" s="78" t="s">
        <v>155</v>
      </c>
      <c r="E5" s="78" t="s">
        <v>85</v>
      </c>
    </row>
    <row r="6" spans="1:5" x14ac:dyDescent="0.35">
      <c r="B6" s="149"/>
      <c r="C6" s="6" t="s">
        <v>31</v>
      </c>
      <c r="D6" s="6" t="s">
        <v>31</v>
      </c>
      <c r="E6" s="6" t="s">
        <v>31</v>
      </c>
    </row>
    <row r="7" spans="1:5" x14ac:dyDescent="0.3">
      <c r="B7" s="65">
        <f>ROW() - 6</f>
        <v>1</v>
      </c>
      <c r="C7" s="72"/>
      <c r="D7" s="72"/>
      <c r="E7" s="72"/>
    </row>
    <row r="8" spans="1:5" x14ac:dyDescent="0.3">
      <c r="B8" s="65">
        <f t="shared" ref="B8:B11" si="0">ROW() - 6</f>
        <v>2</v>
      </c>
      <c r="C8" s="73"/>
      <c r="D8" s="73"/>
      <c r="E8" s="72"/>
    </row>
    <row r="9" spans="1:5" x14ac:dyDescent="0.3">
      <c r="B9" s="65">
        <f t="shared" si="0"/>
        <v>3</v>
      </c>
      <c r="C9" s="74"/>
      <c r="D9" s="75"/>
      <c r="E9" s="76"/>
    </row>
    <row r="10" spans="1:5" x14ac:dyDescent="0.3">
      <c r="B10" s="65">
        <f t="shared" si="0"/>
        <v>4</v>
      </c>
      <c r="C10" s="74"/>
      <c r="D10" s="75"/>
      <c r="E10" s="76"/>
    </row>
    <row r="11" spans="1:5" x14ac:dyDescent="0.3">
      <c r="B11" s="65">
        <f t="shared" si="0"/>
        <v>5</v>
      </c>
      <c r="C11" s="74"/>
      <c r="D11" s="75"/>
      <c r="E11" s="65"/>
    </row>
  </sheetData>
  <sheetProtection insertRows="0" deleteRows="0" sort="0" autoFilter="0"/>
  <mergeCells count="1">
    <mergeCell ref="B4:B6"/>
  </mergeCells>
  <phoneticPr fontId="10"/>
  <hyperlinks>
    <hyperlink ref="A3" location="パラメータ設定一覧!A1" display="パラメータ設定一覧へ" xr:uid="{78B72DB2-72F1-4A1C-83B8-DCB4B023771E}"/>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742D-1852-4059-8BF0-2337504DA8EA}">
  <sheetPr>
    <tabColor theme="0" tint="-0.499984740745262"/>
  </sheetPr>
  <dimension ref="A1:L53"/>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62" customWidth="1"/>
    <col min="2" max="2" width="4"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3" customWidth="1"/>
    <col min="12" max="12" width="24" style="62" customWidth="1"/>
    <col min="13" max="16384" width="8.78515625" style="62"/>
  </cols>
  <sheetData>
    <row r="1" spans="1:12" s="27" customFormat="1" ht="19.5" x14ac:dyDescent="0.35">
      <c r="A1" s="1" t="s">
        <v>175</v>
      </c>
      <c r="K1" s="40"/>
    </row>
    <row r="2" spans="1:12" s="27" customFormat="1" ht="15" x14ac:dyDescent="0.35">
      <c r="B2" s="27" t="s">
        <v>176</v>
      </c>
      <c r="K2" s="40"/>
    </row>
    <row r="3" spans="1:12" s="27" customFormat="1" ht="15" x14ac:dyDescent="0.35">
      <c r="B3" s="27" t="s">
        <v>306</v>
      </c>
      <c r="K3" s="40"/>
      <c r="L3" s="40"/>
    </row>
    <row r="4" spans="1:12" s="27" customFormat="1" ht="15" x14ac:dyDescent="0.35">
      <c r="A4" s="52" t="s">
        <v>315</v>
      </c>
      <c r="K4" s="40"/>
      <c r="L4" s="40"/>
    </row>
    <row r="5" spans="1:12" x14ac:dyDescent="0.35">
      <c r="B5" s="8" t="s">
        <v>5</v>
      </c>
      <c r="C5" s="8" t="s">
        <v>10</v>
      </c>
      <c r="D5" s="8" t="s">
        <v>11</v>
      </c>
      <c r="E5" s="8" t="s">
        <v>12</v>
      </c>
      <c r="F5" s="13" t="s">
        <v>13</v>
      </c>
      <c r="G5" s="13" t="s">
        <v>14</v>
      </c>
      <c r="H5" s="8" t="s">
        <v>15</v>
      </c>
      <c r="I5" s="8" t="s">
        <v>16</v>
      </c>
      <c r="J5" s="8" t="s">
        <v>17</v>
      </c>
      <c r="K5" s="25" t="s">
        <v>18</v>
      </c>
      <c r="L5" s="9" t="s">
        <v>19</v>
      </c>
    </row>
    <row r="6" spans="1:12" ht="40.5" x14ac:dyDescent="0.35">
      <c r="B6" s="14">
        <f>ROW() - 5</f>
        <v>1</v>
      </c>
      <c r="C6" s="10" t="s">
        <v>177</v>
      </c>
      <c r="D6" s="10"/>
      <c r="E6" s="61" t="s">
        <v>178</v>
      </c>
      <c r="F6" s="18" t="s">
        <v>180</v>
      </c>
      <c r="G6" s="18"/>
      <c r="H6" s="17" t="s">
        <v>190</v>
      </c>
      <c r="I6" s="18" t="s">
        <v>191</v>
      </c>
      <c r="J6" s="18"/>
      <c r="K6" s="7" t="s">
        <v>223</v>
      </c>
      <c r="L6" s="2"/>
    </row>
    <row r="7" spans="1:12" ht="135" x14ac:dyDescent="0.35">
      <c r="B7" s="14">
        <f t="shared" ref="B7:B53" si="0">ROW() - 5</f>
        <v>2</v>
      </c>
      <c r="C7" s="11"/>
      <c r="D7" s="11"/>
      <c r="E7" s="61"/>
      <c r="F7" s="18" t="s">
        <v>181</v>
      </c>
      <c r="G7" s="18"/>
      <c r="H7" s="17" t="s">
        <v>276</v>
      </c>
      <c r="I7" s="18" t="s">
        <v>23</v>
      </c>
      <c r="J7" s="31" t="s">
        <v>275</v>
      </c>
      <c r="K7" s="7" t="s">
        <v>223</v>
      </c>
      <c r="L7" s="2"/>
    </row>
    <row r="8" spans="1:12" ht="40.5" x14ac:dyDescent="0.35">
      <c r="B8" s="14">
        <f t="shared" si="0"/>
        <v>3</v>
      </c>
      <c r="C8" s="11"/>
      <c r="D8" s="11"/>
      <c r="E8" s="61"/>
      <c r="F8" s="18" t="s">
        <v>183</v>
      </c>
      <c r="G8" s="18"/>
      <c r="H8" s="17" t="s">
        <v>271</v>
      </c>
      <c r="I8" s="18" t="s">
        <v>23</v>
      </c>
      <c r="J8" s="18"/>
      <c r="K8" s="7" t="s">
        <v>223</v>
      </c>
      <c r="L8" s="2"/>
    </row>
    <row r="9" spans="1:12" ht="40.5" x14ac:dyDescent="0.35">
      <c r="B9" s="14">
        <f t="shared" si="0"/>
        <v>4</v>
      </c>
      <c r="C9" s="11"/>
      <c r="D9" s="11"/>
      <c r="E9" s="61"/>
      <c r="F9" s="18" t="s">
        <v>184</v>
      </c>
      <c r="G9" s="18"/>
      <c r="H9" s="17" t="s">
        <v>193</v>
      </c>
      <c r="I9" s="18" t="s">
        <v>192</v>
      </c>
      <c r="J9" s="31"/>
      <c r="K9" s="7" t="s">
        <v>223</v>
      </c>
      <c r="L9" s="2"/>
    </row>
    <row r="10" spans="1:12" ht="54" x14ac:dyDescent="0.35">
      <c r="B10" s="14">
        <f t="shared" si="0"/>
        <v>5</v>
      </c>
      <c r="C10" s="11"/>
      <c r="D10" s="11"/>
      <c r="E10" s="61"/>
      <c r="F10" s="18" t="s">
        <v>185</v>
      </c>
      <c r="G10" s="18"/>
      <c r="H10" s="17" t="s">
        <v>277</v>
      </c>
      <c r="I10" s="18" t="s">
        <v>194</v>
      </c>
      <c r="J10" s="31" t="s">
        <v>278</v>
      </c>
      <c r="K10" s="7" t="s">
        <v>223</v>
      </c>
      <c r="L10" s="2"/>
    </row>
    <row r="11" spans="1:12" ht="54" x14ac:dyDescent="0.35">
      <c r="B11" s="14">
        <f t="shared" si="0"/>
        <v>6</v>
      </c>
      <c r="C11" s="11"/>
      <c r="D11" s="11"/>
      <c r="E11" s="61"/>
      <c r="F11" s="18" t="s">
        <v>186</v>
      </c>
      <c r="G11" s="18"/>
      <c r="H11" s="17" t="s">
        <v>280</v>
      </c>
      <c r="I11" s="17" t="s">
        <v>195</v>
      </c>
      <c r="J11" s="31" t="s">
        <v>279</v>
      </c>
      <c r="K11" s="7" t="s">
        <v>223</v>
      </c>
      <c r="L11" s="2"/>
    </row>
    <row r="12" spans="1:12" ht="40.5" x14ac:dyDescent="0.35">
      <c r="B12" s="14">
        <f t="shared" si="0"/>
        <v>7</v>
      </c>
      <c r="C12" s="11"/>
      <c r="D12" s="11"/>
      <c r="E12" s="61"/>
      <c r="F12" s="18" t="s">
        <v>187</v>
      </c>
      <c r="G12" s="18"/>
      <c r="H12" s="17" t="s">
        <v>26</v>
      </c>
      <c r="I12" s="18">
        <v>0</v>
      </c>
      <c r="J12" s="18"/>
      <c r="K12" s="7" t="s">
        <v>223</v>
      </c>
      <c r="L12" s="2"/>
    </row>
    <row r="13" spans="1:12" ht="40.5" x14ac:dyDescent="0.35">
      <c r="B13" s="14">
        <f t="shared" si="0"/>
        <v>8</v>
      </c>
      <c r="C13" s="11"/>
      <c r="D13" s="11"/>
      <c r="E13" s="61"/>
      <c r="F13" s="18" t="s">
        <v>43</v>
      </c>
      <c r="G13" s="18"/>
      <c r="H13" s="17" t="s">
        <v>281</v>
      </c>
      <c r="I13" s="18" t="s">
        <v>23</v>
      </c>
      <c r="J13" s="31" t="s">
        <v>282</v>
      </c>
      <c r="K13" s="7" t="s">
        <v>223</v>
      </c>
      <c r="L13" s="2"/>
    </row>
    <row r="14" spans="1:12" ht="40.5" x14ac:dyDescent="0.35">
      <c r="B14" s="14">
        <f t="shared" si="0"/>
        <v>9</v>
      </c>
      <c r="C14" s="19"/>
      <c r="D14" s="19"/>
      <c r="E14" s="61"/>
      <c r="F14" s="18" t="s">
        <v>188</v>
      </c>
      <c r="G14" s="18"/>
      <c r="H14" s="17" t="s">
        <v>86</v>
      </c>
      <c r="I14" s="18" t="s">
        <v>128</v>
      </c>
      <c r="J14" s="18"/>
      <c r="K14" s="7" t="s">
        <v>223</v>
      </c>
      <c r="L14" s="2"/>
    </row>
    <row r="15" spans="1:12" ht="40.5" x14ac:dyDescent="0.35">
      <c r="B15" s="14">
        <f t="shared" si="0"/>
        <v>10</v>
      </c>
      <c r="C15" s="11" t="s">
        <v>198</v>
      </c>
      <c r="D15" s="11"/>
      <c r="E15" s="60" t="s">
        <v>197</v>
      </c>
      <c r="F15" s="18" t="s">
        <v>184</v>
      </c>
      <c r="G15" s="18"/>
      <c r="H15" s="17" t="s">
        <v>193</v>
      </c>
      <c r="I15" s="18" t="s">
        <v>192</v>
      </c>
      <c r="J15" s="18"/>
      <c r="K15" s="7" t="s">
        <v>204</v>
      </c>
      <c r="L15" s="2"/>
    </row>
    <row r="16" spans="1:12" ht="27" x14ac:dyDescent="0.35">
      <c r="B16" s="14">
        <f t="shared" si="0"/>
        <v>11</v>
      </c>
      <c r="C16" s="11"/>
      <c r="D16" s="11"/>
      <c r="E16" s="61"/>
      <c r="F16" s="18" t="s">
        <v>185</v>
      </c>
      <c r="G16" s="18"/>
      <c r="H16" s="18" t="s">
        <v>199</v>
      </c>
      <c r="I16" s="18" t="s">
        <v>200</v>
      </c>
      <c r="J16" s="18"/>
      <c r="K16" s="7" t="s">
        <v>204</v>
      </c>
      <c r="L16" s="2"/>
    </row>
    <row r="17" spans="2:12" ht="27" x14ac:dyDescent="0.35">
      <c r="B17" s="14">
        <f t="shared" si="0"/>
        <v>12</v>
      </c>
      <c r="C17" s="11"/>
      <c r="D17" s="11"/>
      <c r="E17" s="61"/>
      <c r="F17" s="18" t="s">
        <v>198</v>
      </c>
      <c r="G17" s="18"/>
      <c r="H17" s="17" t="s">
        <v>272</v>
      </c>
      <c r="I17" s="18" t="s">
        <v>23</v>
      </c>
      <c r="J17" s="18"/>
      <c r="K17" s="7" t="s">
        <v>204</v>
      </c>
      <c r="L17" s="2"/>
    </row>
    <row r="18" spans="2:12" ht="27" x14ac:dyDescent="0.35">
      <c r="B18" s="14">
        <f t="shared" si="0"/>
        <v>13</v>
      </c>
      <c r="C18" s="19"/>
      <c r="D18" s="19"/>
      <c r="E18" s="61"/>
      <c r="F18" s="18" t="s">
        <v>188</v>
      </c>
      <c r="G18" s="18"/>
      <c r="H18" s="17" t="s">
        <v>86</v>
      </c>
      <c r="I18" s="18" t="s">
        <v>128</v>
      </c>
      <c r="J18" s="18"/>
      <c r="K18" s="7" t="s">
        <v>204</v>
      </c>
      <c r="L18" s="2"/>
    </row>
    <row r="19" spans="2:12" ht="40.5" x14ac:dyDescent="0.35">
      <c r="B19" s="14">
        <f t="shared" si="0"/>
        <v>14</v>
      </c>
      <c r="C19" s="11" t="s">
        <v>205</v>
      </c>
      <c r="D19" s="11"/>
      <c r="E19" s="60" t="s">
        <v>206</v>
      </c>
      <c r="F19" s="18" t="s">
        <v>184</v>
      </c>
      <c r="G19" s="18"/>
      <c r="H19" s="17" t="s">
        <v>193</v>
      </c>
      <c r="I19" s="18" t="s">
        <v>192</v>
      </c>
      <c r="J19" s="18"/>
      <c r="K19" s="7" t="s">
        <v>207</v>
      </c>
      <c r="L19" s="2"/>
    </row>
    <row r="20" spans="2:12" ht="27" x14ac:dyDescent="0.35">
      <c r="B20" s="14">
        <f t="shared" si="0"/>
        <v>15</v>
      </c>
      <c r="C20" s="11"/>
      <c r="D20" s="11"/>
      <c r="E20" s="61"/>
      <c r="F20" s="18" t="s">
        <v>185</v>
      </c>
      <c r="G20" s="18"/>
      <c r="H20" s="18" t="s">
        <v>199</v>
      </c>
      <c r="I20" s="18" t="s">
        <v>200</v>
      </c>
      <c r="J20" s="18"/>
      <c r="K20" s="7" t="s">
        <v>207</v>
      </c>
      <c r="L20" s="2"/>
    </row>
    <row r="21" spans="2:12" ht="27" x14ac:dyDescent="0.35">
      <c r="B21" s="14">
        <f t="shared" si="0"/>
        <v>16</v>
      </c>
      <c r="C21" s="11"/>
      <c r="D21" s="11"/>
      <c r="E21" s="61"/>
      <c r="F21" s="18" t="s">
        <v>205</v>
      </c>
      <c r="G21" s="18"/>
      <c r="H21" s="17" t="s">
        <v>273</v>
      </c>
      <c r="I21" s="18" t="s">
        <v>23</v>
      </c>
      <c r="J21" s="18"/>
      <c r="K21" s="7" t="s">
        <v>207</v>
      </c>
      <c r="L21" s="2"/>
    </row>
    <row r="22" spans="2:12" ht="27" x14ac:dyDescent="0.35">
      <c r="B22" s="14">
        <f t="shared" si="0"/>
        <v>17</v>
      </c>
      <c r="C22" s="19"/>
      <c r="D22" s="19"/>
      <c r="E22" s="61"/>
      <c r="F22" s="18" t="s">
        <v>188</v>
      </c>
      <c r="G22" s="18"/>
      <c r="H22" s="17" t="s">
        <v>86</v>
      </c>
      <c r="I22" s="18" t="s">
        <v>128</v>
      </c>
      <c r="J22" s="18"/>
      <c r="K22" s="7" t="s">
        <v>207</v>
      </c>
      <c r="L22" s="2"/>
    </row>
    <row r="23" spans="2:12" ht="54" customHeight="1" x14ac:dyDescent="0.35">
      <c r="B23" s="14">
        <f t="shared" si="0"/>
        <v>18</v>
      </c>
      <c r="C23" s="11" t="s">
        <v>211</v>
      </c>
      <c r="D23" s="11"/>
      <c r="E23" s="60" t="s">
        <v>212</v>
      </c>
      <c r="F23" s="18" t="s">
        <v>180</v>
      </c>
      <c r="G23" s="18"/>
      <c r="H23" s="17" t="s">
        <v>190</v>
      </c>
      <c r="I23" s="18" t="s">
        <v>191</v>
      </c>
      <c r="J23" s="18"/>
      <c r="K23" s="7" t="s">
        <v>224</v>
      </c>
      <c r="L23" s="2"/>
    </row>
    <row r="24" spans="2:12" ht="135" x14ac:dyDescent="0.35">
      <c r="B24" s="14">
        <f t="shared" si="0"/>
        <v>19</v>
      </c>
      <c r="C24" s="11"/>
      <c r="D24" s="11"/>
      <c r="E24" s="61"/>
      <c r="F24" s="18" t="s">
        <v>181</v>
      </c>
      <c r="G24" s="18"/>
      <c r="H24" s="17" t="s">
        <v>276</v>
      </c>
      <c r="I24" s="18" t="s">
        <v>23</v>
      </c>
      <c r="J24" s="31" t="s">
        <v>275</v>
      </c>
      <c r="K24" s="7" t="s">
        <v>224</v>
      </c>
      <c r="L24" s="2"/>
    </row>
    <row r="25" spans="2:12" ht="40.5" x14ac:dyDescent="0.35">
      <c r="B25" s="14">
        <f t="shared" si="0"/>
        <v>20</v>
      </c>
      <c r="C25" s="11"/>
      <c r="D25" s="11"/>
      <c r="E25" s="61"/>
      <c r="F25" s="18" t="s">
        <v>183</v>
      </c>
      <c r="G25" s="18"/>
      <c r="H25" s="17" t="s">
        <v>271</v>
      </c>
      <c r="I25" s="18" t="s">
        <v>23</v>
      </c>
      <c r="J25" s="18"/>
      <c r="K25" s="7" t="s">
        <v>224</v>
      </c>
      <c r="L25" s="2"/>
    </row>
    <row r="26" spans="2:12" ht="40.5" x14ac:dyDescent="0.35">
      <c r="B26" s="14">
        <f t="shared" si="0"/>
        <v>21</v>
      </c>
      <c r="C26" s="11"/>
      <c r="D26" s="11"/>
      <c r="E26" s="61"/>
      <c r="F26" s="18" t="s">
        <v>184</v>
      </c>
      <c r="G26" s="18"/>
      <c r="H26" s="17" t="s">
        <v>193</v>
      </c>
      <c r="I26" s="18" t="s">
        <v>192</v>
      </c>
      <c r="J26" s="18"/>
      <c r="K26" s="7" t="s">
        <v>224</v>
      </c>
      <c r="L26" s="2"/>
    </row>
    <row r="27" spans="2:12" ht="54" x14ac:dyDescent="0.35">
      <c r="B27" s="14">
        <f t="shared" si="0"/>
        <v>22</v>
      </c>
      <c r="C27" s="11"/>
      <c r="D27" s="11"/>
      <c r="E27" s="61"/>
      <c r="F27" s="18" t="s">
        <v>185</v>
      </c>
      <c r="G27" s="18"/>
      <c r="H27" s="17" t="s">
        <v>277</v>
      </c>
      <c r="I27" s="18" t="s">
        <v>194</v>
      </c>
      <c r="J27" s="31" t="s">
        <v>278</v>
      </c>
      <c r="K27" s="7" t="s">
        <v>224</v>
      </c>
      <c r="L27" s="2"/>
    </row>
    <row r="28" spans="2:12" ht="40.5" x14ac:dyDescent="0.35">
      <c r="B28" s="14">
        <f t="shared" si="0"/>
        <v>23</v>
      </c>
      <c r="C28" s="11"/>
      <c r="D28" s="11"/>
      <c r="E28" s="61"/>
      <c r="F28" s="18" t="s">
        <v>213</v>
      </c>
      <c r="G28" s="18"/>
      <c r="H28" s="17" t="s">
        <v>26</v>
      </c>
      <c r="I28" s="20" t="s">
        <v>25</v>
      </c>
      <c r="J28" s="18"/>
      <c r="K28" s="7" t="s">
        <v>224</v>
      </c>
      <c r="L28" s="2"/>
    </row>
    <row r="29" spans="2:12" ht="40.5" x14ac:dyDescent="0.35">
      <c r="B29" s="14">
        <f t="shared" si="0"/>
        <v>24</v>
      </c>
      <c r="C29" s="19"/>
      <c r="D29" s="19"/>
      <c r="E29" s="19"/>
      <c r="F29" s="18" t="s">
        <v>188</v>
      </c>
      <c r="G29" s="18"/>
      <c r="H29" s="17" t="s">
        <v>86</v>
      </c>
      <c r="I29" s="18" t="s">
        <v>128</v>
      </c>
      <c r="J29" s="18"/>
      <c r="K29" s="7" t="s">
        <v>224</v>
      </c>
      <c r="L29" s="2"/>
    </row>
    <row r="30" spans="2:12" ht="54" customHeight="1" x14ac:dyDescent="0.35">
      <c r="B30" s="14">
        <f t="shared" si="0"/>
        <v>25</v>
      </c>
      <c r="C30" s="11" t="s">
        <v>214</v>
      </c>
      <c r="D30" s="11"/>
      <c r="E30" s="60" t="s">
        <v>215</v>
      </c>
      <c r="F30" s="18" t="s">
        <v>180</v>
      </c>
      <c r="G30" s="18"/>
      <c r="H30" s="17" t="s">
        <v>190</v>
      </c>
      <c r="I30" s="18" t="s">
        <v>191</v>
      </c>
      <c r="J30" s="18"/>
      <c r="K30" s="7" t="s">
        <v>222</v>
      </c>
      <c r="L30" s="2"/>
    </row>
    <row r="31" spans="2:12" ht="135" x14ac:dyDescent="0.35">
      <c r="B31" s="14">
        <f t="shared" si="0"/>
        <v>26</v>
      </c>
      <c r="C31" s="11"/>
      <c r="D31" s="11"/>
      <c r="E31" s="61"/>
      <c r="F31" s="18" t="s">
        <v>181</v>
      </c>
      <c r="G31" s="18"/>
      <c r="H31" s="17" t="s">
        <v>276</v>
      </c>
      <c r="I31" s="18" t="s">
        <v>23</v>
      </c>
      <c r="J31" s="31" t="s">
        <v>275</v>
      </c>
      <c r="K31" s="7" t="s">
        <v>222</v>
      </c>
      <c r="L31" s="2"/>
    </row>
    <row r="32" spans="2:12" ht="40.5" x14ac:dyDescent="0.35">
      <c r="B32" s="14">
        <f t="shared" si="0"/>
        <v>27</v>
      </c>
      <c r="C32" s="11"/>
      <c r="D32" s="11"/>
      <c r="E32" s="61"/>
      <c r="F32" s="18" t="s">
        <v>183</v>
      </c>
      <c r="G32" s="18"/>
      <c r="H32" s="17" t="s">
        <v>271</v>
      </c>
      <c r="I32" s="18" t="s">
        <v>23</v>
      </c>
      <c r="J32" s="18"/>
      <c r="K32" s="7" t="s">
        <v>222</v>
      </c>
      <c r="L32" s="2"/>
    </row>
    <row r="33" spans="2:12" ht="40.5" x14ac:dyDescent="0.35">
      <c r="B33" s="14">
        <f t="shared" si="0"/>
        <v>28</v>
      </c>
      <c r="C33" s="11"/>
      <c r="D33" s="11"/>
      <c r="E33" s="61"/>
      <c r="F33" s="18" t="s">
        <v>184</v>
      </c>
      <c r="G33" s="18"/>
      <c r="H33" s="17" t="s">
        <v>193</v>
      </c>
      <c r="I33" s="18" t="s">
        <v>192</v>
      </c>
      <c r="J33" s="18"/>
      <c r="K33" s="7" t="s">
        <v>222</v>
      </c>
      <c r="L33" s="2"/>
    </row>
    <row r="34" spans="2:12" ht="54" x14ac:dyDescent="0.35">
      <c r="B34" s="14">
        <f t="shared" si="0"/>
        <v>29</v>
      </c>
      <c r="C34" s="11"/>
      <c r="D34" s="11"/>
      <c r="E34" s="61"/>
      <c r="F34" s="18" t="s">
        <v>185</v>
      </c>
      <c r="G34" s="18"/>
      <c r="H34" s="17" t="s">
        <v>277</v>
      </c>
      <c r="I34" s="18" t="s">
        <v>194</v>
      </c>
      <c r="J34" s="31" t="s">
        <v>278</v>
      </c>
      <c r="K34" s="7" t="s">
        <v>222</v>
      </c>
      <c r="L34" s="2"/>
    </row>
    <row r="35" spans="2:12" ht="40.5" x14ac:dyDescent="0.35">
      <c r="B35" s="14">
        <f t="shared" si="0"/>
        <v>30</v>
      </c>
      <c r="C35" s="11"/>
      <c r="D35" s="11"/>
      <c r="E35" s="61"/>
      <c r="F35" s="18" t="s">
        <v>216</v>
      </c>
      <c r="G35" s="18"/>
      <c r="H35" s="17" t="s">
        <v>26</v>
      </c>
      <c r="I35" s="20" t="s">
        <v>25</v>
      </c>
      <c r="J35" s="18"/>
      <c r="K35" s="7" t="s">
        <v>222</v>
      </c>
      <c r="L35" s="2"/>
    </row>
    <row r="36" spans="2:12" ht="40.5" x14ac:dyDescent="0.35">
      <c r="B36" s="14">
        <f t="shared" si="0"/>
        <v>31</v>
      </c>
      <c r="C36" s="11"/>
      <c r="D36" s="11"/>
      <c r="E36" s="61"/>
      <c r="F36" s="18" t="s">
        <v>186</v>
      </c>
      <c r="G36" s="18"/>
      <c r="H36" s="17" t="s">
        <v>219</v>
      </c>
      <c r="I36" s="20" t="s">
        <v>219</v>
      </c>
      <c r="J36" s="18"/>
      <c r="K36" s="7" t="s">
        <v>222</v>
      </c>
      <c r="L36" s="2"/>
    </row>
    <row r="37" spans="2:12" ht="40.5" x14ac:dyDescent="0.35">
      <c r="B37" s="14">
        <f t="shared" si="0"/>
        <v>32</v>
      </c>
      <c r="C37" s="11"/>
      <c r="D37" s="11"/>
      <c r="E37" s="61"/>
      <c r="F37" s="18" t="s">
        <v>218</v>
      </c>
      <c r="G37" s="18"/>
      <c r="H37" s="17" t="s">
        <v>26</v>
      </c>
      <c r="I37" s="20">
        <v>100</v>
      </c>
      <c r="J37" s="18"/>
      <c r="K37" s="7" t="s">
        <v>222</v>
      </c>
      <c r="L37" s="2"/>
    </row>
    <row r="38" spans="2:12" ht="40.5" x14ac:dyDescent="0.35">
      <c r="B38" s="14">
        <f t="shared" si="0"/>
        <v>33</v>
      </c>
      <c r="C38" s="19"/>
      <c r="D38" s="19"/>
      <c r="E38" s="19"/>
      <c r="F38" s="18" t="s">
        <v>217</v>
      </c>
      <c r="G38" s="18"/>
      <c r="H38" s="17" t="s">
        <v>86</v>
      </c>
      <c r="I38" s="18" t="s">
        <v>128</v>
      </c>
      <c r="J38" s="18"/>
      <c r="K38" s="7" t="s">
        <v>222</v>
      </c>
      <c r="L38" s="2"/>
    </row>
    <row r="39" spans="2:12" ht="54" customHeight="1" x14ac:dyDescent="0.35">
      <c r="B39" s="14">
        <f t="shared" si="0"/>
        <v>34</v>
      </c>
      <c r="C39" s="11" t="s">
        <v>227</v>
      </c>
      <c r="D39" s="11"/>
      <c r="E39" s="60" t="s">
        <v>228</v>
      </c>
      <c r="F39" s="18" t="s">
        <v>180</v>
      </c>
      <c r="G39" s="18"/>
      <c r="H39" s="17" t="s">
        <v>190</v>
      </c>
      <c r="I39" s="18" t="s">
        <v>191</v>
      </c>
      <c r="J39" s="18"/>
      <c r="K39" s="7" t="s">
        <v>229</v>
      </c>
      <c r="L39" s="2"/>
    </row>
    <row r="40" spans="2:12" ht="135" x14ac:dyDescent="0.35">
      <c r="B40" s="14">
        <f t="shared" si="0"/>
        <v>35</v>
      </c>
      <c r="C40" s="11"/>
      <c r="D40" s="11"/>
      <c r="E40" s="61"/>
      <c r="F40" s="18" t="s">
        <v>181</v>
      </c>
      <c r="G40" s="18"/>
      <c r="H40" s="17" t="s">
        <v>276</v>
      </c>
      <c r="I40" s="18" t="s">
        <v>23</v>
      </c>
      <c r="J40" s="31" t="s">
        <v>275</v>
      </c>
      <c r="K40" s="7" t="s">
        <v>229</v>
      </c>
      <c r="L40" s="2"/>
    </row>
    <row r="41" spans="2:12" ht="27" x14ac:dyDescent="0.35">
      <c r="B41" s="14">
        <f t="shared" si="0"/>
        <v>36</v>
      </c>
      <c r="C41" s="11"/>
      <c r="D41" s="11"/>
      <c r="E41" s="61"/>
      <c r="F41" s="18" t="s">
        <v>183</v>
      </c>
      <c r="G41" s="18"/>
      <c r="H41" s="17" t="s">
        <v>271</v>
      </c>
      <c r="I41" s="18" t="s">
        <v>23</v>
      </c>
      <c r="J41" s="18"/>
      <c r="K41" s="7" t="s">
        <v>229</v>
      </c>
      <c r="L41" s="2"/>
    </row>
    <row r="42" spans="2:12" ht="27" x14ac:dyDescent="0.35">
      <c r="B42" s="14">
        <f t="shared" si="0"/>
        <v>37</v>
      </c>
      <c r="C42" s="11"/>
      <c r="D42" s="11"/>
      <c r="E42" s="61"/>
      <c r="F42" s="18" t="s">
        <v>184</v>
      </c>
      <c r="G42" s="18"/>
      <c r="H42" s="17" t="s">
        <v>193</v>
      </c>
      <c r="I42" s="18" t="s">
        <v>192</v>
      </c>
      <c r="J42" s="18"/>
      <c r="K42" s="7" t="s">
        <v>229</v>
      </c>
      <c r="L42" s="2"/>
    </row>
    <row r="43" spans="2:12" ht="54" x14ac:dyDescent="0.35">
      <c r="B43" s="14">
        <f t="shared" si="0"/>
        <v>38</v>
      </c>
      <c r="C43" s="11"/>
      <c r="D43" s="11"/>
      <c r="E43" s="61"/>
      <c r="F43" s="18" t="s">
        <v>185</v>
      </c>
      <c r="G43" s="18"/>
      <c r="H43" s="17" t="s">
        <v>277</v>
      </c>
      <c r="I43" s="18" t="s">
        <v>194</v>
      </c>
      <c r="J43" s="31" t="s">
        <v>278</v>
      </c>
      <c r="K43" s="7" t="s">
        <v>229</v>
      </c>
      <c r="L43" s="2"/>
    </row>
    <row r="44" spans="2:12" ht="27" x14ac:dyDescent="0.35">
      <c r="B44" s="14">
        <f t="shared" si="0"/>
        <v>39</v>
      </c>
      <c r="C44" s="11"/>
      <c r="D44" s="11"/>
      <c r="E44" s="61"/>
      <c r="F44" s="18" t="s">
        <v>226</v>
      </c>
      <c r="G44" s="18"/>
      <c r="H44" s="18" t="s">
        <v>26</v>
      </c>
      <c r="I44" s="18">
        <v>0</v>
      </c>
      <c r="J44" s="18"/>
      <c r="K44" s="7" t="s">
        <v>229</v>
      </c>
      <c r="L44" s="2"/>
    </row>
    <row r="45" spans="2:12" ht="27" x14ac:dyDescent="0.35">
      <c r="B45" s="14">
        <f t="shared" si="0"/>
        <v>40</v>
      </c>
      <c r="C45" s="12"/>
      <c r="D45" s="12"/>
      <c r="E45" s="19"/>
      <c r="F45" s="18" t="s">
        <v>217</v>
      </c>
      <c r="G45" s="18"/>
      <c r="H45" s="17" t="s">
        <v>86</v>
      </c>
      <c r="I45" s="18" t="s">
        <v>128</v>
      </c>
      <c r="J45" s="18"/>
      <c r="K45" s="7" t="s">
        <v>229</v>
      </c>
      <c r="L45" s="2"/>
    </row>
    <row r="46" spans="2:12" ht="54" customHeight="1" x14ac:dyDescent="0.35">
      <c r="B46" s="14">
        <f t="shared" si="0"/>
        <v>41</v>
      </c>
      <c r="C46" s="11" t="s">
        <v>233</v>
      </c>
      <c r="D46" s="11"/>
      <c r="E46" s="60" t="s">
        <v>234</v>
      </c>
      <c r="F46" s="18" t="s">
        <v>180</v>
      </c>
      <c r="G46" s="18"/>
      <c r="H46" s="17" t="s">
        <v>190</v>
      </c>
      <c r="I46" s="18" t="s">
        <v>191</v>
      </c>
      <c r="J46" s="18"/>
      <c r="K46" s="7" t="s">
        <v>235</v>
      </c>
      <c r="L46" s="2"/>
    </row>
    <row r="47" spans="2:12" ht="135" x14ac:dyDescent="0.35">
      <c r="B47" s="14">
        <f t="shared" si="0"/>
        <v>42</v>
      </c>
      <c r="C47" s="11"/>
      <c r="D47" s="11"/>
      <c r="E47" s="61"/>
      <c r="F47" s="18" t="s">
        <v>181</v>
      </c>
      <c r="G47" s="18"/>
      <c r="H47" s="17" t="s">
        <v>276</v>
      </c>
      <c r="I47" s="18" t="s">
        <v>23</v>
      </c>
      <c r="J47" s="31" t="s">
        <v>275</v>
      </c>
      <c r="K47" s="7" t="s">
        <v>235</v>
      </c>
      <c r="L47" s="2"/>
    </row>
    <row r="48" spans="2:12" ht="40.5" x14ac:dyDescent="0.35">
      <c r="B48" s="14">
        <f t="shared" si="0"/>
        <v>43</v>
      </c>
      <c r="C48" s="11"/>
      <c r="D48" s="11"/>
      <c r="E48" s="61"/>
      <c r="F48" s="18" t="s">
        <v>183</v>
      </c>
      <c r="G48" s="18"/>
      <c r="H48" s="17" t="s">
        <v>271</v>
      </c>
      <c r="I48" s="18" t="s">
        <v>23</v>
      </c>
      <c r="J48" s="18"/>
      <c r="K48" s="7" t="s">
        <v>235</v>
      </c>
      <c r="L48" s="2"/>
    </row>
    <row r="49" spans="2:12" ht="40.5" x14ac:dyDescent="0.35">
      <c r="B49" s="14">
        <f t="shared" si="0"/>
        <v>44</v>
      </c>
      <c r="C49" s="11"/>
      <c r="D49" s="11"/>
      <c r="E49" s="61"/>
      <c r="F49" s="18" t="s">
        <v>184</v>
      </c>
      <c r="G49" s="18"/>
      <c r="H49" s="17" t="s">
        <v>193</v>
      </c>
      <c r="I49" s="18" t="s">
        <v>192</v>
      </c>
      <c r="J49" s="18"/>
      <c r="K49" s="7" t="s">
        <v>235</v>
      </c>
      <c r="L49" s="2"/>
    </row>
    <row r="50" spans="2:12" ht="54" x14ac:dyDescent="0.35">
      <c r="B50" s="14">
        <f t="shared" si="0"/>
        <v>45</v>
      </c>
      <c r="C50" s="11"/>
      <c r="D50" s="11"/>
      <c r="E50" s="61"/>
      <c r="F50" s="18" t="s">
        <v>185</v>
      </c>
      <c r="G50" s="18"/>
      <c r="H50" s="17" t="s">
        <v>277</v>
      </c>
      <c r="I50" s="18" t="s">
        <v>194</v>
      </c>
      <c r="J50" s="31" t="s">
        <v>278</v>
      </c>
      <c r="K50" s="7" t="s">
        <v>235</v>
      </c>
      <c r="L50" s="2"/>
    </row>
    <row r="51" spans="2:12" ht="40.5" x14ac:dyDescent="0.35">
      <c r="B51" s="14">
        <f t="shared" si="0"/>
        <v>46</v>
      </c>
      <c r="C51" s="11"/>
      <c r="D51" s="11"/>
      <c r="E51" s="61"/>
      <c r="F51" s="18" t="s">
        <v>186</v>
      </c>
      <c r="G51" s="18"/>
      <c r="H51" s="17" t="s">
        <v>219</v>
      </c>
      <c r="I51" s="20" t="s">
        <v>219</v>
      </c>
      <c r="J51" s="18"/>
      <c r="K51" s="7" t="s">
        <v>235</v>
      </c>
      <c r="L51" s="2"/>
    </row>
    <row r="52" spans="2:12" ht="40.5" x14ac:dyDescent="0.35">
      <c r="B52" s="14">
        <f t="shared" si="0"/>
        <v>47</v>
      </c>
      <c r="C52" s="11"/>
      <c r="D52" s="11"/>
      <c r="E52" s="61"/>
      <c r="F52" s="18" t="s">
        <v>218</v>
      </c>
      <c r="G52" s="18"/>
      <c r="H52" s="17" t="s">
        <v>26</v>
      </c>
      <c r="I52" s="20">
        <v>100</v>
      </c>
      <c r="J52" s="18"/>
      <c r="K52" s="7" t="s">
        <v>235</v>
      </c>
      <c r="L52" s="2"/>
    </row>
    <row r="53" spans="2:12" ht="40.5" x14ac:dyDescent="0.35">
      <c r="B53" s="14">
        <f t="shared" si="0"/>
        <v>48</v>
      </c>
      <c r="C53" s="19"/>
      <c r="D53" s="19"/>
      <c r="E53" s="19"/>
      <c r="F53" s="18" t="s">
        <v>217</v>
      </c>
      <c r="G53" s="18"/>
      <c r="H53" s="17" t="s">
        <v>86</v>
      </c>
      <c r="I53" s="18" t="s">
        <v>128</v>
      </c>
      <c r="J53" s="18"/>
      <c r="K53" s="7" t="s">
        <v>235</v>
      </c>
      <c r="L53" s="2"/>
    </row>
  </sheetData>
  <phoneticPr fontId="10"/>
  <hyperlinks>
    <hyperlink ref="A4" location="パラメータ設定一覧!A1" display="パラメータ設定一覧へ" xr:uid="{E29115E3-87BA-4535-9C2A-5D964297763C}"/>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EF06-5152-421F-8F7F-9C3C60612F66}">
  <sheetPr>
    <tabColor theme="0" tint="-0.499984740745262"/>
  </sheetPr>
  <dimension ref="A1:K11"/>
  <sheetViews>
    <sheetView showGridLines="0" zoomScaleNormal="100" workbookViewId="0">
      <pane ySplit="6" topLeftCell="A7" activePane="bottomLeft" state="frozen"/>
      <selection activeCell="G6" sqref="G6"/>
      <selection pane="bottomLeft" activeCell="G6" sqref="G6"/>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bestFit="1" customWidth="1"/>
    <col min="11"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11" s="27" customFormat="1" ht="19.5" x14ac:dyDescent="0.35">
      <c r="A1" s="1" t="s">
        <v>196</v>
      </c>
    </row>
    <row r="2" spans="1:11" s="27" customFormat="1" ht="15" x14ac:dyDescent="0.35"/>
    <row r="3" spans="1:11" s="27" customFormat="1" ht="15" x14ac:dyDescent="0.35">
      <c r="A3" s="52" t="s">
        <v>315</v>
      </c>
    </row>
    <row r="4" spans="1:11" ht="15.75" customHeight="1" x14ac:dyDescent="0.35">
      <c r="B4" s="149" t="s">
        <v>5</v>
      </c>
      <c r="C4" s="83" t="s">
        <v>203</v>
      </c>
      <c r="D4" s="80"/>
      <c r="E4" s="80"/>
      <c r="F4" s="80"/>
      <c r="G4" s="80"/>
      <c r="H4" s="80"/>
      <c r="I4" s="80"/>
      <c r="J4" s="80"/>
      <c r="K4" s="81"/>
    </row>
    <row r="5" spans="1:11" x14ac:dyDescent="0.35">
      <c r="B5" s="149"/>
      <c r="C5" s="4" t="s">
        <v>179</v>
      </c>
      <c r="D5" s="4" t="s">
        <v>181</v>
      </c>
      <c r="E5" s="4" t="s">
        <v>182</v>
      </c>
      <c r="F5" s="4" t="s">
        <v>184</v>
      </c>
      <c r="G5" s="4" t="s">
        <v>185</v>
      </c>
      <c r="H5" s="4" t="s">
        <v>186</v>
      </c>
      <c r="I5" s="4" t="s">
        <v>187</v>
      </c>
      <c r="J5" s="4" t="s">
        <v>43</v>
      </c>
      <c r="K5" s="4" t="s">
        <v>188</v>
      </c>
    </row>
    <row r="6" spans="1:11" ht="40.5" x14ac:dyDescent="0.35">
      <c r="B6" s="149"/>
      <c r="C6" s="6" t="s">
        <v>189</v>
      </c>
      <c r="D6" s="6" t="s">
        <v>276</v>
      </c>
      <c r="E6" s="6" t="s">
        <v>271</v>
      </c>
      <c r="F6" s="6" t="s">
        <v>193</v>
      </c>
      <c r="G6" s="6" t="s">
        <v>277</v>
      </c>
      <c r="H6" s="6" t="s">
        <v>280</v>
      </c>
      <c r="I6" s="6" t="s">
        <v>26</v>
      </c>
      <c r="J6" s="6" t="s">
        <v>281</v>
      </c>
      <c r="K6" s="6" t="s">
        <v>86</v>
      </c>
    </row>
    <row r="7" spans="1:11" x14ac:dyDescent="0.3">
      <c r="B7" s="65">
        <f>ROW() - 6</f>
        <v>1</v>
      </c>
      <c r="C7" s="72"/>
      <c r="D7" s="72"/>
      <c r="E7" s="72"/>
      <c r="F7" s="72"/>
      <c r="G7" s="72"/>
      <c r="H7" s="72"/>
      <c r="I7" s="72"/>
      <c r="J7" s="72"/>
      <c r="K7" s="72"/>
    </row>
    <row r="8" spans="1:11" x14ac:dyDescent="0.3">
      <c r="B8" s="65">
        <f t="shared" ref="B8:B11" si="0">ROW() - 6</f>
        <v>2</v>
      </c>
      <c r="C8" s="73"/>
      <c r="D8" s="73"/>
      <c r="E8" s="72"/>
      <c r="F8" s="72"/>
      <c r="G8" s="72"/>
      <c r="H8" s="72"/>
      <c r="I8" s="72"/>
      <c r="J8" s="72"/>
      <c r="K8" s="72"/>
    </row>
    <row r="9" spans="1:11" x14ac:dyDescent="0.3">
      <c r="B9" s="65">
        <f t="shared" si="0"/>
        <v>3</v>
      </c>
      <c r="C9" s="73"/>
      <c r="D9" s="73"/>
      <c r="E9" s="72"/>
      <c r="F9" s="72"/>
      <c r="G9" s="72"/>
      <c r="H9" s="72"/>
      <c r="I9" s="72"/>
      <c r="J9" s="72"/>
      <c r="K9" s="72"/>
    </row>
    <row r="10" spans="1:11" x14ac:dyDescent="0.3">
      <c r="B10" s="65">
        <f t="shared" si="0"/>
        <v>4</v>
      </c>
      <c r="C10" s="74"/>
      <c r="D10" s="75"/>
      <c r="E10" s="76"/>
      <c r="F10" s="76"/>
      <c r="G10" s="76"/>
      <c r="H10" s="76"/>
      <c r="I10" s="76"/>
      <c r="J10" s="76"/>
      <c r="K10" s="76"/>
    </row>
    <row r="11" spans="1:11" x14ac:dyDescent="0.3">
      <c r="B11" s="65">
        <f t="shared" si="0"/>
        <v>5</v>
      </c>
      <c r="C11" s="74"/>
      <c r="D11" s="75"/>
      <c r="E11" s="65"/>
      <c r="F11" s="65"/>
      <c r="G11" s="65"/>
      <c r="H11" s="65"/>
      <c r="I11" s="65"/>
      <c r="J11" s="65"/>
      <c r="K11" s="65"/>
    </row>
  </sheetData>
  <sheetProtection insertRows="0" deleteRows="0" sort="0" autoFilter="0"/>
  <mergeCells count="1">
    <mergeCell ref="B4:B6"/>
  </mergeCells>
  <phoneticPr fontId="10"/>
  <hyperlinks>
    <hyperlink ref="A3" location="パラメータ設定一覧!A1" display="パラメータ設定一覧へ" xr:uid="{8D93E9F5-1B26-4502-947E-2E9B740C9B5A}"/>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A395-6A6A-484B-A0C8-D0E01DDBD1FA}">
  <sheetPr>
    <tabColor theme="0" tint="-0.499984740745262"/>
  </sheetPr>
  <dimension ref="A1:F11"/>
  <sheetViews>
    <sheetView showGridLines="0" zoomScaleNormal="100" workbookViewId="0">
      <pane ySplit="6" topLeftCell="A7" activePane="bottomLeft" state="frozen"/>
      <selection activeCell="G6" sqref="G6"/>
      <selection pane="bottomLeft" activeCell="G6" sqref="G6"/>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5.2109375" style="62" customWidth="1"/>
    <col min="8" max="8" width="20.640625" style="62" bestFit="1" customWidth="1"/>
    <col min="9" max="9" width="14.42578125" style="62" bestFit="1" customWidth="1"/>
    <col min="10" max="10" width="11.78515625" style="62" customWidth="1"/>
    <col min="11" max="11" width="8.2109375" style="62" bestFit="1" customWidth="1"/>
    <col min="12" max="16384" width="8.78515625" style="62"/>
  </cols>
  <sheetData>
    <row r="1" spans="1:6" s="27" customFormat="1" ht="19.5" x14ac:dyDescent="0.35">
      <c r="A1" s="1" t="s">
        <v>202</v>
      </c>
    </row>
    <row r="2" spans="1:6" s="27" customFormat="1" ht="15" x14ac:dyDescent="0.35"/>
    <row r="3" spans="1:6" s="27" customFormat="1" ht="15" x14ac:dyDescent="0.35">
      <c r="A3" s="52" t="s">
        <v>315</v>
      </c>
    </row>
    <row r="4" spans="1:6" ht="15.75" customHeight="1" x14ac:dyDescent="0.35">
      <c r="B4" s="149" t="s">
        <v>5</v>
      </c>
      <c r="C4" s="83" t="s">
        <v>201</v>
      </c>
      <c r="D4" s="85"/>
      <c r="E4" s="85"/>
      <c r="F4" s="86"/>
    </row>
    <row r="5" spans="1:6" x14ac:dyDescent="0.35">
      <c r="B5" s="149"/>
      <c r="C5" s="4" t="s">
        <v>184</v>
      </c>
      <c r="D5" s="4" t="s">
        <v>185</v>
      </c>
      <c r="E5" s="4" t="s">
        <v>198</v>
      </c>
      <c r="F5" s="4" t="s">
        <v>188</v>
      </c>
    </row>
    <row r="6" spans="1:6" ht="27" x14ac:dyDescent="0.35">
      <c r="B6" s="149"/>
      <c r="C6" s="6" t="s">
        <v>193</v>
      </c>
      <c r="D6" s="6" t="s">
        <v>89</v>
      </c>
      <c r="E6" s="6" t="s">
        <v>272</v>
      </c>
      <c r="F6" s="6" t="s">
        <v>27</v>
      </c>
    </row>
    <row r="7" spans="1:6" x14ac:dyDescent="0.3">
      <c r="B7" s="65">
        <f>ROW() - 6</f>
        <v>1</v>
      </c>
      <c r="C7" s="72"/>
      <c r="D7" s="72"/>
      <c r="E7" s="72"/>
      <c r="F7" s="72"/>
    </row>
    <row r="8" spans="1:6" x14ac:dyDescent="0.3">
      <c r="B8" s="65">
        <f t="shared" ref="B8:B11" si="0">ROW() - 6</f>
        <v>2</v>
      </c>
      <c r="C8" s="73"/>
      <c r="D8" s="73"/>
      <c r="E8" s="72"/>
      <c r="F8" s="72"/>
    </row>
    <row r="9" spans="1:6" x14ac:dyDescent="0.3">
      <c r="B9" s="65">
        <f t="shared" si="0"/>
        <v>3</v>
      </c>
      <c r="C9" s="74"/>
      <c r="D9" s="75"/>
      <c r="E9" s="76"/>
      <c r="F9" s="76"/>
    </row>
    <row r="10" spans="1:6" x14ac:dyDescent="0.3">
      <c r="B10" s="65">
        <f t="shared" si="0"/>
        <v>4</v>
      </c>
      <c r="C10" s="74"/>
      <c r="D10" s="75"/>
      <c r="E10" s="76"/>
      <c r="F10" s="76"/>
    </row>
    <row r="11" spans="1:6" x14ac:dyDescent="0.3">
      <c r="B11" s="65">
        <f t="shared" si="0"/>
        <v>5</v>
      </c>
      <c r="C11" s="74"/>
      <c r="D11" s="75"/>
      <c r="E11" s="65"/>
      <c r="F11" s="65"/>
    </row>
  </sheetData>
  <sheetProtection insertRows="0" deleteRows="0" sort="0" autoFilter="0"/>
  <mergeCells count="1">
    <mergeCell ref="B4:B6"/>
  </mergeCells>
  <phoneticPr fontId="10"/>
  <hyperlinks>
    <hyperlink ref="A3" location="パラメータ設定一覧!A1" display="パラメータ設定一覧へ" xr:uid="{02C0A3B3-A464-4817-A04E-CF24DC3952AF}"/>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8920-3114-4715-8644-179F2C13177D}">
  <sheetPr>
    <tabColor theme="0" tint="-0.499984740745262"/>
  </sheetPr>
  <dimension ref="A1:F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5.2109375" style="62" customWidth="1"/>
    <col min="8" max="8" width="20.640625" style="62" bestFit="1" customWidth="1"/>
    <col min="9" max="9" width="14.42578125" style="62" bestFit="1" customWidth="1"/>
    <col min="10" max="10" width="11.78515625" style="62" customWidth="1"/>
    <col min="11" max="11" width="8.2109375" style="62" bestFit="1" customWidth="1"/>
    <col min="12" max="16384" width="8.78515625" style="62"/>
  </cols>
  <sheetData>
    <row r="1" spans="1:6" s="27" customFormat="1" ht="19.5" x14ac:dyDescent="0.35">
      <c r="A1" s="1" t="s">
        <v>208</v>
      </c>
    </row>
    <row r="2" spans="1:6" s="27" customFormat="1" ht="15" x14ac:dyDescent="0.35"/>
    <row r="3" spans="1:6" s="27" customFormat="1" ht="15" x14ac:dyDescent="0.35">
      <c r="A3" s="52" t="s">
        <v>315</v>
      </c>
    </row>
    <row r="4" spans="1:6" ht="15.75" customHeight="1" x14ac:dyDescent="0.35">
      <c r="B4" s="149" t="s">
        <v>5</v>
      </c>
      <c r="C4" s="83" t="s">
        <v>209</v>
      </c>
      <c r="D4" s="85"/>
      <c r="E4" s="85"/>
      <c r="F4" s="86"/>
    </row>
    <row r="5" spans="1:6" x14ac:dyDescent="0.35">
      <c r="B5" s="149"/>
      <c r="C5" s="4" t="s">
        <v>184</v>
      </c>
      <c r="D5" s="4" t="s">
        <v>185</v>
      </c>
      <c r="E5" s="4" t="s">
        <v>210</v>
      </c>
      <c r="F5" s="4" t="s">
        <v>188</v>
      </c>
    </row>
    <row r="6" spans="1:6" ht="27" x14ac:dyDescent="0.35">
      <c r="B6" s="149"/>
      <c r="C6" s="6" t="s">
        <v>193</v>
      </c>
      <c r="D6" s="6" t="s">
        <v>89</v>
      </c>
      <c r="E6" s="6" t="s">
        <v>273</v>
      </c>
      <c r="F6" s="6" t="s">
        <v>27</v>
      </c>
    </row>
    <row r="7" spans="1:6" x14ac:dyDescent="0.3">
      <c r="B7" s="65">
        <f>ROW() - 6</f>
        <v>1</v>
      </c>
      <c r="C7" s="72"/>
      <c r="D7" s="72"/>
      <c r="E7" s="72"/>
      <c r="F7" s="72"/>
    </row>
    <row r="8" spans="1:6" x14ac:dyDescent="0.3">
      <c r="B8" s="65">
        <f t="shared" ref="B8:B11" si="0">ROW() - 6</f>
        <v>2</v>
      </c>
      <c r="C8" s="73"/>
      <c r="D8" s="73"/>
      <c r="E8" s="72"/>
      <c r="F8" s="72"/>
    </row>
    <row r="9" spans="1:6" x14ac:dyDescent="0.3">
      <c r="B9" s="65">
        <f t="shared" si="0"/>
        <v>3</v>
      </c>
      <c r="C9" s="73"/>
      <c r="D9" s="73"/>
      <c r="E9" s="72"/>
      <c r="F9" s="72"/>
    </row>
    <row r="10" spans="1:6" x14ac:dyDescent="0.3">
      <c r="B10" s="65">
        <f t="shared" si="0"/>
        <v>4</v>
      </c>
      <c r="C10" s="74"/>
      <c r="D10" s="75"/>
      <c r="E10" s="76"/>
      <c r="F10" s="76"/>
    </row>
    <row r="11" spans="1:6" x14ac:dyDescent="0.3">
      <c r="B11" s="65">
        <f t="shared" si="0"/>
        <v>5</v>
      </c>
      <c r="C11" s="74"/>
      <c r="D11" s="75"/>
      <c r="E11" s="65"/>
      <c r="F11" s="65"/>
    </row>
  </sheetData>
  <sheetProtection insertRows="0" deleteRows="0" sort="0" autoFilter="0"/>
  <mergeCells count="1">
    <mergeCell ref="B4:B6"/>
  </mergeCells>
  <phoneticPr fontId="10"/>
  <hyperlinks>
    <hyperlink ref="A3" location="パラメータ設定一覧!A1" display="パラメータ設定一覧へ" xr:uid="{78242409-8DEA-4E57-8ACF-46AAF26F7A39}"/>
  </hyperlink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C8BC-B3E5-47D6-A862-E3B7775B00DD}">
  <sheetPr>
    <tabColor theme="0" tint="-0.499984740745262"/>
  </sheetPr>
  <dimension ref="A1:I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customWidth="1"/>
    <col min="11" max="11" width="20.640625" style="62" bestFit="1" customWidth="1"/>
    <col min="12" max="12" width="14.42578125" style="62" bestFit="1" customWidth="1"/>
    <col min="13" max="13" width="11.78515625" style="62" customWidth="1"/>
    <col min="14" max="14" width="8.2109375" style="62" bestFit="1" customWidth="1"/>
    <col min="15" max="16384" width="8.78515625" style="62"/>
  </cols>
  <sheetData>
    <row r="1" spans="1:9" s="27" customFormat="1" ht="19.5" x14ac:dyDescent="0.35">
      <c r="A1" s="1" t="s">
        <v>319</v>
      </c>
    </row>
    <row r="2" spans="1:9" s="27" customFormat="1" ht="15" x14ac:dyDescent="0.35"/>
    <row r="3" spans="1:9" s="27" customFormat="1" ht="15" x14ac:dyDescent="0.35">
      <c r="A3" s="52" t="s">
        <v>315</v>
      </c>
    </row>
    <row r="4" spans="1:9" ht="15.75" customHeight="1" x14ac:dyDescent="0.35">
      <c r="B4" s="149" t="s">
        <v>5</v>
      </c>
      <c r="C4" s="83" t="s">
        <v>225</v>
      </c>
      <c r="D4" s="85"/>
      <c r="E4" s="85"/>
      <c r="F4" s="85"/>
      <c r="G4" s="85"/>
      <c r="H4" s="85"/>
      <c r="I4" s="86"/>
    </row>
    <row r="5" spans="1:9" x14ac:dyDescent="0.35">
      <c r="B5" s="149"/>
      <c r="C5" s="4" t="s">
        <v>179</v>
      </c>
      <c r="D5" s="4" t="s">
        <v>181</v>
      </c>
      <c r="E5" s="4" t="s">
        <v>182</v>
      </c>
      <c r="F5" s="4" t="s">
        <v>184</v>
      </c>
      <c r="G5" s="4" t="s">
        <v>185</v>
      </c>
      <c r="H5" s="4" t="s">
        <v>213</v>
      </c>
      <c r="I5" s="4" t="s">
        <v>188</v>
      </c>
    </row>
    <row r="6" spans="1:9" ht="40.5" x14ac:dyDescent="0.35">
      <c r="B6" s="149"/>
      <c r="C6" s="6" t="s">
        <v>189</v>
      </c>
      <c r="D6" s="6" t="s">
        <v>276</v>
      </c>
      <c r="E6" s="6" t="s">
        <v>271</v>
      </c>
      <c r="F6" s="6" t="s">
        <v>193</v>
      </c>
      <c r="G6" s="6" t="s">
        <v>277</v>
      </c>
      <c r="H6" s="6" t="s">
        <v>26</v>
      </c>
      <c r="I6" s="6" t="s">
        <v>86</v>
      </c>
    </row>
    <row r="7" spans="1:9" x14ac:dyDescent="0.3">
      <c r="B7" s="65">
        <f>ROW() - 6</f>
        <v>1</v>
      </c>
      <c r="C7" s="72"/>
      <c r="D7" s="72"/>
      <c r="E7" s="72"/>
      <c r="F7" s="72"/>
      <c r="G7" s="72"/>
      <c r="H7" s="72"/>
      <c r="I7" s="72"/>
    </row>
    <row r="8" spans="1:9" x14ac:dyDescent="0.3">
      <c r="B8" s="65">
        <f t="shared" ref="B8:B11" si="0">ROW() - 6</f>
        <v>2</v>
      </c>
      <c r="C8" s="73"/>
      <c r="D8" s="73"/>
      <c r="E8" s="72"/>
      <c r="F8" s="72"/>
      <c r="G8" s="72"/>
      <c r="H8" s="72"/>
      <c r="I8" s="72"/>
    </row>
    <row r="9" spans="1:9" x14ac:dyDescent="0.3">
      <c r="B9" s="65">
        <f t="shared" si="0"/>
        <v>3</v>
      </c>
      <c r="C9" s="73"/>
      <c r="D9" s="73"/>
      <c r="E9" s="72"/>
      <c r="F9" s="72"/>
      <c r="G9" s="72"/>
      <c r="H9" s="72"/>
      <c r="I9" s="72"/>
    </row>
    <row r="10" spans="1:9" x14ac:dyDescent="0.3">
      <c r="B10" s="65">
        <f t="shared" si="0"/>
        <v>4</v>
      </c>
      <c r="C10" s="74"/>
      <c r="D10" s="75"/>
      <c r="E10" s="76"/>
      <c r="F10" s="76"/>
      <c r="G10" s="76"/>
      <c r="H10" s="76"/>
      <c r="I10" s="76"/>
    </row>
    <row r="11" spans="1:9" x14ac:dyDescent="0.3">
      <c r="B11" s="65">
        <f t="shared" si="0"/>
        <v>5</v>
      </c>
      <c r="C11" s="74"/>
      <c r="D11" s="75"/>
      <c r="E11" s="65"/>
      <c r="F11" s="65"/>
      <c r="G11" s="65"/>
      <c r="H11" s="65"/>
      <c r="I11" s="65"/>
    </row>
  </sheetData>
  <sheetProtection insertRows="0" deleteRows="0" sort="0" autoFilter="0"/>
  <mergeCells count="1">
    <mergeCell ref="B4:B6"/>
  </mergeCells>
  <phoneticPr fontId="10"/>
  <hyperlinks>
    <hyperlink ref="A3" location="パラメータ設定一覧!A1" display="パラメータ設定一覧へ" xr:uid="{490C245B-7A39-4790-BB49-6841AD74EB0E}"/>
  </hyperlink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C184-2D6F-4DBA-A8FD-FEDDE49D3CE7}">
  <sheetPr>
    <tabColor theme="0" tint="-0.499984740745262"/>
  </sheetPr>
  <dimension ref="A1:K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10" width="19.78515625" style="62" customWidth="1"/>
    <col min="11" max="11" width="19.640625" style="62" bestFit="1" customWidth="1"/>
    <col min="12"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11" s="27" customFormat="1" ht="19.5" x14ac:dyDescent="0.35">
      <c r="A1" s="1" t="s">
        <v>220</v>
      </c>
    </row>
    <row r="2" spans="1:11" s="27" customFormat="1" ht="15" x14ac:dyDescent="0.35"/>
    <row r="3" spans="1:11" s="27" customFormat="1" ht="15" x14ac:dyDescent="0.35">
      <c r="A3" s="52" t="s">
        <v>315</v>
      </c>
    </row>
    <row r="4" spans="1:11" ht="15.75" customHeight="1" x14ac:dyDescent="0.35">
      <c r="B4" s="149" t="s">
        <v>5</v>
      </c>
      <c r="C4" s="83" t="s">
        <v>221</v>
      </c>
      <c r="D4" s="80"/>
      <c r="E4" s="80"/>
      <c r="F4" s="80"/>
      <c r="G4" s="80"/>
      <c r="H4" s="80"/>
      <c r="I4" s="80"/>
      <c r="J4" s="80"/>
      <c r="K4" s="81"/>
    </row>
    <row r="5" spans="1:11" x14ac:dyDescent="0.35">
      <c r="B5" s="149"/>
      <c r="C5" s="4" t="s">
        <v>179</v>
      </c>
      <c r="D5" s="4" t="s">
        <v>181</v>
      </c>
      <c r="E5" s="4" t="s">
        <v>182</v>
      </c>
      <c r="F5" s="4" t="s">
        <v>184</v>
      </c>
      <c r="G5" s="4" t="s">
        <v>185</v>
      </c>
      <c r="H5" s="4" t="s">
        <v>216</v>
      </c>
      <c r="I5" s="4" t="s">
        <v>186</v>
      </c>
      <c r="J5" s="4" t="s">
        <v>218</v>
      </c>
      <c r="K5" s="4" t="s">
        <v>188</v>
      </c>
    </row>
    <row r="6" spans="1:11" ht="40.5" x14ac:dyDescent="0.35">
      <c r="B6" s="149"/>
      <c r="C6" s="6" t="s">
        <v>189</v>
      </c>
      <c r="D6" s="6" t="s">
        <v>276</v>
      </c>
      <c r="E6" s="6" t="s">
        <v>271</v>
      </c>
      <c r="F6" s="6" t="s">
        <v>193</v>
      </c>
      <c r="G6" s="6" t="s">
        <v>277</v>
      </c>
      <c r="H6" s="6" t="s">
        <v>26</v>
      </c>
      <c r="I6" s="6" t="s">
        <v>219</v>
      </c>
      <c r="J6" s="6" t="s">
        <v>26</v>
      </c>
      <c r="K6" s="6" t="s">
        <v>86</v>
      </c>
    </row>
    <row r="7" spans="1:11" x14ac:dyDescent="0.3">
      <c r="B7" s="65">
        <f>ROW() - 6</f>
        <v>1</v>
      </c>
      <c r="C7" s="72"/>
      <c r="D7" s="72"/>
      <c r="E7" s="72"/>
      <c r="F7" s="72"/>
      <c r="G7" s="72"/>
      <c r="H7" s="72"/>
      <c r="I7" s="72"/>
      <c r="J7" s="72"/>
      <c r="K7" s="72"/>
    </row>
    <row r="8" spans="1:11" x14ac:dyDescent="0.3">
      <c r="B8" s="65">
        <f t="shared" ref="B8:B11" si="0">ROW() - 6</f>
        <v>2</v>
      </c>
      <c r="C8" s="73"/>
      <c r="D8" s="73"/>
      <c r="E8" s="72"/>
      <c r="F8" s="72"/>
      <c r="G8" s="72"/>
      <c r="H8" s="72"/>
      <c r="I8" s="72"/>
      <c r="J8" s="72"/>
      <c r="K8" s="72"/>
    </row>
    <row r="9" spans="1:11" x14ac:dyDescent="0.3">
      <c r="B9" s="65">
        <f t="shared" si="0"/>
        <v>3</v>
      </c>
      <c r="C9" s="73"/>
      <c r="D9" s="73"/>
      <c r="E9" s="72"/>
      <c r="F9" s="72"/>
      <c r="G9" s="72"/>
      <c r="H9" s="72"/>
      <c r="I9" s="72"/>
      <c r="J9" s="72"/>
      <c r="K9" s="72"/>
    </row>
    <row r="10" spans="1:11" x14ac:dyDescent="0.3">
      <c r="B10" s="65">
        <f t="shared" si="0"/>
        <v>4</v>
      </c>
      <c r="C10" s="74"/>
      <c r="D10" s="75"/>
      <c r="E10" s="76"/>
      <c r="F10" s="76"/>
      <c r="G10" s="76"/>
      <c r="H10" s="76"/>
      <c r="I10" s="76"/>
      <c r="J10" s="76"/>
      <c r="K10" s="76"/>
    </row>
    <row r="11" spans="1:11" x14ac:dyDescent="0.3">
      <c r="B11" s="65">
        <f t="shared" si="0"/>
        <v>5</v>
      </c>
      <c r="C11" s="74"/>
      <c r="D11" s="75"/>
      <c r="E11" s="65"/>
      <c r="F11" s="65"/>
      <c r="G11" s="65"/>
      <c r="H11" s="65"/>
      <c r="I11" s="65"/>
      <c r="J11" s="65"/>
      <c r="K11" s="65"/>
    </row>
  </sheetData>
  <sheetProtection insertRows="0" deleteRows="0" sort="0" autoFilter="0"/>
  <mergeCells count="1">
    <mergeCell ref="B4:B6"/>
  </mergeCells>
  <phoneticPr fontId="10"/>
  <hyperlinks>
    <hyperlink ref="A3" location="パラメータ設定一覧!A1" display="パラメータ設定一覧へ" xr:uid="{5AFAB789-BE2C-41E9-A597-AAA6E89DB7D9}"/>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FFBB2-E3D0-4BC3-A938-F1351CC48866}">
  <sheetPr>
    <tabColor theme="0" tint="-0.499984740745262"/>
  </sheetPr>
  <dimension ref="A1:I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8" width="19.78515625" style="62" customWidth="1"/>
    <col min="9" max="9" width="19.640625" style="62" bestFit="1" customWidth="1"/>
    <col min="10" max="10" width="15.2109375" style="62" customWidth="1"/>
    <col min="11" max="11" width="20.640625" style="62" bestFit="1" customWidth="1"/>
    <col min="12" max="12" width="14.42578125" style="62" bestFit="1" customWidth="1"/>
    <col min="13" max="13" width="11.78515625" style="62" customWidth="1"/>
    <col min="14" max="14" width="8.2109375" style="62" bestFit="1" customWidth="1"/>
    <col min="15" max="16384" width="8.78515625" style="62"/>
  </cols>
  <sheetData>
    <row r="1" spans="1:9" s="27" customFormat="1" ht="19.5" x14ac:dyDescent="0.35">
      <c r="A1" s="1" t="s">
        <v>230</v>
      </c>
    </row>
    <row r="2" spans="1:9" s="27" customFormat="1" ht="15" x14ac:dyDescent="0.35"/>
    <row r="3" spans="1:9" s="27" customFormat="1" ht="15" x14ac:dyDescent="0.35">
      <c r="A3" s="52" t="s">
        <v>315</v>
      </c>
    </row>
    <row r="4" spans="1:9" ht="15.75" customHeight="1" x14ac:dyDescent="0.35">
      <c r="B4" s="149" t="s">
        <v>5</v>
      </c>
      <c r="C4" s="83" t="s">
        <v>231</v>
      </c>
      <c r="D4" s="85"/>
      <c r="E4" s="85"/>
      <c r="F4" s="85"/>
      <c r="G4" s="85"/>
      <c r="H4" s="85"/>
      <c r="I4" s="86"/>
    </row>
    <row r="5" spans="1:9" x14ac:dyDescent="0.35">
      <c r="B5" s="149"/>
      <c r="C5" s="4" t="s">
        <v>179</v>
      </c>
      <c r="D5" s="4" t="s">
        <v>181</v>
      </c>
      <c r="E5" s="4" t="s">
        <v>182</v>
      </c>
      <c r="F5" s="4" t="s">
        <v>184</v>
      </c>
      <c r="G5" s="4" t="s">
        <v>185</v>
      </c>
      <c r="H5" s="4" t="s">
        <v>232</v>
      </c>
      <c r="I5" s="4" t="s">
        <v>188</v>
      </c>
    </row>
    <row r="6" spans="1:9" ht="40.5" x14ac:dyDescent="0.35">
      <c r="B6" s="149"/>
      <c r="C6" s="6" t="s">
        <v>189</v>
      </c>
      <c r="D6" s="6" t="s">
        <v>276</v>
      </c>
      <c r="E6" s="6" t="s">
        <v>271</v>
      </c>
      <c r="F6" s="6" t="s">
        <v>193</v>
      </c>
      <c r="G6" s="6" t="s">
        <v>277</v>
      </c>
      <c r="H6" s="6" t="s">
        <v>26</v>
      </c>
      <c r="I6" s="6" t="s">
        <v>86</v>
      </c>
    </row>
    <row r="7" spans="1:9" x14ac:dyDescent="0.3">
      <c r="B7" s="65">
        <f>ROW() - 6</f>
        <v>1</v>
      </c>
      <c r="C7" s="72"/>
      <c r="D7" s="72"/>
      <c r="E7" s="72"/>
      <c r="F7" s="72"/>
      <c r="G7" s="72"/>
      <c r="H7" s="72"/>
      <c r="I7" s="72"/>
    </row>
    <row r="8" spans="1:9" x14ac:dyDescent="0.3">
      <c r="B8" s="65">
        <f t="shared" ref="B8:B11" si="0">ROW() - 6</f>
        <v>2</v>
      </c>
      <c r="C8" s="73"/>
      <c r="D8" s="73"/>
      <c r="E8" s="72"/>
      <c r="F8" s="72"/>
      <c r="G8" s="72"/>
      <c r="H8" s="72"/>
      <c r="I8" s="72"/>
    </row>
    <row r="9" spans="1:9" x14ac:dyDescent="0.3">
      <c r="B9" s="65">
        <f t="shared" si="0"/>
        <v>3</v>
      </c>
      <c r="C9" s="73"/>
      <c r="D9" s="73"/>
      <c r="E9" s="72"/>
      <c r="F9" s="72"/>
      <c r="G9" s="72"/>
      <c r="H9" s="72"/>
      <c r="I9" s="72"/>
    </row>
    <row r="10" spans="1:9" x14ac:dyDescent="0.3">
      <c r="B10" s="65">
        <f t="shared" si="0"/>
        <v>4</v>
      </c>
      <c r="C10" s="74"/>
      <c r="D10" s="75"/>
      <c r="E10" s="76"/>
      <c r="F10" s="76"/>
      <c r="G10" s="76"/>
      <c r="H10" s="76"/>
      <c r="I10" s="76"/>
    </row>
    <row r="11" spans="1:9" x14ac:dyDescent="0.3">
      <c r="B11" s="65">
        <f t="shared" si="0"/>
        <v>5</v>
      </c>
      <c r="C11" s="74"/>
      <c r="D11" s="75"/>
      <c r="E11" s="65"/>
      <c r="F11" s="65"/>
      <c r="G11" s="65"/>
      <c r="H11" s="65"/>
      <c r="I11" s="65"/>
    </row>
  </sheetData>
  <sheetProtection insertRows="0" deleteRows="0" sort="0" autoFilter="0"/>
  <mergeCells count="1">
    <mergeCell ref="B4:B6"/>
  </mergeCells>
  <phoneticPr fontId="10"/>
  <hyperlinks>
    <hyperlink ref="A3" location="パラメータ設定一覧!A1" display="パラメータ設定一覧へ" xr:uid="{2724FBAB-3B3C-4611-A159-9D4D12924FF9}"/>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D448-2288-4CBC-8620-DFEC338A489F}">
  <sheetPr>
    <tabColor theme="0" tint="-0.499984740745262"/>
  </sheetPr>
  <dimension ref="A1:J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9" width="19.78515625" style="62" customWidth="1"/>
    <col min="10" max="10" width="19.640625" style="62" bestFit="1" customWidth="1"/>
    <col min="11" max="11" width="15.2109375" style="62" customWidth="1"/>
    <col min="12" max="12" width="20.640625" style="62" bestFit="1" customWidth="1"/>
    <col min="13" max="13" width="14.42578125" style="62" bestFit="1" customWidth="1"/>
    <col min="14" max="14" width="11.78515625" style="62" customWidth="1"/>
    <col min="15" max="15" width="8.2109375" style="62" bestFit="1" customWidth="1"/>
    <col min="16" max="16384" width="8.78515625" style="62"/>
  </cols>
  <sheetData>
    <row r="1" spans="1:10" s="27" customFormat="1" ht="19.5" x14ac:dyDescent="0.35">
      <c r="A1" s="1" t="s">
        <v>236</v>
      </c>
    </row>
    <row r="2" spans="1:10" s="27" customFormat="1" ht="15" x14ac:dyDescent="0.35"/>
    <row r="3" spans="1:10" s="27" customFormat="1" ht="15" x14ac:dyDescent="0.35">
      <c r="A3" s="52" t="s">
        <v>315</v>
      </c>
    </row>
    <row r="4" spans="1:10" ht="15.75" customHeight="1" x14ac:dyDescent="0.35">
      <c r="B4" s="149" t="s">
        <v>5</v>
      </c>
      <c r="C4" s="82" t="s">
        <v>237</v>
      </c>
      <c r="D4" s="84"/>
      <c r="E4" s="84"/>
      <c r="F4" s="84"/>
      <c r="G4" s="84"/>
      <c r="H4" s="84"/>
      <c r="I4" s="84"/>
      <c r="J4" s="84"/>
    </row>
    <row r="5" spans="1:10" x14ac:dyDescent="0.35">
      <c r="B5" s="149"/>
      <c r="C5" s="4" t="s">
        <v>179</v>
      </c>
      <c r="D5" s="4" t="s">
        <v>181</v>
      </c>
      <c r="E5" s="4" t="s">
        <v>182</v>
      </c>
      <c r="F5" s="4" t="s">
        <v>184</v>
      </c>
      <c r="G5" s="4" t="s">
        <v>185</v>
      </c>
      <c r="H5" s="4" t="s">
        <v>186</v>
      </c>
      <c r="I5" s="4" t="s">
        <v>218</v>
      </c>
      <c r="J5" s="4" t="s">
        <v>188</v>
      </c>
    </row>
    <row r="6" spans="1:10" ht="40.5" x14ac:dyDescent="0.35">
      <c r="B6" s="149"/>
      <c r="C6" s="6" t="s">
        <v>189</v>
      </c>
      <c r="D6" s="6" t="s">
        <v>276</v>
      </c>
      <c r="E6" s="6" t="s">
        <v>271</v>
      </c>
      <c r="F6" s="6" t="s">
        <v>193</v>
      </c>
      <c r="G6" s="6" t="s">
        <v>277</v>
      </c>
      <c r="H6" s="6" t="s">
        <v>219</v>
      </c>
      <c r="I6" s="6" t="s">
        <v>26</v>
      </c>
      <c r="J6" s="6" t="s">
        <v>86</v>
      </c>
    </row>
    <row r="7" spans="1:10" x14ac:dyDescent="0.3">
      <c r="B7" s="65">
        <f>ROW() - 6</f>
        <v>1</v>
      </c>
      <c r="C7" s="72"/>
      <c r="D7" s="72"/>
      <c r="E7" s="72"/>
      <c r="F7" s="72"/>
      <c r="G7" s="72"/>
      <c r="H7" s="72"/>
      <c r="I7" s="72"/>
      <c r="J7" s="72"/>
    </row>
    <row r="8" spans="1:10" x14ac:dyDescent="0.3">
      <c r="B8" s="65">
        <f t="shared" ref="B8:B11" si="0">ROW() - 6</f>
        <v>2</v>
      </c>
      <c r="C8" s="73"/>
      <c r="D8" s="73"/>
      <c r="E8" s="72"/>
      <c r="F8" s="72"/>
      <c r="G8" s="72"/>
      <c r="H8" s="72"/>
      <c r="I8" s="72"/>
      <c r="J8" s="72"/>
    </row>
    <row r="9" spans="1:10" x14ac:dyDescent="0.3">
      <c r="B9" s="65">
        <f t="shared" si="0"/>
        <v>3</v>
      </c>
      <c r="C9" s="73"/>
      <c r="D9" s="73"/>
      <c r="E9" s="72"/>
      <c r="F9" s="72"/>
      <c r="G9" s="72"/>
      <c r="H9" s="72"/>
      <c r="I9" s="72"/>
      <c r="J9" s="72"/>
    </row>
    <row r="10" spans="1:10" x14ac:dyDescent="0.3">
      <c r="B10" s="65">
        <f t="shared" si="0"/>
        <v>4</v>
      </c>
      <c r="C10" s="74"/>
      <c r="D10" s="75"/>
      <c r="E10" s="76"/>
      <c r="F10" s="76"/>
      <c r="G10" s="76"/>
      <c r="H10" s="76"/>
      <c r="I10" s="76"/>
      <c r="J10" s="76"/>
    </row>
    <row r="11" spans="1:10" x14ac:dyDescent="0.3">
      <c r="B11" s="65">
        <f t="shared" si="0"/>
        <v>5</v>
      </c>
      <c r="C11" s="74"/>
      <c r="D11" s="75"/>
      <c r="E11" s="65"/>
      <c r="F11" s="65"/>
      <c r="G11" s="65"/>
      <c r="H11" s="65"/>
      <c r="I11" s="65"/>
      <c r="J11" s="65"/>
    </row>
  </sheetData>
  <sheetProtection insertRows="0" deleteRows="0" sort="0" autoFilter="0"/>
  <mergeCells count="1">
    <mergeCell ref="B4:B6"/>
  </mergeCells>
  <phoneticPr fontId="10"/>
  <hyperlinks>
    <hyperlink ref="A3" location="パラメータ設定一覧!A1" display="パラメータ設定一覧へ" xr:uid="{FDB77BED-86C1-4626-B97E-8FA4193A3257}"/>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3582-4C90-4644-82CF-4F5A45CA97B6}">
  <dimension ref="A1:L1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62" customWidth="1"/>
    <col min="2" max="2" width="3.35546875"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2" customWidth="1"/>
    <col min="12" max="12" width="13.2109375" style="62" customWidth="1"/>
    <col min="13" max="16384" width="8.78515625" style="62"/>
  </cols>
  <sheetData>
    <row r="1" spans="1:12" s="27" customFormat="1" ht="19.5" x14ac:dyDescent="0.35">
      <c r="A1" s="87" t="s">
        <v>240</v>
      </c>
      <c r="B1" s="88"/>
      <c r="C1" s="88"/>
      <c r="D1" s="88"/>
      <c r="E1" s="88"/>
      <c r="F1" s="88"/>
      <c r="G1" s="88"/>
      <c r="H1" s="88"/>
      <c r="I1" s="88"/>
      <c r="J1" s="88"/>
      <c r="K1" s="88"/>
      <c r="L1" s="88"/>
    </row>
    <row r="2" spans="1:12" s="27" customFormat="1" ht="15" x14ac:dyDescent="0.35">
      <c r="A2" s="88"/>
      <c r="B2" s="88" t="s">
        <v>238</v>
      </c>
      <c r="C2" s="88"/>
      <c r="D2" s="88"/>
      <c r="E2" s="88"/>
      <c r="F2" s="88"/>
      <c r="G2" s="88"/>
      <c r="H2" s="88"/>
      <c r="I2" s="88"/>
      <c r="J2" s="88"/>
      <c r="K2" s="88"/>
      <c r="L2" s="88"/>
    </row>
    <row r="3" spans="1:12" s="27" customFormat="1" ht="15" x14ac:dyDescent="0.35">
      <c r="A3" s="88"/>
      <c r="B3" s="88" t="s">
        <v>307</v>
      </c>
      <c r="C3" s="88"/>
      <c r="D3" s="88"/>
      <c r="E3" s="88"/>
      <c r="F3" s="88"/>
      <c r="G3" s="88"/>
      <c r="H3" s="88"/>
      <c r="I3" s="88"/>
      <c r="J3" s="88"/>
      <c r="K3" s="88"/>
      <c r="L3" s="88"/>
    </row>
    <row r="4" spans="1:12" s="27" customFormat="1" ht="15" x14ac:dyDescent="0.35">
      <c r="A4" s="89" t="s">
        <v>315</v>
      </c>
      <c r="B4" s="88"/>
      <c r="C4" s="88"/>
      <c r="D4" s="88"/>
      <c r="E4" s="88"/>
      <c r="F4" s="88"/>
      <c r="G4" s="88"/>
      <c r="H4" s="88"/>
      <c r="I4" s="88"/>
      <c r="J4" s="88"/>
      <c r="K4" s="88"/>
      <c r="L4" s="88"/>
    </row>
    <row r="5" spans="1:12" x14ac:dyDescent="0.35">
      <c r="A5" s="90"/>
      <c r="B5" s="8" t="s">
        <v>5</v>
      </c>
      <c r="C5" s="8" t="s">
        <v>10</v>
      </c>
      <c r="D5" s="8" t="s">
        <v>11</v>
      </c>
      <c r="E5" s="8" t="s">
        <v>12</v>
      </c>
      <c r="F5" s="13" t="s">
        <v>13</v>
      </c>
      <c r="G5" s="13" t="s">
        <v>14</v>
      </c>
      <c r="H5" s="8" t="s">
        <v>15</v>
      </c>
      <c r="I5" s="8" t="s">
        <v>16</v>
      </c>
      <c r="J5" s="8" t="s">
        <v>17</v>
      </c>
      <c r="K5" s="9" t="s">
        <v>18</v>
      </c>
      <c r="L5" s="9" t="s">
        <v>19</v>
      </c>
    </row>
    <row r="6" spans="1:12" ht="27" x14ac:dyDescent="0.35">
      <c r="A6" s="90"/>
      <c r="B6" s="14">
        <f>ROW() - 5</f>
        <v>1</v>
      </c>
      <c r="C6" s="10" t="s">
        <v>239</v>
      </c>
      <c r="D6" s="10"/>
      <c r="E6" s="10" t="s">
        <v>58</v>
      </c>
      <c r="F6" s="15" t="s">
        <v>240</v>
      </c>
      <c r="G6" s="15"/>
      <c r="H6" s="15" t="s">
        <v>31</v>
      </c>
      <c r="I6" s="16" t="s">
        <v>22</v>
      </c>
      <c r="J6" s="16"/>
      <c r="K6" s="2" t="s">
        <v>259</v>
      </c>
      <c r="L6" s="3"/>
    </row>
    <row r="7" spans="1:12" ht="27" x14ac:dyDescent="0.35">
      <c r="A7" s="90"/>
      <c r="B7" s="14">
        <f t="shared" ref="B7:B13" si="0">ROW() - 5</f>
        <v>2</v>
      </c>
      <c r="C7" s="11"/>
      <c r="D7" s="29"/>
      <c r="E7" s="91"/>
      <c r="F7" s="23" t="s">
        <v>85</v>
      </c>
      <c r="G7" s="15"/>
      <c r="H7" s="15" t="s">
        <v>31</v>
      </c>
      <c r="I7" s="31" t="s">
        <v>22</v>
      </c>
      <c r="J7" s="16"/>
      <c r="K7" s="2" t="s">
        <v>259</v>
      </c>
      <c r="L7" s="3"/>
    </row>
    <row r="8" spans="1:12" ht="27" x14ac:dyDescent="0.35">
      <c r="A8" s="90"/>
      <c r="B8" s="14">
        <f t="shared" si="0"/>
        <v>3</v>
      </c>
      <c r="C8" s="11"/>
      <c r="D8" s="29"/>
      <c r="E8" s="92" t="s">
        <v>87</v>
      </c>
      <c r="F8" s="23" t="s">
        <v>87</v>
      </c>
      <c r="G8" s="15" t="s">
        <v>246</v>
      </c>
      <c r="H8" s="15" t="s">
        <v>31</v>
      </c>
      <c r="I8" s="31" t="s">
        <v>23</v>
      </c>
      <c r="J8" s="16"/>
      <c r="K8" s="2" t="s">
        <v>259</v>
      </c>
      <c r="L8" s="3"/>
    </row>
    <row r="9" spans="1:12" ht="94.5" x14ac:dyDescent="0.35">
      <c r="A9" s="90"/>
      <c r="B9" s="14">
        <f t="shared" si="0"/>
        <v>4</v>
      </c>
      <c r="C9" s="11"/>
      <c r="D9" s="29"/>
      <c r="E9" s="92"/>
      <c r="F9" s="23" t="s">
        <v>88</v>
      </c>
      <c r="G9" s="15" t="s">
        <v>247</v>
      </c>
      <c r="H9" s="15" t="s">
        <v>26</v>
      </c>
      <c r="I9" s="31">
        <v>0</v>
      </c>
      <c r="J9" s="16"/>
      <c r="K9" s="2" t="s">
        <v>259</v>
      </c>
      <c r="L9" s="3"/>
    </row>
    <row r="10" spans="1:12" ht="202.5" x14ac:dyDescent="0.35">
      <c r="A10" s="90"/>
      <c r="B10" s="14">
        <f t="shared" si="0"/>
        <v>5</v>
      </c>
      <c r="C10" s="11"/>
      <c r="D10" s="29"/>
      <c r="E10" s="92"/>
      <c r="F10" s="23" t="s">
        <v>95</v>
      </c>
      <c r="G10" s="15" t="s">
        <v>248</v>
      </c>
      <c r="H10" s="15" t="s">
        <v>253</v>
      </c>
      <c r="I10" s="31" t="s">
        <v>251</v>
      </c>
      <c r="J10" s="16"/>
      <c r="K10" s="2" t="s">
        <v>259</v>
      </c>
      <c r="L10" s="3"/>
    </row>
    <row r="11" spans="1:12" ht="189" x14ac:dyDescent="0.35">
      <c r="A11" s="90"/>
      <c r="B11" s="14">
        <f t="shared" si="0"/>
        <v>6</v>
      </c>
      <c r="C11" s="11"/>
      <c r="D11" s="29"/>
      <c r="E11" s="92"/>
      <c r="F11" s="23" t="s">
        <v>242</v>
      </c>
      <c r="G11" s="15" t="s">
        <v>249</v>
      </c>
      <c r="H11" s="15" t="s">
        <v>254</v>
      </c>
      <c r="I11" s="31" t="s">
        <v>252</v>
      </c>
      <c r="J11" s="16"/>
      <c r="K11" s="2" t="s">
        <v>259</v>
      </c>
      <c r="L11" s="3"/>
    </row>
    <row r="12" spans="1:12" ht="27" x14ac:dyDescent="0.35">
      <c r="A12" s="90"/>
      <c r="B12" s="14">
        <f t="shared" si="0"/>
        <v>7</v>
      </c>
      <c r="C12" s="11"/>
      <c r="D12" s="29"/>
      <c r="E12" s="91"/>
      <c r="F12" s="23" t="s">
        <v>244</v>
      </c>
      <c r="G12" s="15"/>
      <c r="H12" s="15" t="s">
        <v>256</v>
      </c>
      <c r="I12" s="31" t="s">
        <v>23</v>
      </c>
      <c r="J12" s="16"/>
      <c r="K12" s="2" t="s">
        <v>259</v>
      </c>
      <c r="L12" s="3"/>
    </row>
    <row r="13" spans="1:12" ht="81" x14ac:dyDescent="0.35">
      <c r="A13" s="90"/>
      <c r="B13" s="14">
        <f t="shared" si="0"/>
        <v>8</v>
      </c>
      <c r="C13" s="12"/>
      <c r="D13" s="12"/>
      <c r="E13" s="23" t="s">
        <v>245</v>
      </c>
      <c r="F13" s="23" t="s">
        <v>245</v>
      </c>
      <c r="G13" s="15" t="s">
        <v>250</v>
      </c>
      <c r="H13" s="15" t="s">
        <v>255</v>
      </c>
      <c r="I13" s="31" t="s">
        <v>90</v>
      </c>
      <c r="J13" s="16"/>
      <c r="K13" s="2" t="s">
        <v>259</v>
      </c>
      <c r="L13" s="3"/>
    </row>
  </sheetData>
  <phoneticPr fontId="10"/>
  <hyperlinks>
    <hyperlink ref="A4" location="パラメータ設定一覧!A1" display="パラメータ設定一覧へ" xr:uid="{97B0D90F-4137-436B-924E-F945D45090DF}"/>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9FA3-C20C-459E-AEC7-F6AA682C633A}">
  <dimension ref="A1:J11"/>
  <sheetViews>
    <sheetView showGridLines="0" tabSelected="1"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13.42578125" style="62" customWidth="1"/>
    <col min="4" max="4" width="12.0703125" style="62" bestFit="1" customWidth="1"/>
    <col min="5" max="5" width="17.2109375" style="62" customWidth="1"/>
    <col min="6" max="6" width="10.85546875" style="62" customWidth="1"/>
    <col min="7" max="7" width="6.85546875" style="62" bestFit="1" customWidth="1"/>
    <col min="8" max="8" width="16.78515625" style="62" customWidth="1"/>
    <col min="9" max="10" width="16.42578125" style="62" bestFit="1" customWidth="1"/>
    <col min="11" max="16384" width="8.78515625" style="62"/>
  </cols>
  <sheetData>
    <row r="1" spans="1:10" s="27" customFormat="1" ht="19.5" x14ac:dyDescent="0.35">
      <c r="A1" s="1" t="s">
        <v>257</v>
      </c>
    </row>
    <row r="2" spans="1:10" s="27" customFormat="1" ht="15" x14ac:dyDescent="0.35"/>
    <row r="3" spans="1:10" s="27" customFormat="1" ht="15" x14ac:dyDescent="0.35">
      <c r="A3" s="52" t="s">
        <v>315</v>
      </c>
    </row>
    <row r="4" spans="1:10" ht="15.75" customHeight="1" x14ac:dyDescent="0.35">
      <c r="B4" s="149" t="s">
        <v>5</v>
      </c>
      <c r="C4" s="101" t="s">
        <v>58</v>
      </c>
      <c r="D4" s="102"/>
      <c r="E4" s="79" t="s">
        <v>258</v>
      </c>
      <c r="F4" s="80"/>
      <c r="G4" s="80"/>
      <c r="H4" s="80"/>
      <c r="I4" s="81"/>
      <c r="J4" s="77" t="s">
        <v>260</v>
      </c>
    </row>
    <row r="5" spans="1:10" x14ac:dyDescent="0.35">
      <c r="B5" s="149"/>
      <c r="C5" s="4" t="s">
        <v>240</v>
      </c>
      <c r="D5" s="4" t="s">
        <v>85</v>
      </c>
      <c r="E5" s="4" t="s">
        <v>87</v>
      </c>
      <c r="F5" s="4" t="s">
        <v>88</v>
      </c>
      <c r="G5" s="4" t="s">
        <v>95</v>
      </c>
      <c r="H5" s="4" t="s">
        <v>241</v>
      </c>
      <c r="I5" s="4" t="s">
        <v>243</v>
      </c>
      <c r="J5" s="4" t="s">
        <v>260</v>
      </c>
    </row>
    <row r="6" spans="1:10" ht="118" customHeight="1" x14ac:dyDescent="0.35">
      <c r="B6" s="147"/>
      <c r="C6" s="6" t="s">
        <v>31</v>
      </c>
      <c r="D6" s="6" t="s">
        <v>31</v>
      </c>
      <c r="E6" s="6" t="s">
        <v>31</v>
      </c>
      <c r="F6" s="6" t="s">
        <v>26</v>
      </c>
      <c r="G6" s="6" t="s">
        <v>253</v>
      </c>
      <c r="H6" s="6" t="s">
        <v>254</v>
      </c>
      <c r="I6" s="6" t="s">
        <v>256</v>
      </c>
      <c r="J6" s="6" t="s">
        <v>255</v>
      </c>
    </row>
    <row r="7" spans="1:10" x14ac:dyDescent="0.3">
      <c r="B7" s="93">
        <v>1</v>
      </c>
      <c r="C7" s="103" t="s">
        <v>283</v>
      </c>
      <c r="D7" s="93" t="s">
        <v>284</v>
      </c>
      <c r="E7" s="93" t="s">
        <v>285</v>
      </c>
      <c r="F7" s="93">
        <v>-1</v>
      </c>
      <c r="G7" s="93" t="s">
        <v>286</v>
      </c>
      <c r="H7" s="93" t="s">
        <v>93</v>
      </c>
      <c r="I7" s="94" t="s">
        <v>287</v>
      </c>
      <c r="J7" s="108" t="s">
        <v>333</v>
      </c>
    </row>
    <row r="8" spans="1:10" x14ac:dyDescent="0.3">
      <c r="B8" s="95"/>
      <c r="C8" s="104"/>
      <c r="D8" s="95"/>
      <c r="E8" s="65" t="s">
        <v>288</v>
      </c>
      <c r="F8" s="65">
        <v>-30</v>
      </c>
      <c r="G8" s="65" t="s">
        <v>289</v>
      </c>
      <c r="H8" s="65" t="s">
        <v>290</v>
      </c>
      <c r="I8" s="96" t="s">
        <v>291</v>
      </c>
      <c r="J8" s="108" t="s">
        <v>333</v>
      </c>
    </row>
    <row r="9" spans="1:10" x14ac:dyDescent="0.3">
      <c r="B9" s="95"/>
      <c r="C9" s="104"/>
      <c r="D9" s="95"/>
      <c r="E9" s="93" t="s">
        <v>292</v>
      </c>
      <c r="F9" s="93">
        <v>-30</v>
      </c>
      <c r="G9" s="93" t="s">
        <v>289</v>
      </c>
      <c r="H9" s="93" t="s">
        <v>92</v>
      </c>
      <c r="I9" s="97" t="s">
        <v>293</v>
      </c>
      <c r="J9" s="108" t="s">
        <v>333</v>
      </c>
    </row>
    <row r="10" spans="1:10" x14ac:dyDescent="0.3">
      <c r="B10" s="95"/>
      <c r="C10" s="104"/>
      <c r="D10" s="95"/>
      <c r="E10" s="65" t="s">
        <v>294</v>
      </c>
      <c r="F10" s="65">
        <v>-30</v>
      </c>
      <c r="G10" s="65" t="s">
        <v>289</v>
      </c>
      <c r="H10" s="65" t="s">
        <v>91</v>
      </c>
      <c r="I10" s="98" t="s">
        <v>295</v>
      </c>
      <c r="J10" s="108" t="s">
        <v>333</v>
      </c>
    </row>
    <row r="11" spans="1:10" x14ac:dyDescent="0.3">
      <c r="B11" s="99"/>
      <c r="C11" s="105"/>
      <c r="D11" s="99"/>
      <c r="E11" s="65" t="s">
        <v>296</v>
      </c>
      <c r="F11" s="65">
        <v>0</v>
      </c>
      <c r="G11" s="65" t="s">
        <v>286</v>
      </c>
      <c r="H11" s="65" t="s">
        <v>297</v>
      </c>
      <c r="I11" s="100" t="s">
        <v>298</v>
      </c>
      <c r="J11" s="151" t="s">
        <v>333</v>
      </c>
    </row>
  </sheetData>
  <sheetProtection insertRows="0" deleteRows="0" sort="0" autoFilter="0"/>
  <mergeCells count="1">
    <mergeCell ref="B4:B6"/>
  </mergeCells>
  <phoneticPr fontId="10"/>
  <hyperlinks>
    <hyperlink ref="A3" location="パラメータ設定一覧!A1" display="パラメータ設定一覧へ" xr:uid="{ABE1B19E-FEE9-42F3-B755-DE7E99EDB8CB}"/>
  </hyperlink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B2745FC1-55D4-4397-B054-57AF59E42A06}"/>
</file>

<file path=customXml/itemProps3.xml><?xml version="1.0" encoding="utf-8"?>
<ds:datastoreItem xmlns:ds="http://schemas.openxmlformats.org/officeDocument/2006/customXml" ds:itemID="{391605AE-180C-4357-9531-2DC69F7FC83D}">
  <ds:schemaRefs>
    <ds:schemaRef ds:uri="eb7a9491-52cd-4feb-a89e-4a9cb9004cdf"/>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5fbf3304-bdaf-4998-904a-984dee753639"/>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18</vt:i4>
      </vt:variant>
    </vt:vector>
  </HeadingPairs>
  <TitlesOfParts>
    <vt:vector size="18" baseType="lpstr">
      <vt:lpstr>表紙</vt:lpstr>
      <vt:lpstr>パラメータ設定一覧</vt:lpstr>
      <vt:lpstr>与信および回収のパラメーター</vt:lpstr>
      <vt:lpstr>与信および回収のパラメーター - 与信管理のチェックポイント</vt:lpstr>
      <vt:lpstr>与信および回収のパラメーター - 番号順序</vt:lpstr>
      <vt:lpstr>与信および回収のパラメーター - 共有番号順序</vt:lpstr>
      <vt:lpstr>与信管理の理由</vt:lpstr>
      <vt:lpstr>与信管理の理由 - 設定値</vt:lpstr>
      <vt:lpstr>ブロックのルール</vt:lpstr>
      <vt:lpstr>ブロックのルール - 期限切れ日数のブロック ルールの設定</vt:lpstr>
      <vt:lpstr>ブロックのルール - 勘定状態のブロック ルールの設定</vt:lpstr>
      <vt:lpstr>ブロックのルール - 支払条件のブロック ルールの設定</vt:lpstr>
      <vt:lpstr>ブロックのルール - 期限切れの与信限度額ブロック ルールの設</vt:lpstr>
      <vt:lpstr>ブロックのルール - 期限切れの金額ブロック ルールの設定</vt:lpstr>
      <vt:lpstr>ブロックのルール - 販売注文のブロック ルールの設定</vt:lpstr>
      <vt:lpstr>ブロックのルール - 使用済の与信限度額のブロック ルールの設</vt:lpstr>
      <vt:lpstr>エイジング期間の定義</vt:lpstr>
      <vt:lpstr>エイジング期間の定義 - 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Takeda, Kei</dc:creator>
  <cp:keywords/>
  <dc:description/>
  <cp:lastModifiedBy>Akinobu, Saki</cp:lastModifiedBy>
  <cp:revision/>
  <dcterms:created xsi:type="dcterms:W3CDTF">2019-08-21T01:28:53Z</dcterms:created>
  <dcterms:modified xsi:type="dcterms:W3CDTF">2024-12-11T09:45:57Z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