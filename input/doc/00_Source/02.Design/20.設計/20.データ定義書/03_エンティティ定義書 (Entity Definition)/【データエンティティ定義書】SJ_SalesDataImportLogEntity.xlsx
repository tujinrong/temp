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3_エンティティ定義書 (Entity Definition)/"/>
    </mc:Choice>
  </mc:AlternateContent>
  <xr:revisionPtr revIDLastSave="21" documentId="13_ncr:1_{FD82508B-841D-4F4D-BB73-5EF8EE7BD271}" xr6:coauthVersionLast="47" xr6:coauthVersionMax="47" xr10:uidLastSave="{987A4448-21E4-48A0-BAD9-FCEEA46D984A}"/>
  <bookViews>
    <workbookView xWindow="1740" yWindow="540" windowWidth="17535" windowHeight="8940" xr2:uid="{00000000-000D-0000-FFFF-FFFF00000000}"/>
  </bookViews>
  <sheets>
    <sheet name="変更履歴" sheetId="4" r:id="rId1"/>
    <sheet name="データエンティティ定義" sheetId="3" r:id="rId2"/>
    <sheet name="マスタ" sheetId="5" state="hidden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F2" i="4" a="1"/>
  <c r="F2" i="4" s="1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9" i="3"/>
  <c r="BA2" i="4" l="1"/>
  <c r="AT2" i="4"/>
  <c r="BA3" i="4" a="1"/>
  <c r="AT3" i="4" a="1"/>
  <c r="AT3" i="4" l="1"/>
  <c r="H2" i="3" s="1"/>
  <c r="BA3" i="4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<sst xmlns="http://schemas.openxmlformats.org/spreadsheetml/2006/main" count="256" uniqueCount="122">
  <si>
    <t>システム名</t>
    <rPh sb="4" eb="5">
      <t>メイ</t>
    </rPh>
    <phoneticPr fontId="24"/>
  </si>
  <si>
    <t>Dynamics365 for Finance and Operations</t>
    <phoneticPr fontId="18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</si>
  <si>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</si>
  <si>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</si>
  <si>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</si>
  <si>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</si>
  <si>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</si>
  <si>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</si>
  <si>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</si>
  <si>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</si>
  <si>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</si>
  <si>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</si>
  <si>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</si>
  <si>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</si>
  <si>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</si>
  <si>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</si>
  <si>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JBS孫</t>
    <rPh sb="3" eb="4">
      <t>ソン</t>
    </rPh>
    <phoneticPr fontId="18"/>
  </si>
  <si>
    <t>1.0</t>
    <phoneticPr fontId="18"/>
  </si>
  <si>
    <t>プロジェクト名</t>
    <rPh sb="6" eb="7">
      <t>メイ</t>
    </rPh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</si>
  <si>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</si>
  <si>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</si>
  <si>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変更日時</t>
    <rPh sb="0" eb="2">
      <t>ヘンコウ</t>
    </rPh>
    <rPh sb="2" eb="4">
      <t>ニチジ</t>
    </rPh>
    <phoneticPr fontId="18"/>
  </si>
  <si>
    <t>会計システム刷新プロジェクト（LIBRA）</t>
    <phoneticPr fontId="18"/>
  </si>
  <si>
    <t>データエンティティ定義書</t>
    <phoneticPr fontId="18"/>
  </si>
  <si>
    <t>作成者</t>
    <rPh sb="0" eb="2">
      <t>サクセイ</t>
    </rPh>
    <rPh sb="2" eb="3">
      <t>シャ</t>
    </rPh>
    <phoneticPr fontId="18"/>
  </si>
  <si>
    <t>変更者</t>
    <rPh sb="0" eb="3">
      <t>ヘンコウシャ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</si>
  <si>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</si>
  <si>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ラベルID</t>
    <phoneticPr fontId="18"/>
  </si>
  <si>
    <t>データエンティティ名(物理)</t>
    <rPh sb="9" eb="10">
      <t>メイ</t>
    </rPh>
    <rPh sb="11" eb="13">
      <t>ブツリ</t>
    </rPh>
    <phoneticPr fontId="18"/>
  </si>
  <si>
    <t>開発区分</t>
    <rPh sb="0" eb="2">
      <t>カイハツ</t>
    </rPh>
    <rPh sb="2" eb="4">
      <t>クブン</t>
    </rPh>
    <phoneticPr fontId="18"/>
  </si>
  <si>
    <t>販売実績取込ログ</t>
    <phoneticPr fontId="18"/>
  </si>
  <si>
    <t>SJ00688</t>
    <phoneticPr fontId="18"/>
  </si>
  <si>
    <t>アドオン</t>
    <phoneticPr fontId="18"/>
  </si>
  <si>
    <t>※移行で使用する場合は「移行」と記載</t>
    <phoneticPr fontId="18"/>
  </si>
  <si>
    <t>Behavior</t>
    <phoneticPr fontId="18"/>
  </si>
  <si>
    <t>Data</t>
    <phoneticPr fontId="18"/>
  </si>
  <si>
    <t>#</t>
    <phoneticPr fontId="18"/>
  </si>
  <si>
    <t>Key</t>
    <phoneticPr fontId="18"/>
  </si>
  <si>
    <t>Mandatory</t>
    <phoneticPr fontId="18"/>
  </si>
  <si>
    <t>Allow Edit</t>
    <phoneticPr fontId="18"/>
  </si>
  <si>
    <t>Allow Edit On Create</t>
    <phoneticPr fontId="18"/>
  </si>
  <si>
    <t>フィールド名</t>
    <phoneticPr fontId="18"/>
  </si>
  <si>
    <t>ラベル</t>
    <phoneticPr fontId="18"/>
  </si>
  <si>
    <t>Data Source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</si>
  <si>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</si>
  <si>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</si>
  <si>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</si>
  <si>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</si>
  <si>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</si>
  <si>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機能ID</t>
    <rPh sb="0" eb="2">
      <t>キノウ</t>
    </rPh>
    <phoneticPr fontId="18"/>
  </si>
  <si>
    <t>Yes</t>
  </si>
  <si>
    <t>Auto</t>
  </si>
  <si>
    <t>DocumentType</t>
  </si>
  <si>
    <t>SYS107740</t>
  </si>
  <si>
    <t>SJ_SalesDataImportLog</t>
  </si>
  <si>
    <t>String</t>
  </si>
  <si>
    <t>1</t>
    <phoneticPr fontId="18"/>
  </si>
  <si>
    <t>SJ_DocumentType</t>
  </si>
  <si>
    <t>FO-101</t>
    <phoneticPr fontId="18"/>
  </si>
  <si>
    <t>TransactionType</t>
  </si>
  <si>
    <t>SJ00686</t>
  </si>
  <si>
    <t>20</t>
  </si>
  <si>
    <t>SJ_TransactionType</t>
  </si>
  <si>
    <t>SalesId</t>
  </si>
  <si>
    <t>SYS12336</t>
  </si>
  <si>
    <t>LineNum</t>
  </si>
  <si>
    <t>SYS27207</t>
  </si>
  <si>
    <t>Integer</t>
  </si>
  <si>
    <t>SJ_LineNum</t>
  </si>
  <si>
    <t>ItemId</t>
  </si>
  <si>
    <t>-</t>
  </si>
  <si>
    <t>InvoiceAccount</t>
  </si>
  <si>
    <t>SJ00687</t>
  </si>
  <si>
    <t>CustInvoiceAccount</t>
  </si>
  <si>
    <t>TransDate</t>
  </si>
  <si>
    <t>SYS16658</t>
  </si>
  <si>
    <t>Date</t>
  </si>
  <si>
    <t>SalesQty</t>
  </si>
  <si>
    <t>Real</t>
  </si>
  <si>
    <t>Qty</t>
  </si>
  <si>
    <t>SalesUnit</t>
  </si>
  <si>
    <t>10</t>
  </si>
  <si>
    <t>UnitIdBase</t>
  </si>
  <si>
    <t>CurrencyCode</t>
  </si>
  <si>
    <t>3</t>
  </si>
  <si>
    <t>LineAmount</t>
  </si>
  <si>
    <t>No</t>
  </si>
  <si>
    <t>BrandCode</t>
  </si>
  <si>
    <t>SJ00264</t>
  </si>
  <si>
    <t>30</t>
  </si>
  <si>
    <t>SJ_BrandCode_30</t>
  </si>
  <si>
    <t>Category</t>
  </si>
  <si>
    <t>SJ00265</t>
  </si>
  <si>
    <t>SJ_Category_30</t>
  </si>
  <si>
    <t>Channel</t>
  </si>
  <si>
    <t>SJ00263</t>
  </si>
  <si>
    <t>SJ_Channel_30</t>
  </si>
  <si>
    <t>FileName</t>
  </si>
  <si>
    <t>SJ00030</t>
  </si>
  <si>
    <t>259</t>
  </si>
  <si>
    <t>FileLineNum</t>
  </si>
  <si>
    <t>SJ00689</t>
  </si>
  <si>
    <t>SJ_FileLineNum</t>
  </si>
  <si>
    <t>ProcessStatus</t>
  </si>
  <si>
    <t>SJ00028</t>
  </si>
  <si>
    <t>Enum</t>
  </si>
  <si>
    <t>SJ_ProcessStatusEnum</t>
  </si>
  <si>
    <t>FOSalesId</t>
  </si>
  <si>
    <t>SJ00690</t>
  </si>
  <si>
    <t>LogText</t>
  </si>
  <si>
    <t>(Memo)</t>
    <phoneticPr fontId="18"/>
  </si>
  <si>
    <t>SJ_LogMemo</t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</si>
  <si>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</si>
  <si>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</si>
  <si>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</si>
  <si>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</si>
  <si>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SJ00685</t>
  </si>
  <si>
    <t>ItemId</t>
    <phoneticPr fontId="18"/>
  </si>
  <si>
    <t>OriginalItemId</t>
    <phoneticPr fontId="18"/>
  </si>
  <si>
    <t>データエンティティ定義</t>
    <phoneticPr fontId="18"/>
  </si>
  <si>
    <t>1.1</t>
    <phoneticPr fontId="18"/>
  </si>
  <si>
    <t>#15:[OriginalItemId]項目追加</t>
    <rPh sb="20" eb="22">
      <t>コウモク</t>
    </rPh>
    <rPh sb="22" eb="24">
      <t>ツイカ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</si>
</sst>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7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93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3" fillId="34" borderId="13" xfId="0" applyFont="1" applyFill="1" applyBorder="1">
      <alignment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13" fillId="34" borderId="46" xfId="0" applyFont="1" applyFill="1" applyBorder="1">
      <alignment vertical="center"/>
    </xf>
    <xf numFmtId="0" fontId="13" fillId="34" borderId="48" xfId="0" applyFont="1" applyFill="1" applyBorder="1">
      <alignment vertical="center"/>
    </xf>
    <xf numFmtId="0" fontId="32" fillId="0" borderId="0" xfId="42" applyFont="1" applyAlignment="1">
      <alignment vertical="center"/>
    </xf>
    <xf numFmtId="177" fontId="32" fillId="0" borderId="13" xfId="42" applyNumberFormat="1" applyFont="1" applyBorder="1" applyAlignment="1">
      <alignment horizontal="center" vertical="center"/>
    </xf>
    <xf numFmtId="0" fontId="32" fillId="0" borderId="13" xfId="42" applyFont="1" applyBorder="1" applyAlignment="1">
      <alignment horizontal="center" vertical="center"/>
    </xf>
    <xf numFmtId="49" fontId="32" fillId="0" borderId="13" xfId="42" applyNumberFormat="1" applyFont="1" applyBorder="1" applyAlignment="1">
      <alignment horizontal="left" vertical="center"/>
    </xf>
    <xf numFmtId="177" fontId="34" fillId="0" borderId="13" xfId="42" applyNumberFormat="1" applyFont="1" applyBorder="1" applyAlignment="1">
      <alignment horizontal="center" vertical="center"/>
    </xf>
    <xf numFmtId="0" fontId="34" fillId="0" borderId="13" xfId="42" applyFont="1" applyBorder="1" applyAlignment="1">
      <alignment vertical="center"/>
    </xf>
    <xf numFmtId="0" fontId="20" fillId="33" borderId="13" xfId="42" quotePrefix="1" applyFont="1" applyFill="1" applyBorder="1" applyAlignment="1">
      <alignment vertical="top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2" fillId="33" borderId="43" xfId="43" applyFont="1" applyFill="1" applyBorder="1" applyAlignment="1">
      <alignment horizontal="center" vertical="top" wrapText="1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2" fillId="0" borderId="10" xfId="42" applyFont="1" applyBorder="1" applyAlignment="1">
      <alignment horizontal="left" vertical="center"/>
    </xf>
    <xf numFmtId="0" fontId="32" fillId="0" borderId="11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32" fillId="0" borderId="13" xfId="42" applyFont="1" applyBorder="1" applyAlignment="1">
      <alignment horizontal="left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2">
    <dxf>
      <fill>
        <patternFill>
          <bgColor rgb="FFD3D3D3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tabSelected="1" zoomScaleNormal="100" workbookViewId="0">
      <selection sqref="A1:E1"/>
    </sheetView>
  </sheetViews>
  <sheetFormatPr defaultColWidth="2.5" defaultRowHeight="15" customHeight="1" x14ac:dyDescent="0.25"/>
  <cols>
    <col min="1" max="16384" width="2.5" style="13"/>
  </cols>
  <sheetData>
    <row r="1" spans="1:67" s="11" customFormat="1" ht="15" customHeight="1" thickBot="1" x14ac:dyDescent="0.3">
      <c r="A1" s="43" t="s">
        <v>0</v>
      </c>
      <c r="B1" s="44"/>
      <c r="C1" s="44"/>
      <c r="D1" s="44"/>
      <c r="E1" s="45"/>
      <c r="F1" s="46" t="s">
        <v>1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49" t="s">
        <v>2</v>
      </c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1"/>
      <c r="AR1" s="49" t="s">
        <v>3</v>
      </c>
      <c r="AS1" s="50"/>
      <c r="AT1" s="50"/>
      <c r="AU1" s="50"/>
      <c r="AV1" s="50"/>
      <c r="AW1" s="50"/>
      <c r="AX1" s="50"/>
      <c r="AY1" s="50"/>
      <c r="AZ1" s="51"/>
      <c r="BA1" s="49" t="s">
        <v>4</v>
      </c>
      <c r="BB1" s="50"/>
      <c r="BC1" s="50"/>
      <c r="BD1" s="50"/>
      <c r="BE1" s="50"/>
      <c r="BF1" s="50"/>
      <c r="BG1" s="50"/>
      <c r="BH1" s="51"/>
      <c r="BI1" s="10"/>
      <c r="BJ1" s="10"/>
      <c r="BK1" s="10"/>
      <c r="BL1" s="10"/>
      <c r="BM1" s="10"/>
      <c r="BN1" s="10"/>
      <c r="BO1" s="10"/>
    </row>
    <row r="2" spans="1:67" s="11" customFormat="1" ht="15" customHeight="1" x14ac:dyDescent="0.25">
      <c r="A2" s="52" t="s">
        <v>5</v>
      </c>
      <c r="B2" s="53"/>
      <c r="C2" s="53"/>
      <c r="D2" s="53"/>
      <c r="E2" s="54"/>
      <c r="F2" s="58" t="str" cm="1">
        <f t="array" aca="1" ref="F2" ca="1">SUBSTITUTE(MID(CELL("filename"),FIND("[",CELL("filename"))+1,FIND("]",CELL("filename"))-FIND("[",CELL("filename"))-1),".xlsx","")</f>
        <v>【データエンティティ定義書】SJ_SalesDataImportLogEntity</v>
      </c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60"/>
      <c r="W2" s="64" t="s">
        <v>6</v>
      </c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6"/>
      <c r="AR2" s="70" t="s">
        <v>7</v>
      </c>
      <c r="AS2" s="71"/>
      <c r="AT2" s="72">
        <f>A6</f>
        <v>45698</v>
      </c>
      <c r="AU2" s="73"/>
      <c r="AV2" s="73"/>
      <c r="AW2" s="73"/>
      <c r="AX2" s="73"/>
      <c r="AY2" s="73"/>
      <c r="AZ2" s="74"/>
      <c r="BA2" s="75" t="str">
        <f>AZ6</f>
        <v>JBS孫</v>
      </c>
      <c r="BB2" s="76"/>
      <c r="BC2" s="76"/>
      <c r="BD2" s="76"/>
      <c r="BE2" s="76"/>
      <c r="BF2" s="76"/>
      <c r="BG2" s="76"/>
      <c r="BH2" s="77"/>
      <c r="BI2" s="10"/>
      <c r="BJ2" s="10"/>
      <c r="BK2" s="10"/>
      <c r="BL2" s="10"/>
      <c r="BM2" s="10"/>
      <c r="BN2" s="10"/>
      <c r="BO2" s="10"/>
    </row>
    <row r="3" spans="1:67" s="11" customFormat="1" ht="15" customHeight="1" thickBot="1" x14ac:dyDescent="0.3">
      <c r="A3" s="55"/>
      <c r="B3" s="56"/>
      <c r="C3" s="56"/>
      <c r="D3" s="56"/>
      <c r="E3" s="57"/>
      <c r="F3" s="61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3"/>
      <c r="W3" s="67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9"/>
      <c r="AR3" s="78" t="s">
        <v>8</v>
      </c>
      <c r="AS3" s="79"/>
      <c r="AT3" s="80" cm="1">
        <f t="array" aca="1" ref="AT3" ca="1">IF(OR(COUNTA(A:E)=3),"",INDIRECT("A"&amp;COUNTA(A:E)+2))</f>
        <v>45730</v>
      </c>
      <c r="AU3" s="81"/>
      <c r="AV3" s="81"/>
      <c r="AW3" s="81"/>
      <c r="AX3" s="81"/>
      <c r="AY3" s="81"/>
      <c r="AZ3" s="82"/>
      <c r="BA3" s="83" t="str" cm="1">
        <f t="array" aca="1" ref="BA3" ca="1">IF(COUNTA(AZ5:BD100000)=1,"",INDIRECT("変更履歴!AZ"&amp;COUNTA(AZ5:BD100000)+4))</f>
        <v>JBS孫</v>
      </c>
      <c r="BB3" s="84"/>
      <c r="BC3" s="84"/>
      <c r="BD3" s="84"/>
      <c r="BE3" s="84"/>
      <c r="BF3" s="84"/>
      <c r="BG3" s="84"/>
      <c r="BH3" s="85"/>
      <c r="BI3" s="10"/>
      <c r="BJ3" s="10"/>
      <c r="BK3" s="10"/>
      <c r="BL3" s="10"/>
      <c r="BM3" s="10"/>
      <c r="BN3" s="10"/>
      <c r="BO3" s="10"/>
    </row>
    <row r="4" spans="1:67" ht="15" customHeight="1" thickBo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 x14ac:dyDescent="0.3">
      <c r="A5" s="37" t="s">
        <v>9</v>
      </c>
      <c r="B5" s="37"/>
      <c r="C5" s="37"/>
      <c r="D5" s="37"/>
      <c r="E5" s="37"/>
      <c r="F5" s="37" t="s">
        <v>10</v>
      </c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 t="s">
        <v>11</v>
      </c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 t="s">
        <v>12</v>
      </c>
      <c r="BA5" s="37"/>
      <c r="BB5" s="37"/>
      <c r="BC5" s="37"/>
      <c r="BD5" s="37"/>
      <c r="BE5" s="37" t="s">
        <v>13</v>
      </c>
      <c r="BF5" s="37"/>
      <c r="BG5" s="37"/>
      <c r="BH5" s="37"/>
    </row>
    <row r="6" spans="1:67" ht="15" customHeight="1" x14ac:dyDescent="0.25">
      <c r="A6" s="38">
        <v>45698</v>
      </c>
      <c r="B6" s="38"/>
      <c r="C6" s="38"/>
      <c r="D6" s="38"/>
      <c r="E6" s="38"/>
      <c r="F6" s="39" t="s">
        <v>14</v>
      </c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40" t="s">
        <v>15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36" t="s">
        <v>16</v>
      </c>
      <c r="BA6" s="36"/>
      <c r="BB6" s="36"/>
      <c r="BC6" s="36"/>
      <c r="BD6" s="36"/>
      <c r="BE6" s="41" t="s">
        <v>17</v>
      </c>
      <c r="BF6" s="42"/>
      <c r="BG6" s="42"/>
      <c r="BH6" s="42"/>
    </row>
    <row r="7" spans="1:67" ht="15" customHeight="1" x14ac:dyDescent="0.25">
      <c r="A7" s="26">
        <v>45730</v>
      </c>
      <c r="B7" s="26"/>
      <c r="C7" s="26"/>
      <c r="D7" s="26"/>
      <c r="E7" s="26"/>
      <c r="F7" s="27" t="s">
        <v>119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8" t="s">
        <v>121</v>
      </c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36" t="s">
        <v>16</v>
      </c>
      <c r="BA7" s="36"/>
      <c r="BB7" s="36"/>
      <c r="BC7" s="36"/>
      <c r="BD7" s="36"/>
      <c r="BE7" s="30" t="s">
        <v>120</v>
      </c>
      <c r="BF7" s="30"/>
      <c r="BG7" s="30"/>
      <c r="BH7" s="30"/>
    </row>
    <row r="8" spans="1:67" ht="15" customHeight="1" x14ac:dyDescent="0.25">
      <c r="A8" s="26"/>
      <c r="B8" s="26"/>
      <c r="C8" s="26"/>
      <c r="D8" s="26"/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9"/>
      <c r="BA8" s="29"/>
      <c r="BB8" s="29"/>
      <c r="BC8" s="29"/>
      <c r="BD8" s="29"/>
      <c r="BE8" s="30"/>
      <c r="BF8" s="30"/>
      <c r="BG8" s="30"/>
      <c r="BH8" s="30"/>
    </row>
    <row r="9" spans="1:67" ht="15" customHeight="1" x14ac:dyDescent="0.25">
      <c r="A9" s="26"/>
      <c r="B9" s="26"/>
      <c r="C9" s="26"/>
      <c r="D9" s="26"/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9"/>
      <c r="BA9" s="29"/>
      <c r="BB9" s="29"/>
      <c r="BC9" s="29"/>
      <c r="BD9" s="29"/>
      <c r="BE9" s="30"/>
      <c r="BF9" s="30"/>
      <c r="BG9" s="30"/>
      <c r="BH9" s="30"/>
    </row>
    <row r="10" spans="1:67" ht="15" customHeight="1" x14ac:dyDescent="0.25">
      <c r="A10" s="26"/>
      <c r="B10" s="26"/>
      <c r="C10" s="26"/>
      <c r="D10" s="26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9"/>
      <c r="BA10" s="29"/>
      <c r="BB10" s="29"/>
      <c r="BC10" s="29"/>
      <c r="BD10" s="29"/>
      <c r="BE10" s="30"/>
      <c r="BF10" s="30"/>
      <c r="BG10" s="30"/>
      <c r="BH10" s="30"/>
    </row>
    <row r="11" spans="1:67" ht="15" customHeight="1" x14ac:dyDescent="0.25">
      <c r="A11" s="26"/>
      <c r="B11" s="26"/>
      <c r="C11" s="26"/>
      <c r="D11" s="26"/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9"/>
      <c r="BA11" s="29"/>
      <c r="BB11" s="29"/>
      <c r="BC11" s="29"/>
      <c r="BD11" s="29"/>
      <c r="BE11" s="30"/>
      <c r="BF11" s="30"/>
      <c r="BG11" s="30"/>
      <c r="BH11" s="30"/>
    </row>
    <row r="12" spans="1:67" ht="15" customHeight="1" x14ac:dyDescent="0.25">
      <c r="A12" s="26"/>
      <c r="B12" s="26"/>
      <c r="C12" s="26"/>
      <c r="D12" s="26"/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9"/>
      <c r="BA12" s="29"/>
      <c r="BB12" s="29"/>
      <c r="BC12" s="29"/>
      <c r="BD12" s="29"/>
      <c r="BE12" s="30"/>
      <c r="BF12" s="30"/>
      <c r="BG12" s="30"/>
      <c r="BH12" s="30"/>
    </row>
    <row r="13" spans="1:67" ht="15" customHeight="1" x14ac:dyDescent="0.25">
      <c r="A13" s="26"/>
      <c r="B13" s="26"/>
      <c r="C13" s="26"/>
      <c r="D13" s="26"/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9"/>
      <c r="BA13" s="29"/>
      <c r="BB13" s="29"/>
      <c r="BC13" s="29"/>
      <c r="BD13" s="29"/>
      <c r="BE13" s="30"/>
      <c r="BF13" s="30"/>
      <c r="BG13" s="30"/>
      <c r="BH13" s="30"/>
    </row>
    <row r="14" spans="1:67" ht="15" customHeight="1" x14ac:dyDescent="0.25">
      <c r="A14" s="26"/>
      <c r="B14" s="26"/>
      <c r="C14" s="26"/>
      <c r="D14" s="26"/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9"/>
      <c r="BA14" s="29"/>
      <c r="BB14" s="29"/>
      <c r="BC14" s="29"/>
      <c r="BD14" s="29"/>
      <c r="BE14" s="30"/>
      <c r="BF14" s="30"/>
      <c r="BG14" s="30"/>
      <c r="BH14" s="30"/>
    </row>
    <row r="15" spans="1:67" ht="15" customHeight="1" x14ac:dyDescent="0.25">
      <c r="A15" s="26"/>
      <c r="B15" s="26"/>
      <c r="C15" s="26"/>
      <c r="D15" s="26"/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9"/>
      <c r="BA15" s="29"/>
      <c r="BB15" s="29"/>
      <c r="BC15" s="29"/>
      <c r="BD15" s="29"/>
      <c r="BE15" s="30"/>
      <c r="BF15" s="30"/>
      <c r="BG15" s="30"/>
      <c r="BH15" s="30"/>
    </row>
    <row r="16" spans="1:67" ht="15" customHeight="1" x14ac:dyDescent="0.25">
      <c r="A16" s="26"/>
      <c r="B16" s="26"/>
      <c r="C16" s="26"/>
      <c r="D16" s="26"/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9"/>
      <c r="BA16" s="29"/>
      <c r="BB16" s="29"/>
      <c r="BC16" s="29"/>
      <c r="BD16" s="29"/>
      <c r="BE16" s="30"/>
      <c r="BF16" s="30"/>
      <c r="BG16" s="30"/>
      <c r="BH16" s="30"/>
    </row>
    <row r="17" spans="1:60" ht="15" customHeight="1" x14ac:dyDescent="0.25">
      <c r="A17" s="26"/>
      <c r="B17" s="26"/>
      <c r="C17" s="26"/>
      <c r="D17" s="26"/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9"/>
      <c r="BA17" s="29"/>
      <c r="BB17" s="29"/>
      <c r="BC17" s="29"/>
      <c r="BD17" s="29"/>
      <c r="BE17" s="30"/>
      <c r="BF17" s="30"/>
      <c r="BG17" s="30"/>
      <c r="BH17" s="30"/>
    </row>
    <row r="18" spans="1:60" ht="15" customHeight="1" x14ac:dyDescent="0.25">
      <c r="A18" s="26"/>
      <c r="B18" s="26"/>
      <c r="C18" s="26"/>
      <c r="D18" s="26"/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9"/>
      <c r="BA18" s="29"/>
      <c r="BB18" s="29"/>
      <c r="BC18" s="29"/>
      <c r="BD18" s="29"/>
      <c r="BE18" s="30"/>
      <c r="BF18" s="30"/>
      <c r="BG18" s="30"/>
      <c r="BH18" s="30"/>
    </row>
    <row r="19" spans="1:60" ht="15" customHeight="1" x14ac:dyDescent="0.25">
      <c r="A19" s="26"/>
      <c r="B19" s="26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9"/>
      <c r="BA19" s="29"/>
      <c r="BB19" s="29"/>
      <c r="BC19" s="29"/>
      <c r="BD19" s="29"/>
      <c r="BE19" s="30"/>
      <c r="BF19" s="30"/>
      <c r="BG19" s="30"/>
      <c r="BH19" s="30"/>
    </row>
    <row r="20" spans="1:60" ht="15" customHeight="1" x14ac:dyDescent="0.25">
      <c r="A20" s="26"/>
      <c r="B20" s="26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9"/>
      <c r="BA20" s="29"/>
      <c r="BB20" s="29"/>
      <c r="BC20" s="29"/>
      <c r="BD20" s="29"/>
      <c r="BE20" s="30"/>
      <c r="BF20" s="30"/>
      <c r="BG20" s="30"/>
      <c r="BH20" s="30"/>
    </row>
    <row r="21" spans="1:60" ht="15" customHeight="1" x14ac:dyDescent="0.25">
      <c r="A21" s="26"/>
      <c r="B21" s="26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9"/>
      <c r="BA21" s="29"/>
      <c r="BB21" s="29"/>
      <c r="BC21" s="29"/>
      <c r="BD21" s="29"/>
      <c r="BE21" s="30"/>
      <c r="BF21" s="30"/>
      <c r="BG21" s="30"/>
      <c r="BH21" s="30"/>
    </row>
    <row r="22" spans="1:60" ht="15" customHeight="1" thickBot="1" x14ac:dyDescent="0.3">
      <c r="A22" s="31"/>
      <c r="B22" s="31"/>
      <c r="C22" s="31"/>
      <c r="D22" s="31"/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4"/>
      <c r="BA22" s="34"/>
      <c r="BB22" s="34"/>
      <c r="BC22" s="34"/>
      <c r="BD22" s="34"/>
      <c r="BE22" s="35"/>
      <c r="BF22" s="35"/>
      <c r="BG22" s="35"/>
      <c r="BH22" s="35"/>
    </row>
  </sheetData>
  <mergeCells count="104"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9"/>
  <sheetViews>
    <sheetView showGridLines="0" zoomScaleNormal="100" workbookViewId="0">
      <pane ySplit="8" topLeftCell="A12" activePane="bottomLeft" state="frozen"/>
      <selection pane="bottomLeft"/>
    </sheetView>
  </sheetViews>
  <sheetFormatPr defaultColWidth="8.125" defaultRowHeight="14.25" x14ac:dyDescent="0.25"/>
  <cols>
    <col min="1" max="1" width="2.625" style="1" customWidth="1"/>
    <col min="2" max="2" width="4" style="1" bestFit="1" customWidth="1"/>
    <col min="3" max="3" width="4.125" style="1" bestFit="1" customWidth="1"/>
    <col min="4" max="4" width="11.125" style="1" bestFit="1" customWidth="1"/>
    <col min="5" max="5" width="10.375" style="1" bestFit="1" customWidth="1"/>
    <col min="6" max="6" width="20.5" style="1" bestFit="1" customWidth="1"/>
    <col min="7" max="7" width="28.875" style="1" customWidth="1"/>
    <col min="8" max="8" width="10.625" style="1" bestFit="1" customWidth="1"/>
    <col min="9" max="9" width="21" style="1" customWidth="1"/>
    <col min="10" max="10" width="12.125" style="1" bestFit="1" customWidth="1"/>
    <col min="11" max="11" width="7.875" style="1" customWidth="1"/>
    <col min="12" max="12" width="28.875" style="1" customWidth="1"/>
    <col min="13" max="13" width="32" style="1" customWidth="1"/>
    <col min="14" max="14" width="29.125" style="1" customWidth="1"/>
    <col min="15" max="15" width="15.625" style="1" customWidth="1"/>
    <col min="16" max="16" width="8.125" style="1" customWidth="1"/>
    <col min="17" max="16384" width="8.125" style="1"/>
  </cols>
  <sheetData>
    <row r="1" spans="2:15" s="19" customFormat="1" ht="5.0999999999999996" customHeight="1" x14ac:dyDescent="0.25"/>
    <row r="2" spans="2:15" s="19" customFormat="1" x14ac:dyDescent="0.25">
      <c r="B2" s="89" t="s">
        <v>18</v>
      </c>
      <c r="C2" s="90"/>
      <c r="D2" s="91"/>
      <c r="E2" s="89" t="s">
        <v>19</v>
      </c>
      <c r="F2" s="91"/>
      <c r="G2" s="8" t="s">
        <v>20</v>
      </c>
      <c r="H2" s="23">
        <f ca="1">変更履歴!AT3</f>
        <v>45730</v>
      </c>
      <c r="I2" s="8" t="s">
        <v>21</v>
      </c>
      <c r="J2" s="20"/>
    </row>
    <row r="3" spans="2:15" s="19" customFormat="1" x14ac:dyDescent="0.25">
      <c r="B3" s="92" t="s">
        <v>22</v>
      </c>
      <c r="C3" s="92"/>
      <c r="D3" s="92"/>
      <c r="E3" s="92" t="s">
        <v>23</v>
      </c>
      <c r="F3" s="92"/>
      <c r="G3" s="8" t="s">
        <v>24</v>
      </c>
      <c r="H3" s="21" t="str">
        <f ca="1">変更履歴!BA3</f>
        <v>JBS孫</v>
      </c>
      <c r="I3" s="8" t="s">
        <v>25</v>
      </c>
      <c r="J3" s="21"/>
    </row>
    <row r="4" spans="2:15" s="19" customFormat="1" x14ac:dyDescent="0.25">
      <c r="B4" s="89" t="s">
        <v>26</v>
      </c>
      <c r="C4" s="90"/>
      <c r="D4" s="91"/>
      <c r="E4" s="7" t="s">
        <v>27</v>
      </c>
      <c r="F4" s="89" t="s">
        <v>28</v>
      </c>
      <c r="G4" s="90"/>
      <c r="H4" s="8" t="s">
        <v>29</v>
      </c>
    </row>
    <row r="5" spans="2:15" s="19" customFormat="1" ht="12" x14ac:dyDescent="0.25">
      <c r="B5" s="86" t="s">
        <v>30</v>
      </c>
      <c r="C5" s="87"/>
      <c r="D5" s="88"/>
      <c r="E5" s="22" t="s">
        <v>31</v>
      </c>
      <c r="F5" s="86" t="s">
        <v>23</v>
      </c>
      <c r="G5" s="88"/>
      <c r="H5" s="24" t="s">
        <v>32</v>
      </c>
    </row>
    <row r="6" spans="2:15" s="19" customFormat="1" ht="12" x14ac:dyDescent="0.25">
      <c r="O6" s="19" t="s">
        <v>33</v>
      </c>
    </row>
    <row r="7" spans="2:15" x14ac:dyDescent="0.25">
      <c r="B7" s="17"/>
      <c r="C7" s="17"/>
      <c r="D7" s="7" t="s">
        <v>34</v>
      </c>
      <c r="E7" s="8"/>
      <c r="F7" s="9"/>
      <c r="G7" s="8" t="s">
        <v>35</v>
      </c>
      <c r="H7" s="8"/>
      <c r="I7" s="8"/>
      <c r="J7" s="8"/>
      <c r="K7" s="8"/>
      <c r="L7" s="8"/>
      <c r="M7" s="8"/>
      <c r="N7" s="9"/>
      <c r="O7" s="9"/>
    </row>
    <row r="8" spans="2:15" x14ac:dyDescent="0.25">
      <c r="B8" s="18" t="s">
        <v>36</v>
      </c>
      <c r="C8" s="18" t="s">
        <v>37</v>
      </c>
      <c r="D8" s="6" t="s">
        <v>38</v>
      </c>
      <c r="E8" s="6" t="s">
        <v>39</v>
      </c>
      <c r="F8" s="6" t="s">
        <v>40</v>
      </c>
      <c r="G8" s="6" t="s">
        <v>41</v>
      </c>
      <c r="H8" s="6" t="s">
        <v>42</v>
      </c>
      <c r="I8" s="6" t="s">
        <v>43</v>
      </c>
      <c r="J8" s="6" t="s">
        <v>44</v>
      </c>
      <c r="K8" s="6" t="s">
        <v>45</v>
      </c>
      <c r="L8" s="6" t="s">
        <v>46</v>
      </c>
      <c r="M8" s="6" t="s">
        <v>47</v>
      </c>
      <c r="N8" s="6" t="s">
        <v>48</v>
      </c>
      <c r="O8" s="6" t="s">
        <v>49</v>
      </c>
    </row>
    <row r="9" spans="2:15" x14ac:dyDescent="0.25">
      <c r="B9" s="2">
        <f>ROW()-8</f>
        <v>1</v>
      </c>
      <c r="C9" s="2"/>
      <c r="D9" s="2" t="s">
        <v>50</v>
      </c>
      <c r="E9" s="2" t="s">
        <v>51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  <c r="K9" s="25" t="s">
        <v>56</v>
      </c>
      <c r="L9" s="2" t="s">
        <v>57</v>
      </c>
      <c r="M9" s="2"/>
      <c r="N9" s="3"/>
      <c r="O9" s="3" t="s">
        <v>58</v>
      </c>
    </row>
    <row r="10" spans="2:15" x14ac:dyDescent="0.25">
      <c r="B10" s="2">
        <f t="shared" ref="B10:B39" si="0">ROW()-8</f>
        <v>2</v>
      </c>
      <c r="C10" s="2"/>
      <c r="D10" s="2" t="s">
        <v>50</v>
      </c>
      <c r="E10" s="2" t="s">
        <v>51</v>
      </c>
      <c r="F10" s="2" t="s">
        <v>51</v>
      </c>
      <c r="G10" s="2" t="s">
        <v>59</v>
      </c>
      <c r="H10" s="2" t="s">
        <v>60</v>
      </c>
      <c r="I10" s="2" t="s">
        <v>54</v>
      </c>
      <c r="J10" s="2" t="s">
        <v>55</v>
      </c>
      <c r="K10" s="5" t="s">
        <v>61</v>
      </c>
      <c r="L10" s="2" t="s">
        <v>62</v>
      </c>
      <c r="M10" s="2"/>
      <c r="N10" s="3"/>
      <c r="O10" s="3" t="s">
        <v>58</v>
      </c>
    </row>
    <row r="11" spans="2:15" x14ac:dyDescent="0.25">
      <c r="B11" s="2">
        <f t="shared" si="0"/>
        <v>3</v>
      </c>
      <c r="C11" s="2"/>
      <c r="D11" s="2" t="s">
        <v>50</v>
      </c>
      <c r="E11" s="2" t="s">
        <v>51</v>
      </c>
      <c r="F11" s="2" t="s">
        <v>51</v>
      </c>
      <c r="G11" s="2" t="s">
        <v>63</v>
      </c>
      <c r="H11" s="2" t="s">
        <v>64</v>
      </c>
      <c r="I11" s="2" t="s">
        <v>54</v>
      </c>
      <c r="J11" s="2" t="s">
        <v>55</v>
      </c>
      <c r="K11" s="5" t="s">
        <v>61</v>
      </c>
      <c r="L11" s="2" t="s">
        <v>63</v>
      </c>
      <c r="M11" s="2"/>
      <c r="N11" s="3"/>
      <c r="O11" s="3" t="s">
        <v>58</v>
      </c>
    </row>
    <row r="12" spans="2:15" x14ac:dyDescent="0.25">
      <c r="B12" s="2">
        <f t="shared" si="0"/>
        <v>4</v>
      </c>
      <c r="C12" s="2"/>
      <c r="D12" s="2" t="s">
        <v>50</v>
      </c>
      <c r="E12" s="2" t="s">
        <v>51</v>
      </c>
      <c r="F12" s="2" t="s">
        <v>51</v>
      </c>
      <c r="G12" s="2" t="s">
        <v>65</v>
      </c>
      <c r="H12" s="2" t="s">
        <v>66</v>
      </c>
      <c r="I12" s="2" t="s">
        <v>54</v>
      </c>
      <c r="J12" s="2" t="s">
        <v>67</v>
      </c>
      <c r="K12" s="5"/>
      <c r="L12" s="2" t="s">
        <v>68</v>
      </c>
      <c r="M12" s="2"/>
      <c r="N12" s="3"/>
      <c r="O12" s="3" t="s">
        <v>58</v>
      </c>
    </row>
    <row r="13" spans="2:15" x14ac:dyDescent="0.25">
      <c r="B13" s="2">
        <f t="shared" si="0"/>
        <v>5</v>
      </c>
      <c r="C13" s="2"/>
      <c r="D13" s="2" t="s">
        <v>50</v>
      </c>
      <c r="E13" s="2" t="s">
        <v>51</v>
      </c>
      <c r="F13" s="2" t="s">
        <v>51</v>
      </c>
      <c r="G13" s="2" t="s">
        <v>69</v>
      </c>
      <c r="H13" s="2" t="s">
        <v>70</v>
      </c>
      <c r="I13" s="2" t="s">
        <v>54</v>
      </c>
      <c r="J13" s="2" t="s">
        <v>55</v>
      </c>
      <c r="K13" s="5" t="s">
        <v>61</v>
      </c>
      <c r="L13" s="2" t="s">
        <v>69</v>
      </c>
      <c r="M13" s="2"/>
      <c r="N13" s="3"/>
      <c r="O13" s="3" t="s">
        <v>58</v>
      </c>
    </row>
    <row r="14" spans="2:15" x14ac:dyDescent="0.25">
      <c r="B14" s="2">
        <f t="shared" si="0"/>
        <v>6</v>
      </c>
      <c r="C14" s="2"/>
      <c r="D14" s="2" t="s">
        <v>50</v>
      </c>
      <c r="E14" s="2" t="s">
        <v>51</v>
      </c>
      <c r="F14" s="2" t="s">
        <v>51</v>
      </c>
      <c r="G14" s="2" t="s">
        <v>71</v>
      </c>
      <c r="H14" s="2" t="s">
        <v>72</v>
      </c>
      <c r="I14" s="2" t="s">
        <v>54</v>
      </c>
      <c r="J14" s="2" t="s">
        <v>55</v>
      </c>
      <c r="K14" s="5" t="s">
        <v>61</v>
      </c>
      <c r="L14" s="2" t="s">
        <v>73</v>
      </c>
      <c r="M14" s="2"/>
      <c r="N14" s="3"/>
      <c r="O14" s="3" t="s">
        <v>58</v>
      </c>
    </row>
    <row r="15" spans="2:15" x14ac:dyDescent="0.25">
      <c r="B15" s="2">
        <f t="shared" si="0"/>
        <v>7</v>
      </c>
      <c r="C15" s="2"/>
      <c r="D15" s="2" t="s">
        <v>50</v>
      </c>
      <c r="E15" s="2" t="s">
        <v>51</v>
      </c>
      <c r="F15" s="2" t="s">
        <v>51</v>
      </c>
      <c r="G15" s="2" t="s">
        <v>74</v>
      </c>
      <c r="H15" s="2" t="s">
        <v>75</v>
      </c>
      <c r="I15" s="2" t="s">
        <v>54</v>
      </c>
      <c r="J15" s="2" t="s">
        <v>76</v>
      </c>
      <c r="K15" s="5"/>
      <c r="L15" s="2" t="s">
        <v>74</v>
      </c>
      <c r="M15" s="2"/>
      <c r="N15" s="3"/>
      <c r="O15" s="3" t="s">
        <v>58</v>
      </c>
    </row>
    <row r="16" spans="2:15" x14ac:dyDescent="0.25">
      <c r="B16" s="2">
        <f t="shared" si="0"/>
        <v>8</v>
      </c>
      <c r="C16" s="2"/>
      <c r="D16" s="2" t="s">
        <v>50</v>
      </c>
      <c r="E16" s="2" t="s">
        <v>51</v>
      </c>
      <c r="F16" s="2" t="s">
        <v>51</v>
      </c>
      <c r="G16" s="2" t="s">
        <v>77</v>
      </c>
      <c r="H16" s="2" t="s">
        <v>70</v>
      </c>
      <c r="I16" s="2" t="s">
        <v>54</v>
      </c>
      <c r="J16" s="2" t="s">
        <v>78</v>
      </c>
      <c r="K16" s="5"/>
      <c r="L16" s="2" t="s">
        <v>79</v>
      </c>
      <c r="M16" s="2"/>
      <c r="N16" s="3"/>
      <c r="O16" s="3" t="s">
        <v>58</v>
      </c>
    </row>
    <row r="17" spans="2:15" x14ac:dyDescent="0.25">
      <c r="B17" s="2">
        <f t="shared" si="0"/>
        <v>9</v>
      </c>
      <c r="C17" s="2"/>
      <c r="D17" s="2" t="s">
        <v>50</v>
      </c>
      <c r="E17" s="2" t="s">
        <v>51</v>
      </c>
      <c r="F17" s="2" t="s">
        <v>51</v>
      </c>
      <c r="G17" s="2" t="s">
        <v>80</v>
      </c>
      <c r="H17" s="2" t="s">
        <v>70</v>
      </c>
      <c r="I17" s="2" t="s">
        <v>54</v>
      </c>
      <c r="J17" s="2" t="s">
        <v>55</v>
      </c>
      <c r="K17" s="5" t="s">
        <v>81</v>
      </c>
      <c r="L17" s="2" t="s">
        <v>82</v>
      </c>
      <c r="M17" s="2"/>
      <c r="N17" s="3"/>
      <c r="O17" s="3" t="s">
        <v>58</v>
      </c>
    </row>
    <row r="18" spans="2:15" x14ac:dyDescent="0.25">
      <c r="B18" s="2">
        <f t="shared" si="0"/>
        <v>10</v>
      </c>
      <c r="C18" s="2"/>
      <c r="D18" s="2" t="s">
        <v>50</v>
      </c>
      <c r="E18" s="2" t="s">
        <v>51</v>
      </c>
      <c r="F18" s="2" t="s">
        <v>51</v>
      </c>
      <c r="G18" s="2" t="s">
        <v>83</v>
      </c>
      <c r="H18" s="2" t="s">
        <v>70</v>
      </c>
      <c r="I18" s="2" t="s">
        <v>54</v>
      </c>
      <c r="J18" s="2" t="s">
        <v>55</v>
      </c>
      <c r="K18" s="5" t="s">
        <v>84</v>
      </c>
      <c r="L18" s="2" t="s">
        <v>83</v>
      </c>
      <c r="M18" s="2"/>
      <c r="N18" s="3"/>
      <c r="O18" s="3" t="s">
        <v>58</v>
      </c>
    </row>
    <row r="19" spans="2:15" x14ac:dyDescent="0.25">
      <c r="B19" s="2">
        <f t="shared" si="0"/>
        <v>11</v>
      </c>
      <c r="C19" s="2"/>
      <c r="D19" s="2" t="s">
        <v>50</v>
      </c>
      <c r="E19" s="2" t="s">
        <v>51</v>
      </c>
      <c r="F19" s="2" t="s">
        <v>51</v>
      </c>
      <c r="G19" s="2" t="s">
        <v>85</v>
      </c>
      <c r="H19" s="2" t="s">
        <v>70</v>
      </c>
      <c r="I19" s="2" t="s">
        <v>54</v>
      </c>
      <c r="J19" s="2" t="s">
        <v>78</v>
      </c>
      <c r="K19" s="5"/>
      <c r="L19" s="2" t="s">
        <v>85</v>
      </c>
      <c r="M19" s="2"/>
      <c r="N19" s="3"/>
      <c r="O19" s="3" t="s">
        <v>58</v>
      </c>
    </row>
    <row r="20" spans="2:15" x14ac:dyDescent="0.25">
      <c r="B20" s="2">
        <f t="shared" si="0"/>
        <v>12</v>
      </c>
      <c r="C20" s="2"/>
      <c r="D20" s="2" t="s">
        <v>86</v>
      </c>
      <c r="E20" s="2" t="s">
        <v>51</v>
      </c>
      <c r="F20" s="2" t="s">
        <v>51</v>
      </c>
      <c r="G20" s="2" t="s">
        <v>87</v>
      </c>
      <c r="H20" s="2" t="s">
        <v>88</v>
      </c>
      <c r="I20" s="2" t="s">
        <v>54</v>
      </c>
      <c r="J20" s="2" t="s">
        <v>55</v>
      </c>
      <c r="K20" s="5" t="s">
        <v>89</v>
      </c>
      <c r="L20" s="2" t="s">
        <v>90</v>
      </c>
      <c r="M20" s="2"/>
      <c r="N20" s="3"/>
      <c r="O20" s="3" t="s">
        <v>58</v>
      </c>
    </row>
    <row r="21" spans="2:15" x14ac:dyDescent="0.25">
      <c r="B21" s="2">
        <f t="shared" si="0"/>
        <v>13</v>
      </c>
      <c r="C21" s="2"/>
      <c r="D21" s="2" t="s">
        <v>86</v>
      </c>
      <c r="E21" s="2" t="s">
        <v>51</v>
      </c>
      <c r="F21" s="2" t="s">
        <v>51</v>
      </c>
      <c r="G21" s="2" t="s">
        <v>91</v>
      </c>
      <c r="H21" s="2" t="s">
        <v>92</v>
      </c>
      <c r="I21" s="2" t="s">
        <v>54</v>
      </c>
      <c r="J21" s="2" t="s">
        <v>55</v>
      </c>
      <c r="K21" s="5" t="s">
        <v>89</v>
      </c>
      <c r="L21" s="2" t="s">
        <v>93</v>
      </c>
      <c r="M21" s="2"/>
      <c r="N21" s="3"/>
      <c r="O21" s="3" t="s">
        <v>58</v>
      </c>
    </row>
    <row r="22" spans="2:15" x14ac:dyDescent="0.25">
      <c r="B22" s="2">
        <f t="shared" si="0"/>
        <v>14</v>
      </c>
      <c r="C22" s="2"/>
      <c r="D22" s="2" t="s">
        <v>86</v>
      </c>
      <c r="E22" s="2" t="s">
        <v>51</v>
      </c>
      <c r="F22" s="2" t="s">
        <v>51</v>
      </c>
      <c r="G22" s="2" t="s">
        <v>94</v>
      </c>
      <c r="H22" s="2" t="s">
        <v>95</v>
      </c>
      <c r="I22" s="2" t="s">
        <v>54</v>
      </c>
      <c r="J22" s="2" t="s">
        <v>55</v>
      </c>
      <c r="K22" s="5" t="s">
        <v>89</v>
      </c>
      <c r="L22" s="2" t="s">
        <v>96</v>
      </c>
      <c r="M22" s="2"/>
      <c r="N22" s="3"/>
      <c r="O22" s="3" t="s">
        <v>58</v>
      </c>
    </row>
    <row r="23" spans="2:15" x14ac:dyDescent="0.25">
      <c r="B23" s="2">
        <f t="shared" si="0"/>
        <v>15</v>
      </c>
      <c r="C23" s="2"/>
      <c r="D23" s="2" t="s">
        <v>86</v>
      </c>
      <c r="E23" s="2" t="s">
        <v>51</v>
      </c>
      <c r="F23" s="2" t="s">
        <v>51</v>
      </c>
      <c r="G23" s="4" t="s">
        <v>118</v>
      </c>
      <c r="H23" s="2" t="s">
        <v>116</v>
      </c>
      <c r="I23" s="2" t="s">
        <v>54</v>
      </c>
      <c r="J23" s="2" t="s">
        <v>55</v>
      </c>
      <c r="K23" s="2" t="s">
        <v>61</v>
      </c>
      <c r="L23" s="2" t="s">
        <v>117</v>
      </c>
      <c r="M23" s="2"/>
      <c r="N23" s="3"/>
      <c r="O23" s="3" t="s">
        <v>58</v>
      </c>
    </row>
    <row r="24" spans="2:15" x14ac:dyDescent="0.25">
      <c r="B24" s="2">
        <f t="shared" si="0"/>
        <v>16</v>
      </c>
      <c r="C24" s="2"/>
      <c r="D24" s="2" t="s">
        <v>50</v>
      </c>
      <c r="E24" s="2" t="s">
        <v>51</v>
      </c>
      <c r="F24" s="2" t="s">
        <v>51</v>
      </c>
      <c r="G24" s="2" t="s">
        <v>97</v>
      </c>
      <c r="H24" s="2" t="s">
        <v>98</v>
      </c>
      <c r="I24" s="2" t="s">
        <v>54</v>
      </c>
      <c r="J24" s="2" t="s">
        <v>55</v>
      </c>
      <c r="K24" s="5" t="s">
        <v>99</v>
      </c>
      <c r="L24" s="2" t="s">
        <v>97</v>
      </c>
      <c r="M24" s="2"/>
      <c r="N24" s="3"/>
      <c r="O24" s="3" t="s">
        <v>58</v>
      </c>
    </row>
    <row r="25" spans="2:15" x14ac:dyDescent="0.25">
      <c r="B25" s="2">
        <f t="shared" si="0"/>
        <v>17</v>
      </c>
      <c r="C25" s="2"/>
      <c r="D25" s="2" t="s">
        <v>50</v>
      </c>
      <c r="E25" s="2" t="s">
        <v>51</v>
      </c>
      <c r="F25" s="2" t="s">
        <v>51</v>
      </c>
      <c r="G25" s="2" t="s">
        <v>100</v>
      </c>
      <c r="H25" s="2" t="s">
        <v>101</v>
      </c>
      <c r="I25" s="2" t="s">
        <v>54</v>
      </c>
      <c r="J25" s="2" t="s">
        <v>67</v>
      </c>
      <c r="K25" s="2"/>
      <c r="L25" s="2" t="s">
        <v>102</v>
      </c>
      <c r="M25" s="2"/>
      <c r="N25" s="3"/>
      <c r="O25" s="3" t="s">
        <v>58</v>
      </c>
    </row>
    <row r="26" spans="2:15" x14ac:dyDescent="0.25">
      <c r="B26" s="2">
        <f t="shared" si="0"/>
        <v>18</v>
      </c>
      <c r="C26" s="2"/>
      <c r="D26" s="2" t="s">
        <v>86</v>
      </c>
      <c r="E26" s="2" t="s">
        <v>51</v>
      </c>
      <c r="F26" s="2" t="s">
        <v>51</v>
      </c>
      <c r="G26" s="2" t="s">
        <v>103</v>
      </c>
      <c r="H26" s="2" t="s">
        <v>104</v>
      </c>
      <c r="I26" s="2" t="s">
        <v>54</v>
      </c>
      <c r="J26" s="2" t="s">
        <v>105</v>
      </c>
      <c r="K26" s="2"/>
      <c r="L26" s="2" t="s">
        <v>106</v>
      </c>
      <c r="M26" s="2" t="s">
        <v>106</v>
      </c>
      <c r="N26" s="3"/>
      <c r="O26" s="3" t="s">
        <v>58</v>
      </c>
    </row>
    <row r="27" spans="2:15" x14ac:dyDescent="0.25">
      <c r="B27" s="2">
        <f t="shared" si="0"/>
        <v>19</v>
      </c>
      <c r="C27" s="2"/>
      <c r="D27" s="2" t="s">
        <v>86</v>
      </c>
      <c r="E27" s="2" t="s">
        <v>51</v>
      </c>
      <c r="F27" s="2" t="s">
        <v>51</v>
      </c>
      <c r="G27" s="2" t="s">
        <v>107</v>
      </c>
      <c r="H27" s="2" t="s">
        <v>108</v>
      </c>
      <c r="I27" s="2" t="s">
        <v>54</v>
      </c>
      <c r="J27" s="2" t="s">
        <v>55</v>
      </c>
      <c r="K27" s="2" t="s">
        <v>61</v>
      </c>
      <c r="L27" s="2" t="s">
        <v>63</v>
      </c>
      <c r="M27" s="2"/>
      <c r="N27" s="3"/>
      <c r="O27" s="3" t="s">
        <v>58</v>
      </c>
    </row>
    <row r="28" spans="2:15" x14ac:dyDescent="0.25">
      <c r="B28" s="2">
        <f t="shared" si="0"/>
        <v>20</v>
      </c>
      <c r="C28" s="2"/>
      <c r="D28" s="2" t="s">
        <v>86</v>
      </c>
      <c r="E28" s="2" t="s">
        <v>51</v>
      </c>
      <c r="F28" s="2" t="s">
        <v>51</v>
      </c>
      <c r="G28" s="2" t="s">
        <v>109</v>
      </c>
      <c r="H28" s="2" t="s">
        <v>70</v>
      </c>
      <c r="I28" s="2" t="s">
        <v>54</v>
      </c>
      <c r="J28" s="2" t="s">
        <v>55</v>
      </c>
      <c r="K28" s="2" t="s">
        <v>110</v>
      </c>
      <c r="L28" s="2" t="s">
        <v>111</v>
      </c>
      <c r="M28" s="2"/>
      <c r="N28" s="3"/>
      <c r="O28" s="3" t="s">
        <v>58</v>
      </c>
    </row>
    <row r="29" spans="2:15" x14ac:dyDescent="0.25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 t="s">
        <v>58</v>
      </c>
    </row>
    <row r="30" spans="2:15" x14ac:dyDescent="0.25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 x14ac:dyDescent="0.25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 x14ac:dyDescent="0.25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 x14ac:dyDescent="0.25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 x14ac:dyDescent="0.25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  <row r="35" spans="2:15" x14ac:dyDescent="0.25">
      <c r="B35" s="2">
        <f t="shared" si="0"/>
        <v>27</v>
      </c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3"/>
      <c r="O35" s="3"/>
    </row>
    <row r="36" spans="2:15" x14ac:dyDescent="0.25">
      <c r="B36" s="2">
        <f t="shared" si="0"/>
        <v>28</v>
      </c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3"/>
      <c r="O36" s="3"/>
    </row>
    <row r="37" spans="2:15" x14ac:dyDescent="0.25">
      <c r="B37" s="2">
        <f t="shared" si="0"/>
        <v>29</v>
      </c>
      <c r="C37" s="2"/>
      <c r="D37" s="2"/>
      <c r="E37" s="2"/>
      <c r="F37" s="2"/>
      <c r="G37" s="4"/>
      <c r="H37" s="2"/>
      <c r="I37" s="2"/>
      <c r="J37" s="2"/>
      <c r="K37" s="2"/>
      <c r="L37" s="2"/>
      <c r="M37" s="2"/>
      <c r="N37" s="3"/>
      <c r="O37" s="3"/>
    </row>
    <row r="38" spans="2:15" x14ac:dyDescent="0.25">
      <c r="B38" s="2">
        <f t="shared" si="0"/>
        <v>30</v>
      </c>
      <c r="C38" s="2"/>
      <c r="D38" s="2"/>
      <c r="E38" s="2"/>
      <c r="F38" s="2"/>
      <c r="G38" s="4"/>
      <c r="H38" s="2"/>
      <c r="I38" s="2"/>
      <c r="J38" s="2"/>
      <c r="K38" s="2"/>
      <c r="L38" s="2"/>
      <c r="M38" s="2"/>
      <c r="N38" s="3"/>
      <c r="O38" s="3"/>
    </row>
    <row r="39" spans="2:15" x14ac:dyDescent="0.25">
      <c r="B39" s="2">
        <f t="shared" si="0"/>
        <v>31</v>
      </c>
      <c r="C39" s="2"/>
      <c r="D39" s="2"/>
      <c r="E39" s="2"/>
      <c r="F39" s="2"/>
      <c r="G39" s="4"/>
      <c r="H39" s="2"/>
      <c r="I39" s="2"/>
      <c r="J39" s="2"/>
      <c r="K39" s="2"/>
      <c r="L39" s="2"/>
      <c r="M39" s="2"/>
      <c r="N39" s="3"/>
      <c r="O39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39">
    <cfRule type="expression" dxfId="1" priority="2">
      <formula>J9&lt;&gt;"String"</formula>
    </cfRule>
  </conditionalFormatting>
  <conditionalFormatting sqref="M9:M39">
    <cfRule type="expression" dxfId="0" priority="1">
      <formula>J9&lt;&gt;"Enum"</formula>
    </cfRule>
  </conditionalFormatting>
  <dataValidations count="3">
    <dataValidation type="list" sqref="J9:J39" xr:uid="{0F2C6B20-296D-4AB3-B29A-D5E089405034}">
      <formula1>"String,Integer,Real,Date,Time,UtcDateTime,Enum,Container,Guid,Int64"</formula1>
    </dataValidation>
    <dataValidation type="list" sqref="C9:C39" xr:uid="{4CD43F23-78A4-44D2-80C4-5887477F1224}">
      <formula1>"P,R"</formula1>
    </dataValidation>
    <dataValidation type="list" sqref="D9:F39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M21" sqref="M21"/>
    </sheetView>
  </sheetViews>
  <sheetFormatPr defaultRowHeight="14.25" x14ac:dyDescent="0.25"/>
  <cols>
    <col min="1" max="1" width="2.625" customWidth="1"/>
  </cols>
  <sheetData>
    <row r="2" spans="2:3" x14ac:dyDescent="0.25">
      <c r="B2" t="s">
        <v>34</v>
      </c>
    </row>
    <row r="3" spans="2:3" x14ac:dyDescent="0.25">
      <c r="B3" s="14" t="s">
        <v>112</v>
      </c>
    </row>
    <row r="4" spans="2:3" x14ac:dyDescent="0.25">
      <c r="B4" s="15" t="s">
        <v>113</v>
      </c>
    </row>
    <row r="5" spans="2:3" x14ac:dyDescent="0.25">
      <c r="B5" s="16" t="s">
        <v>114</v>
      </c>
      <c r="C5" t="s">
        <v>115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A5E33F-6EA0-4668-B8C5-A1FAE3BD6CE8}"/>
</file>

<file path=customXml/itemProps3.xml><?xml version="1.0" encoding="utf-8"?>
<ds:datastoreItem xmlns:ds="http://schemas.openxmlformats.org/officeDocument/2006/customXml" ds:itemID="{AD845B92-CF12-4637-9916-73A131A845DA}">
  <ds:schemaRefs>
    <ds:schemaRef ds:uri="http://schemas.microsoft.com/office/2006/documentManagement/types"/>
    <ds:schemaRef ds:uri="11a06735-eb40-4925-8cde-3ab8c03b2281"/>
    <ds:schemaRef ds:uri="http://purl.org/dc/elements/1.1/"/>
    <ds:schemaRef ds:uri="http://purl.org/dc/dcmitype/"/>
    <ds:schemaRef ds:uri="337c9669-7545-402d-a50a-1c173d0fc4c6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Sun, Huajian</cp:lastModifiedBy>
  <cp:revision/>
  <dcterms:created xsi:type="dcterms:W3CDTF">2020-03-26T09:32:47Z</dcterms:created>
  <dcterms:modified xsi:type="dcterms:W3CDTF">2025-03-17T04:38:01Z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