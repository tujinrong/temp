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2_要件定義フェーズ/03_ToBe業務フロー/"/>
    </mc:Choice>
  </mc:AlternateContent>
  <xr:revisionPtr revIDLastSave="124" documentId="120_{0E256342-65A7-4168-93F4-C76C55A8D52F}" xr6:coauthVersionLast="47" xr6:coauthVersionMax="47" xr10:uidLastSave="{CE27C3E1-D38E-4AE0-844C-AE9B34CCC7D5}"/>
  <bookViews>
    <workbookView xWindow="-110" yWindow="-110" windowWidth="21820" windowHeight="13900" tabRatio="872" firstSheet="6" activeTab="6" xr2:uid="{00000000-000D-0000-FFFF-FFFF00000000}"/>
  </bookViews>
  <sheets>
    <sheet name="表紙" sheetId="233" r:id="rId1"/>
    <sheet name="変更履歴" sheetId="234" r:id="rId2"/>
    <sheet name="凡例" sheetId="241" r:id="rId3"/>
    <sheet name="日次振伝処理(資金G)" sheetId="298" r:id="rId4"/>
    <sheet name="現預金" sheetId="293" r:id="rId5"/>
    <sheet name="調達・運用・通貨交換" sheetId="294" r:id="rId6"/>
    <sheet name="グループファイナンス(内部借入・貸付)" sheetId="295" r:id="rId7"/>
    <sheet name="資金予測" sheetId="291" r:id="rId8"/>
    <sheet name="月次グループ管理(借入預金)" sheetId="296" r:id="rId9"/>
    <sheet name="四半期グループ管理(借入貸付)" sheetId="29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98" l="1"/>
  <c r="A6" i="298"/>
  <c r="V2" i="297" l="1"/>
  <c r="V2" i="296"/>
  <c r="V2" i="295"/>
  <c r="V2" i="294"/>
  <c r="V2" i="291"/>
  <c r="V2" i="293"/>
  <c r="A6" i="297" l="1"/>
  <c r="A6" i="296"/>
  <c r="A6" i="295"/>
  <c r="A6" i="294"/>
  <c r="A6" i="293"/>
  <c r="A6" i="291" l="1"/>
  <c r="V2" i="241" l="1"/>
  <c r="W2" i="234" l="1"/>
  <c r="F2" i="234" l="1"/>
  <c r="F2" i="298" s="1"/>
  <c r="F1" i="234"/>
  <c r="B24" i="233" a="1"/>
  <c r="B22" i="233"/>
  <c r="F1" i="298" l="1"/>
  <c r="F1" i="293"/>
  <c r="F1" i="296"/>
  <c r="F1" i="294"/>
  <c r="F1" i="297"/>
  <c r="F1" i="291"/>
  <c r="F1" i="295"/>
  <c r="F2" i="296"/>
  <c r="F2" i="291"/>
  <c r="F2" i="294"/>
  <c r="F2" i="297"/>
  <c r="F2" i="293"/>
  <c r="F2" i="295"/>
  <c r="F1" i="241"/>
  <c r="F2" i="241"/>
  <c r="B24" i="233"/>
  <c r="BA2" i="234" l="1"/>
  <c r="AT2" i="234"/>
  <c r="AT3" i="234" a="1"/>
  <c r="BA3" i="234" a="1"/>
  <c r="AL2" i="298" l="1"/>
  <c r="AL2" i="296"/>
  <c r="AL2" i="293"/>
  <c r="AL2" i="295"/>
  <c r="AL2" i="291"/>
  <c r="AL2" i="294"/>
  <c r="AL2" i="297"/>
  <c r="AQ2" i="298"/>
  <c r="AQ2" i="294"/>
  <c r="AQ2" i="297"/>
  <c r="AQ2" i="295"/>
  <c r="AQ2" i="291"/>
  <c r="AQ2" i="296"/>
  <c r="AQ2" i="293"/>
  <c r="AL2" i="241"/>
  <c r="AQ2" i="241"/>
  <c r="AT3" i="234"/>
  <c r="AL3" i="298" s="1"/>
  <c r="BA3" i="234"/>
  <c r="AQ3" i="298" s="1"/>
  <c r="AQ3" i="296" l="1"/>
  <c r="AQ3" i="297"/>
  <c r="AL3" i="296"/>
  <c r="AL3" i="297"/>
  <c r="AQ3" i="294"/>
  <c r="AQ3" i="295"/>
  <c r="AL3" i="294"/>
  <c r="AL3" i="295"/>
  <c r="AQ3" i="293"/>
  <c r="AQ3" i="291"/>
  <c r="AL3" i="293"/>
  <c r="AL3" i="291"/>
  <c r="AQ3" i="241"/>
  <c r="AL3" i="24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<sst xmlns="http://schemas.openxmlformats.org/spreadsheetml/2006/main" count="719" uniqueCount="362">
  <si>
    <t>サンスター株式会社　御中</t>
    <phoneticPr fontId="3"/>
  </si>
  <si>
    <t>会計システム刷新プロジェクト（LIBRA）</t>
    <rPh sb="0" eb="2">
      <t>カイケイ</t>
    </rPh>
    <rPh sb="6" eb="8">
      <t>サッシン</t>
    </rPh>
    <phoneticPr fontId="3"/>
  </si>
  <si>
    <t>ToBe業務フロー（2.グループファイナンス・資金繰り）</t>
    <phoneticPr fontId="2"/>
  </si>
  <si>
    <t>日本ビジネスシステムズ株式会社</t>
    <rPh sb="0" eb="2">
      <t>ニホン</t>
    </rPh>
    <rPh sb="11" eb="15">
      <t>カブシキガイシャ</t>
    </rPh>
    <phoneticPr fontId="3"/>
  </si>
  <si>
    <t>作成者</t>
    <rPh sb="0" eb="3">
      <t>サクセイシャ</t>
    </rPh>
    <phoneticPr fontId="3"/>
  </si>
  <si>
    <t>JBS承認者</t>
    <rPh sb="3" eb="6">
      <t>ショウニンシャ</t>
    </rPh>
    <phoneticPr fontId="3"/>
  </si>
  <si>
    <t>承認者</t>
    <rPh sb="0" eb="3">
      <t>ショウニンシャシャ</t>
    </rPh>
    <phoneticPr fontId="3"/>
  </si>
  <si>
    <t>JBS福田</t>
    <rPh sb="3" eb="5">
      <t>フクダ</t>
    </rPh>
    <phoneticPr fontId="2"/>
  </si>
  <si>
    <t>JBS加藤</t>
    <rPh sb="3" eb="5">
      <t>カトウ</t>
    </rPh>
    <phoneticPr fontId="2"/>
  </si>
  <si>
    <t>システム名</t>
    <rPh sb="4" eb="5">
      <t>メイ</t>
    </rPh>
    <phoneticPr fontId="10"/>
  </si>
  <si>
    <t>タイトル</t>
  </si>
  <si>
    <t>日付</t>
    <rPh sb="0" eb="2">
      <t>ヒヅケ</t>
    </rPh>
    <phoneticPr fontId="23"/>
  </si>
  <si>
    <t>更新者</t>
    <rPh sb="0" eb="2">
      <t>コウシン</t>
    </rPh>
    <rPh sb="2" eb="3">
      <t>シャ</t>
    </rPh>
    <phoneticPr fontId="10"/>
  </si>
  <si>
    <t>文書名</t>
    <rPh sb="0" eb="2">
      <t>ブンショ</t>
    </rPh>
    <rPh sb="2" eb="3">
      <t>メイ</t>
    </rPh>
    <phoneticPr fontId="10"/>
  </si>
  <si>
    <t>作成</t>
    <rPh sb="0" eb="2">
      <t>サクセイ</t>
    </rPh>
    <phoneticPr fontId="10"/>
  </si>
  <si>
    <t>更新</t>
    <rPh sb="0" eb="2">
      <t>コウシン</t>
    </rPh>
    <phoneticPr fontId="10"/>
  </si>
  <si>
    <t>変更年月日</t>
    <rPh sb="0" eb="2">
      <t>ヘンコウ</t>
    </rPh>
    <rPh sb="2" eb="5">
      <t>ネンガッピ</t>
    </rPh>
    <phoneticPr fontId="24"/>
  </si>
  <si>
    <t>変更箇所</t>
    <rPh sb="0" eb="2">
      <t>ヘンコウ</t>
    </rPh>
    <rPh sb="2" eb="4">
      <t>カショ</t>
    </rPh>
    <phoneticPr fontId="24"/>
  </si>
  <si>
    <t>変更内容</t>
    <rPh sb="0" eb="2">
      <t>ヘンコウ</t>
    </rPh>
    <rPh sb="2" eb="4">
      <t>ナイヨウ</t>
    </rPh>
    <phoneticPr fontId="24"/>
  </si>
  <si>
    <t>変更者</t>
    <rPh sb="0" eb="2">
      <t>ヘンコウ</t>
    </rPh>
    <rPh sb="2" eb="3">
      <t>シャ</t>
    </rPh>
    <phoneticPr fontId="24"/>
  </si>
  <si>
    <t>版数</t>
    <rPh sb="0" eb="1">
      <t>ハン</t>
    </rPh>
    <rPh sb="1" eb="2">
      <t>スウ</t>
    </rPh>
    <phoneticPr fontId="24"/>
  </si>
  <si>
    <t>新規作成</t>
    <rPh sb="0" eb="2">
      <t>シンキ</t>
    </rPh>
    <rPh sb="2" eb="4">
      <t>サクセイ</t>
    </rPh>
    <phoneticPr fontId="3"/>
  </si>
  <si>
    <t>新規作成</t>
    <rPh sb="0" eb="4">
      <t>シンキサクセイ</t>
    </rPh>
    <phoneticPr fontId="23"/>
  </si>
  <si>
    <t>JBS福田</t>
    <rPh sb="3" eb="5">
      <t>フクダ</t>
    </rPh>
    <phoneticPr fontId="3"/>
  </si>
  <si>
    <t>0.1</t>
    <phoneticPr fontId="2"/>
  </si>
  <si>
    <t>初版確定</t>
    <rPh sb="0" eb="4">
      <t>ショハンカクテイ</t>
    </rPh>
    <phoneticPr fontId="2"/>
  </si>
  <si>
    <t>1.0</t>
    <phoneticPr fontId="2"/>
  </si>
  <si>
    <t>グループファイナンス(内部借入・貸付)</t>
    <phoneticPr fontId="2"/>
  </si>
  <si>
    <t xml:space="preserve">2．内部貸付　＞　3．利息仕訳計上　のプロセスに
一般仕訳帳or自由書式の請求と記載していたのを、一般仕訳帳に変更
</t>
    <rPh sb="25" eb="27">
      <t>イッパン</t>
    </rPh>
    <rPh sb="27" eb="30">
      <t>シワケチョウ</t>
    </rPh>
    <rPh sb="32" eb="36">
      <t>ジユウショシキ</t>
    </rPh>
    <rPh sb="37" eb="39">
      <t>セイキュウ</t>
    </rPh>
    <rPh sb="40" eb="42">
      <t>キサイ</t>
    </rPh>
    <rPh sb="49" eb="51">
      <t>イッパン</t>
    </rPh>
    <rPh sb="51" eb="54">
      <t>シワケチョウ</t>
    </rPh>
    <rPh sb="55" eb="57">
      <t>ヘンコウ</t>
    </rPh>
    <phoneticPr fontId="2"/>
  </si>
  <si>
    <t>1.1</t>
    <phoneticPr fontId="2"/>
  </si>
  <si>
    <t>シート：資金予測
シート：月次グループ管理(借入預金)
シート：四半期グループ管理(借入貸付)</t>
    <rPh sb="4" eb="6">
      <t>シキン</t>
    </rPh>
    <rPh sb="6" eb="8">
      <t>ヨソク</t>
    </rPh>
    <phoneticPr fontId="2"/>
  </si>
  <si>
    <t>FOのスコープ外となった注記を追加</t>
    <rPh sb="12" eb="14">
      <t>チュウキ</t>
    </rPh>
    <rPh sb="15" eb="17">
      <t>ツイカ</t>
    </rPh>
    <phoneticPr fontId="2"/>
  </si>
  <si>
    <t>1.2</t>
    <phoneticPr fontId="2"/>
  </si>
  <si>
    <t>シート：日次振伝処理(資金G)</t>
    <rPh sb="4" eb="6">
      <t>ニチジ</t>
    </rPh>
    <rPh sb="6" eb="10">
      <t>フリデンショリ</t>
    </rPh>
    <rPh sb="11" eb="13">
      <t>シキン</t>
    </rPh>
    <phoneticPr fontId="2"/>
  </si>
  <si>
    <t>シート「日次振伝処理(資金G)」を新規追加</t>
    <rPh sb="17" eb="21">
      <t>シンキツイカ</t>
    </rPh>
    <phoneticPr fontId="2"/>
  </si>
  <si>
    <t>シート：現預金
シート：調達・運用・通貨交換
シート：グループファイナンス(内部借入・貸付)</t>
    <rPh sb="4" eb="7">
      <t>ゲンヨキン</t>
    </rPh>
    <phoneticPr fontId="2"/>
  </si>
  <si>
    <t>一般仕訳帳のWF送信/承認/自動転記バッチのプロセスについては、「日次振伝処理(資金G)」を参照する旨の注記を追加</t>
    <rPh sb="8" eb="10">
      <t>ソウシン</t>
    </rPh>
    <rPh sb="11" eb="13">
      <t>ショウニン</t>
    </rPh>
    <rPh sb="14" eb="16">
      <t>ジドウ</t>
    </rPh>
    <rPh sb="16" eb="18">
      <t>テンキ</t>
    </rPh>
    <rPh sb="26" eb="28">
      <t>ツイカ</t>
    </rPh>
    <rPh sb="46" eb="48">
      <t>サンショウ</t>
    </rPh>
    <rPh sb="50" eb="51">
      <t>ムネ</t>
    </rPh>
    <phoneticPr fontId="2"/>
  </si>
  <si>
    <t xml:space="preserve">シート：現預金
</t>
    <rPh sb="4" eb="7">
      <t>ゲンヨキン</t>
    </rPh>
    <phoneticPr fontId="2"/>
  </si>
  <si>
    <t>「2．預金管理　の標題を「2．預金管理」→「2．引落手数料と決済利息の計上」に変更
「５．残高確認」のプロセスを削除</t>
    <rPh sb="56" eb="58">
      <t>サクジョ</t>
    </rPh>
    <phoneticPr fontId="2"/>
  </si>
  <si>
    <t>1.3</t>
    <phoneticPr fontId="2"/>
  </si>
  <si>
    <t>「4．預金決算利息仕訳計上」のコメントを修正
修正前：預金決算利息情報CSVをEXCELアドイン形式に編集して一般仕訳帳に登録する
修正後：預金決算利息情報CSVを一般仕訳帳アップロードEXCELレイアウトに編集して一般仕訳帳に登録する</t>
    <rPh sb="20" eb="22">
      <t>シュウセイ</t>
    </rPh>
    <rPh sb="23" eb="25">
      <t>シュウセイ</t>
    </rPh>
    <rPh sb="25" eb="26">
      <t>マエ</t>
    </rPh>
    <rPh sb="66" eb="69">
      <t>シュウセイゴ</t>
    </rPh>
    <rPh sb="82" eb="84">
      <t>イッパン</t>
    </rPh>
    <rPh sb="84" eb="87">
      <t>シワケチョウ</t>
    </rPh>
    <phoneticPr fontId="2"/>
  </si>
  <si>
    <t>1.4</t>
    <phoneticPr fontId="2"/>
  </si>
  <si>
    <t>タイトル</t>
    <phoneticPr fontId="3"/>
  </si>
  <si>
    <t>凡例</t>
    <rPh sb="0" eb="2">
      <t>ハンレイ</t>
    </rPh>
    <phoneticPr fontId="10"/>
  </si>
  <si>
    <t>：</t>
    <phoneticPr fontId="2"/>
  </si>
  <si>
    <t>フローの開始</t>
    <rPh sb="4" eb="6">
      <t>カイシ</t>
    </rPh>
    <phoneticPr fontId="2"/>
  </si>
  <si>
    <t>フローの終了</t>
    <rPh sb="4" eb="6">
      <t>シュウリョウ</t>
    </rPh>
    <phoneticPr fontId="2"/>
  </si>
  <si>
    <t>システムを伴わない業務</t>
    <rPh sb="5" eb="6">
      <t>トモナ</t>
    </rPh>
    <rPh sb="9" eb="11">
      <t>ギョウム</t>
    </rPh>
    <phoneticPr fontId="2"/>
  </si>
  <si>
    <t>システム上での業務</t>
    <rPh sb="4" eb="5">
      <t>ジョウ</t>
    </rPh>
    <rPh sb="7" eb="9">
      <t>ギョウム</t>
    </rPh>
    <phoneticPr fontId="2"/>
  </si>
  <si>
    <t>帳票（システムで作成される帳票）</t>
    <rPh sb="0" eb="2">
      <t>チョウヒョウ</t>
    </rPh>
    <rPh sb="8" eb="10">
      <t>サクセイ</t>
    </rPh>
    <rPh sb="13" eb="15">
      <t>チョウヒョウ</t>
    </rPh>
    <phoneticPr fontId="2"/>
  </si>
  <si>
    <t>帳票（システム外で作成される帳票）</t>
    <rPh sb="0" eb="2">
      <t>チョウヒョウ</t>
    </rPh>
    <rPh sb="7" eb="8">
      <t>ガイ</t>
    </rPh>
    <rPh sb="9" eb="11">
      <t>サクセイ</t>
    </rPh>
    <rPh sb="14" eb="16">
      <t>チョウヒョウ</t>
    </rPh>
    <phoneticPr fontId="2"/>
  </si>
  <si>
    <t>業務の流れ</t>
    <rPh sb="0" eb="2">
      <t>ギョウム</t>
    </rPh>
    <rPh sb="3" eb="4">
      <t>ナガ</t>
    </rPh>
    <phoneticPr fontId="2"/>
  </si>
  <si>
    <t>システムへの連携</t>
    <rPh sb="6" eb="8">
      <t>レンケイ</t>
    </rPh>
    <phoneticPr fontId="2"/>
  </si>
  <si>
    <t>分岐</t>
    <rPh sb="0" eb="2">
      <t>ブンキ</t>
    </rPh>
    <phoneticPr fontId="2"/>
  </si>
  <si>
    <t>システム</t>
    <phoneticPr fontId="2"/>
  </si>
  <si>
    <t>フロー間の繋がりを示す</t>
    <rPh sb="3" eb="4">
      <t>カン</t>
    </rPh>
    <rPh sb="5" eb="6">
      <t>ツナ</t>
    </rPh>
    <rPh sb="9" eb="10">
      <t>シメ</t>
    </rPh>
    <phoneticPr fontId="2"/>
  </si>
  <si>
    <t>ファイル（CSVファイル等）</t>
    <rPh sb="12" eb="13">
      <t>トウ</t>
    </rPh>
    <phoneticPr fontId="2"/>
  </si>
  <si>
    <t>社内部署</t>
    <rPh sb="0" eb="2">
      <t>シャナイ</t>
    </rPh>
    <rPh sb="2" eb="4">
      <t>ブショ</t>
    </rPh>
    <phoneticPr fontId="2"/>
  </si>
  <si>
    <t>フローに登場する社内の部署を記載</t>
    <rPh sb="4" eb="6">
      <t>トウジョウ</t>
    </rPh>
    <rPh sb="8" eb="10">
      <t>シャナイ</t>
    </rPh>
    <rPh sb="11" eb="13">
      <t>ブショ</t>
    </rPh>
    <rPh sb="14" eb="16">
      <t>キサイ</t>
    </rPh>
    <phoneticPr fontId="2"/>
  </si>
  <si>
    <t>部署内の担当者が分かれる場合は以下の通りに分ける</t>
    <rPh sb="0" eb="2">
      <t>ブショ</t>
    </rPh>
    <rPh sb="2" eb="3">
      <t>ナイ</t>
    </rPh>
    <rPh sb="4" eb="7">
      <t>タントウシャ</t>
    </rPh>
    <rPh sb="8" eb="9">
      <t>ワ</t>
    </rPh>
    <rPh sb="12" eb="14">
      <t>バアイ</t>
    </rPh>
    <rPh sb="15" eb="17">
      <t>イカ</t>
    </rPh>
    <rPh sb="18" eb="19">
      <t>トオ</t>
    </rPh>
    <rPh sb="21" eb="22">
      <t>ワ</t>
    </rPh>
    <phoneticPr fontId="2"/>
  </si>
  <si>
    <t>担当者</t>
    <rPh sb="0" eb="3">
      <t>タントウシャ</t>
    </rPh>
    <phoneticPr fontId="2"/>
  </si>
  <si>
    <t>責任者</t>
    <rPh sb="0" eb="3">
      <t>セキニンシャ</t>
    </rPh>
    <phoneticPr fontId="2"/>
  </si>
  <si>
    <t>外部担当者</t>
    <rPh sb="0" eb="2">
      <t>ガイブ</t>
    </rPh>
    <rPh sb="2" eb="5">
      <t>タントウシャ</t>
    </rPh>
    <phoneticPr fontId="2"/>
  </si>
  <si>
    <t>フローに登場する社外担当者の部署を記載</t>
    <rPh sb="4" eb="6">
      <t>トウジョウ</t>
    </rPh>
    <rPh sb="8" eb="10">
      <t>シャガイ</t>
    </rPh>
    <rPh sb="10" eb="13">
      <t>タントウシャ</t>
    </rPh>
    <rPh sb="14" eb="16">
      <t>ブショ</t>
    </rPh>
    <rPh sb="17" eb="19">
      <t>キサイ</t>
    </rPh>
    <phoneticPr fontId="2"/>
  </si>
  <si>
    <t>例）得意先、仕入先</t>
    <rPh sb="0" eb="1">
      <t>レイ</t>
    </rPh>
    <rPh sb="2" eb="4">
      <t>トクイ</t>
    </rPh>
    <rPh sb="4" eb="5">
      <t>サキ</t>
    </rPh>
    <rPh sb="6" eb="9">
      <t>シイレサキ</t>
    </rPh>
    <phoneticPr fontId="2"/>
  </si>
  <si>
    <t>フロー上で実施されるシステムの機能を記載する列</t>
    <rPh sb="3" eb="4">
      <t>ジョウ</t>
    </rPh>
    <rPh sb="5" eb="7">
      <t>ジッシ</t>
    </rPh>
    <rPh sb="15" eb="17">
      <t>キノウ</t>
    </rPh>
    <rPh sb="18" eb="20">
      <t>キサイ</t>
    </rPh>
    <rPh sb="22" eb="23">
      <t>レツ</t>
    </rPh>
    <phoneticPr fontId="2"/>
  </si>
  <si>
    <t>XX</t>
    <phoneticPr fontId="2"/>
  </si>
  <si>
    <t>XXの部分にフローで登場するシステム名を記載</t>
    <rPh sb="3" eb="5">
      <t>ブブン</t>
    </rPh>
    <rPh sb="10" eb="12">
      <t>トウジョウ</t>
    </rPh>
    <rPh sb="18" eb="19">
      <t>メイ</t>
    </rPh>
    <rPh sb="20" eb="22">
      <t>キサイ</t>
    </rPh>
    <phoneticPr fontId="2"/>
  </si>
  <si>
    <t>例は以下の通り（JBSで導入するシステム外のものは「外部システム」で統一）</t>
    <rPh sb="0" eb="1">
      <t>レイ</t>
    </rPh>
    <rPh sb="2" eb="4">
      <t>イカ</t>
    </rPh>
    <rPh sb="5" eb="6">
      <t>トオ</t>
    </rPh>
    <rPh sb="12" eb="14">
      <t>ドウニュウ</t>
    </rPh>
    <rPh sb="20" eb="21">
      <t>ガイ</t>
    </rPh>
    <rPh sb="26" eb="28">
      <t>ガイブ</t>
    </rPh>
    <rPh sb="34" eb="36">
      <t>トウイツ</t>
    </rPh>
    <phoneticPr fontId="2"/>
  </si>
  <si>
    <t>FO</t>
    <phoneticPr fontId="2"/>
  </si>
  <si>
    <t>CE</t>
    <phoneticPr fontId="2"/>
  </si>
  <si>
    <t>外部システム</t>
    <rPh sb="0" eb="2">
      <t>ガイブ</t>
    </rPh>
    <phoneticPr fontId="2"/>
  </si>
  <si>
    <t>説明</t>
    <rPh sb="0" eb="2">
      <t>セツメイ</t>
    </rPh>
    <phoneticPr fontId="2"/>
  </si>
  <si>
    <t>フロー内容を説明する列</t>
    <rPh sb="3" eb="5">
      <t>ナイヨウ</t>
    </rPh>
    <rPh sb="6" eb="8">
      <t>セツメイ</t>
    </rPh>
    <rPh sb="10" eb="11">
      <t>レツ</t>
    </rPh>
    <phoneticPr fontId="2"/>
  </si>
  <si>
    <t>Gap
（Add-On）</t>
    <phoneticPr fontId="2"/>
  </si>
  <si>
    <t>フローに対してのGapを記載する列</t>
    <rPh sb="4" eb="5">
      <t>タイ</t>
    </rPh>
    <rPh sb="12" eb="14">
      <t>キサイ</t>
    </rPh>
    <rPh sb="16" eb="17">
      <t>レツ</t>
    </rPh>
    <phoneticPr fontId="2"/>
  </si>
  <si>
    <t>１．パターン１</t>
    <phoneticPr fontId="2"/>
  </si>
  <si>
    <t>フローのパターンごとに記載する</t>
    <rPh sb="11" eb="13">
      <t>キサイ</t>
    </rPh>
    <phoneticPr fontId="2"/>
  </si>
  <si>
    <t>財務部　資金G</t>
    <rPh sb="0" eb="2">
      <t>ザイム</t>
    </rPh>
    <rPh sb="2" eb="3">
      <t>ブ</t>
    </rPh>
    <rPh sb="4" eb="6">
      <t>シキン</t>
    </rPh>
    <phoneticPr fontId="2"/>
  </si>
  <si>
    <t>ITDX</t>
  </si>
  <si>
    <t>サンスター
担当部署・
担当者</t>
  </si>
  <si>
    <t>サンスターコメント
(現状との違い、補足、その他気になること)</t>
    <rPh sb="11" eb="13">
      <t>ゲンジョウ</t>
    </rPh>
    <rPh sb="15" eb="16">
      <t>チガ</t>
    </rPh>
    <rPh sb="18" eb="20">
      <t>ホソク</t>
    </rPh>
    <rPh sb="23" eb="24">
      <t>タ</t>
    </rPh>
    <rPh sb="24" eb="25">
      <t>キ</t>
    </rPh>
    <phoneticPr fontId="2"/>
  </si>
  <si>
    <t>１．振伝処理</t>
    <rPh sb="2" eb="4">
      <t>フリデン</t>
    </rPh>
    <rPh sb="4" eb="6">
      <t>ショリ</t>
    </rPh>
    <phoneticPr fontId="2"/>
  </si>
  <si>
    <t>1．伝票入力</t>
    <rPh sb="2" eb="6">
      <t>デンピョウニュウリョク</t>
    </rPh>
    <phoneticPr fontId="2"/>
  </si>
  <si>
    <t>担当者は、一般仕訳帳に伝票の登録を行う。</t>
    <rPh sb="0" eb="3">
      <t>タントウシャ</t>
    </rPh>
    <rPh sb="5" eb="10">
      <t>イッパンシワケチョウ</t>
    </rPh>
    <rPh sb="11" eb="13">
      <t>デンピョウ</t>
    </rPh>
    <rPh sb="14" eb="16">
      <t>トウロク</t>
    </rPh>
    <rPh sb="17" eb="18">
      <t>オコナ</t>
    </rPh>
    <phoneticPr fontId="2"/>
  </si>
  <si>
    <t>2．WF送信</t>
    <rPh sb="4" eb="6">
      <t>ソウシン</t>
    </rPh>
    <phoneticPr fontId="2"/>
  </si>
  <si>
    <t>担当者は、登録した仕訳帳をWF送信を行う。</t>
    <rPh sb="0" eb="3">
      <t>タントウシャ</t>
    </rPh>
    <rPh sb="5" eb="7">
      <t>トウロク</t>
    </rPh>
    <rPh sb="9" eb="12">
      <t>シワケチョウ</t>
    </rPh>
    <rPh sb="15" eb="17">
      <t>ソウシン</t>
    </rPh>
    <rPh sb="18" eb="19">
      <t>オコナ</t>
    </rPh>
    <phoneticPr fontId="2"/>
  </si>
  <si>
    <t>3．承認</t>
    <phoneticPr fontId="2"/>
  </si>
  <si>
    <t>責任者は、申請された伝票の内容を確認し、</t>
    <rPh sb="0" eb="3">
      <t>セキニンシャ</t>
    </rPh>
    <rPh sb="5" eb="7">
      <t>シンセイ</t>
    </rPh>
    <rPh sb="10" eb="12">
      <t>デンピョウ</t>
    </rPh>
    <rPh sb="13" eb="15">
      <t>ナイヨウ</t>
    </rPh>
    <rPh sb="16" eb="18">
      <t>カクニン</t>
    </rPh>
    <phoneticPr fontId="2"/>
  </si>
  <si>
    <t>アドオン機能</t>
    <rPh sb="4" eb="6">
      <t>キノウ</t>
    </rPh>
    <phoneticPr fontId="2"/>
  </si>
  <si>
    <t>承認を行う。</t>
    <rPh sb="0" eb="2">
      <t>ショウニン</t>
    </rPh>
    <phoneticPr fontId="2"/>
  </si>
  <si>
    <t>Req017　</t>
    <phoneticPr fontId="2"/>
  </si>
  <si>
    <t>FO-031：仕訳帳承認対象一覧</t>
    <phoneticPr fontId="2"/>
  </si>
  <si>
    <t>4．自動転記バッチ</t>
    <rPh sb="2" eb="4">
      <t>ジドウ</t>
    </rPh>
    <rPh sb="4" eb="6">
      <t>テンキ</t>
    </rPh>
    <phoneticPr fontId="2"/>
  </si>
  <si>
    <t>スケジュールされたバッチ処理により</t>
    <rPh sb="12" eb="14">
      <t>ショリ</t>
    </rPh>
    <phoneticPr fontId="2"/>
  </si>
  <si>
    <t>Req377　</t>
    <phoneticPr fontId="2"/>
  </si>
  <si>
    <t>承認済仕訳帳が自動転記処理される</t>
    <rPh sb="0" eb="3">
      <t>ショウニンスミ</t>
    </rPh>
    <rPh sb="3" eb="6">
      <t>シワケチョウ</t>
    </rPh>
    <rPh sb="7" eb="9">
      <t>ジドウ</t>
    </rPh>
    <rPh sb="9" eb="13">
      <t>テンキショリ</t>
    </rPh>
    <phoneticPr fontId="2"/>
  </si>
  <si>
    <t>FO-034：自動転記バッチ</t>
    <phoneticPr fontId="2"/>
  </si>
  <si>
    <t>5．残高確認・仕訳伝票照会</t>
    <rPh sb="2" eb="4">
      <t>ザンダカ</t>
    </rPh>
    <rPh sb="4" eb="6">
      <t>カクニン</t>
    </rPh>
    <rPh sb="7" eb="9">
      <t>シワケ</t>
    </rPh>
    <rPh sb="9" eb="11">
      <t>デンピョウ</t>
    </rPh>
    <rPh sb="11" eb="13">
      <t>ショウカイ</t>
    </rPh>
    <phoneticPr fontId="2"/>
  </si>
  <si>
    <t>転記後の残高を確認する</t>
    <rPh sb="0" eb="3">
      <t>テンキゴ</t>
    </rPh>
    <rPh sb="4" eb="6">
      <t>ザンダカ</t>
    </rPh>
    <rPh sb="7" eb="9">
      <t>カクニン</t>
    </rPh>
    <phoneticPr fontId="2"/>
  </si>
  <si>
    <t>転記された伝票トランザクションを確認する</t>
    <rPh sb="0" eb="2">
      <t>テンキ</t>
    </rPh>
    <rPh sb="5" eb="7">
      <t>デンピョウ</t>
    </rPh>
    <rPh sb="16" eb="18">
      <t>カクニン</t>
    </rPh>
    <phoneticPr fontId="2"/>
  </si>
  <si>
    <t>カスタマーサービス</t>
    <phoneticPr fontId="2"/>
  </si>
  <si>
    <t>各部署</t>
    <rPh sb="0" eb="3">
      <t>カクブショ</t>
    </rPh>
    <phoneticPr fontId="2"/>
  </si>
  <si>
    <t>業務部　事務管理G</t>
    <rPh sb="0" eb="2">
      <t>ギョウム</t>
    </rPh>
    <rPh sb="2" eb="3">
      <t>ブ</t>
    </rPh>
    <rPh sb="4" eb="8">
      <t>ジムカンリ</t>
    </rPh>
    <phoneticPr fontId="2"/>
  </si>
  <si>
    <t>財務部　資金G</t>
    <rPh sb="0" eb="3">
      <t>ザイムブ</t>
    </rPh>
    <rPh sb="4" eb="6">
      <t>シキン</t>
    </rPh>
    <phoneticPr fontId="2"/>
  </si>
  <si>
    <t>１．現金管理</t>
    <rPh sb="2" eb="4">
      <t>ゲンキン</t>
    </rPh>
    <rPh sb="4" eb="6">
      <t>カンリ</t>
    </rPh>
    <phoneticPr fontId="2"/>
  </si>
  <si>
    <t>1．現金集計表作成</t>
    <rPh sb="2" eb="4">
      <t>ゲンキン</t>
    </rPh>
    <rPh sb="4" eb="6">
      <t>シュウケイ</t>
    </rPh>
    <rPh sb="6" eb="7">
      <t>ヒョウ</t>
    </rPh>
    <rPh sb="7" eb="9">
      <t>サクセイ</t>
    </rPh>
    <phoneticPr fontId="2"/>
  </si>
  <si>
    <t>楽楽精算から現金入金・出金の伝票を出力し集計する</t>
    <rPh sb="0" eb="4">
      <t>ラクラクセイサン</t>
    </rPh>
    <rPh sb="6" eb="8">
      <t>ゲンキン</t>
    </rPh>
    <rPh sb="8" eb="10">
      <t>ニュウキン</t>
    </rPh>
    <rPh sb="11" eb="13">
      <t>シュッキン</t>
    </rPh>
    <rPh sb="14" eb="16">
      <t>デンピョウ</t>
    </rPh>
    <rPh sb="17" eb="19">
      <t>シュツリョク</t>
    </rPh>
    <rPh sb="20" eb="22">
      <t>シュウケイ</t>
    </rPh>
    <phoneticPr fontId="2"/>
  </si>
  <si>
    <t>2．現金出納帳作成</t>
    <rPh sb="2" eb="4">
      <t>ゲンキン</t>
    </rPh>
    <rPh sb="4" eb="7">
      <t>スイトウチョウ</t>
    </rPh>
    <rPh sb="7" eb="9">
      <t>サクセイ</t>
    </rPh>
    <phoneticPr fontId="2"/>
  </si>
  <si>
    <t>分析コード明細書で現金科目を指定して</t>
    <rPh sb="0" eb="2">
      <t>ブンセキ</t>
    </rPh>
    <rPh sb="5" eb="8">
      <t>メイサイショ</t>
    </rPh>
    <rPh sb="9" eb="11">
      <t>ゲンキン</t>
    </rPh>
    <rPh sb="11" eb="13">
      <t>カモク</t>
    </rPh>
    <rPh sb="14" eb="16">
      <t>シテイ</t>
    </rPh>
    <phoneticPr fontId="2"/>
  </si>
  <si>
    <t>出力する</t>
    <rPh sb="0" eb="2">
      <t>シュツリョク</t>
    </rPh>
    <phoneticPr fontId="2"/>
  </si>
  <si>
    <t>2．引落手数料と決済利息の計上</t>
    <rPh sb="2" eb="4">
      <t>ヒキオトシ</t>
    </rPh>
    <rPh sb="4" eb="7">
      <t>テスウリョウ</t>
    </rPh>
    <rPh sb="8" eb="10">
      <t>ケッサイ</t>
    </rPh>
    <rPh sb="10" eb="12">
      <t>リソク</t>
    </rPh>
    <rPh sb="13" eb="15">
      <t>ケイジョウ</t>
    </rPh>
    <phoneticPr fontId="2"/>
  </si>
  <si>
    <t>事務管理</t>
    <rPh sb="0" eb="4">
      <t>ジムカンリ</t>
    </rPh>
    <phoneticPr fontId="2"/>
  </si>
  <si>
    <t>手数料、利息の計上のみのフローになっているため、標題と異なっております</t>
  </si>
  <si>
    <t>深川</t>
    <rPh sb="0" eb="2">
      <t>フカガワ</t>
    </rPh>
    <phoneticPr fontId="2"/>
  </si>
  <si>
    <t>標題を預金管理→引落手数料と決済利息の計上に変更してください</t>
    <phoneticPr fontId="2"/>
  </si>
  <si>
    <t>→対応済</t>
    <rPh sb="1" eb="4">
      <t>タイオウスミ</t>
    </rPh>
    <phoneticPr fontId="2"/>
  </si>
  <si>
    <t>1．銀行引落手数料情報出力</t>
    <phoneticPr fontId="2"/>
  </si>
  <si>
    <t>資金集中管理システムから銀行引落手数料情報を</t>
    <rPh sb="0" eb="2">
      <t>シキン</t>
    </rPh>
    <rPh sb="2" eb="6">
      <t>シュウチュウカンリ</t>
    </rPh>
    <rPh sb="12" eb="16">
      <t>ギンコウヒキオトシ</t>
    </rPh>
    <rPh sb="16" eb="19">
      <t>テスウリョウ</t>
    </rPh>
    <rPh sb="19" eb="21">
      <t>ジョウホウ</t>
    </rPh>
    <phoneticPr fontId="2"/>
  </si>
  <si>
    <t>CSV出力する</t>
    <rPh sb="3" eb="5">
      <t>シュツリョク</t>
    </rPh>
    <phoneticPr fontId="2"/>
  </si>
  <si>
    <t>2．銀行引落手数料仕訳計上</t>
    <phoneticPr fontId="2"/>
  </si>
  <si>
    <t>引落手数料情報CSVを</t>
    <rPh sb="0" eb="2">
      <t>ヒキオトシ</t>
    </rPh>
    <rPh sb="2" eb="5">
      <t>テスウリョウ</t>
    </rPh>
    <rPh sb="5" eb="7">
      <t>ジョウホウ</t>
    </rPh>
    <phoneticPr fontId="2"/>
  </si>
  <si>
    <t>一般仕訳帳アップロードEXCELレイアウトに編集して</t>
    <phoneticPr fontId="2"/>
  </si>
  <si>
    <t>一般仕訳帳に登録する</t>
    <rPh sb="0" eb="2">
      <t>イッパン</t>
    </rPh>
    <rPh sb="2" eb="5">
      <t>シワケチョウ</t>
    </rPh>
    <rPh sb="6" eb="8">
      <t>トウロク</t>
    </rPh>
    <phoneticPr fontId="2"/>
  </si>
  <si>
    <t>3．預金決算利息情報出力</t>
    <phoneticPr fontId="2"/>
  </si>
  <si>
    <t>資金集中管理システムから預金決算利息情報を</t>
    <rPh sb="0" eb="2">
      <t>シキン</t>
    </rPh>
    <rPh sb="2" eb="6">
      <t>シュウチュウカンリ</t>
    </rPh>
    <rPh sb="12" eb="14">
      <t>ヨキン</t>
    </rPh>
    <rPh sb="14" eb="16">
      <t>ケッサン</t>
    </rPh>
    <rPh sb="16" eb="18">
      <t>リソク</t>
    </rPh>
    <rPh sb="18" eb="20">
      <t>ジョウホウ</t>
    </rPh>
    <phoneticPr fontId="2"/>
  </si>
  <si>
    <t>4．預金決算利息仕訳計上</t>
    <phoneticPr fontId="2"/>
  </si>
  <si>
    <t>預金決算利息情報CSVを</t>
    <rPh sb="0" eb="2">
      <t>ヨキン</t>
    </rPh>
    <rPh sb="2" eb="4">
      <t>ケッサン</t>
    </rPh>
    <rPh sb="4" eb="6">
      <t>リソク</t>
    </rPh>
    <rPh sb="6" eb="8">
      <t>ジョウホウ</t>
    </rPh>
    <phoneticPr fontId="2"/>
  </si>
  <si>
    <t>一般仕訳帳アップロードEXCELレイアウトに編集して</t>
    <rPh sb="0" eb="2">
      <t>イッパン</t>
    </rPh>
    <rPh sb="2" eb="5">
      <t>シワケチョウ</t>
    </rPh>
    <rPh sb="22" eb="24">
      <t>ヘンシュウ</t>
    </rPh>
    <phoneticPr fontId="2"/>
  </si>
  <si>
    <t>手数料の計上の際は残高確認はしていません</t>
    <rPh sb="0" eb="3">
      <t>テスウリョウ</t>
    </rPh>
    <rPh sb="4" eb="6">
      <t>ケイジョウ</t>
    </rPh>
    <rPh sb="7" eb="8">
      <t>サイ</t>
    </rPh>
    <rPh sb="9" eb="11">
      <t>ザンダカ</t>
    </rPh>
    <rPh sb="11" eb="13">
      <t>カクニン</t>
    </rPh>
    <phoneticPr fontId="2"/>
  </si>
  <si>
    <t>3．残高管理　日別資金繰</t>
    <rPh sb="2" eb="4">
      <t>ザンダカ</t>
    </rPh>
    <rPh sb="4" eb="6">
      <t>カンリ</t>
    </rPh>
    <rPh sb="7" eb="9">
      <t>ヒベツ</t>
    </rPh>
    <rPh sb="9" eb="12">
      <t>シキング</t>
    </rPh>
    <phoneticPr fontId="2"/>
  </si>
  <si>
    <t>1．現預金残高確認</t>
    <rPh sb="2" eb="5">
      <t>ゲンヨキン</t>
    </rPh>
    <rPh sb="5" eb="7">
      <t>ザンダカ</t>
    </rPh>
    <rPh sb="7" eb="9">
      <t>カクニン</t>
    </rPh>
    <phoneticPr fontId="2"/>
  </si>
  <si>
    <t>日別資金繰管理対象口座の</t>
    <rPh sb="0" eb="2">
      <t>ヒベツ</t>
    </rPh>
    <rPh sb="2" eb="5">
      <t>シキング</t>
    </rPh>
    <rPh sb="5" eb="7">
      <t>カンリ</t>
    </rPh>
    <rPh sb="7" eb="9">
      <t>タイショウ</t>
    </rPh>
    <rPh sb="9" eb="11">
      <t>コウザ</t>
    </rPh>
    <phoneticPr fontId="2"/>
  </si>
  <si>
    <t>現預金残高を確認する。</t>
    <rPh sb="0" eb="3">
      <t>ゲンヨキン</t>
    </rPh>
    <rPh sb="3" eb="5">
      <t>ザンダカ</t>
    </rPh>
    <rPh sb="6" eb="8">
      <t>カクニン</t>
    </rPh>
    <phoneticPr fontId="2"/>
  </si>
  <si>
    <t>2．回収見込情報の収集</t>
    <rPh sb="2" eb="4">
      <t>カイシュウ</t>
    </rPh>
    <rPh sb="4" eb="6">
      <t>ミコ</t>
    </rPh>
    <rPh sb="6" eb="8">
      <t>ジョウホウ</t>
    </rPh>
    <rPh sb="9" eb="11">
      <t>シュウシュウ</t>
    </rPh>
    <phoneticPr fontId="2"/>
  </si>
  <si>
    <t>カスタマーサービスは</t>
    <phoneticPr fontId="2"/>
  </si>
  <si>
    <t>Mcframeの情報と得意先への問い合わせにより</t>
    <rPh sb="8" eb="10">
      <t>ジョウホウ</t>
    </rPh>
    <rPh sb="11" eb="14">
      <t>トクイサキ</t>
    </rPh>
    <rPh sb="16" eb="17">
      <t>ト</t>
    </rPh>
    <rPh sb="18" eb="19">
      <t>ア</t>
    </rPh>
    <phoneticPr fontId="2"/>
  </si>
  <si>
    <t>回収見込情報を収集して事務管理Gへ提出</t>
    <rPh sb="0" eb="4">
      <t>カイシュウミコ</t>
    </rPh>
    <rPh sb="4" eb="6">
      <t>ジョウホウ</t>
    </rPh>
    <rPh sb="7" eb="9">
      <t>シュウシュウ</t>
    </rPh>
    <rPh sb="11" eb="15">
      <t>ジムカンリ</t>
    </rPh>
    <rPh sb="17" eb="19">
      <t>テイシュツ</t>
    </rPh>
    <phoneticPr fontId="2"/>
  </si>
  <si>
    <t>３．得意先別回収見込額の確認</t>
    <rPh sb="2" eb="5">
      <t>トクイサキ</t>
    </rPh>
    <rPh sb="5" eb="6">
      <t>ベツ</t>
    </rPh>
    <rPh sb="6" eb="8">
      <t>カイシュウ</t>
    </rPh>
    <rPh sb="8" eb="10">
      <t>ミコ</t>
    </rPh>
    <rPh sb="10" eb="11">
      <t>ガク</t>
    </rPh>
    <rPh sb="12" eb="14">
      <t>カクニン</t>
    </rPh>
    <phoneticPr fontId="2"/>
  </si>
  <si>
    <t>カスタマーサービスからの情報をもとに</t>
    <rPh sb="12" eb="14">
      <t>ジョウホウ</t>
    </rPh>
    <phoneticPr fontId="2"/>
  </si>
  <si>
    <t>確認事項</t>
    <rPh sb="0" eb="2">
      <t>カクニン</t>
    </rPh>
    <rPh sb="2" eb="4">
      <t>ジコウ</t>
    </rPh>
    <phoneticPr fontId="2"/>
  </si>
  <si>
    <t>得意先別回収見込一覧を作成</t>
    <rPh sb="0" eb="4">
      <t>トクイサキベツ</t>
    </rPh>
    <rPh sb="4" eb="8">
      <t>カイシュウミコ</t>
    </rPh>
    <rPh sb="8" eb="10">
      <t>イチラン</t>
    </rPh>
    <rPh sb="11" eb="13">
      <t>サクセイ</t>
    </rPh>
    <phoneticPr fontId="2"/>
  </si>
  <si>
    <t>新システムでは</t>
    <rPh sb="0" eb="1">
      <t>シン</t>
    </rPh>
    <phoneticPr fontId="2"/>
  </si>
  <si>
    <t>資金Gで参照可能</t>
    <rPh sb="0" eb="2">
      <t>シキン</t>
    </rPh>
    <rPh sb="4" eb="6">
      <t>サンショウ</t>
    </rPh>
    <rPh sb="6" eb="8">
      <t>カノウ</t>
    </rPh>
    <phoneticPr fontId="2"/>
  </si>
  <si>
    <t>になるか検討</t>
    <rPh sb="4" eb="6">
      <t>ケントウ</t>
    </rPh>
    <phoneticPr fontId="2"/>
  </si>
  <si>
    <t>４．期日支払一覧の作成</t>
    <rPh sb="2" eb="4">
      <t>キジツ</t>
    </rPh>
    <rPh sb="4" eb="6">
      <t>シハラ</t>
    </rPh>
    <rPh sb="6" eb="8">
      <t>イチラン</t>
    </rPh>
    <rPh sb="9" eb="11">
      <t>サクセイ</t>
    </rPh>
    <phoneticPr fontId="2"/>
  </si>
  <si>
    <t>仕入先トランザクション一覧を出力して</t>
    <rPh sb="0" eb="3">
      <t>シイレサキ</t>
    </rPh>
    <rPh sb="11" eb="13">
      <t>イチラン</t>
    </rPh>
    <rPh sb="14" eb="16">
      <t>シュツリョク</t>
    </rPh>
    <phoneticPr fontId="2"/>
  </si>
  <si>
    <t>GAP</t>
    <phoneticPr fontId="2"/>
  </si>
  <si>
    <t>期日支払一覧を作成する</t>
    <rPh sb="0" eb="2">
      <t>キジツ</t>
    </rPh>
    <rPh sb="2" eb="4">
      <t>シハラ</t>
    </rPh>
    <rPh sb="4" eb="6">
      <t>イチラン</t>
    </rPh>
    <rPh sb="7" eb="9">
      <t>サクセイ</t>
    </rPh>
    <phoneticPr fontId="2"/>
  </si>
  <si>
    <t>Req325で要件集約中</t>
  </si>
  <si>
    <t>支払方法別、仕入先別の支払基準日、支払日が確認できる帳票を開発する。</t>
  </si>
  <si>
    <t>５．資金移動仕訳計上</t>
    <rPh sb="2" eb="4">
      <t>シキン</t>
    </rPh>
    <rPh sb="4" eb="6">
      <t>イドウ</t>
    </rPh>
    <rPh sb="6" eb="8">
      <t>シワケ</t>
    </rPh>
    <rPh sb="8" eb="10">
      <t>ケイジョウ</t>
    </rPh>
    <phoneticPr fontId="2"/>
  </si>
  <si>
    <t>現在資金移動仕訳、残高確認は資金Gではなく事務管理で処理しています。</t>
    <rPh sb="0" eb="2">
      <t>ゲンザイ</t>
    </rPh>
    <rPh sb="2" eb="4">
      <t>シキン</t>
    </rPh>
    <rPh sb="4" eb="6">
      <t>イドウ</t>
    </rPh>
    <rPh sb="6" eb="8">
      <t>シワケ</t>
    </rPh>
    <rPh sb="9" eb="11">
      <t>ザンダカ</t>
    </rPh>
    <rPh sb="11" eb="13">
      <t>カクニン</t>
    </rPh>
    <rPh sb="14" eb="16">
      <t>シキン</t>
    </rPh>
    <rPh sb="21" eb="25">
      <t>ジムカンリ</t>
    </rPh>
    <rPh sb="26" eb="28">
      <t>ショリ</t>
    </rPh>
    <phoneticPr fontId="2"/>
  </si>
  <si>
    <t>資金移動仕訳を入力する</t>
    <rPh sb="0" eb="2">
      <t>シキン</t>
    </rPh>
    <rPh sb="2" eb="4">
      <t>イドウ</t>
    </rPh>
    <rPh sb="4" eb="6">
      <t>シワケ</t>
    </rPh>
    <rPh sb="7" eb="9">
      <t>ニュウリョク</t>
    </rPh>
    <phoneticPr fontId="2"/>
  </si>
  <si>
    <t>残高確認の際は銀行の入出金明細も確認しています</t>
    <rPh sb="0" eb="2">
      <t>ザンダカ</t>
    </rPh>
    <rPh sb="2" eb="4">
      <t>カクニン</t>
    </rPh>
    <rPh sb="5" eb="6">
      <t>サイ</t>
    </rPh>
    <rPh sb="7" eb="9">
      <t>ギンコウ</t>
    </rPh>
    <rPh sb="10" eb="13">
      <t>ニュウシュッキン</t>
    </rPh>
    <rPh sb="13" eb="15">
      <t>メイサイ</t>
    </rPh>
    <rPh sb="16" eb="18">
      <t>カクニン</t>
    </rPh>
    <phoneticPr fontId="2"/>
  </si>
  <si>
    <t>６．残高確認</t>
    <rPh sb="2" eb="4">
      <t>ザンダカ</t>
    </rPh>
    <rPh sb="4" eb="6">
      <t>カクニン</t>
    </rPh>
    <phoneticPr fontId="2"/>
  </si>
  <si>
    <t>銀行明細を確認する</t>
    <rPh sb="0" eb="2">
      <t>ギンコウ</t>
    </rPh>
    <rPh sb="2" eb="4">
      <t>メイサイ</t>
    </rPh>
    <rPh sb="5" eb="7">
      <t>カクニン</t>
    </rPh>
    <phoneticPr fontId="2"/>
  </si>
  <si>
    <t>金融機関</t>
    <rPh sb="0" eb="4">
      <t>キンユウキカン</t>
    </rPh>
    <phoneticPr fontId="2"/>
  </si>
  <si>
    <t>１．銀行借入</t>
    <rPh sb="2" eb="4">
      <t>ギンコウ</t>
    </rPh>
    <rPh sb="4" eb="6">
      <t>カリイレ</t>
    </rPh>
    <phoneticPr fontId="2"/>
  </si>
  <si>
    <t>1．借入金計上</t>
    <rPh sb="2" eb="4">
      <t>カリイレ</t>
    </rPh>
    <rPh sb="4" eb="5">
      <t>キン</t>
    </rPh>
    <rPh sb="5" eb="7">
      <t>ケイジョウ</t>
    </rPh>
    <phoneticPr fontId="2"/>
  </si>
  <si>
    <t>借入金仕訳を計上する</t>
    <rPh sb="0" eb="3">
      <t>カリイレキン</t>
    </rPh>
    <rPh sb="3" eb="5">
      <t>シワケ</t>
    </rPh>
    <rPh sb="6" eb="8">
      <t>ケイジョウ</t>
    </rPh>
    <phoneticPr fontId="2"/>
  </si>
  <si>
    <t>現行と同じGL勘定管理とする</t>
    <rPh sb="0" eb="2">
      <t>ゲンコウ</t>
    </rPh>
    <rPh sb="3" eb="4">
      <t>オナ</t>
    </rPh>
    <rPh sb="7" eb="9">
      <t>カンジョウ</t>
    </rPh>
    <rPh sb="9" eb="11">
      <t>カンリ</t>
    </rPh>
    <phoneticPr fontId="2"/>
  </si>
  <si>
    <t>※</t>
    <phoneticPr fontId="2"/>
  </si>
  <si>
    <t>D365標準機能に利息計算機能なし</t>
    <rPh sb="4" eb="6">
      <t>ヒョウジュン</t>
    </rPh>
    <rPh sb="6" eb="8">
      <t>キノウ</t>
    </rPh>
    <rPh sb="9" eb="11">
      <t>リソク</t>
    </rPh>
    <rPh sb="11" eb="13">
      <t>ケイサン</t>
    </rPh>
    <rPh sb="13" eb="15">
      <t>キノウ</t>
    </rPh>
    <phoneticPr fontId="2"/>
  </si>
  <si>
    <t>金利・金利条件・利息発生タイミング・借入期間・</t>
    <phoneticPr fontId="2"/>
  </si>
  <si>
    <t>現状ACCESS</t>
    <rPh sb="0" eb="2">
      <t>ゲンジョウ</t>
    </rPh>
    <phoneticPr fontId="2"/>
  </si>
  <si>
    <t>返済タイミングなどの情報を管理する機能なし</t>
  </si>
  <si>
    <t>処理機能部分を</t>
    <rPh sb="0" eb="2">
      <t>ショリ</t>
    </rPh>
    <rPh sb="2" eb="4">
      <t>キノウ</t>
    </rPh>
    <rPh sb="4" eb="6">
      <t>ブブン</t>
    </rPh>
    <phoneticPr fontId="2"/>
  </si>
  <si>
    <t>別途ソリューション検討</t>
    <rPh sb="0" eb="2">
      <t>ベット</t>
    </rPh>
    <rPh sb="9" eb="11">
      <t>ケントウ</t>
    </rPh>
    <phoneticPr fontId="2"/>
  </si>
  <si>
    <t>2．利息額の計算</t>
    <rPh sb="2" eb="4">
      <t>リソク</t>
    </rPh>
    <rPh sb="4" eb="5">
      <t>ガク</t>
    </rPh>
    <rPh sb="6" eb="8">
      <t>ケイサン</t>
    </rPh>
    <phoneticPr fontId="2"/>
  </si>
  <si>
    <t>EXCEL借入金台帳で利息額を確認する</t>
    <rPh sb="5" eb="8">
      <t>カリイレキン</t>
    </rPh>
    <rPh sb="8" eb="10">
      <t>ダイチョウ</t>
    </rPh>
    <rPh sb="11" eb="13">
      <t>リソク</t>
    </rPh>
    <rPh sb="13" eb="14">
      <t>ガク</t>
    </rPh>
    <rPh sb="15" eb="17">
      <t>カクニン</t>
    </rPh>
    <phoneticPr fontId="2"/>
  </si>
  <si>
    <t>3．利息仕訳の計上</t>
    <rPh sb="2" eb="4">
      <t>リソク</t>
    </rPh>
    <rPh sb="4" eb="6">
      <t>シワケ</t>
    </rPh>
    <rPh sb="7" eb="9">
      <t>ケイジョウ</t>
    </rPh>
    <phoneticPr fontId="2"/>
  </si>
  <si>
    <t>利息仕訳を計上する</t>
    <rPh sb="0" eb="2">
      <t>リソク</t>
    </rPh>
    <rPh sb="2" eb="4">
      <t>シワケ</t>
    </rPh>
    <rPh sb="5" eb="7">
      <t>ケイジョウ</t>
    </rPh>
    <phoneticPr fontId="2"/>
  </si>
  <si>
    <t>D365標準機能に利息自動計上機能なし</t>
    <rPh sb="4" eb="6">
      <t>ヒョウジュン</t>
    </rPh>
    <rPh sb="6" eb="8">
      <t>キノウ</t>
    </rPh>
    <rPh sb="9" eb="11">
      <t>リソク</t>
    </rPh>
    <rPh sb="11" eb="13">
      <t>ジドウ</t>
    </rPh>
    <rPh sb="13" eb="15">
      <t>ケイジョウ</t>
    </rPh>
    <rPh sb="15" eb="17">
      <t>キノウ</t>
    </rPh>
    <phoneticPr fontId="2"/>
  </si>
  <si>
    <t>4．長短振替仕訳の計上</t>
    <rPh sb="2" eb="4">
      <t>チョウタン</t>
    </rPh>
    <rPh sb="4" eb="6">
      <t>フリカエ</t>
    </rPh>
    <rPh sb="6" eb="8">
      <t>シワケ</t>
    </rPh>
    <rPh sb="9" eb="11">
      <t>ケイジョウ</t>
    </rPh>
    <phoneticPr fontId="2"/>
  </si>
  <si>
    <t>返済期間が1年未満となった借入金を</t>
    <rPh sb="0" eb="2">
      <t>ヘンサイ</t>
    </rPh>
    <rPh sb="2" eb="4">
      <t>キカン</t>
    </rPh>
    <rPh sb="6" eb="7">
      <t>ネン</t>
    </rPh>
    <rPh sb="7" eb="9">
      <t>ミマン</t>
    </rPh>
    <rPh sb="13" eb="16">
      <t>カリイレキン</t>
    </rPh>
    <phoneticPr fontId="2"/>
  </si>
  <si>
    <t>短期借入金に振り替える</t>
    <rPh sb="0" eb="2">
      <t>タンキ</t>
    </rPh>
    <rPh sb="2" eb="5">
      <t>カリイレキン</t>
    </rPh>
    <rPh sb="6" eb="7">
      <t>フ</t>
    </rPh>
    <rPh sb="8" eb="9">
      <t>カ</t>
    </rPh>
    <phoneticPr fontId="2"/>
  </si>
  <si>
    <t>D365標準機能に自動長短振替機能なし</t>
    <rPh sb="4" eb="6">
      <t>ヒョウジュン</t>
    </rPh>
    <rPh sb="6" eb="8">
      <t>キノウ</t>
    </rPh>
    <rPh sb="9" eb="11">
      <t>ジドウ</t>
    </rPh>
    <rPh sb="11" eb="13">
      <t>チョウタン</t>
    </rPh>
    <rPh sb="13" eb="15">
      <t>フリカエ</t>
    </rPh>
    <rPh sb="15" eb="17">
      <t>キノウ</t>
    </rPh>
    <phoneticPr fontId="2"/>
  </si>
  <si>
    <t>5．返済仕訳計上</t>
    <rPh sb="2" eb="4">
      <t>ヘンサイ</t>
    </rPh>
    <rPh sb="4" eb="6">
      <t>シワケ</t>
    </rPh>
    <rPh sb="6" eb="8">
      <t>ケイジョウ</t>
    </rPh>
    <phoneticPr fontId="2"/>
  </si>
  <si>
    <t>返済仕訳を計上する</t>
    <rPh sb="0" eb="2">
      <t>ヘンサイ</t>
    </rPh>
    <rPh sb="2" eb="4">
      <t>シワケ</t>
    </rPh>
    <rPh sb="5" eb="7">
      <t>ケイジョウ</t>
    </rPh>
    <phoneticPr fontId="2"/>
  </si>
  <si>
    <t>D365標準機能に自動返済仕訳作成機能なし</t>
    <rPh sb="4" eb="6">
      <t>ヒョウジュン</t>
    </rPh>
    <rPh sb="6" eb="8">
      <t>キノウ</t>
    </rPh>
    <rPh sb="9" eb="11">
      <t>ジドウ</t>
    </rPh>
    <rPh sb="11" eb="13">
      <t>ヘンサイ</t>
    </rPh>
    <rPh sb="13" eb="15">
      <t>シワケ</t>
    </rPh>
    <rPh sb="15" eb="17">
      <t>サクセイ</t>
    </rPh>
    <rPh sb="17" eb="19">
      <t>キノウ</t>
    </rPh>
    <phoneticPr fontId="2"/>
  </si>
  <si>
    <t>GL勘定管理とするかAP勘定管理とするか要検討</t>
    <rPh sb="2" eb="4">
      <t>カンジョウ</t>
    </rPh>
    <rPh sb="4" eb="6">
      <t>カンリ</t>
    </rPh>
    <rPh sb="12" eb="14">
      <t>カンジョウ</t>
    </rPh>
    <rPh sb="14" eb="16">
      <t>カンリ</t>
    </rPh>
    <rPh sb="20" eb="21">
      <t>ヨウ</t>
    </rPh>
    <rPh sb="21" eb="23">
      <t>ケントウ</t>
    </rPh>
    <phoneticPr fontId="2"/>
  </si>
  <si>
    <t>AP勘定管理とした場合、支払データ作成や消込管理が可能</t>
    <rPh sb="2" eb="4">
      <t>カンジョウ</t>
    </rPh>
    <rPh sb="4" eb="6">
      <t>カンリ</t>
    </rPh>
    <rPh sb="9" eb="11">
      <t>バアイ</t>
    </rPh>
    <rPh sb="12" eb="14">
      <t>シハラ</t>
    </rPh>
    <rPh sb="17" eb="19">
      <t>サクセイ</t>
    </rPh>
    <rPh sb="20" eb="22">
      <t>ケシコミ</t>
    </rPh>
    <rPh sb="22" eb="24">
      <t>カンリ</t>
    </rPh>
    <rPh sb="25" eb="27">
      <t>カノウ</t>
    </rPh>
    <phoneticPr fontId="2"/>
  </si>
  <si>
    <t>6．支払手数料仕訳計上</t>
    <rPh sb="2" eb="4">
      <t>シハラ</t>
    </rPh>
    <rPh sb="4" eb="7">
      <t>テスウリョウ</t>
    </rPh>
    <rPh sb="7" eb="9">
      <t>シワケ</t>
    </rPh>
    <rPh sb="9" eb="11">
      <t>ケイジョウ</t>
    </rPh>
    <phoneticPr fontId="2"/>
  </si>
  <si>
    <t>通貨交換して入出金する際の</t>
    <phoneticPr fontId="2"/>
  </si>
  <si>
    <t>銀行支払手数料仕訳を計上する</t>
  </si>
  <si>
    <t>D365標準機能では、通貨交換して入出金する際に、</t>
    <rPh sb="4" eb="6">
      <t>ヒョウジュン</t>
    </rPh>
    <rPh sb="6" eb="8">
      <t>キノウ</t>
    </rPh>
    <rPh sb="11" eb="13">
      <t>ツウカ</t>
    </rPh>
    <rPh sb="13" eb="15">
      <t>コウカン</t>
    </rPh>
    <rPh sb="17" eb="20">
      <t>ニュウシュッキン</t>
    </rPh>
    <rPh sb="22" eb="23">
      <t>サイ</t>
    </rPh>
    <phoneticPr fontId="2"/>
  </si>
  <si>
    <t>銀行に支払うマージンを自動で計算・記録する機能なし</t>
    <rPh sb="0" eb="2">
      <t>ギンコウ</t>
    </rPh>
    <rPh sb="3" eb="5">
      <t>シハラ</t>
    </rPh>
    <rPh sb="11" eb="13">
      <t>ジドウ</t>
    </rPh>
    <rPh sb="14" eb="16">
      <t>ケイサン</t>
    </rPh>
    <rPh sb="17" eb="19">
      <t>キロク</t>
    </rPh>
    <rPh sb="21" eb="23">
      <t>キノウ</t>
    </rPh>
    <phoneticPr fontId="2"/>
  </si>
  <si>
    <t>RFPの要求事項にあったが</t>
    <rPh sb="4" eb="6">
      <t>ヨウキュウ</t>
    </rPh>
    <rPh sb="6" eb="8">
      <t>ジコウ</t>
    </rPh>
    <phoneticPr fontId="2"/>
  </si>
  <si>
    <t>スコープアウトとなった</t>
    <phoneticPr fontId="2"/>
  </si>
  <si>
    <t>7．借入金残高確認</t>
    <rPh sb="2" eb="4">
      <t>カリイレ</t>
    </rPh>
    <rPh sb="4" eb="5">
      <t>キン</t>
    </rPh>
    <rPh sb="5" eb="7">
      <t>ザンダカ</t>
    </rPh>
    <rPh sb="7" eb="9">
      <t>カクニン</t>
    </rPh>
    <phoneticPr fontId="2"/>
  </si>
  <si>
    <t>借入金残高や返済履歴明細を</t>
    <rPh sb="0" eb="3">
      <t>カリイレキン</t>
    </rPh>
    <rPh sb="3" eb="5">
      <t>ザンダカ</t>
    </rPh>
    <rPh sb="6" eb="8">
      <t>ヘンサイ</t>
    </rPh>
    <rPh sb="8" eb="10">
      <t>リレキ</t>
    </rPh>
    <rPh sb="10" eb="12">
      <t>メイサイ</t>
    </rPh>
    <phoneticPr fontId="2"/>
  </si>
  <si>
    <t>試算表残高および伝票トランザクション明細で確認</t>
    <rPh sb="0" eb="3">
      <t>シサンヒョウ</t>
    </rPh>
    <rPh sb="3" eb="5">
      <t>ザンダカ</t>
    </rPh>
    <rPh sb="8" eb="10">
      <t>デンピョウ</t>
    </rPh>
    <rPh sb="18" eb="20">
      <t>メイサイ</t>
    </rPh>
    <rPh sb="21" eb="23">
      <t>カクニン</t>
    </rPh>
    <phoneticPr fontId="2"/>
  </si>
  <si>
    <t>科目</t>
    <rPh sb="0" eb="2">
      <t>カモク</t>
    </rPh>
    <phoneticPr fontId="2"/>
  </si>
  <si>
    <t>金融機関別の残高管理をする場合、</t>
    <rPh sb="0" eb="4">
      <t>キンユウキカン</t>
    </rPh>
    <rPh sb="4" eb="5">
      <t>ベツ</t>
    </rPh>
    <rPh sb="6" eb="8">
      <t>ザンダカ</t>
    </rPh>
    <rPh sb="8" eb="10">
      <t>カンリ</t>
    </rPh>
    <rPh sb="13" eb="15">
      <t>バアイ</t>
    </rPh>
    <phoneticPr fontId="2"/>
  </si>
  <si>
    <t>財務分析コードを設定する必要あり</t>
    <rPh sb="0" eb="4">
      <t>ザイムブンセキ</t>
    </rPh>
    <rPh sb="8" eb="10">
      <t>セッテイ</t>
    </rPh>
    <rPh sb="12" eb="14">
      <t>ヒツヨウ</t>
    </rPh>
    <phoneticPr fontId="2"/>
  </si>
  <si>
    <t>種類例(銀行口座or仕入先orカスタム分析コード)</t>
    <rPh sb="0" eb="2">
      <t>シュルイ</t>
    </rPh>
    <rPh sb="2" eb="3">
      <t>レイ</t>
    </rPh>
    <rPh sb="4" eb="6">
      <t>ギンコウ</t>
    </rPh>
    <rPh sb="6" eb="8">
      <t>コウザ</t>
    </rPh>
    <rPh sb="10" eb="13">
      <t>シイレサキ</t>
    </rPh>
    <rPh sb="19" eb="21">
      <t>ブンセキ</t>
    </rPh>
    <phoneticPr fontId="2"/>
  </si>
  <si>
    <t>科目が金融機関別になっている</t>
    <rPh sb="0" eb="2">
      <t>カモク</t>
    </rPh>
    <rPh sb="3" eb="7">
      <t>キンユウキカン</t>
    </rPh>
    <rPh sb="7" eb="8">
      <t>ベツ</t>
    </rPh>
    <phoneticPr fontId="2"/>
  </si>
  <si>
    <t>D365標準機能では、</t>
    <rPh sb="4" eb="6">
      <t>ヒョウジュン</t>
    </rPh>
    <rPh sb="6" eb="8">
      <t>キノウ</t>
    </rPh>
    <phoneticPr fontId="2"/>
  </si>
  <si>
    <t>将来の残高/返済額/利息額が年別で表示される機能</t>
  </si>
  <si>
    <t>なし</t>
    <phoneticPr fontId="2"/>
  </si>
  <si>
    <t>2．運用</t>
    <rPh sb="2" eb="4">
      <t>ウンヨウ</t>
    </rPh>
    <phoneticPr fontId="2"/>
  </si>
  <si>
    <t>1．運用開始仕訳計上</t>
    <rPh sb="2" eb="4">
      <t>ウンヨウ</t>
    </rPh>
    <rPh sb="4" eb="6">
      <t>カイシ</t>
    </rPh>
    <rPh sb="6" eb="8">
      <t>シワケ</t>
    </rPh>
    <rPh sb="8" eb="10">
      <t>ケイジョウ</t>
    </rPh>
    <phoneticPr fontId="2"/>
  </si>
  <si>
    <t>運用開始仕訳を計上する</t>
    <rPh sb="0" eb="2">
      <t>ウンヨウ</t>
    </rPh>
    <rPh sb="2" eb="4">
      <t>カイシ</t>
    </rPh>
    <rPh sb="4" eb="6">
      <t>シワケ</t>
    </rPh>
    <rPh sb="7" eb="9">
      <t>ケイジョウ</t>
    </rPh>
    <phoneticPr fontId="2"/>
  </si>
  <si>
    <t>D365標準機能には</t>
    <rPh sb="4" eb="6">
      <t>ヒョウジュン</t>
    </rPh>
    <rPh sb="6" eb="8">
      <t>キノウ</t>
    </rPh>
    <phoneticPr fontId="2"/>
  </si>
  <si>
    <t>運用方法・金利などの情報を入力し、</t>
    <phoneticPr fontId="2"/>
  </si>
  <si>
    <t>運用状況を会計システム内で管理する機能なし</t>
    <phoneticPr fontId="2"/>
  </si>
  <si>
    <t>2．運用収益額の計算</t>
    <rPh sb="2" eb="4">
      <t>ウンヨウ</t>
    </rPh>
    <rPh sb="4" eb="6">
      <t>シュウエキ</t>
    </rPh>
    <rPh sb="6" eb="7">
      <t>ガク</t>
    </rPh>
    <rPh sb="8" eb="10">
      <t>ケイサン</t>
    </rPh>
    <phoneticPr fontId="2"/>
  </si>
  <si>
    <t>EXCEL台帳で運用益額を確認する</t>
    <rPh sb="5" eb="7">
      <t>ダイチョウ</t>
    </rPh>
    <rPh sb="8" eb="11">
      <t>ウンヨウエキ</t>
    </rPh>
    <rPh sb="11" eb="12">
      <t>ガク</t>
    </rPh>
    <rPh sb="13" eb="15">
      <t>カクニン</t>
    </rPh>
    <phoneticPr fontId="2"/>
  </si>
  <si>
    <t>D365標準機能に運用益計算機能なし</t>
    <rPh sb="4" eb="6">
      <t>ヒョウジュン</t>
    </rPh>
    <rPh sb="6" eb="8">
      <t>キノウ</t>
    </rPh>
    <rPh sb="9" eb="12">
      <t>ウンヨウエキ</t>
    </rPh>
    <rPh sb="12" eb="14">
      <t>ケイサン</t>
    </rPh>
    <rPh sb="14" eb="16">
      <t>キノウ</t>
    </rPh>
    <phoneticPr fontId="2"/>
  </si>
  <si>
    <t>3．運用収益仕訳計上</t>
    <rPh sb="2" eb="4">
      <t>ウンヨウ</t>
    </rPh>
    <rPh sb="4" eb="6">
      <t>シュウエキ</t>
    </rPh>
    <rPh sb="6" eb="8">
      <t>シワケ</t>
    </rPh>
    <rPh sb="8" eb="10">
      <t>ケイジョウ</t>
    </rPh>
    <phoneticPr fontId="2"/>
  </si>
  <si>
    <t>運用収益仕訳を計上する</t>
    <rPh sb="0" eb="2">
      <t>ウンヨウ</t>
    </rPh>
    <rPh sb="2" eb="4">
      <t>シュウエキ</t>
    </rPh>
    <rPh sb="4" eb="6">
      <t>シワケ</t>
    </rPh>
    <rPh sb="7" eb="9">
      <t>ケイジョウ</t>
    </rPh>
    <phoneticPr fontId="2"/>
  </si>
  <si>
    <t>4．運用返済仕訳計上</t>
    <rPh sb="2" eb="4">
      <t>ウンヨウ</t>
    </rPh>
    <rPh sb="4" eb="6">
      <t>ヘンサイ</t>
    </rPh>
    <rPh sb="6" eb="8">
      <t>シワケ</t>
    </rPh>
    <rPh sb="8" eb="10">
      <t>ケイジョウ</t>
    </rPh>
    <phoneticPr fontId="2"/>
  </si>
  <si>
    <t>運用返済仕訳を計上する</t>
    <rPh sb="0" eb="2">
      <t>ウンヨウ</t>
    </rPh>
    <rPh sb="2" eb="4">
      <t>ヘンサイ</t>
    </rPh>
    <rPh sb="4" eb="6">
      <t>シワケ</t>
    </rPh>
    <rPh sb="7" eb="9">
      <t>ケイジョウ</t>
    </rPh>
    <phoneticPr fontId="2"/>
  </si>
  <si>
    <t>5．運用残高確認</t>
    <rPh sb="2" eb="4">
      <t>ウンヨウ</t>
    </rPh>
    <rPh sb="4" eb="6">
      <t>ザンダカ</t>
    </rPh>
    <rPh sb="6" eb="8">
      <t>カクニン</t>
    </rPh>
    <phoneticPr fontId="2"/>
  </si>
  <si>
    <t>運用残高や収益履歴明細を</t>
    <rPh sb="0" eb="2">
      <t>ウンヨウ</t>
    </rPh>
    <rPh sb="2" eb="4">
      <t>ザンダカ</t>
    </rPh>
    <rPh sb="5" eb="7">
      <t>シュウエキ</t>
    </rPh>
    <rPh sb="7" eb="9">
      <t>リレキ</t>
    </rPh>
    <rPh sb="9" eb="11">
      <t>メイサイ</t>
    </rPh>
    <phoneticPr fontId="2"/>
  </si>
  <si>
    <t>相手会社別・運用商品別に残高を管理する場合</t>
    <rPh sb="6" eb="8">
      <t>ウンヨウ</t>
    </rPh>
    <rPh sb="8" eb="10">
      <t>ショウヒン</t>
    </rPh>
    <rPh sb="12" eb="14">
      <t>ザンダカ</t>
    </rPh>
    <rPh sb="15" eb="17">
      <t>カンリ</t>
    </rPh>
    <rPh sb="19" eb="21">
      <t>バアイ</t>
    </rPh>
    <phoneticPr fontId="2"/>
  </si>
  <si>
    <t>種類例(相手先or仕入先、証券コード、地域など)</t>
    <rPh sb="0" eb="2">
      <t>シュルイ</t>
    </rPh>
    <rPh sb="2" eb="3">
      <t>レイ</t>
    </rPh>
    <rPh sb="4" eb="7">
      <t>アイテサキ</t>
    </rPh>
    <rPh sb="9" eb="12">
      <t>シイレサキ</t>
    </rPh>
    <rPh sb="13" eb="15">
      <t>ショウケン</t>
    </rPh>
    <rPh sb="19" eb="21">
      <t>チイキ</t>
    </rPh>
    <phoneticPr fontId="2"/>
  </si>
  <si>
    <t>定期預金は</t>
    <rPh sb="0" eb="4">
      <t>テイキヨキン</t>
    </rPh>
    <phoneticPr fontId="2"/>
  </si>
  <si>
    <t>科目が口座別になる</t>
    <rPh sb="0" eb="2">
      <t>カモク</t>
    </rPh>
    <rPh sb="3" eb="5">
      <t>コウザ</t>
    </rPh>
    <rPh sb="5" eb="6">
      <t>ベツ</t>
    </rPh>
    <phoneticPr fontId="2"/>
  </si>
  <si>
    <t>証券については</t>
    <rPh sb="0" eb="2">
      <t>ショウケン</t>
    </rPh>
    <phoneticPr fontId="2"/>
  </si>
  <si>
    <t>補助コード(財務分析コード)</t>
    <rPh sb="0" eb="2">
      <t>ホジョ</t>
    </rPh>
    <rPh sb="6" eb="10">
      <t>ザイムブンセキ</t>
    </rPh>
    <phoneticPr fontId="2"/>
  </si>
  <si>
    <t>を利用するか？</t>
    <rPh sb="1" eb="3">
      <t>リヨウ</t>
    </rPh>
    <phoneticPr fontId="2"/>
  </si>
  <si>
    <t>→現行とおなじく科目だけの管理でよい</t>
    <rPh sb="1" eb="3">
      <t>ゲンコウ</t>
    </rPh>
    <rPh sb="8" eb="10">
      <t>カモク</t>
    </rPh>
    <rPh sb="13" eb="15">
      <t>カンリ</t>
    </rPh>
    <phoneticPr fontId="2"/>
  </si>
  <si>
    <t>3．通貨交換</t>
    <rPh sb="2" eb="6">
      <t>ツウカコウカン</t>
    </rPh>
    <phoneticPr fontId="2"/>
  </si>
  <si>
    <t>1．通貨交換依頼</t>
    <rPh sb="2" eb="6">
      <t>ツウカコウカン</t>
    </rPh>
    <rPh sb="6" eb="8">
      <t>イライ</t>
    </rPh>
    <phoneticPr fontId="2"/>
  </si>
  <si>
    <t>銀行に通貨交換依頼を行う</t>
    <rPh sb="0" eb="2">
      <t>ギンコウ</t>
    </rPh>
    <rPh sb="3" eb="7">
      <t>ツウカコウカン</t>
    </rPh>
    <rPh sb="7" eb="9">
      <t>イライ</t>
    </rPh>
    <rPh sb="10" eb="11">
      <t>オコナ</t>
    </rPh>
    <phoneticPr fontId="2"/>
  </si>
  <si>
    <t>2．通貨交換仕訳計上</t>
    <rPh sb="2" eb="6">
      <t>ツウカコウカン</t>
    </rPh>
    <rPh sb="6" eb="8">
      <t>シワケ</t>
    </rPh>
    <rPh sb="8" eb="10">
      <t>ケイジョウ</t>
    </rPh>
    <phoneticPr fontId="2"/>
  </si>
  <si>
    <t>通貨交換仕訳を計上する</t>
    <rPh sb="0" eb="4">
      <t>ツウカコウカン</t>
    </rPh>
    <rPh sb="4" eb="6">
      <t>シワケ</t>
    </rPh>
    <rPh sb="7" eb="9">
      <t>ケイジョウ</t>
    </rPh>
    <phoneticPr fontId="2"/>
  </si>
  <si>
    <t>関連会社</t>
    <rPh sb="0" eb="2">
      <t>カンレン</t>
    </rPh>
    <rPh sb="2" eb="4">
      <t>カイシャ</t>
    </rPh>
    <phoneticPr fontId="2"/>
  </si>
  <si>
    <t>１．内部借入</t>
    <rPh sb="2" eb="4">
      <t>ナイブ</t>
    </rPh>
    <rPh sb="4" eb="6">
      <t>カリイレ</t>
    </rPh>
    <phoneticPr fontId="2"/>
  </si>
  <si>
    <t>☆</t>
    <phoneticPr fontId="2"/>
  </si>
  <si>
    <t>グローバル管理法人ではなく</t>
    <rPh sb="5" eb="7">
      <t>カンリ</t>
    </rPh>
    <rPh sb="7" eb="9">
      <t>ホウジン</t>
    </rPh>
    <phoneticPr fontId="2"/>
  </si>
  <si>
    <t>通常のSSJ、SEJ、SLJ法人での処理</t>
    <rPh sb="0" eb="2">
      <t>ツウジョウ</t>
    </rPh>
    <rPh sb="14" eb="16">
      <t>ホウジン</t>
    </rPh>
    <rPh sb="18" eb="20">
      <t>ショリ</t>
    </rPh>
    <phoneticPr fontId="2"/>
  </si>
  <si>
    <t>現行と同じGL管理とする</t>
    <rPh sb="0" eb="2">
      <t>ゲンコウ</t>
    </rPh>
    <rPh sb="3" eb="4">
      <t>オナ</t>
    </rPh>
    <rPh sb="7" eb="9">
      <t>カンリ</t>
    </rPh>
    <phoneticPr fontId="2"/>
  </si>
  <si>
    <t>AP管理とした場合、支払データ作成や消込管理が可能</t>
    <rPh sb="2" eb="4">
      <t>カンリ</t>
    </rPh>
    <rPh sb="7" eb="9">
      <t>バアイ</t>
    </rPh>
    <rPh sb="10" eb="12">
      <t>シハラ</t>
    </rPh>
    <rPh sb="15" eb="17">
      <t>サクセイ</t>
    </rPh>
    <rPh sb="18" eb="20">
      <t>ケシコミ</t>
    </rPh>
    <rPh sb="20" eb="22">
      <t>カンリ</t>
    </rPh>
    <rPh sb="23" eb="25">
      <t>カノウ</t>
    </rPh>
    <phoneticPr fontId="2"/>
  </si>
  <si>
    <t>別途ソリューション提案検討</t>
    <rPh sb="0" eb="2">
      <t>ベット</t>
    </rPh>
    <rPh sb="9" eb="11">
      <t>テイアン</t>
    </rPh>
    <rPh sb="11" eb="13">
      <t>ケントウ</t>
    </rPh>
    <phoneticPr fontId="2"/>
  </si>
  <si>
    <t>5．返済処理</t>
    <rPh sb="2" eb="4">
      <t>ヘンサイ</t>
    </rPh>
    <rPh sb="4" eb="6">
      <t>ショリ</t>
    </rPh>
    <phoneticPr fontId="2"/>
  </si>
  <si>
    <t>借入金の返済処理を行う</t>
    <rPh sb="0" eb="3">
      <t>カリイレキン</t>
    </rPh>
    <rPh sb="4" eb="6">
      <t>ヘンサイ</t>
    </rPh>
    <rPh sb="6" eb="8">
      <t>ショリ</t>
    </rPh>
    <rPh sb="9" eb="10">
      <t>オコナ</t>
    </rPh>
    <phoneticPr fontId="2"/>
  </si>
  <si>
    <t>6．返済仕訳計上</t>
    <rPh sb="2" eb="4">
      <t>ヘンサイ</t>
    </rPh>
    <rPh sb="4" eb="6">
      <t>シワケ</t>
    </rPh>
    <rPh sb="6" eb="8">
      <t>ケイジョウ</t>
    </rPh>
    <phoneticPr fontId="2"/>
  </si>
  <si>
    <t>7．支払手数料仕訳計上</t>
    <rPh sb="2" eb="4">
      <t>シハラ</t>
    </rPh>
    <rPh sb="4" eb="7">
      <t>テスウリョウ</t>
    </rPh>
    <rPh sb="7" eb="9">
      <t>シワケ</t>
    </rPh>
    <rPh sb="9" eb="11">
      <t>ケイジョウ</t>
    </rPh>
    <phoneticPr fontId="2"/>
  </si>
  <si>
    <t>8．借入金残高確認</t>
    <rPh sb="2" eb="4">
      <t>カリイレ</t>
    </rPh>
    <rPh sb="4" eb="5">
      <t>キン</t>
    </rPh>
    <rPh sb="5" eb="7">
      <t>ザンダカ</t>
    </rPh>
    <rPh sb="7" eb="9">
      <t>カクニン</t>
    </rPh>
    <phoneticPr fontId="2"/>
  </si>
  <si>
    <t>相手会社別の残高管理をする場合、</t>
    <rPh sb="0" eb="4">
      <t>アイテカイシャ</t>
    </rPh>
    <rPh sb="4" eb="5">
      <t>ベツ</t>
    </rPh>
    <rPh sb="6" eb="8">
      <t>ザンダカ</t>
    </rPh>
    <rPh sb="8" eb="10">
      <t>カンリ</t>
    </rPh>
    <rPh sb="13" eb="15">
      <t>バアイ</t>
    </rPh>
    <phoneticPr fontId="2"/>
  </si>
  <si>
    <t>分析コード種類例(関連会社or仕入先など)</t>
    <rPh sb="0" eb="2">
      <t>ブンセキ</t>
    </rPh>
    <rPh sb="5" eb="7">
      <t>シュルイ</t>
    </rPh>
    <rPh sb="7" eb="8">
      <t>レイ</t>
    </rPh>
    <rPh sb="9" eb="13">
      <t>カンレンカイシャ</t>
    </rPh>
    <rPh sb="15" eb="18">
      <t>シイレサキ</t>
    </rPh>
    <phoneticPr fontId="2"/>
  </si>
  <si>
    <t>2．内部貸付</t>
    <rPh sb="2" eb="4">
      <t>ナイブ</t>
    </rPh>
    <rPh sb="4" eb="6">
      <t>カシツケ</t>
    </rPh>
    <phoneticPr fontId="2"/>
  </si>
  <si>
    <t>1．貸付仕訳計上</t>
    <rPh sb="2" eb="4">
      <t>カシツケ</t>
    </rPh>
    <rPh sb="4" eb="6">
      <t>シワケ</t>
    </rPh>
    <rPh sb="6" eb="8">
      <t>ケイジョウ</t>
    </rPh>
    <phoneticPr fontId="2"/>
  </si>
  <si>
    <t>貸付仕訳を計上する</t>
    <rPh sb="0" eb="2">
      <t>カシツケ</t>
    </rPh>
    <rPh sb="2" eb="4">
      <t>シワケ</t>
    </rPh>
    <rPh sb="5" eb="7">
      <t>ケイジョウ</t>
    </rPh>
    <phoneticPr fontId="2"/>
  </si>
  <si>
    <t>証票をPDF添付する</t>
    <rPh sb="0" eb="2">
      <t>ショウヒョウ</t>
    </rPh>
    <rPh sb="6" eb="8">
      <t>テンプ</t>
    </rPh>
    <phoneticPr fontId="2"/>
  </si>
  <si>
    <t>科目で会社ごとに分かれている</t>
    <rPh sb="0" eb="2">
      <t>カモク</t>
    </rPh>
    <rPh sb="3" eb="5">
      <t>カイシャ</t>
    </rPh>
    <rPh sb="8" eb="9">
      <t>ワ</t>
    </rPh>
    <phoneticPr fontId="2"/>
  </si>
  <si>
    <t>金利条件・利息発生タイミング・貸付期間・</t>
    <phoneticPr fontId="2"/>
  </si>
  <si>
    <t>返済タイミングなどの情報を管理する機能なし</t>
    <phoneticPr fontId="2"/>
  </si>
  <si>
    <t>EXCEL貸付金台帳で利息額を確認する</t>
    <rPh sb="5" eb="7">
      <t>カシツケ</t>
    </rPh>
    <rPh sb="7" eb="8">
      <t>キン</t>
    </rPh>
    <rPh sb="8" eb="10">
      <t>ダイチョウ</t>
    </rPh>
    <rPh sb="11" eb="13">
      <t>リソク</t>
    </rPh>
    <rPh sb="13" eb="14">
      <t>ガク</t>
    </rPh>
    <rPh sb="15" eb="17">
      <t>カクニン</t>
    </rPh>
    <phoneticPr fontId="2"/>
  </si>
  <si>
    <t>D365標準機能に貸付利息計算機能なし</t>
    <rPh sb="4" eb="6">
      <t>ヒョウジュン</t>
    </rPh>
    <rPh sb="6" eb="8">
      <t>キノウ</t>
    </rPh>
    <rPh sb="9" eb="11">
      <t>カシツケ</t>
    </rPh>
    <rPh sb="11" eb="13">
      <t>リソク</t>
    </rPh>
    <rPh sb="13" eb="15">
      <t>ケイサン</t>
    </rPh>
    <rPh sb="15" eb="17">
      <t>キノウ</t>
    </rPh>
    <phoneticPr fontId="2"/>
  </si>
  <si>
    <t>3．利息仕訳計上</t>
    <rPh sb="2" eb="4">
      <t>リソク</t>
    </rPh>
    <rPh sb="4" eb="6">
      <t>シワケ</t>
    </rPh>
    <rPh sb="6" eb="8">
      <t>ケイジョウ</t>
    </rPh>
    <phoneticPr fontId="2"/>
  </si>
  <si>
    <t>受取利息の請求額を計上する</t>
    <rPh sb="0" eb="4">
      <t>ウケトリリソク</t>
    </rPh>
    <rPh sb="5" eb="7">
      <t>セイキュウ</t>
    </rPh>
    <rPh sb="7" eb="8">
      <t>ガク</t>
    </rPh>
    <rPh sb="9" eb="11">
      <t>ケイジョウ</t>
    </rPh>
    <phoneticPr fontId="2"/>
  </si>
  <si>
    <t>D365標準機能に貸付利息仕訳自動計上機能なし</t>
    <rPh sb="4" eb="6">
      <t>ヒョウジュン</t>
    </rPh>
    <rPh sb="6" eb="8">
      <t>キノウ</t>
    </rPh>
    <rPh sb="9" eb="11">
      <t>カシツケ</t>
    </rPh>
    <rPh sb="11" eb="13">
      <t>リソク</t>
    </rPh>
    <rPh sb="13" eb="15">
      <t>シワケ</t>
    </rPh>
    <rPh sb="15" eb="17">
      <t>ジドウ</t>
    </rPh>
    <rPh sb="17" eb="19">
      <t>ケイジョウ</t>
    </rPh>
    <rPh sb="19" eb="21">
      <t>キノウ</t>
    </rPh>
    <phoneticPr fontId="2"/>
  </si>
  <si>
    <t>4．利息の請求書発行</t>
    <rPh sb="2" eb="4">
      <t>リソク</t>
    </rPh>
    <rPh sb="5" eb="8">
      <t>セイキュウショ</t>
    </rPh>
    <rPh sb="8" eb="10">
      <t>ハッコウ</t>
    </rPh>
    <phoneticPr fontId="2"/>
  </si>
  <si>
    <t>利息の請求書を発行して相手会社に送付する</t>
    <rPh sb="0" eb="2">
      <t>リソク</t>
    </rPh>
    <rPh sb="3" eb="6">
      <t>セイキュウショ</t>
    </rPh>
    <rPh sb="7" eb="9">
      <t>ハッコウ</t>
    </rPh>
    <rPh sb="11" eb="15">
      <t>アイテカイシャ</t>
    </rPh>
    <rPh sb="16" eb="18">
      <t>ソウフ</t>
    </rPh>
    <phoneticPr fontId="2"/>
  </si>
  <si>
    <t>FO外のEXCEL等で作成</t>
    <rPh sb="2" eb="3">
      <t>ガイ</t>
    </rPh>
    <rPh sb="9" eb="10">
      <t>トウ</t>
    </rPh>
    <rPh sb="11" eb="13">
      <t>サクセイ</t>
    </rPh>
    <phoneticPr fontId="2"/>
  </si>
  <si>
    <t>5．返済入金確認</t>
    <rPh sb="2" eb="4">
      <t>ヘンサイ</t>
    </rPh>
    <rPh sb="4" eb="6">
      <t>ニュウキン</t>
    </rPh>
    <rPh sb="6" eb="8">
      <t>カクニン</t>
    </rPh>
    <phoneticPr fontId="2"/>
  </si>
  <si>
    <t>返済入金額を確認</t>
    <rPh sb="0" eb="2">
      <t>ヘンサイ</t>
    </rPh>
    <rPh sb="2" eb="5">
      <t>ニュウキンガク</t>
    </rPh>
    <rPh sb="6" eb="8">
      <t>カクニン</t>
    </rPh>
    <phoneticPr fontId="2"/>
  </si>
  <si>
    <t>6．返済入金仕訳計上</t>
    <rPh sb="2" eb="4">
      <t>ヘンサイ</t>
    </rPh>
    <rPh sb="4" eb="6">
      <t>ニュウキン</t>
    </rPh>
    <rPh sb="6" eb="8">
      <t>シワケ</t>
    </rPh>
    <rPh sb="8" eb="10">
      <t>ケイジョウ</t>
    </rPh>
    <phoneticPr fontId="2"/>
  </si>
  <si>
    <t>返済入金仕訳を計上する</t>
    <rPh sb="0" eb="2">
      <t>ヘンサイ</t>
    </rPh>
    <rPh sb="2" eb="4">
      <t>ニュウキン</t>
    </rPh>
    <rPh sb="4" eb="6">
      <t>シワケ</t>
    </rPh>
    <rPh sb="7" eb="9">
      <t>ケイジョウ</t>
    </rPh>
    <phoneticPr fontId="2"/>
  </si>
  <si>
    <t>D365標準機能に</t>
    <rPh sb="4" eb="6">
      <t>ヒョウジュン</t>
    </rPh>
    <rPh sb="6" eb="8">
      <t>キノウ</t>
    </rPh>
    <phoneticPr fontId="2"/>
  </si>
  <si>
    <t>貸付金情報から、自動で返済仕訳を計上する機能なし</t>
    <rPh sb="20" eb="22">
      <t>キノウ</t>
    </rPh>
    <phoneticPr fontId="2"/>
  </si>
  <si>
    <t>7．運用残高確認</t>
    <rPh sb="2" eb="4">
      <t>ウンヨウ</t>
    </rPh>
    <rPh sb="4" eb="6">
      <t>ザンダカ</t>
    </rPh>
    <rPh sb="6" eb="8">
      <t>カクニン</t>
    </rPh>
    <phoneticPr fontId="2"/>
  </si>
  <si>
    <t>貸付残高や利息計上履歴明細を</t>
    <rPh sb="0" eb="2">
      <t>カシツケ</t>
    </rPh>
    <rPh sb="2" eb="4">
      <t>ザンダカ</t>
    </rPh>
    <rPh sb="5" eb="7">
      <t>リソク</t>
    </rPh>
    <rPh sb="7" eb="9">
      <t>ケイジョウ</t>
    </rPh>
    <rPh sb="9" eb="11">
      <t>リレキ</t>
    </rPh>
    <rPh sb="11" eb="13">
      <t>メイサイ</t>
    </rPh>
    <phoneticPr fontId="2"/>
  </si>
  <si>
    <t>分析コード種類例(関連会社or顧客など)</t>
    <rPh sb="0" eb="2">
      <t>ブンセキ</t>
    </rPh>
    <rPh sb="5" eb="7">
      <t>シュルイ</t>
    </rPh>
    <rPh sb="7" eb="8">
      <t>レイ</t>
    </rPh>
    <rPh sb="9" eb="13">
      <t>カンレンカイシャ</t>
    </rPh>
    <rPh sb="15" eb="17">
      <t>コキャク</t>
    </rPh>
    <phoneticPr fontId="2"/>
  </si>
  <si>
    <t>3．配当金決済</t>
    <rPh sb="2" eb="5">
      <t>ハイトウキン</t>
    </rPh>
    <rPh sb="5" eb="7">
      <t>ケッサイ</t>
    </rPh>
    <phoneticPr fontId="2"/>
  </si>
  <si>
    <t>1．配当金入金確認</t>
    <rPh sb="2" eb="5">
      <t>ハイトウキン</t>
    </rPh>
    <rPh sb="5" eb="7">
      <t>ニュウキン</t>
    </rPh>
    <rPh sb="7" eb="9">
      <t>カクニン</t>
    </rPh>
    <phoneticPr fontId="2"/>
  </si>
  <si>
    <t>配当金の入金を確認する</t>
    <rPh sb="0" eb="2">
      <t>ハイトウ</t>
    </rPh>
    <rPh sb="2" eb="3">
      <t>キン</t>
    </rPh>
    <rPh sb="4" eb="6">
      <t>ニュウキン</t>
    </rPh>
    <rPh sb="7" eb="9">
      <t>カクニン</t>
    </rPh>
    <phoneticPr fontId="2"/>
  </si>
  <si>
    <t>2．配当金仕訳計上</t>
    <rPh sb="2" eb="5">
      <t>ハイトウキン</t>
    </rPh>
    <rPh sb="5" eb="7">
      <t>シワケ</t>
    </rPh>
    <rPh sb="7" eb="9">
      <t>ケイジョウ</t>
    </rPh>
    <phoneticPr fontId="2"/>
  </si>
  <si>
    <t>受取配当金仕訳を計上する</t>
    <rPh sb="0" eb="2">
      <t>ウケトリ</t>
    </rPh>
    <rPh sb="2" eb="5">
      <t>ハイトウキン</t>
    </rPh>
    <rPh sb="5" eb="7">
      <t>シワケ</t>
    </rPh>
    <rPh sb="8" eb="10">
      <t>ケイジョウ</t>
    </rPh>
    <phoneticPr fontId="2"/>
  </si>
  <si>
    <t>各チャネル</t>
    <rPh sb="0" eb="1">
      <t>カク</t>
    </rPh>
    <phoneticPr fontId="2"/>
  </si>
  <si>
    <t>１．年間資金繰計画</t>
    <rPh sb="2" eb="4">
      <t>ネンカン</t>
    </rPh>
    <rPh sb="4" eb="6">
      <t>シキン</t>
    </rPh>
    <rPh sb="6" eb="7">
      <t>グ</t>
    </rPh>
    <rPh sb="7" eb="9">
      <t>ケイカク</t>
    </rPh>
    <phoneticPr fontId="2"/>
  </si>
  <si>
    <t>年度資金繰計画EXCELはD365標準機能で対応不可</t>
    <rPh sb="17" eb="19">
      <t>ヒョウジュン</t>
    </rPh>
    <rPh sb="19" eb="21">
      <t>キノウ</t>
    </rPh>
    <rPh sb="22" eb="24">
      <t>タイオウ</t>
    </rPh>
    <rPh sb="24" eb="26">
      <t>フカ</t>
    </rPh>
    <phoneticPr fontId="2"/>
  </si>
  <si>
    <t>FOスコープアウト</t>
    <phoneticPr fontId="2"/>
  </si>
  <si>
    <t>現状EXCEL処理を</t>
    <rPh sb="0" eb="2">
      <t>ゲンジョウ</t>
    </rPh>
    <rPh sb="7" eb="9">
      <t>ショリ</t>
    </rPh>
    <phoneticPr fontId="2"/>
  </si>
  <si>
    <t>実現できるよう</t>
    <rPh sb="0" eb="2">
      <t>ジツゲン</t>
    </rPh>
    <phoneticPr fontId="2"/>
  </si>
  <si>
    <t>各新システムからの</t>
    <rPh sb="0" eb="1">
      <t>カク</t>
    </rPh>
    <rPh sb="1" eb="2">
      <t>シン</t>
    </rPh>
    <phoneticPr fontId="2"/>
  </si>
  <si>
    <t>データ取得方法を今後検討</t>
    <rPh sb="3" eb="5">
      <t>シュトク</t>
    </rPh>
    <rPh sb="5" eb="7">
      <t>ホウホウ</t>
    </rPh>
    <rPh sb="8" eb="10">
      <t>コンゴ</t>
    </rPh>
    <rPh sb="10" eb="12">
      <t>ケントウ</t>
    </rPh>
    <phoneticPr fontId="2"/>
  </si>
  <si>
    <t>EPMシステムやBIツール等で検討したい</t>
    <rPh sb="13" eb="14">
      <t>ナド</t>
    </rPh>
    <rPh sb="15" eb="17">
      <t>ケントウ</t>
    </rPh>
    <phoneticPr fontId="2"/>
  </si>
  <si>
    <t>1．ベース損益用データ出力</t>
    <phoneticPr fontId="2"/>
  </si>
  <si>
    <t>ベース損益の元データとなる</t>
    <rPh sb="3" eb="5">
      <t>ソンエキ</t>
    </rPh>
    <rPh sb="6" eb="7">
      <t>モト</t>
    </rPh>
    <phoneticPr fontId="2"/>
  </si>
  <si>
    <t>財務諸表データを出力する</t>
    <rPh sb="0" eb="4">
      <t>ザイムショヒョウ</t>
    </rPh>
    <rPh sb="8" eb="10">
      <t>シュツリョク</t>
    </rPh>
    <phoneticPr fontId="2"/>
  </si>
  <si>
    <t>2．ベース損益作成</t>
    <phoneticPr fontId="2"/>
  </si>
  <si>
    <t>年度資金繰計画EXCELの</t>
    <phoneticPr fontId="2"/>
  </si>
  <si>
    <t>ベース損益に入力する</t>
    <rPh sb="3" eb="5">
      <t>ソンエキ</t>
    </rPh>
    <rPh sb="6" eb="8">
      <t>ニュウリョク</t>
    </rPh>
    <phoneticPr fontId="2"/>
  </si>
  <si>
    <t>3．前提条件設定</t>
    <phoneticPr fontId="2"/>
  </si>
  <si>
    <t>前提条件を設定する</t>
    <rPh sb="0" eb="2">
      <t>ゼンテイ</t>
    </rPh>
    <rPh sb="2" eb="4">
      <t>ジョウケン</t>
    </rPh>
    <rPh sb="5" eb="7">
      <t>セッテイ</t>
    </rPh>
    <phoneticPr fontId="2"/>
  </si>
  <si>
    <t>4．各種勘定
前年実績収集</t>
    <phoneticPr fontId="2"/>
  </si>
  <si>
    <t>財務諸表から</t>
    <rPh sb="0" eb="4">
      <t>ザイムショヒョウ</t>
    </rPh>
    <phoneticPr fontId="2"/>
  </si>
  <si>
    <t>前年度実績をデータ出力する</t>
    <rPh sb="0" eb="3">
      <t>ゼンネンド</t>
    </rPh>
    <rPh sb="3" eb="5">
      <t>ジッセキ</t>
    </rPh>
    <rPh sb="9" eb="11">
      <t>シュツリョク</t>
    </rPh>
    <phoneticPr fontId="2"/>
  </si>
  <si>
    <t>D365標準機能で出力できる情報では</t>
    <rPh sb="4" eb="6">
      <t>ヒョウジュン</t>
    </rPh>
    <rPh sb="6" eb="8">
      <t>キノウ</t>
    </rPh>
    <rPh sb="9" eb="11">
      <t>シュツリョク</t>
    </rPh>
    <rPh sb="14" eb="16">
      <t>ジョウホウ</t>
    </rPh>
    <phoneticPr fontId="2"/>
  </si>
  <si>
    <t>不足する情報を別途収集する</t>
    <rPh sb="0" eb="2">
      <t>フソク</t>
    </rPh>
    <rPh sb="4" eb="6">
      <t>ジョウホウ</t>
    </rPh>
    <rPh sb="7" eb="9">
      <t>ベット</t>
    </rPh>
    <rPh sb="9" eb="11">
      <t>シュウシュウ</t>
    </rPh>
    <phoneticPr fontId="2"/>
  </si>
  <si>
    <t>5．支払/入金
予定収集</t>
    <phoneticPr fontId="2"/>
  </si>
  <si>
    <t>支払/入金予定データを出力する</t>
    <rPh sb="0" eb="2">
      <t>シハラ</t>
    </rPh>
    <rPh sb="3" eb="5">
      <t>ニュウキン</t>
    </rPh>
    <rPh sb="5" eb="7">
      <t>ヨテイ</t>
    </rPh>
    <rPh sb="11" eb="13">
      <t>シュツリョク</t>
    </rPh>
    <phoneticPr fontId="2"/>
  </si>
  <si>
    <t>検討事項</t>
    <rPh sb="0" eb="2">
      <t>ケントウ</t>
    </rPh>
    <rPh sb="2" eb="4">
      <t>ジコウ</t>
    </rPh>
    <phoneticPr fontId="2"/>
  </si>
  <si>
    <t>債務と未収入金は　支払/入金予定情報を保持しているが</t>
    <rPh sb="0" eb="2">
      <t>サイム</t>
    </rPh>
    <rPh sb="9" eb="11">
      <t>シハライ</t>
    </rPh>
    <rPh sb="12" eb="14">
      <t>ニュウキン</t>
    </rPh>
    <rPh sb="14" eb="16">
      <t>ヨテイ</t>
    </rPh>
    <rPh sb="16" eb="18">
      <t>ジョウホウ</t>
    </rPh>
    <rPh sb="19" eb="21">
      <t>ホジ</t>
    </rPh>
    <phoneticPr fontId="2"/>
  </si>
  <si>
    <t>売掛金は仕訳情報のみ</t>
    <rPh sb="0" eb="3">
      <t>ウリカケキン</t>
    </rPh>
    <rPh sb="4" eb="6">
      <t>シワケ</t>
    </rPh>
    <rPh sb="6" eb="8">
      <t>ジョウホウ</t>
    </rPh>
    <phoneticPr fontId="2"/>
  </si>
  <si>
    <t>売掛金の入金予定および消込実績の参照方法が課題</t>
    <rPh sb="0" eb="3">
      <t>ウリカケキン</t>
    </rPh>
    <rPh sb="4" eb="6">
      <t>ニュウキン</t>
    </rPh>
    <rPh sb="6" eb="8">
      <t>ヨテイ</t>
    </rPh>
    <rPh sb="11" eb="13">
      <t>ケシコミ</t>
    </rPh>
    <rPh sb="13" eb="15">
      <t>ジッセキ</t>
    </rPh>
    <rPh sb="16" eb="18">
      <t>サンショウ</t>
    </rPh>
    <rPh sb="18" eb="20">
      <t>ホウホウ</t>
    </rPh>
    <rPh sb="21" eb="23">
      <t>カダイ</t>
    </rPh>
    <phoneticPr fontId="2"/>
  </si>
  <si>
    <t>Mcframe参照orデータ出力して参照</t>
    <rPh sb="7" eb="9">
      <t>サンショウ</t>
    </rPh>
    <rPh sb="14" eb="16">
      <t>シュツリョク</t>
    </rPh>
    <rPh sb="18" eb="20">
      <t>サンショウ</t>
    </rPh>
    <phoneticPr fontId="2"/>
  </si>
  <si>
    <t>またはFO連携して参照</t>
    <rPh sb="5" eb="7">
      <t>レンケイ</t>
    </rPh>
    <rPh sb="9" eb="11">
      <t>サンショウ</t>
    </rPh>
    <phoneticPr fontId="2"/>
  </si>
  <si>
    <t>6．チャネル別
回収計画</t>
    <phoneticPr fontId="2"/>
  </si>
  <si>
    <t>各チャネル担当者別に回収計画を入力する</t>
    <rPh sb="0" eb="1">
      <t>カク</t>
    </rPh>
    <rPh sb="5" eb="8">
      <t>タントウシャ</t>
    </rPh>
    <rPh sb="8" eb="9">
      <t>ベツ</t>
    </rPh>
    <rPh sb="10" eb="12">
      <t>カイシュウ</t>
    </rPh>
    <rPh sb="12" eb="14">
      <t>ケイカク</t>
    </rPh>
    <rPh sb="15" eb="17">
      <t>ニュウリョク</t>
    </rPh>
    <phoneticPr fontId="2"/>
  </si>
  <si>
    <t>7．年間資金繰
計画作成</t>
    <phoneticPr fontId="2"/>
  </si>
  <si>
    <t>回収計画を集計して</t>
    <rPh sb="0" eb="2">
      <t>カイシュウ</t>
    </rPh>
    <rPh sb="2" eb="4">
      <t>ケイカク</t>
    </rPh>
    <rPh sb="5" eb="7">
      <t>シュウケイ</t>
    </rPh>
    <phoneticPr fontId="2"/>
  </si>
  <si>
    <t>年間資金繰計画を作成する</t>
    <rPh sb="0" eb="2">
      <t>ネンカン</t>
    </rPh>
    <rPh sb="2" eb="4">
      <t>シキン</t>
    </rPh>
    <rPh sb="4" eb="5">
      <t>グ</t>
    </rPh>
    <rPh sb="5" eb="7">
      <t>ケイカク</t>
    </rPh>
    <rPh sb="8" eb="10">
      <t>サクセイ</t>
    </rPh>
    <phoneticPr fontId="2"/>
  </si>
  <si>
    <t>2．月次資金繰予実</t>
    <rPh sb="2" eb="4">
      <t>ゲツジ</t>
    </rPh>
    <rPh sb="4" eb="6">
      <t>シキン</t>
    </rPh>
    <rPh sb="6" eb="7">
      <t>グ</t>
    </rPh>
    <rPh sb="7" eb="9">
      <t>ヨジツ</t>
    </rPh>
    <phoneticPr fontId="2"/>
  </si>
  <si>
    <t>月別資金繰実績EXCELはD365標準機能で対応不可</t>
    <rPh sb="17" eb="19">
      <t>ヒョウジュン</t>
    </rPh>
    <rPh sb="19" eb="21">
      <t>キノウ</t>
    </rPh>
    <rPh sb="22" eb="24">
      <t>タイオウ</t>
    </rPh>
    <rPh sb="24" eb="26">
      <t>フカ</t>
    </rPh>
    <phoneticPr fontId="2"/>
  </si>
  <si>
    <t>1．各種勘定
実績収集</t>
    <phoneticPr fontId="2"/>
  </si>
  <si>
    <t>2．支払/入金
実績収集</t>
    <phoneticPr fontId="2"/>
  </si>
  <si>
    <t>支払/入金実績データを出力する</t>
    <rPh sb="0" eb="2">
      <t>シハラ</t>
    </rPh>
    <rPh sb="3" eb="5">
      <t>ニュウキン</t>
    </rPh>
    <rPh sb="5" eb="7">
      <t>ジッセキ</t>
    </rPh>
    <rPh sb="11" eb="13">
      <t>シュツリョク</t>
    </rPh>
    <phoneticPr fontId="2"/>
  </si>
  <si>
    <t>3．資金繰
実績作成</t>
    <phoneticPr fontId="2"/>
  </si>
  <si>
    <t>月別資金繰実績EXCELを作成する</t>
    <rPh sb="0" eb="2">
      <t>ツキベツ</t>
    </rPh>
    <rPh sb="2" eb="5">
      <t>シキング</t>
    </rPh>
    <rPh sb="5" eb="7">
      <t>ジッセキ</t>
    </rPh>
    <rPh sb="13" eb="15">
      <t>サクセイ</t>
    </rPh>
    <phoneticPr fontId="2"/>
  </si>
  <si>
    <t>4．資金繰
予実作成</t>
    <phoneticPr fontId="2"/>
  </si>
  <si>
    <t>月別資金繰予実EXCELを作成する</t>
    <rPh sb="0" eb="2">
      <t>ツキベツ</t>
    </rPh>
    <rPh sb="2" eb="5">
      <t>シキング</t>
    </rPh>
    <rPh sb="5" eb="7">
      <t>ヨジツ</t>
    </rPh>
    <rPh sb="13" eb="15">
      <t>サクセイ</t>
    </rPh>
    <phoneticPr fontId="2"/>
  </si>
  <si>
    <t>3．日別資金繰予実</t>
    <rPh sb="2" eb="4">
      <t>ヒベツ</t>
    </rPh>
    <rPh sb="4" eb="6">
      <t>シキン</t>
    </rPh>
    <rPh sb="6" eb="7">
      <t>グ</t>
    </rPh>
    <rPh sb="7" eb="9">
      <t>ヨジツ</t>
    </rPh>
    <phoneticPr fontId="2"/>
  </si>
  <si>
    <t>日別資金繰実績EXCELはD365標準機能で対応不可</t>
    <rPh sb="0" eb="1">
      <t>ヒ</t>
    </rPh>
    <rPh sb="17" eb="19">
      <t>ヒョウジュン</t>
    </rPh>
    <rPh sb="19" eb="21">
      <t>キノウ</t>
    </rPh>
    <rPh sb="22" eb="24">
      <t>タイオウ</t>
    </rPh>
    <rPh sb="24" eb="26">
      <t>フカ</t>
    </rPh>
    <phoneticPr fontId="2"/>
  </si>
  <si>
    <t>1．月初見込作成</t>
    <phoneticPr fontId="2"/>
  </si>
  <si>
    <t>日別資金繰実績EXCELの</t>
    <rPh sb="0" eb="1">
      <t>ヒ</t>
    </rPh>
    <rPh sb="1" eb="2">
      <t>ベツ</t>
    </rPh>
    <rPh sb="2" eb="5">
      <t>シキング</t>
    </rPh>
    <rPh sb="5" eb="7">
      <t>ジッセキ</t>
    </rPh>
    <phoneticPr fontId="2"/>
  </si>
  <si>
    <t>月初見込を作成する</t>
    <rPh sb="0" eb="2">
      <t>ゲッショ</t>
    </rPh>
    <rPh sb="2" eb="4">
      <t>ミコ</t>
    </rPh>
    <rPh sb="5" eb="7">
      <t>サクセイ</t>
    </rPh>
    <phoneticPr fontId="2"/>
  </si>
  <si>
    <t>2．銀行口座入出金明細出力</t>
    <phoneticPr fontId="2"/>
  </si>
  <si>
    <t>試算表/伝票トランザクションから</t>
    <rPh sb="0" eb="3">
      <t>シサンヒョウ</t>
    </rPh>
    <rPh sb="4" eb="6">
      <t>デンピョウ</t>
    </rPh>
    <phoneticPr fontId="2"/>
  </si>
  <si>
    <t>入出金明細を出力する</t>
    <rPh sb="0" eb="3">
      <t>ニュウシュッキン</t>
    </rPh>
    <rPh sb="3" eb="5">
      <t>メイサイ</t>
    </rPh>
    <rPh sb="6" eb="8">
      <t>シュツリョク</t>
    </rPh>
    <phoneticPr fontId="2"/>
  </si>
  <si>
    <t>3．合計日別資金繰実績作成</t>
    <phoneticPr fontId="2"/>
  </si>
  <si>
    <t>口座別のシートに入力して</t>
    <rPh sb="0" eb="2">
      <t>コウザ</t>
    </rPh>
    <rPh sb="2" eb="3">
      <t>ベツ</t>
    </rPh>
    <rPh sb="8" eb="10">
      <t>ニュウリョク</t>
    </rPh>
    <phoneticPr fontId="2"/>
  </si>
  <si>
    <t>日別資金繰の合計表を作成する</t>
    <rPh sb="0" eb="1">
      <t>ヒ</t>
    </rPh>
    <rPh sb="1" eb="2">
      <t>ベツ</t>
    </rPh>
    <rPh sb="2" eb="5">
      <t>シキング</t>
    </rPh>
    <rPh sb="6" eb="9">
      <t>ゴウケイヒョウ</t>
    </rPh>
    <rPh sb="10" eb="12">
      <t>サクセイ</t>
    </rPh>
    <phoneticPr fontId="2"/>
  </si>
  <si>
    <t>１．借入・預金管理</t>
    <rPh sb="2" eb="4">
      <t>カリイレ</t>
    </rPh>
    <phoneticPr fontId="2"/>
  </si>
  <si>
    <t>グローバル管理法人での処理</t>
    <rPh sb="5" eb="7">
      <t>カンリ</t>
    </rPh>
    <rPh sb="7" eb="9">
      <t>ホウジン</t>
    </rPh>
    <rPh sb="11" eb="13">
      <t>ショリ</t>
    </rPh>
    <phoneticPr fontId="2"/>
  </si>
  <si>
    <t>1．グローバルコミットメントライン枠登録</t>
    <rPh sb="17" eb="18">
      <t>ワク</t>
    </rPh>
    <rPh sb="18" eb="20">
      <t>トウロク</t>
    </rPh>
    <phoneticPr fontId="2"/>
  </si>
  <si>
    <t>各社各銀行口座毎の</t>
    <rPh sb="0" eb="2">
      <t>カクシャ</t>
    </rPh>
    <rPh sb="2" eb="3">
      <t>カク</t>
    </rPh>
    <rPh sb="3" eb="5">
      <t>ギンコウ</t>
    </rPh>
    <rPh sb="5" eb="7">
      <t>コウザ</t>
    </rPh>
    <rPh sb="7" eb="8">
      <t>ゴト</t>
    </rPh>
    <phoneticPr fontId="2"/>
  </si>
  <si>
    <t>グローバルコミットメント枠の金額を</t>
    <rPh sb="12" eb="13">
      <t>ワク</t>
    </rPh>
    <rPh sb="14" eb="16">
      <t>キンガク</t>
    </rPh>
    <phoneticPr fontId="2"/>
  </si>
  <si>
    <t>予算登録エントリに登録する</t>
    <rPh sb="0" eb="4">
      <t>ヨサントウロク</t>
    </rPh>
    <rPh sb="9" eb="11">
      <t>トウロク</t>
    </rPh>
    <phoneticPr fontId="2"/>
  </si>
  <si>
    <t>2．データの収集依頼</t>
    <rPh sb="6" eb="8">
      <t>シュウシュウ</t>
    </rPh>
    <rPh sb="8" eb="10">
      <t>イライ</t>
    </rPh>
    <phoneticPr fontId="2"/>
  </si>
  <si>
    <t>グローバル各社の担当者に対して、事前に登録した</t>
    <phoneticPr fontId="2"/>
  </si>
  <si>
    <t>文面のメールで預金情報データと借入情報データ</t>
    <rPh sb="7" eb="9">
      <t>ヨキン</t>
    </rPh>
    <rPh sb="9" eb="11">
      <t>ジョウホウ</t>
    </rPh>
    <rPh sb="15" eb="17">
      <t>カリイレ</t>
    </rPh>
    <rPh sb="17" eb="19">
      <t>ジョウホウ</t>
    </rPh>
    <phoneticPr fontId="2"/>
  </si>
  <si>
    <t>を依頼する</t>
  </si>
  <si>
    <t>グローバル各社の担当者に対して、事前登録メールを</t>
    <phoneticPr fontId="2"/>
  </si>
  <si>
    <t>毎月自動送信する機能なし</t>
    <phoneticPr fontId="2"/>
  </si>
  <si>
    <t>3．各社残高登録</t>
    <rPh sb="2" eb="4">
      <t>カクシャ</t>
    </rPh>
    <rPh sb="4" eb="6">
      <t>ザンダカ</t>
    </rPh>
    <rPh sb="6" eb="8">
      <t>トウロク</t>
    </rPh>
    <phoneticPr fontId="2"/>
  </si>
  <si>
    <t>各社の月末預金残高と月末借入金残高を登録する</t>
    <rPh sb="0" eb="2">
      <t>カクシャ</t>
    </rPh>
    <rPh sb="5" eb="7">
      <t>ヨキン</t>
    </rPh>
    <rPh sb="7" eb="9">
      <t>ザンダカ</t>
    </rPh>
    <rPh sb="10" eb="12">
      <t>ゲツマツ</t>
    </rPh>
    <phoneticPr fontId="2"/>
  </si>
  <si>
    <t>一般仕訳に仕訳伝票として登録する</t>
    <rPh sb="0" eb="2">
      <t>イッパン</t>
    </rPh>
    <rPh sb="2" eb="4">
      <t>シワケ</t>
    </rPh>
    <rPh sb="5" eb="7">
      <t>シワケ</t>
    </rPh>
    <rPh sb="7" eb="9">
      <t>デンピョウ</t>
    </rPh>
    <rPh sb="12" eb="14">
      <t>トウロク</t>
    </rPh>
    <phoneticPr fontId="2"/>
  </si>
  <si>
    <t>相手科目は登録用仮勘定</t>
    <rPh sb="0" eb="4">
      <t>アイテカモク</t>
    </rPh>
    <rPh sb="5" eb="7">
      <t>トウロク</t>
    </rPh>
    <rPh sb="7" eb="8">
      <t>ヨウ</t>
    </rPh>
    <rPh sb="8" eb="11">
      <t>カリカンジョウ</t>
    </rPh>
    <phoneticPr fontId="2"/>
  </si>
  <si>
    <t>ExcelAddin使用</t>
    <rPh sb="10" eb="12">
      <t>シヨウ</t>
    </rPh>
    <phoneticPr fontId="2"/>
  </si>
  <si>
    <t>4．利息仕訳の計上</t>
    <rPh sb="2" eb="4">
      <t>リソク</t>
    </rPh>
    <rPh sb="4" eb="6">
      <t>シワケ</t>
    </rPh>
    <rPh sb="7" eb="9">
      <t>ケイジョウ</t>
    </rPh>
    <phoneticPr fontId="2"/>
  </si>
  <si>
    <t>5．借入金残高確認</t>
    <rPh sb="2" eb="4">
      <t>カリイレ</t>
    </rPh>
    <rPh sb="4" eb="5">
      <t>キン</t>
    </rPh>
    <rPh sb="5" eb="7">
      <t>ザンダカ</t>
    </rPh>
    <rPh sb="7" eb="9">
      <t>カクニン</t>
    </rPh>
    <phoneticPr fontId="2"/>
  </si>
  <si>
    <t>会社別の口座残高、借入金残高を確認する。</t>
  </si>
  <si>
    <t>MRを使用して</t>
    <rPh sb="3" eb="5">
      <t>シヨウ</t>
    </rPh>
    <phoneticPr fontId="2"/>
  </si>
  <si>
    <t>会社を地域等でグルーピングして参照する。</t>
    <phoneticPr fontId="2"/>
  </si>
  <si>
    <t>前月と報告月の残高が横並びで比較、増減表示</t>
    <phoneticPr fontId="2"/>
  </si>
  <si>
    <t>借入消費枠の管理は予実帳票を使って参照する</t>
    <rPh sb="0" eb="2">
      <t>カリイレ</t>
    </rPh>
    <rPh sb="2" eb="4">
      <t>ショウヒ</t>
    </rPh>
    <rPh sb="4" eb="5">
      <t>ワク</t>
    </rPh>
    <rPh sb="6" eb="8">
      <t>カンリ</t>
    </rPh>
    <rPh sb="9" eb="11">
      <t>ヨジツ</t>
    </rPh>
    <rPh sb="11" eb="13">
      <t>チョウヒョウ</t>
    </rPh>
    <rPh sb="14" eb="15">
      <t>ツカ</t>
    </rPh>
    <rPh sb="17" eb="19">
      <t>サンショウ</t>
    </rPh>
    <phoneticPr fontId="2"/>
  </si>
  <si>
    <t>１．グループ間借入・貸付管理</t>
    <rPh sb="6" eb="7">
      <t>カン</t>
    </rPh>
    <rPh sb="7" eb="9">
      <t>カリイレ</t>
    </rPh>
    <rPh sb="10" eb="12">
      <t>カシツケ</t>
    </rPh>
    <rPh sb="12" eb="14">
      <t>カンリ</t>
    </rPh>
    <phoneticPr fontId="2"/>
  </si>
  <si>
    <t>1．データの収集依頼</t>
    <rPh sb="6" eb="8">
      <t>シュウシュウ</t>
    </rPh>
    <rPh sb="8" eb="10">
      <t>イライ</t>
    </rPh>
    <phoneticPr fontId="2"/>
  </si>
  <si>
    <t>グローバル各社の担当者に対して、</t>
    <phoneticPr fontId="2"/>
  </si>
  <si>
    <t>月末のグループ間借入・貸付残高データ</t>
    <phoneticPr fontId="2"/>
  </si>
  <si>
    <t>2．各社残高登録</t>
    <rPh sb="2" eb="4">
      <t>カクシャ</t>
    </rPh>
    <rPh sb="4" eb="6">
      <t>ザンダカ</t>
    </rPh>
    <rPh sb="6" eb="8">
      <t>トウロク</t>
    </rPh>
    <phoneticPr fontId="2"/>
  </si>
  <si>
    <t>各社の月末グループ間借入・貸付残高を登録する</t>
    <rPh sb="0" eb="2">
      <t>カクシャ</t>
    </rPh>
    <phoneticPr fontId="2"/>
  </si>
  <si>
    <t>3．借入金残高確認</t>
    <rPh sb="2" eb="4">
      <t>カリイレ</t>
    </rPh>
    <rPh sb="4" eb="5">
      <t>キン</t>
    </rPh>
    <rPh sb="5" eb="7">
      <t>ザンダカ</t>
    </rPh>
    <rPh sb="7" eb="9">
      <t>カクニン</t>
    </rPh>
    <phoneticPr fontId="2"/>
  </si>
  <si>
    <t>会社別のグループ間借入・貸付残高を確認する。</t>
    <phoneticPr fontId="2"/>
  </si>
  <si>
    <t>前月と当月の月末のグループ間借入・貸付残高を</t>
    <phoneticPr fontId="2"/>
  </si>
  <si>
    <t>横並びで比較、増減表示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</si>
</sst>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33">
    <font>
      <sz val="10"/>
      <color theme="1"/>
      <name val="Meiryo UI"/>
      <family val="2"/>
      <charset val="128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</font>
    <font>
      <sz val="6"/>
      <name val="Meiryo UI"/>
      <family val="3"/>
      <charset val="128"/>
      <scheme val="minor"/>
    </font>
    <font>
      <sz val="10"/>
      <color theme="1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10"/>
      <name val="Meiryo UI"/>
      <family val="3"/>
      <charset val="128"/>
    </font>
    <font>
      <sz val="18"/>
      <color theme="3"/>
      <name val="Meiryo UI"/>
      <family val="2"/>
      <charset val="128"/>
      <scheme val="major"/>
    </font>
    <font>
      <b/>
      <sz val="10"/>
      <color theme="0"/>
      <name val="Meiryo UI"/>
      <family val="2"/>
      <charset val="128"/>
    </font>
    <font>
      <b/>
      <u/>
      <sz val="10"/>
      <color theme="1"/>
      <name val="Meiryo UI"/>
      <family val="3"/>
      <charset val="128"/>
    </font>
    <font>
      <sz val="6"/>
      <name val="ＭＳ Ｐゴシック"/>
      <family val="3"/>
      <charset val="128"/>
    </font>
    <font>
      <sz val="10"/>
      <color theme="1"/>
      <name val="Meiryo UI"/>
      <family val="2"/>
      <charset val="128"/>
    </font>
    <font>
      <b/>
      <sz val="10"/>
      <name val="Meiryo UI"/>
      <family val="3"/>
      <charset val="128"/>
    </font>
    <font>
      <sz val="10"/>
      <name val="Arial"/>
      <family val="2"/>
      <charset val="238"/>
    </font>
    <font>
      <sz val="11"/>
      <color theme="1"/>
      <name val="Meiryo UI"/>
      <family val="2"/>
      <scheme val="minor"/>
    </font>
    <font>
      <sz val="11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メイリオ"/>
      <family val="2"/>
      <charset val="128"/>
    </font>
    <font>
      <sz val="6"/>
      <name val="ＭＳ ゴシック"/>
      <family val="3"/>
      <charset val="128"/>
    </font>
    <font>
      <b/>
      <u/>
      <sz val="10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Arial"/>
      <family val="2"/>
      <charset val="128"/>
    </font>
    <font>
      <b/>
      <sz val="8"/>
      <name val="Meiryo UI"/>
      <family val="3"/>
      <charset val="128"/>
    </font>
    <font>
      <sz val="10"/>
      <color theme="1"/>
      <name val="Meiryo UI"/>
      <family val="3"/>
    </font>
    <font>
      <b/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rgb="FFFF0000"/>
      <name val="Meiryo UI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DB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6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</borders>
  <cellStyleXfs count="18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Protection="0">
      <alignment horizontal="center" vertical="center"/>
    </xf>
    <xf numFmtId="0" fontId="8" fillId="4" borderId="0" applyNumberFormat="0" applyBorder="0" applyProtection="0">
      <alignment horizontal="center" vertical="center"/>
    </xf>
    <xf numFmtId="0" fontId="8" fillId="5" borderId="0" applyNumberFormat="0" applyBorder="0" applyProtection="0">
      <alignment horizontal="center" vertical="center"/>
    </xf>
    <xf numFmtId="0" fontId="8" fillId="6" borderId="0" applyNumberFormat="0" applyBorder="0" applyProtection="0">
      <alignment horizontal="center" vertical="center"/>
    </xf>
    <xf numFmtId="0" fontId="8" fillId="8" borderId="0" applyNumberFormat="0" applyBorder="0" applyProtection="0">
      <alignment horizontal="center" vertical="center"/>
    </xf>
    <xf numFmtId="0" fontId="8" fillId="7" borderId="0" applyNumberFormat="0" applyBorder="0" applyProtection="0">
      <alignment horizontal="center" vertical="center"/>
    </xf>
    <xf numFmtId="0" fontId="11" fillId="0" borderId="0">
      <alignment vertical="center"/>
    </xf>
    <xf numFmtId="0" fontId="13" fillId="0" borderId="0"/>
    <xf numFmtId="0" fontId="14" fillId="0" borderId="0"/>
    <xf numFmtId="0" fontId="11" fillId="0" borderId="0">
      <alignment vertical="center"/>
    </xf>
    <xf numFmtId="0" fontId="14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</cellStyleXfs>
  <cellXfs count="211">
    <xf numFmtId="0" fontId="0" fillId="0" borderId="0" xfId="0">
      <alignment vertical="center"/>
    </xf>
    <xf numFmtId="0" fontId="15" fillId="0" borderId="0" xfId="10" applyFont="1"/>
    <xf numFmtId="0" fontId="16" fillId="0" borderId="0" xfId="10" applyFont="1"/>
    <xf numFmtId="0" fontId="17" fillId="0" borderId="0" xfId="10" applyFont="1"/>
    <xf numFmtId="0" fontId="17" fillId="0" borderId="4" xfId="10" applyFont="1" applyBorder="1"/>
    <xf numFmtId="0" fontId="4" fillId="0" borderId="0" xfId="11" applyFont="1" applyAlignment="1"/>
    <xf numFmtId="0" fontId="6" fillId="0" borderId="0" xfId="11" applyFont="1" applyAlignment="1"/>
    <xf numFmtId="0" fontId="4" fillId="0" borderId="6" xfId="11" applyFont="1" applyBorder="1" applyAlignment="1"/>
    <xf numFmtId="0" fontId="4" fillId="0" borderId="0" xfId="10" applyFont="1"/>
    <xf numFmtId="0" fontId="4" fillId="0" borderId="6" xfId="10" applyFont="1" applyBorder="1"/>
    <xf numFmtId="0" fontId="4" fillId="0" borderId="2" xfId="10" applyFont="1" applyBorder="1"/>
    <xf numFmtId="0" fontId="6" fillId="0" borderId="0" xfId="10" applyFont="1"/>
    <xf numFmtId="0" fontId="6" fillId="0" borderId="0" xfId="10" applyFont="1" applyAlignment="1">
      <alignment vertical="center"/>
    </xf>
    <xf numFmtId="0" fontId="6" fillId="0" borderId="1" xfId="10" applyFont="1" applyBorder="1"/>
    <xf numFmtId="0" fontId="4" fillId="0" borderId="1" xfId="10" applyFont="1" applyBorder="1"/>
    <xf numFmtId="0" fontId="4" fillId="0" borderId="3" xfId="10" applyFont="1" applyBorder="1"/>
    <xf numFmtId="0" fontId="9" fillId="0" borderId="0" xfId="10" applyFo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5" fillId="0" borderId="0" xfId="10" applyFont="1"/>
    <xf numFmtId="0" fontId="5" fillId="9" borderId="0" xfId="0" applyFont="1" applyFill="1" applyAlignment="1">
      <alignment horizontal="center" vertical="center"/>
    </xf>
    <xf numFmtId="0" fontId="4" fillId="0" borderId="43" xfId="10" applyFont="1" applyBorder="1"/>
    <xf numFmtId="0" fontId="6" fillId="0" borderId="0" xfId="0" applyFont="1" applyAlignment="1">
      <alignment horizontal="left" vertical="center"/>
    </xf>
    <xf numFmtId="0" fontId="6" fillId="0" borderId="46" xfId="10" applyFont="1" applyBorder="1"/>
    <xf numFmtId="0" fontId="6" fillId="0" borderId="47" xfId="10" applyFont="1" applyBorder="1"/>
    <xf numFmtId="0" fontId="6" fillId="0" borderId="48" xfId="10" applyFont="1" applyBorder="1"/>
    <xf numFmtId="0" fontId="6" fillId="0" borderId="49" xfId="10" applyFont="1" applyBorder="1"/>
    <xf numFmtId="0" fontId="6" fillId="0" borderId="50" xfId="10" applyFont="1" applyBorder="1"/>
    <xf numFmtId="0" fontId="4" fillId="0" borderId="51" xfId="10" applyFont="1" applyBorder="1"/>
    <xf numFmtId="0" fontId="4" fillId="0" borderId="52" xfId="10" applyFont="1" applyBorder="1"/>
    <xf numFmtId="0" fontId="4" fillId="0" borderId="53" xfId="10" applyFont="1" applyBorder="1"/>
    <xf numFmtId="0" fontId="29" fillId="0" borderId="0" xfId="10" applyFont="1"/>
    <xf numFmtId="0" fontId="12" fillId="0" borderId="57" xfId="10" applyFont="1" applyBorder="1" applyAlignment="1">
      <alignment vertical="center"/>
    </xf>
    <xf numFmtId="0" fontId="5" fillId="0" borderId="57" xfId="0" applyFont="1" applyBorder="1" applyAlignment="1">
      <alignment horizontal="center" vertical="center"/>
    </xf>
    <xf numFmtId="0" fontId="4" fillId="0" borderId="57" xfId="10" applyFont="1" applyBorder="1"/>
    <xf numFmtId="0" fontId="5" fillId="9" borderId="57" xfId="0" applyFont="1" applyFill="1" applyBorder="1" applyAlignment="1">
      <alignment horizontal="left" vertical="center"/>
    </xf>
    <xf numFmtId="0" fontId="15" fillId="0" borderId="57" xfId="10" applyFont="1" applyBorder="1"/>
    <xf numFmtId="0" fontId="15" fillId="0" borderId="57" xfId="10" applyFont="1" applyBorder="1" applyAlignment="1">
      <alignment vertical="center"/>
    </xf>
    <xf numFmtId="0" fontId="21" fillId="10" borderId="62" xfId="12" applyFont="1" applyFill="1" applyBorder="1" applyAlignment="1">
      <alignment vertical="center"/>
    </xf>
    <xf numFmtId="0" fontId="21" fillId="10" borderId="63" xfId="12" applyFont="1" applyFill="1" applyBorder="1" applyAlignment="1">
      <alignment vertical="center"/>
    </xf>
    <xf numFmtId="0" fontId="21" fillId="10" borderId="64" xfId="12" applyFont="1" applyFill="1" applyBorder="1" applyAlignment="1">
      <alignment vertical="center"/>
    </xf>
    <xf numFmtId="0" fontId="5" fillId="9" borderId="62" xfId="0" applyFont="1" applyFill="1" applyBorder="1" applyAlignment="1">
      <alignment horizontal="left" vertical="center"/>
    </xf>
    <xf numFmtId="0" fontId="5" fillId="9" borderId="63" xfId="0" applyFont="1" applyFill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12" fillId="0" borderId="57" xfId="0" applyFont="1" applyBorder="1" applyAlignment="1">
      <alignment horizontal="left" vertical="top"/>
    </xf>
    <xf numFmtId="0" fontId="4" fillId="16" borderId="0" xfId="10" applyFont="1" applyFill="1"/>
    <xf numFmtId="0" fontId="5" fillId="16" borderId="0" xfId="0" applyFont="1" applyFill="1" applyAlignment="1">
      <alignment horizontal="center" vertical="center"/>
    </xf>
    <xf numFmtId="0" fontId="12" fillId="16" borderId="57" xfId="0" applyFont="1" applyFill="1" applyBorder="1" applyAlignment="1">
      <alignment horizontal="left" vertical="top"/>
    </xf>
    <xf numFmtId="0" fontId="6" fillId="0" borderId="57" xfId="0" applyFont="1" applyBorder="1" applyAlignment="1">
      <alignment horizontal="left" vertical="top"/>
    </xf>
    <xf numFmtId="0" fontId="6" fillId="16" borderId="57" xfId="0" applyFont="1" applyFill="1" applyBorder="1" applyAlignment="1">
      <alignment horizontal="left" vertical="top"/>
    </xf>
    <xf numFmtId="0" fontId="5" fillId="16" borderId="1" xfId="0" applyFont="1" applyFill="1" applyBorder="1" applyAlignment="1">
      <alignment horizontal="center" vertical="center"/>
    </xf>
    <xf numFmtId="0" fontId="6" fillId="17" borderId="57" xfId="0" applyFont="1" applyFill="1" applyBorder="1" applyAlignment="1">
      <alignment horizontal="left" vertical="top"/>
    </xf>
    <xf numFmtId="0" fontId="5" fillId="17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30" fillId="0" borderId="57" xfId="10" applyFont="1" applyBorder="1"/>
    <xf numFmtId="0" fontId="5" fillId="0" borderId="59" xfId="0" applyFont="1" applyBorder="1" applyAlignment="1">
      <alignment horizontal="left" vertical="center"/>
    </xf>
    <xf numFmtId="0" fontId="5" fillId="0" borderId="57" xfId="0" applyFont="1" applyBorder="1" applyAlignment="1">
      <alignment horizontal="left" vertical="center"/>
    </xf>
    <xf numFmtId="0" fontId="6" fillId="0" borderId="57" xfId="10" applyFont="1" applyBorder="1" applyAlignment="1">
      <alignment vertical="center"/>
    </xf>
    <xf numFmtId="0" fontId="0" fillId="0" borderId="1" xfId="0" applyBorder="1">
      <alignment vertical="center"/>
    </xf>
    <xf numFmtId="0" fontId="6" fillId="0" borderId="57" xfId="10" applyFont="1" applyBorder="1"/>
    <xf numFmtId="0" fontId="32" fillId="0" borderId="0" xfId="10" applyFont="1"/>
    <xf numFmtId="0" fontId="32" fillId="0" borderId="49" xfId="10" applyFont="1" applyBorder="1"/>
    <xf numFmtId="0" fontId="15" fillId="0" borderId="59" xfId="10" applyFont="1" applyBorder="1" applyAlignment="1">
      <alignment horizontal="center" vertical="center" wrapText="1"/>
    </xf>
    <xf numFmtId="0" fontId="15" fillId="0" borderId="60" xfId="10" applyFont="1" applyBorder="1" applyAlignment="1">
      <alignment horizontal="center" vertical="center"/>
    </xf>
    <xf numFmtId="0" fontId="15" fillId="0" borderId="57" xfId="10" applyFont="1" applyBorder="1" applyAlignment="1">
      <alignment horizontal="center" vertical="center"/>
    </xf>
    <xf numFmtId="0" fontId="15" fillId="0" borderId="0" xfId="10" applyFont="1" applyAlignment="1">
      <alignment horizontal="center" vertical="center"/>
    </xf>
    <xf numFmtId="0" fontId="15" fillId="0" borderId="43" xfId="10" applyFont="1" applyBorder="1" applyAlignment="1">
      <alignment horizontal="center" vertical="center"/>
    </xf>
    <xf numFmtId="0" fontId="15" fillId="0" borderId="2" xfId="10" applyFont="1" applyBorder="1" applyAlignment="1">
      <alignment horizontal="center" vertical="center"/>
    </xf>
    <xf numFmtId="0" fontId="15" fillId="0" borderId="59" xfId="11" applyFont="1" applyBorder="1" applyAlignment="1">
      <alignment horizontal="center" vertical="center" wrapText="1"/>
    </xf>
    <xf numFmtId="0" fontId="15" fillId="0" borderId="60" xfId="11" applyFont="1" applyBorder="1" applyAlignment="1">
      <alignment horizontal="center" vertical="center"/>
    </xf>
    <xf numFmtId="0" fontId="15" fillId="0" borderId="61" xfId="11" applyFont="1" applyBorder="1" applyAlignment="1">
      <alignment horizontal="center" vertical="center"/>
    </xf>
    <xf numFmtId="0" fontId="15" fillId="0" borderId="57" xfId="11" applyFont="1" applyBorder="1" applyAlignment="1">
      <alignment horizontal="center" vertical="center"/>
    </xf>
    <xf numFmtId="0" fontId="15" fillId="0" borderId="0" xfId="11" applyFont="1" applyAlignment="1">
      <alignment horizontal="center" vertical="center"/>
    </xf>
    <xf numFmtId="0" fontId="15" fillId="0" borderId="1" xfId="11" applyFont="1" applyBorder="1" applyAlignment="1">
      <alignment horizontal="center" vertical="center"/>
    </xf>
    <xf numFmtId="0" fontId="15" fillId="0" borderId="43" xfId="11" applyFont="1" applyBorder="1" applyAlignment="1">
      <alignment horizontal="center" vertical="center"/>
    </xf>
    <xf numFmtId="0" fontId="15" fillId="0" borderId="2" xfId="11" applyFont="1" applyBorder="1" applyAlignment="1">
      <alignment horizontal="center" vertical="center"/>
    </xf>
    <xf numFmtId="0" fontId="15" fillId="0" borderId="3" xfId="11" applyFont="1" applyBorder="1" applyAlignment="1">
      <alignment horizontal="center" vertical="center"/>
    </xf>
    <xf numFmtId="0" fontId="15" fillId="0" borderId="2" xfId="10" applyFont="1" applyBorder="1" applyAlignment="1">
      <alignment horizontal="center"/>
    </xf>
    <xf numFmtId="0" fontId="15" fillId="0" borderId="2" xfId="10" applyFont="1" applyBorder="1" applyAlignment="1">
      <alignment horizontal="center" wrapText="1"/>
    </xf>
    <xf numFmtId="0" fontId="15" fillId="2" borderId="2" xfId="10" applyFont="1" applyFill="1" applyBorder="1" applyAlignment="1">
      <alignment horizontal="center" wrapText="1"/>
    </xf>
    <xf numFmtId="0" fontId="15" fillId="2" borderId="2" xfId="10" applyFont="1" applyFill="1" applyBorder="1" applyAlignment="1">
      <alignment horizontal="center"/>
    </xf>
    <xf numFmtId="14" fontId="15" fillId="0" borderId="62" xfId="10" applyNumberFormat="1" applyFont="1" applyBorder="1" applyAlignment="1">
      <alignment horizontal="center"/>
    </xf>
    <xf numFmtId="14" fontId="15" fillId="0" borderId="63" xfId="10" applyNumberFormat="1" applyFont="1" applyBorder="1" applyAlignment="1">
      <alignment horizontal="center"/>
    </xf>
    <xf numFmtId="14" fontId="15" fillId="0" borderId="64" xfId="10" applyNumberFormat="1" applyFont="1" applyBorder="1" applyAlignment="1">
      <alignment horizontal="center"/>
    </xf>
    <xf numFmtId="0" fontId="20" fillId="0" borderId="0" xfId="10" applyFont="1" applyAlignment="1">
      <alignment horizontal="center" vertical="center"/>
    </xf>
    <xf numFmtId="0" fontId="18" fillId="0" borderId="0" xfId="10" applyFont="1" applyAlignment="1">
      <alignment horizontal="center"/>
    </xf>
    <xf numFmtId="0" fontId="18" fillId="0" borderId="4" xfId="10" applyFont="1" applyBorder="1" applyAlignment="1">
      <alignment horizontal="center"/>
    </xf>
    <xf numFmtId="0" fontId="19" fillId="0" borderId="59" xfId="10" applyFont="1" applyBorder="1" applyAlignment="1">
      <alignment horizontal="center" vertical="center"/>
    </xf>
    <xf numFmtId="0" fontId="19" fillId="0" borderId="60" xfId="10" applyFont="1" applyBorder="1" applyAlignment="1">
      <alignment horizontal="center" vertical="center"/>
    </xf>
    <xf numFmtId="0" fontId="19" fillId="0" borderId="61" xfId="10" applyFont="1" applyBorder="1" applyAlignment="1">
      <alignment horizontal="center" vertical="center"/>
    </xf>
    <xf numFmtId="0" fontId="19" fillId="0" borderId="57" xfId="10" applyFont="1" applyBorder="1" applyAlignment="1">
      <alignment horizontal="center" vertical="center"/>
    </xf>
    <xf numFmtId="0" fontId="19" fillId="0" borderId="0" xfId="10" applyFont="1" applyAlignment="1">
      <alignment horizontal="center" vertical="center"/>
    </xf>
    <xf numFmtId="0" fontId="19" fillId="0" borderId="1" xfId="10" applyFont="1" applyBorder="1" applyAlignment="1">
      <alignment horizontal="center" vertical="center"/>
    </xf>
    <xf numFmtId="0" fontId="18" fillId="0" borderId="57" xfId="10" applyFont="1" applyBorder="1" applyAlignment="1">
      <alignment horizontal="center" vertical="center"/>
    </xf>
    <xf numFmtId="0" fontId="18" fillId="0" borderId="0" xfId="10" applyFont="1" applyAlignment="1">
      <alignment horizontal="center" vertical="center"/>
    </xf>
    <xf numFmtId="0" fontId="18" fillId="0" borderId="1" xfId="10" applyFont="1" applyBorder="1" applyAlignment="1">
      <alignment horizontal="center" vertical="center"/>
    </xf>
    <xf numFmtId="0" fontId="18" fillId="0" borderId="43" xfId="10" applyFont="1" applyBorder="1" applyAlignment="1">
      <alignment horizontal="center" vertical="center"/>
    </xf>
    <xf numFmtId="0" fontId="18" fillId="0" borderId="2" xfId="10" applyFont="1" applyBorder="1" applyAlignment="1">
      <alignment horizontal="center" vertical="center"/>
    </xf>
    <xf numFmtId="0" fontId="18" fillId="0" borderId="3" xfId="10" applyFont="1" applyBorder="1" applyAlignment="1">
      <alignment horizontal="center" vertical="center"/>
    </xf>
    <xf numFmtId="14" fontId="20" fillId="0" borderId="0" xfId="10" applyNumberFormat="1" applyFont="1" applyAlignment="1">
      <alignment horizontal="center" vertical="center"/>
    </xf>
    <xf numFmtId="14" fontId="22" fillId="2" borderId="41" xfId="12" applyNumberFormat="1" applyFont="1" applyFill="1" applyBorder="1" applyAlignment="1">
      <alignment horizontal="left" vertical="top"/>
    </xf>
    <xf numFmtId="0" fontId="22" fillId="2" borderId="41" xfId="12" applyFont="1" applyFill="1" applyBorder="1" applyAlignment="1">
      <alignment horizontal="left" vertical="top"/>
    </xf>
    <xf numFmtId="0" fontId="22" fillId="2" borderId="41" xfId="12" applyFont="1" applyFill="1" applyBorder="1" applyAlignment="1">
      <alignment vertical="top"/>
    </xf>
    <xf numFmtId="0" fontId="22" fillId="2" borderId="41" xfId="12" applyFont="1" applyFill="1" applyBorder="1" applyAlignment="1">
      <alignment horizontal="center" vertical="top" wrapText="1"/>
    </xf>
    <xf numFmtId="49" fontId="22" fillId="2" borderId="41" xfId="12" applyNumberFormat="1" applyFont="1" applyFill="1" applyBorder="1" applyAlignment="1">
      <alignment horizontal="center" vertical="top"/>
    </xf>
    <xf numFmtId="14" fontId="22" fillId="2" borderId="42" xfId="12" applyNumberFormat="1" applyFont="1" applyFill="1" applyBorder="1" applyAlignment="1">
      <alignment horizontal="left" vertical="top"/>
    </xf>
    <xf numFmtId="0" fontId="22" fillId="2" borderId="42" xfId="12" applyFont="1" applyFill="1" applyBorder="1" applyAlignment="1">
      <alignment horizontal="left" vertical="top"/>
    </xf>
    <xf numFmtId="0" fontId="22" fillId="2" borderId="42" xfId="12" applyFont="1" applyFill="1" applyBorder="1" applyAlignment="1">
      <alignment vertical="top"/>
    </xf>
    <xf numFmtId="0" fontId="22" fillId="2" borderId="42" xfId="12" applyFont="1" applyFill="1" applyBorder="1" applyAlignment="1">
      <alignment horizontal="center" vertical="top" wrapText="1"/>
    </xf>
    <xf numFmtId="49" fontId="22" fillId="2" borderId="42" xfId="12" applyNumberFormat="1" applyFont="1" applyFill="1" applyBorder="1" applyAlignment="1">
      <alignment horizontal="center" vertical="top"/>
    </xf>
    <xf numFmtId="14" fontId="22" fillId="2" borderId="66" xfId="12" applyNumberFormat="1" applyFont="1" applyFill="1" applyBorder="1" applyAlignment="1">
      <alignment horizontal="left" vertical="top"/>
    </xf>
    <xf numFmtId="14" fontId="22" fillId="2" borderId="67" xfId="12" applyNumberFormat="1" applyFont="1" applyFill="1" applyBorder="1" applyAlignment="1">
      <alignment horizontal="left" vertical="top"/>
    </xf>
    <xf numFmtId="0" fontId="22" fillId="2" borderId="41" xfId="12" applyFont="1" applyFill="1" applyBorder="1" applyAlignment="1">
      <alignment horizontal="left" vertical="top" wrapText="1"/>
    </xf>
    <xf numFmtId="0" fontId="22" fillId="2" borderId="41" xfId="12" applyFont="1" applyFill="1" applyBorder="1" applyAlignment="1">
      <alignment vertical="top" wrapText="1"/>
    </xf>
    <xf numFmtId="0" fontId="22" fillId="2" borderId="65" xfId="12" applyFont="1" applyFill="1" applyBorder="1" applyAlignment="1">
      <alignment horizontal="left" vertical="top" wrapText="1"/>
    </xf>
    <xf numFmtId="0" fontId="22" fillId="2" borderId="66" xfId="12" applyFont="1" applyFill="1" applyBorder="1" applyAlignment="1">
      <alignment horizontal="left" vertical="top" wrapText="1"/>
    </xf>
    <xf numFmtId="0" fontId="22" fillId="2" borderId="67" xfId="12" applyFont="1" applyFill="1" applyBorder="1" applyAlignment="1">
      <alignment horizontal="left" vertical="top" wrapText="1"/>
    </xf>
    <xf numFmtId="0" fontId="22" fillId="2" borderId="65" xfId="12" applyFont="1" applyFill="1" applyBorder="1" applyAlignment="1">
      <alignment vertical="top"/>
    </xf>
    <xf numFmtId="0" fontId="22" fillId="2" borderId="66" xfId="12" applyFont="1" applyFill="1" applyBorder="1" applyAlignment="1">
      <alignment vertical="top"/>
    </xf>
    <xf numFmtId="0" fontId="22" fillId="2" borderId="67" xfId="12" applyFont="1" applyFill="1" applyBorder="1" applyAlignment="1">
      <alignment vertical="top"/>
    </xf>
    <xf numFmtId="14" fontId="22" fillId="2" borderId="40" xfId="12" applyNumberFormat="1" applyFont="1" applyFill="1" applyBorder="1" applyAlignment="1">
      <alignment horizontal="left" vertical="top"/>
    </xf>
    <xf numFmtId="0" fontId="22" fillId="2" borderId="40" xfId="12" applyFont="1" applyFill="1" applyBorder="1" applyAlignment="1">
      <alignment horizontal="left" vertical="top"/>
    </xf>
    <xf numFmtId="0" fontId="22" fillId="2" borderId="40" xfId="12" applyFont="1" applyFill="1" applyBorder="1" applyAlignment="1">
      <alignment vertical="top"/>
    </xf>
    <xf numFmtId="0" fontId="22" fillId="2" borderId="40" xfId="12" applyFont="1" applyFill="1" applyBorder="1" applyAlignment="1">
      <alignment horizontal="center" vertical="top" wrapText="1"/>
    </xf>
    <xf numFmtId="49" fontId="22" fillId="2" borderId="40" xfId="12" applyNumberFormat="1" applyFont="1" applyFill="1" applyBorder="1" applyAlignment="1">
      <alignment horizontal="center" vertical="top"/>
    </xf>
    <xf numFmtId="49" fontId="22" fillId="2" borderId="40" xfId="12" quotePrefix="1" applyNumberFormat="1" applyFont="1" applyFill="1" applyBorder="1" applyAlignment="1">
      <alignment horizontal="center" vertical="top"/>
    </xf>
    <xf numFmtId="0" fontId="6" fillId="2" borderId="25" xfId="12" applyFont="1" applyFill="1" applyBorder="1" applyAlignment="1">
      <alignment horizontal="center" vertical="center"/>
    </xf>
    <xf numFmtId="0" fontId="6" fillId="2" borderId="26" xfId="12" applyFont="1" applyFill="1" applyBorder="1" applyAlignment="1">
      <alignment horizontal="center" vertical="center"/>
    </xf>
    <xf numFmtId="0" fontId="6" fillId="2" borderId="27" xfId="12" applyFont="1" applyFill="1" applyBorder="1" applyAlignment="1">
      <alignment horizontal="center" vertical="center"/>
    </xf>
    <xf numFmtId="0" fontId="22" fillId="2" borderId="31" xfId="12" applyFont="1" applyFill="1" applyBorder="1" applyAlignment="1">
      <alignment horizontal="center" vertical="center"/>
    </xf>
    <xf numFmtId="0" fontId="22" fillId="2" borderId="32" xfId="12" applyFont="1" applyFill="1" applyBorder="1" applyAlignment="1">
      <alignment horizontal="center" vertical="center"/>
    </xf>
    <xf numFmtId="164" fontId="6" fillId="2" borderId="33" xfId="12" applyNumberFormat="1" applyFont="1" applyFill="1" applyBorder="1" applyAlignment="1">
      <alignment horizontal="center" vertical="center"/>
    </xf>
    <xf numFmtId="164" fontId="6" fillId="2" borderId="34" xfId="12" applyNumberFormat="1" applyFont="1" applyFill="1" applyBorder="1" applyAlignment="1">
      <alignment horizontal="center" vertical="center"/>
    </xf>
    <xf numFmtId="164" fontId="6" fillId="2" borderId="35" xfId="12" applyNumberFormat="1" applyFont="1" applyFill="1" applyBorder="1" applyAlignment="1">
      <alignment horizontal="center" vertical="center"/>
    </xf>
    <xf numFmtId="0" fontId="6" fillId="2" borderId="36" xfId="12" applyFont="1" applyFill="1" applyBorder="1" applyAlignment="1">
      <alignment horizontal="center" vertical="center"/>
    </xf>
    <xf numFmtId="0" fontId="6" fillId="2" borderId="37" xfId="12" applyFont="1" applyFill="1" applyBorder="1" applyAlignment="1">
      <alignment horizontal="center" vertical="center"/>
    </xf>
    <xf numFmtId="0" fontId="6" fillId="2" borderId="38" xfId="12" applyFont="1" applyFill="1" applyBorder="1" applyAlignment="1">
      <alignment horizontal="center" vertical="center"/>
    </xf>
    <xf numFmtId="0" fontId="21" fillId="10" borderId="39" xfId="12" applyFont="1" applyFill="1" applyBorder="1" applyAlignment="1">
      <alignment horizontal="center" vertical="center"/>
    </xf>
    <xf numFmtId="0" fontId="21" fillId="10" borderId="17" xfId="12" applyFont="1" applyFill="1" applyBorder="1" applyAlignment="1">
      <alignment horizontal="center" vertical="center"/>
    </xf>
    <xf numFmtId="0" fontId="21" fillId="10" borderId="18" xfId="12" applyFont="1" applyFill="1" applyBorder="1" applyAlignment="1">
      <alignment horizontal="center" vertical="center"/>
    </xf>
    <xf numFmtId="0" fontId="21" fillId="10" borderId="19" xfId="12" applyFont="1" applyFill="1" applyBorder="1" applyAlignment="1">
      <alignment horizontal="center" vertical="center"/>
    </xf>
    <xf numFmtId="0" fontId="21" fillId="10" borderId="28" xfId="12" applyFont="1" applyFill="1" applyBorder="1" applyAlignment="1">
      <alignment horizontal="center" vertical="center"/>
    </xf>
    <xf numFmtId="0" fontId="21" fillId="10" borderId="29" xfId="12" applyFont="1" applyFill="1" applyBorder="1" applyAlignment="1">
      <alignment horizontal="center" vertical="center"/>
    </xf>
    <xf numFmtId="0" fontId="21" fillId="10" borderId="30" xfId="12" applyFont="1" applyFill="1" applyBorder="1" applyAlignment="1">
      <alignment horizontal="center" vertical="center"/>
    </xf>
    <xf numFmtId="0" fontId="22" fillId="0" borderId="5" xfId="12" applyFont="1" applyBorder="1" applyAlignment="1">
      <alignment horizontal="left" vertical="center"/>
    </xf>
    <xf numFmtId="0" fontId="22" fillId="0" borderId="6" xfId="12" applyFont="1" applyBorder="1" applyAlignment="1">
      <alignment horizontal="left" vertical="center"/>
    </xf>
    <xf numFmtId="0" fontId="22" fillId="0" borderId="8" xfId="12" applyFont="1" applyBorder="1" applyAlignment="1">
      <alignment horizontal="left" vertical="center"/>
    </xf>
    <xf numFmtId="0" fontId="22" fillId="0" borderId="9" xfId="12" applyFont="1" applyBorder="1" applyAlignment="1">
      <alignment horizontal="left" vertical="center"/>
    </xf>
    <xf numFmtId="0" fontId="22" fillId="0" borderId="7" xfId="12" applyFont="1" applyBorder="1" applyAlignment="1">
      <alignment horizontal="left" vertical="center"/>
    </xf>
    <xf numFmtId="0" fontId="22" fillId="0" borderId="13" xfId="12" applyFont="1" applyBorder="1" applyAlignment="1">
      <alignment horizontal="left" vertical="center"/>
    </xf>
    <xf numFmtId="0" fontId="22" fillId="2" borderId="5" xfId="12" applyFont="1" applyFill="1" applyBorder="1" applyAlignment="1">
      <alignment horizontal="center" vertical="center"/>
    </xf>
    <xf numFmtId="0" fontId="22" fillId="2" borderId="6" xfId="12" applyFont="1" applyFill="1" applyBorder="1" applyAlignment="1">
      <alignment horizontal="center" vertical="center"/>
    </xf>
    <xf numFmtId="0" fontId="22" fillId="2" borderId="8" xfId="12" applyFont="1" applyFill="1" applyBorder="1" applyAlignment="1">
      <alignment horizontal="center" vertical="center"/>
    </xf>
    <xf numFmtId="0" fontId="22" fillId="2" borderId="9" xfId="12" applyFont="1" applyFill="1" applyBorder="1" applyAlignment="1">
      <alignment horizontal="center" vertical="center"/>
    </xf>
    <xf numFmtId="0" fontId="22" fillId="2" borderId="7" xfId="12" applyFont="1" applyFill="1" applyBorder="1" applyAlignment="1">
      <alignment horizontal="center" vertical="center"/>
    </xf>
    <xf numFmtId="0" fontId="22" fillId="2" borderId="13" xfId="12" applyFont="1" applyFill="1" applyBorder="1" applyAlignment="1">
      <alignment horizontal="center" vertical="center"/>
    </xf>
    <xf numFmtId="0" fontId="22" fillId="2" borderId="20" xfId="12" applyFont="1" applyFill="1" applyBorder="1" applyAlignment="1">
      <alignment horizontal="center" vertical="center"/>
    </xf>
    <xf numFmtId="0" fontId="22" fillId="2" borderId="21" xfId="12" applyFont="1" applyFill="1" applyBorder="1" applyAlignment="1">
      <alignment horizontal="center" vertical="center"/>
    </xf>
    <xf numFmtId="164" fontId="6" fillId="2" borderId="22" xfId="12" applyNumberFormat="1" applyFont="1" applyFill="1" applyBorder="1" applyAlignment="1">
      <alignment horizontal="center" vertical="center"/>
    </xf>
    <xf numFmtId="164" fontId="6" fillId="2" borderId="23" xfId="12" applyNumberFormat="1" applyFont="1" applyFill="1" applyBorder="1" applyAlignment="1">
      <alignment horizontal="center" vertical="center"/>
    </xf>
    <xf numFmtId="164" fontId="6" fillId="2" borderId="24" xfId="12" applyNumberFormat="1" applyFont="1" applyFill="1" applyBorder="1" applyAlignment="1">
      <alignment horizontal="center" vertical="center"/>
    </xf>
    <xf numFmtId="0" fontId="21" fillId="10" borderId="14" xfId="12" applyFont="1" applyFill="1" applyBorder="1" applyAlignment="1">
      <alignment horizontal="center" vertical="center"/>
    </xf>
    <xf numFmtId="0" fontId="21" fillId="10" borderId="15" xfId="12" applyFont="1" applyFill="1" applyBorder="1" applyAlignment="1">
      <alignment horizontal="center" vertical="center"/>
    </xf>
    <xf numFmtId="0" fontId="21" fillId="10" borderId="16" xfId="12" applyFont="1" applyFill="1" applyBorder="1" applyAlignment="1">
      <alignment horizontal="center" vertical="center"/>
    </xf>
    <xf numFmtId="0" fontId="22" fillId="0" borderId="10" xfId="12" applyFont="1" applyBorder="1" applyAlignment="1">
      <alignment horizontal="left" vertical="center"/>
    </xf>
    <xf numFmtId="0" fontId="22" fillId="0" borderId="11" xfId="12" applyFont="1" applyBorder="1" applyAlignment="1">
      <alignment horizontal="left" vertical="center"/>
    </xf>
    <xf numFmtId="0" fontId="22" fillId="0" borderId="12" xfId="12" applyFont="1" applyBorder="1" applyAlignment="1">
      <alignment horizontal="left" vertical="center"/>
    </xf>
    <xf numFmtId="0" fontId="21" fillId="10" borderId="10" xfId="12" applyFont="1" applyFill="1" applyBorder="1" applyAlignment="1">
      <alignment horizontal="center" vertical="center"/>
    </xf>
    <xf numFmtId="0" fontId="21" fillId="10" borderId="11" xfId="12" applyFont="1" applyFill="1" applyBorder="1" applyAlignment="1">
      <alignment horizontal="center" vertical="center"/>
    </xf>
    <xf numFmtId="0" fontId="21" fillId="10" borderId="12" xfId="12" applyFont="1" applyFill="1" applyBorder="1" applyAlignment="1">
      <alignment horizontal="center" vertical="center"/>
    </xf>
    <xf numFmtId="0" fontId="12" fillId="11" borderId="62" xfId="0" applyFont="1" applyFill="1" applyBorder="1" applyAlignment="1">
      <alignment horizontal="center" vertical="center"/>
    </xf>
    <xf numFmtId="0" fontId="12" fillId="11" borderId="63" xfId="0" applyFont="1" applyFill="1" applyBorder="1" applyAlignment="1">
      <alignment horizontal="center" vertical="center"/>
    </xf>
    <xf numFmtId="0" fontId="12" fillId="11" borderId="64" xfId="0" applyFont="1" applyFill="1" applyBorder="1" applyAlignment="1">
      <alignment horizontal="center" vertical="center"/>
    </xf>
    <xf numFmtId="0" fontId="12" fillId="13" borderId="59" xfId="0" applyFont="1" applyFill="1" applyBorder="1" applyAlignment="1">
      <alignment horizontal="center" vertical="center"/>
    </xf>
    <xf numFmtId="0" fontId="12" fillId="13" borderId="60" xfId="0" applyFont="1" applyFill="1" applyBorder="1" applyAlignment="1">
      <alignment horizontal="center" vertical="center"/>
    </xf>
    <xf numFmtId="0" fontId="12" fillId="13" borderId="61" xfId="0" applyFont="1" applyFill="1" applyBorder="1" applyAlignment="1">
      <alignment horizontal="center" vertical="center"/>
    </xf>
    <xf numFmtId="0" fontId="12" fillId="13" borderId="43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0" fontId="12" fillId="14" borderId="62" xfId="0" applyFont="1" applyFill="1" applyBorder="1" applyAlignment="1">
      <alignment horizontal="center" vertical="center"/>
    </xf>
    <xf numFmtId="0" fontId="12" fillId="14" borderId="63" xfId="0" applyFont="1" applyFill="1" applyBorder="1" applyAlignment="1">
      <alignment horizontal="center" vertical="center"/>
    </xf>
    <xf numFmtId="0" fontId="12" fillId="14" borderId="64" xfId="0" applyFont="1" applyFill="1" applyBorder="1" applyAlignment="1">
      <alignment horizontal="center" vertical="center"/>
    </xf>
    <xf numFmtId="0" fontId="21" fillId="10" borderId="5" xfId="12" applyFont="1" applyFill="1" applyBorder="1" applyAlignment="1">
      <alignment horizontal="center" vertical="center"/>
    </xf>
    <xf numFmtId="0" fontId="21" fillId="10" borderId="6" xfId="12" applyFont="1" applyFill="1" applyBorder="1" applyAlignment="1">
      <alignment horizontal="center" vertical="center"/>
    </xf>
    <xf numFmtId="0" fontId="21" fillId="10" borderId="8" xfId="12" applyFont="1" applyFill="1" applyBorder="1" applyAlignment="1">
      <alignment horizontal="center" vertical="center"/>
    </xf>
    <xf numFmtId="0" fontId="21" fillId="10" borderId="9" xfId="12" applyFont="1" applyFill="1" applyBorder="1" applyAlignment="1">
      <alignment horizontal="center" vertical="center"/>
    </xf>
    <xf numFmtId="0" fontId="21" fillId="10" borderId="7" xfId="12" applyFont="1" applyFill="1" applyBorder="1" applyAlignment="1">
      <alignment horizontal="center" vertical="center"/>
    </xf>
    <xf numFmtId="0" fontId="21" fillId="10" borderId="13" xfId="12" applyFont="1" applyFill="1" applyBorder="1" applyAlignment="1">
      <alignment horizontal="center" vertical="center"/>
    </xf>
    <xf numFmtId="0" fontId="12" fillId="11" borderId="58" xfId="0" applyFont="1" applyFill="1" applyBorder="1" applyAlignment="1">
      <alignment horizontal="center" vertical="center" wrapText="1"/>
    </xf>
    <xf numFmtId="0" fontId="12" fillId="11" borderId="58" xfId="0" applyFont="1" applyFill="1" applyBorder="1" applyAlignment="1">
      <alignment horizontal="center" vertical="center"/>
    </xf>
    <xf numFmtId="0" fontId="12" fillId="12" borderId="58" xfId="0" applyFont="1" applyFill="1" applyBorder="1" applyAlignment="1">
      <alignment horizontal="center" vertical="center" wrapText="1"/>
    </xf>
    <xf numFmtId="0" fontId="12" fillId="12" borderId="58" xfId="0" applyFont="1" applyFill="1" applyBorder="1" applyAlignment="1">
      <alignment horizontal="center" vertical="center"/>
    </xf>
    <xf numFmtId="0" fontId="4" fillId="0" borderId="57" xfId="10" applyFont="1" applyBorder="1" applyAlignment="1">
      <alignment horizontal="center" vertical="top" wrapText="1"/>
    </xf>
    <xf numFmtId="0" fontId="4" fillId="0" borderId="0" xfId="10" applyFont="1" applyAlignment="1">
      <alignment horizontal="center" vertical="top" wrapText="1"/>
    </xf>
    <xf numFmtId="0" fontId="4" fillId="0" borderId="43" xfId="10" applyFont="1" applyBorder="1" applyAlignment="1">
      <alignment horizontal="center" vertical="top" wrapText="1"/>
    </xf>
    <xf numFmtId="0" fontId="4" fillId="0" borderId="2" xfId="10" applyFont="1" applyBorder="1" applyAlignment="1">
      <alignment horizontal="center" vertical="top" wrapText="1"/>
    </xf>
    <xf numFmtId="0" fontId="31" fillId="18" borderId="49" xfId="0" applyFont="1" applyFill="1" applyBorder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0" fontId="31" fillId="18" borderId="1" xfId="0" applyFont="1" applyFill="1" applyBorder="1" applyAlignment="1">
      <alignment horizontal="center" vertical="center"/>
    </xf>
    <xf numFmtId="0" fontId="28" fillId="15" borderId="44" xfId="10" applyFont="1" applyFill="1" applyBorder="1" applyAlignment="1">
      <alignment horizontal="center" wrapText="1"/>
    </xf>
    <xf numFmtId="0" fontId="28" fillId="15" borderId="44" xfId="10" applyFont="1" applyFill="1" applyBorder="1" applyAlignment="1">
      <alignment horizontal="center"/>
    </xf>
    <xf numFmtId="0" fontId="28" fillId="15" borderId="45" xfId="10" applyFont="1" applyFill="1" applyBorder="1" applyAlignment="1">
      <alignment horizontal="center"/>
    </xf>
    <xf numFmtId="0" fontId="12" fillId="15" borderId="54" xfId="10" applyFont="1" applyFill="1" applyBorder="1" applyAlignment="1">
      <alignment horizontal="center" wrapText="1"/>
    </xf>
    <xf numFmtId="0" fontId="12" fillId="15" borderId="55" xfId="10" applyFont="1" applyFill="1" applyBorder="1" applyAlignment="1">
      <alignment horizontal="center"/>
    </xf>
    <xf numFmtId="0" fontId="12" fillId="15" borderId="56" xfId="10" applyFont="1" applyFill="1" applyBorder="1" applyAlignment="1">
      <alignment horizontal="center"/>
    </xf>
    <xf numFmtId="0" fontId="12" fillId="15" borderId="46" xfId="10" applyFont="1" applyFill="1" applyBorder="1" applyAlignment="1">
      <alignment horizontal="center"/>
    </xf>
    <xf numFmtId="0" fontId="12" fillId="15" borderId="47" xfId="10" applyFont="1" applyFill="1" applyBorder="1" applyAlignment="1">
      <alignment horizontal="center"/>
    </xf>
    <xf numFmtId="0" fontId="12" fillId="15" borderId="48" xfId="10" applyFont="1" applyFill="1" applyBorder="1" applyAlignment="1">
      <alignment horizontal="center"/>
    </xf>
    <xf numFmtId="0" fontId="12" fillId="15" borderId="54" xfId="10" applyFont="1" applyFill="1" applyBorder="1" applyAlignment="1">
      <alignment horizontal="center"/>
    </xf>
  </cellXfs>
  <cellStyles count="18">
    <cellStyle name="アクセント 1" xfId="2" builtinId="29" customBuiltin="1"/>
    <cellStyle name="アクセント 2" xfId="3" builtinId="33" customBuiltin="1"/>
    <cellStyle name="アクセント 3" xfId="4" builtinId="37" customBuiltin="1"/>
    <cellStyle name="アクセント 4" xfId="5" builtinId="41" customBuiltin="1"/>
    <cellStyle name="アクセント 5" xfId="6" builtinId="45" customBuiltin="1"/>
    <cellStyle name="アクセント 6" xfId="7" builtinId="49" customBuiltin="1"/>
    <cellStyle name="タイトル" xfId="1" builtinId="15" hidden="1"/>
    <cellStyle name="桁区切り 2" xfId="14" xr:uid="{00000000-0005-0000-0000-000007000000}"/>
    <cellStyle name="標準" xfId="0" builtinId="0"/>
    <cellStyle name="標準 2" xfId="8" xr:uid="{00000000-0005-0000-0000-000009000000}"/>
    <cellStyle name="標準 2 2" xfId="10" xr:uid="{00000000-0005-0000-0000-00000A000000}"/>
    <cellStyle name="標準 2 2 2" xfId="12" xr:uid="{00000000-0005-0000-0000-00000B000000}"/>
    <cellStyle name="標準 3" xfId="9" xr:uid="{00000000-0005-0000-0000-00000C000000}"/>
    <cellStyle name="標準 4" xfId="13" xr:uid="{00000000-0005-0000-0000-00000D000000}"/>
    <cellStyle name="標準 4 2" xfId="17" xr:uid="{00000000-0005-0000-0000-00000E000000}"/>
    <cellStyle name="標準 5" xfId="16" xr:uid="{00000000-0005-0000-0000-00000F000000}"/>
    <cellStyle name="標準 6" xfId="11" xr:uid="{00000000-0005-0000-0000-000010000000}"/>
    <cellStyle name="標準 7 3" xfId="15" xr:uid="{00000000-0005-0000-0000-000011000000}"/>
  </cellStyles>
  <dxfs count="0"/>
  <tableStyles count="0" defaultTableStyle="TableStyleMedium2" defaultPivotStyle="PivotStyleLight16"/>
  <colors>
    <mruColors>
      <color rgb="FFFFE389"/>
      <color rgb="FFFFEDB3"/>
      <color rgb="FFFFFFB3"/>
      <color rgb="FFFFCC66"/>
      <color rgb="FFFF9933"/>
      <color rgb="FF8FD377"/>
      <color rgb="FFC47500"/>
      <color rgb="FF4CB4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</xdr:colOff>
      <xdr:row>24</xdr:row>
      <xdr:rowOff>89834</xdr:rowOff>
    </xdr:from>
    <xdr:to>
      <xdr:col>5</xdr:col>
      <xdr:colOff>164375</xdr:colOff>
      <xdr:row>24</xdr:row>
      <xdr:rowOff>89834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434975" y="4404659"/>
          <a:ext cx="729525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190501</xdr:colOff>
      <xdr:row>18</xdr:row>
      <xdr:rowOff>63500</xdr:rowOff>
    </xdr:from>
    <xdr:to>
      <xdr:col>5</xdr:col>
      <xdr:colOff>88901</xdr:colOff>
      <xdr:row>20</xdr:row>
      <xdr:rowOff>87217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>
          <a:grpSpLocks noChangeAspect="1"/>
        </xdr:cNvGrpSpPr>
      </xdr:nvGrpSpPr>
      <xdr:grpSpPr>
        <a:xfrm>
          <a:off x="390526" y="3149600"/>
          <a:ext cx="698500" cy="366617"/>
          <a:chOff x="2791278" y="18514786"/>
          <a:chExt cx="773793" cy="417285"/>
        </a:xfrm>
      </xdr:grpSpPr>
      <xdr:sp macro="" textlink="">
        <xdr:nvSpPr>
          <xdr:cNvPr id="4" name="フローチャート: 書類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帳票名</a:t>
            </a:r>
          </a:p>
        </xdr:txBody>
      </xdr:sp>
    </xdr:grpSp>
    <xdr:clientData/>
  </xdr:twoCellAnchor>
  <xdr:twoCellAnchor>
    <xdr:from>
      <xdr:col>22</xdr:col>
      <xdr:colOff>133351</xdr:colOff>
      <xdr:row>18</xdr:row>
      <xdr:rowOff>53975</xdr:rowOff>
    </xdr:from>
    <xdr:to>
      <xdr:col>26</xdr:col>
      <xdr:colOff>18633</xdr:colOff>
      <xdr:row>20</xdr:row>
      <xdr:rowOff>76200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>
          <a:grpSpLocks noChangeAspect="1"/>
        </xdr:cNvGrpSpPr>
      </xdr:nvGrpSpPr>
      <xdr:grpSpPr>
        <a:xfrm>
          <a:off x="4533901" y="3140075"/>
          <a:ext cx="685382" cy="365125"/>
          <a:chOff x="2791278" y="18514786"/>
          <a:chExt cx="773793" cy="417285"/>
        </a:xfrm>
      </xdr:grpSpPr>
      <xdr:sp macro="" textlink="">
        <xdr:nvSpPr>
          <xdr:cNvPr id="7" name="フローチャート: 書類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帳票名</a:t>
            </a:r>
          </a:p>
        </xdr:txBody>
      </xdr:sp>
    </xdr:grpSp>
    <xdr:clientData/>
  </xdr:twoCellAnchor>
  <xdr:twoCellAnchor>
    <xdr:from>
      <xdr:col>23</xdr:col>
      <xdr:colOff>3175</xdr:colOff>
      <xdr:row>27</xdr:row>
      <xdr:rowOff>149225</xdr:rowOff>
    </xdr:from>
    <xdr:to>
      <xdr:col>26</xdr:col>
      <xdr:colOff>101600</xdr:colOff>
      <xdr:row>31</xdr:row>
      <xdr:rowOff>61107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4603750" y="4778375"/>
          <a:ext cx="698500" cy="597682"/>
          <a:chOff x="7204075" y="2892425"/>
          <a:chExt cx="688975" cy="597682"/>
        </a:xfrm>
      </xdr:grpSpPr>
      <xdr:sp macro="" textlink="">
        <xdr:nvSpPr>
          <xdr:cNvPr id="10" name="フローチャート: 磁気ディスク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7207250" y="2984500"/>
            <a:ext cx="685800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システム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機能名</a:t>
            </a:r>
          </a:p>
        </xdr:txBody>
      </xdr:sp>
    </xdr:grpSp>
    <xdr:clientData/>
  </xdr:twoCellAnchor>
  <xdr:twoCellAnchor>
    <xdr:from>
      <xdr:col>2</xdr:col>
      <xdr:colOff>12700</xdr:colOff>
      <xdr:row>8</xdr:row>
      <xdr:rowOff>139700</xdr:rowOff>
    </xdr:from>
    <xdr:to>
      <xdr:col>5</xdr:col>
      <xdr:colOff>113350</xdr:colOff>
      <xdr:row>10</xdr:row>
      <xdr:rowOff>57150</xdr:rowOff>
    </xdr:to>
    <xdr:sp macro="" textlink="">
      <xdr:nvSpPr>
        <xdr:cNvPr id="12" name="フローチャート: 端子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12750" y="1558925"/>
          <a:ext cx="700725" cy="27940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22</xdr:col>
      <xdr:colOff>120650</xdr:colOff>
      <xdr:row>8</xdr:row>
      <xdr:rowOff>133350</xdr:rowOff>
    </xdr:from>
    <xdr:to>
      <xdr:col>26</xdr:col>
      <xdr:colOff>25400</xdr:colOff>
      <xdr:row>10</xdr:row>
      <xdr:rowOff>50800</xdr:rowOff>
    </xdr:to>
    <xdr:sp macro="" textlink="">
      <xdr:nvSpPr>
        <xdr:cNvPr id="13" name="フローチャート: 端子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521200" y="1552575"/>
          <a:ext cx="704850" cy="27940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22</xdr:col>
      <xdr:colOff>174625</xdr:colOff>
      <xdr:row>24</xdr:row>
      <xdr:rowOff>89834</xdr:rowOff>
    </xdr:from>
    <xdr:to>
      <xdr:col>26</xdr:col>
      <xdr:colOff>107225</xdr:colOff>
      <xdr:row>24</xdr:row>
      <xdr:rowOff>89834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/>
      </xdr:nvCxnSpPr>
      <xdr:spPr>
        <a:xfrm>
          <a:off x="4575175" y="4404659"/>
          <a:ext cx="732700" cy="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63500</xdr:colOff>
      <xdr:row>28</xdr:row>
      <xdr:rowOff>25400</xdr:rowOff>
    </xdr:from>
    <xdr:to>
      <xdr:col>6</xdr:col>
      <xdr:colOff>82550</xdr:colOff>
      <xdr:row>31</xdr:row>
      <xdr:rowOff>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pSpPr/>
      </xdr:nvGrpSpPr>
      <xdr:grpSpPr>
        <a:xfrm>
          <a:off x="263525" y="4826000"/>
          <a:ext cx="1019175" cy="488950"/>
          <a:chOff x="285750" y="4845050"/>
          <a:chExt cx="1003300" cy="488950"/>
        </a:xfrm>
      </xdr:grpSpPr>
      <xdr:sp macro="" textlink="">
        <xdr:nvSpPr>
          <xdr:cNvPr id="16" name="フローチャート: 判断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/>
        </xdr:nvSpPr>
        <xdr:spPr>
          <a:xfrm>
            <a:off x="368300" y="4845050"/>
            <a:ext cx="844550" cy="488950"/>
          </a:xfrm>
          <a:prstGeom prst="flowChartDecision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正方形/長方形 48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285750" y="492760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条件</a:t>
            </a:r>
          </a:p>
        </xdr:txBody>
      </xdr:sp>
    </xdr:grpSp>
    <xdr:clientData/>
  </xdr:twoCellAnchor>
  <xdr:twoCellAnchor>
    <xdr:from>
      <xdr:col>1</xdr:col>
      <xdr:colOff>12700</xdr:colOff>
      <xdr:row>13</xdr:row>
      <xdr:rowOff>25400</xdr:rowOff>
    </xdr:from>
    <xdr:to>
      <xdr:col>6</xdr:col>
      <xdr:colOff>114300</xdr:colOff>
      <xdr:row>15</xdr:row>
      <xdr:rowOff>158750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12725" y="2254250"/>
          <a:ext cx="1101725" cy="476250"/>
          <a:chOff x="1612900" y="2457450"/>
          <a:chExt cx="933032" cy="374650"/>
        </a:xfrm>
      </xdr:grpSpPr>
      <xdr:sp macro="" textlink="">
        <xdr:nvSpPr>
          <xdr:cNvPr id="19" name="フローチャート: 処理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0" name="正方形/長方形 48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業務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133350</xdr:colOff>
      <xdr:row>13</xdr:row>
      <xdr:rowOff>63500</xdr:rowOff>
    </xdr:from>
    <xdr:to>
      <xdr:col>27</xdr:col>
      <xdr:colOff>38100</xdr:colOff>
      <xdr:row>16</xdr:row>
      <xdr:rowOff>25400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4333875" y="2292350"/>
          <a:ext cx="1104900" cy="476250"/>
          <a:chOff x="1612900" y="2457450"/>
          <a:chExt cx="933032" cy="374650"/>
        </a:xfrm>
      </xdr:grpSpPr>
      <xdr:sp macro="" textlink="">
        <xdr:nvSpPr>
          <xdr:cNvPr id="22" name="フローチャート: 定義済み処理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3" name="正方形/長方形 48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1612900" y="2489200"/>
            <a:ext cx="933032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業務</a:t>
            </a:r>
            <a:endParaRPr kumimoji="1" lang="en-US" altLang="ja-JP" sz="900"/>
          </a:p>
        </xdr:txBody>
      </xdr:sp>
    </xdr:grpSp>
    <xdr:clientData/>
  </xdr:twoCellAnchor>
  <xdr:twoCellAnchor>
    <xdr:from>
      <xdr:col>21</xdr:col>
      <xdr:colOff>171450</xdr:colOff>
      <xdr:row>33</xdr:row>
      <xdr:rowOff>53975</xdr:rowOff>
    </xdr:from>
    <xdr:to>
      <xdr:col>26</xdr:col>
      <xdr:colOff>190500</xdr:colOff>
      <xdr:row>35</xdr:row>
      <xdr:rowOff>136525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4371975" y="5711825"/>
          <a:ext cx="1019175" cy="425450"/>
          <a:chOff x="4305300" y="5730875"/>
          <a:chExt cx="1003300" cy="425450"/>
        </a:xfrm>
      </xdr:grpSpPr>
      <xdr:sp macro="" textlink="">
        <xdr:nvSpPr>
          <xdr:cNvPr id="25" name="AutoShape 49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26" name="正方形/長方形 48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4305300" y="579755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ファイル名</a:t>
            </a:r>
          </a:p>
        </xdr:txBody>
      </xdr:sp>
    </xdr:grpSp>
    <xdr:clientData/>
  </xdr:twoCellAnchor>
  <xdr:twoCellAnchor>
    <xdr:from>
      <xdr:col>1</xdr:col>
      <xdr:colOff>88900</xdr:colOff>
      <xdr:row>33</xdr:row>
      <xdr:rowOff>104775</xdr:rowOff>
    </xdr:from>
    <xdr:to>
      <xdr:col>6</xdr:col>
      <xdr:colOff>107950</xdr:colOff>
      <xdr:row>36</xdr:row>
      <xdr:rowOff>34925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/>
      </xdr:nvGrpSpPr>
      <xdr:grpSpPr>
        <a:xfrm>
          <a:off x="288925" y="5762625"/>
          <a:ext cx="1019175" cy="444500"/>
          <a:chOff x="285750" y="5781675"/>
          <a:chExt cx="1003300" cy="444500"/>
        </a:xfrm>
      </xdr:grpSpPr>
      <xdr:sp macro="" textlink="">
        <xdr:nvSpPr>
          <xdr:cNvPr id="28" name="フローチャート: 他ページ結合子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492124" y="5781675"/>
            <a:ext cx="600075" cy="444500"/>
          </a:xfrm>
          <a:prstGeom prst="flowChartOffpageConnector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9" name="正方形/長方形 4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/>
        </xdr:nvSpPr>
        <xdr:spPr>
          <a:xfrm>
            <a:off x="285750" y="581660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フロー名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139700</xdr:colOff>
      <xdr:row>10</xdr:row>
      <xdr:rowOff>120650</xdr:rowOff>
    </xdr:from>
    <xdr:to>
      <xdr:col>6</xdr:col>
      <xdr:colOff>43500</xdr:colOff>
      <xdr:row>12</xdr:row>
      <xdr:rowOff>38100</xdr:rowOff>
    </xdr:to>
    <xdr:sp macro="" textlink="">
      <xdr:nvSpPr>
        <xdr:cNvPr id="2" name="フローチャート: 端子 26">
          <a:extLst>
            <a:ext uri="{FF2B5EF4-FFF2-40B4-BE49-F238E27FC236}">
              <a16:creationId xmlns:a16="http://schemas.microsoft.com/office/drawing/2014/main" id="{2F6F5A2C-EF69-4E66-AB45-0444B94F3C25}"/>
            </a:ext>
          </a:extLst>
        </xdr:cNvPr>
        <xdr:cNvSpPr/>
      </xdr:nvSpPr>
      <xdr:spPr>
        <a:xfrm>
          <a:off x="539750" y="1920875"/>
          <a:ext cx="703900" cy="27940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4</xdr:col>
      <xdr:colOff>94775</xdr:colOff>
      <xdr:row>12</xdr:row>
      <xdr:rowOff>38100</xdr:rowOff>
    </xdr:from>
    <xdr:to>
      <xdr:col>4</xdr:col>
      <xdr:colOff>99337</xdr:colOff>
      <xdr:row>16</xdr:row>
      <xdr:rowOff>80484</xdr:rowOff>
    </xdr:to>
    <xdr:cxnSp macro="">
      <xdr:nvCxnSpPr>
        <xdr:cNvPr id="3" name="直線矢印コネクタ 27">
          <a:extLst>
            <a:ext uri="{FF2B5EF4-FFF2-40B4-BE49-F238E27FC236}">
              <a16:creationId xmlns:a16="http://schemas.microsoft.com/office/drawing/2014/main" id="{973DCA17-60FD-438E-85AC-13E02146FAD0}"/>
            </a:ext>
          </a:extLst>
        </xdr:cNvPr>
        <xdr:cNvCxnSpPr>
          <a:cxnSpLocks/>
          <a:stCxn id="2" idx="2"/>
          <a:endCxn id="13" idx="0"/>
        </xdr:cNvCxnSpPr>
      </xdr:nvCxnSpPr>
      <xdr:spPr>
        <a:xfrm>
          <a:off x="894875" y="2200275"/>
          <a:ext cx="4562" cy="75675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113513</xdr:colOff>
      <xdr:row>46</xdr:row>
      <xdr:rowOff>133351</xdr:rowOff>
    </xdr:from>
    <xdr:to>
      <xdr:col>7</xdr:col>
      <xdr:colOff>15877</xdr:colOff>
      <xdr:row>49</xdr:row>
      <xdr:rowOff>130901</xdr:rowOff>
    </xdr:to>
    <xdr:grpSp>
      <xdr:nvGrpSpPr>
        <xdr:cNvPr id="4" name="グループ化 49">
          <a:extLst>
            <a:ext uri="{FF2B5EF4-FFF2-40B4-BE49-F238E27FC236}">
              <a16:creationId xmlns:a16="http://schemas.microsoft.com/office/drawing/2014/main" id="{600AE0CD-7621-420B-A5E8-63C2E5950F9B}"/>
            </a:ext>
          </a:extLst>
        </xdr:cNvPr>
        <xdr:cNvGrpSpPr/>
      </xdr:nvGrpSpPr>
      <xdr:grpSpPr>
        <a:xfrm>
          <a:off x="313538" y="8058151"/>
          <a:ext cx="1102514" cy="511900"/>
          <a:chOff x="1595960" y="2457450"/>
          <a:chExt cx="933032" cy="401114"/>
        </a:xfrm>
      </xdr:grpSpPr>
      <xdr:sp macro="" textlink="">
        <xdr:nvSpPr>
          <xdr:cNvPr id="5" name="フローチャート: 定義済み処理 50">
            <a:extLst>
              <a:ext uri="{FF2B5EF4-FFF2-40B4-BE49-F238E27FC236}">
                <a16:creationId xmlns:a16="http://schemas.microsoft.com/office/drawing/2014/main" id="{8560DDF7-783A-CF93-6F22-64CFE9D1A87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" name="正方形/長方形 51">
            <a:extLst>
              <a:ext uri="{FF2B5EF4-FFF2-40B4-BE49-F238E27FC236}">
                <a16:creationId xmlns:a16="http://schemas.microsoft.com/office/drawing/2014/main" id="{214DF7C1-5B9A-8B2F-F024-671F2A8D31D7}"/>
              </a:ext>
            </a:extLst>
          </xdr:cNvPr>
          <xdr:cNvSpPr/>
        </xdr:nvSpPr>
        <xdr:spPr>
          <a:xfrm>
            <a:off x="1595960" y="2458361"/>
            <a:ext cx="933032" cy="40020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5</a:t>
            </a:r>
            <a:r>
              <a:rPr kumimoji="1" lang="ja-JP" altLang="en-US" sz="900"/>
              <a:t>．仕訳伝票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照会</a:t>
            </a:r>
            <a:endParaRPr kumimoji="1" lang="en-US" altLang="ja-JP" sz="900"/>
          </a:p>
        </xdr:txBody>
      </xdr:sp>
    </xdr:grpSp>
    <xdr:clientData/>
  </xdr:twoCellAnchor>
  <xdr:twoCellAnchor>
    <xdr:from>
      <xdr:col>2</xdr:col>
      <xdr:colOff>149225</xdr:colOff>
      <xdr:row>53</xdr:row>
      <xdr:rowOff>142876</xdr:rowOff>
    </xdr:from>
    <xdr:to>
      <xdr:col>6</xdr:col>
      <xdr:colOff>53975</xdr:colOff>
      <xdr:row>55</xdr:row>
      <xdr:rowOff>53976</xdr:rowOff>
    </xdr:to>
    <xdr:sp macro="" textlink="">
      <xdr:nvSpPr>
        <xdr:cNvPr id="7" name="フローチャート: 端子 6">
          <a:extLst>
            <a:ext uri="{FF2B5EF4-FFF2-40B4-BE49-F238E27FC236}">
              <a16:creationId xmlns:a16="http://schemas.microsoft.com/office/drawing/2014/main" id="{19CF975A-F5B2-4FDD-B6CD-4B9678E4379D}"/>
            </a:ext>
          </a:extLst>
        </xdr:cNvPr>
        <xdr:cNvSpPr/>
      </xdr:nvSpPr>
      <xdr:spPr>
        <a:xfrm>
          <a:off x="549275" y="9715501"/>
          <a:ext cx="704850" cy="27305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22</xdr:col>
      <xdr:colOff>111126</xdr:colOff>
      <xdr:row>46</xdr:row>
      <xdr:rowOff>101600</xdr:rowOff>
    </xdr:from>
    <xdr:to>
      <xdr:col>28</xdr:col>
      <xdr:colOff>85726</xdr:colOff>
      <xdr:row>50</xdr:row>
      <xdr:rowOff>7132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FBC38CE0-C8D7-4BDC-8755-B0C83A66F34F}"/>
            </a:ext>
          </a:extLst>
        </xdr:cNvPr>
        <xdr:cNvGrpSpPr/>
      </xdr:nvGrpSpPr>
      <xdr:grpSpPr>
        <a:xfrm>
          <a:off x="4511676" y="8026400"/>
          <a:ext cx="1174750" cy="591332"/>
          <a:chOff x="6962853" y="2892425"/>
          <a:chExt cx="1146559" cy="584982"/>
        </a:xfrm>
      </xdr:grpSpPr>
      <xdr:sp macro="" textlink="">
        <xdr:nvSpPr>
          <xdr:cNvPr id="9" name="フローチャート: 磁気ディスク 8">
            <a:extLst>
              <a:ext uri="{FF2B5EF4-FFF2-40B4-BE49-F238E27FC236}">
                <a16:creationId xmlns:a16="http://schemas.microsoft.com/office/drawing/2014/main" id="{51B9C94F-CB22-DDEE-A47B-9098CBF52156}"/>
              </a:ext>
            </a:extLst>
          </xdr:cNvPr>
          <xdr:cNvSpPr/>
        </xdr:nvSpPr>
        <xdr:spPr>
          <a:xfrm>
            <a:off x="7204074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EAB38F43-C22F-1F17-769B-4A4FC069F4C8}"/>
              </a:ext>
            </a:extLst>
          </xdr:cNvPr>
          <xdr:cNvSpPr/>
        </xdr:nvSpPr>
        <xdr:spPr>
          <a:xfrm>
            <a:off x="6962853" y="2971800"/>
            <a:ext cx="1146559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rtlCol="0" anchor="ctr"/>
          <a:lstStyle/>
          <a:p>
            <a:pPr algn="ctr"/>
            <a:r>
              <a:rPr kumimoji="1" lang="ja-JP" altLang="en-US" sz="900"/>
              <a:t>試算表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伝票トランザクション</a:t>
            </a:r>
          </a:p>
        </xdr:txBody>
      </xdr:sp>
    </xdr:grpSp>
    <xdr:clientData/>
  </xdr:twoCellAnchor>
  <xdr:twoCellAnchor>
    <xdr:from>
      <xdr:col>6</xdr:col>
      <xdr:colOff>183889</xdr:colOff>
      <xdr:row>48</xdr:row>
      <xdr:rowOff>29515</xdr:rowOff>
    </xdr:from>
    <xdr:to>
      <xdr:col>23</xdr:col>
      <xdr:colOff>158253</xdr:colOff>
      <xdr:row>48</xdr:row>
      <xdr:rowOff>29900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D69FCE93-59DE-48E6-86A1-2B1803C4F550}"/>
            </a:ext>
          </a:extLst>
        </xdr:cNvPr>
        <xdr:cNvCxnSpPr>
          <a:stCxn id="9" idx="2"/>
          <a:endCxn id="5" idx="3"/>
        </xdr:cNvCxnSpPr>
      </xdr:nvCxnSpPr>
      <xdr:spPr>
        <a:xfrm flipH="1" flipV="1">
          <a:off x="1384039" y="8697265"/>
          <a:ext cx="3374789" cy="385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133351</xdr:colOff>
      <xdr:row>16</xdr:row>
      <xdr:rowOff>49126</xdr:rowOff>
    </xdr:from>
    <xdr:to>
      <xdr:col>7</xdr:col>
      <xdr:colOff>6351</xdr:colOff>
      <xdr:row>19</xdr:row>
      <xdr:rowOff>66674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62A8191C-951F-447A-81D0-73FDE42A852C}"/>
            </a:ext>
          </a:extLst>
        </xdr:cNvPr>
        <xdr:cNvGrpSpPr/>
      </xdr:nvGrpSpPr>
      <xdr:grpSpPr>
        <a:xfrm>
          <a:off x="333376" y="2830426"/>
          <a:ext cx="1073150" cy="531898"/>
          <a:chOff x="1612901" y="2432650"/>
          <a:chExt cx="908902" cy="420662"/>
        </a:xfrm>
      </xdr:grpSpPr>
      <xdr:sp macro="" textlink="">
        <xdr:nvSpPr>
          <xdr:cNvPr id="13" name="フローチャート: 定義済み処理 12">
            <a:extLst>
              <a:ext uri="{FF2B5EF4-FFF2-40B4-BE49-F238E27FC236}">
                <a16:creationId xmlns:a16="http://schemas.microsoft.com/office/drawing/2014/main" id="{74FCF817-2FEF-EBAF-C696-F7ACD123D302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4" name="正方形/長方形 48">
            <a:extLst>
              <a:ext uri="{FF2B5EF4-FFF2-40B4-BE49-F238E27FC236}">
                <a16:creationId xmlns:a16="http://schemas.microsoft.com/office/drawing/2014/main" id="{09D9A421-AA87-FB1D-195B-BD011D8EA58A}"/>
              </a:ext>
            </a:extLst>
          </xdr:cNvPr>
          <xdr:cNvSpPr/>
        </xdr:nvSpPr>
        <xdr:spPr>
          <a:xfrm>
            <a:off x="1612901" y="2432650"/>
            <a:ext cx="908902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1</a:t>
            </a:r>
            <a:r>
              <a:rPr kumimoji="1" lang="ja-JP" altLang="en-US" sz="900"/>
              <a:t>．伝票入力</a:t>
            </a:r>
            <a:endParaRPr kumimoji="1" lang="en-US" altLang="ja-JP" sz="900"/>
          </a:p>
        </xdr:txBody>
      </xdr:sp>
    </xdr:grpSp>
    <xdr:clientData/>
  </xdr:twoCellAnchor>
  <xdr:twoCellAnchor>
    <xdr:from>
      <xdr:col>8</xdr:col>
      <xdr:colOff>133351</xdr:colOff>
      <xdr:row>30</xdr:row>
      <xdr:rowOff>103101</xdr:rowOff>
    </xdr:from>
    <xdr:to>
      <xdr:col>14</xdr:col>
      <xdr:colOff>6351</xdr:colOff>
      <xdr:row>33</xdr:row>
      <xdr:rowOff>126999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58CC0A4A-E5F8-42B1-9BE4-568C143F818A}"/>
            </a:ext>
          </a:extLst>
        </xdr:cNvPr>
        <xdr:cNvGrpSpPr/>
      </xdr:nvGrpSpPr>
      <xdr:grpSpPr>
        <a:xfrm>
          <a:off x="1733551" y="5284701"/>
          <a:ext cx="1073150" cy="538248"/>
          <a:chOff x="1612901" y="2432650"/>
          <a:chExt cx="908902" cy="420662"/>
        </a:xfrm>
      </xdr:grpSpPr>
      <xdr:sp macro="" textlink="">
        <xdr:nvSpPr>
          <xdr:cNvPr id="16" name="フローチャート: 定義済み処理 15">
            <a:extLst>
              <a:ext uri="{FF2B5EF4-FFF2-40B4-BE49-F238E27FC236}">
                <a16:creationId xmlns:a16="http://schemas.microsoft.com/office/drawing/2014/main" id="{D5D3BF61-2772-C910-7259-5E836AD0F49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7" name="正方形/長方形 48">
            <a:extLst>
              <a:ext uri="{FF2B5EF4-FFF2-40B4-BE49-F238E27FC236}">
                <a16:creationId xmlns:a16="http://schemas.microsoft.com/office/drawing/2014/main" id="{F81B5FF5-7236-A56F-0171-2518EA755218}"/>
              </a:ext>
            </a:extLst>
          </xdr:cNvPr>
          <xdr:cNvSpPr/>
        </xdr:nvSpPr>
        <xdr:spPr>
          <a:xfrm>
            <a:off x="1612901" y="2432650"/>
            <a:ext cx="908902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3</a:t>
            </a:r>
            <a:r>
              <a:rPr kumimoji="1" lang="ja-JP" altLang="en-US" sz="900"/>
              <a:t>．承認</a:t>
            </a:r>
            <a:endParaRPr kumimoji="1" lang="en-US" altLang="ja-JP" sz="900"/>
          </a:p>
        </xdr:txBody>
      </xdr:sp>
    </xdr:grpSp>
    <xdr:clientData/>
  </xdr:twoCellAnchor>
  <xdr:twoCellAnchor>
    <xdr:from>
      <xdr:col>4</xdr:col>
      <xdr:colOff>98426</xdr:colOff>
      <xdr:row>19</xdr:row>
      <xdr:rowOff>38413</xdr:rowOff>
    </xdr:from>
    <xdr:to>
      <xdr:col>4</xdr:col>
      <xdr:colOff>99337</xdr:colOff>
      <xdr:row>22</xdr:row>
      <xdr:rowOff>103102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CCD950D5-97E1-4FC0-A335-AA1DB96F5629}"/>
            </a:ext>
          </a:extLst>
        </xdr:cNvPr>
        <xdr:cNvCxnSpPr>
          <a:cxnSpLocks/>
          <a:stCxn id="13" idx="2"/>
          <a:endCxn id="28" idx="0"/>
        </xdr:cNvCxnSpPr>
      </xdr:nvCxnSpPr>
      <xdr:spPr>
        <a:xfrm rot="5400000">
          <a:off x="595175" y="3761239"/>
          <a:ext cx="607614" cy="911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185981</xdr:colOff>
      <xdr:row>32</xdr:row>
      <xdr:rowOff>31594</xdr:rowOff>
    </xdr:from>
    <xdr:to>
      <xdr:col>23</xdr:col>
      <xdr:colOff>79775</xdr:colOff>
      <xdr:row>32</xdr:row>
      <xdr:rowOff>37846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2DF0D4C1-B174-4138-8BCD-49CC7EF94CBB}"/>
            </a:ext>
          </a:extLst>
        </xdr:cNvPr>
        <xdr:cNvCxnSpPr>
          <a:stCxn id="16" idx="3"/>
        </xdr:cNvCxnSpPr>
      </xdr:nvCxnSpPr>
      <xdr:spPr>
        <a:xfrm>
          <a:off x="2786306" y="5803744"/>
          <a:ext cx="1894044" cy="6252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27016</xdr:colOff>
      <xdr:row>16</xdr:row>
      <xdr:rowOff>47626</xdr:rowOff>
    </xdr:from>
    <xdr:to>
      <xdr:col>28</xdr:col>
      <xdr:colOff>68259</xdr:colOff>
      <xdr:row>19</xdr:row>
      <xdr:rowOff>126195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BF0B54EE-34C3-435E-8848-CABFF03943AE}"/>
            </a:ext>
          </a:extLst>
        </xdr:cNvPr>
        <xdr:cNvGrpSpPr/>
      </xdr:nvGrpSpPr>
      <xdr:grpSpPr>
        <a:xfrm>
          <a:off x="4627591" y="2828926"/>
          <a:ext cx="1041368" cy="592919"/>
          <a:chOff x="7152195" y="2892425"/>
          <a:chExt cx="1023993" cy="589989"/>
        </a:xfrm>
      </xdr:grpSpPr>
      <xdr:sp macro="" textlink="">
        <xdr:nvSpPr>
          <xdr:cNvPr id="21" name="フローチャート: 磁気ディスク 20">
            <a:extLst>
              <a:ext uri="{FF2B5EF4-FFF2-40B4-BE49-F238E27FC236}">
                <a16:creationId xmlns:a16="http://schemas.microsoft.com/office/drawing/2014/main" id="{B96FF23B-A890-C82C-1D77-ADC033EEEFAC}"/>
              </a:ext>
            </a:extLst>
          </xdr:cNvPr>
          <xdr:cNvSpPr/>
        </xdr:nvSpPr>
        <xdr:spPr>
          <a:xfrm>
            <a:off x="7204074" y="2892425"/>
            <a:ext cx="901328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4704A5A7-507D-54E7-842D-63FEFCA844EA}"/>
              </a:ext>
            </a:extLst>
          </xdr:cNvPr>
          <xdr:cNvSpPr/>
        </xdr:nvSpPr>
        <xdr:spPr>
          <a:xfrm>
            <a:off x="7152195" y="2976807"/>
            <a:ext cx="1023993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</xdr:txBody>
      </xdr:sp>
    </xdr:grpSp>
    <xdr:clientData/>
  </xdr:twoCellAnchor>
  <xdr:twoCellAnchor>
    <xdr:from>
      <xdr:col>6</xdr:col>
      <xdr:colOff>185981</xdr:colOff>
      <xdr:row>17</xdr:row>
      <xdr:rowOff>145796</xdr:rowOff>
    </xdr:from>
    <xdr:to>
      <xdr:col>23</xdr:col>
      <xdr:colOff>79775</xdr:colOff>
      <xdr:row>17</xdr:row>
      <xdr:rowOff>145920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8126B9A4-D88D-44E8-92E6-4E315A9BE26B}"/>
            </a:ext>
          </a:extLst>
        </xdr:cNvPr>
        <xdr:cNvCxnSpPr>
          <a:stCxn id="13" idx="3"/>
          <a:endCxn id="21" idx="2"/>
        </xdr:cNvCxnSpPr>
      </xdr:nvCxnSpPr>
      <xdr:spPr>
        <a:xfrm flipV="1">
          <a:off x="1386131" y="3203321"/>
          <a:ext cx="3294219" cy="124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99338</xdr:colOff>
      <xdr:row>33</xdr:row>
      <xdr:rowOff>98416</xdr:rowOff>
    </xdr:from>
    <xdr:to>
      <xdr:col>18</xdr:col>
      <xdr:colOff>80391</xdr:colOff>
      <xdr:row>38</xdr:row>
      <xdr:rowOff>127870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45AAA68C-BC95-42A8-BA51-2FD110C4B304}"/>
            </a:ext>
          </a:extLst>
        </xdr:cNvPr>
        <xdr:cNvCxnSpPr>
          <a:cxnSpLocks/>
          <a:stCxn id="16" idx="2"/>
          <a:endCxn id="41" idx="0"/>
        </xdr:cNvCxnSpPr>
      </xdr:nvCxnSpPr>
      <xdr:spPr>
        <a:xfrm rot="16200000" flipH="1">
          <a:off x="2523062" y="5828092"/>
          <a:ext cx="934329" cy="138122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99966</xdr:colOff>
      <xdr:row>49</xdr:row>
      <xdr:rowOff>97128</xdr:rowOff>
    </xdr:from>
    <xdr:to>
      <xdr:col>4</xdr:col>
      <xdr:colOff>101600</xdr:colOff>
      <xdr:row>53</xdr:row>
      <xdr:rowOff>139701</xdr:rowOff>
    </xdr:to>
    <xdr:cxnSp macro="">
      <xdr:nvCxnSpPr>
        <xdr:cNvPr id="25" name="直線矢印コネクタ 27">
          <a:extLst>
            <a:ext uri="{FF2B5EF4-FFF2-40B4-BE49-F238E27FC236}">
              <a16:creationId xmlns:a16="http://schemas.microsoft.com/office/drawing/2014/main" id="{67C6DFD3-92E5-4221-AA24-B2DC30A7D41D}"/>
            </a:ext>
          </a:extLst>
        </xdr:cNvPr>
        <xdr:cNvCxnSpPr>
          <a:cxnSpLocks/>
          <a:stCxn id="5" idx="2"/>
          <a:endCxn id="7" idx="0"/>
        </xdr:cNvCxnSpPr>
      </xdr:nvCxnSpPr>
      <xdr:spPr>
        <a:xfrm>
          <a:off x="900066" y="8945853"/>
          <a:ext cx="1634" cy="76647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161926</xdr:colOff>
      <xdr:row>22</xdr:row>
      <xdr:rowOff>103101</xdr:rowOff>
    </xdr:from>
    <xdr:to>
      <xdr:col>7</xdr:col>
      <xdr:colOff>34926</xdr:colOff>
      <xdr:row>25</xdr:row>
      <xdr:rowOff>126999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81771D4A-F838-4CB1-96AC-27CCB422AED2}"/>
            </a:ext>
          </a:extLst>
        </xdr:cNvPr>
        <xdr:cNvGrpSpPr/>
      </xdr:nvGrpSpPr>
      <xdr:grpSpPr>
        <a:xfrm>
          <a:off x="361951" y="3913101"/>
          <a:ext cx="1073150" cy="538248"/>
          <a:chOff x="1612901" y="2432650"/>
          <a:chExt cx="908902" cy="420662"/>
        </a:xfrm>
      </xdr:grpSpPr>
      <xdr:sp macro="" textlink="">
        <xdr:nvSpPr>
          <xdr:cNvPr id="27" name="フローチャート: 定義済み処理 26">
            <a:extLst>
              <a:ext uri="{FF2B5EF4-FFF2-40B4-BE49-F238E27FC236}">
                <a16:creationId xmlns:a16="http://schemas.microsoft.com/office/drawing/2014/main" id="{C2605B93-7293-CD30-4C73-5DCC8342E898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28" name="正方形/長方形 48">
            <a:extLst>
              <a:ext uri="{FF2B5EF4-FFF2-40B4-BE49-F238E27FC236}">
                <a16:creationId xmlns:a16="http://schemas.microsoft.com/office/drawing/2014/main" id="{C72BF148-54BC-4C79-F1F5-5E2258716396}"/>
              </a:ext>
            </a:extLst>
          </xdr:cNvPr>
          <xdr:cNvSpPr/>
        </xdr:nvSpPr>
        <xdr:spPr>
          <a:xfrm>
            <a:off x="1612901" y="2432650"/>
            <a:ext cx="908902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２．</a:t>
            </a:r>
            <a:r>
              <a:rPr kumimoji="1" lang="en-US" altLang="ja-JP" sz="900"/>
              <a:t>WF</a:t>
            </a:r>
            <a:r>
              <a:rPr kumimoji="1" lang="ja-JP" altLang="en-US" sz="900"/>
              <a:t>送信</a:t>
            </a:r>
            <a:endParaRPr kumimoji="1" lang="en-US" altLang="ja-JP" sz="900"/>
          </a:p>
        </xdr:txBody>
      </xdr:sp>
    </xdr:grpSp>
    <xdr:clientData/>
  </xdr:twoCellAnchor>
  <xdr:twoCellAnchor>
    <xdr:from>
      <xdr:col>23</xdr:col>
      <xdr:colOff>27016</xdr:colOff>
      <xdr:row>22</xdr:row>
      <xdr:rowOff>111126</xdr:rowOff>
    </xdr:from>
    <xdr:to>
      <xdr:col>28</xdr:col>
      <xdr:colOff>68259</xdr:colOff>
      <xdr:row>26</xdr:row>
      <xdr:rowOff>18245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3B551791-7AAD-4B2C-B1D2-99BF86814A07}"/>
            </a:ext>
          </a:extLst>
        </xdr:cNvPr>
        <xdr:cNvGrpSpPr/>
      </xdr:nvGrpSpPr>
      <xdr:grpSpPr>
        <a:xfrm>
          <a:off x="4627591" y="3921126"/>
          <a:ext cx="1041368" cy="592919"/>
          <a:chOff x="7152195" y="2892425"/>
          <a:chExt cx="1023993" cy="589989"/>
        </a:xfrm>
      </xdr:grpSpPr>
      <xdr:sp macro="" textlink="">
        <xdr:nvSpPr>
          <xdr:cNvPr id="30" name="フローチャート: 磁気ディスク 29">
            <a:extLst>
              <a:ext uri="{FF2B5EF4-FFF2-40B4-BE49-F238E27FC236}">
                <a16:creationId xmlns:a16="http://schemas.microsoft.com/office/drawing/2014/main" id="{0CE9034D-3364-7994-2C69-01C9646EB3C2}"/>
              </a:ext>
            </a:extLst>
          </xdr:cNvPr>
          <xdr:cNvSpPr/>
        </xdr:nvSpPr>
        <xdr:spPr>
          <a:xfrm>
            <a:off x="7204074" y="2892425"/>
            <a:ext cx="901328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503B78CC-3E27-6F64-1890-9597E62BE293}"/>
              </a:ext>
            </a:extLst>
          </xdr:cNvPr>
          <xdr:cNvSpPr/>
        </xdr:nvSpPr>
        <xdr:spPr>
          <a:xfrm>
            <a:off x="7152195" y="2976807"/>
            <a:ext cx="1023993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  <a:endParaRPr kumimoji="1" lang="en-US" altLang="ja-JP" sz="900"/>
          </a:p>
          <a:p>
            <a:pPr algn="ctr"/>
            <a:r>
              <a:rPr kumimoji="1" lang="en-US" altLang="ja-JP" sz="900"/>
              <a:t>WF</a:t>
            </a:r>
            <a:endParaRPr kumimoji="1" lang="ja-JP" altLang="en-US" sz="900"/>
          </a:p>
        </xdr:txBody>
      </xdr:sp>
    </xdr:grpSp>
    <xdr:clientData/>
  </xdr:twoCellAnchor>
  <xdr:twoCellAnchor>
    <xdr:from>
      <xdr:col>7</xdr:col>
      <xdr:colOff>11426</xdr:colOff>
      <xdr:row>24</xdr:row>
      <xdr:rowOff>26980</xdr:rowOff>
    </xdr:from>
    <xdr:to>
      <xdr:col>23</xdr:col>
      <xdr:colOff>79775</xdr:colOff>
      <xdr:row>24</xdr:row>
      <xdr:rowOff>36121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A149924-6E30-4DF0-9D38-430FD5850940}"/>
            </a:ext>
          </a:extLst>
        </xdr:cNvPr>
        <xdr:cNvCxnSpPr>
          <a:stCxn id="27" idx="3"/>
          <a:endCxn id="30" idx="2"/>
        </xdr:cNvCxnSpPr>
      </xdr:nvCxnSpPr>
      <xdr:spPr>
        <a:xfrm>
          <a:off x="1411601" y="4351330"/>
          <a:ext cx="3268749" cy="9141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98426</xdr:colOff>
      <xdr:row>25</xdr:row>
      <xdr:rowOff>126999</xdr:rowOff>
    </xdr:from>
    <xdr:to>
      <xdr:col>11</xdr:col>
      <xdr:colOff>99337</xdr:colOff>
      <xdr:row>30</xdr:row>
      <xdr:rowOff>136518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B400EA2E-CA01-4672-9476-8504DAEABFE7}"/>
            </a:ext>
          </a:extLst>
        </xdr:cNvPr>
        <xdr:cNvCxnSpPr>
          <a:cxnSpLocks/>
          <a:stCxn id="28" idx="2"/>
          <a:endCxn id="16" idx="0"/>
        </xdr:cNvCxnSpPr>
      </xdr:nvCxnSpPr>
      <xdr:spPr>
        <a:xfrm rot="16200000" flipH="1">
          <a:off x="1141872" y="4388978"/>
          <a:ext cx="914394" cy="1401086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57150</xdr:colOff>
      <xdr:row>30</xdr:row>
      <xdr:rowOff>104775</xdr:rowOff>
    </xdr:from>
    <xdr:to>
      <xdr:col>28</xdr:col>
      <xdr:colOff>100775</xdr:colOff>
      <xdr:row>33</xdr:row>
      <xdr:rowOff>176201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F7456A9A-00CF-4416-A2C6-9C46D42D765B}"/>
            </a:ext>
          </a:extLst>
        </xdr:cNvPr>
        <xdr:cNvGrpSpPr/>
      </xdr:nvGrpSpPr>
      <xdr:grpSpPr>
        <a:xfrm>
          <a:off x="4657725" y="5286375"/>
          <a:ext cx="1043750" cy="585776"/>
          <a:chOff x="7152195" y="2892424"/>
          <a:chExt cx="1023993" cy="589990"/>
        </a:xfrm>
      </xdr:grpSpPr>
      <xdr:sp macro="" textlink="">
        <xdr:nvSpPr>
          <xdr:cNvPr id="35" name="フローチャート: 磁気ディスク 34">
            <a:extLst>
              <a:ext uri="{FF2B5EF4-FFF2-40B4-BE49-F238E27FC236}">
                <a16:creationId xmlns:a16="http://schemas.microsoft.com/office/drawing/2014/main" id="{69EC4B52-76B4-AB93-7FF0-9B465FD09AB7}"/>
              </a:ext>
            </a:extLst>
          </xdr:cNvPr>
          <xdr:cNvSpPr/>
        </xdr:nvSpPr>
        <xdr:spPr>
          <a:xfrm>
            <a:off x="7204074" y="2892424"/>
            <a:ext cx="901328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F4955CFA-6C01-0804-3F07-0B2E4121FEFE}"/>
              </a:ext>
            </a:extLst>
          </xdr:cNvPr>
          <xdr:cNvSpPr/>
        </xdr:nvSpPr>
        <xdr:spPr>
          <a:xfrm>
            <a:off x="7152195" y="2976807"/>
            <a:ext cx="1023993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仕訳帳承認対象一覧</a:t>
            </a:r>
          </a:p>
        </xdr:txBody>
      </xdr:sp>
    </xdr:grpSp>
    <xdr:clientData/>
  </xdr:twoCellAnchor>
  <xdr:twoCellAnchor>
    <xdr:from>
      <xdr:col>23</xdr:col>
      <xdr:colOff>57150</xdr:colOff>
      <xdr:row>38</xdr:row>
      <xdr:rowOff>76200</xdr:rowOff>
    </xdr:from>
    <xdr:to>
      <xdr:col>28</xdr:col>
      <xdr:colOff>100775</xdr:colOff>
      <xdr:row>41</xdr:row>
      <xdr:rowOff>149467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BDF20658-BB1A-4548-B182-439B517492BA}"/>
            </a:ext>
          </a:extLst>
        </xdr:cNvPr>
        <xdr:cNvGrpSpPr/>
      </xdr:nvGrpSpPr>
      <xdr:grpSpPr>
        <a:xfrm>
          <a:off x="4657725" y="6629400"/>
          <a:ext cx="1043750" cy="587617"/>
          <a:chOff x="7152195" y="2892425"/>
          <a:chExt cx="1023993" cy="589989"/>
        </a:xfrm>
      </xdr:grpSpPr>
      <xdr:sp macro="" textlink="">
        <xdr:nvSpPr>
          <xdr:cNvPr id="38" name="フローチャート: 磁気ディスク 37">
            <a:extLst>
              <a:ext uri="{FF2B5EF4-FFF2-40B4-BE49-F238E27FC236}">
                <a16:creationId xmlns:a16="http://schemas.microsoft.com/office/drawing/2014/main" id="{FFDEDD52-DD34-5B9F-36EC-D718E7E5A3DD}"/>
              </a:ext>
            </a:extLst>
          </xdr:cNvPr>
          <xdr:cNvSpPr/>
        </xdr:nvSpPr>
        <xdr:spPr>
          <a:xfrm>
            <a:off x="7204074" y="2892425"/>
            <a:ext cx="901328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633FA070-4994-3A0D-D0D9-C2549264FD1A}"/>
              </a:ext>
            </a:extLst>
          </xdr:cNvPr>
          <xdr:cNvSpPr/>
        </xdr:nvSpPr>
        <xdr:spPr>
          <a:xfrm>
            <a:off x="7152195" y="2976807"/>
            <a:ext cx="1023993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自動転記バッチ</a:t>
            </a:r>
          </a:p>
        </xdr:txBody>
      </xdr:sp>
    </xdr:grpSp>
    <xdr:clientData/>
  </xdr:twoCellAnchor>
  <xdr:twoCellAnchor>
    <xdr:from>
      <xdr:col>15</xdr:col>
      <xdr:colOff>104775</xdr:colOff>
      <xdr:row>38</xdr:row>
      <xdr:rowOff>95250</xdr:rowOff>
    </xdr:from>
    <xdr:to>
      <xdr:col>20</xdr:col>
      <xdr:colOff>196056</xdr:colOff>
      <xdr:row>41</xdr:row>
      <xdr:rowOff>105655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232A8B07-EBB0-4CFF-8F27-DD4EEC68BE7B}"/>
            </a:ext>
          </a:extLst>
        </xdr:cNvPr>
        <xdr:cNvGrpSpPr/>
      </xdr:nvGrpSpPr>
      <xdr:grpSpPr>
        <a:xfrm>
          <a:off x="3105150" y="6648450"/>
          <a:ext cx="1091406" cy="524755"/>
          <a:chOff x="1612901" y="2432650"/>
          <a:chExt cx="908902" cy="420662"/>
        </a:xfrm>
      </xdr:grpSpPr>
      <xdr:sp macro="" textlink="">
        <xdr:nvSpPr>
          <xdr:cNvPr id="41" name="フローチャート: 定義済み処理 40">
            <a:extLst>
              <a:ext uri="{FF2B5EF4-FFF2-40B4-BE49-F238E27FC236}">
                <a16:creationId xmlns:a16="http://schemas.microsoft.com/office/drawing/2014/main" id="{5B621141-9E08-55FF-A444-AB2D46659083}"/>
              </a:ext>
            </a:extLst>
          </xdr:cNvPr>
          <xdr:cNvSpPr/>
        </xdr:nvSpPr>
        <xdr:spPr>
          <a:xfrm>
            <a:off x="1682750" y="2457450"/>
            <a:ext cx="819150" cy="37465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2" name="正方形/長方形 48">
            <a:extLst>
              <a:ext uri="{FF2B5EF4-FFF2-40B4-BE49-F238E27FC236}">
                <a16:creationId xmlns:a16="http://schemas.microsoft.com/office/drawing/2014/main" id="{C88C99AA-9A14-C22F-7BC3-705ACF296F01}"/>
              </a:ext>
            </a:extLst>
          </xdr:cNvPr>
          <xdr:cNvSpPr/>
        </xdr:nvSpPr>
        <xdr:spPr>
          <a:xfrm>
            <a:off x="1612901" y="2432650"/>
            <a:ext cx="908902" cy="4206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</a:t>
            </a:r>
            <a:r>
              <a:rPr kumimoji="1" lang="ja-JP" altLang="en-US" sz="900"/>
              <a:t>．自動転記バッチ</a:t>
            </a:r>
            <a:endParaRPr kumimoji="1" lang="en-US" altLang="ja-JP" sz="900"/>
          </a:p>
        </xdr:txBody>
      </xdr:sp>
    </xdr:grpSp>
    <xdr:clientData/>
  </xdr:twoCellAnchor>
  <xdr:twoCellAnchor>
    <xdr:from>
      <xdr:col>4</xdr:col>
      <xdr:colOff>64696</xdr:colOff>
      <xdr:row>41</xdr:row>
      <xdr:rowOff>105654</xdr:rowOff>
    </xdr:from>
    <xdr:to>
      <xdr:col>18</xdr:col>
      <xdr:colOff>50404</xdr:colOff>
      <xdr:row>46</xdr:row>
      <xdr:rowOff>134578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0B06A36E-DE71-4E58-ACF3-D0C247FA2CF8}"/>
            </a:ext>
          </a:extLst>
        </xdr:cNvPr>
        <xdr:cNvCxnSpPr>
          <a:cxnSpLocks/>
          <a:stCxn id="42" idx="2"/>
          <a:endCxn id="6" idx="0"/>
        </xdr:cNvCxnSpPr>
      </xdr:nvCxnSpPr>
      <xdr:spPr>
        <a:xfrm rot="5400000">
          <a:off x="1790925" y="6580450"/>
          <a:ext cx="933799" cy="2786058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196056</xdr:colOff>
      <xdr:row>39</xdr:row>
      <xdr:rowOff>175428</xdr:rowOff>
    </xdr:from>
    <xdr:to>
      <xdr:col>23</xdr:col>
      <xdr:colOff>110030</xdr:colOff>
      <xdr:row>40</xdr:row>
      <xdr:rowOff>9965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2B81CB5B-12B5-4D95-B493-A2C0F0017166}"/>
            </a:ext>
          </a:extLst>
        </xdr:cNvPr>
        <xdr:cNvCxnSpPr>
          <a:stCxn id="42" idx="3"/>
          <a:endCxn id="38" idx="2"/>
        </xdr:cNvCxnSpPr>
      </xdr:nvCxnSpPr>
      <xdr:spPr>
        <a:xfrm flipV="1">
          <a:off x="4196556" y="7214403"/>
          <a:ext cx="514049" cy="15512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34925</xdr:colOff>
      <xdr:row>23</xdr:row>
      <xdr:rowOff>88207</xdr:rowOff>
    </xdr:from>
    <xdr:to>
      <xdr:col>58</xdr:col>
      <xdr:colOff>30062</xdr:colOff>
      <xdr:row>23</xdr:row>
      <xdr:rowOff>115774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3825E6C7-52FB-4246-B3D1-E78955FA2235}"/>
            </a:ext>
          </a:extLst>
        </xdr:cNvPr>
        <xdr:cNvCxnSpPr>
          <a:cxnSpLocks/>
          <a:stCxn id="7" idx="2"/>
          <a:endCxn id="12" idx="3"/>
        </xdr:cNvCxnSpPr>
      </xdr:nvCxnSpPr>
      <xdr:spPr>
        <a:xfrm flipH="1" flipV="1">
          <a:off x="5525807" y="4028942"/>
          <a:ext cx="5878226" cy="2756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133288</xdr:colOff>
      <xdr:row>22</xdr:row>
      <xdr:rowOff>24654</xdr:rowOff>
    </xdr:from>
    <xdr:to>
      <xdr:col>62</xdr:col>
      <xdr:colOff>33494</xdr:colOff>
      <xdr:row>25</xdr:row>
      <xdr:rowOff>85574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BDE57AAE-8813-4AE7-AA2A-1D7F96006459}"/>
            </a:ext>
          </a:extLst>
        </xdr:cNvPr>
        <xdr:cNvGrpSpPr/>
      </xdr:nvGrpSpPr>
      <xdr:grpSpPr>
        <a:xfrm>
          <a:off x="11534713" y="3844179"/>
          <a:ext cx="900331" cy="575270"/>
          <a:chOff x="7111999" y="2892425"/>
          <a:chExt cx="873125" cy="584982"/>
        </a:xfrm>
      </xdr:grpSpPr>
      <xdr:sp macro="" textlink="">
        <xdr:nvSpPr>
          <xdr:cNvPr id="7" name="フローチャート: 磁気ディスク 6">
            <a:extLst>
              <a:ext uri="{FF2B5EF4-FFF2-40B4-BE49-F238E27FC236}">
                <a16:creationId xmlns:a16="http://schemas.microsoft.com/office/drawing/2014/main" id="{01294650-971C-448C-A749-5815A00B74CF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B5E8A4E7-F0B7-460A-A9EB-F1E1A4B2F3DB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楽楽精算</a:t>
            </a:r>
          </a:p>
        </xdr:txBody>
      </xdr:sp>
    </xdr:grpSp>
    <xdr:clientData/>
  </xdr:twoCellAnchor>
  <xdr:twoCellAnchor>
    <xdr:from>
      <xdr:col>27</xdr:col>
      <xdr:colOff>189012</xdr:colOff>
      <xdr:row>30</xdr:row>
      <xdr:rowOff>66687</xdr:rowOff>
    </xdr:from>
    <xdr:to>
      <xdr:col>51</xdr:col>
      <xdr:colOff>161596</xdr:colOff>
      <xdr:row>30</xdr:row>
      <xdr:rowOff>75147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A0DE8E21-03ED-4C21-984B-FC5B2938A1CA}"/>
            </a:ext>
          </a:extLst>
        </xdr:cNvPr>
        <xdr:cNvCxnSpPr>
          <a:cxnSpLocks/>
          <a:stCxn id="121" idx="2"/>
          <a:endCxn id="18" idx="3"/>
        </xdr:cNvCxnSpPr>
      </xdr:nvCxnSpPr>
      <xdr:spPr>
        <a:xfrm flipH="1">
          <a:off x="4157762" y="5186375"/>
          <a:ext cx="4735084" cy="846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67734</xdr:colOff>
      <xdr:row>28</xdr:row>
      <xdr:rowOff>146051</xdr:rowOff>
    </xdr:from>
    <xdr:to>
      <xdr:col>55</xdr:col>
      <xdr:colOff>164042</xdr:colOff>
      <xdr:row>32</xdr:row>
      <xdr:rowOff>38883</xdr:rowOff>
    </xdr:to>
    <xdr:grpSp>
      <xdr:nvGrpSpPr>
        <xdr:cNvPr id="120" name="グループ化 119">
          <a:extLst>
            <a:ext uri="{FF2B5EF4-FFF2-40B4-BE49-F238E27FC236}">
              <a16:creationId xmlns:a16="http://schemas.microsoft.com/office/drawing/2014/main" id="{7B241881-34DE-4DEB-8D5C-264597DE2B96}"/>
            </a:ext>
          </a:extLst>
        </xdr:cNvPr>
        <xdr:cNvGrpSpPr/>
      </xdr:nvGrpSpPr>
      <xdr:grpSpPr>
        <a:xfrm>
          <a:off x="10269009" y="4994276"/>
          <a:ext cx="896408" cy="578632"/>
          <a:chOff x="7111999" y="2892425"/>
          <a:chExt cx="873125" cy="584982"/>
        </a:xfrm>
      </xdr:grpSpPr>
      <xdr:sp macro="" textlink="">
        <xdr:nvSpPr>
          <xdr:cNvPr id="121" name="フローチャート: 磁気ディスク 120">
            <a:extLst>
              <a:ext uri="{FF2B5EF4-FFF2-40B4-BE49-F238E27FC236}">
                <a16:creationId xmlns:a16="http://schemas.microsoft.com/office/drawing/2014/main" id="{0D2937D9-5711-48BB-9594-10B87FC2ECCC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2" name="正方形/長方形 121">
            <a:extLst>
              <a:ext uri="{FF2B5EF4-FFF2-40B4-BE49-F238E27FC236}">
                <a16:creationId xmlns:a16="http://schemas.microsoft.com/office/drawing/2014/main" id="{5D7C7C26-EF07-4FF7-AB0B-D89594BF1136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分析コード明細書</a:t>
            </a:r>
          </a:p>
        </xdr:txBody>
      </xdr:sp>
    </xdr:grpSp>
    <xdr:clientData/>
  </xdr:twoCellAnchor>
  <xdr:twoCellAnchor>
    <xdr:from>
      <xdr:col>28</xdr:col>
      <xdr:colOff>17562</xdr:colOff>
      <xdr:row>50</xdr:row>
      <xdr:rowOff>63511</xdr:rowOff>
    </xdr:from>
    <xdr:to>
      <xdr:col>58</xdr:col>
      <xdr:colOff>133021</xdr:colOff>
      <xdr:row>50</xdr:row>
      <xdr:rowOff>100546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5B838E84-D877-401F-94B2-153BCC5FB55C}"/>
            </a:ext>
          </a:extLst>
        </xdr:cNvPr>
        <xdr:cNvCxnSpPr>
          <a:cxnSpLocks/>
          <a:stCxn id="134" idx="2"/>
          <a:endCxn id="25" idx="3"/>
        </xdr:cNvCxnSpPr>
      </xdr:nvCxnSpPr>
      <xdr:spPr>
        <a:xfrm flipH="1">
          <a:off x="4184750" y="8834449"/>
          <a:ext cx="6068584" cy="37035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39159</xdr:colOff>
      <xdr:row>48</xdr:row>
      <xdr:rowOff>142875</xdr:rowOff>
    </xdr:from>
    <xdr:to>
      <xdr:col>62</xdr:col>
      <xdr:colOff>135467</xdr:colOff>
      <xdr:row>52</xdr:row>
      <xdr:rowOff>35707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966F7F7A-479E-49B9-8E48-F4AA386A9553}"/>
            </a:ext>
          </a:extLst>
        </xdr:cNvPr>
        <xdr:cNvGrpSpPr/>
      </xdr:nvGrpSpPr>
      <xdr:grpSpPr>
        <a:xfrm>
          <a:off x="11640609" y="8420100"/>
          <a:ext cx="896408" cy="578632"/>
          <a:chOff x="7111999" y="2892425"/>
          <a:chExt cx="873125" cy="584982"/>
        </a:xfrm>
      </xdr:grpSpPr>
      <xdr:sp macro="" textlink="">
        <xdr:nvSpPr>
          <xdr:cNvPr id="134" name="フローチャート: 磁気ディスク 133">
            <a:extLst>
              <a:ext uri="{FF2B5EF4-FFF2-40B4-BE49-F238E27FC236}">
                <a16:creationId xmlns:a16="http://schemas.microsoft.com/office/drawing/2014/main" id="{FB6BBB9F-4020-490C-9B81-635EEF7DB764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01D74C61-078A-41FD-9FFE-6D3CBBE464E3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資金集中管理</a:t>
            </a:r>
          </a:p>
        </xdr:txBody>
      </xdr:sp>
    </xdr:grpSp>
    <xdr:clientData/>
  </xdr:twoCellAnchor>
  <xdr:twoCellAnchor>
    <xdr:from>
      <xdr:col>28</xdr:col>
      <xdr:colOff>17562</xdr:colOff>
      <xdr:row>57</xdr:row>
      <xdr:rowOff>32024</xdr:rowOff>
    </xdr:from>
    <xdr:to>
      <xdr:col>51</xdr:col>
      <xdr:colOff>159086</xdr:colOff>
      <xdr:row>57</xdr:row>
      <xdr:rowOff>61653</xdr:rowOff>
    </xdr:to>
    <xdr:cxnSp macro="">
      <xdr:nvCxnSpPr>
        <xdr:cNvPr id="143" name="直線矢印コネクタ 142">
          <a:extLst>
            <a:ext uri="{FF2B5EF4-FFF2-40B4-BE49-F238E27FC236}">
              <a16:creationId xmlns:a16="http://schemas.microsoft.com/office/drawing/2014/main" id="{EFB714CD-E12F-4944-9DE9-660AD9A30BD2}"/>
            </a:ext>
          </a:extLst>
        </xdr:cNvPr>
        <xdr:cNvCxnSpPr>
          <a:cxnSpLocks/>
          <a:stCxn id="27" idx="3"/>
          <a:endCxn id="152" idx="2"/>
        </xdr:cNvCxnSpPr>
      </xdr:nvCxnSpPr>
      <xdr:spPr>
        <a:xfrm flipV="1">
          <a:off x="4184750" y="10080899"/>
          <a:ext cx="4705586" cy="29629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66675</xdr:colOff>
      <xdr:row>55</xdr:row>
      <xdr:rowOff>114300</xdr:rowOff>
    </xdr:from>
    <xdr:to>
      <xdr:col>55</xdr:col>
      <xdr:colOff>149225</xdr:colOff>
      <xdr:row>59</xdr:row>
      <xdr:rowOff>782</xdr:rowOff>
    </xdr:to>
    <xdr:grpSp>
      <xdr:nvGrpSpPr>
        <xdr:cNvPr id="151" name="グループ化 150">
          <a:extLst>
            <a:ext uri="{FF2B5EF4-FFF2-40B4-BE49-F238E27FC236}">
              <a16:creationId xmlns:a16="http://schemas.microsoft.com/office/drawing/2014/main" id="{C5E4C609-9557-43A2-99B8-0ABF66FF7499}"/>
            </a:ext>
          </a:extLst>
        </xdr:cNvPr>
        <xdr:cNvGrpSpPr/>
      </xdr:nvGrpSpPr>
      <xdr:grpSpPr>
        <a:xfrm>
          <a:off x="10267950" y="9591675"/>
          <a:ext cx="882650" cy="572282"/>
          <a:chOff x="7111999" y="2892425"/>
          <a:chExt cx="873125" cy="584982"/>
        </a:xfrm>
      </xdr:grpSpPr>
      <xdr:sp macro="" textlink="">
        <xdr:nvSpPr>
          <xdr:cNvPr id="152" name="フローチャート: 磁気ディスク 151">
            <a:extLst>
              <a:ext uri="{FF2B5EF4-FFF2-40B4-BE49-F238E27FC236}">
                <a16:creationId xmlns:a16="http://schemas.microsoft.com/office/drawing/2014/main" id="{8EBEA051-15A0-49AB-A0D7-00498582B44A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53" name="正方形/長方形 152">
            <a:extLst>
              <a:ext uri="{FF2B5EF4-FFF2-40B4-BE49-F238E27FC236}">
                <a16:creationId xmlns:a16="http://schemas.microsoft.com/office/drawing/2014/main" id="{C9D56D20-DECD-4029-A0CD-EDDD0B96E170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28</xdr:col>
      <xdr:colOff>17562</xdr:colOff>
      <xdr:row>66</xdr:row>
      <xdr:rowOff>12304</xdr:rowOff>
    </xdr:from>
    <xdr:to>
      <xdr:col>58</xdr:col>
      <xdr:colOff>133021</xdr:colOff>
      <xdr:row>66</xdr:row>
      <xdr:rowOff>100546</xdr:rowOff>
    </xdr:to>
    <xdr:cxnSp macro="">
      <xdr:nvCxnSpPr>
        <xdr:cNvPr id="170" name="直線矢印コネクタ 169">
          <a:extLst>
            <a:ext uri="{FF2B5EF4-FFF2-40B4-BE49-F238E27FC236}">
              <a16:creationId xmlns:a16="http://schemas.microsoft.com/office/drawing/2014/main" id="{2A88D251-AEEF-489A-A324-8FC3CECCD5DE}"/>
            </a:ext>
          </a:extLst>
        </xdr:cNvPr>
        <xdr:cNvCxnSpPr>
          <a:cxnSpLocks/>
          <a:stCxn id="172" idx="2"/>
          <a:endCxn id="31" idx="3"/>
        </xdr:cNvCxnSpPr>
      </xdr:nvCxnSpPr>
      <xdr:spPr>
        <a:xfrm flipH="1">
          <a:off x="4184750" y="11339117"/>
          <a:ext cx="6068584" cy="88242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39159</xdr:colOff>
      <xdr:row>64</xdr:row>
      <xdr:rowOff>7940</xdr:rowOff>
    </xdr:from>
    <xdr:to>
      <xdr:col>62</xdr:col>
      <xdr:colOff>135467</xdr:colOff>
      <xdr:row>68</xdr:row>
      <xdr:rowOff>83335</xdr:rowOff>
    </xdr:to>
    <xdr:grpSp>
      <xdr:nvGrpSpPr>
        <xdr:cNvPr id="171" name="グループ化 170">
          <a:extLst>
            <a:ext uri="{FF2B5EF4-FFF2-40B4-BE49-F238E27FC236}">
              <a16:creationId xmlns:a16="http://schemas.microsoft.com/office/drawing/2014/main" id="{8D392F93-7695-48AB-B9F9-FE95BF95B825}"/>
            </a:ext>
          </a:extLst>
        </xdr:cNvPr>
        <xdr:cNvGrpSpPr/>
      </xdr:nvGrpSpPr>
      <xdr:grpSpPr>
        <a:xfrm>
          <a:off x="11640609" y="11028365"/>
          <a:ext cx="896408" cy="761195"/>
          <a:chOff x="7111999" y="2892425"/>
          <a:chExt cx="873125" cy="584982"/>
        </a:xfrm>
      </xdr:grpSpPr>
      <xdr:sp macro="" textlink="">
        <xdr:nvSpPr>
          <xdr:cNvPr id="172" name="フローチャート: 磁気ディスク 171">
            <a:extLst>
              <a:ext uri="{FF2B5EF4-FFF2-40B4-BE49-F238E27FC236}">
                <a16:creationId xmlns:a16="http://schemas.microsoft.com/office/drawing/2014/main" id="{3B5E6BA1-0C1E-4459-90BA-DFCCF245F18B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73" name="正方形/長方形 172">
            <a:extLst>
              <a:ext uri="{FF2B5EF4-FFF2-40B4-BE49-F238E27FC236}">
                <a16:creationId xmlns:a16="http://schemas.microsoft.com/office/drawing/2014/main" id="{781F5BC7-7ACF-47CD-968B-E279C62E0624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資金集中管理</a:t>
            </a:r>
          </a:p>
        </xdr:txBody>
      </xdr:sp>
    </xdr:grpSp>
    <xdr:clientData/>
  </xdr:twoCellAnchor>
  <xdr:twoCellAnchor>
    <xdr:from>
      <xdr:col>28</xdr:col>
      <xdr:colOff>53975</xdr:colOff>
      <xdr:row>73</xdr:row>
      <xdr:rowOff>32024</xdr:rowOff>
    </xdr:from>
    <xdr:to>
      <xdr:col>51</xdr:col>
      <xdr:colOff>159086</xdr:colOff>
      <xdr:row>73</xdr:row>
      <xdr:rowOff>77887</xdr:rowOff>
    </xdr:to>
    <xdr:cxnSp macro="">
      <xdr:nvCxnSpPr>
        <xdr:cNvPr id="176" name="直線矢印コネクタ 175">
          <a:extLst>
            <a:ext uri="{FF2B5EF4-FFF2-40B4-BE49-F238E27FC236}">
              <a16:creationId xmlns:a16="http://schemas.microsoft.com/office/drawing/2014/main" id="{EDA4A9AD-859A-4BE3-ACD1-ADF7BE2C8AB0}"/>
            </a:ext>
          </a:extLst>
        </xdr:cNvPr>
        <xdr:cNvCxnSpPr>
          <a:cxnSpLocks/>
          <a:stCxn id="34" idx="3"/>
          <a:endCxn id="179" idx="2"/>
        </xdr:cNvCxnSpPr>
      </xdr:nvCxnSpPr>
      <xdr:spPr>
        <a:xfrm flipV="1">
          <a:off x="4221163" y="12636774"/>
          <a:ext cx="4669173" cy="45863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66675</xdr:colOff>
      <xdr:row>71</xdr:row>
      <xdr:rowOff>114300</xdr:rowOff>
    </xdr:from>
    <xdr:to>
      <xdr:col>55</xdr:col>
      <xdr:colOff>149225</xdr:colOff>
      <xdr:row>75</xdr:row>
      <xdr:rowOff>782</xdr:rowOff>
    </xdr:to>
    <xdr:grpSp>
      <xdr:nvGrpSpPr>
        <xdr:cNvPr id="178" name="グループ化 177">
          <a:extLst>
            <a:ext uri="{FF2B5EF4-FFF2-40B4-BE49-F238E27FC236}">
              <a16:creationId xmlns:a16="http://schemas.microsoft.com/office/drawing/2014/main" id="{EA6B0FAA-05E7-4369-AE84-C8AFC3D06B81}"/>
            </a:ext>
          </a:extLst>
        </xdr:cNvPr>
        <xdr:cNvGrpSpPr/>
      </xdr:nvGrpSpPr>
      <xdr:grpSpPr>
        <a:xfrm>
          <a:off x="10267950" y="12334875"/>
          <a:ext cx="882650" cy="572282"/>
          <a:chOff x="7111999" y="2892425"/>
          <a:chExt cx="873125" cy="584982"/>
        </a:xfrm>
      </xdr:grpSpPr>
      <xdr:sp macro="" textlink="">
        <xdr:nvSpPr>
          <xdr:cNvPr id="179" name="フローチャート: 磁気ディスク 178">
            <a:extLst>
              <a:ext uri="{FF2B5EF4-FFF2-40B4-BE49-F238E27FC236}">
                <a16:creationId xmlns:a16="http://schemas.microsoft.com/office/drawing/2014/main" id="{79638833-D6BD-4045-A717-BFFCAA5E577A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80" name="正方形/長方形 179">
            <a:extLst>
              <a:ext uri="{FF2B5EF4-FFF2-40B4-BE49-F238E27FC236}">
                <a16:creationId xmlns:a16="http://schemas.microsoft.com/office/drawing/2014/main" id="{D0153D94-850B-463C-863F-78CDAF2CA075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23</xdr:col>
      <xdr:colOff>125943</xdr:colOff>
      <xdr:row>12</xdr:row>
      <xdr:rowOff>142875</xdr:rowOff>
    </xdr:from>
    <xdr:to>
      <xdr:col>27</xdr:col>
      <xdr:colOff>33976</xdr:colOff>
      <xdr:row>14</xdr:row>
      <xdr:rowOff>59267</xdr:rowOff>
    </xdr:to>
    <xdr:sp macro="" textlink="">
      <xdr:nvSpPr>
        <xdr:cNvPr id="4" name="フローチャート: 端子 26">
          <a:extLst>
            <a:ext uri="{FF2B5EF4-FFF2-40B4-BE49-F238E27FC236}">
              <a16:creationId xmlns:a16="http://schemas.microsoft.com/office/drawing/2014/main" id="{22F370F0-D6E1-4836-AF87-633BD1F5961B}"/>
            </a:ext>
          </a:extLst>
        </xdr:cNvPr>
        <xdr:cNvSpPr/>
      </xdr:nvSpPr>
      <xdr:spPr>
        <a:xfrm>
          <a:off x="6079068" y="2341563"/>
          <a:ext cx="701783" cy="28151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22</xdr:col>
      <xdr:colOff>182195</xdr:colOff>
      <xdr:row>22</xdr:row>
      <xdr:rowOff>9532</xdr:rowOff>
    </xdr:from>
    <xdr:to>
      <xdr:col>27</xdr:col>
      <xdr:colOff>198537</xdr:colOff>
      <xdr:row>24</xdr:row>
      <xdr:rowOff>140762</xdr:rowOff>
    </xdr:to>
    <xdr:sp macro="" textlink="">
      <xdr:nvSpPr>
        <xdr:cNvPr id="11" name="フローチャート: 定義済み処理 10">
          <a:extLst>
            <a:ext uri="{FF2B5EF4-FFF2-40B4-BE49-F238E27FC236}">
              <a16:creationId xmlns:a16="http://schemas.microsoft.com/office/drawing/2014/main" id="{97CE7BFC-2985-4C81-A869-AD5AFAC6768B}"/>
            </a:ext>
          </a:extLst>
        </xdr:cNvPr>
        <xdr:cNvSpPr/>
      </xdr:nvSpPr>
      <xdr:spPr>
        <a:xfrm>
          <a:off x="5936883" y="3668720"/>
          <a:ext cx="1008529" cy="496355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22</xdr:col>
      <xdr:colOff>123825</xdr:colOff>
      <xdr:row>22</xdr:row>
      <xdr:rowOff>2117</xdr:rowOff>
    </xdr:from>
    <xdr:to>
      <xdr:col>28</xdr:col>
      <xdr:colOff>34925</xdr:colOff>
      <xdr:row>24</xdr:row>
      <xdr:rowOff>180646</xdr:rowOff>
    </xdr:to>
    <xdr:sp macro="" textlink="">
      <xdr:nvSpPr>
        <xdr:cNvPr id="12" name="正方形/長方形 3">
          <a:extLst>
            <a:ext uri="{FF2B5EF4-FFF2-40B4-BE49-F238E27FC236}">
              <a16:creationId xmlns:a16="http://schemas.microsoft.com/office/drawing/2014/main" id="{3094AE77-0302-43C8-B42A-092FDCF5B583}"/>
            </a:ext>
          </a:extLst>
        </xdr:cNvPr>
        <xdr:cNvSpPr/>
      </xdr:nvSpPr>
      <xdr:spPr>
        <a:xfrm>
          <a:off x="5878513" y="3661305"/>
          <a:ext cx="1101725" cy="543654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1.</a:t>
          </a:r>
          <a:r>
            <a:rPr kumimoji="1" lang="en-US" altLang="ja-JP" sz="900" baseline="0"/>
            <a:t> </a:t>
          </a:r>
          <a:r>
            <a:rPr kumimoji="1" lang="ja-JP" altLang="en-US" sz="900"/>
            <a:t>現金集計表</a:t>
          </a:r>
          <a:endParaRPr kumimoji="1" lang="en-US" altLang="ja-JP" sz="900"/>
        </a:p>
        <a:p>
          <a:pPr algn="ctr"/>
          <a:r>
            <a:rPr kumimoji="1" lang="ja-JP" altLang="en-US" sz="900"/>
            <a:t>作成</a:t>
          </a:r>
          <a:endParaRPr kumimoji="1" lang="en-US" altLang="ja-JP" sz="900"/>
        </a:p>
      </xdr:txBody>
    </xdr:sp>
    <xdr:clientData/>
  </xdr:twoCellAnchor>
  <xdr:twoCellAnchor>
    <xdr:from>
      <xdr:col>25</xdr:col>
      <xdr:colOff>79375</xdr:colOff>
      <xdr:row>24</xdr:row>
      <xdr:rowOff>180646</xdr:rowOff>
    </xdr:from>
    <xdr:to>
      <xdr:col>25</xdr:col>
      <xdr:colOff>80829</xdr:colOff>
      <xdr:row>29</xdr:row>
      <xdr:rowOff>7</xdr:rowOff>
    </xdr:to>
    <xdr:cxnSp macro="">
      <xdr:nvCxnSpPr>
        <xdr:cNvPr id="13" name="直線矢印コネクタ 27">
          <a:extLst>
            <a:ext uri="{FF2B5EF4-FFF2-40B4-BE49-F238E27FC236}">
              <a16:creationId xmlns:a16="http://schemas.microsoft.com/office/drawing/2014/main" id="{91DC208C-9973-41F5-9A0F-66655C166241}"/>
            </a:ext>
          </a:extLst>
        </xdr:cNvPr>
        <xdr:cNvCxnSpPr>
          <a:cxnSpLocks/>
          <a:stCxn id="12" idx="2"/>
        </xdr:cNvCxnSpPr>
      </xdr:nvCxnSpPr>
      <xdr:spPr>
        <a:xfrm>
          <a:off x="6429375" y="4204959"/>
          <a:ext cx="1454" cy="73217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79375</xdr:colOff>
      <xdr:row>14</xdr:row>
      <xdr:rowOff>59267</xdr:rowOff>
    </xdr:from>
    <xdr:to>
      <xdr:col>25</xdr:col>
      <xdr:colOff>79960</xdr:colOff>
      <xdr:row>22</xdr:row>
      <xdr:rowOff>2117</xdr:rowOff>
    </xdr:to>
    <xdr:cxnSp macro="">
      <xdr:nvCxnSpPr>
        <xdr:cNvPr id="14" name="直線矢印コネクタ 27">
          <a:extLst>
            <a:ext uri="{FF2B5EF4-FFF2-40B4-BE49-F238E27FC236}">
              <a16:creationId xmlns:a16="http://schemas.microsoft.com/office/drawing/2014/main" id="{1E2708A7-D8CA-4C77-A328-EEDD605AB867}"/>
            </a:ext>
          </a:extLst>
        </xdr:cNvPr>
        <xdr:cNvCxnSpPr>
          <a:cxnSpLocks/>
          <a:stCxn id="4" idx="2"/>
          <a:endCxn id="12" idx="0"/>
        </xdr:cNvCxnSpPr>
      </xdr:nvCxnSpPr>
      <xdr:spPr>
        <a:xfrm flipH="1">
          <a:off x="6429375" y="2623080"/>
          <a:ext cx="585" cy="10382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172670</xdr:colOff>
      <xdr:row>29</xdr:row>
      <xdr:rowOff>9532</xdr:rowOff>
    </xdr:from>
    <xdr:to>
      <xdr:col>27</xdr:col>
      <xdr:colOff>189012</xdr:colOff>
      <xdr:row>31</xdr:row>
      <xdr:rowOff>140762</xdr:rowOff>
    </xdr:to>
    <xdr:sp macro="" textlink="">
      <xdr:nvSpPr>
        <xdr:cNvPr id="18" name="フローチャート: 定義済み処理 17">
          <a:extLst>
            <a:ext uri="{FF2B5EF4-FFF2-40B4-BE49-F238E27FC236}">
              <a16:creationId xmlns:a16="http://schemas.microsoft.com/office/drawing/2014/main" id="{5B30C25B-FA75-46E4-A513-6D644F649331}"/>
            </a:ext>
          </a:extLst>
        </xdr:cNvPr>
        <xdr:cNvSpPr/>
      </xdr:nvSpPr>
      <xdr:spPr>
        <a:xfrm>
          <a:off x="5927358" y="4946657"/>
          <a:ext cx="1008529" cy="496355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22</xdr:col>
      <xdr:colOff>114300</xdr:colOff>
      <xdr:row>29</xdr:row>
      <xdr:rowOff>2117</xdr:rowOff>
    </xdr:from>
    <xdr:to>
      <xdr:col>28</xdr:col>
      <xdr:colOff>25400</xdr:colOff>
      <xdr:row>31</xdr:row>
      <xdr:rowOff>180646</xdr:rowOff>
    </xdr:to>
    <xdr:sp macro="" textlink="">
      <xdr:nvSpPr>
        <xdr:cNvPr id="19" name="正方形/長方形 117">
          <a:extLst>
            <a:ext uri="{FF2B5EF4-FFF2-40B4-BE49-F238E27FC236}">
              <a16:creationId xmlns:a16="http://schemas.microsoft.com/office/drawing/2014/main" id="{18AD0126-B350-475A-A060-F1B6A97AD6FF}"/>
            </a:ext>
          </a:extLst>
        </xdr:cNvPr>
        <xdr:cNvSpPr/>
      </xdr:nvSpPr>
      <xdr:spPr>
        <a:xfrm>
          <a:off x="5868988" y="4939242"/>
          <a:ext cx="1101725" cy="543654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2</a:t>
          </a:r>
          <a:r>
            <a:rPr kumimoji="1" lang="ja-JP" altLang="en-US" sz="900"/>
            <a:t>．現金出帳帳</a:t>
          </a:r>
          <a:endParaRPr kumimoji="1" lang="en-US" altLang="ja-JP" sz="900"/>
        </a:p>
        <a:p>
          <a:pPr algn="ctr"/>
          <a:r>
            <a:rPr kumimoji="1" lang="ja-JP" altLang="en-US" sz="900"/>
            <a:t>作成</a:t>
          </a:r>
          <a:endParaRPr kumimoji="1" lang="en-US" altLang="ja-JP" sz="900"/>
        </a:p>
      </xdr:txBody>
    </xdr:sp>
    <xdr:clientData/>
  </xdr:twoCellAnchor>
  <xdr:twoCellAnchor>
    <xdr:from>
      <xdr:col>23</xdr:col>
      <xdr:colOff>104775</xdr:colOff>
      <xdr:row>35</xdr:row>
      <xdr:rowOff>0</xdr:rowOff>
    </xdr:from>
    <xdr:to>
      <xdr:col>27</xdr:col>
      <xdr:colOff>28145</xdr:colOff>
      <xdr:row>36</xdr:row>
      <xdr:rowOff>78309</xdr:rowOff>
    </xdr:to>
    <xdr:sp macro="" textlink="">
      <xdr:nvSpPr>
        <xdr:cNvPr id="21" name="フローチャート: 端子 20">
          <a:extLst>
            <a:ext uri="{FF2B5EF4-FFF2-40B4-BE49-F238E27FC236}">
              <a16:creationId xmlns:a16="http://schemas.microsoft.com/office/drawing/2014/main" id="{287931B5-F8DE-4E8D-97F1-16B59ADA7393}"/>
            </a:ext>
          </a:extLst>
        </xdr:cNvPr>
        <xdr:cNvSpPr/>
      </xdr:nvSpPr>
      <xdr:spPr>
        <a:xfrm>
          <a:off x="6057900" y="6032500"/>
          <a:ext cx="717120" cy="26087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25</xdr:col>
      <xdr:colOff>66460</xdr:colOff>
      <xdr:row>31</xdr:row>
      <xdr:rowOff>180646</xdr:rowOff>
    </xdr:from>
    <xdr:to>
      <xdr:col>25</xdr:col>
      <xdr:colOff>69850</xdr:colOff>
      <xdr:row>35</xdr:row>
      <xdr:rowOff>0</xdr:rowOff>
    </xdr:to>
    <xdr:cxnSp macro="">
      <xdr:nvCxnSpPr>
        <xdr:cNvPr id="22" name="直線矢印コネクタ 27">
          <a:extLst>
            <a:ext uri="{FF2B5EF4-FFF2-40B4-BE49-F238E27FC236}">
              <a16:creationId xmlns:a16="http://schemas.microsoft.com/office/drawing/2014/main" id="{0303BB2D-7E9D-4F2F-8E74-B89EA37591A8}"/>
            </a:ext>
          </a:extLst>
        </xdr:cNvPr>
        <xdr:cNvCxnSpPr>
          <a:cxnSpLocks/>
          <a:stCxn id="19" idx="2"/>
          <a:endCxn id="21" idx="0"/>
        </xdr:cNvCxnSpPr>
      </xdr:nvCxnSpPr>
      <xdr:spPr>
        <a:xfrm flipH="1">
          <a:off x="6416460" y="5482896"/>
          <a:ext cx="3390" cy="54960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142875</xdr:colOff>
      <xdr:row>42</xdr:row>
      <xdr:rowOff>0</xdr:rowOff>
    </xdr:from>
    <xdr:to>
      <xdr:col>27</xdr:col>
      <xdr:colOff>50908</xdr:colOff>
      <xdr:row>43</xdr:row>
      <xdr:rowOff>97367</xdr:rowOff>
    </xdr:to>
    <xdr:sp macro="" textlink="">
      <xdr:nvSpPr>
        <xdr:cNvPr id="23" name="フローチャート: 端子 26">
          <a:extLst>
            <a:ext uri="{FF2B5EF4-FFF2-40B4-BE49-F238E27FC236}">
              <a16:creationId xmlns:a16="http://schemas.microsoft.com/office/drawing/2014/main" id="{C45658DE-AC5E-4969-BB35-1E46BCB6CC38}"/>
            </a:ext>
          </a:extLst>
        </xdr:cNvPr>
        <xdr:cNvSpPr/>
      </xdr:nvSpPr>
      <xdr:spPr>
        <a:xfrm>
          <a:off x="6096000" y="7310438"/>
          <a:ext cx="701783" cy="279929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25</xdr:col>
      <xdr:colOff>96892</xdr:colOff>
      <xdr:row>43</xdr:row>
      <xdr:rowOff>97367</xdr:rowOff>
    </xdr:from>
    <xdr:to>
      <xdr:col>25</xdr:col>
      <xdr:colOff>98425</xdr:colOff>
      <xdr:row>49</xdr:row>
      <xdr:rowOff>27516</xdr:rowOff>
    </xdr:to>
    <xdr:cxnSp macro="">
      <xdr:nvCxnSpPr>
        <xdr:cNvPr id="24" name="直線矢印コネクタ 27">
          <a:extLst>
            <a:ext uri="{FF2B5EF4-FFF2-40B4-BE49-F238E27FC236}">
              <a16:creationId xmlns:a16="http://schemas.microsoft.com/office/drawing/2014/main" id="{31E17FFC-AC0E-483C-A583-DEA83E159826}"/>
            </a:ext>
          </a:extLst>
        </xdr:cNvPr>
        <xdr:cNvCxnSpPr>
          <a:cxnSpLocks/>
          <a:stCxn id="23" idx="2"/>
          <a:endCxn id="26" idx="0"/>
        </xdr:cNvCxnSpPr>
      </xdr:nvCxnSpPr>
      <xdr:spPr>
        <a:xfrm>
          <a:off x="6446892" y="7590367"/>
          <a:ext cx="1533" cy="102552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1220</xdr:colOff>
      <xdr:row>49</xdr:row>
      <xdr:rowOff>34931</xdr:rowOff>
    </xdr:from>
    <xdr:to>
      <xdr:col>28</xdr:col>
      <xdr:colOff>17562</xdr:colOff>
      <xdr:row>51</xdr:row>
      <xdr:rowOff>166161</xdr:rowOff>
    </xdr:to>
    <xdr:sp macro="" textlink="">
      <xdr:nvSpPr>
        <xdr:cNvPr id="25" name="フローチャート: 定義済み処理 24">
          <a:extLst>
            <a:ext uri="{FF2B5EF4-FFF2-40B4-BE49-F238E27FC236}">
              <a16:creationId xmlns:a16="http://schemas.microsoft.com/office/drawing/2014/main" id="{5E04249F-8285-42EB-BEAD-9BA9B4FBC512}"/>
            </a:ext>
          </a:extLst>
        </xdr:cNvPr>
        <xdr:cNvSpPr/>
      </xdr:nvSpPr>
      <xdr:spPr>
        <a:xfrm>
          <a:off x="5954345" y="8623306"/>
          <a:ext cx="1008530" cy="496355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22</xdr:col>
      <xdr:colOff>142875</xdr:colOff>
      <xdr:row>49</xdr:row>
      <xdr:rowOff>27516</xdr:rowOff>
    </xdr:from>
    <xdr:to>
      <xdr:col>28</xdr:col>
      <xdr:colOff>53975</xdr:colOff>
      <xdr:row>52</xdr:row>
      <xdr:rowOff>25070</xdr:rowOff>
    </xdr:to>
    <xdr:sp macro="" textlink="">
      <xdr:nvSpPr>
        <xdr:cNvPr id="26" name="正方形/長方形 130">
          <a:extLst>
            <a:ext uri="{FF2B5EF4-FFF2-40B4-BE49-F238E27FC236}">
              <a16:creationId xmlns:a16="http://schemas.microsoft.com/office/drawing/2014/main" id="{51DECC0A-544D-4756-99C7-A0D940433F84}"/>
            </a:ext>
          </a:extLst>
        </xdr:cNvPr>
        <xdr:cNvSpPr/>
      </xdr:nvSpPr>
      <xdr:spPr>
        <a:xfrm>
          <a:off x="5897563" y="8615891"/>
          <a:ext cx="1101725" cy="54524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1</a:t>
          </a:r>
          <a:r>
            <a:rPr kumimoji="1" lang="ja-JP" altLang="en-US" sz="900"/>
            <a:t>．銀行引落手数料情報出力</a:t>
          </a:r>
          <a:endParaRPr kumimoji="1" lang="en-US" altLang="ja-JP" sz="900"/>
        </a:p>
      </xdr:txBody>
    </xdr:sp>
    <xdr:clientData/>
  </xdr:twoCellAnchor>
  <xdr:twoCellAnchor>
    <xdr:from>
      <xdr:col>23</xdr:col>
      <xdr:colOff>1220</xdr:colOff>
      <xdr:row>55</xdr:row>
      <xdr:rowOff>177806</xdr:rowOff>
    </xdr:from>
    <xdr:to>
      <xdr:col>28</xdr:col>
      <xdr:colOff>17562</xdr:colOff>
      <xdr:row>58</xdr:row>
      <xdr:rowOff>128061</xdr:rowOff>
    </xdr:to>
    <xdr:sp macro="" textlink="">
      <xdr:nvSpPr>
        <xdr:cNvPr id="27" name="フローチャート: 定義済み処理 26">
          <a:extLst>
            <a:ext uri="{FF2B5EF4-FFF2-40B4-BE49-F238E27FC236}">
              <a16:creationId xmlns:a16="http://schemas.microsoft.com/office/drawing/2014/main" id="{2B8ABCD4-488A-4A9C-9AAD-CEFFF282E215}"/>
            </a:ext>
          </a:extLst>
        </xdr:cNvPr>
        <xdr:cNvSpPr/>
      </xdr:nvSpPr>
      <xdr:spPr>
        <a:xfrm>
          <a:off x="5954345" y="9861556"/>
          <a:ext cx="1008530" cy="497943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22</xdr:col>
      <xdr:colOff>142875</xdr:colOff>
      <xdr:row>55</xdr:row>
      <xdr:rowOff>170391</xdr:rowOff>
    </xdr:from>
    <xdr:to>
      <xdr:col>28</xdr:col>
      <xdr:colOff>53975</xdr:colOff>
      <xdr:row>58</xdr:row>
      <xdr:rowOff>167945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DFE09A7A-C0CE-454E-949D-44AFF7F64FDA}"/>
            </a:ext>
          </a:extLst>
        </xdr:cNvPr>
        <xdr:cNvSpPr/>
      </xdr:nvSpPr>
      <xdr:spPr>
        <a:xfrm>
          <a:off x="5897563" y="9854141"/>
          <a:ext cx="1101725" cy="54524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2</a:t>
          </a:r>
          <a:r>
            <a:rPr kumimoji="1" lang="ja-JP" altLang="en-US" sz="900"/>
            <a:t>．銀行引落手数料仕訳計上</a:t>
          </a:r>
          <a:endParaRPr kumimoji="1" lang="en-US" altLang="ja-JP" sz="900"/>
        </a:p>
      </xdr:txBody>
    </xdr:sp>
    <xdr:clientData/>
  </xdr:twoCellAnchor>
  <xdr:twoCellAnchor>
    <xdr:from>
      <xdr:col>25</xdr:col>
      <xdr:colOff>109404</xdr:colOff>
      <xdr:row>51</xdr:row>
      <xdr:rowOff>166161</xdr:rowOff>
    </xdr:from>
    <xdr:to>
      <xdr:col>25</xdr:col>
      <xdr:colOff>109404</xdr:colOff>
      <xdr:row>55</xdr:row>
      <xdr:rowOff>177806</xdr:rowOff>
    </xdr:to>
    <xdr:cxnSp macro="">
      <xdr:nvCxnSpPr>
        <xdr:cNvPr id="29" name="直線矢印コネクタ 27">
          <a:extLst>
            <a:ext uri="{FF2B5EF4-FFF2-40B4-BE49-F238E27FC236}">
              <a16:creationId xmlns:a16="http://schemas.microsoft.com/office/drawing/2014/main" id="{3C7D559F-2DDB-4651-9F57-E1EB8F68F40B}"/>
            </a:ext>
          </a:extLst>
        </xdr:cNvPr>
        <xdr:cNvCxnSpPr>
          <a:cxnSpLocks/>
          <a:stCxn id="25" idx="2"/>
          <a:endCxn id="27" idx="0"/>
        </xdr:cNvCxnSpPr>
      </xdr:nvCxnSpPr>
      <xdr:spPr>
        <a:xfrm>
          <a:off x="6459404" y="9119661"/>
          <a:ext cx="0" cy="74189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98425</xdr:colOff>
      <xdr:row>58</xdr:row>
      <xdr:rowOff>128061</xdr:rowOff>
    </xdr:from>
    <xdr:to>
      <xdr:col>25</xdr:col>
      <xdr:colOff>109404</xdr:colOff>
      <xdr:row>65</xdr:row>
      <xdr:rowOff>27516</xdr:rowOff>
    </xdr:to>
    <xdr:cxnSp macro="">
      <xdr:nvCxnSpPr>
        <xdr:cNvPr id="30" name="直線矢印コネクタ 27">
          <a:extLst>
            <a:ext uri="{FF2B5EF4-FFF2-40B4-BE49-F238E27FC236}">
              <a16:creationId xmlns:a16="http://schemas.microsoft.com/office/drawing/2014/main" id="{C996AFAB-D352-4A98-B1CF-ED050DE2F5EA}"/>
            </a:ext>
          </a:extLst>
        </xdr:cNvPr>
        <xdr:cNvCxnSpPr>
          <a:cxnSpLocks/>
          <a:stCxn id="27" idx="2"/>
          <a:endCxn id="32" idx="0"/>
        </xdr:cNvCxnSpPr>
      </xdr:nvCxnSpPr>
      <xdr:spPr>
        <a:xfrm flipH="1">
          <a:off x="6448425" y="10359499"/>
          <a:ext cx="10979" cy="81226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1220</xdr:colOff>
      <xdr:row>65</xdr:row>
      <xdr:rowOff>34931</xdr:rowOff>
    </xdr:from>
    <xdr:to>
      <xdr:col>28</xdr:col>
      <xdr:colOff>17562</xdr:colOff>
      <xdr:row>67</xdr:row>
      <xdr:rowOff>166161</xdr:rowOff>
    </xdr:to>
    <xdr:sp macro="" textlink="">
      <xdr:nvSpPr>
        <xdr:cNvPr id="31" name="フローチャート: 定義済み処理 30">
          <a:extLst>
            <a:ext uri="{FF2B5EF4-FFF2-40B4-BE49-F238E27FC236}">
              <a16:creationId xmlns:a16="http://schemas.microsoft.com/office/drawing/2014/main" id="{D32A1944-13C0-40E8-B36B-4BFA71A4930E}"/>
            </a:ext>
          </a:extLst>
        </xdr:cNvPr>
        <xdr:cNvSpPr/>
      </xdr:nvSpPr>
      <xdr:spPr>
        <a:xfrm>
          <a:off x="5954345" y="11179181"/>
          <a:ext cx="1008530" cy="496355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22</xdr:col>
      <xdr:colOff>142875</xdr:colOff>
      <xdr:row>65</xdr:row>
      <xdr:rowOff>27516</xdr:rowOff>
    </xdr:from>
    <xdr:to>
      <xdr:col>28</xdr:col>
      <xdr:colOff>53975</xdr:colOff>
      <xdr:row>68</xdr:row>
      <xdr:rowOff>25070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79F43F6C-EBF2-469B-BF76-37F6FA157317}"/>
            </a:ext>
          </a:extLst>
        </xdr:cNvPr>
        <xdr:cNvSpPr/>
      </xdr:nvSpPr>
      <xdr:spPr>
        <a:xfrm>
          <a:off x="5897563" y="11171766"/>
          <a:ext cx="1101725" cy="54524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3</a:t>
          </a:r>
          <a:r>
            <a:rPr kumimoji="1" lang="ja-JP" altLang="en-US" sz="900"/>
            <a:t>．預金決算利息情報出力</a:t>
          </a:r>
          <a:endParaRPr kumimoji="1" lang="en-US" altLang="ja-JP" sz="900"/>
        </a:p>
      </xdr:txBody>
    </xdr:sp>
    <xdr:clientData/>
  </xdr:twoCellAnchor>
  <xdr:twoCellAnchor>
    <xdr:from>
      <xdr:col>23</xdr:col>
      <xdr:colOff>1220</xdr:colOff>
      <xdr:row>71</xdr:row>
      <xdr:rowOff>177806</xdr:rowOff>
    </xdr:from>
    <xdr:to>
      <xdr:col>28</xdr:col>
      <xdr:colOff>17562</xdr:colOff>
      <xdr:row>74</xdr:row>
      <xdr:rowOff>128061</xdr:rowOff>
    </xdr:to>
    <xdr:sp macro="" textlink="">
      <xdr:nvSpPr>
        <xdr:cNvPr id="33" name="フローチャート: 定義済み処理 32">
          <a:extLst>
            <a:ext uri="{FF2B5EF4-FFF2-40B4-BE49-F238E27FC236}">
              <a16:creationId xmlns:a16="http://schemas.microsoft.com/office/drawing/2014/main" id="{BF84DA11-0D5A-4261-B6DC-C0D7C37BF3FA}"/>
            </a:ext>
          </a:extLst>
        </xdr:cNvPr>
        <xdr:cNvSpPr/>
      </xdr:nvSpPr>
      <xdr:spPr>
        <a:xfrm>
          <a:off x="5954345" y="12417431"/>
          <a:ext cx="1008530" cy="497943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22</xdr:col>
      <xdr:colOff>142875</xdr:colOff>
      <xdr:row>71</xdr:row>
      <xdr:rowOff>170391</xdr:rowOff>
    </xdr:from>
    <xdr:to>
      <xdr:col>28</xdr:col>
      <xdr:colOff>53975</xdr:colOff>
      <xdr:row>74</xdr:row>
      <xdr:rowOff>167945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BB8B8600-71F8-4094-A8D2-9D16F2B1F5ED}"/>
            </a:ext>
          </a:extLst>
        </xdr:cNvPr>
        <xdr:cNvSpPr/>
      </xdr:nvSpPr>
      <xdr:spPr>
        <a:xfrm>
          <a:off x="5897563" y="12410016"/>
          <a:ext cx="1101725" cy="54524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4</a:t>
          </a:r>
          <a:r>
            <a:rPr kumimoji="1" lang="ja-JP" altLang="en-US" sz="900"/>
            <a:t>．預金決算利息仕訳計上</a:t>
          </a:r>
          <a:endParaRPr kumimoji="1" lang="en-US" altLang="ja-JP" sz="900"/>
        </a:p>
      </xdr:txBody>
    </xdr:sp>
    <xdr:clientData/>
  </xdr:twoCellAnchor>
  <xdr:twoCellAnchor>
    <xdr:from>
      <xdr:col>25</xdr:col>
      <xdr:colOff>109404</xdr:colOff>
      <xdr:row>67</xdr:row>
      <xdr:rowOff>166161</xdr:rowOff>
    </xdr:from>
    <xdr:to>
      <xdr:col>25</xdr:col>
      <xdr:colOff>109404</xdr:colOff>
      <xdr:row>71</xdr:row>
      <xdr:rowOff>177806</xdr:rowOff>
    </xdr:to>
    <xdr:cxnSp macro="">
      <xdr:nvCxnSpPr>
        <xdr:cNvPr id="35" name="直線矢印コネクタ 27">
          <a:extLst>
            <a:ext uri="{FF2B5EF4-FFF2-40B4-BE49-F238E27FC236}">
              <a16:creationId xmlns:a16="http://schemas.microsoft.com/office/drawing/2014/main" id="{6DC87140-FA16-4D8C-A57C-345EBE22566F}"/>
            </a:ext>
          </a:extLst>
        </xdr:cNvPr>
        <xdr:cNvCxnSpPr>
          <a:cxnSpLocks/>
          <a:stCxn id="31" idx="2"/>
          <a:endCxn id="33" idx="0"/>
        </xdr:cNvCxnSpPr>
      </xdr:nvCxnSpPr>
      <xdr:spPr>
        <a:xfrm>
          <a:off x="6459404" y="11675536"/>
          <a:ext cx="0" cy="74189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107442</xdr:colOff>
      <xdr:row>74</xdr:row>
      <xdr:rowOff>128061</xdr:rowOff>
    </xdr:from>
    <xdr:to>
      <xdr:col>25</xdr:col>
      <xdr:colOff>111626</xdr:colOff>
      <xdr:row>80</xdr:row>
      <xdr:rowOff>114917</xdr:rowOff>
    </xdr:to>
    <xdr:cxnSp macro="">
      <xdr:nvCxnSpPr>
        <xdr:cNvPr id="36" name="直線矢印コネクタ 27">
          <a:extLst>
            <a:ext uri="{FF2B5EF4-FFF2-40B4-BE49-F238E27FC236}">
              <a16:creationId xmlns:a16="http://schemas.microsoft.com/office/drawing/2014/main" id="{6705BE25-E0C8-4110-94A9-6896D005DD9D}"/>
            </a:ext>
          </a:extLst>
        </xdr:cNvPr>
        <xdr:cNvCxnSpPr>
          <a:cxnSpLocks/>
          <a:stCxn id="33" idx="2"/>
          <a:endCxn id="287" idx="0"/>
        </xdr:cNvCxnSpPr>
      </xdr:nvCxnSpPr>
      <xdr:spPr>
        <a:xfrm>
          <a:off x="5010016" y="13603135"/>
          <a:ext cx="4184" cy="253619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114297</xdr:colOff>
      <xdr:row>51</xdr:row>
      <xdr:rowOff>88710</xdr:rowOff>
    </xdr:from>
    <xdr:to>
      <xdr:col>33</xdr:col>
      <xdr:colOff>95250</xdr:colOff>
      <xdr:row>54</xdr:row>
      <xdr:rowOff>123825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EB34894B-2FE5-441D-8F6C-F8D18A253090}"/>
            </a:ext>
          </a:extLst>
        </xdr:cNvPr>
        <xdr:cNvGrpSpPr/>
      </xdr:nvGrpSpPr>
      <xdr:grpSpPr>
        <a:xfrm>
          <a:off x="5714997" y="8880285"/>
          <a:ext cx="981078" cy="549465"/>
          <a:chOff x="4399067" y="5724615"/>
          <a:chExt cx="887308" cy="462099"/>
        </a:xfrm>
      </xdr:grpSpPr>
      <xdr:sp macro="" textlink="">
        <xdr:nvSpPr>
          <xdr:cNvPr id="38" name="AutoShape 49">
            <a:extLst>
              <a:ext uri="{FF2B5EF4-FFF2-40B4-BE49-F238E27FC236}">
                <a16:creationId xmlns:a16="http://schemas.microsoft.com/office/drawing/2014/main" id="{88A6A36B-F985-EF10-243C-4B3306918C1A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39" name="正方形/長方形 48">
            <a:extLst>
              <a:ext uri="{FF2B5EF4-FFF2-40B4-BE49-F238E27FC236}">
                <a16:creationId xmlns:a16="http://schemas.microsoft.com/office/drawing/2014/main" id="{CF86FF90-20B4-E883-AA75-250F37FD69BC}"/>
              </a:ext>
            </a:extLst>
          </xdr:cNvPr>
          <xdr:cNvSpPr/>
        </xdr:nvSpPr>
        <xdr:spPr>
          <a:xfrm>
            <a:off x="4399067" y="5724615"/>
            <a:ext cx="825144" cy="46209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引落手数料情報</a:t>
            </a:r>
            <a:r>
              <a:rPr kumimoji="1" lang="en-US" altLang="ja-JP" sz="900"/>
              <a:t>.csv</a:t>
            </a:r>
            <a:endParaRPr kumimoji="1" lang="ja-JP" altLang="en-US" sz="900"/>
          </a:p>
        </xdr:txBody>
      </xdr:sp>
    </xdr:grpSp>
    <xdr:clientData/>
  </xdr:twoCellAnchor>
  <xdr:twoCellAnchor>
    <xdr:from>
      <xdr:col>28</xdr:col>
      <xdr:colOff>133350</xdr:colOff>
      <xdr:row>67</xdr:row>
      <xdr:rowOff>38100</xdr:rowOff>
    </xdr:from>
    <xdr:to>
      <xdr:col>33</xdr:col>
      <xdr:colOff>114303</xdr:colOff>
      <xdr:row>70</xdr:row>
      <xdr:rowOff>73215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4DAE83BB-BA2D-4EED-AD5F-B8B793C6C1BA}"/>
            </a:ext>
          </a:extLst>
        </xdr:cNvPr>
        <xdr:cNvGrpSpPr/>
      </xdr:nvGrpSpPr>
      <xdr:grpSpPr>
        <a:xfrm>
          <a:off x="5734050" y="11572875"/>
          <a:ext cx="981078" cy="549465"/>
          <a:chOff x="4399067" y="5724615"/>
          <a:chExt cx="887308" cy="462099"/>
        </a:xfrm>
      </xdr:grpSpPr>
      <xdr:sp macro="" textlink="">
        <xdr:nvSpPr>
          <xdr:cNvPr id="41" name="AutoShape 49">
            <a:extLst>
              <a:ext uri="{FF2B5EF4-FFF2-40B4-BE49-F238E27FC236}">
                <a16:creationId xmlns:a16="http://schemas.microsoft.com/office/drawing/2014/main" id="{A93E2D0F-A289-CDAD-F8BC-B78419C115D8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42" name="正方形/長方形 48">
            <a:extLst>
              <a:ext uri="{FF2B5EF4-FFF2-40B4-BE49-F238E27FC236}">
                <a16:creationId xmlns:a16="http://schemas.microsoft.com/office/drawing/2014/main" id="{D420A86E-BA5D-59F9-9059-F483E152A76E}"/>
              </a:ext>
            </a:extLst>
          </xdr:cNvPr>
          <xdr:cNvSpPr/>
        </xdr:nvSpPr>
        <xdr:spPr>
          <a:xfrm>
            <a:off x="4399067" y="5724615"/>
            <a:ext cx="825144" cy="46209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預金決算利息情報</a:t>
            </a:r>
            <a:r>
              <a:rPr kumimoji="1" lang="en-US" altLang="ja-JP" sz="900"/>
              <a:t>.csv</a:t>
            </a:r>
            <a:endParaRPr kumimoji="1" lang="ja-JP" altLang="en-US" sz="900"/>
          </a:p>
        </xdr:txBody>
      </xdr:sp>
    </xdr:grpSp>
    <xdr:clientData/>
  </xdr:twoCellAnchor>
  <xdr:twoCellAnchor>
    <xdr:from>
      <xdr:col>28</xdr:col>
      <xdr:colOff>34925</xdr:colOff>
      <xdr:row>99</xdr:row>
      <xdr:rowOff>66687</xdr:rowOff>
    </xdr:from>
    <xdr:to>
      <xdr:col>51</xdr:col>
      <xdr:colOff>171121</xdr:colOff>
      <xdr:row>99</xdr:row>
      <xdr:rowOff>91382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2CC23A84-C38B-4637-99E7-8EE029DA2D77}"/>
            </a:ext>
          </a:extLst>
        </xdr:cNvPr>
        <xdr:cNvCxnSpPr>
          <a:cxnSpLocks/>
          <a:stCxn id="80" idx="2"/>
          <a:endCxn id="88" idx="3"/>
        </xdr:cNvCxnSpPr>
      </xdr:nvCxnSpPr>
      <xdr:spPr>
        <a:xfrm flipH="1">
          <a:off x="4277880" y="3943362"/>
          <a:ext cx="4783241" cy="2152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77259</xdr:colOff>
      <xdr:row>97</xdr:row>
      <xdr:rowOff>149226</xdr:rowOff>
    </xdr:from>
    <xdr:to>
      <xdr:col>55</xdr:col>
      <xdr:colOff>173567</xdr:colOff>
      <xdr:row>101</xdr:row>
      <xdr:rowOff>38883</xdr:rowOff>
    </xdr:to>
    <xdr:grpSp>
      <xdr:nvGrpSpPr>
        <xdr:cNvPr id="79" name="グループ化 78">
          <a:extLst>
            <a:ext uri="{FF2B5EF4-FFF2-40B4-BE49-F238E27FC236}">
              <a16:creationId xmlns:a16="http://schemas.microsoft.com/office/drawing/2014/main" id="{D013C594-431B-4F92-A24A-641F7DBD993C}"/>
            </a:ext>
          </a:extLst>
        </xdr:cNvPr>
        <xdr:cNvGrpSpPr/>
      </xdr:nvGrpSpPr>
      <xdr:grpSpPr>
        <a:xfrm>
          <a:off x="10278534" y="16827501"/>
          <a:ext cx="896408" cy="575457"/>
          <a:chOff x="7111999" y="2892425"/>
          <a:chExt cx="873125" cy="584982"/>
        </a:xfrm>
      </xdr:grpSpPr>
      <xdr:sp macro="" textlink="">
        <xdr:nvSpPr>
          <xdr:cNvPr id="80" name="フローチャート: 磁気ディスク 79">
            <a:extLst>
              <a:ext uri="{FF2B5EF4-FFF2-40B4-BE49-F238E27FC236}">
                <a16:creationId xmlns:a16="http://schemas.microsoft.com/office/drawing/2014/main" id="{29877FC3-C0D2-036C-2715-B2BEB9D517D1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BBC8D3FC-FC28-3700-D367-22B7574E5973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</a:p>
        </xdr:txBody>
      </xdr:sp>
    </xdr:grpSp>
    <xdr:clientData/>
  </xdr:twoCellAnchor>
  <xdr:twoCellAnchor>
    <xdr:from>
      <xdr:col>27</xdr:col>
      <xdr:colOff>189012</xdr:colOff>
      <xdr:row>121</xdr:row>
      <xdr:rowOff>10321</xdr:rowOff>
    </xdr:from>
    <xdr:to>
      <xdr:col>58</xdr:col>
      <xdr:colOff>122952</xdr:colOff>
      <xdr:row>121</xdr:row>
      <xdr:rowOff>78322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C73574EA-B07B-431B-9345-D2110D1CB6F2}"/>
            </a:ext>
          </a:extLst>
        </xdr:cNvPr>
        <xdr:cNvCxnSpPr>
          <a:cxnSpLocks/>
          <a:stCxn id="84" idx="2"/>
          <a:endCxn id="91" idx="3"/>
        </xdr:cNvCxnSpPr>
      </xdr:nvCxnSpPr>
      <xdr:spPr>
        <a:xfrm flipH="1">
          <a:off x="4229921" y="25681639"/>
          <a:ext cx="6197349" cy="68001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27903</xdr:colOff>
      <xdr:row>119</xdr:row>
      <xdr:rowOff>91499</xdr:rowOff>
    </xdr:from>
    <xdr:to>
      <xdr:col>62</xdr:col>
      <xdr:colOff>121036</xdr:colOff>
      <xdr:row>122</xdr:row>
      <xdr:rowOff>165884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B6922460-0AA8-4FE8-A57C-6E27CE23F935}"/>
            </a:ext>
          </a:extLst>
        </xdr:cNvPr>
        <xdr:cNvGrpSpPr/>
      </xdr:nvGrpSpPr>
      <xdr:grpSpPr>
        <a:xfrm>
          <a:off x="11629353" y="20541674"/>
          <a:ext cx="893233" cy="588735"/>
          <a:chOff x="7111999" y="2892425"/>
          <a:chExt cx="873125" cy="584982"/>
        </a:xfrm>
      </xdr:grpSpPr>
      <xdr:sp macro="" textlink="">
        <xdr:nvSpPr>
          <xdr:cNvPr id="84" name="フローチャート: 磁気ディスク 83">
            <a:extLst>
              <a:ext uri="{FF2B5EF4-FFF2-40B4-BE49-F238E27FC236}">
                <a16:creationId xmlns:a16="http://schemas.microsoft.com/office/drawing/2014/main" id="{0F797888-15A2-163B-4830-4245D2F13E2F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CA3B1A5C-1482-7AA8-93F3-B469F152EED4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23</xdr:col>
      <xdr:colOff>125943</xdr:colOff>
      <xdr:row>90</xdr:row>
      <xdr:rowOff>142875</xdr:rowOff>
    </xdr:from>
    <xdr:to>
      <xdr:col>27</xdr:col>
      <xdr:colOff>33976</xdr:colOff>
      <xdr:row>92</xdr:row>
      <xdr:rowOff>59267</xdr:rowOff>
    </xdr:to>
    <xdr:sp macro="" textlink="">
      <xdr:nvSpPr>
        <xdr:cNvPr id="86" name="フローチャート: 端子 26">
          <a:extLst>
            <a:ext uri="{FF2B5EF4-FFF2-40B4-BE49-F238E27FC236}">
              <a16:creationId xmlns:a16="http://schemas.microsoft.com/office/drawing/2014/main" id="{E9E11479-3891-43DC-90E6-D668F031400F}"/>
            </a:ext>
          </a:extLst>
        </xdr:cNvPr>
        <xdr:cNvSpPr/>
      </xdr:nvSpPr>
      <xdr:spPr>
        <a:xfrm>
          <a:off x="3361845" y="2357005"/>
          <a:ext cx="713040" cy="282671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22</xdr:col>
      <xdr:colOff>182195</xdr:colOff>
      <xdr:row>98</xdr:row>
      <xdr:rowOff>9532</xdr:rowOff>
    </xdr:from>
    <xdr:to>
      <xdr:col>27</xdr:col>
      <xdr:colOff>198537</xdr:colOff>
      <xdr:row>100</xdr:row>
      <xdr:rowOff>140762</xdr:rowOff>
    </xdr:to>
    <xdr:sp macro="" textlink="">
      <xdr:nvSpPr>
        <xdr:cNvPr id="87" name="フローチャート: 定義済み処理 86">
          <a:extLst>
            <a:ext uri="{FF2B5EF4-FFF2-40B4-BE49-F238E27FC236}">
              <a16:creationId xmlns:a16="http://schemas.microsoft.com/office/drawing/2014/main" id="{9B5FBFF9-E1CB-48EB-A8DE-019A96D49234}"/>
            </a:ext>
          </a:extLst>
        </xdr:cNvPr>
        <xdr:cNvSpPr/>
      </xdr:nvSpPr>
      <xdr:spPr>
        <a:xfrm>
          <a:off x="3216052" y="3701480"/>
          <a:ext cx="1026569" cy="500684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22</xdr:col>
      <xdr:colOff>123825</xdr:colOff>
      <xdr:row>98</xdr:row>
      <xdr:rowOff>2117</xdr:rowOff>
    </xdr:from>
    <xdr:to>
      <xdr:col>28</xdr:col>
      <xdr:colOff>34925</xdr:colOff>
      <xdr:row>100</xdr:row>
      <xdr:rowOff>180646</xdr:rowOff>
    </xdr:to>
    <xdr:sp macro="" textlink="">
      <xdr:nvSpPr>
        <xdr:cNvPr id="88" name="正方形/長方形 3">
          <a:extLst>
            <a:ext uri="{FF2B5EF4-FFF2-40B4-BE49-F238E27FC236}">
              <a16:creationId xmlns:a16="http://schemas.microsoft.com/office/drawing/2014/main" id="{1A594E13-55BC-4AB6-961B-67A784E2D234}"/>
            </a:ext>
          </a:extLst>
        </xdr:cNvPr>
        <xdr:cNvSpPr/>
      </xdr:nvSpPr>
      <xdr:spPr>
        <a:xfrm>
          <a:off x="3157682" y="3690890"/>
          <a:ext cx="1120198" cy="551158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1.</a:t>
          </a:r>
          <a:r>
            <a:rPr kumimoji="1" lang="en-US" altLang="ja-JP" sz="900" baseline="0"/>
            <a:t> </a:t>
          </a:r>
          <a:r>
            <a:rPr kumimoji="1" lang="ja-JP" altLang="en-US" sz="900" baseline="0"/>
            <a:t>現預金残高</a:t>
          </a:r>
          <a:endParaRPr kumimoji="1" lang="en-US" altLang="ja-JP" sz="900" baseline="0"/>
        </a:p>
        <a:p>
          <a:pPr algn="ctr"/>
          <a:r>
            <a:rPr kumimoji="1" lang="ja-JP" altLang="en-US" sz="900" baseline="0"/>
            <a:t>確認</a:t>
          </a:r>
          <a:endParaRPr kumimoji="1" lang="en-US" altLang="ja-JP" sz="900"/>
        </a:p>
      </xdr:txBody>
    </xdr:sp>
    <xdr:clientData/>
  </xdr:twoCellAnchor>
  <xdr:twoCellAnchor>
    <xdr:from>
      <xdr:col>25</xdr:col>
      <xdr:colOff>79375</xdr:colOff>
      <xdr:row>92</xdr:row>
      <xdr:rowOff>59267</xdr:rowOff>
    </xdr:from>
    <xdr:to>
      <xdr:col>25</xdr:col>
      <xdr:colOff>79960</xdr:colOff>
      <xdr:row>98</xdr:row>
      <xdr:rowOff>2117</xdr:rowOff>
    </xdr:to>
    <xdr:cxnSp macro="">
      <xdr:nvCxnSpPr>
        <xdr:cNvPr id="90" name="直線矢印コネクタ 27">
          <a:extLst>
            <a:ext uri="{FF2B5EF4-FFF2-40B4-BE49-F238E27FC236}">
              <a16:creationId xmlns:a16="http://schemas.microsoft.com/office/drawing/2014/main" id="{DA210659-EBE4-4558-BBCD-A19131FFB899}"/>
            </a:ext>
          </a:extLst>
        </xdr:cNvPr>
        <xdr:cNvCxnSpPr>
          <a:cxnSpLocks/>
          <a:stCxn id="86" idx="2"/>
          <a:endCxn id="88" idx="0"/>
        </xdr:cNvCxnSpPr>
      </xdr:nvCxnSpPr>
      <xdr:spPr>
        <a:xfrm flipH="1">
          <a:off x="3716193" y="2639676"/>
          <a:ext cx="585" cy="105121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172670</xdr:colOff>
      <xdr:row>120</xdr:row>
      <xdr:rowOff>9532</xdr:rowOff>
    </xdr:from>
    <xdr:to>
      <xdr:col>27</xdr:col>
      <xdr:colOff>189012</xdr:colOff>
      <xdr:row>122</xdr:row>
      <xdr:rowOff>140762</xdr:rowOff>
    </xdr:to>
    <xdr:sp macro="" textlink="">
      <xdr:nvSpPr>
        <xdr:cNvPr id="91" name="フローチャート: 定義済み処理 90">
          <a:extLst>
            <a:ext uri="{FF2B5EF4-FFF2-40B4-BE49-F238E27FC236}">
              <a16:creationId xmlns:a16="http://schemas.microsoft.com/office/drawing/2014/main" id="{6C2751E3-F0C6-4C9A-B181-83FAECEA8084}"/>
            </a:ext>
          </a:extLst>
        </xdr:cNvPr>
        <xdr:cNvSpPr/>
      </xdr:nvSpPr>
      <xdr:spPr>
        <a:xfrm>
          <a:off x="4596503" y="22319199"/>
          <a:ext cx="1021759" cy="491063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22</xdr:col>
      <xdr:colOff>114300</xdr:colOff>
      <xdr:row>120</xdr:row>
      <xdr:rowOff>2117</xdr:rowOff>
    </xdr:from>
    <xdr:to>
      <xdr:col>28</xdr:col>
      <xdr:colOff>25400</xdr:colOff>
      <xdr:row>123</xdr:row>
      <xdr:rowOff>729</xdr:rowOff>
    </xdr:to>
    <xdr:sp macro="" textlink="">
      <xdr:nvSpPr>
        <xdr:cNvPr id="92" name="正方形/長方形 117">
          <a:extLst>
            <a:ext uri="{FF2B5EF4-FFF2-40B4-BE49-F238E27FC236}">
              <a16:creationId xmlns:a16="http://schemas.microsoft.com/office/drawing/2014/main" id="{74CF1BA4-F461-4502-BB1D-AA21B35EC041}"/>
            </a:ext>
          </a:extLst>
        </xdr:cNvPr>
        <xdr:cNvSpPr/>
      </xdr:nvSpPr>
      <xdr:spPr>
        <a:xfrm>
          <a:off x="4538133" y="22311784"/>
          <a:ext cx="1117600" cy="53836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３．得意先別回収見込一覧の作成</a:t>
          </a:r>
          <a:endParaRPr kumimoji="1" lang="en-US" altLang="ja-JP" sz="900"/>
        </a:p>
      </xdr:txBody>
    </xdr:sp>
    <xdr:clientData/>
  </xdr:twoCellAnchor>
  <xdr:twoCellAnchor>
    <xdr:from>
      <xdr:col>37</xdr:col>
      <xdr:colOff>137392</xdr:colOff>
      <xdr:row>159</xdr:row>
      <xdr:rowOff>150668</xdr:rowOff>
    </xdr:from>
    <xdr:to>
      <xdr:col>41</xdr:col>
      <xdr:colOff>63938</xdr:colOff>
      <xdr:row>161</xdr:row>
      <xdr:rowOff>37900</xdr:rowOff>
    </xdr:to>
    <xdr:sp macro="" textlink="">
      <xdr:nvSpPr>
        <xdr:cNvPr id="94" name="フローチャート: 端子 93">
          <a:extLst>
            <a:ext uri="{FF2B5EF4-FFF2-40B4-BE49-F238E27FC236}">
              <a16:creationId xmlns:a16="http://schemas.microsoft.com/office/drawing/2014/main" id="{05E45B2F-66F8-40D3-8395-FAE900B305CC}"/>
            </a:ext>
          </a:extLst>
        </xdr:cNvPr>
        <xdr:cNvSpPr/>
      </xdr:nvSpPr>
      <xdr:spPr>
        <a:xfrm>
          <a:off x="6198756" y="35058350"/>
          <a:ext cx="734727" cy="256686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39</xdr:col>
      <xdr:colOff>97521</xdr:colOff>
      <xdr:row>151</xdr:row>
      <xdr:rowOff>149717</xdr:rowOff>
    </xdr:from>
    <xdr:to>
      <xdr:col>39</xdr:col>
      <xdr:colOff>102252</xdr:colOff>
      <xdr:row>159</xdr:row>
      <xdr:rowOff>150668</xdr:rowOff>
    </xdr:to>
    <xdr:cxnSp macro="">
      <xdr:nvCxnSpPr>
        <xdr:cNvPr id="95" name="直線矢印コネクタ 27">
          <a:extLst>
            <a:ext uri="{FF2B5EF4-FFF2-40B4-BE49-F238E27FC236}">
              <a16:creationId xmlns:a16="http://schemas.microsoft.com/office/drawing/2014/main" id="{94BD99AB-10AF-42E9-9C33-3543F83B8E17}"/>
            </a:ext>
          </a:extLst>
        </xdr:cNvPr>
        <xdr:cNvCxnSpPr>
          <a:cxnSpLocks/>
          <a:stCxn id="229" idx="2"/>
          <a:endCxn id="94" idx="0"/>
        </xdr:cNvCxnSpPr>
      </xdr:nvCxnSpPr>
      <xdr:spPr>
        <a:xfrm>
          <a:off x="6562976" y="33579581"/>
          <a:ext cx="4731" cy="147876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171227</xdr:colOff>
      <xdr:row>107</xdr:row>
      <xdr:rowOff>137974</xdr:rowOff>
    </xdr:from>
    <xdr:to>
      <xdr:col>6</xdr:col>
      <xdr:colOff>187568</xdr:colOff>
      <xdr:row>110</xdr:row>
      <xdr:rowOff>84477</xdr:rowOff>
    </xdr:to>
    <xdr:sp macro="" textlink="">
      <xdr:nvSpPr>
        <xdr:cNvPr id="104" name="フローチャート: 定義済み処理 103">
          <a:extLst>
            <a:ext uri="{FF2B5EF4-FFF2-40B4-BE49-F238E27FC236}">
              <a16:creationId xmlns:a16="http://schemas.microsoft.com/office/drawing/2014/main" id="{8405B3E3-65E7-4432-8F98-9C8DC62F5A8E}"/>
            </a:ext>
          </a:extLst>
        </xdr:cNvPr>
        <xdr:cNvSpPr/>
      </xdr:nvSpPr>
      <xdr:spPr>
        <a:xfrm>
          <a:off x="373272" y="25994019"/>
          <a:ext cx="1026569" cy="500685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</xdr:col>
      <xdr:colOff>112857</xdr:colOff>
      <xdr:row>107</xdr:row>
      <xdr:rowOff>127384</xdr:rowOff>
    </xdr:from>
    <xdr:to>
      <xdr:col>7</xdr:col>
      <xdr:colOff>23957</xdr:colOff>
      <xdr:row>110</xdr:row>
      <xdr:rowOff>124361</xdr:rowOff>
    </xdr:to>
    <xdr:sp macro="" textlink="">
      <xdr:nvSpPr>
        <xdr:cNvPr id="105" name="正方形/長方形 117">
          <a:extLst>
            <a:ext uri="{FF2B5EF4-FFF2-40B4-BE49-F238E27FC236}">
              <a16:creationId xmlns:a16="http://schemas.microsoft.com/office/drawing/2014/main" id="{159FE76A-1E95-4B65-806B-B0D43FD57FCC}"/>
            </a:ext>
          </a:extLst>
        </xdr:cNvPr>
        <xdr:cNvSpPr/>
      </xdr:nvSpPr>
      <xdr:spPr>
        <a:xfrm>
          <a:off x="314902" y="25983429"/>
          <a:ext cx="1123373" cy="55115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2</a:t>
          </a:r>
          <a:r>
            <a:rPr kumimoji="1" lang="ja-JP" altLang="en-US" sz="900"/>
            <a:t>．回収見込情報の収集</a:t>
          </a:r>
          <a:endParaRPr kumimoji="1" lang="en-US" altLang="ja-JP" sz="900"/>
        </a:p>
      </xdr:txBody>
    </xdr:sp>
    <xdr:clientData/>
  </xdr:twoCellAnchor>
  <xdr:twoCellAnchor>
    <xdr:from>
      <xdr:col>4</xdr:col>
      <xdr:colOff>78376</xdr:colOff>
      <xdr:row>100</xdr:row>
      <xdr:rowOff>143936</xdr:rowOff>
    </xdr:from>
    <xdr:to>
      <xdr:col>25</xdr:col>
      <xdr:colOff>92520</xdr:colOff>
      <xdr:row>107</xdr:row>
      <xdr:rowOff>137973</xdr:rowOff>
    </xdr:to>
    <xdr:cxnSp macro="">
      <xdr:nvCxnSpPr>
        <xdr:cNvPr id="111" name="コネクタ: カギ線 110">
          <a:extLst>
            <a:ext uri="{FF2B5EF4-FFF2-40B4-BE49-F238E27FC236}">
              <a16:creationId xmlns:a16="http://schemas.microsoft.com/office/drawing/2014/main" id="{55EF5A5E-FFEC-4307-A870-B786C724CA9F}"/>
            </a:ext>
          </a:extLst>
        </xdr:cNvPr>
        <xdr:cNvCxnSpPr>
          <a:stCxn id="87" idx="2"/>
          <a:endCxn id="104" idx="0"/>
        </xdr:cNvCxnSpPr>
      </xdr:nvCxnSpPr>
      <xdr:spPr>
        <a:xfrm rot="5400000">
          <a:off x="1664384" y="23929065"/>
          <a:ext cx="1287127" cy="284278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78375</xdr:colOff>
      <xdr:row>110</xdr:row>
      <xdr:rowOff>87652</xdr:rowOff>
    </xdr:from>
    <xdr:to>
      <xdr:col>25</xdr:col>
      <xdr:colOff>79819</xdr:colOff>
      <xdr:row>120</xdr:row>
      <xdr:rowOff>12707</xdr:rowOff>
    </xdr:to>
    <xdr:cxnSp macro="">
      <xdr:nvCxnSpPr>
        <xdr:cNvPr id="114" name="コネクタ: カギ線 113">
          <a:extLst>
            <a:ext uri="{FF2B5EF4-FFF2-40B4-BE49-F238E27FC236}">
              <a16:creationId xmlns:a16="http://schemas.microsoft.com/office/drawing/2014/main" id="{68788AF0-0898-42FC-B9C7-0E7E1FE7CAC1}"/>
            </a:ext>
          </a:extLst>
        </xdr:cNvPr>
        <xdr:cNvCxnSpPr>
          <a:stCxn id="104" idx="2"/>
          <a:endCxn id="91" idx="0"/>
        </xdr:cNvCxnSpPr>
      </xdr:nvCxnSpPr>
      <xdr:spPr>
        <a:xfrm rot="16200000" flipH="1">
          <a:off x="1415433" y="25969003"/>
          <a:ext cx="1772328" cy="2830080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28864</xdr:colOff>
      <xdr:row>107</xdr:row>
      <xdr:rowOff>132773</xdr:rowOff>
    </xdr:from>
    <xdr:to>
      <xdr:col>62</xdr:col>
      <xdr:colOff>121997</xdr:colOff>
      <xdr:row>111</xdr:row>
      <xdr:rowOff>25605</xdr:rowOff>
    </xdr:to>
    <xdr:grpSp>
      <xdr:nvGrpSpPr>
        <xdr:cNvPr id="118" name="グループ化 117">
          <a:extLst>
            <a:ext uri="{FF2B5EF4-FFF2-40B4-BE49-F238E27FC236}">
              <a16:creationId xmlns:a16="http://schemas.microsoft.com/office/drawing/2014/main" id="{EE8900DA-0301-4731-91D0-09FF30A5623B}"/>
            </a:ext>
          </a:extLst>
        </xdr:cNvPr>
        <xdr:cNvGrpSpPr/>
      </xdr:nvGrpSpPr>
      <xdr:grpSpPr>
        <a:xfrm>
          <a:off x="11630314" y="18525548"/>
          <a:ext cx="893233" cy="578632"/>
          <a:chOff x="7111999" y="2892425"/>
          <a:chExt cx="873125" cy="584982"/>
        </a:xfrm>
      </xdr:grpSpPr>
      <xdr:sp macro="" textlink="">
        <xdr:nvSpPr>
          <xdr:cNvPr id="123" name="フローチャート: 磁気ディスク 122">
            <a:extLst>
              <a:ext uri="{FF2B5EF4-FFF2-40B4-BE49-F238E27FC236}">
                <a16:creationId xmlns:a16="http://schemas.microsoft.com/office/drawing/2014/main" id="{D0BDC306-44B7-ABD6-4793-513BE7368F9E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6" name="正方形/長方形 125">
            <a:extLst>
              <a:ext uri="{FF2B5EF4-FFF2-40B4-BE49-F238E27FC236}">
                <a16:creationId xmlns:a16="http://schemas.microsoft.com/office/drawing/2014/main" id="{D38CDAA5-03B2-6638-1664-ECC825DDE7AD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6</xdr:col>
      <xdr:colOff>187568</xdr:colOff>
      <xdr:row>109</xdr:row>
      <xdr:rowOff>20449</xdr:rowOff>
    </xdr:from>
    <xdr:to>
      <xdr:col>58</xdr:col>
      <xdr:colOff>127088</xdr:colOff>
      <xdr:row>109</xdr:row>
      <xdr:rowOff>54507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F94F52CA-2BF0-40CD-A38C-D4FFC341FA14}"/>
            </a:ext>
          </a:extLst>
        </xdr:cNvPr>
        <xdr:cNvCxnSpPr>
          <a:cxnSpLocks/>
          <a:stCxn id="123" idx="2"/>
          <a:endCxn id="104" idx="3"/>
        </xdr:cNvCxnSpPr>
      </xdr:nvCxnSpPr>
      <xdr:spPr>
        <a:xfrm flipH="1" flipV="1">
          <a:off x="1399841" y="26245949"/>
          <a:ext cx="9031565" cy="34058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189012</xdr:colOff>
      <xdr:row>129</xdr:row>
      <xdr:rowOff>11778</xdr:rowOff>
    </xdr:from>
    <xdr:to>
      <xdr:col>52</xdr:col>
      <xdr:colOff>2301</xdr:colOff>
      <xdr:row>129</xdr:row>
      <xdr:rowOff>78323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FECFEE5E-0288-4118-895C-E50822B073DF}"/>
            </a:ext>
          </a:extLst>
        </xdr:cNvPr>
        <xdr:cNvCxnSpPr>
          <a:cxnSpLocks/>
          <a:stCxn id="150" idx="2"/>
          <a:endCxn id="155" idx="3"/>
        </xdr:cNvCxnSpPr>
      </xdr:nvCxnSpPr>
      <xdr:spPr>
        <a:xfrm flipH="1">
          <a:off x="4229921" y="29931823"/>
          <a:ext cx="4864425" cy="66545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111157</xdr:colOff>
      <xdr:row>127</xdr:row>
      <xdr:rowOff>91499</xdr:rowOff>
    </xdr:from>
    <xdr:to>
      <xdr:col>56</xdr:col>
      <xdr:colOff>3561</xdr:colOff>
      <xdr:row>130</xdr:row>
      <xdr:rowOff>169059</xdr:rowOff>
    </xdr:to>
    <xdr:grpSp>
      <xdr:nvGrpSpPr>
        <xdr:cNvPr id="139" name="グループ化 138">
          <a:extLst>
            <a:ext uri="{FF2B5EF4-FFF2-40B4-BE49-F238E27FC236}">
              <a16:creationId xmlns:a16="http://schemas.microsoft.com/office/drawing/2014/main" id="{A3288755-BC57-4323-8EEC-B9C271E0DC63}"/>
            </a:ext>
          </a:extLst>
        </xdr:cNvPr>
        <xdr:cNvGrpSpPr/>
      </xdr:nvGrpSpPr>
      <xdr:grpSpPr>
        <a:xfrm>
          <a:off x="10312432" y="21913274"/>
          <a:ext cx="892529" cy="591910"/>
          <a:chOff x="7111999" y="2892425"/>
          <a:chExt cx="873125" cy="584982"/>
        </a:xfrm>
      </xdr:grpSpPr>
      <xdr:sp macro="" textlink="">
        <xdr:nvSpPr>
          <xdr:cNvPr id="150" name="フローチャート: 磁気ディスク 149">
            <a:extLst>
              <a:ext uri="{FF2B5EF4-FFF2-40B4-BE49-F238E27FC236}">
                <a16:creationId xmlns:a16="http://schemas.microsoft.com/office/drawing/2014/main" id="{764BCD15-7C4E-8D0E-47AB-DC083B1EA4AA}"/>
              </a:ext>
            </a:extLst>
          </xdr:cNvPr>
          <xdr:cNvSpPr/>
        </xdr:nvSpPr>
        <xdr:spPr>
          <a:xfrm>
            <a:off x="7202142" y="2892425"/>
            <a:ext cx="675288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54" name="正方形/長方形 153">
            <a:extLst>
              <a:ext uri="{FF2B5EF4-FFF2-40B4-BE49-F238E27FC236}">
                <a16:creationId xmlns:a16="http://schemas.microsoft.com/office/drawing/2014/main" id="{43F86BAB-CB04-701F-D28F-40D9AA6878AE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仕入先トランザクション一覧</a:t>
            </a:r>
          </a:p>
        </xdr:txBody>
      </xdr:sp>
    </xdr:grpSp>
    <xdr:clientData/>
  </xdr:twoCellAnchor>
  <xdr:twoCellAnchor>
    <xdr:from>
      <xdr:col>22</xdr:col>
      <xdr:colOff>172670</xdr:colOff>
      <xdr:row>128</xdr:row>
      <xdr:rowOff>9532</xdr:rowOff>
    </xdr:from>
    <xdr:to>
      <xdr:col>27</xdr:col>
      <xdr:colOff>189012</xdr:colOff>
      <xdr:row>130</xdr:row>
      <xdr:rowOff>140762</xdr:rowOff>
    </xdr:to>
    <xdr:sp macro="" textlink="">
      <xdr:nvSpPr>
        <xdr:cNvPr id="155" name="フローチャート: 定義済み処理 154">
          <a:extLst>
            <a:ext uri="{FF2B5EF4-FFF2-40B4-BE49-F238E27FC236}">
              <a16:creationId xmlns:a16="http://schemas.microsoft.com/office/drawing/2014/main" id="{D06E9621-0452-4022-AA03-6213D5A32680}"/>
            </a:ext>
          </a:extLst>
        </xdr:cNvPr>
        <xdr:cNvSpPr/>
      </xdr:nvSpPr>
      <xdr:spPr>
        <a:xfrm>
          <a:off x="3203352" y="28270207"/>
          <a:ext cx="1026569" cy="500685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22</xdr:col>
      <xdr:colOff>114300</xdr:colOff>
      <xdr:row>128</xdr:row>
      <xdr:rowOff>2117</xdr:rowOff>
    </xdr:from>
    <xdr:to>
      <xdr:col>28</xdr:col>
      <xdr:colOff>25400</xdr:colOff>
      <xdr:row>130</xdr:row>
      <xdr:rowOff>180646</xdr:rowOff>
    </xdr:to>
    <xdr:sp macro="" textlink="">
      <xdr:nvSpPr>
        <xdr:cNvPr id="156" name="正方形/長方形 117">
          <a:extLst>
            <a:ext uri="{FF2B5EF4-FFF2-40B4-BE49-F238E27FC236}">
              <a16:creationId xmlns:a16="http://schemas.microsoft.com/office/drawing/2014/main" id="{2531BB00-68BD-4808-A22C-C3E4F512CC0C}"/>
            </a:ext>
          </a:extLst>
        </xdr:cNvPr>
        <xdr:cNvSpPr/>
      </xdr:nvSpPr>
      <xdr:spPr>
        <a:xfrm>
          <a:off x="3144982" y="28259617"/>
          <a:ext cx="1126548" cy="55115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４．期日支払一覧の作成</a:t>
          </a:r>
          <a:endParaRPr kumimoji="1" lang="en-US" altLang="ja-JP" sz="900"/>
        </a:p>
      </xdr:txBody>
    </xdr:sp>
    <xdr:clientData/>
  </xdr:twoCellAnchor>
  <xdr:twoCellAnchor>
    <xdr:from>
      <xdr:col>25</xdr:col>
      <xdr:colOff>79819</xdr:colOff>
      <xdr:row>122</xdr:row>
      <xdr:rowOff>143937</xdr:rowOff>
    </xdr:from>
    <xdr:to>
      <xdr:col>25</xdr:col>
      <xdr:colOff>79819</xdr:colOff>
      <xdr:row>128</xdr:row>
      <xdr:rowOff>12707</xdr:rowOff>
    </xdr:to>
    <xdr:cxnSp macro="">
      <xdr:nvCxnSpPr>
        <xdr:cNvPr id="157" name="直線矢印コネクタ 27">
          <a:extLst>
            <a:ext uri="{FF2B5EF4-FFF2-40B4-BE49-F238E27FC236}">
              <a16:creationId xmlns:a16="http://schemas.microsoft.com/office/drawing/2014/main" id="{22188FCC-0074-4EFC-A656-B8F009CD0B41}"/>
            </a:ext>
          </a:extLst>
        </xdr:cNvPr>
        <xdr:cNvCxnSpPr>
          <a:cxnSpLocks/>
          <a:stCxn id="91" idx="2"/>
          <a:endCxn id="155" idx="0"/>
        </xdr:cNvCxnSpPr>
      </xdr:nvCxnSpPr>
      <xdr:spPr>
        <a:xfrm>
          <a:off x="3716637" y="28770892"/>
          <a:ext cx="0" cy="97713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192778</xdr:colOff>
      <xdr:row>139</xdr:row>
      <xdr:rowOff>118540</xdr:rowOff>
    </xdr:from>
    <xdr:to>
      <xdr:col>42</xdr:col>
      <xdr:colOff>2264</xdr:colOff>
      <xdr:row>142</xdr:row>
      <xdr:rowOff>69180</xdr:rowOff>
    </xdr:to>
    <xdr:sp macro="" textlink="">
      <xdr:nvSpPr>
        <xdr:cNvPr id="223" name="フローチャート: 定義済み処理 222">
          <a:extLst>
            <a:ext uri="{FF2B5EF4-FFF2-40B4-BE49-F238E27FC236}">
              <a16:creationId xmlns:a16="http://schemas.microsoft.com/office/drawing/2014/main" id="{7E3DB426-E6C4-4ECB-A94C-7285796545DC}"/>
            </a:ext>
          </a:extLst>
        </xdr:cNvPr>
        <xdr:cNvSpPr/>
      </xdr:nvSpPr>
      <xdr:spPr>
        <a:xfrm>
          <a:off x="6052096" y="31331676"/>
          <a:ext cx="1021759" cy="504822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92075</xdr:colOff>
      <xdr:row>139</xdr:row>
      <xdr:rowOff>101600</xdr:rowOff>
    </xdr:from>
    <xdr:to>
      <xdr:col>41</xdr:col>
      <xdr:colOff>197427</xdr:colOff>
      <xdr:row>142</xdr:row>
      <xdr:rowOff>97422</xdr:rowOff>
    </xdr:to>
    <xdr:sp macro="" textlink="">
      <xdr:nvSpPr>
        <xdr:cNvPr id="224" name="正方形/長方形 223">
          <a:extLst>
            <a:ext uri="{FF2B5EF4-FFF2-40B4-BE49-F238E27FC236}">
              <a16:creationId xmlns:a16="http://schemas.microsoft.com/office/drawing/2014/main" id="{0E8D98AE-CE80-4987-8F37-E64D5806ED86}"/>
            </a:ext>
            <a:ext uri="{147F2762-F138-4A5C-976F-8EAC2B608ADB}">
              <a16:predDERef xmlns:a16="http://schemas.microsoft.com/office/drawing/2014/main" pred="{7E3DB426-E6C4-4ECB-A94C-7285796545DC}"/>
            </a:ext>
          </a:extLst>
        </xdr:cNvPr>
        <xdr:cNvSpPr/>
      </xdr:nvSpPr>
      <xdr:spPr>
        <a:xfrm>
          <a:off x="5892800" y="35391725"/>
          <a:ext cx="1105477" cy="53874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５．資金移動仕訳</a:t>
          </a:r>
          <a:endParaRPr kumimoji="1" lang="en-US" altLang="ja-JP" sz="900"/>
        </a:p>
        <a:p>
          <a:pPr algn="ctr"/>
          <a:r>
            <a:rPr kumimoji="1" lang="ja-JP" altLang="en-US" sz="900"/>
            <a:t>計上</a:t>
          </a:r>
          <a:endParaRPr kumimoji="1" lang="en-US" altLang="ja-JP" sz="900"/>
        </a:p>
      </xdr:txBody>
    </xdr:sp>
    <xdr:clientData/>
  </xdr:twoCellAnchor>
  <xdr:twoCellAnchor>
    <xdr:from>
      <xdr:col>42</xdr:col>
      <xdr:colOff>2264</xdr:colOff>
      <xdr:row>140</xdr:row>
      <xdr:rowOff>175738</xdr:rowOff>
    </xdr:from>
    <xdr:to>
      <xdr:col>51</xdr:col>
      <xdr:colOff>167776</xdr:colOff>
      <xdr:row>141</xdr:row>
      <xdr:rowOff>3084</xdr:rowOff>
    </xdr:to>
    <xdr:cxnSp macro="">
      <xdr:nvCxnSpPr>
        <xdr:cNvPr id="225" name="直線矢印コネクタ 224">
          <a:extLst>
            <a:ext uri="{FF2B5EF4-FFF2-40B4-BE49-F238E27FC236}">
              <a16:creationId xmlns:a16="http://schemas.microsoft.com/office/drawing/2014/main" id="{480202F8-6C27-4131-AC9D-97EA32C87105}"/>
            </a:ext>
          </a:extLst>
        </xdr:cNvPr>
        <xdr:cNvCxnSpPr>
          <a:stCxn id="223" idx="3"/>
          <a:endCxn id="227" idx="2"/>
        </xdr:cNvCxnSpPr>
      </xdr:nvCxnSpPr>
      <xdr:spPr>
        <a:xfrm flipV="1">
          <a:off x="7073855" y="31573602"/>
          <a:ext cx="1983921" cy="12073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72352</xdr:colOff>
      <xdr:row>139</xdr:row>
      <xdr:rowOff>66676</xdr:rowOff>
    </xdr:from>
    <xdr:to>
      <xdr:col>55</xdr:col>
      <xdr:colOff>165870</xdr:colOff>
      <xdr:row>142</xdr:row>
      <xdr:rowOff>149334</xdr:rowOff>
    </xdr:to>
    <xdr:grpSp>
      <xdr:nvGrpSpPr>
        <xdr:cNvPr id="226" name="グループ化 225">
          <a:extLst>
            <a:ext uri="{FF2B5EF4-FFF2-40B4-BE49-F238E27FC236}">
              <a16:creationId xmlns:a16="http://schemas.microsoft.com/office/drawing/2014/main" id="{EA05C7F1-D17F-4C8D-8439-6067118C437F}"/>
            </a:ext>
          </a:extLst>
        </xdr:cNvPr>
        <xdr:cNvGrpSpPr/>
      </xdr:nvGrpSpPr>
      <xdr:grpSpPr>
        <a:xfrm>
          <a:off x="10273627" y="23945851"/>
          <a:ext cx="893618" cy="597008"/>
          <a:chOff x="7111999" y="2892425"/>
          <a:chExt cx="873125" cy="584982"/>
        </a:xfrm>
      </xdr:grpSpPr>
      <xdr:sp macro="" textlink="">
        <xdr:nvSpPr>
          <xdr:cNvPr id="227" name="フローチャート: 磁気ディスク 226">
            <a:extLst>
              <a:ext uri="{FF2B5EF4-FFF2-40B4-BE49-F238E27FC236}">
                <a16:creationId xmlns:a16="http://schemas.microsoft.com/office/drawing/2014/main" id="{7BED7563-4FE4-E11E-FD6D-0DBE918FD3AE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28" name="正方形/長方形 227">
            <a:extLst>
              <a:ext uri="{FF2B5EF4-FFF2-40B4-BE49-F238E27FC236}">
                <a16:creationId xmlns:a16="http://schemas.microsoft.com/office/drawing/2014/main" id="{E8BB9F9A-30F5-ADA5-7CE4-893E854CB437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36</xdr:col>
      <xdr:colOff>192778</xdr:colOff>
      <xdr:row>149</xdr:row>
      <xdr:rowOff>13292</xdr:rowOff>
    </xdr:from>
    <xdr:to>
      <xdr:col>42</xdr:col>
      <xdr:colOff>2264</xdr:colOff>
      <xdr:row>151</xdr:row>
      <xdr:rowOff>149717</xdr:rowOff>
    </xdr:to>
    <xdr:sp macro="" textlink="">
      <xdr:nvSpPr>
        <xdr:cNvPr id="229" name="フローチャート: 定義済み処理 228">
          <a:extLst>
            <a:ext uri="{FF2B5EF4-FFF2-40B4-BE49-F238E27FC236}">
              <a16:creationId xmlns:a16="http://schemas.microsoft.com/office/drawing/2014/main" id="{30476712-A384-4661-B71F-D6497A782AEF}"/>
            </a:ext>
          </a:extLst>
        </xdr:cNvPr>
        <xdr:cNvSpPr/>
      </xdr:nvSpPr>
      <xdr:spPr>
        <a:xfrm>
          <a:off x="6052096" y="33073701"/>
          <a:ext cx="1021759" cy="5058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36</xdr:col>
      <xdr:colOff>130175</xdr:colOff>
      <xdr:row>149</xdr:row>
      <xdr:rowOff>12227</xdr:rowOff>
    </xdr:from>
    <xdr:to>
      <xdr:col>42</xdr:col>
      <xdr:colOff>35502</xdr:colOff>
      <xdr:row>152</xdr:row>
      <xdr:rowOff>11224</xdr:rowOff>
    </xdr:to>
    <xdr:sp macro="" textlink="">
      <xdr:nvSpPr>
        <xdr:cNvPr id="230" name="正方形/長方形 229">
          <a:extLst>
            <a:ext uri="{FF2B5EF4-FFF2-40B4-BE49-F238E27FC236}">
              <a16:creationId xmlns:a16="http://schemas.microsoft.com/office/drawing/2014/main" id="{C28B5009-E4FA-423C-9105-A3D2C4C5106E}"/>
            </a:ext>
          </a:extLst>
        </xdr:cNvPr>
        <xdr:cNvSpPr/>
      </xdr:nvSpPr>
      <xdr:spPr>
        <a:xfrm>
          <a:off x="5989493" y="33072636"/>
          <a:ext cx="1117600" cy="5531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６．残高確認</a:t>
          </a:r>
          <a:endParaRPr kumimoji="1" lang="en-US" altLang="ja-JP" sz="900"/>
        </a:p>
      </xdr:txBody>
    </xdr:sp>
    <xdr:clientData/>
  </xdr:twoCellAnchor>
  <xdr:twoCellAnchor>
    <xdr:from>
      <xdr:col>42</xdr:col>
      <xdr:colOff>35502</xdr:colOff>
      <xdr:row>150</xdr:row>
      <xdr:rowOff>102774</xdr:rowOff>
    </xdr:from>
    <xdr:to>
      <xdr:col>58</xdr:col>
      <xdr:colOff>33567</xdr:colOff>
      <xdr:row>150</xdr:row>
      <xdr:rowOff>126639</xdr:rowOff>
    </xdr:to>
    <xdr:cxnSp macro="">
      <xdr:nvCxnSpPr>
        <xdr:cNvPr id="231" name="直線矢印コネクタ 230">
          <a:extLst>
            <a:ext uri="{FF2B5EF4-FFF2-40B4-BE49-F238E27FC236}">
              <a16:creationId xmlns:a16="http://schemas.microsoft.com/office/drawing/2014/main" id="{0B0BA634-DACC-4F58-934B-A602A442E29B}"/>
            </a:ext>
            <a:ext uri="{147F2762-F138-4A5C-976F-8EAC2B608ADB}">
              <a16:predDERef xmlns:a16="http://schemas.microsoft.com/office/drawing/2014/main" pred="{C28B5009-E4FA-423C-9105-A3D2C4C5106E}"/>
            </a:ext>
          </a:extLst>
        </xdr:cNvPr>
        <xdr:cNvCxnSpPr>
          <a:cxnSpLocks/>
          <a:stCxn id="9" idx="1"/>
          <a:endCxn id="230" idx="3"/>
          <a:extLst>
            <a:ext uri="{5F17804C-33F3-41E3-A699-7DCFA2EF7971}">
              <a16:cxnDERefs xmlns:a16="http://schemas.microsoft.com/office/drawing/2014/main" st="{FC4FCE3E-E3C3-2F8B-4376-72464F85CC3B}" end="{30476712-A384-4661-B71F-D6497A782AEF}"/>
            </a:ext>
          </a:extLst>
        </xdr:cNvCxnSpPr>
      </xdr:nvCxnSpPr>
      <xdr:spPr>
        <a:xfrm flipH="1" flipV="1">
          <a:off x="8271826" y="27417112"/>
          <a:ext cx="3135712" cy="23865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94346</xdr:colOff>
      <xdr:row>142</xdr:row>
      <xdr:rowOff>69180</xdr:rowOff>
    </xdr:from>
    <xdr:to>
      <xdr:col>39</xdr:col>
      <xdr:colOff>94346</xdr:colOff>
      <xdr:row>149</xdr:row>
      <xdr:rowOff>13292</xdr:rowOff>
    </xdr:to>
    <xdr:cxnSp macro="">
      <xdr:nvCxnSpPr>
        <xdr:cNvPr id="235" name="直線矢印コネクタ 27">
          <a:extLst>
            <a:ext uri="{FF2B5EF4-FFF2-40B4-BE49-F238E27FC236}">
              <a16:creationId xmlns:a16="http://schemas.microsoft.com/office/drawing/2014/main" id="{B17C55DD-6469-4894-AC80-6A8BC62F1539}"/>
            </a:ext>
          </a:extLst>
        </xdr:cNvPr>
        <xdr:cNvCxnSpPr>
          <a:cxnSpLocks/>
          <a:stCxn id="223" idx="2"/>
          <a:endCxn id="229" idx="0"/>
        </xdr:cNvCxnSpPr>
      </xdr:nvCxnSpPr>
      <xdr:spPr>
        <a:xfrm>
          <a:off x="6559801" y="31836498"/>
          <a:ext cx="0" cy="123720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79818</xdr:colOff>
      <xdr:row>130</xdr:row>
      <xdr:rowOff>143937</xdr:rowOff>
    </xdr:from>
    <xdr:to>
      <xdr:col>39</xdr:col>
      <xdr:colOff>97520</xdr:colOff>
      <xdr:row>139</xdr:row>
      <xdr:rowOff>118540</xdr:rowOff>
    </xdr:to>
    <xdr:cxnSp macro="">
      <xdr:nvCxnSpPr>
        <xdr:cNvPr id="238" name="コネクタ: カギ線 237">
          <a:extLst>
            <a:ext uri="{FF2B5EF4-FFF2-40B4-BE49-F238E27FC236}">
              <a16:creationId xmlns:a16="http://schemas.microsoft.com/office/drawing/2014/main" id="{DD512E67-5243-41DA-B507-DA64B25A098A}"/>
            </a:ext>
          </a:extLst>
        </xdr:cNvPr>
        <xdr:cNvCxnSpPr>
          <a:stCxn id="155" idx="2"/>
          <a:endCxn id="223" idx="0"/>
        </xdr:cNvCxnSpPr>
      </xdr:nvCxnSpPr>
      <xdr:spPr>
        <a:xfrm rot="16200000" flipH="1">
          <a:off x="4598323" y="29367023"/>
          <a:ext cx="1082966" cy="284633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155864</xdr:colOff>
      <xdr:row>80</xdr:row>
      <xdr:rowOff>114917</xdr:rowOff>
    </xdr:from>
    <xdr:to>
      <xdr:col>27</xdr:col>
      <xdr:colOff>67388</xdr:colOff>
      <xdr:row>82</xdr:row>
      <xdr:rowOff>4060</xdr:rowOff>
    </xdr:to>
    <xdr:sp macro="" textlink="">
      <xdr:nvSpPr>
        <xdr:cNvPr id="287" name="フローチャート: 端子 286">
          <a:extLst>
            <a:ext uri="{FF2B5EF4-FFF2-40B4-BE49-F238E27FC236}">
              <a16:creationId xmlns:a16="http://schemas.microsoft.com/office/drawing/2014/main" id="{344BD9B1-0D85-4B63-9AC6-1C4FE6D397A1}"/>
            </a:ext>
          </a:extLst>
        </xdr:cNvPr>
        <xdr:cNvSpPr/>
      </xdr:nvSpPr>
      <xdr:spPr>
        <a:xfrm>
          <a:off x="3388591" y="15256781"/>
          <a:ext cx="719706" cy="25859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27</xdr:col>
      <xdr:colOff>166687</xdr:colOff>
      <xdr:row>130</xdr:row>
      <xdr:rowOff>23812</xdr:rowOff>
    </xdr:from>
    <xdr:to>
      <xdr:col>38</xdr:col>
      <xdr:colOff>83342</xdr:colOff>
      <xdr:row>133</xdr:row>
      <xdr:rowOff>71437</xdr:rowOff>
    </xdr:to>
    <xdr:grpSp>
      <xdr:nvGrpSpPr>
        <xdr:cNvPr id="107" name="グループ化 106">
          <a:extLst>
            <a:ext uri="{FF2B5EF4-FFF2-40B4-BE49-F238E27FC236}">
              <a16:creationId xmlns:a16="http://schemas.microsoft.com/office/drawing/2014/main" id="{AFC3AFB1-6C3F-4322-9AB3-7DBFD16A558A}"/>
            </a:ext>
          </a:extLst>
        </xdr:cNvPr>
        <xdr:cNvGrpSpPr/>
      </xdr:nvGrpSpPr>
      <xdr:grpSpPr>
        <a:xfrm>
          <a:off x="5567362" y="22359937"/>
          <a:ext cx="2116930" cy="561975"/>
          <a:chOff x="4305300" y="5730875"/>
          <a:chExt cx="1003300" cy="425450"/>
        </a:xfrm>
      </xdr:grpSpPr>
      <xdr:sp macro="" textlink="">
        <xdr:nvSpPr>
          <xdr:cNvPr id="108" name="AutoShape 49">
            <a:extLst>
              <a:ext uri="{FF2B5EF4-FFF2-40B4-BE49-F238E27FC236}">
                <a16:creationId xmlns:a16="http://schemas.microsoft.com/office/drawing/2014/main" id="{62D82831-5DAE-2F28-92A5-68A609ACFBBB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109" name="正方形/長方形 48">
            <a:extLst>
              <a:ext uri="{FF2B5EF4-FFF2-40B4-BE49-F238E27FC236}">
                <a16:creationId xmlns:a16="http://schemas.microsoft.com/office/drawing/2014/main" id="{54840278-2AC0-A253-8015-D6693966782C}"/>
              </a:ext>
            </a:extLst>
          </xdr:cNvPr>
          <xdr:cNvSpPr/>
        </xdr:nvSpPr>
        <xdr:spPr>
          <a:xfrm>
            <a:off x="4305300" y="5797550"/>
            <a:ext cx="1003300" cy="28852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仕入先トランザクション</a:t>
            </a:r>
            <a:r>
              <a:rPr kumimoji="1" lang="en-US" altLang="ja-JP" sz="900"/>
              <a:t>EXCEL</a:t>
            </a:r>
            <a:endParaRPr kumimoji="1" lang="ja-JP" altLang="en-US" sz="900"/>
          </a:p>
        </xdr:txBody>
      </xdr:sp>
    </xdr:grpSp>
    <xdr:clientData/>
  </xdr:twoCellAnchor>
  <xdr:twoCellAnchor>
    <xdr:from>
      <xdr:col>58</xdr:col>
      <xdr:colOff>137584</xdr:colOff>
      <xdr:row>10</xdr:row>
      <xdr:rowOff>148166</xdr:rowOff>
    </xdr:from>
    <xdr:to>
      <xdr:col>82</xdr:col>
      <xdr:colOff>181241</xdr:colOff>
      <xdr:row>20</xdr:row>
      <xdr:rowOff>123032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4AA5CA8B-C53D-4B4A-923B-64B13F8C1E47}"/>
            </a:ext>
          </a:extLst>
        </xdr:cNvPr>
        <xdr:cNvSpPr txBox="1"/>
      </xdr:nvSpPr>
      <xdr:spPr>
        <a:xfrm>
          <a:off x="11800417" y="1957916"/>
          <a:ext cx="4869657" cy="177403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＜注記＞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現預金のプロセスにおいては、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一般仕訳帳入力のプロセスが複数あります。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一般仕訳帳入力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後の、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WF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送信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承認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自動転記バッチのプロセスを記載すると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同じプロセスが頻繁に記載されて見づらいため、</a:t>
          </a:r>
          <a:r>
            <a:rPr kumimoji="1" lang="ja-JP" altLang="en-US" sz="1100">
              <a:solidFill>
                <a:sysClr val="windowText" lastClr="000000"/>
              </a:solidFill>
            </a:rPr>
            <a:t>表記を省略しております。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一般仕訳帳の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WF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送信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承認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自動転記バッチのプロセス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については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endParaRPr lang="ja-JP" altLang="ja-JP">
            <a:effectLst/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「日次振伝処理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資金</a:t>
          </a:r>
          <a:r>
            <a:rPr kumimoji="1" lang="en-US" altLang="ja-JP" sz="1100">
              <a:solidFill>
                <a:sysClr val="windowText" lastClr="000000"/>
              </a:solidFill>
            </a:rPr>
            <a:t>G)</a:t>
          </a:r>
          <a:r>
            <a:rPr kumimoji="1" lang="ja-JP" altLang="en-US" sz="1100">
              <a:solidFill>
                <a:sysClr val="windowText" lastClr="000000"/>
              </a:solidFill>
            </a:rPr>
            <a:t>」に記載しておりますのでそちらをご参照ください。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58</xdr:col>
      <xdr:colOff>33567</xdr:colOff>
      <xdr:row>148</xdr:row>
      <xdr:rowOff>34409</xdr:rowOff>
    </xdr:from>
    <xdr:to>
      <xdr:col>62</xdr:col>
      <xdr:colOff>129875</xdr:colOff>
      <xdr:row>152</xdr:row>
      <xdr:rowOff>109805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77D05E2-6A02-4C03-AC8D-C77E3D37EA4C}"/>
            </a:ext>
          </a:extLst>
        </xdr:cNvPr>
        <xdr:cNvGrpSpPr/>
      </xdr:nvGrpSpPr>
      <xdr:grpSpPr>
        <a:xfrm>
          <a:off x="11635017" y="25456634"/>
          <a:ext cx="896408" cy="761196"/>
          <a:chOff x="7111999" y="2892425"/>
          <a:chExt cx="873125" cy="584982"/>
        </a:xfrm>
      </xdr:grpSpPr>
      <xdr:sp macro="" textlink="">
        <xdr:nvSpPr>
          <xdr:cNvPr id="3" name="フローチャート: 磁気ディスク 2">
            <a:extLst>
              <a:ext uri="{FF2B5EF4-FFF2-40B4-BE49-F238E27FC236}">
                <a16:creationId xmlns:a16="http://schemas.microsoft.com/office/drawing/2014/main" id="{7C7C8E68-DD2E-3BF6-0CF2-BC65CCCBC166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CE13ED4B-EEA8-36F4-0A9E-29161AF4FE08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overflow" horzOverflow="overflow" wrap="square" rtlCol="0" anchor="ctr"/>
          <a:lstStyle/>
          <a:p>
            <a:pPr algn="ctr"/>
            <a:r>
              <a:rPr kumimoji="1" lang="ja-JP" altLang="en-US" sz="900"/>
              <a:t>資金集中管理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125943</xdr:colOff>
      <xdr:row>12</xdr:row>
      <xdr:rowOff>142875</xdr:rowOff>
    </xdr:from>
    <xdr:to>
      <xdr:col>20</xdr:col>
      <xdr:colOff>33976</xdr:colOff>
      <xdr:row>14</xdr:row>
      <xdr:rowOff>59267</xdr:rowOff>
    </xdr:to>
    <xdr:sp macro="" textlink="">
      <xdr:nvSpPr>
        <xdr:cNvPr id="2" name="フローチャート: 端子 26">
          <a:extLst>
            <a:ext uri="{FF2B5EF4-FFF2-40B4-BE49-F238E27FC236}">
              <a16:creationId xmlns:a16="http://schemas.microsoft.com/office/drawing/2014/main" id="{8BF22241-336D-4E3C-BA3B-60A8016A2BAB}"/>
            </a:ext>
          </a:extLst>
        </xdr:cNvPr>
        <xdr:cNvSpPr/>
      </xdr:nvSpPr>
      <xdr:spPr>
        <a:xfrm>
          <a:off x="3326343" y="2314575"/>
          <a:ext cx="708133" cy="27834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15</xdr:col>
      <xdr:colOff>182195</xdr:colOff>
      <xdr:row>22</xdr:row>
      <xdr:rowOff>9532</xdr:rowOff>
    </xdr:from>
    <xdr:to>
      <xdr:col>20</xdr:col>
      <xdr:colOff>198537</xdr:colOff>
      <xdr:row>24</xdr:row>
      <xdr:rowOff>140762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48AE6AB1-2D0D-4AD7-8498-EA63CAD81BA6}"/>
            </a:ext>
          </a:extLst>
        </xdr:cNvPr>
        <xdr:cNvSpPr/>
      </xdr:nvSpPr>
      <xdr:spPr>
        <a:xfrm>
          <a:off x="3182570" y="3629032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123825</xdr:colOff>
      <xdr:row>22</xdr:row>
      <xdr:rowOff>2117</xdr:rowOff>
    </xdr:from>
    <xdr:to>
      <xdr:col>21</xdr:col>
      <xdr:colOff>34925</xdr:colOff>
      <xdr:row>24</xdr:row>
      <xdr:rowOff>180646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D5F3A2D-B574-4CF3-9252-0A3D8828682B}"/>
            </a:ext>
          </a:extLst>
        </xdr:cNvPr>
        <xdr:cNvSpPr/>
      </xdr:nvSpPr>
      <xdr:spPr>
        <a:xfrm>
          <a:off x="3124200" y="3621617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1</a:t>
          </a:r>
          <a:r>
            <a:rPr kumimoji="1" lang="ja-JP" altLang="en-US" sz="900"/>
            <a:t>．借入金計上</a:t>
          </a:r>
          <a:endParaRPr kumimoji="1" lang="en-US" altLang="ja-JP" sz="900"/>
        </a:p>
      </xdr:txBody>
    </xdr:sp>
    <xdr:clientData/>
  </xdr:twoCellAnchor>
  <xdr:twoCellAnchor>
    <xdr:from>
      <xdr:col>20</xdr:col>
      <xdr:colOff>198537</xdr:colOff>
      <xdr:row>23</xdr:row>
      <xdr:rowOff>66950</xdr:rowOff>
    </xdr:from>
    <xdr:to>
      <xdr:col>30</xdr:col>
      <xdr:colOff>171790</xdr:colOff>
      <xdr:row>23</xdr:row>
      <xdr:rowOff>75147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6F882D3-D8A1-4D4B-B8E5-7ABD0D6F6B5B}"/>
            </a:ext>
          </a:extLst>
        </xdr:cNvPr>
        <xdr:cNvCxnSpPr>
          <a:stCxn id="3" idx="3"/>
          <a:endCxn id="7" idx="2"/>
        </xdr:cNvCxnSpPr>
      </xdr:nvCxnSpPr>
      <xdr:spPr>
        <a:xfrm flipV="1">
          <a:off x="4199037" y="3867425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77259</xdr:colOff>
      <xdr:row>21</xdr:row>
      <xdr:rowOff>146051</xdr:rowOff>
    </xdr:from>
    <xdr:to>
      <xdr:col>34</xdr:col>
      <xdr:colOff>173567</xdr:colOff>
      <xdr:row>25</xdr:row>
      <xdr:rowOff>38883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4AF0B17C-08BD-4C24-B61E-7AA36F998FC4}"/>
            </a:ext>
          </a:extLst>
        </xdr:cNvPr>
        <xdr:cNvGrpSpPr/>
      </xdr:nvGrpSpPr>
      <xdr:grpSpPr>
        <a:xfrm>
          <a:off x="6078009" y="3794126"/>
          <a:ext cx="896408" cy="578632"/>
          <a:chOff x="7111999" y="2892425"/>
          <a:chExt cx="873125" cy="584982"/>
        </a:xfrm>
      </xdr:grpSpPr>
      <xdr:sp macro="" textlink="">
        <xdr:nvSpPr>
          <xdr:cNvPr id="7" name="フローチャート: 磁気ディスク 6">
            <a:extLst>
              <a:ext uri="{FF2B5EF4-FFF2-40B4-BE49-F238E27FC236}">
                <a16:creationId xmlns:a16="http://schemas.microsoft.com/office/drawing/2014/main" id="{05589591-9513-4CD3-B39A-31193BD03DFF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0B2B3760-03B0-4290-9AC3-8A56DE44FFFE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89126</xdr:colOff>
      <xdr:row>24</xdr:row>
      <xdr:rowOff>140762</xdr:rowOff>
    </xdr:from>
    <xdr:to>
      <xdr:col>18</xdr:col>
      <xdr:colOff>91588</xdr:colOff>
      <xdr:row>31</xdr:row>
      <xdr:rowOff>9532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A0A35AC1-4B20-4F0B-A616-A05E4AD2E89A}"/>
            </a:ext>
          </a:extLst>
        </xdr:cNvPr>
        <xdr:cNvCxnSpPr>
          <a:cxnSpLocks/>
          <a:stCxn id="3" idx="2"/>
          <a:endCxn id="12" idx="0"/>
        </xdr:cNvCxnSpPr>
      </xdr:nvCxnSpPr>
      <xdr:spPr>
        <a:xfrm flipH="1">
          <a:off x="3645126" y="3936651"/>
          <a:ext cx="2462" cy="105410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79375</xdr:colOff>
      <xdr:row>14</xdr:row>
      <xdr:rowOff>59267</xdr:rowOff>
    </xdr:from>
    <xdr:to>
      <xdr:col>18</xdr:col>
      <xdr:colOff>79960</xdr:colOff>
      <xdr:row>22</xdr:row>
      <xdr:rowOff>2117</xdr:rowOff>
    </xdr:to>
    <xdr:cxnSp macro="">
      <xdr:nvCxnSpPr>
        <xdr:cNvPr id="10" name="直線矢印コネクタ 27">
          <a:extLst>
            <a:ext uri="{FF2B5EF4-FFF2-40B4-BE49-F238E27FC236}">
              <a16:creationId xmlns:a16="http://schemas.microsoft.com/office/drawing/2014/main" id="{F186DCC1-B14C-4792-A2F5-006016EE5811}"/>
            </a:ext>
          </a:extLst>
        </xdr:cNvPr>
        <xdr:cNvCxnSpPr>
          <a:cxnSpLocks/>
          <a:stCxn id="2" idx="2"/>
          <a:endCxn id="4" idx="0"/>
        </xdr:cNvCxnSpPr>
      </xdr:nvCxnSpPr>
      <xdr:spPr>
        <a:xfrm flipH="1">
          <a:off x="3679825" y="2592917"/>
          <a:ext cx="585" cy="10287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121366</xdr:colOff>
      <xdr:row>30</xdr:row>
      <xdr:rowOff>143228</xdr:rowOff>
    </xdr:from>
    <xdr:to>
      <xdr:col>21</xdr:col>
      <xdr:colOff>32466</xdr:colOff>
      <xdr:row>33</xdr:row>
      <xdr:rowOff>146074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A18FE90F-1141-9095-CF26-26F18D6D9191}"/>
            </a:ext>
          </a:extLst>
        </xdr:cNvPr>
        <xdr:cNvGrpSpPr/>
      </xdr:nvGrpSpPr>
      <xdr:grpSpPr>
        <a:xfrm>
          <a:off x="3121741" y="5334353"/>
          <a:ext cx="1111250" cy="517196"/>
          <a:chOff x="3077636" y="4955117"/>
          <a:chExt cx="1096434" cy="510846"/>
        </a:xfrm>
      </xdr:grpSpPr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E7005550-D35D-4137-B65B-902638B48BD2}"/>
              </a:ext>
            </a:extLst>
          </xdr:cNvPr>
          <xdr:cNvSpPr/>
        </xdr:nvSpPr>
        <xdr:spPr>
          <a:xfrm>
            <a:off x="3136003" y="4990754"/>
            <a:ext cx="1004120" cy="469897"/>
          </a:xfrm>
          <a:prstGeom prst="rect">
            <a:avLst/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67A2F674-234D-4562-96E3-551523495AF6}"/>
              </a:ext>
            </a:extLst>
          </xdr:cNvPr>
          <xdr:cNvSpPr/>
        </xdr:nvSpPr>
        <xdr:spPr>
          <a:xfrm>
            <a:off x="3077636" y="4955117"/>
            <a:ext cx="1096434" cy="510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</a:t>
            </a:r>
            <a:r>
              <a:rPr kumimoji="1" lang="ja-JP" altLang="en-US" sz="900"/>
              <a:t>．利息額の計算</a:t>
            </a:r>
            <a:endParaRPr kumimoji="1" lang="en-US" altLang="ja-JP" sz="900"/>
          </a:p>
        </xdr:txBody>
      </xdr:sp>
    </xdr:grpSp>
    <xdr:clientData/>
  </xdr:twoCellAnchor>
  <xdr:twoCellAnchor>
    <xdr:from>
      <xdr:col>16</xdr:col>
      <xdr:colOff>152400</xdr:colOff>
      <xdr:row>75</xdr:row>
      <xdr:rowOff>161925</xdr:rowOff>
    </xdr:from>
    <xdr:to>
      <xdr:col>20</xdr:col>
      <xdr:colOff>75770</xdr:colOff>
      <xdr:row>77</xdr:row>
      <xdr:rowOff>59259</xdr:rowOff>
    </xdr:to>
    <xdr:sp macro="" textlink="">
      <xdr:nvSpPr>
        <xdr:cNvPr id="18" name="フローチャート: 端子 17">
          <a:extLst>
            <a:ext uri="{FF2B5EF4-FFF2-40B4-BE49-F238E27FC236}">
              <a16:creationId xmlns:a16="http://schemas.microsoft.com/office/drawing/2014/main" id="{085D3415-D20E-4485-8623-8DF43118664C}"/>
            </a:ext>
          </a:extLst>
        </xdr:cNvPr>
        <xdr:cNvSpPr/>
      </xdr:nvSpPr>
      <xdr:spPr>
        <a:xfrm>
          <a:off x="3352800" y="13011150"/>
          <a:ext cx="723470" cy="25928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18</xdr:col>
      <xdr:colOff>114085</xdr:colOff>
      <xdr:row>70</xdr:row>
      <xdr:rowOff>42338</xdr:rowOff>
    </xdr:from>
    <xdr:to>
      <xdr:col>18</xdr:col>
      <xdr:colOff>118929</xdr:colOff>
      <xdr:row>75</xdr:row>
      <xdr:rowOff>161925</xdr:rowOff>
    </xdr:to>
    <xdr:cxnSp macro="">
      <xdr:nvCxnSpPr>
        <xdr:cNvPr id="19" name="直線矢印コネクタ 27">
          <a:extLst>
            <a:ext uri="{FF2B5EF4-FFF2-40B4-BE49-F238E27FC236}">
              <a16:creationId xmlns:a16="http://schemas.microsoft.com/office/drawing/2014/main" id="{91D86328-870E-4730-9D60-F4385A07A441}"/>
            </a:ext>
          </a:extLst>
        </xdr:cNvPr>
        <xdr:cNvCxnSpPr>
          <a:cxnSpLocks/>
          <a:stCxn id="135" idx="2"/>
          <a:endCxn id="18" idx="0"/>
        </xdr:cNvCxnSpPr>
      </xdr:nvCxnSpPr>
      <xdr:spPr>
        <a:xfrm flipH="1">
          <a:off x="3714535" y="11986688"/>
          <a:ext cx="4844" cy="102446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91722</xdr:colOff>
      <xdr:row>32</xdr:row>
      <xdr:rowOff>46566</xdr:rowOff>
    </xdr:from>
    <xdr:to>
      <xdr:col>24</xdr:col>
      <xdr:colOff>110772</xdr:colOff>
      <xdr:row>36</xdr:row>
      <xdr:rowOff>23283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970C6241-2CD9-49CE-8279-EB4D8A7ABDF4}"/>
            </a:ext>
          </a:extLst>
        </xdr:cNvPr>
        <xdr:cNvGrpSpPr/>
      </xdr:nvGrpSpPr>
      <xdr:grpSpPr>
        <a:xfrm>
          <a:off x="3892197" y="5580591"/>
          <a:ext cx="1019175" cy="662517"/>
          <a:chOff x="4305300" y="5682252"/>
          <a:chExt cx="1003300" cy="510539"/>
        </a:xfrm>
      </xdr:grpSpPr>
      <xdr:sp macro="" textlink="">
        <xdr:nvSpPr>
          <xdr:cNvPr id="98" name="AutoShape 49">
            <a:extLst>
              <a:ext uri="{FF2B5EF4-FFF2-40B4-BE49-F238E27FC236}">
                <a16:creationId xmlns:a16="http://schemas.microsoft.com/office/drawing/2014/main" id="{32FB7335-85D1-465F-9824-AA786A49A2F1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99" name="正方形/長方形 48">
            <a:extLst>
              <a:ext uri="{FF2B5EF4-FFF2-40B4-BE49-F238E27FC236}">
                <a16:creationId xmlns:a16="http://schemas.microsoft.com/office/drawing/2014/main" id="{CCA52079-47FB-487F-89E4-8CC4E3B154CC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利息額計算</a:t>
            </a:r>
          </a:p>
        </xdr:txBody>
      </xdr:sp>
    </xdr:grpSp>
    <xdr:clientData/>
  </xdr:twoCellAnchor>
  <xdr:twoCellAnchor>
    <xdr:from>
      <xdr:col>15</xdr:col>
      <xdr:colOff>191720</xdr:colOff>
      <xdr:row>37</xdr:row>
      <xdr:rowOff>111131</xdr:rowOff>
    </xdr:from>
    <xdr:to>
      <xdr:col>21</xdr:col>
      <xdr:colOff>8037</xdr:colOff>
      <xdr:row>40</xdr:row>
      <xdr:rowOff>61386</xdr:rowOff>
    </xdr:to>
    <xdr:sp macro="" textlink="">
      <xdr:nvSpPr>
        <xdr:cNvPr id="101" name="フローチャート: 定義済み処理 100">
          <a:extLst>
            <a:ext uri="{FF2B5EF4-FFF2-40B4-BE49-F238E27FC236}">
              <a16:creationId xmlns:a16="http://schemas.microsoft.com/office/drawing/2014/main" id="{7EEB54F8-5A4C-4B3F-AEF1-9FCFD64DA05F}"/>
            </a:ext>
          </a:extLst>
        </xdr:cNvPr>
        <xdr:cNvSpPr/>
      </xdr:nvSpPr>
      <xdr:spPr>
        <a:xfrm>
          <a:off x="3192095" y="6083306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133350</xdr:colOff>
      <xdr:row>37</xdr:row>
      <xdr:rowOff>103716</xdr:rowOff>
    </xdr:from>
    <xdr:to>
      <xdr:col>21</xdr:col>
      <xdr:colOff>44450</xdr:colOff>
      <xdr:row>40</xdr:row>
      <xdr:rowOff>101270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BC48EAEF-E3DE-4094-A2CF-F8938EF70C40}"/>
            </a:ext>
          </a:extLst>
        </xdr:cNvPr>
        <xdr:cNvSpPr/>
      </xdr:nvSpPr>
      <xdr:spPr>
        <a:xfrm>
          <a:off x="3133725" y="6075891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3</a:t>
          </a:r>
          <a:r>
            <a:rPr kumimoji="1" lang="ja-JP" altLang="en-US" sz="900"/>
            <a:t>．利息仕訳の</a:t>
          </a:r>
          <a:endParaRPr kumimoji="1" lang="en-US" altLang="ja-JP" sz="900"/>
        </a:p>
        <a:p>
          <a:pPr algn="ctr"/>
          <a:r>
            <a:rPr kumimoji="1" lang="ja-JP" altLang="en-US" sz="900"/>
            <a:t>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8037</xdr:colOff>
      <xdr:row>38</xdr:row>
      <xdr:rowOff>168549</xdr:rowOff>
    </xdr:from>
    <xdr:to>
      <xdr:col>30</xdr:col>
      <xdr:colOff>181315</xdr:colOff>
      <xdr:row>38</xdr:row>
      <xdr:rowOff>176746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4DD61C12-219C-48E7-BD01-76BB44AF1E03}"/>
            </a:ext>
          </a:extLst>
        </xdr:cNvPr>
        <xdr:cNvCxnSpPr>
          <a:stCxn id="101" idx="3"/>
          <a:endCxn id="105" idx="2"/>
        </xdr:cNvCxnSpPr>
      </xdr:nvCxnSpPr>
      <xdr:spPr>
        <a:xfrm flipV="1">
          <a:off x="4208562" y="6321699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86784</xdr:colOff>
      <xdr:row>37</xdr:row>
      <xdr:rowOff>66675</xdr:rowOff>
    </xdr:from>
    <xdr:to>
      <xdr:col>34</xdr:col>
      <xdr:colOff>183092</xdr:colOff>
      <xdr:row>40</xdr:row>
      <xdr:rowOff>140482</xdr:rowOff>
    </xdr:to>
    <xdr:grpSp>
      <xdr:nvGrpSpPr>
        <xdr:cNvPr id="104" name="グループ化 103">
          <a:extLst>
            <a:ext uri="{FF2B5EF4-FFF2-40B4-BE49-F238E27FC236}">
              <a16:creationId xmlns:a16="http://schemas.microsoft.com/office/drawing/2014/main" id="{26C1FEA2-0C7E-492D-927B-0E8EEC9ABADD}"/>
            </a:ext>
          </a:extLst>
        </xdr:cNvPr>
        <xdr:cNvGrpSpPr/>
      </xdr:nvGrpSpPr>
      <xdr:grpSpPr>
        <a:xfrm>
          <a:off x="6087534" y="6457950"/>
          <a:ext cx="896408" cy="588157"/>
          <a:chOff x="7111999" y="2892425"/>
          <a:chExt cx="873125" cy="584982"/>
        </a:xfrm>
      </xdr:grpSpPr>
      <xdr:sp macro="" textlink="">
        <xdr:nvSpPr>
          <xdr:cNvPr id="105" name="フローチャート: 磁気ディスク 104">
            <a:extLst>
              <a:ext uri="{FF2B5EF4-FFF2-40B4-BE49-F238E27FC236}">
                <a16:creationId xmlns:a16="http://schemas.microsoft.com/office/drawing/2014/main" id="{3D0A5F51-3872-4AC5-BA85-FD2CAC68CF12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B3F55EB6-6BD8-417A-A073-857BE42E239C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88900</xdr:colOff>
      <xdr:row>33</xdr:row>
      <xdr:rowOff>140762</xdr:rowOff>
    </xdr:from>
    <xdr:to>
      <xdr:col>18</xdr:col>
      <xdr:colOff>89126</xdr:colOff>
      <xdr:row>37</xdr:row>
      <xdr:rowOff>103716</xdr:rowOff>
    </xdr:to>
    <xdr:cxnSp macro="">
      <xdr:nvCxnSpPr>
        <xdr:cNvPr id="107" name="直線矢印コネクタ 27">
          <a:extLst>
            <a:ext uri="{FF2B5EF4-FFF2-40B4-BE49-F238E27FC236}">
              <a16:creationId xmlns:a16="http://schemas.microsoft.com/office/drawing/2014/main" id="{3056EF3C-D45E-4B69-98AB-3EF9FE9868F1}"/>
            </a:ext>
          </a:extLst>
        </xdr:cNvPr>
        <xdr:cNvCxnSpPr>
          <a:cxnSpLocks/>
          <a:stCxn id="12" idx="2"/>
          <a:endCxn id="102" idx="0"/>
        </xdr:cNvCxnSpPr>
      </xdr:nvCxnSpPr>
      <xdr:spPr>
        <a:xfrm flipH="1">
          <a:off x="3644900" y="5460651"/>
          <a:ext cx="226" cy="64028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1220</xdr:colOff>
      <xdr:row>44</xdr:row>
      <xdr:rowOff>56094</xdr:rowOff>
    </xdr:from>
    <xdr:to>
      <xdr:col>21</xdr:col>
      <xdr:colOff>17562</xdr:colOff>
      <xdr:row>47</xdr:row>
      <xdr:rowOff>6349</xdr:rowOff>
    </xdr:to>
    <xdr:sp macro="" textlink="">
      <xdr:nvSpPr>
        <xdr:cNvPr id="116" name="フローチャート: 定義済み処理 115">
          <a:extLst>
            <a:ext uri="{FF2B5EF4-FFF2-40B4-BE49-F238E27FC236}">
              <a16:creationId xmlns:a16="http://schemas.microsoft.com/office/drawing/2014/main" id="{25CB6B5E-264D-417D-9CE0-17F710B1E033}"/>
            </a:ext>
          </a:extLst>
        </xdr:cNvPr>
        <xdr:cNvSpPr/>
      </xdr:nvSpPr>
      <xdr:spPr>
        <a:xfrm>
          <a:off x="3201620" y="7295094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142875</xdr:colOff>
      <xdr:row>44</xdr:row>
      <xdr:rowOff>48679</xdr:rowOff>
    </xdr:from>
    <xdr:to>
      <xdr:col>21</xdr:col>
      <xdr:colOff>53975</xdr:colOff>
      <xdr:row>47</xdr:row>
      <xdr:rowOff>46233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AAC7336E-54A9-422E-9E45-F5CBDE1485F0}"/>
            </a:ext>
          </a:extLst>
        </xdr:cNvPr>
        <xdr:cNvSpPr/>
      </xdr:nvSpPr>
      <xdr:spPr>
        <a:xfrm>
          <a:off x="3143250" y="7287679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4</a:t>
          </a:r>
          <a:r>
            <a:rPr kumimoji="1" lang="ja-JP" altLang="en-US" sz="900"/>
            <a:t>．長短振替仕訳</a:t>
          </a:r>
          <a:endParaRPr kumimoji="1" lang="en-US" altLang="ja-JP" sz="900"/>
        </a:p>
        <a:p>
          <a:pPr algn="ctr"/>
          <a:r>
            <a:rPr kumimoji="1" lang="ja-JP" altLang="en-US" sz="900"/>
            <a:t>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17562</xdr:colOff>
      <xdr:row>45</xdr:row>
      <xdr:rowOff>113512</xdr:rowOff>
    </xdr:from>
    <xdr:to>
      <xdr:col>30</xdr:col>
      <xdr:colOff>190840</xdr:colOff>
      <xdr:row>45</xdr:row>
      <xdr:rowOff>121709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826B9326-2264-4757-B22D-9EA7A88B9074}"/>
            </a:ext>
          </a:extLst>
        </xdr:cNvPr>
        <xdr:cNvCxnSpPr>
          <a:stCxn id="116" idx="3"/>
          <a:endCxn id="120" idx="2"/>
        </xdr:cNvCxnSpPr>
      </xdr:nvCxnSpPr>
      <xdr:spPr>
        <a:xfrm flipV="1">
          <a:off x="4218087" y="7533487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96309</xdr:colOff>
      <xdr:row>44</xdr:row>
      <xdr:rowOff>11638</xdr:rowOff>
    </xdr:from>
    <xdr:to>
      <xdr:col>34</xdr:col>
      <xdr:colOff>192617</xdr:colOff>
      <xdr:row>47</xdr:row>
      <xdr:rowOff>85445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62E9049A-3179-473F-ADE0-91166807BC02}"/>
            </a:ext>
          </a:extLst>
        </xdr:cNvPr>
        <xdr:cNvGrpSpPr/>
      </xdr:nvGrpSpPr>
      <xdr:grpSpPr>
        <a:xfrm>
          <a:off x="6097059" y="7603063"/>
          <a:ext cx="896408" cy="588157"/>
          <a:chOff x="7111999" y="2892425"/>
          <a:chExt cx="873125" cy="584982"/>
        </a:xfrm>
      </xdr:grpSpPr>
      <xdr:sp macro="" textlink="">
        <xdr:nvSpPr>
          <xdr:cNvPr id="120" name="フローチャート: 磁気ディスク 119">
            <a:extLst>
              <a:ext uri="{FF2B5EF4-FFF2-40B4-BE49-F238E27FC236}">
                <a16:creationId xmlns:a16="http://schemas.microsoft.com/office/drawing/2014/main" id="{D2EC145B-E10D-493B-822D-4DCF68CF229D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1" name="正方形/長方形 120">
            <a:extLst>
              <a:ext uri="{FF2B5EF4-FFF2-40B4-BE49-F238E27FC236}">
                <a16:creationId xmlns:a16="http://schemas.microsoft.com/office/drawing/2014/main" id="{F1711B0F-362F-42D3-91D7-B4A54FD94A8F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98425</xdr:colOff>
      <xdr:row>40</xdr:row>
      <xdr:rowOff>61386</xdr:rowOff>
    </xdr:from>
    <xdr:to>
      <xdr:col>18</xdr:col>
      <xdr:colOff>99879</xdr:colOff>
      <xdr:row>44</xdr:row>
      <xdr:rowOff>48679</xdr:rowOff>
    </xdr:to>
    <xdr:cxnSp macro="">
      <xdr:nvCxnSpPr>
        <xdr:cNvPr id="122" name="直線矢印コネクタ 27">
          <a:extLst>
            <a:ext uri="{FF2B5EF4-FFF2-40B4-BE49-F238E27FC236}">
              <a16:creationId xmlns:a16="http://schemas.microsoft.com/office/drawing/2014/main" id="{593FD870-CD2F-4AB5-A205-BE5E06C28E53}"/>
            </a:ext>
          </a:extLst>
        </xdr:cNvPr>
        <xdr:cNvCxnSpPr>
          <a:cxnSpLocks/>
          <a:stCxn id="101" idx="2"/>
          <a:endCxn id="117" idx="0"/>
        </xdr:cNvCxnSpPr>
      </xdr:nvCxnSpPr>
      <xdr:spPr>
        <a:xfrm flipH="1">
          <a:off x="3698875" y="6576486"/>
          <a:ext cx="1454" cy="71119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10745</xdr:colOff>
      <xdr:row>51</xdr:row>
      <xdr:rowOff>13758</xdr:rowOff>
    </xdr:from>
    <xdr:to>
      <xdr:col>21</xdr:col>
      <xdr:colOff>27087</xdr:colOff>
      <xdr:row>53</xdr:row>
      <xdr:rowOff>144988</xdr:rowOff>
    </xdr:to>
    <xdr:sp macro="" textlink="">
      <xdr:nvSpPr>
        <xdr:cNvPr id="124" name="フローチャート: 定義済み処理 123">
          <a:extLst>
            <a:ext uri="{FF2B5EF4-FFF2-40B4-BE49-F238E27FC236}">
              <a16:creationId xmlns:a16="http://schemas.microsoft.com/office/drawing/2014/main" id="{80B1B453-F81B-4E15-9B89-D486211C7834}"/>
            </a:ext>
          </a:extLst>
        </xdr:cNvPr>
        <xdr:cNvSpPr/>
      </xdr:nvSpPr>
      <xdr:spPr>
        <a:xfrm>
          <a:off x="3211145" y="8519583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51</xdr:row>
      <xdr:rowOff>6343</xdr:rowOff>
    </xdr:from>
    <xdr:to>
      <xdr:col>21</xdr:col>
      <xdr:colOff>63500</xdr:colOff>
      <xdr:row>54</xdr:row>
      <xdr:rowOff>3897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B1FCE12E-1A3C-4260-97E4-1CCA6A804673}"/>
            </a:ext>
          </a:extLst>
        </xdr:cNvPr>
        <xdr:cNvSpPr/>
      </xdr:nvSpPr>
      <xdr:spPr>
        <a:xfrm>
          <a:off x="3152775" y="8512168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5</a:t>
          </a:r>
          <a:r>
            <a:rPr kumimoji="1" lang="ja-JP" altLang="en-US" sz="900"/>
            <a:t>．返済仕訳</a:t>
          </a:r>
          <a:endParaRPr kumimoji="1" lang="en-US" altLang="ja-JP" sz="900"/>
        </a:p>
        <a:p>
          <a:pPr algn="ctr"/>
          <a:r>
            <a:rPr kumimoji="1" lang="ja-JP" altLang="en-US" sz="900"/>
            <a:t>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27087</xdr:colOff>
      <xdr:row>52</xdr:row>
      <xdr:rowOff>71176</xdr:rowOff>
    </xdr:from>
    <xdr:to>
      <xdr:col>31</xdr:col>
      <xdr:colOff>340</xdr:colOff>
      <xdr:row>52</xdr:row>
      <xdr:rowOff>79373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23D300AA-2970-4A9D-88BB-D811AB7C36F0}"/>
            </a:ext>
          </a:extLst>
        </xdr:cNvPr>
        <xdr:cNvCxnSpPr>
          <a:stCxn id="124" idx="3"/>
          <a:endCxn id="128" idx="2"/>
        </xdr:cNvCxnSpPr>
      </xdr:nvCxnSpPr>
      <xdr:spPr>
        <a:xfrm flipV="1">
          <a:off x="4227612" y="8757976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105834</xdr:colOff>
      <xdr:row>50</xdr:row>
      <xdr:rowOff>150277</xdr:rowOff>
    </xdr:from>
    <xdr:to>
      <xdr:col>35</xdr:col>
      <xdr:colOff>2117</xdr:colOff>
      <xdr:row>54</xdr:row>
      <xdr:rowOff>43109</xdr:rowOff>
    </xdr:to>
    <xdr:grpSp>
      <xdr:nvGrpSpPr>
        <xdr:cNvPr id="127" name="グループ化 126">
          <a:extLst>
            <a:ext uri="{FF2B5EF4-FFF2-40B4-BE49-F238E27FC236}">
              <a16:creationId xmlns:a16="http://schemas.microsoft.com/office/drawing/2014/main" id="{9BA2BB85-7371-4347-AC19-CABD700BA605}"/>
            </a:ext>
          </a:extLst>
        </xdr:cNvPr>
        <xdr:cNvGrpSpPr/>
      </xdr:nvGrpSpPr>
      <xdr:grpSpPr>
        <a:xfrm>
          <a:off x="6106584" y="8770402"/>
          <a:ext cx="896408" cy="578632"/>
          <a:chOff x="7111999" y="2892425"/>
          <a:chExt cx="873125" cy="584982"/>
        </a:xfrm>
      </xdr:grpSpPr>
      <xdr:sp macro="" textlink="">
        <xdr:nvSpPr>
          <xdr:cNvPr id="128" name="フローチャート: 磁気ディスク 127">
            <a:extLst>
              <a:ext uri="{FF2B5EF4-FFF2-40B4-BE49-F238E27FC236}">
                <a16:creationId xmlns:a16="http://schemas.microsoft.com/office/drawing/2014/main" id="{48711C0F-3E2E-43A5-BDB8-D04C51E80C12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9" name="正方形/長方形 128">
            <a:extLst>
              <a:ext uri="{FF2B5EF4-FFF2-40B4-BE49-F238E27FC236}">
                <a16:creationId xmlns:a16="http://schemas.microsoft.com/office/drawing/2014/main" id="{52FD0962-FB6C-4C90-A27D-149C18556A02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107950</xdr:colOff>
      <xdr:row>47</xdr:row>
      <xdr:rowOff>6349</xdr:rowOff>
    </xdr:from>
    <xdr:to>
      <xdr:col>18</xdr:col>
      <xdr:colOff>109404</xdr:colOff>
      <xdr:row>51</xdr:row>
      <xdr:rowOff>6343</xdr:rowOff>
    </xdr:to>
    <xdr:cxnSp macro="">
      <xdr:nvCxnSpPr>
        <xdr:cNvPr id="130" name="直線矢印コネクタ 27">
          <a:extLst>
            <a:ext uri="{FF2B5EF4-FFF2-40B4-BE49-F238E27FC236}">
              <a16:creationId xmlns:a16="http://schemas.microsoft.com/office/drawing/2014/main" id="{8FD2CEBF-92B5-41D7-AB6C-4C66911F9A04}"/>
            </a:ext>
          </a:extLst>
        </xdr:cNvPr>
        <xdr:cNvCxnSpPr>
          <a:cxnSpLocks/>
          <a:stCxn id="116" idx="2"/>
          <a:endCxn id="125" idx="0"/>
        </xdr:cNvCxnSpPr>
      </xdr:nvCxnSpPr>
      <xdr:spPr>
        <a:xfrm flipH="1">
          <a:off x="3708400" y="7788274"/>
          <a:ext cx="1454" cy="72389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10745</xdr:colOff>
      <xdr:row>67</xdr:row>
      <xdr:rowOff>92083</xdr:rowOff>
    </xdr:from>
    <xdr:to>
      <xdr:col>21</xdr:col>
      <xdr:colOff>27087</xdr:colOff>
      <xdr:row>70</xdr:row>
      <xdr:rowOff>42338</xdr:rowOff>
    </xdr:to>
    <xdr:sp macro="" textlink="">
      <xdr:nvSpPr>
        <xdr:cNvPr id="135" name="フローチャート: 定義済み処理 134">
          <a:extLst>
            <a:ext uri="{FF2B5EF4-FFF2-40B4-BE49-F238E27FC236}">
              <a16:creationId xmlns:a16="http://schemas.microsoft.com/office/drawing/2014/main" id="{92B7A867-640C-4BFE-9DFA-6A9C7A22FE26}"/>
            </a:ext>
          </a:extLst>
        </xdr:cNvPr>
        <xdr:cNvSpPr/>
      </xdr:nvSpPr>
      <xdr:spPr>
        <a:xfrm>
          <a:off x="3211145" y="9683758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67</xdr:row>
      <xdr:rowOff>84668</xdr:rowOff>
    </xdr:from>
    <xdr:to>
      <xdr:col>21</xdr:col>
      <xdr:colOff>63500</xdr:colOff>
      <xdr:row>70</xdr:row>
      <xdr:rowOff>82222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074C319C-2057-4B58-AAE2-4A6685EA27D8}"/>
            </a:ext>
          </a:extLst>
        </xdr:cNvPr>
        <xdr:cNvSpPr/>
      </xdr:nvSpPr>
      <xdr:spPr>
        <a:xfrm>
          <a:off x="3152775" y="9676343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7</a:t>
          </a:r>
          <a:r>
            <a:rPr kumimoji="1" lang="ja-JP" altLang="en-US" sz="900"/>
            <a:t>．借入金残高</a:t>
          </a:r>
          <a:endParaRPr kumimoji="1" lang="en-US" altLang="ja-JP" sz="900"/>
        </a:p>
        <a:p>
          <a:pPr algn="ctr"/>
          <a:r>
            <a:rPr kumimoji="1" lang="ja-JP" altLang="en-US" sz="900"/>
            <a:t>確認</a:t>
          </a:r>
          <a:endParaRPr kumimoji="1" lang="en-US" altLang="ja-JP" sz="900"/>
        </a:p>
      </xdr:txBody>
    </xdr:sp>
    <xdr:clientData/>
  </xdr:twoCellAnchor>
  <xdr:twoCellAnchor>
    <xdr:from>
      <xdr:col>21</xdr:col>
      <xdr:colOff>27087</xdr:colOff>
      <xdr:row>68</xdr:row>
      <xdr:rowOff>149501</xdr:rowOff>
    </xdr:from>
    <xdr:to>
      <xdr:col>31</xdr:col>
      <xdr:colOff>340</xdr:colOff>
      <xdr:row>68</xdr:row>
      <xdr:rowOff>157698</xdr:rowOff>
    </xdr:to>
    <xdr:cxnSp macro="">
      <xdr:nvCxnSpPr>
        <xdr:cNvPr id="137" name="直線矢印コネクタ 136">
          <a:extLst>
            <a:ext uri="{FF2B5EF4-FFF2-40B4-BE49-F238E27FC236}">
              <a16:creationId xmlns:a16="http://schemas.microsoft.com/office/drawing/2014/main" id="{32E5ACEA-1628-4ABA-BD71-EDD17ECDC2A9}"/>
            </a:ext>
          </a:extLst>
        </xdr:cNvPr>
        <xdr:cNvCxnSpPr>
          <a:stCxn id="139" idx="2"/>
          <a:endCxn id="135" idx="3"/>
        </xdr:cNvCxnSpPr>
      </xdr:nvCxnSpPr>
      <xdr:spPr>
        <a:xfrm flipH="1">
          <a:off x="4227612" y="9922151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124884</xdr:colOff>
      <xdr:row>67</xdr:row>
      <xdr:rowOff>47625</xdr:rowOff>
    </xdr:from>
    <xdr:to>
      <xdr:col>36</xdr:col>
      <xdr:colOff>19050</xdr:colOff>
      <xdr:row>70</xdr:row>
      <xdr:rowOff>130957</xdr:rowOff>
    </xdr:to>
    <xdr:grpSp>
      <xdr:nvGrpSpPr>
        <xdr:cNvPr id="138" name="グループ化 137">
          <a:extLst>
            <a:ext uri="{FF2B5EF4-FFF2-40B4-BE49-F238E27FC236}">
              <a16:creationId xmlns:a16="http://schemas.microsoft.com/office/drawing/2014/main" id="{746E8590-05C6-4F85-B37E-314717B10DF4}"/>
            </a:ext>
          </a:extLst>
        </xdr:cNvPr>
        <xdr:cNvGrpSpPr/>
      </xdr:nvGrpSpPr>
      <xdr:grpSpPr>
        <a:xfrm>
          <a:off x="5925609" y="11582400"/>
          <a:ext cx="1294341" cy="597682"/>
          <a:chOff x="6935724" y="2892425"/>
          <a:chExt cx="1260722" cy="594017"/>
        </a:xfrm>
      </xdr:grpSpPr>
      <xdr:sp macro="" textlink="">
        <xdr:nvSpPr>
          <xdr:cNvPr id="139" name="フローチャート: 磁気ディスク 138">
            <a:extLst>
              <a:ext uri="{FF2B5EF4-FFF2-40B4-BE49-F238E27FC236}">
                <a16:creationId xmlns:a16="http://schemas.microsoft.com/office/drawing/2014/main" id="{5D171B6A-D81B-431C-B717-9D1EC66ADE7F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40" name="正方形/長方形 139">
            <a:extLst>
              <a:ext uri="{FF2B5EF4-FFF2-40B4-BE49-F238E27FC236}">
                <a16:creationId xmlns:a16="http://schemas.microsoft.com/office/drawing/2014/main" id="{E8710C40-A837-4A3C-BB4E-9DC50F702871}"/>
              </a:ext>
            </a:extLst>
          </xdr:cNvPr>
          <xdr:cNvSpPr/>
        </xdr:nvSpPr>
        <xdr:spPr>
          <a:xfrm>
            <a:off x="6935724" y="2980835"/>
            <a:ext cx="1260722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伝票トランザクション</a:t>
            </a:r>
          </a:p>
        </xdr:txBody>
      </xdr:sp>
    </xdr:grpSp>
    <xdr:clientData/>
  </xdr:twoCellAnchor>
  <xdr:twoCellAnchor>
    <xdr:from>
      <xdr:col>16</xdr:col>
      <xdr:colOff>10745</xdr:colOff>
      <xdr:row>59</xdr:row>
      <xdr:rowOff>13758</xdr:rowOff>
    </xdr:from>
    <xdr:to>
      <xdr:col>21</xdr:col>
      <xdr:colOff>27087</xdr:colOff>
      <xdr:row>61</xdr:row>
      <xdr:rowOff>144988</xdr:rowOff>
    </xdr:to>
    <xdr:sp macro="" textlink="">
      <xdr:nvSpPr>
        <xdr:cNvPr id="141" name="フローチャート: 定義済み処理 140">
          <a:extLst>
            <a:ext uri="{FF2B5EF4-FFF2-40B4-BE49-F238E27FC236}">
              <a16:creationId xmlns:a16="http://schemas.microsoft.com/office/drawing/2014/main" id="{224229B4-D868-4555-B075-8DDE9A58855C}"/>
            </a:ext>
          </a:extLst>
        </xdr:cNvPr>
        <xdr:cNvSpPr/>
      </xdr:nvSpPr>
      <xdr:spPr>
        <a:xfrm>
          <a:off x="3211145" y="8519583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59</xdr:row>
      <xdr:rowOff>6343</xdr:rowOff>
    </xdr:from>
    <xdr:to>
      <xdr:col>21</xdr:col>
      <xdr:colOff>63500</xdr:colOff>
      <xdr:row>62</xdr:row>
      <xdr:rowOff>3897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6AC1CE73-5F4F-4179-AF60-48D99862BE4C}"/>
            </a:ext>
          </a:extLst>
        </xdr:cNvPr>
        <xdr:cNvSpPr/>
      </xdr:nvSpPr>
      <xdr:spPr>
        <a:xfrm>
          <a:off x="3152775" y="8512168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6</a:t>
          </a:r>
          <a:r>
            <a:rPr kumimoji="1" lang="ja-JP" altLang="en-US" sz="900"/>
            <a:t>．支払手数料</a:t>
          </a:r>
          <a:endParaRPr kumimoji="1" lang="en-US" altLang="ja-JP" sz="900"/>
        </a:p>
        <a:p>
          <a:pPr algn="ctr"/>
          <a:r>
            <a:rPr kumimoji="1" lang="ja-JP" altLang="en-US" sz="900"/>
            <a:t>仕訳計上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27087</xdr:colOff>
      <xdr:row>60</xdr:row>
      <xdr:rowOff>71176</xdr:rowOff>
    </xdr:from>
    <xdr:to>
      <xdr:col>31</xdr:col>
      <xdr:colOff>340</xdr:colOff>
      <xdr:row>60</xdr:row>
      <xdr:rowOff>79373</xdr:rowOff>
    </xdr:to>
    <xdr:cxnSp macro="">
      <xdr:nvCxnSpPr>
        <xdr:cNvPr id="143" name="直線矢印コネクタ 142">
          <a:extLst>
            <a:ext uri="{FF2B5EF4-FFF2-40B4-BE49-F238E27FC236}">
              <a16:creationId xmlns:a16="http://schemas.microsoft.com/office/drawing/2014/main" id="{9B62AB74-8218-4B53-8CF3-C679DF502963}"/>
            </a:ext>
          </a:extLst>
        </xdr:cNvPr>
        <xdr:cNvCxnSpPr>
          <a:stCxn id="141" idx="3"/>
          <a:endCxn id="145" idx="2"/>
        </xdr:cNvCxnSpPr>
      </xdr:nvCxnSpPr>
      <xdr:spPr>
        <a:xfrm flipV="1">
          <a:off x="4227612" y="8757976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105834</xdr:colOff>
      <xdr:row>58</xdr:row>
      <xdr:rowOff>150277</xdr:rowOff>
    </xdr:from>
    <xdr:to>
      <xdr:col>35</xdr:col>
      <xdr:colOff>2117</xdr:colOff>
      <xdr:row>62</xdr:row>
      <xdr:rowOff>43109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CAEA79F0-E3A3-4BD4-B11B-C4FEA76723CD}"/>
            </a:ext>
          </a:extLst>
        </xdr:cNvPr>
        <xdr:cNvGrpSpPr/>
      </xdr:nvGrpSpPr>
      <xdr:grpSpPr>
        <a:xfrm>
          <a:off x="6106584" y="10142002"/>
          <a:ext cx="896408" cy="578632"/>
          <a:chOff x="7111999" y="2892425"/>
          <a:chExt cx="873125" cy="584982"/>
        </a:xfrm>
      </xdr:grpSpPr>
      <xdr:sp macro="" textlink="">
        <xdr:nvSpPr>
          <xdr:cNvPr id="145" name="フローチャート: 磁気ディスク 144">
            <a:extLst>
              <a:ext uri="{FF2B5EF4-FFF2-40B4-BE49-F238E27FC236}">
                <a16:creationId xmlns:a16="http://schemas.microsoft.com/office/drawing/2014/main" id="{235BE4C6-465A-4C2A-B2C4-F38821D19178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46" name="正方形/長方形 145">
            <a:extLst>
              <a:ext uri="{FF2B5EF4-FFF2-40B4-BE49-F238E27FC236}">
                <a16:creationId xmlns:a16="http://schemas.microsoft.com/office/drawing/2014/main" id="{50604A9A-067E-4B84-8BB9-7773A32EEF4D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118929</xdr:colOff>
      <xdr:row>53</xdr:row>
      <xdr:rowOff>144988</xdr:rowOff>
    </xdr:from>
    <xdr:to>
      <xdr:col>18</xdr:col>
      <xdr:colOff>118929</xdr:colOff>
      <xdr:row>59</xdr:row>
      <xdr:rowOff>13758</xdr:rowOff>
    </xdr:to>
    <xdr:cxnSp macro="">
      <xdr:nvCxnSpPr>
        <xdr:cNvPr id="147" name="直線矢印コネクタ 27">
          <a:extLst>
            <a:ext uri="{FF2B5EF4-FFF2-40B4-BE49-F238E27FC236}">
              <a16:creationId xmlns:a16="http://schemas.microsoft.com/office/drawing/2014/main" id="{450EC6F4-E514-421E-B2DA-B8E5D6FBBBB9}"/>
            </a:ext>
          </a:extLst>
        </xdr:cNvPr>
        <xdr:cNvCxnSpPr>
          <a:cxnSpLocks/>
          <a:stCxn id="124" idx="2"/>
          <a:endCxn id="141" idx="0"/>
        </xdr:cNvCxnSpPr>
      </xdr:nvCxnSpPr>
      <xdr:spPr>
        <a:xfrm>
          <a:off x="3719379" y="9012763"/>
          <a:ext cx="0" cy="95462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118929</xdr:colOff>
      <xdr:row>61</xdr:row>
      <xdr:rowOff>144988</xdr:rowOff>
    </xdr:from>
    <xdr:to>
      <xdr:col>18</xdr:col>
      <xdr:colOff>118929</xdr:colOff>
      <xdr:row>67</xdr:row>
      <xdr:rowOff>92083</xdr:rowOff>
    </xdr:to>
    <xdr:cxnSp macro="">
      <xdr:nvCxnSpPr>
        <xdr:cNvPr id="151" name="直線矢印コネクタ 27">
          <a:extLst>
            <a:ext uri="{FF2B5EF4-FFF2-40B4-BE49-F238E27FC236}">
              <a16:creationId xmlns:a16="http://schemas.microsoft.com/office/drawing/2014/main" id="{F4AD06A7-BE0D-445D-A281-127EA2B91546}"/>
            </a:ext>
          </a:extLst>
        </xdr:cNvPr>
        <xdr:cNvCxnSpPr>
          <a:cxnSpLocks/>
          <a:stCxn id="141" idx="2"/>
          <a:endCxn id="135" idx="0"/>
        </xdr:cNvCxnSpPr>
      </xdr:nvCxnSpPr>
      <xdr:spPr>
        <a:xfrm>
          <a:off x="3719379" y="10460563"/>
          <a:ext cx="0" cy="103294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30339</xdr:colOff>
      <xdr:row>69</xdr:row>
      <xdr:rowOff>36689</xdr:rowOff>
    </xdr:from>
    <xdr:to>
      <xdr:col>24</xdr:col>
      <xdr:colOff>49390</xdr:colOff>
      <xdr:row>72</xdr:row>
      <xdr:rowOff>167922</xdr:rowOff>
    </xdr:to>
    <xdr:grpSp>
      <xdr:nvGrpSpPr>
        <xdr:cNvPr id="154" name="グループ化 153">
          <a:extLst>
            <a:ext uri="{FF2B5EF4-FFF2-40B4-BE49-F238E27FC236}">
              <a16:creationId xmlns:a16="http://schemas.microsoft.com/office/drawing/2014/main" id="{0EA43E50-2931-44F5-ADE4-01ED7F0E145B}"/>
            </a:ext>
          </a:extLst>
        </xdr:cNvPr>
        <xdr:cNvGrpSpPr/>
      </xdr:nvGrpSpPr>
      <xdr:grpSpPr>
        <a:xfrm>
          <a:off x="3830814" y="11914364"/>
          <a:ext cx="1019176" cy="645583"/>
          <a:chOff x="4305300" y="5682252"/>
          <a:chExt cx="1003300" cy="510539"/>
        </a:xfrm>
      </xdr:grpSpPr>
      <xdr:sp macro="" textlink="">
        <xdr:nvSpPr>
          <xdr:cNvPr id="155" name="AutoShape 49">
            <a:extLst>
              <a:ext uri="{FF2B5EF4-FFF2-40B4-BE49-F238E27FC236}">
                <a16:creationId xmlns:a16="http://schemas.microsoft.com/office/drawing/2014/main" id="{CF49852F-7A2A-48C4-AEB9-C42375E73FCC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156" name="正方形/長方形 48">
            <a:extLst>
              <a:ext uri="{FF2B5EF4-FFF2-40B4-BE49-F238E27FC236}">
                <a16:creationId xmlns:a16="http://schemas.microsoft.com/office/drawing/2014/main" id="{B11722A3-873D-4F55-AB41-230D40159EC7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借入金台帳</a:t>
            </a:r>
          </a:p>
        </xdr:txBody>
      </xdr:sp>
    </xdr:grpSp>
    <xdr:clientData/>
  </xdr:twoCellAnchor>
  <xdr:twoCellAnchor>
    <xdr:from>
      <xdr:col>16</xdr:col>
      <xdr:colOff>125943</xdr:colOff>
      <xdr:row>85</xdr:row>
      <xdr:rowOff>142875</xdr:rowOff>
    </xdr:from>
    <xdr:to>
      <xdr:col>20</xdr:col>
      <xdr:colOff>33976</xdr:colOff>
      <xdr:row>87</xdr:row>
      <xdr:rowOff>59267</xdr:rowOff>
    </xdr:to>
    <xdr:sp macro="" textlink="">
      <xdr:nvSpPr>
        <xdr:cNvPr id="67" name="フローチャート: 端子 26">
          <a:extLst>
            <a:ext uri="{FF2B5EF4-FFF2-40B4-BE49-F238E27FC236}">
              <a16:creationId xmlns:a16="http://schemas.microsoft.com/office/drawing/2014/main" id="{FB9E2AC3-6E48-41D3-99E0-EDC631124D65}"/>
            </a:ext>
          </a:extLst>
        </xdr:cNvPr>
        <xdr:cNvSpPr/>
      </xdr:nvSpPr>
      <xdr:spPr>
        <a:xfrm>
          <a:off x="3427943" y="2286000"/>
          <a:ext cx="733533" cy="26564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15</xdr:col>
      <xdr:colOff>182195</xdr:colOff>
      <xdr:row>93</xdr:row>
      <xdr:rowOff>9532</xdr:rowOff>
    </xdr:from>
    <xdr:to>
      <xdr:col>20</xdr:col>
      <xdr:colOff>198537</xdr:colOff>
      <xdr:row>95</xdr:row>
      <xdr:rowOff>140762</xdr:rowOff>
    </xdr:to>
    <xdr:sp macro="" textlink="">
      <xdr:nvSpPr>
        <xdr:cNvPr id="68" name="フローチャート: 定義済み処理 67">
          <a:extLst>
            <a:ext uri="{FF2B5EF4-FFF2-40B4-BE49-F238E27FC236}">
              <a16:creationId xmlns:a16="http://schemas.microsoft.com/office/drawing/2014/main" id="{0B43088B-6F2D-4894-8498-2ACBAFAEA961}"/>
            </a:ext>
          </a:extLst>
        </xdr:cNvPr>
        <xdr:cNvSpPr/>
      </xdr:nvSpPr>
      <xdr:spPr>
        <a:xfrm>
          <a:off x="3277820" y="3549657"/>
          <a:ext cx="1048217" cy="4804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123825</xdr:colOff>
      <xdr:row>93</xdr:row>
      <xdr:rowOff>2117</xdr:rowOff>
    </xdr:from>
    <xdr:to>
      <xdr:col>21</xdr:col>
      <xdr:colOff>34925</xdr:colOff>
      <xdr:row>95</xdr:row>
      <xdr:rowOff>180646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FF65297C-25F1-4B91-A0C9-8823CE054699}"/>
            </a:ext>
          </a:extLst>
        </xdr:cNvPr>
        <xdr:cNvSpPr/>
      </xdr:nvSpPr>
      <xdr:spPr>
        <a:xfrm>
          <a:off x="3219450" y="3542242"/>
          <a:ext cx="1149350" cy="5277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1</a:t>
          </a:r>
          <a:r>
            <a:rPr kumimoji="1" lang="ja-JP" altLang="en-US" sz="900"/>
            <a:t>．運用開始</a:t>
          </a:r>
          <a:endParaRPr kumimoji="1" lang="en-US" altLang="ja-JP" sz="900"/>
        </a:p>
        <a:p>
          <a:pPr algn="ctr"/>
          <a:r>
            <a:rPr kumimoji="1" lang="ja-JP" altLang="en-US" sz="900"/>
            <a:t>仕訳計上</a:t>
          </a:r>
          <a:endParaRPr kumimoji="1" lang="en-US" altLang="ja-JP" sz="900"/>
        </a:p>
      </xdr:txBody>
    </xdr:sp>
    <xdr:clientData/>
  </xdr:twoCellAnchor>
  <xdr:twoCellAnchor>
    <xdr:from>
      <xdr:col>20</xdr:col>
      <xdr:colOff>198537</xdr:colOff>
      <xdr:row>94</xdr:row>
      <xdr:rowOff>66950</xdr:rowOff>
    </xdr:from>
    <xdr:to>
      <xdr:col>30</xdr:col>
      <xdr:colOff>171790</xdr:colOff>
      <xdr:row>94</xdr:row>
      <xdr:rowOff>75147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DE279A0D-4ECA-4B2B-8CF4-C7358CB04E33}"/>
            </a:ext>
          </a:extLst>
        </xdr:cNvPr>
        <xdr:cNvCxnSpPr>
          <a:stCxn id="68" idx="3"/>
          <a:endCxn id="72" idx="2"/>
        </xdr:cNvCxnSpPr>
      </xdr:nvCxnSpPr>
      <xdr:spPr>
        <a:xfrm flipV="1">
          <a:off x="4326037" y="3781700"/>
          <a:ext cx="20370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77259</xdr:colOff>
      <xdr:row>92</xdr:row>
      <xdr:rowOff>146051</xdr:rowOff>
    </xdr:from>
    <xdr:to>
      <xdr:col>34</xdr:col>
      <xdr:colOff>173567</xdr:colOff>
      <xdr:row>96</xdr:row>
      <xdr:rowOff>38883</xdr:rowOff>
    </xdr:to>
    <xdr:grpSp>
      <xdr:nvGrpSpPr>
        <xdr:cNvPr id="71" name="グループ化 70">
          <a:extLst>
            <a:ext uri="{FF2B5EF4-FFF2-40B4-BE49-F238E27FC236}">
              <a16:creationId xmlns:a16="http://schemas.microsoft.com/office/drawing/2014/main" id="{70D460E4-4A3D-4A68-8A38-68C7EE4C5C96}"/>
            </a:ext>
          </a:extLst>
        </xdr:cNvPr>
        <xdr:cNvGrpSpPr/>
      </xdr:nvGrpSpPr>
      <xdr:grpSpPr>
        <a:xfrm>
          <a:off x="6078009" y="15967076"/>
          <a:ext cx="896408" cy="578632"/>
          <a:chOff x="7111999" y="2892425"/>
          <a:chExt cx="873125" cy="584982"/>
        </a:xfrm>
      </xdr:grpSpPr>
      <xdr:sp macro="" textlink="">
        <xdr:nvSpPr>
          <xdr:cNvPr id="72" name="フローチャート: 磁気ディスク 71">
            <a:extLst>
              <a:ext uri="{FF2B5EF4-FFF2-40B4-BE49-F238E27FC236}">
                <a16:creationId xmlns:a16="http://schemas.microsoft.com/office/drawing/2014/main" id="{D7FC5CA2-6F81-46BD-8A62-21DAE3FE24BD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919ED995-1E48-47EF-BA70-B8FF5E87DB35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79375</xdr:colOff>
      <xdr:row>95</xdr:row>
      <xdr:rowOff>180646</xdr:rowOff>
    </xdr:from>
    <xdr:to>
      <xdr:col>18</xdr:col>
      <xdr:colOff>80829</xdr:colOff>
      <xdr:row>104</xdr:row>
      <xdr:rowOff>7</xdr:rowOff>
    </xdr:to>
    <xdr:cxnSp macro="">
      <xdr:nvCxnSpPr>
        <xdr:cNvPr id="74" name="直線矢印コネクタ 27">
          <a:extLst>
            <a:ext uri="{FF2B5EF4-FFF2-40B4-BE49-F238E27FC236}">
              <a16:creationId xmlns:a16="http://schemas.microsoft.com/office/drawing/2014/main" id="{1D86C216-65C9-420B-B57B-1BB8010FC195}"/>
            </a:ext>
          </a:extLst>
        </xdr:cNvPr>
        <xdr:cNvCxnSpPr>
          <a:cxnSpLocks/>
          <a:stCxn id="69" idx="2"/>
        </xdr:cNvCxnSpPr>
      </xdr:nvCxnSpPr>
      <xdr:spPr>
        <a:xfrm>
          <a:off x="3794125" y="4070021"/>
          <a:ext cx="1454" cy="69248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79375</xdr:colOff>
      <xdr:row>87</xdr:row>
      <xdr:rowOff>59267</xdr:rowOff>
    </xdr:from>
    <xdr:to>
      <xdr:col>18</xdr:col>
      <xdr:colOff>79960</xdr:colOff>
      <xdr:row>93</xdr:row>
      <xdr:rowOff>2117</xdr:rowOff>
    </xdr:to>
    <xdr:cxnSp macro="">
      <xdr:nvCxnSpPr>
        <xdr:cNvPr id="75" name="直線矢印コネクタ 27">
          <a:extLst>
            <a:ext uri="{FF2B5EF4-FFF2-40B4-BE49-F238E27FC236}">
              <a16:creationId xmlns:a16="http://schemas.microsoft.com/office/drawing/2014/main" id="{D437F368-2392-43B3-B145-9340F3809D3E}"/>
            </a:ext>
          </a:extLst>
        </xdr:cNvPr>
        <xdr:cNvCxnSpPr>
          <a:cxnSpLocks/>
          <a:stCxn id="67" idx="2"/>
          <a:endCxn id="69" idx="0"/>
        </xdr:cNvCxnSpPr>
      </xdr:nvCxnSpPr>
      <xdr:spPr>
        <a:xfrm flipH="1">
          <a:off x="3794125" y="2551642"/>
          <a:ext cx="585" cy="9906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172670</xdr:colOff>
      <xdr:row>104</xdr:row>
      <xdr:rowOff>9532</xdr:rowOff>
    </xdr:from>
    <xdr:to>
      <xdr:col>20</xdr:col>
      <xdr:colOff>189012</xdr:colOff>
      <xdr:row>106</xdr:row>
      <xdr:rowOff>140762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AECABD34-C6AA-475D-B4E1-1CBDC473D61F}"/>
            </a:ext>
          </a:extLst>
        </xdr:cNvPr>
        <xdr:cNvSpPr/>
      </xdr:nvSpPr>
      <xdr:spPr>
        <a:xfrm>
          <a:off x="3268295" y="4772032"/>
          <a:ext cx="1048217" cy="48048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114300</xdr:colOff>
      <xdr:row>104</xdr:row>
      <xdr:rowOff>2117</xdr:rowOff>
    </xdr:from>
    <xdr:to>
      <xdr:col>21</xdr:col>
      <xdr:colOff>25400</xdr:colOff>
      <xdr:row>106</xdr:row>
      <xdr:rowOff>180646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454A8362-7B87-4F07-8F73-69418F637EAD}"/>
            </a:ext>
          </a:extLst>
        </xdr:cNvPr>
        <xdr:cNvSpPr/>
      </xdr:nvSpPr>
      <xdr:spPr>
        <a:xfrm>
          <a:off x="3209925" y="4764617"/>
          <a:ext cx="1149350" cy="5277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2</a:t>
          </a:r>
          <a:r>
            <a:rPr kumimoji="1" lang="ja-JP" altLang="en-US" sz="900"/>
            <a:t>．運用収益額の確認</a:t>
          </a:r>
          <a:endParaRPr kumimoji="1" lang="en-US" altLang="ja-JP" sz="900"/>
        </a:p>
      </xdr:txBody>
    </xdr:sp>
    <xdr:clientData/>
  </xdr:twoCellAnchor>
  <xdr:twoCellAnchor>
    <xdr:from>
      <xdr:col>6</xdr:col>
      <xdr:colOff>88305</xdr:colOff>
      <xdr:row>105</xdr:row>
      <xdr:rowOff>91381</xdr:rowOff>
    </xdr:from>
    <xdr:to>
      <xdr:col>15</xdr:col>
      <xdr:colOff>114300</xdr:colOff>
      <xdr:row>105</xdr:row>
      <xdr:rowOff>111155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6CFA77BC-E4A2-4DD1-B674-F2809F9491E3}"/>
            </a:ext>
          </a:extLst>
        </xdr:cNvPr>
        <xdr:cNvCxnSpPr>
          <a:stCxn id="166" idx="3"/>
          <a:endCxn id="77" idx="1"/>
        </xdr:cNvCxnSpPr>
      </xdr:nvCxnSpPr>
      <xdr:spPr>
        <a:xfrm flipV="1">
          <a:off x="1294805" y="17543298"/>
          <a:ext cx="1835745" cy="19774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152400</xdr:colOff>
      <xdr:row>135</xdr:row>
      <xdr:rowOff>161925</xdr:rowOff>
    </xdr:from>
    <xdr:to>
      <xdr:col>20</xdr:col>
      <xdr:colOff>75770</xdr:colOff>
      <xdr:row>137</xdr:row>
      <xdr:rowOff>59259</xdr:rowOff>
    </xdr:to>
    <xdr:sp macro="" textlink="">
      <xdr:nvSpPr>
        <xdr:cNvPr id="79" name="フローチャート: 端子 78">
          <a:extLst>
            <a:ext uri="{FF2B5EF4-FFF2-40B4-BE49-F238E27FC236}">
              <a16:creationId xmlns:a16="http://schemas.microsoft.com/office/drawing/2014/main" id="{3B21D766-3710-4452-8B8D-1D46FD29C1EE}"/>
            </a:ext>
          </a:extLst>
        </xdr:cNvPr>
        <xdr:cNvSpPr/>
      </xdr:nvSpPr>
      <xdr:spPr>
        <a:xfrm>
          <a:off x="3454400" y="12607925"/>
          <a:ext cx="748870" cy="24658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18</xdr:col>
      <xdr:colOff>114085</xdr:colOff>
      <xdr:row>130</xdr:row>
      <xdr:rowOff>42338</xdr:rowOff>
    </xdr:from>
    <xdr:to>
      <xdr:col>18</xdr:col>
      <xdr:colOff>118929</xdr:colOff>
      <xdr:row>135</xdr:row>
      <xdr:rowOff>161925</xdr:rowOff>
    </xdr:to>
    <xdr:cxnSp macro="">
      <xdr:nvCxnSpPr>
        <xdr:cNvPr id="80" name="直線矢印コネクタ 27">
          <a:extLst>
            <a:ext uri="{FF2B5EF4-FFF2-40B4-BE49-F238E27FC236}">
              <a16:creationId xmlns:a16="http://schemas.microsoft.com/office/drawing/2014/main" id="{EB73B7A4-A3B4-46B3-98A9-68C326B63C30}"/>
            </a:ext>
          </a:extLst>
        </xdr:cNvPr>
        <xdr:cNvCxnSpPr>
          <a:cxnSpLocks/>
          <a:stCxn id="115" idx="2"/>
          <a:endCxn id="79" idx="0"/>
        </xdr:cNvCxnSpPr>
      </xdr:nvCxnSpPr>
      <xdr:spPr>
        <a:xfrm flipH="1">
          <a:off x="3828835" y="11615213"/>
          <a:ext cx="4844" cy="99271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191720</xdr:colOff>
      <xdr:row>110</xdr:row>
      <xdr:rowOff>111131</xdr:rowOff>
    </xdr:from>
    <xdr:to>
      <xdr:col>21</xdr:col>
      <xdr:colOff>8037</xdr:colOff>
      <xdr:row>113</xdr:row>
      <xdr:rowOff>61386</xdr:rowOff>
    </xdr:to>
    <xdr:sp macro="" textlink="">
      <xdr:nvSpPr>
        <xdr:cNvPr id="84" name="フローチャート: 定義済み処理 83">
          <a:extLst>
            <a:ext uri="{FF2B5EF4-FFF2-40B4-BE49-F238E27FC236}">
              <a16:creationId xmlns:a16="http://schemas.microsoft.com/office/drawing/2014/main" id="{DA4BF7A1-081C-4C2C-AD31-DC576469489A}"/>
            </a:ext>
          </a:extLst>
        </xdr:cNvPr>
        <xdr:cNvSpPr/>
      </xdr:nvSpPr>
      <xdr:spPr>
        <a:xfrm>
          <a:off x="3287345" y="5921381"/>
          <a:ext cx="1054567" cy="47413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133350</xdr:colOff>
      <xdr:row>110</xdr:row>
      <xdr:rowOff>103716</xdr:rowOff>
    </xdr:from>
    <xdr:to>
      <xdr:col>21</xdr:col>
      <xdr:colOff>44450</xdr:colOff>
      <xdr:row>113</xdr:row>
      <xdr:rowOff>101270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EB8F2A30-07EF-4105-800A-D12269EE4613}"/>
            </a:ext>
          </a:extLst>
        </xdr:cNvPr>
        <xdr:cNvSpPr/>
      </xdr:nvSpPr>
      <xdr:spPr>
        <a:xfrm>
          <a:off x="3228975" y="5913966"/>
          <a:ext cx="1149350" cy="52142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3</a:t>
          </a:r>
          <a:r>
            <a:rPr kumimoji="1" lang="ja-JP" altLang="en-US" sz="900"/>
            <a:t>．運用収益</a:t>
          </a:r>
          <a:endParaRPr kumimoji="1" lang="en-US" altLang="ja-JP" sz="900"/>
        </a:p>
        <a:p>
          <a:pPr algn="ctr"/>
          <a:r>
            <a:rPr kumimoji="1" lang="ja-JP" altLang="en-US" sz="900"/>
            <a:t>仕訳計上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8037</xdr:colOff>
      <xdr:row>111</xdr:row>
      <xdr:rowOff>168549</xdr:rowOff>
    </xdr:from>
    <xdr:to>
      <xdr:col>30</xdr:col>
      <xdr:colOff>181315</xdr:colOff>
      <xdr:row>111</xdr:row>
      <xdr:rowOff>176746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E8C7FA70-ED85-4EA8-A654-89EFA49EC13C}"/>
            </a:ext>
          </a:extLst>
        </xdr:cNvPr>
        <xdr:cNvCxnSpPr>
          <a:stCxn id="84" idx="3"/>
          <a:endCxn id="88" idx="2"/>
        </xdr:cNvCxnSpPr>
      </xdr:nvCxnSpPr>
      <xdr:spPr>
        <a:xfrm flipV="1">
          <a:off x="4341912" y="6153424"/>
          <a:ext cx="203065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86784</xdr:colOff>
      <xdr:row>110</xdr:row>
      <xdr:rowOff>66675</xdr:rowOff>
    </xdr:from>
    <xdr:to>
      <xdr:col>34</xdr:col>
      <xdr:colOff>183092</xdr:colOff>
      <xdr:row>113</xdr:row>
      <xdr:rowOff>140482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648E20AB-9F61-41D4-9FCA-D1BEB56C8D05}"/>
            </a:ext>
          </a:extLst>
        </xdr:cNvPr>
        <xdr:cNvGrpSpPr/>
      </xdr:nvGrpSpPr>
      <xdr:grpSpPr>
        <a:xfrm>
          <a:off x="6087534" y="18973800"/>
          <a:ext cx="896408" cy="588157"/>
          <a:chOff x="7111999" y="2892425"/>
          <a:chExt cx="873125" cy="584982"/>
        </a:xfrm>
      </xdr:grpSpPr>
      <xdr:sp macro="" textlink="">
        <xdr:nvSpPr>
          <xdr:cNvPr id="88" name="フローチャート: 磁気ディスク 87">
            <a:extLst>
              <a:ext uri="{FF2B5EF4-FFF2-40B4-BE49-F238E27FC236}">
                <a16:creationId xmlns:a16="http://schemas.microsoft.com/office/drawing/2014/main" id="{7F137CBB-22F0-4CE9-88A2-1D5207186844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772C4D3C-47E1-4381-A834-0C1CF301D774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80829</xdr:colOff>
      <xdr:row>106</xdr:row>
      <xdr:rowOff>140762</xdr:rowOff>
    </xdr:from>
    <xdr:to>
      <xdr:col>18</xdr:col>
      <xdr:colOff>88900</xdr:colOff>
      <xdr:row>110</xdr:row>
      <xdr:rowOff>103716</xdr:rowOff>
    </xdr:to>
    <xdr:cxnSp macro="">
      <xdr:nvCxnSpPr>
        <xdr:cNvPr id="90" name="直線矢印コネクタ 27">
          <a:extLst>
            <a:ext uri="{FF2B5EF4-FFF2-40B4-BE49-F238E27FC236}">
              <a16:creationId xmlns:a16="http://schemas.microsoft.com/office/drawing/2014/main" id="{A3E84B05-5209-4F43-8ABB-07EA8D2A0000}"/>
            </a:ext>
          </a:extLst>
        </xdr:cNvPr>
        <xdr:cNvCxnSpPr>
          <a:cxnSpLocks/>
          <a:endCxn id="85" idx="0"/>
        </xdr:cNvCxnSpPr>
      </xdr:nvCxnSpPr>
      <xdr:spPr>
        <a:xfrm>
          <a:off x="3795579" y="5252512"/>
          <a:ext cx="8071" cy="66145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10745</xdr:colOff>
      <xdr:row>118</xdr:row>
      <xdr:rowOff>13758</xdr:rowOff>
    </xdr:from>
    <xdr:to>
      <xdr:col>21</xdr:col>
      <xdr:colOff>27087</xdr:colOff>
      <xdr:row>120</xdr:row>
      <xdr:rowOff>144988</xdr:rowOff>
    </xdr:to>
    <xdr:sp macro="" textlink="">
      <xdr:nvSpPr>
        <xdr:cNvPr id="108" name="フローチャート: 定義済み処理 107">
          <a:extLst>
            <a:ext uri="{FF2B5EF4-FFF2-40B4-BE49-F238E27FC236}">
              <a16:creationId xmlns:a16="http://schemas.microsoft.com/office/drawing/2014/main" id="{45B073EF-D9C8-4E82-B8BA-AB95408D8EFF}"/>
            </a:ext>
          </a:extLst>
        </xdr:cNvPr>
        <xdr:cNvSpPr/>
      </xdr:nvSpPr>
      <xdr:spPr>
        <a:xfrm>
          <a:off x="3312745" y="8268758"/>
          <a:ext cx="1048217" cy="4804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118</xdr:row>
      <xdr:rowOff>6343</xdr:rowOff>
    </xdr:from>
    <xdr:to>
      <xdr:col>21</xdr:col>
      <xdr:colOff>63500</xdr:colOff>
      <xdr:row>121</xdr:row>
      <xdr:rowOff>3897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23894532-4BA3-46C1-AB0C-4A8B9488BF09}"/>
            </a:ext>
          </a:extLst>
        </xdr:cNvPr>
        <xdr:cNvSpPr/>
      </xdr:nvSpPr>
      <xdr:spPr>
        <a:xfrm>
          <a:off x="3248025" y="8261343"/>
          <a:ext cx="1149350" cy="52142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4</a:t>
          </a:r>
          <a:r>
            <a:rPr kumimoji="1" lang="ja-JP" altLang="en-US" sz="900"/>
            <a:t>．運用返済仕訳</a:t>
          </a:r>
          <a:endParaRPr kumimoji="1" lang="en-US" altLang="ja-JP" sz="900"/>
        </a:p>
        <a:p>
          <a:pPr algn="ctr"/>
          <a:r>
            <a:rPr kumimoji="1" lang="ja-JP" altLang="en-US" sz="900"/>
            <a:t>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27087</xdr:colOff>
      <xdr:row>119</xdr:row>
      <xdr:rowOff>71176</xdr:rowOff>
    </xdr:from>
    <xdr:to>
      <xdr:col>31</xdr:col>
      <xdr:colOff>340</xdr:colOff>
      <xdr:row>119</xdr:row>
      <xdr:rowOff>79373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9321D542-2DB1-446B-AF88-A240D433A151}"/>
            </a:ext>
          </a:extLst>
        </xdr:cNvPr>
        <xdr:cNvCxnSpPr>
          <a:stCxn id="108" idx="3"/>
          <a:endCxn id="112" idx="2"/>
        </xdr:cNvCxnSpPr>
      </xdr:nvCxnSpPr>
      <xdr:spPr>
        <a:xfrm flipV="1">
          <a:off x="4360962" y="8500801"/>
          <a:ext cx="20370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105834</xdr:colOff>
      <xdr:row>117</xdr:row>
      <xdr:rowOff>150277</xdr:rowOff>
    </xdr:from>
    <xdr:to>
      <xdr:col>35</xdr:col>
      <xdr:colOff>2117</xdr:colOff>
      <xdr:row>121</xdr:row>
      <xdr:rowOff>43109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71378782-FAC5-441E-B8D0-B99F648CBD74}"/>
            </a:ext>
          </a:extLst>
        </xdr:cNvPr>
        <xdr:cNvGrpSpPr/>
      </xdr:nvGrpSpPr>
      <xdr:grpSpPr>
        <a:xfrm>
          <a:off x="6106584" y="20257552"/>
          <a:ext cx="896408" cy="578632"/>
          <a:chOff x="7111999" y="2892425"/>
          <a:chExt cx="873125" cy="584982"/>
        </a:xfrm>
      </xdr:grpSpPr>
      <xdr:sp macro="" textlink="">
        <xdr:nvSpPr>
          <xdr:cNvPr id="112" name="フローチャート: 磁気ディスク 111">
            <a:extLst>
              <a:ext uri="{FF2B5EF4-FFF2-40B4-BE49-F238E27FC236}">
                <a16:creationId xmlns:a16="http://schemas.microsoft.com/office/drawing/2014/main" id="{3117F55A-B58B-4518-B2E0-447E6983E050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F1836889-7F46-4ED4-9CC6-249F90CFBD2C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99879</xdr:colOff>
      <xdr:row>113</xdr:row>
      <xdr:rowOff>61386</xdr:rowOff>
    </xdr:from>
    <xdr:to>
      <xdr:col>18</xdr:col>
      <xdr:colOff>107950</xdr:colOff>
      <xdr:row>118</xdr:row>
      <xdr:rowOff>6343</xdr:rowOff>
    </xdr:to>
    <xdr:cxnSp macro="">
      <xdr:nvCxnSpPr>
        <xdr:cNvPr id="114" name="直線矢印コネクタ 27">
          <a:extLst>
            <a:ext uri="{FF2B5EF4-FFF2-40B4-BE49-F238E27FC236}">
              <a16:creationId xmlns:a16="http://schemas.microsoft.com/office/drawing/2014/main" id="{009C0E36-B7BB-4A5A-8395-1914834E93D1}"/>
            </a:ext>
          </a:extLst>
        </xdr:cNvPr>
        <xdr:cNvCxnSpPr>
          <a:cxnSpLocks/>
          <a:stCxn id="84" idx="2"/>
          <a:endCxn id="109" idx="0"/>
        </xdr:cNvCxnSpPr>
      </xdr:nvCxnSpPr>
      <xdr:spPr>
        <a:xfrm>
          <a:off x="3719379" y="18952636"/>
          <a:ext cx="8071" cy="192404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10745</xdr:colOff>
      <xdr:row>127</xdr:row>
      <xdr:rowOff>92083</xdr:rowOff>
    </xdr:from>
    <xdr:to>
      <xdr:col>21</xdr:col>
      <xdr:colOff>27087</xdr:colOff>
      <xdr:row>130</xdr:row>
      <xdr:rowOff>42338</xdr:rowOff>
    </xdr:to>
    <xdr:sp macro="" textlink="">
      <xdr:nvSpPr>
        <xdr:cNvPr id="115" name="フローチャート: 定義済み処理 114">
          <a:extLst>
            <a:ext uri="{FF2B5EF4-FFF2-40B4-BE49-F238E27FC236}">
              <a16:creationId xmlns:a16="http://schemas.microsoft.com/office/drawing/2014/main" id="{782744D4-6468-472A-A46C-59EBFECB1F4C}"/>
            </a:ext>
          </a:extLst>
        </xdr:cNvPr>
        <xdr:cNvSpPr/>
      </xdr:nvSpPr>
      <xdr:spPr>
        <a:xfrm>
          <a:off x="3312745" y="11141083"/>
          <a:ext cx="1048217" cy="47413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127</xdr:row>
      <xdr:rowOff>84668</xdr:rowOff>
    </xdr:from>
    <xdr:to>
      <xdr:col>21</xdr:col>
      <xdr:colOff>63500</xdr:colOff>
      <xdr:row>130</xdr:row>
      <xdr:rowOff>82222</xdr:rowOff>
    </xdr:to>
    <xdr:sp macro="" textlink="">
      <xdr:nvSpPr>
        <xdr:cNvPr id="123" name="正方形/長方形 122">
          <a:extLst>
            <a:ext uri="{FF2B5EF4-FFF2-40B4-BE49-F238E27FC236}">
              <a16:creationId xmlns:a16="http://schemas.microsoft.com/office/drawing/2014/main" id="{2934ABA0-5831-465A-B4EA-438340744CAC}"/>
            </a:ext>
          </a:extLst>
        </xdr:cNvPr>
        <xdr:cNvSpPr/>
      </xdr:nvSpPr>
      <xdr:spPr>
        <a:xfrm>
          <a:off x="3248025" y="11133668"/>
          <a:ext cx="1149350" cy="52142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5</a:t>
          </a:r>
          <a:r>
            <a:rPr kumimoji="1" lang="ja-JP" altLang="en-US" sz="900"/>
            <a:t>．運用残高</a:t>
          </a:r>
          <a:endParaRPr kumimoji="1" lang="en-US" altLang="ja-JP" sz="900"/>
        </a:p>
        <a:p>
          <a:pPr algn="ctr"/>
          <a:r>
            <a:rPr kumimoji="1" lang="ja-JP" altLang="en-US" sz="900"/>
            <a:t>確認</a:t>
          </a:r>
          <a:endParaRPr kumimoji="1" lang="en-US" altLang="ja-JP" sz="900"/>
        </a:p>
      </xdr:txBody>
    </xdr:sp>
    <xdr:clientData/>
  </xdr:twoCellAnchor>
  <xdr:twoCellAnchor>
    <xdr:from>
      <xdr:col>21</xdr:col>
      <xdr:colOff>27087</xdr:colOff>
      <xdr:row>128</xdr:row>
      <xdr:rowOff>149501</xdr:rowOff>
    </xdr:from>
    <xdr:to>
      <xdr:col>31</xdr:col>
      <xdr:colOff>340</xdr:colOff>
      <xdr:row>128</xdr:row>
      <xdr:rowOff>157698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657CCDBA-F366-423C-8EC1-7AB4164DBFD6}"/>
            </a:ext>
          </a:extLst>
        </xdr:cNvPr>
        <xdr:cNvCxnSpPr>
          <a:stCxn id="133" idx="2"/>
          <a:endCxn id="115" idx="3"/>
        </xdr:cNvCxnSpPr>
      </xdr:nvCxnSpPr>
      <xdr:spPr>
        <a:xfrm flipH="1">
          <a:off x="4360962" y="11373126"/>
          <a:ext cx="20370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124884</xdr:colOff>
      <xdr:row>127</xdr:row>
      <xdr:rowOff>47625</xdr:rowOff>
    </xdr:from>
    <xdr:to>
      <xdr:col>36</xdr:col>
      <xdr:colOff>19050</xdr:colOff>
      <xdr:row>130</xdr:row>
      <xdr:rowOff>130957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2E6A0937-7679-4717-9BEA-76024E0ECD3A}"/>
            </a:ext>
          </a:extLst>
        </xdr:cNvPr>
        <xdr:cNvGrpSpPr/>
      </xdr:nvGrpSpPr>
      <xdr:grpSpPr>
        <a:xfrm>
          <a:off x="5925609" y="21869400"/>
          <a:ext cx="1294341" cy="597682"/>
          <a:chOff x="6935724" y="2892425"/>
          <a:chExt cx="1260722" cy="594017"/>
        </a:xfrm>
      </xdr:grpSpPr>
      <xdr:sp macro="" textlink="">
        <xdr:nvSpPr>
          <xdr:cNvPr id="133" name="フローチャート: 磁気ディスク 132">
            <a:extLst>
              <a:ext uri="{FF2B5EF4-FFF2-40B4-BE49-F238E27FC236}">
                <a16:creationId xmlns:a16="http://schemas.microsoft.com/office/drawing/2014/main" id="{BF356801-3646-4E0A-B86E-F2CBA8F230FB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305A8CE3-30F5-4CEC-8F10-E33BB1E73429}"/>
              </a:ext>
            </a:extLst>
          </xdr:cNvPr>
          <xdr:cNvSpPr/>
        </xdr:nvSpPr>
        <xdr:spPr>
          <a:xfrm>
            <a:off x="6935724" y="2980835"/>
            <a:ext cx="1260722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伝票トランザクション</a:t>
            </a:r>
          </a:p>
        </xdr:txBody>
      </xdr:sp>
    </xdr:grpSp>
    <xdr:clientData/>
  </xdr:twoCellAnchor>
  <xdr:twoCellAnchor>
    <xdr:from>
      <xdr:col>18</xdr:col>
      <xdr:colOff>119458</xdr:colOff>
      <xdr:row>120</xdr:row>
      <xdr:rowOff>144988</xdr:rowOff>
    </xdr:from>
    <xdr:to>
      <xdr:col>18</xdr:col>
      <xdr:colOff>119458</xdr:colOff>
      <xdr:row>127</xdr:row>
      <xdr:rowOff>92083</xdr:rowOff>
    </xdr:to>
    <xdr:cxnSp macro="">
      <xdr:nvCxnSpPr>
        <xdr:cNvPr id="160" name="直線矢印コネクタ 27">
          <a:extLst>
            <a:ext uri="{FF2B5EF4-FFF2-40B4-BE49-F238E27FC236}">
              <a16:creationId xmlns:a16="http://schemas.microsoft.com/office/drawing/2014/main" id="{F565FDA0-C820-45F1-BB94-4ECFAD929F04}"/>
            </a:ext>
          </a:extLst>
        </xdr:cNvPr>
        <xdr:cNvCxnSpPr>
          <a:cxnSpLocks/>
          <a:stCxn id="108" idx="2"/>
          <a:endCxn id="115" idx="0"/>
        </xdr:cNvCxnSpPr>
      </xdr:nvCxnSpPr>
      <xdr:spPr>
        <a:xfrm>
          <a:off x="3738958" y="20295655"/>
          <a:ext cx="0" cy="246592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44449</xdr:colOff>
      <xdr:row>129</xdr:row>
      <xdr:rowOff>22578</xdr:rowOff>
    </xdr:from>
    <xdr:to>
      <xdr:col>24</xdr:col>
      <xdr:colOff>63500</xdr:colOff>
      <xdr:row>132</xdr:row>
      <xdr:rowOff>153811</xdr:rowOff>
    </xdr:to>
    <xdr:grpSp>
      <xdr:nvGrpSpPr>
        <xdr:cNvPr id="161" name="グループ化 160">
          <a:extLst>
            <a:ext uri="{FF2B5EF4-FFF2-40B4-BE49-F238E27FC236}">
              <a16:creationId xmlns:a16="http://schemas.microsoft.com/office/drawing/2014/main" id="{F47D9CAD-1F62-4D26-B80D-60ED3639E33A}"/>
            </a:ext>
          </a:extLst>
        </xdr:cNvPr>
        <xdr:cNvGrpSpPr/>
      </xdr:nvGrpSpPr>
      <xdr:grpSpPr>
        <a:xfrm>
          <a:off x="3844924" y="22187253"/>
          <a:ext cx="1019176" cy="645583"/>
          <a:chOff x="4305300" y="5682252"/>
          <a:chExt cx="1003300" cy="510539"/>
        </a:xfrm>
      </xdr:grpSpPr>
      <xdr:sp macro="" textlink="">
        <xdr:nvSpPr>
          <xdr:cNvPr id="162" name="AutoShape 49">
            <a:extLst>
              <a:ext uri="{FF2B5EF4-FFF2-40B4-BE49-F238E27FC236}">
                <a16:creationId xmlns:a16="http://schemas.microsoft.com/office/drawing/2014/main" id="{ED93F273-8817-4934-92F5-735DF1796F00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163" name="正方形/長方形 48">
            <a:extLst>
              <a:ext uri="{FF2B5EF4-FFF2-40B4-BE49-F238E27FC236}">
                <a16:creationId xmlns:a16="http://schemas.microsoft.com/office/drawing/2014/main" id="{EF8B9D23-E783-4A69-A23E-635F6A86FC15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借入金台帳</a:t>
            </a:r>
          </a:p>
        </xdr:txBody>
      </xdr:sp>
    </xdr:grpSp>
    <xdr:clientData/>
  </xdr:twoCellAnchor>
  <xdr:twoCellAnchor>
    <xdr:from>
      <xdr:col>1</xdr:col>
      <xdr:colOff>158750</xdr:colOff>
      <xdr:row>103</xdr:row>
      <xdr:rowOff>158752</xdr:rowOff>
    </xdr:from>
    <xdr:to>
      <xdr:col>7</xdr:col>
      <xdr:colOff>6488</xdr:colOff>
      <xdr:row>107</xdr:row>
      <xdr:rowOff>21168</xdr:rowOff>
    </xdr:to>
    <xdr:grpSp>
      <xdr:nvGrpSpPr>
        <xdr:cNvPr id="165" name="グループ化 164">
          <a:extLst>
            <a:ext uri="{FF2B5EF4-FFF2-40B4-BE49-F238E27FC236}">
              <a16:creationId xmlns:a16="http://schemas.microsoft.com/office/drawing/2014/main" id="{B858C522-A22A-495A-A2F0-B2F6FAEE467A}"/>
            </a:ext>
          </a:extLst>
        </xdr:cNvPr>
        <xdr:cNvGrpSpPr>
          <a:grpSpLocks noChangeAspect="1"/>
        </xdr:cNvGrpSpPr>
      </xdr:nvGrpSpPr>
      <xdr:grpSpPr>
        <a:xfrm>
          <a:off x="358775" y="17865727"/>
          <a:ext cx="1047888" cy="548216"/>
          <a:chOff x="2791278" y="18514786"/>
          <a:chExt cx="773793" cy="417285"/>
        </a:xfrm>
      </xdr:grpSpPr>
      <xdr:sp macro="" textlink="">
        <xdr:nvSpPr>
          <xdr:cNvPr id="166" name="フローチャート: 書類 165">
            <a:extLst>
              <a:ext uri="{FF2B5EF4-FFF2-40B4-BE49-F238E27FC236}">
                <a16:creationId xmlns:a16="http://schemas.microsoft.com/office/drawing/2014/main" id="{489EE834-5FC4-4ABC-9BE9-29DA8C912E35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7" name="正方形/長方形 166">
            <a:extLst>
              <a:ext uri="{FF2B5EF4-FFF2-40B4-BE49-F238E27FC236}">
                <a16:creationId xmlns:a16="http://schemas.microsoft.com/office/drawing/2014/main" id="{A125BDC3-FB0C-4699-B7CB-099E972A1825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運用報告書</a:t>
            </a:r>
          </a:p>
        </xdr:txBody>
      </xdr:sp>
    </xdr:grpSp>
    <xdr:clientData/>
  </xdr:twoCellAnchor>
  <xdr:twoCellAnchor>
    <xdr:from>
      <xdr:col>16</xdr:col>
      <xdr:colOff>125943</xdr:colOff>
      <xdr:row>144</xdr:row>
      <xdr:rowOff>142875</xdr:rowOff>
    </xdr:from>
    <xdr:to>
      <xdr:col>20</xdr:col>
      <xdr:colOff>33976</xdr:colOff>
      <xdr:row>146</xdr:row>
      <xdr:rowOff>59267</xdr:rowOff>
    </xdr:to>
    <xdr:sp macro="" textlink="">
      <xdr:nvSpPr>
        <xdr:cNvPr id="168" name="フローチャート: 端子 26">
          <a:extLst>
            <a:ext uri="{FF2B5EF4-FFF2-40B4-BE49-F238E27FC236}">
              <a16:creationId xmlns:a16="http://schemas.microsoft.com/office/drawing/2014/main" id="{5F524D24-BB6F-4623-9CEC-8C2EEDF0BFD6}"/>
            </a:ext>
          </a:extLst>
        </xdr:cNvPr>
        <xdr:cNvSpPr/>
      </xdr:nvSpPr>
      <xdr:spPr>
        <a:xfrm>
          <a:off x="3343276" y="14716125"/>
          <a:ext cx="712367" cy="27622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18</xdr:col>
      <xdr:colOff>79960</xdr:colOff>
      <xdr:row>146</xdr:row>
      <xdr:rowOff>59267</xdr:rowOff>
    </xdr:from>
    <xdr:to>
      <xdr:col>18</xdr:col>
      <xdr:colOff>80829</xdr:colOff>
      <xdr:row>153</xdr:row>
      <xdr:rowOff>7</xdr:rowOff>
    </xdr:to>
    <xdr:cxnSp macro="">
      <xdr:nvCxnSpPr>
        <xdr:cNvPr id="175" name="直線矢印コネクタ 27">
          <a:extLst>
            <a:ext uri="{FF2B5EF4-FFF2-40B4-BE49-F238E27FC236}">
              <a16:creationId xmlns:a16="http://schemas.microsoft.com/office/drawing/2014/main" id="{55A79CF9-EC6A-4600-84DE-0EDD1425C660}"/>
            </a:ext>
          </a:extLst>
        </xdr:cNvPr>
        <xdr:cNvCxnSpPr>
          <a:cxnSpLocks/>
          <a:stCxn id="168" idx="2"/>
        </xdr:cNvCxnSpPr>
      </xdr:nvCxnSpPr>
      <xdr:spPr>
        <a:xfrm>
          <a:off x="3699460" y="24887767"/>
          <a:ext cx="869" cy="227965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172670</xdr:colOff>
      <xdr:row>153</xdr:row>
      <xdr:rowOff>9532</xdr:rowOff>
    </xdr:from>
    <xdr:to>
      <xdr:col>20</xdr:col>
      <xdr:colOff>189012</xdr:colOff>
      <xdr:row>155</xdr:row>
      <xdr:rowOff>140762</xdr:rowOff>
    </xdr:to>
    <xdr:sp macro="" textlink="">
      <xdr:nvSpPr>
        <xdr:cNvPr id="177" name="フローチャート: 定義済み処理 176">
          <a:extLst>
            <a:ext uri="{FF2B5EF4-FFF2-40B4-BE49-F238E27FC236}">
              <a16:creationId xmlns:a16="http://schemas.microsoft.com/office/drawing/2014/main" id="{DA2058A9-61AD-4800-A7AF-BCF4E779861A}"/>
            </a:ext>
          </a:extLst>
        </xdr:cNvPr>
        <xdr:cNvSpPr/>
      </xdr:nvSpPr>
      <xdr:spPr>
        <a:xfrm>
          <a:off x="3188920" y="17281532"/>
          <a:ext cx="1021759" cy="491063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114300</xdr:colOff>
      <xdr:row>153</xdr:row>
      <xdr:rowOff>2117</xdr:rowOff>
    </xdr:from>
    <xdr:to>
      <xdr:col>21</xdr:col>
      <xdr:colOff>25400</xdr:colOff>
      <xdr:row>155</xdr:row>
      <xdr:rowOff>180646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1DBE3017-DFDD-4C54-A782-E47E47BEFFD4}"/>
            </a:ext>
          </a:extLst>
        </xdr:cNvPr>
        <xdr:cNvSpPr/>
      </xdr:nvSpPr>
      <xdr:spPr>
        <a:xfrm>
          <a:off x="3130550" y="17274117"/>
          <a:ext cx="1117600" cy="53836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1</a:t>
          </a:r>
          <a:r>
            <a:rPr kumimoji="1" lang="ja-JP" altLang="en-US" sz="900"/>
            <a:t>．通貨交換依頼</a:t>
          </a:r>
          <a:endParaRPr kumimoji="1" lang="en-US" altLang="ja-JP" sz="900"/>
        </a:p>
      </xdr:txBody>
    </xdr:sp>
    <xdr:clientData/>
  </xdr:twoCellAnchor>
  <xdr:twoCellAnchor>
    <xdr:from>
      <xdr:col>20</xdr:col>
      <xdr:colOff>189012</xdr:colOff>
      <xdr:row>154</xdr:row>
      <xdr:rowOff>39434</xdr:rowOff>
    </xdr:from>
    <xdr:to>
      <xdr:col>37</xdr:col>
      <xdr:colOff>126281</xdr:colOff>
      <xdr:row>154</xdr:row>
      <xdr:rowOff>75148</xdr:rowOff>
    </xdr:to>
    <xdr:cxnSp macro="">
      <xdr:nvCxnSpPr>
        <xdr:cNvPr id="179" name="直線矢印コネクタ 178">
          <a:extLst>
            <a:ext uri="{FF2B5EF4-FFF2-40B4-BE49-F238E27FC236}">
              <a16:creationId xmlns:a16="http://schemas.microsoft.com/office/drawing/2014/main" id="{000A32A0-F8CE-4FFF-910A-20F8422517E9}"/>
            </a:ext>
          </a:extLst>
        </xdr:cNvPr>
        <xdr:cNvCxnSpPr>
          <a:stCxn id="177" idx="3"/>
          <a:endCxn id="158" idx="2"/>
        </xdr:cNvCxnSpPr>
      </xdr:nvCxnSpPr>
      <xdr:spPr>
        <a:xfrm flipV="1">
          <a:off x="4210679" y="27386767"/>
          <a:ext cx="3355685" cy="35714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152400</xdr:colOff>
      <xdr:row>170</xdr:row>
      <xdr:rowOff>161925</xdr:rowOff>
    </xdr:from>
    <xdr:to>
      <xdr:col>20</xdr:col>
      <xdr:colOff>75770</xdr:colOff>
      <xdr:row>172</xdr:row>
      <xdr:rowOff>59259</xdr:rowOff>
    </xdr:to>
    <xdr:sp macro="" textlink="">
      <xdr:nvSpPr>
        <xdr:cNvPr id="180" name="フローチャート: 端子 179">
          <a:extLst>
            <a:ext uri="{FF2B5EF4-FFF2-40B4-BE49-F238E27FC236}">
              <a16:creationId xmlns:a16="http://schemas.microsoft.com/office/drawing/2014/main" id="{CEC409D8-D390-4864-8C1B-FE9DB8DDC0B7}"/>
            </a:ext>
          </a:extLst>
        </xdr:cNvPr>
        <xdr:cNvSpPr/>
      </xdr:nvSpPr>
      <xdr:spPr>
        <a:xfrm>
          <a:off x="3369733" y="23011342"/>
          <a:ext cx="727704" cy="25716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18</xdr:col>
      <xdr:colOff>99879</xdr:colOff>
      <xdr:row>164</xdr:row>
      <xdr:rowOff>61386</xdr:rowOff>
    </xdr:from>
    <xdr:to>
      <xdr:col>18</xdr:col>
      <xdr:colOff>114085</xdr:colOff>
      <xdr:row>170</xdr:row>
      <xdr:rowOff>161925</xdr:rowOff>
    </xdr:to>
    <xdr:cxnSp macro="">
      <xdr:nvCxnSpPr>
        <xdr:cNvPr id="181" name="直線矢印コネクタ 27">
          <a:extLst>
            <a:ext uri="{FF2B5EF4-FFF2-40B4-BE49-F238E27FC236}">
              <a16:creationId xmlns:a16="http://schemas.microsoft.com/office/drawing/2014/main" id="{84F49C0A-F0B6-42F6-B8CB-87DA34E14FD8}"/>
            </a:ext>
          </a:extLst>
        </xdr:cNvPr>
        <xdr:cNvCxnSpPr>
          <a:cxnSpLocks/>
          <a:stCxn id="182" idx="2"/>
          <a:endCxn id="180" idx="0"/>
        </xdr:cNvCxnSpPr>
      </xdr:nvCxnSpPr>
      <xdr:spPr>
        <a:xfrm>
          <a:off x="3719379" y="29207886"/>
          <a:ext cx="14206" cy="405870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191720</xdr:colOff>
      <xdr:row>161</xdr:row>
      <xdr:rowOff>111131</xdr:rowOff>
    </xdr:from>
    <xdr:to>
      <xdr:col>21</xdr:col>
      <xdr:colOff>8037</xdr:colOff>
      <xdr:row>164</xdr:row>
      <xdr:rowOff>61386</xdr:rowOff>
    </xdr:to>
    <xdr:sp macro="" textlink="">
      <xdr:nvSpPr>
        <xdr:cNvPr id="182" name="フローチャート: 定義済み処理 181">
          <a:extLst>
            <a:ext uri="{FF2B5EF4-FFF2-40B4-BE49-F238E27FC236}">
              <a16:creationId xmlns:a16="http://schemas.microsoft.com/office/drawing/2014/main" id="{67FB81FD-C91D-4923-99E8-670CFF62DBD1}"/>
            </a:ext>
          </a:extLst>
        </xdr:cNvPr>
        <xdr:cNvSpPr/>
      </xdr:nvSpPr>
      <xdr:spPr>
        <a:xfrm>
          <a:off x="3207970" y="18462631"/>
          <a:ext cx="1022817" cy="490005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133350</xdr:colOff>
      <xdr:row>161</xdr:row>
      <xdr:rowOff>103716</xdr:rowOff>
    </xdr:from>
    <xdr:to>
      <xdr:col>21</xdr:col>
      <xdr:colOff>44450</xdr:colOff>
      <xdr:row>164</xdr:row>
      <xdr:rowOff>101270</xdr:rowOff>
    </xdr:to>
    <xdr:sp macro="" textlink="">
      <xdr:nvSpPr>
        <xdr:cNvPr id="183" name="正方形/長方形 182">
          <a:extLst>
            <a:ext uri="{FF2B5EF4-FFF2-40B4-BE49-F238E27FC236}">
              <a16:creationId xmlns:a16="http://schemas.microsoft.com/office/drawing/2014/main" id="{AF35A0EA-8D14-41E6-88C5-BA24824A6B84}"/>
            </a:ext>
          </a:extLst>
        </xdr:cNvPr>
        <xdr:cNvSpPr/>
      </xdr:nvSpPr>
      <xdr:spPr>
        <a:xfrm>
          <a:off x="3149600" y="18455216"/>
          <a:ext cx="1117600" cy="537304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2</a:t>
          </a:r>
          <a:r>
            <a:rPr kumimoji="1" lang="ja-JP" altLang="en-US" sz="900"/>
            <a:t>．通貨交換</a:t>
          </a:r>
          <a:endParaRPr kumimoji="1" lang="en-US" altLang="ja-JP" sz="900"/>
        </a:p>
        <a:p>
          <a:pPr algn="ctr"/>
          <a:r>
            <a:rPr kumimoji="1" lang="ja-JP" altLang="en-US" sz="900"/>
            <a:t>仕訳計上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8037</xdr:colOff>
      <xdr:row>162</xdr:row>
      <xdr:rowOff>168549</xdr:rowOff>
    </xdr:from>
    <xdr:to>
      <xdr:col>30</xdr:col>
      <xdr:colOff>181315</xdr:colOff>
      <xdr:row>162</xdr:row>
      <xdr:rowOff>176746</xdr:rowOff>
    </xdr:to>
    <xdr:cxnSp macro="">
      <xdr:nvCxnSpPr>
        <xdr:cNvPr id="184" name="直線矢印コネクタ 183">
          <a:extLst>
            <a:ext uri="{FF2B5EF4-FFF2-40B4-BE49-F238E27FC236}">
              <a16:creationId xmlns:a16="http://schemas.microsoft.com/office/drawing/2014/main" id="{75F4DC59-6F14-41DD-951A-9B0CB1AD9844}"/>
            </a:ext>
          </a:extLst>
        </xdr:cNvPr>
        <xdr:cNvCxnSpPr>
          <a:stCxn id="182" idx="3"/>
          <a:endCxn id="186" idx="2"/>
        </xdr:cNvCxnSpPr>
      </xdr:nvCxnSpPr>
      <xdr:spPr>
        <a:xfrm flipV="1">
          <a:off x="4230787" y="18699966"/>
          <a:ext cx="1983028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86784</xdr:colOff>
      <xdr:row>161</xdr:row>
      <xdr:rowOff>66675</xdr:rowOff>
    </xdr:from>
    <xdr:to>
      <xdr:col>34</xdr:col>
      <xdr:colOff>183092</xdr:colOff>
      <xdr:row>164</xdr:row>
      <xdr:rowOff>140482</xdr:rowOff>
    </xdr:to>
    <xdr:grpSp>
      <xdr:nvGrpSpPr>
        <xdr:cNvPr id="185" name="グループ化 184">
          <a:extLst>
            <a:ext uri="{FF2B5EF4-FFF2-40B4-BE49-F238E27FC236}">
              <a16:creationId xmlns:a16="http://schemas.microsoft.com/office/drawing/2014/main" id="{A085A98F-6842-460D-8C6A-36EC77E4DA8A}"/>
            </a:ext>
          </a:extLst>
        </xdr:cNvPr>
        <xdr:cNvGrpSpPr/>
      </xdr:nvGrpSpPr>
      <xdr:grpSpPr>
        <a:xfrm>
          <a:off x="6087534" y="27717750"/>
          <a:ext cx="896408" cy="588157"/>
          <a:chOff x="7111999" y="2892425"/>
          <a:chExt cx="873125" cy="584982"/>
        </a:xfrm>
      </xdr:grpSpPr>
      <xdr:sp macro="" textlink="">
        <xdr:nvSpPr>
          <xdr:cNvPr id="186" name="フローチャート: 磁気ディスク 185">
            <a:extLst>
              <a:ext uri="{FF2B5EF4-FFF2-40B4-BE49-F238E27FC236}">
                <a16:creationId xmlns:a16="http://schemas.microsoft.com/office/drawing/2014/main" id="{03ADD42A-A077-423A-931F-BFAAA2355E61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87" name="正方形/長方形 186">
            <a:extLst>
              <a:ext uri="{FF2B5EF4-FFF2-40B4-BE49-F238E27FC236}">
                <a16:creationId xmlns:a16="http://schemas.microsoft.com/office/drawing/2014/main" id="{AABF5096-7473-486E-B78B-6A974304C490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80829</xdr:colOff>
      <xdr:row>155</xdr:row>
      <xdr:rowOff>140762</xdr:rowOff>
    </xdr:from>
    <xdr:to>
      <xdr:col>18</xdr:col>
      <xdr:colOff>88900</xdr:colOff>
      <xdr:row>161</xdr:row>
      <xdr:rowOff>103716</xdr:rowOff>
    </xdr:to>
    <xdr:cxnSp macro="">
      <xdr:nvCxnSpPr>
        <xdr:cNvPr id="188" name="直線矢印コネクタ 27">
          <a:extLst>
            <a:ext uri="{FF2B5EF4-FFF2-40B4-BE49-F238E27FC236}">
              <a16:creationId xmlns:a16="http://schemas.microsoft.com/office/drawing/2014/main" id="{A31B95A2-6B64-48CD-BFED-BCA92BA054C5}"/>
            </a:ext>
          </a:extLst>
        </xdr:cNvPr>
        <xdr:cNvCxnSpPr>
          <a:cxnSpLocks/>
          <a:stCxn id="177" idx="2"/>
          <a:endCxn id="183" idx="0"/>
        </xdr:cNvCxnSpPr>
      </xdr:nvCxnSpPr>
      <xdr:spPr>
        <a:xfrm>
          <a:off x="3700329" y="17772595"/>
          <a:ext cx="8071" cy="68262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31750</xdr:colOff>
      <xdr:row>152</xdr:row>
      <xdr:rowOff>116418</xdr:rowOff>
    </xdr:from>
    <xdr:to>
      <xdr:col>41</xdr:col>
      <xdr:colOff>123824</xdr:colOff>
      <xdr:row>156</xdr:row>
      <xdr:rowOff>13483</xdr:rowOff>
    </xdr:to>
    <xdr:grpSp>
      <xdr:nvGrpSpPr>
        <xdr:cNvPr id="153" name="グループ化 152">
          <a:extLst>
            <a:ext uri="{FF2B5EF4-FFF2-40B4-BE49-F238E27FC236}">
              <a16:creationId xmlns:a16="http://schemas.microsoft.com/office/drawing/2014/main" id="{86F964D8-7AE0-49EB-8683-F9480C5D6F0F}"/>
            </a:ext>
          </a:extLst>
        </xdr:cNvPr>
        <xdr:cNvGrpSpPr/>
      </xdr:nvGrpSpPr>
      <xdr:grpSpPr>
        <a:xfrm>
          <a:off x="7432675" y="26224443"/>
          <a:ext cx="892174" cy="582865"/>
          <a:chOff x="7111999" y="2892425"/>
          <a:chExt cx="873125" cy="584982"/>
        </a:xfrm>
      </xdr:grpSpPr>
      <xdr:sp macro="" textlink="">
        <xdr:nvSpPr>
          <xdr:cNvPr id="158" name="フローチャート: 磁気ディスク 157">
            <a:extLst>
              <a:ext uri="{FF2B5EF4-FFF2-40B4-BE49-F238E27FC236}">
                <a16:creationId xmlns:a16="http://schemas.microsoft.com/office/drawing/2014/main" id="{12D53080-D378-4EE3-ACEF-522447017DBD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59" name="正方形/長方形 158">
            <a:extLst>
              <a:ext uri="{FF2B5EF4-FFF2-40B4-BE49-F238E27FC236}">
                <a16:creationId xmlns:a16="http://schemas.microsoft.com/office/drawing/2014/main" id="{BBB0550F-8ED6-492C-B646-7BDBC00CB591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銀行</a:t>
            </a:r>
            <a:r>
              <a:rPr kumimoji="1" lang="en-US" altLang="ja-JP" sz="900"/>
              <a:t>WEB</a:t>
            </a:r>
            <a:endParaRPr kumimoji="1" lang="ja-JP" altLang="en-US" sz="900"/>
          </a:p>
        </xdr:txBody>
      </xdr:sp>
    </xdr:grpSp>
    <xdr:clientData/>
  </xdr:twoCellAnchor>
  <xdr:twoCellAnchor>
    <xdr:from>
      <xdr:col>39</xdr:col>
      <xdr:colOff>95251</xdr:colOff>
      <xdr:row>10</xdr:row>
      <xdr:rowOff>105833</xdr:rowOff>
    </xdr:from>
    <xdr:to>
      <xdr:col>60</xdr:col>
      <xdr:colOff>127001</xdr:colOff>
      <xdr:row>20</xdr:row>
      <xdr:rowOff>80700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171F317D-CBF3-44E7-867D-3DCFE8A5867C}"/>
            </a:ext>
          </a:extLst>
        </xdr:cNvPr>
        <xdr:cNvSpPr txBox="1"/>
      </xdr:nvSpPr>
      <xdr:spPr>
        <a:xfrm>
          <a:off x="7937501" y="1905000"/>
          <a:ext cx="4804833" cy="177403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＜注記＞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調達・運用・通貨交換のプロセスにおいては、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一般仕訳帳入力のプロセスが頻出いたします。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一般仕訳帳入力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後の、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WF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送信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承認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自動転記バッチのプロセスを記載すると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同じプロセスが頻繁に記載されて見づらいため、</a:t>
          </a:r>
          <a:r>
            <a:rPr kumimoji="1" lang="ja-JP" altLang="en-US" sz="1100">
              <a:solidFill>
                <a:sysClr val="windowText" lastClr="000000"/>
              </a:solidFill>
            </a:rPr>
            <a:t>表記を省略しております。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一般仕訳帳の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WF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送信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承認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自動転記バッチのプロセス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については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endParaRPr lang="ja-JP" altLang="ja-JP">
            <a:effectLst/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「日次振伝処理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資金</a:t>
          </a:r>
          <a:r>
            <a:rPr kumimoji="1" lang="en-US" altLang="ja-JP" sz="1100">
              <a:solidFill>
                <a:sysClr val="windowText" lastClr="000000"/>
              </a:solidFill>
            </a:rPr>
            <a:t>G)</a:t>
          </a:r>
          <a:r>
            <a:rPr kumimoji="1" lang="ja-JP" altLang="en-US" sz="1100">
              <a:solidFill>
                <a:sysClr val="windowText" lastClr="000000"/>
              </a:solidFill>
            </a:rPr>
            <a:t>」に記載しておりますのでそちらをご参照ください。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125943</xdr:colOff>
      <xdr:row>12</xdr:row>
      <xdr:rowOff>142875</xdr:rowOff>
    </xdr:from>
    <xdr:to>
      <xdr:col>20</xdr:col>
      <xdr:colOff>33976</xdr:colOff>
      <xdr:row>14</xdr:row>
      <xdr:rowOff>59267</xdr:rowOff>
    </xdr:to>
    <xdr:sp macro="" textlink="">
      <xdr:nvSpPr>
        <xdr:cNvPr id="2" name="フローチャート: 端子 26">
          <a:extLst>
            <a:ext uri="{FF2B5EF4-FFF2-40B4-BE49-F238E27FC236}">
              <a16:creationId xmlns:a16="http://schemas.microsoft.com/office/drawing/2014/main" id="{A11B9B18-0ECE-445D-83D4-9A2489782B43}"/>
            </a:ext>
          </a:extLst>
        </xdr:cNvPr>
        <xdr:cNvSpPr/>
      </xdr:nvSpPr>
      <xdr:spPr>
        <a:xfrm>
          <a:off x="3326343" y="2314575"/>
          <a:ext cx="708133" cy="27834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15</xdr:col>
      <xdr:colOff>182195</xdr:colOff>
      <xdr:row>25</xdr:row>
      <xdr:rowOff>9532</xdr:rowOff>
    </xdr:from>
    <xdr:to>
      <xdr:col>20</xdr:col>
      <xdr:colOff>198537</xdr:colOff>
      <xdr:row>27</xdr:row>
      <xdr:rowOff>140762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764C765E-C1B7-4065-B4F7-4BD5A95DB78C}"/>
            </a:ext>
          </a:extLst>
        </xdr:cNvPr>
        <xdr:cNvSpPr/>
      </xdr:nvSpPr>
      <xdr:spPr>
        <a:xfrm>
          <a:off x="3182570" y="3629032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123825</xdr:colOff>
      <xdr:row>25</xdr:row>
      <xdr:rowOff>2117</xdr:rowOff>
    </xdr:from>
    <xdr:to>
      <xdr:col>21</xdr:col>
      <xdr:colOff>34925</xdr:colOff>
      <xdr:row>27</xdr:row>
      <xdr:rowOff>180646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5F41D73-C53E-4FE2-A55D-C2459370E10E}"/>
            </a:ext>
          </a:extLst>
        </xdr:cNvPr>
        <xdr:cNvSpPr/>
      </xdr:nvSpPr>
      <xdr:spPr>
        <a:xfrm>
          <a:off x="3124200" y="3621617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1</a:t>
          </a:r>
          <a:r>
            <a:rPr kumimoji="1" lang="ja-JP" altLang="en-US" sz="900"/>
            <a:t>．借入金計上</a:t>
          </a:r>
          <a:endParaRPr kumimoji="1" lang="en-US" altLang="ja-JP" sz="900"/>
        </a:p>
      </xdr:txBody>
    </xdr:sp>
    <xdr:clientData/>
  </xdr:twoCellAnchor>
  <xdr:twoCellAnchor>
    <xdr:from>
      <xdr:col>20</xdr:col>
      <xdr:colOff>198537</xdr:colOff>
      <xdr:row>26</xdr:row>
      <xdr:rowOff>66950</xdr:rowOff>
    </xdr:from>
    <xdr:to>
      <xdr:col>30</xdr:col>
      <xdr:colOff>171790</xdr:colOff>
      <xdr:row>26</xdr:row>
      <xdr:rowOff>75147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CDC744F5-317E-420F-B903-810EAB87C94F}"/>
            </a:ext>
          </a:extLst>
        </xdr:cNvPr>
        <xdr:cNvCxnSpPr>
          <a:stCxn id="3" idx="3"/>
          <a:endCxn id="7" idx="2"/>
        </xdr:cNvCxnSpPr>
      </xdr:nvCxnSpPr>
      <xdr:spPr>
        <a:xfrm flipV="1">
          <a:off x="4199037" y="3867425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77259</xdr:colOff>
      <xdr:row>24</xdr:row>
      <xdr:rowOff>146051</xdr:rowOff>
    </xdr:from>
    <xdr:to>
      <xdr:col>34</xdr:col>
      <xdr:colOff>173567</xdr:colOff>
      <xdr:row>28</xdr:row>
      <xdr:rowOff>38883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D08646BC-CA09-46EB-9709-1A55CBAC84E5}"/>
            </a:ext>
          </a:extLst>
        </xdr:cNvPr>
        <xdr:cNvGrpSpPr/>
      </xdr:nvGrpSpPr>
      <xdr:grpSpPr>
        <a:xfrm>
          <a:off x="6078009" y="4308476"/>
          <a:ext cx="896408" cy="578632"/>
          <a:chOff x="7111999" y="2892425"/>
          <a:chExt cx="873125" cy="584982"/>
        </a:xfrm>
      </xdr:grpSpPr>
      <xdr:sp macro="" textlink="">
        <xdr:nvSpPr>
          <xdr:cNvPr id="7" name="フローチャート: 磁気ディスク 6">
            <a:extLst>
              <a:ext uri="{FF2B5EF4-FFF2-40B4-BE49-F238E27FC236}">
                <a16:creationId xmlns:a16="http://schemas.microsoft.com/office/drawing/2014/main" id="{DDADF85A-3239-439E-9883-8CD14DA01BF3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F652DFE0-EBED-46F8-9CC3-E1F04FF935BF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79375</xdr:colOff>
      <xdr:row>27</xdr:row>
      <xdr:rowOff>180646</xdr:rowOff>
    </xdr:from>
    <xdr:to>
      <xdr:col>18</xdr:col>
      <xdr:colOff>80829</xdr:colOff>
      <xdr:row>34</xdr:row>
      <xdr:rowOff>7</xdr:rowOff>
    </xdr:to>
    <xdr:cxnSp macro="">
      <xdr:nvCxnSpPr>
        <xdr:cNvPr id="9" name="直線矢印コネクタ 27">
          <a:extLst>
            <a:ext uri="{FF2B5EF4-FFF2-40B4-BE49-F238E27FC236}">
              <a16:creationId xmlns:a16="http://schemas.microsoft.com/office/drawing/2014/main" id="{A98E5878-E57C-442B-AFD3-1E6626D9F554}"/>
            </a:ext>
          </a:extLst>
        </xdr:cNvPr>
        <xdr:cNvCxnSpPr>
          <a:cxnSpLocks/>
          <a:stCxn id="4" idx="2"/>
        </xdr:cNvCxnSpPr>
      </xdr:nvCxnSpPr>
      <xdr:spPr>
        <a:xfrm>
          <a:off x="3679825" y="4162096"/>
          <a:ext cx="1454" cy="72423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79375</xdr:colOff>
      <xdr:row>14</xdr:row>
      <xdr:rowOff>59267</xdr:rowOff>
    </xdr:from>
    <xdr:to>
      <xdr:col>18</xdr:col>
      <xdr:colOff>79960</xdr:colOff>
      <xdr:row>25</xdr:row>
      <xdr:rowOff>2117</xdr:rowOff>
    </xdr:to>
    <xdr:cxnSp macro="">
      <xdr:nvCxnSpPr>
        <xdr:cNvPr id="10" name="直線矢印コネクタ 27">
          <a:extLst>
            <a:ext uri="{FF2B5EF4-FFF2-40B4-BE49-F238E27FC236}">
              <a16:creationId xmlns:a16="http://schemas.microsoft.com/office/drawing/2014/main" id="{712D5CF6-42A9-46F4-8B66-F696F295CC50}"/>
            </a:ext>
          </a:extLst>
        </xdr:cNvPr>
        <xdr:cNvCxnSpPr>
          <a:cxnSpLocks/>
          <a:stCxn id="2" idx="2"/>
          <a:endCxn id="4" idx="0"/>
        </xdr:cNvCxnSpPr>
      </xdr:nvCxnSpPr>
      <xdr:spPr>
        <a:xfrm flipH="1">
          <a:off x="3679825" y="2592917"/>
          <a:ext cx="585" cy="10287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172670</xdr:colOff>
      <xdr:row>34</xdr:row>
      <xdr:rowOff>9532</xdr:rowOff>
    </xdr:from>
    <xdr:to>
      <xdr:col>20</xdr:col>
      <xdr:colOff>189012</xdr:colOff>
      <xdr:row>36</xdr:row>
      <xdr:rowOff>140762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77FAF97-7CE9-4199-AABE-E011933E4F5D}"/>
            </a:ext>
          </a:extLst>
        </xdr:cNvPr>
        <xdr:cNvSpPr/>
      </xdr:nvSpPr>
      <xdr:spPr>
        <a:xfrm>
          <a:off x="3173045" y="4895857"/>
          <a:ext cx="1016467" cy="4931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114300</xdr:colOff>
      <xdr:row>34</xdr:row>
      <xdr:rowOff>2117</xdr:rowOff>
    </xdr:from>
    <xdr:to>
      <xdr:col>21</xdr:col>
      <xdr:colOff>25400</xdr:colOff>
      <xdr:row>36</xdr:row>
      <xdr:rowOff>180646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D1443C60-6970-4890-A4B8-756362012930}"/>
            </a:ext>
          </a:extLst>
        </xdr:cNvPr>
        <xdr:cNvSpPr/>
      </xdr:nvSpPr>
      <xdr:spPr>
        <a:xfrm>
          <a:off x="3114675" y="4888442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2</a:t>
          </a:r>
          <a:r>
            <a:rPr kumimoji="1" lang="ja-JP" altLang="en-US" sz="900"/>
            <a:t>．利息額の計算</a:t>
          </a:r>
          <a:endParaRPr kumimoji="1" lang="en-US" altLang="ja-JP" sz="900"/>
        </a:p>
      </xdr:txBody>
    </xdr:sp>
    <xdr:clientData/>
  </xdr:twoCellAnchor>
  <xdr:twoCellAnchor>
    <xdr:from>
      <xdr:col>16</xdr:col>
      <xdr:colOff>152400</xdr:colOff>
      <xdr:row>85</xdr:row>
      <xdr:rowOff>161925</xdr:rowOff>
    </xdr:from>
    <xdr:to>
      <xdr:col>20</xdr:col>
      <xdr:colOff>75770</xdr:colOff>
      <xdr:row>87</xdr:row>
      <xdr:rowOff>59259</xdr:rowOff>
    </xdr:to>
    <xdr:sp macro="" textlink="">
      <xdr:nvSpPr>
        <xdr:cNvPr id="14" name="フローチャート: 端子 13">
          <a:extLst>
            <a:ext uri="{FF2B5EF4-FFF2-40B4-BE49-F238E27FC236}">
              <a16:creationId xmlns:a16="http://schemas.microsoft.com/office/drawing/2014/main" id="{7A51E4FA-EDB4-4AFB-BA24-525DBE9FFE64}"/>
            </a:ext>
          </a:extLst>
        </xdr:cNvPr>
        <xdr:cNvSpPr/>
      </xdr:nvSpPr>
      <xdr:spPr>
        <a:xfrm>
          <a:off x="3352800" y="13011150"/>
          <a:ext cx="723470" cy="25928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18</xdr:col>
      <xdr:colOff>114085</xdr:colOff>
      <xdr:row>80</xdr:row>
      <xdr:rowOff>42338</xdr:rowOff>
    </xdr:from>
    <xdr:to>
      <xdr:col>18</xdr:col>
      <xdr:colOff>118929</xdr:colOff>
      <xdr:row>85</xdr:row>
      <xdr:rowOff>161925</xdr:rowOff>
    </xdr:to>
    <xdr:cxnSp macro="">
      <xdr:nvCxnSpPr>
        <xdr:cNvPr id="15" name="直線矢印コネクタ 27">
          <a:extLst>
            <a:ext uri="{FF2B5EF4-FFF2-40B4-BE49-F238E27FC236}">
              <a16:creationId xmlns:a16="http://schemas.microsoft.com/office/drawing/2014/main" id="{3C8DE99F-402C-44C1-BA15-1C749A7DDB89}"/>
            </a:ext>
          </a:extLst>
        </xdr:cNvPr>
        <xdr:cNvCxnSpPr>
          <a:cxnSpLocks/>
          <a:stCxn id="40" idx="2"/>
          <a:endCxn id="14" idx="0"/>
        </xdr:cNvCxnSpPr>
      </xdr:nvCxnSpPr>
      <xdr:spPr>
        <a:xfrm flipH="1">
          <a:off x="3714535" y="11986688"/>
          <a:ext cx="4844" cy="102446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191720</xdr:colOff>
      <xdr:row>40</xdr:row>
      <xdr:rowOff>111131</xdr:rowOff>
    </xdr:from>
    <xdr:to>
      <xdr:col>21</xdr:col>
      <xdr:colOff>8037</xdr:colOff>
      <xdr:row>43</xdr:row>
      <xdr:rowOff>61386</xdr:rowOff>
    </xdr:to>
    <xdr:sp macro="" textlink="">
      <xdr:nvSpPr>
        <xdr:cNvPr id="19" name="フローチャート: 定義済み処理 18">
          <a:extLst>
            <a:ext uri="{FF2B5EF4-FFF2-40B4-BE49-F238E27FC236}">
              <a16:creationId xmlns:a16="http://schemas.microsoft.com/office/drawing/2014/main" id="{6A8AE5EB-DDF7-4E3C-8186-AC25FDEEB202}"/>
            </a:ext>
          </a:extLst>
        </xdr:cNvPr>
        <xdr:cNvSpPr/>
      </xdr:nvSpPr>
      <xdr:spPr>
        <a:xfrm>
          <a:off x="3192095" y="6083306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133350</xdr:colOff>
      <xdr:row>40</xdr:row>
      <xdr:rowOff>103716</xdr:rowOff>
    </xdr:from>
    <xdr:to>
      <xdr:col>21</xdr:col>
      <xdr:colOff>44450</xdr:colOff>
      <xdr:row>43</xdr:row>
      <xdr:rowOff>101270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DBBFD05-7562-44EE-B63B-33489271EBB2}"/>
            </a:ext>
          </a:extLst>
        </xdr:cNvPr>
        <xdr:cNvSpPr/>
      </xdr:nvSpPr>
      <xdr:spPr>
        <a:xfrm>
          <a:off x="3133725" y="6075891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3</a:t>
          </a:r>
          <a:r>
            <a:rPr kumimoji="1" lang="ja-JP" altLang="en-US" sz="900"/>
            <a:t>．利息仕訳の</a:t>
          </a:r>
          <a:endParaRPr kumimoji="1" lang="en-US" altLang="ja-JP" sz="900"/>
        </a:p>
        <a:p>
          <a:pPr algn="ctr"/>
          <a:r>
            <a:rPr kumimoji="1" lang="ja-JP" altLang="en-US" sz="900"/>
            <a:t>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8037</xdr:colOff>
      <xdr:row>41</xdr:row>
      <xdr:rowOff>168549</xdr:rowOff>
    </xdr:from>
    <xdr:to>
      <xdr:col>30</xdr:col>
      <xdr:colOff>181315</xdr:colOff>
      <xdr:row>41</xdr:row>
      <xdr:rowOff>176746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FF581D28-8E70-4A65-9C4E-1248BCC49CA4}"/>
            </a:ext>
          </a:extLst>
        </xdr:cNvPr>
        <xdr:cNvCxnSpPr>
          <a:stCxn id="19" idx="3"/>
          <a:endCxn id="23" idx="2"/>
        </xdr:cNvCxnSpPr>
      </xdr:nvCxnSpPr>
      <xdr:spPr>
        <a:xfrm flipV="1">
          <a:off x="4208562" y="6321699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86784</xdr:colOff>
      <xdr:row>40</xdr:row>
      <xdr:rowOff>66675</xdr:rowOff>
    </xdr:from>
    <xdr:to>
      <xdr:col>34</xdr:col>
      <xdr:colOff>183092</xdr:colOff>
      <xdr:row>43</xdr:row>
      <xdr:rowOff>140482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28D4921E-A747-47D7-9B5B-997AEE70BE87}"/>
            </a:ext>
          </a:extLst>
        </xdr:cNvPr>
        <xdr:cNvGrpSpPr/>
      </xdr:nvGrpSpPr>
      <xdr:grpSpPr>
        <a:xfrm>
          <a:off x="6087534" y="6972300"/>
          <a:ext cx="896408" cy="588157"/>
          <a:chOff x="7111999" y="2892425"/>
          <a:chExt cx="873125" cy="584982"/>
        </a:xfrm>
      </xdr:grpSpPr>
      <xdr:sp macro="" textlink="">
        <xdr:nvSpPr>
          <xdr:cNvPr id="23" name="フローチャート: 磁気ディスク 22">
            <a:extLst>
              <a:ext uri="{FF2B5EF4-FFF2-40B4-BE49-F238E27FC236}">
                <a16:creationId xmlns:a16="http://schemas.microsoft.com/office/drawing/2014/main" id="{53B90104-1F38-4C67-99EE-8847C3FAB907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956C1E49-F100-4E6F-9AD9-C7C7CAC22421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80829</xdr:colOff>
      <xdr:row>36</xdr:row>
      <xdr:rowOff>140762</xdr:rowOff>
    </xdr:from>
    <xdr:to>
      <xdr:col>18</xdr:col>
      <xdr:colOff>88900</xdr:colOff>
      <xdr:row>40</xdr:row>
      <xdr:rowOff>103716</xdr:rowOff>
    </xdr:to>
    <xdr:cxnSp macro="">
      <xdr:nvCxnSpPr>
        <xdr:cNvPr id="25" name="直線矢印コネクタ 27">
          <a:extLst>
            <a:ext uri="{FF2B5EF4-FFF2-40B4-BE49-F238E27FC236}">
              <a16:creationId xmlns:a16="http://schemas.microsoft.com/office/drawing/2014/main" id="{5F0EAB13-239E-4F29-BCCA-AA97E0EE3882}"/>
            </a:ext>
          </a:extLst>
        </xdr:cNvPr>
        <xdr:cNvCxnSpPr>
          <a:cxnSpLocks/>
          <a:endCxn id="20" idx="0"/>
        </xdr:cNvCxnSpPr>
      </xdr:nvCxnSpPr>
      <xdr:spPr>
        <a:xfrm>
          <a:off x="3681279" y="5389037"/>
          <a:ext cx="8071" cy="68685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1220</xdr:colOff>
      <xdr:row>47</xdr:row>
      <xdr:rowOff>56094</xdr:rowOff>
    </xdr:from>
    <xdr:to>
      <xdr:col>21</xdr:col>
      <xdr:colOff>17562</xdr:colOff>
      <xdr:row>50</xdr:row>
      <xdr:rowOff>6349</xdr:rowOff>
    </xdr:to>
    <xdr:sp macro="" textlink="">
      <xdr:nvSpPr>
        <xdr:cNvPr id="26" name="フローチャート: 定義済み処理 25">
          <a:extLst>
            <a:ext uri="{FF2B5EF4-FFF2-40B4-BE49-F238E27FC236}">
              <a16:creationId xmlns:a16="http://schemas.microsoft.com/office/drawing/2014/main" id="{73BF899F-D9DB-48EB-8DCC-A9CFCA12B80C}"/>
            </a:ext>
          </a:extLst>
        </xdr:cNvPr>
        <xdr:cNvSpPr/>
      </xdr:nvSpPr>
      <xdr:spPr>
        <a:xfrm>
          <a:off x="3201620" y="7295094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142875</xdr:colOff>
      <xdr:row>47</xdr:row>
      <xdr:rowOff>48679</xdr:rowOff>
    </xdr:from>
    <xdr:to>
      <xdr:col>21</xdr:col>
      <xdr:colOff>53975</xdr:colOff>
      <xdr:row>50</xdr:row>
      <xdr:rowOff>46233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1FE4CD99-53F4-41F8-88B1-E6540A012D4A}"/>
            </a:ext>
          </a:extLst>
        </xdr:cNvPr>
        <xdr:cNvSpPr/>
      </xdr:nvSpPr>
      <xdr:spPr>
        <a:xfrm>
          <a:off x="3143250" y="7287679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4</a:t>
          </a:r>
          <a:r>
            <a:rPr kumimoji="1" lang="ja-JP" altLang="en-US" sz="900"/>
            <a:t>．長短振替仕訳</a:t>
          </a:r>
          <a:endParaRPr kumimoji="1" lang="en-US" altLang="ja-JP" sz="900"/>
        </a:p>
        <a:p>
          <a:pPr algn="ctr"/>
          <a:r>
            <a:rPr kumimoji="1" lang="ja-JP" altLang="en-US" sz="900"/>
            <a:t>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17562</xdr:colOff>
      <xdr:row>48</xdr:row>
      <xdr:rowOff>113512</xdr:rowOff>
    </xdr:from>
    <xdr:to>
      <xdr:col>30</xdr:col>
      <xdr:colOff>190840</xdr:colOff>
      <xdr:row>48</xdr:row>
      <xdr:rowOff>121709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D379E6C5-F9B4-4F5A-B440-01573846F49C}"/>
            </a:ext>
          </a:extLst>
        </xdr:cNvPr>
        <xdr:cNvCxnSpPr>
          <a:stCxn id="26" idx="3"/>
          <a:endCxn id="30" idx="2"/>
        </xdr:cNvCxnSpPr>
      </xdr:nvCxnSpPr>
      <xdr:spPr>
        <a:xfrm flipV="1">
          <a:off x="4218087" y="7533487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96309</xdr:colOff>
      <xdr:row>47</xdr:row>
      <xdr:rowOff>11638</xdr:rowOff>
    </xdr:from>
    <xdr:to>
      <xdr:col>34</xdr:col>
      <xdr:colOff>192617</xdr:colOff>
      <xdr:row>50</xdr:row>
      <xdr:rowOff>85445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7A7479D2-6781-487A-A627-BC3ABD910679}"/>
            </a:ext>
          </a:extLst>
        </xdr:cNvPr>
        <xdr:cNvGrpSpPr/>
      </xdr:nvGrpSpPr>
      <xdr:grpSpPr>
        <a:xfrm>
          <a:off x="6097059" y="8117413"/>
          <a:ext cx="896408" cy="588157"/>
          <a:chOff x="7111999" y="2892425"/>
          <a:chExt cx="873125" cy="584982"/>
        </a:xfrm>
      </xdr:grpSpPr>
      <xdr:sp macro="" textlink="">
        <xdr:nvSpPr>
          <xdr:cNvPr id="30" name="フローチャート: 磁気ディスク 29">
            <a:extLst>
              <a:ext uri="{FF2B5EF4-FFF2-40B4-BE49-F238E27FC236}">
                <a16:creationId xmlns:a16="http://schemas.microsoft.com/office/drawing/2014/main" id="{A1840490-99D1-47F1-B75D-40030843D683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A1D708B2-A744-44FB-9080-3FC89BF5CBF6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98425</xdr:colOff>
      <xdr:row>43</xdr:row>
      <xdr:rowOff>61386</xdr:rowOff>
    </xdr:from>
    <xdr:to>
      <xdr:col>18</xdr:col>
      <xdr:colOff>99879</xdr:colOff>
      <xdr:row>47</xdr:row>
      <xdr:rowOff>48679</xdr:rowOff>
    </xdr:to>
    <xdr:cxnSp macro="">
      <xdr:nvCxnSpPr>
        <xdr:cNvPr id="32" name="直線矢印コネクタ 27">
          <a:extLst>
            <a:ext uri="{FF2B5EF4-FFF2-40B4-BE49-F238E27FC236}">
              <a16:creationId xmlns:a16="http://schemas.microsoft.com/office/drawing/2014/main" id="{4BE8ED76-D527-4E12-B1F3-E14175A42E2D}"/>
            </a:ext>
          </a:extLst>
        </xdr:cNvPr>
        <xdr:cNvCxnSpPr>
          <a:cxnSpLocks/>
          <a:stCxn id="19" idx="2"/>
          <a:endCxn id="27" idx="0"/>
        </xdr:cNvCxnSpPr>
      </xdr:nvCxnSpPr>
      <xdr:spPr>
        <a:xfrm flipH="1">
          <a:off x="3698875" y="6576486"/>
          <a:ext cx="1454" cy="71119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10745</xdr:colOff>
      <xdr:row>61</xdr:row>
      <xdr:rowOff>13758</xdr:rowOff>
    </xdr:from>
    <xdr:to>
      <xdr:col>21</xdr:col>
      <xdr:colOff>27087</xdr:colOff>
      <xdr:row>63</xdr:row>
      <xdr:rowOff>144988</xdr:rowOff>
    </xdr:to>
    <xdr:sp macro="" textlink="">
      <xdr:nvSpPr>
        <xdr:cNvPr id="33" name="フローチャート: 定義済み処理 32">
          <a:extLst>
            <a:ext uri="{FF2B5EF4-FFF2-40B4-BE49-F238E27FC236}">
              <a16:creationId xmlns:a16="http://schemas.microsoft.com/office/drawing/2014/main" id="{D559970E-36CE-4D2E-B073-3E9CC64CC66E}"/>
            </a:ext>
          </a:extLst>
        </xdr:cNvPr>
        <xdr:cNvSpPr/>
      </xdr:nvSpPr>
      <xdr:spPr>
        <a:xfrm>
          <a:off x="3211145" y="8519583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61</xdr:row>
      <xdr:rowOff>6343</xdr:rowOff>
    </xdr:from>
    <xdr:to>
      <xdr:col>21</xdr:col>
      <xdr:colOff>63500</xdr:colOff>
      <xdr:row>64</xdr:row>
      <xdr:rowOff>3897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92D70D9-43D1-4BBC-886F-0DB8C70C8BCE}"/>
            </a:ext>
          </a:extLst>
        </xdr:cNvPr>
        <xdr:cNvSpPr/>
      </xdr:nvSpPr>
      <xdr:spPr>
        <a:xfrm>
          <a:off x="3152775" y="8512168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6</a:t>
          </a:r>
          <a:r>
            <a:rPr kumimoji="1" lang="ja-JP" altLang="en-US" sz="900"/>
            <a:t>．返済仕訳</a:t>
          </a:r>
          <a:endParaRPr kumimoji="1" lang="en-US" altLang="ja-JP" sz="900"/>
        </a:p>
        <a:p>
          <a:pPr algn="ctr"/>
          <a:r>
            <a:rPr kumimoji="1" lang="ja-JP" altLang="en-US" sz="900"/>
            <a:t>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27087</xdr:colOff>
      <xdr:row>62</xdr:row>
      <xdr:rowOff>71176</xdr:rowOff>
    </xdr:from>
    <xdr:to>
      <xdr:col>31</xdr:col>
      <xdr:colOff>340</xdr:colOff>
      <xdr:row>62</xdr:row>
      <xdr:rowOff>79373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78B96794-AB5E-4C0B-91A8-E2BB47D516CA}"/>
            </a:ext>
          </a:extLst>
        </xdr:cNvPr>
        <xdr:cNvCxnSpPr>
          <a:stCxn id="33" idx="3"/>
          <a:endCxn id="37" idx="2"/>
        </xdr:cNvCxnSpPr>
      </xdr:nvCxnSpPr>
      <xdr:spPr>
        <a:xfrm flipV="1">
          <a:off x="4227612" y="8757976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105834</xdr:colOff>
      <xdr:row>60</xdr:row>
      <xdr:rowOff>150277</xdr:rowOff>
    </xdr:from>
    <xdr:to>
      <xdr:col>35</xdr:col>
      <xdr:colOff>2117</xdr:colOff>
      <xdr:row>64</xdr:row>
      <xdr:rowOff>43109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A9964834-BE27-4D75-9174-1F741A61CD5A}"/>
            </a:ext>
          </a:extLst>
        </xdr:cNvPr>
        <xdr:cNvGrpSpPr/>
      </xdr:nvGrpSpPr>
      <xdr:grpSpPr>
        <a:xfrm>
          <a:off x="6106584" y="10484902"/>
          <a:ext cx="896408" cy="578632"/>
          <a:chOff x="7111999" y="2892425"/>
          <a:chExt cx="873125" cy="584982"/>
        </a:xfrm>
      </xdr:grpSpPr>
      <xdr:sp macro="" textlink="">
        <xdr:nvSpPr>
          <xdr:cNvPr id="37" name="フローチャート: 磁気ディスク 36">
            <a:extLst>
              <a:ext uri="{FF2B5EF4-FFF2-40B4-BE49-F238E27FC236}">
                <a16:creationId xmlns:a16="http://schemas.microsoft.com/office/drawing/2014/main" id="{5FD25ABA-57BA-4418-82EC-CFDA255B8D02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EAC62952-5EA4-41EF-90A1-20D717511D47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107950</xdr:colOff>
      <xdr:row>50</xdr:row>
      <xdr:rowOff>6349</xdr:rowOff>
    </xdr:from>
    <xdr:to>
      <xdr:col>18</xdr:col>
      <xdr:colOff>109404</xdr:colOff>
      <xdr:row>61</xdr:row>
      <xdr:rowOff>6343</xdr:rowOff>
    </xdr:to>
    <xdr:cxnSp macro="">
      <xdr:nvCxnSpPr>
        <xdr:cNvPr id="39" name="直線矢印コネクタ 27">
          <a:extLst>
            <a:ext uri="{FF2B5EF4-FFF2-40B4-BE49-F238E27FC236}">
              <a16:creationId xmlns:a16="http://schemas.microsoft.com/office/drawing/2014/main" id="{D2288111-BDD0-4016-97B4-55DD0995EA9B}"/>
            </a:ext>
          </a:extLst>
        </xdr:cNvPr>
        <xdr:cNvCxnSpPr>
          <a:cxnSpLocks/>
          <a:stCxn id="26" idx="2"/>
          <a:endCxn id="34" idx="0"/>
        </xdr:cNvCxnSpPr>
      </xdr:nvCxnSpPr>
      <xdr:spPr>
        <a:xfrm flipH="1">
          <a:off x="3708400" y="7788274"/>
          <a:ext cx="1454" cy="72389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10745</xdr:colOff>
      <xdr:row>77</xdr:row>
      <xdr:rowOff>92083</xdr:rowOff>
    </xdr:from>
    <xdr:to>
      <xdr:col>21</xdr:col>
      <xdr:colOff>27087</xdr:colOff>
      <xdr:row>80</xdr:row>
      <xdr:rowOff>42338</xdr:rowOff>
    </xdr:to>
    <xdr:sp macro="" textlink="">
      <xdr:nvSpPr>
        <xdr:cNvPr id="40" name="フローチャート: 定義済み処理 39">
          <a:extLst>
            <a:ext uri="{FF2B5EF4-FFF2-40B4-BE49-F238E27FC236}">
              <a16:creationId xmlns:a16="http://schemas.microsoft.com/office/drawing/2014/main" id="{9B09562A-AE2F-4967-A2F9-89F4C8B5ECC2}"/>
            </a:ext>
          </a:extLst>
        </xdr:cNvPr>
        <xdr:cNvSpPr/>
      </xdr:nvSpPr>
      <xdr:spPr>
        <a:xfrm>
          <a:off x="3211145" y="11493508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77</xdr:row>
      <xdr:rowOff>84668</xdr:rowOff>
    </xdr:from>
    <xdr:to>
      <xdr:col>21</xdr:col>
      <xdr:colOff>63500</xdr:colOff>
      <xdr:row>80</xdr:row>
      <xdr:rowOff>82222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F0D4630A-B560-4EB7-9447-E24868C6E074}"/>
            </a:ext>
          </a:extLst>
        </xdr:cNvPr>
        <xdr:cNvSpPr/>
      </xdr:nvSpPr>
      <xdr:spPr>
        <a:xfrm>
          <a:off x="3152775" y="11486093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8</a:t>
          </a:r>
          <a:r>
            <a:rPr kumimoji="1" lang="ja-JP" altLang="en-US" sz="900"/>
            <a:t>．借入金残高</a:t>
          </a:r>
          <a:endParaRPr kumimoji="1" lang="en-US" altLang="ja-JP" sz="900"/>
        </a:p>
        <a:p>
          <a:pPr algn="ctr"/>
          <a:r>
            <a:rPr kumimoji="1" lang="ja-JP" altLang="en-US" sz="900"/>
            <a:t>確認</a:t>
          </a:r>
          <a:endParaRPr kumimoji="1" lang="en-US" altLang="ja-JP" sz="900"/>
        </a:p>
      </xdr:txBody>
    </xdr:sp>
    <xdr:clientData/>
  </xdr:twoCellAnchor>
  <xdr:twoCellAnchor>
    <xdr:from>
      <xdr:col>21</xdr:col>
      <xdr:colOff>27087</xdr:colOff>
      <xdr:row>78</xdr:row>
      <xdr:rowOff>149501</xdr:rowOff>
    </xdr:from>
    <xdr:to>
      <xdr:col>31</xdr:col>
      <xdr:colOff>340</xdr:colOff>
      <xdr:row>78</xdr:row>
      <xdr:rowOff>157698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D38ACC4D-BBC9-4C83-9FCE-AC101E4FC636}"/>
            </a:ext>
          </a:extLst>
        </xdr:cNvPr>
        <xdr:cNvCxnSpPr>
          <a:stCxn id="44" idx="2"/>
          <a:endCxn id="40" idx="3"/>
        </xdr:cNvCxnSpPr>
      </xdr:nvCxnSpPr>
      <xdr:spPr>
        <a:xfrm flipH="1">
          <a:off x="4227612" y="11731901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124884</xdr:colOff>
      <xdr:row>77</xdr:row>
      <xdr:rowOff>47625</xdr:rowOff>
    </xdr:from>
    <xdr:to>
      <xdr:col>36</xdr:col>
      <xdr:colOff>19050</xdr:colOff>
      <xdr:row>80</xdr:row>
      <xdr:rowOff>130957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1F874DF5-98BB-475B-BABA-A2293B592AE8}"/>
            </a:ext>
          </a:extLst>
        </xdr:cNvPr>
        <xdr:cNvGrpSpPr/>
      </xdr:nvGrpSpPr>
      <xdr:grpSpPr>
        <a:xfrm>
          <a:off x="5925609" y="13296900"/>
          <a:ext cx="1294341" cy="597682"/>
          <a:chOff x="6935724" y="2892425"/>
          <a:chExt cx="1260722" cy="594017"/>
        </a:xfrm>
      </xdr:grpSpPr>
      <xdr:sp macro="" textlink="">
        <xdr:nvSpPr>
          <xdr:cNvPr id="44" name="フローチャート: 磁気ディスク 43">
            <a:extLst>
              <a:ext uri="{FF2B5EF4-FFF2-40B4-BE49-F238E27FC236}">
                <a16:creationId xmlns:a16="http://schemas.microsoft.com/office/drawing/2014/main" id="{90E59EB2-7085-4709-9FC7-6514FF5882AC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AB8C99CB-4F8A-47C0-AD26-3B51FD694108}"/>
              </a:ext>
            </a:extLst>
          </xdr:cNvPr>
          <xdr:cNvSpPr/>
        </xdr:nvSpPr>
        <xdr:spPr>
          <a:xfrm>
            <a:off x="6935724" y="2980835"/>
            <a:ext cx="1260722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伝票トランザクション</a:t>
            </a:r>
          </a:p>
        </xdr:txBody>
      </xdr:sp>
    </xdr:grpSp>
    <xdr:clientData/>
  </xdr:twoCellAnchor>
  <xdr:twoCellAnchor>
    <xdr:from>
      <xdr:col>16</xdr:col>
      <xdr:colOff>10745</xdr:colOff>
      <xdr:row>69</xdr:row>
      <xdr:rowOff>13758</xdr:rowOff>
    </xdr:from>
    <xdr:to>
      <xdr:col>21</xdr:col>
      <xdr:colOff>27087</xdr:colOff>
      <xdr:row>71</xdr:row>
      <xdr:rowOff>144988</xdr:rowOff>
    </xdr:to>
    <xdr:sp macro="" textlink="">
      <xdr:nvSpPr>
        <xdr:cNvPr id="46" name="フローチャート: 定義済み処理 45">
          <a:extLst>
            <a:ext uri="{FF2B5EF4-FFF2-40B4-BE49-F238E27FC236}">
              <a16:creationId xmlns:a16="http://schemas.microsoft.com/office/drawing/2014/main" id="{5288E72C-74AC-4CCB-9C47-81A54C2EDB07}"/>
            </a:ext>
          </a:extLst>
        </xdr:cNvPr>
        <xdr:cNvSpPr/>
      </xdr:nvSpPr>
      <xdr:spPr>
        <a:xfrm>
          <a:off x="3211145" y="9967383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69</xdr:row>
      <xdr:rowOff>6343</xdr:rowOff>
    </xdr:from>
    <xdr:to>
      <xdr:col>21</xdr:col>
      <xdr:colOff>63500</xdr:colOff>
      <xdr:row>72</xdr:row>
      <xdr:rowOff>3897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20B05997-E02B-4E46-877C-00E15F3A993E}"/>
            </a:ext>
          </a:extLst>
        </xdr:cNvPr>
        <xdr:cNvSpPr/>
      </xdr:nvSpPr>
      <xdr:spPr>
        <a:xfrm>
          <a:off x="3152775" y="9959968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7</a:t>
          </a:r>
          <a:r>
            <a:rPr kumimoji="1" lang="ja-JP" altLang="en-US" sz="900"/>
            <a:t>．支払手数料</a:t>
          </a:r>
          <a:endParaRPr kumimoji="1" lang="en-US" altLang="ja-JP" sz="900"/>
        </a:p>
        <a:p>
          <a:pPr algn="ctr"/>
          <a:r>
            <a:rPr kumimoji="1" lang="ja-JP" altLang="en-US" sz="900"/>
            <a:t>仕訳計上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27087</xdr:colOff>
      <xdr:row>70</xdr:row>
      <xdr:rowOff>71176</xdr:rowOff>
    </xdr:from>
    <xdr:to>
      <xdr:col>31</xdr:col>
      <xdr:colOff>340</xdr:colOff>
      <xdr:row>70</xdr:row>
      <xdr:rowOff>79373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87527DA0-E571-4A05-B404-3EB8C4281938}"/>
            </a:ext>
          </a:extLst>
        </xdr:cNvPr>
        <xdr:cNvCxnSpPr>
          <a:stCxn id="46" idx="3"/>
          <a:endCxn id="50" idx="2"/>
        </xdr:cNvCxnSpPr>
      </xdr:nvCxnSpPr>
      <xdr:spPr>
        <a:xfrm flipV="1">
          <a:off x="4227612" y="10205776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105834</xdr:colOff>
      <xdr:row>68</xdr:row>
      <xdr:rowOff>150277</xdr:rowOff>
    </xdr:from>
    <xdr:to>
      <xdr:col>35</xdr:col>
      <xdr:colOff>2117</xdr:colOff>
      <xdr:row>72</xdr:row>
      <xdr:rowOff>43109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7C7CE0ED-71BE-462B-9D86-FB4F704D314F}"/>
            </a:ext>
          </a:extLst>
        </xdr:cNvPr>
        <xdr:cNvGrpSpPr/>
      </xdr:nvGrpSpPr>
      <xdr:grpSpPr>
        <a:xfrm>
          <a:off x="6106584" y="11856502"/>
          <a:ext cx="896408" cy="578632"/>
          <a:chOff x="7111999" y="2892425"/>
          <a:chExt cx="873125" cy="584982"/>
        </a:xfrm>
      </xdr:grpSpPr>
      <xdr:sp macro="" textlink="">
        <xdr:nvSpPr>
          <xdr:cNvPr id="50" name="フローチャート: 磁気ディスク 49">
            <a:extLst>
              <a:ext uri="{FF2B5EF4-FFF2-40B4-BE49-F238E27FC236}">
                <a16:creationId xmlns:a16="http://schemas.microsoft.com/office/drawing/2014/main" id="{F0E2DA5F-23C2-477F-9E01-38FEE0854104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5EBD6455-7443-4023-925B-9B0F9666CD14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118929</xdr:colOff>
      <xdr:row>63</xdr:row>
      <xdr:rowOff>144988</xdr:rowOff>
    </xdr:from>
    <xdr:to>
      <xdr:col>18</xdr:col>
      <xdr:colOff>118929</xdr:colOff>
      <xdr:row>69</xdr:row>
      <xdr:rowOff>13758</xdr:rowOff>
    </xdr:to>
    <xdr:cxnSp macro="">
      <xdr:nvCxnSpPr>
        <xdr:cNvPr id="52" name="直線矢印コネクタ 27">
          <a:extLst>
            <a:ext uri="{FF2B5EF4-FFF2-40B4-BE49-F238E27FC236}">
              <a16:creationId xmlns:a16="http://schemas.microsoft.com/office/drawing/2014/main" id="{F0037398-7624-453B-9188-C75895278C4F}"/>
            </a:ext>
          </a:extLst>
        </xdr:cNvPr>
        <xdr:cNvCxnSpPr>
          <a:cxnSpLocks/>
          <a:stCxn id="33" idx="2"/>
          <a:endCxn id="46" idx="0"/>
        </xdr:cNvCxnSpPr>
      </xdr:nvCxnSpPr>
      <xdr:spPr>
        <a:xfrm>
          <a:off x="3719379" y="9012763"/>
          <a:ext cx="0" cy="95462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118929</xdr:colOff>
      <xdr:row>71</xdr:row>
      <xdr:rowOff>144988</xdr:rowOff>
    </xdr:from>
    <xdr:to>
      <xdr:col>18</xdr:col>
      <xdr:colOff>118929</xdr:colOff>
      <xdr:row>77</xdr:row>
      <xdr:rowOff>92083</xdr:rowOff>
    </xdr:to>
    <xdr:cxnSp macro="">
      <xdr:nvCxnSpPr>
        <xdr:cNvPr id="53" name="直線矢印コネクタ 27">
          <a:extLst>
            <a:ext uri="{FF2B5EF4-FFF2-40B4-BE49-F238E27FC236}">
              <a16:creationId xmlns:a16="http://schemas.microsoft.com/office/drawing/2014/main" id="{2E0F3D85-9243-4BFA-B7FF-37629593CF0D}"/>
            </a:ext>
          </a:extLst>
        </xdr:cNvPr>
        <xdr:cNvCxnSpPr>
          <a:cxnSpLocks/>
          <a:stCxn id="46" idx="2"/>
          <a:endCxn id="40" idx="0"/>
        </xdr:cNvCxnSpPr>
      </xdr:nvCxnSpPr>
      <xdr:spPr>
        <a:xfrm>
          <a:off x="3719379" y="10460563"/>
          <a:ext cx="0" cy="103294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184150</xdr:colOff>
      <xdr:row>79</xdr:row>
      <xdr:rowOff>6350</xdr:rowOff>
    </xdr:from>
    <xdr:to>
      <xdr:col>24</xdr:col>
      <xdr:colOff>6350</xdr:colOff>
      <xdr:row>82</xdr:row>
      <xdr:rowOff>139700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D3BCC207-9009-45A6-87D3-E9FC29CE2F90}"/>
            </a:ext>
          </a:extLst>
        </xdr:cNvPr>
        <xdr:cNvGrpSpPr/>
      </xdr:nvGrpSpPr>
      <xdr:grpSpPr>
        <a:xfrm>
          <a:off x="3784600" y="13598525"/>
          <a:ext cx="1022350" cy="647700"/>
          <a:chOff x="4305300" y="5682252"/>
          <a:chExt cx="1003300" cy="510539"/>
        </a:xfrm>
      </xdr:grpSpPr>
      <xdr:sp macro="" textlink="">
        <xdr:nvSpPr>
          <xdr:cNvPr id="55" name="AutoShape 49">
            <a:extLst>
              <a:ext uri="{FF2B5EF4-FFF2-40B4-BE49-F238E27FC236}">
                <a16:creationId xmlns:a16="http://schemas.microsoft.com/office/drawing/2014/main" id="{C677C21B-97EB-457F-9ABE-B44C36852F2D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56" name="正方形/長方形 48">
            <a:extLst>
              <a:ext uri="{FF2B5EF4-FFF2-40B4-BE49-F238E27FC236}">
                <a16:creationId xmlns:a16="http://schemas.microsoft.com/office/drawing/2014/main" id="{11C7FFA5-BC9D-478B-81A5-D5CDB7EBC666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借入金台帳</a:t>
            </a:r>
          </a:p>
        </xdr:txBody>
      </xdr:sp>
    </xdr:grpSp>
    <xdr:clientData/>
  </xdr:twoCellAnchor>
  <xdr:twoCellAnchor>
    <xdr:from>
      <xdr:col>16</xdr:col>
      <xdr:colOff>125943</xdr:colOff>
      <xdr:row>95</xdr:row>
      <xdr:rowOff>142875</xdr:rowOff>
    </xdr:from>
    <xdr:to>
      <xdr:col>20</xdr:col>
      <xdr:colOff>33976</xdr:colOff>
      <xdr:row>97</xdr:row>
      <xdr:rowOff>59267</xdr:rowOff>
    </xdr:to>
    <xdr:sp macro="" textlink="">
      <xdr:nvSpPr>
        <xdr:cNvPr id="58" name="フローチャート: 端子 26">
          <a:extLst>
            <a:ext uri="{FF2B5EF4-FFF2-40B4-BE49-F238E27FC236}">
              <a16:creationId xmlns:a16="http://schemas.microsoft.com/office/drawing/2014/main" id="{F27269FA-B317-4ED9-A0FD-6230F8430D66}"/>
            </a:ext>
          </a:extLst>
        </xdr:cNvPr>
        <xdr:cNvSpPr/>
      </xdr:nvSpPr>
      <xdr:spPr>
        <a:xfrm>
          <a:off x="3326343" y="14801850"/>
          <a:ext cx="708133" cy="27834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15</xdr:col>
      <xdr:colOff>182195</xdr:colOff>
      <xdr:row>103</xdr:row>
      <xdr:rowOff>9532</xdr:rowOff>
    </xdr:from>
    <xdr:to>
      <xdr:col>20</xdr:col>
      <xdr:colOff>198537</xdr:colOff>
      <xdr:row>105</xdr:row>
      <xdr:rowOff>140762</xdr:rowOff>
    </xdr:to>
    <xdr:sp macro="" textlink="">
      <xdr:nvSpPr>
        <xdr:cNvPr id="59" name="フローチャート: 定義済み処理 58">
          <a:extLst>
            <a:ext uri="{FF2B5EF4-FFF2-40B4-BE49-F238E27FC236}">
              <a16:creationId xmlns:a16="http://schemas.microsoft.com/office/drawing/2014/main" id="{85DBB256-12AE-4E67-AF37-2E5D6F385934}"/>
            </a:ext>
          </a:extLst>
        </xdr:cNvPr>
        <xdr:cNvSpPr/>
      </xdr:nvSpPr>
      <xdr:spPr>
        <a:xfrm>
          <a:off x="3182570" y="16116307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123825</xdr:colOff>
      <xdr:row>103</xdr:row>
      <xdr:rowOff>2117</xdr:rowOff>
    </xdr:from>
    <xdr:to>
      <xdr:col>21</xdr:col>
      <xdr:colOff>34925</xdr:colOff>
      <xdr:row>105</xdr:row>
      <xdr:rowOff>180646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A8862E39-44D6-4AD7-BCBC-60EB48C7725A}"/>
            </a:ext>
          </a:extLst>
        </xdr:cNvPr>
        <xdr:cNvSpPr/>
      </xdr:nvSpPr>
      <xdr:spPr>
        <a:xfrm>
          <a:off x="3124200" y="16108892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1</a:t>
          </a:r>
          <a:r>
            <a:rPr kumimoji="1" lang="ja-JP" altLang="en-US" sz="900"/>
            <a:t>．貸付仕訳計上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99</xdr:colOff>
      <xdr:row>104</xdr:row>
      <xdr:rowOff>75148</xdr:rowOff>
    </xdr:from>
    <xdr:to>
      <xdr:col>30</xdr:col>
      <xdr:colOff>194936</xdr:colOff>
      <xdr:row>104</xdr:row>
      <xdr:rowOff>98437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C90D5AD-A609-4822-90C8-BD3477BAB27F}"/>
            </a:ext>
          </a:extLst>
        </xdr:cNvPr>
        <xdr:cNvCxnSpPr>
          <a:stCxn id="59" idx="3"/>
          <a:endCxn id="63" idx="2"/>
        </xdr:cNvCxnSpPr>
      </xdr:nvCxnSpPr>
      <xdr:spPr>
        <a:xfrm>
          <a:off x="4167287" y="18156773"/>
          <a:ext cx="1980774" cy="23289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21697</xdr:colOff>
      <xdr:row>102</xdr:row>
      <xdr:rowOff>175033</xdr:rowOff>
    </xdr:from>
    <xdr:to>
      <xdr:col>35</xdr:col>
      <xdr:colOff>182563</xdr:colOff>
      <xdr:row>106</xdr:row>
      <xdr:rowOff>79375</xdr:rowOff>
    </xdr:to>
    <xdr:grpSp>
      <xdr:nvGrpSpPr>
        <xdr:cNvPr id="62" name="グループ化 61">
          <a:extLst>
            <a:ext uri="{FF2B5EF4-FFF2-40B4-BE49-F238E27FC236}">
              <a16:creationId xmlns:a16="http://schemas.microsoft.com/office/drawing/2014/main" id="{68129DA6-15C6-4573-B9EB-A1775F9F96FD}"/>
            </a:ext>
          </a:extLst>
        </xdr:cNvPr>
        <xdr:cNvGrpSpPr/>
      </xdr:nvGrpSpPr>
      <xdr:grpSpPr>
        <a:xfrm>
          <a:off x="5822422" y="17710558"/>
          <a:ext cx="1361016" cy="590142"/>
          <a:chOff x="6964054" y="2949443"/>
          <a:chExt cx="1325779" cy="595788"/>
        </a:xfrm>
      </xdr:grpSpPr>
      <xdr:sp macro="" textlink="">
        <xdr:nvSpPr>
          <xdr:cNvPr id="63" name="フローチャート: 磁気ディスク 62">
            <a:extLst>
              <a:ext uri="{FF2B5EF4-FFF2-40B4-BE49-F238E27FC236}">
                <a16:creationId xmlns:a16="http://schemas.microsoft.com/office/drawing/2014/main" id="{156C83C8-7997-444B-A6F3-116B8DB10D28}"/>
              </a:ext>
            </a:extLst>
          </xdr:cNvPr>
          <xdr:cNvSpPr/>
        </xdr:nvSpPr>
        <xdr:spPr>
          <a:xfrm>
            <a:off x="7328659" y="2952042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65A4D34C-3EC5-44F6-A4D4-00C52FFBBEF6}"/>
              </a:ext>
            </a:extLst>
          </xdr:cNvPr>
          <xdr:cNvSpPr/>
        </xdr:nvSpPr>
        <xdr:spPr>
          <a:xfrm>
            <a:off x="6964054" y="2949443"/>
            <a:ext cx="1325779" cy="59578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82416</xdr:colOff>
      <xdr:row>105</xdr:row>
      <xdr:rowOff>140762</xdr:rowOff>
    </xdr:from>
    <xdr:to>
      <xdr:col>18</xdr:col>
      <xdr:colOff>91941</xdr:colOff>
      <xdr:row>114</xdr:row>
      <xdr:rowOff>9532</xdr:rowOff>
    </xdr:to>
    <xdr:cxnSp macro="">
      <xdr:nvCxnSpPr>
        <xdr:cNvPr id="65" name="直線矢印コネクタ 27">
          <a:extLst>
            <a:ext uri="{FF2B5EF4-FFF2-40B4-BE49-F238E27FC236}">
              <a16:creationId xmlns:a16="http://schemas.microsoft.com/office/drawing/2014/main" id="{1DFDCFC2-C59A-4B67-88F0-15C80B1BFCE2}"/>
            </a:ext>
          </a:extLst>
        </xdr:cNvPr>
        <xdr:cNvCxnSpPr>
          <a:cxnSpLocks/>
          <a:stCxn id="59" idx="2"/>
          <a:endCxn id="128" idx="0"/>
        </xdr:cNvCxnSpPr>
      </xdr:nvCxnSpPr>
      <xdr:spPr>
        <a:xfrm flipH="1">
          <a:off x="3625716" y="17349262"/>
          <a:ext cx="9525" cy="141182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79375</xdr:colOff>
      <xdr:row>97</xdr:row>
      <xdr:rowOff>59267</xdr:rowOff>
    </xdr:from>
    <xdr:to>
      <xdr:col>18</xdr:col>
      <xdr:colOff>79960</xdr:colOff>
      <xdr:row>103</xdr:row>
      <xdr:rowOff>2117</xdr:rowOff>
    </xdr:to>
    <xdr:cxnSp macro="">
      <xdr:nvCxnSpPr>
        <xdr:cNvPr id="66" name="直線矢印コネクタ 27">
          <a:extLst>
            <a:ext uri="{FF2B5EF4-FFF2-40B4-BE49-F238E27FC236}">
              <a16:creationId xmlns:a16="http://schemas.microsoft.com/office/drawing/2014/main" id="{372A37C0-068C-4E3C-A23A-9741EAA25042}"/>
            </a:ext>
          </a:extLst>
        </xdr:cNvPr>
        <xdr:cNvCxnSpPr>
          <a:cxnSpLocks/>
          <a:stCxn id="58" idx="2"/>
          <a:endCxn id="60" idx="0"/>
        </xdr:cNvCxnSpPr>
      </xdr:nvCxnSpPr>
      <xdr:spPr>
        <a:xfrm flipH="1">
          <a:off x="3679825" y="15080192"/>
          <a:ext cx="585" cy="10287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86946</xdr:colOff>
      <xdr:row>131</xdr:row>
      <xdr:rowOff>52772</xdr:rowOff>
    </xdr:from>
    <xdr:to>
      <xdr:col>15</xdr:col>
      <xdr:colOff>190500</xdr:colOff>
      <xdr:row>131</xdr:row>
      <xdr:rowOff>54503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DD1570FA-0031-4877-9A37-8EF8EAB48B2F}"/>
            </a:ext>
          </a:extLst>
        </xdr:cNvPr>
        <xdr:cNvCxnSpPr>
          <a:stCxn id="135" idx="1"/>
          <a:endCxn id="98" idx="3"/>
        </xdr:cNvCxnSpPr>
      </xdr:nvCxnSpPr>
      <xdr:spPr>
        <a:xfrm flipH="1" flipV="1">
          <a:off x="1268046" y="21718972"/>
          <a:ext cx="1875204" cy="1731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152400</xdr:colOff>
      <xdr:row>161</xdr:row>
      <xdr:rowOff>161925</xdr:rowOff>
    </xdr:from>
    <xdr:to>
      <xdr:col>20</xdr:col>
      <xdr:colOff>75770</xdr:colOff>
      <xdr:row>163</xdr:row>
      <xdr:rowOff>59259</xdr:rowOff>
    </xdr:to>
    <xdr:sp macro="" textlink="">
      <xdr:nvSpPr>
        <xdr:cNvPr id="70" name="フローチャート: 端子 69">
          <a:extLst>
            <a:ext uri="{FF2B5EF4-FFF2-40B4-BE49-F238E27FC236}">
              <a16:creationId xmlns:a16="http://schemas.microsoft.com/office/drawing/2014/main" id="{F82D36CB-AB71-43A0-B456-B029F1B41140}"/>
            </a:ext>
          </a:extLst>
        </xdr:cNvPr>
        <xdr:cNvSpPr/>
      </xdr:nvSpPr>
      <xdr:spPr>
        <a:xfrm>
          <a:off x="3352800" y="23145750"/>
          <a:ext cx="723470" cy="25928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18</xdr:col>
      <xdr:colOff>114085</xdr:colOff>
      <xdr:row>156</xdr:row>
      <xdr:rowOff>42338</xdr:rowOff>
    </xdr:from>
    <xdr:to>
      <xdr:col>18</xdr:col>
      <xdr:colOff>118929</xdr:colOff>
      <xdr:row>161</xdr:row>
      <xdr:rowOff>161925</xdr:rowOff>
    </xdr:to>
    <xdr:cxnSp macro="">
      <xdr:nvCxnSpPr>
        <xdr:cNvPr id="71" name="直線矢印コネクタ 27">
          <a:extLst>
            <a:ext uri="{FF2B5EF4-FFF2-40B4-BE49-F238E27FC236}">
              <a16:creationId xmlns:a16="http://schemas.microsoft.com/office/drawing/2014/main" id="{B91658AB-80FE-4336-A175-93175AF24185}"/>
            </a:ext>
          </a:extLst>
        </xdr:cNvPr>
        <xdr:cNvCxnSpPr>
          <a:cxnSpLocks/>
          <a:stCxn id="86" idx="2"/>
          <a:endCxn id="70" idx="0"/>
        </xdr:cNvCxnSpPr>
      </xdr:nvCxnSpPr>
      <xdr:spPr>
        <a:xfrm flipH="1">
          <a:off x="3714535" y="22121288"/>
          <a:ext cx="4844" cy="102446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1220</xdr:colOff>
      <xdr:row>136</xdr:row>
      <xdr:rowOff>111131</xdr:rowOff>
    </xdr:from>
    <xdr:to>
      <xdr:col>21</xdr:col>
      <xdr:colOff>14387</xdr:colOff>
      <xdr:row>139</xdr:row>
      <xdr:rowOff>61386</xdr:rowOff>
    </xdr:to>
    <xdr:sp macro="" textlink="">
      <xdr:nvSpPr>
        <xdr:cNvPr id="72" name="フローチャート: 定義済み処理 71">
          <a:extLst>
            <a:ext uri="{FF2B5EF4-FFF2-40B4-BE49-F238E27FC236}">
              <a16:creationId xmlns:a16="http://schemas.microsoft.com/office/drawing/2014/main" id="{A557851C-ACC6-4E43-AE25-5591C3A9F9E5}"/>
            </a:ext>
          </a:extLst>
        </xdr:cNvPr>
        <xdr:cNvSpPr/>
      </xdr:nvSpPr>
      <xdr:spPr>
        <a:xfrm>
          <a:off x="3150820" y="22634581"/>
          <a:ext cx="997417" cy="464605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133350</xdr:colOff>
      <xdr:row>136</xdr:row>
      <xdr:rowOff>103716</xdr:rowOff>
    </xdr:from>
    <xdr:to>
      <xdr:col>21</xdr:col>
      <xdr:colOff>44450</xdr:colOff>
      <xdr:row>139</xdr:row>
      <xdr:rowOff>101270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B85BDC35-1CBD-4E88-A7B3-3ECC2AE8B5D1}"/>
            </a:ext>
          </a:extLst>
        </xdr:cNvPr>
        <xdr:cNvSpPr/>
      </xdr:nvSpPr>
      <xdr:spPr>
        <a:xfrm>
          <a:off x="3133725" y="18563166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5</a:t>
          </a:r>
          <a:r>
            <a:rPr kumimoji="1" lang="ja-JP" altLang="en-US" sz="900"/>
            <a:t>．返済入金確認</a:t>
          </a:r>
          <a:endParaRPr kumimoji="1" lang="en-US" altLang="ja-JP" sz="900"/>
        </a:p>
      </xdr:txBody>
    </xdr:sp>
    <xdr:clientData/>
  </xdr:twoCellAnchor>
  <xdr:twoCellAnchor>
    <xdr:from>
      <xdr:col>21</xdr:col>
      <xdr:colOff>14387</xdr:colOff>
      <xdr:row>137</xdr:row>
      <xdr:rowOff>154385</xdr:rowOff>
    </xdr:from>
    <xdr:to>
      <xdr:col>37</xdr:col>
      <xdr:colOff>127060</xdr:colOff>
      <xdr:row>138</xdr:row>
      <xdr:rowOff>534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ED67D136-4812-45CE-9401-6E0EF0B864DF}"/>
            </a:ext>
          </a:extLst>
        </xdr:cNvPr>
        <xdr:cNvCxnSpPr>
          <a:stCxn id="72" idx="3"/>
          <a:endCxn id="76" idx="2"/>
        </xdr:cNvCxnSpPr>
      </xdr:nvCxnSpPr>
      <xdr:spPr>
        <a:xfrm flipV="1">
          <a:off x="4148237" y="22849285"/>
          <a:ext cx="3262273" cy="17599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33868</xdr:colOff>
      <xdr:row>136</xdr:row>
      <xdr:rowOff>56091</xdr:rowOff>
    </xdr:from>
    <xdr:to>
      <xdr:col>41</xdr:col>
      <xdr:colOff>130175</xdr:colOff>
      <xdr:row>139</xdr:row>
      <xdr:rowOff>129898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FA1679AF-201E-4F43-AB96-940469C6ADB4}"/>
            </a:ext>
          </a:extLst>
        </xdr:cNvPr>
        <xdr:cNvGrpSpPr/>
      </xdr:nvGrpSpPr>
      <xdr:grpSpPr>
        <a:xfrm>
          <a:off x="7434793" y="23420916"/>
          <a:ext cx="896407" cy="588157"/>
          <a:chOff x="7111999" y="2892425"/>
          <a:chExt cx="873125" cy="584982"/>
        </a:xfrm>
      </xdr:grpSpPr>
      <xdr:sp macro="" textlink="">
        <xdr:nvSpPr>
          <xdr:cNvPr id="76" name="フローチャート: 磁気ディスク 75">
            <a:extLst>
              <a:ext uri="{FF2B5EF4-FFF2-40B4-BE49-F238E27FC236}">
                <a16:creationId xmlns:a16="http://schemas.microsoft.com/office/drawing/2014/main" id="{798DB456-C8B7-4873-8AD6-5C66C4716BB7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1E84A6B3-EC71-42D6-96EA-3E9935DEF386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銀行</a:t>
            </a:r>
            <a:r>
              <a:rPr kumimoji="1" lang="en-US" altLang="ja-JP" sz="900"/>
              <a:t>WEB</a:t>
            </a:r>
          </a:p>
          <a:p>
            <a:pPr algn="ctr"/>
            <a:r>
              <a:rPr kumimoji="1" lang="ja-JP" altLang="en-US" sz="900"/>
              <a:t>口座残高</a:t>
            </a:r>
          </a:p>
        </xdr:txBody>
      </xdr:sp>
    </xdr:grpSp>
    <xdr:clientData/>
  </xdr:twoCellAnchor>
  <xdr:twoCellAnchor>
    <xdr:from>
      <xdr:col>18</xdr:col>
      <xdr:colOff>98659</xdr:colOff>
      <xdr:row>132</xdr:row>
      <xdr:rowOff>115355</xdr:rowOff>
    </xdr:from>
    <xdr:to>
      <xdr:col>18</xdr:col>
      <xdr:colOff>106229</xdr:colOff>
      <xdr:row>136</xdr:row>
      <xdr:rowOff>111131</xdr:rowOff>
    </xdr:to>
    <xdr:cxnSp macro="">
      <xdr:nvCxnSpPr>
        <xdr:cNvPr id="78" name="直線矢印コネクタ 27">
          <a:extLst>
            <a:ext uri="{FF2B5EF4-FFF2-40B4-BE49-F238E27FC236}">
              <a16:creationId xmlns:a16="http://schemas.microsoft.com/office/drawing/2014/main" id="{3E540E42-CEBD-470D-BF20-48EA0A33B675}"/>
            </a:ext>
          </a:extLst>
        </xdr:cNvPr>
        <xdr:cNvCxnSpPr>
          <a:cxnSpLocks/>
          <a:stCxn id="135" idx="2"/>
          <a:endCxn id="72" idx="0"/>
        </xdr:cNvCxnSpPr>
      </xdr:nvCxnSpPr>
      <xdr:spPr>
        <a:xfrm>
          <a:off x="3641959" y="21953005"/>
          <a:ext cx="7570" cy="68157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10745</xdr:colOff>
      <xdr:row>144</xdr:row>
      <xdr:rowOff>13758</xdr:rowOff>
    </xdr:from>
    <xdr:to>
      <xdr:col>21</xdr:col>
      <xdr:colOff>27087</xdr:colOff>
      <xdr:row>146</xdr:row>
      <xdr:rowOff>144988</xdr:rowOff>
    </xdr:to>
    <xdr:sp macro="" textlink="">
      <xdr:nvSpPr>
        <xdr:cNvPr id="79" name="フローチャート: 定義済み処理 78">
          <a:extLst>
            <a:ext uri="{FF2B5EF4-FFF2-40B4-BE49-F238E27FC236}">
              <a16:creationId xmlns:a16="http://schemas.microsoft.com/office/drawing/2014/main" id="{4AEF8ED9-A72C-412E-9AC8-A301152F40E8}"/>
            </a:ext>
          </a:extLst>
        </xdr:cNvPr>
        <xdr:cNvSpPr/>
      </xdr:nvSpPr>
      <xdr:spPr>
        <a:xfrm>
          <a:off x="3211145" y="19921008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144</xdr:row>
      <xdr:rowOff>6343</xdr:rowOff>
    </xdr:from>
    <xdr:to>
      <xdr:col>21</xdr:col>
      <xdr:colOff>63500</xdr:colOff>
      <xdr:row>147</xdr:row>
      <xdr:rowOff>3897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DD5FDAE4-1A1E-4DCE-9DB8-641348B5C914}"/>
            </a:ext>
          </a:extLst>
        </xdr:cNvPr>
        <xdr:cNvSpPr/>
      </xdr:nvSpPr>
      <xdr:spPr>
        <a:xfrm>
          <a:off x="3152775" y="19913593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6</a:t>
          </a:r>
          <a:r>
            <a:rPr kumimoji="1" lang="ja-JP" altLang="en-US" sz="900"/>
            <a:t>．返済仕訳</a:t>
          </a:r>
          <a:endParaRPr kumimoji="1" lang="en-US" altLang="ja-JP" sz="900"/>
        </a:p>
        <a:p>
          <a:pPr algn="ctr"/>
          <a:r>
            <a:rPr kumimoji="1" lang="ja-JP" altLang="en-US" sz="900"/>
            <a:t>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27087</xdr:colOff>
      <xdr:row>145</xdr:row>
      <xdr:rowOff>71176</xdr:rowOff>
    </xdr:from>
    <xdr:to>
      <xdr:col>31</xdr:col>
      <xdr:colOff>340</xdr:colOff>
      <xdr:row>145</xdr:row>
      <xdr:rowOff>79373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6330BAA8-DC9B-4B20-B704-3B056CC5F29E}"/>
            </a:ext>
          </a:extLst>
        </xdr:cNvPr>
        <xdr:cNvCxnSpPr>
          <a:stCxn id="79" idx="3"/>
          <a:endCxn id="83" idx="2"/>
        </xdr:cNvCxnSpPr>
      </xdr:nvCxnSpPr>
      <xdr:spPr>
        <a:xfrm flipV="1">
          <a:off x="4227612" y="20159401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105834</xdr:colOff>
      <xdr:row>143</xdr:row>
      <xdr:rowOff>150277</xdr:rowOff>
    </xdr:from>
    <xdr:to>
      <xdr:col>35</xdr:col>
      <xdr:colOff>2117</xdr:colOff>
      <xdr:row>147</xdr:row>
      <xdr:rowOff>43109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A97BEEC7-8D05-44C0-9BBD-BB34D7084F72}"/>
            </a:ext>
          </a:extLst>
        </xdr:cNvPr>
        <xdr:cNvGrpSpPr/>
      </xdr:nvGrpSpPr>
      <xdr:grpSpPr>
        <a:xfrm>
          <a:off x="6106584" y="24715252"/>
          <a:ext cx="896408" cy="578632"/>
          <a:chOff x="7111999" y="2892425"/>
          <a:chExt cx="873125" cy="584982"/>
        </a:xfrm>
      </xdr:grpSpPr>
      <xdr:sp macro="" textlink="">
        <xdr:nvSpPr>
          <xdr:cNvPr id="83" name="フローチャート: 磁気ディスク 82">
            <a:extLst>
              <a:ext uri="{FF2B5EF4-FFF2-40B4-BE49-F238E27FC236}">
                <a16:creationId xmlns:a16="http://schemas.microsoft.com/office/drawing/2014/main" id="{DF1BB282-D2A3-4930-A5D1-48524B405F1F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F38A2070-8DA0-421C-A35F-F88252CDAE27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106229</xdr:colOff>
      <xdr:row>139</xdr:row>
      <xdr:rowOff>61386</xdr:rowOff>
    </xdr:from>
    <xdr:to>
      <xdr:col>18</xdr:col>
      <xdr:colOff>107950</xdr:colOff>
      <xdr:row>144</xdr:row>
      <xdr:rowOff>6343</xdr:rowOff>
    </xdr:to>
    <xdr:cxnSp macro="">
      <xdr:nvCxnSpPr>
        <xdr:cNvPr id="85" name="直線矢印コネクタ 27">
          <a:extLst>
            <a:ext uri="{FF2B5EF4-FFF2-40B4-BE49-F238E27FC236}">
              <a16:creationId xmlns:a16="http://schemas.microsoft.com/office/drawing/2014/main" id="{6AB395E6-9427-45BA-BD72-893ADF76249A}"/>
            </a:ext>
          </a:extLst>
        </xdr:cNvPr>
        <xdr:cNvCxnSpPr>
          <a:cxnSpLocks/>
          <a:stCxn id="72" idx="2"/>
          <a:endCxn id="80" idx="0"/>
        </xdr:cNvCxnSpPr>
      </xdr:nvCxnSpPr>
      <xdr:spPr>
        <a:xfrm>
          <a:off x="3649529" y="23099186"/>
          <a:ext cx="1721" cy="8022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10745</xdr:colOff>
      <xdr:row>153</xdr:row>
      <xdr:rowOff>92083</xdr:rowOff>
    </xdr:from>
    <xdr:to>
      <xdr:col>21</xdr:col>
      <xdr:colOff>27087</xdr:colOff>
      <xdr:row>156</xdr:row>
      <xdr:rowOff>42338</xdr:rowOff>
    </xdr:to>
    <xdr:sp macro="" textlink="">
      <xdr:nvSpPr>
        <xdr:cNvPr id="86" name="フローチャート: 定義済み処理 85">
          <a:extLst>
            <a:ext uri="{FF2B5EF4-FFF2-40B4-BE49-F238E27FC236}">
              <a16:creationId xmlns:a16="http://schemas.microsoft.com/office/drawing/2014/main" id="{4BB89B3A-3D1E-4997-95B1-8469DBDDA314}"/>
            </a:ext>
          </a:extLst>
        </xdr:cNvPr>
        <xdr:cNvSpPr/>
      </xdr:nvSpPr>
      <xdr:spPr>
        <a:xfrm>
          <a:off x="3211145" y="21628108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153</xdr:row>
      <xdr:rowOff>84668</xdr:rowOff>
    </xdr:from>
    <xdr:to>
      <xdr:col>21</xdr:col>
      <xdr:colOff>63500</xdr:colOff>
      <xdr:row>156</xdr:row>
      <xdr:rowOff>82222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5340F798-5713-4269-9A5B-3BDAA8D03E5D}"/>
            </a:ext>
          </a:extLst>
        </xdr:cNvPr>
        <xdr:cNvSpPr/>
      </xdr:nvSpPr>
      <xdr:spPr>
        <a:xfrm>
          <a:off x="3152775" y="21620693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7</a:t>
          </a:r>
          <a:r>
            <a:rPr kumimoji="1" lang="ja-JP" altLang="en-US" sz="900"/>
            <a:t>．運用残高</a:t>
          </a:r>
          <a:endParaRPr kumimoji="1" lang="en-US" altLang="ja-JP" sz="900"/>
        </a:p>
        <a:p>
          <a:pPr algn="ctr"/>
          <a:r>
            <a:rPr kumimoji="1" lang="ja-JP" altLang="en-US" sz="900"/>
            <a:t>確認</a:t>
          </a:r>
          <a:endParaRPr kumimoji="1" lang="en-US" altLang="ja-JP" sz="900"/>
        </a:p>
      </xdr:txBody>
    </xdr:sp>
    <xdr:clientData/>
  </xdr:twoCellAnchor>
  <xdr:twoCellAnchor>
    <xdr:from>
      <xdr:col>21</xdr:col>
      <xdr:colOff>27087</xdr:colOff>
      <xdr:row>154</xdr:row>
      <xdr:rowOff>149501</xdr:rowOff>
    </xdr:from>
    <xdr:to>
      <xdr:col>31</xdr:col>
      <xdr:colOff>340</xdr:colOff>
      <xdr:row>154</xdr:row>
      <xdr:rowOff>157698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479D7E76-4CEE-46A6-8F87-70E5882E4353}"/>
            </a:ext>
          </a:extLst>
        </xdr:cNvPr>
        <xdr:cNvCxnSpPr>
          <a:stCxn id="90" idx="2"/>
          <a:endCxn id="86" idx="3"/>
        </xdr:cNvCxnSpPr>
      </xdr:nvCxnSpPr>
      <xdr:spPr>
        <a:xfrm flipH="1">
          <a:off x="4227612" y="21866501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124884</xdr:colOff>
      <xdr:row>153</xdr:row>
      <xdr:rowOff>47625</xdr:rowOff>
    </xdr:from>
    <xdr:to>
      <xdr:col>36</xdr:col>
      <xdr:colOff>19050</xdr:colOff>
      <xdr:row>156</xdr:row>
      <xdr:rowOff>130957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59FE7F57-7713-4B32-B2D3-F1FE3D95C2C1}"/>
            </a:ext>
          </a:extLst>
        </xdr:cNvPr>
        <xdr:cNvGrpSpPr/>
      </xdr:nvGrpSpPr>
      <xdr:grpSpPr>
        <a:xfrm>
          <a:off x="5925609" y="26327100"/>
          <a:ext cx="1294341" cy="597682"/>
          <a:chOff x="6935724" y="2892425"/>
          <a:chExt cx="1260722" cy="594017"/>
        </a:xfrm>
      </xdr:grpSpPr>
      <xdr:sp macro="" textlink="">
        <xdr:nvSpPr>
          <xdr:cNvPr id="90" name="フローチャート: 磁気ディスク 89">
            <a:extLst>
              <a:ext uri="{FF2B5EF4-FFF2-40B4-BE49-F238E27FC236}">
                <a16:creationId xmlns:a16="http://schemas.microsoft.com/office/drawing/2014/main" id="{0376928A-31FB-48F4-B611-9BB06DCBF0A7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B0F1EAD4-8FA8-43B4-A214-210B7D8382F3}"/>
              </a:ext>
            </a:extLst>
          </xdr:cNvPr>
          <xdr:cNvSpPr/>
        </xdr:nvSpPr>
        <xdr:spPr>
          <a:xfrm>
            <a:off x="6935724" y="2980835"/>
            <a:ext cx="1260722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伝票トランザクション</a:t>
            </a:r>
          </a:p>
        </xdr:txBody>
      </xdr:sp>
    </xdr:grpSp>
    <xdr:clientData/>
  </xdr:twoCellAnchor>
  <xdr:twoCellAnchor>
    <xdr:from>
      <xdr:col>18</xdr:col>
      <xdr:colOff>119458</xdr:colOff>
      <xdr:row>146</xdr:row>
      <xdr:rowOff>144988</xdr:rowOff>
    </xdr:from>
    <xdr:to>
      <xdr:col>18</xdr:col>
      <xdr:colOff>119458</xdr:colOff>
      <xdr:row>153</xdr:row>
      <xdr:rowOff>92083</xdr:rowOff>
    </xdr:to>
    <xdr:cxnSp macro="">
      <xdr:nvCxnSpPr>
        <xdr:cNvPr id="92" name="直線矢印コネクタ 27">
          <a:extLst>
            <a:ext uri="{FF2B5EF4-FFF2-40B4-BE49-F238E27FC236}">
              <a16:creationId xmlns:a16="http://schemas.microsoft.com/office/drawing/2014/main" id="{CE340A81-B991-440A-A190-54C91EE44A11}"/>
            </a:ext>
          </a:extLst>
        </xdr:cNvPr>
        <xdr:cNvCxnSpPr>
          <a:cxnSpLocks/>
          <a:stCxn id="79" idx="2"/>
          <a:endCxn id="86" idx="0"/>
        </xdr:cNvCxnSpPr>
      </xdr:nvCxnSpPr>
      <xdr:spPr>
        <a:xfrm>
          <a:off x="3719908" y="20414188"/>
          <a:ext cx="0" cy="121392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6350</xdr:colOff>
      <xdr:row>155</xdr:row>
      <xdr:rowOff>38100</xdr:rowOff>
    </xdr:from>
    <xdr:to>
      <xdr:col>24</xdr:col>
      <xdr:colOff>25400</xdr:colOff>
      <xdr:row>159</xdr:row>
      <xdr:rowOff>0</xdr:rowOff>
    </xdr:to>
    <xdr:grpSp>
      <xdr:nvGrpSpPr>
        <xdr:cNvPr id="93" name="グループ化 92">
          <a:extLst>
            <a:ext uri="{FF2B5EF4-FFF2-40B4-BE49-F238E27FC236}">
              <a16:creationId xmlns:a16="http://schemas.microsoft.com/office/drawing/2014/main" id="{A32C1FAE-933A-47C9-A3B9-A514C9BB255A}"/>
            </a:ext>
          </a:extLst>
        </xdr:cNvPr>
        <xdr:cNvGrpSpPr/>
      </xdr:nvGrpSpPr>
      <xdr:grpSpPr>
        <a:xfrm>
          <a:off x="3806825" y="26660475"/>
          <a:ext cx="1019175" cy="647700"/>
          <a:chOff x="4305300" y="5682252"/>
          <a:chExt cx="1003300" cy="510539"/>
        </a:xfrm>
      </xdr:grpSpPr>
      <xdr:sp macro="" textlink="">
        <xdr:nvSpPr>
          <xdr:cNvPr id="94" name="AutoShape 49">
            <a:extLst>
              <a:ext uri="{FF2B5EF4-FFF2-40B4-BE49-F238E27FC236}">
                <a16:creationId xmlns:a16="http://schemas.microsoft.com/office/drawing/2014/main" id="{D4B271D9-FB98-49A4-94A5-6D8E8B01CDC0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95" name="正方形/長方形 48">
            <a:extLst>
              <a:ext uri="{FF2B5EF4-FFF2-40B4-BE49-F238E27FC236}">
                <a16:creationId xmlns:a16="http://schemas.microsoft.com/office/drawing/2014/main" id="{8E589340-0E69-4599-9EDE-73EE0EF5A0AF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借入金台帳</a:t>
            </a:r>
          </a:p>
        </xdr:txBody>
      </xdr:sp>
    </xdr:grpSp>
    <xdr:clientData/>
  </xdr:twoCellAnchor>
  <xdr:twoCellAnchor>
    <xdr:from>
      <xdr:col>1</xdr:col>
      <xdr:colOff>158750</xdr:colOff>
      <xdr:row>129</xdr:row>
      <xdr:rowOff>101602</xdr:rowOff>
    </xdr:from>
    <xdr:to>
      <xdr:col>7</xdr:col>
      <xdr:colOff>6488</xdr:colOff>
      <xdr:row>132</xdr:row>
      <xdr:rowOff>135468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90B8FAE6-7C21-48A0-B176-2D3643D54A9F}"/>
            </a:ext>
          </a:extLst>
        </xdr:cNvPr>
        <xdr:cNvGrpSpPr>
          <a:grpSpLocks noChangeAspect="1"/>
        </xdr:cNvGrpSpPr>
      </xdr:nvGrpSpPr>
      <xdr:grpSpPr>
        <a:xfrm>
          <a:off x="358775" y="22266277"/>
          <a:ext cx="1047888" cy="548216"/>
          <a:chOff x="2791278" y="18514786"/>
          <a:chExt cx="773793" cy="417285"/>
        </a:xfrm>
      </xdr:grpSpPr>
      <xdr:sp macro="" textlink="">
        <xdr:nvSpPr>
          <xdr:cNvPr id="98" name="フローチャート: 書類 97">
            <a:extLst>
              <a:ext uri="{FF2B5EF4-FFF2-40B4-BE49-F238E27FC236}">
                <a16:creationId xmlns:a16="http://schemas.microsoft.com/office/drawing/2014/main" id="{4F736FFB-3244-4C66-A09F-3109CDA00DA0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AAD85180-367C-4102-885D-78C1B9AE5292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利息分請求書</a:t>
            </a:r>
          </a:p>
        </xdr:txBody>
      </xdr:sp>
    </xdr:grpSp>
    <xdr:clientData/>
  </xdr:twoCellAnchor>
  <xdr:twoCellAnchor>
    <xdr:from>
      <xdr:col>16</xdr:col>
      <xdr:colOff>125943</xdr:colOff>
      <xdr:row>170</xdr:row>
      <xdr:rowOff>142875</xdr:rowOff>
    </xdr:from>
    <xdr:to>
      <xdr:col>20</xdr:col>
      <xdr:colOff>33976</xdr:colOff>
      <xdr:row>172</xdr:row>
      <xdr:rowOff>59267</xdr:rowOff>
    </xdr:to>
    <xdr:sp macro="" textlink="">
      <xdr:nvSpPr>
        <xdr:cNvPr id="100" name="フローチャート: 端子 26">
          <a:extLst>
            <a:ext uri="{FF2B5EF4-FFF2-40B4-BE49-F238E27FC236}">
              <a16:creationId xmlns:a16="http://schemas.microsoft.com/office/drawing/2014/main" id="{1F4A38A9-4DD0-42C3-B985-857C075BD8E9}"/>
            </a:ext>
          </a:extLst>
        </xdr:cNvPr>
        <xdr:cNvSpPr/>
      </xdr:nvSpPr>
      <xdr:spPr>
        <a:xfrm>
          <a:off x="3326343" y="24755475"/>
          <a:ext cx="708133" cy="27834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18</xdr:col>
      <xdr:colOff>79960</xdr:colOff>
      <xdr:row>172</xdr:row>
      <xdr:rowOff>59267</xdr:rowOff>
    </xdr:from>
    <xdr:to>
      <xdr:col>18</xdr:col>
      <xdr:colOff>80829</xdr:colOff>
      <xdr:row>179</xdr:row>
      <xdr:rowOff>7</xdr:rowOff>
    </xdr:to>
    <xdr:cxnSp macro="">
      <xdr:nvCxnSpPr>
        <xdr:cNvPr id="101" name="直線矢印コネクタ 27">
          <a:extLst>
            <a:ext uri="{FF2B5EF4-FFF2-40B4-BE49-F238E27FC236}">
              <a16:creationId xmlns:a16="http://schemas.microsoft.com/office/drawing/2014/main" id="{ADDA9DFB-376C-4019-A4E2-B896A6268C78}"/>
            </a:ext>
          </a:extLst>
        </xdr:cNvPr>
        <xdr:cNvCxnSpPr>
          <a:cxnSpLocks/>
          <a:stCxn id="100" idx="2"/>
        </xdr:cNvCxnSpPr>
      </xdr:nvCxnSpPr>
      <xdr:spPr>
        <a:xfrm>
          <a:off x="3680410" y="25033817"/>
          <a:ext cx="869" cy="120756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172670</xdr:colOff>
      <xdr:row>179</xdr:row>
      <xdr:rowOff>9532</xdr:rowOff>
    </xdr:from>
    <xdr:to>
      <xdr:col>20</xdr:col>
      <xdr:colOff>189012</xdr:colOff>
      <xdr:row>181</xdr:row>
      <xdr:rowOff>140762</xdr:rowOff>
    </xdr:to>
    <xdr:sp macro="" textlink="">
      <xdr:nvSpPr>
        <xdr:cNvPr id="102" name="フローチャート: 定義済み処理 101">
          <a:extLst>
            <a:ext uri="{FF2B5EF4-FFF2-40B4-BE49-F238E27FC236}">
              <a16:creationId xmlns:a16="http://schemas.microsoft.com/office/drawing/2014/main" id="{D4D43EE9-6F4C-4F65-BDD1-FF8667563192}"/>
            </a:ext>
          </a:extLst>
        </xdr:cNvPr>
        <xdr:cNvSpPr/>
      </xdr:nvSpPr>
      <xdr:spPr>
        <a:xfrm>
          <a:off x="3173045" y="26250907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114300</xdr:colOff>
      <xdr:row>179</xdr:row>
      <xdr:rowOff>2117</xdr:rowOff>
    </xdr:from>
    <xdr:to>
      <xdr:col>21</xdr:col>
      <xdr:colOff>25400</xdr:colOff>
      <xdr:row>181</xdr:row>
      <xdr:rowOff>180646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31287515-902E-4A8F-93CC-FE85DC9EC7F1}"/>
            </a:ext>
          </a:extLst>
        </xdr:cNvPr>
        <xdr:cNvSpPr/>
      </xdr:nvSpPr>
      <xdr:spPr>
        <a:xfrm>
          <a:off x="3114675" y="26243492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1</a:t>
          </a:r>
          <a:r>
            <a:rPr kumimoji="1" lang="ja-JP" altLang="en-US" sz="900"/>
            <a:t>．配当金入金</a:t>
          </a:r>
          <a:endParaRPr kumimoji="1" lang="en-US" altLang="ja-JP" sz="900"/>
        </a:p>
        <a:p>
          <a:pPr algn="ctr"/>
          <a:r>
            <a:rPr kumimoji="1" lang="ja-JP" altLang="en-US" sz="900"/>
            <a:t>確認</a:t>
          </a:r>
          <a:endParaRPr kumimoji="1" lang="en-US" altLang="ja-JP" sz="900"/>
        </a:p>
      </xdr:txBody>
    </xdr:sp>
    <xdr:clientData/>
  </xdr:twoCellAnchor>
  <xdr:twoCellAnchor>
    <xdr:from>
      <xdr:col>20</xdr:col>
      <xdr:colOff>189012</xdr:colOff>
      <xdr:row>180</xdr:row>
      <xdr:rowOff>39434</xdr:rowOff>
    </xdr:from>
    <xdr:to>
      <xdr:col>37</xdr:col>
      <xdr:colOff>126281</xdr:colOff>
      <xdr:row>180</xdr:row>
      <xdr:rowOff>75148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1528DCD1-12FE-46CC-A3DF-4FF6EC5A2F79}"/>
            </a:ext>
          </a:extLst>
        </xdr:cNvPr>
        <xdr:cNvCxnSpPr>
          <a:stCxn id="102" idx="3"/>
          <a:endCxn id="119" idx="2"/>
        </xdr:cNvCxnSpPr>
      </xdr:nvCxnSpPr>
      <xdr:spPr>
        <a:xfrm flipV="1">
          <a:off x="4189512" y="26461784"/>
          <a:ext cx="3337694" cy="35714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152400</xdr:colOff>
      <xdr:row>196</xdr:row>
      <xdr:rowOff>161925</xdr:rowOff>
    </xdr:from>
    <xdr:to>
      <xdr:col>20</xdr:col>
      <xdr:colOff>75770</xdr:colOff>
      <xdr:row>198</xdr:row>
      <xdr:rowOff>59259</xdr:rowOff>
    </xdr:to>
    <xdr:sp macro="" textlink="">
      <xdr:nvSpPr>
        <xdr:cNvPr id="105" name="フローチャート: 端子 104">
          <a:extLst>
            <a:ext uri="{FF2B5EF4-FFF2-40B4-BE49-F238E27FC236}">
              <a16:creationId xmlns:a16="http://schemas.microsoft.com/office/drawing/2014/main" id="{F7FBF5C9-6063-4B40-A50D-17F444A96992}"/>
            </a:ext>
          </a:extLst>
        </xdr:cNvPr>
        <xdr:cNvSpPr/>
      </xdr:nvSpPr>
      <xdr:spPr>
        <a:xfrm>
          <a:off x="3352800" y="29479875"/>
          <a:ext cx="723470" cy="25928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18</xdr:col>
      <xdr:colOff>99879</xdr:colOff>
      <xdr:row>190</xdr:row>
      <xdr:rowOff>61386</xdr:rowOff>
    </xdr:from>
    <xdr:to>
      <xdr:col>18</xdr:col>
      <xdr:colOff>114085</xdr:colOff>
      <xdr:row>196</xdr:row>
      <xdr:rowOff>161925</xdr:rowOff>
    </xdr:to>
    <xdr:cxnSp macro="">
      <xdr:nvCxnSpPr>
        <xdr:cNvPr id="106" name="直線矢印コネクタ 27">
          <a:extLst>
            <a:ext uri="{FF2B5EF4-FFF2-40B4-BE49-F238E27FC236}">
              <a16:creationId xmlns:a16="http://schemas.microsoft.com/office/drawing/2014/main" id="{5D3894D5-012D-4AFA-BE1E-A3BC18F3456C}"/>
            </a:ext>
          </a:extLst>
        </xdr:cNvPr>
        <xdr:cNvCxnSpPr>
          <a:cxnSpLocks/>
          <a:stCxn id="107" idx="2"/>
          <a:endCxn id="105" idx="0"/>
        </xdr:cNvCxnSpPr>
      </xdr:nvCxnSpPr>
      <xdr:spPr>
        <a:xfrm>
          <a:off x="3700329" y="28293486"/>
          <a:ext cx="14206" cy="11863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191720</xdr:colOff>
      <xdr:row>187</xdr:row>
      <xdr:rowOff>111131</xdr:rowOff>
    </xdr:from>
    <xdr:to>
      <xdr:col>21</xdr:col>
      <xdr:colOff>8037</xdr:colOff>
      <xdr:row>190</xdr:row>
      <xdr:rowOff>61386</xdr:rowOff>
    </xdr:to>
    <xdr:sp macro="" textlink="">
      <xdr:nvSpPr>
        <xdr:cNvPr id="107" name="フローチャート: 定義済み処理 106">
          <a:extLst>
            <a:ext uri="{FF2B5EF4-FFF2-40B4-BE49-F238E27FC236}">
              <a16:creationId xmlns:a16="http://schemas.microsoft.com/office/drawing/2014/main" id="{3F35D722-1D73-447A-8A2E-7A0B358D3DDD}"/>
            </a:ext>
          </a:extLst>
        </xdr:cNvPr>
        <xdr:cNvSpPr/>
      </xdr:nvSpPr>
      <xdr:spPr>
        <a:xfrm>
          <a:off x="3192095" y="27800306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133350</xdr:colOff>
      <xdr:row>187</xdr:row>
      <xdr:rowOff>103716</xdr:rowOff>
    </xdr:from>
    <xdr:to>
      <xdr:col>21</xdr:col>
      <xdr:colOff>44450</xdr:colOff>
      <xdr:row>190</xdr:row>
      <xdr:rowOff>101270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E9585167-9C6B-498B-9BC6-488DD08D8B50}"/>
            </a:ext>
          </a:extLst>
        </xdr:cNvPr>
        <xdr:cNvSpPr/>
      </xdr:nvSpPr>
      <xdr:spPr>
        <a:xfrm>
          <a:off x="3133725" y="27792891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2</a:t>
          </a:r>
          <a:r>
            <a:rPr kumimoji="1" lang="ja-JP" altLang="en-US" sz="900"/>
            <a:t>．配当金</a:t>
          </a:r>
          <a:endParaRPr kumimoji="1" lang="en-US" altLang="ja-JP" sz="900"/>
        </a:p>
        <a:p>
          <a:pPr algn="ctr"/>
          <a:r>
            <a:rPr kumimoji="1" lang="ja-JP" altLang="en-US" sz="900"/>
            <a:t>仕訳計上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8037</xdr:colOff>
      <xdr:row>188</xdr:row>
      <xdr:rowOff>168549</xdr:rowOff>
    </xdr:from>
    <xdr:to>
      <xdr:col>30</xdr:col>
      <xdr:colOff>181315</xdr:colOff>
      <xdr:row>188</xdr:row>
      <xdr:rowOff>176746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A34FBE2D-EBD8-4FAF-A1BE-D6C3F8BC6989}"/>
            </a:ext>
          </a:extLst>
        </xdr:cNvPr>
        <xdr:cNvCxnSpPr>
          <a:stCxn id="107" idx="3"/>
          <a:endCxn id="111" idx="2"/>
        </xdr:cNvCxnSpPr>
      </xdr:nvCxnSpPr>
      <xdr:spPr>
        <a:xfrm flipV="1">
          <a:off x="4208562" y="28038699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86784</xdr:colOff>
      <xdr:row>187</xdr:row>
      <xdr:rowOff>66675</xdr:rowOff>
    </xdr:from>
    <xdr:to>
      <xdr:col>34</xdr:col>
      <xdr:colOff>183092</xdr:colOff>
      <xdr:row>190</xdr:row>
      <xdr:rowOff>140482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FB8261FE-DBE1-46C1-8178-75AF1A60CCC6}"/>
            </a:ext>
          </a:extLst>
        </xdr:cNvPr>
        <xdr:cNvGrpSpPr/>
      </xdr:nvGrpSpPr>
      <xdr:grpSpPr>
        <a:xfrm>
          <a:off x="6087534" y="32175450"/>
          <a:ext cx="896408" cy="588157"/>
          <a:chOff x="7111999" y="2892425"/>
          <a:chExt cx="873125" cy="584982"/>
        </a:xfrm>
      </xdr:grpSpPr>
      <xdr:sp macro="" textlink="">
        <xdr:nvSpPr>
          <xdr:cNvPr id="111" name="フローチャート: 磁気ディスク 110">
            <a:extLst>
              <a:ext uri="{FF2B5EF4-FFF2-40B4-BE49-F238E27FC236}">
                <a16:creationId xmlns:a16="http://schemas.microsoft.com/office/drawing/2014/main" id="{BC33B518-6AD7-4A41-8748-F5947A013744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35A26578-5BAE-4A0E-97E4-7AA90DDDE5FD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80829</xdr:colOff>
      <xdr:row>181</xdr:row>
      <xdr:rowOff>140762</xdr:rowOff>
    </xdr:from>
    <xdr:to>
      <xdr:col>18</xdr:col>
      <xdr:colOff>88900</xdr:colOff>
      <xdr:row>187</xdr:row>
      <xdr:rowOff>103716</xdr:rowOff>
    </xdr:to>
    <xdr:cxnSp macro="">
      <xdr:nvCxnSpPr>
        <xdr:cNvPr id="113" name="直線矢印コネクタ 27">
          <a:extLst>
            <a:ext uri="{FF2B5EF4-FFF2-40B4-BE49-F238E27FC236}">
              <a16:creationId xmlns:a16="http://schemas.microsoft.com/office/drawing/2014/main" id="{3D222B4F-71DF-45FB-B830-FCB112DFBF70}"/>
            </a:ext>
          </a:extLst>
        </xdr:cNvPr>
        <xdr:cNvCxnSpPr>
          <a:cxnSpLocks/>
          <a:stCxn id="102" idx="2"/>
          <a:endCxn id="108" idx="0"/>
        </xdr:cNvCxnSpPr>
      </xdr:nvCxnSpPr>
      <xdr:spPr>
        <a:xfrm>
          <a:off x="3681279" y="26744087"/>
          <a:ext cx="8071" cy="104880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190501</xdr:colOff>
      <xdr:row>187</xdr:row>
      <xdr:rowOff>84670</xdr:rowOff>
    </xdr:from>
    <xdr:to>
      <xdr:col>7</xdr:col>
      <xdr:colOff>38239</xdr:colOff>
      <xdr:row>190</xdr:row>
      <xdr:rowOff>105835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D8839FF3-B705-4FAA-A27F-158427910CA6}"/>
            </a:ext>
          </a:extLst>
        </xdr:cNvPr>
        <xdr:cNvGrpSpPr>
          <a:grpSpLocks noChangeAspect="1"/>
        </xdr:cNvGrpSpPr>
      </xdr:nvGrpSpPr>
      <xdr:grpSpPr>
        <a:xfrm>
          <a:off x="390526" y="32193445"/>
          <a:ext cx="1047888" cy="535515"/>
          <a:chOff x="2791278" y="18514786"/>
          <a:chExt cx="773793" cy="417285"/>
        </a:xfrm>
      </xdr:grpSpPr>
      <xdr:sp macro="" textlink="">
        <xdr:nvSpPr>
          <xdr:cNvPr id="115" name="フローチャート: 書類 114">
            <a:extLst>
              <a:ext uri="{FF2B5EF4-FFF2-40B4-BE49-F238E27FC236}">
                <a16:creationId xmlns:a16="http://schemas.microsoft.com/office/drawing/2014/main" id="{D11A0D4E-6B49-492E-ADD8-AB8D0F38EBBA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6" name="正方形/長方形 115">
            <a:extLst>
              <a:ext uri="{FF2B5EF4-FFF2-40B4-BE49-F238E27FC236}">
                <a16:creationId xmlns:a16="http://schemas.microsoft.com/office/drawing/2014/main" id="{37AD17CB-E862-4D5C-9C8A-C94FB050C8D4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配当金計算書</a:t>
            </a:r>
          </a:p>
        </xdr:txBody>
      </xdr:sp>
    </xdr:grpSp>
    <xdr:clientData/>
  </xdr:twoCellAnchor>
  <xdr:twoCellAnchor>
    <xdr:from>
      <xdr:col>37</xdr:col>
      <xdr:colOff>31750</xdr:colOff>
      <xdr:row>178</xdr:row>
      <xdr:rowOff>116418</xdr:rowOff>
    </xdr:from>
    <xdr:to>
      <xdr:col>41</xdr:col>
      <xdr:colOff>123824</xdr:colOff>
      <xdr:row>182</xdr:row>
      <xdr:rowOff>13483</xdr:rowOff>
    </xdr:to>
    <xdr:grpSp>
      <xdr:nvGrpSpPr>
        <xdr:cNvPr id="118" name="グループ化 117">
          <a:extLst>
            <a:ext uri="{FF2B5EF4-FFF2-40B4-BE49-F238E27FC236}">
              <a16:creationId xmlns:a16="http://schemas.microsoft.com/office/drawing/2014/main" id="{3838B458-E3E7-4555-82D6-4A4CC3441EDE}"/>
            </a:ext>
          </a:extLst>
        </xdr:cNvPr>
        <xdr:cNvGrpSpPr/>
      </xdr:nvGrpSpPr>
      <xdr:grpSpPr>
        <a:xfrm>
          <a:off x="7432675" y="30682143"/>
          <a:ext cx="892174" cy="582865"/>
          <a:chOff x="7111999" y="2892425"/>
          <a:chExt cx="873125" cy="584982"/>
        </a:xfrm>
      </xdr:grpSpPr>
      <xdr:sp macro="" textlink="">
        <xdr:nvSpPr>
          <xdr:cNvPr id="119" name="フローチャート: 磁気ディスク 118">
            <a:extLst>
              <a:ext uri="{FF2B5EF4-FFF2-40B4-BE49-F238E27FC236}">
                <a16:creationId xmlns:a16="http://schemas.microsoft.com/office/drawing/2014/main" id="{9D48F90D-550C-489F-96DD-E371ED4684F6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0" name="正方形/長方形 119">
            <a:extLst>
              <a:ext uri="{FF2B5EF4-FFF2-40B4-BE49-F238E27FC236}">
                <a16:creationId xmlns:a16="http://schemas.microsoft.com/office/drawing/2014/main" id="{1A35559B-449A-46F5-BE7A-26CD5E1893CF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銀行</a:t>
            </a:r>
            <a:r>
              <a:rPr kumimoji="1" lang="en-US" altLang="ja-JP" sz="900"/>
              <a:t>WEB</a:t>
            </a:r>
          </a:p>
          <a:p>
            <a:pPr algn="ctr"/>
            <a:r>
              <a:rPr kumimoji="1" lang="ja-JP" altLang="en-US" sz="900"/>
              <a:t>口座残高</a:t>
            </a:r>
          </a:p>
        </xdr:txBody>
      </xdr:sp>
    </xdr:grpSp>
    <xdr:clientData/>
  </xdr:twoCellAnchor>
  <xdr:twoCellAnchor>
    <xdr:from>
      <xdr:col>15</xdr:col>
      <xdr:colOff>191720</xdr:colOff>
      <xdr:row>122</xdr:row>
      <xdr:rowOff>111131</xdr:rowOff>
    </xdr:from>
    <xdr:to>
      <xdr:col>21</xdr:col>
      <xdr:colOff>8037</xdr:colOff>
      <xdr:row>125</xdr:row>
      <xdr:rowOff>61386</xdr:rowOff>
    </xdr:to>
    <xdr:sp macro="" textlink="">
      <xdr:nvSpPr>
        <xdr:cNvPr id="121" name="フローチャート: 定義済み処理 120">
          <a:extLst>
            <a:ext uri="{FF2B5EF4-FFF2-40B4-BE49-F238E27FC236}">
              <a16:creationId xmlns:a16="http://schemas.microsoft.com/office/drawing/2014/main" id="{19A25C9D-7E70-4178-95AD-075ED0DCFA6D}"/>
            </a:ext>
          </a:extLst>
        </xdr:cNvPr>
        <xdr:cNvSpPr/>
      </xdr:nvSpPr>
      <xdr:spPr>
        <a:xfrm>
          <a:off x="3192095" y="19113506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133350</xdr:colOff>
      <xdr:row>122</xdr:row>
      <xdr:rowOff>103716</xdr:rowOff>
    </xdr:from>
    <xdr:to>
      <xdr:col>21</xdr:col>
      <xdr:colOff>44450</xdr:colOff>
      <xdr:row>125</xdr:row>
      <xdr:rowOff>101270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39C3DA08-1FCB-4743-9B39-AD2EE3A8A2D8}"/>
            </a:ext>
          </a:extLst>
        </xdr:cNvPr>
        <xdr:cNvSpPr/>
      </xdr:nvSpPr>
      <xdr:spPr>
        <a:xfrm>
          <a:off x="3086100" y="20226866"/>
          <a:ext cx="1092200" cy="511904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3</a:t>
          </a:r>
          <a:r>
            <a:rPr kumimoji="1" lang="ja-JP" altLang="en-US" sz="900"/>
            <a:t>．利息仕訳計上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8037</xdr:colOff>
      <xdr:row>123</xdr:row>
      <xdr:rowOff>168549</xdr:rowOff>
    </xdr:from>
    <xdr:to>
      <xdr:col>30</xdr:col>
      <xdr:colOff>181315</xdr:colOff>
      <xdr:row>123</xdr:row>
      <xdr:rowOff>170396</xdr:rowOff>
    </xdr:to>
    <xdr:cxnSp macro="">
      <xdr:nvCxnSpPr>
        <xdr:cNvPr id="123" name="直線矢印コネクタ 122">
          <a:extLst>
            <a:ext uri="{FF2B5EF4-FFF2-40B4-BE49-F238E27FC236}">
              <a16:creationId xmlns:a16="http://schemas.microsoft.com/office/drawing/2014/main" id="{2566E9ED-88A0-44D6-98A0-B46D6880F9C6}"/>
            </a:ext>
          </a:extLst>
        </xdr:cNvPr>
        <xdr:cNvCxnSpPr>
          <a:stCxn id="121" idx="3"/>
          <a:endCxn id="125" idx="2"/>
        </xdr:cNvCxnSpPr>
      </xdr:nvCxnSpPr>
      <xdr:spPr>
        <a:xfrm flipV="1">
          <a:off x="4141887" y="20463149"/>
          <a:ext cx="1944928" cy="184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86784</xdr:colOff>
      <xdr:row>122</xdr:row>
      <xdr:rowOff>66675</xdr:rowOff>
    </xdr:from>
    <xdr:to>
      <xdr:col>34</xdr:col>
      <xdr:colOff>183092</xdr:colOff>
      <xdr:row>125</xdr:row>
      <xdr:rowOff>140482</xdr:rowOff>
    </xdr:to>
    <xdr:grpSp>
      <xdr:nvGrpSpPr>
        <xdr:cNvPr id="124" name="グループ化 123">
          <a:extLst>
            <a:ext uri="{FF2B5EF4-FFF2-40B4-BE49-F238E27FC236}">
              <a16:creationId xmlns:a16="http://schemas.microsoft.com/office/drawing/2014/main" id="{06324BEE-D558-4755-BF12-C33FB5D6BB43}"/>
            </a:ext>
          </a:extLst>
        </xdr:cNvPr>
        <xdr:cNvGrpSpPr/>
      </xdr:nvGrpSpPr>
      <xdr:grpSpPr>
        <a:xfrm>
          <a:off x="6087534" y="21031200"/>
          <a:ext cx="896408" cy="588157"/>
          <a:chOff x="7111999" y="2892425"/>
          <a:chExt cx="873125" cy="584982"/>
        </a:xfrm>
      </xdr:grpSpPr>
      <xdr:sp macro="" textlink="">
        <xdr:nvSpPr>
          <xdr:cNvPr id="125" name="フローチャート: 磁気ディスク 124">
            <a:extLst>
              <a:ext uri="{FF2B5EF4-FFF2-40B4-BE49-F238E27FC236}">
                <a16:creationId xmlns:a16="http://schemas.microsoft.com/office/drawing/2014/main" id="{F8D5876C-3C66-476C-AE2B-ED6D766E91B6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26" name="正方形/長方形 125">
            <a:extLst>
              <a:ext uri="{FF2B5EF4-FFF2-40B4-BE49-F238E27FC236}">
                <a16:creationId xmlns:a16="http://schemas.microsoft.com/office/drawing/2014/main" id="{010323A6-F83C-411F-B203-08440A3B374F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80300</xdr:colOff>
      <xdr:row>116</xdr:row>
      <xdr:rowOff>140762</xdr:rowOff>
    </xdr:from>
    <xdr:to>
      <xdr:col>18</xdr:col>
      <xdr:colOff>88900</xdr:colOff>
      <xdr:row>122</xdr:row>
      <xdr:rowOff>103716</xdr:rowOff>
    </xdr:to>
    <xdr:cxnSp macro="">
      <xdr:nvCxnSpPr>
        <xdr:cNvPr id="127" name="直線矢印コネクタ 27">
          <a:extLst>
            <a:ext uri="{FF2B5EF4-FFF2-40B4-BE49-F238E27FC236}">
              <a16:creationId xmlns:a16="http://schemas.microsoft.com/office/drawing/2014/main" id="{3A4E44C7-B65B-4BB2-9FA8-7A9D309CDEBA}"/>
            </a:ext>
          </a:extLst>
        </xdr:cNvPr>
        <xdr:cNvCxnSpPr>
          <a:cxnSpLocks/>
          <a:endCxn id="122" idx="0"/>
        </xdr:cNvCxnSpPr>
      </xdr:nvCxnSpPr>
      <xdr:spPr>
        <a:xfrm>
          <a:off x="3623600" y="19235212"/>
          <a:ext cx="8600" cy="99165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172670</xdr:colOff>
      <xdr:row>114</xdr:row>
      <xdr:rowOff>9532</xdr:rowOff>
    </xdr:from>
    <xdr:to>
      <xdr:col>20</xdr:col>
      <xdr:colOff>189012</xdr:colOff>
      <xdr:row>116</xdr:row>
      <xdr:rowOff>140762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A0616E53-AF5B-47C9-A076-71789F2F5981}"/>
            </a:ext>
          </a:extLst>
        </xdr:cNvPr>
        <xdr:cNvSpPr/>
      </xdr:nvSpPr>
      <xdr:spPr>
        <a:xfrm>
          <a:off x="3173045" y="17564107"/>
          <a:ext cx="1016467" cy="4931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114300</xdr:colOff>
      <xdr:row>114</xdr:row>
      <xdr:rowOff>2117</xdr:rowOff>
    </xdr:from>
    <xdr:to>
      <xdr:col>21</xdr:col>
      <xdr:colOff>25400</xdr:colOff>
      <xdr:row>116</xdr:row>
      <xdr:rowOff>180646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E13C5A11-7775-44F1-B1DE-EDAA09307512}"/>
            </a:ext>
          </a:extLst>
        </xdr:cNvPr>
        <xdr:cNvSpPr/>
      </xdr:nvSpPr>
      <xdr:spPr>
        <a:xfrm>
          <a:off x="3114675" y="17556692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2</a:t>
          </a:r>
          <a:r>
            <a:rPr kumimoji="1" lang="ja-JP" altLang="en-US" sz="900"/>
            <a:t>．利息額の計算</a:t>
          </a:r>
          <a:endParaRPr kumimoji="1" lang="en-US" altLang="ja-JP" sz="900"/>
        </a:p>
      </xdr:txBody>
    </xdr:sp>
    <xdr:clientData/>
  </xdr:twoCellAnchor>
  <xdr:twoCellAnchor>
    <xdr:from>
      <xdr:col>18</xdr:col>
      <xdr:colOff>114300</xdr:colOff>
      <xdr:row>115</xdr:row>
      <xdr:rowOff>168274</xdr:rowOff>
    </xdr:from>
    <xdr:to>
      <xdr:col>23</xdr:col>
      <xdr:colOff>133350</xdr:colOff>
      <xdr:row>119</xdr:row>
      <xdr:rowOff>131232</xdr:rowOff>
    </xdr:to>
    <xdr:grpSp>
      <xdr:nvGrpSpPr>
        <xdr:cNvPr id="149" name="グループ化 130">
          <a:extLst>
            <a:ext uri="{FF2B5EF4-FFF2-40B4-BE49-F238E27FC236}">
              <a16:creationId xmlns:a16="http://schemas.microsoft.com/office/drawing/2014/main" id="{EB16BFCF-221B-4574-B91C-8955973739A8}"/>
            </a:ext>
          </a:extLst>
        </xdr:cNvPr>
        <xdr:cNvGrpSpPr/>
      </xdr:nvGrpSpPr>
      <xdr:grpSpPr>
        <a:xfrm>
          <a:off x="3714750" y="19932649"/>
          <a:ext cx="1019175" cy="648758"/>
          <a:chOff x="4305300" y="5682252"/>
          <a:chExt cx="1003300" cy="510539"/>
        </a:xfrm>
      </xdr:grpSpPr>
      <xdr:sp macro="" textlink="">
        <xdr:nvSpPr>
          <xdr:cNvPr id="150" name="AutoShape 49">
            <a:extLst>
              <a:ext uri="{FF2B5EF4-FFF2-40B4-BE49-F238E27FC236}">
                <a16:creationId xmlns:a16="http://schemas.microsoft.com/office/drawing/2014/main" id="{E9F5B91C-3583-4450-B640-0089DEE73D18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151" name="正方形/長方形 48">
            <a:extLst>
              <a:ext uri="{FF2B5EF4-FFF2-40B4-BE49-F238E27FC236}">
                <a16:creationId xmlns:a16="http://schemas.microsoft.com/office/drawing/2014/main" id="{7F65EB9D-FE9E-411C-A9B8-1A63331249A0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利息額計算</a:t>
            </a:r>
          </a:p>
        </xdr:txBody>
      </xdr:sp>
    </xdr:grpSp>
    <xdr:clientData/>
  </xdr:twoCellAnchor>
  <xdr:twoCellAnchor>
    <xdr:from>
      <xdr:col>16</xdr:col>
      <xdr:colOff>10745</xdr:colOff>
      <xdr:row>54</xdr:row>
      <xdr:rowOff>13758</xdr:rowOff>
    </xdr:from>
    <xdr:to>
      <xdr:col>21</xdr:col>
      <xdr:colOff>27087</xdr:colOff>
      <xdr:row>56</xdr:row>
      <xdr:rowOff>144988</xdr:rowOff>
    </xdr:to>
    <xdr:sp macro="" textlink="">
      <xdr:nvSpPr>
        <xdr:cNvPr id="142" name="フローチャート: 定義済み処理 141">
          <a:extLst>
            <a:ext uri="{FF2B5EF4-FFF2-40B4-BE49-F238E27FC236}">
              <a16:creationId xmlns:a16="http://schemas.microsoft.com/office/drawing/2014/main" id="{03561DC2-EDFE-4C67-98AC-32CDE6B449BA}"/>
            </a:ext>
          </a:extLst>
        </xdr:cNvPr>
        <xdr:cNvSpPr/>
      </xdr:nvSpPr>
      <xdr:spPr>
        <a:xfrm>
          <a:off x="3228078" y="10089091"/>
          <a:ext cx="1021759" cy="491064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54</xdr:row>
      <xdr:rowOff>6343</xdr:rowOff>
    </xdr:from>
    <xdr:to>
      <xdr:col>21</xdr:col>
      <xdr:colOff>63500</xdr:colOff>
      <xdr:row>57</xdr:row>
      <xdr:rowOff>3897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F4F34FBB-16CC-409E-8CD0-B3FAD28C0A25}"/>
            </a:ext>
          </a:extLst>
        </xdr:cNvPr>
        <xdr:cNvSpPr/>
      </xdr:nvSpPr>
      <xdr:spPr>
        <a:xfrm>
          <a:off x="3168650" y="10081676"/>
          <a:ext cx="1117600" cy="537304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5</a:t>
          </a:r>
          <a:r>
            <a:rPr kumimoji="1" lang="ja-JP" altLang="en-US" sz="900"/>
            <a:t>．返済処理</a:t>
          </a:r>
          <a:endParaRPr kumimoji="1" lang="en-US" altLang="ja-JP" sz="900"/>
        </a:p>
      </xdr:txBody>
    </xdr:sp>
    <xdr:clientData/>
  </xdr:twoCellAnchor>
  <xdr:twoCellAnchor>
    <xdr:from>
      <xdr:col>21</xdr:col>
      <xdr:colOff>27087</xdr:colOff>
      <xdr:row>55</xdr:row>
      <xdr:rowOff>50184</xdr:rowOff>
    </xdr:from>
    <xdr:to>
      <xdr:col>37</xdr:col>
      <xdr:colOff>126840</xdr:colOff>
      <xdr:row>55</xdr:row>
      <xdr:rowOff>79374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7DF8AC0C-4F75-4F24-A26A-8FB704393999}"/>
            </a:ext>
          </a:extLst>
        </xdr:cNvPr>
        <xdr:cNvCxnSpPr>
          <a:stCxn id="142" idx="3"/>
          <a:endCxn id="146" idx="2"/>
        </xdr:cNvCxnSpPr>
      </xdr:nvCxnSpPr>
      <xdr:spPr>
        <a:xfrm flipV="1">
          <a:off x="4249837" y="9046017"/>
          <a:ext cx="3317086" cy="2919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63501</xdr:colOff>
      <xdr:row>53</xdr:row>
      <xdr:rowOff>129109</xdr:rowOff>
    </xdr:from>
    <xdr:to>
      <xdr:col>41</xdr:col>
      <xdr:colOff>160867</xdr:colOff>
      <xdr:row>56</xdr:row>
      <xdr:rowOff>159525</xdr:rowOff>
    </xdr:to>
    <xdr:grpSp>
      <xdr:nvGrpSpPr>
        <xdr:cNvPr id="145" name="グループ化 144">
          <a:extLst>
            <a:ext uri="{FF2B5EF4-FFF2-40B4-BE49-F238E27FC236}">
              <a16:creationId xmlns:a16="http://schemas.microsoft.com/office/drawing/2014/main" id="{F68D05C1-CC6D-4970-8064-736BA806F9E9}"/>
            </a:ext>
          </a:extLst>
        </xdr:cNvPr>
        <xdr:cNvGrpSpPr/>
      </xdr:nvGrpSpPr>
      <xdr:grpSpPr>
        <a:xfrm>
          <a:off x="7464426" y="9263584"/>
          <a:ext cx="897466" cy="544766"/>
          <a:chOff x="7111999" y="2932856"/>
          <a:chExt cx="873125" cy="544551"/>
        </a:xfrm>
      </xdr:grpSpPr>
      <xdr:sp macro="" textlink="">
        <xdr:nvSpPr>
          <xdr:cNvPr id="146" name="フローチャート: 磁気ディスク 145">
            <a:extLst>
              <a:ext uri="{FF2B5EF4-FFF2-40B4-BE49-F238E27FC236}">
                <a16:creationId xmlns:a16="http://schemas.microsoft.com/office/drawing/2014/main" id="{5C5FBF60-1E6A-4041-8F57-3A6A6785C3A4}"/>
              </a:ext>
            </a:extLst>
          </xdr:cNvPr>
          <xdr:cNvSpPr/>
        </xdr:nvSpPr>
        <xdr:spPr>
          <a:xfrm>
            <a:off x="7173331" y="2932856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47" name="正方形/長方形 146">
            <a:extLst>
              <a:ext uri="{FF2B5EF4-FFF2-40B4-BE49-F238E27FC236}">
                <a16:creationId xmlns:a16="http://schemas.microsoft.com/office/drawing/2014/main" id="{7746DE70-066C-4F4E-937A-45D372CC703A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銀行</a:t>
            </a:r>
            <a:r>
              <a:rPr kumimoji="1" lang="en-US" altLang="ja-JP" sz="900"/>
              <a:t>WEB</a:t>
            </a:r>
            <a:endParaRPr kumimoji="1" lang="ja-JP" altLang="en-US" sz="900"/>
          </a:p>
        </xdr:txBody>
      </xdr:sp>
    </xdr:grpSp>
    <xdr:clientData/>
  </xdr:twoCellAnchor>
  <xdr:twoCellAnchor>
    <xdr:from>
      <xdr:col>6</xdr:col>
      <xdr:colOff>120056</xdr:colOff>
      <xdr:row>188</xdr:row>
      <xdr:rowOff>176217</xdr:rowOff>
    </xdr:from>
    <xdr:to>
      <xdr:col>15</xdr:col>
      <xdr:colOff>191720</xdr:colOff>
      <xdr:row>189</xdr:row>
      <xdr:rowOff>25718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48B4F1B8-7455-4DDF-82A2-CEEAFB7C9934}"/>
            </a:ext>
          </a:extLst>
        </xdr:cNvPr>
        <xdr:cNvCxnSpPr>
          <a:stCxn id="115" idx="3"/>
          <a:endCxn id="107" idx="1"/>
        </xdr:cNvCxnSpPr>
      </xdr:nvCxnSpPr>
      <xdr:spPr>
        <a:xfrm flipV="1">
          <a:off x="1326556" y="33100967"/>
          <a:ext cx="1881414" cy="29418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35</xdr:row>
      <xdr:rowOff>133350</xdr:rowOff>
    </xdr:from>
    <xdr:to>
      <xdr:col>24</xdr:col>
      <xdr:colOff>28575</xdr:colOff>
      <xdr:row>39</xdr:row>
      <xdr:rowOff>104775</xdr:rowOff>
    </xdr:to>
    <xdr:grpSp>
      <xdr:nvGrpSpPr>
        <xdr:cNvPr id="158" name="グループ化 116">
          <a:extLst>
            <a:ext uri="{FF2B5EF4-FFF2-40B4-BE49-F238E27FC236}">
              <a16:creationId xmlns:a16="http://schemas.microsoft.com/office/drawing/2014/main" id="{030E10DF-0C44-4E87-80F8-0665D92AEAB5}"/>
            </a:ext>
          </a:extLst>
        </xdr:cNvPr>
        <xdr:cNvGrpSpPr/>
      </xdr:nvGrpSpPr>
      <xdr:grpSpPr>
        <a:xfrm>
          <a:off x="3810000" y="6181725"/>
          <a:ext cx="1019175" cy="657225"/>
          <a:chOff x="4305300" y="5682252"/>
          <a:chExt cx="1003300" cy="510539"/>
        </a:xfrm>
      </xdr:grpSpPr>
      <xdr:sp macro="" textlink="">
        <xdr:nvSpPr>
          <xdr:cNvPr id="160" name="AutoShape 49">
            <a:extLst>
              <a:ext uri="{FF2B5EF4-FFF2-40B4-BE49-F238E27FC236}">
                <a16:creationId xmlns:a16="http://schemas.microsoft.com/office/drawing/2014/main" id="{DAA2DE92-DFB8-5756-0C82-91920A1AD6F0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161" name="正方形/長方形 48">
            <a:extLst>
              <a:ext uri="{FF2B5EF4-FFF2-40B4-BE49-F238E27FC236}">
                <a16:creationId xmlns:a16="http://schemas.microsoft.com/office/drawing/2014/main" id="{5CD54BC1-3113-5F9E-6668-0B0E59727180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利息額計算</a:t>
            </a:r>
          </a:p>
        </xdr:txBody>
      </xdr:sp>
    </xdr:grpSp>
    <xdr:clientData/>
  </xdr:twoCellAnchor>
  <xdr:twoCellAnchor>
    <xdr:from>
      <xdr:col>15</xdr:col>
      <xdr:colOff>146050</xdr:colOff>
      <xdr:row>129</xdr:row>
      <xdr:rowOff>154517</xdr:rowOff>
    </xdr:from>
    <xdr:to>
      <xdr:col>21</xdr:col>
      <xdr:colOff>57150</xdr:colOff>
      <xdr:row>132</xdr:row>
      <xdr:rowOff>155246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A480CDC7-36A0-C942-9FF9-F9C81CAF49FA}"/>
            </a:ext>
          </a:extLst>
        </xdr:cNvPr>
        <xdr:cNvGrpSpPr/>
      </xdr:nvGrpSpPr>
      <xdr:grpSpPr>
        <a:xfrm>
          <a:off x="3146425" y="22319192"/>
          <a:ext cx="1111250" cy="515079"/>
          <a:chOff x="4425950" y="21503217"/>
          <a:chExt cx="1092200" cy="515079"/>
        </a:xfrm>
      </xdr:grpSpPr>
      <xdr:sp macro="" textlink="">
        <xdr:nvSpPr>
          <xdr:cNvPr id="135" name="フローチャート: 定義済み処理 134">
            <a:extLst>
              <a:ext uri="{FF2B5EF4-FFF2-40B4-BE49-F238E27FC236}">
                <a16:creationId xmlns:a16="http://schemas.microsoft.com/office/drawing/2014/main" id="{47FA7998-75A2-4F60-B830-9454B19B2D39}"/>
              </a:ext>
            </a:extLst>
          </xdr:cNvPr>
          <xdr:cNvSpPr/>
        </xdr:nvSpPr>
        <xdr:spPr>
          <a:xfrm>
            <a:off x="4470400" y="21513800"/>
            <a:ext cx="997417" cy="464605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FB2CD607-CD51-480A-AA07-D8EDFD8C87BB}"/>
              </a:ext>
            </a:extLst>
          </xdr:cNvPr>
          <xdr:cNvSpPr/>
        </xdr:nvSpPr>
        <xdr:spPr>
          <a:xfrm>
            <a:off x="4425950" y="21503217"/>
            <a:ext cx="1092200" cy="5150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</a:t>
            </a:r>
            <a:r>
              <a:rPr kumimoji="1" lang="ja-JP" altLang="en-US" sz="900"/>
              <a:t>．利息の請求書発行</a:t>
            </a:r>
            <a:endParaRPr kumimoji="1" lang="en-US" altLang="ja-JP" sz="900"/>
          </a:p>
        </xdr:txBody>
      </xdr:sp>
    </xdr:grpSp>
    <xdr:clientData/>
  </xdr:twoCellAnchor>
  <xdr:twoCellAnchor>
    <xdr:from>
      <xdr:col>18</xdr:col>
      <xdr:colOff>98659</xdr:colOff>
      <xdr:row>125</xdr:row>
      <xdr:rowOff>61386</xdr:rowOff>
    </xdr:from>
    <xdr:to>
      <xdr:col>18</xdr:col>
      <xdr:colOff>99879</xdr:colOff>
      <xdr:row>129</xdr:row>
      <xdr:rowOff>165100</xdr:rowOff>
    </xdr:to>
    <xdr:cxnSp macro="">
      <xdr:nvCxnSpPr>
        <xdr:cNvPr id="148" name="直線矢印コネクタ 27">
          <a:extLst>
            <a:ext uri="{FF2B5EF4-FFF2-40B4-BE49-F238E27FC236}">
              <a16:creationId xmlns:a16="http://schemas.microsoft.com/office/drawing/2014/main" id="{943C9140-2D84-4035-BE26-A09E88350223}"/>
            </a:ext>
          </a:extLst>
        </xdr:cNvPr>
        <xdr:cNvCxnSpPr>
          <a:cxnSpLocks/>
          <a:stCxn id="121" idx="2"/>
          <a:endCxn id="135" idx="0"/>
        </xdr:cNvCxnSpPr>
      </xdr:nvCxnSpPr>
      <xdr:spPr>
        <a:xfrm flipH="1">
          <a:off x="3641959" y="20698886"/>
          <a:ext cx="1220" cy="78951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76201</xdr:colOff>
      <xdr:row>131</xdr:row>
      <xdr:rowOff>135466</xdr:rowOff>
    </xdr:from>
    <xdr:to>
      <xdr:col>24</xdr:col>
      <xdr:colOff>125023</xdr:colOff>
      <xdr:row>135</xdr:row>
      <xdr:rowOff>6349</xdr:rowOff>
    </xdr:to>
    <xdr:grpSp>
      <xdr:nvGrpSpPr>
        <xdr:cNvPr id="163" name="グループ化 162">
          <a:extLst>
            <a:ext uri="{FF2B5EF4-FFF2-40B4-BE49-F238E27FC236}">
              <a16:creationId xmlns:a16="http://schemas.microsoft.com/office/drawing/2014/main" id="{691D295D-3BEA-73CC-2D6C-D00DD9349319}"/>
            </a:ext>
          </a:extLst>
        </xdr:cNvPr>
        <xdr:cNvGrpSpPr>
          <a:grpSpLocks noChangeAspect="1"/>
        </xdr:cNvGrpSpPr>
      </xdr:nvGrpSpPr>
      <xdr:grpSpPr>
        <a:xfrm>
          <a:off x="3876676" y="22643041"/>
          <a:ext cx="1048947" cy="556683"/>
          <a:chOff x="2791278" y="18514786"/>
          <a:chExt cx="773793" cy="417285"/>
        </a:xfrm>
      </xdr:grpSpPr>
      <xdr:sp macro="" textlink="">
        <xdr:nvSpPr>
          <xdr:cNvPr id="164" name="フローチャート: 書類 163">
            <a:extLst>
              <a:ext uri="{FF2B5EF4-FFF2-40B4-BE49-F238E27FC236}">
                <a16:creationId xmlns:a16="http://schemas.microsoft.com/office/drawing/2014/main" id="{0E8C0556-D6BC-0A7C-C6D7-E1D39917B7E6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5" name="正方形/長方形 164">
            <a:extLst>
              <a:ext uri="{FF2B5EF4-FFF2-40B4-BE49-F238E27FC236}">
                <a16:creationId xmlns:a16="http://schemas.microsoft.com/office/drawing/2014/main" id="{C69E661F-E29D-BBAB-36A9-EEF7CEA156A1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利息分請求書</a:t>
            </a:r>
          </a:p>
        </xdr:txBody>
      </xdr:sp>
    </xdr:grpSp>
    <xdr:clientData/>
  </xdr:twoCellAnchor>
  <xdr:twoCellAnchor>
    <xdr:from>
      <xdr:col>37</xdr:col>
      <xdr:colOff>133350</xdr:colOff>
      <xdr:row>13</xdr:row>
      <xdr:rowOff>28575</xdr:rowOff>
    </xdr:from>
    <xdr:to>
      <xdr:col>59</xdr:col>
      <xdr:colOff>537633</xdr:colOff>
      <xdr:row>23</xdr:row>
      <xdr:rowOff>38100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AC30AD4-B30D-4D90-8645-4B0FAB4F5EFB}"/>
            </a:ext>
          </a:extLst>
        </xdr:cNvPr>
        <xdr:cNvSpPr txBox="1"/>
      </xdr:nvSpPr>
      <xdr:spPr>
        <a:xfrm>
          <a:off x="7534275" y="2381250"/>
          <a:ext cx="4804833" cy="18192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＜注記＞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グループファイナンス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内部借入・貸付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</a:rPr>
            <a:t>のプロセスにおいては、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一般仕訳帳入力のプロセスが頻出いたします。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一般仕訳帳入力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後の、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WF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送信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承認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自動転記バッチのプロセスを記載すると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同じプロセスが頻繁に記載されて見づらいため、</a:t>
          </a:r>
          <a:r>
            <a:rPr kumimoji="1" lang="ja-JP" altLang="en-US" sz="1100">
              <a:solidFill>
                <a:sysClr val="windowText" lastClr="000000"/>
              </a:solidFill>
            </a:rPr>
            <a:t>表記を省略しております。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一般仕訳帳の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WF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送信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承認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自動転記バッチのプロセス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については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endParaRPr lang="ja-JP" altLang="ja-JP">
            <a:effectLst/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「日次振伝処理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資金</a:t>
          </a:r>
          <a:r>
            <a:rPr kumimoji="1" lang="en-US" altLang="ja-JP" sz="1100">
              <a:solidFill>
                <a:sysClr val="windowText" lastClr="000000"/>
              </a:solidFill>
            </a:rPr>
            <a:t>G)</a:t>
          </a:r>
          <a:r>
            <a:rPr kumimoji="1" lang="ja-JP" altLang="en-US" sz="1100">
              <a:solidFill>
                <a:sysClr val="windowText" lastClr="000000"/>
              </a:solidFill>
            </a:rPr>
            <a:t>」に記載しておりますのでそちらをご参照ください。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169962</xdr:colOff>
      <xdr:row>90</xdr:row>
      <xdr:rowOff>157697</xdr:rowOff>
    </xdr:from>
    <xdr:to>
      <xdr:col>37</xdr:col>
      <xdr:colOff>184350</xdr:colOff>
      <xdr:row>94</xdr:row>
      <xdr:rowOff>50275</xdr:rowOff>
    </xdr:to>
    <xdr:cxnSp macro="">
      <xdr:nvCxnSpPr>
        <xdr:cNvPr id="11" name="直線矢印コネクタ 237">
          <a:extLst>
            <a:ext uri="{FF2B5EF4-FFF2-40B4-BE49-F238E27FC236}">
              <a16:creationId xmlns:a16="http://schemas.microsoft.com/office/drawing/2014/main" id="{F611AE8D-C088-7023-CEC7-32544459C8E1}"/>
            </a:ext>
          </a:extLst>
        </xdr:cNvPr>
        <xdr:cNvCxnSpPr>
          <a:stCxn id="9" idx="2"/>
          <a:endCxn id="159" idx="3"/>
        </xdr:cNvCxnSpPr>
      </xdr:nvCxnSpPr>
      <xdr:spPr>
        <a:xfrm rot="10800000">
          <a:off x="4138712" y="15913635"/>
          <a:ext cx="3387826" cy="591078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6350</xdr:colOff>
      <xdr:row>47</xdr:row>
      <xdr:rowOff>177107</xdr:rowOff>
    </xdr:from>
    <xdr:to>
      <xdr:col>38</xdr:col>
      <xdr:colOff>37381</xdr:colOff>
      <xdr:row>48</xdr:row>
      <xdr:rowOff>16149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52C5310-ABFF-30BB-67F9-53979BCF1691}"/>
            </a:ext>
          </a:extLst>
        </xdr:cNvPr>
        <xdr:cNvCxnSpPr>
          <a:stCxn id="3" idx="2"/>
          <a:endCxn id="105" idx="3"/>
        </xdr:cNvCxnSpPr>
      </xdr:nvCxnSpPr>
      <xdr:spPr>
        <a:xfrm flipH="1" flipV="1">
          <a:off x="4206875" y="8682932"/>
          <a:ext cx="3431456" cy="2001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125943</xdr:colOff>
      <xdr:row>12</xdr:row>
      <xdr:rowOff>142875</xdr:rowOff>
    </xdr:from>
    <xdr:to>
      <xdr:col>20</xdr:col>
      <xdr:colOff>33976</xdr:colOff>
      <xdr:row>14</xdr:row>
      <xdr:rowOff>59267</xdr:rowOff>
    </xdr:to>
    <xdr:sp macro="" textlink="">
      <xdr:nvSpPr>
        <xdr:cNvPr id="43" name="フローチャート: 端子 26">
          <a:extLst>
            <a:ext uri="{FF2B5EF4-FFF2-40B4-BE49-F238E27FC236}">
              <a16:creationId xmlns:a16="http://schemas.microsoft.com/office/drawing/2014/main" id="{EB2F11F9-6F79-4FA3-8350-766B2F1C8771}"/>
            </a:ext>
          </a:extLst>
        </xdr:cNvPr>
        <xdr:cNvSpPr/>
      </xdr:nvSpPr>
      <xdr:spPr>
        <a:xfrm>
          <a:off x="3326343" y="2314575"/>
          <a:ext cx="708133" cy="27834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15</xdr:col>
      <xdr:colOff>182195</xdr:colOff>
      <xdr:row>20</xdr:row>
      <xdr:rowOff>9532</xdr:rowOff>
    </xdr:from>
    <xdr:to>
      <xdr:col>20</xdr:col>
      <xdr:colOff>198537</xdr:colOff>
      <xdr:row>22</xdr:row>
      <xdr:rowOff>140762</xdr:rowOff>
    </xdr:to>
    <xdr:sp macro="" textlink="">
      <xdr:nvSpPr>
        <xdr:cNvPr id="44" name="フローチャート: 定義済み処理 43">
          <a:extLst>
            <a:ext uri="{FF2B5EF4-FFF2-40B4-BE49-F238E27FC236}">
              <a16:creationId xmlns:a16="http://schemas.microsoft.com/office/drawing/2014/main" id="{609B0A76-BFF6-4995-B3A1-0886CF951FF4}"/>
            </a:ext>
          </a:extLst>
        </xdr:cNvPr>
        <xdr:cNvSpPr/>
      </xdr:nvSpPr>
      <xdr:spPr>
        <a:xfrm>
          <a:off x="3182570" y="3629032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123825</xdr:colOff>
      <xdr:row>20</xdr:row>
      <xdr:rowOff>2117</xdr:rowOff>
    </xdr:from>
    <xdr:to>
      <xdr:col>21</xdr:col>
      <xdr:colOff>34925</xdr:colOff>
      <xdr:row>22</xdr:row>
      <xdr:rowOff>180646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03E74947-F796-4277-9606-53F69132399D}"/>
            </a:ext>
          </a:extLst>
        </xdr:cNvPr>
        <xdr:cNvSpPr/>
      </xdr:nvSpPr>
      <xdr:spPr>
        <a:xfrm>
          <a:off x="3124200" y="3621617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1</a:t>
          </a:r>
          <a:r>
            <a:rPr kumimoji="1" lang="ja-JP" altLang="en-US" sz="900"/>
            <a:t>．ベース損益用データ出力</a:t>
          </a:r>
          <a:endParaRPr kumimoji="1" lang="en-US" altLang="ja-JP" sz="900"/>
        </a:p>
      </xdr:txBody>
    </xdr:sp>
    <xdr:clientData/>
  </xdr:twoCellAnchor>
  <xdr:twoCellAnchor>
    <xdr:from>
      <xdr:col>20</xdr:col>
      <xdr:colOff>198537</xdr:colOff>
      <xdr:row>21</xdr:row>
      <xdr:rowOff>66950</xdr:rowOff>
    </xdr:from>
    <xdr:to>
      <xdr:col>30</xdr:col>
      <xdr:colOff>171790</xdr:colOff>
      <xdr:row>21</xdr:row>
      <xdr:rowOff>75147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D6CD73E7-B4FC-4B29-AA85-04B30659D07E}"/>
            </a:ext>
          </a:extLst>
        </xdr:cNvPr>
        <xdr:cNvCxnSpPr>
          <a:stCxn id="48" idx="2"/>
          <a:endCxn id="44" idx="3"/>
        </xdr:cNvCxnSpPr>
      </xdr:nvCxnSpPr>
      <xdr:spPr>
        <a:xfrm flipH="1">
          <a:off x="4199037" y="3867425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77259</xdr:colOff>
      <xdr:row>19</xdr:row>
      <xdr:rowOff>146051</xdr:rowOff>
    </xdr:from>
    <xdr:to>
      <xdr:col>34</xdr:col>
      <xdr:colOff>173567</xdr:colOff>
      <xdr:row>23</xdr:row>
      <xdr:rowOff>38883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B9AA7929-D772-492E-A108-D062D8269F68}"/>
            </a:ext>
          </a:extLst>
        </xdr:cNvPr>
        <xdr:cNvGrpSpPr/>
      </xdr:nvGrpSpPr>
      <xdr:grpSpPr>
        <a:xfrm>
          <a:off x="6078009" y="3451226"/>
          <a:ext cx="896408" cy="578632"/>
          <a:chOff x="7111999" y="2892425"/>
          <a:chExt cx="873125" cy="584982"/>
        </a:xfrm>
      </xdr:grpSpPr>
      <xdr:sp macro="" textlink="">
        <xdr:nvSpPr>
          <xdr:cNvPr id="48" name="フローチャート: 磁気ディスク 47">
            <a:extLst>
              <a:ext uri="{FF2B5EF4-FFF2-40B4-BE49-F238E27FC236}">
                <a16:creationId xmlns:a16="http://schemas.microsoft.com/office/drawing/2014/main" id="{B91DC772-6E85-4002-8803-69DCF2C7907D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65D9C7A7-C46B-4EDE-AC1E-10D128F3AFE2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財務諸表</a:t>
            </a:r>
          </a:p>
        </xdr:txBody>
      </xdr:sp>
    </xdr:grpSp>
    <xdr:clientData/>
  </xdr:twoCellAnchor>
  <xdr:twoCellAnchor>
    <xdr:from>
      <xdr:col>18</xdr:col>
      <xdr:colOff>79375</xdr:colOff>
      <xdr:row>22</xdr:row>
      <xdr:rowOff>180646</xdr:rowOff>
    </xdr:from>
    <xdr:to>
      <xdr:col>18</xdr:col>
      <xdr:colOff>80829</xdr:colOff>
      <xdr:row>27</xdr:row>
      <xdr:rowOff>7</xdr:rowOff>
    </xdr:to>
    <xdr:cxnSp macro="">
      <xdr:nvCxnSpPr>
        <xdr:cNvPr id="50" name="直線矢印コネクタ 27">
          <a:extLst>
            <a:ext uri="{FF2B5EF4-FFF2-40B4-BE49-F238E27FC236}">
              <a16:creationId xmlns:a16="http://schemas.microsoft.com/office/drawing/2014/main" id="{F1630DB0-2D35-4415-9EFE-BD2F9502E6B8}"/>
            </a:ext>
          </a:extLst>
        </xdr:cNvPr>
        <xdr:cNvCxnSpPr>
          <a:cxnSpLocks/>
          <a:stCxn id="45" idx="2"/>
        </xdr:cNvCxnSpPr>
      </xdr:nvCxnSpPr>
      <xdr:spPr>
        <a:xfrm>
          <a:off x="3679825" y="4162096"/>
          <a:ext cx="1454" cy="72423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79375</xdr:colOff>
      <xdr:row>14</xdr:row>
      <xdr:rowOff>59267</xdr:rowOff>
    </xdr:from>
    <xdr:to>
      <xdr:col>18</xdr:col>
      <xdr:colOff>79960</xdr:colOff>
      <xdr:row>20</xdr:row>
      <xdr:rowOff>2117</xdr:rowOff>
    </xdr:to>
    <xdr:cxnSp macro="">
      <xdr:nvCxnSpPr>
        <xdr:cNvPr id="52" name="直線矢印コネクタ 27">
          <a:extLst>
            <a:ext uri="{FF2B5EF4-FFF2-40B4-BE49-F238E27FC236}">
              <a16:creationId xmlns:a16="http://schemas.microsoft.com/office/drawing/2014/main" id="{11FA1594-0325-44F3-A9F7-C5DFDA8B763E}"/>
            </a:ext>
          </a:extLst>
        </xdr:cNvPr>
        <xdr:cNvCxnSpPr>
          <a:cxnSpLocks/>
          <a:stCxn id="43" idx="2"/>
          <a:endCxn id="45" idx="0"/>
        </xdr:cNvCxnSpPr>
      </xdr:nvCxnSpPr>
      <xdr:spPr>
        <a:xfrm flipH="1">
          <a:off x="3679825" y="2592917"/>
          <a:ext cx="585" cy="10287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172670</xdr:colOff>
      <xdr:row>27</xdr:row>
      <xdr:rowOff>7</xdr:rowOff>
    </xdr:from>
    <xdr:to>
      <xdr:col>20</xdr:col>
      <xdr:colOff>189012</xdr:colOff>
      <xdr:row>29</xdr:row>
      <xdr:rowOff>131237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6F5024E4-9E0A-4300-8F78-527214AA51D6}"/>
            </a:ext>
          </a:extLst>
        </xdr:cNvPr>
        <xdr:cNvSpPr/>
      </xdr:nvSpPr>
      <xdr:spPr>
        <a:xfrm>
          <a:off x="3173045" y="4886332"/>
          <a:ext cx="1016467" cy="49318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114300</xdr:colOff>
      <xdr:row>26</xdr:row>
      <xdr:rowOff>173567</xdr:rowOff>
    </xdr:from>
    <xdr:to>
      <xdr:col>21</xdr:col>
      <xdr:colOff>25400</xdr:colOff>
      <xdr:row>29</xdr:row>
      <xdr:rowOff>171121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343D62A7-E0DE-4051-AA41-392A68573CC5}"/>
            </a:ext>
          </a:extLst>
        </xdr:cNvPr>
        <xdr:cNvSpPr/>
      </xdr:nvSpPr>
      <xdr:spPr>
        <a:xfrm>
          <a:off x="3114675" y="4878917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2</a:t>
          </a:r>
          <a:r>
            <a:rPr kumimoji="1" lang="ja-JP" altLang="en-US" sz="900"/>
            <a:t>．ベース損益作成</a:t>
          </a:r>
          <a:endParaRPr kumimoji="1" lang="en-US" altLang="ja-JP" sz="900"/>
        </a:p>
      </xdr:txBody>
    </xdr:sp>
    <xdr:clientData/>
  </xdr:twoCellAnchor>
  <xdr:twoCellAnchor>
    <xdr:from>
      <xdr:col>19</xdr:col>
      <xdr:colOff>101071</xdr:colOff>
      <xdr:row>28</xdr:row>
      <xdr:rowOff>160338</xdr:rowOff>
    </xdr:from>
    <xdr:to>
      <xdr:col>24</xdr:col>
      <xdr:colOff>120122</xdr:colOff>
      <xdr:row>32</xdr:row>
      <xdr:rowOff>122238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EF25B3FD-52F6-46C1-A6B9-620F74684C17}"/>
            </a:ext>
          </a:extLst>
        </xdr:cNvPr>
        <xdr:cNvGrpSpPr/>
      </xdr:nvGrpSpPr>
      <xdr:grpSpPr>
        <a:xfrm>
          <a:off x="3901546" y="5008563"/>
          <a:ext cx="1019176" cy="647700"/>
          <a:chOff x="4305300" y="5682252"/>
          <a:chExt cx="1003300" cy="510539"/>
        </a:xfrm>
      </xdr:grpSpPr>
      <xdr:sp macro="" textlink="">
        <xdr:nvSpPr>
          <xdr:cNvPr id="60" name="AutoShape 49">
            <a:extLst>
              <a:ext uri="{FF2B5EF4-FFF2-40B4-BE49-F238E27FC236}">
                <a16:creationId xmlns:a16="http://schemas.microsoft.com/office/drawing/2014/main" id="{5A063897-DC7D-4B53-9469-708BE4CB7E1E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61" name="正方形/長方形 48">
            <a:extLst>
              <a:ext uri="{FF2B5EF4-FFF2-40B4-BE49-F238E27FC236}">
                <a16:creationId xmlns:a16="http://schemas.microsoft.com/office/drawing/2014/main" id="{13940D6D-627D-42B0-A0BB-BBA5BDFA7C82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年度資金繰計画</a:t>
            </a:r>
          </a:p>
        </xdr:txBody>
      </xdr:sp>
    </xdr:grpSp>
    <xdr:clientData/>
  </xdr:twoCellAnchor>
  <xdr:twoCellAnchor>
    <xdr:from>
      <xdr:col>15</xdr:col>
      <xdr:colOff>171083</xdr:colOff>
      <xdr:row>33</xdr:row>
      <xdr:rowOff>47632</xdr:rowOff>
    </xdr:from>
    <xdr:to>
      <xdr:col>20</xdr:col>
      <xdr:colOff>187425</xdr:colOff>
      <xdr:row>35</xdr:row>
      <xdr:rowOff>172512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45859567-8367-416B-907D-E79BFEE97C7F}"/>
            </a:ext>
          </a:extLst>
        </xdr:cNvPr>
        <xdr:cNvSpPr/>
      </xdr:nvSpPr>
      <xdr:spPr>
        <a:xfrm>
          <a:off x="3147646" y="5849945"/>
          <a:ext cx="1008529" cy="47413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104775</xdr:colOff>
      <xdr:row>33</xdr:row>
      <xdr:rowOff>40217</xdr:rowOff>
    </xdr:from>
    <xdr:to>
      <xdr:col>21</xdr:col>
      <xdr:colOff>15875</xdr:colOff>
      <xdr:row>36</xdr:row>
      <xdr:rowOff>37771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87D33B8B-3BCA-446D-B888-9BF6003A0D81}"/>
            </a:ext>
          </a:extLst>
        </xdr:cNvPr>
        <xdr:cNvSpPr/>
      </xdr:nvSpPr>
      <xdr:spPr>
        <a:xfrm>
          <a:off x="3105150" y="6012392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3</a:t>
          </a:r>
          <a:r>
            <a:rPr kumimoji="1" lang="ja-JP" altLang="en-US" sz="900"/>
            <a:t>．前提条件設定</a:t>
          </a:r>
          <a:endParaRPr kumimoji="1" lang="en-US" altLang="ja-JP" sz="900"/>
        </a:p>
      </xdr:txBody>
    </xdr:sp>
    <xdr:clientData/>
  </xdr:twoCellAnchor>
  <xdr:twoCellAnchor>
    <xdr:from>
      <xdr:col>18</xdr:col>
      <xdr:colOff>80036</xdr:colOff>
      <xdr:row>35</xdr:row>
      <xdr:rowOff>172512</xdr:rowOff>
    </xdr:from>
    <xdr:to>
      <xdr:col>18</xdr:col>
      <xdr:colOff>92078</xdr:colOff>
      <xdr:row>40</xdr:row>
      <xdr:rowOff>30692</xdr:rowOff>
    </xdr:to>
    <xdr:cxnSp macro="">
      <xdr:nvCxnSpPr>
        <xdr:cNvPr id="70" name="直線矢印コネクタ 27">
          <a:extLst>
            <a:ext uri="{FF2B5EF4-FFF2-40B4-BE49-F238E27FC236}">
              <a16:creationId xmlns:a16="http://schemas.microsoft.com/office/drawing/2014/main" id="{05C5BDE6-8704-438B-88F7-C1317C1F72EE}"/>
            </a:ext>
          </a:extLst>
        </xdr:cNvPr>
        <xdr:cNvCxnSpPr>
          <a:cxnSpLocks/>
          <a:stCxn id="64" idx="2"/>
          <a:endCxn id="72" idx="0"/>
        </xdr:cNvCxnSpPr>
      </xdr:nvCxnSpPr>
      <xdr:spPr>
        <a:xfrm>
          <a:off x="3651911" y="6324075"/>
          <a:ext cx="12042" cy="73130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163145</xdr:colOff>
      <xdr:row>40</xdr:row>
      <xdr:rowOff>38107</xdr:rowOff>
    </xdr:from>
    <xdr:to>
      <xdr:col>20</xdr:col>
      <xdr:colOff>179487</xdr:colOff>
      <xdr:row>42</xdr:row>
      <xdr:rowOff>169337</xdr:rowOff>
    </xdr:to>
    <xdr:sp macro="" textlink="">
      <xdr:nvSpPr>
        <xdr:cNvPr id="71" name="フローチャート: 定義済み処理 70">
          <a:extLst>
            <a:ext uri="{FF2B5EF4-FFF2-40B4-BE49-F238E27FC236}">
              <a16:creationId xmlns:a16="http://schemas.microsoft.com/office/drawing/2014/main" id="{782F7C34-070C-407E-A371-460B704F02B6}"/>
            </a:ext>
          </a:extLst>
        </xdr:cNvPr>
        <xdr:cNvSpPr/>
      </xdr:nvSpPr>
      <xdr:spPr>
        <a:xfrm>
          <a:off x="3163520" y="7277107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136527</xdr:colOff>
      <xdr:row>40</xdr:row>
      <xdr:rowOff>30692</xdr:rowOff>
    </xdr:from>
    <xdr:to>
      <xdr:col>21</xdr:col>
      <xdr:colOff>47627</xdr:colOff>
      <xdr:row>43</xdr:row>
      <xdr:rowOff>28246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E4760CA2-0545-4863-8982-8323767202BB}"/>
            </a:ext>
          </a:extLst>
        </xdr:cNvPr>
        <xdr:cNvSpPr/>
      </xdr:nvSpPr>
      <xdr:spPr>
        <a:xfrm>
          <a:off x="3113090" y="7055380"/>
          <a:ext cx="1101725" cy="52142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4</a:t>
          </a:r>
          <a:r>
            <a:rPr kumimoji="1" lang="ja-JP" altLang="en-US" sz="900"/>
            <a:t>．各種勘定</a:t>
          </a:r>
          <a:endParaRPr kumimoji="1" lang="en-US" altLang="ja-JP" sz="900"/>
        </a:p>
        <a:p>
          <a:pPr algn="ctr"/>
          <a:r>
            <a:rPr kumimoji="1" lang="ja-JP" altLang="en-US" sz="900"/>
            <a:t>前年実績収集</a:t>
          </a:r>
          <a:endParaRPr kumimoji="1" lang="en-US" altLang="ja-JP" sz="900"/>
        </a:p>
      </xdr:txBody>
    </xdr:sp>
    <xdr:clientData/>
  </xdr:twoCellAnchor>
  <xdr:twoCellAnchor>
    <xdr:from>
      <xdr:col>21</xdr:col>
      <xdr:colOff>47627</xdr:colOff>
      <xdr:row>41</xdr:row>
      <xdr:rowOff>109012</xdr:rowOff>
    </xdr:from>
    <xdr:to>
      <xdr:col>30</xdr:col>
      <xdr:colOff>112912</xdr:colOff>
      <xdr:row>41</xdr:row>
      <xdr:rowOff>116782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FB23BB7F-80E6-44C2-AC28-166EA0E27B96}"/>
            </a:ext>
          </a:extLst>
        </xdr:cNvPr>
        <xdr:cNvCxnSpPr>
          <a:stCxn id="115" idx="2"/>
          <a:endCxn id="72" idx="3"/>
        </xdr:cNvCxnSpPr>
      </xdr:nvCxnSpPr>
      <xdr:spPr>
        <a:xfrm flipH="1">
          <a:off x="4214815" y="7308325"/>
          <a:ext cx="1851222" cy="777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80036</xdr:colOff>
      <xdr:row>29</xdr:row>
      <xdr:rowOff>131237</xdr:rowOff>
    </xdr:from>
    <xdr:to>
      <xdr:col>18</xdr:col>
      <xdr:colOff>81623</xdr:colOff>
      <xdr:row>33</xdr:row>
      <xdr:rowOff>47632</xdr:rowOff>
    </xdr:to>
    <xdr:cxnSp macro="">
      <xdr:nvCxnSpPr>
        <xdr:cNvPr id="82" name="直線矢印コネクタ 27">
          <a:extLst>
            <a:ext uri="{FF2B5EF4-FFF2-40B4-BE49-F238E27FC236}">
              <a16:creationId xmlns:a16="http://schemas.microsoft.com/office/drawing/2014/main" id="{844D187B-904F-4519-A2D3-4D169A0CE863}"/>
            </a:ext>
          </a:extLst>
        </xdr:cNvPr>
        <xdr:cNvCxnSpPr>
          <a:cxnSpLocks/>
          <a:stCxn id="53" idx="2"/>
          <a:endCxn id="64" idx="0"/>
        </xdr:cNvCxnSpPr>
      </xdr:nvCxnSpPr>
      <xdr:spPr>
        <a:xfrm flipH="1">
          <a:off x="3651911" y="5235050"/>
          <a:ext cx="1587" cy="61489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107944</xdr:colOff>
      <xdr:row>34</xdr:row>
      <xdr:rowOff>98429</xdr:rowOff>
    </xdr:from>
    <xdr:to>
      <xdr:col>24</xdr:col>
      <xdr:colOff>126995</xdr:colOff>
      <xdr:row>38</xdr:row>
      <xdr:rowOff>60329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AF05AD5F-9755-4101-80C7-E870C74315AF}"/>
            </a:ext>
          </a:extLst>
        </xdr:cNvPr>
        <xdr:cNvGrpSpPr/>
      </xdr:nvGrpSpPr>
      <xdr:grpSpPr>
        <a:xfrm>
          <a:off x="3908419" y="5975354"/>
          <a:ext cx="1019176" cy="647700"/>
          <a:chOff x="4305299" y="5682255"/>
          <a:chExt cx="1003300" cy="510539"/>
        </a:xfrm>
      </xdr:grpSpPr>
      <xdr:sp macro="" textlink="">
        <xdr:nvSpPr>
          <xdr:cNvPr id="87" name="AutoShape 49">
            <a:extLst>
              <a:ext uri="{FF2B5EF4-FFF2-40B4-BE49-F238E27FC236}">
                <a16:creationId xmlns:a16="http://schemas.microsoft.com/office/drawing/2014/main" id="{059617C0-A71F-4414-8880-98F8DB4E8553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88" name="正方形/長方形 48">
            <a:extLst>
              <a:ext uri="{FF2B5EF4-FFF2-40B4-BE49-F238E27FC236}">
                <a16:creationId xmlns:a16="http://schemas.microsoft.com/office/drawing/2014/main" id="{B396269A-5517-4CA7-91FD-E814ED7A519C}"/>
              </a:ext>
            </a:extLst>
          </xdr:cNvPr>
          <xdr:cNvSpPr/>
        </xdr:nvSpPr>
        <xdr:spPr>
          <a:xfrm>
            <a:off x="4305299" y="5682255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年度資金繰計画</a:t>
            </a:r>
          </a:p>
        </xdr:txBody>
      </xdr:sp>
    </xdr:grpSp>
    <xdr:clientData/>
  </xdr:twoCellAnchor>
  <xdr:twoCellAnchor>
    <xdr:from>
      <xdr:col>1</xdr:col>
      <xdr:colOff>172670</xdr:colOff>
      <xdr:row>54</xdr:row>
      <xdr:rowOff>57157</xdr:rowOff>
    </xdr:from>
    <xdr:to>
      <xdr:col>6</xdr:col>
      <xdr:colOff>189012</xdr:colOff>
      <xdr:row>57</xdr:row>
      <xdr:rowOff>7412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119DB0DC-D01E-48AC-A8F9-57FB494A9B9A}"/>
            </a:ext>
          </a:extLst>
        </xdr:cNvPr>
        <xdr:cNvSpPr/>
      </xdr:nvSpPr>
      <xdr:spPr>
        <a:xfrm>
          <a:off x="372695" y="8562982"/>
          <a:ext cx="1016467" cy="49318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</xdr:col>
      <xdr:colOff>114300</xdr:colOff>
      <xdr:row>54</xdr:row>
      <xdr:rowOff>49742</xdr:rowOff>
    </xdr:from>
    <xdr:to>
      <xdr:col>7</xdr:col>
      <xdr:colOff>25400</xdr:colOff>
      <xdr:row>57</xdr:row>
      <xdr:rowOff>47296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C340D775-CB65-4230-B512-5D08F8479529}"/>
            </a:ext>
          </a:extLst>
        </xdr:cNvPr>
        <xdr:cNvSpPr/>
      </xdr:nvSpPr>
      <xdr:spPr>
        <a:xfrm>
          <a:off x="314325" y="8555567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6</a:t>
          </a:r>
          <a:r>
            <a:rPr kumimoji="1" lang="ja-JP" altLang="en-US" sz="900"/>
            <a:t>．チャネル別</a:t>
          </a:r>
          <a:endParaRPr kumimoji="1" lang="en-US" altLang="ja-JP" sz="900"/>
        </a:p>
        <a:p>
          <a:pPr algn="ctr"/>
          <a:r>
            <a:rPr kumimoji="1" lang="ja-JP" altLang="en-US" sz="900"/>
            <a:t>回収計画</a:t>
          </a:r>
          <a:endParaRPr kumimoji="1" lang="en-US" altLang="ja-JP" sz="900"/>
        </a:p>
      </xdr:txBody>
    </xdr:sp>
    <xdr:clientData/>
  </xdr:twoCellAnchor>
  <xdr:twoCellAnchor>
    <xdr:from>
      <xdr:col>5</xdr:col>
      <xdr:colOff>182563</xdr:colOff>
      <xdr:row>55</xdr:row>
      <xdr:rowOff>11112</xdr:rowOff>
    </xdr:from>
    <xdr:to>
      <xdr:col>11</xdr:col>
      <xdr:colOff>3175</xdr:colOff>
      <xdr:row>58</xdr:row>
      <xdr:rowOff>147637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0510EFB4-7931-401E-BA1B-2456F51C3F10}"/>
            </a:ext>
          </a:extLst>
        </xdr:cNvPr>
        <xdr:cNvGrpSpPr/>
      </xdr:nvGrpSpPr>
      <xdr:grpSpPr>
        <a:xfrm>
          <a:off x="1182688" y="9488487"/>
          <a:ext cx="1020762" cy="650875"/>
          <a:chOff x="4305300" y="5682252"/>
          <a:chExt cx="1003300" cy="510539"/>
        </a:xfrm>
      </xdr:grpSpPr>
      <xdr:sp macro="" textlink="">
        <xdr:nvSpPr>
          <xdr:cNvPr id="95" name="AutoShape 49">
            <a:extLst>
              <a:ext uri="{FF2B5EF4-FFF2-40B4-BE49-F238E27FC236}">
                <a16:creationId xmlns:a16="http://schemas.microsoft.com/office/drawing/2014/main" id="{A68C27ED-8A8C-4937-9DF8-9CF601F17FB3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96" name="正方形/長方形 48">
            <a:extLst>
              <a:ext uri="{FF2B5EF4-FFF2-40B4-BE49-F238E27FC236}">
                <a16:creationId xmlns:a16="http://schemas.microsoft.com/office/drawing/2014/main" id="{C42B2B36-DCCD-4B2A-BEE3-A5530C2759B3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年度資金繰計画</a:t>
            </a:r>
          </a:p>
        </xdr:txBody>
      </xdr:sp>
    </xdr:grpSp>
    <xdr:clientData/>
  </xdr:twoCellAnchor>
  <xdr:twoCellAnchor>
    <xdr:from>
      <xdr:col>4</xdr:col>
      <xdr:colOff>81623</xdr:colOff>
      <xdr:row>49</xdr:row>
      <xdr:rowOff>45513</xdr:rowOff>
    </xdr:from>
    <xdr:to>
      <xdr:col>18</xdr:col>
      <xdr:colOff>86387</xdr:colOff>
      <xdr:row>54</xdr:row>
      <xdr:rowOff>57158</xdr:rowOff>
    </xdr:to>
    <xdr:cxnSp macro="">
      <xdr:nvCxnSpPr>
        <xdr:cNvPr id="103" name="コネクタ: カギ線 102">
          <a:extLst>
            <a:ext uri="{FF2B5EF4-FFF2-40B4-BE49-F238E27FC236}">
              <a16:creationId xmlns:a16="http://schemas.microsoft.com/office/drawing/2014/main" id="{33FCE711-92F8-4D40-ABB5-4A8D8B05A74B}"/>
            </a:ext>
          </a:extLst>
        </xdr:cNvPr>
        <xdr:cNvCxnSpPr>
          <a:stCxn id="104" idx="2"/>
          <a:endCxn id="91" idx="0"/>
        </xdr:cNvCxnSpPr>
      </xdr:nvCxnSpPr>
      <xdr:spPr>
        <a:xfrm rot="5400000">
          <a:off x="1824433" y="7692766"/>
          <a:ext cx="884770" cy="2782889"/>
        </a:xfrm>
        <a:prstGeom prst="bentConnector3">
          <a:avLst>
            <a:gd name="adj1" fmla="val 50000"/>
          </a:avLst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177434</xdr:colOff>
      <xdr:row>46</xdr:row>
      <xdr:rowOff>95257</xdr:rowOff>
    </xdr:from>
    <xdr:to>
      <xdr:col>20</xdr:col>
      <xdr:colOff>193776</xdr:colOff>
      <xdr:row>49</xdr:row>
      <xdr:rowOff>45512</xdr:rowOff>
    </xdr:to>
    <xdr:sp macro="" textlink="">
      <xdr:nvSpPr>
        <xdr:cNvPr id="104" name="フローチャート: 定義済み処理 103">
          <a:extLst>
            <a:ext uri="{FF2B5EF4-FFF2-40B4-BE49-F238E27FC236}">
              <a16:creationId xmlns:a16="http://schemas.microsoft.com/office/drawing/2014/main" id="{79FA8ED5-1EC2-4A3C-A627-ED8A872D5107}"/>
            </a:ext>
          </a:extLst>
        </xdr:cNvPr>
        <xdr:cNvSpPr/>
      </xdr:nvSpPr>
      <xdr:spPr>
        <a:xfrm>
          <a:off x="3153997" y="8167695"/>
          <a:ext cx="1008529" cy="47413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95250</xdr:colOff>
      <xdr:row>46</xdr:row>
      <xdr:rowOff>87842</xdr:rowOff>
    </xdr:from>
    <xdr:to>
      <xdr:col>21</xdr:col>
      <xdr:colOff>6350</xdr:colOff>
      <xdr:row>49</xdr:row>
      <xdr:rowOff>85396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CE90A356-5E14-4945-86E8-255D458B71BD}"/>
            </a:ext>
          </a:extLst>
        </xdr:cNvPr>
        <xdr:cNvSpPr/>
      </xdr:nvSpPr>
      <xdr:spPr>
        <a:xfrm>
          <a:off x="3095625" y="8412692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5</a:t>
          </a:r>
          <a:r>
            <a:rPr kumimoji="1" lang="ja-JP" altLang="en-US" sz="900"/>
            <a:t>．支払</a:t>
          </a:r>
          <a:r>
            <a:rPr kumimoji="1" lang="en-US" altLang="ja-JP" sz="900"/>
            <a:t>/</a:t>
          </a:r>
          <a:r>
            <a:rPr kumimoji="1" lang="ja-JP" altLang="en-US" sz="900"/>
            <a:t>入金</a:t>
          </a:r>
          <a:endParaRPr kumimoji="1" lang="en-US" altLang="ja-JP" sz="900"/>
        </a:p>
        <a:p>
          <a:pPr algn="ctr"/>
          <a:r>
            <a:rPr kumimoji="1" lang="ja-JP" altLang="en-US" sz="900"/>
            <a:t>予定収集</a:t>
          </a:r>
          <a:endParaRPr kumimoji="1" lang="en-US" altLang="ja-JP" sz="900"/>
        </a:p>
      </xdr:txBody>
    </xdr:sp>
    <xdr:clientData/>
  </xdr:twoCellAnchor>
  <xdr:twoCellAnchor>
    <xdr:from>
      <xdr:col>21</xdr:col>
      <xdr:colOff>6350</xdr:colOff>
      <xdr:row>47</xdr:row>
      <xdr:rowOff>177107</xdr:rowOff>
    </xdr:from>
    <xdr:to>
      <xdr:col>30</xdr:col>
      <xdr:colOff>133691</xdr:colOff>
      <xdr:row>47</xdr:row>
      <xdr:rowOff>178231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CD523ABC-9572-4A80-AB6D-A89648B78229}"/>
            </a:ext>
          </a:extLst>
        </xdr:cNvPr>
        <xdr:cNvCxnSpPr>
          <a:stCxn id="108" idx="2"/>
          <a:endCxn id="105" idx="3"/>
        </xdr:cNvCxnSpPr>
      </xdr:nvCxnSpPr>
      <xdr:spPr>
        <a:xfrm flipH="1" flipV="1">
          <a:off x="4206875" y="8682932"/>
          <a:ext cx="1927566" cy="1124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96309</xdr:colOff>
      <xdr:row>45</xdr:row>
      <xdr:rowOff>69850</xdr:rowOff>
    </xdr:from>
    <xdr:to>
      <xdr:col>36</xdr:col>
      <xdr:colOff>95250</xdr:colOff>
      <xdr:row>50</xdr:row>
      <xdr:rowOff>152399</xdr:rowOff>
    </xdr:to>
    <xdr:grpSp>
      <xdr:nvGrpSpPr>
        <xdr:cNvPr id="107" name="グループ化 106">
          <a:extLst>
            <a:ext uri="{FF2B5EF4-FFF2-40B4-BE49-F238E27FC236}">
              <a16:creationId xmlns:a16="http://schemas.microsoft.com/office/drawing/2014/main" id="{BB6EB3A3-1FB8-44CF-9F99-9E477ED2B08B}"/>
            </a:ext>
          </a:extLst>
        </xdr:cNvPr>
        <xdr:cNvGrpSpPr/>
      </xdr:nvGrpSpPr>
      <xdr:grpSpPr>
        <a:xfrm>
          <a:off x="6097059" y="7832725"/>
          <a:ext cx="1199091" cy="939799"/>
          <a:chOff x="7167664" y="2892425"/>
          <a:chExt cx="1167946" cy="563249"/>
        </a:xfrm>
      </xdr:grpSpPr>
      <xdr:sp macro="" textlink="">
        <xdr:nvSpPr>
          <xdr:cNvPr id="108" name="フローチャート: 磁気ディスク 107">
            <a:extLst>
              <a:ext uri="{FF2B5EF4-FFF2-40B4-BE49-F238E27FC236}">
                <a16:creationId xmlns:a16="http://schemas.microsoft.com/office/drawing/2014/main" id="{5B3B8CEF-1344-48D6-BC94-CED1059A84F6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CBF5C50B-D0E9-47F7-A939-85DF4DF5A643}"/>
              </a:ext>
            </a:extLst>
          </xdr:cNvPr>
          <xdr:cNvSpPr/>
        </xdr:nvSpPr>
        <xdr:spPr>
          <a:xfrm>
            <a:off x="7167664" y="2950067"/>
            <a:ext cx="1167946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債務トランザクション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債権トランザクション</a:t>
            </a:r>
            <a:endParaRPr kumimoji="1" lang="en-US" altLang="ja-JP" sz="900"/>
          </a:p>
        </xdr:txBody>
      </xdr:sp>
    </xdr:grpSp>
    <xdr:clientData/>
  </xdr:twoCellAnchor>
  <xdr:twoCellAnchor>
    <xdr:from>
      <xdr:col>18</xdr:col>
      <xdr:colOff>72098</xdr:colOff>
      <xdr:row>42</xdr:row>
      <xdr:rowOff>169337</xdr:rowOff>
    </xdr:from>
    <xdr:to>
      <xdr:col>18</xdr:col>
      <xdr:colOff>86387</xdr:colOff>
      <xdr:row>46</xdr:row>
      <xdr:rowOff>95257</xdr:rowOff>
    </xdr:to>
    <xdr:cxnSp macro="">
      <xdr:nvCxnSpPr>
        <xdr:cNvPr id="111" name="直線矢印コネクタ 27">
          <a:extLst>
            <a:ext uri="{FF2B5EF4-FFF2-40B4-BE49-F238E27FC236}">
              <a16:creationId xmlns:a16="http://schemas.microsoft.com/office/drawing/2014/main" id="{DDAA1C9F-B588-4216-9DE5-77A4C4D4A1F4}"/>
            </a:ext>
          </a:extLst>
        </xdr:cNvPr>
        <xdr:cNvCxnSpPr>
          <a:cxnSpLocks/>
          <a:stCxn id="71" idx="2"/>
          <a:endCxn id="104" idx="0"/>
        </xdr:cNvCxnSpPr>
      </xdr:nvCxnSpPr>
      <xdr:spPr>
        <a:xfrm>
          <a:off x="3643973" y="7543275"/>
          <a:ext cx="14289" cy="62442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</xdr:colOff>
      <xdr:row>40</xdr:row>
      <xdr:rowOff>9525</xdr:rowOff>
    </xdr:from>
    <xdr:to>
      <xdr:col>34</xdr:col>
      <xdr:colOff>115358</xdr:colOff>
      <xdr:row>43</xdr:row>
      <xdr:rowOff>83332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4E9E9E9A-E80E-4B0C-BA52-717A7F6053D3}"/>
            </a:ext>
          </a:extLst>
        </xdr:cNvPr>
        <xdr:cNvGrpSpPr/>
      </xdr:nvGrpSpPr>
      <xdr:grpSpPr>
        <a:xfrm>
          <a:off x="6019800" y="6915150"/>
          <a:ext cx="896408" cy="588157"/>
          <a:chOff x="7111999" y="2892425"/>
          <a:chExt cx="873125" cy="584982"/>
        </a:xfrm>
      </xdr:grpSpPr>
      <xdr:sp macro="" textlink="">
        <xdr:nvSpPr>
          <xdr:cNvPr id="115" name="フローチャート: 磁気ディスク 114">
            <a:extLst>
              <a:ext uri="{FF2B5EF4-FFF2-40B4-BE49-F238E27FC236}">
                <a16:creationId xmlns:a16="http://schemas.microsoft.com/office/drawing/2014/main" id="{032A8D28-65CD-4A2A-A148-3FBBE3C6A30B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16" name="正方形/長方形 115">
            <a:extLst>
              <a:ext uri="{FF2B5EF4-FFF2-40B4-BE49-F238E27FC236}">
                <a16:creationId xmlns:a16="http://schemas.microsoft.com/office/drawing/2014/main" id="{E4B9DACA-FE9E-4090-8D0F-CD4FB8C47585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財務諸表</a:t>
            </a:r>
          </a:p>
        </xdr:txBody>
      </xdr:sp>
    </xdr:grpSp>
    <xdr:clientData/>
  </xdr:twoCellAnchor>
  <xdr:twoCellAnchor>
    <xdr:from>
      <xdr:col>15</xdr:col>
      <xdr:colOff>157163</xdr:colOff>
      <xdr:row>61</xdr:row>
      <xdr:rowOff>54505</xdr:rowOff>
    </xdr:from>
    <xdr:to>
      <xdr:col>21</xdr:col>
      <xdr:colOff>68263</xdr:colOff>
      <xdr:row>64</xdr:row>
      <xdr:rowOff>52059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5393B0A1-6B4F-7B6D-0A16-7ECC8C77D1A3}"/>
            </a:ext>
          </a:extLst>
        </xdr:cNvPr>
        <xdr:cNvGrpSpPr/>
      </xdr:nvGrpSpPr>
      <xdr:grpSpPr>
        <a:xfrm>
          <a:off x="3157538" y="10560580"/>
          <a:ext cx="1111250" cy="511904"/>
          <a:chOff x="3133726" y="10746318"/>
          <a:chExt cx="1101725" cy="521429"/>
        </a:xfrm>
      </xdr:grpSpPr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BFF9ED46-0654-4779-9DAF-060BEA3735F5}"/>
              </a:ext>
            </a:extLst>
          </xdr:cNvPr>
          <xdr:cNvSpPr/>
        </xdr:nvSpPr>
        <xdr:spPr>
          <a:xfrm>
            <a:off x="3159127" y="10771188"/>
            <a:ext cx="1008529" cy="47413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18" name="正方形/長方形 117">
            <a:extLst>
              <a:ext uri="{FF2B5EF4-FFF2-40B4-BE49-F238E27FC236}">
                <a16:creationId xmlns:a16="http://schemas.microsoft.com/office/drawing/2014/main" id="{ABEE138A-72C9-44E2-AAFB-1D7496E7D9C3}"/>
              </a:ext>
            </a:extLst>
          </xdr:cNvPr>
          <xdr:cNvSpPr/>
        </xdr:nvSpPr>
        <xdr:spPr>
          <a:xfrm>
            <a:off x="3133726" y="10746318"/>
            <a:ext cx="1101725" cy="5214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7</a:t>
            </a:r>
            <a:r>
              <a:rPr kumimoji="1" lang="ja-JP" altLang="en-US" sz="900"/>
              <a:t>．年間資金繰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計画作成</a:t>
            </a:r>
            <a:endParaRPr kumimoji="1" lang="en-US" altLang="ja-JP" sz="900"/>
          </a:p>
        </xdr:txBody>
      </xdr:sp>
    </xdr:grpSp>
    <xdr:clientData/>
  </xdr:twoCellAnchor>
  <xdr:twoCellAnchor>
    <xdr:from>
      <xdr:col>19</xdr:col>
      <xdr:colOff>150813</xdr:colOff>
      <xdr:row>62</xdr:row>
      <xdr:rowOff>88900</xdr:rowOff>
    </xdr:from>
    <xdr:to>
      <xdr:col>24</xdr:col>
      <xdr:colOff>169863</xdr:colOff>
      <xdr:row>66</xdr:row>
      <xdr:rowOff>50800</xdr:rowOff>
    </xdr:to>
    <xdr:grpSp>
      <xdr:nvGrpSpPr>
        <xdr:cNvPr id="120" name="グループ化 119">
          <a:extLst>
            <a:ext uri="{FF2B5EF4-FFF2-40B4-BE49-F238E27FC236}">
              <a16:creationId xmlns:a16="http://schemas.microsoft.com/office/drawing/2014/main" id="{2F7F7969-9435-448E-91D8-C8704A0ADE9E}"/>
            </a:ext>
          </a:extLst>
        </xdr:cNvPr>
        <xdr:cNvGrpSpPr/>
      </xdr:nvGrpSpPr>
      <xdr:grpSpPr>
        <a:xfrm>
          <a:off x="3951288" y="10766425"/>
          <a:ext cx="1019175" cy="647700"/>
          <a:chOff x="4305300" y="5682252"/>
          <a:chExt cx="1003300" cy="510539"/>
        </a:xfrm>
      </xdr:grpSpPr>
      <xdr:sp macro="" textlink="">
        <xdr:nvSpPr>
          <xdr:cNvPr id="121" name="AutoShape 49">
            <a:extLst>
              <a:ext uri="{FF2B5EF4-FFF2-40B4-BE49-F238E27FC236}">
                <a16:creationId xmlns:a16="http://schemas.microsoft.com/office/drawing/2014/main" id="{BAE659E1-73B8-48C4-939B-86C6088C25C9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122" name="正方形/長方形 48">
            <a:extLst>
              <a:ext uri="{FF2B5EF4-FFF2-40B4-BE49-F238E27FC236}">
                <a16:creationId xmlns:a16="http://schemas.microsoft.com/office/drawing/2014/main" id="{878DCB58-8B84-4E5E-BE23-960A5D0A3F83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年度資金繰計画</a:t>
            </a:r>
          </a:p>
        </xdr:txBody>
      </xdr:sp>
    </xdr:grpSp>
    <xdr:clientData/>
  </xdr:twoCellAnchor>
  <xdr:twoCellAnchor>
    <xdr:from>
      <xdr:col>4</xdr:col>
      <xdr:colOff>81623</xdr:colOff>
      <xdr:row>57</xdr:row>
      <xdr:rowOff>7411</xdr:rowOff>
    </xdr:from>
    <xdr:to>
      <xdr:col>18</xdr:col>
      <xdr:colOff>91517</xdr:colOff>
      <xdr:row>61</xdr:row>
      <xdr:rowOff>79374</xdr:rowOff>
    </xdr:to>
    <xdr:cxnSp macro="">
      <xdr:nvCxnSpPr>
        <xdr:cNvPr id="123" name="コネクタ: カギ線 122">
          <a:extLst>
            <a:ext uri="{FF2B5EF4-FFF2-40B4-BE49-F238E27FC236}">
              <a16:creationId xmlns:a16="http://schemas.microsoft.com/office/drawing/2014/main" id="{3356C1A1-9EFE-458F-9D1F-78E90FF38E4F}"/>
            </a:ext>
          </a:extLst>
        </xdr:cNvPr>
        <xdr:cNvCxnSpPr>
          <a:cxnSpLocks/>
          <a:stCxn id="91" idx="2"/>
          <a:endCxn id="20" idx="0"/>
        </xdr:cNvCxnSpPr>
      </xdr:nvCxnSpPr>
      <xdr:spPr>
        <a:xfrm rot="16200000" flipH="1">
          <a:off x="1884151" y="8991946"/>
          <a:ext cx="770463" cy="2788019"/>
        </a:xfrm>
        <a:prstGeom prst="bentConnector3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106893</xdr:colOff>
      <xdr:row>73</xdr:row>
      <xdr:rowOff>142875</xdr:rowOff>
    </xdr:from>
    <xdr:to>
      <xdr:col>20</xdr:col>
      <xdr:colOff>14926</xdr:colOff>
      <xdr:row>75</xdr:row>
      <xdr:rowOff>59267</xdr:rowOff>
    </xdr:to>
    <xdr:sp macro="" textlink="">
      <xdr:nvSpPr>
        <xdr:cNvPr id="126" name="フローチャート: 端子 26">
          <a:extLst>
            <a:ext uri="{FF2B5EF4-FFF2-40B4-BE49-F238E27FC236}">
              <a16:creationId xmlns:a16="http://schemas.microsoft.com/office/drawing/2014/main" id="{37E5AB2F-F351-464B-BF1B-442D0D13EA60}"/>
            </a:ext>
          </a:extLst>
        </xdr:cNvPr>
        <xdr:cNvSpPr/>
      </xdr:nvSpPr>
      <xdr:spPr>
        <a:xfrm>
          <a:off x="3307293" y="12811125"/>
          <a:ext cx="708133" cy="27834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18</xdr:col>
      <xdr:colOff>60325</xdr:colOff>
      <xdr:row>75</xdr:row>
      <xdr:rowOff>59267</xdr:rowOff>
    </xdr:from>
    <xdr:to>
      <xdr:col>18</xdr:col>
      <xdr:colOff>60910</xdr:colOff>
      <xdr:row>81</xdr:row>
      <xdr:rowOff>30692</xdr:rowOff>
    </xdr:to>
    <xdr:cxnSp macro="">
      <xdr:nvCxnSpPr>
        <xdr:cNvPr id="134" name="直線矢印コネクタ 27">
          <a:extLst>
            <a:ext uri="{FF2B5EF4-FFF2-40B4-BE49-F238E27FC236}">
              <a16:creationId xmlns:a16="http://schemas.microsoft.com/office/drawing/2014/main" id="{551CC0B9-4AFA-4166-BFED-C1DCFCC04477}"/>
            </a:ext>
          </a:extLst>
        </xdr:cNvPr>
        <xdr:cNvCxnSpPr>
          <a:cxnSpLocks/>
          <a:stCxn id="126" idx="2"/>
          <a:endCxn id="146" idx="0"/>
        </xdr:cNvCxnSpPr>
      </xdr:nvCxnSpPr>
      <xdr:spPr>
        <a:xfrm flipH="1">
          <a:off x="3660775" y="13089467"/>
          <a:ext cx="585" cy="17811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163145</xdr:colOff>
      <xdr:row>81</xdr:row>
      <xdr:rowOff>38107</xdr:rowOff>
    </xdr:from>
    <xdr:to>
      <xdr:col>20</xdr:col>
      <xdr:colOff>179487</xdr:colOff>
      <xdr:row>83</xdr:row>
      <xdr:rowOff>169337</xdr:rowOff>
    </xdr:to>
    <xdr:sp macro="" textlink="">
      <xdr:nvSpPr>
        <xdr:cNvPr id="145" name="フローチャート: 定義済み処理 144">
          <a:extLst>
            <a:ext uri="{FF2B5EF4-FFF2-40B4-BE49-F238E27FC236}">
              <a16:creationId xmlns:a16="http://schemas.microsoft.com/office/drawing/2014/main" id="{3F8AAC88-A6EA-4957-B3E3-AFA09235218D}"/>
            </a:ext>
          </a:extLst>
        </xdr:cNvPr>
        <xdr:cNvSpPr/>
      </xdr:nvSpPr>
      <xdr:spPr>
        <a:xfrm>
          <a:off x="3163520" y="7277107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104775</xdr:colOff>
      <xdr:row>81</xdr:row>
      <xdr:rowOff>30692</xdr:rowOff>
    </xdr:from>
    <xdr:to>
      <xdr:col>21</xdr:col>
      <xdr:colOff>15875</xdr:colOff>
      <xdr:row>84</xdr:row>
      <xdr:rowOff>28246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2F81C2F9-B8D4-4A74-A4CA-FE321291BDCC}"/>
            </a:ext>
          </a:extLst>
        </xdr:cNvPr>
        <xdr:cNvSpPr/>
      </xdr:nvSpPr>
      <xdr:spPr>
        <a:xfrm>
          <a:off x="3105150" y="7269692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1</a:t>
          </a:r>
          <a:r>
            <a:rPr kumimoji="1" lang="ja-JP" altLang="en-US" sz="900"/>
            <a:t>．各種勘定</a:t>
          </a:r>
          <a:endParaRPr kumimoji="1" lang="en-US" altLang="ja-JP" sz="900"/>
        </a:p>
        <a:p>
          <a:pPr algn="ctr"/>
          <a:r>
            <a:rPr kumimoji="1" lang="ja-JP" altLang="en-US" sz="900"/>
            <a:t>実績収集</a:t>
          </a:r>
          <a:endParaRPr kumimoji="1" lang="en-US" altLang="ja-JP" sz="900"/>
        </a:p>
      </xdr:txBody>
    </xdr:sp>
    <xdr:clientData/>
  </xdr:twoCellAnchor>
  <xdr:twoCellAnchor>
    <xdr:from>
      <xdr:col>20</xdr:col>
      <xdr:colOff>179487</xdr:colOff>
      <xdr:row>82</xdr:row>
      <xdr:rowOff>103722</xdr:rowOff>
    </xdr:from>
    <xdr:to>
      <xdr:col>30</xdr:col>
      <xdr:colOff>112912</xdr:colOff>
      <xdr:row>82</xdr:row>
      <xdr:rowOff>109012</xdr:rowOff>
    </xdr:to>
    <xdr:cxnSp macro="">
      <xdr:nvCxnSpPr>
        <xdr:cNvPr id="147" name="直線矢印コネクタ 146">
          <a:extLst>
            <a:ext uri="{FF2B5EF4-FFF2-40B4-BE49-F238E27FC236}">
              <a16:creationId xmlns:a16="http://schemas.microsoft.com/office/drawing/2014/main" id="{5A93CBF5-5BE4-43E5-923A-51397415DED3}"/>
            </a:ext>
          </a:extLst>
        </xdr:cNvPr>
        <xdr:cNvCxnSpPr>
          <a:stCxn id="167" idx="2"/>
          <a:endCxn id="145" idx="3"/>
        </xdr:cNvCxnSpPr>
      </xdr:nvCxnSpPr>
      <xdr:spPr>
        <a:xfrm flipH="1" flipV="1">
          <a:off x="4148237" y="14462660"/>
          <a:ext cx="1917800" cy="529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153620</xdr:colOff>
      <xdr:row>89</xdr:row>
      <xdr:rowOff>95257</xdr:rowOff>
    </xdr:from>
    <xdr:to>
      <xdr:col>20</xdr:col>
      <xdr:colOff>169962</xdr:colOff>
      <xdr:row>92</xdr:row>
      <xdr:rowOff>45512</xdr:rowOff>
    </xdr:to>
    <xdr:sp macro="" textlink="">
      <xdr:nvSpPr>
        <xdr:cNvPr id="159" name="フローチャート: 定義済み処理 158">
          <a:extLst>
            <a:ext uri="{FF2B5EF4-FFF2-40B4-BE49-F238E27FC236}">
              <a16:creationId xmlns:a16="http://schemas.microsoft.com/office/drawing/2014/main" id="{A87B796B-C1B3-49B3-B327-823F5E223D76}"/>
            </a:ext>
          </a:extLst>
        </xdr:cNvPr>
        <xdr:cNvSpPr/>
      </xdr:nvSpPr>
      <xdr:spPr>
        <a:xfrm>
          <a:off x="3153995" y="18916657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95250</xdr:colOff>
      <xdr:row>89</xdr:row>
      <xdr:rowOff>87842</xdr:rowOff>
    </xdr:from>
    <xdr:to>
      <xdr:col>21</xdr:col>
      <xdr:colOff>6350</xdr:colOff>
      <xdr:row>92</xdr:row>
      <xdr:rowOff>85396</xdr:rowOff>
    </xdr:to>
    <xdr:sp macro="" textlink="">
      <xdr:nvSpPr>
        <xdr:cNvPr id="160" name="正方形/長方形 159">
          <a:extLst>
            <a:ext uri="{FF2B5EF4-FFF2-40B4-BE49-F238E27FC236}">
              <a16:creationId xmlns:a16="http://schemas.microsoft.com/office/drawing/2014/main" id="{542857D2-02AA-446B-BD2C-C251493035AD}"/>
            </a:ext>
          </a:extLst>
        </xdr:cNvPr>
        <xdr:cNvSpPr/>
      </xdr:nvSpPr>
      <xdr:spPr>
        <a:xfrm>
          <a:off x="3095625" y="18909242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2</a:t>
          </a:r>
          <a:r>
            <a:rPr kumimoji="1" lang="ja-JP" altLang="en-US" sz="900"/>
            <a:t>．支払</a:t>
          </a:r>
          <a:r>
            <a:rPr kumimoji="1" lang="en-US" altLang="ja-JP" sz="900"/>
            <a:t>/</a:t>
          </a:r>
          <a:r>
            <a:rPr kumimoji="1" lang="ja-JP" altLang="en-US" sz="900"/>
            <a:t>入金</a:t>
          </a:r>
          <a:endParaRPr kumimoji="1" lang="en-US" altLang="ja-JP" sz="900"/>
        </a:p>
        <a:p>
          <a:pPr algn="ctr"/>
          <a:r>
            <a:rPr kumimoji="1" lang="ja-JP" altLang="en-US" sz="900"/>
            <a:t>実績収集</a:t>
          </a:r>
          <a:endParaRPr kumimoji="1" lang="en-US" altLang="ja-JP" sz="900"/>
        </a:p>
      </xdr:txBody>
    </xdr:sp>
    <xdr:clientData/>
  </xdr:twoCellAnchor>
  <xdr:twoCellAnchor>
    <xdr:from>
      <xdr:col>20</xdr:col>
      <xdr:colOff>169962</xdr:colOff>
      <xdr:row>90</xdr:row>
      <xdr:rowOff>157697</xdr:rowOff>
    </xdr:from>
    <xdr:to>
      <xdr:col>30</xdr:col>
      <xdr:colOff>96309</xdr:colOff>
      <xdr:row>90</xdr:row>
      <xdr:rowOff>171138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A95F8600-41B8-40AB-AF7F-E5381FD1EF7B}"/>
            </a:ext>
          </a:extLst>
        </xdr:cNvPr>
        <xdr:cNvCxnSpPr>
          <a:stCxn id="164" idx="1"/>
          <a:endCxn id="159" idx="3"/>
        </xdr:cNvCxnSpPr>
      </xdr:nvCxnSpPr>
      <xdr:spPr>
        <a:xfrm flipH="1" flipV="1">
          <a:off x="4138712" y="15913635"/>
          <a:ext cx="1910722" cy="13441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96309</xdr:colOff>
      <xdr:row>87</xdr:row>
      <xdr:rowOff>174625</xdr:rowOff>
    </xdr:from>
    <xdr:to>
      <xdr:col>36</xdr:col>
      <xdr:colOff>95250</xdr:colOff>
      <xdr:row>93</xdr:row>
      <xdr:rowOff>76199</xdr:rowOff>
    </xdr:to>
    <xdr:grpSp>
      <xdr:nvGrpSpPr>
        <xdr:cNvPr id="162" name="グループ化 161">
          <a:extLst>
            <a:ext uri="{FF2B5EF4-FFF2-40B4-BE49-F238E27FC236}">
              <a16:creationId xmlns:a16="http://schemas.microsoft.com/office/drawing/2014/main" id="{14346C95-CCB8-4CF6-B265-830D6476F0FB}"/>
            </a:ext>
          </a:extLst>
        </xdr:cNvPr>
        <xdr:cNvGrpSpPr/>
      </xdr:nvGrpSpPr>
      <xdr:grpSpPr>
        <a:xfrm>
          <a:off x="6097059" y="15138400"/>
          <a:ext cx="1199091" cy="930274"/>
          <a:chOff x="7167664" y="2892425"/>
          <a:chExt cx="1167946" cy="563249"/>
        </a:xfrm>
      </xdr:grpSpPr>
      <xdr:sp macro="" textlink="">
        <xdr:nvSpPr>
          <xdr:cNvPr id="163" name="フローチャート: 磁気ディスク 162">
            <a:extLst>
              <a:ext uri="{FF2B5EF4-FFF2-40B4-BE49-F238E27FC236}">
                <a16:creationId xmlns:a16="http://schemas.microsoft.com/office/drawing/2014/main" id="{DDEC7489-44A5-464D-8FED-D749E449F1AD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23F53B55-1126-46E3-879C-B7B499F0E993}"/>
              </a:ext>
            </a:extLst>
          </xdr:cNvPr>
          <xdr:cNvSpPr/>
        </xdr:nvSpPr>
        <xdr:spPr>
          <a:xfrm>
            <a:off x="7167664" y="2950067"/>
            <a:ext cx="1167946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債務トランザクション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債権トランザクション</a:t>
            </a:r>
            <a:endParaRPr kumimoji="1" lang="en-US" altLang="ja-JP" sz="900"/>
          </a:p>
        </xdr:txBody>
      </xdr:sp>
    </xdr:grpSp>
    <xdr:clientData/>
  </xdr:twoCellAnchor>
  <xdr:twoCellAnchor>
    <xdr:from>
      <xdr:col>18</xdr:col>
      <xdr:colOff>50800</xdr:colOff>
      <xdr:row>84</xdr:row>
      <xdr:rowOff>28246</xdr:rowOff>
    </xdr:from>
    <xdr:to>
      <xdr:col>18</xdr:col>
      <xdr:colOff>60325</xdr:colOff>
      <xdr:row>89</xdr:row>
      <xdr:rowOff>87842</xdr:rowOff>
    </xdr:to>
    <xdr:cxnSp macro="">
      <xdr:nvCxnSpPr>
        <xdr:cNvPr id="165" name="直線矢印コネクタ 27">
          <a:extLst>
            <a:ext uri="{FF2B5EF4-FFF2-40B4-BE49-F238E27FC236}">
              <a16:creationId xmlns:a16="http://schemas.microsoft.com/office/drawing/2014/main" id="{0DA2E8A9-D798-4F45-A03D-215FC44BCDB0}"/>
            </a:ext>
          </a:extLst>
        </xdr:cNvPr>
        <xdr:cNvCxnSpPr>
          <a:cxnSpLocks/>
          <a:stCxn id="146" idx="2"/>
          <a:endCxn id="160" idx="0"/>
        </xdr:cNvCxnSpPr>
      </xdr:nvCxnSpPr>
      <xdr:spPr>
        <a:xfrm flipH="1">
          <a:off x="3651250" y="18306721"/>
          <a:ext cx="9525" cy="60252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</xdr:colOff>
      <xdr:row>81</xdr:row>
      <xdr:rowOff>9525</xdr:rowOff>
    </xdr:from>
    <xdr:to>
      <xdr:col>34</xdr:col>
      <xdr:colOff>115358</xdr:colOff>
      <xdr:row>84</xdr:row>
      <xdr:rowOff>83332</xdr:rowOff>
    </xdr:to>
    <xdr:grpSp>
      <xdr:nvGrpSpPr>
        <xdr:cNvPr id="166" name="グループ化 165">
          <a:extLst>
            <a:ext uri="{FF2B5EF4-FFF2-40B4-BE49-F238E27FC236}">
              <a16:creationId xmlns:a16="http://schemas.microsoft.com/office/drawing/2014/main" id="{1FD4B2EF-5D7B-4324-8C2C-B4659E612401}"/>
            </a:ext>
          </a:extLst>
        </xdr:cNvPr>
        <xdr:cNvGrpSpPr/>
      </xdr:nvGrpSpPr>
      <xdr:grpSpPr>
        <a:xfrm>
          <a:off x="6019800" y="13944600"/>
          <a:ext cx="896408" cy="588157"/>
          <a:chOff x="7111999" y="2892425"/>
          <a:chExt cx="873125" cy="584982"/>
        </a:xfrm>
      </xdr:grpSpPr>
      <xdr:sp macro="" textlink="">
        <xdr:nvSpPr>
          <xdr:cNvPr id="167" name="フローチャート: 磁気ディスク 166">
            <a:extLst>
              <a:ext uri="{FF2B5EF4-FFF2-40B4-BE49-F238E27FC236}">
                <a16:creationId xmlns:a16="http://schemas.microsoft.com/office/drawing/2014/main" id="{00353BD5-64AF-4272-960C-C7CC6F41FA09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68" name="正方形/長方形 167">
            <a:extLst>
              <a:ext uri="{FF2B5EF4-FFF2-40B4-BE49-F238E27FC236}">
                <a16:creationId xmlns:a16="http://schemas.microsoft.com/office/drawing/2014/main" id="{287CC012-FBF8-455C-A245-0F93F68422D7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財務諸表</a:t>
            </a:r>
          </a:p>
        </xdr:txBody>
      </xdr:sp>
    </xdr:grpSp>
    <xdr:clientData/>
  </xdr:twoCellAnchor>
  <xdr:twoCellAnchor>
    <xdr:from>
      <xdr:col>15</xdr:col>
      <xdr:colOff>153620</xdr:colOff>
      <xdr:row>97</xdr:row>
      <xdr:rowOff>85732</xdr:rowOff>
    </xdr:from>
    <xdr:to>
      <xdr:col>20</xdr:col>
      <xdr:colOff>169962</xdr:colOff>
      <xdr:row>100</xdr:row>
      <xdr:rowOff>35987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D1A7451C-BEF6-4EEE-B350-66C963B32A65}"/>
            </a:ext>
          </a:extLst>
        </xdr:cNvPr>
        <xdr:cNvSpPr/>
      </xdr:nvSpPr>
      <xdr:spPr>
        <a:xfrm>
          <a:off x="3153995" y="21621757"/>
          <a:ext cx="1016467" cy="49318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95250</xdr:colOff>
      <xdr:row>97</xdr:row>
      <xdr:rowOff>78317</xdr:rowOff>
    </xdr:from>
    <xdr:to>
      <xdr:col>21</xdr:col>
      <xdr:colOff>6350</xdr:colOff>
      <xdr:row>100</xdr:row>
      <xdr:rowOff>75871</xdr:rowOff>
    </xdr:to>
    <xdr:sp macro="" textlink="">
      <xdr:nvSpPr>
        <xdr:cNvPr id="170" name="正方形/長方形 169">
          <a:extLst>
            <a:ext uri="{FF2B5EF4-FFF2-40B4-BE49-F238E27FC236}">
              <a16:creationId xmlns:a16="http://schemas.microsoft.com/office/drawing/2014/main" id="{AB004474-6BE2-4396-8F35-0A315B64BF1D}"/>
            </a:ext>
          </a:extLst>
        </xdr:cNvPr>
        <xdr:cNvSpPr/>
      </xdr:nvSpPr>
      <xdr:spPr>
        <a:xfrm>
          <a:off x="3095625" y="21614342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3</a:t>
          </a:r>
          <a:r>
            <a:rPr kumimoji="1" lang="ja-JP" altLang="en-US" sz="900"/>
            <a:t>．資金繰</a:t>
          </a:r>
          <a:endParaRPr kumimoji="1" lang="en-US" altLang="ja-JP" sz="900"/>
        </a:p>
        <a:p>
          <a:pPr algn="ctr"/>
          <a:r>
            <a:rPr kumimoji="1" lang="ja-JP" altLang="en-US" sz="900"/>
            <a:t>実績作成</a:t>
          </a:r>
          <a:endParaRPr kumimoji="1" lang="en-US" altLang="ja-JP" sz="900"/>
        </a:p>
      </xdr:txBody>
    </xdr:sp>
    <xdr:clientData/>
  </xdr:twoCellAnchor>
  <xdr:twoCellAnchor>
    <xdr:from>
      <xdr:col>19</xdr:col>
      <xdr:colOff>95250</xdr:colOff>
      <xdr:row>98</xdr:row>
      <xdr:rowOff>49213</xdr:rowOff>
    </xdr:from>
    <xdr:to>
      <xdr:col>24</xdr:col>
      <xdr:colOff>114300</xdr:colOff>
      <xdr:row>102</xdr:row>
      <xdr:rowOff>11113</xdr:rowOff>
    </xdr:to>
    <xdr:grpSp>
      <xdr:nvGrpSpPr>
        <xdr:cNvPr id="172" name="グループ化 171">
          <a:extLst>
            <a:ext uri="{FF2B5EF4-FFF2-40B4-BE49-F238E27FC236}">
              <a16:creationId xmlns:a16="http://schemas.microsoft.com/office/drawing/2014/main" id="{04B2D5FB-4D8C-446B-A8D7-04E459F8A43A}"/>
            </a:ext>
          </a:extLst>
        </xdr:cNvPr>
        <xdr:cNvGrpSpPr/>
      </xdr:nvGrpSpPr>
      <xdr:grpSpPr>
        <a:xfrm>
          <a:off x="3895725" y="16898938"/>
          <a:ext cx="1019175" cy="647700"/>
          <a:chOff x="4305300" y="5682252"/>
          <a:chExt cx="1003300" cy="510539"/>
        </a:xfrm>
      </xdr:grpSpPr>
      <xdr:sp macro="" textlink="">
        <xdr:nvSpPr>
          <xdr:cNvPr id="173" name="AutoShape 49">
            <a:extLst>
              <a:ext uri="{FF2B5EF4-FFF2-40B4-BE49-F238E27FC236}">
                <a16:creationId xmlns:a16="http://schemas.microsoft.com/office/drawing/2014/main" id="{857ED27C-FC75-4598-A563-1EA353684165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174" name="正方形/長方形 48">
            <a:extLst>
              <a:ext uri="{FF2B5EF4-FFF2-40B4-BE49-F238E27FC236}">
                <a16:creationId xmlns:a16="http://schemas.microsoft.com/office/drawing/2014/main" id="{92D5F785-9017-4FCA-9678-AB8D08A2883E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月別資金繰実績</a:t>
            </a:r>
          </a:p>
        </xdr:txBody>
      </xdr:sp>
    </xdr:grpSp>
    <xdr:clientData/>
  </xdr:twoCellAnchor>
  <xdr:twoCellAnchor>
    <xdr:from>
      <xdr:col>18</xdr:col>
      <xdr:colOff>50800</xdr:colOff>
      <xdr:row>92</xdr:row>
      <xdr:rowOff>85396</xdr:rowOff>
    </xdr:from>
    <xdr:to>
      <xdr:col>18</xdr:col>
      <xdr:colOff>50800</xdr:colOff>
      <xdr:row>97</xdr:row>
      <xdr:rowOff>78317</xdr:rowOff>
    </xdr:to>
    <xdr:cxnSp macro="">
      <xdr:nvCxnSpPr>
        <xdr:cNvPr id="176" name="直線矢印コネクタ 27">
          <a:extLst>
            <a:ext uri="{FF2B5EF4-FFF2-40B4-BE49-F238E27FC236}">
              <a16:creationId xmlns:a16="http://schemas.microsoft.com/office/drawing/2014/main" id="{55AB388D-20AA-45E9-9C7C-7CD6B6FF0C79}"/>
            </a:ext>
          </a:extLst>
        </xdr:cNvPr>
        <xdr:cNvCxnSpPr>
          <a:cxnSpLocks/>
          <a:stCxn id="160" idx="2"/>
          <a:endCxn id="170" idx="0"/>
        </xdr:cNvCxnSpPr>
      </xdr:nvCxnSpPr>
      <xdr:spPr>
        <a:xfrm>
          <a:off x="3651250" y="19449721"/>
          <a:ext cx="0" cy="216462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117476</xdr:colOff>
      <xdr:row>104</xdr:row>
      <xdr:rowOff>91017</xdr:rowOff>
    </xdr:from>
    <xdr:to>
      <xdr:col>21</xdr:col>
      <xdr:colOff>30163</xdr:colOff>
      <xdr:row>107</xdr:row>
      <xdr:rowOff>88571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3C8D4B29-9A42-1F48-5CA9-7CA1E31C1D9C}"/>
            </a:ext>
          </a:extLst>
        </xdr:cNvPr>
        <xdr:cNvGrpSpPr/>
      </xdr:nvGrpSpPr>
      <xdr:grpSpPr>
        <a:xfrm>
          <a:off x="3117851" y="17969442"/>
          <a:ext cx="1112837" cy="511904"/>
          <a:chOff x="3078163" y="18291705"/>
          <a:chExt cx="1103312" cy="521429"/>
        </a:xfrm>
      </xdr:grpSpPr>
      <xdr:sp macro="" textlink="">
        <xdr:nvSpPr>
          <xdr:cNvPr id="180" name="正方形/長方形 179">
            <a:extLst>
              <a:ext uri="{FF2B5EF4-FFF2-40B4-BE49-F238E27FC236}">
                <a16:creationId xmlns:a16="http://schemas.microsoft.com/office/drawing/2014/main" id="{9207A4F8-4AC1-4A28-A47C-ADAE9A7A84DB}"/>
              </a:ext>
            </a:extLst>
          </xdr:cNvPr>
          <xdr:cNvSpPr/>
        </xdr:nvSpPr>
        <xdr:spPr>
          <a:xfrm>
            <a:off x="3120658" y="18314995"/>
            <a:ext cx="1008529" cy="474130"/>
          </a:xfrm>
          <a:prstGeom prst="rect">
            <a:avLst/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81" name="正方形/長方形 180">
            <a:extLst>
              <a:ext uri="{FF2B5EF4-FFF2-40B4-BE49-F238E27FC236}">
                <a16:creationId xmlns:a16="http://schemas.microsoft.com/office/drawing/2014/main" id="{B0CDECA3-E352-43BB-B200-BDDCDE3B1E52}"/>
              </a:ext>
            </a:extLst>
          </xdr:cNvPr>
          <xdr:cNvSpPr/>
        </xdr:nvSpPr>
        <xdr:spPr>
          <a:xfrm>
            <a:off x="3078163" y="18291705"/>
            <a:ext cx="1103312" cy="5214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4</a:t>
            </a:r>
            <a:r>
              <a:rPr kumimoji="1" lang="ja-JP" altLang="en-US" sz="900"/>
              <a:t>．資金繰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予実作成</a:t>
            </a:r>
            <a:endParaRPr kumimoji="1" lang="en-US" altLang="ja-JP" sz="900"/>
          </a:p>
        </xdr:txBody>
      </xdr:sp>
    </xdr:grpSp>
    <xdr:clientData/>
  </xdr:twoCellAnchor>
  <xdr:twoCellAnchor>
    <xdr:from>
      <xdr:col>19</xdr:col>
      <xdr:colOff>150812</xdr:colOff>
      <xdr:row>105</xdr:row>
      <xdr:rowOff>23813</xdr:rowOff>
    </xdr:from>
    <xdr:to>
      <xdr:col>24</xdr:col>
      <xdr:colOff>168275</xdr:colOff>
      <xdr:row>108</xdr:row>
      <xdr:rowOff>166688</xdr:rowOff>
    </xdr:to>
    <xdr:grpSp>
      <xdr:nvGrpSpPr>
        <xdr:cNvPr id="183" name="グループ化 182">
          <a:extLst>
            <a:ext uri="{FF2B5EF4-FFF2-40B4-BE49-F238E27FC236}">
              <a16:creationId xmlns:a16="http://schemas.microsoft.com/office/drawing/2014/main" id="{F3300633-753E-438B-BCAC-272AB66B041B}"/>
            </a:ext>
          </a:extLst>
        </xdr:cNvPr>
        <xdr:cNvGrpSpPr/>
      </xdr:nvGrpSpPr>
      <xdr:grpSpPr>
        <a:xfrm>
          <a:off x="3951287" y="18073688"/>
          <a:ext cx="1017588" cy="657225"/>
          <a:chOff x="4305300" y="5682252"/>
          <a:chExt cx="1003300" cy="510539"/>
        </a:xfrm>
      </xdr:grpSpPr>
      <xdr:sp macro="" textlink="">
        <xdr:nvSpPr>
          <xdr:cNvPr id="184" name="AutoShape 49">
            <a:extLst>
              <a:ext uri="{FF2B5EF4-FFF2-40B4-BE49-F238E27FC236}">
                <a16:creationId xmlns:a16="http://schemas.microsoft.com/office/drawing/2014/main" id="{97C27824-9DFE-45A0-9854-3E2C4614FDAD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185" name="正方形/長方形 48">
            <a:extLst>
              <a:ext uri="{FF2B5EF4-FFF2-40B4-BE49-F238E27FC236}">
                <a16:creationId xmlns:a16="http://schemas.microsoft.com/office/drawing/2014/main" id="{E2A9170E-B700-4743-80AA-5844D1B61681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資金繰予実</a:t>
            </a:r>
          </a:p>
        </xdr:txBody>
      </xdr:sp>
    </xdr:grpSp>
    <xdr:clientData/>
  </xdr:twoCellAnchor>
  <xdr:twoCellAnchor>
    <xdr:from>
      <xdr:col>18</xdr:col>
      <xdr:colOff>52254</xdr:colOff>
      <xdr:row>100</xdr:row>
      <xdr:rowOff>35987</xdr:rowOff>
    </xdr:from>
    <xdr:to>
      <xdr:col>18</xdr:col>
      <xdr:colOff>62573</xdr:colOff>
      <xdr:row>104</xdr:row>
      <xdr:rowOff>114307</xdr:rowOff>
    </xdr:to>
    <xdr:cxnSp macro="">
      <xdr:nvCxnSpPr>
        <xdr:cNvPr id="186" name="直線矢印コネクタ 27">
          <a:extLst>
            <a:ext uri="{FF2B5EF4-FFF2-40B4-BE49-F238E27FC236}">
              <a16:creationId xmlns:a16="http://schemas.microsoft.com/office/drawing/2014/main" id="{B9E5242D-D04C-408D-9ACF-C830557DCDA6}"/>
            </a:ext>
          </a:extLst>
        </xdr:cNvPr>
        <xdr:cNvCxnSpPr>
          <a:cxnSpLocks/>
          <a:stCxn id="169" idx="2"/>
        </xdr:cNvCxnSpPr>
      </xdr:nvCxnSpPr>
      <xdr:spPr>
        <a:xfrm flipH="1">
          <a:off x="3624129" y="17538175"/>
          <a:ext cx="10319" cy="77682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116418</xdr:colOff>
      <xdr:row>116</xdr:row>
      <xdr:rowOff>142875</xdr:rowOff>
    </xdr:from>
    <xdr:to>
      <xdr:col>20</xdr:col>
      <xdr:colOff>24451</xdr:colOff>
      <xdr:row>118</xdr:row>
      <xdr:rowOff>59267</xdr:rowOff>
    </xdr:to>
    <xdr:sp macro="" textlink="">
      <xdr:nvSpPr>
        <xdr:cNvPr id="189" name="フローチャート: 端子 26">
          <a:extLst>
            <a:ext uri="{FF2B5EF4-FFF2-40B4-BE49-F238E27FC236}">
              <a16:creationId xmlns:a16="http://schemas.microsoft.com/office/drawing/2014/main" id="{D3FA93ED-6026-4D24-A59E-D49679ED46CE}"/>
            </a:ext>
          </a:extLst>
        </xdr:cNvPr>
        <xdr:cNvSpPr/>
      </xdr:nvSpPr>
      <xdr:spPr>
        <a:xfrm>
          <a:off x="3316818" y="21135975"/>
          <a:ext cx="708133" cy="27834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18</xdr:col>
      <xdr:colOff>70435</xdr:colOff>
      <xdr:row>118</xdr:row>
      <xdr:rowOff>59267</xdr:rowOff>
    </xdr:from>
    <xdr:to>
      <xdr:col>18</xdr:col>
      <xdr:colOff>71304</xdr:colOff>
      <xdr:row>124</xdr:row>
      <xdr:rowOff>38107</xdr:rowOff>
    </xdr:to>
    <xdr:cxnSp macro="">
      <xdr:nvCxnSpPr>
        <xdr:cNvPr id="190" name="直線矢印コネクタ 27">
          <a:extLst>
            <a:ext uri="{FF2B5EF4-FFF2-40B4-BE49-F238E27FC236}">
              <a16:creationId xmlns:a16="http://schemas.microsoft.com/office/drawing/2014/main" id="{5E736596-7D98-49E8-9609-966572D087A7}"/>
            </a:ext>
          </a:extLst>
        </xdr:cNvPr>
        <xdr:cNvCxnSpPr>
          <a:cxnSpLocks/>
          <a:stCxn id="189" idx="2"/>
        </xdr:cNvCxnSpPr>
      </xdr:nvCxnSpPr>
      <xdr:spPr>
        <a:xfrm>
          <a:off x="3670885" y="21414317"/>
          <a:ext cx="869" cy="106469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96836</xdr:colOff>
      <xdr:row>131</xdr:row>
      <xdr:rowOff>14817</xdr:rowOff>
    </xdr:from>
    <xdr:to>
      <xdr:col>21</xdr:col>
      <xdr:colOff>7936</xdr:colOff>
      <xdr:row>134</xdr:row>
      <xdr:rowOff>12371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9E06EC53-AABE-FE46-2870-78C85D668287}"/>
            </a:ext>
          </a:extLst>
        </xdr:cNvPr>
        <xdr:cNvGrpSpPr/>
      </xdr:nvGrpSpPr>
      <xdr:grpSpPr>
        <a:xfrm>
          <a:off x="3097211" y="22522392"/>
          <a:ext cx="1111250" cy="511904"/>
          <a:chOff x="4787901" y="22612880"/>
          <a:chExt cx="1101725" cy="521429"/>
        </a:xfrm>
      </xdr:grpSpPr>
      <xdr:sp macro="" textlink="">
        <xdr:nvSpPr>
          <xdr:cNvPr id="191" name="フローチャート: 定義済み処理 190">
            <a:extLst>
              <a:ext uri="{FF2B5EF4-FFF2-40B4-BE49-F238E27FC236}">
                <a16:creationId xmlns:a16="http://schemas.microsoft.com/office/drawing/2014/main" id="{29E490D9-F337-48BD-99FC-D104B97C9085}"/>
              </a:ext>
            </a:extLst>
          </xdr:cNvPr>
          <xdr:cNvSpPr/>
        </xdr:nvSpPr>
        <xdr:spPr>
          <a:xfrm>
            <a:off x="4846270" y="22628232"/>
            <a:ext cx="1008529" cy="480480"/>
          </a:xfrm>
          <a:prstGeom prst="flowChartPredefinedProcess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192" name="正方形/長方形 191">
            <a:extLst>
              <a:ext uri="{FF2B5EF4-FFF2-40B4-BE49-F238E27FC236}">
                <a16:creationId xmlns:a16="http://schemas.microsoft.com/office/drawing/2014/main" id="{13879738-2037-43B0-BBEB-A06392E15C58}"/>
              </a:ext>
            </a:extLst>
          </xdr:cNvPr>
          <xdr:cNvSpPr/>
        </xdr:nvSpPr>
        <xdr:spPr>
          <a:xfrm>
            <a:off x="4787901" y="22612880"/>
            <a:ext cx="1101725" cy="5214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2</a:t>
            </a:r>
            <a:r>
              <a:rPr kumimoji="1" lang="ja-JP" altLang="en-US" sz="900"/>
              <a:t>．銀行口座入出金明細出力</a:t>
            </a:r>
            <a:endParaRPr kumimoji="1" lang="en-US" altLang="ja-JP" sz="900"/>
          </a:p>
        </xdr:txBody>
      </xdr:sp>
    </xdr:grpSp>
    <xdr:clientData/>
  </xdr:twoCellAnchor>
  <xdr:twoCellAnchor>
    <xdr:from>
      <xdr:col>20</xdr:col>
      <xdr:colOff>171547</xdr:colOff>
      <xdr:row>132</xdr:row>
      <xdr:rowOff>93264</xdr:rowOff>
    </xdr:from>
    <xdr:to>
      <xdr:col>30</xdr:col>
      <xdr:colOff>113384</xdr:colOff>
      <xdr:row>132</xdr:row>
      <xdr:rowOff>95784</xdr:rowOff>
    </xdr:to>
    <xdr:cxnSp macro="">
      <xdr:nvCxnSpPr>
        <xdr:cNvPr id="193" name="直線矢印コネクタ 192">
          <a:extLst>
            <a:ext uri="{FF2B5EF4-FFF2-40B4-BE49-F238E27FC236}">
              <a16:creationId xmlns:a16="http://schemas.microsoft.com/office/drawing/2014/main" id="{B554EB97-39C8-42CF-B4D0-25601C75EBF8}"/>
            </a:ext>
          </a:extLst>
        </xdr:cNvPr>
        <xdr:cNvCxnSpPr>
          <a:stCxn id="202" idx="2"/>
          <a:endCxn id="191" idx="3"/>
        </xdr:cNvCxnSpPr>
      </xdr:nvCxnSpPr>
      <xdr:spPr>
        <a:xfrm flipH="1">
          <a:off x="4140297" y="23183452"/>
          <a:ext cx="1926212" cy="252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76200</xdr:colOff>
      <xdr:row>130</xdr:row>
      <xdr:rowOff>168269</xdr:rowOff>
    </xdr:from>
    <xdr:to>
      <xdr:col>35</xdr:col>
      <xdr:colOff>142874</xdr:colOff>
      <xdr:row>134</xdr:row>
      <xdr:rowOff>76976</xdr:rowOff>
    </xdr:to>
    <xdr:grpSp>
      <xdr:nvGrpSpPr>
        <xdr:cNvPr id="201" name="グループ化 200">
          <a:extLst>
            <a:ext uri="{FF2B5EF4-FFF2-40B4-BE49-F238E27FC236}">
              <a16:creationId xmlns:a16="http://schemas.microsoft.com/office/drawing/2014/main" id="{C7D42499-DB69-49DE-945B-F07DCF23206D}"/>
            </a:ext>
          </a:extLst>
        </xdr:cNvPr>
        <xdr:cNvGrpSpPr/>
      </xdr:nvGrpSpPr>
      <xdr:grpSpPr>
        <a:xfrm>
          <a:off x="5876925" y="22504394"/>
          <a:ext cx="1266824" cy="594507"/>
          <a:chOff x="6972835" y="2892425"/>
          <a:chExt cx="1233920" cy="594017"/>
        </a:xfrm>
      </xdr:grpSpPr>
      <xdr:sp macro="" textlink="">
        <xdr:nvSpPr>
          <xdr:cNvPr id="202" name="フローチャート: 磁気ディスク 201">
            <a:extLst>
              <a:ext uri="{FF2B5EF4-FFF2-40B4-BE49-F238E27FC236}">
                <a16:creationId xmlns:a16="http://schemas.microsoft.com/office/drawing/2014/main" id="{BC7ADCE9-93C8-4D58-B56D-5ACE61BAE63B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03" name="正方形/長方形 202">
            <a:extLst>
              <a:ext uri="{FF2B5EF4-FFF2-40B4-BE49-F238E27FC236}">
                <a16:creationId xmlns:a16="http://schemas.microsoft.com/office/drawing/2014/main" id="{70B3FE81-1C6C-46F5-8695-7D816EE51952}"/>
              </a:ext>
            </a:extLst>
          </xdr:cNvPr>
          <xdr:cNvSpPr/>
        </xdr:nvSpPr>
        <xdr:spPr>
          <a:xfrm>
            <a:off x="6972835" y="2980835"/>
            <a:ext cx="1233920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伝票トランザクション</a:t>
            </a:r>
          </a:p>
        </xdr:txBody>
      </xdr:sp>
    </xdr:grpSp>
    <xdr:clientData/>
  </xdr:twoCellAnchor>
  <xdr:twoCellAnchor>
    <xdr:from>
      <xdr:col>15</xdr:col>
      <xdr:colOff>153620</xdr:colOff>
      <xdr:row>140</xdr:row>
      <xdr:rowOff>85732</xdr:rowOff>
    </xdr:from>
    <xdr:to>
      <xdr:col>20</xdr:col>
      <xdr:colOff>169962</xdr:colOff>
      <xdr:row>143</xdr:row>
      <xdr:rowOff>35987</xdr:rowOff>
    </xdr:to>
    <xdr:sp macro="" textlink="">
      <xdr:nvSpPr>
        <xdr:cNvPr id="204" name="正方形/長方形 203">
          <a:extLst>
            <a:ext uri="{FF2B5EF4-FFF2-40B4-BE49-F238E27FC236}">
              <a16:creationId xmlns:a16="http://schemas.microsoft.com/office/drawing/2014/main" id="{04429D56-1D79-4350-9415-B1CA8684FC20}"/>
            </a:ext>
          </a:extLst>
        </xdr:cNvPr>
        <xdr:cNvSpPr/>
      </xdr:nvSpPr>
      <xdr:spPr>
        <a:xfrm>
          <a:off x="3153995" y="16735432"/>
          <a:ext cx="1016467" cy="49318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95250</xdr:colOff>
      <xdr:row>140</xdr:row>
      <xdr:rowOff>78317</xdr:rowOff>
    </xdr:from>
    <xdr:to>
      <xdr:col>21</xdr:col>
      <xdr:colOff>6350</xdr:colOff>
      <xdr:row>143</xdr:row>
      <xdr:rowOff>75871</xdr:rowOff>
    </xdr:to>
    <xdr:sp macro="" textlink="">
      <xdr:nvSpPr>
        <xdr:cNvPr id="205" name="正方形/長方形 204">
          <a:extLst>
            <a:ext uri="{FF2B5EF4-FFF2-40B4-BE49-F238E27FC236}">
              <a16:creationId xmlns:a16="http://schemas.microsoft.com/office/drawing/2014/main" id="{1F90A6F5-6E5C-438F-98C9-4ACD3F75C8DA}"/>
            </a:ext>
          </a:extLst>
        </xdr:cNvPr>
        <xdr:cNvSpPr/>
      </xdr:nvSpPr>
      <xdr:spPr>
        <a:xfrm>
          <a:off x="3095625" y="16728017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3</a:t>
          </a:r>
          <a:r>
            <a:rPr kumimoji="1" lang="ja-JP" altLang="en-US" sz="900"/>
            <a:t>．合計日別資金繰実績作成</a:t>
          </a:r>
          <a:endParaRPr kumimoji="1" lang="en-US" altLang="ja-JP" sz="900"/>
        </a:p>
      </xdr:txBody>
    </xdr:sp>
    <xdr:clientData/>
  </xdr:twoCellAnchor>
  <xdr:twoCellAnchor>
    <xdr:from>
      <xdr:col>19</xdr:col>
      <xdr:colOff>95250</xdr:colOff>
      <xdr:row>141</xdr:row>
      <xdr:rowOff>73025</xdr:rowOff>
    </xdr:from>
    <xdr:to>
      <xdr:col>24</xdr:col>
      <xdr:colOff>114300</xdr:colOff>
      <xdr:row>145</xdr:row>
      <xdr:rowOff>34925</xdr:rowOff>
    </xdr:to>
    <xdr:grpSp>
      <xdr:nvGrpSpPr>
        <xdr:cNvPr id="207" name="グループ化 206">
          <a:extLst>
            <a:ext uri="{FF2B5EF4-FFF2-40B4-BE49-F238E27FC236}">
              <a16:creationId xmlns:a16="http://schemas.microsoft.com/office/drawing/2014/main" id="{8FAABD78-ED17-41D6-A160-222FA33FD9D4}"/>
            </a:ext>
          </a:extLst>
        </xdr:cNvPr>
        <xdr:cNvGrpSpPr/>
      </xdr:nvGrpSpPr>
      <xdr:grpSpPr>
        <a:xfrm>
          <a:off x="3895725" y="24295100"/>
          <a:ext cx="1019175" cy="647700"/>
          <a:chOff x="4305300" y="5682252"/>
          <a:chExt cx="1003300" cy="510539"/>
        </a:xfrm>
      </xdr:grpSpPr>
      <xdr:sp macro="" textlink="">
        <xdr:nvSpPr>
          <xdr:cNvPr id="208" name="AutoShape 49">
            <a:extLst>
              <a:ext uri="{FF2B5EF4-FFF2-40B4-BE49-F238E27FC236}">
                <a16:creationId xmlns:a16="http://schemas.microsoft.com/office/drawing/2014/main" id="{6BD58966-C7D8-47E5-8F48-8E44F6CFFC11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209" name="正方形/長方形 48">
            <a:extLst>
              <a:ext uri="{FF2B5EF4-FFF2-40B4-BE49-F238E27FC236}">
                <a16:creationId xmlns:a16="http://schemas.microsoft.com/office/drawing/2014/main" id="{118552C6-70FC-456A-98C6-91A585403573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日別資金繰実績</a:t>
            </a:r>
          </a:p>
        </xdr:txBody>
      </xdr:sp>
    </xdr:grpSp>
    <xdr:clientData/>
  </xdr:twoCellAnchor>
  <xdr:twoCellAnchor>
    <xdr:from>
      <xdr:col>18</xdr:col>
      <xdr:colOff>62573</xdr:colOff>
      <xdr:row>133</xdr:row>
      <xdr:rowOff>161399</xdr:rowOff>
    </xdr:from>
    <xdr:to>
      <xdr:col>18</xdr:col>
      <xdr:colOff>64158</xdr:colOff>
      <xdr:row>140</xdr:row>
      <xdr:rowOff>85732</xdr:rowOff>
    </xdr:to>
    <xdr:cxnSp macro="">
      <xdr:nvCxnSpPr>
        <xdr:cNvPr id="210" name="直線矢印コネクタ 27">
          <a:extLst>
            <a:ext uri="{FF2B5EF4-FFF2-40B4-BE49-F238E27FC236}">
              <a16:creationId xmlns:a16="http://schemas.microsoft.com/office/drawing/2014/main" id="{FDD79701-1A0C-4F5C-9A5B-E211AE14407D}"/>
            </a:ext>
          </a:extLst>
        </xdr:cNvPr>
        <xdr:cNvCxnSpPr>
          <a:cxnSpLocks/>
          <a:stCxn id="191" idx="2"/>
          <a:endCxn id="204" idx="0"/>
        </xdr:cNvCxnSpPr>
      </xdr:nvCxnSpPr>
      <xdr:spPr>
        <a:xfrm flipH="1">
          <a:off x="3634448" y="23426212"/>
          <a:ext cx="1585" cy="114670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31748</xdr:colOff>
      <xdr:row>83</xdr:row>
      <xdr:rowOff>4763</xdr:rowOff>
    </xdr:from>
    <xdr:to>
      <xdr:col>24</xdr:col>
      <xdr:colOff>50799</xdr:colOff>
      <xdr:row>86</xdr:row>
      <xdr:rowOff>90488</xdr:rowOff>
    </xdr:to>
    <xdr:grpSp>
      <xdr:nvGrpSpPr>
        <xdr:cNvPr id="229" name="グループ化 228">
          <a:extLst>
            <a:ext uri="{FF2B5EF4-FFF2-40B4-BE49-F238E27FC236}">
              <a16:creationId xmlns:a16="http://schemas.microsoft.com/office/drawing/2014/main" id="{8B0E4491-EC47-4312-B7DF-73F6FF03C1F5}"/>
            </a:ext>
          </a:extLst>
        </xdr:cNvPr>
        <xdr:cNvGrpSpPr/>
      </xdr:nvGrpSpPr>
      <xdr:grpSpPr>
        <a:xfrm>
          <a:off x="3832223" y="14282738"/>
          <a:ext cx="1019176" cy="600075"/>
          <a:chOff x="4305299" y="5682252"/>
          <a:chExt cx="1003300" cy="510539"/>
        </a:xfrm>
      </xdr:grpSpPr>
      <xdr:sp macro="" textlink="">
        <xdr:nvSpPr>
          <xdr:cNvPr id="230" name="AutoShape 49">
            <a:extLst>
              <a:ext uri="{FF2B5EF4-FFF2-40B4-BE49-F238E27FC236}">
                <a16:creationId xmlns:a16="http://schemas.microsoft.com/office/drawing/2014/main" id="{7E988C38-3989-4A46-85F8-BCCAED8B935D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231" name="正方形/長方形 48">
            <a:extLst>
              <a:ext uri="{FF2B5EF4-FFF2-40B4-BE49-F238E27FC236}">
                <a16:creationId xmlns:a16="http://schemas.microsoft.com/office/drawing/2014/main" id="{8734793A-DCDD-459C-BBF8-7006A501CFF3}"/>
              </a:ext>
            </a:extLst>
          </xdr:cNvPr>
          <xdr:cNvSpPr/>
        </xdr:nvSpPr>
        <xdr:spPr>
          <a:xfrm>
            <a:off x="4305299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各種</a:t>
            </a:r>
            <a:r>
              <a:rPr kumimoji="1" lang="en-US" altLang="ja-JP" sz="900"/>
              <a:t>EXCEL</a:t>
            </a:r>
            <a:r>
              <a:rPr kumimoji="1" lang="ja-JP" altLang="en-US" sz="900"/>
              <a:t>管理台帳等</a:t>
            </a:r>
          </a:p>
        </xdr:txBody>
      </xdr:sp>
    </xdr:grpSp>
    <xdr:clientData/>
  </xdr:twoCellAnchor>
  <xdr:twoCellAnchor>
    <xdr:from>
      <xdr:col>19</xdr:col>
      <xdr:colOff>92075</xdr:colOff>
      <xdr:row>91</xdr:row>
      <xdr:rowOff>55566</xdr:rowOff>
    </xdr:from>
    <xdr:to>
      <xdr:col>24</xdr:col>
      <xdr:colOff>111126</xdr:colOff>
      <xdr:row>94</xdr:row>
      <xdr:rowOff>134941</xdr:rowOff>
    </xdr:to>
    <xdr:grpSp>
      <xdr:nvGrpSpPr>
        <xdr:cNvPr id="235" name="グループ化 234">
          <a:extLst>
            <a:ext uri="{FF2B5EF4-FFF2-40B4-BE49-F238E27FC236}">
              <a16:creationId xmlns:a16="http://schemas.microsoft.com/office/drawing/2014/main" id="{79B3663C-9CE0-46FB-8C66-5B46B7BF644C}"/>
            </a:ext>
          </a:extLst>
        </xdr:cNvPr>
        <xdr:cNvGrpSpPr/>
      </xdr:nvGrpSpPr>
      <xdr:grpSpPr>
        <a:xfrm>
          <a:off x="3892550" y="15705141"/>
          <a:ext cx="1019176" cy="593725"/>
          <a:chOff x="4305300" y="5682256"/>
          <a:chExt cx="1003300" cy="510539"/>
        </a:xfrm>
      </xdr:grpSpPr>
      <xdr:sp macro="" textlink="">
        <xdr:nvSpPr>
          <xdr:cNvPr id="236" name="AutoShape 49">
            <a:extLst>
              <a:ext uri="{FF2B5EF4-FFF2-40B4-BE49-F238E27FC236}">
                <a16:creationId xmlns:a16="http://schemas.microsoft.com/office/drawing/2014/main" id="{FCC2DA24-4CAA-43E6-9F90-6A344A000151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237" name="正方形/長方形 48">
            <a:extLst>
              <a:ext uri="{FF2B5EF4-FFF2-40B4-BE49-F238E27FC236}">
                <a16:creationId xmlns:a16="http://schemas.microsoft.com/office/drawing/2014/main" id="{73D799CD-3EE3-4DE9-B7F7-752BCA09CF20}"/>
              </a:ext>
            </a:extLst>
          </xdr:cNvPr>
          <xdr:cNvSpPr/>
        </xdr:nvSpPr>
        <xdr:spPr>
          <a:xfrm>
            <a:off x="4305300" y="5682256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各種</a:t>
            </a:r>
            <a:r>
              <a:rPr kumimoji="1" lang="en-US" altLang="ja-JP" sz="900"/>
              <a:t>EXCEL</a:t>
            </a:r>
            <a:r>
              <a:rPr kumimoji="1" lang="ja-JP" altLang="en-US" sz="900"/>
              <a:t>管理台帳等</a:t>
            </a:r>
          </a:p>
        </xdr:txBody>
      </xdr:sp>
    </xdr:grpSp>
    <xdr:clientData/>
  </xdr:twoCellAnchor>
  <xdr:twoCellAnchor>
    <xdr:from>
      <xdr:col>15</xdr:col>
      <xdr:colOff>163145</xdr:colOff>
      <xdr:row>124</xdr:row>
      <xdr:rowOff>38107</xdr:rowOff>
    </xdr:from>
    <xdr:to>
      <xdr:col>20</xdr:col>
      <xdr:colOff>179487</xdr:colOff>
      <xdr:row>126</xdr:row>
      <xdr:rowOff>169337</xdr:rowOff>
    </xdr:to>
    <xdr:sp macro="" textlink="">
      <xdr:nvSpPr>
        <xdr:cNvPr id="244" name="正方形/長方形 243">
          <a:extLst>
            <a:ext uri="{FF2B5EF4-FFF2-40B4-BE49-F238E27FC236}">
              <a16:creationId xmlns:a16="http://schemas.microsoft.com/office/drawing/2014/main" id="{155C9BC0-AC2D-4D90-91DF-2434B9235312}"/>
            </a:ext>
          </a:extLst>
        </xdr:cNvPr>
        <xdr:cNvSpPr/>
      </xdr:nvSpPr>
      <xdr:spPr>
        <a:xfrm>
          <a:off x="3163520" y="22840957"/>
          <a:ext cx="1016467" cy="49318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104775</xdr:colOff>
      <xdr:row>124</xdr:row>
      <xdr:rowOff>30692</xdr:rowOff>
    </xdr:from>
    <xdr:to>
      <xdr:col>21</xdr:col>
      <xdr:colOff>15875</xdr:colOff>
      <xdr:row>127</xdr:row>
      <xdr:rowOff>28246</xdr:rowOff>
    </xdr:to>
    <xdr:sp macro="" textlink="">
      <xdr:nvSpPr>
        <xdr:cNvPr id="245" name="正方形/長方形 244">
          <a:extLst>
            <a:ext uri="{FF2B5EF4-FFF2-40B4-BE49-F238E27FC236}">
              <a16:creationId xmlns:a16="http://schemas.microsoft.com/office/drawing/2014/main" id="{C88428FE-1EE9-49A5-9046-AC6C9E4BE826}"/>
            </a:ext>
          </a:extLst>
        </xdr:cNvPr>
        <xdr:cNvSpPr/>
      </xdr:nvSpPr>
      <xdr:spPr>
        <a:xfrm>
          <a:off x="3105150" y="22833542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1</a:t>
          </a:r>
          <a:r>
            <a:rPr kumimoji="1" lang="ja-JP" altLang="en-US" sz="900"/>
            <a:t>．月初見込作成</a:t>
          </a:r>
          <a:endParaRPr kumimoji="1" lang="en-US" altLang="ja-JP" sz="900"/>
        </a:p>
      </xdr:txBody>
    </xdr:sp>
    <xdr:clientData/>
  </xdr:twoCellAnchor>
  <xdr:twoCellAnchor>
    <xdr:from>
      <xdr:col>18</xdr:col>
      <xdr:colOff>158750</xdr:colOff>
      <xdr:row>125</xdr:row>
      <xdr:rowOff>168275</xdr:rowOff>
    </xdr:from>
    <xdr:to>
      <xdr:col>23</xdr:col>
      <xdr:colOff>177799</xdr:colOff>
      <xdr:row>129</xdr:row>
      <xdr:rowOff>130175</xdr:rowOff>
    </xdr:to>
    <xdr:grpSp>
      <xdr:nvGrpSpPr>
        <xdr:cNvPr id="251" name="グループ化 250">
          <a:extLst>
            <a:ext uri="{FF2B5EF4-FFF2-40B4-BE49-F238E27FC236}">
              <a16:creationId xmlns:a16="http://schemas.microsoft.com/office/drawing/2014/main" id="{FAD1C8CE-C25F-4C74-99E2-76635AEC276B}"/>
            </a:ext>
          </a:extLst>
        </xdr:cNvPr>
        <xdr:cNvGrpSpPr/>
      </xdr:nvGrpSpPr>
      <xdr:grpSpPr>
        <a:xfrm>
          <a:off x="3759200" y="21647150"/>
          <a:ext cx="1019174" cy="647700"/>
          <a:chOff x="4305300" y="5682252"/>
          <a:chExt cx="1003300" cy="510539"/>
        </a:xfrm>
      </xdr:grpSpPr>
      <xdr:sp macro="" textlink="">
        <xdr:nvSpPr>
          <xdr:cNvPr id="252" name="AutoShape 49">
            <a:extLst>
              <a:ext uri="{FF2B5EF4-FFF2-40B4-BE49-F238E27FC236}">
                <a16:creationId xmlns:a16="http://schemas.microsoft.com/office/drawing/2014/main" id="{389066EB-2C91-456E-850B-E67C0F393691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253" name="正方形/長方形 48">
            <a:extLst>
              <a:ext uri="{FF2B5EF4-FFF2-40B4-BE49-F238E27FC236}">
                <a16:creationId xmlns:a16="http://schemas.microsoft.com/office/drawing/2014/main" id="{619E2825-E746-4D8E-B2B8-918594E9F03F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日別資金繰実績</a:t>
            </a:r>
          </a:p>
        </xdr:txBody>
      </xdr:sp>
    </xdr:grpSp>
    <xdr:clientData/>
  </xdr:twoCellAnchor>
  <xdr:twoCellAnchor>
    <xdr:from>
      <xdr:col>16</xdr:col>
      <xdr:colOff>133350</xdr:colOff>
      <xdr:row>66</xdr:row>
      <xdr:rowOff>85725</xdr:rowOff>
    </xdr:from>
    <xdr:to>
      <xdr:col>20</xdr:col>
      <xdr:colOff>41699</xdr:colOff>
      <xdr:row>67</xdr:row>
      <xdr:rowOff>159595</xdr:rowOff>
    </xdr:to>
    <xdr:sp macro="" textlink="">
      <xdr:nvSpPr>
        <xdr:cNvPr id="269" name="フローチャート: 端子 268">
          <a:extLst>
            <a:ext uri="{FF2B5EF4-FFF2-40B4-BE49-F238E27FC236}">
              <a16:creationId xmlns:a16="http://schemas.microsoft.com/office/drawing/2014/main" id="{90972CAE-0F72-4F9B-92F5-27A969F1E7B7}"/>
            </a:ext>
          </a:extLst>
        </xdr:cNvPr>
        <xdr:cNvSpPr/>
      </xdr:nvSpPr>
      <xdr:spPr>
        <a:xfrm>
          <a:off x="3333750" y="12030075"/>
          <a:ext cx="708449" cy="25484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18</xdr:col>
      <xdr:colOff>87525</xdr:colOff>
      <xdr:row>64</xdr:row>
      <xdr:rowOff>29630</xdr:rowOff>
    </xdr:from>
    <xdr:to>
      <xdr:col>18</xdr:col>
      <xdr:colOff>91517</xdr:colOff>
      <xdr:row>66</xdr:row>
      <xdr:rowOff>85725</xdr:rowOff>
    </xdr:to>
    <xdr:cxnSp macro="">
      <xdr:nvCxnSpPr>
        <xdr:cNvPr id="270" name="直線矢印コネクタ 27">
          <a:extLst>
            <a:ext uri="{FF2B5EF4-FFF2-40B4-BE49-F238E27FC236}">
              <a16:creationId xmlns:a16="http://schemas.microsoft.com/office/drawing/2014/main" id="{A5016E14-EB10-41DC-B4A7-60F1222046D4}"/>
            </a:ext>
          </a:extLst>
        </xdr:cNvPr>
        <xdr:cNvCxnSpPr>
          <a:cxnSpLocks/>
          <a:stCxn id="20" idx="2"/>
          <a:endCxn id="269" idx="0"/>
        </xdr:cNvCxnSpPr>
      </xdr:nvCxnSpPr>
      <xdr:spPr>
        <a:xfrm flipH="1">
          <a:off x="3659400" y="11245318"/>
          <a:ext cx="3992" cy="40534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125415</xdr:colOff>
      <xdr:row>109</xdr:row>
      <xdr:rowOff>143204</xdr:rowOff>
    </xdr:from>
    <xdr:to>
      <xdr:col>20</xdr:col>
      <xdr:colOff>35352</xdr:colOff>
      <xdr:row>111</xdr:row>
      <xdr:rowOff>36099</xdr:rowOff>
    </xdr:to>
    <xdr:sp macro="" textlink="">
      <xdr:nvSpPr>
        <xdr:cNvPr id="273" name="フローチャート: 端子 272">
          <a:extLst>
            <a:ext uri="{FF2B5EF4-FFF2-40B4-BE49-F238E27FC236}">
              <a16:creationId xmlns:a16="http://schemas.microsoft.com/office/drawing/2014/main" id="{D23CABF0-1769-4715-8DCB-A70F02659980}"/>
            </a:ext>
          </a:extLst>
        </xdr:cNvPr>
        <xdr:cNvSpPr/>
      </xdr:nvSpPr>
      <xdr:spPr>
        <a:xfrm>
          <a:off x="3300415" y="19217017"/>
          <a:ext cx="703687" cy="24214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18</xdr:col>
      <xdr:colOff>68924</xdr:colOff>
      <xdr:row>107</xdr:row>
      <xdr:rowOff>64562</xdr:rowOff>
    </xdr:from>
    <xdr:to>
      <xdr:col>18</xdr:col>
      <xdr:colOff>80384</xdr:colOff>
      <xdr:row>109</xdr:row>
      <xdr:rowOff>143204</xdr:rowOff>
    </xdr:to>
    <xdr:cxnSp macro="">
      <xdr:nvCxnSpPr>
        <xdr:cNvPr id="274" name="直線矢印コネクタ 27">
          <a:extLst>
            <a:ext uri="{FF2B5EF4-FFF2-40B4-BE49-F238E27FC236}">
              <a16:creationId xmlns:a16="http://schemas.microsoft.com/office/drawing/2014/main" id="{EB2EDD58-031D-44E6-A9FB-312229CF5AE8}"/>
            </a:ext>
          </a:extLst>
        </xdr:cNvPr>
        <xdr:cNvCxnSpPr>
          <a:cxnSpLocks/>
          <a:stCxn id="180" idx="2"/>
          <a:endCxn id="273" idx="0"/>
        </xdr:cNvCxnSpPr>
      </xdr:nvCxnSpPr>
      <xdr:spPr>
        <a:xfrm>
          <a:off x="3640799" y="18789125"/>
          <a:ext cx="11460" cy="42789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103188</xdr:colOff>
      <xdr:row>146</xdr:row>
      <xdr:rowOff>85725</xdr:rowOff>
    </xdr:from>
    <xdr:to>
      <xdr:col>20</xdr:col>
      <xdr:colOff>11537</xdr:colOff>
      <xdr:row>147</xdr:row>
      <xdr:rowOff>159595</xdr:rowOff>
    </xdr:to>
    <xdr:sp macro="" textlink="">
      <xdr:nvSpPr>
        <xdr:cNvPr id="276" name="フローチャート: 端子 275">
          <a:extLst>
            <a:ext uri="{FF2B5EF4-FFF2-40B4-BE49-F238E27FC236}">
              <a16:creationId xmlns:a16="http://schemas.microsoft.com/office/drawing/2014/main" id="{AD5F74A9-2170-44A1-81D8-A17A8E600E06}"/>
            </a:ext>
          </a:extLst>
        </xdr:cNvPr>
        <xdr:cNvSpPr/>
      </xdr:nvSpPr>
      <xdr:spPr>
        <a:xfrm>
          <a:off x="3278188" y="25620663"/>
          <a:ext cx="702099" cy="24849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18</xdr:col>
      <xdr:colOff>64158</xdr:colOff>
      <xdr:row>126</xdr:row>
      <xdr:rowOff>169337</xdr:rowOff>
    </xdr:from>
    <xdr:to>
      <xdr:col>18</xdr:col>
      <xdr:colOff>72098</xdr:colOff>
      <xdr:row>131</xdr:row>
      <xdr:rowOff>30169</xdr:rowOff>
    </xdr:to>
    <xdr:cxnSp macro="">
      <xdr:nvCxnSpPr>
        <xdr:cNvPr id="278" name="直線矢印コネクタ 27">
          <a:extLst>
            <a:ext uri="{FF2B5EF4-FFF2-40B4-BE49-F238E27FC236}">
              <a16:creationId xmlns:a16="http://schemas.microsoft.com/office/drawing/2014/main" id="{4117778E-C8F6-4EE0-83F2-269A48682CA1}"/>
            </a:ext>
          </a:extLst>
        </xdr:cNvPr>
        <xdr:cNvCxnSpPr>
          <a:cxnSpLocks/>
          <a:stCxn id="244" idx="2"/>
          <a:endCxn id="191" idx="0"/>
        </xdr:cNvCxnSpPr>
      </xdr:nvCxnSpPr>
      <xdr:spPr>
        <a:xfrm flipH="1">
          <a:off x="3636033" y="22211775"/>
          <a:ext cx="7940" cy="73395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57363</xdr:colOff>
      <xdr:row>143</xdr:row>
      <xdr:rowOff>35987</xdr:rowOff>
    </xdr:from>
    <xdr:to>
      <xdr:col>18</xdr:col>
      <xdr:colOff>62573</xdr:colOff>
      <xdr:row>146</xdr:row>
      <xdr:rowOff>85725</xdr:rowOff>
    </xdr:to>
    <xdr:cxnSp macro="">
      <xdr:nvCxnSpPr>
        <xdr:cNvPr id="281" name="直線矢印コネクタ 27">
          <a:extLst>
            <a:ext uri="{FF2B5EF4-FFF2-40B4-BE49-F238E27FC236}">
              <a16:creationId xmlns:a16="http://schemas.microsoft.com/office/drawing/2014/main" id="{1AD3F858-9C8D-4E52-9603-42146585E1AD}"/>
            </a:ext>
          </a:extLst>
        </xdr:cNvPr>
        <xdr:cNvCxnSpPr>
          <a:cxnSpLocks/>
          <a:stCxn id="204" idx="2"/>
          <a:endCxn id="276" idx="0"/>
        </xdr:cNvCxnSpPr>
      </xdr:nvCxnSpPr>
      <xdr:spPr>
        <a:xfrm flipH="1">
          <a:off x="3629238" y="25047050"/>
          <a:ext cx="5210" cy="57361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142875</xdr:colOff>
      <xdr:row>46</xdr:row>
      <xdr:rowOff>95250</xdr:rowOff>
    </xdr:from>
    <xdr:to>
      <xdr:col>42</xdr:col>
      <xdr:colOff>39158</xdr:colOff>
      <xdr:row>49</xdr:row>
      <xdr:rowOff>169057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77C6D68-795F-3D08-3C82-0E7620DED593}"/>
            </a:ext>
          </a:extLst>
        </xdr:cNvPr>
        <xdr:cNvGrpSpPr/>
      </xdr:nvGrpSpPr>
      <xdr:grpSpPr>
        <a:xfrm>
          <a:off x="7543800" y="8029575"/>
          <a:ext cx="896408" cy="588157"/>
          <a:chOff x="7111999" y="2892425"/>
          <a:chExt cx="873125" cy="584982"/>
        </a:xfrm>
      </xdr:grpSpPr>
      <xdr:sp macro="" textlink="">
        <xdr:nvSpPr>
          <xdr:cNvPr id="3" name="フローチャート: 磁気ディスク 2">
            <a:extLst>
              <a:ext uri="{FF2B5EF4-FFF2-40B4-BE49-F238E27FC236}">
                <a16:creationId xmlns:a16="http://schemas.microsoft.com/office/drawing/2014/main" id="{DA787A59-7A3A-024F-06B5-DB22F3FED2EF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C570A133-AAA5-153A-8D02-F223A275D9E6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37</xdr:col>
      <xdr:colOff>90488</xdr:colOff>
      <xdr:row>92</xdr:row>
      <xdr:rowOff>125413</xdr:rowOff>
    </xdr:from>
    <xdr:to>
      <xdr:col>41</xdr:col>
      <xdr:colOff>186796</xdr:colOff>
      <xdr:row>96</xdr:row>
      <xdr:rowOff>24595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B30288E0-C6A6-492F-A525-806D9B27C809}"/>
            </a:ext>
          </a:extLst>
        </xdr:cNvPr>
        <xdr:cNvGrpSpPr/>
      </xdr:nvGrpSpPr>
      <xdr:grpSpPr>
        <a:xfrm>
          <a:off x="7491413" y="15946438"/>
          <a:ext cx="896408" cy="584982"/>
          <a:chOff x="7111999" y="2892425"/>
          <a:chExt cx="873125" cy="584982"/>
        </a:xfrm>
      </xdr:grpSpPr>
      <xdr:sp macro="" textlink="">
        <xdr:nvSpPr>
          <xdr:cNvPr id="9" name="フローチャート: 磁気ディスク 8">
            <a:extLst>
              <a:ext uri="{FF2B5EF4-FFF2-40B4-BE49-F238E27FC236}">
                <a16:creationId xmlns:a16="http://schemas.microsoft.com/office/drawing/2014/main" id="{0353D675-0FB4-D27B-E53E-47354EF77291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A8013F61-9DAF-0BCD-0719-793B20EAE4FB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Mcframe</a:t>
            </a:r>
            <a:endParaRPr kumimoji="1" lang="ja-JP" altLang="en-US" sz="900"/>
          </a:p>
        </xdr:txBody>
      </xdr:sp>
    </xdr:grpSp>
    <xdr:clientData/>
  </xdr:twoCellAnchor>
  <xdr:twoCellAnchor>
    <xdr:from>
      <xdr:col>4</xdr:col>
      <xdr:colOff>95250</xdr:colOff>
      <xdr:row>11</xdr:row>
      <xdr:rowOff>85725</xdr:rowOff>
    </xdr:from>
    <xdr:to>
      <xdr:col>58</xdr:col>
      <xdr:colOff>52917</xdr:colOff>
      <xdr:row>68</xdr:row>
      <xdr:rowOff>152400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377546D-D53F-4991-9554-E49F1D8C04B9}"/>
            </a:ext>
          </a:extLst>
        </xdr:cNvPr>
        <xdr:cNvSpPr/>
      </xdr:nvSpPr>
      <xdr:spPr>
        <a:xfrm>
          <a:off x="895350" y="2076450"/>
          <a:ext cx="10759017" cy="10382250"/>
        </a:xfrm>
        <a:prstGeom prst="rect">
          <a:avLst/>
        </a:prstGeom>
        <a:solidFill>
          <a:schemeClr val="bg1">
            <a:lumMod val="85000"/>
            <a:alpha val="30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85725</xdr:colOff>
      <xdr:row>72</xdr:row>
      <xdr:rowOff>85725</xdr:rowOff>
    </xdr:from>
    <xdr:to>
      <xdr:col>58</xdr:col>
      <xdr:colOff>43392</xdr:colOff>
      <xdr:row>111</xdr:row>
      <xdr:rowOff>152400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54193D4-7CEA-4B8F-93CC-BA042B40876C}"/>
            </a:ext>
          </a:extLst>
        </xdr:cNvPr>
        <xdr:cNvSpPr/>
      </xdr:nvSpPr>
      <xdr:spPr>
        <a:xfrm>
          <a:off x="885825" y="13115925"/>
          <a:ext cx="10759017" cy="7124700"/>
        </a:xfrm>
        <a:prstGeom prst="rect">
          <a:avLst/>
        </a:prstGeom>
        <a:solidFill>
          <a:schemeClr val="bg1">
            <a:lumMod val="85000"/>
            <a:alpha val="30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95250</xdr:colOff>
      <xdr:row>115</xdr:row>
      <xdr:rowOff>66675</xdr:rowOff>
    </xdr:from>
    <xdr:to>
      <xdr:col>58</xdr:col>
      <xdr:colOff>52917</xdr:colOff>
      <xdr:row>151</xdr:row>
      <xdr:rowOff>104775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487B59D-8E14-4EE0-905C-EFA95839B07F}"/>
            </a:ext>
          </a:extLst>
        </xdr:cNvPr>
        <xdr:cNvSpPr/>
      </xdr:nvSpPr>
      <xdr:spPr>
        <a:xfrm>
          <a:off x="895350" y="20878800"/>
          <a:ext cx="10759017" cy="6553200"/>
        </a:xfrm>
        <a:prstGeom prst="rect">
          <a:avLst/>
        </a:prstGeom>
        <a:solidFill>
          <a:schemeClr val="bg1">
            <a:lumMod val="85000"/>
            <a:alpha val="30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95250</xdr:colOff>
      <xdr:row>13</xdr:row>
      <xdr:rowOff>114300</xdr:rowOff>
    </xdr:from>
    <xdr:to>
      <xdr:col>47</xdr:col>
      <xdr:colOff>190500</xdr:colOff>
      <xdr:row>23</xdr:row>
      <xdr:rowOff>57149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81DE5941-B906-4C5A-BD93-D2D20650CE39}"/>
            </a:ext>
          </a:extLst>
        </xdr:cNvPr>
        <xdr:cNvSpPr txBox="1"/>
      </xdr:nvSpPr>
      <xdr:spPr>
        <a:xfrm>
          <a:off x="4295775" y="2466975"/>
          <a:ext cx="5295900" cy="175259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＜注記＞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資金予測のプロセスについては、現行</a:t>
          </a:r>
          <a:r>
            <a:rPr kumimoji="1" lang="en-US" altLang="ja-JP" sz="1100">
              <a:solidFill>
                <a:sysClr val="windowText" lastClr="000000"/>
              </a:solidFill>
            </a:rPr>
            <a:t>EXCEL</a:t>
          </a:r>
          <a:r>
            <a:rPr kumimoji="1" lang="ja-JP" altLang="en-US" sz="1100">
              <a:solidFill>
                <a:sysClr val="windowText" lastClr="000000"/>
              </a:solidFill>
            </a:rPr>
            <a:t>作業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年度資金繰計画</a:t>
          </a:r>
          <a:r>
            <a:rPr kumimoji="1" lang="en-US" altLang="ja-JP" sz="1100">
              <a:solidFill>
                <a:sysClr val="windowText" lastClr="000000"/>
              </a:solidFill>
            </a:rPr>
            <a:t>EXCEL</a:t>
          </a: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月別資金繰実績</a:t>
          </a:r>
          <a:r>
            <a:rPr kumimoji="1" lang="en-US" altLang="ja-JP" sz="1100">
              <a:solidFill>
                <a:sysClr val="windowText" lastClr="000000"/>
              </a:solidFill>
            </a:rPr>
            <a:t>EXCEL</a:t>
          </a:r>
        </a:p>
        <a:p>
          <a:r>
            <a:rPr kumimoji="1" lang="ja-JP" altLang="en-US" sz="1100">
              <a:solidFill>
                <a:sysClr val="windowText" lastClr="000000"/>
              </a:solidFill>
            </a:rPr>
            <a:t>　日別資金繰実績</a:t>
          </a:r>
          <a:r>
            <a:rPr kumimoji="1" lang="en-US" altLang="ja-JP" sz="1100">
              <a:solidFill>
                <a:sysClr val="windowText" lastClr="000000"/>
              </a:solidFill>
            </a:rPr>
            <a:t>EXCEL</a:t>
          </a:r>
        </a:p>
        <a:p>
          <a:r>
            <a:rPr kumimoji="1" lang="ja-JP" altLang="en-US" sz="1100">
              <a:solidFill>
                <a:sysClr val="windowText" lastClr="000000"/>
              </a:solidFill>
            </a:rPr>
            <a:t>が</a:t>
          </a:r>
          <a:r>
            <a:rPr kumimoji="1" lang="en-US" altLang="ja-JP" sz="1100">
              <a:solidFill>
                <a:sysClr val="windowText" lastClr="000000"/>
              </a:solidFill>
            </a:rPr>
            <a:t>D365</a:t>
          </a:r>
          <a:r>
            <a:rPr kumimoji="1" lang="ja-JP" altLang="en-US" sz="1100">
              <a:solidFill>
                <a:sysClr val="windowText" lastClr="000000"/>
              </a:solidFill>
            </a:rPr>
            <a:t>標準機能で対応不可のため</a:t>
          </a:r>
          <a:r>
            <a:rPr kumimoji="1" lang="en-US" altLang="ja-JP" sz="1100">
              <a:solidFill>
                <a:sysClr val="windowText" lastClr="000000"/>
              </a:solidFill>
            </a:rPr>
            <a:t>FO</a:t>
          </a:r>
          <a:r>
            <a:rPr kumimoji="1" lang="ja-JP" altLang="en-US" sz="1100">
              <a:solidFill>
                <a:sysClr val="windowText" lastClr="000000"/>
              </a:solidFill>
            </a:rPr>
            <a:t>のスコープ外となった。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endParaRPr kumimoji="1" lang="en-US" altLang="ja-JP" sz="1100">
            <a:solidFill>
              <a:sysClr val="windowText" lastClr="000000"/>
            </a:solidFill>
          </a:endParaRPr>
        </a:p>
        <a:p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119156</xdr:colOff>
      <xdr:row>12</xdr:row>
      <xdr:rowOff>42334</xdr:rowOff>
    </xdr:from>
    <xdr:to>
      <xdr:col>20</xdr:col>
      <xdr:colOff>30115</xdr:colOff>
      <xdr:row>13</xdr:row>
      <xdr:rowOff>141444</xdr:rowOff>
    </xdr:to>
    <xdr:sp macro="" textlink="">
      <xdr:nvSpPr>
        <xdr:cNvPr id="159" name="フローチャート: 端子 26">
          <a:extLst>
            <a:ext uri="{FF2B5EF4-FFF2-40B4-BE49-F238E27FC236}">
              <a16:creationId xmlns:a16="http://schemas.microsoft.com/office/drawing/2014/main" id="{D54C1A52-8303-4ECF-9F09-621CA77AEBA8}"/>
            </a:ext>
          </a:extLst>
        </xdr:cNvPr>
        <xdr:cNvSpPr/>
      </xdr:nvSpPr>
      <xdr:spPr>
        <a:xfrm>
          <a:off x="3336489" y="2201334"/>
          <a:ext cx="715293" cy="27902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18</xdr:col>
      <xdr:colOff>74636</xdr:colOff>
      <xdr:row>13</xdr:row>
      <xdr:rowOff>141444</xdr:rowOff>
    </xdr:from>
    <xdr:to>
      <xdr:col>18</xdr:col>
      <xdr:colOff>89825</xdr:colOff>
      <xdr:row>22</xdr:row>
      <xdr:rowOff>9532</xdr:rowOff>
    </xdr:to>
    <xdr:cxnSp macro="">
      <xdr:nvCxnSpPr>
        <xdr:cNvPr id="163" name="直線矢印コネクタ 27">
          <a:extLst>
            <a:ext uri="{FF2B5EF4-FFF2-40B4-BE49-F238E27FC236}">
              <a16:creationId xmlns:a16="http://schemas.microsoft.com/office/drawing/2014/main" id="{E916A43D-C12C-403F-8024-B3BCECD0BEC9}"/>
            </a:ext>
          </a:extLst>
        </xdr:cNvPr>
        <xdr:cNvCxnSpPr>
          <a:cxnSpLocks/>
          <a:stCxn id="159" idx="2"/>
          <a:endCxn id="171" idx="0"/>
        </xdr:cNvCxnSpPr>
      </xdr:nvCxnSpPr>
      <xdr:spPr>
        <a:xfrm>
          <a:off x="3694136" y="2480361"/>
          <a:ext cx="15189" cy="256683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182195</xdr:colOff>
      <xdr:row>22</xdr:row>
      <xdr:rowOff>9532</xdr:rowOff>
    </xdr:from>
    <xdr:to>
      <xdr:col>20</xdr:col>
      <xdr:colOff>198537</xdr:colOff>
      <xdr:row>24</xdr:row>
      <xdr:rowOff>140762</xdr:rowOff>
    </xdr:to>
    <xdr:sp macro="" textlink="">
      <xdr:nvSpPr>
        <xdr:cNvPr id="171" name="フローチャート: 定義済み処理 170">
          <a:extLst>
            <a:ext uri="{FF2B5EF4-FFF2-40B4-BE49-F238E27FC236}">
              <a16:creationId xmlns:a16="http://schemas.microsoft.com/office/drawing/2014/main" id="{59443A6B-CDF3-4610-892F-1A7A29982C2A}"/>
            </a:ext>
          </a:extLst>
        </xdr:cNvPr>
        <xdr:cNvSpPr/>
      </xdr:nvSpPr>
      <xdr:spPr>
        <a:xfrm>
          <a:off x="3182570" y="3629032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123825</xdr:colOff>
      <xdr:row>22</xdr:row>
      <xdr:rowOff>2117</xdr:rowOff>
    </xdr:from>
    <xdr:to>
      <xdr:col>21</xdr:col>
      <xdr:colOff>34925</xdr:colOff>
      <xdr:row>24</xdr:row>
      <xdr:rowOff>180646</xdr:rowOff>
    </xdr:to>
    <xdr:sp macro="" textlink="">
      <xdr:nvSpPr>
        <xdr:cNvPr id="172" name="正方形/長方形 171">
          <a:extLst>
            <a:ext uri="{FF2B5EF4-FFF2-40B4-BE49-F238E27FC236}">
              <a16:creationId xmlns:a16="http://schemas.microsoft.com/office/drawing/2014/main" id="{9D6CAB78-2814-42EC-A0B2-FC407492E996}"/>
            </a:ext>
          </a:extLst>
        </xdr:cNvPr>
        <xdr:cNvSpPr/>
      </xdr:nvSpPr>
      <xdr:spPr>
        <a:xfrm>
          <a:off x="3124200" y="3621617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1</a:t>
          </a:r>
          <a:r>
            <a:rPr kumimoji="1" lang="ja-JP" altLang="en-US" sz="900"/>
            <a:t>．グローバルコミットメントライン枠登録</a:t>
          </a:r>
          <a:endParaRPr kumimoji="1" lang="en-US" altLang="ja-JP" sz="900"/>
        </a:p>
      </xdr:txBody>
    </xdr:sp>
    <xdr:clientData/>
  </xdr:twoCellAnchor>
  <xdr:twoCellAnchor>
    <xdr:from>
      <xdr:col>20</xdr:col>
      <xdr:colOff>198537</xdr:colOff>
      <xdr:row>23</xdr:row>
      <xdr:rowOff>66950</xdr:rowOff>
    </xdr:from>
    <xdr:to>
      <xdr:col>30</xdr:col>
      <xdr:colOff>171790</xdr:colOff>
      <xdr:row>23</xdr:row>
      <xdr:rowOff>75147</xdr:rowOff>
    </xdr:to>
    <xdr:cxnSp macro="">
      <xdr:nvCxnSpPr>
        <xdr:cNvPr id="173" name="直線矢印コネクタ 172">
          <a:extLst>
            <a:ext uri="{FF2B5EF4-FFF2-40B4-BE49-F238E27FC236}">
              <a16:creationId xmlns:a16="http://schemas.microsoft.com/office/drawing/2014/main" id="{468F420D-A396-4F80-ABC4-A2110873D38B}"/>
            </a:ext>
          </a:extLst>
        </xdr:cNvPr>
        <xdr:cNvCxnSpPr>
          <a:stCxn id="171" idx="3"/>
          <a:endCxn id="175" idx="2"/>
        </xdr:cNvCxnSpPr>
      </xdr:nvCxnSpPr>
      <xdr:spPr>
        <a:xfrm flipV="1">
          <a:off x="4199037" y="3867425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77259</xdr:colOff>
      <xdr:row>21</xdr:row>
      <xdr:rowOff>146051</xdr:rowOff>
    </xdr:from>
    <xdr:to>
      <xdr:col>34</xdr:col>
      <xdr:colOff>173567</xdr:colOff>
      <xdr:row>25</xdr:row>
      <xdr:rowOff>38883</xdr:rowOff>
    </xdr:to>
    <xdr:grpSp>
      <xdr:nvGrpSpPr>
        <xdr:cNvPr id="174" name="グループ化 173">
          <a:extLst>
            <a:ext uri="{FF2B5EF4-FFF2-40B4-BE49-F238E27FC236}">
              <a16:creationId xmlns:a16="http://schemas.microsoft.com/office/drawing/2014/main" id="{52D74DF4-CB50-4AE9-A561-3F1F4D63823C}"/>
            </a:ext>
          </a:extLst>
        </xdr:cNvPr>
        <xdr:cNvGrpSpPr/>
      </xdr:nvGrpSpPr>
      <xdr:grpSpPr>
        <a:xfrm>
          <a:off x="6078009" y="3794126"/>
          <a:ext cx="896408" cy="578632"/>
          <a:chOff x="7111999" y="2892425"/>
          <a:chExt cx="873125" cy="584982"/>
        </a:xfrm>
      </xdr:grpSpPr>
      <xdr:sp macro="" textlink="">
        <xdr:nvSpPr>
          <xdr:cNvPr id="175" name="フローチャート: 磁気ディスク 174">
            <a:extLst>
              <a:ext uri="{FF2B5EF4-FFF2-40B4-BE49-F238E27FC236}">
                <a16:creationId xmlns:a16="http://schemas.microsoft.com/office/drawing/2014/main" id="{5E522B15-CE6D-4CAB-BDB6-4EBDBAEEC7F8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76" name="正方形/長方形 175">
            <a:extLst>
              <a:ext uri="{FF2B5EF4-FFF2-40B4-BE49-F238E27FC236}">
                <a16:creationId xmlns:a16="http://schemas.microsoft.com/office/drawing/2014/main" id="{79CE45F4-D2E1-4F4C-8425-84B4CA5E2295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予算登録エントリ</a:t>
            </a:r>
          </a:p>
        </xdr:txBody>
      </xdr:sp>
    </xdr:grpSp>
    <xdr:clientData/>
  </xdr:twoCellAnchor>
  <xdr:twoCellAnchor>
    <xdr:from>
      <xdr:col>18</xdr:col>
      <xdr:colOff>79375</xdr:colOff>
      <xdr:row>24</xdr:row>
      <xdr:rowOff>180646</xdr:rowOff>
    </xdr:from>
    <xdr:to>
      <xdr:col>18</xdr:col>
      <xdr:colOff>80829</xdr:colOff>
      <xdr:row>31</xdr:row>
      <xdr:rowOff>7</xdr:rowOff>
    </xdr:to>
    <xdr:cxnSp macro="">
      <xdr:nvCxnSpPr>
        <xdr:cNvPr id="177" name="直線矢印コネクタ 27">
          <a:extLst>
            <a:ext uri="{FF2B5EF4-FFF2-40B4-BE49-F238E27FC236}">
              <a16:creationId xmlns:a16="http://schemas.microsoft.com/office/drawing/2014/main" id="{8C14A5C1-13BC-445C-AD31-058FB79A5995}"/>
            </a:ext>
          </a:extLst>
        </xdr:cNvPr>
        <xdr:cNvCxnSpPr>
          <a:cxnSpLocks/>
          <a:stCxn id="172" idx="2"/>
        </xdr:cNvCxnSpPr>
      </xdr:nvCxnSpPr>
      <xdr:spPr>
        <a:xfrm>
          <a:off x="3679825" y="4162096"/>
          <a:ext cx="1454" cy="108618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172670</xdr:colOff>
      <xdr:row>31</xdr:row>
      <xdr:rowOff>9532</xdr:rowOff>
    </xdr:from>
    <xdr:to>
      <xdr:col>20</xdr:col>
      <xdr:colOff>189012</xdr:colOff>
      <xdr:row>33</xdr:row>
      <xdr:rowOff>140762</xdr:rowOff>
    </xdr:to>
    <xdr:sp macro="" textlink="">
      <xdr:nvSpPr>
        <xdr:cNvPr id="179" name="正方形/長方形 178">
          <a:extLst>
            <a:ext uri="{FF2B5EF4-FFF2-40B4-BE49-F238E27FC236}">
              <a16:creationId xmlns:a16="http://schemas.microsoft.com/office/drawing/2014/main" id="{E8C5ED0E-5B1C-4E8E-A8F6-BDCF8E41E61D}"/>
            </a:ext>
          </a:extLst>
        </xdr:cNvPr>
        <xdr:cNvSpPr/>
      </xdr:nvSpPr>
      <xdr:spPr>
        <a:xfrm>
          <a:off x="3173045" y="5257807"/>
          <a:ext cx="1016467" cy="49318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114300</xdr:colOff>
      <xdr:row>31</xdr:row>
      <xdr:rowOff>2117</xdr:rowOff>
    </xdr:from>
    <xdr:to>
      <xdr:col>21</xdr:col>
      <xdr:colOff>25400</xdr:colOff>
      <xdr:row>33</xdr:row>
      <xdr:rowOff>180646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31FEFC9B-C218-4D6E-8386-B0855629B9BD}"/>
            </a:ext>
          </a:extLst>
        </xdr:cNvPr>
        <xdr:cNvSpPr/>
      </xdr:nvSpPr>
      <xdr:spPr>
        <a:xfrm>
          <a:off x="3114675" y="5250392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2</a:t>
          </a:r>
          <a:r>
            <a:rPr kumimoji="1" lang="ja-JP" altLang="en-US" sz="900"/>
            <a:t>．データの収集</a:t>
          </a:r>
          <a:endParaRPr kumimoji="1" lang="en-US" altLang="ja-JP" sz="900"/>
        </a:p>
        <a:p>
          <a:pPr algn="ctr"/>
          <a:r>
            <a:rPr kumimoji="1" lang="ja-JP" altLang="en-US" sz="900"/>
            <a:t>依頼</a:t>
          </a:r>
          <a:endParaRPr kumimoji="1" lang="en-US" altLang="ja-JP" sz="900"/>
        </a:p>
      </xdr:txBody>
    </xdr:sp>
    <xdr:clientData/>
  </xdr:twoCellAnchor>
  <xdr:twoCellAnchor>
    <xdr:from>
      <xdr:col>5</xdr:col>
      <xdr:colOff>142178</xdr:colOff>
      <xdr:row>32</xdr:row>
      <xdr:rowOff>75148</xdr:rowOff>
    </xdr:from>
    <xdr:to>
      <xdr:col>15</xdr:col>
      <xdr:colOff>172670</xdr:colOff>
      <xdr:row>32</xdr:row>
      <xdr:rowOff>100246</xdr:rowOff>
    </xdr:to>
    <xdr:cxnSp macro="">
      <xdr:nvCxnSpPr>
        <xdr:cNvPr id="181" name="直線矢印コネクタ 180">
          <a:extLst>
            <a:ext uri="{FF2B5EF4-FFF2-40B4-BE49-F238E27FC236}">
              <a16:creationId xmlns:a16="http://schemas.microsoft.com/office/drawing/2014/main" id="{6047CD4B-C271-4CF3-A0D8-DF5047085CEB}"/>
            </a:ext>
          </a:extLst>
        </xdr:cNvPr>
        <xdr:cNvCxnSpPr>
          <a:endCxn id="235" idx="3"/>
        </xdr:cNvCxnSpPr>
      </xdr:nvCxnSpPr>
      <xdr:spPr>
        <a:xfrm flipH="1">
          <a:off x="1147595" y="6911981"/>
          <a:ext cx="2041325" cy="25098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152400</xdr:colOff>
      <xdr:row>70</xdr:row>
      <xdr:rowOff>161925</xdr:rowOff>
    </xdr:from>
    <xdr:to>
      <xdr:col>20</xdr:col>
      <xdr:colOff>75770</xdr:colOff>
      <xdr:row>72</xdr:row>
      <xdr:rowOff>59259</xdr:rowOff>
    </xdr:to>
    <xdr:sp macro="" textlink="">
      <xdr:nvSpPr>
        <xdr:cNvPr id="182" name="フローチャート: 端子 181">
          <a:extLst>
            <a:ext uri="{FF2B5EF4-FFF2-40B4-BE49-F238E27FC236}">
              <a16:creationId xmlns:a16="http://schemas.microsoft.com/office/drawing/2014/main" id="{4A72A7B2-597E-4973-ABEA-AD4C96BF1A35}"/>
            </a:ext>
          </a:extLst>
        </xdr:cNvPr>
        <xdr:cNvSpPr/>
      </xdr:nvSpPr>
      <xdr:spPr>
        <a:xfrm>
          <a:off x="3352800" y="14639925"/>
          <a:ext cx="723470" cy="25928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18</xdr:col>
      <xdr:colOff>114085</xdr:colOff>
      <xdr:row>65</xdr:row>
      <xdr:rowOff>42338</xdr:rowOff>
    </xdr:from>
    <xdr:to>
      <xdr:col>18</xdr:col>
      <xdr:colOff>118929</xdr:colOff>
      <xdr:row>70</xdr:row>
      <xdr:rowOff>161925</xdr:rowOff>
    </xdr:to>
    <xdr:cxnSp macro="">
      <xdr:nvCxnSpPr>
        <xdr:cNvPr id="183" name="直線矢印コネクタ 27">
          <a:extLst>
            <a:ext uri="{FF2B5EF4-FFF2-40B4-BE49-F238E27FC236}">
              <a16:creationId xmlns:a16="http://schemas.microsoft.com/office/drawing/2014/main" id="{5418D6CA-9266-4B7D-9982-93365AFB982C}"/>
            </a:ext>
          </a:extLst>
        </xdr:cNvPr>
        <xdr:cNvCxnSpPr>
          <a:cxnSpLocks/>
          <a:stCxn id="208" idx="2"/>
          <a:endCxn id="182" idx="0"/>
        </xdr:cNvCxnSpPr>
      </xdr:nvCxnSpPr>
      <xdr:spPr>
        <a:xfrm flipH="1">
          <a:off x="3714535" y="13615463"/>
          <a:ext cx="4844" cy="102446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191720</xdr:colOff>
      <xdr:row>51</xdr:row>
      <xdr:rowOff>111131</xdr:rowOff>
    </xdr:from>
    <xdr:to>
      <xdr:col>21</xdr:col>
      <xdr:colOff>8037</xdr:colOff>
      <xdr:row>54</xdr:row>
      <xdr:rowOff>61386</xdr:rowOff>
    </xdr:to>
    <xdr:sp macro="" textlink="">
      <xdr:nvSpPr>
        <xdr:cNvPr id="187" name="フローチャート: 定義済み処理 186">
          <a:extLst>
            <a:ext uri="{FF2B5EF4-FFF2-40B4-BE49-F238E27FC236}">
              <a16:creationId xmlns:a16="http://schemas.microsoft.com/office/drawing/2014/main" id="{5F3DB578-35EC-4D92-8705-6FABC32C2FB4}"/>
            </a:ext>
          </a:extLst>
        </xdr:cNvPr>
        <xdr:cNvSpPr/>
      </xdr:nvSpPr>
      <xdr:spPr>
        <a:xfrm>
          <a:off x="3192095" y="6445256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133350</xdr:colOff>
      <xdr:row>51</xdr:row>
      <xdr:rowOff>103716</xdr:rowOff>
    </xdr:from>
    <xdr:to>
      <xdr:col>21</xdr:col>
      <xdr:colOff>44450</xdr:colOff>
      <xdr:row>54</xdr:row>
      <xdr:rowOff>101270</xdr:rowOff>
    </xdr:to>
    <xdr:sp macro="" textlink="">
      <xdr:nvSpPr>
        <xdr:cNvPr id="188" name="正方形/長方形 187">
          <a:extLst>
            <a:ext uri="{FF2B5EF4-FFF2-40B4-BE49-F238E27FC236}">
              <a16:creationId xmlns:a16="http://schemas.microsoft.com/office/drawing/2014/main" id="{3C8E1BC3-D97D-4D72-A4E0-5F227D0C5725}"/>
            </a:ext>
          </a:extLst>
        </xdr:cNvPr>
        <xdr:cNvSpPr/>
      </xdr:nvSpPr>
      <xdr:spPr>
        <a:xfrm>
          <a:off x="3133725" y="6437841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4</a:t>
          </a:r>
          <a:r>
            <a:rPr kumimoji="1" lang="ja-JP" altLang="en-US" sz="900"/>
            <a:t>．利息仕訳の</a:t>
          </a:r>
          <a:endParaRPr kumimoji="1" lang="en-US" altLang="ja-JP" sz="900"/>
        </a:p>
        <a:p>
          <a:pPr algn="ctr"/>
          <a:r>
            <a:rPr kumimoji="1" lang="ja-JP" altLang="en-US" sz="900"/>
            <a:t>計上</a:t>
          </a:r>
          <a:endParaRPr kumimoji="1" lang="en-US" altLang="ja-JP" sz="900"/>
        </a:p>
      </xdr:txBody>
    </xdr:sp>
    <xdr:clientData/>
  </xdr:twoCellAnchor>
  <xdr:twoCellAnchor>
    <xdr:from>
      <xdr:col>21</xdr:col>
      <xdr:colOff>8037</xdr:colOff>
      <xdr:row>52</xdr:row>
      <xdr:rowOff>168549</xdr:rowOff>
    </xdr:from>
    <xdr:to>
      <xdr:col>30</xdr:col>
      <xdr:colOff>181315</xdr:colOff>
      <xdr:row>52</xdr:row>
      <xdr:rowOff>176746</xdr:rowOff>
    </xdr:to>
    <xdr:cxnSp macro="">
      <xdr:nvCxnSpPr>
        <xdr:cNvPr id="189" name="直線矢印コネクタ 188">
          <a:extLst>
            <a:ext uri="{FF2B5EF4-FFF2-40B4-BE49-F238E27FC236}">
              <a16:creationId xmlns:a16="http://schemas.microsoft.com/office/drawing/2014/main" id="{8484E174-4045-4E9B-ACFB-C2F443C71039}"/>
            </a:ext>
          </a:extLst>
        </xdr:cNvPr>
        <xdr:cNvCxnSpPr>
          <a:cxnSpLocks/>
          <a:stCxn id="187" idx="3"/>
          <a:endCxn id="191" idx="2"/>
        </xdr:cNvCxnSpPr>
      </xdr:nvCxnSpPr>
      <xdr:spPr>
        <a:xfrm flipV="1">
          <a:off x="4208562" y="6683649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86784</xdr:colOff>
      <xdr:row>51</xdr:row>
      <xdr:rowOff>66675</xdr:rowOff>
    </xdr:from>
    <xdr:to>
      <xdr:col>34</xdr:col>
      <xdr:colOff>183092</xdr:colOff>
      <xdr:row>54</xdr:row>
      <xdr:rowOff>140482</xdr:rowOff>
    </xdr:to>
    <xdr:grpSp>
      <xdr:nvGrpSpPr>
        <xdr:cNvPr id="190" name="グループ化 189">
          <a:extLst>
            <a:ext uri="{FF2B5EF4-FFF2-40B4-BE49-F238E27FC236}">
              <a16:creationId xmlns:a16="http://schemas.microsoft.com/office/drawing/2014/main" id="{3BA592B7-8E2C-4B00-A12E-5F4E74DD239D}"/>
            </a:ext>
          </a:extLst>
        </xdr:cNvPr>
        <xdr:cNvGrpSpPr/>
      </xdr:nvGrpSpPr>
      <xdr:grpSpPr>
        <a:xfrm>
          <a:off x="6087534" y="8858250"/>
          <a:ext cx="896408" cy="588157"/>
          <a:chOff x="7111999" y="2892425"/>
          <a:chExt cx="873125" cy="584982"/>
        </a:xfrm>
      </xdr:grpSpPr>
      <xdr:sp macro="" textlink="">
        <xdr:nvSpPr>
          <xdr:cNvPr id="191" name="フローチャート: 磁気ディスク 190">
            <a:extLst>
              <a:ext uri="{FF2B5EF4-FFF2-40B4-BE49-F238E27FC236}">
                <a16:creationId xmlns:a16="http://schemas.microsoft.com/office/drawing/2014/main" id="{670692D2-34C0-4030-9343-F88373CC560A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192" name="正方形/長方形 191">
            <a:extLst>
              <a:ext uri="{FF2B5EF4-FFF2-40B4-BE49-F238E27FC236}">
                <a16:creationId xmlns:a16="http://schemas.microsoft.com/office/drawing/2014/main" id="{BA8A51DE-6B08-4555-BC7B-BBAC1BA74A89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71834</xdr:colOff>
      <xdr:row>33</xdr:row>
      <xdr:rowOff>140762</xdr:rowOff>
    </xdr:from>
    <xdr:to>
      <xdr:col>18</xdr:col>
      <xdr:colOff>80300</xdr:colOff>
      <xdr:row>40</xdr:row>
      <xdr:rowOff>81498</xdr:rowOff>
    </xdr:to>
    <xdr:cxnSp macro="">
      <xdr:nvCxnSpPr>
        <xdr:cNvPr id="193" name="直線矢印コネクタ 27">
          <a:extLst>
            <a:ext uri="{FF2B5EF4-FFF2-40B4-BE49-F238E27FC236}">
              <a16:creationId xmlns:a16="http://schemas.microsoft.com/office/drawing/2014/main" id="{886774EE-4A28-4A1A-84C1-DF23CF4B664A}"/>
            </a:ext>
          </a:extLst>
        </xdr:cNvPr>
        <xdr:cNvCxnSpPr>
          <a:cxnSpLocks/>
          <a:endCxn id="244" idx="0"/>
        </xdr:cNvCxnSpPr>
      </xdr:nvCxnSpPr>
      <xdr:spPr>
        <a:xfrm flipH="1">
          <a:off x="3691334" y="7157512"/>
          <a:ext cx="8466" cy="102023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99879</xdr:colOff>
      <xdr:row>54</xdr:row>
      <xdr:rowOff>61386</xdr:rowOff>
    </xdr:from>
    <xdr:to>
      <xdr:col>18</xdr:col>
      <xdr:colOff>119458</xdr:colOff>
      <xdr:row>62</xdr:row>
      <xdr:rowOff>92083</xdr:rowOff>
    </xdr:to>
    <xdr:cxnSp macro="">
      <xdr:nvCxnSpPr>
        <xdr:cNvPr id="200" name="直線矢印コネクタ 27">
          <a:extLst>
            <a:ext uri="{FF2B5EF4-FFF2-40B4-BE49-F238E27FC236}">
              <a16:creationId xmlns:a16="http://schemas.microsoft.com/office/drawing/2014/main" id="{158F1422-98A6-4C15-BFE2-8A87DAC3ED2F}"/>
            </a:ext>
          </a:extLst>
        </xdr:cNvPr>
        <xdr:cNvCxnSpPr>
          <a:cxnSpLocks/>
          <a:stCxn id="187" idx="2"/>
          <a:endCxn id="208" idx="0"/>
        </xdr:cNvCxnSpPr>
      </xdr:nvCxnSpPr>
      <xdr:spPr>
        <a:xfrm>
          <a:off x="3719379" y="9776886"/>
          <a:ext cx="19579" cy="254953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10745</xdr:colOff>
      <xdr:row>62</xdr:row>
      <xdr:rowOff>92083</xdr:rowOff>
    </xdr:from>
    <xdr:to>
      <xdr:col>21</xdr:col>
      <xdr:colOff>27087</xdr:colOff>
      <xdr:row>65</xdr:row>
      <xdr:rowOff>42338</xdr:rowOff>
    </xdr:to>
    <xdr:sp macro="" textlink="">
      <xdr:nvSpPr>
        <xdr:cNvPr id="208" name="フローチャート: 定義済み処理 207">
          <a:extLst>
            <a:ext uri="{FF2B5EF4-FFF2-40B4-BE49-F238E27FC236}">
              <a16:creationId xmlns:a16="http://schemas.microsoft.com/office/drawing/2014/main" id="{FAEFD83E-E08F-48C9-AF5B-4764DDC5D99F}"/>
            </a:ext>
          </a:extLst>
        </xdr:cNvPr>
        <xdr:cNvSpPr/>
      </xdr:nvSpPr>
      <xdr:spPr>
        <a:xfrm>
          <a:off x="3211145" y="13122283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62</xdr:row>
      <xdr:rowOff>84668</xdr:rowOff>
    </xdr:from>
    <xdr:to>
      <xdr:col>21</xdr:col>
      <xdr:colOff>63500</xdr:colOff>
      <xdr:row>65</xdr:row>
      <xdr:rowOff>82222</xdr:rowOff>
    </xdr:to>
    <xdr:sp macro="" textlink="">
      <xdr:nvSpPr>
        <xdr:cNvPr id="209" name="正方形/長方形 208">
          <a:extLst>
            <a:ext uri="{FF2B5EF4-FFF2-40B4-BE49-F238E27FC236}">
              <a16:creationId xmlns:a16="http://schemas.microsoft.com/office/drawing/2014/main" id="{41E9236B-25DC-4E2F-AF4E-5DA761BE18BD}"/>
            </a:ext>
          </a:extLst>
        </xdr:cNvPr>
        <xdr:cNvSpPr/>
      </xdr:nvSpPr>
      <xdr:spPr>
        <a:xfrm>
          <a:off x="3152775" y="13114868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5</a:t>
          </a:r>
          <a:r>
            <a:rPr kumimoji="1" lang="ja-JP" altLang="en-US" sz="900"/>
            <a:t>．残高確認</a:t>
          </a:r>
          <a:endParaRPr kumimoji="1" lang="en-US" altLang="ja-JP" sz="900"/>
        </a:p>
      </xdr:txBody>
    </xdr:sp>
    <xdr:clientData/>
  </xdr:twoCellAnchor>
  <xdr:twoCellAnchor>
    <xdr:from>
      <xdr:col>21</xdr:col>
      <xdr:colOff>27087</xdr:colOff>
      <xdr:row>63</xdr:row>
      <xdr:rowOff>149501</xdr:rowOff>
    </xdr:from>
    <xdr:to>
      <xdr:col>31</xdr:col>
      <xdr:colOff>340</xdr:colOff>
      <xdr:row>63</xdr:row>
      <xdr:rowOff>157698</xdr:rowOff>
    </xdr:to>
    <xdr:cxnSp macro="">
      <xdr:nvCxnSpPr>
        <xdr:cNvPr id="210" name="直線矢印コネクタ 209">
          <a:extLst>
            <a:ext uri="{FF2B5EF4-FFF2-40B4-BE49-F238E27FC236}">
              <a16:creationId xmlns:a16="http://schemas.microsoft.com/office/drawing/2014/main" id="{7063941D-B123-4352-B97A-60D21D872053}"/>
            </a:ext>
          </a:extLst>
        </xdr:cNvPr>
        <xdr:cNvCxnSpPr>
          <a:stCxn id="212" idx="2"/>
          <a:endCxn id="208" idx="3"/>
        </xdr:cNvCxnSpPr>
      </xdr:nvCxnSpPr>
      <xdr:spPr>
        <a:xfrm flipH="1">
          <a:off x="4227612" y="13360676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124884</xdr:colOff>
      <xdr:row>62</xdr:row>
      <xdr:rowOff>47625</xdr:rowOff>
    </xdr:from>
    <xdr:to>
      <xdr:col>36</xdr:col>
      <xdr:colOff>19050</xdr:colOff>
      <xdr:row>65</xdr:row>
      <xdr:rowOff>130957</xdr:rowOff>
    </xdr:to>
    <xdr:grpSp>
      <xdr:nvGrpSpPr>
        <xdr:cNvPr id="211" name="グループ化 210">
          <a:extLst>
            <a:ext uri="{FF2B5EF4-FFF2-40B4-BE49-F238E27FC236}">
              <a16:creationId xmlns:a16="http://schemas.microsoft.com/office/drawing/2014/main" id="{8D0B4A82-24E7-47D0-A3C8-DDED1D528EC6}"/>
            </a:ext>
          </a:extLst>
        </xdr:cNvPr>
        <xdr:cNvGrpSpPr/>
      </xdr:nvGrpSpPr>
      <xdr:grpSpPr>
        <a:xfrm>
          <a:off x="5925609" y="10725150"/>
          <a:ext cx="1294341" cy="597682"/>
          <a:chOff x="6935724" y="2892425"/>
          <a:chExt cx="1260722" cy="594017"/>
        </a:xfrm>
      </xdr:grpSpPr>
      <xdr:sp macro="" textlink="">
        <xdr:nvSpPr>
          <xdr:cNvPr id="212" name="フローチャート: 磁気ディスク 211">
            <a:extLst>
              <a:ext uri="{FF2B5EF4-FFF2-40B4-BE49-F238E27FC236}">
                <a16:creationId xmlns:a16="http://schemas.microsoft.com/office/drawing/2014/main" id="{874351FD-98BC-4CF4-8D8B-CED71DB6C868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13" name="正方形/長方形 212">
            <a:extLst>
              <a:ext uri="{FF2B5EF4-FFF2-40B4-BE49-F238E27FC236}">
                <a16:creationId xmlns:a16="http://schemas.microsoft.com/office/drawing/2014/main" id="{A2A38B08-64D0-4F7C-B41E-9ECB58B2FC5A}"/>
              </a:ext>
            </a:extLst>
          </xdr:cNvPr>
          <xdr:cNvSpPr/>
        </xdr:nvSpPr>
        <xdr:spPr>
          <a:xfrm>
            <a:off x="6935724" y="2980835"/>
            <a:ext cx="1260722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伝票トランザクション</a:t>
            </a:r>
          </a:p>
        </xdr:txBody>
      </xdr:sp>
    </xdr:grpSp>
    <xdr:clientData/>
  </xdr:twoCellAnchor>
  <xdr:twoCellAnchor>
    <xdr:from>
      <xdr:col>2</xdr:col>
      <xdr:colOff>137583</xdr:colOff>
      <xdr:row>31</xdr:row>
      <xdr:rowOff>74085</xdr:rowOff>
    </xdr:from>
    <xdr:to>
      <xdr:col>6</xdr:col>
      <xdr:colOff>18632</xdr:colOff>
      <xdr:row>33</xdr:row>
      <xdr:rowOff>98427</xdr:rowOff>
    </xdr:to>
    <xdr:grpSp>
      <xdr:nvGrpSpPr>
        <xdr:cNvPr id="234" name="グループ化 233">
          <a:extLst>
            <a:ext uri="{FF2B5EF4-FFF2-40B4-BE49-F238E27FC236}">
              <a16:creationId xmlns:a16="http://schemas.microsoft.com/office/drawing/2014/main" id="{68A493CB-3419-4BCC-8484-1C562E55FA7D}"/>
            </a:ext>
          </a:extLst>
        </xdr:cNvPr>
        <xdr:cNvGrpSpPr>
          <a:grpSpLocks noChangeAspect="1"/>
        </xdr:cNvGrpSpPr>
      </xdr:nvGrpSpPr>
      <xdr:grpSpPr>
        <a:xfrm>
          <a:off x="537633" y="5436660"/>
          <a:ext cx="681149" cy="367242"/>
          <a:chOff x="2791278" y="18514786"/>
          <a:chExt cx="773793" cy="417285"/>
        </a:xfrm>
      </xdr:grpSpPr>
      <xdr:sp macro="" textlink="">
        <xdr:nvSpPr>
          <xdr:cNvPr id="235" name="フローチャート: 書類 234">
            <a:extLst>
              <a:ext uri="{FF2B5EF4-FFF2-40B4-BE49-F238E27FC236}">
                <a16:creationId xmlns:a16="http://schemas.microsoft.com/office/drawing/2014/main" id="{46E74774-8DFD-44BC-91E9-7209A712E406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6" name="正方形/長方形 235">
            <a:extLst>
              <a:ext uri="{FF2B5EF4-FFF2-40B4-BE49-F238E27FC236}">
                <a16:creationId xmlns:a16="http://schemas.microsoft.com/office/drawing/2014/main" id="{38CBBB91-0224-4E04-A150-4FC292C352C8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Mail</a:t>
            </a:r>
            <a:endParaRPr kumimoji="1" lang="ja-JP" altLang="en-US" sz="900"/>
          </a:p>
        </xdr:txBody>
      </xdr:sp>
    </xdr:grpSp>
    <xdr:clientData/>
  </xdr:twoCellAnchor>
  <xdr:twoCellAnchor>
    <xdr:from>
      <xdr:col>2</xdr:col>
      <xdr:colOff>10583</xdr:colOff>
      <xdr:row>39</xdr:row>
      <xdr:rowOff>169334</xdr:rowOff>
    </xdr:from>
    <xdr:to>
      <xdr:col>7</xdr:col>
      <xdr:colOff>29634</xdr:colOff>
      <xdr:row>43</xdr:row>
      <xdr:rowOff>131234</xdr:rowOff>
    </xdr:to>
    <xdr:grpSp>
      <xdr:nvGrpSpPr>
        <xdr:cNvPr id="241" name="グループ化 240">
          <a:extLst>
            <a:ext uri="{FF2B5EF4-FFF2-40B4-BE49-F238E27FC236}">
              <a16:creationId xmlns:a16="http://schemas.microsoft.com/office/drawing/2014/main" id="{14574579-F097-4A61-8308-D804DC03DDA1}"/>
            </a:ext>
          </a:extLst>
        </xdr:cNvPr>
        <xdr:cNvGrpSpPr/>
      </xdr:nvGrpSpPr>
      <xdr:grpSpPr>
        <a:xfrm>
          <a:off x="410633" y="6903509"/>
          <a:ext cx="1019176" cy="647700"/>
          <a:chOff x="4305300" y="5682252"/>
          <a:chExt cx="1003300" cy="510539"/>
        </a:xfrm>
      </xdr:grpSpPr>
      <xdr:sp macro="" textlink="">
        <xdr:nvSpPr>
          <xdr:cNvPr id="242" name="AutoShape 49">
            <a:extLst>
              <a:ext uri="{FF2B5EF4-FFF2-40B4-BE49-F238E27FC236}">
                <a16:creationId xmlns:a16="http://schemas.microsoft.com/office/drawing/2014/main" id="{3D1B8256-158F-442A-8E90-069123BA348C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243" name="正方形/長方形 48">
            <a:extLst>
              <a:ext uri="{FF2B5EF4-FFF2-40B4-BE49-F238E27FC236}">
                <a16:creationId xmlns:a16="http://schemas.microsoft.com/office/drawing/2014/main" id="{EBABA845-AA6D-4DA3-A540-31BAEC44D71D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endParaRPr kumimoji="1" lang="ja-JP" altLang="en-US" sz="900"/>
          </a:p>
        </xdr:txBody>
      </xdr:sp>
    </xdr:grpSp>
    <xdr:clientData/>
  </xdr:twoCellAnchor>
  <xdr:twoCellAnchor>
    <xdr:from>
      <xdr:col>15</xdr:col>
      <xdr:colOff>164204</xdr:colOff>
      <xdr:row>40</xdr:row>
      <xdr:rowOff>81498</xdr:rowOff>
    </xdr:from>
    <xdr:to>
      <xdr:col>20</xdr:col>
      <xdr:colOff>180546</xdr:colOff>
      <xdr:row>43</xdr:row>
      <xdr:rowOff>32811</xdr:rowOff>
    </xdr:to>
    <xdr:sp macro="" textlink="">
      <xdr:nvSpPr>
        <xdr:cNvPr id="244" name="フローチャート: 定義済み処理 243">
          <a:extLst>
            <a:ext uri="{FF2B5EF4-FFF2-40B4-BE49-F238E27FC236}">
              <a16:creationId xmlns:a16="http://schemas.microsoft.com/office/drawing/2014/main" id="{7430FDC4-1E7B-4582-94A9-D2E45DD095B2}"/>
            </a:ext>
          </a:extLst>
        </xdr:cNvPr>
        <xdr:cNvSpPr/>
      </xdr:nvSpPr>
      <xdr:spPr>
        <a:xfrm>
          <a:off x="3180454" y="8177748"/>
          <a:ext cx="1021759" cy="491063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105834</xdr:colOff>
      <xdr:row>40</xdr:row>
      <xdr:rowOff>74083</xdr:rowOff>
    </xdr:from>
    <xdr:to>
      <xdr:col>21</xdr:col>
      <xdr:colOff>16934</xdr:colOff>
      <xdr:row>43</xdr:row>
      <xdr:rowOff>72695</xdr:rowOff>
    </xdr:to>
    <xdr:sp macro="" textlink="">
      <xdr:nvSpPr>
        <xdr:cNvPr id="245" name="正方形/長方形 244">
          <a:extLst>
            <a:ext uri="{FF2B5EF4-FFF2-40B4-BE49-F238E27FC236}">
              <a16:creationId xmlns:a16="http://schemas.microsoft.com/office/drawing/2014/main" id="{0F6A9C6A-2EB5-49AB-896B-E57C9BDB0702}"/>
            </a:ext>
          </a:extLst>
        </xdr:cNvPr>
        <xdr:cNvSpPr/>
      </xdr:nvSpPr>
      <xdr:spPr>
        <a:xfrm>
          <a:off x="3122084" y="8170333"/>
          <a:ext cx="1117600" cy="538362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3</a:t>
          </a:r>
          <a:r>
            <a:rPr kumimoji="1" lang="ja-JP" altLang="en-US" sz="900"/>
            <a:t>．各社残高</a:t>
          </a:r>
          <a:endParaRPr kumimoji="1" lang="en-US" altLang="ja-JP" sz="900"/>
        </a:p>
        <a:p>
          <a:pPr algn="ctr"/>
          <a:r>
            <a:rPr kumimoji="1" lang="ja-JP" altLang="en-US" sz="900"/>
            <a:t>登録</a:t>
          </a:r>
          <a:endParaRPr kumimoji="1" lang="en-US" altLang="ja-JP" sz="900"/>
        </a:p>
      </xdr:txBody>
    </xdr:sp>
    <xdr:clientData/>
  </xdr:twoCellAnchor>
  <xdr:twoCellAnchor>
    <xdr:from>
      <xdr:col>7</xdr:col>
      <xdr:colOff>29634</xdr:colOff>
      <xdr:row>41</xdr:row>
      <xdr:rowOff>147113</xdr:rowOff>
    </xdr:from>
    <xdr:to>
      <xdr:col>15</xdr:col>
      <xdr:colOff>164204</xdr:colOff>
      <xdr:row>41</xdr:row>
      <xdr:rowOff>150284</xdr:rowOff>
    </xdr:to>
    <xdr:cxnSp macro="">
      <xdr:nvCxnSpPr>
        <xdr:cNvPr id="247" name="直線矢印コネクタ 246">
          <a:extLst>
            <a:ext uri="{FF2B5EF4-FFF2-40B4-BE49-F238E27FC236}">
              <a16:creationId xmlns:a16="http://schemas.microsoft.com/office/drawing/2014/main" id="{EA425162-6AF9-4C09-ACA0-529259506881}"/>
            </a:ext>
          </a:extLst>
        </xdr:cNvPr>
        <xdr:cNvCxnSpPr>
          <a:stCxn id="243" idx="3"/>
          <a:endCxn id="244" idx="1"/>
        </xdr:cNvCxnSpPr>
      </xdr:nvCxnSpPr>
      <xdr:spPr>
        <a:xfrm flipV="1">
          <a:off x="1437217" y="8423280"/>
          <a:ext cx="1743237" cy="3171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162983</xdr:colOff>
      <xdr:row>40</xdr:row>
      <xdr:rowOff>141817</xdr:rowOff>
    </xdr:from>
    <xdr:to>
      <xdr:col>7</xdr:col>
      <xdr:colOff>182034</xdr:colOff>
      <xdr:row>44</xdr:row>
      <xdr:rowOff>103717</xdr:rowOff>
    </xdr:to>
    <xdr:grpSp>
      <xdr:nvGrpSpPr>
        <xdr:cNvPr id="251" name="グループ化 250">
          <a:extLst>
            <a:ext uri="{FF2B5EF4-FFF2-40B4-BE49-F238E27FC236}">
              <a16:creationId xmlns:a16="http://schemas.microsoft.com/office/drawing/2014/main" id="{F986F3DD-531F-4053-B3C1-874C56ED7A94}"/>
            </a:ext>
          </a:extLst>
        </xdr:cNvPr>
        <xdr:cNvGrpSpPr/>
      </xdr:nvGrpSpPr>
      <xdr:grpSpPr>
        <a:xfrm>
          <a:off x="563033" y="7047442"/>
          <a:ext cx="1019176" cy="647700"/>
          <a:chOff x="4305300" y="5682252"/>
          <a:chExt cx="1003300" cy="510539"/>
        </a:xfrm>
      </xdr:grpSpPr>
      <xdr:sp macro="" textlink="">
        <xdr:nvSpPr>
          <xdr:cNvPr id="252" name="AutoShape 49">
            <a:extLst>
              <a:ext uri="{FF2B5EF4-FFF2-40B4-BE49-F238E27FC236}">
                <a16:creationId xmlns:a16="http://schemas.microsoft.com/office/drawing/2014/main" id="{5C036BE4-712E-4F3B-8752-AC4FE5091FED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253" name="正方形/長方形 48">
            <a:extLst>
              <a:ext uri="{FF2B5EF4-FFF2-40B4-BE49-F238E27FC236}">
                <a16:creationId xmlns:a16="http://schemas.microsoft.com/office/drawing/2014/main" id="{16A45AE4-3DD3-4AEE-B5CD-4E3B0EECC56F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月末残高</a:t>
            </a:r>
          </a:p>
        </xdr:txBody>
      </xdr:sp>
    </xdr:grpSp>
    <xdr:clientData/>
  </xdr:twoCellAnchor>
  <xdr:twoCellAnchor>
    <xdr:from>
      <xdr:col>3</xdr:col>
      <xdr:colOff>114300</xdr:colOff>
      <xdr:row>41</xdr:row>
      <xdr:rowOff>114300</xdr:rowOff>
    </xdr:from>
    <xdr:to>
      <xdr:col>8</xdr:col>
      <xdr:colOff>133350</xdr:colOff>
      <xdr:row>45</xdr:row>
      <xdr:rowOff>76201</xdr:rowOff>
    </xdr:to>
    <xdr:grpSp>
      <xdr:nvGrpSpPr>
        <xdr:cNvPr id="254" name="グループ化 253">
          <a:extLst>
            <a:ext uri="{FF2B5EF4-FFF2-40B4-BE49-F238E27FC236}">
              <a16:creationId xmlns:a16="http://schemas.microsoft.com/office/drawing/2014/main" id="{D2D57D1D-ABB5-420A-9D56-D394AE4F4E14}"/>
            </a:ext>
          </a:extLst>
        </xdr:cNvPr>
        <xdr:cNvGrpSpPr/>
      </xdr:nvGrpSpPr>
      <xdr:grpSpPr>
        <a:xfrm>
          <a:off x="714375" y="7191375"/>
          <a:ext cx="1019175" cy="647701"/>
          <a:chOff x="4305300" y="5682252"/>
          <a:chExt cx="1003300" cy="510539"/>
        </a:xfrm>
      </xdr:grpSpPr>
      <xdr:sp macro="" textlink="">
        <xdr:nvSpPr>
          <xdr:cNvPr id="255" name="AutoShape 49">
            <a:extLst>
              <a:ext uri="{FF2B5EF4-FFF2-40B4-BE49-F238E27FC236}">
                <a16:creationId xmlns:a16="http://schemas.microsoft.com/office/drawing/2014/main" id="{7F2333F9-A672-46F3-A9FE-2890418A41C9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256" name="正方形/長方形 48">
            <a:extLst>
              <a:ext uri="{FF2B5EF4-FFF2-40B4-BE49-F238E27FC236}">
                <a16:creationId xmlns:a16="http://schemas.microsoft.com/office/drawing/2014/main" id="{0287E0BB-CE2B-4C9E-938A-4C279E9B42C5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月末残高データ</a:t>
            </a:r>
          </a:p>
        </xdr:txBody>
      </xdr:sp>
    </xdr:grpSp>
    <xdr:clientData/>
  </xdr:twoCellAnchor>
  <xdr:twoCellAnchor>
    <xdr:from>
      <xdr:col>20</xdr:col>
      <xdr:colOff>180546</xdr:colOff>
      <xdr:row>41</xdr:row>
      <xdr:rowOff>143809</xdr:rowOff>
    </xdr:from>
    <xdr:to>
      <xdr:col>30</xdr:col>
      <xdr:colOff>152558</xdr:colOff>
      <xdr:row>41</xdr:row>
      <xdr:rowOff>147113</xdr:rowOff>
    </xdr:to>
    <xdr:cxnSp macro="">
      <xdr:nvCxnSpPr>
        <xdr:cNvPr id="257" name="直線矢印コネクタ 256">
          <a:extLst>
            <a:ext uri="{FF2B5EF4-FFF2-40B4-BE49-F238E27FC236}">
              <a16:creationId xmlns:a16="http://schemas.microsoft.com/office/drawing/2014/main" id="{0BE59FF6-D0CB-4BAF-8A0F-83A9EED5FE7E}"/>
            </a:ext>
          </a:extLst>
        </xdr:cNvPr>
        <xdr:cNvCxnSpPr>
          <a:stCxn id="244" idx="3"/>
          <a:endCxn id="259" idx="2"/>
        </xdr:cNvCxnSpPr>
      </xdr:nvCxnSpPr>
      <xdr:spPr>
        <a:xfrm flipV="1">
          <a:off x="4202213" y="8419976"/>
          <a:ext cx="1982845" cy="3304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57580</xdr:colOff>
      <xdr:row>40</xdr:row>
      <xdr:rowOff>42333</xdr:rowOff>
    </xdr:from>
    <xdr:to>
      <xdr:col>34</xdr:col>
      <xdr:colOff>153888</xdr:colOff>
      <xdr:row>43</xdr:row>
      <xdr:rowOff>116140</xdr:rowOff>
    </xdr:to>
    <xdr:grpSp>
      <xdr:nvGrpSpPr>
        <xdr:cNvPr id="258" name="グループ化 257">
          <a:extLst>
            <a:ext uri="{FF2B5EF4-FFF2-40B4-BE49-F238E27FC236}">
              <a16:creationId xmlns:a16="http://schemas.microsoft.com/office/drawing/2014/main" id="{31735EA7-E01F-46B7-B087-7E1D98DE6609}"/>
            </a:ext>
          </a:extLst>
        </xdr:cNvPr>
        <xdr:cNvGrpSpPr/>
      </xdr:nvGrpSpPr>
      <xdr:grpSpPr>
        <a:xfrm>
          <a:off x="6058330" y="6947958"/>
          <a:ext cx="896408" cy="588157"/>
          <a:chOff x="7111999" y="2892425"/>
          <a:chExt cx="873125" cy="584982"/>
        </a:xfrm>
      </xdr:grpSpPr>
      <xdr:sp macro="" textlink="">
        <xdr:nvSpPr>
          <xdr:cNvPr id="259" name="フローチャート: 磁気ディスク 258">
            <a:extLst>
              <a:ext uri="{FF2B5EF4-FFF2-40B4-BE49-F238E27FC236}">
                <a16:creationId xmlns:a16="http://schemas.microsoft.com/office/drawing/2014/main" id="{CAA5C7B1-331F-4E8F-9536-E7750455D49A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60" name="正方形/長方形 259">
            <a:extLst>
              <a:ext uri="{FF2B5EF4-FFF2-40B4-BE49-F238E27FC236}">
                <a16:creationId xmlns:a16="http://schemas.microsoft.com/office/drawing/2014/main" id="{02AF7864-34E4-48C1-BAA7-2E3A5059BB14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71834</xdr:colOff>
      <xdr:row>43</xdr:row>
      <xdr:rowOff>32811</xdr:rowOff>
    </xdr:from>
    <xdr:to>
      <xdr:col>18</xdr:col>
      <xdr:colOff>88900</xdr:colOff>
      <xdr:row>51</xdr:row>
      <xdr:rowOff>103716</xdr:rowOff>
    </xdr:to>
    <xdr:cxnSp macro="">
      <xdr:nvCxnSpPr>
        <xdr:cNvPr id="84" name="直線矢印コネクタ 27">
          <a:extLst>
            <a:ext uri="{FF2B5EF4-FFF2-40B4-BE49-F238E27FC236}">
              <a16:creationId xmlns:a16="http://schemas.microsoft.com/office/drawing/2014/main" id="{7245F55F-BE6C-45AE-8080-826D9C8A376B}"/>
            </a:ext>
          </a:extLst>
        </xdr:cNvPr>
        <xdr:cNvCxnSpPr>
          <a:cxnSpLocks/>
          <a:stCxn id="244" idx="2"/>
          <a:endCxn id="188" idx="0"/>
        </xdr:cNvCxnSpPr>
      </xdr:nvCxnSpPr>
      <xdr:spPr>
        <a:xfrm>
          <a:off x="3691334" y="8848728"/>
          <a:ext cx="17066" cy="169015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84667</xdr:colOff>
      <xdr:row>51</xdr:row>
      <xdr:rowOff>31750</xdr:rowOff>
    </xdr:from>
    <xdr:to>
      <xdr:col>7</xdr:col>
      <xdr:colOff>103718</xdr:colOff>
      <xdr:row>54</xdr:row>
      <xdr:rowOff>173568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2AC816F2-1CC3-4569-A085-C0910CE45C24}"/>
            </a:ext>
          </a:extLst>
        </xdr:cNvPr>
        <xdr:cNvGrpSpPr/>
      </xdr:nvGrpSpPr>
      <xdr:grpSpPr>
        <a:xfrm>
          <a:off x="484717" y="8823325"/>
          <a:ext cx="1019176" cy="656168"/>
          <a:chOff x="4305300" y="5682252"/>
          <a:chExt cx="1003300" cy="510539"/>
        </a:xfrm>
      </xdr:grpSpPr>
      <xdr:sp macro="" textlink="">
        <xdr:nvSpPr>
          <xdr:cNvPr id="88" name="AutoShape 49">
            <a:extLst>
              <a:ext uri="{FF2B5EF4-FFF2-40B4-BE49-F238E27FC236}">
                <a16:creationId xmlns:a16="http://schemas.microsoft.com/office/drawing/2014/main" id="{81FDCDAB-D32C-487A-A30C-1CA2112ED9F7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89" name="正方形/長方形 48">
            <a:extLst>
              <a:ext uri="{FF2B5EF4-FFF2-40B4-BE49-F238E27FC236}">
                <a16:creationId xmlns:a16="http://schemas.microsoft.com/office/drawing/2014/main" id="{7780048D-8675-4DBC-A2AB-EF244662124E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借入利息データ</a:t>
            </a:r>
          </a:p>
        </xdr:txBody>
      </xdr:sp>
    </xdr:grpSp>
    <xdr:clientData/>
  </xdr:twoCellAnchor>
  <xdr:twoCellAnchor>
    <xdr:from>
      <xdr:col>6</xdr:col>
      <xdr:colOff>132976</xdr:colOff>
      <xdr:row>53</xdr:row>
      <xdr:rowOff>12535</xdr:rowOff>
    </xdr:from>
    <xdr:to>
      <xdr:col>15</xdr:col>
      <xdr:colOff>133350</xdr:colOff>
      <xdr:row>53</xdr:row>
      <xdr:rowOff>20816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EA1DAD26-B04C-4DEB-9A9B-BAD12AAED274}"/>
            </a:ext>
          </a:extLst>
        </xdr:cNvPr>
        <xdr:cNvCxnSpPr>
          <a:stCxn id="88" idx="3"/>
          <a:endCxn id="188" idx="1"/>
        </xdr:cNvCxnSpPr>
      </xdr:nvCxnSpPr>
      <xdr:spPr>
        <a:xfrm flipV="1">
          <a:off x="1339476" y="9548118"/>
          <a:ext cx="1810124" cy="8281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95249</xdr:colOff>
      <xdr:row>65</xdr:row>
      <xdr:rowOff>169333</xdr:rowOff>
    </xdr:from>
    <xdr:to>
      <xdr:col>34</xdr:col>
      <xdr:colOff>191557</xdr:colOff>
      <xdr:row>69</xdr:row>
      <xdr:rowOff>63223</xdr:rowOff>
    </xdr:to>
    <xdr:grpSp>
      <xdr:nvGrpSpPr>
        <xdr:cNvPr id="95" name="グループ化 94">
          <a:extLst>
            <a:ext uri="{FF2B5EF4-FFF2-40B4-BE49-F238E27FC236}">
              <a16:creationId xmlns:a16="http://schemas.microsoft.com/office/drawing/2014/main" id="{9D22E02C-EF0A-4797-86BC-54A113D61A9F}"/>
            </a:ext>
          </a:extLst>
        </xdr:cNvPr>
        <xdr:cNvGrpSpPr/>
      </xdr:nvGrpSpPr>
      <xdr:grpSpPr>
        <a:xfrm>
          <a:off x="6095999" y="11361208"/>
          <a:ext cx="896408" cy="579690"/>
          <a:chOff x="7111999" y="2892425"/>
          <a:chExt cx="873125" cy="584982"/>
        </a:xfrm>
      </xdr:grpSpPr>
      <xdr:sp macro="" textlink="">
        <xdr:nvSpPr>
          <xdr:cNvPr id="96" name="フローチャート: 磁気ディスク 95">
            <a:extLst>
              <a:ext uri="{FF2B5EF4-FFF2-40B4-BE49-F238E27FC236}">
                <a16:creationId xmlns:a16="http://schemas.microsoft.com/office/drawing/2014/main" id="{136279A1-6692-4897-842E-8BEC71C3A80B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97" name="正方形/長方形 96">
            <a:extLst>
              <a:ext uri="{FF2B5EF4-FFF2-40B4-BE49-F238E27FC236}">
                <a16:creationId xmlns:a16="http://schemas.microsoft.com/office/drawing/2014/main" id="{35F87274-7050-49F0-8C4C-9DB3EB250D8F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MR</a:t>
            </a:r>
            <a:endParaRPr kumimoji="1" lang="ja-JP" altLang="en-US" sz="900"/>
          </a:p>
        </xdr:txBody>
      </xdr:sp>
    </xdr:grpSp>
    <xdr:clientData/>
  </xdr:twoCellAnchor>
  <xdr:twoCellAnchor>
    <xdr:from>
      <xdr:col>21</xdr:col>
      <xdr:colOff>27087</xdr:colOff>
      <xdr:row>63</xdr:row>
      <xdr:rowOff>157169</xdr:rowOff>
    </xdr:from>
    <xdr:to>
      <xdr:col>30</xdr:col>
      <xdr:colOff>190227</xdr:colOff>
      <xdr:row>67</xdr:row>
      <xdr:rowOff>90892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2BB89F80-59C2-423E-A00F-D71AF0F14026}"/>
            </a:ext>
          </a:extLst>
        </xdr:cNvPr>
        <xdr:cNvCxnSpPr>
          <a:stCxn id="96" idx="2"/>
          <a:endCxn id="208" idx="3"/>
        </xdr:cNvCxnSpPr>
      </xdr:nvCxnSpPr>
      <xdr:spPr>
        <a:xfrm rot="10800000">
          <a:off x="4249837" y="11491919"/>
          <a:ext cx="1972890" cy="653390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74082</xdr:colOff>
      <xdr:row>15</xdr:row>
      <xdr:rowOff>148167</xdr:rowOff>
    </xdr:from>
    <xdr:to>
      <xdr:col>57</xdr:col>
      <xdr:colOff>31749</xdr:colOff>
      <xdr:row>74</xdr:row>
      <xdr:rowOff>137584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8288673-949F-34FC-B542-58770ED6BD55}"/>
            </a:ext>
          </a:extLst>
        </xdr:cNvPr>
        <xdr:cNvSpPr/>
      </xdr:nvSpPr>
      <xdr:spPr>
        <a:xfrm>
          <a:off x="677332" y="2846917"/>
          <a:ext cx="10816167" cy="10604500"/>
        </a:xfrm>
        <a:prstGeom prst="rect">
          <a:avLst/>
        </a:prstGeom>
        <a:solidFill>
          <a:schemeClr val="bg1">
            <a:lumMod val="85000"/>
            <a:alpha val="30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169333</xdr:colOff>
      <xdr:row>13</xdr:row>
      <xdr:rowOff>84666</xdr:rowOff>
    </xdr:from>
    <xdr:to>
      <xdr:col>58</xdr:col>
      <xdr:colOff>105834</xdr:colOff>
      <xdr:row>20</xdr:row>
      <xdr:rowOff>21167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67410CD-CD1F-0DAA-9453-F765CD50FE02}"/>
            </a:ext>
          </a:extLst>
        </xdr:cNvPr>
        <xdr:cNvSpPr txBox="1"/>
      </xdr:nvSpPr>
      <xdr:spPr>
        <a:xfrm>
          <a:off x="9017000" y="2423583"/>
          <a:ext cx="2751667" cy="119591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4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・グローバルの借入現預金を管理したい。</a:t>
          </a:r>
        </a:p>
        <a:p>
          <a:r>
            <a:rPr kumimoji="1" lang="ja-JP" altLang="en-US" sz="1100"/>
            <a:t>・エリアからは</a:t>
          </a:r>
          <a:r>
            <a:rPr kumimoji="1" lang="en-US" altLang="ja-JP" sz="1100"/>
            <a:t>Excel</a:t>
          </a:r>
          <a:r>
            <a:rPr kumimoji="1" lang="ja-JP" altLang="en-US" sz="1100"/>
            <a:t>でローデータを収集するので、会計システム内で管理する必要はなく、</a:t>
          </a:r>
          <a:r>
            <a:rPr kumimoji="1" lang="en-US" altLang="ja-JP" sz="1100"/>
            <a:t>EPM</a:t>
          </a:r>
          <a:r>
            <a:rPr kumimoji="1" lang="ja-JP" altLang="en-US" sz="1100"/>
            <a:t>までの管理も不要、</a:t>
          </a:r>
          <a:r>
            <a:rPr kumimoji="1" lang="en-US" altLang="ja-JP" sz="1100"/>
            <a:t>BI</a:t>
          </a:r>
          <a:r>
            <a:rPr kumimoji="1" lang="ja-JP" altLang="en-US" sz="1100"/>
            <a:t>ツール等でまとめれれよい。</a:t>
          </a:r>
        </a:p>
      </xdr:txBody>
    </xdr:sp>
    <xdr:clientData/>
  </xdr:twoCellAnchor>
  <xdr:twoCellAnchor>
    <xdr:from>
      <xdr:col>20</xdr:col>
      <xdr:colOff>142875</xdr:colOff>
      <xdr:row>14</xdr:row>
      <xdr:rowOff>0</xdr:rowOff>
    </xdr:from>
    <xdr:to>
      <xdr:col>43</xdr:col>
      <xdr:colOff>28575</xdr:colOff>
      <xdr:row>17</xdr:row>
      <xdr:rowOff>152400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3D4DE70-74A5-4F56-BC2D-D1CA9AB23DF3}"/>
            </a:ext>
          </a:extLst>
        </xdr:cNvPr>
        <xdr:cNvSpPr txBox="1"/>
      </xdr:nvSpPr>
      <xdr:spPr>
        <a:xfrm>
          <a:off x="4143375" y="2533650"/>
          <a:ext cx="4486275" cy="6953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＜注記＞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月次グループ管理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借入預金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</a:rPr>
            <a:t>のプロセスについては、</a:t>
          </a:r>
          <a:r>
            <a:rPr kumimoji="1" lang="en-US" altLang="ja-JP" sz="1100">
              <a:solidFill>
                <a:sysClr val="windowText" lastClr="000000"/>
              </a:solidFill>
            </a:rPr>
            <a:t>FO</a:t>
          </a:r>
          <a:r>
            <a:rPr kumimoji="1" lang="ja-JP" altLang="en-US" sz="1100">
              <a:solidFill>
                <a:sysClr val="windowText" lastClr="000000"/>
              </a:solidFill>
            </a:rPr>
            <a:t>のスコープ外となった。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endParaRPr kumimoji="1" lang="en-US" altLang="ja-JP" sz="1100">
            <a:solidFill>
              <a:sysClr val="windowText" lastClr="000000"/>
            </a:solidFill>
          </a:endParaRPr>
        </a:p>
        <a:p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119156</xdr:colOff>
      <xdr:row>12</xdr:row>
      <xdr:rowOff>42334</xdr:rowOff>
    </xdr:from>
    <xdr:to>
      <xdr:col>20</xdr:col>
      <xdr:colOff>30115</xdr:colOff>
      <xdr:row>13</xdr:row>
      <xdr:rowOff>141444</xdr:rowOff>
    </xdr:to>
    <xdr:sp macro="" textlink="">
      <xdr:nvSpPr>
        <xdr:cNvPr id="2" name="フローチャート: 端子 26">
          <a:extLst>
            <a:ext uri="{FF2B5EF4-FFF2-40B4-BE49-F238E27FC236}">
              <a16:creationId xmlns:a16="http://schemas.microsoft.com/office/drawing/2014/main" id="{19E77AED-355C-499D-84D3-68A1A1F06EF9}"/>
            </a:ext>
          </a:extLst>
        </xdr:cNvPr>
        <xdr:cNvSpPr/>
      </xdr:nvSpPr>
      <xdr:spPr>
        <a:xfrm>
          <a:off x="3319556" y="2214034"/>
          <a:ext cx="711059" cy="280085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開始</a:t>
          </a:r>
        </a:p>
      </xdr:txBody>
    </xdr:sp>
    <xdr:clientData/>
  </xdr:twoCellAnchor>
  <xdr:twoCellAnchor>
    <xdr:from>
      <xdr:col>18</xdr:col>
      <xdr:colOff>69850</xdr:colOff>
      <xdr:row>13</xdr:row>
      <xdr:rowOff>141444</xdr:rowOff>
    </xdr:from>
    <xdr:to>
      <xdr:col>18</xdr:col>
      <xdr:colOff>74636</xdr:colOff>
      <xdr:row>21</xdr:row>
      <xdr:rowOff>2117</xdr:rowOff>
    </xdr:to>
    <xdr:cxnSp macro="">
      <xdr:nvCxnSpPr>
        <xdr:cNvPr id="3" name="直線矢印コネクタ 27">
          <a:extLst>
            <a:ext uri="{FF2B5EF4-FFF2-40B4-BE49-F238E27FC236}">
              <a16:creationId xmlns:a16="http://schemas.microsoft.com/office/drawing/2014/main" id="{B85A0C40-D979-4ED9-B15B-0DDC73B05067}"/>
            </a:ext>
          </a:extLst>
        </xdr:cNvPr>
        <xdr:cNvCxnSpPr>
          <a:cxnSpLocks/>
          <a:stCxn id="2" idx="2"/>
        </xdr:cNvCxnSpPr>
      </xdr:nvCxnSpPr>
      <xdr:spPr>
        <a:xfrm flipH="1">
          <a:off x="3689350" y="2480361"/>
          <a:ext cx="4786" cy="309917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172670</xdr:colOff>
      <xdr:row>21</xdr:row>
      <xdr:rowOff>9532</xdr:rowOff>
    </xdr:from>
    <xdr:to>
      <xdr:col>20</xdr:col>
      <xdr:colOff>189012</xdr:colOff>
      <xdr:row>23</xdr:row>
      <xdr:rowOff>140762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ADE6F83-8A75-4EEC-AD5C-C3AEA0B0BAAD}"/>
            </a:ext>
          </a:extLst>
        </xdr:cNvPr>
        <xdr:cNvSpPr/>
      </xdr:nvSpPr>
      <xdr:spPr>
        <a:xfrm>
          <a:off x="3173045" y="5619757"/>
          <a:ext cx="1016467" cy="4931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114300</xdr:colOff>
      <xdr:row>21</xdr:row>
      <xdr:rowOff>2117</xdr:rowOff>
    </xdr:from>
    <xdr:to>
      <xdr:col>21</xdr:col>
      <xdr:colOff>25400</xdr:colOff>
      <xdr:row>23</xdr:row>
      <xdr:rowOff>180646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845A12C-5C32-4928-A724-6DA2E44E73F7}"/>
            </a:ext>
          </a:extLst>
        </xdr:cNvPr>
        <xdr:cNvSpPr/>
      </xdr:nvSpPr>
      <xdr:spPr>
        <a:xfrm>
          <a:off x="3114675" y="5612342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1</a:t>
          </a:r>
          <a:r>
            <a:rPr kumimoji="1" lang="ja-JP" altLang="en-US" sz="900"/>
            <a:t>．データの収集</a:t>
          </a:r>
          <a:endParaRPr kumimoji="1" lang="en-US" altLang="ja-JP" sz="900"/>
        </a:p>
        <a:p>
          <a:pPr algn="ctr"/>
          <a:r>
            <a:rPr kumimoji="1" lang="ja-JP" altLang="en-US" sz="900"/>
            <a:t>依頼</a:t>
          </a:r>
          <a:endParaRPr kumimoji="1" lang="en-US" altLang="ja-JP" sz="900"/>
        </a:p>
      </xdr:txBody>
    </xdr:sp>
    <xdr:clientData/>
  </xdr:twoCellAnchor>
  <xdr:twoCellAnchor>
    <xdr:from>
      <xdr:col>5</xdr:col>
      <xdr:colOff>142178</xdr:colOff>
      <xdr:row>22</xdr:row>
      <xdr:rowOff>75148</xdr:rowOff>
    </xdr:from>
    <xdr:to>
      <xdr:col>15</xdr:col>
      <xdr:colOff>172670</xdr:colOff>
      <xdr:row>22</xdr:row>
      <xdr:rowOff>100246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461135C1-4232-433D-B9AA-9EDCFB274256}"/>
            </a:ext>
          </a:extLst>
        </xdr:cNvPr>
        <xdr:cNvCxnSpPr>
          <a:endCxn id="31" idx="3"/>
        </xdr:cNvCxnSpPr>
      </xdr:nvCxnSpPr>
      <xdr:spPr>
        <a:xfrm flipH="1">
          <a:off x="1142303" y="5866348"/>
          <a:ext cx="2030742" cy="25098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152400</xdr:colOff>
      <xdr:row>51</xdr:row>
      <xdr:rowOff>161925</xdr:rowOff>
    </xdr:from>
    <xdr:to>
      <xdr:col>20</xdr:col>
      <xdr:colOff>75770</xdr:colOff>
      <xdr:row>53</xdr:row>
      <xdr:rowOff>59259</xdr:rowOff>
    </xdr:to>
    <xdr:sp macro="" textlink="">
      <xdr:nvSpPr>
        <xdr:cNvPr id="14" name="フローチャート: 端子 13">
          <a:extLst>
            <a:ext uri="{FF2B5EF4-FFF2-40B4-BE49-F238E27FC236}">
              <a16:creationId xmlns:a16="http://schemas.microsoft.com/office/drawing/2014/main" id="{BA21622D-2A6C-445A-8E73-F04FC7F9EF86}"/>
            </a:ext>
          </a:extLst>
        </xdr:cNvPr>
        <xdr:cNvSpPr/>
      </xdr:nvSpPr>
      <xdr:spPr>
        <a:xfrm>
          <a:off x="3352800" y="12830175"/>
          <a:ext cx="723470" cy="259284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</a:t>
          </a:r>
        </a:p>
      </xdr:txBody>
    </xdr:sp>
    <xdr:clientData/>
  </xdr:twoCellAnchor>
  <xdr:twoCellAnchor>
    <xdr:from>
      <xdr:col>18</xdr:col>
      <xdr:colOff>114085</xdr:colOff>
      <xdr:row>46</xdr:row>
      <xdr:rowOff>42338</xdr:rowOff>
    </xdr:from>
    <xdr:to>
      <xdr:col>18</xdr:col>
      <xdr:colOff>118929</xdr:colOff>
      <xdr:row>51</xdr:row>
      <xdr:rowOff>161925</xdr:rowOff>
    </xdr:to>
    <xdr:cxnSp macro="">
      <xdr:nvCxnSpPr>
        <xdr:cNvPr id="15" name="直線矢印コネクタ 27">
          <a:extLst>
            <a:ext uri="{FF2B5EF4-FFF2-40B4-BE49-F238E27FC236}">
              <a16:creationId xmlns:a16="http://schemas.microsoft.com/office/drawing/2014/main" id="{A225F919-EC13-401D-B11A-AAE440348CB8}"/>
            </a:ext>
          </a:extLst>
        </xdr:cNvPr>
        <xdr:cNvCxnSpPr>
          <a:cxnSpLocks/>
          <a:stCxn id="24" idx="2"/>
          <a:endCxn id="14" idx="0"/>
        </xdr:cNvCxnSpPr>
      </xdr:nvCxnSpPr>
      <xdr:spPr>
        <a:xfrm flipH="1">
          <a:off x="3714535" y="11805713"/>
          <a:ext cx="4844" cy="102446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71834</xdr:colOff>
      <xdr:row>23</xdr:row>
      <xdr:rowOff>140762</xdr:rowOff>
    </xdr:from>
    <xdr:to>
      <xdr:col>18</xdr:col>
      <xdr:colOff>80300</xdr:colOff>
      <xdr:row>30</xdr:row>
      <xdr:rowOff>81498</xdr:rowOff>
    </xdr:to>
    <xdr:cxnSp macro="">
      <xdr:nvCxnSpPr>
        <xdr:cNvPr id="22" name="直線矢印コネクタ 27">
          <a:extLst>
            <a:ext uri="{FF2B5EF4-FFF2-40B4-BE49-F238E27FC236}">
              <a16:creationId xmlns:a16="http://schemas.microsoft.com/office/drawing/2014/main" id="{39F6478D-1AE6-47E0-B791-1BA34D9FAD58}"/>
            </a:ext>
          </a:extLst>
        </xdr:cNvPr>
        <xdr:cNvCxnSpPr>
          <a:cxnSpLocks/>
          <a:endCxn id="36" idx="0"/>
        </xdr:cNvCxnSpPr>
      </xdr:nvCxnSpPr>
      <xdr:spPr>
        <a:xfrm flipH="1">
          <a:off x="3672284" y="6112937"/>
          <a:ext cx="8466" cy="120756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10745</xdr:colOff>
      <xdr:row>43</xdr:row>
      <xdr:rowOff>92083</xdr:rowOff>
    </xdr:from>
    <xdr:to>
      <xdr:col>21</xdr:col>
      <xdr:colOff>27087</xdr:colOff>
      <xdr:row>46</xdr:row>
      <xdr:rowOff>42338</xdr:rowOff>
    </xdr:to>
    <xdr:sp macro="" textlink="">
      <xdr:nvSpPr>
        <xdr:cNvPr id="24" name="フローチャート: 定義済み処理 23">
          <a:extLst>
            <a:ext uri="{FF2B5EF4-FFF2-40B4-BE49-F238E27FC236}">
              <a16:creationId xmlns:a16="http://schemas.microsoft.com/office/drawing/2014/main" id="{A204F292-19F4-44E9-8C53-361E1A5731B9}"/>
            </a:ext>
          </a:extLst>
        </xdr:cNvPr>
        <xdr:cNvSpPr/>
      </xdr:nvSpPr>
      <xdr:spPr>
        <a:xfrm>
          <a:off x="3211145" y="11312533"/>
          <a:ext cx="1016467" cy="493180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43</xdr:row>
      <xdr:rowOff>84668</xdr:rowOff>
    </xdr:from>
    <xdr:to>
      <xdr:col>21</xdr:col>
      <xdr:colOff>63500</xdr:colOff>
      <xdr:row>46</xdr:row>
      <xdr:rowOff>82222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6EC117BB-79BF-4ADB-AA5F-374BD9A88FF1}"/>
            </a:ext>
          </a:extLst>
        </xdr:cNvPr>
        <xdr:cNvSpPr/>
      </xdr:nvSpPr>
      <xdr:spPr>
        <a:xfrm>
          <a:off x="3152775" y="11305118"/>
          <a:ext cx="1111250" cy="54047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3</a:t>
          </a:r>
          <a:r>
            <a:rPr kumimoji="1" lang="ja-JP" altLang="en-US" sz="900"/>
            <a:t>．残高確認</a:t>
          </a:r>
          <a:endParaRPr kumimoji="1" lang="en-US" altLang="ja-JP" sz="900"/>
        </a:p>
      </xdr:txBody>
    </xdr:sp>
    <xdr:clientData/>
  </xdr:twoCellAnchor>
  <xdr:twoCellAnchor>
    <xdr:from>
      <xdr:col>21</xdr:col>
      <xdr:colOff>27087</xdr:colOff>
      <xdr:row>44</xdr:row>
      <xdr:rowOff>149501</xdr:rowOff>
    </xdr:from>
    <xdr:to>
      <xdr:col>31</xdr:col>
      <xdr:colOff>340</xdr:colOff>
      <xdr:row>44</xdr:row>
      <xdr:rowOff>157698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E97A3DCA-BC26-4F48-9986-8E49F1FDE6CD}"/>
            </a:ext>
          </a:extLst>
        </xdr:cNvPr>
        <xdr:cNvCxnSpPr>
          <a:stCxn id="28" idx="2"/>
          <a:endCxn id="24" idx="3"/>
        </xdr:cNvCxnSpPr>
      </xdr:nvCxnSpPr>
      <xdr:spPr>
        <a:xfrm flipH="1">
          <a:off x="4227612" y="11550926"/>
          <a:ext cx="1973503" cy="8197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124884</xdr:colOff>
      <xdr:row>43</xdr:row>
      <xdr:rowOff>47625</xdr:rowOff>
    </xdr:from>
    <xdr:to>
      <xdr:col>36</xdr:col>
      <xdr:colOff>19050</xdr:colOff>
      <xdr:row>46</xdr:row>
      <xdr:rowOff>130957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20062D80-8992-4848-94C3-3DCC16442833}"/>
            </a:ext>
          </a:extLst>
        </xdr:cNvPr>
        <xdr:cNvGrpSpPr/>
      </xdr:nvGrpSpPr>
      <xdr:grpSpPr>
        <a:xfrm>
          <a:off x="5925609" y="7467600"/>
          <a:ext cx="1294341" cy="597682"/>
          <a:chOff x="6935724" y="2892425"/>
          <a:chExt cx="1260722" cy="594017"/>
        </a:xfrm>
      </xdr:grpSpPr>
      <xdr:sp macro="" textlink="">
        <xdr:nvSpPr>
          <xdr:cNvPr id="28" name="フローチャート: 磁気ディスク 27">
            <a:extLst>
              <a:ext uri="{FF2B5EF4-FFF2-40B4-BE49-F238E27FC236}">
                <a16:creationId xmlns:a16="http://schemas.microsoft.com/office/drawing/2014/main" id="{32A45FE3-3442-4364-A41E-786080F1737D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DCDEAD29-ADB0-41D0-BF7D-9747FA02D4E7}"/>
              </a:ext>
            </a:extLst>
          </xdr:cNvPr>
          <xdr:cNvSpPr/>
        </xdr:nvSpPr>
        <xdr:spPr>
          <a:xfrm>
            <a:off x="6935724" y="2980835"/>
            <a:ext cx="1260722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試算表</a:t>
            </a:r>
            <a:endParaRPr kumimoji="1" lang="en-US" altLang="ja-JP" sz="900"/>
          </a:p>
          <a:p>
            <a:pPr algn="ctr"/>
            <a:r>
              <a:rPr kumimoji="1" lang="ja-JP" altLang="en-US" sz="900"/>
              <a:t>伝票トランザクション</a:t>
            </a:r>
          </a:p>
        </xdr:txBody>
      </xdr:sp>
    </xdr:grpSp>
    <xdr:clientData/>
  </xdr:twoCellAnchor>
  <xdr:twoCellAnchor>
    <xdr:from>
      <xdr:col>2</xdr:col>
      <xdr:colOff>137583</xdr:colOff>
      <xdr:row>21</xdr:row>
      <xdr:rowOff>74085</xdr:rowOff>
    </xdr:from>
    <xdr:to>
      <xdr:col>6</xdr:col>
      <xdr:colOff>18632</xdr:colOff>
      <xdr:row>23</xdr:row>
      <xdr:rowOff>98427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CF74E290-EE9B-468D-9E46-580137B15204}"/>
            </a:ext>
          </a:extLst>
        </xdr:cNvPr>
        <xdr:cNvGrpSpPr>
          <a:grpSpLocks noChangeAspect="1"/>
        </xdr:cNvGrpSpPr>
      </xdr:nvGrpSpPr>
      <xdr:grpSpPr>
        <a:xfrm>
          <a:off x="537633" y="3722160"/>
          <a:ext cx="681149" cy="367242"/>
          <a:chOff x="2791278" y="18514786"/>
          <a:chExt cx="773793" cy="417285"/>
        </a:xfrm>
      </xdr:grpSpPr>
      <xdr:sp macro="" textlink="">
        <xdr:nvSpPr>
          <xdr:cNvPr id="31" name="フローチャート: 書類 30">
            <a:extLst>
              <a:ext uri="{FF2B5EF4-FFF2-40B4-BE49-F238E27FC236}">
                <a16:creationId xmlns:a16="http://schemas.microsoft.com/office/drawing/2014/main" id="{19805D8A-6F95-4118-9DA8-83588E8ED859}"/>
              </a:ext>
            </a:extLst>
          </xdr:cNvPr>
          <xdr:cNvSpPr/>
        </xdr:nvSpPr>
        <xdr:spPr>
          <a:xfrm>
            <a:off x="2878818" y="18545175"/>
            <a:ext cx="598714" cy="386896"/>
          </a:xfrm>
          <a:prstGeom prst="flowChartDocument">
            <a:avLst/>
          </a:prstGeom>
          <a:solidFill>
            <a:schemeClr val="bg1"/>
          </a:solidFill>
          <a:ln>
            <a:solidFill>
              <a:schemeClr val="tx1"/>
            </a:solidFill>
            <a:prstDash val="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F391A8E0-941F-4471-B3BB-989974A94EF1}"/>
              </a:ext>
            </a:extLst>
          </xdr:cNvPr>
          <xdr:cNvSpPr/>
        </xdr:nvSpPr>
        <xdr:spPr>
          <a:xfrm>
            <a:off x="2791278" y="18514786"/>
            <a:ext cx="773793" cy="3297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Mail</a:t>
            </a:r>
            <a:endParaRPr kumimoji="1" lang="ja-JP" altLang="en-US" sz="900"/>
          </a:p>
        </xdr:txBody>
      </xdr:sp>
    </xdr:grpSp>
    <xdr:clientData/>
  </xdr:twoCellAnchor>
  <xdr:twoCellAnchor>
    <xdr:from>
      <xdr:col>2</xdr:col>
      <xdr:colOff>10583</xdr:colOff>
      <xdr:row>29</xdr:row>
      <xdr:rowOff>169334</xdr:rowOff>
    </xdr:from>
    <xdr:to>
      <xdr:col>7</xdr:col>
      <xdr:colOff>29634</xdr:colOff>
      <xdr:row>33</xdr:row>
      <xdr:rowOff>131234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65AAC229-B876-4021-8BDD-4FC36BEF2BCD}"/>
            </a:ext>
          </a:extLst>
        </xdr:cNvPr>
        <xdr:cNvGrpSpPr/>
      </xdr:nvGrpSpPr>
      <xdr:grpSpPr>
        <a:xfrm>
          <a:off x="410633" y="5189009"/>
          <a:ext cx="1019176" cy="647700"/>
          <a:chOff x="4305300" y="5682252"/>
          <a:chExt cx="1003300" cy="510539"/>
        </a:xfrm>
      </xdr:grpSpPr>
      <xdr:sp macro="" textlink="">
        <xdr:nvSpPr>
          <xdr:cNvPr id="34" name="AutoShape 49">
            <a:extLst>
              <a:ext uri="{FF2B5EF4-FFF2-40B4-BE49-F238E27FC236}">
                <a16:creationId xmlns:a16="http://schemas.microsoft.com/office/drawing/2014/main" id="{4964DF64-8228-482C-8D50-9545EB1B200C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35" name="正方形/長方形 48">
            <a:extLst>
              <a:ext uri="{FF2B5EF4-FFF2-40B4-BE49-F238E27FC236}">
                <a16:creationId xmlns:a16="http://schemas.microsoft.com/office/drawing/2014/main" id="{74B31BFD-A341-4366-B956-2CCF8042D123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endParaRPr kumimoji="1" lang="ja-JP" altLang="en-US" sz="900"/>
          </a:p>
        </xdr:txBody>
      </xdr:sp>
    </xdr:grpSp>
    <xdr:clientData/>
  </xdr:twoCellAnchor>
  <xdr:twoCellAnchor>
    <xdr:from>
      <xdr:col>15</xdr:col>
      <xdr:colOff>164204</xdr:colOff>
      <xdr:row>30</xdr:row>
      <xdr:rowOff>81498</xdr:rowOff>
    </xdr:from>
    <xdr:to>
      <xdr:col>20</xdr:col>
      <xdr:colOff>180546</xdr:colOff>
      <xdr:row>33</xdr:row>
      <xdr:rowOff>32811</xdr:rowOff>
    </xdr:to>
    <xdr:sp macro="" textlink="">
      <xdr:nvSpPr>
        <xdr:cNvPr id="36" name="フローチャート: 定義済み処理 35">
          <a:extLst>
            <a:ext uri="{FF2B5EF4-FFF2-40B4-BE49-F238E27FC236}">
              <a16:creationId xmlns:a16="http://schemas.microsoft.com/office/drawing/2014/main" id="{7A49D69D-A2DF-4B36-834D-22CB31E4E060}"/>
            </a:ext>
          </a:extLst>
        </xdr:cNvPr>
        <xdr:cNvSpPr/>
      </xdr:nvSpPr>
      <xdr:spPr>
        <a:xfrm>
          <a:off x="3164579" y="7320498"/>
          <a:ext cx="1016467" cy="494238"/>
        </a:xfrm>
        <a:prstGeom prst="flowChartPredefined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105834</xdr:colOff>
      <xdr:row>30</xdr:row>
      <xdr:rowOff>74083</xdr:rowOff>
    </xdr:from>
    <xdr:to>
      <xdr:col>21</xdr:col>
      <xdr:colOff>16934</xdr:colOff>
      <xdr:row>33</xdr:row>
      <xdr:rowOff>72695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BFB646C8-97AE-4F61-A204-EB50AB8E9012}"/>
            </a:ext>
          </a:extLst>
        </xdr:cNvPr>
        <xdr:cNvSpPr/>
      </xdr:nvSpPr>
      <xdr:spPr>
        <a:xfrm>
          <a:off x="3106209" y="7313083"/>
          <a:ext cx="1111250" cy="541537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/>
            <a:t>2</a:t>
          </a:r>
          <a:r>
            <a:rPr kumimoji="1" lang="ja-JP" altLang="en-US" sz="900"/>
            <a:t>．各社残高</a:t>
          </a:r>
          <a:endParaRPr kumimoji="1" lang="en-US" altLang="ja-JP" sz="900"/>
        </a:p>
        <a:p>
          <a:pPr algn="ctr"/>
          <a:r>
            <a:rPr kumimoji="1" lang="ja-JP" altLang="en-US" sz="900"/>
            <a:t>登録</a:t>
          </a:r>
          <a:endParaRPr kumimoji="1" lang="en-US" altLang="ja-JP" sz="900"/>
        </a:p>
      </xdr:txBody>
    </xdr:sp>
    <xdr:clientData/>
  </xdr:twoCellAnchor>
  <xdr:twoCellAnchor>
    <xdr:from>
      <xdr:col>7</xdr:col>
      <xdr:colOff>29634</xdr:colOff>
      <xdr:row>31</xdr:row>
      <xdr:rowOff>147113</xdr:rowOff>
    </xdr:from>
    <xdr:to>
      <xdr:col>15</xdr:col>
      <xdr:colOff>164204</xdr:colOff>
      <xdr:row>31</xdr:row>
      <xdr:rowOff>150284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C2098521-D6FD-4946-8915-9934E57F3C9E}"/>
            </a:ext>
          </a:extLst>
        </xdr:cNvPr>
        <xdr:cNvCxnSpPr>
          <a:stCxn id="35" idx="3"/>
          <a:endCxn id="36" idx="1"/>
        </xdr:cNvCxnSpPr>
      </xdr:nvCxnSpPr>
      <xdr:spPr>
        <a:xfrm flipV="1">
          <a:off x="1429809" y="7567088"/>
          <a:ext cx="1734770" cy="3171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162983</xdr:colOff>
      <xdr:row>30</xdr:row>
      <xdr:rowOff>141817</xdr:rowOff>
    </xdr:from>
    <xdr:to>
      <xdr:col>7</xdr:col>
      <xdr:colOff>182034</xdr:colOff>
      <xdr:row>34</xdr:row>
      <xdr:rowOff>103717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1292AA74-5AF3-4085-BE06-A3B6EDF03976}"/>
            </a:ext>
          </a:extLst>
        </xdr:cNvPr>
        <xdr:cNvGrpSpPr/>
      </xdr:nvGrpSpPr>
      <xdr:grpSpPr>
        <a:xfrm>
          <a:off x="563033" y="5332942"/>
          <a:ext cx="1019176" cy="647700"/>
          <a:chOff x="4305300" y="5682252"/>
          <a:chExt cx="1003300" cy="510539"/>
        </a:xfrm>
      </xdr:grpSpPr>
      <xdr:sp macro="" textlink="">
        <xdr:nvSpPr>
          <xdr:cNvPr id="40" name="AutoShape 49">
            <a:extLst>
              <a:ext uri="{FF2B5EF4-FFF2-40B4-BE49-F238E27FC236}">
                <a16:creationId xmlns:a16="http://schemas.microsoft.com/office/drawing/2014/main" id="{55728A3B-AF88-4058-8E2B-B94F087D6B31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41" name="正方形/長方形 48">
            <a:extLst>
              <a:ext uri="{FF2B5EF4-FFF2-40B4-BE49-F238E27FC236}">
                <a16:creationId xmlns:a16="http://schemas.microsoft.com/office/drawing/2014/main" id="{E1721DB6-0A90-4CAF-B704-4291C3233B75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月末残高</a:t>
            </a:r>
          </a:p>
        </xdr:txBody>
      </xdr:sp>
    </xdr:grpSp>
    <xdr:clientData/>
  </xdr:twoCellAnchor>
  <xdr:twoCellAnchor>
    <xdr:from>
      <xdr:col>3</xdr:col>
      <xdr:colOff>114300</xdr:colOff>
      <xdr:row>31</xdr:row>
      <xdr:rowOff>114300</xdr:rowOff>
    </xdr:from>
    <xdr:to>
      <xdr:col>8</xdr:col>
      <xdr:colOff>133350</xdr:colOff>
      <xdr:row>35</xdr:row>
      <xdr:rowOff>76201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59818863-3983-4869-B0A3-15E6AB50CCF5}"/>
            </a:ext>
          </a:extLst>
        </xdr:cNvPr>
        <xdr:cNvGrpSpPr/>
      </xdr:nvGrpSpPr>
      <xdr:grpSpPr>
        <a:xfrm>
          <a:off x="714375" y="5476875"/>
          <a:ext cx="1019175" cy="647701"/>
          <a:chOff x="4305300" y="5682252"/>
          <a:chExt cx="1003300" cy="510539"/>
        </a:xfrm>
      </xdr:grpSpPr>
      <xdr:sp macro="" textlink="">
        <xdr:nvSpPr>
          <xdr:cNvPr id="43" name="AutoShape 49">
            <a:extLst>
              <a:ext uri="{FF2B5EF4-FFF2-40B4-BE49-F238E27FC236}">
                <a16:creationId xmlns:a16="http://schemas.microsoft.com/office/drawing/2014/main" id="{EF7824B3-BAD4-485C-951C-9ED43C2AE3FE}"/>
              </a:ext>
            </a:extLst>
          </xdr:cNvPr>
          <xdr:cNvSpPr>
            <a:spLocks noChangeArrowheads="1"/>
          </xdr:cNvSpPr>
        </xdr:nvSpPr>
        <xdr:spPr bwMode="gray">
          <a:xfrm>
            <a:off x="4410075" y="5730875"/>
            <a:ext cx="876300" cy="425450"/>
          </a:xfrm>
          <a:prstGeom prst="flowChartOnlineStorage">
            <a:avLst/>
          </a:prstGeom>
          <a:solidFill>
            <a:schemeClr val="bg1"/>
          </a:solidFill>
          <a:ln w="9525" algn="ctr">
            <a:solidFill>
              <a:schemeClr val="tx1"/>
            </a:solidFill>
            <a:miter lim="800000"/>
            <a:headEnd/>
            <a:tailEnd/>
          </a:ln>
          <a:effectLst/>
        </xdr:spPr>
        <xdr:txBody>
          <a:bodyPr wrap="square" anchor="ctr"/>
          <a:lstStyle>
            <a:defPPr>
              <a:defRPr lang="ja-JP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5pPr>
            <a:lvl6pPr marL="22860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6pPr>
            <a:lvl7pPr marL="27432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7pPr>
            <a:lvl8pPr marL="32004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8pPr>
            <a:lvl9pPr marL="3657600" algn="l" defTabSz="914400" rtl="0" eaLnBrk="1" latinLnBrk="0" hangingPunct="1">
              <a:defRPr kumimoji="1" kern="1200">
                <a:solidFill>
                  <a:schemeClr val="tx1"/>
                </a:solidFill>
                <a:latin typeface="MS UI Gothic" panose="020B0600070205080204" pitchFamily="50" charset="-128"/>
                <a:ea typeface="MS UI Gothic" panose="020B0600070205080204" pitchFamily="50" charset="-128"/>
                <a:cs typeface="+mn-cs"/>
              </a:defRPr>
            </a:lvl9pPr>
          </a:lstStyle>
          <a:p>
            <a:pPr marL="0" marR="0" lvl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endParaRPr lang="ja-JP" altLang="ja-JP" sz="800">
              <a:effectLst/>
              <a:latin typeface="+mj-ea"/>
              <a:ea typeface="+mj-ea"/>
            </a:endParaRPr>
          </a:p>
        </xdr:txBody>
      </xdr:sp>
      <xdr:sp macro="" textlink="">
        <xdr:nvSpPr>
          <xdr:cNvPr id="44" name="正方形/長方形 48">
            <a:extLst>
              <a:ext uri="{FF2B5EF4-FFF2-40B4-BE49-F238E27FC236}">
                <a16:creationId xmlns:a16="http://schemas.microsoft.com/office/drawing/2014/main" id="{B6AE5F2C-467A-4B01-87F9-17D717A0ABA9}"/>
              </a:ext>
            </a:extLst>
          </xdr:cNvPr>
          <xdr:cNvSpPr/>
        </xdr:nvSpPr>
        <xdr:spPr>
          <a:xfrm>
            <a:off x="4305300" y="5682252"/>
            <a:ext cx="1003300" cy="51053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EXCEL</a:t>
            </a:r>
          </a:p>
          <a:p>
            <a:pPr algn="ctr"/>
            <a:r>
              <a:rPr kumimoji="1" lang="ja-JP" altLang="en-US" sz="900"/>
              <a:t>月末残高データ</a:t>
            </a:r>
          </a:p>
        </xdr:txBody>
      </xdr:sp>
    </xdr:grpSp>
    <xdr:clientData/>
  </xdr:twoCellAnchor>
  <xdr:twoCellAnchor>
    <xdr:from>
      <xdr:col>20</xdr:col>
      <xdr:colOff>180546</xdr:colOff>
      <xdr:row>31</xdr:row>
      <xdr:rowOff>143809</xdr:rowOff>
    </xdr:from>
    <xdr:to>
      <xdr:col>30</xdr:col>
      <xdr:colOff>152558</xdr:colOff>
      <xdr:row>31</xdr:row>
      <xdr:rowOff>147113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96D89E1E-5834-4F1E-901C-011E63EA46EE}"/>
            </a:ext>
          </a:extLst>
        </xdr:cNvPr>
        <xdr:cNvCxnSpPr>
          <a:stCxn id="36" idx="3"/>
          <a:endCxn id="47" idx="2"/>
        </xdr:cNvCxnSpPr>
      </xdr:nvCxnSpPr>
      <xdr:spPr>
        <a:xfrm flipV="1">
          <a:off x="4181046" y="7563784"/>
          <a:ext cx="1972262" cy="3304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57580</xdr:colOff>
      <xdr:row>30</xdr:row>
      <xdr:rowOff>42333</xdr:rowOff>
    </xdr:from>
    <xdr:to>
      <xdr:col>34</xdr:col>
      <xdr:colOff>153888</xdr:colOff>
      <xdr:row>33</xdr:row>
      <xdr:rowOff>116140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CE4D5D9A-E7B9-4B60-95FD-82BD1B73CB9C}"/>
            </a:ext>
          </a:extLst>
        </xdr:cNvPr>
        <xdr:cNvGrpSpPr/>
      </xdr:nvGrpSpPr>
      <xdr:grpSpPr>
        <a:xfrm>
          <a:off x="6058330" y="5233458"/>
          <a:ext cx="896408" cy="588157"/>
          <a:chOff x="7111999" y="2892425"/>
          <a:chExt cx="873125" cy="584982"/>
        </a:xfrm>
      </xdr:grpSpPr>
      <xdr:sp macro="" textlink="">
        <xdr:nvSpPr>
          <xdr:cNvPr id="47" name="フローチャート: 磁気ディスク 46">
            <a:extLst>
              <a:ext uri="{FF2B5EF4-FFF2-40B4-BE49-F238E27FC236}">
                <a16:creationId xmlns:a16="http://schemas.microsoft.com/office/drawing/2014/main" id="{6FA0088B-010C-44D2-BE81-33E45FDC9637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175C0B73-58A1-4207-917B-9F4350016219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/>
              <a:t>一般仕訳帳</a:t>
            </a:r>
          </a:p>
        </xdr:txBody>
      </xdr:sp>
    </xdr:grpSp>
    <xdr:clientData/>
  </xdr:twoCellAnchor>
  <xdr:twoCellAnchor>
    <xdr:from>
      <xdr:col>18</xdr:col>
      <xdr:colOff>71834</xdr:colOff>
      <xdr:row>33</xdr:row>
      <xdr:rowOff>32811</xdr:rowOff>
    </xdr:from>
    <xdr:to>
      <xdr:col>18</xdr:col>
      <xdr:colOff>107950</xdr:colOff>
      <xdr:row>43</xdr:row>
      <xdr:rowOff>84668</xdr:rowOff>
    </xdr:to>
    <xdr:cxnSp macro="">
      <xdr:nvCxnSpPr>
        <xdr:cNvPr id="49" name="直線矢印コネクタ 27">
          <a:extLst>
            <a:ext uri="{FF2B5EF4-FFF2-40B4-BE49-F238E27FC236}">
              <a16:creationId xmlns:a16="http://schemas.microsoft.com/office/drawing/2014/main" id="{4CCCAA6A-FF0D-4CA3-B83D-CBE5FF84BE76}"/>
            </a:ext>
          </a:extLst>
        </xdr:cNvPr>
        <xdr:cNvCxnSpPr>
          <a:cxnSpLocks/>
          <a:stCxn id="36" idx="2"/>
          <a:endCxn id="25" idx="0"/>
        </xdr:cNvCxnSpPr>
      </xdr:nvCxnSpPr>
      <xdr:spPr>
        <a:xfrm>
          <a:off x="3691334" y="5970061"/>
          <a:ext cx="36116" cy="34702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95249</xdr:colOff>
      <xdr:row>46</xdr:row>
      <xdr:rowOff>169333</xdr:rowOff>
    </xdr:from>
    <xdr:to>
      <xdr:col>34</xdr:col>
      <xdr:colOff>191557</xdr:colOff>
      <xdr:row>50</xdr:row>
      <xdr:rowOff>63223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BE43CFF5-40A2-4A75-871E-2673BD736C52}"/>
            </a:ext>
          </a:extLst>
        </xdr:cNvPr>
        <xdr:cNvGrpSpPr/>
      </xdr:nvGrpSpPr>
      <xdr:grpSpPr>
        <a:xfrm>
          <a:off x="6095999" y="8103658"/>
          <a:ext cx="896408" cy="579690"/>
          <a:chOff x="7111999" y="2892425"/>
          <a:chExt cx="873125" cy="584982"/>
        </a:xfrm>
      </xdr:grpSpPr>
      <xdr:sp macro="" textlink="">
        <xdr:nvSpPr>
          <xdr:cNvPr id="55" name="フローチャート: 磁気ディスク 54">
            <a:extLst>
              <a:ext uri="{FF2B5EF4-FFF2-40B4-BE49-F238E27FC236}">
                <a16:creationId xmlns:a16="http://schemas.microsoft.com/office/drawing/2014/main" id="{7094843C-008D-49CA-A1C6-E12824364274}"/>
              </a:ext>
            </a:extLst>
          </xdr:cNvPr>
          <xdr:cNvSpPr/>
        </xdr:nvSpPr>
        <xdr:spPr>
          <a:xfrm>
            <a:off x="7204075" y="2892425"/>
            <a:ext cx="676275" cy="536575"/>
          </a:xfrm>
          <a:prstGeom prst="flowChartMagneticDisk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/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4FC7439D-7A9D-4516-822E-D3126B7E16FB}"/>
              </a:ext>
            </a:extLst>
          </xdr:cNvPr>
          <xdr:cNvSpPr/>
        </xdr:nvSpPr>
        <xdr:spPr>
          <a:xfrm>
            <a:off x="7111999" y="2971800"/>
            <a:ext cx="873125" cy="5056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/>
              <a:t>MR</a:t>
            </a:r>
            <a:endParaRPr kumimoji="1" lang="ja-JP" altLang="en-US" sz="900"/>
          </a:p>
        </xdr:txBody>
      </xdr:sp>
    </xdr:grpSp>
    <xdr:clientData/>
  </xdr:twoCellAnchor>
  <xdr:twoCellAnchor>
    <xdr:from>
      <xdr:col>21</xdr:col>
      <xdr:colOff>27087</xdr:colOff>
      <xdr:row>44</xdr:row>
      <xdr:rowOff>157169</xdr:rowOff>
    </xdr:from>
    <xdr:to>
      <xdr:col>30</xdr:col>
      <xdr:colOff>190227</xdr:colOff>
      <xdr:row>48</xdr:row>
      <xdr:rowOff>90892</xdr:rowOff>
    </xdr:to>
    <xdr:cxnSp macro="">
      <xdr:nvCxnSpPr>
        <xdr:cNvPr id="57" name="直線矢印コネクタ 97">
          <a:extLst>
            <a:ext uri="{FF2B5EF4-FFF2-40B4-BE49-F238E27FC236}">
              <a16:creationId xmlns:a16="http://schemas.microsoft.com/office/drawing/2014/main" id="{F0F0C00E-6F57-48F0-B846-54F6DE47A764}"/>
            </a:ext>
          </a:extLst>
        </xdr:cNvPr>
        <xdr:cNvCxnSpPr>
          <a:stCxn id="55" idx="2"/>
          <a:endCxn id="24" idx="3"/>
        </xdr:cNvCxnSpPr>
      </xdr:nvCxnSpPr>
      <xdr:spPr>
        <a:xfrm rot="10800000">
          <a:off x="4227612" y="11558594"/>
          <a:ext cx="1963365" cy="657623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</xdr:row>
      <xdr:rowOff>84666</xdr:rowOff>
    </xdr:from>
    <xdr:to>
      <xdr:col>59</xdr:col>
      <xdr:colOff>169333</xdr:colOff>
      <xdr:row>56</xdr:row>
      <xdr:rowOff>105833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C14A6ED-4236-4304-8B2D-69610B2D7C7D}"/>
            </a:ext>
          </a:extLst>
        </xdr:cNvPr>
        <xdr:cNvSpPr/>
      </xdr:nvSpPr>
      <xdr:spPr>
        <a:xfrm>
          <a:off x="603250" y="2603499"/>
          <a:ext cx="11430000" cy="7577667"/>
        </a:xfrm>
        <a:prstGeom prst="rect">
          <a:avLst/>
        </a:prstGeom>
        <a:solidFill>
          <a:schemeClr val="bg1">
            <a:lumMod val="85000"/>
            <a:alpha val="30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0</xdr:colOff>
      <xdr:row>13</xdr:row>
      <xdr:rowOff>0</xdr:rowOff>
    </xdr:from>
    <xdr:to>
      <xdr:col>58</xdr:col>
      <xdr:colOff>137584</xdr:colOff>
      <xdr:row>19</xdr:row>
      <xdr:rowOff>116417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17911DA-ED23-45A5-A7AF-1DFAA281BAF7}"/>
            </a:ext>
          </a:extLst>
        </xdr:cNvPr>
        <xdr:cNvSpPr txBox="1"/>
      </xdr:nvSpPr>
      <xdr:spPr>
        <a:xfrm>
          <a:off x="9048750" y="2338917"/>
          <a:ext cx="2751667" cy="119591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accent4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・グローバルの借入現預金を管理したい。</a:t>
          </a:r>
        </a:p>
        <a:p>
          <a:r>
            <a:rPr kumimoji="1" lang="ja-JP" altLang="en-US" sz="1100"/>
            <a:t>・エリアからは</a:t>
          </a:r>
          <a:r>
            <a:rPr kumimoji="1" lang="en-US" altLang="ja-JP" sz="1100"/>
            <a:t>Excel</a:t>
          </a:r>
          <a:r>
            <a:rPr kumimoji="1" lang="ja-JP" altLang="en-US" sz="1100"/>
            <a:t>でローデータを収集するので、会計システム内で管理する必要はなく、</a:t>
          </a:r>
          <a:r>
            <a:rPr kumimoji="1" lang="en-US" altLang="ja-JP" sz="1100"/>
            <a:t>EPM</a:t>
          </a:r>
          <a:r>
            <a:rPr kumimoji="1" lang="ja-JP" altLang="en-US" sz="1100"/>
            <a:t>までの管理も不要、</a:t>
          </a:r>
          <a:r>
            <a:rPr kumimoji="1" lang="en-US" altLang="ja-JP" sz="1100"/>
            <a:t>BI</a:t>
          </a:r>
          <a:r>
            <a:rPr kumimoji="1" lang="ja-JP" altLang="en-US" sz="1100"/>
            <a:t>ツール等でまとめれれよい。</a:t>
          </a:r>
        </a:p>
      </xdr:txBody>
    </xdr:sp>
    <xdr:clientData/>
  </xdr:twoCellAnchor>
  <xdr:twoCellAnchor>
    <xdr:from>
      <xdr:col>21</xdr:col>
      <xdr:colOff>85725</xdr:colOff>
      <xdr:row>13</xdr:row>
      <xdr:rowOff>85725</xdr:rowOff>
    </xdr:from>
    <xdr:to>
      <xdr:col>43</xdr:col>
      <xdr:colOff>171450</xdr:colOff>
      <xdr:row>17</xdr:row>
      <xdr:rowOff>57150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5ECCE38-4F18-4BA1-81EC-27D165952A43}"/>
            </a:ext>
          </a:extLst>
        </xdr:cNvPr>
        <xdr:cNvSpPr txBox="1"/>
      </xdr:nvSpPr>
      <xdr:spPr>
        <a:xfrm>
          <a:off x="4286250" y="2438400"/>
          <a:ext cx="4486275" cy="6953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＜注記＞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ja-JP" altLang="en-US" sz="1100">
              <a:solidFill>
                <a:sysClr val="windowText" lastClr="000000"/>
              </a:solidFill>
            </a:rPr>
            <a:t>四半期グループ管理</a:t>
          </a:r>
          <a:r>
            <a:rPr kumimoji="1" lang="en-US" altLang="ja-JP" sz="1100">
              <a:solidFill>
                <a:sysClr val="windowText" lastClr="000000"/>
              </a:solidFill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</a:rPr>
            <a:t>借入貸付</a:t>
          </a:r>
          <a:r>
            <a:rPr kumimoji="1" lang="en-US" altLang="ja-JP" sz="1100">
              <a:solidFill>
                <a:sysClr val="windowText" lastClr="000000"/>
              </a:solidFill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</a:rPr>
            <a:t>のプロセスについては、</a:t>
          </a:r>
          <a:r>
            <a:rPr kumimoji="1" lang="en-US" altLang="ja-JP" sz="1100">
              <a:solidFill>
                <a:sysClr val="windowText" lastClr="000000"/>
              </a:solidFill>
            </a:rPr>
            <a:t>FO</a:t>
          </a:r>
          <a:r>
            <a:rPr kumimoji="1" lang="ja-JP" altLang="en-US" sz="1100">
              <a:solidFill>
                <a:sysClr val="windowText" lastClr="000000"/>
              </a:solidFill>
            </a:rPr>
            <a:t>のスコープ外となった。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endParaRPr kumimoji="1" lang="en-US" altLang="ja-JP" sz="1100">
            <a:solidFill>
              <a:sysClr val="windowText" lastClr="000000"/>
            </a:solidFill>
          </a:endParaRPr>
        </a:p>
        <a:p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JBSテンプレートテーマ_Excel">
  <a:themeElements>
    <a:clrScheme name="青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JBSテンプレート_Excel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E35"/>
  <sheetViews>
    <sheetView showGridLines="0" workbookViewId="0"/>
  </sheetViews>
  <sheetFormatPr defaultColWidth="2.625" defaultRowHeight="15"/>
  <cols>
    <col min="1" max="16384" width="2.625" style="1"/>
  </cols>
  <sheetData>
    <row r="2" spans="1:31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31">
      <c r="B3" s="2" t="s">
        <v>0</v>
      </c>
    </row>
    <row r="4" spans="1:31" ht="15.75" customHeight="1">
      <c r="A4" s="3"/>
      <c r="B4" s="3"/>
      <c r="C4" s="3"/>
      <c r="D4" s="3"/>
      <c r="E4" s="3"/>
      <c r="F4" s="3"/>
      <c r="G4" s="3"/>
      <c r="H4" s="3"/>
      <c r="I4" s="3"/>
      <c r="J4" s="87"/>
      <c r="K4" s="87"/>
      <c r="L4" s="87"/>
    </row>
    <row r="5" spans="1:31" ht="15.75" customHeight="1">
      <c r="A5" s="4"/>
      <c r="B5" s="4"/>
      <c r="C5" s="4"/>
      <c r="D5" s="4"/>
      <c r="E5" s="4"/>
      <c r="F5" s="4"/>
      <c r="G5" s="4"/>
      <c r="H5" s="4"/>
      <c r="I5" s="4"/>
      <c r="J5" s="88"/>
      <c r="K5" s="88"/>
      <c r="L5" s="88"/>
    </row>
    <row r="10" spans="1:31">
      <c r="B10" s="89" t="s">
        <v>1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1"/>
    </row>
    <row r="11" spans="1:31">
      <c r="B11" s="92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4"/>
    </row>
    <row r="12" spans="1:31">
      <c r="B12" s="92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4"/>
    </row>
    <row r="13" spans="1:31">
      <c r="B13" s="92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4"/>
    </row>
    <row r="14" spans="1:31">
      <c r="B14" s="95" t="s">
        <v>2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7"/>
    </row>
    <row r="15" spans="1:31">
      <c r="B15" s="95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7"/>
    </row>
    <row r="16" spans="1:31"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100"/>
    </row>
    <row r="22" spans="2:31">
      <c r="B22" s="86" t="str">
        <f ca="1">"第"&amp;IF(COUNTA(変更履歴!BE5:BH9999)=1,"",INDIRECT("変更履歴!BE"&amp;COUNTA(変更履歴!BE5:BH9999)+4))&amp;"版"</f>
        <v>第1.4版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</row>
    <row r="23" spans="2:31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</row>
    <row r="24" spans="2:31">
      <c r="B24" s="101" cm="1">
        <f t="array" aca="1" ref="B24" ca="1">IF(OR(COUNTA(変更履歴!A:E)=3),"",INDIRECT("変更履歴!A"&amp;COUNTA(変更履歴!A:E)+2))</f>
        <v>45763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</row>
    <row r="25" spans="2:31"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</row>
    <row r="26" spans="2:31">
      <c r="B26" s="86" t="s">
        <v>3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</row>
    <row r="27" spans="2:31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</row>
    <row r="29" spans="2:31">
      <c r="F29" s="79" t="s">
        <v>4</v>
      </c>
      <c r="G29" s="79"/>
      <c r="H29" s="79"/>
      <c r="I29" s="79"/>
      <c r="J29" s="79"/>
      <c r="K29" s="79"/>
      <c r="O29" s="80" t="s">
        <v>5</v>
      </c>
      <c r="P29" s="79"/>
      <c r="Q29" s="79"/>
      <c r="R29" s="79"/>
      <c r="V29" s="81" t="s">
        <v>6</v>
      </c>
      <c r="W29" s="82"/>
      <c r="X29" s="82"/>
      <c r="Y29" s="82"/>
      <c r="Z29" s="82"/>
      <c r="AA29" s="82"/>
    </row>
    <row r="30" spans="2:31">
      <c r="F30" s="83">
        <v>45362</v>
      </c>
      <c r="G30" s="84"/>
      <c r="H30" s="84"/>
      <c r="I30" s="84"/>
      <c r="J30" s="84"/>
      <c r="K30" s="84"/>
      <c r="L30" s="36"/>
      <c r="N30" s="83">
        <v>45433</v>
      </c>
      <c r="O30" s="84"/>
      <c r="P30" s="84"/>
      <c r="Q30" s="84"/>
      <c r="R30" s="84"/>
      <c r="S30" s="85"/>
      <c r="V30" s="83"/>
      <c r="W30" s="84"/>
      <c r="X30" s="84"/>
      <c r="Y30" s="84"/>
      <c r="Z30" s="84"/>
      <c r="AA30" s="84"/>
      <c r="AB30" s="36"/>
    </row>
    <row r="31" spans="2:31" ht="15.75" customHeight="1">
      <c r="F31" s="64" t="s">
        <v>7</v>
      </c>
      <c r="G31" s="65"/>
      <c r="H31" s="65"/>
      <c r="I31" s="65"/>
      <c r="J31" s="65"/>
      <c r="K31" s="65"/>
      <c r="L31" s="37"/>
      <c r="N31" s="70" t="s">
        <v>8</v>
      </c>
      <c r="O31" s="71"/>
      <c r="P31" s="71"/>
      <c r="Q31" s="71"/>
      <c r="R31" s="71"/>
      <c r="S31" s="72"/>
      <c r="V31" s="64"/>
      <c r="W31" s="65"/>
      <c r="X31" s="65"/>
      <c r="Y31" s="65"/>
      <c r="Z31" s="65"/>
      <c r="AA31" s="65"/>
      <c r="AB31" s="37"/>
    </row>
    <row r="32" spans="2:31">
      <c r="F32" s="66"/>
      <c r="G32" s="67"/>
      <c r="H32" s="67"/>
      <c r="I32" s="67"/>
      <c r="J32" s="67"/>
      <c r="K32" s="67"/>
      <c r="L32" s="37"/>
      <c r="N32" s="73"/>
      <c r="O32" s="74"/>
      <c r="P32" s="74"/>
      <c r="Q32" s="74"/>
      <c r="R32" s="74"/>
      <c r="S32" s="75"/>
      <c r="V32" s="66"/>
      <c r="W32" s="67"/>
      <c r="X32" s="67"/>
      <c r="Y32" s="67"/>
      <c r="Z32" s="67"/>
      <c r="AA32" s="67"/>
      <c r="AB32" s="37"/>
    </row>
    <row r="33" spans="6:28">
      <c r="F33" s="66"/>
      <c r="G33" s="67"/>
      <c r="H33" s="67"/>
      <c r="I33" s="67"/>
      <c r="J33" s="67"/>
      <c r="K33" s="67"/>
      <c r="L33" s="37"/>
      <c r="N33" s="73"/>
      <c r="O33" s="74"/>
      <c r="P33" s="74"/>
      <c r="Q33" s="74"/>
      <c r="R33" s="74"/>
      <c r="S33" s="75"/>
      <c r="V33" s="66"/>
      <c r="W33" s="67"/>
      <c r="X33" s="67"/>
      <c r="Y33" s="67"/>
      <c r="Z33" s="67"/>
      <c r="AA33" s="67"/>
      <c r="AB33" s="37"/>
    </row>
    <row r="34" spans="6:28">
      <c r="F34" s="66"/>
      <c r="G34" s="67"/>
      <c r="H34" s="67"/>
      <c r="I34" s="67"/>
      <c r="J34" s="67"/>
      <c r="K34" s="67"/>
      <c r="L34" s="37"/>
      <c r="N34" s="73"/>
      <c r="O34" s="74"/>
      <c r="P34" s="74"/>
      <c r="Q34" s="74"/>
      <c r="R34" s="74"/>
      <c r="S34" s="75"/>
      <c r="V34" s="66"/>
      <c r="W34" s="67"/>
      <c r="X34" s="67"/>
      <c r="Y34" s="67"/>
      <c r="Z34" s="67"/>
      <c r="AA34" s="67"/>
      <c r="AB34" s="37"/>
    </row>
    <row r="35" spans="6:28">
      <c r="F35" s="68"/>
      <c r="G35" s="69"/>
      <c r="H35" s="69"/>
      <c r="I35" s="69"/>
      <c r="J35" s="69"/>
      <c r="K35" s="69"/>
      <c r="L35" s="37"/>
      <c r="N35" s="76"/>
      <c r="O35" s="77"/>
      <c r="P35" s="77"/>
      <c r="Q35" s="77"/>
      <c r="R35" s="77"/>
      <c r="S35" s="78"/>
      <c r="V35" s="68"/>
      <c r="W35" s="69"/>
      <c r="X35" s="69"/>
      <c r="Y35" s="69"/>
      <c r="Z35" s="69"/>
      <c r="AA35" s="69"/>
      <c r="AB35" s="37"/>
    </row>
  </sheetData>
  <mergeCells count="15">
    <mergeCell ref="B26:AE27"/>
    <mergeCell ref="J4:L5"/>
    <mergeCell ref="B10:AE13"/>
    <mergeCell ref="B14:AE16"/>
    <mergeCell ref="B22:AE23"/>
    <mergeCell ref="B24:AE25"/>
    <mergeCell ref="F31:K35"/>
    <mergeCell ref="N31:S35"/>
    <mergeCell ref="V31:AA35"/>
    <mergeCell ref="F29:K29"/>
    <mergeCell ref="O29:R29"/>
    <mergeCell ref="V29:AA29"/>
    <mergeCell ref="F30:K30"/>
    <mergeCell ref="N30:S30"/>
    <mergeCell ref="V30:AA30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O21"/>
  <sheetViews>
    <sheetView showGridLines="0" workbookViewId="0">
      <pane ySplit="5" topLeftCell="A6" activePane="bottomLeft" state="frozen"/>
      <selection pane="bottomLeft" activeCell="T14" sqref="T14:AY14"/>
    </sheetView>
  </sheetViews>
  <sheetFormatPr defaultColWidth="2.625" defaultRowHeight="15" customHeight="1"/>
  <cols>
    <col min="1" max="16384" width="2.625" style="5"/>
  </cols>
  <sheetData>
    <row r="1" spans="1:67" s="6" customFormat="1" ht="14.1" customHeight="1" thickBot="1">
      <c r="A1" s="163" t="s">
        <v>9</v>
      </c>
      <c r="B1" s="164"/>
      <c r="C1" s="164"/>
      <c r="D1" s="164"/>
      <c r="E1" s="165"/>
      <c r="F1" s="166" t="str">
        <f>表紙!B10</f>
        <v>会計システム刷新プロジェクト（LIBRA）</v>
      </c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8"/>
      <c r="W1" s="169" t="s">
        <v>10</v>
      </c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1"/>
      <c r="AR1" s="169" t="s">
        <v>11</v>
      </c>
      <c r="AS1" s="170"/>
      <c r="AT1" s="170"/>
      <c r="AU1" s="170"/>
      <c r="AV1" s="170"/>
      <c r="AW1" s="170"/>
      <c r="AX1" s="170"/>
      <c r="AY1" s="170"/>
      <c r="AZ1" s="171"/>
      <c r="BA1" s="169" t="s">
        <v>12</v>
      </c>
      <c r="BB1" s="170"/>
      <c r="BC1" s="170"/>
      <c r="BD1" s="170"/>
      <c r="BE1" s="170"/>
      <c r="BF1" s="170"/>
      <c r="BG1" s="170"/>
      <c r="BH1" s="171"/>
      <c r="BI1" s="5"/>
      <c r="BJ1" s="5"/>
      <c r="BK1" s="5"/>
      <c r="BL1" s="5"/>
      <c r="BM1" s="5"/>
      <c r="BN1" s="5"/>
      <c r="BO1" s="5"/>
    </row>
    <row r="2" spans="1:67" s="6" customFormat="1" ht="14.1" customHeight="1">
      <c r="A2" s="140" t="s">
        <v>13</v>
      </c>
      <c r="B2" s="141"/>
      <c r="C2" s="141"/>
      <c r="D2" s="141"/>
      <c r="E2" s="142"/>
      <c r="F2" s="146" t="str">
        <f>表紙!B14</f>
        <v>ToBe業務フロー（2.グループファイナンス・資金繰り）</v>
      </c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8"/>
      <c r="W2" s="152" t="e">
        <f ca="1">MID(CELL("filename",$A$1),FIND("]",CELL("filename",$A$1))+1,31)</f>
        <v>#VALUE!</v>
      </c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4"/>
      <c r="AR2" s="158" t="s">
        <v>14</v>
      </c>
      <c r="AS2" s="159"/>
      <c r="AT2" s="160">
        <f>A6</f>
        <v>45362</v>
      </c>
      <c r="AU2" s="161"/>
      <c r="AV2" s="161"/>
      <c r="AW2" s="161"/>
      <c r="AX2" s="161"/>
      <c r="AY2" s="161"/>
      <c r="AZ2" s="162"/>
      <c r="BA2" s="128" t="str">
        <f>AZ6</f>
        <v>JBS福田</v>
      </c>
      <c r="BB2" s="129"/>
      <c r="BC2" s="129"/>
      <c r="BD2" s="129"/>
      <c r="BE2" s="129"/>
      <c r="BF2" s="129"/>
      <c r="BG2" s="129"/>
      <c r="BH2" s="130"/>
      <c r="BI2" s="5"/>
      <c r="BJ2" s="5"/>
      <c r="BK2" s="5"/>
      <c r="BL2" s="5"/>
      <c r="BM2" s="5"/>
      <c r="BN2" s="5"/>
      <c r="BO2" s="5"/>
    </row>
    <row r="3" spans="1:67" s="6" customFormat="1" ht="14.1" customHeight="1" thickBot="1">
      <c r="A3" s="143"/>
      <c r="B3" s="144"/>
      <c r="C3" s="144"/>
      <c r="D3" s="144"/>
      <c r="E3" s="145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5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7"/>
      <c r="AR3" s="131" t="s">
        <v>15</v>
      </c>
      <c r="AS3" s="132"/>
      <c r="AT3" s="133" cm="1">
        <f t="array" aca="1" ref="AT3" ca="1">IF(OR(COUNTA(A:E)=3),"",INDIRECT("A"&amp;COUNTA(A:E)+2))</f>
        <v>45763</v>
      </c>
      <c r="AU3" s="134"/>
      <c r="AV3" s="134"/>
      <c r="AW3" s="134"/>
      <c r="AX3" s="134"/>
      <c r="AY3" s="134"/>
      <c r="AZ3" s="135"/>
      <c r="BA3" s="136" t="str" cm="1">
        <f t="array" aca="1" ref="BA3" ca="1">IF(COUNTA(AZ5:BD99999)=1,"",INDIRECT("変更履歴!AZ"&amp;COUNTA(AZ5:BD99999)+4))</f>
        <v>JBS福田</v>
      </c>
      <c r="BB3" s="137"/>
      <c r="BC3" s="137"/>
      <c r="BD3" s="137"/>
      <c r="BE3" s="137"/>
      <c r="BF3" s="137"/>
      <c r="BG3" s="137"/>
      <c r="BH3" s="138"/>
      <c r="BI3" s="5"/>
      <c r="BJ3" s="5"/>
      <c r="BK3" s="5"/>
      <c r="BL3" s="5"/>
      <c r="BM3" s="5"/>
      <c r="BN3" s="5"/>
      <c r="BO3" s="5"/>
    </row>
    <row r="4" spans="1:67" ht="15" customHeight="1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</row>
    <row r="5" spans="1:67" ht="15" customHeight="1" thickBot="1">
      <c r="A5" s="139" t="s">
        <v>16</v>
      </c>
      <c r="B5" s="139"/>
      <c r="C5" s="139"/>
      <c r="D5" s="139"/>
      <c r="E5" s="139"/>
      <c r="F5" s="139" t="s">
        <v>17</v>
      </c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 t="s">
        <v>18</v>
      </c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 t="s">
        <v>19</v>
      </c>
      <c r="BA5" s="139"/>
      <c r="BB5" s="139"/>
      <c r="BC5" s="139"/>
      <c r="BD5" s="139"/>
      <c r="BE5" s="139" t="s">
        <v>20</v>
      </c>
      <c r="BF5" s="139"/>
      <c r="BG5" s="139"/>
      <c r="BH5" s="139"/>
    </row>
    <row r="6" spans="1:67" ht="15" customHeight="1">
      <c r="A6" s="122">
        <v>45362</v>
      </c>
      <c r="B6" s="122"/>
      <c r="C6" s="122"/>
      <c r="D6" s="122"/>
      <c r="E6" s="122"/>
      <c r="F6" s="123" t="s">
        <v>21</v>
      </c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4" t="s">
        <v>22</v>
      </c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5" t="s">
        <v>23</v>
      </c>
      <c r="BA6" s="125"/>
      <c r="BB6" s="125"/>
      <c r="BC6" s="125"/>
      <c r="BD6" s="125"/>
      <c r="BE6" s="126" t="s">
        <v>24</v>
      </c>
      <c r="BF6" s="127"/>
      <c r="BG6" s="127"/>
      <c r="BH6" s="127"/>
    </row>
    <row r="7" spans="1:67" ht="15" customHeight="1">
      <c r="A7" s="102">
        <v>45433</v>
      </c>
      <c r="B7" s="102"/>
      <c r="C7" s="102"/>
      <c r="D7" s="102"/>
      <c r="E7" s="102"/>
      <c r="F7" s="103" t="s">
        <v>25</v>
      </c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4" t="s">
        <v>25</v>
      </c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5" t="s">
        <v>23</v>
      </c>
      <c r="BA7" s="105"/>
      <c r="BB7" s="105"/>
      <c r="BC7" s="105"/>
      <c r="BD7" s="105"/>
      <c r="BE7" s="106" t="s">
        <v>26</v>
      </c>
      <c r="BF7" s="106"/>
      <c r="BG7" s="106"/>
      <c r="BH7" s="106"/>
    </row>
    <row r="8" spans="1:67" ht="33" customHeight="1">
      <c r="A8" s="102">
        <v>45586</v>
      </c>
      <c r="B8" s="102"/>
      <c r="C8" s="102"/>
      <c r="D8" s="102"/>
      <c r="E8" s="102"/>
      <c r="F8" s="103" t="s">
        <v>27</v>
      </c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15" t="s">
        <v>28</v>
      </c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5" t="s">
        <v>23</v>
      </c>
      <c r="BA8" s="105"/>
      <c r="BB8" s="105"/>
      <c r="BC8" s="105"/>
      <c r="BD8" s="105"/>
      <c r="BE8" s="106" t="s">
        <v>29</v>
      </c>
      <c r="BF8" s="106"/>
      <c r="BG8" s="106"/>
      <c r="BH8" s="106"/>
    </row>
    <row r="9" spans="1:67" ht="48" customHeight="1">
      <c r="A9" s="102">
        <v>45740</v>
      </c>
      <c r="B9" s="112"/>
      <c r="C9" s="112"/>
      <c r="D9" s="112"/>
      <c r="E9" s="113"/>
      <c r="F9" s="114" t="s">
        <v>30</v>
      </c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4" t="s">
        <v>31</v>
      </c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5" t="s">
        <v>23</v>
      </c>
      <c r="BA9" s="105"/>
      <c r="BB9" s="105"/>
      <c r="BC9" s="105"/>
      <c r="BD9" s="105"/>
      <c r="BE9" s="106" t="s">
        <v>32</v>
      </c>
      <c r="BF9" s="106"/>
      <c r="BG9" s="106"/>
      <c r="BH9" s="106"/>
    </row>
    <row r="10" spans="1:67" ht="15" customHeight="1">
      <c r="A10" s="102">
        <v>45740</v>
      </c>
      <c r="B10" s="112"/>
      <c r="C10" s="112"/>
      <c r="D10" s="112"/>
      <c r="E10" s="113"/>
      <c r="F10" s="116" t="s">
        <v>33</v>
      </c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8"/>
      <c r="T10" s="119" t="s">
        <v>34</v>
      </c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1"/>
      <c r="AZ10" s="105" t="s">
        <v>23</v>
      </c>
      <c r="BA10" s="105"/>
      <c r="BB10" s="105"/>
      <c r="BC10" s="105"/>
      <c r="BD10" s="105"/>
      <c r="BE10" s="106" t="s">
        <v>32</v>
      </c>
      <c r="BF10" s="106"/>
      <c r="BG10" s="106"/>
      <c r="BH10" s="106"/>
    </row>
    <row r="11" spans="1:67" ht="52.5" customHeight="1">
      <c r="A11" s="102">
        <v>45740</v>
      </c>
      <c r="B11" s="112"/>
      <c r="C11" s="112"/>
      <c r="D11" s="112"/>
      <c r="E11" s="113"/>
      <c r="F11" s="114" t="s">
        <v>35</v>
      </c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4" t="s">
        <v>36</v>
      </c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5" t="s">
        <v>23</v>
      </c>
      <c r="BA11" s="105"/>
      <c r="BB11" s="105"/>
      <c r="BC11" s="105"/>
      <c r="BD11" s="105"/>
      <c r="BE11" s="106" t="s">
        <v>32</v>
      </c>
      <c r="BF11" s="106"/>
      <c r="BG11" s="106"/>
      <c r="BH11" s="106"/>
    </row>
    <row r="12" spans="1:67" ht="42" customHeight="1">
      <c r="A12" s="102">
        <v>45748</v>
      </c>
      <c r="B12" s="112"/>
      <c r="C12" s="112"/>
      <c r="D12" s="112"/>
      <c r="E12" s="113"/>
      <c r="F12" s="114" t="s">
        <v>37</v>
      </c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15" t="s">
        <v>38</v>
      </c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5" t="s">
        <v>23</v>
      </c>
      <c r="BA12" s="105"/>
      <c r="BB12" s="105"/>
      <c r="BC12" s="105"/>
      <c r="BD12" s="105"/>
      <c r="BE12" s="106" t="s">
        <v>39</v>
      </c>
      <c r="BF12" s="106"/>
      <c r="BG12" s="106"/>
      <c r="BH12" s="106"/>
    </row>
    <row r="13" spans="1:67" ht="51" customHeight="1">
      <c r="A13" s="102">
        <v>45763</v>
      </c>
      <c r="B13" s="112"/>
      <c r="C13" s="112"/>
      <c r="D13" s="112"/>
      <c r="E13" s="113"/>
      <c r="F13" s="114" t="s">
        <v>37</v>
      </c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15" t="s">
        <v>40</v>
      </c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5" t="s">
        <v>23</v>
      </c>
      <c r="BA13" s="105"/>
      <c r="BB13" s="105"/>
      <c r="BC13" s="105"/>
      <c r="BD13" s="105"/>
      <c r="BE13" s="106" t="s">
        <v>41</v>
      </c>
      <c r="BF13" s="106"/>
      <c r="BG13" s="106"/>
      <c r="BH13" s="106"/>
    </row>
    <row r="14" spans="1:67" ht="15" customHeight="1">
      <c r="A14" s="102"/>
      <c r="B14" s="102"/>
      <c r="C14" s="102"/>
      <c r="D14" s="102"/>
      <c r="E14" s="102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5"/>
      <c r="BA14" s="105"/>
      <c r="BB14" s="105"/>
      <c r="BC14" s="105"/>
      <c r="BD14" s="105"/>
      <c r="BE14" s="106"/>
      <c r="BF14" s="106"/>
      <c r="BG14" s="106"/>
      <c r="BH14" s="106"/>
    </row>
    <row r="15" spans="1:67" ht="15" customHeight="1">
      <c r="A15" s="102"/>
      <c r="B15" s="102"/>
      <c r="C15" s="102"/>
      <c r="D15" s="102"/>
      <c r="E15" s="102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5"/>
      <c r="BA15" s="105"/>
      <c r="BB15" s="105"/>
      <c r="BC15" s="105"/>
      <c r="BD15" s="105"/>
      <c r="BE15" s="106"/>
      <c r="BF15" s="106"/>
      <c r="BG15" s="106"/>
      <c r="BH15" s="106"/>
    </row>
    <row r="16" spans="1:67" ht="15" customHeight="1">
      <c r="A16" s="102"/>
      <c r="B16" s="102"/>
      <c r="C16" s="102"/>
      <c r="D16" s="102"/>
      <c r="E16" s="102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5"/>
      <c r="BA16" s="105"/>
      <c r="BB16" s="105"/>
      <c r="BC16" s="105"/>
      <c r="BD16" s="105"/>
      <c r="BE16" s="106"/>
      <c r="BF16" s="106"/>
      <c r="BG16" s="106"/>
      <c r="BH16" s="106"/>
    </row>
    <row r="17" spans="1:60" ht="15" customHeight="1">
      <c r="A17" s="102"/>
      <c r="B17" s="102"/>
      <c r="C17" s="102"/>
      <c r="D17" s="102"/>
      <c r="E17" s="102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5"/>
      <c r="BA17" s="105"/>
      <c r="BB17" s="105"/>
      <c r="BC17" s="105"/>
      <c r="BD17" s="105"/>
      <c r="BE17" s="106"/>
      <c r="BF17" s="106"/>
      <c r="BG17" s="106"/>
      <c r="BH17" s="106"/>
    </row>
    <row r="18" spans="1:60" ht="15" customHeight="1">
      <c r="A18" s="102"/>
      <c r="B18" s="102"/>
      <c r="C18" s="102"/>
      <c r="D18" s="102"/>
      <c r="E18" s="102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5"/>
      <c r="BA18" s="105"/>
      <c r="BB18" s="105"/>
      <c r="BC18" s="105"/>
      <c r="BD18" s="105"/>
      <c r="BE18" s="106"/>
      <c r="BF18" s="106"/>
      <c r="BG18" s="106"/>
      <c r="BH18" s="106"/>
    </row>
    <row r="19" spans="1:60" ht="15" customHeight="1">
      <c r="A19" s="102"/>
      <c r="B19" s="102"/>
      <c r="C19" s="102"/>
      <c r="D19" s="102"/>
      <c r="E19" s="102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5"/>
      <c r="BA19" s="105"/>
      <c r="BB19" s="105"/>
      <c r="BC19" s="105"/>
      <c r="BD19" s="105"/>
      <c r="BE19" s="106"/>
      <c r="BF19" s="106"/>
      <c r="BG19" s="106"/>
      <c r="BH19" s="106"/>
    </row>
    <row r="20" spans="1:60" ht="15" customHeight="1">
      <c r="A20" s="102"/>
      <c r="B20" s="102"/>
      <c r="C20" s="102"/>
      <c r="D20" s="102"/>
      <c r="E20" s="102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5"/>
      <c r="BA20" s="105"/>
      <c r="BB20" s="105"/>
      <c r="BC20" s="105"/>
      <c r="BD20" s="105"/>
      <c r="BE20" s="106"/>
      <c r="BF20" s="106"/>
      <c r="BG20" s="106"/>
      <c r="BH20" s="106"/>
    </row>
    <row r="21" spans="1:60" ht="15" customHeight="1" thickBot="1">
      <c r="A21" s="107"/>
      <c r="B21" s="107"/>
      <c r="C21" s="107"/>
      <c r="D21" s="107"/>
      <c r="E21" s="107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10"/>
      <c r="BA21" s="110"/>
      <c r="BB21" s="110"/>
      <c r="BC21" s="110"/>
      <c r="BD21" s="110"/>
      <c r="BE21" s="111"/>
      <c r="BF21" s="111"/>
      <c r="BG21" s="111"/>
      <c r="BH21" s="111"/>
    </row>
  </sheetData>
  <mergeCells count="99">
    <mergeCell ref="A1:E1"/>
    <mergeCell ref="F1:V1"/>
    <mergeCell ref="W1:AQ1"/>
    <mergeCell ref="AR1:AZ1"/>
    <mergeCell ref="BA1:BH1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  <mergeCell ref="A2:E3"/>
    <mergeCell ref="F2:V3"/>
    <mergeCell ref="W2:AQ3"/>
    <mergeCell ref="AR2:AS2"/>
    <mergeCell ref="AT2:AZ2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21:E21"/>
    <mergeCell ref="F21:S21"/>
    <mergeCell ref="T21:AY21"/>
    <mergeCell ref="AZ21:BD21"/>
    <mergeCell ref="BE21:BH21"/>
    <mergeCell ref="A19:E19"/>
    <mergeCell ref="F19:S19"/>
    <mergeCell ref="T19:AY19"/>
    <mergeCell ref="AZ19:BD19"/>
    <mergeCell ref="BE19:BH19"/>
    <mergeCell ref="A20:E20"/>
    <mergeCell ref="F20:S20"/>
    <mergeCell ref="T20:AY20"/>
    <mergeCell ref="AZ20:BD20"/>
    <mergeCell ref="BE20:BH20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V72"/>
  <sheetViews>
    <sheetView showGridLines="0" zoomScaleNormal="100" workbookViewId="0">
      <selection sqref="A1:E1"/>
    </sheetView>
  </sheetViews>
  <sheetFormatPr defaultColWidth="2.625" defaultRowHeight="13.5"/>
  <cols>
    <col min="1" max="5" width="2.625" style="8"/>
    <col min="6" max="10" width="2.625" style="8" customWidth="1"/>
    <col min="11" max="49" width="2.625" style="8"/>
    <col min="50" max="50" width="2.625" style="8" customWidth="1"/>
    <col min="51" max="16384" width="2.625" style="8"/>
  </cols>
  <sheetData>
    <row r="1" spans="1:48" ht="14.1" customHeight="1" thickBot="1">
      <c r="A1" s="169" t="s">
        <v>9</v>
      </c>
      <c r="B1" s="170"/>
      <c r="C1" s="170"/>
      <c r="D1" s="170"/>
      <c r="E1" s="171"/>
      <c r="F1" s="166" t="str">
        <f>変更履歴!F1</f>
        <v>会計システム刷新プロジェクト（LIBRA）</v>
      </c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8"/>
      <c r="V1" s="169" t="s">
        <v>42</v>
      </c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1"/>
      <c r="AJ1" s="169" t="s">
        <v>11</v>
      </c>
      <c r="AK1" s="170"/>
      <c r="AL1" s="170"/>
      <c r="AM1" s="170"/>
      <c r="AN1" s="170"/>
      <c r="AO1" s="170"/>
      <c r="AP1" s="171"/>
      <c r="AQ1" s="169" t="s">
        <v>12</v>
      </c>
      <c r="AR1" s="170"/>
      <c r="AS1" s="170"/>
      <c r="AT1" s="170"/>
      <c r="AU1" s="170"/>
      <c r="AV1" s="171"/>
    </row>
    <row r="2" spans="1:48" ht="14.1" customHeight="1">
      <c r="A2" s="184" t="s">
        <v>13</v>
      </c>
      <c r="B2" s="185"/>
      <c r="C2" s="185"/>
      <c r="D2" s="185"/>
      <c r="E2" s="186"/>
      <c r="F2" s="146" t="str">
        <f>変更履歴!F2</f>
        <v>ToBe業務フロー（2.グループファイナンス・資金繰り）</v>
      </c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8"/>
      <c r="V2" s="146" t="e">
        <f ca="1">MID(CELL("filename",$A$1),FIND("]",CELL("filename",$A$1))+1,31)</f>
        <v>#VALUE!</v>
      </c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8"/>
      <c r="AJ2" s="158" t="s">
        <v>14</v>
      </c>
      <c r="AK2" s="159"/>
      <c r="AL2" s="160">
        <f>変更履歴!AT2</f>
        <v>45362</v>
      </c>
      <c r="AM2" s="161"/>
      <c r="AN2" s="161"/>
      <c r="AO2" s="161"/>
      <c r="AP2" s="162"/>
      <c r="AQ2" s="128" t="str">
        <f>変更履歴!BA2</f>
        <v>JBS福田</v>
      </c>
      <c r="AR2" s="129"/>
      <c r="AS2" s="129"/>
      <c r="AT2" s="129"/>
      <c r="AU2" s="129"/>
      <c r="AV2" s="130"/>
    </row>
    <row r="3" spans="1:48" ht="14.1" customHeight="1" thickBot="1">
      <c r="A3" s="187"/>
      <c r="B3" s="188"/>
      <c r="C3" s="188"/>
      <c r="D3" s="188"/>
      <c r="E3" s="189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1"/>
      <c r="V3" s="149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1"/>
      <c r="AJ3" s="131" t="s">
        <v>15</v>
      </c>
      <c r="AK3" s="132"/>
      <c r="AL3" s="133">
        <f ca="1">変更履歴!AT3</f>
        <v>45763</v>
      </c>
      <c r="AM3" s="134"/>
      <c r="AN3" s="134"/>
      <c r="AO3" s="134"/>
      <c r="AP3" s="135"/>
      <c r="AQ3" s="136" t="str">
        <f ca="1">変更履歴!BA3</f>
        <v>JBS福田</v>
      </c>
      <c r="AR3" s="137"/>
      <c r="AS3" s="137"/>
      <c r="AT3" s="137"/>
      <c r="AU3" s="137"/>
      <c r="AV3" s="138"/>
    </row>
    <row r="4" spans="1:48">
      <c r="A4" s="34"/>
      <c r="AV4" s="9"/>
    </row>
    <row r="5" spans="1:48">
      <c r="A5" s="2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 s="11" customFormat="1">
      <c r="A6" s="38" t="s">
        <v>43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40"/>
    </row>
    <row r="7" spans="1:48" s="11" customFormat="1">
      <c r="A7" s="3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V7" s="13"/>
    </row>
    <row r="8" spans="1:48" s="11" customFormat="1">
      <c r="A8" s="3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V8" s="13"/>
    </row>
    <row r="9" spans="1:48" s="11" customFormat="1">
      <c r="A9" s="3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V9" s="13"/>
    </row>
    <row r="10" spans="1:48" s="11" customFormat="1">
      <c r="A10" s="32"/>
      <c r="B10" s="12"/>
      <c r="C10" s="12"/>
      <c r="D10" s="12"/>
      <c r="E10" s="12"/>
      <c r="F10" s="12"/>
      <c r="H10" t="s">
        <v>44</v>
      </c>
      <c r="I10" t="s">
        <v>45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C10" t="s">
        <v>44</v>
      </c>
      <c r="AD10" t="s">
        <v>46</v>
      </c>
      <c r="AV10" s="13"/>
    </row>
    <row r="11" spans="1:48" s="11" customFormat="1">
      <c r="A11" s="32"/>
      <c r="B11" s="12"/>
      <c r="C11" s="12"/>
      <c r="D11" s="12"/>
      <c r="E11" s="12"/>
      <c r="F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C11" s="12"/>
      <c r="AV11" s="13"/>
    </row>
    <row r="12" spans="1:48" s="11" customFormat="1">
      <c r="A12" s="32"/>
      <c r="B12" s="12"/>
      <c r="C12" s="12"/>
      <c r="D12" s="12"/>
      <c r="E12" s="12"/>
      <c r="F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C12" s="12"/>
      <c r="AV12" s="13"/>
    </row>
    <row r="13" spans="1:48" s="11" customFormat="1">
      <c r="A13" s="32"/>
      <c r="B13" s="12"/>
      <c r="C13" s="12"/>
      <c r="D13" s="12"/>
      <c r="E13" s="12"/>
      <c r="F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C13" s="12"/>
      <c r="AV13" s="13"/>
    </row>
    <row r="14" spans="1:48" s="11" customFormat="1">
      <c r="A14" s="32"/>
      <c r="B14" s="12"/>
      <c r="C14" s="12"/>
      <c r="D14" s="12"/>
      <c r="E14" s="12"/>
      <c r="F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V14" s="13"/>
    </row>
    <row r="15" spans="1:48" s="11" customFormat="1">
      <c r="A15" s="32"/>
      <c r="B15" s="12"/>
      <c r="C15" s="12"/>
      <c r="D15" s="12"/>
      <c r="E15" s="12"/>
      <c r="F15" s="12"/>
      <c r="H15" t="s">
        <v>44</v>
      </c>
      <c r="I15" t="s">
        <v>47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/>
      <c r="AC15" t="s">
        <v>44</v>
      </c>
      <c r="AD15" t="s">
        <v>48</v>
      </c>
      <c r="AV15" s="13"/>
    </row>
    <row r="16" spans="1:48" s="11" customFormat="1">
      <c r="A16" s="32"/>
      <c r="B16" s="12"/>
      <c r="C16" s="12"/>
      <c r="D16" s="12"/>
      <c r="E16" s="12"/>
      <c r="F16" s="12"/>
      <c r="H16" s="12"/>
      <c r="I1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/>
      <c r="AV16" s="13"/>
    </row>
    <row r="17" spans="1:48" s="11" customFormat="1">
      <c r="A17" s="32"/>
      <c r="B17" s="12"/>
      <c r="C17" s="12"/>
      <c r="D17" s="12"/>
      <c r="E17" s="12"/>
      <c r="F17" s="12"/>
      <c r="H17" s="12"/>
      <c r="I17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/>
      <c r="AC17"/>
      <c r="AV17" s="13"/>
    </row>
    <row r="18" spans="1:48" s="11" customFormat="1">
      <c r="A18" s="32"/>
      <c r="B18" s="12"/>
      <c r="C18" s="12"/>
      <c r="D18" s="12"/>
      <c r="E18" s="12"/>
      <c r="F18" s="12"/>
      <c r="H18" s="12"/>
      <c r="I18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V18" s="13"/>
    </row>
    <row r="19" spans="1:48" s="11" customFormat="1">
      <c r="A19" s="32"/>
      <c r="B19" s="12"/>
      <c r="C19" s="12"/>
      <c r="D19" s="12"/>
      <c r="E19" s="12"/>
      <c r="F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/>
      <c r="AV19" s="13"/>
    </row>
    <row r="20" spans="1:48" s="11" customFormat="1">
      <c r="A20" s="32"/>
      <c r="C20" s="12"/>
      <c r="D20" s="12"/>
      <c r="E20" s="12"/>
      <c r="F20" s="12"/>
      <c r="H20" t="s">
        <v>44</v>
      </c>
      <c r="I20" t="s">
        <v>49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/>
      <c r="AC20" t="s">
        <v>44</v>
      </c>
      <c r="AD20" t="s">
        <v>50</v>
      </c>
      <c r="AV20" s="13"/>
    </row>
    <row r="21" spans="1:48" s="11" customFormat="1">
      <c r="A21" s="32"/>
      <c r="B21" s="12"/>
      <c r="C21" s="12"/>
      <c r="D21" s="12"/>
      <c r="E21" s="12"/>
      <c r="F21" s="12"/>
      <c r="H21" s="12"/>
      <c r="I2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/>
      <c r="AC21"/>
      <c r="AV21" s="13"/>
    </row>
    <row r="22" spans="1:48" s="11" customFormat="1">
      <c r="A22" s="32"/>
      <c r="B22" s="12"/>
      <c r="C22" s="12"/>
      <c r="D22" s="12"/>
      <c r="E22" s="12"/>
      <c r="F22" s="12"/>
      <c r="H22" s="12"/>
      <c r="I2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V22" s="13"/>
    </row>
    <row r="23" spans="1:48" s="11" customFormat="1">
      <c r="A23" s="32"/>
      <c r="B23" s="12"/>
      <c r="C23" s="12"/>
      <c r="D23" s="12"/>
      <c r="E23" s="12"/>
      <c r="F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/>
      <c r="AC23"/>
      <c r="AV23" s="13"/>
    </row>
    <row r="24" spans="1:48" s="11" customFormat="1">
      <c r="A24" s="32"/>
      <c r="B24" s="12"/>
      <c r="C24" s="12"/>
      <c r="D24" s="12"/>
      <c r="E24" s="12"/>
      <c r="F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/>
      <c r="AV24" s="13"/>
    </row>
    <row r="25" spans="1:48" s="11" customFormat="1">
      <c r="A25" s="32"/>
      <c r="B25" s="12"/>
      <c r="C25" s="12"/>
      <c r="D25" s="12"/>
      <c r="E25" s="12"/>
      <c r="F25" s="12"/>
      <c r="H25" t="s">
        <v>44</v>
      </c>
      <c r="I25" t="s">
        <v>51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C25" s="11" t="s">
        <v>44</v>
      </c>
      <c r="AD25" s="11" t="s">
        <v>52</v>
      </c>
      <c r="AV25" s="13"/>
    </row>
    <row r="26" spans="1:48" s="11" customFormat="1">
      <c r="A26" s="32"/>
      <c r="B26" s="12"/>
      <c r="C26" s="12"/>
      <c r="D26" s="12"/>
      <c r="E26" s="12"/>
      <c r="F26" s="12"/>
      <c r="H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/>
      <c r="AC26"/>
      <c r="AV26" s="13"/>
    </row>
    <row r="27" spans="1:48" s="11" customFormat="1">
      <c r="A27" s="32"/>
      <c r="B27" s="12"/>
      <c r="C27" s="12"/>
      <c r="D27" s="12"/>
      <c r="E27" s="12"/>
      <c r="F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/>
      <c r="AC27"/>
      <c r="AV27" s="13"/>
    </row>
    <row r="28" spans="1:48" s="11" customFormat="1">
      <c r="A28" s="32"/>
      <c r="B28" s="12"/>
      <c r="C28" s="12"/>
      <c r="D28" s="12"/>
      <c r="E28" s="12"/>
      <c r="F28" s="12"/>
      <c r="H28" s="12"/>
      <c r="I28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V28" s="13"/>
    </row>
    <row r="29" spans="1:48" s="11" customFormat="1">
      <c r="A29" s="32"/>
      <c r="B29" s="12"/>
      <c r="C29" s="12"/>
      <c r="D29" s="12"/>
      <c r="E29" s="12"/>
      <c r="F29" s="12"/>
      <c r="H29" s="12"/>
      <c r="I29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V29" s="13"/>
    </row>
    <row r="30" spans="1:48" s="11" customFormat="1">
      <c r="A30" s="32"/>
      <c r="C30" s="12"/>
      <c r="D30" s="12"/>
      <c r="E30" s="12"/>
      <c r="F30" s="12"/>
      <c r="H30" t="s">
        <v>44</v>
      </c>
      <c r="I30" t="s">
        <v>53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/>
      <c r="AC30" t="s">
        <v>44</v>
      </c>
      <c r="AD30" t="s">
        <v>54</v>
      </c>
      <c r="AV30" s="13"/>
    </row>
    <row r="31" spans="1:48" s="11" customFormat="1">
      <c r="A31" s="32"/>
      <c r="C31" s="12"/>
      <c r="D31" s="12"/>
      <c r="E31" s="12"/>
      <c r="F31" s="12"/>
      <c r="H31" s="12"/>
      <c r="I31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/>
      <c r="AC31"/>
      <c r="AV31" s="13"/>
    </row>
    <row r="32" spans="1:48">
      <c r="A32" s="34"/>
      <c r="I32"/>
      <c r="AA32"/>
      <c r="AC32"/>
      <c r="AV32" s="14"/>
    </row>
    <row r="33" spans="1:48">
      <c r="A33" s="34"/>
      <c r="AA33"/>
      <c r="AC33"/>
      <c r="AV33" s="14"/>
    </row>
    <row r="34" spans="1:48">
      <c r="A34" s="34"/>
      <c r="AC34"/>
      <c r="AD34"/>
      <c r="AV34" s="14"/>
    </row>
    <row r="35" spans="1:48">
      <c r="A35" s="34"/>
      <c r="H35" t="s">
        <v>44</v>
      </c>
      <c r="I35" t="s">
        <v>55</v>
      </c>
      <c r="AA35"/>
      <c r="AC35" t="s">
        <v>44</v>
      </c>
      <c r="AD35" t="s">
        <v>56</v>
      </c>
      <c r="AV35" s="14"/>
    </row>
    <row r="36" spans="1:48">
      <c r="A36" s="34"/>
      <c r="AA36"/>
      <c r="AC36"/>
      <c r="AV36" s="14"/>
    </row>
    <row r="37" spans="1:48">
      <c r="A37" s="34"/>
      <c r="AA37"/>
      <c r="AC37"/>
      <c r="AV37" s="14"/>
    </row>
    <row r="38" spans="1:48">
      <c r="A38" s="34"/>
      <c r="AA38"/>
      <c r="AC38"/>
      <c r="AV38" s="14"/>
    </row>
    <row r="39" spans="1:48">
      <c r="A39" s="21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5"/>
    </row>
    <row r="40" spans="1:48" s="11" customFormat="1">
      <c r="A40" s="38" t="s">
        <v>43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40"/>
    </row>
    <row r="41" spans="1:48">
      <c r="A41" s="34"/>
      <c r="AV41" s="14"/>
    </row>
    <row r="42" spans="1:48">
      <c r="A42" s="34"/>
      <c r="AV42" s="14"/>
    </row>
    <row r="43" spans="1:48">
      <c r="A43" s="34"/>
      <c r="B43" s="190" t="s">
        <v>57</v>
      </c>
      <c r="C43" s="191"/>
      <c r="D43" s="191"/>
      <c r="E43" s="191"/>
      <c r="F43" s="191"/>
      <c r="G43" s="191"/>
      <c r="H43" s="191"/>
      <c r="J43" s="8" t="s">
        <v>44</v>
      </c>
      <c r="K43" s="8" t="s">
        <v>58</v>
      </c>
      <c r="AV43" s="14"/>
    </row>
    <row r="44" spans="1:48">
      <c r="A44" s="34"/>
      <c r="B44" s="191"/>
      <c r="C44" s="191"/>
      <c r="D44" s="191"/>
      <c r="E44" s="191"/>
      <c r="F44" s="191"/>
      <c r="G44" s="191"/>
      <c r="H44" s="191"/>
      <c r="K44" s="8" t="s">
        <v>59</v>
      </c>
      <c r="AV44" s="14"/>
    </row>
    <row r="45" spans="1:48">
      <c r="A45" s="34"/>
      <c r="AV45" s="14"/>
    </row>
    <row r="46" spans="1:48">
      <c r="A46" s="34"/>
      <c r="B46" s="172" t="s">
        <v>57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4"/>
      <c r="AV46" s="14"/>
    </row>
    <row r="47" spans="1:48">
      <c r="A47" s="34"/>
      <c r="B47" s="172" t="s">
        <v>60</v>
      </c>
      <c r="C47" s="173"/>
      <c r="D47" s="173"/>
      <c r="E47" s="173"/>
      <c r="F47" s="173"/>
      <c r="G47" s="173"/>
      <c r="H47" s="174"/>
      <c r="I47" s="172" t="s">
        <v>61</v>
      </c>
      <c r="J47" s="173"/>
      <c r="K47" s="173"/>
      <c r="L47" s="173"/>
      <c r="M47" s="173"/>
      <c r="N47" s="173"/>
      <c r="O47" s="174"/>
      <c r="AV47" s="14"/>
    </row>
    <row r="48" spans="1:48">
      <c r="A48" s="34"/>
      <c r="AV48" s="14"/>
    </row>
    <row r="49" spans="1:48">
      <c r="A49" s="34"/>
      <c r="AV49" s="14"/>
    </row>
    <row r="50" spans="1:48">
      <c r="A50" s="34"/>
      <c r="B50" s="175" t="s">
        <v>62</v>
      </c>
      <c r="C50" s="176"/>
      <c r="D50" s="176"/>
      <c r="E50" s="176"/>
      <c r="F50" s="176"/>
      <c r="G50" s="176"/>
      <c r="H50" s="177"/>
      <c r="J50" s="8" t="s">
        <v>44</v>
      </c>
      <c r="K50" s="8" t="s">
        <v>63</v>
      </c>
      <c r="AV50" s="14"/>
    </row>
    <row r="51" spans="1:48">
      <c r="A51" s="34"/>
      <c r="B51" s="178"/>
      <c r="C51" s="179"/>
      <c r="D51" s="179"/>
      <c r="E51" s="179"/>
      <c r="F51" s="179"/>
      <c r="G51" s="179"/>
      <c r="H51" s="180"/>
      <c r="K51" s="8" t="s">
        <v>64</v>
      </c>
      <c r="AV51" s="14"/>
    </row>
    <row r="52" spans="1:48">
      <c r="A52" s="34"/>
      <c r="AV52" s="14"/>
    </row>
    <row r="53" spans="1:48">
      <c r="A53" s="34"/>
      <c r="AV53" s="14"/>
    </row>
    <row r="54" spans="1:48">
      <c r="A54" s="34"/>
      <c r="B54" s="181" t="s">
        <v>54</v>
      </c>
      <c r="C54" s="182"/>
      <c r="D54" s="182"/>
      <c r="E54" s="182"/>
      <c r="F54" s="182"/>
      <c r="G54" s="182"/>
      <c r="H54" s="183"/>
      <c r="J54" s="8" t="s">
        <v>44</v>
      </c>
      <c r="K54" s="8" t="s">
        <v>65</v>
      </c>
      <c r="AV54" s="14"/>
    </row>
    <row r="55" spans="1:48">
      <c r="A55" s="34"/>
      <c r="B55" s="181" t="s">
        <v>66</v>
      </c>
      <c r="C55" s="182"/>
      <c r="D55" s="182"/>
      <c r="E55" s="182"/>
      <c r="F55" s="182"/>
      <c r="G55" s="182"/>
      <c r="H55" s="183"/>
      <c r="K55" s="8" t="s">
        <v>67</v>
      </c>
      <c r="AV55" s="14"/>
    </row>
    <row r="56" spans="1:48">
      <c r="A56" s="34"/>
      <c r="K56" s="8" t="s">
        <v>68</v>
      </c>
      <c r="AV56" s="14"/>
    </row>
    <row r="57" spans="1:48">
      <c r="A57" s="34"/>
      <c r="AV57" s="14"/>
    </row>
    <row r="58" spans="1:48">
      <c r="A58" s="34"/>
      <c r="B58" s="181" t="s">
        <v>54</v>
      </c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3"/>
      <c r="AV58" s="14"/>
    </row>
    <row r="59" spans="1:48">
      <c r="A59" s="34"/>
      <c r="B59" s="181" t="s">
        <v>69</v>
      </c>
      <c r="C59" s="182"/>
      <c r="D59" s="182"/>
      <c r="E59" s="182"/>
      <c r="F59" s="182"/>
      <c r="G59" s="182"/>
      <c r="H59" s="183"/>
      <c r="I59" s="181" t="s">
        <v>70</v>
      </c>
      <c r="J59" s="182"/>
      <c r="K59" s="182"/>
      <c r="L59" s="182"/>
      <c r="M59" s="182"/>
      <c r="N59" s="182"/>
      <c r="O59" s="183"/>
      <c r="P59" s="181" t="s">
        <v>71</v>
      </c>
      <c r="Q59" s="182"/>
      <c r="R59" s="182"/>
      <c r="S59" s="182"/>
      <c r="T59" s="182"/>
      <c r="U59" s="182"/>
      <c r="V59" s="183"/>
      <c r="AV59" s="14"/>
    </row>
    <row r="60" spans="1:48">
      <c r="A60" s="34"/>
      <c r="AV60" s="14"/>
    </row>
    <row r="61" spans="1:48">
      <c r="A61" s="34"/>
      <c r="AV61" s="14"/>
    </row>
    <row r="62" spans="1:48">
      <c r="A62" s="34"/>
      <c r="B62" s="193" t="s">
        <v>72</v>
      </c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S62" s="8" t="s">
        <v>44</v>
      </c>
      <c r="T62" s="8" t="s">
        <v>73</v>
      </c>
      <c r="AV62" s="14"/>
    </row>
    <row r="63" spans="1:48">
      <c r="A63" s="34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AV63" s="14"/>
    </row>
    <row r="64" spans="1:48">
      <c r="A64" s="34"/>
      <c r="AV64" s="14"/>
    </row>
    <row r="65" spans="1:48">
      <c r="A65" s="34"/>
      <c r="AV65" s="14"/>
    </row>
    <row r="66" spans="1:48">
      <c r="A66" s="34"/>
      <c r="B66" s="192" t="s">
        <v>74</v>
      </c>
      <c r="C66" s="193"/>
      <c r="D66" s="193"/>
      <c r="E66" s="193"/>
      <c r="F66" s="193"/>
      <c r="J66" s="8" t="s">
        <v>44</v>
      </c>
      <c r="K66" s="8" t="s">
        <v>75</v>
      </c>
      <c r="AV66" s="14"/>
    </row>
    <row r="67" spans="1:48">
      <c r="A67" s="34"/>
      <c r="B67" s="193"/>
      <c r="C67" s="193"/>
      <c r="D67" s="193"/>
      <c r="E67" s="193"/>
      <c r="F67" s="193"/>
      <c r="AV67" s="14"/>
    </row>
    <row r="68" spans="1:48">
      <c r="A68" s="34"/>
      <c r="AV68" s="14"/>
    </row>
    <row r="69" spans="1:48">
      <c r="A69" s="34"/>
      <c r="AV69" s="14"/>
    </row>
    <row r="70" spans="1:48">
      <c r="A70" s="34"/>
      <c r="B70" s="41" t="s">
        <v>76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I70" s="8" t="s">
        <v>44</v>
      </c>
      <c r="AJ70" s="8" t="s">
        <v>77</v>
      </c>
      <c r="AV70" s="14"/>
    </row>
    <row r="71" spans="1:48">
      <c r="A71" s="34"/>
      <c r="AV71" s="14"/>
    </row>
    <row r="72" spans="1:48">
      <c r="A72" s="21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5"/>
    </row>
  </sheetData>
  <mergeCells count="27">
    <mergeCell ref="B66:F67"/>
    <mergeCell ref="B55:H55"/>
    <mergeCell ref="B59:H59"/>
    <mergeCell ref="I59:O59"/>
    <mergeCell ref="P59:V59"/>
    <mergeCell ref="B62:Q63"/>
    <mergeCell ref="B58:V58"/>
    <mergeCell ref="B50:H51"/>
    <mergeCell ref="B54:H54"/>
    <mergeCell ref="A1:E1"/>
    <mergeCell ref="F1:U1"/>
    <mergeCell ref="B46:O46"/>
    <mergeCell ref="A2:E3"/>
    <mergeCell ref="F2:U3"/>
    <mergeCell ref="B43:H44"/>
    <mergeCell ref="V1:AI1"/>
    <mergeCell ref="AJ1:AP1"/>
    <mergeCell ref="AQ1:AV1"/>
    <mergeCell ref="B47:H47"/>
    <mergeCell ref="I47:O47"/>
    <mergeCell ref="V2:AI3"/>
    <mergeCell ref="AJ2:AK2"/>
    <mergeCell ref="AQ2:AV2"/>
    <mergeCell ref="AJ3:AK3"/>
    <mergeCell ref="AL3:AP3"/>
    <mergeCell ref="AQ3:AV3"/>
    <mergeCell ref="AL2:AP2"/>
  </mergeCells>
  <phoneticPr fontId="2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7267-984F-4D7E-9E8D-B2D4287CBC7A}">
  <dimension ref="A1:BP63"/>
  <sheetViews>
    <sheetView showGridLines="0" zoomScaleNormal="100" workbookViewId="0">
      <pane ySplit="9" topLeftCell="A10" activePane="bottomLeft" state="frozen"/>
      <selection pane="bottomLeft" activeCell="R21" sqref="R21"/>
      <selection activeCell="V38" sqref="V38"/>
    </sheetView>
  </sheetViews>
  <sheetFormatPr defaultColWidth="2.625" defaultRowHeight="13.5"/>
  <cols>
    <col min="1" max="5" width="2.625" style="8"/>
    <col min="6" max="10" width="2.625" style="8" customWidth="1"/>
    <col min="11" max="49" width="2.625" style="8"/>
    <col min="50" max="50" width="2.625" style="8" customWidth="1"/>
    <col min="51" max="16384" width="2.625" style="8"/>
  </cols>
  <sheetData>
    <row r="1" spans="1:68" ht="14.1" customHeight="1" thickBot="1">
      <c r="A1" s="169" t="s">
        <v>9</v>
      </c>
      <c r="B1" s="170"/>
      <c r="C1" s="170"/>
      <c r="D1" s="170"/>
      <c r="E1" s="171"/>
      <c r="F1" s="166" t="str">
        <f>変更履歴!F1</f>
        <v>会計システム刷新プロジェクト（LIBRA）</v>
      </c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8"/>
      <c r="V1" s="169" t="s">
        <v>42</v>
      </c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1"/>
      <c r="AJ1" s="169" t="s">
        <v>11</v>
      </c>
      <c r="AK1" s="170"/>
      <c r="AL1" s="170"/>
      <c r="AM1" s="170"/>
      <c r="AN1" s="170"/>
      <c r="AO1" s="170"/>
      <c r="AP1" s="171"/>
      <c r="AQ1" s="169" t="s">
        <v>12</v>
      </c>
      <c r="AR1" s="170"/>
      <c r="AS1" s="170"/>
      <c r="AT1" s="170"/>
      <c r="AU1" s="170"/>
      <c r="AV1" s="171"/>
    </row>
    <row r="2" spans="1:68" ht="14.1" customHeight="1">
      <c r="A2" s="184" t="s">
        <v>13</v>
      </c>
      <c r="B2" s="185"/>
      <c r="C2" s="185"/>
      <c r="D2" s="185"/>
      <c r="E2" s="186"/>
      <c r="F2" s="146" t="str">
        <f>変更履歴!F2</f>
        <v>ToBe業務フロー（2.グループファイナンス・資金繰り）</v>
      </c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8"/>
      <c r="V2" s="146" t="e">
        <f ca="1">MID(CELL("filename",$A$1),FIND("]",CELL("filename",$A$1))+1,31)</f>
        <v>#VALUE!</v>
      </c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8"/>
      <c r="AJ2" s="158" t="s">
        <v>14</v>
      </c>
      <c r="AK2" s="159"/>
      <c r="AL2" s="160">
        <f>変更履歴!AT2</f>
        <v>45362</v>
      </c>
      <c r="AM2" s="161"/>
      <c r="AN2" s="161"/>
      <c r="AO2" s="161"/>
      <c r="AP2" s="162"/>
      <c r="AQ2" s="128" t="str">
        <f>変更履歴!BA2</f>
        <v>JBS福田</v>
      </c>
      <c r="AR2" s="129"/>
      <c r="AS2" s="129"/>
      <c r="AT2" s="129"/>
      <c r="AU2" s="129"/>
      <c r="AV2" s="130"/>
    </row>
    <row r="3" spans="1:68" ht="14.1" customHeight="1" thickBot="1">
      <c r="A3" s="187"/>
      <c r="B3" s="188"/>
      <c r="C3" s="188"/>
      <c r="D3" s="188"/>
      <c r="E3" s="189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1"/>
      <c r="V3" s="149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1"/>
      <c r="AJ3" s="131" t="s">
        <v>15</v>
      </c>
      <c r="AK3" s="132"/>
      <c r="AL3" s="133">
        <f ca="1">変更履歴!AT3</f>
        <v>45763</v>
      </c>
      <c r="AM3" s="134"/>
      <c r="AN3" s="134"/>
      <c r="AO3" s="134"/>
      <c r="AP3" s="135"/>
      <c r="AQ3" s="136" t="str">
        <f ca="1">変更履歴!BA3</f>
        <v>JBS福田</v>
      </c>
      <c r="AR3" s="137"/>
      <c r="AS3" s="137"/>
      <c r="AT3" s="137"/>
      <c r="AU3" s="137"/>
      <c r="AV3" s="138"/>
    </row>
    <row r="4" spans="1:68">
      <c r="A4" s="34"/>
    </row>
    <row r="5" spans="1:68">
      <c r="A5" s="2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68" s="11" customFormat="1">
      <c r="A6" s="38" t="e">
        <f ca="1">RIGHT(CELL("filename",A1),LEN(CELL("filename",A1))-FIND("]",CELL("filename",A1)))</f>
        <v>#VALUE!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40"/>
    </row>
    <row r="7" spans="1:68" s="11" customFormat="1">
      <c r="A7" s="3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AY7" s="13"/>
    </row>
    <row r="8" spans="1:68" s="11" customFormat="1" ht="16.5" customHeight="1">
      <c r="A8" s="32"/>
      <c r="B8" s="172" t="s">
        <v>78</v>
      </c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4"/>
      <c r="P8" s="172" t="s">
        <v>79</v>
      </c>
      <c r="Q8" s="173"/>
      <c r="R8" s="173"/>
      <c r="S8" s="173"/>
      <c r="T8" s="173"/>
      <c r="U8" s="173"/>
      <c r="V8" s="174"/>
      <c r="W8" s="181" t="s">
        <v>54</v>
      </c>
      <c r="X8" s="182"/>
      <c r="Y8" s="182"/>
      <c r="Z8" s="182"/>
      <c r="AA8" s="182"/>
      <c r="AB8" s="182"/>
      <c r="AC8" s="183"/>
      <c r="AD8" s="193" t="s">
        <v>72</v>
      </c>
      <c r="AE8" s="193"/>
      <c r="AF8" s="193"/>
      <c r="AG8" s="193"/>
      <c r="AH8" s="193"/>
      <c r="AI8" s="193"/>
      <c r="AJ8" s="193"/>
      <c r="AK8" s="193"/>
      <c r="AL8" s="193"/>
      <c r="AM8" s="193"/>
      <c r="AN8" s="193"/>
      <c r="AO8" s="193"/>
      <c r="AP8" s="193"/>
      <c r="AQ8" s="193"/>
      <c r="AR8" s="193"/>
      <c r="AS8" s="193"/>
      <c r="AT8" s="192" t="s">
        <v>74</v>
      </c>
      <c r="AU8" s="193"/>
      <c r="AV8" s="193"/>
      <c r="AW8" s="193"/>
      <c r="AX8" s="193"/>
      <c r="AY8" s="13"/>
      <c r="BA8" s="201" t="s">
        <v>80</v>
      </c>
      <c r="BB8" s="202"/>
      <c r="BC8" s="202"/>
      <c r="BD8" s="202"/>
      <c r="BE8" s="204" t="s">
        <v>81</v>
      </c>
      <c r="BF8" s="205"/>
      <c r="BG8" s="205"/>
      <c r="BH8" s="205"/>
      <c r="BI8" s="205"/>
      <c r="BJ8" s="205"/>
      <c r="BK8" s="205"/>
      <c r="BL8" s="205"/>
      <c r="BM8" s="205"/>
      <c r="BN8" s="205"/>
      <c r="BO8" s="205"/>
      <c r="BP8" s="206"/>
    </row>
    <row r="9" spans="1:68" s="11" customFormat="1" ht="13.5" customHeight="1">
      <c r="A9" s="32"/>
      <c r="B9" s="172" t="s">
        <v>60</v>
      </c>
      <c r="C9" s="173"/>
      <c r="D9" s="173"/>
      <c r="E9" s="173"/>
      <c r="F9" s="173"/>
      <c r="G9" s="173"/>
      <c r="H9" s="174"/>
      <c r="I9" s="172" t="s">
        <v>61</v>
      </c>
      <c r="J9" s="173"/>
      <c r="K9" s="173"/>
      <c r="L9" s="173"/>
      <c r="M9" s="173"/>
      <c r="N9" s="173"/>
      <c r="O9" s="174"/>
      <c r="P9" s="172" t="s">
        <v>60</v>
      </c>
      <c r="Q9" s="173"/>
      <c r="R9" s="173"/>
      <c r="S9" s="173"/>
      <c r="T9" s="173"/>
      <c r="U9" s="173"/>
      <c r="V9" s="174"/>
      <c r="W9" s="181" t="s">
        <v>69</v>
      </c>
      <c r="X9" s="182"/>
      <c r="Y9" s="182"/>
      <c r="Z9" s="182"/>
      <c r="AA9" s="182"/>
      <c r="AB9" s="182"/>
      <c r="AC9" s="18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3"/>
      <c r="BA9" s="203"/>
      <c r="BB9" s="203"/>
      <c r="BC9" s="203"/>
      <c r="BD9" s="203"/>
      <c r="BE9" s="207"/>
      <c r="BF9" s="208"/>
      <c r="BG9" s="208"/>
      <c r="BH9" s="208"/>
      <c r="BI9" s="208"/>
      <c r="BJ9" s="208"/>
      <c r="BK9" s="208"/>
      <c r="BL9" s="208"/>
      <c r="BM9" s="208"/>
      <c r="BN9" s="208"/>
      <c r="BO9" s="208"/>
      <c r="BP9" s="209"/>
    </row>
    <row r="10" spans="1:68" s="11" customFormat="1">
      <c r="A10" s="32"/>
      <c r="B10" s="35" t="s">
        <v>82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13"/>
      <c r="BA10" s="23"/>
      <c r="BB10" s="24"/>
      <c r="BC10" s="24"/>
      <c r="BD10" s="24"/>
      <c r="BE10" s="23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5"/>
    </row>
    <row r="11" spans="1:68" s="11" customFormat="1">
      <c r="A11" s="32"/>
      <c r="B11" s="57"/>
      <c r="C11" s="43"/>
      <c r="D11" s="43"/>
      <c r="E11" s="43"/>
      <c r="F11" s="43"/>
      <c r="G11" s="43"/>
      <c r="H11" s="44"/>
      <c r="I11" s="45"/>
      <c r="J11" s="43"/>
      <c r="K11" s="43"/>
      <c r="L11" s="43"/>
      <c r="M11" s="43"/>
      <c r="N11" s="43"/>
      <c r="O11" s="44"/>
      <c r="P11" s="43"/>
      <c r="Q11" s="43"/>
      <c r="R11" s="43"/>
      <c r="S11" s="43"/>
      <c r="T11" s="43"/>
      <c r="U11" s="43"/>
      <c r="V11" s="44"/>
      <c r="W11" s="43"/>
      <c r="X11" s="43"/>
      <c r="Y11" s="43"/>
      <c r="Z11" s="43"/>
      <c r="AA11" s="43"/>
      <c r="AB11" s="43"/>
      <c r="AC11" s="44"/>
      <c r="AD11" s="45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5"/>
      <c r="AU11" s="43"/>
      <c r="AV11" s="43"/>
      <c r="AW11" s="43"/>
      <c r="AX11" s="44"/>
      <c r="AY11" s="13"/>
      <c r="BA11" s="26"/>
      <c r="BE11" s="26"/>
      <c r="BP11" s="27"/>
    </row>
    <row r="12" spans="1:68" s="11" customFormat="1">
      <c r="A12" s="32"/>
      <c r="B12" s="58"/>
      <c r="C12" s="18"/>
      <c r="D12" s="18"/>
      <c r="E12" s="18"/>
      <c r="F12" s="18"/>
      <c r="G12" s="18"/>
      <c r="H12" s="17"/>
      <c r="I12" s="33"/>
      <c r="J12" s="18"/>
      <c r="K12" s="18"/>
      <c r="L12" s="18"/>
      <c r="M12" s="18"/>
      <c r="N12" s="18"/>
      <c r="O12" s="17"/>
      <c r="P12" s="18"/>
      <c r="Q12" s="18"/>
      <c r="R12" s="18"/>
      <c r="S12" s="18"/>
      <c r="T12" s="18"/>
      <c r="U12" s="18"/>
      <c r="V12" s="17"/>
      <c r="W12" s="18"/>
      <c r="X12" s="18"/>
      <c r="Y12" s="18"/>
      <c r="Z12" s="18"/>
      <c r="AA12" s="18"/>
      <c r="AB12" s="18"/>
      <c r="AC12" s="17"/>
      <c r="AD12" s="33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33"/>
      <c r="AU12" s="18"/>
      <c r="AV12" s="18"/>
      <c r="AW12" s="18"/>
      <c r="AX12" s="17"/>
      <c r="AY12" s="13"/>
      <c r="BA12" s="26"/>
      <c r="BE12" s="26"/>
      <c r="BP12" s="27"/>
    </row>
    <row r="13" spans="1:68" s="11" customFormat="1">
      <c r="A13" s="32"/>
      <c r="B13" s="58"/>
      <c r="C13" s="18"/>
      <c r="D13" s="18"/>
      <c r="E13" s="18"/>
      <c r="F13" s="18"/>
      <c r="G13" s="18"/>
      <c r="H13" s="17"/>
      <c r="I13" s="33"/>
      <c r="J13" s="18"/>
      <c r="K13" s="18"/>
      <c r="L13" s="18"/>
      <c r="M13" s="18"/>
      <c r="N13" s="18"/>
      <c r="O13" s="17"/>
      <c r="P13" s="18"/>
      <c r="Q13" s="18"/>
      <c r="R13" s="18"/>
      <c r="S13" s="18"/>
      <c r="T13" s="18"/>
      <c r="U13" s="18"/>
      <c r="V13" s="17"/>
      <c r="W13" s="18"/>
      <c r="X13" s="18"/>
      <c r="Y13" s="18"/>
      <c r="Z13" s="18"/>
      <c r="AA13" s="18"/>
      <c r="AB13" s="18"/>
      <c r="AC13" s="17"/>
      <c r="AD13" s="33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33"/>
      <c r="AU13" s="18"/>
      <c r="AV13" s="18"/>
      <c r="AW13" s="18"/>
      <c r="AX13" s="17"/>
      <c r="AY13" s="13"/>
      <c r="BA13" s="26"/>
      <c r="BE13" s="26"/>
      <c r="BP13" s="27"/>
    </row>
    <row r="14" spans="1:68" s="11" customFormat="1">
      <c r="A14" s="32"/>
      <c r="B14" s="58"/>
      <c r="C14" s="18"/>
      <c r="D14" s="18"/>
      <c r="E14" s="18"/>
      <c r="F14" s="18"/>
      <c r="G14" s="18"/>
      <c r="H14" s="17"/>
      <c r="I14" s="33"/>
      <c r="J14" s="18"/>
      <c r="K14" s="18"/>
      <c r="L14" s="18"/>
      <c r="M14" s="18"/>
      <c r="N14" s="18"/>
      <c r="O14" s="17"/>
      <c r="P14" s="18"/>
      <c r="Q14" s="18"/>
      <c r="R14" s="18"/>
      <c r="S14" s="18"/>
      <c r="T14" s="18"/>
      <c r="U14" s="18"/>
      <c r="V14" s="17"/>
      <c r="W14" s="18"/>
      <c r="X14" s="18"/>
      <c r="Y14" s="18"/>
      <c r="Z14" s="18"/>
      <c r="AA14" s="18"/>
      <c r="AB14" s="18"/>
      <c r="AC14" s="17"/>
      <c r="AD14" s="33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33"/>
      <c r="AU14" s="18"/>
      <c r="AV14" s="18"/>
      <c r="AW14" s="18"/>
      <c r="AX14" s="17"/>
      <c r="AY14" s="13"/>
      <c r="BA14" s="26"/>
      <c r="BE14" s="26"/>
      <c r="BP14" s="27"/>
    </row>
    <row r="15" spans="1:68" s="11" customFormat="1">
      <c r="A15" s="32"/>
      <c r="B15" s="58"/>
      <c r="C15" s="18"/>
      <c r="D15" s="18"/>
      <c r="E15" s="18"/>
      <c r="F15" s="18"/>
      <c r="G15" s="18"/>
      <c r="H15" s="17"/>
      <c r="I15" s="33"/>
      <c r="J15" s="18"/>
      <c r="K15" s="18"/>
      <c r="L15" s="18"/>
      <c r="M15" s="18"/>
      <c r="N15" s="18"/>
      <c r="O15" s="17"/>
      <c r="P15" s="18"/>
      <c r="Q15" s="18"/>
      <c r="R15" s="18"/>
      <c r="S15" s="18"/>
      <c r="T15" s="18"/>
      <c r="U15" s="18"/>
      <c r="V15" s="17"/>
      <c r="W15" s="18"/>
      <c r="X15" s="18"/>
      <c r="Y15" s="18"/>
      <c r="Z15" s="18"/>
      <c r="AA15" s="18"/>
      <c r="AB15" s="18"/>
      <c r="AC15" s="17"/>
      <c r="AD15" s="33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33"/>
      <c r="AU15" s="18"/>
      <c r="AV15" s="18"/>
      <c r="AW15" s="18"/>
      <c r="AX15" s="17"/>
      <c r="AY15" s="13"/>
      <c r="BA15" s="26"/>
      <c r="BE15" s="26"/>
      <c r="BP15" s="27"/>
    </row>
    <row r="16" spans="1:68" s="11" customFormat="1" ht="13.5" customHeight="1">
      <c r="A16" s="32"/>
      <c r="B16" s="59"/>
      <c r="C16" s="12"/>
      <c r="D16" s="12"/>
      <c r="E16" s="12"/>
      <c r="F16" s="12"/>
      <c r="G16" s="12"/>
      <c r="H16" s="60"/>
      <c r="I16" s="59"/>
      <c r="J16" s="12"/>
      <c r="K16" s="12"/>
      <c r="L16" s="12"/>
      <c r="M16"/>
      <c r="N16"/>
      <c r="O16" s="60"/>
      <c r="P16"/>
      <c r="Q16"/>
      <c r="R16"/>
      <c r="S16"/>
      <c r="T16"/>
      <c r="U16"/>
      <c r="V16" s="60"/>
      <c r="W16"/>
      <c r="X16"/>
      <c r="Y16"/>
      <c r="Z16"/>
      <c r="AA16"/>
      <c r="AB16"/>
      <c r="AC16" s="60"/>
      <c r="AD16" s="61"/>
      <c r="AT16" s="56"/>
      <c r="AX16" s="13"/>
      <c r="AY16" s="13"/>
      <c r="BA16" s="26"/>
      <c r="BE16" s="26"/>
      <c r="BP16" s="27"/>
    </row>
    <row r="17" spans="1:68" s="11" customFormat="1">
      <c r="A17" s="32"/>
      <c r="B17" s="59"/>
      <c r="C17" s="12"/>
      <c r="D17" s="12"/>
      <c r="E17" s="12"/>
      <c r="F17" s="12"/>
      <c r="G17" s="12"/>
      <c r="H17" s="60"/>
      <c r="I17" s="59"/>
      <c r="J17" s="12"/>
      <c r="K17" s="12"/>
      <c r="L17" s="12"/>
      <c r="M17"/>
      <c r="N17"/>
      <c r="O17" s="13"/>
      <c r="V17" s="13"/>
      <c r="AC17" s="13"/>
      <c r="AE17" s="16" t="s">
        <v>83</v>
      </c>
      <c r="AF17" s="8"/>
      <c r="AG17" s="8"/>
      <c r="AT17" s="61"/>
      <c r="AX17" s="13"/>
      <c r="AY17" s="13"/>
      <c r="BA17" s="26"/>
      <c r="BE17" s="26"/>
      <c r="BP17" s="27"/>
    </row>
    <row r="18" spans="1:68">
      <c r="A18" s="34"/>
      <c r="B18" s="34"/>
      <c r="H18" s="14"/>
      <c r="O18" s="14"/>
      <c r="V18" s="14"/>
      <c r="AD18" s="34"/>
      <c r="AF18" s="8" t="s">
        <v>84</v>
      </c>
      <c r="AH18" s="11"/>
      <c r="AT18" s="34"/>
      <c r="AX18" s="14"/>
      <c r="AY18" s="14"/>
      <c r="BA18" s="61"/>
      <c r="BB18" s="11"/>
      <c r="BC18" s="11"/>
      <c r="BD18" s="11"/>
      <c r="BE18" s="6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3"/>
    </row>
    <row r="19" spans="1:68">
      <c r="A19" s="34"/>
      <c r="B19" s="34"/>
      <c r="H19" s="14"/>
      <c r="I19" s="34"/>
      <c r="O19" s="14"/>
      <c r="V19" s="14"/>
      <c r="AD19" s="34"/>
      <c r="AH19" s="11"/>
      <c r="AT19" s="34"/>
      <c r="AX19" s="14"/>
      <c r="AY19" s="14"/>
      <c r="BA19" s="34"/>
      <c r="BE19" s="34"/>
      <c r="BP19" s="14"/>
    </row>
    <row r="20" spans="1:68">
      <c r="A20" s="34"/>
      <c r="B20" s="34"/>
      <c r="H20" s="14"/>
      <c r="I20" s="34"/>
      <c r="O20" s="14"/>
      <c r="V20" s="14"/>
      <c r="AD20" s="34"/>
      <c r="AE20" s="11"/>
      <c r="AF20" s="11"/>
      <c r="AG20" s="11"/>
      <c r="AH20" s="11"/>
      <c r="AT20" s="34"/>
      <c r="AX20" s="14"/>
      <c r="AY20" s="14"/>
      <c r="BA20" s="34"/>
      <c r="BE20" s="34"/>
      <c r="BP20" s="14"/>
    </row>
    <row r="21" spans="1:68">
      <c r="A21" s="34"/>
      <c r="B21" s="34"/>
      <c r="H21" s="14"/>
      <c r="I21" s="34"/>
      <c r="O21" s="14"/>
      <c r="V21" s="14"/>
      <c r="AD21" s="34"/>
      <c r="AE21" s="11"/>
      <c r="AF21" s="11"/>
      <c r="AG21" s="11"/>
      <c r="AH21" s="11"/>
      <c r="AT21" s="34"/>
      <c r="AX21" s="14"/>
      <c r="AY21" s="14"/>
      <c r="BA21" s="34"/>
      <c r="BE21" s="34"/>
      <c r="BP21" s="14"/>
    </row>
    <row r="22" spans="1:68">
      <c r="A22" s="34"/>
      <c r="B22" s="34"/>
      <c r="H22" s="14"/>
      <c r="I22" s="34"/>
      <c r="O22" s="14"/>
      <c r="V22" s="14"/>
      <c r="AD22" s="34"/>
      <c r="AE22" s="19"/>
      <c r="AF22" s="11"/>
      <c r="AH22" s="11"/>
      <c r="AT22" s="34"/>
      <c r="AX22" s="14"/>
      <c r="AY22" s="14"/>
      <c r="BA22" s="34"/>
      <c r="BE22" s="34"/>
      <c r="BP22" s="14"/>
    </row>
    <row r="23" spans="1:68">
      <c r="A23" s="34"/>
      <c r="B23" s="34"/>
      <c r="H23" s="14"/>
      <c r="I23" s="34"/>
      <c r="O23" s="14"/>
      <c r="V23" s="14"/>
      <c r="AD23" s="34"/>
      <c r="AE23" s="16" t="s">
        <v>85</v>
      </c>
      <c r="AT23" s="34"/>
      <c r="AX23" s="14"/>
      <c r="AY23" s="14"/>
      <c r="BA23" s="34"/>
      <c r="BE23" s="34"/>
      <c r="BP23" s="14"/>
    </row>
    <row r="24" spans="1:68">
      <c r="A24" s="34"/>
      <c r="B24" s="34"/>
      <c r="H24" s="14"/>
      <c r="I24" s="34"/>
      <c r="O24" s="14"/>
      <c r="V24" s="14"/>
      <c r="AD24" s="34"/>
      <c r="AF24" s="8" t="s">
        <v>86</v>
      </c>
      <c r="AT24" s="56"/>
      <c r="AX24" s="14"/>
      <c r="AY24" s="14"/>
      <c r="BA24" s="34"/>
      <c r="BE24" s="34"/>
      <c r="BP24" s="14"/>
    </row>
    <row r="25" spans="1:68">
      <c r="A25" s="34"/>
      <c r="B25" s="34"/>
      <c r="H25" s="14"/>
      <c r="I25" s="34"/>
      <c r="O25" s="14"/>
      <c r="V25" s="14"/>
      <c r="AD25" s="34"/>
      <c r="AT25" s="34"/>
      <c r="AX25" s="14"/>
      <c r="AY25" s="14"/>
      <c r="BA25" s="34"/>
      <c r="BE25" s="34"/>
      <c r="BP25" s="14"/>
    </row>
    <row r="26" spans="1:68">
      <c r="A26" s="34"/>
      <c r="B26" s="34"/>
      <c r="H26" s="14"/>
      <c r="I26" s="34"/>
      <c r="O26" s="14"/>
      <c r="V26" s="14"/>
      <c r="AD26" s="34"/>
      <c r="AT26" s="56"/>
      <c r="AX26" s="14"/>
      <c r="AY26" s="14"/>
      <c r="BA26" s="34"/>
      <c r="BE26" s="34"/>
      <c r="BP26" s="14"/>
    </row>
    <row r="27" spans="1:68">
      <c r="A27" s="34"/>
      <c r="B27" s="34"/>
      <c r="H27" s="14"/>
      <c r="I27" s="34"/>
      <c r="O27" s="14"/>
      <c r="V27" s="14"/>
      <c r="AD27" s="34"/>
      <c r="AT27" s="34"/>
      <c r="AX27" s="14"/>
      <c r="AY27" s="14"/>
      <c r="BA27" s="34"/>
      <c r="BE27" s="34"/>
      <c r="BP27" s="14"/>
    </row>
    <row r="28" spans="1:68">
      <c r="A28" s="34"/>
      <c r="B28" s="34"/>
      <c r="H28" s="14"/>
      <c r="O28" s="14"/>
      <c r="V28" s="14"/>
      <c r="AD28" s="34"/>
      <c r="AE28" s="16"/>
      <c r="AT28" s="56"/>
      <c r="AX28" s="14"/>
      <c r="AY28" s="14"/>
      <c r="BA28" s="34"/>
      <c r="BE28" s="34"/>
      <c r="BP28" s="14"/>
    </row>
    <row r="29" spans="1:68">
      <c r="A29" s="34"/>
      <c r="B29" s="34"/>
      <c r="H29" s="14"/>
      <c r="O29" s="14"/>
      <c r="V29" s="14"/>
      <c r="AD29" s="34"/>
      <c r="AT29" s="34"/>
      <c r="AX29" s="14"/>
      <c r="AY29" s="14"/>
      <c r="BA29" s="34"/>
      <c r="BE29" s="34"/>
      <c r="BP29" s="14"/>
    </row>
    <row r="30" spans="1:68">
      <c r="A30" s="34"/>
      <c r="B30" s="34"/>
      <c r="H30" s="14"/>
      <c r="I30" s="34"/>
      <c r="O30" s="14"/>
      <c r="V30" s="14"/>
      <c r="AD30" s="34"/>
      <c r="AE30" s="19"/>
      <c r="AF30" s="11"/>
      <c r="AH30" s="11"/>
      <c r="AT30" s="34"/>
      <c r="AX30" s="14"/>
      <c r="AY30" s="14"/>
      <c r="BA30" s="34"/>
      <c r="BE30" s="34"/>
      <c r="BP30" s="14"/>
    </row>
    <row r="31" spans="1:68">
      <c r="A31" s="34"/>
      <c r="B31" s="34"/>
      <c r="H31" s="14"/>
      <c r="I31" s="34"/>
      <c r="O31" s="14"/>
      <c r="V31" s="14"/>
      <c r="AD31" s="34"/>
      <c r="AE31" s="16" t="s">
        <v>87</v>
      </c>
      <c r="AT31" s="34"/>
      <c r="AX31" s="14"/>
      <c r="AY31" s="14"/>
      <c r="BA31" s="34"/>
      <c r="BE31" s="34"/>
      <c r="BP31" s="14"/>
    </row>
    <row r="32" spans="1:68">
      <c r="A32" s="34"/>
      <c r="B32" s="34"/>
      <c r="H32" s="14"/>
      <c r="I32" s="34"/>
      <c r="O32" s="14"/>
      <c r="V32" s="14"/>
      <c r="AD32" s="34"/>
      <c r="AF32" s="8" t="s">
        <v>88</v>
      </c>
      <c r="AT32" s="56" t="s">
        <v>89</v>
      </c>
      <c r="AX32" s="14"/>
      <c r="AY32" s="14"/>
      <c r="BA32" s="34"/>
      <c r="BE32" s="34"/>
      <c r="BP32" s="14"/>
    </row>
    <row r="33" spans="1:68">
      <c r="A33" s="34"/>
      <c r="B33" s="34"/>
      <c r="H33" s="14"/>
      <c r="I33" s="34"/>
      <c r="O33" s="14"/>
      <c r="V33" s="14"/>
      <c r="AD33" s="34"/>
      <c r="AF33" s="8" t="s">
        <v>90</v>
      </c>
      <c r="AT33" s="34" t="s">
        <v>91</v>
      </c>
      <c r="AX33" s="14"/>
      <c r="AY33" s="14"/>
      <c r="BA33" s="34"/>
      <c r="BE33" s="34"/>
      <c r="BP33" s="14"/>
    </row>
    <row r="34" spans="1:68">
      <c r="A34" s="34"/>
      <c r="B34" s="34"/>
      <c r="H34" s="14"/>
      <c r="I34" s="34"/>
      <c r="O34" s="14"/>
      <c r="V34" s="14"/>
      <c r="AD34" s="34"/>
      <c r="AT34" s="34" t="s">
        <v>92</v>
      </c>
      <c r="AX34" s="14"/>
      <c r="AY34" s="14"/>
      <c r="BA34" s="34"/>
      <c r="BE34" s="34"/>
      <c r="BP34" s="14"/>
    </row>
    <row r="35" spans="1:68">
      <c r="A35" s="34"/>
      <c r="B35" s="34"/>
      <c r="H35" s="14"/>
      <c r="I35" s="34"/>
      <c r="O35" s="14"/>
      <c r="V35" s="14"/>
      <c r="AD35" s="34"/>
      <c r="AT35" s="34"/>
      <c r="AX35" s="14"/>
      <c r="AY35" s="14"/>
      <c r="BA35" s="34"/>
      <c r="BE35" s="34"/>
      <c r="BP35" s="14"/>
    </row>
    <row r="36" spans="1:68">
      <c r="A36" s="34"/>
      <c r="B36" s="34"/>
      <c r="H36" s="14"/>
      <c r="O36" s="14"/>
      <c r="V36" s="14"/>
      <c r="AD36" s="34"/>
      <c r="AT36" s="34"/>
      <c r="AX36" s="14"/>
      <c r="AY36" s="14"/>
      <c r="BA36" s="34"/>
      <c r="BE36" s="34"/>
      <c r="BP36" s="14"/>
    </row>
    <row r="37" spans="1:68">
      <c r="A37" s="34"/>
      <c r="B37" s="34"/>
      <c r="H37" s="14"/>
      <c r="O37" s="14"/>
      <c r="V37" s="14"/>
      <c r="AD37" s="34"/>
      <c r="AT37" s="34"/>
      <c r="AX37" s="14"/>
      <c r="AY37" s="14"/>
      <c r="BA37" s="34"/>
      <c r="BE37" s="34"/>
      <c r="BP37" s="14"/>
    </row>
    <row r="38" spans="1:68">
      <c r="A38" s="34"/>
      <c r="B38" s="34"/>
      <c r="H38" s="14"/>
      <c r="O38" s="14"/>
      <c r="V38" s="14"/>
      <c r="AD38" s="34"/>
      <c r="AT38" s="34"/>
      <c r="AX38" s="14"/>
      <c r="AY38" s="14"/>
      <c r="BA38" s="34"/>
      <c r="BE38" s="34"/>
      <c r="BP38" s="14"/>
    </row>
    <row r="39" spans="1:68">
      <c r="A39" s="34"/>
      <c r="B39" s="34"/>
      <c r="H39" s="14"/>
      <c r="O39" s="14"/>
      <c r="V39" s="14"/>
      <c r="AD39" s="34"/>
      <c r="AE39" s="16" t="s">
        <v>93</v>
      </c>
      <c r="AT39" s="56" t="s">
        <v>89</v>
      </c>
      <c r="AX39" s="14"/>
      <c r="AY39" s="14"/>
      <c r="BA39" s="34"/>
      <c r="BE39" s="34"/>
      <c r="BP39" s="14"/>
    </row>
    <row r="40" spans="1:68">
      <c r="A40" s="34"/>
      <c r="B40" s="34"/>
      <c r="H40" s="14"/>
      <c r="O40" s="14"/>
      <c r="V40" s="14"/>
      <c r="AD40" s="34"/>
      <c r="AF40" s="8" t="s">
        <v>94</v>
      </c>
      <c r="AT40" s="34" t="s">
        <v>95</v>
      </c>
      <c r="AX40" s="14"/>
      <c r="AY40" s="14"/>
      <c r="BA40" s="34"/>
      <c r="BE40" s="34"/>
      <c r="BP40" s="14"/>
    </row>
    <row r="41" spans="1:68">
      <c r="A41" s="34"/>
      <c r="B41" s="34"/>
      <c r="H41" s="14"/>
      <c r="O41" s="14"/>
      <c r="V41" s="14"/>
      <c r="AD41" s="34"/>
      <c r="AF41" s="8" t="s">
        <v>96</v>
      </c>
      <c r="AT41" s="34" t="s">
        <v>97</v>
      </c>
      <c r="AX41" s="14"/>
      <c r="AY41" s="14"/>
      <c r="BA41" s="34"/>
      <c r="BE41" s="34"/>
      <c r="BP41" s="14"/>
    </row>
    <row r="42" spans="1:68">
      <c r="A42" s="34"/>
      <c r="B42" s="34"/>
      <c r="H42" s="14"/>
      <c r="O42" s="14"/>
      <c r="V42" s="14"/>
      <c r="AD42" s="34"/>
      <c r="AT42" s="34"/>
      <c r="AX42" s="14"/>
      <c r="AY42" s="14"/>
      <c r="BA42" s="34"/>
      <c r="BE42" s="34"/>
      <c r="BP42" s="14"/>
    </row>
    <row r="43" spans="1:68">
      <c r="A43" s="34"/>
      <c r="B43" s="34"/>
      <c r="H43" s="14"/>
      <c r="O43" s="14"/>
      <c r="V43" s="14"/>
      <c r="AD43" s="34"/>
      <c r="AT43" s="34"/>
      <c r="AX43" s="14"/>
      <c r="AY43" s="14"/>
      <c r="BA43" s="34"/>
      <c r="BE43" s="34"/>
      <c r="BP43" s="14"/>
    </row>
    <row r="44" spans="1:68">
      <c r="A44" s="34"/>
      <c r="B44" s="34"/>
      <c r="H44" s="14"/>
      <c r="O44" s="14"/>
      <c r="V44" s="14"/>
      <c r="AD44" s="34"/>
      <c r="AE44" s="16"/>
      <c r="AT44" s="56"/>
      <c r="AX44" s="14"/>
      <c r="AY44" s="14"/>
      <c r="BA44" s="34"/>
      <c r="BE44" s="34"/>
      <c r="BP44" s="14"/>
    </row>
    <row r="45" spans="1:68">
      <c r="A45" s="34"/>
      <c r="B45" s="34"/>
      <c r="H45" s="14"/>
      <c r="O45" s="14"/>
      <c r="V45" s="14"/>
      <c r="AD45" s="34"/>
      <c r="AT45" s="34"/>
      <c r="AX45" s="14"/>
      <c r="AY45" s="14"/>
      <c r="BA45" s="34"/>
      <c r="BE45" s="34"/>
      <c r="BP45" s="14"/>
    </row>
    <row r="46" spans="1:68">
      <c r="A46" s="34"/>
      <c r="B46" s="34"/>
      <c r="H46" s="14"/>
      <c r="O46" s="14"/>
      <c r="V46" s="14"/>
      <c r="AD46" s="34"/>
      <c r="AT46" s="34"/>
      <c r="AX46" s="14"/>
      <c r="AY46" s="14"/>
      <c r="BA46" s="34"/>
      <c r="BE46" s="34"/>
      <c r="BP46" s="14"/>
    </row>
    <row r="47" spans="1:68">
      <c r="A47" s="34"/>
      <c r="B47" s="34"/>
      <c r="H47" s="14"/>
      <c r="O47" s="14"/>
      <c r="V47" s="14"/>
      <c r="AD47" s="34"/>
      <c r="AT47" s="34"/>
      <c r="AX47" s="14"/>
      <c r="AY47" s="14"/>
      <c r="BA47" s="34"/>
      <c r="BE47" s="34"/>
      <c r="BP47" s="14"/>
    </row>
    <row r="48" spans="1:68">
      <c r="A48" s="34"/>
      <c r="B48" s="34"/>
      <c r="H48" s="14"/>
      <c r="I48" s="34"/>
      <c r="O48" s="14"/>
      <c r="V48" s="14"/>
      <c r="AD48" s="34"/>
      <c r="AE48" s="16" t="s">
        <v>98</v>
      </c>
      <c r="AT48" s="56"/>
      <c r="AX48" s="14"/>
      <c r="AY48" s="14"/>
      <c r="BA48" s="34"/>
      <c r="BE48" s="34"/>
      <c r="BP48" s="14"/>
    </row>
    <row r="49" spans="1:68">
      <c r="A49" s="34"/>
      <c r="B49" s="34"/>
      <c r="H49" s="14"/>
      <c r="I49" s="34"/>
      <c r="O49" s="14"/>
      <c r="V49" s="14"/>
      <c r="AD49" s="34"/>
      <c r="AF49" s="8" t="s">
        <v>99</v>
      </c>
      <c r="AT49" s="34"/>
      <c r="AX49" s="14"/>
      <c r="AY49" s="14"/>
      <c r="BA49" s="34"/>
      <c r="BE49" s="34"/>
      <c r="BP49" s="14"/>
    </row>
    <row r="50" spans="1:68">
      <c r="A50" s="34"/>
      <c r="B50" s="34"/>
      <c r="H50" s="14"/>
      <c r="I50" s="34"/>
      <c r="O50" s="14"/>
      <c r="V50" s="14"/>
      <c r="AD50" s="34"/>
      <c r="AF50" s="8" t="s">
        <v>100</v>
      </c>
      <c r="AT50" s="34"/>
      <c r="AX50" s="14"/>
      <c r="AY50" s="14"/>
      <c r="BA50" s="34"/>
      <c r="BE50" s="34"/>
      <c r="BP50" s="14"/>
    </row>
    <row r="51" spans="1:68">
      <c r="A51" s="34"/>
      <c r="B51" s="34"/>
      <c r="H51" s="14"/>
      <c r="O51" s="14"/>
      <c r="V51" s="14"/>
      <c r="AD51" s="34"/>
      <c r="AT51" s="34"/>
      <c r="AX51" s="14"/>
      <c r="AY51" s="14"/>
      <c r="BA51" s="34"/>
      <c r="BE51" s="34"/>
      <c r="BP51" s="14"/>
    </row>
    <row r="52" spans="1:68">
      <c r="A52" s="34"/>
      <c r="B52" s="34"/>
      <c r="H52" s="14"/>
      <c r="O52" s="14"/>
      <c r="V52" s="14"/>
      <c r="AD52" s="34"/>
      <c r="AT52" s="56"/>
      <c r="AX52" s="14"/>
      <c r="AY52" s="14"/>
      <c r="BA52" s="34"/>
      <c r="BE52" s="34"/>
      <c r="BP52" s="14"/>
    </row>
    <row r="53" spans="1:68">
      <c r="A53" s="34"/>
      <c r="B53" s="34"/>
      <c r="H53" s="14"/>
      <c r="O53" s="14"/>
      <c r="V53" s="14"/>
      <c r="AD53" s="34"/>
      <c r="AT53" s="34"/>
      <c r="AX53" s="14"/>
      <c r="AY53" s="14"/>
      <c r="BA53" s="34"/>
      <c r="BE53" s="34"/>
      <c r="BP53" s="14"/>
    </row>
    <row r="54" spans="1:68">
      <c r="A54" s="34"/>
      <c r="B54" s="34"/>
      <c r="H54" s="14"/>
      <c r="O54" s="14"/>
      <c r="V54" s="14"/>
      <c r="AD54" s="34"/>
      <c r="AT54" s="34"/>
      <c r="AX54" s="14"/>
      <c r="AY54" s="14"/>
      <c r="BA54" s="34"/>
      <c r="BE54" s="34"/>
      <c r="BP54" s="14"/>
    </row>
    <row r="55" spans="1:68">
      <c r="A55" s="34"/>
      <c r="B55" s="34"/>
      <c r="H55" s="14"/>
      <c r="I55" s="34"/>
      <c r="O55" s="14"/>
      <c r="V55" s="14"/>
      <c r="AD55" s="34"/>
      <c r="AT55" s="34"/>
      <c r="AX55" s="14"/>
      <c r="AY55" s="14"/>
      <c r="BA55" s="34"/>
      <c r="BE55" s="34"/>
      <c r="BP55" s="14"/>
    </row>
    <row r="56" spans="1:68">
      <c r="A56" s="34"/>
      <c r="B56" s="34"/>
      <c r="H56" s="14"/>
      <c r="I56" s="34"/>
      <c r="O56" s="14"/>
      <c r="V56" s="14"/>
      <c r="AD56" s="34"/>
      <c r="AT56" s="34"/>
      <c r="AX56" s="14"/>
      <c r="AY56" s="14"/>
      <c r="BA56" s="34"/>
      <c r="BE56" s="34"/>
      <c r="BP56" s="14"/>
    </row>
    <row r="57" spans="1:68">
      <c r="A57" s="34"/>
      <c r="B57" s="34"/>
      <c r="H57" s="14"/>
      <c r="I57" s="34"/>
      <c r="O57" s="14"/>
      <c r="V57" s="14"/>
      <c r="AD57" s="34"/>
      <c r="AT57" s="34"/>
      <c r="AX57" s="14"/>
      <c r="AY57" s="14"/>
      <c r="BA57" s="34"/>
      <c r="BE57" s="34"/>
      <c r="BP57" s="14"/>
    </row>
    <row r="58" spans="1:68">
      <c r="A58" s="34"/>
      <c r="B58" s="34"/>
      <c r="H58" s="14"/>
      <c r="I58" s="34"/>
      <c r="O58" s="14"/>
      <c r="V58" s="14"/>
      <c r="AD58" s="34"/>
      <c r="AE58" s="16"/>
      <c r="AT58" s="34"/>
      <c r="AX58" s="14"/>
      <c r="AY58" s="14"/>
      <c r="BA58" s="194"/>
      <c r="BB58" s="195"/>
      <c r="BC58" s="195"/>
      <c r="BD58" s="195"/>
      <c r="BE58" s="198"/>
      <c r="BF58" s="199"/>
      <c r="BG58" s="199"/>
      <c r="BH58" s="199"/>
      <c r="BI58" s="199"/>
      <c r="BJ58" s="199"/>
      <c r="BK58" s="199"/>
      <c r="BL58" s="199"/>
      <c r="BM58" s="199"/>
      <c r="BN58" s="199"/>
      <c r="BO58" s="199"/>
      <c r="BP58" s="200"/>
    </row>
    <row r="59" spans="1:68">
      <c r="A59" s="34"/>
      <c r="B59" s="34"/>
      <c r="H59" s="14"/>
      <c r="I59" s="34"/>
      <c r="O59" s="14"/>
      <c r="V59" s="14"/>
      <c r="AD59" s="34"/>
      <c r="AT59" s="34"/>
      <c r="AX59" s="14"/>
      <c r="AY59" s="14"/>
      <c r="BA59" s="194"/>
      <c r="BB59" s="195"/>
      <c r="BC59" s="195"/>
      <c r="BD59" s="195"/>
      <c r="BE59" s="198"/>
      <c r="BF59" s="199"/>
      <c r="BG59" s="199"/>
      <c r="BH59" s="199"/>
      <c r="BI59" s="199"/>
      <c r="BJ59" s="199"/>
      <c r="BK59" s="199"/>
      <c r="BL59" s="199"/>
      <c r="BM59" s="199"/>
      <c r="BN59" s="199"/>
      <c r="BO59" s="199"/>
      <c r="BP59" s="200"/>
    </row>
    <row r="60" spans="1:68" ht="15" customHeight="1">
      <c r="A60" s="34"/>
      <c r="B60" s="34"/>
      <c r="H60" s="14"/>
      <c r="I60" s="34"/>
      <c r="O60" s="14"/>
      <c r="V60" s="14"/>
      <c r="AD60" s="34"/>
      <c r="AT60" s="34"/>
      <c r="AX60" s="14"/>
      <c r="AY60" s="14"/>
      <c r="BA60" s="194"/>
      <c r="BB60" s="195"/>
      <c r="BC60" s="195"/>
      <c r="BD60" s="195"/>
      <c r="BE60" s="198"/>
      <c r="BF60" s="199"/>
      <c r="BG60" s="199"/>
      <c r="BH60" s="199"/>
      <c r="BI60" s="199"/>
      <c r="BJ60" s="199"/>
      <c r="BK60" s="199"/>
      <c r="BL60" s="199"/>
      <c r="BM60" s="199"/>
      <c r="BN60" s="199"/>
      <c r="BO60" s="199"/>
      <c r="BP60" s="200"/>
    </row>
    <row r="61" spans="1:68" ht="14.45" customHeight="1">
      <c r="A61" s="34"/>
      <c r="B61" s="21"/>
      <c r="C61" s="10"/>
      <c r="D61" s="10"/>
      <c r="E61" s="10"/>
      <c r="F61" s="10"/>
      <c r="G61" s="10"/>
      <c r="H61" s="15"/>
      <c r="I61" s="21"/>
      <c r="J61" s="10"/>
      <c r="K61" s="10"/>
      <c r="L61" s="10"/>
      <c r="M61" s="10"/>
      <c r="N61" s="10"/>
      <c r="O61" s="15"/>
      <c r="P61" s="10"/>
      <c r="Q61" s="10"/>
      <c r="R61" s="10"/>
      <c r="S61" s="10"/>
      <c r="T61" s="10"/>
      <c r="U61" s="10"/>
      <c r="V61" s="15"/>
      <c r="W61" s="10"/>
      <c r="X61" s="10"/>
      <c r="Y61" s="10"/>
      <c r="Z61" s="10"/>
      <c r="AA61" s="10"/>
      <c r="AB61" s="10"/>
      <c r="AC61" s="10"/>
      <c r="AD61" s="21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21"/>
      <c r="AU61" s="10"/>
      <c r="AV61" s="10"/>
      <c r="AW61" s="10"/>
      <c r="AX61" s="15"/>
      <c r="AY61" s="14"/>
      <c r="BA61" s="196"/>
      <c r="BB61" s="197"/>
      <c r="BC61" s="197"/>
      <c r="BD61" s="197"/>
      <c r="BE61" s="21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5"/>
    </row>
    <row r="62" spans="1:68">
      <c r="A62" s="34"/>
      <c r="AY62" s="14"/>
    </row>
    <row r="63" spans="1:68">
      <c r="A63" s="21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5"/>
    </row>
  </sheetData>
  <mergeCells count="29">
    <mergeCell ref="W9:AC9"/>
    <mergeCell ref="AL3:AP3"/>
    <mergeCell ref="AQ3:AV3"/>
    <mergeCell ref="F1:U1"/>
    <mergeCell ref="V1:AI1"/>
    <mergeCell ref="AJ1:AP1"/>
    <mergeCell ref="AQ1:AV1"/>
    <mergeCell ref="F2:U3"/>
    <mergeCell ref="V2:AI3"/>
    <mergeCell ref="AJ2:AK2"/>
    <mergeCell ref="AL2:AP2"/>
    <mergeCell ref="AQ2:AV2"/>
    <mergeCell ref="AJ3:AK3"/>
    <mergeCell ref="A1:E1"/>
    <mergeCell ref="A2:E3"/>
    <mergeCell ref="BA58:BD61"/>
    <mergeCell ref="BE58:BP58"/>
    <mergeCell ref="BE59:BP59"/>
    <mergeCell ref="BE60:BP60"/>
    <mergeCell ref="B8:O8"/>
    <mergeCell ref="P8:V8"/>
    <mergeCell ref="W8:AC8"/>
    <mergeCell ref="AD8:AS9"/>
    <mergeCell ref="AT8:AX9"/>
    <mergeCell ref="BA8:BD9"/>
    <mergeCell ref="BE8:BP9"/>
    <mergeCell ref="B9:H9"/>
    <mergeCell ref="I9:O9"/>
    <mergeCell ref="P9:V9"/>
  </mergeCells>
  <phoneticPr fontId="2"/>
  <pageMargins left="0.7" right="0.7" top="0.75" bottom="0.75" header="0.3" footer="0.3"/>
  <pageSetup paperSize="9" scale="6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BCB2-428A-46BB-8AB7-3E193A2D99DF}">
  <dimension ref="A1:CY171"/>
  <sheetViews>
    <sheetView showGridLines="0" zoomScale="68" zoomScaleNormal="68" workbookViewId="0">
      <pane ySplit="9" topLeftCell="A10" activePane="bottomLeft" state="frozen"/>
      <selection pane="bottomLeft" activeCell="BM134" sqref="BM134"/>
      <selection activeCell="AJ39" sqref="AJ39"/>
    </sheetView>
  </sheetViews>
  <sheetFormatPr defaultColWidth="2.625" defaultRowHeight="13.5"/>
  <cols>
    <col min="1" max="5" width="2.625" style="8"/>
    <col min="6" max="10" width="2.625" style="8" customWidth="1"/>
    <col min="11" max="15" width="2.625" style="8"/>
    <col min="16" max="17" width="2.625" style="8" customWidth="1"/>
    <col min="18" max="84" width="2.625" style="8"/>
    <col min="85" max="85" width="2.625" style="8" customWidth="1"/>
    <col min="86" max="91" width="2.625" style="8"/>
    <col min="92" max="92" width="3.25" style="8" customWidth="1"/>
    <col min="93" max="16384" width="2.625" style="8"/>
  </cols>
  <sheetData>
    <row r="1" spans="1:103" ht="14.1" customHeight="1" thickBot="1">
      <c r="A1" s="169" t="s">
        <v>9</v>
      </c>
      <c r="B1" s="170"/>
      <c r="C1" s="170"/>
      <c r="D1" s="170"/>
      <c r="E1" s="171"/>
      <c r="F1" s="166" t="str">
        <f>変更履歴!F1</f>
        <v>会計システム刷新プロジェクト（LIBRA）</v>
      </c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8"/>
      <c r="V1" s="169" t="s">
        <v>42</v>
      </c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1"/>
      <c r="AJ1" s="169" t="s">
        <v>11</v>
      </c>
      <c r="AK1" s="170"/>
      <c r="AL1" s="170"/>
      <c r="AM1" s="170"/>
      <c r="AN1" s="170"/>
      <c r="AO1" s="170"/>
      <c r="AP1" s="171"/>
      <c r="AQ1" s="169" t="s">
        <v>12</v>
      </c>
      <c r="AR1" s="170"/>
      <c r="AS1" s="170"/>
      <c r="AT1" s="170"/>
      <c r="AU1" s="170"/>
      <c r="AV1" s="171"/>
    </row>
    <row r="2" spans="1:103" ht="14.1" customHeight="1">
      <c r="A2" s="184" t="s">
        <v>13</v>
      </c>
      <c r="B2" s="185"/>
      <c r="C2" s="185"/>
      <c r="D2" s="185"/>
      <c r="E2" s="186"/>
      <c r="F2" s="146" t="str">
        <f>変更履歴!F2</f>
        <v>ToBe業務フロー（2.グループファイナンス・資金繰り）</v>
      </c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8"/>
      <c r="V2" s="146" t="e">
        <f ca="1">MID(CELL("filename",$A$1),FIND("]",CELL("filename",$A$1))+1,31)</f>
        <v>#VALUE!</v>
      </c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8"/>
      <c r="AJ2" s="158" t="s">
        <v>14</v>
      </c>
      <c r="AK2" s="159"/>
      <c r="AL2" s="160">
        <f>変更履歴!AT2</f>
        <v>45362</v>
      </c>
      <c r="AM2" s="161"/>
      <c r="AN2" s="161"/>
      <c r="AO2" s="161"/>
      <c r="AP2" s="162"/>
      <c r="AQ2" s="128" t="str">
        <f>変更履歴!BA2</f>
        <v>JBS福田</v>
      </c>
      <c r="AR2" s="129"/>
      <c r="AS2" s="129"/>
      <c r="AT2" s="129"/>
      <c r="AU2" s="129"/>
      <c r="AV2" s="130"/>
    </row>
    <row r="3" spans="1:103" ht="14.1" customHeight="1" thickBot="1">
      <c r="A3" s="187"/>
      <c r="B3" s="188"/>
      <c r="C3" s="188"/>
      <c r="D3" s="188"/>
      <c r="E3" s="189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1"/>
      <c r="V3" s="149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1"/>
      <c r="AJ3" s="131" t="s">
        <v>15</v>
      </c>
      <c r="AK3" s="132"/>
      <c r="AL3" s="133">
        <f ca="1">変更履歴!AT3</f>
        <v>45763</v>
      </c>
      <c r="AM3" s="134"/>
      <c r="AN3" s="134"/>
      <c r="AO3" s="134"/>
      <c r="AP3" s="135"/>
      <c r="AQ3" s="136" t="str">
        <f ca="1">変更履歴!BA3</f>
        <v>JBS福田</v>
      </c>
      <c r="AR3" s="137"/>
      <c r="AS3" s="137"/>
      <c r="AT3" s="137"/>
      <c r="AU3" s="137"/>
      <c r="AV3" s="138"/>
    </row>
    <row r="4" spans="1:103">
      <c r="A4" s="34"/>
      <c r="AV4" s="9"/>
    </row>
    <row r="5" spans="1:103">
      <c r="A5" s="2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</row>
    <row r="6" spans="1:103" s="11" customFormat="1">
      <c r="A6" s="38" t="e">
        <f ca="1">RIGHT(CELL("filename",A1),LEN(CELL("filename",A1))-FIND("]",CELL("filename",A1)))</f>
        <v>#VALUE!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40"/>
    </row>
    <row r="7" spans="1:103" s="11" customFormat="1">
      <c r="A7" s="32"/>
      <c r="CH7" s="13"/>
    </row>
    <row r="8" spans="1:103" s="11" customFormat="1" ht="17.25" customHeight="1">
      <c r="A8" s="32"/>
      <c r="B8" s="172" t="s">
        <v>101</v>
      </c>
      <c r="C8" s="173"/>
      <c r="D8" s="173"/>
      <c r="E8" s="173"/>
      <c r="F8" s="173"/>
      <c r="G8" s="173"/>
      <c r="H8" s="174"/>
      <c r="I8" s="172" t="s">
        <v>102</v>
      </c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4"/>
      <c r="W8" s="172" t="s">
        <v>103</v>
      </c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4"/>
      <c r="AK8" s="172" t="s">
        <v>104</v>
      </c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4"/>
      <c r="AY8" s="181" t="s">
        <v>54</v>
      </c>
      <c r="AZ8" s="182"/>
      <c r="BA8" s="182"/>
      <c r="BB8" s="182"/>
      <c r="BC8" s="182"/>
      <c r="BD8" s="182"/>
      <c r="BE8" s="182"/>
      <c r="BF8" s="182"/>
      <c r="BG8" s="182"/>
      <c r="BH8" s="182"/>
      <c r="BI8" s="182"/>
      <c r="BJ8" s="182"/>
      <c r="BK8" s="182"/>
      <c r="BL8" s="183"/>
      <c r="BM8" s="193" t="s">
        <v>72</v>
      </c>
      <c r="BN8" s="193"/>
      <c r="BO8" s="193"/>
      <c r="BP8" s="193"/>
      <c r="BQ8" s="193"/>
      <c r="BR8" s="193"/>
      <c r="BS8" s="193"/>
      <c r="BT8" s="193"/>
      <c r="BU8" s="193"/>
      <c r="BV8" s="193"/>
      <c r="BW8" s="193"/>
      <c r="BX8" s="193"/>
      <c r="BY8" s="193"/>
      <c r="BZ8" s="193"/>
      <c r="CA8" s="193"/>
      <c r="CB8" s="193"/>
      <c r="CC8" s="192" t="s">
        <v>74</v>
      </c>
      <c r="CD8" s="193"/>
      <c r="CE8" s="193"/>
      <c r="CF8" s="193"/>
      <c r="CG8" s="193"/>
      <c r="CH8" s="13"/>
      <c r="CJ8" s="201" t="s">
        <v>80</v>
      </c>
      <c r="CK8" s="202"/>
      <c r="CL8" s="202"/>
      <c r="CM8" s="202"/>
      <c r="CN8" s="204" t="s">
        <v>81</v>
      </c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6"/>
    </row>
    <row r="9" spans="1:103" s="11" customFormat="1">
      <c r="A9" s="32"/>
      <c r="B9" s="172" t="s">
        <v>60</v>
      </c>
      <c r="C9" s="173"/>
      <c r="D9" s="173"/>
      <c r="E9" s="173"/>
      <c r="F9" s="173"/>
      <c r="G9" s="173"/>
      <c r="H9" s="174"/>
      <c r="I9" s="172" t="s">
        <v>60</v>
      </c>
      <c r="J9" s="173"/>
      <c r="K9" s="173"/>
      <c r="L9" s="173"/>
      <c r="M9" s="173"/>
      <c r="N9" s="173"/>
      <c r="O9" s="174"/>
      <c r="P9" s="173" t="s">
        <v>61</v>
      </c>
      <c r="Q9" s="173"/>
      <c r="R9" s="173"/>
      <c r="S9" s="173"/>
      <c r="T9" s="173"/>
      <c r="U9" s="173"/>
      <c r="V9" s="174"/>
      <c r="W9" s="172" t="s">
        <v>60</v>
      </c>
      <c r="X9" s="173"/>
      <c r="Y9" s="173"/>
      <c r="Z9" s="173"/>
      <c r="AA9" s="173"/>
      <c r="AB9" s="173"/>
      <c r="AC9" s="174"/>
      <c r="AD9" s="172" t="s">
        <v>61</v>
      </c>
      <c r="AE9" s="173"/>
      <c r="AF9" s="173"/>
      <c r="AG9" s="173"/>
      <c r="AH9" s="173"/>
      <c r="AI9" s="173"/>
      <c r="AJ9" s="174"/>
      <c r="AK9" s="172" t="s">
        <v>60</v>
      </c>
      <c r="AL9" s="173"/>
      <c r="AM9" s="173"/>
      <c r="AN9" s="173"/>
      <c r="AO9" s="173"/>
      <c r="AP9" s="173"/>
      <c r="AQ9" s="174"/>
      <c r="AR9" s="172" t="s">
        <v>61</v>
      </c>
      <c r="AS9" s="173"/>
      <c r="AT9" s="173"/>
      <c r="AU9" s="173"/>
      <c r="AV9" s="173"/>
      <c r="AW9" s="173"/>
      <c r="AX9" s="174"/>
      <c r="AY9" s="181" t="s">
        <v>69</v>
      </c>
      <c r="AZ9" s="182"/>
      <c r="BA9" s="182"/>
      <c r="BB9" s="182"/>
      <c r="BC9" s="182"/>
      <c r="BD9" s="182"/>
      <c r="BE9" s="183"/>
      <c r="BF9" s="181" t="s">
        <v>71</v>
      </c>
      <c r="BG9" s="182"/>
      <c r="BH9" s="182"/>
      <c r="BI9" s="182"/>
      <c r="BJ9" s="182"/>
      <c r="BK9" s="182"/>
      <c r="BL9" s="183"/>
      <c r="BM9" s="193"/>
      <c r="BN9" s="193"/>
      <c r="BO9" s="193"/>
      <c r="BP9" s="193"/>
      <c r="BQ9" s="193"/>
      <c r="BR9" s="193"/>
      <c r="BS9" s="193"/>
      <c r="BT9" s="193"/>
      <c r="BU9" s="193"/>
      <c r="BV9" s="193"/>
      <c r="BW9" s="193"/>
      <c r="BX9" s="193"/>
      <c r="BY9" s="193"/>
      <c r="BZ9" s="193"/>
      <c r="CA9" s="193"/>
      <c r="CB9" s="193"/>
      <c r="CC9" s="193"/>
      <c r="CD9" s="193"/>
      <c r="CE9" s="193"/>
      <c r="CF9" s="193"/>
      <c r="CG9" s="193"/>
      <c r="CH9" s="13"/>
      <c r="CJ9" s="203"/>
      <c r="CK9" s="203"/>
      <c r="CL9" s="203"/>
      <c r="CM9" s="203"/>
      <c r="CN9" s="207"/>
      <c r="CO9" s="208"/>
      <c r="CP9" s="208"/>
      <c r="CQ9" s="208"/>
      <c r="CR9" s="208"/>
      <c r="CS9" s="208"/>
      <c r="CT9" s="208"/>
      <c r="CU9" s="208"/>
      <c r="CV9" s="208"/>
      <c r="CW9" s="208"/>
      <c r="CX9" s="208"/>
      <c r="CY9" s="209"/>
    </row>
    <row r="10" spans="1:103" s="11" customFormat="1">
      <c r="A10" s="32"/>
      <c r="B10" s="35" t="s">
        <v>105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55"/>
      <c r="P10" s="20"/>
      <c r="Q10" s="20"/>
      <c r="R10" s="20"/>
      <c r="S10" s="20"/>
      <c r="T10" s="20"/>
      <c r="U10" s="20"/>
      <c r="V10" s="20"/>
      <c r="W10" s="35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35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13"/>
      <c r="CJ10" s="23"/>
      <c r="CK10" s="24"/>
      <c r="CL10" s="24"/>
      <c r="CM10" s="24"/>
      <c r="CN10" s="23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5"/>
    </row>
    <row r="11" spans="1:103" s="11" customFormat="1">
      <c r="A11" s="32"/>
      <c r="B11" s="45"/>
      <c r="C11" s="43"/>
      <c r="D11" s="43"/>
      <c r="E11" s="43"/>
      <c r="F11" s="43"/>
      <c r="G11" s="43"/>
      <c r="H11" s="44"/>
      <c r="I11" s="43"/>
      <c r="J11" s="43"/>
      <c r="K11" s="43"/>
      <c r="L11" s="43"/>
      <c r="M11" s="43"/>
      <c r="N11" s="43"/>
      <c r="O11" s="44"/>
      <c r="P11" s="43"/>
      <c r="Q11" s="43"/>
      <c r="R11" s="43"/>
      <c r="S11" s="43"/>
      <c r="T11" s="43"/>
      <c r="U11" s="43"/>
      <c r="V11" s="43"/>
      <c r="W11" s="45"/>
      <c r="X11" s="43"/>
      <c r="Y11" s="43"/>
      <c r="Z11" s="43"/>
      <c r="AA11" s="43"/>
      <c r="AB11" s="43"/>
      <c r="AC11" s="44"/>
      <c r="AD11" s="43"/>
      <c r="AE11" s="43"/>
      <c r="AF11" s="43"/>
      <c r="AG11" s="43"/>
      <c r="AH11" s="43"/>
      <c r="AI11" s="43"/>
      <c r="AJ11" s="43"/>
      <c r="AK11" s="45"/>
      <c r="AL11" s="43"/>
      <c r="AM11" s="43"/>
      <c r="AN11" s="43"/>
      <c r="AO11" s="43"/>
      <c r="AP11" s="43"/>
      <c r="AQ11" s="44"/>
      <c r="AR11" s="43"/>
      <c r="AS11" s="43"/>
      <c r="AT11" s="43"/>
      <c r="AU11" s="43"/>
      <c r="AV11" s="43"/>
      <c r="AW11" s="43"/>
      <c r="AX11" s="43"/>
      <c r="AY11" s="45"/>
      <c r="AZ11" s="43"/>
      <c r="BA11" s="43"/>
      <c r="BB11" s="43"/>
      <c r="BC11" s="43"/>
      <c r="BD11" s="43"/>
      <c r="BE11" s="44"/>
      <c r="BF11" s="45"/>
      <c r="BG11" s="43"/>
      <c r="BH11" s="43"/>
      <c r="BI11" s="43"/>
      <c r="BJ11" s="43"/>
      <c r="BK11" s="43"/>
      <c r="BL11" s="44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5"/>
      <c r="CD11" s="43"/>
      <c r="CE11" s="43"/>
      <c r="CF11" s="43"/>
      <c r="CG11" s="44"/>
      <c r="CH11" s="13"/>
      <c r="CJ11" s="26"/>
      <c r="CN11" s="26"/>
      <c r="CY11" s="27"/>
    </row>
    <row r="12" spans="1:103" s="11" customFormat="1">
      <c r="A12" s="32"/>
      <c r="B12" s="33"/>
      <c r="C12" s="18"/>
      <c r="D12" s="18"/>
      <c r="E12" s="18"/>
      <c r="F12" s="18"/>
      <c r="G12" s="18"/>
      <c r="H12" s="17"/>
      <c r="I12" s="18"/>
      <c r="J12" s="18"/>
      <c r="K12" s="18"/>
      <c r="L12" s="18"/>
      <c r="M12" s="18"/>
      <c r="N12" s="18"/>
      <c r="O12" s="17"/>
      <c r="P12" s="18"/>
      <c r="Q12" s="18"/>
      <c r="R12" s="18"/>
      <c r="S12" s="18"/>
      <c r="T12" s="18"/>
      <c r="U12" s="18"/>
      <c r="V12" s="18"/>
      <c r="W12" s="33"/>
      <c r="X12" s="18"/>
      <c r="Y12" s="18"/>
      <c r="Z12" s="18"/>
      <c r="AA12" s="18"/>
      <c r="AB12" s="18"/>
      <c r="AC12" s="17"/>
      <c r="AD12" s="18"/>
      <c r="AE12" s="18"/>
      <c r="AF12" s="18"/>
      <c r="AG12" s="18"/>
      <c r="AH12" s="18"/>
      <c r="AI12" s="18"/>
      <c r="AJ12" s="18"/>
      <c r="AK12" s="33"/>
      <c r="AL12" s="18"/>
      <c r="AM12" s="18"/>
      <c r="AN12" s="18"/>
      <c r="AO12" s="18"/>
      <c r="AP12" s="18"/>
      <c r="AQ12" s="17"/>
      <c r="AR12" s="18"/>
      <c r="AS12" s="18"/>
      <c r="AT12" s="18"/>
      <c r="AU12" s="18"/>
      <c r="AV12" s="18"/>
      <c r="AW12" s="18"/>
      <c r="AX12" s="18"/>
      <c r="AY12" s="33"/>
      <c r="AZ12" s="18"/>
      <c r="BA12" s="18"/>
      <c r="BB12" s="18"/>
      <c r="BC12" s="18"/>
      <c r="BD12" s="18"/>
      <c r="BE12" s="17"/>
      <c r="BF12" s="33"/>
      <c r="BG12" s="18"/>
      <c r="BH12" s="18"/>
      <c r="BI12" s="18"/>
      <c r="BJ12" s="18"/>
      <c r="BK12" s="18"/>
      <c r="BL12" s="17"/>
      <c r="BM12" s="18"/>
      <c r="BN12" s="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33"/>
      <c r="CD12" s="18"/>
      <c r="CE12" s="18"/>
      <c r="CF12" s="18"/>
      <c r="CG12" s="17"/>
      <c r="CH12" s="13"/>
      <c r="CJ12" s="26"/>
      <c r="CN12" s="26"/>
      <c r="CY12" s="27"/>
    </row>
    <row r="13" spans="1:103" s="11" customFormat="1">
      <c r="A13" s="32"/>
      <c r="B13" s="33"/>
      <c r="C13" s="18"/>
      <c r="D13" s="18"/>
      <c r="E13" s="18"/>
      <c r="F13" s="18"/>
      <c r="G13" s="18"/>
      <c r="H13" s="17"/>
      <c r="I13" s="18"/>
      <c r="J13" s="18"/>
      <c r="K13" s="18"/>
      <c r="L13" s="18"/>
      <c r="M13" s="18"/>
      <c r="N13" s="18"/>
      <c r="O13" s="17"/>
      <c r="P13" s="18"/>
      <c r="Q13" s="18"/>
      <c r="R13" s="18"/>
      <c r="S13" s="18"/>
      <c r="T13" s="18"/>
      <c r="U13" s="18"/>
      <c r="V13" s="18"/>
      <c r="W13" s="33"/>
      <c r="X13" s="18"/>
      <c r="Y13" s="18"/>
      <c r="Z13" s="18"/>
      <c r="AA13" s="18"/>
      <c r="AB13" s="18"/>
      <c r="AC13" s="17"/>
      <c r="AD13" s="18"/>
      <c r="AE13" s="18"/>
      <c r="AF13" s="18"/>
      <c r="AG13" s="18"/>
      <c r="AH13" s="18"/>
      <c r="AI13" s="18"/>
      <c r="AJ13" s="18"/>
      <c r="AK13" s="33"/>
      <c r="AL13" s="18"/>
      <c r="AM13" s="18"/>
      <c r="AN13" s="18"/>
      <c r="AO13" s="18"/>
      <c r="AP13" s="18"/>
      <c r="AQ13" s="17"/>
      <c r="AR13" s="18"/>
      <c r="AS13" s="18"/>
      <c r="AT13" s="18"/>
      <c r="AU13" s="18"/>
      <c r="AV13" s="18"/>
      <c r="AW13" s="18"/>
      <c r="AX13" s="18"/>
      <c r="AY13" s="33"/>
      <c r="AZ13" s="18"/>
      <c r="BA13" s="18"/>
      <c r="BB13" s="18"/>
      <c r="BC13" s="18"/>
      <c r="BD13" s="18"/>
      <c r="BE13" s="17"/>
      <c r="BF13" s="33"/>
      <c r="BG13" s="18"/>
      <c r="BH13" s="18"/>
      <c r="BI13" s="18"/>
      <c r="BJ13" s="18"/>
      <c r="BK13" s="18"/>
      <c r="BL13" s="17"/>
      <c r="BM13" s="18"/>
      <c r="BN13" s="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33"/>
      <c r="CD13" s="18"/>
      <c r="CE13" s="18"/>
      <c r="CF13" s="18"/>
      <c r="CG13" s="17"/>
      <c r="CH13" s="13"/>
      <c r="CJ13" s="26"/>
      <c r="CN13" s="26"/>
      <c r="CY13" s="27"/>
    </row>
    <row r="14" spans="1:103" s="11" customFormat="1">
      <c r="A14" s="32"/>
      <c r="B14" s="33"/>
      <c r="C14" s="18"/>
      <c r="D14" s="18"/>
      <c r="E14" s="18"/>
      <c r="F14" s="18"/>
      <c r="G14" s="18"/>
      <c r="H14" s="17"/>
      <c r="I14" s="18"/>
      <c r="J14" s="18"/>
      <c r="K14" s="18"/>
      <c r="L14" s="18"/>
      <c r="M14" s="18"/>
      <c r="N14" s="18"/>
      <c r="O14" s="17"/>
      <c r="P14" s="18"/>
      <c r="Q14" s="18"/>
      <c r="R14" s="18"/>
      <c r="S14" s="18"/>
      <c r="T14" s="18"/>
      <c r="U14" s="18"/>
      <c r="V14" s="18"/>
      <c r="W14" s="33"/>
      <c r="X14" s="18"/>
      <c r="Y14" s="18"/>
      <c r="Z14" s="18"/>
      <c r="AA14" s="18"/>
      <c r="AB14" s="18"/>
      <c r="AC14" s="17"/>
      <c r="AD14" s="18"/>
      <c r="AE14" s="18"/>
      <c r="AF14" s="18"/>
      <c r="AG14" s="18"/>
      <c r="AH14" s="18"/>
      <c r="AI14" s="18"/>
      <c r="AJ14" s="18"/>
      <c r="AK14" s="33"/>
      <c r="AL14" s="18"/>
      <c r="AM14" s="18"/>
      <c r="AN14" s="18"/>
      <c r="AO14" s="18"/>
      <c r="AP14" s="18"/>
      <c r="AQ14" s="17"/>
      <c r="AR14" s="18"/>
      <c r="AS14" s="18"/>
      <c r="AT14" s="18"/>
      <c r="AU14" s="18"/>
      <c r="AV14" s="18"/>
      <c r="AW14" s="18"/>
      <c r="AX14" s="18"/>
      <c r="AY14" s="33"/>
      <c r="AZ14" s="18"/>
      <c r="BA14" s="18"/>
      <c r="BB14" s="18"/>
      <c r="BC14" s="18"/>
      <c r="BD14" s="18"/>
      <c r="BE14" s="17"/>
      <c r="BF14" s="33"/>
      <c r="BG14" s="18"/>
      <c r="BH14" s="18"/>
      <c r="BI14" s="18"/>
      <c r="BJ14" s="18"/>
      <c r="BK14" s="18"/>
      <c r="BL14" s="17"/>
      <c r="BM14" s="18"/>
      <c r="BN14" s="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33"/>
      <c r="CD14" s="18"/>
      <c r="CE14" s="18"/>
      <c r="CF14" s="18"/>
      <c r="CG14" s="17"/>
      <c r="CH14" s="13"/>
      <c r="CJ14" s="26"/>
      <c r="CN14" s="26"/>
      <c r="CY14" s="27"/>
    </row>
    <row r="15" spans="1:103" s="11" customFormat="1">
      <c r="A15" s="32"/>
      <c r="B15" s="33"/>
      <c r="C15" s="18"/>
      <c r="D15" s="18"/>
      <c r="E15" s="18"/>
      <c r="F15" s="18"/>
      <c r="G15" s="18"/>
      <c r="H15" s="17"/>
      <c r="I15" s="18"/>
      <c r="J15" s="18"/>
      <c r="K15" s="18"/>
      <c r="L15" s="18"/>
      <c r="M15" s="18"/>
      <c r="N15" s="18"/>
      <c r="O15" s="17"/>
      <c r="P15" s="18"/>
      <c r="Q15" s="18"/>
      <c r="R15" s="18"/>
      <c r="S15" s="18"/>
      <c r="T15" s="18"/>
      <c r="U15" s="18"/>
      <c r="V15" s="18"/>
      <c r="W15" s="33"/>
      <c r="X15" s="18"/>
      <c r="Y15" s="18"/>
      <c r="Z15" s="18"/>
      <c r="AA15" s="18"/>
      <c r="AB15" s="18"/>
      <c r="AC15" s="17"/>
      <c r="AD15" s="18"/>
      <c r="AE15" s="18"/>
      <c r="AF15" s="18"/>
      <c r="AG15" s="18"/>
      <c r="AH15" s="18"/>
      <c r="AI15" s="18"/>
      <c r="AJ15" s="18"/>
      <c r="AK15" s="33"/>
      <c r="AL15" s="18"/>
      <c r="AM15" s="18"/>
      <c r="AN15" s="18"/>
      <c r="AO15" s="18"/>
      <c r="AP15" s="18"/>
      <c r="AQ15" s="17"/>
      <c r="AR15" s="18"/>
      <c r="AS15" s="18"/>
      <c r="AT15" s="18"/>
      <c r="AU15" s="18"/>
      <c r="AV15" s="18"/>
      <c r="AW15" s="18"/>
      <c r="AX15" s="18"/>
      <c r="AY15" s="33"/>
      <c r="AZ15" s="18"/>
      <c r="BA15" s="18"/>
      <c r="BB15" s="18"/>
      <c r="BC15" s="18"/>
      <c r="BD15" s="18"/>
      <c r="BE15" s="17"/>
      <c r="BF15" s="33"/>
      <c r="BG15" s="18"/>
      <c r="BH15" s="18"/>
      <c r="BI15" s="18"/>
      <c r="BJ15" s="18"/>
      <c r="BK15" s="18"/>
      <c r="BL15" s="17"/>
      <c r="BM15" s="18"/>
      <c r="BN15" s="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33"/>
      <c r="CD15" s="18"/>
      <c r="CE15" s="18"/>
      <c r="CF15" s="18"/>
      <c r="CG15" s="17"/>
      <c r="CH15" s="13"/>
      <c r="CJ15" s="26"/>
      <c r="CN15" s="26"/>
      <c r="CY15" s="27"/>
    </row>
    <row r="16" spans="1:103" s="11" customFormat="1">
      <c r="A16" s="32"/>
      <c r="B16" s="33"/>
      <c r="C16" s="18"/>
      <c r="D16" s="18"/>
      <c r="E16" s="18"/>
      <c r="F16" s="18"/>
      <c r="G16" s="18"/>
      <c r="H16" s="17"/>
      <c r="I16" s="18"/>
      <c r="J16" s="18"/>
      <c r="K16" s="18"/>
      <c r="L16" s="18"/>
      <c r="M16" s="18"/>
      <c r="N16" s="18"/>
      <c r="O16" s="17"/>
      <c r="P16" s="18"/>
      <c r="Q16" s="18"/>
      <c r="R16" s="18"/>
      <c r="S16" s="18"/>
      <c r="T16" s="18"/>
      <c r="U16" s="18"/>
      <c r="V16" s="18"/>
      <c r="W16" s="33"/>
      <c r="X16" s="18"/>
      <c r="Y16" s="18"/>
      <c r="Z16" s="18"/>
      <c r="AA16" s="18"/>
      <c r="AB16" s="18"/>
      <c r="AC16" s="17"/>
      <c r="AD16" s="18"/>
      <c r="AE16" s="18"/>
      <c r="AF16" s="18"/>
      <c r="AG16" s="18"/>
      <c r="AH16" s="18"/>
      <c r="AI16" s="18"/>
      <c r="AJ16" s="18"/>
      <c r="AK16" s="33"/>
      <c r="AL16" s="18"/>
      <c r="AM16" s="18"/>
      <c r="AN16" s="18"/>
      <c r="AO16" s="18"/>
      <c r="AP16" s="18"/>
      <c r="AQ16" s="17"/>
      <c r="AR16" s="18"/>
      <c r="AS16" s="18"/>
      <c r="AT16" s="18"/>
      <c r="AU16" s="18"/>
      <c r="AV16" s="18"/>
      <c r="AW16" s="18"/>
      <c r="AX16" s="18"/>
      <c r="AY16" s="33"/>
      <c r="AZ16" s="18"/>
      <c r="BA16" s="18"/>
      <c r="BB16" s="18"/>
      <c r="BC16" s="18"/>
      <c r="BD16" s="18"/>
      <c r="BE16" s="17"/>
      <c r="BF16" s="33"/>
      <c r="BG16" s="18"/>
      <c r="BH16" s="18"/>
      <c r="BI16" s="18"/>
      <c r="BJ16" s="18"/>
      <c r="BK16" s="18"/>
      <c r="BL16" s="17"/>
      <c r="BM16" s="18"/>
      <c r="BN16" s="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33"/>
      <c r="CD16" s="18"/>
      <c r="CE16" s="18"/>
      <c r="CF16" s="18"/>
      <c r="CG16" s="17"/>
      <c r="CH16" s="13"/>
      <c r="CJ16" s="26"/>
      <c r="CN16" s="26"/>
      <c r="CY16" s="27"/>
    </row>
    <row r="17" spans="1:103" s="11" customFormat="1">
      <c r="A17" s="32"/>
      <c r="B17" s="33"/>
      <c r="C17" s="18"/>
      <c r="D17" s="18"/>
      <c r="E17" s="18"/>
      <c r="F17" s="18"/>
      <c r="G17" s="18"/>
      <c r="H17" s="17"/>
      <c r="I17" s="18"/>
      <c r="J17" s="18"/>
      <c r="K17" s="18"/>
      <c r="L17" s="18"/>
      <c r="M17" s="18"/>
      <c r="N17" s="18"/>
      <c r="O17" s="17"/>
      <c r="P17" s="18"/>
      <c r="Q17" s="18"/>
      <c r="R17" s="18"/>
      <c r="S17" s="18"/>
      <c r="T17" s="18"/>
      <c r="U17" s="18"/>
      <c r="V17" s="18"/>
      <c r="W17" s="33"/>
      <c r="X17" s="18"/>
      <c r="Y17" s="18"/>
      <c r="Z17" s="18"/>
      <c r="AA17" s="18"/>
      <c r="AB17" s="18"/>
      <c r="AC17" s="17"/>
      <c r="AD17" s="18"/>
      <c r="AE17" s="18"/>
      <c r="AF17" s="18"/>
      <c r="AG17" s="18"/>
      <c r="AH17" s="18"/>
      <c r="AI17" s="18"/>
      <c r="AJ17" s="18"/>
      <c r="AK17" s="33"/>
      <c r="AL17" s="18"/>
      <c r="AM17" s="18"/>
      <c r="AN17" s="18"/>
      <c r="AO17" s="18"/>
      <c r="AP17" s="18"/>
      <c r="AQ17" s="17"/>
      <c r="AR17" s="18"/>
      <c r="AS17" s="18"/>
      <c r="AT17" s="18"/>
      <c r="AU17" s="18"/>
      <c r="AV17" s="18"/>
      <c r="AW17" s="18"/>
      <c r="AX17" s="18"/>
      <c r="AY17" s="33"/>
      <c r="AZ17" s="18"/>
      <c r="BA17" s="18"/>
      <c r="BB17" s="18"/>
      <c r="BC17" s="18"/>
      <c r="BD17" s="18"/>
      <c r="BE17" s="17"/>
      <c r="BF17" s="33"/>
      <c r="BG17" s="18"/>
      <c r="BH17" s="18"/>
      <c r="BI17" s="18"/>
      <c r="BJ17" s="18"/>
      <c r="BK17" s="18"/>
      <c r="BL17" s="17"/>
      <c r="BM17" s="18"/>
      <c r="BN17" s="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33"/>
      <c r="CD17" s="18"/>
      <c r="CE17" s="18"/>
      <c r="CF17" s="18"/>
      <c r="CG17" s="17"/>
      <c r="CH17" s="13"/>
      <c r="CJ17" s="26"/>
      <c r="CN17" s="26"/>
      <c r="CY17" s="27"/>
    </row>
    <row r="18" spans="1:103" s="11" customFormat="1">
      <c r="A18" s="32"/>
      <c r="B18" s="33"/>
      <c r="C18" s="18"/>
      <c r="D18" s="18"/>
      <c r="E18" s="18"/>
      <c r="F18" s="18"/>
      <c r="G18" s="18"/>
      <c r="H18" s="17"/>
      <c r="I18" s="18"/>
      <c r="J18" s="18"/>
      <c r="K18" s="18"/>
      <c r="L18" s="18"/>
      <c r="M18" s="18"/>
      <c r="N18" s="18"/>
      <c r="O18" s="17"/>
      <c r="P18" s="18"/>
      <c r="Q18" s="18"/>
      <c r="R18" s="18"/>
      <c r="S18" s="18"/>
      <c r="T18" s="18"/>
      <c r="U18" s="18"/>
      <c r="V18" s="18"/>
      <c r="W18" s="33"/>
      <c r="X18" s="18"/>
      <c r="Y18" s="18"/>
      <c r="Z18" s="18"/>
      <c r="AA18" s="18"/>
      <c r="AB18" s="18"/>
      <c r="AC18" s="17"/>
      <c r="AD18" s="18"/>
      <c r="AE18" s="18"/>
      <c r="AF18" s="18"/>
      <c r="AG18" s="18"/>
      <c r="AH18" s="18"/>
      <c r="AI18" s="18"/>
      <c r="AJ18" s="18"/>
      <c r="AK18" s="33"/>
      <c r="AL18" s="18"/>
      <c r="AM18" s="18"/>
      <c r="AN18" s="18"/>
      <c r="AO18" s="18"/>
      <c r="AP18" s="18"/>
      <c r="AQ18" s="17"/>
      <c r="AR18" s="18"/>
      <c r="AS18" s="18"/>
      <c r="AT18" s="18"/>
      <c r="AU18" s="18"/>
      <c r="AV18" s="18"/>
      <c r="AW18" s="18"/>
      <c r="AX18" s="18"/>
      <c r="AY18" s="33"/>
      <c r="AZ18" s="18"/>
      <c r="BA18" s="18"/>
      <c r="BB18" s="18"/>
      <c r="BC18" s="18"/>
      <c r="BD18" s="18"/>
      <c r="BE18" s="17"/>
      <c r="BF18" s="33"/>
      <c r="BG18" s="18"/>
      <c r="BH18" s="18"/>
      <c r="BI18" s="18"/>
      <c r="BJ18" s="18"/>
      <c r="BK18" s="18"/>
      <c r="BL18" s="17"/>
      <c r="BM18" s="18"/>
      <c r="BN18" s="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33"/>
      <c r="CD18" s="18"/>
      <c r="CE18" s="18"/>
      <c r="CF18" s="18"/>
      <c r="CG18" s="17"/>
      <c r="CH18" s="13"/>
      <c r="CJ18" s="26"/>
      <c r="CN18" s="26"/>
      <c r="CY18" s="27"/>
    </row>
    <row r="19" spans="1:103" s="11" customFormat="1">
      <c r="A19" s="32"/>
      <c r="B19" s="33"/>
      <c r="C19" s="18"/>
      <c r="D19" s="18"/>
      <c r="E19" s="18"/>
      <c r="F19" s="18"/>
      <c r="G19" s="18"/>
      <c r="H19" s="17"/>
      <c r="I19" s="18"/>
      <c r="J19" s="18"/>
      <c r="K19" s="18"/>
      <c r="L19" s="18"/>
      <c r="M19" s="18"/>
      <c r="N19" s="18"/>
      <c r="O19" s="17"/>
      <c r="P19" s="18"/>
      <c r="Q19" s="18"/>
      <c r="R19" s="18"/>
      <c r="S19" s="18"/>
      <c r="T19" s="18"/>
      <c r="U19" s="18"/>
      <c r="V19" s="18"/>
      <c r="W19" s="33"/>
      <c r="X19" s="18"/>
      <c r="Y19" s="18"/>
      <c r="Z19" s="18"/>
      <c r="AA19" s="18"/>
      <c r="AB19" s="18"/>
      <c r="AC19" s="17"/>
      <c r="AD19" s="18"/>
      <c r="AE19" s="18"/>
      <c r="AF19" s="18"/>
      <c r="AG19" s="18"/>
      <c r="AH19" s="18"/>
      <c r="AI19" s="18"/>
      <c r="AJ19" s="18"/>
      <c r="AK19" s="33"/>
      <c r="AL19" s="18"/>
      <c r="AM19" s="18"/>
      <c r="AN19" s="18"/>
      <c r="AO19" s="18"/>
      <c r="AP19" s="18"/>
      <c r="AQ19" s="17"/>
      <c r="AR19" s="18"/>
      <c r="AS19" s="18"/>
      <c r="AT19" s="18"/>
      <c r="AU19" s="18"/>
      <c r="AV19" s="18"/>
      <c r="AW19" s="18"/>
      <c r="AX19" s="18"/>
      <c r="AY19" s="33"/>
      <c r="AZ19" s="18"/>
      <c r="BA19" s="18"/>
      <c r="BB19" s="18"/>
      <c r="BC19" s="18"/>
      <c r="BD19" s="18"/>
      <c r="BE19" s="17"/>
      <c r="BF19" s="33"/>
      <c r="BG19" s="18"/>
      <c r="BH19" s="18"/>
      <c r="BI19" s="18"/>
      <c r="BJ19" s="18"/>
      <c r="BK19" s="18"/>
      <c r="BL19" s="17"/>
      <c r="BM19" s="18"/>
      <c r="BN19" s="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33"/>
      <c r="CD19" s="18"/>
      <c r="CE19" s="18"/>
      <c r="CF19" s="18"/>
      <c r="CG19" s="17"/>
      <c r="CH19" s="13"/>
      <c r="CJ19" s="26"/>
      <c r="CN19" s="26"/>
      <c r="CY19" s="27"/>
    </row>
    <row r="20" spans="1:103" s="11" customFormat="1">
      <c r="A20" s="32"/>
      <c r="B20" s="33"/>
      <c r="C20" s="18"/>
      <c r="D20" s="18"/>
      <c r="E20" s="18"/>
      <c r="F20" s="18"/>
      <c r="G20" s="18"/>
      <c r="H20" s="17"/>
      <c r="I20" s="18"/>
      <c r="J20" s="18"/>
      <c r="K20" s="18"/>
      <c r="L20" s="18"/>
      <c r="M20" s="18"/>
      <c r="N20" s="18"/>
      <c r="O20" s="17"/>
      <c r="P20" s="18"/>
      <c r="Q20" s="18"/>
      <c r="R20" s="18"/>
      <c r="S20" s="18"/>
      <c r="T20" s="18"/>
      <c r="U20" s="18"/>
      <c r="V20" s="18"/>
      <c r="W20" s="33"/>
      <c r="X20" s="18"/>
      <c r="Y20" s="18"/>
      <c r="Z20" s="18"/>
      <c r="AA20" s="18"/>
      <c r="AB20" s="18"/>
      <c r="AC20" s="17"/>
      <c r="AD20" s="18"/>
      <c r="AE20" s="18"/>
      <c r="AF20" s="18"/>
      <c r="AG20" s="18"/>
      <c r="AH20" s="18"/>
      <c r="AI20" s="18"/>
      <c r="AJ20" s="18"/>
      <c r="AK20" s="33"/>
      <c r="AL20" s="18"/>
      <c r="AM20" s="18"/>
      <c r="AN20" s="18"/>
      <c r="AO20" s="18"/>
      <c r="AP20" s="18"/>
      <c r="AQ20" s="17"/>
      <c r="AR20" s="18"/>
      <c r="AS20" s="18"/>
      <c r="AT20" s="18"/>
      <c r="AU20" s="18"/>
      <c r="AV20" s="18"/>
      <c r="AW20" s="18"/>
      <c r="AX20" s="18"/>
      <c r="AY20" s="33"/>
      <c r="AZ20" s="18"/>
      <c r="BA20" s="18"/>
      <c r="BB20" s="18"/>
      <c r="BC20" s="18"/>
      <c r="BD20" s="18"/>
      <c r="BE20" s="17"/>
      <c r="BF20" s="33"/>
      <c r="BG20" s="18"/>
      <c r="BH20" s="18"/>
      <c r="BI20" s="18"/>
      <c r="BJ20" s="18"/>
      <c r="BK20" s="18"/>
      <c r="BL20" s="17"/>
      <c r="BM20" s="18"/>
      <c r="BN20" s="19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33"/>
      <c r="CD20" s="18"/>
      <c r="CE20" s="18"/>
      <c r="CF20" s="18"/>
      <c r="CG20" s="17"/>
      <c r="CH20" s="13"/>
      <c r="CJ20" s="26"/>
      <c r="CN20" s="26"/>
      <c r="CY20" s="27"/>
    </row>
    <row r="21" spans="1:103" s="11" customFormat="1">
      <c r="A21" s="32"/>
      <c r="B21" s="33"/>
      <c r="C21" s="18"/>
      <c r="D21" s="18"/>
      <c r="E21" s="18"/>
      <c r="F21" s="18"/>
      <c r="G21" s="18"/>
      <c r="H21" s="17"/>
      <c r="I21" s="18"/>
      <c r="J21" s="18"/>
      <c r="K21" s="18"/>
      <c r="L21" s="18"/>
      <c r="M21" s="18"/>
      <c r="N21" s="18"/>
      <c r="O21" s="17"/>
      <c r="P21" s="18"/>
      <c r="Q21" s="18"/>
      <c r="R21" s="18"/>
      <c r="S21" s="18"/>
      <c r="T21" s="18"/>
      <c r="U21" s="18"/>
      <c r="V21" s="18"/>
      <c r="W21" s="33"/>
      <c r="X21" s="18"/>
      <c r="Y21" s="18"/>
      <c r="Z21" s="18"/>
      <c r="AA21" s="18"/>
      <c r="AB21" s="18"/>
      <c r="AC21" s="17"/>
      <c r="AD21" s="18"/>
      <c r="AE21" s="18"/>
      <c r="AF21" s="18"/>
      <c r="AG21" s="18"/>
      <c r="AH21" s="18"/>
      <c r="AI21" s="18"/>
      <c r="AJ21" s="18"/>
      <c r="AK21" s="33"/>
      <c r="AL21" s="18"/>
      <c r="AM21" s="18"/>
      <c r="AN21" s="18"/>
      <c r="AO21" s="18"/>
      <c r="AP21" s="18"/>
      <c r="AQ21" s="17"/>
      <c r="AR21" s="18"/>
      <c r="AS21" s="18"/>
      <c r="AT21" s="18"/>
      <c r="AU21" s="18"/>
      <c r="AV21" s="18"/>
      <c r="AW21" s="18"/>
      <c r="AX21" s="18"/>
      <c r="AY21" s="33"/>
      <c r="AZ21" s="18"/>
      <c r="BA21" s="18"/>
      <c r="BB21" s="18"/>
      <c r="BC21" s="18"/>
      <c r="BD21" s="18"/>
      <c r="BE21" s="17"/>
      <c r="BF21" s="33"/>
      <c r="BG21" s="18"/>
      <c r="BH21" s="18"/>
      <c r="BI21" s="18"/>
      <c r="BJ21" s="18"/>
      <c r="BK21" s="18"/>
      <c r="BL21" s="17"/>
      <c r="BM21" s="18"/>
      <c r="BO21" s="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33"/>
      <c r="CD21" s="18"/>
      <c r="CE21" s="18"/>
      <c r="CF21" s="18"/>
      <c r="CG21" s="17"/>
      <c r="CH21" s="13"/>
      <c r="CJ21" s="26"/>
      <c r="CN21" s="26"/>
      <c r="CY21" s="27"/>
    </row>
    <row r="22" spans="1:103" s="11" customFormat="1">
      <c r="A22" s="32"/>
      <c r="B22" s="33"/>
      <c r="C22" s="18"/>
      <c r="D22" s="18"/>
      <c r="E22" s="18"/>
      <c r="F22" s="18"/>
      <c r="G22" s="18"/>
      <c r="H22" s="17"/>
      <c r="I22" s="18"/>
      <c r="J22" s="18"/>
      <c r="K22" s="18"/>
      <c r="L22" s="18"/>
      <c r="M22" s="18"/>
      <c r="N22" s="18"/>
      <c r="O22" s="17"/>
      <c r="P22" s="18"/>
      <c r="Q22" s="18"/>
      <c r="R22" s="18"/>
      <c r="S22" s="18"/>
      <c r="T22" s="18"/>
      <c r="U22" s="18"/>
      <c r="V22" s="18"/>
      <c r="W22" s="33"/>
      <c r="X22" s="18"/>
      <c r="Y22" s="18"/>
      <c r="Z22" s="18"/>
      <c r="AA22" s="18"/>
      <c r="AB22" s="18"/>
      <c r="AC22" s="17"/>
      <c r="AD22" s="18"/>
      <c r="AE22" s="18"/>
      <c r="AF22" s="18"/>
      <c r="AG22" s="18"/>
      <c r="AH22" s="18"/>
      <c r="AI22" s="18"/>
      <c r="AJ22" s="18"/>
      <c r="AK22" s="33"/>
      <c r="AL22" s="18"/>
      <c r="AM22" s="18"/>
      <c r="AN22" s="18"/>
      <c r="AO22" s="18"/>
      <c r="AP22" s="18"/>
      <c r="AQ22" s="17"/>
      <c r="AR22" s="18"/>
      <c r="AS22" s="18"/>
      <c r="AT22" s="18"/>
      <c r="AU22" s="18"/>
      <c r="AV22" s="18"/>
      <c r="AW22" s="18"/>
      <c r="AX22" s="18"/>
      <c r="AY22" s="33"/>
      <c r="AZ22" s="18"/>
      <c r="BA22" s="18"/>
      <c r="BB22" s="18"/>
      <c r="BC22" s="18"/>
      <c r="BD22" s="18"/>
      <c r="BE22" s="17"/>
      <c r="BF22" s="33"/>
      <c r="BG22" s="18"/>
      <c r="BH22" s="18"/>
      <c r="BI22" s="18"/>
      <c r="BJ22" s="18"/>
      <c r="BK22" s="18"/>
      <c r="BL22" s="17"/>
      <c r="BM22" s="18"/>
      <c r="BN22" s="8"/>
      <c r="BO22" s="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33"/>
      <c r="CD22" s="18"/>
      <c r="CE22" s="18"/>
      <c r="CF22" s="18"/>
      <c r="CG22" s="17"/>
      <c r="CH22" s="13"/>
      <c r="CJ22" s="26"/>
      <c r="CN22" s="26"/>
      <c r="CY22" s="27"/>
    </row>
    <row r="23" spans="1:103" s="11" customFormat="1">
      <c r="A23" s="32"/>
      <c r="B23" s="33"/>
      <c r="C23" s="18"/>
      <c r="D23" s="18"/>
      <c r="E23" s="18"/>
      <c r="F23" s="18"/>
      <c r="G23" s="18"/>
      <c r="H23" s="17"/>
      <c r="I23" s="18"/>
      <c r="J23" s="18"/>
      <c r="K23" s="18"/>
      <c r="L23" s="18"/>
      <c r="M23" s="18"/>
      <c r="N23" s="18"/>
      <c r="O23" s="17"/>
      <c r="P23" s="18"/>
      <c r="Q23" s="18"/>
      <c r="R23" s="18"/>
      <c r="S23" s="18"/>
      <c r="T23" s="18"/>
      <c r="U23" s="18"/>
      <c r="V23" s="18"/>
      <c r="W23" s="33"/>
      <c r="X23" s="18"/>
      <c r="Y23" s="18"/>
      <c r="Z23" s="18"/>
      <c r="AA23" s="18"/>
      <c r="AB23" s="18"/>
      <c r="AC23" s="17"/>
      <c r="AD23" s="18"/>
      <c r="AE23" s="18"/>
      <c r="AF23" s="18"/>
      <c r="AG23" s="18"/>
      <c r="AH23" s="18"/>
      <c r="AI23" s="18"/>
      <c r="AJ23" s="18"/>
      <c r="AK23" s="33"/>
      <c r="AL23" s="18"/>
      <c r="AM23" s="18"/>
      <c r="AN23" s="18"/>
      <c r="AO23" s="18"/>
      <c r="AP23" s="18"/>
      <c r="AQ23" s="17"/>
      <c r="AR23" s="18"/>
      <c r="AS23" s="18"/>
      <c r="AT23" s="18"/>
      <c r="AU23" s="18"/>
      <c r="AV23" s="18"/>
      <c r="AW23" s="18"/>
      <c r="AX23" s="18"/>
      <c r="AY23" s="33"/>
      <c r="AZ23" s="18"/>
      <c r="BA23" s="18"/>
      <c r="BB23" s="18"/>
      <c r="BC23" s="18"/>
      <c r="BD23" s="18"/>
      <c r="BE23" s="17"/>
      <c r="BF23" s="33"/>
      <c r="BG23" s="18"/>
      <c r="BH23" s="18"/>
      <c r="BI23" s="18"/>
      <c r="BJ23" s="18"/>
      <c r="BK23" s="18"/>
      <c r="BL23" s="17"/>
      <c r="BM23" s="18"/>
      <c r="BN23" s="16" t="s">
        <v>106</v>
      </c>
      <c r="BO23" s="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33"/>
      <c r="CD23" s="18"/>
      <c r="CE23" s="18"/>
      <c r="CF23" s="18"/>
      <c r="CG23" s="17"/>
      <c r="CH23" s="13"/>
      <c r="CJ23" s="26"/>
      <c r="CN23" s="26"/>
      <c r="CY23" s="27"/>
    </row>
    <row r="24" spans="1:103" s="11" customFormat="1">
      <c r="A24" s="32"/>
      <c r="B24" s="33"/>
      <c r="C24" s="18"/>
      <c r="D24" s="18"/>
      <c r="E24" s="18"/>
      <c r="F24" s="18"/>
      <c r="G24" s="18"/>
      <c r="H24" s="17"/>
      <c r="I24" s="18"/>
      <c r="J24" s="18"/>
      <c r="K24" s="18"/>
      <c r="L24" s="18"/>
      <c r="M24" s="18"/>
      <c r="N24" s="18"/>
      <c r="O24" s="17"/>
      <c r="P24" s="18"/>
      <c r="Q24" s="18"/>
      <c r="R24" s="18"/>
      <c r="S24" s="18"/>
      <c r="T24" s="18"/>
      <c r="U24" s="18"/>
      <c r="V24" s="18"/>
      <c r="W24" s="33"/>
      <c r="X24" s="18"/>
      <c r="Y24" s="18"/>
      <c r="Z24" s="18"/>
      <c r="AA24" s="18"/>
      <c r="AB24" s="18"/>
      <c r="AC24" s="17"/>
      <c r="AD24" s="18"/>
      <c r="AE24" s="18"/>
      <c r="AF24" s="18"/>
      <c r="AG24" s="18"/>
      <c r="AH24" s="18"/>
      <c r="AI24" s="18"/>
      <c r="AJ24" s="18"/>
      <c r="AK24" s="33"/>
      <c r="AL24" s="18"/>
      <c r="AM24" s="18"/>
      <c r="AN24" s="18"/>
      <c r="AO24" s="18"/>
      <c r="AP24" s="18"/>
      <c r="AQ24" s="17"/>
      <c r="AR24" s="18"/>
      <c r="AS24" s="18"/>
      <c r="AT24" s="18"/>
      <c r="AU24" s="18"/>
      <c r="AV24" s="18"/>
      <c r="AW24" s="18"/>
      <c r="AX24" s="18"/>
      <c r="AY24" s="33"/>
      <c r="AZ24" s="18"/>
      <c r="BA24" s="18"/>
      <c r="BB24" s="18"/>
      <c r="BC24" s="18"/>
      <c r="BD24" s="18"/>
      <c r="BE24" s="17"/>
      <c r="BF24" s="33"/>
      <c r="BG24" s="18"/>
      <c r="BH24" s="18"/>
      <c r="BI24" s="18"/>
      <c r="BJ24" s="18"/>
      <c r="BK24" s="18"/>
      <c r="BL24" s="17"/>
      <c r="BM24" s="18"/>
      <c r="BN24" s="8"/>
      <c r="BO24" s="8" t="s">
        <v>107</v>
      </c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33"/>
      <c r="CD24" s="18"/>
      <c r="CE24" s="18"/>
      <c r="CF24" s="18"/>
      <c r="CG24" s="17"/>
      <c r="CH24" s="13"/>
      <c r="CJ24" s="26"/>
      <c r="CN24" s="26"/>
      <c r="CY24" s="27"/>
    </row>
    <row r="25" spans="1:103" s="11" customFormat="1">
      <c r="A25" s="32"/>
      <c r="B25" s="33"/>
      <c r="C25" s="18"/>
      <c r="D25" s="18"/>
      <c r="E25" s="18"/>
      <c r="F25" s="18"/>
      <c r="G25" s="18"/>
      <c r="H25" s="17"/>
      <c r="I25" s="18"/>
      <c r="J25" s="18"/>
      <c r="K25" s="18"/>
      <c r="L25" s="18"/>
      <c r="M25" s="18"/>
      <c r="N25" s="18"/>
      <c r="O25" s="17"/>
      <c r="P25" s="18"/>
      <c r="Q25" s="18"/>
      <c r="R25" s="18"/>
      <c r="S25" s="18"/>
      <c r="T25" s="18"/>
      <c r="U25" s="18"/>
      <c r="V25" s="18"/>
      <c r="W25" s="33"/>
      <c r="X25" s="18"/>
      <c r="Y25" s="18"/>
      <c r="Z25" s="18"/>
      <c r="AA25" s="18"/>
      <c r="AB25" s="18"/>
      <c r="AC25" s="17"/>
      <c r="AD25" s="18"/>
      <c r="AE25" s="18"/>
      <c r="AF25" s="18"/>
      <c r="AG25" s="18"/>
      <c r="AH25" s="18"/>
      <c r="AI25" s="18"/>
      <c r="AJ25" s="18"/>
      <c r="AK25" s="33"/>
      <c r="AL25" s="18"/>
      <c r="AM25" s="18"/>
      <c r="AN25" s="18"/>
      <c r="AO25" s="18"/>
      <c r="AP25" s="18"/>
      <c r="AQ25" s="17"/>
      <c r="AR25" s="18"/>
      <c r="AS25" s="18"/>
      <c r="AT25" s="18"/>
      <c r="AU25" s="18"/>
      <c r="AV25" s="18"/>
      <c r="AW25" s="18"/>
      <c r="AX25" s="18"/>
      <c r="AY25" s="33"/>
      <c r="AZ25" s="18"/>
      <c r="BA25" s="18"/>
      <c r="BB25" s="18"/>
      <c r="BC25" s="18"/>
      <c r="BD25" s="18"/>
      <c r="BE25" s="17"/>
      <c r="BF25" s="33"/>
      <c r="BG25" s="18"/>
      <c r="BH25" s="18"/>
      <c r="BI25" s="18"/>
      <c r="BJ25" s="18"/>
      <c r="BK25" s="18"/>
      <c r="BL25" s="17"/>
      <c r="BM25" s="18"/>
      <c r="BN25" s="8"/>
      <c r="BO25" s="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33"/>
      <c r="CD25" s="18"/>
      <c r="CE25" s="18"/>
      <c r="CF25" s="18"/>
      <c r="CG25" s="17"/>
      <c r="CH25" s="13"/>
      <c r="CJ25" s="26"/>
      <c r="CN25" s="26"/>
      <c r="CY25" s="27"/>
    </row>
    <row r="26" spans="1:103" s="11" customFormat="1">
      <c r="A26" s="32"/>
      <c r="B26" s="33"/>
      <c r="C26" s="18"/>
      <c r="D26" s="18"/>
      <c r="E26" s="18"/>
      <c r="F26" s="18"/>
      <c r="G26" s="18"/>
      <c r="H26" s="17"/>
      <c r="I26" s="18"/>
      <c r="J26" s="18"/>
      <c r="K26" s="18"/>
      <c r="L26" s="18"/>
      <c r="M26" s="18"/>
      <c r="N26" s="18"/>
      <c r="O26" s="17"/>
      <c r="P26" s="18"/>
      <c r="Q26" s="18"/>
      <c r="R26" s="18"/>
      <c r="S26" s="18"/>
      <c r="T26" s="18"/>
      <c r="U26" s="18"/>
      <c r="V26" s="18"/>
      <c r="W26" s="33"/>
      <c r="X26" s="18"/>
      <c r="Y26" s="18"/>
      <c r="Z26" s="18"/>
      <c r="AA26" s="18"/>
      <c r="AB26" s="18"/>
      <c r="AC26" s="17"/>
      <c r="AD26" s="18"/>
      <c r="AE26" s="18"/>
      <c r="AF26" s="18"/>
      <c r="AG26" s="18"/>
      <c r="AH26" s="18"/>
      <c r="AI26" s="18"/>
      <c r="AJ26" s="18"/>
      <c r="AK26" s="33"/>
      <c r="AL26" s="18"/>
      <c r="AM26" s="18"/>
      <c r="AN26" s="18"/>
      <c r="AO26" s="18"/>
      <c r="AP26" s="18"/>
      <c r="AQ26" s="17"/>
      <c r="AR26" s="18"/>
      <c r="AS26" s="18"/>
      <c r="AT26" s="18"/>
      <c r="AU26" s="18"/>
      <c r="AV26" s="18"/>
      <c r="AW26" s="18"/>
      <c r="AX26" s="18"/>
      <c r="AY26" s="33"/>
      <c r="AZ26" s="18"/>
      <c r="BA26" s="18"/>
      <c r="BB26" s="18"/>
      <c r="BC26" s="18"/>
      <c r="BD26" s="18"/>
      <c r="BE26" s="17"/>
      <c r="BF26" s="33"/>
      <c r="BG26" s="18"/>
      <c r="BH26" s="18"/>
      <c r="BI26" s="18"/>
      <c r="BJ26" s="18"/>
      <c r="BK26" s="18"/>
      <c r="BL26" s="17"/>
      <c r="BM26" s="18"/>
      <c r="BN26" s="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33"/>
      <c r="CD26" s="18"/>
      <c r="CE26" s="18"/>
      <c r="CF26" s="18"/>
      <c r="CG26" s="17"/>
      <c r="CH26" s="13"/>
      <c r="CJ26" s="26"/>
      <c r="CN26" s="26"/>
      <c r="CY26" s="27"/>
    </row>
    <row r="27" spans="1:103" s="11" customFormat="1">
      <c r="A27" s="32"/>
      <c r="B27" s="33"/>
      <c r="C27" s="18"/>
      <c r="D27" s="18"/>
      <c r="E27" s="18"/>
      <c r="F27" s="18"/>
      <c r="G27" s="18"/>
      <c r="H27" s="17"/>
      <c r="I27" s="18"/>
      <c r="J27" s="18"/>
      <c r="K27" s="18"/>
      <c r="L27" s="18"/>
      <c r="M27" s="18"/>
      <c r="N27" s="18"/>
      <c r="O27" s="17"/>
      <c r="P27" s="18"/>
      <c r="Q27" s="18"/>
      <c r="R27" s="18"/>
      <c r="S27" s="18"/>
      <c r="T27" s="18"/>
      <c r="U27" s="18"/>
      <c r="V27" s="18"/>
      <c r="W27" s="33"/>
      <c r="X27" s="18"/>
      <c r="Y27" s="18"/>
      <c r="Z27" s="18"/>
      <c r="AA27" s="18"/>
      <c r="AB27" s="18"/>
      <c r="AC27" s="17"/>
      <c r="AD27" s="18"/>
      <c r="AE27" s="18"/>
      <c r="AF27" s="18"/>
      <c r="AG27" s="18"/>
      <c r="AH27" s="18"/>
      <c r="AI27" s="18"/>
      <c r="AJ27" s="18"/>
      <c r="AK27" s="33"/>
      <c r="AL27" s="18"/>
      <c r="AM27" s="18"/>
      <c r="AN27" s="18"/>
      <c r="AO27" s="18"/>
      <c r="AP27" s="18"/>
      <c r="AQ27" s="17"/>
      <c r="AR27" s="18"/>
      <c r="AS27" s="18"/>
      <c r="AT27" s="18"/>
      <c r="AU27" s="18"/>
      <c r="AV27" s="18"/>
      <c r="AW27" s="18"/>
      <c r="AX27" s="18"/>
      <c r="AY27" s="33"/>
      <c r="AZ27" s="18"/>
      <c r="BA27" s="18"/>
      <c r="BB27" s="18"/>
      <c r="BC27" s="18"/>
      <c r="BD27" s="18"/>
      <c r="BE27" s="17"/>
      <c r="BF27" s="33"/>
      <c r="BG27" s="18"/>
      <c r="BH27" s="18"/>
      <c r="BI27" s="18"/>
      <c r="BJ27" s="18"/>
      <c r="BK27" s="18"/>
      <c r="BL27" s="17"/>
      <c r="BM27" s="18"/>
      <c r="BN27" s="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33"/>
      <c r="CD27" s="18"/>
      <c r="CE27" s="18"/>
      <c r="CF27" s="18"/>
      <c r="CG27" s="17"/>
      <c r="CH27" s="13"/>
      <c r="CJ27" s="26"/>
      <c r="CN27" s="26"/>
      <c r="CY27" s="27"/>
    </row>
    <row r="28" spans="1:103" s="11" customFormat="1">
      <c r="A28" s="32"/>
      <c r="B28" s="33"/>
      <c r="C28" s="18"/>
      <c r="D28" s="18"/>
      <c r="E28" s="18"/>
      <c r="F28" s="18"/>
      <c r="G28" s="18"/>
      <c r="H28" s="17"/>
      <c r="I28" s="18"/>
      <c r="J28" s="18"/>
      <c r="K28" s="18"/>
      <c r="L28" s="18"/>
      <c r="M28" s="18"/>
      <c r="N28" s="18"/>
      <c r="O28" s="17"/>
      <c r="P28" s="18"/>
      <c r="Q28" s="18"/>
      <c r="R28" s="18"/>
      <c r="S28" s="18"/>
      <c r="T28" s="18"/>
      <c r="U28" s="18"/>
      <c r="V28" s="18"/>
      <c r="W28" s="33"/>
      <c r="X28" s="18"/>
      <c r="Y28" s="18"/>
      <c r="Z28" s="18"/>
      <c r="AA28" s="18"/>
      <c r="AB28" s="18"/>
      <c r="AC28" s="17"/>
      <c r="AD28" s="18"/>
      <c r="AE28" s="18"/>
      <c r="AF28" s="18"/>
      <c r="AG28" s="18"/>
      <c r="AH28" s="18"/>
      <c r="AI28" s="18"/>
      <c r="AJ28" s="18"/>
      <c r="AK28" s="33"/>
      <c r="AL28" s="18"/>
      <c r="AM28" s="18"/>
      <c r="AN28" s="18"/>
      <c r="AO28" s="18"/>
      <c r="AP28" s="18"/>
      <c r="AQ28" s="17"/>
      <c r="AR28" s="18"/>
      <c r="AS28" s="18"/>
      <c r="AT28" s="18"/>
      <c r="AU28" s="18"/>
      <c r="AV28" s="18"/>
      <c r="AW28" s="18"/>
      <c r="AX28" s="18"/>
      <c r="AY28" s="33"/>
      <c r="AZ28" s="18"/>
      <c r="BA28" s="18"/>
      <c r="BB28" s="18"/>
      <c r="BC28" s="18"/>
      <c r="BD28" s="18"/>
      <c r="BE28" s="17"/>
      <c r="BF28" s="33"/>
      <c r="BG28" s="18"/>
      <c r="BH28" s="18"/>
      <c r="BI28" s="18"/>
      <c r="BJ28" s="18"/>
      <c r="BK28" s="18"/>
      <c r="BL28" s="17"/>
      <c r="BM28" s="18"/>
      <c r="BN28" s="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33"/>
      <c r="CD28" s="18"/>
      <c r="CE28" s="18"/>
      <c r="CF28" s="18"/>
      <c r="CG28" s="17"/>
      <c r="CH28" s="13"/>
      <c r="CJ28" s="26"/>
      <c r="CN28" s="26"/>
      <c r="CY28" s="27"/>
    </row>
    <row r="29" spans="1:103" s="11" customFormat="1">
      <c r="A29" s="32"/>
      <c r="B29" s="33"/>
      <c r="C29" s="18"/>
      <c r="D29" s="18"/>
      <c r="E29" s="18"/>
      <c r="F29" s="18"/>
      <c r="G29" s="18"/>
      <c r="H29" s="17"/>
      <c r="I29" s="18"/>
      <c r="J29" s="18"/>
      <c r="K29" s="18"/>
      <c r="L29" s="18"/>
      <c r="M29" s="18"/>
      <c r="N29" s="18"/>
      <c r="O29" s="17"/>
      <c r="P29" s="18"/>
      <c r="Q29" s="18"/>
      <c r="R29" s="18"/>
      <c r="S29" s="18"/>
      <c r="T29" s="18"/>
      <c r="U29" s="18"/>
      <c r="V29" s="18"/>
      <c r="W29" s="33"/>
      <c r="X29" s="18"/>
      <c r="Y29" s="18"/>
      <c r="Z29" s="18"/>
      <c r="AA29" s="18"/>
      <c r="AB29" s="18"/>
      <c r="AC29" s="17"/>
      <c r="AD29" s="18"/>
      <c r="AE29" s="18"/>
      <c r="AF29" s="18"/>
      <c r="AG29" s="18"/>
      <c r="AH29" s="18"/>
      <c r="AI29" s="18"/>
      <c r="AJ29" s="18"/>
      <c r="AK29" s="33"/>
      <c r="AL29" s="18"/>
      <c r="AM29" s="18"/>
      <c r="AN29" s="18"/>
      <c r="AO29" s="18"/>
      <c r="AP29" s="18"/>
      <c r="AQ29" s="17"/>
      <c r="AR29" s="18"/>
      <c r="AS29" s="18"/>
      <c r="AT29" s="18"/>
      <c r="AU29" s="18"/>
      <c r="AV29" s="18"/>
      <c r="AW29" s="18"/>
      <c r="AX29" s="18"/>
      <c r="AY29" s="33"/>
      <c r="AZ29" s="18"/>
      <c r="BA29" s="18"/>
      <c r="BB29" s="18"/>
      <c r="BC29" s="18"/>
      <c r="BD29" s="18"/>
      <c r="BE29" s="17"/>
      <c r="BF29" s="33"/>
      <c r="BG29" s="18"/>
      <c r="BH29" s="18"/>
      <c r="BI29" s="18"/>
      <c r="BJ29" s="18"/>
      <c r="BK29" s="18"/>
      <c r="BL29" s="17"/>
      <c r="BM29" s="18"/>
      <c r="BN29" s="19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33"/>
      <c r="CD29" s="18"/>
      <c r="CE29" s="18"/>
      <c r="CF29" s="18"/>
      <c r="CG29" s="17"/>
      <c r="CH29" s="13"/>
      <c r="CJ29" s="26"/>
      <c r="CN29" s="26"/>
      <c r="CY29" s="27"/>
    </row>
    <row r="30" spans="1:103" s="11" customFormat="1">
      <c r="A30" s="32"/>
      <c r="B30" s="33"/>
      <c r="C30" s="18"/>
      <c r="D30" s="18"/>
      <c r="E30" s="18"/>
      <c r="F30" s="18"/>
      <c r="G30" s="18"/>
      <c r="H30" s="17"/>
      <c r="I30" s="18"/>
      <c r="J30" s="18"/>
      <c r="K30" s="18"/>
      <c r="L30" s="18"/>
      <c r="M30" s="18"/>
      <c r="N30" s="18"/>
      <c r="O30" s="17"/>
      <c r="P30" s="18"/>
      <c r="Q30" s="18"/>
      <c r="R30" s="18"/>
      <c r="S30" s="18"/>
      <c r="T30" s="18"/>
      <c r="U30" s="18"/>
      <c r="V30" s="18"/>
      <c r="W30" s="33"/>
      <c r="X30" s="18"/>
      <c r="Y30" s="18"/>
      <c r="Z30" s="18"/>
      <c r="AA30" s="18"/>
      <c r="AB30" s="18"/>
      <c r="AC30" s="17"/>
      <c r="AD30" s="18"/>
      <c r="AE30" s="18"/>
      <c r="AF30" s="18"/>
      <c r="AG30" s="18"/>
      <c r="AH30" s="18"/>
      <c r="AI30" s="18"/>
      <c r="AJ30" s="18"/>
      <c r="AK30" s="33"/>
      <c r="AL30" s="18"/>
      <c r="AM30" s="18"/>
      <c r="AN30" s="18"/>
      <c r="AO30" s="18"/>
      <c r="AP30" s="18"/>
      <c r="AQ30" s="17"/>
      <c r="AR30" s="18"/>
      <c r="AS30" s="18"/>
      <c r="AT30" s="18"/>
      <c r="AU30" s="18"/>
      <c r="AV30" s="18"/>
      <c r="AW30" s="18"/>
      <c r="AX30" s="18"/>
      <c r="AY30" s="33"/>
      <c r="AZ30" s="18"/>
      <c r="BA30" s="18"/>
      <c r="BB30" s="18"/>
      <c r="BC30" s="18"/>
      <c r="BD30" s="18"/>
      <c r="BE30" s="17"/>
      <c r="BF30" s="33"/>
      <c r="BG30" s="18"/>
      <c r="BH30" s="18"/>
      <c r="BI30" s="18"/>
      <c r="BJ30" s="18"/>
      <c r="BK30" s="18"/>
      <c r="BL30" s="17"/>
      <c r="BM30" s="18"/>
      <c r="BN30" s="16" t="s">
        <v>108</v>
      </c>
      <c r="BO30" s="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33"/>
      <c r="CD30" s="18"/>
      <c r="CE30" s="18"/>
      <c r="CF30" s="18"/>
      <c r="CG30" s="17"/>
      <c r="CH30" s="13"/>
      <c r="CJ30" s="26"/>
      <c r="CN30" s="26"/>
      <c r="CY30" s="27"/>
    </row>
    <row r="31" spans="1:103" s="11" customFormat="1">
      <c r="A31" s="32"/>
      <c r="B31" s="33"/>
      <c r="C31" s="18"/>
      <c r="D31" s="18"/>
      <c r="E31" s="18"/>
      <c r="F31" s="18"/>
      <c r="G31" s="18"/>
      <c r="H31" s="17"/>
      <c r="I31" s="18"/>
      <c r="J31" s="18"/>
      <c r="K31" s="18"/>
      <c r="L31" s="18"/>
      <c r="M31" s="18"/>
      <c r="N31" s="18"/>
      <c r="O31" s="17"/>
      <c r="P31" s="18"/>
      <c r="Q31" s="18"/>
      <c r="R31" s="18"/>
      <c r="S31" s="18"/>
      <c r="T31" s="18"/>
      <c r="U31" s="18"/>
      <c r="V31" s="18"/>
      <c r="W31" s="33"/>
      <c r="X31" s="18"/>
      <c r="Y31" s="18"/>
      <c r="Z31" s="18"/>
      <c r="AA31" s="18"/>
      <c r="AB31" s="18"/>
      <c r="AC31" s="17"/>
      <c r="AD31" s="18"/>
      <c r="AE31" s="18"/>
      <c r="AF31" s="18"/>
      <c r="AG31" s="18"/>
      <c r="AH31" s="18"/>
      <c r="AI31" s="18"/>
      <c r="AJ31" s="18"/>
      <c r="AK31" s="33"/>
      <c r="AL31" s="18"/>
      <c r="AM31" s="18"/>
      <c r="AN31" s="18"/>
      <c r="AO31" s="18"/>
      <c r="AP31" s="18"/>
      <c r="AQ31" s="17"/>
      <c r="AR31" s="18"/>
      <c r="AS31" s="18"/>
      <c r="AT31" s="18"/>
      <c r="AU31" s="18"/>
      <c r="AV31" s="18"/>
      <c r="AW31" s="18"/>
      <c r="AX31" s="18"/>
      <c r="AY31" s="33"/>
      <c r="AZ31" s="18"/>
      <c r="BA31" s="18"/>
      <c r="BB31" s="18"/>
      <c r="BC31" s="18"/>
      <c r="BD31" s="18"/>
      <c r="BE31" s="17"/>
      <c r="BF31" s="33"/>
      <c r="BG31" s="18"/>
      <c r="BH31" s="18"/>
      <c r="BI31" s="18"/>
      <c r="BJ31" s="18"/>
      <c r="BK31" s="18"/>
      <c r="BL31" s="17"/>
      <c r="BM31" s="18"/>
      <c r="BN31" s="8"/>
      <c r="BO31" s="8" t="s">
        <v>109</v>
      </c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33"/>
      <c r="CD31" s="18"/>
      <c r="CE31" s="18"/>
      <c r="CF31" s="18"/>
      <c r="CG31" s="17"/>
      <c r="CH31" s="13"/>
      <c r="CJ31" s="26"/>
      <c r="CN31" s="26"/>
      <c r="CY31" s="27"/>
    </row>
    <row r="32" spans="1:103" s="11" customFormat="1">
      <c r="A32" s="32"/>
      <c r="B32" s="33"/>
      <c r="C32" s="18"/>
      <c r="D32" s="18"/>
      <c r="E32" s="18"/>
      <c r="F32" s="18"/>
      <c r="G32" s="18"/>
      <c r="H32" s="17"/>
      <c r="I32" s="18"/>
      <c r="J32" s="18"/>
      <c r="K32" s="18"/>
      <c r="L32" s="18"/>
      <c r="M32" s="18"/>
      <c r="N32" s="18"/>
      <c r="O32" s="17"/>
      <c r="P32" s="18"/>
      <c r="Q32" s="18"/>
      <c r="R32" s="18"/>
      <c r="S32" s="18"/>
      <c r="T32" s="18"/>
      <c r="U32" s="18"/>
      <c r="V32" s="18"/>
      <c r="W32" s="33"/>
      <c r="X32" s="18"/>
      <c r="Y32" s="18"/>
      <c r="Z32" s="18"/>
      <c r="AA32" s="18"/>
      <c r="AB32" s="18"/>
      <c r="AC32" s="17"/>
      <c r="AD32" s="18"/>
      <c r="AE32" s="18"/>
      <c r="AF32" s="18"/>
      <c r="AG32" s="18"/>
      <c r="AH32" s="18"/>
      <c r="AI32" s="18"/>
      <c r="AJ32" s="18"/>
      <c r="AK32" s="33"/>
      <c r="AL32" s="18"/>
      <c r="AM32" s="18"/>
      <c r="AN32" s="18"/>
      <c r="AO32" s="18"/>
      <c r="AP32" s="18"/>
      <c r="AQ32" s="17"/>
      <c r="AR32" s="18"/>
      <c r="AS32" s="18"/>
      <c r="AT32" s="18"/>
      <c r="AU32" s="18"/>
      <c r="AV32" s="18"/>
      <c r="AW32" s="18"/>
      <c r="AX32" s="18"/>
      <c r="AY32" s="33"/>
      <c r="AZ32" s="18"/>
      <c r="BA32" s="18"/>
      <c r="BB32" s="18"/>
      <c r="BC32" s="18"/>
      <c r="BD32" s="18"/>
      <c r="BE32" s="17"/>
      <c r="BF32" s="33"/>
      <c r="BG32" s="18"/>
      <c r="BH32" s="18"/>
      <c r="BI32" s="18"/>
      <c r="BJ32" s="18"/>
      <c r="BK32" s="18"/>
      <c r="BL32" s="17"/>
      <c r="BM32" s="18"/>
      <c r="BN32" s="8"/>
      <c r="BO32" s="8" t="s">
        <v>110</v>
      </c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33"/>
      <c r="CD32" s="18"/>
      <c r="CE32" s="18"/>
      <c r="CF32" s="18"/>
      <c r="CG32" s="17"/>
      <c r="CH32" s="13"/>
      <c r="CJ32" s="26"/>
      <c r="CN32" s="26"/>
      <c r="CY32" s="27"/>
    </row>
    <row r="33" spans="1:103" s="11" customFormat="1">
      <c r="A33" s="32"/>
      <c r="B33" s="33"/>
      <c r="C33" s="18"/>
      <c r="D33" s="18"/>
      <c r="E33" s="18"/>
      <c r="F33" s="18"/>
      <c r="G33" s="18"/>
      <c r="H33" s="17"/>
      <c r="I33" s="18"/>
      <c r="J33" s="18"/>
      <c r="K33" s="18"/>
      <c r="L33" s="18"/>
      <c r="M33" s="18"/>
      <c r="N33" s="18"/>
      <c r="O33" s="17"/>
      <c r="P33" s="18"/>
      <c r="Q33" s="18"/>
      <c r="R33" s="18"/>
      <c r="S33" s="18"/>
      <c r="T33" s="18"/>
      <c r="U33" s="18"/>
      <c r="V33" s="18"/>
      <c r="W33" s="33"/>
      <c r="X33" s="18"/>
      <c r="Y33" s="18"/>
      <c r="Z33" s="18"/>
      <c r="AA33" s="18"/>
      <c r="AB33" s="18"/>
      <c r="AC33" s="17"/>
      <c r="AD33" s="18"/>
      <c r="AE33" s="18"/>
      <c r="AF33" s="18"/>
      <c r="AG33" s="18"/>
      <c r="AH33" s="18"/>
      <c r="AI33" s="18"/>
      <c r="AJ33" s="18"/>
      <c r="AK33" s="33"/>
      <c r="AL33" s="18"/>
      <c r="AM33" s="18"/>
      <c r="AN33" s="18"/>
      <c r="AO33" s="18"/>
      <c r="AP33" s="18"/>
      <c r="AQ33" s="17"/>
      <c r="AR33" s="18"/>
      <c r="AS33" s="18"/>
      <c r="AT33" s="18"/>
      <c r="AU33" s="18"/>
      <c r="AV33" s="18"/>
      <c r="AW33" s="18"/>
      <c r="AX33" s="18"/>
      <c r="AY33" s="33"/>
      <c r="AZ33" s="18"/>
      <c r="BA33" s="18"/>
      <c r="BB33" s="18"/>
      <c r="BC33" s="18"/>
      <c r="BD33" s="18"/>
      <c r="BE33" s="17"/>
      <c r="BF33" s="33"/>
      <c r="BG33" s="18"/>
      <c r="BH33" s="18"/>
      <c r="BI33" s="18"/>
      <c r="BJ33" s="18"/>
      <c r="BK33" s="18"/>
      <c r="BL33" s="17"/>
      <c r="BM33" s="18"/>
      <c r="BN33" s="8"/>
      <c r="BO33" s="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33"/>
      <c r="CD33" s="18"/>
      <c r="CE33" s="18"/>
      <c r="CF33" s="18"/>
      <c r="CG33" s="17"/>
      <c r="CH33" s="13"/>
      <c r="CJ33" s="26"/>
      <c r="CN33" s="26"/>
      <c r="CY33" s="27"/>
    </row>
    <row r="34" spans="1:103" s="11" customFormat="1">
      <c r="A34" s="32"/>
      <c r="B34" s="33"/>
      <c r="C34" s="18"/>
      <c r="D34" s="18"/>
      <c r="E34" s="18"/>
      <c r="F34" s="18"/>
      <c r="G34" s="18"/>
      <c r="H34" s="17"/>
      <c r="I34" s="18"/>
      <c r="J34" s="18"/>
      <c r="K34" s="18"/>
      <c r="L34" s="18"/>
      <c r="M34" s="18"/>
      <c r="N34" s="18"/>
      <c r="O34" s="17"/>
      <c r="P34" s="18"/>
      <c r="Q34" s="18"/>
      <c r="R34" s="18"/>
      <c r="S34" s="18"/>
      <c r="T34" s="18"/>
      <c r="U34" s="18"/>
      <c r="V34" s="18"/>
      <c r="W34" s="33"/>
      <c r="X34" s="18"/>
      <c r="Y34" s="18"/>
      <c r="Z34" s="18"/>
      <c r="AA34" s="18"/>
      <c r="AB34" s="18"/>
      <c r="AC34" s="17"/>
      <c r="AD34" s="18"/>
      <c r="AE34" s="18"/>
      <c r="AF34" s="18"/>
      <c r="AG34" s="18"/>
      <c r="AH34" s="18"/>
      <c r="AI34" s="18"/>
      <c r="AJ34" s="18"/>
      <c r="AK34" s="33"/>
      <c r="AL34" s="18"/>
      <c r="AM34" s="18"/>
      <c r="AN34" s="18"/>
      <c r="AO34" s="18"/>
      <c r="AP34" s="18"/>
      <c r="AQ34" s="17"/>
      <c r="AR34" s="18"/>
      <c r="AS34" s="18"/>
      <c r="AT34" s="18"/>
      <c r="AU34" s="18"/>
      <c r="AV34" s="18"/>
      <c r="AW34" s="18"/>
      <c r="AX34" s="18"/>
      <c r="AY34" s="33"/>
      <c r="AZ34" s="18"/>
      <c r="BA34" s="18"/>
      <c r="BB34" s="18"/>
      <c r="BC34" s="18"/>
      <c r="BD34" s="18"/>
      <c r="BE34" s="17"/>
      <c r="BF34" s="33"/>
      <c r="BG34" s="18"/>
      <c r="BH34" s="18"/>
      <c r="BI34" s="18"/>
      <c r="BJ34" s="18"/>
      <c r="BK34" s="18"/>
      <c r="BL34" s="17"/>
      <c r="BM34" s="18"/>
      <c r="BN34" s="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33"/>
      <c r="CD34" s="18"/>
      <c r="CE34" s="18"/>
      <c r="CF34" s="18"/>
      <c r="CG34" s="17"/>
      <c r="CH34" s="13"/>
      <c r="CJ34" s="26"/>
      <c r="CN34" s="26"/>
      <c r="CY34" s="27"/>
    </row>
    <row r="35" spans="1:103" s="11" customFormat="1">
      <c r="A35" s="32"/>
      <c r="B35" s="33"/>
      <c r="C35" s="18"/>
      <c r="D35" s="18"/>
      <c r="E35" s="18"/>
      <c r="F35" s="18"/>
      <c r="G35" s="18"/>
      <c r="H35" s="17"/>
      <c r="I35" s="18"/>
      <c r="J35" s="18"/>
      <c r="K35" s="18"/>
      <c r="L35" s="18"/>
      <c r="M35" s="18"/>
      <c r="N35" s="18"/>
      <c r="O35" s="17"/>
      <c r="P35" s="18"/>
      <c r="Q35" s="18"/>
      <c r="R35" s="18"/>
      <c r="S35" s="18"/>
      <c r="T35" s="18"/>
      <c r="U35" s="18"/>
      <c r="V35" s="18"/>
      <c r="W35" s="33"/>
      <c r="X35" s="18"/>
      <c r="Y35" s="18"/>
      <c r="Z35" s="18"/>
      <c r="AA35" s="18"/>
      <c r="AB35" s="18"/>
      <c r="AC35" s="17"/>
      <c r="AD35" s="18"/>
      <c r="AE35" s="18"/>
      <c r="AF35" s="18"/>
      <c r="AG35" s="18"/>
      <c r="AH35" s="18"/>
      <c r="AI35" s="18"/>
      <c r="AJ35" s="18"/>
      <c r="AK35" s="33"/>
      <c r="AL35" s="18"/>
      <c r="AM35" s="18"/>
      <c r="AN35" s="18"/>
      <c r="AO35" s="18"/>
      <c r="AP35" s="18"/>
      <c r="AQ35" s="17"/>
      <c r="AR35" s="18"/>
      <c r="AS35" s="18"/>
      <c r="AT35" s="18"/>
      <c r="AU35" s="18"/>
      <c r="AV35" s="18"/>
      <c r="AW35" s="18"/>
      <c r="AX35" s="18"/>
      <c r="AY35" s="33"/>
      <c r="AZ35" s="18"/>
      <c r="BA35" s="18"/>
      <c r="BB35" s="18"/>
      <c r="BC35" s="18"/>
      <c r="BD35" s="18"/>
      <c r="BE35" s="17"/>
      <c r="BF35" s="33"/>
      <c r="BG35" s="18"/>
      <c r="BH35" s="18"/>
      <c r="BI35" s="18"/>
      <c r="BJ35" s="18"/>
      <c r="BK35" s="18"/>
      <c r="BL35" s="17"/>
      <c r="BM35" s="18"/>
      <c r="BN35" s="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33"/>
      <c r="CD35" s="18"/>
      <c r="CE35" s="18"/>
      <c r="CF35" s="18"/>
      <c r="CG35" s="17"/>
      <c r="CH35" s="13"/>
      <c r="CJ35" s="26"/>
      <c r="CN35" s="26"/>
      <c r="CY35" s="27"/>
    </row>
    <row r="36" spans="1:103" s="11" customFormat="1">
      <c r="A36" s="32"/>
      <c r="B36" s="33"/>
      <c r="C36" s="18"/>
      <c r="D36" s="18"/>
      <c r="E36" s="18"/>
      <c r="F36" s="18"/>
      <c r="G36" s="18"/>
      <c r="H36" s="17"/>
      <c r="I36" s="18"/>
      <c r="J36" s="18"/>
      <c r="K36" s="18"/>
      <c r="L36" s="18"/>
      <c r="M36" s="18"/>
      <c r="N36" s="18"/>
      <c r="O36" s="17"/>
      <c r="P36" s="18"/>
      <c r="Q36" s="18"/>
      <c r="R36" s="18"/>
      <c r="S36" s="18"/>
      <c r="T36" s="18"/>
      <c r="U36" s="18"/>
      <c r="V36" s="18"/>
      <c r="W36" s="33"/>
      <c r="X36" s="18"/>
      <c r="Y36" s="18"/>
      <c r="Z36" s="18"/>
      <c r="AA36" s="18"/>
      <c r="AB36" s="18"/>
      <c r="AC36" s="17"/>
      <c r="AD36" s="18"/>
      <c r="AE36" s="18"/>
      <c r="AF36" s="18"/>
      <c r="AG36" s="18"/>
      <c r="AH36" s="18"/>
      <c r="AI36" s="18"/>
      <c r="AJ36" s="18"/>
      <c r="AK36" s="33"/>
      <c r="AL36" s="18"/>
      <c r="AM36" s="18"/>
      <c r="AN36" s="18"/>
      <c r="AO36" s="18"/>
      <c r="AP36" s="18"/>
      <c r="AQ36" s="17"/>
      <c r="AR36" s="18"/>
      <c r="AS36" s="18"/>
      <c r="AT36" s="18"/>
      <c r="AU36" s="18"/>
      <c r="AV36" s="18"/>
      <c r="AW36" s="18"/>
      <c r="AX36" s="18"/>
      <c r="AY36" s="33"/>
      <c r="AZ36" s="18"/>
      <c r="BA36" s="18"/>
      <c r="BB36" s="18"/>
      <c r="BC36" s="18"/>
      <c r="BD36" s="18"/>
      <c r="BE36" s="17"/>
      <c r="BF36" s="33"/>
      <c r="BG36" s="18"/>
      <c r="BH36" s="18"/>
      <c r="BI36" s="18"/>
      <c r="BJ36" s="18"/>
      <c r="BK36" s="18"/>
      <c r="BL36" s="17"/>
      <c r="BM36" s="18"/>
      <c r="BN36" s="16"/>
      <c r="BO36" s="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33"/>
      <c r="CD36" s="18"/>
      <c r="CE36" s="18"/>
      <c r="CF36" s="18"/>
      <c r="CG36" s="17"/>
      <c r="CH36" s="13"/>
      <c r="CJ36" s="26"/>
      <c r="CN36" s="26"/>
      <c r="CY36" s="27"/>
    </row>
    <row r="37" spans="1:103" s="11" customFormat="1">
      <c r="A37" s="32"/>
      <c r="B37" s="33"/>
      <c r="C37" s="18"/>
      <c r="D37" s="18"/>
      <c r="E37" s="18"/>
      <c r="F37" s="18"/>
      <c r="G37" s="18"/>
      <c r="H37" s="17"/>
      <c r="I37" s="18"/>
      <c r="J37" s="18"/>
      <c r="K37" s="18"/>
      <c r="L37" s="18"/>
      <c r="M37" s="18"/>
      <c r="N37" s="18"/>
      <c r="O37" s="17"/>
      <c r="P37" s="18"/>
      <c r="Q37" s="18"/>
      <c r="R37" s="18"/>
      <c r="S37" s="18"/>
      <c r="T37" s="18"/>
      <c r="U37" s="18"/>
      <c r="V37" s="18"/>
      <c r="W37" s="33"/>
      <c r="X37" s="18"/>
      <c r="Y37" s="18"/>
      <c r="Z37" s="18"/>
      <c r="AA37" s="18"/>
      <c r="AB37" s="18"/>
      <c r="AC37" s="17"/>
      <c r="AD37" s="18"/>
      <c r="AE37" s="18"/>
      <c r="AF37" s="18"/>
      <c r="AG37" s="18"/>
      <c r="AH37" s="18"/>
      <c r="AI37" s="18"/>
      <c r="AJ37" s="18"/>
      <c r="AK37" s="33"/>
      <c r="AL37" s="18"/>
      <c r="AM37" s="18"/>
      <c r="AN37" s="18"/>
      <c r="AO37" s="18"/>
      <c r="AP37" s="18"/>
      <c r="AQ37" s="17"/>
      <c r="AR37" s="18"/>
      <c r="AS37" s="18"/>
      <c r="AT37" s="18"/>
      <c r="AU37" s="18"/>
      <c r="AV37" s="18"/>
      <c r="AW37" s="18"/>
      <c r="AX37" s="18"/>
      <c r="AY37" s="33"/>
      <c r="AZ37" s="18"/>
      <c r="BA37" s="18"/>
      <c r="BB37" s="18"/>
      <c r="BC37" s="18"/>
      <c r="BD37" s="18"/>
      <c r="BE37" s="17"/>
      <c r="BF37" s="33"/>
      <c r="BG37" s="18"/>
      <c r="BH37" s="18"/>
      <c r="BI37" s="18"/>
      <c r="BJ37" s="18"/>
      <c r="BK37" s="18"/>
      <c r="BL37" s="17"/>
      <c r="BM37" s="18"/>
      <c r="BN37" s="8"/>
      <c r="BO37" s="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33"/>
      <c r="CD37" s="18"/>
      <c r="CE37" s="18"/>
      <c r="CF37" s="18"/>
      <c r="CG37" s="17"/>
      <c r="CH37" s="13"/>
      <c r="CJ37" s="26"/>
      <c r="CN37" s="26"/>
      <c r="CY37" s="27"/>
    </row>
    <row r="38" spans="1:103" s="11" customFormat="1">
      <c r="A38" s="32"/>
      <c r="B38" s="33"/>
      <c r="C38" s="18"/>
      <c r="D38" s="18"/>
      <c r="E38" s="18"/>
      <c r="F38" s="18"/>
      <c r="G38" s="18"/>
      <c r="H38" s="17"/>
      <c r="I38" s="18"/>
      <c r="J38" s="18"/>
      <c r="K38" s="18"/>
      <c r="L38" s="18"/>
      <c r="M38" s="18"/>
      <c r="N38" s="18"/>
      <c r="O38" s="17"/>
      <c r="P38" s="18"/>
      <c r="Q38" s="18"/>
      <c r="R38" s="18"/>
      <c r="S38" s="18"/>
      <c r="T38" s="18"/>
      <c r="U38" s="18"/>
      <c r="V38" s="18"/>
      <c r="W38" s="33"/>
      <c r="X38" s="18"/>
      <c r="Y38" s="18"/>
      <c r="Z38" s="18"/>
      <c r="AA38" s="18"/>
      <c r="AB38" s="18"/>
      <c r="AC38" s="17"/>
      <c r="AD38" s="18"/>
      <c r="AE38" s="18"/>
      <c r="AF38" s="18"/>
      <c r="AG38" s="18"/>
      <c r="AH38" s="18"/>
      <c r="AI38" s="18"/>
      <c r="AJ38" s="18"/>
      <c r="AK38" s="33"/>
      <c r="AL38" s="18"/>
      <c r="AM38" s="18"/>
      <c r="AN38" s="18"/>
      <c r="AO38" s="18"/>
      <c r="AP38" s="18"/>
      <c r="AQ38" s="17"/>
      <c r="AR38" s="18"/>
      <c r="AS38" s="18"/>
      <c r="AT38" s="18"/>
      <c r="AU38" s="18"/>
      <c r="AV38" s="18"/>
      <c r="AW38" s="18"/>
      <c r="AX38" s="18"/>
      <c r="AY38" s="33"/>
      <c r="AZ38" s="18"/>
      <c r="BA38" s="18"/>
      <c r="BB38" s="18"/>
      <c r="BC38" s="18"/>
      <c r="BD38" s="18"/>
      <c r="BE38" s="17"/>
      <c r="BF38" s="33"/>
      <c r="BG38" s="18"/>
      <c r="BH38" s="18"/>
      <c r="BI38" s="18"/>
      <c r="BJ38" s="18"/>
      <c r="BK38" s="18"/>
      <c r="BL38" s="17"/>
      <c r="BM38" s="18"/>
      <c r="BN38" s="8"/>
      <c r="BO38" s="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33"/>
      <c r="CD38" s="18"/>
      <c r="CE38" s="18"/>
      <c r="CF38" s="18"/>
      <c r="CG38" s="17"/>
      <c r="CH38" s="13"/>
      <c r="CJ38" s="26"/>
      <c r="CN38" s="26"/>
      <c r="CY38" s="27"/>
    </row>
    <row r="39" spans="1:103" s="11" customFormat="1">
      <c r="A39" s="32"/>
      <c r="B39" s="33"/>
      <c r="C39" s="18"/>
      <c r="D39" s="18"/>
      <c r="E39" s="18"/>
      <c r="F39" s="18"/>
      <c r="G39" s="18"/>
      <c r="H39" s="17"/>
      <c r="I39" s="18"/>
      <c r="J39" s="18"/>
      <c r="K39" s="18"/>
      <c r="L39" s="18"/>
      <c r="M39" s="18"/>
      <c r="N39" s="18"/>
      <c r="O39" s="17"/>
      <c r="P39" s="18"/>
      <c r="Q39" s="18"/>
      <c r="R39" s="18"/>
      <c r="S39" s="18"/>
      <c r="T39" s="18"/>
      <c r="U39" s="18"/>
      <c r="V39" s="18"/>
      <c r="W39" s="33"/>
      <c r="X39" s="18"/>
      <c r="Y39" s="18"/>
      <c r="Z39" s="18"/>
      <c r="AA39" s="18"/>
      <c r="AB39" s="18"/>
      <c r="AC39" s="17"/>
      <c r="AD39" s="18"/>
      <c r="AE39" s="18"/>
      <c r="AF39" s="18"/>
      <c r="AG39" s="18"/>
      <c r="AH39" s="18"/>
      <c r="AI39" s="18"/>
      <c r="AJ39" s="18"/>
      <c r="AK39" s="33"/>
      <c r="AL39" s="18"/>
      <c r="AM39" s="18"/>
      <c r="AN39" s="18"/>
      <c r="AO39" s="18"/>
      <c r="AP39" s="18"/>
      <c r="AQ39" s="17"/>
      <c r="AR39" s="18"/>
      <c r="AS39" s="18"/>
      <c r="AT39" s="18"/>
      <c r="AU39" s="18"/>
      <c r="AV39" s="18"/>
      <c r="AW39" s="18"/>
      <c r="AX39" s="18"/>
      <c r="AY39" s="33"/>
      <c r="AZ39" s="18"/>
      <c r="BA39" s="18"/>
      <c r="BB39" s="18"/>
      <c r="BC39" s="18"/>
      <c r="BD39" s="18"/>
      <c r="BE39" s="17"/>
      <c r="BF39" s="33"/>
      <c r="BG39" s="18"/>
      <c r="BH39" s="18"/>
      <c r="BI39" s="18"/>
      <c r="BJ39" s="18"/>
      <c r="BK39" s="18"/>
      <c r="BL39" s="17"/>
      <c r="BM39" s="18"/>
      <c r="BN39" s="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33"/>
      <c r="CD39" s="18"/>
      <c r="CE39" s="18"/>
      <c r="CF39" s="18"/>
      <c r="CG39" s="17"/>
      <c r="CH39" s="13"/>
      <c r="CJ39" s="26"/>
      <c r="CN39" s="26"/>
      <c r="CY39" s="27"/>
    </row>
    <row r="40" spans="1:103" s="11" customFormat="1">
      <c r="A40" s="32"/>
      <c r="B40" s="35" t="s">
        <v>111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55"/>
      <c r="P40" s="20"/>
      <c r="Q40" s="20"/>
      <c r="R40" s="20"/>
      <c r="S40" s="20"/>
      <c r="T40" s="20"/>
      <c r="U40" s="20"/>
      <c r="V40" s="20"/>
      <c r="W40" s="35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35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13"/>
      <c r="CJ40" s="23" t="s">
        <v>112</v>
      </c>
      <c r="CK40" s="24"/>
      <c r="CL40" s="24"/>
      <c r="CM40" s="24"/>
      <c r="CN40" s="23" t="s">
        <v>113</v>
      </c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5"/>
    </row>
    <row r="41" spans="1:103" s="11" customFormat="1">
      <c r="A41" s="32"/>
      <c r="B41" s="33"/>
      <c r="C41" s="18"/>
      <c r="D41" s="18"/>
      <c r="E41" s="18"/>
      <c r="F41" s="18"/>
      <c r="G41" s="18"/>
      <c r="H41" s="17"/>
      <c r="I41" s="18"/>
      <c r="J41" s="18"/>
      <c r="K41" s="18"/>
      <c r="L41" s="18"/>
      <c r="M41" s="18"/>
      <c r="N41" s="18"/>
      <c r="O41" s="17"/>
      <c r="P41" s="18"/>
      <c r="Q41" s="18"/>
      <c r="R41" s="18"/>
      <c r="S41" s="18"/>
      <c r="T41" s="18"/>
      <c r="U41" s="18"/>
      <c r="V41" s="18"/>
      <c r="W41" s="33"/>
      <c r="X41" s="18"/>
      <c r="Y41" s="18"/>
      <c r="Z41" s="18"/>
      <c r="AA41" s="18"/>
      <c r="AB41" s="18"/>
      <c r="AC41" s="17"/>
      <c r="AD41" s="18"/>
      <c r="AE41" s="18"/>
      <c r="AF41" s="18"/>
      <c r="AG41" s="18"/>
      <c r="AH41" s="18"/>
      <c r="AI41" s="18"/>
      <c r="AJ41" s="18"/>
      <c r="AK41" s="33"/>
      <c r="AL41" s="18"/>
      <c r="AM41" s="18"/>
      <c r="AN41" s="18"/>
      <c r="AO41" s="18"/>
      <c r="AP41" s="18"/>
      <c r="AQ41" s="17"/>
      <c r="AR41" s="18"/>
      <c r="AS41" s="18"/>
      <c r="AT41" s="18"/>
      <c r="AU41" s="18"/>
      <c r="AV41" s="18"/>
      <c r="AW41" s="18"/>
      <c r="AX41" s="18"/>
      <c r="AY41" s="33"/>
      <c r="AZ41" s="18"/>
      <c r="BA41" s="18"/>
      <c r="BB41" s="18"/>
      <c r="BC41" s="18"/>
      <c r="BD41" s="18"/>
      <c r="BE41" s="17"/>
      <c r="BF41" s="33"/>
      <c r="BG41" s="18"/>
      <c r="BH41" s="18"/>
      <c r="BI41" s="18"/>
      <c r="BJ41" s="18"/>
      <c r="BK41" s="18"/>
      <c r="BL41" s="17"/>
      <c r="BM41" s="18"/>
      <c r="BN41" s="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33"/>
      <c r="CD41" s="18"/>
      <c r="CE41" s="18"/>
      <c r="CF41" s="18"/>
      <c r="CG41" s="17"/>
      <c r="CH41" s="13"/>
      <c r="CJ41" s="26" t="s">
        <v>114</v>
      </c>
      <c r="CN41" s="26" t="s">
        <v>115</v>
      </c>
      <c r="CY41" s="27"/>
    </row>
    <row r="42" spans="1:103" s="11" customFormat="1">
      <c r="A42" s="32"/>
      <c r="B42" s="33"/>
      <c r="C42" s="18"/>
      <c r="D42" s="18"/>
      <c r="E42" s="18"/>
      <c r="F42" s="18"/>
      <c r="G42" s="18"/>
      <c r="H42" s="17"/>
      <c r="I42" s="18"/>
      <c r="J42" s="18"/>
      <c r="K42" s="18"/>
      <c r="L42" s="18"/>
      <c r="M42" s="18"/>
      <c r="N42" s="18"/>
      <c r="O42" s="17"/>
      <c r="P42" s="18"/>
      <c r="Q42" s="18"/>
      <c r="R42" s="18"/>
      <c r="S42" s="18"/>
      <c r="T42" s="18"/>
      <c r="U42" s="18"/>
      <c r="V42" s="18"/>
      <c r="W42" s="33"/>
      <c r="X42" s="18"/>
      <c r="Y42" s="18"/>
      <c r="Z42" s="18"/>
      <c r="AA42" s="18"/>
      <c r="AB42" s="18"/>
      <c r="AC42" s="17"/>
      <c r="AD42" s="18"/>
      <c r="AE42" s="18"/>
      <c r="AF42" s="18"/>
      <c r="AG42" s="18"/>
      <c r="AH42" s="18"/>
      <c r="AI42" s="18"/>
      <c r="AJ42" s="18"/>
      <c r="AK42" s="33"/>
      <c r="AL42" s="18"/>
      <c r="AM42" s="18"/>
      <c r="AN42" s="18"/>
      <c r="AO42" s="18"/>
      <c r="AP42" s="18"/>
      <c r="AQ42" s="17"/>
      <c r="AR42" s="18"/>
      <c r="AS42" s="18"/>
      <c r="AT42" s="18"/>
      <c r="AU42" s="18"/>
      <c r="AV42" s="18"/>
      <c r="AW42" s="18"/>
      <c r="AX42" s="18"/>
      <c r="AY42" s="33"/>
      <c r="AZ42" s="18"/>
      <c r="BA42" s="18"/>
      <c r="BB42" s="18"/>
      <c r="BC42" s="18"/>
      <c r="BD42" s="18"/>
      <c r="BE42" s="17"/>
      <c r="BF42" s="33"/>
      <c r="BG42" s="18"/>
      <c r="BH42" s="18"/>
      <c r="BI42" s="18"/>
      <c r="BJ42" s="18"/>
      <c r="BK42" s="18"/>
      <c r="BL42" s="17"/>
      <c r="BM42" s="18"/>
      <c r="BN42" s="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33"/>
      <c r="CD42" s="18"/>
      <c r="CE42" s="18"/>
      <c r="CF42" s="18"/>
      <c r="CG42" s="17"/>
      <c r="CH42" s="13"/>
      <c r="CJ42" s="26"/>
      <c r="CN42" s="11" t="s">
        <v>116</v>
      </c>
      <c r="CY42" s="27"/>
    </row>
    <row r="43" spans="1:103" s="11" customFormat="1">
      <c r="A43" s="32"/>
      <c r="B43" s="33"/>
      <c r="C43" s="18"/>
      <c r="D43" s="18"/>
      <c r="E43" s="18"/>
      <c r="F43" s="18"/>
      <c r="G43" s="18"/>
      <c r="H43" s="17"/>
      <c r="I43" s="18"/>
      <c r="J43" s="18"/>
      <c r="K43" s="18"/>
      <c r="L43" s="18"/>
      <c r="M43" s="18"/>
      <c r="N43" s="18"/>
      <c r="O43" s="17"/>
      <c r="P43" s="18"/>
      <c r="Q43" s="18"/>
      <c r="R43" s="18"/>
      <c r="S43" s="18"/>
      <c r="T43" s="18"/>
      <c r="U43" s="18"/>
      <c r="V43" s="18"/>
      <c r="W43" s="33"/>
      <c r="X43" s="18"/>
      <c r="Y43" s="18"/>
      <c r="Z43" s="18"/>
      <c r="AA43" s="18"/>
      <c r="AB43" s="18"/>
      <c r="AC43" s="17"/>
      <c r="AD43" s="18"/>
      <c r="AE43" s="18"/>
      <c r="AF43" s="18"/>
      <c r="AG43" s="18"/>
      <c r="AH43" s="18"/>
      <c r="AI43" s="18"/>
      <c r="AJ43" s="18"/>
      <c r="AK43" s="33"/>
      <c r="AL43" s="18"/>
      <c r="AM43" s="18"/>
      <c r="AN43" s="18"/>
      <c r="AO43" s="18"/>
      <c r="AP43" s="18"/>
      <c r="AQ43" s="17"/>
      <c r="AR43" s="18"/>
      <c r="AS43" s="18"/>
      <c r="AT43" s="18"/>
      <c r="AU43" s="18"/>
      <c r="AV43" s="18"/>
      <c r="AW43" s="18"/>
      <c r="AX43" s="18"/>
      <c r="AY43" s="33"/>
      <c r="AZ43" s="18"/>
      <c r="BA43" s="18"/>
      <c r="BB43" s="18"/>
      <c r="BC43" s="18"/>
      <c r="BD43" s="18"/>
      <c r="BE43" s="17"/>
      <c r="BF43" s="33"/>
      <c r="BG43" s="18"/>
      <c r="BH43" s="18"/>
      <c r="BI43" s="18"/>
      <c r="BJ43" s="18"/>
      <c r="BK43" s="18"/>
      <c r="BL43" s="17"/>
      <c r="BM43" s="18"/>
      <c r="BN43" s="16"/>
      <c r="BO43" s="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33"/>
      <c r="CD43" s="18"/>
      <c r="CE43" s="18"/>
      <c r="CF43" s="18"/>
      <c r="CG43" s="17"/>
      <c r="CH43" s="13"/>
      <c r="CJ43" s="26"/>
      <c r="CN43" s="26"/>
      <c r="CY43" s="27"/>
    </row>
    <row r="44" spans="1:103" s="11" customFormat="1">
      <c r="A44" s="32"/>
      <c r="B44" s="33"/>
      <c r="C44" s="18"/>
      <c r="D44" s="18"/>
      <c r="E44" s="18"/>
      <c r="F44" s="18"/>
      <c r="G44" s="18"/>
      <c r="H44" s="17"/>
      <c r="I44" s="18"/>
      <c r="J44" s="18"/>
      <c r="K44" s="18"/>
      <c r="L44" s="18"/>
      <c r="M44" s="18"/>
      <c r="N44" s="18"/>
      <c r="O44" s="17"/>
      <c r="P44" s="18"/>
      <c r="Q44" s="18"/>
      <c r="R44" s="18"/>
      <c r="S44" s="18"/>
      <c r="T44" s="18"/>
      <c r="U44" s="18"/>
      <c r="V44" s="18"/>
      <c r="W44" s="33"/>
      <c r="X44" s="18"/>
      <c r="Y44" s="18"/>
      <c r="Z44" s="18"/>
      <c r="AA44" s="18"/>
      <c r="AB44" s="18"/>
      <c r="AC44" s="17"/>
      <c r="AD44" s="18"/>
      <c r="AE44" s="18"/>
      <c r="AF44" s="18"/>
      <c r="AG44" s="18"/>
      <c r="AH44" s="18"/>
      <c r="AI44" s="18"/>
      <c r="AJ44" s="18"/>
      <c r="AK44" s="33"/>
      <c r="AL44" s="18"/>
      <c r="AM44" s="18"/>
      <c r="AN44" s="18"/>
      <c r="AO44" s="18"/>
      <c r="AP44" s="18"/>
      <c r="AQ44" s="17"/>
      <c r="AR44" s="18"/>
      <c r="AS44" s="18"/>
      <c r="AT44" s="18"/>
      <c r="AU44" s="18"/>
      <c r="AV44" s="18"/>
      <c r="AW44" s="18"/>
      <c r="AX44" s="18"/>
      <c r="AY44" s="33"/>
      <c r="AZ44" s="18"/>
      <c r="BA44" s="18"/>
      <c r="BB44" s="18"/>
      <c r="BC44" s="18"/>
      <c r="BD44" s="18"/>
      <c r="BE44" s="17"/>
      <c r="BF44" s="33"/>
      <c r="BG44" s="18"/>
      <c r="BH44" s="18"/>
      <c r="BI44" s="18"/>
      <c r="BJ44" s="18"/>
      <c r="BK44" s="18"/>
      <c r="BL44" s="17"/>
      <c r="BM44" s="18"/>
      <c r="BN44" s="8"/>
      <c r="BO44" s="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33"/>
      <c r="CD44" s="18"/>
      <c r="CE44" s="18"/>
      <c r="CF44" s="18"/>
      <c r="CG44" s="17"/>
      <c r="CH44" s="13"/>
      <c r="CJ44" s="26"/>
      <c r="CN44" s="26"/>
      <c r="CY44" s="27"/>
    </row>
    <row r="45" spans="1:103" s="11" customFormat="1">
      <c r="A45" s="32"/>
      <c r="B45" s="33"/>
      <c r="C45" s="18"/>
      <c r="D45" s="18"/>
      <c r="E45" s="18"/>
      <c r="F45" s="18"/>
      <c r="G45" s="18"/>
      <c r="H45" s="17"/>
      <c r="I45" s="18"/>
      <c r="J45" s="18"/>
      <c r="K45" s="18"/>
      <c r="L45" s="18"/>
      <c r="M45" s="18"/>
      <c r="N45" s="18"/>
      <c r="O45" s="17"/>
      <c r="P45" s="18"/>
      <c r="Q45" s="18"/>
      <c r="R45" s="18"/>
      <c r="S45" s="18"/>
      <c r="T45" s="18"/>
      <c r="U45" s="18"/>
      <c r="V45" s="18"/>
      <c r="W45" s="33"/>
      <c r="X45" s="18"/>
      <c r="Y45" s="18"/>
      <c r="Z45" s="18"/>
      <c r="AA45" s="18"/>
      <c r="AB45" s="18"/>
      <c r="AC45" s="17"/>
      <c r="AD45" s="18"/>
      <c r="AE45" s="18"/>
      <c r="AF45" s="18"/>
      <c r="AG45" s="18"/>
      <c r="AH45" s="18"/>
      <c r="AI45" s="18"/>
      <c r="AJ45" s="18"/>
      <c r="AK45" s="33"/>
      <c r="AL45" s="18"/>
      <c r="AM45" s="18"/>
      <c r="AN45" s="18"/>
      <c r="AO45" s="18"/>
      <c r="AP45" s="18"/>
      <c r="AQ45" s="17"/>
      <c r="AR45" s="18"/>
      <c r="AS45" s="18"/>
      <c r="AT45" s="18"/>
      <c r="AU45" s="18"/>
      <c r="AV45" s="18"/>
      <c r="AW45" s="18"/>
      <c r="AX45" s="18"/>
      <c r="AY45" s="33"/>
      <c r="AZ45" s="18"/>
      <c r="BA45" s="18"/>
      <c r="BB45" s="18"/>
      <c r="BC45" s="18"/>
      <c r="BD45" s="18"/>
      <c r="BE45" s="17"/>
      <c r="BF45" s="33"/>
      <c r="BG45" s="18"/>
      <c r="BH45" s="18"/>
      <c r="BI45" s="18"/>
      <c r="BJ45" s="18"/>
      <c r="BK45" s="18"/>
      <c r="BL45" s="17"/>
      <c r="BM45" s="18"/>
      <c r="BN45" s="8"/>
      <c r="BO45" s="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33"/>
      <c r="CD45" s="18"/>
      <c r="CE45" s="18"/>
      <c r="CF45" s="18"/>
      <c r="CG45" s="17"/>
      <c r="CH45" s="13"/>
      <c r="CJ45" s="26"/>
      <c r="CN45" s="26"/>
      <c r="CY45" s="27"/>
    </row>
    <row r="46" spans="1:103" s="11" customFormat="1">
      <c r="A46" s="32"/>
      <c r="B46" s="33"/>
      <c r="C46" s="18"/>
      <c r="D46" s="18"/>
      <c r="E46" s="18"/>
      <c r="F46" s="18"/>
      <c r="G46" s="18"/>
      <c r="H46" s="17"/>
      <c r="I46" s="18"/>
      <c r="J46" s="18"/>
      <c r="K46" s="18"/>
      <c r="L46" s="18"/>
      <c r="M46" s="18"/>
      <c r="N46" s="18"/>
      <c r="O46" s="17"/>
      <c r="P46" s="18"/>
      <c r="Q46" s="18"/>
      <c r="R46" s="18"/>
      <c r="S46" s="18"/>
      <c r="T46" s="18"/>
      <c r="U46" s="18"/>
      <c r="V46" s="18"/>
      <c r="W46" s="33"/>
      <c r="X46" s="18"/>
      <c r="Y46" s="18"/>
      <c r="Z46" s="18"/>
      <c r="AA46" s="18"/>
      <c r="AB46" s="18"/>
      <c r="AC46" s="17"/>
      <c r="AD46" s="18"/>
      <c r="AE46" s="18"/>
      <c r="AF46" s="18"/>
      <c r="AG46" s="18"/>
      <c r="AH46" s="18"/>
      <c r="AI46" s="18"/>
      <c r="AJ46" s="18"/>
      <c r="AK46" s="33"/>
      <c r="AL46" s="18"/>
      <c r="AM46" s="18"/>
      <c r="AN46" s="18"/>
      <c r="AO46" s="18"/>
      <c r="AP46" s="18"/>
      <c r="AQ46" s="17"/>
      <c r="AR46" s="18"/>
      <c r="AS46" s="18"/>
      <c r="AT46" s="18"/>
      <c r="AU46" s="18"/>
      <c r="AV46" s="18"/>
      <c r="AW46" s="18"/>
      <c r="AX46" s="18"/>
      <c r="AY46" s="33"/>
      <c r="AZ46" s="18"/>
      <c r="BA46" s="18"/>
      <c r="BB46" s="18"/>
      <c r="BC46" s="18"/>
      <c r="BD46" s="18"/>
      <c r="BE46" s="17"/>
      <c r="BF46" s="33"/>
      <c r="BG46" s="18"/>
      <c r="BH46" s="18"/>
      <c r="BI46" s="18"/>
      <c r="BJ46" s="18"/>
      <c r="BK46" s="18"/>
      <c r="BL46" s="17"/>
      <c r="BM46" s="18"/>
      <c r="BN46" s="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33"/>
      <c r="CD46" s="18"/>
      <c r="CE46" s="18"/>
      <c r="CF46" s="18"/>
      <c r="CG46" s="17"/>
      <c r="CH46" s="13"/>
      <c r="CJ46" s="26"/>
      <c r="CN46" s="26"/>
      <c r="CY46" s="27"/>
    </row>
    <row r="47" spans="1:103" s="11" customFormat="1">
      <c r="A47" s="32"/>
      <c r="B47" s="33"/>
      <c r="C47" s="18"/>
      <c r="D47" s="18"/>
      <c r="E47" s="18"/>
      <c r="F47" s="18"/>
      <c r="G47" s="18"/>
      <c r="H47" s="17"/>
      <c r="I47" s="18"/>
      <c r="J47" s="18"/>
      <c r="K47" s="18"/>
      <c r="L47" s="18"/>
      <c r="M47" s="18"/>
      <c r="N47" s="18"/>
      <c r="O47" s="17"/>
      <c r="P47" s="18"/>
      <c r="Q47" s="18"/>
      <c r="R47" s="18"/>
      <c r="S47" s="18"/>
      <c r="T47" s="18"/>
      <c r="U47" s="18"/>
      <c r="V47" s="18"/>
      <c r="W47" s="33"/>
      <c r="X47" s="18"/>
      <c r="Y47" s="18"/>
      <c r="Z47" s="18"/>
      <c r="AA47" s="18"/>
      <c r="AB47" s="18"/>
      <c r="AC47" s="17"/>
      <c r="AD47" s="18"/>
      <c r="AE47" s="18"/>
      <c r="AF47" s="18"/>
      <c r="AG47" s="18"/>
      <c r="AH47" s="18"/>
      <c r="AI47" s="18"/>
      <c r="AJ47" s="18"/>
      <c r="AK47" s="33"/>
      <c r="AL47" s="18"/>
      <c r="AM47" s="18"/>
      <c r="AN47" s="18"/>
      <c r="AO47" s="18"/>
      <c r="AP47" s="18"/>
      <c r="AQ47" s="17"/>
      <c r="AR47" s="18"/>
      <c r="AS47" s="18"/>
      <c r="AT47" s="18"/>
      <c r="AU47" s="18"/>
      <c r="AV47" s="18"/>
      <c r="AW47" s="18"/>
      <c r="AX47" s="18"/>
      <c r="AY47" s="33"/>
      <c r="AZ47" s="18"/>
      <c r="BA47" s="18"/>
      <c r="BB47" s="18"/>
      <c r="BC47" s="18"/>
      <c r="BD47" s="18"/>
      <c r="BE47" s="17"/>
      <c r="BF47" s="33"/>
      <c r="BG47" s="18"/>
      <c r="BH47" s="18"/>
      <c r="BI47" s="18"/>
      <c r="BJ47" s="18"/>
      <c r="BK47" s="18"/>
      <c r="BL47" s="17"/>
      <c r="BM47" s="18"/>
      <c r="BN47" s="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33"/>
      <c r="CD47" s="18"/>
      <c r="CE47" s="18"/>
      <c r="CF47" s="18"/>
      <c r="CG47" s="17"/>
      <c r="CH47" s="13"/>
      <c r="CJ47" s="26"/>
      <c r="CN47" s="26"/>
      <c r="CY47" s="27"/>
    </row>
    <row r="48" spans="1:103" s="11" customFormat="1">
      <c r="A48" s="32"/>
      <c r="B48" s="33"/>
      <c r="C48" s="18"/>
      <c r="D48" s="18"/>
      <c r="E48" s="18"/>
      <c r="F48" s="18"/>
      <c r="G48" s="18"/>
      <c r="H48" s="17"/>
      <c r="I48" s="18"/>
      <c r="J48" s="18"/>
      <c r="K48" s="18"/>
      <c r="L48" s="18"/>
      <c r="M48" s="18"/>
      <c r="N48" s="18"/>
      <c r="O48" s="17"/>
      <c r="P48" s="18"/>
      <c r="Q48" s="18"/>
      <c r="R48" s="18"/>
      <c r="S48" s="18"/>
      <c r="T48" s="18"/>
      <c r="U48" s="18"/>
      <c r="V48" s="18"/>
      <c r="W48" s="33"/>
      <c r="X48" s="18"/>
      <c r="Y48" s="18"/>
      <c r="Z48" s="18"/>
      <c r="AA48" s="18"/>
      <c r="AB48" s="18"/>
      <c r="AC48" s="17"/>
      <c r="AD48" s="18"/>
      <c r="AE48" s="18"/>
      <c r="AF48" s="18"/>
      <c r="AG48" s="18"/>
      <c r="AH48" s="18"/>
      <c r="AI48" s="18"/>
      <c r="AJ48" s="18"/>
      <c r="AK48" s="33"/>
      <c r="AL48" s="18"/>
      <c r="AM48" s="18"/>
      <c r="AN48" s="18"/>
      <c r="AO48" s="18"/>
      <c r="AP48" s="18"/>
      <c r="AQ48" s="17"/>
      <c r="AR48" s="18"/>
      <c r="AS48" s="18"/>
      <c r="AT48" s="18"/>
      <c r="AU48" s="18"/>
      <c r="AV48" s="18"/>
      <c r="AW48" s="18"/>
      <c r="AX48" s="18"/>
      <c r="AY48" s="33"/>
      <c r="AZ48" s="18"/>
      <c r="BA48" s="18"/>
      <c r="BB48" s="18"/>
      <c r="BC48" s="18"/>
      <c r="BD48" s="18"/>
      <c r="BE48" s="17"/>
      <c r="BF48" s="33"/>
      <c r="BG48" s="18"/>
      <c r="BH48" s="18"/>
      <c r="BI48" s="18"/>
      <c r="BJ48" s="18"/>
      <c r="BK48" s="18"/>
      <c r="BL48" s="17"/>
      <c r="BM48" s="18"/>
      <c r="BN48" s="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33"/>
      <c r="CD48" s="18"/>
      <c r="CE48" s="18"/>
      <c r="CF48" s="18"/>
      <c r="CG48" s="17"/>
      <c r="CH48" s="13"/>
      <c r="CJ48" s="26"/>
      <c r="CN48" s="26"/>
      <c r="CY48" s="27"/>
    </row>
    <row r="49" spans="1:103" s="11" customFormat="1">
      <c r="A49" s="32"/>
      <c r="B49" s="33"/>
      <c r="C49" s="18"/>
      <c r="D49" s="18"/>
      <c r="E49" s="18"/>
      <c r="F49" s="18"/>
      <c r="G49" s="18"/>
      <c r="H49" s="17"/>
      <c r="I49" s="18"/>
      <c r="J49" s="18"/>
      <c r="K49" s="18"/>
      <c r="L49" s="18"/>
      <c r="M49" s="18"/>
      <c r="N49" s="18"/>
      <c r="O49" s="17"/>
      <c r="P49" s="18"/>
      <c r="Q49" s="18"/>
      <c r="R49" s="18"/>
      <c r="S49" s="18"/>
      <c r="T49" s="18"/>
      <c r="U49" s="18"/>
      <c r="V49" s="18"/>
      <c r="W49" s="33"/>
      <c r="X49" s="18"/>
      <c r="Y49" s="18"/>
      <c r="Z49" s="18"/>
      <c r="AA49" s="18"/>
      <c r="AB49" s="18"/>
      <c r="AC49" s="17"/>
      <c r="AD49" s="18"/>
      <c r="AE49" s="18"/>
      <c r="AF49" s="18"/>
      <c r="AG49" s="18"/>
      <c r="AH49" s="18"/>
      <c r="AI49" s="18"/>
      <c r="AJ49" s="18"/>
      <c r="AK49" s="33"/>
      <c r="AL49" s="18"/>
      <c r="AM49" s="18"/>
      <c r="AN49" s="18"/>
      <c r="AO49" s="18"/>
      <c r="AP49" s="18"/>
      <c r="AQ49" s="17"/>
      <c r="AR49" s="18"/>
      <c r="AS49" s="18"/>
      <c r="AT49" s="18"/>
      <c r="AU49" s="18"/>
      <c r="AV49" s="18"/>
      <c r="AW49" s="18"/>
      <c r="AX49" s="18"/>
      <c r="AY49" s="33"/>
      <c r="AZ49" s="18"/>
      <c r="BA49" s="18"/>
      <c r="BB49" s="18"/>
      <c r="BC49" s="18"/>
      <c r="BD49" s="18"/>
      <c r="BE49" s="17"/>
      <c r="BF49" s="33"/>
      <c r="BG49" s="18"/>
      <c r="BH49" s="18"/>
      <c r="BI49" s="18"/>
      <c r="BJ49" s="18"/>
      <c r="BK49" s="18"/>
      <c r="BL49" s="17"/>
      <c r="BM49" s="18"/>
      <c r="BN49" s="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33"/>
      <c r="CD49" s="18"/>
      <c r="CE49" s="18"/>
      <c r="CF49" s="18"/>
      <c r="CG49" s="17"/>
      <c r="CH49" s="13"/>
      <c r="CJ49" s="26"/>
      <c r="CN49" s="26"/>
      <c r="CY49" s="27"/>
    </row>
    <row r="50" spans="1:103" s="11" customFormat="1">
      <c r="A50" s="32"/>
      <c r="B50" s="33"/>
      <c r="C50" s="18"/>
      <c r="D50" s="18"/>
      <c r="E50" s="18"/>
      <c r="F50" s="18"/>
      <c r="G50" s="18"/>
      <c r="H50" s="17"/>
      <c r="I50" s="18"/>
      <c r="J50" s="18"/>
      <c r="K50" s="18"/>
      <c r="L50" s="18"/>
      <c r="M50" s="18"/>
      <c r="N50" s="18"/>
      <c r="O50" s="17"/>
      <c r="P50" s="18"/>
      <c r="Q50" s="18"/>
      <c r="R50" s="18"/>
      <c r="S50" s="18"/>
      <c r="T50" s="18"/>
      <c r="U50" s="18"/>
      <c r="V50" s="18"/>
      <c r="W50" s="33"/>
      <c r="X50" s="18"/>
      <c r="Y50" s="18"/>
      <c r="Z50" s="18"/>
      <c r="AA50" s="18"/>
      <c r="AB50" s="18"/>
      <c r="AC50" s="17"/>
      <c r="AD50" s="18"/>
      <c r="AE50" s="18"/>
      <c r="AF50" s="18"/>
      <c r="AG50" s="18"/>
      <c r="AH50" s="18"/>
      <c r="AI50" s="18"/>
      <c r="AJ50" s="18"/>
      <c r="AK50" s="33"/>
      <c r="AL50" s="18"/>
      <c r="AM50" s="18"/>
      <c r="AN50" s="18"/>
      <c r="AO50" s="18"/>
      <c r="AP50" s="18"/>
      <c r="AQ50" s="17"/>
      <c r="AR50" s="18"/>
      <c r="AS50" s="18"/>
      <c r="AT50" s="18"/>
      <c r="AU50" s="18"/>
      <c r="AV50" s="18"/>
      <c r="AW50" s="18"/>
      <c r="AX50" s="18"/>
      <c r="AY50" s="33"/>
      <c r="AZ50" s="18"/>
      <c r="BA50" s="18"/>
      <c r="BB50" s="18"/>
      <c r="BC50" s="18"/>
      <c r="BD50" s="18"/>
      <c r="BE50" s="17"/>
      <c r="BF50" s="33"/>
      <c r="BG50" s="18"/>
      <c r="BH50" s="18"/>
      <c r="BI50" s="18"/>
      <c r="BJ50" s="18"/>
      <c r="BK50" s="18"/>
      <c r="BL50" s="17"/>
      <c r="BM50" s="18"/>
      <c r="BN50" s="16" t="s">
        <v>117</v>
      </c>
      <c r="BO50" s="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33"/>
      <c r="CD50" s="18"/>
      <c r="CE50" s="18"/>
      <c r="CF50" s="18"/>
      <c r="CG50" s="17"/>
      <c r="CH50" s="13"/>
      <c r="CJ50" s="26"/>
      <c r="CN50" s="26"/>
      <c r="CY50" s="27"/>
    </row>
    <row r="51" spans="1:103" s="11" customFormat="1">
      <c r="A51" s="32"/>
      <c r="B51" s="33"/>
      <c r="C51" s="18"/>
      <c r="D51" s="18"/>
      <c r="E51" s="18"/>
      <c r="F51" s="18"/>
      <c r="G51" s="18"/>
      <c r="H51" s="17"/>
      <c r="I51" s="18"/>
      <c r="J51" s="18"/>
      <c r="K51" s="18"/>
      <c r="L51" s="18"/>
      <c r="M51" s="18"/>
      <c r="N51" s="18"/>
      <c r="O51" s="17"/>
      <c r="P51" s="18"/>
      <c r="Q51" s="18"/>
      <c r="R51" s="18"/>
      <c r="S51" s="18"/>
      <c r="T51" s="18"/>
      <c r="U51" s="18"/>
      <c r="V51" s="18"/>
      <c r="W51" s="33"/>
      <c r="X51" s="18"/>
      <c r="Y51" s="18"/>
      <c r="Z51" s="18"/>
      <c r="AA51" s="18"/>
      <c r="AB51" s="18"/>
      <c r="AC51" s="17"/>
      <c r="AD51" s="18"/>
      <c r="AE51" s="18"/>
      <c r="AF51" s="18"/>
      <c r="AG51" s="18"/>
      <c r="AH51" s="18"/>
      <c r="AI51" s="18"/>
      <c r="AJ51" s="18"/>
      <c r="AK51" s="33"/>
      <c r="AL51" s="18"/>
      <c r="AM51" s="18"/>
      <c r="AN51" s="18"/>
      <c r="AO51" s="18"/>
      <c r="AP51" s="18"/>
      <c r="AQ51" s="17"/>
      <c r="AR51" s="18"/>
      <c r="AS51" s="18"/>
      <c r="AT51" s="18"/>
      <c r="AU51" s="18"/>
      <c r="AV51" s="18"/>
      <c r="AW51" s="18"/>
      <c r="AX51" s="18"/>
      <c r="AY51" s="33"/>
      <c r="AZ51" s="18"/>
      <c r="BA51" s="18"/>
      <c r="BB51" s="18"/>
      <c r="BC51" s="18"/>
      <c r="BD51" s="18"/>
      <c r="BE51" s="17"/>
      <c r="BF51" s="33"/>
      <c r="BG51" s="18"/>
      <c r="BH51" s="18"/>
      <c r="BI51" s="18"/>
      <c r="BJ51" s="18"/>
      <c r="BK51" s="18"/>
      <c r="BL51" s="17"/>
      <c r="BM51" s="18"/>
      <c r="BN51" s="8"/>
      <c r="BO51" s="8" t="s">
        <v>118</v>
      </c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33"/>
      <c r="CD51" s="18"/>
      <c r="CE51" s="18"/>
      <c r="CF51" s="18"/>
      <c r="CG51" s="17"/>
      <c r="CH51" s="13"/>
      <c r="CJ51" s="26"/>
      <c r="CN51" s="26"/>
      <c r="CY51" s="27"/>
    </row>
    <row r="52" spans="1:103" s="11" customFormat="1">
      <c r="A52" s="32"/>
      <c r="B52" s="33"/>
      <c r="C52" s="18"/>
      <c r="D52" s="18"/>
      <c r="E52" s="18"/>
      <c r="F52" s="18"/>
      <c r="G52" s="18"/>
      <c r="H52" s="17"/>
      <c r="I52" s="18"/>
      <c r="J52" s="18"/>
      <c r="K52" s="18"/>
      <c r="L52" s="18"/>
      <c r="M52" s="18"/>
      <c r="N52" s="18"/>
      <c r="O52" s="17"/>
      <c r="P52" s="18"/>
      <c r="Q52" s="18"/>
      <c r="R52" s="18"/>
      <c r="S52" s="18"/>
      <c r="T52" s="18"/>
      <c r="U52" s="18"/>
      <c r="V52" s="18"/>
      <c r="W52" s="33"/>
      <c r="X52" s="18"/>
      <c r="Y52" s="18"/>
      <c r="Z52" s="18"/>
      <c r="AA52" s="18"/>
      <c r="AB52" s="18"/>
      <c r="AC52" s="17"/>
      <c r="AD52" s="18"/>
      <c r="AE52" s="18"/>
      <c r="AF52" s="18"/>
      <c r="AG52" s="18"/>
      <c r="AH52" s="18"/>
      <c r="AI52" s="18"/>
      <c r="AJ52" s="18"/>
      <c r="AK52" s="33"/>
      <c r="AL52" s="18"/>
      <c r="AM52" s="18"/>
      <c r="AN52" s="18"/>
      <c r="AO52" s="18"/>
      <c r="AP52" s="18"/>
      <c r="AQ52" s="17"/>
      <c r="AR52" s="18"/>
      <c r="AS52" s="18"/>
      <c r="AT52" s="18"/>
      <c r="AU52" s="18"/>
      <c r="AV52" s="18"/>
      <c r="AW52" s="18"/>
      <c r="AX52" s="18"/>
      <c r="AY52" s="33"/>
      <c r="AZ52" s="18"/>
      <c r="BA52" s="18"/>
      <c r="BB52" s="18"/>
      <c r="BC52" s="18"/>
      <c r="BD52" s="18"/>
      <c r="BE52" s="17"/>
      <c r="BF52" s="33"/>
      <c r="BG52" s="18"/>
      <c r="BH52" s="18"/>
      <c r="BI52" s="18"/>
      <c r="BJ52" s="18"/>
      <c r="BK52" s="18"/>
      <c r="BL52" s="17"/>
      <c r="BM52" s="18"/>
      <c r="BN52" s="8"/>
      <c r="BO52" s="8" t="s">
        <v>119</v>
      </c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33"/>
      <c r="CD52" s="18"/>
      <c r="CE52" s="18"/>
      <c r="CF52" s="18"/>
      <c r="CG52" s="17"/>
      <c r="CH52" s="13"/>
      <c r="CJ52" s="26"/>
      <c r="CN52" s="26"/>
      <c r="CY52" s="27"/>
    </row>
    <row r="53" spans="1:103" s="11" customFormat="1">
      <c r="A53" s="32"/>
      <c r="B53" s="33"/>
      <c r="C53" s="18"/>
      <c r="D53" s="18"/>
      <c r="E53" s="18"/>
      <c r="F53" s="18"/>
      <c r="G53" s="18"/>
      <c r="H53" s="17"/>
      <c r="I53" s="18"/>
      <c r="J53" s="18"/>
      <c r="K53" s="18"/>
      <c r="L53" s="18"/>
      <c r="M53" s="18"/>
      <c r="N53" s="18"/>
      <c r="O53" s="17"/>
      <c r="P53" s="18"/>
      <c r="Q53" s="18"/>
      <c r="R53" s="18"/>
      <c r="S53" s="18"/>
      <c r="T53" s="18"/>
      <c r="U53" s="18"/>
      <c r="V53" s="18"/>
      <c r="W53" s="33"/>
      <c r="X53" s="18"/>
      <c r="Y53" s="18"/>
      <c r="Z53" s="18"/>
      <c r="AA53" s="18"/>
      <c r="AB53" s="18"/>
      <c r="AC53" s="17"/>
      <c r="AD53" s="18"/>
      <c r="AE53" s="18"/>
      <c r="AF53" s="18"/>
      <c r="AG53" s="18"/>
      <c r="AH53" s="18"/>
      <c r="AI53" s="18"/>
      <c r="AJ53" s="18"/>
      <c r="AK53" s="33"/>
      <c r="AL53" s="18"/>
      <c r="AM53" s="18"/>
      <c r="AN53" s="18"/>
      <c r="AO53" s="18"/>
      <c r="AP53" s="18"/>
      <c r="AQ53" s="17"/>
      <c r="AR53" s="18"/>
      <c r="AS53" s="18"/>
      <c r="AT53" s="18"/>
      <c r="AU53" s="18"/>
      <c r="AV53" s="18"/>
      <c r="AW53" s="18"/>
      <c r="AX53" s="18"/>
      <c r="AY53" s="33"/>
      <c r="AZ53" s="18"/>
      <c r="BA53" s="18"/>
      <c r="BB53" s="18"/>
      <c r="BC53" s="18"/>
      <c r="BD53" s="18"/>
      <c r="BE53" s="17"/>
      <c r="BF53" s="33"/>
      <c r="BG53" s="18"/>
      <c r="BH53" s="18"/>
      <c r="BI53" s="18"/>
      <c r="BJ53" s="18"/>
      <c r="BK53" s="18"/>
      <c r="BL53" s="17"/>
      <c r="BM53" s="18"/>
      <c r="BN53" s="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33"/>
      <c r="CD53" s="18"/>
      <c r="CE53" s="18"/>
      <c r="CF53" s="18"/>
      <c r="CG53" s="17"/>
      <c r="CH53" s="13"/>
      <c r="CJ53" s="26"/>
      <c r="CN53" s="26"/>
      <c r="CY53" s="27"/>
    </row>
    <row r="54" spans="1:103" s="11" customFormat="1">
      <c r="A54" s="32"/>
      <c r="B54" s="33"/>
      <c r="C54" s="18"/>
      <c r="D54" s="18"/>
      <c r="E54" s="18"/>
      <c r="F54" s="18"/>
      <c r="G54" s="18"/>
      <c r="H54" s="17"/>
      <c r="I54" s="18"/>
      <c r="J54" s="18"/>
      <c r="K54" s="18"/>
      <c r="L54" s="18"/>
      <c r="M54" s="18"/>
      <c r="N54" s="18"/>
      <c r="O54" s="17"/>
      <c r="P54" s="18"/>
      <c r="Q54" s="18"/>
      <c r="R54" s="18"/>
      <c r="S54" s="18"/>
      <c r="T54" s="18"/>
      <c r="U54" s="18"/>
      <c r="V54" s="18"/>
      <c r="W54" s="33"/>
      <c r="X54" s="18"/>
      <c r="Y54" s="18"/>
      <c r="Z54" s="18"/>
      <c r="AA54" s="18"/>
      <c r="AB54" s="18"/>
      <c r="AC54" s="17"/>
      <c r="AD54" s="18"/>
      <c r="AE54" s="18"/>
      <c r="AF54" s="18"/>
      <c r="AG54" s="18"/>
      <c r="AH54" s="18"/>
      <c r="AI54" s="18"/>
      <c r="AJ54" s="18"/>
      <c r="AK54" s="33"/>
      <c r="AL54" s="18"/>
      <c r="AM54" s="18"/>
      <c r="AN54" s="18"/>
      <c r="AO54" s="18"/>
      <c r="AP54" s="18"/>
      <c r="AQ54" s="17"/>
      <c r="AR54" s="18"/>
      <c r="AS54" s="18"/>
      <c r="AT54" s="18"/>
      <c r="AU54" s="18"/>
      <c r="AV54" s="18"/>
      <c r="AW54" s="18"/>
      <c r="AX54" s="18"/>
      <c r="AY54" s="33"/>
      <c r="AZ54" s="18"/>
      <c r="BA54" s="18"/>
      <c r="BB54" s="18"/>
      <c r="BC54" s="18"/>
      <c r="BD54" s="18"/>
      <c r="BE54" s="17"/>
      <c r="BF54" s="33"/>
      <c r="BG54" s="18"/>
      <c r="BH54" s="18"/>
      <c r="BI54" s="18"/>
      <c r="BJ54" s="18"/>
      <c r="BK54" s="18"/>
      <c r="BL54" s="17"/>
      <c r="BM54" s="18"/>
      <c r="BN54" s="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33"/>
      <c r="CD54" s="18"/>
      <c r="CE54" s="18"/>
      <c r="CF54" s="18"/>
      <c r="CG54" s="17"/>
      <c r="CH54" s="13"/>
      <c r="CJ54" s="26"/>
      <c r="CN54" s="26"/>
      <c r="CY54" s="27"/>
    </row>
    <row r="55" spans="1:103" s="11" customFormat="1">
      <c r="A55" s="32"/>
      <c r="B55" s="33"/>
      <c r="C55" s="18"/>
      <c r="D55" s="18"/>
      <c r="E55" s="18"/>
      <c r="F55" s="18"/>
      <c r="G55" s="18"/>
      <c r="H55" s="17"/>
      <c r="I55" s="18"/>
      <c r="J55" s="18"/>
      <c r="K55" s="18"/>
      <c r="L55" s="18"/>
      <c r="M55" s="18"/>
      <c r="N55" s="18"/>
      <c r="O55" s="17"/>
      <c r="P55" s="18"/>
      <c r="Q55" s="18"/>
      <c r="R55" s="18"/>
      <c r="S55" s="18"/>
      <c r="T55" s="18"/>
      <c r="U55" s="18"/>
      <c r="V55" s="18"/>
      <c r="W55" s="33"/>
      <c r="X55" s="18"/>
      <c r="Y55" s="18"/>
      <c r="Z55" s="18"/>
      <c r="AA55" s="18"/>
      <c r="AB55" s="18"/>
      <c r="AC55" s="17"/>
      <c r="AD55" s="18"/>
      <c r="AE55" s="18"/>
      <c r="AF55" s="18"/>
      <c r="AG55" s="18"/>
      <c r="AH55" s="18"/>
      <c r="AI55" s="18"/>
      <c r="AJ55" s="18"/>
      <c r="AK55" s="33"/>
      <c r="AL55" s="18"/>
      <c r="AM55" s="18"/>
      <c r="AN55" s="18"/>
      <c r="AO55" s="18"/>
      <c r="AP55" s="18"/>
      <c r="AQ55" s="17"/>
      <c r="AR55" s="18"/>
      <c r="AS55" s="18"/>
      <c r="AT55" s="18"/>
      <c r="AU55" s="18"/>
      <c r="AV55" s="18"/>
      <c r="AW55" s="18"/>
      <c r="AX55" s="18"/>
      <c r="AY55" s="33"/>
      <c r="AZ55" s="18"/>
      <c r="BA55" s="18"/>
      <c r="BB55" s="18"/>
      <c r="BC55" s="18"/>
      <c r="BD55" s="18"/>
      <c r="BE55" s="17"/>
      <c r="BF55" s="33"/>
      <c r="BG55" s="18"/>
      <c r="BH55" s="18"/>
      <c r="BI55" s="18"/>
      <c r="BJ55" s="18"/>
      <c r="BK55" s="18"/>
      <c r="BL55" s="17"/>
      <c r="BM55" s="18"/>
      <c r="BN55" s="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33"/>
      <c r="CD55" s="18"/>
      <c r="CE55" s="18"/>
      <c r="CF55" s="18"/>
      <c r="CG55" s="17"/>
      <c r="CH55" s="13"/>
      <c r="CJ55" s="26"/>
      <c r="CN55" s="26"/>
      <c r="CY55" s="27"/>
    </row>
    <row r="56" spans="1:103" s="11" customFormat="1">
      <c r="A56" s="32"/>
      <c r="B56" s="33"/>
      <c r="C56" s="18"/>
      <c r="D56" s="18"/>
      <c r="E56" s="18"/>
      <c r="F56" s="18"/>
      <c r="G56" s="18"/>
      <c r="H56" s="17"/>
      <c r="I56" s="18"/>
      <c r="J56" s="18"/>
      <c r="K56" s="18"/>
      <c r="L56" s="18"/>
      <c r="M56" s="18"/>
      <c r="N56" s="18"/>
      <c r="O56" s="17"/>
      <c r="P56" s="18"/>
      <c r="Q56" s="18"/>
      <c r="R56" s="18"/>
      <c r="S56" s="18"/>
      <c r="T56" s="18"/>
      <c r="U56" s="18"/>
      <c r="V56" s="18"/>
      <c r="W56" s="33"/>
      <c r="X56" s="18"/>
      <c r="Y56" s="18"/>
      <c r="Z56" s="18"/>
      <c r="AA56" s="18"/>
      <c r="AB56" s="18"/>
      <c r="AC56" s="17"/>
      <c r="AD56" s="18"/>
      <c r="AE56" s="18"/>
      <c r="AF56" s="18"/>
      <c r="AG56" s="18"/>
      <c r="AH56" s="18"/>
      <c r="AI56" s="18"/>
      <c r="AJ56" s="18"/>
      <c r="AK56" s="33"/>
      <c r="AL56" s="18"/>
      <c r="AM56" s="18"/>
      <c r="AN56" s="18"/>
      <c r="AO56" s="18"/>
      <c r="AP56" s="18"/>
      <c r="AQ56" s="17"/>
      <c r="AR56" s="18"/>
      <c r="AS56" s="18"/>
      <c r="AT56" s="18"/>
      <c r="AU56" s="18"/>
      <c r="AV56" s="18"/>
      <c r="AW56" s="18"/>
      <c r="AX56" s="18"/>
      <c r="AY56" s="33"/>
      <c r="AZ56" s="18"/>
      <c r="BA56" s="18"/>
      <c r="BB56" s="18"/>
      <c r="BC56" s="18"/>
      <c r="BD56" s="18"/>
      <c r="BE56" s="17"/>
      <c r="BF56" s="33"/>
      <c r="BG56" s="18"/>
      <c r="BH56" s="18"/>
      <c r="BI56" s="18"/>
      <c r="BJ56" s="18"/>
      <c r="BK56" s="18"/>
      <c r="BL56" s="17"/>
      <c r="BM56" s="18"/>
      <c r="BN56" s="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33"/>
      <c r="CD56" s="18"/>
      <c r="CE56" s="18"/>
      <c r="CF56" s="18"/>
      <c r="CG56" s="17"/>
      <c r="CH56" s="13"/>
      <c r="CJ56" s="26"/>
      <c r="CN56" s="26"/>
      <c r="CY56" s="27"/>
    </row>
    <row r="57" spans="1:103" s="11" customFormat="1">
      <c r="A57" s="32"/>
      <c r="B57" s="33"/>
      <c r="C57" s="18"/>
      <c r="D57" s="18"/>
      <c r="E57" s="18"/>
      <c r="F57" s="18"/>
      <c r="G57" s="18"/>
      <c r="H57" s="17"/>
      <c r="I57" s="18"/>
      <c r="J57" s="18"/>
      <c r="K57" s="18"/>
      <c r="L57" s="18"/>
      <c r="M57" s="18"/>
      <c r="N57" s="18"/>
      <c r="O57" s="17"/>
      <c r="P57" s="18"/>
      <c r="Q57" s="18"/>
      <c r="R57" s="18"/>
      <c r="S57" s="18"/>
      <c r="T57" s="18"/>
      <c r="U57" s="18"/>
      <c r="V57" s="18"/>
      <c r="W57" s="33"/>
      <c r="X57" s="18"/>
      <c r="Y57" s="18"/>
      <c r="Z57" s="18"/>
      <c r="AA57" s="18"/>
      <c r="AB57" s="18"/>
      <c r="AC57" s="17"/>
      <c r="AD57" s="18"/>
      <c r="AE57" s="18"/>
      <c r="AF57" s="18"/>
      <c r="AG57" s="18"/>
      <c r="AH57" s="18"/>
      <c r="AI57" s="18"/>
      <c r="AJ57" s="18"/>
      <c r="AK57" s="33"/>
      <c r="AL57" s="18"/>
      <c r="AM57" s="18"/>
      <c r="AN57" s="18"/>
      <c r="AO57" s="18"/>
      <c r="AP57" s="18"/>
      <c r="AQ57" s="17"/>
      <c r="AR57" s="18"/>
      <c r="AS57" s="18"/>
      <c r="AT57" s="18"/>
      <c r="AU57" s="18"/>
      <c r="AV57" s="18"/>
      <c r="AW57" s="18"/>
      <c r="AX57" s="18"/>
      <c r="AY57" s="33"/>
      <c r="AZ57" s="18"/>
      <c r="BA57" s="18"/>
      <c r="BB57" s="18"/>
      <c r="BC57" s="18"/>
      <c r="BD57" s="18"/>
      <c r="BE57" s="17"/>
      <c r="BF57" s="33"/>
      <c r="BG57" s="18"/>
      <c r="BH57" s="18"/>
      <c r="BI57" s="18"/>
      <c r="BJ57" s="18"/>
      <c r="BK57" s="18"/>
      <c r="BL57" s="17"/>
      <c r="BM57" s="18"/>
      <c r="BN57" s="16" t="s">
        <v>120</v>
      </c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33"/>
      <c r="CD57" s="18"/>
      <c r="CE57" s="18"/>
      <c r="CF57" s="18"/>
      <c r="CG57" s="17"/>
      <c r="CH57" s="13"/>
      <c r="CJ57" s="26"/>
      <c r="CN57" s="26"/>
      <c r="CY57" s="27"/>
    </row>
    <row r="58" spans="1:103" s="11" customFormat="1">
      <c r="A58" s="32"/>
      <c r="B58" s="33"/>
      <c r="C58" s="18"/>
      <c r="D58" s="18"/>
      <c r="E58" s="18"/>
      <c r="F58" s="18"/>
      <c r="G58" s="18"/>
      <c r="H58" s="17"/>
      <c r="I58" s="18"/>
      <c r="J58" s="18"/>
      <c r="K58" s="18"/>
      <c r="L58" s="18"/>
      <c r="M58" s="18"/>
      <c r="N58" s="18"/>
      <c r="O58" s="17"/>
      <c r="P58" s="18"/>
      <c r="Q58" s="18"/>
      <c r="R58" s="18"/>
      <c r="S58" s="18"/>
      <c r="T58" s="18"/>
      <c r="U58" s="18"/>
      <c r="V58" s="18"/>
      <c r="W58" s="33"/>
      <c r="X58" s="18"/>
      <c r="Y58" s="18"/>
      <c r="Z58" s="18"/>
      <c r="AA58" s="18"/>
      <c r="AB58" s="18"/>
      <c r="AC58" s="17"/>
      <c r="AD58" s="18"/>
      <c r="AE58" s="18"/>
      <c r="AF58" s="18"/>
      <c r="AG58" s="18"/>
      <c r="AH58" s="18"/>
      <c r="AI58" s="18"/>
      <c r="AJ58" s="18"/>
      <c r="AK58" s="33"/>
      <c r="AL58" s="18"/>
      <c r="AM58" s="18"/>
      <c r="AN58" s="18"/>
      <c r="AO58" s="18"/>
      <c r="AP58" s="18"/>
      <c r="AQ58" s="17"/>
      <c r="AR58" s="18"/>
      <c r="AS58" s="18"/>
      <c r="AT58" s="18"/>
      <c r="AU58" s="18"/>
      <c r="AV58" s="18"/>
      <c r="AW58" s="18"/>
      <c r="AX58" s="18"/>
      <c r="AY58" s="33"/>
      <c r="AZ58" s="18"/>
      <c r="BA58" s="18"/>
      <c r="BB58" s="18"/>
      <c r="BC58" s="18"/>
      <c r="BD58" s="18"/>
      <c r="BE58" s="17"/>
      <c r="BF58" s="33"/>
      <c r="BG58" s="18"/>
      <c r="BH58" s="18"/>
      <c r="BI58" s="18"/>
      <c r="BJ58" s="18"/>
      <c r="BK58" s="18"/>
      <c r="BL58" s="17"/>
      <c r="BM58" s="18"/>
      <c r="BN58" s="16"/>
      <c r="BO58" s="8" t="s">
        <v>121</v>
      </c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33"/>
      <c r="CD58" s="18"/>
      <c r="CE58" s="18"/>
      <c r="CF58" s="18"/>
      <c r="CG58" s="17"/>
      <c r="CH58" s="13"/>
      <c r="CJ58" s="26"/>
      <c r="CN58" s="26"/>
      <c r="CY58" s="27"/>
    </row>
    <row r="59" spans="1:103" s="11" customFormat="1">
      <c r="A59" s="32"/>
      <c r="B59" s="33"/>
      <c r="C59" s="18"/>
      <c r="D59" s="18"/>
      <c r="E59" s="18"/>
      <c r="F59" s="18"/>
      <c r="G59" s="18"/>
      <c r="H59" s="17"/>
      <c r="I59" s="18"/>
      <c r="J59" s="18"/>
      <c r="K59" s="18"/>
      <c r="L59" s="18"/>
      <c r="M59" s="18"/>
      <c r="N59" s="18"/>
      <c r="O59" s="17"/>
      <c r="P59" s="18"/>
      <c r="Q59" s="18"/>
      <c r="R59" s="18"/>
      <c r="S59" s="18"/>
      <c r="T59" s="18"/>
      <c r="U59" s="18"/>
      <c r="V59" s="18"/>
      <c r="W59" s="33"/>
      <c r="X59" s="18"/>
      <c r="Y59" s="18"/>
      <c r="Z59" s="18"/>
      <c r="AA59" s="18"/>
      <c r="AB59" s="18"/>
      <c r="AC59" s="17"/>
      <c r="AD59" s="18"/>
      <c r="AE59" s="18"/>
      <c r="AF59" s="18"/>
      <c r="AG59" s="18"/>
      <c r="AH59" s="18"/>
      <c r="AI59" s="18"/>
      <c r="AJ59" s="18"/>
      <c r="AK59" s="33"/>
      <c r="AL59" s="18"/>
      <c r="AM59" s="18"/>
      <c r="AN59" s="18"/>
      <c r="AO59" s="18"/>
      <c r="AP59" s="18"/>
      <c r="AQ59" s="17"/>
      <c r="AR59" s="18"/>
      <c r="AS59" s="18"/>
      <c r="AT59" s="18"/>
      <c r="AU59" s="18"/>
      <c r="AV59" s="18"/>
      <c r="AW59" s="18"/>
      <c r="AX59" s="18"/>
      <c r="AY59" s="33"/>
      <c r="AZ59" s="18"/>
      <c r="BA59" s="18"/>
      <c r="BB59" s="18"/>
      <c r="BC59" s="18"/>
      <c r="BD59" s="18"/>
      <c r="BE59" s="17"/>
      <c r="BF59" s="33"/>
      <c r="BG59" s="18"/>
      <c r="BH59" s="18"/>
      <c r="BI59" s="18"/>
      <c r="BJ59" s="18"/>
      <c r="BK59" s="18"/>
      <c r="BL59" s="17"/>
      <c r="BM59" s="18"/>
      <c r="BN59" s="8"/>
      <c r="BO59" s="11" t="s">
        <v>122</v>
      </c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33"/>
      <c r="CD59" s="18"/>
      <c r="CE59" s="18"/>
      <c r="CF59" s="18"/>
      <c r="CG59" s="17"/>
      <c r="CH59" s="13"/>
      <c r="CJ59" s="26"/>
      <c r="CN59" s="26"/>
      <c r="CY59" s="27"/>
    </row>
    <row r="60" spans="1:103" s="11" customFormat="1">
      <c r="A60" s="32"/>
      <c r="B60" s="33"/>
      <c r="C60" s="18"/>
      <c r="D60" s="18"/>
      <c r="E60" s="18"/>
      <c r="F60" s="18"/>
      <c r="G60" s="18"/>
      <c r="H60" s="17"/>
      <c r="I60" s="18"/>
      <c r="J60" s="18"/>
      <c r="K60" s="18"/>
      <c r="L60" s="18"/>
      <c r="M60" s="18"/>
      <c r="N60" s="18"/>
      <c r="O60" s="17"/>
      <c r="P60" s="18"/>
      <c r="Q60" s="18"/>
      <c r="R60" s="18"/>
      <c r="S60" s="18"/>
      <c r="T60" s="18"/>
      <c r="U60" s="18"/>
      <c r="V60" s="18"/>
      <c r="W60" s="33"/>
      <c r="X60" s="18"/>
      <c r="Y60" s="18"/>
      <c r="Z60" s="18"/>
      <c r="AA60" s="18"/>
      <c r="AB60" s="18"/>
      <c r="AC60" s="17"/>
      <c r="AD60" s="18"/>
      <c r="AE60" s="18"/>
      <c r="AF60" s="18"/>
      <c r="AG60" s="18"/>
      <c r="AH60" s="18"/>
      <c r="AI60" s="18"/>
      <c r="AJ60" s="18"/>
      <c r="AK60" s="33"/>
      <c r="AL60" s="18"/>
      <c r="AM60" s="18"/>
      <c r="AN60" s="18"/>
      <c r="AO60" s="18"/>
      <c r="AP60" s="18"/>
      <c r="AQ60" s="17"/>
      <c r="AR60" s="18"/>
      <c r="AS60" s="18"/>
      <c r="AT60" s="18"/>
      <c r="AU60" s="18"/>
      <c r="AV60" s="18"/>
      <c r="AW60" s="18"/>
      <c r="AX60" s="18"/>
      <c r="AY60" s="33"/>
      <c r="AZ60" s="18"/>
      <c r="BA60" s="18"/>
      <c r="BB60" s="18"/>
      <c r="BC60" s="18"/>
      <c r="BD60" s="18"/>
      <c r="BE60" s="17"/>
      <c r="BF60" s="33"/>
      <c r="BG60" s="18"/>
      <c r="BH60" s="18"/>
      <c r="BI60" s="18"/>
      <c r="BJ60" s="18"/>
      <c r="BK60" s="18"/>
      <c r="BL60" s="17"/>
      <c r="BM60" s="18"/>
      <c r="BN60" s="8"/>
      <c r="BO60" s="8" t="s">
        <v>123</v>
      </c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33"/>
      <c r="CD60" s="18"/>
      <c r="CE60" s="18"/>
      <c r="CF60" s="18"/>
      <c r="CG60" s="17"/>
      <c r="CH60" s="13"/>
      <c r="CJ60" s="26"/>
      <c r="CN60" s="26"/>
      <c r="CY60" s="27"/>
    </row>
    <row r="61" spans="1:103" s="11" customFormat="1">
      <c r="A61" s="32"/>
      <c r="B61" s="33"/>
      <c r="C61" s="18"/>
      <c r="D61" s="18"/>
      <c r="E61" s="18"/>
      <c r="F61" s="18"/>
      <c r="G61" s="18"/>
      <c r="H61" s="17"/>
      <c r="I61" s="18"/>
      <c r="J61" s="18"/>
      <c r="K61" s="18"/>
      <c r="L61" s="18"/>
      <c r="M61" s="18"/>
      <c r="N61" s="18"/>
      <c r="O61" s="17"/>
      <c r="P61" s="18"/>
      <c r="Q61" s="18"/>
      <c r="R61" s="18"/>
      <c r="S61" s="18"/>
      <c r="T61" s="18"/>
      <c r="U61" s="18"/>
      <c r="V61" s="18"/>
      <c r="W61" s="33"/>
      <c r="X61" s="18"/>
      <c r="Y61" s="18"/>
      <c r="Z61" s="18"/>
      <c r="AA61" s="18"/>
      <c r="AB61" s="18"/>
      <c r="AC61" s="17"/>
      <c r="AD61" s="18"/>
      <c r="AE61" s="18"/>
      <c r="AF61" s="18"/>
      <c r="AG61" s="18"/>
      <c r="AH61" s="18"/>
      <c r="AI61" s="18"/>
      <c r="AJ61" s="18"/>
      <c r="AK61" s="33"/>
      <c r="AL61" s="18"/>
      <c r="AM61" s="18"/>
      <c r="AN61" s="18"/>
      <c r="AO61" s="18"/>
      <c r="AP61" s="18"/>
      <c r="AQ61" s="17"/>
      <c r="AR61" s="18"/>
      <c r="AS61" s="18"/>
      <c r="AT61" s="18"/>
      <c r="AU61" s="18"/>
      <c r="AV61" s="18"/>
      <c r="AW61" s="18"/>
      <c r="AX61" s="18"/>
      <c r="AY61" s="33"/>
      <c r="AZ61" s="18"/>
      <c r="BA61" s="18"/>
      <c r="BB61" s="18"/>
      <c r="BC61" s="18"/>
      <c r="BD61" s="18"/>
      <c r="BE61" s="17"/>
      <c r="BF61" s="33"/>
      <c r="BG61" s="18"/>
      <c r="BH61" s="18"/>
      <c r="BI61" s="18"/>
      <c r="BJ61" s="18"/>
      <c r="BK61" s="18"/>
      <c r="BL61" s="17"/>
      <c r="BM61" s="18"/>
      <c r="BN61" s="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33"/>
      <c r="CD61" s="18"/>
      <c r="CE61" s="18"/>
      <c r="CF61" s="18"/>
      <c r="CG61" s="17"/>
      <c r="CH61" s="13"/>
      <c r="CJ61" s="26"/>
      <c r="CN61" s="26"/>
      <c r="CY61" s="27"/>
    </row>
    <row r="62" spans="1:103" s="11" customFormat="1">
      <c r="A62" s="32"/>
      <c r="B62" s="33"/>
      <c r="C62" s="18"/>
      <c r="D62" s="18"/>
      <c r="E62" s="18"/>
      <c r="F62" s="18"/>
      <c r="G62" s="18"/>
      <c r="H62" s="17"/>
      <c r="I62" s="18"/>
      <c r="J62" s="18"/>
      <c r="K62" s="18"/>
      <c r="L62" s="18"/>
      <c r="M62" s="18"/>
      <c r="N62" s="18"/>
      <c r="O62" s="17"/>
      <c r="P62" s="18"/>
      <c r="Q62" s="18"/>
      <c r="R62" s="18"/>
      <c r="S62" s="18"/>
      <c r="T62" s="18"/>
      <c r="U62" s="18"/>
      <c r="V62" s="18"/>
      <c r="W62" s="33"/>
      <c r="X62" s="18"/>
      <c r="Y62" s="18"/>
      <c r="Z62" s="18"/>
      <c r="AA62" s="18"/>
      <c r="AB62" s="18"/>
      <c r="AC62" s="17"/>
      <c r="AD62" s="18"/>
      <c r="AE62" s="18"/>
      <c r="AF62" s="18"/>
      <c r="AG62" s="18"/>
      <c r="AH62" s="18"/>
      <c r="AI62" s="18"/>
      <c r="AJ62" s="18"/>
      <c r="AK62" s="33"/>
      <c r="AL62" s="18"/>
      <c r="AM62" s="18"/>
      <c r="AN62" s="18"/>
      <c r="AO62" s="18"/>
      <c r="AP62" s="18"/>
      <c r="AQ62" s="17"/>
      <c r="AR62" s="18"/>
      <c r="AS62" s="18"/>
      <c r="AT62" s="18"/>
      <c r="AU62" s="18"/>
      <c r="AV62" s="18"/>
      <c r="AW62" s="18"/>
      <c r="AX62" s="18"/>
      <c r="AY62" s="33"/>
      <c r="AZ62" s="18"/>
      <c r="BA62" s="18"/>
      <c r="BB62" s="18"/>
      <c r="BC62" s="18"/>
      <c r="BD62" s="18"/>
      <c r="BE62" s="17"/>
      <c r="BF62" s="33"/>
      <c r="BG62" s="18"/>
      <c r="BH62" s="18"/>
      <c r="BI62" s="18"/>
      <c r="BJ62" s="18"/>
      <c r="BK62" s="18"/>
      <c r="BL62" s="17"/>
      <c r="BM62" s="18"/>
      <c r="BN62" s="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33"/>
      <c r="CD62" s="18"/>
      <c r="CE62" s="18"/>
      <c r="CF62" s="18"/>
      <c r="CG62" s="17"/>
      <c r="CH62" s="13"/>
      <c r="CJ62" s="26"/>
      <c r="CN62" s="26"/>
      <c r="CY62" s="27"/>
    </row>
    <row r="63" spans="1:103" s="11" customFormat="1">
      <c r="A63" s="32"/>
      <c r="B63" s="33"/>
      <c r="C63" s="18"/>
      <c r="D63" s="18"/>
      <c r="E63" s="18"/>
      <c r="F63" s="18"/>
      <c r="G63" s="18"/>
      <c r="H63" s="17"/>
      <c r="I63" s="18"/>
      <c r="J63" s="18"/>
      <c r="K63" s="18"/>
      <c r="L63" s="18"/>
      <c r="M63" s="18"/>
      <c r="N63" s="18"/>
      <c r="O63" s="17"/>
      <c r="P63" s="18"/>
      <c r="Q63" s="18"/>
      <c r="R63" s="18"/>
      <c r="S63" s="18"/>
      <c r="T63" s="18"/>
      <c r="U63" s="18"/>
      <c r="V63" s="18"/>
      <c r="W63" s="33"/>
      <c r="X63" s="18"/>
      <c r="Y63" s="18"/>
      <c r="Z63" s="18"/>
      <c r="AA63" s="18"/>
      <c r="AB63" s="18"/>
      <c r="AC63" s="17"/>
      <c r="AD63" s="18"/>
      <c r="AE63" s="18"/>
      <c r="AF63" s="18"/>
      <c r="AG63" s="18"/>
      <c r="AH63" s="18"/>
      <c r="AI63" s="18"/>
      <c r="AJ63" s="18"/>
      <c r="AK63" s="33"/>
      <c r="AL63" s="18"/>
      <c r="AM63" s="18"/>
      <c r="AN63" s="18"/>
      <c r="AO63" s="18"/>
      <c r="AP63" s="18"/>
      <c r="AQ63" s="17"/>
      <c r="AR63" s="18"/>
      <c r="AS63" s="18"/>
      <c r="AT63" s="18"/>
      <c r="AU63" s="18"/>
      <c r="AV63" s="18"/>
      <c r="AW63" s="18"/>
      <c r="AX63" s="18"/>
      <c r="AY63" s="33"/>
      <c r="AZ63" s="18"/>
      <c r="BA63" s="18"/>
      <c r="BB63" s="18"/>
      <c r="BC63" s="18"/>
      <c r="BD63" s="18"/>
      <c r="BE63" s="17"/>
      <c r="BF63" s="33"/>
      <c r="BG63" s="18"/>
      <c r="BH63" s="18"/>
      <c r="BI63" s="18"/>
      <c r="BJ63" s="18"/>
      <c r="BK63" s="18"/>
      <c r="BL63" s="17"/>
      <c r="BM63" s="18"/>
      <c r="BN63" s="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33"/>
      <c r="CD63" s="18"/>
      <c r="CE63" s="18"/>
      <c r="CF63" s="18"/>
      <c r="CG63" s="17"/>
      <c r="CH63" s="13"/>
      <c r="CJ63" s="26"/>
      <c r="CN63" s="26"/>
      <c r="CY63" s="27"/>
    </row>
    <row r="64" spans="1:103" s="11" customFormat="1">
      <c r="A64" s="32"/>
      <c r="B64" s="33"/>
      <c r="C64" s="18"/>
      <c r="D64" s="18"/>
      <c r="E64" s="18"/>
      <c r="F64" s="18"/>
      <c r="G64" s="18"/>
      <c r="H64" s="17"/>
      <c r="I64" s="18"/>
      <c r="J64" s="18"/>
      <c r="K64" s="18"/>
      <c r="L64" s="18"/>
      <c r="M64" s="18"/>
      <c r="N64" s="18"/>
      <c r="O64" s="17"/>
      <c r="P64" s="18"/>
      <c r="Q64" s="18"/>
      <c r="R64" s="18"/>
      <c r="S64" s="18"/>
      <c r="T64" s="18"/>
      <c r="U64" s="18"/>
      <c r="V64" s="18"/>
      <c r="W64" s="33"/>
      <c r="X64" s="18"/>
      <c r="Y64" s="18"/>
      <c r="Z64" s="18"/>
      <c r="AA64" s="18"/>
      <c r="AB64" s="18"/>
      <c r="AC64" s="17"/>
      <c r="AD64" s="18"/>
      <c r="AE64" s="18"/>
      <c r="AF64" s="18"/>
      <c r="AG64" s="18"/>
      <c r="AH64" s="18"/>
      <c r="AI64" s="18"/>
      <c r="AJ64" s="18"/>
      <c r="AK64" s="33"/>
      <c r="AL64" s="18"/>
      <c r="AM64" s="18"/>
      <c r="AN64" s="18"/>
      <c r="AO64" s="18"/>
      <c r="AP64" s="18"/>
      <c r="AQ64" s="17"/>
      <c r="AR64" s="18"/>
      <c r="AS64" s="18"/>
      <c r="AT64" s="18"/>
      <c r="AU64" s="18"/>
      <c r="AV64" s="18"/>
      <c r="AW64" s="18"/>
      <c r="AX64" s="18"/>
      <c r="AY64" s="33"/>
      <c r="AZ64" s="18"/>
      <c r="BA64" s="18"/>
      <c r="BB64" s="18"/>
      <c r="BC64" s="18"/>
      <c r="BD64" s="18"/>
      <c r="BE64" s="17"/>
      <c r="BF64" s="33"/>
      <c r="BG64" s="18"/>
      <c r="BH64" s="18"/>
      <c r="BI64" s="18"/>
      <c r="BJ64" s="18"/>
      <c r="BK64" s="18"/>
      <c r="BL64" s="17"/>
      <c r="BM64" s="18"/>
      <c r="BN64" s="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33"/>
      <c r="CD64" s="18"/>
      <c r="CE64" s="18"/>
      <c r="CF64" s="18"/>
      <c r="CG64" s="17"/>
      <c r="CH64" s="13"/>
      <c r="CJ64" s="26"/>
      <c r="CN64" s="26"/>
      <c r="CY64" s="27"/>
    </row>
    <row r="65" spans="1:103" s="11" customFormat="1">
      <c r="A65" s="32"/>
      <c r="B65" s="33"/>
      <c r="C65" s="18"/>
      <c r="D65" s="18"/>
      <c r="E65" s="18"/>
      <c r="F65" s="18"/>
      <c r="G65" s="18"/>
      <c r="H65" s="17"/>
      <c r="I65" s="18"/>
      <c r="J65" s="18"/>
      <c r="K65" s="18"/>
      <c r="L65" s="18"/>
      <c r="M65" s="18"/>
      <c r="N65" s="18"/>
      <c r="O65" s="17"/>
      <c r="P65" s="18"/>
      <c r="Q65" s="18"/>
      <c r="R65" s="18"/>
      <c r="S65" s="18"/>
      <c r="T65" s="18"/>
      <c r="U65" s="18"/>
      <c r="V65" s="18"/>
      <c r="W65" s="33"/>
      <c r="X65" s="18"/>
      <c r="Y65" s="18"/>
      <c r="Z65" s="18"/>
      <c r="AA65" s="18"/>
      <c r="AB65" s="18"/>
      <c r="AC65" s="17"/>
      <c r="AD65" s="18"/>
      <c r="AE65" s="18"/>
      <c r="AF65" s="18"/>
      <c r="AG65" s="18"/>
      <c r="AH65" s="18"/>
      <c r="AI65" s="18"/>
      <c r="AJ65" s="18"/>
      <c r="AK65" s="33"/>
      <c r="AL65" s="18"/>
      <c r="AM65" s="18"/>
      <c r="AN65" s="18"/>
      <c r="AO65" s="18"/>
      <c r="AP65" s="18"/>
      <c r="AQ65" s="17"/>
      <c r="AR65" s="18"/>
      <c r="AS65" s="18"/>
      <c r="AT65" s="18"/>
      <c r="AU65" s="18"/>
      <c r="AV65" s="18"/>
      <c r="AW65" s="18"/>
      <c r="AX65" s="18"/>
      <c r="AY65" s="33"/>
      <c r="AZ65" s="18"/>
      <c r="BA65" s="18"/>
      <c r="BB65" s="18"/>
      <c r="BC65" s="18"/>
      <c r="BD65" s="18"/>
      <c r="BE65" s="17"/>
      <c r="BF65" s="33"/>
      <c r="BG65" s="18"/>
      <c r="BH65" s="18"/>
      <c r="BI65" s="18"/>
      <c r="BJ65" s="18"/>
      <c r="BK65" s="18"/>
      <c r="BL65" s="17"/>
      <c r="BM65" s="18"/>
      <c r="BN65" s="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33"/>
      <c r="CD65" s="18"/>
      <c r="CE65" s="18"/>
      <c r="CF65" s="18"/>
      <c r="CG65" s="17"/>
      <c r="CH65" s="13"/>
      <c r="CJ65" s="26"/>
      <c r="CN65" s="26"/>
      <c r="CY65" s="27"/>
    </row>
    <row r="66" spans="1:103" s="11" customFormat="1">
      <c r="A66" s="32"/>
      <c r="B66" s="33"/>
      <c r="C66" s="18"/>
      <c r="D66" s="18"/>
      <c r="E66" s="18"/>
      <c r="F66" s="18"/>
      <c r="G66" s="18"/>
      <c r="H66" s="17"/>
      <c r="I66" s="18"/>
      <c r="J66" s="18"/>
      <c r="K66" s="18"/>
      <c r="L66" s="18"/>
      <c r="M66" s="18"/>
      <c r="N66" s="18"/>
      <c r="O66" s="17"/>
      <c r="P66" s="18"/>
      <c r="Q66" s="18"/>
      <c r="R66" s="18"/>
      <c r="S66" s="18"/>
      <c r="T66" s="18"/>
      <c r="U66" s="18"/>
      <c r="V66" s="18"/>
      <c r="W66" s="33"/>
      <c r="X66" s="18"/>
      <c r="Y66" s="18"/>
      <c r="Z66" s="18"/>
      <c r="AA66" s="18"/>
      <c r="AB66" s="18"/>
      <c r="AC66" s="17"/>
      <c r="AD66" s="18"/>
      <c r="AE66" s="18"/>
      <c r="AF66" s="18"/>
      <c r="AG66" s="18"/>
      <c r="AH66" s="18"/>
      <c r="AI66" s="18"/>
      <c r="AJ66" s="18"/>
      <c r="AK66" s="33"/>
      <c r="AL66" s="18"/>
      <c r="AM66" s="18"/>
      <c r="AN66" s="18"/>
      <c r="AO66" s="18"/>
      <c r="AP66" s="18"/>
      <c r="AQ66" s="17"/>
      <c r="AR66" s="18"/>
      <c r="AS66" s="18"/>
      <c r="AT66" s="18"/>
      <c r="AU66" s="18"/>
      <c r="AV66" s="18"/>
      <c r="AW66" s="18"/>
      <c r="AX66" s="18"/>
      <c r="AY66" s="33"/>
      <c r="AZ66" s="18"/>
      <c r="BA66" s="18"/>
      <c r="BB66" s="18"/>
      <c r="BC66" s="18"/>
      <c r="BD66" s="18"/>
      <c r="BE66" s="17"/>
      <c r="BF66" s="33"/>
      <c r="BG66" s="18"/>
      <c r="BH66" s="18"/>
      <c r="BI66" s="18"/>
      <c r="BJ66" s="18"/>
      <c r="BK66" s="18"/>
      <c r="BL66" s="17"/>
      <c r="BM66" s="18"/>
      <c r="BN66" s="16" t="s">
        <v>124</v>
      </c>
      <c r="BO66" s="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33"/>
      <c r="CD66" s="18"/>
      <c r="CE66" s="18"/>
      <c r="CF66" s="18"/>
      <c r="CG66" s="17"/>
      <c r="CH66" s="13"/>
      <c r="CJ66" s="26"/>
      <c r="CN66" s="26"/>
      <c r="CY66" s="27"/>
    </row>
    <row r="67" spans="1:103" s="11" customFormat="1">
      <c r="A67" s="32"/>
      <c r="B67" s="33"/>
      <c r="C67" s="18"/>
      <c r="D67" s="18"/>
      <c r="E67" s="18"/>
      <c r="F67" s="18"/>
      <c r="G67" s="18"/>
      <c r="H67" s="17"/>
      <c r="I67" s="18"/>
      <c r="J67" s="18"/>
      <c r="K67" s="18"/>
      <c r="L67" s="18"/>
      <c r="M67" s="18"/>
      <c r="N67" s="18"/>
      <c r="O67" s="17"/>
      <c r="P67" s="18"/>
      <c r="Q67" s="18"/>
      <c r="R67" s="18"/>
      <c r="S67" s="18"/>
      <c r="T67" s="18"/>
      <c r="U67" s="18"/>
      <c r="V67" s="18"/>
      <c r="W67" s="33"/>
      <c r="X67" s="18"/>
      <c r="Y67" s="18"/>
      <c r="Z67" s="18"/>
      <c r="AA67" s="18"/>
      <c r="AB67" s="18"/>
      <c r="AC67" s="17"/>
      <c r="AD67" s="18"/>
      <c r="AE67" s="18"/>
      <c r="AF67" s="18"/>
      <c r="AG67" s="18"/>
      <c r="AH67" s="18"/>
      <c r="AI67" s="18"/>
      <c r="AJ67" s="18"/>
      <c r="AK67" s="33"/>
      <c r="AL67" s="18"/>
      <c r="AM67" s="18"/>
      <c r="AN67" s="18"/>
      <c r="AO67" s="18"/>
      <c r="AP67" s="18"/>
      <c r="AQ67" s="17"/>
      <c r="AR67" s="18"/>
      <c r="AS67" s="18"/>
      <c r="AT67" s="18"/>
      <c r="AU67" s="18"/>
      <c r="AV67" s="18"/>
      <c r="AW67" s="18"/>
      <c r="AX67" s="18"/>
      <c r="AY67" s="33"/>
      <c r="AZ67" s="18"/>
      <c r="BA67" s="18"/>
      <c r="BB67" s="18"/>
      <c r="BC67" s="18"/>
      <c r="BD67" s="18"/>
      <c r="BE67" s="17"/>
      <c r="BF67" s="33"/>
      <c r="BG67" s="18"/>
      <c r="BH67" s="18"/>
      <c r="BI67" s="18"/>
      <c r="BJ67" s="18"/>
      <c r="BK67" s="18"/>
      <c r="BL67" s="17"/>
      <c r="BM67" s="18"/>
      <c r="BN67" s="8"/>
      <c r="BO67" s="8" t="s">
        <v>125</v>
      </c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33"/>
      <c r="CD67" s="18"/>
      <c r="CE67" s="18"/>
      <c r="CF67" s="18"/>
      <c r="CG67" s="17"/>
      <c r="CH67" s="13"/>
      <c r="CJ67" s="26"/>
      <c r="CN67" s="26"/>
      <c r="CY67" s="27"/>
    </row>
    <row r="68" spans="1:103" s="11" customFormat="1">
      <c r="A68" s="32"/>
      <c r="B68" s="33"/>
      <c r="C68" s="18"/>
      <c r="D68" s="18"/>
      <c r="E68" s="18"/>
      <c r="F68" s="18"/>
      <c r="G68" s="18"/>
      <c r="H68" s="17"/>
      <c r="I68" s="18"/>
      <c r="J68" s="18"/>
      <c r="K68" s="18"/>
      <c r="L68" s="18"/>
      <c r="M68" s="18"/>
      <c r="N68" s="18"/>
      <c r="O68" s="17"/>
      <c r="P68" s="18"/>
      <c r="Q68" s="18"/>
      <c r="R68" s="18"/>
      <c r="S68" s="18"/>
      <c r="T68" s="18"/>
      <c r="U68" s="18"/>
      <c r="V68" s="18"/>
      <c r="W68" s="33"/>
      <c r="X68" s="18"/>
      <c r="Y68" s="18"/>
      <c r="Z68" s="18"/>
      <c r="AA68" s="18"/>
      <c r="AB68" s="18"/>
      <c r="AC68" s="17"/>
      <c r="AD68" s="18"/>
      <c r="AE68" s="18"/>
      <c r="AF68" s="18"/>
      <c r="AG68" s="18"/>
      <c r="AH68" s="18"/>
      <c r="AI68" s="18"/>
      <c r="AJ68" s="18"/>
      <c r="AK68" s="33"/>
      <c r="AL68" s="18"/>
      <c r="AM68" s="18"/>
      <c r="AN68" s="18"/>
      <c r="AO68" s="18"/>
      <c r="AP68" s="18"/>
      <c r="AQ68" s="17"/>
      <c r="AR68" s="18"/>
      <c r="AS68" s="18"/>
      <c r="AT68" s="18"/>
      <c r="AU68" s="18"/>
      <c r="AV68" s="18"/>
      <c r="AW68" s="18"/>
      <c r="AX68" s="18"/>
      <c r="AY68" s="33"/>
      <c r="AZ68" s="18"/>
      <c r="BA68" s="18"/>
      <c r="BB68" s="18"/>
      <c r="BC68" s="18"/>
      <c r="BD68" s="18"/>
      <c r="BE68" s="17"/>
      <c r="BF68" s="33"/>
      <c r="BG68" s="18"/>
      <c r="BH68" s="18"/>
      <c r="BI68" s="18"/>
      <c r="BJ68" s="18"/>
      <c r="BK68" s="18"/>
      <c r="BL68" s="17"/>
      <c r="BM68" s="18"/>
      <c r="BN68" s="8"/>
      <c r="BO68" s="8" t="s">
        <v>119</v>
      </c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33"/>
      <c r="CD68" s="18"/>
      <c r="CE68" s="18"/>
      <c r="CF68" s="18"/>
      <c r="CG68" s="17"/>
      <c r="CH68" s="13"/>
      <c r="CJ68" s="26"/>
      <c r="CN68" s="26"/>
      <c r="CY68" s="27"/>
    </row>
    <row r="69" spans="1:103" s="11" customFormat="1">
      <c r="A69" s="32"/>
      <c r="B69" s="33"/>
      <c r="C69" s="18"/>
      <c r="D69" s="18"/>
      <c r="E69" s="18"/>
      <c r="F69" s="18"/>
      <c r="G69" s="18"/>
      <c r="H69" s="17"/>
      <c r="I69" s="18"/>
      <c r="J69" s="18"/>
      <c r="K69" s="18"/>
      <c r="L69" s="18"/>
      <c r="M69" s="18"/>
      <c r="N69" s="18"/>
      <c r="O69" s="17"/>
      <c r="P69" s="18"/>
      <c r="Q69" s="18"/>
      <c r="R69" s="18"/>
      <c r="S69" s="18"/>
      <c r="T69" s="18"/>
      <c r="U69" s="18"/>
      <c r="V69" s="18"/>
      <c r="W69" s="33"/>
      <c r="X69" s="18"/>
      <c r="Y69" s="18"/>
      <c r="Z69" s="18"/>
      <c r="AA69" s="18"/>
      <c r="AB69" s="18"/>
      <c r="AC69" s="17"/>
      <c r="AD69" s="18"/>
      <c r="AE69" s="18"/>
      <c r="AF69" s="18"/>
      <c r="AG69" s="18"/>
      <c r="AH69" s="18"/>
      <c r="AI69" s="18"/>
      <c r="AJ69" s="18"/>
      <c r="AK69" s="33"/>
      <c r="AL69" s="18"/>
      <c r="AM69" s="18"/>
      <c r="AN69" s="18"/>
      <c r="AO69" s="18"/>
      <c r="AP69" s="18"/>
      <c r="AQ69" s="17"/>
      <c r="AR69" s="18"/>
      <c r="AS69" s="18"/>
      <c r="AT69" s="18"/>
      <c r="AU69" s="18"/>
      <c r="AV69" s="18"/>
      <c r="AW69" s="18"/>
      <c r="AX69" s="18"/>
      <c r="AY69" s="33"/>
      <c r="AZ69" s="18"/>
      <c r="BA69" s="18"/>
      <c r="BB69" s="18"/>
      <c r="BC69" s="18"/>
      <c r="BD69" s="18"/>
      <c r="BE69" s="17"/>
      <c r="BF69" s="33"/>
      <c r="BG69" s="18"/>
      <c r="BH69" s="18"/>
      <c r="BI69" s="18"/>
      <c r="BJ69" s="18"/>
      <c r="BK69" s="18"/>
      <c r="BL69" s="17"/>
      <c r="BM69" s="18"/>
      <c r="BN69" s="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33"/>
      <c r="CD69" s="18"/>
      <c r="CE69" s="18"/>
      <c r="CF69" s="18"/>
      <c r="CG69" s="17"/>
      <c r="CH69" s="13"/>
      <c r="CJ69" s="26"/>
      <c r="CN69" s="26"/>
      <c r="CY69" s="27"/>
    </row>
    <row r="70" spans="1:103" s="11" customFormat="1">
      <c r="A70" s="32"/>
      <c r="B70" s="33"/>
      <c r="C70" s="18"/>
      <c r="D70" s="18"/>
      <c r="E70" s="18"/>
      <c r="F70" s="18"/>
      <c r="G70" s="18"/>
      <c r="H70" s="17"/>
      <c r="I70" s="18"/>
      <c r="J70" s="18"/>
      <c r="K70" s="18"/>
      <c r="L70" s="18"/>
      <c r="M70" s="18"/>
      <c r="N70" s="18"/>
      <c r="O70" s="17"/>
      <c r="P70" s="18"/>
      <c r="Q70" s="18"/>
      <c r="R70" s="18"/>
      <c r="S70" s="18"/>
      <c r="T70" s="18"/>
      <c r="U70" s="18"/>
      <c r="V70" s="18"/>
      <c r="W70" s="33"/>
      <c r="X70" s="18"/>
      <c r="Y70" s="18"/>
      <c r="Z70" s="18"/>
      <c r="AA70" s="18"/>
      <c r="AB70" s="18"/>
      <c r="AC70" s="17"/>
      <c r="AD70" s="18"/>
      <c r="AE70" s="18"/>
      <c r="AF70" s="18"/>
      <c r="AG70" s="18"/>
      <c r="AH70" s="18"/>
      <c r="AI70" s="18"/>
      <c r="AJ70" s="18"/>
      <c r="AK70" s="33"/>
      <c r="AL70" s="18"/>
      <c r="AM70" s="18"/>
      <c r="AN70" s="18"/>
      <c r="AO70" s="18"/>
      <c r="AP70" s="18"/>
      <c r="AQ70" s="17"/>
      <c r="AR70" s="18"/>
      <c r="AS70" s="18"/>
      <c r="AT70" s="18"/>
      <c r="AU70" s="18"/>
      <c r="AV70" s="18"/>
      <c r="AW70" s="18"/>
      <c r="AX70" s="18"/>
      <c r="AY70" s="33"/>
      <c r="AZ70" s="18"/>
      <c r="BA70" s="18"/>
      <c r="BB70" s="18"/>
      <c r="BC70" s="18"/>
      <c r="BD70" s="18"/>
      <c r="BE70" s="17"/>
      <c r="BF70" s="33"/>
      <c r="BG70" s="18"/>
      <c r="BH70" s="18"/>
      <c r="BI70" s="18"/>
      <c r="BJ70" s="18"/>
      <c r="BK70" s="18"/>
      <c r="BL70" s="17"/>
      <c r="BM70" s="18"/>
      <c r="BN70" s="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33"/>
      <c r="CD70" s="18"/>
      <c r="CE70" s="18"/>
      <c r="CF70" s="18"/>
      <c r="CG70" s="17"/>
      <c r="CH70" s="13"/>
      <c r="CJ70" s="26"/>
      <c r="CN70" s="26"/>
      <c r="CY70" s="27"/>
    </row>
    <row r="71" spans="1:103" s="11" customFormat="1">
      <c r="A71" s="32"/>
      <c r="B71" s="33"/>
      <c r="C71" s="18"/>
      <c r="D71" s="18"/>
      <c r="E71" s="18"/>
      <c r="F71" s="18"/>
      <c r="G71" s="18"/>
      <c r="H71" s="17"/>
      <c r="I71" s="18"/>
      <c r="J71" s="18"/>
      <c r="K71" s="18"/>
      <c r="L71" s="18"/>
      <c r="M71" s="18"/>
      <c r="N71" s="18"/>
      <c r="O71" s="17"/>
      <c r="P71" s="18"/>
      <c r="Q71" s="18"/>
      <c r="R71" s="18"/>
      <c r="S71" s="18"/>
      <c r="T71" s="18"/>
      <c r="U71" s="18"/>
      <c r="V71" s="18"/>
      <c r="W71" s="33"/>
      <c r="X71" s="18"/>
      <c r="Y71" s="18"/>
      <c r="Z71" s="18"/>
      <c r="AA71" s="18"/>
      <c r="AB71" s="18"/>
      <c r="AC71" s="17"/>
      <c r="AD71" s="18"/>
      <c r="AE71" s="18"/>
      <c r="AF71" s="18"/>
      <c r="AG71" s="18"/>
      <c r="AH71" s="18"/>
      <c r="AI71" s="18"/>
      <c r="AJ71" s="18"/>
      <c r="AK71" s="33"/>
      <c r="AL71" s="18"/>
      <c r="AM71" s="18"/>
      <c r="AN71" s="18"/>
      <c r="AO71" s="18"/>
      <c r="AP71" s="18"/>
      <c r="AQ71" s="17"/>
      <c r="AR71" s="18"/>
      <c r="AS71" s="18"/>
      <c r="AT71" s="18"/>
      <c r="AU71" s="18"/>
      <c r="AV71" s="18"/>
      <c r="AW71" s="18"/>
      <c r="AX71" s="18"/>
      <c r="AY71" s="33"/>
      <c r="AZ71" s="18"/>
      <c r="BA71" s="18"/>
      <c r="BB71" s="18"/>
      <c r="BC71" s="18"/>
      <c r="BD71" s="18"/>
      <c r="BE71" s="17"/>
      <c r="BF71" s="33"/>
      <c r="BG71" s="18"/>
      <c r="BH71" s="18"/>
      <c r="BI71" s="18"/>
      <c r="BJ71" s="18"/>
      <c r="BK71" s="18"/>
      <c r="BL71" s="17"/>
      <c r="BM71" s="18"/>
      <c r="BN71" s="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33"/>
      <c r="CD71" s="18"/>
      <c r="CE71" s="18"/>
      <c r="CF71" s="18"/>
      <c r="CG71" s="17"/>
      <c r="CH71" s="13"/>
      <c r="CJ71" s="26"/>
      <c r="CN71" s="26"/>
      <c r="CY71" s="27"/>
    </row>
    <row r="72" spans="1:103" s="11" customFormat="1">
      <c r="A72" s="32"/>
      <c r="B72" s="33"/>
      <c r="C72" s="18"/>
      <c r="D72" s="18"/>
      <c r="E72" s="18"/>
      <c r="F72" s="18"/>
      <c r="G72" s="18"/>
      <c r="H72" s="17"/>
      <c r="I72" s="18"/>
      <c r="J72" s="18"/>
      <c r="K72" s="18"/>
      <c r="L72" s="18"/>
      <c r="M72" s="18"/>
      <c r="N72" s="18"/>
      <c r="O72" s="17"/>
      <c r="P72" s="18"/>
      <c r="Q72" s="18"/>
      <c r="R72" s="18"/>
      <c r="S72" s="18"/>
      <c r="T72" s="18"/>
      <c r="U72" s="18"/>
      <c r="V72" s="18"/>
      <c r="W72" s="33"/>
      <c r="X72" s="18"/>
      <c r="Y72" s="18"/>
      <c r="Z72" s="18"/>
      <c r="AA72" s="18"/>
      <c r="AB72" s="18"/>
      <c r="AC72" s="17"/>
      <c r="AD72" s="18"/>
      <c r="AE72" s="18"/>
      <c r="AF72" s="18"/>
      <c r="AG72" s="18"/>
      <c r="AH72" s="18"/>
      <c r="AI72" s="18"/>
      <c r="AJ72" s="18"/>
      <c r="AK72" s="33"/>
      <c r="AL72" s="18"/>
      <c r="AM72" s="18"/>
      <c r="AN72" s="18"/>
      <c r="AO72" s="18"/>
      <c r="AP72" s="18"/>
      <c r="AQ72" s="17"/>
      <c r="AR72" s="18"/>
      <c r="AS72" s="18"/>
      <c r="AT72" s="18"/>
      <c r="AU72" s="18"/>
      <c r="AV72" s="18"/>
      <c r="AW72" s="18"/>
      <c r="AX72" s="18"/>
      <c r="AY72" s="33"/>
      <c r="AZ72" s="18"/>
      <c r="BA72" s="18"/>
      <c r="BB72" s="18"/>
      <c r="BC72" s="18"/>
      <c r="BD72" s="18"/>
      <c r="BE72" s="17"/>
      <c r="BF72" s="33"/>
      <c r="BG72" s="18"/>
      <c r="BH72" s="18"/>
      <c r="BI72" s="18"/>
      <c r="BJ72" s="18"/>
      <c r="BK72" s="18"/>
      <c r="BL72" s="17"/>
      <c r="BM72" s="18"/>
      <c r="BN72" s="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33"/>
      <c r="CD72" s="18"/>
      <c r="CE72" s="18"/>
      <c r="CF72" s="18"/>
      <c r="CG72" s="17"/>
      <c r="CH72" s="13"/>
      <c r="CJ72" s="26"/>
      <c r="CN72" s="26"/>
      <c r="CY72" s="27"/>
    </row>
    <row r="73" spans="1:103" s="11" customFormat="1">
      <c r="A73" s="32"/>
      <c r="B73" s="33"/>
      <c r="C73" s="18"/>
      <c r="D73" s="18"/>
      <c r="E73" s="18"/>
      <c r="F73" s="18"/>
      <c r="G73" s="18"/>
      <c r="H73" s="17"/>
      <c r="I73" s="18"/>
      <c r="J73" s="18"/>
      <c r="K73" s="18"/>
      <c r="L73" s="18"/>
      <c r="M73" s="18"/>
      <c r="N73" s="18"/>
      <c r="O73" s="17"/>
      <c r="P73" s="18"/>
      <c r="Q73" s="18"/>
      <c r="R73" s="18"/>
      <c r="S73" s="18"/>
      <c r="T73" s="18"/>
      <c r="U73" s="18"/>
      <c r="V73" s="18"/>
      <c r="W73" s="33"/>
      <c r="X73" s="18"/>
      <c r="Y73" s="18"/>
      <c r="Z73" s="18"/>
      <c r="AA73" s="18"/>
      <c r="AB73" s="18"/>
      <c r="AC73" s="17"/>
      <c r="AD73" s="18"/>
      <c r="AE73" s="18"/>
      <c r="AF73" s="18"/>
      <c r="AG73" s="18"/>
      <c r="AH73" s="18"/>
      <c r="AI73" s="18"/>
      <c r="AJ73" s="18"/>
      <c r="AK73" s="33"/>
      <c r="AL73" s="18"/>
      <c r="AM73" s="18"/>
      <c r="AN73" s="18"/>
      <c r="AO73" s="18"/>
      <c r="AP73" s="18"/>
      <c r="AQ73" s="17"/>
      <c r="AR73" s="18"/>
      <c r="AS73" s="18"/>
      <c r="AT73" s="18"/>
      <c r="AU73" s="18"/>
      <c r="AV73" s="18"/>
      <c r="AW73" s="18"/>
      <c r="AX73" s="18"/>
      <c r="AY73" s="33"/>
      <c r="AZ73" s="18"/>
      <c r="BA73" s="18"/>
      <c r="BB73" s="18"/>
      <c r="BC73" s="18"/>
      <c r="BD73" s="18"/>
      <c r="BE73" s="17"/>
      <c r="BF73" s="33"/>
      <c r="BG73" s="18"/>
      <c r="BH73" s="18"/>
      <c r="BI73" s="18"/>
      <c r="BJ73" s="18"/>
      <c r="BK73" s="18"/>
      <c r="BL73" s="17"/>
      <c r="BM73" s="18"/>
      <c r="BN73" s="16" t="s">
        <v>126</v>
      </c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33"/>
      <c r="CD73" s="18"/>
      <c r="CE73" s="18"/>
      <c r="CF73" s="18"/>
      <c r="CG73" s="17"/>
      <c r="CH73" s="13"/>
      <c r="CJ73" s="26"/>
      <c r="CN73" s="26"/>
      <c r="CY73" s="27"/>
    </row>
    <row r="74" spans="1:103" s="11" customFormat="1">
      <c r="A74" s="32"/>
      <c r="B74" s="33"/>
      <c r="C74" s="18"/>
      <c r="D74" s="18"/>
      <c r="E74" s="18"/>
      <c r="F74" s="18"/>
      <c r="G74" s="18"/>
      <c r="H74" s="17"/>
      <c r="I74" s="18"/>
      <c r="J74" s="18"/>
      <c r="K74" s="18"/>
      <c r="L74" s="18"/>
      <c r="M74" s="18"/>
      <c r="N74" s="18"/>
      <c r="O74" s="17"/>
      <c r="P74" s="18"/>
      <c r="Q74" s="18"/>
      <c r="R74" s="18"/>
      <c r="S74" s="18"/>
      <c r="T74" s="18"/>
      <c r="U74" s="18"/>
      <c r="V74" s="18"/>
      <c r="W74" s="33"/>
      <c r="X74" s="18"/>
      <c r="Y74" s="18"/>
      <c r="Z74" s="18"/>
      <c r="AA74" s="18"/>
      <c r="AB74" s="18"/>
      <c r="AC74" s="17"/>
      <c r="AD74" s="18"/>
      <c r="AE74" s="18"/>
      <c r="AF74" s="18"/>
      <c r="AG74" s="18"/>
      <c r="AH74" s="18"/>
      <c r="AI74" s="18"/>
      <c r="AJ74" s="18"/>
      <c r="AK74" s="33"/>
      <c r="AL74" s="18"/>
      <c r="AM74" s="18"/>
      <c r="AN74" s="18"/>
      <c r="AO74" s="18"/>
      <c r="AP74" s="18"/>
      <c r="AQ74" s="17"/>
      <c r="AR74" s="18"/>
      <c r="AS74" s="18"/>
      <c r="AT74" s="18"/>
      <c r="AU74" s="18"/>
      <c r="AV74" s="18"/>
      <c r="AW74" s="18"/>
      <c r="AX74" s="18"/>
      <c r="AY74" s="33"/>
      <c r="AZ74" s="18"/>
      <c r="BA74" s="18"/>
      <c r="BB74" s="18"/>
      <c r="BC74" s="18"/>
      <c r="BD74" s="18"/>
      <c r="BE74" s="17"/>
      <c r="BF74" s="33"/>
      <c r="BG74" s="18"/>
      <c r="BH74" s="18"/>
      <c r="BI74" s="18"/>
      <c r="BJ74" s="18"/>
      <c r="BK74" s="18"/>
      <c r="BL74" s="17"/>
      <c r="BM74" s="18"/>
      <c r="BN74" s="16"/>
      <c r="BO74" s="8" t="s">
        <v>127</v>
      </c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33"/>
      <c r="CD74" s="18"/>
      <c r="CE74" s="18"/>
      <c r="CF74" s="18"/>
      <c r="CG74" s="17"/>
      <c r="CH74" s="13"/>
      <c r="CJ74" s="26"/>
      <c r="CN74" s="26"/>
      <c r="CY74" s="27"/>
    </row>
    <row r="75" spans="1:103" s="11" customFormat="1">
      <c r="A75" s="32"/>
      <c r="B75" s="33"/>
      <c r="C75" s="18"/>
      <c r="D75" s="18"/>
      <c r="E75" s="18"/>
      <c r="F75" s="18"/>
      <c r="G75" s="18"/>
      <c r="H75" s="17"/>
      <c r="I75" s="18"/>
      <c r="J75" s="18"/>
      <c r="K75" s="18"/>
      <c r="L75" s="18"/>
      <c r="M75" s="18"/>
      <c r="N75" s="18"/>
      <c r="O75" s="17"/>
      <c r="P75" s="18"/>
      <c r="Q75" s="18"/>
      <c r="R75" s="18"/>
      <c r="S75" s="18"/>
      <c r="T75" s="18"/>
      <c r="U75" s="18"/>
      <c r="V75" s="18"/>
      <c r="W75" s="33"/>
      <c r="X75" s="18"/>
      <c r="Y75" s="18"/>
      <c r="Z75" s="18"/>
      <c r="AA75" s="18"/>
      <c r="AB75" s="18"/>
      <c r="AC75" s="17"/>
      <c r="AD75" s="18"/>
      <c r="AE75" s="18"/>
      <c r="AF75" s="18"/>
      <c r="AG75" s="18"/>
      <c r="AH75" s="18"/>
      <c r="AI75" s="18"/>
      <c r="AJ75" s="18"/>
      <c r="AK75" s="33"/>
      <c r="AL75" s="18"/>
      <c r="AM75" s="18"/>
      <c r="AN75" s="18"/>
      <c r="AO75" s="18"/>
      <c r="AP75" s="18"/>
      <c r="AQ75" s="17"/>
      <c r="AR75" s="18"/>
      <c r="AS75" s="18"/>
      <c r="AT75" s="18"/>
      <c r="AU75" s="18"/>
      <c r="AV75" s="18"/>
      <c r="AW75" s="18"/>
      <c r="AX75" s="18"/>
      <c r="AY75" s="33"/>
      <c r="AZ75" s="18"/>
      <c r="BA75" s="18"/>
      <c r="BB75" s="18"/>
      <c r="BC75" s="18"/>
      <c r="BD75" s="18"/>
      <c r="BE75" s="17"/>
      <c r="BF75" s="33"/>
      <c r="BG75" s="18"/>
      <c r="BH75" s="18"/>
      <c r="BI75" s="18"/>
      <c r="BJ75" s="18"/>
      <c r="BK75" s="18"/>
      <c r="BL75" s="17"/>
      <c r="BM75" s="18"/>
      <c r="BN75" s="8"/>
      <c r="BO75" s="8" t="s">
        <v>128</v>
      </c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33"/>
      <c r="CD75" s="18"/>
      <c r="CE75" s="18"/>
      <c r="CF75" s="18"/>
      <c r="CG75" s="17"/>
      <c r="CH75" s="13"/>
      <c r="CJ75" s="26"/>
      <c r="CN75" s="26"/>
      <c r="CY75" s="27"/>
    </row>
    <row r="76" spans="1:103" s="11" customFormat="1">
      <c r="A76" s="32"/>
      <c r="B76" s="33"/>
      <c r="C76" s="18"/>
      <c r="D76" s="18"/>
      <c r="E76" s="18"/>
      <c r="F76" s="18"/>
      <c r="G76" s="18"/>
      <c r="H76" s="17"/>
      <c r="I76" s="18"/>
      <c r="J76" s="18"/>
      <c r="K76" s="18"/>
      <c r="L76" s="18"/>
      <c r="M76" s="18"/>
      <c r="N76" s="18"/>
      <c r="O76" s="17"/>
      <c r="P76" s="18"/>
      <c r="Q76" s="18"/>
      <c r="R76" s="18"/>
      <c r="S76" s="18"/>
      <c r="T76" s="18"/>
      <c r="U76" s="18"/>
      <c r="V76" s="18"/>
      <c r="W76" s="33"/>
      <c r="X76" s="18"/>
      <c r="Y76" s="18"/>
      <c r="Z76" s="18"/>
      <c r="AA76" s="18"/>
      <c r="AB76" s="18"/>
      <c r="AC76" s="17"/>
      <c r="AD76" s="18"/>
      <c r="AE76" s="18"/>
      <c r="AF76" s="18"/>
      <c r="AG76" s="18"/>
      <c r="AH76" s="18"/>
      <c r="AI76" s="18"/>
      <c r="AJ76" s="18"/>
      <c r="AK76" s="33"/>
      <c r="AL76" s="18"/>
      <c r="AM76" s="18"/>
      <c r="AN76" s="18"/>
      <c r="AO76" s="18"/>
      <c r="AP76" s="18"/>
      <c r="AQ76" s="17"/>
      <c r="AR76" s="18"/>
      <c r="AS76" s="18"/>
      <c r="AT76" s="18"/>
      <c r="AU76" s="18"/>
      <c r="AV76" s="18"/>
      <c r="AW76" s="18"/>
      <c r="AX76" s="18"/>
      <c r="AY76" s="33"/>
      <c r="AZ76" s="18"/>
      <c r="BA76" s="18"/>
      <c r="BB76" s="18"/>
      <c r="BC76" s="18"/>
      <c r="BD76" s="18"/>
      <c r="BE76" s="17"/>
      <c r="BF76" s="33"/>
      <c r="BG76" s="18"/>
      <c r="BH76" s="18"/>
      <c r="BI76" s="18"/>
      <c r="BJ76" s="18"/>
      <c r="BK76" s="18"/>
      <c r="BL76" s="17"/>
      <c r="BM76" s="18"/>
      <c r="BN76" s="8"/>
      <c r="BO76" s="8" t="s">
        <v>123</v>
      </c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33"/>
      <c r="CD76" s="18"/>
      <c r="CE76" s="18"/>
      <c r="CF76" s="18"/>
      <c r="CG76" s="17"/>
      <c r="CH76" s="13"/>
      <c r="CJ76" s="26"/>
      <c r="CN76" s="26"/>
      <c r="CY76" s="27"/>
    </row>
    <row r="77" spans="1:103" s="11" customFormat="1">
      <c r="A77" s="32"/>
      <c r="B77" s="33"/>
      <c r="C77" s="18"/>
      <c r="D77" s="18"/>
      <c r="E77" s="18"/>
      <c r="F77" s="18"/>
      <c r="G77" s="18"/>
      <c r="H77" s="17"/>
      <c r="I77" s="18"/>
      <c r="J77" s="18"/>
      <c r="K77" s="18"/>
      <c r="L77" s="18"/>
      <c r="M77" s="18"/>
      <c r="N77" s="18"/>
      <c r="O77" s="17"/>
      <c r="P77" s="18"/>
      <c r="Q77" s="18"/>
      <c r="R77" s="18"/>
      <c r="S77" s="18"/>
      <c r="T77" s="18"/>
      <c r="U77" s="18"/>
      <c r="V77" s="18"/>
      <c r="W77" s="33"/>
      <c r="X77" s="18"/>
      <c r="Y77" s="18"/>
      <c r="Z77" s="18"/>
      <c r="AA77" s="18"/>
      <c r="AB77" s="18"/>
      <c r="AC77" s="17"/>
      <c r="AD77" s="18"/>
      <c r="AE77" s="18"/>
      <c r="AF77" s="18"/>
      <c r="AG77" s="18"/>
      <c r="AH77" s="18"/>
      <c r="AI77" s="18"/>
      <c r="AJ77" s="18"/>
      <c r="AK77" s="33"/>
      <c r="AL77" s="18"/>
      <c r="AM77" s="18"/>
      <c r="AN77" s="18"/>
      <c r="AO77" s="18"/>
      <c r="AP77" s="18"/>
      <c r="AQ77" s="17"/>
      <c r="AR77" s="18"/>
      <c r="AS77" s="18"/>
      <c r="AT77" s="18"/>
      <c r="AU77" s="18"/>
      <c r="AV77" s="18"/>
      <c r="AW77" s="18"/>
      <c r="AX77" s="18"/>
      <c r="AY77" s="33"/>
      <c r="AZ77" s="18"/>
      <c r="BA77" s="18"/>
      <c r="BB77" s="18"/>
      <c r="BC77" s="18"/>
      <c r="BD77" s="18"/>
      <c r="BE77" s="17"/>
      <c r="BF77" s="33"/>
      <c r="BG77" s="18"/>
      <c r="BH77" s="18"/>
      <c r="BI77" s="18"/>
      <c r="BJ77" s="18"/>
      <c r="BK77" s="18"/>
      <c r="BL77" s="17"/>
      <c r="BM77" s="18"/>
      <c r="BN77" s="16"/>
      <c r="BO77" s="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33"/>
      <c r="CD77" s="18"/>
      <c r="CE77" s="18"/>
      <c r="CF77" s="18"/>
      <c r="CG77" s="17"/>
      <c r="CH77" s="13"/>
      <c r="CJ77" s="26"/>
      <c r="CN77" s="26"/>
      <c r="CY77" s="27"/>
    </row>
    <row r="78" spans="1:103" s="11" customFormat="1">
      <c r="A78" s="32"/>
      <c r="B78" s="33"/>
      <c r="C78" s="18"/>
      <c r="D78" s="18"/>
      <c r="E78" s="18"/>
      <c r="F78" s="18"/>
      <c r="G78" s="18"/>
      <c r="H78" s="17"/>
      <c r="I78" s="18"/>
      <c r="J78" s="18"/>
      <c r="K78" s="18"/>
      <c r="L78" s="18"/>
      <c r="M78" s="18"/>
      <c r="N78" s="18"/>
      <c r="O78" s="17"/>
      <c r="P78" s="18"/>
      <c r="Q78" s="18"/>
      <c r="R78" s="18"/>
      <c r="S78" s="18"/>
      <c r="T78" s="18"/>
      <c r="U78" s="18"/>
      <c r="V78" s="18"/>
      <c r="W78" s="33"/>
      <c r="X78" s="18"/>
      <c r="Y78" s="18"/>
      <c r="Z78" s="18"/>
      <c r="AA78" s="18"/>
      <c r="AB78" s="18"/>
      <c r="AC78" s="17"/>
      <c r="AD78" s="18"/>
      <c r="AE78" s="18"/>
      <c r="AF78" s="18"/>
      <c r="AG78" s="18"/>
      <c r="AH78" s="18"/>
      <c r="AI78" s="18"/>
      <c r="AJ78" s="18"/>
      <c r="AK78" s="33"/>
      <c r="AL78" s="18"/>
      <c r="AM78" s="18"/>
      <c r="AN78" s="18"/>
      <c r="AO78" s="18"/>
      <c r="AP78" s="18"/>
      <c r="AQ78" s="17"/>
      <c r="AR78" s="18"/>
      <c r="AS78" s="18"/>
      <c r="AT78" s="18"/>
      <c r="AU78" s="18"/>
      <c r="AV78" s="18"/>
      <c r="AW78" s="18"/>
      <c r="AX78" s="18"/>
      <c r="AY78" s="33"/>
      <c r="AZ78" s="18"/>
      <c r="BA78" s="18"/>
      <c r="BB78" s="18"/>
      <c r="BC78" s="18"/>
      <c r="BD78" s="18"/>
      <c r="BE78" s="17"/>
      <c r="BF78" s="33"/>
      <c r="BG78" s="18"/>
      <c r="BH78" s="18"/>
      <c r="BI78" s="18"/>
      <c r="BJ78" s="18"/>
      <c r="BK78" s="18"/>
      <c r="BL78" s="17"/>
      <c r="BM78" s="18"/>
      <c r="BN78" s="8"/>
      <c r="BO78" s="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33"/>
      <c r="CD78" s="18"/>
      <c r="CE78" s="18"/>
      <c r="CF78" s="18"/>
      <c r="CG78" s="17"/>
      <c r="CH78" s="13"/>
      <c r="CJ78" s="26"/>
      <c r="CK78" s="11" t="s">
        <v>112</v>
      </c>
      <c r="CN78" s="26"/>
      <c r="CO78" s="11" t="s">
        <v>129</v>
      </c>
      <c r="CY78" s="27"/>
    </row>
    <row r="79" spans="1:103" s="11" customFormat="1">
      <c r="A79" s="32"/>
      <c r="B79" s="33"/>
      <c r="C79" s="18"/>
      <c r="D79" s="18"/>
      <c r="E79" s="18"/>
      <c r="F79" s="18"/>
      <c r="G79" s="18"/>
      <c r="H79" s="17"/>
      <c r="I79" s="18"/>
      <c r="J79" s="18"/>
      <c r="K79" s="18"/>
      <c r="L79" s="18"/>
      <c r="M79" s="18"/>
      <c r="N79" s="18"/>
      <c r="O79" s="17"/>
      <c r="P79" s="18"/>
      <c r="Q79" s="18"/>
      <c r="R79" s="18"/>
      <c r="S79" s="18"/>
      <c r="T79" s="18"/>
      <c r="U79" s="18"/>
      <c r="V79" s="18"/>
      <c r="W79" s="33"/>
      <c r="X79" s="18"/>
      <c r="Y79" s="18"/>
      <c r="Z79" s="18"/>
      <c r="AA79" s="18"/>
      <c r="AB79" s="18"/>
      <c r="AC79" s="17"/>
      <c r="AD79" s="18"/>
      <c r="AE79" s="18"/>
      <c r="AF79" s="18"/>
      <c r="AG79" s="18"/>
      <c r="AH79" s="18"/>
      <c r="AI79" s="18"/>
      <c r="AJ79" s="18"/>
      <c r="AK79" s="33"/>
      <c r="AL79" s="18"/>
      <c r="AM79" s="18"/>
      <c r="AN79" s="18"/>
      <c r="AO79" s="18"/>
      <c r="AP79" s="18"/>
      <c r="AQ79" s="17"/>
      <c r="AR79" s="18"/>
      <c r="AS79" s="18"/>
      <c r="AT79" s="18"/>
      <c r="AU79" s="18"/>
      <c r="AV79" s="18"/>
      <c r="AW79" s="18"/>
      <c r="AX79" s="18"/>
      <c r="AY79" s="33"/>
      <c r="AZ79" s="18"/>
      <c r="BA79" s="18"/>
      <c r="BB79" s="18"/>
      <c r="BC79" s="18"/>
      <c r="BD79" s="18"/>
      <c r="BE79" s="17"/>
      <c r="BF79" s="33"/>
      <c r="BG79" s="18"/>
      <c r="BH79" s="18"/>
      <c r="BI79" s="18"/>
      <c r="BJ79" s="18"/>
      <c r="BK79" s="18"/>
      <c r="BL79" s="17"/>
      <c r="BM79" s="18"/>
      <c r="BN79" s="8"/>
      <c r="BO79" s="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33"/>
      <c r="CD79" s="18"/>
      <c r="CE79" s="18"/>
      <c r="CF79" s="18"/>
      <c r="CG79" s="17"/>
      <c r="CH79" s="13"/>
      <c r="CJ79" s="26"/>
      <c r="CK79" s="11" t="s">
        <v>114</v>
      </c>
      <c r="CN79" s="26"/>
      <c r="CO79" s="11" t="s">
        <v>116</v>
      </c>
      <c r="CY79" s="27"/>
    </row>
    <row r="80" spans="1:103" s="11" customFormat="1">
      <c r="A80" s="32"/>
      <c r="B80" s="33"/>
      <c r="C80" s="18"/>
      <c r="D80" s="18"/>
      <c r="E80" s="18"/>
      <c r="F80" s="18"/>
      <c r="G80" s="18"/>
      <c r="H80" s="17"/>
      <c r="I80" s="18"/>
      <c r="J80" s="18"/>
      <c r="K80" s="18"/>
      <c r="L80" s="18"/>
      <c r="M80" s="18"/>
      <c r="N80" s="18"/>
      <c r="O80" s="17"/>
      <c r="P80" s="18"/>
      <c r="Q80" s="18"/>
      <c r="R80" s="18"/>
      <c r="S80" s="18"/>
      <c r="T80" s="18"/>
      <c r="U80" s="18"/>
      <c r="V80" s="18"/>
      <c r="W80" s="33"/>
      <c r="X80" s="18"/>
      <c r="Y80" s="18"/>
      <c r="Z80" s="18"/>
      <c r="AA80" s="18"/>
      <c r="AB80" s="18"/>
      <c r="AC80" s="17"/>
      <c r="AD80" s="18"/>
      <c r="AE80" s="18"/>
      <c r="AF80" s="18"/>
      <c r="AG80" s="18"/>
      <c r="AH80" s="18"/>
      <c r="AI80" s="18"/>
      <c r="AJ80" s="18"/>
      <c r="AK80" s="33"/>
      <c r="AL80" s="18"/>
      <c r="AM80" s="18"/>
      <c r="AN80" s="18"/>
      <c r="AO80" s="18"/>
      <c r="AP80" s="18"/>
      <c r="AQ80" s="17"/>
      <c r="AR80" s="18"/>
      <c r="AS80" s="18"/>
      <c r="AT80" s="18"/>
      <c r="AU80" s="18"/>
      <c r="AV80" s="18"/>
      <c r="AW80" s="18"/>
      <c r="AX80" s="18"/>
      <c r="AY80" s="33"/>
      <c r="AZ80" s="18"/>
      <c r="BA80" s="18"/>
      <c r="BB80" s="18"/>
      <c r="BC80" s="18"/>
      <c r="BD80" s="18"/>
      <c r="BE80" s="17"/>
      <c r="BF80" s="33"/>
      <c r="BG80" s="18"/>
      <c r="BH80" s="18"/>
      <c r="BI80" s="18"/>
      <c r="BJ80" s="18"/>
      <c r="BK80" s="18"/>
      <c r="BL80" s="17"/>
      <c r="BM80" s="18"/>
      <c r="BN80" s="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33"/>
      <c r="CD80" s="18"/>
      <c r="CE80" s="18"/>
      <c r="CF80" s="18"/>
      <c r="CG80" s="17"/>
      <c r="CH80" s="13"/>
      <c r="CJ80" s="26"/>
      <c r="CN80" s="26"/>
      <c r="CY80" s="27"/>
    </row>
    <row r="81" spans="1:103" s="11" customFormat="1">
      <c r="A81" s="32"/>
      <c r="B81" s="33"/>
      <c r="C81" s="18"/>
      <c r="D81" s="18"/>
      <c r="E81" s="18"/>
      <c r="F81" s="18"/>
      <c r="G81" s="18"/>
      <c r="H81" s="17"/>
      <c r="I81" s="18"/>
      <c r="J81" s="18"/>
      <c r="K81" s="18"/>
      <c r="L81" s="18"/>
      <c r="M81" s="18"/>
      <c r="N81" s="18"/>
      <c r="O81" s="17"/>
      <c r="P81" s="18"/>
      <c r="Q81" s="18"/>
      <c r="R81" s="18"/>
      <c r="S81" s="18"/>
      <c r="T81" s="18"/>
      <c r="U81" s="18"/>
      <c r="V81" s="18"/>
      <c r="W81" s="33"/>
      <c r="X81" s="18"/>
      <c r="Y81" s="18"/>
      <c r="Z81" s="18"/>
      <c r="AA81" s="18"/>
      <c r="AB81" s="18"/>
      <c r="AC81" s="17"/>
      <c r="AD81" s="18"/>
      <c r="AE81" s="18"/>
      <c r="AF81" s="18"/>
      <c r="AG81" s="18"/>
      <c r="AH81" s="18"/>
      <c r="AI81" s="18"/>
      <c r="AJ81" s="18"/>
      <c r="AK81" s="33"/>
      <c r="AL81" s="18"/>
      <c r="AM81" s="18"/>
      <c r="AN81" s="18"/>
      <c r="AO81" s="18"/>
      <c r="AP81" s="18"/>
      <c r="AQ81" s="17"/>
      <c r="AR81" s="18"/>
      <c r="AS81" s="18"/>
      <c r="AT81" s="18"/>
      <c r="AU81" s="18"/>
      <c r="AV81" s="18"/>
      <c r="AW81" s="18"/>
      <c r="AX81" s="18"/>
      <c r="AY81" s="33"/>
      <c r="AZ81" s="18"/>
      <c r="BA81" s="18"/>
      <c r="BB81" s="18"/>
      <c r="BC81" s="18"/>
      <c r="BD81" s="18"/>
      <c r="BE81" s="17"/>
      <c r="BF81" s="33"/>
      <c r="BG81" s="18"/>
      <c r="BH81" s="18"/>
      <c r="BI81" s="18"/>
      <c r="BJ81" s="18"/>
      <c r="BK81" s="18"/>
      <c r="BL81" s="17"/>
      <c r="BM81" s="18"/>
      <c r="BN81" s="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33"/>
      <c r="CD81" s="18"/>
      <c r="CE81" s="18"/>
      <c r="CF81" s="18"/>
      <c r="CG81" s="17"/>
      <c r="CH81" s="13"/>
      <c r="CJ81" s="26"/>
      <c r="CN81" s="26"/>
      <c r="CY81" s="27"/>
    </row>
    <row r="82" spans="1:103" s="11" customFormat="1">
      <c r="A82" s="32"/>
      <c r="B82" s="33"/>
      <c r="C82" s="18"/>
      <c r="D82" s="18"/>
      <c r="E82" s="18"/>
      <c r="F82" s="18"/>
      <c r="G82" s="18"/>
      <c r="H82" s="17"/>
      <c r="I82" s="18"/>
      <c r="J82" s="18"/>
      <c r="K82" s="18"/>
      <c r="L82" s="18"/>
      <c r="M82" s="18"/>
      <c r="N82" s="18"/>
      <c r="O82" s="17"/>
      <c r="P82" s="18"/>
      <c r="Q82" s="18"/>
      <c r="R82" s="18"/>
      <c r="S82" s="18"/>
      <c r="T82" s="18"/>
      <c r="U82" s="18"/>
      <c r="V82" s="18"/>
      <c r="W82" s="33"/>
      <c r="X82" s="18"/>
      <c r="Y82" s="18"/>
      <c r="Z82" s="18"/>
      <c r="AA82" s="18"/>
      <c r="AB82" s="18"/>
      <c r="AC82" s="17"/>
      <c r="AD82" s="18"/>
      <c r="AE82" s="18"/>
      <c r="AF82" s="18"/>
      <c r="AG82" s="18"/>
      <c r="AH82" s="18"/>
      <c r="AI82" s="18"/>
      <c r="AJ82" s="18"/>
      <c r="AK82" s="33"/>
      <c r="AL82" s="18"/>
      <c r="AM82" s="18"/>
      <c r="AN82" s="18"/>
      <c r="AO82" s="18"/>
      <c r="AP82" s="18"/>
      <c r="AQ82" s="17"/>
      <c r="AR82" s="18"/>
      <c r="AS82" s="18"/>
      <c r="AT82" s="18"/>
      <c r="AU82" s="18"/>
      <c r="AV82" s="18"/>
      <c r="AW82" s="18"/>
      <c r="AX82" s="18"/>
      <c r="AY82" s="33"/>
      <c r="AZ82" s="18"/>
      <c r="BA82" s="18"/>
      <c r="BB82" s="18"/>
      <c r="BC82" s="18"/>
      <c r="BD82" s="18"/>
      <c r="BE82" s="17"/>
      <c r="BF82" s="33"/>
      <c r="BG82" s="18"/>
      <c r="BH82" s="18"/>
      <c r="BI82" s="18"/>
      <c r="BJ82" s="18"/>
      <c r="BK82" s="18"/>
      <c r="BL82" s="17"/>
      <c r="BM82" s="18"/>
      <c r="BN82" s="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33"/>
      <c r="CD82" s="18"/>
      <c r="CE82" s="18"/>
      <c r="CF82" s="18"/>
      <c r="CG82" s="17"/>
      <c r="CH82" s="13"/>
      <c r="CJ82" s="26"/>
      <c r="CN82" s="26"/>
      <c r="CY82" s="27"/>
    </row>
    <row r="83" spans="1:103" s="11" customFormat="1">
      <c r="A83" s="32"/>
      <c r="B83" s="33"/>
      <c r="C83" s="18"/>
      <c r="D83" s="18"/>
      <c r="E83" s="18"/>
      <c r="F83" s="18"/>
      <c r="G83" s="18"/>
      <c r="H83" s="17"/>
      <c r="I83" s="18"/>
      <c r="J83" s="18"/>
      <c r="K83" s="18"/>
      <c r="L83" s="18"/>
      <c r="M83" s="18"/>
      <c r="N83" s="18"/>
      <c r="O83" s="17"/>
      <c r="P83" s="18"/>
      <c r="Q83" s="18"/>
      <c r="R83" s="18"/>
      <c r="S83" s="18"/>
      <c r="T83" s="18"/>
      <c r="U83" s="18"/>
      <c r="V83" s="18"/>
      <c r="W83" s="33"/>
      <c r="X83" s="18"/>
      <c r="Y83" s="18"/>
      <c r="Z83" s="18"/>
      <c r="AA83" s="18"/>
      <c r="AB83" s="18"/>
      <c r="AC83" s="17"/>
      <c r="AD83" s="18"/>
      <c r="AE83" s="18"/>
      <c r="AF83" s="18"/>
      <c r="AG83" s="18"/>
      <c r="AH83" s="18"/>
      <c r="AI83" s="18"/>
      <c r="AJ83" s="18"/>
      <c r="AK83" s="33"/>
      <c r="AL83" s="18"/>
      <c r="AM83" s="18"/>
      <c r="AN83" s="18"/>
      <c r="AO83" s="18"/>
      <c r="AP83" s="18"/>
      <c r="AQ83" s="17"/>
      <c r="AR83" s="18"/>
      <c r="AS83" s="18"/>
      <c r="AT83" s="18"/>
      <c r="AU83" s="18"/>
      <c r="AV83" s="18"/>
      <c r="AW83" s="18"/>
      <c r="AX83" s="18"/>
      <c r="AY83" s="33"/>
      <c r="AZ83" s="18"/>
      <c r="BA83" s="18"/>
      <c r="BB83" s="18"/>
      <c r="BC83" s="18"/>
      <c r="BD83" s="18"/>
      <c r="BE83" s="17"/>
      <c r="BF83" s="33"/>
      <c r="BG83" s="18"/>
      <c r="BH83" s="18"/>
      <c r="BI83" s="18"/>
      <c r="BJ83" s="18"/>
      <c r="BK83" s="18"/>
      <c r="BL83" s="17"/>
      <c r="BM83" s="18"/>
      <c r="BN83" s="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33"/>
      <c r="CD83" s="18"/>
      <c r="CE83" s="18"/>
      <c r="CF83" s="18"/>
      <c r="CG83" s="17"/>
      <c r="CH83" s="13"/>
      <c r="CJ83" s="26"/>
      <c r="CN83" s="26"/>
      <c r="CY83" s="27"/>
    </row>
    <row r="84" spans="1:103" s="11" customFormat="1">
      <c r="A84" s="32"/>
      <c r="B84" s="33"/>
      <c r="C84" s="18"/>
      <c r="D84" s="18"/>
      <c r="E84" s="18"/>
      <c r="F84" s="18"/>
      <c r="G84" s="18"/>
      <c r="H84" s="17"/>
      <c r="I84" s="18"/>
      <c r="J84" s="18"/>
      <c r="K84" s="18"/>
      <c r="L84" s="18"/>
      <c r="M84" s="18"/>
      <c r="N84" s="18"/>
      <c r="O84" s="17"/>
      <c r="P84" s="18"/>
      <c r="Q84" s="18"/>
      <c r="R84" s="18"/>
      <c r="S84" s="18"/>
      <c r="T84" s="18"/>
      <c r="U84" s="18"/>
      <c r="V84" s="18"/>
      <c r="W84" s="33"/>
      <c r="X84" s="18"/>
      <c r="Y84" s="18"/>
      <c r="Z84" s="18"/>
      <c r="AA84" s="18"/>
      <c r="AB84" s="18"/>
      <c r="AC84" s="17"/>
      <c r="AD84" s="18"/>
      <c r="AE84" s="18"/>
      <c r="AF84" s="18"/>
      <c r="AG84" s="18"/>
      <c r="AH84" s="18"/>
      <c r="AI84" s="18"/>
      <c r="AJ84" s="18"/>
      <c r="AK84" s="33"/>
      <c r="AL84" s="18"/>
      <c r="AM84" s="18"/>
      <c r="AN84" s="18"/>
      <c r="AO84" s="18"/>
      <c r="AP84" s="18"/>
      <c r="AQ84" s="17"/>
      <c r="AR84" s="18"/>
      <c r="AS84" s="18"/>
      <c r="AT84" s="18"/>
      <c r="AU84" s="18"/>
      <c r="AV84" s="18"/>
      <c r="AW84" s="18"/>
      <c r="AX84" s="18"/>
      <c r="AY84" s="33"/>
      <c r="AZ84" s="18"/>
      <c r="BA84" s="18"/>
      <c r="BB84" s="18"/>
      <c r="BC84" s="18"/>
      <c r="BD84" s="18"/>
      <c r="BE84" s="17"/>
      <c r="BF84" s="33"/>
      <c r="BG84" s="18"/>
      <c r="BH84" s="18"/>
      <c r="BI84" s="18"/>
      <c r="BJ84" s="18"/>
      <c r="BK84" s="18"/>
      <c r="BL84" s="17"/>
      <c r="BM84" s="18"/>
      <c r="BN84" s="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33"/>
      <c r="CD84" s="18"/>
      <c r="CE84" s="18"/>
      <c r="CF84" s="18"/>
      <c r="CG84" s="17"/>
      <c r="CH84" s="13"/>
      <c r="CJ84" s="26"/>
      <c r="CN84" s="26"/>
      <c r="CY84" s="27"/>
    </row>
    <row r="85" spans="1:103" s="11" customFormat="1">
      <c r="A85" s="32"/>
      <c r="B85" s="33"/>
      <c r="C85" s="18"/>
      <c r="D85" s="18"/>
      <c r="E85" s="18"/>
      <c r="F85" s="18"/>
      <c r="G85" s="18"/>
      <c r="H85" s="17"/>
      <c r="I85" s="18"/>
      <c r="J85" s="18"/>
      <c r="K85" s="18"/>
      <c r="L85" s="18"/>
      <c r="M85" s="18"/>
      <c r="N85" s="18"/>
      <c r="O85" s="17"/>
      <c r="P85" s="18"/>
      <c r="Q85" s="18"/>
      <c r="R85" s="18"/>
      <c r="S85" s="18"/>
      <c r="T85" s="18"/>
      <c r="U85" s="18"/>
      <c r="V85" s="18"/>
      <c r="W85" s="33"/>
      <c r="X85" s="18"/>
      <c r="Y85" s="18"/>
      <c r="Z85" s="18"/>
      <c r="AA85" s="18"/>
      <c r="AB85" s="18"/>
      <c r="AC85" s="17"/>
      <c r="AD85" s="18"/>
      <c r="AE85" s="18"/>
      <c r="AF85" s="18"/>
      <c r="AG85" s="18"/>
      <c r="AH85" s="18"/>
      <c r="AI85" s="18"/>
      <c r="AJ85" s="18"/>
      <c r="AK85" s="33"/>
      <c r="AL85" s="18"/>
      <c r="AM85" s="18"/>
      <c r="AN85" s="18"/>
      <c r="AO85" s="18"/>
      <c r="AP85" s="18"/>
      <c r="AQ85" s="17"/>
      <c r="AR85" s="18"/>
      <c r="AS85" s="18"/>
      <c r="AT85" s="18"/>
      <c r="AU85" s="18"/>
      <c r="AV85" s="18"/>
      <c r="AW85" s="18"/>
      <c r="AX85" s="18"/>
      <c r="AY85" s="33"/>
      <c r="AZ85" s="18"/>
      <c r="BA85" s="18"/>
      <c r="BB85" s="18"/>
      <c r="BC85" s="18"/>
      <c r="BD85" s="18"/>
      <c r="BE85" s="17"/>
      <c r="BF85" s="33"/>
      <c r="BG85" s="18"/>
      <c r="BH85" s="18"/>
      <c r="BI85" s="18"/>
      <c r="BJ85" s="18"/>
      <c r="BK85" s="18"/>
      <c r="BL85" s="17"/>
      <c r="BM85" s="18"/>
      <c r="BN85" s="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33"/>
      <c r="CD85" s="18"/>
      <c r="CE85" s="18"/>
      <c r="CF85" s="18"/>
      <c r="CG85" s="17"/>
      <c r="CH85" s="13"/>
      <c r="CJ85" s="26"/>
      <c r="CN85" s="26"/>
      <c r="CY85" s="27"/>
    </row>
    <row r="86" spans="1:103" s="11" customFormat="1">
      <c r="A86" s="32"/>
      <c r="B86" s="33"/>
      <c r="C86" s="18"/>
      <c r="D86" s="18"/>
      <c r="E86" s="18"/>
      <c r="F86" s="18"/>
      <c r="G86" s="18"/>
      <c r="H86" s="17"/>
      <c r="I86" s="18"/>
      <c r="J86" s="18"/>
      <c r="K86" s="18"/>
      <c r="L86" s="18"/>
      <c r="M86" s="18"/>
      <c r="N86" s="18"/>
      <c r="O86" s="17"/>
      <c r="P86" s="18"/>
      <c r="Q86" s="18"/>
      <c r="R86" s="18"/>
      <c r="S86" s="18"/>
      <c r="T86" s="18"/>
      <c r="U86" s="18"/>
      <c r="V86" s="18"/>
      <c r="W86" s="33"/>
      <c r="X86" s="18"/>
      <c r="Y86" s="18"/>
      <c r="Z86" s="18"/>
      <c r="AA86" s="18"/>
      <c r="AB86" s="18"/>
      <c r="AC86" s="17"/>
      <c r="AD86" s="18"/>
      <c r="AE86" s="18"/>
      <c r="AF86" s="18"/>
      <c r="AG86" s="18"/>
      <c r="AH86" s="18"/>
      <c r="AI86" s="18"/>
      <c r="AJ86" s="18"/>
      <c r="AK86" s="33"/>
      <c r="AL86" s="18"/>
      <c r="AM86" s="18"/>
      <c r="AN86" s="18"/>
      <c r="AO86" s="18"/>
      <c r="AP86" s="18"/>
      <c r="AQ86" s="17"/>
      <c r="AR86" s="18"/>
      <c r="AS86" s="18"/>
      <c r="AT86" s="18"/>
      <c r="AU86" s="18"/>
      <c r="AV86" s="18"/>
      <c r="AW86" s="18"/>
      <c r="AX86" s="18"/>
      <c r="AY86" s="33"/>
      <c r="AZ86" s="18"/>
      <c r="BA86" s="18"/>
      <c r="BB86" s="18"/>
      <c r="BC86" s="18"/>
      <c r="BD86" s="18"/>
      <c r="BE86" s="17"/>
      <c r="BF86" s="33"/>
      <c r="BG86" s="18"/>
      <c r="BH86" s="18"/>
      <c r="BI86" s="18"/>
      <c r="BJ86" s="18"/>
      <c r="BK86" s="18"/>
      <c r="BL86" s="17"/>
      <c r="BM86" s="18"/>
      <c r="BN86" s="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33"/>
      <c r="CD86" s="18"/>
      <c r="CE86" s="18"/>
      <c r="CF86" s="18"/>
      <c r="CG86" s="17"/>
      <c r="CH86" s="13"/>
      <c r="CJ86" s="26"/>
      <c r="CN86" s="26"/>
      <c r="CY86" s="27"/>
    </row>
    <row r="87" spans="1:103" s="11" customFormat="1">
      <c r="A87" s="32"/>
      <c r="B87" s="35" t="s">
        <v>130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55"/>
      <c r="P87" s="20"/>
      <c r="Q87" s="20"/>
      <c r="R87" s="20"/>
      <c r="S87" s="20"/>
      <c r="T87" s="20"/>
      <c r="U87" s="20"/>
      <c r="V87" s="20"/>
      <c r="W87" s="35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35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13"/>
      <c r="CJ87" s="23"/>
      <c r="CK87" s="24"/>
      <c r="CL87" s="24"/>
      <c r="CM87" s="24"/>
      <c r="CN87" s="23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5"/>
    </row>
    <row r="88" spans="1:103" s="11" customFormat="1">
      <c r="A88" s="32"/>
      <c r="B88" s="33"/>
      <c r="C88" s="18"/>
      <c r="D88" s="18"/>
      <c r="E88" s="18"/>
      <c r="F88" s="18"/>
      <c r="G88" s="18"/>
      <c r="H88" s="17"/>
      <c r="I88" s="18"/>
      <c r="J88" s="18"/>
      <c r="K88" s="18"/>
      <c r="L88" s="18"/>
      <c r="M88" s="18"/>
      <c r="N88" s="18"/>
      <c r="O88" s="17"/>
      <c r="P88" s="18"/>
      <c r="Q88" s="18"/>
      <c r="R88" s="18"/>
      <c r="S88" s="18"/>
      <c r="T88" s="18"/>
      <c r="U88" s="18"/>
      <c r="V88" s="18"/>
      <c r="W88" s="33"/>
      <c r="X88" s="18"/>
      <c r="Y88" s="18"/>
      <c r="Z88" s="18"/>
      <c r="AA88" s="18"/>
      <c r="AB88" s="18"/>
      <c r="AC88" s="17"/>
      <c r="AD88" s="18"/>
      <c r="AE88" s="18"/>
      <c r="AF88" s="18"/>
      <c r="AG88" s="18"/>
      <c r="AH88" s="18"/>
      <c r="AI88" s="18"/>
      <c r="AJ88" s="18"/>
      <c r="AK88" s="33"/>
      <c r="AL88" s="18"/>
      <c r="AM88" s="18"/>
      <c r="AN88" s="18"/>
      <c r="AO88" s="18"/>
      <c r="AP88" s="18"/>
      <c r="AQ88" s="17"/>
      <c r="AR88" s="18"/>
      <c r="AS88" s="18"/>
      <c r="AT88" s="18"/>
      <c r="AU88" s="18"/>
      <c r="AV88" s="18"/>
      <c r="AW88" s="18"/>
      <c r="AX88" s="18"/>
      <c r="AY88" s="33"/>
      <c r="AZ88" s="18"/>
      <c r="BA88" s="18"/>
      <c r="BB88" s="18"/>
      <c r="BC88" s="18"/>
      <c r="BD88" s="18"/>
      <c r="BE88" s="17"/>
      <c r="BF88" s="33"/>
      <c r="BG88" s="18"/>
      <c r="BH88" s="18"/>
      <c r="BI88" s="18"/>
      <c r="BJ88" s="18"/>
      <c r="BK88" s="18"/>
      <c r="BL88" s="17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33"/>
      <c r="CD88" s="18"/>
      <c r="CE88" s="18"/>
      <c r="CF88" s="18"/>
      <c r="CG88" s="17"/>
      <c r="CH88" s="13"/>
      <c r="CJ88" s="26"/>
      <c r="CN88" s="26"/>
      <c r="CY88" s="27"/>
    </row>
    <row r="89" spans="1:103" s="11" customFormat="1">
      <c r="A89" s="32"/>
      <c r="B89" s="33"/>
      <c r="C89" s="18"/>
      <c r="D89" s="18"/>
      <c r="E89" s="18"/>
      <c r="F89" s="18"/>
      <c r="G89" s="18"/>
      <c r="H89" s="17"/>
      <c r="I89" s="18"/>
      <c r="J89" s="18"/>
      <c r="K89" s="18"/>
      <c r="L89" s="18"/>
      <c r="M89" s="18"/>
      <c r="N89" s="18"/>
      <c r="O89" s="17"/>
      <c r="P89" s="18"/>
      <c r="Q89" s="18"/>
      <c r="R89" s="18"/>
      <c r="S89" s="18"/>
      <c r="T89" s="18"/>
      <c r="U89" s="18"/>
      <c r="V89" s="18"/>
      <c r="W89" s="33"/>
      <c r="X89" s="18"/>
      <c r="Y89" s="18"/>
      <c r="Z89" s="18"/>
      <c r="AA89" s="18"/>
      <c r="AB89" s="18"/>
      <c r="AC89" s="17"/>
      <c r="AD89" s="18"/>
      <c r="AE89" s="18"/>
      <c r="AF89" s="18"/>
      <c r="AG89" s="18"/>
      <c r="AH89" s="18"/>
      <c r="AI89" s="18"/>
      <c r="AJ89" s="18"/>
      <c r="AK89" s="33"/>
      <c r="AL89" s="18"/>
      <c r="AM89" s="18"/>
      <c r="AN89" s="18"/>
      <c r="AO89" s="18"/>
      <c r="AP89" s="18"/>
      <c r="AQ89" s="17"/>
      <c r="AR89" s="18"/>
      <c r="AS89" s="18"/>
      <c r="AT89" s="18"/>
      <c r="AU89" s="18"/>
      <c r="AV89" s="18"/>
      <c r="AW89" s="18"/>
      <c r="AX89" s="18"/>
      <c r="AY89" s="33"/>
      <c r="AZ89" s="18"/>
      <c r="BA89" s="18"/>
      <c r="BB89" s="18"/>
      <c r="BC89" s="18"/>
      <c r="BD89" s="18"/>
      <c r="BE89" s="17"/>
      <c r="BF89" s="33"/>
      <c r="BG89" s="18"/>
      <c r="BH89" s="18"/>
      <c r="BI89" s="18"/>
      <c r="BJ89" s="18"/>
      <c r="BK89" s="18"/>
      <c r="BL89" s="17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33"/>
      <c r="CD89" s="18"/>
      <c r="CE89" s="18"/>
      <c r="CF89" s="18"/>
      <c r="CG89" s="17"/>
      <c r="CH89" s="13"/>
      <c r="CJ89" s="26"/>
      <c r="CN89" s="26"/>
      <c r="CY89" s="27"/>
    </row>
    <row r="90" spans="1:103" s="11" customFormat="1">
      <c r="A90" s="32"/>
      <c r="B90" s="33"/>
      <c r="C90" s="18"/>
      <c r="D90" s="18"/>
      <c r="E90" s="18"/>
      <c r="F90" s="18"/>
      <c r="G90" s="18"/>
      <c r="H90" s="17"/>
      <c r="I90" s="18"/>
      <c r="J90" s="18"/>
      <c r="K90" s="18"/>
      <c r="L90" s="18"/>
      <c r="M90" s="18"/>
      <c r="N90" s="18"/>
      <c r="O90" s="17"/>
      <c r="P90" s="18"/>
      <c r="Q90" s="18"/>
      <c r="R90" s="18"/>
      <c r="S90" s="18"/>
      <c r="T90" s="18"/>
      <c r="U90" s="18"/>
      <c r="V90" s="18"/>
      <c r="W90" s="33"/>
      <c r="X90" s="18"/>
      <c r="Y90" s="18"/>
      <c r="Z90" s="18"/>
      <c r="AA90" s="18"/>
      <c r="AB90" s="18"/>
      <c r="AC90" s="17"/>
      <c r="AD90" s="18"/>
      <c r="AE90" s="18"/>
      <c r="AF90" s="18"/>
      <c r="AG90" s="18"/>
      <c r="AH90" s="18"/>
      <c r="AI90" s="18"/>
      <c r="AJ90" s="18"/>
      <c r="AK90" s="33"/>
      <c r="AL90" s="18"/>
      <c r="AM90" s="18"/>
      <c r="AN90" s="18"/>
      <c r="AO90" s="18"/>
      <c r="AP90" s="18"/>
      <c r="AQ90" s="17"/>
      <c r="AR90" s="18"/>
      <c r="AS90" s="18"/>
      <c r="AT90" s="18"/>
      <c r="AU90" s="18"/>
      <c r="AV90" s="18"/>
      <c r="AW90" s="18"/>
      <c r="AX90" s="18"/>
      <c r="AY90" s="33"/>
      <c r="AZ90" s="18"/>
      <c r="BA90" s="18"/>
      <c r="BB90" s="18"/>
      <c r="BC90" s="18"/>
      <c r="BD90" s="18"/>
      <c r="BE90" s="17"/>
      <c r="BF90" s="33"/>
      <c r="BG90" s="18"/>
      <c r="BH90" s="18"/>
      <c r="BI90" s="18"/>
      <c r="BJ90" s="18"/>
      <c r="BK90" s="18"/>
      <c r="BL90" s="17"/>
      <c r="BM90" s="18"/>
      <c r="BN90" s="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33"/>
      <c r="CD90" s="18"/>
      <c r="CE90" s="18"/>
      <c r="CF90" s="18"/>
      <c r="CG90" s="17"/>
      <c r="CH90" s="13"/>
      <c r="CJ90" s="26"/>
      <c r="CN90" s="26"/>
      <c r="CY90" s="27"/>
    </row>
    <row r="91" spans="1:103" s="11" customFormat="1">
      <c r="A91" s="32"/>
      <c r="B91" s="33"/>
      <c r="C91" s="18"/>
      <c r="D91" s="18"/>
      <c r="E91" s="18"/>
      <c r="F91" s="18"/>
      <c r="G91" s="18"/>
      <c r="H91" s="17"/>
      <c r="I91" s="18"/>
      <c r="J91" s="18"/>
      <c r="K91" s="18"/>
      <c r="L91" s="18"/>
      <c r="M91" s="18"/>
      <c r="N91" s="18"/>
      <c r="O91" s="17"/>
      <c r="P91" s="18"/>
      <c r="Q91" s="18"/>
      <c r="R91" s="18"/>
      <c r="S91" s="18"/>
      <c r="T91" s="18"/>
      <c r="U91" s="18"/>
      <c r="V91" s="18"/>
      <c r="W91" s="33"/>
      <c r="X91" s="18"/>
      <c r="Y91" s="18"/>
      <c r="Z91" s="18"/>
      <c r="AA91" s="18"/>
      <c r="AB91" s="18"/>
      <c r="AC91" s="17"/>
      <c r="AD91" s="18"/>
      <c r="AE91" s="18"/>
      <c r="AF91" s="18"/>
      <c r="AG91" s="18"/>
      <c r="AH91" s="18"/>
      <c r="AI91" s="18"/>
      <c r="AJ91" s="18"/>
      <c r="AK91" s="33"/>
      <c r="AL91" s="18"/>
      <c r="AM91" s="18"/>
      <c r="AN91" s="18"/>
      <c r="AO91" s="18"/>
      <c r="AP91" s="18"/>
      <c r="AQ91" s="17"/>
      <c r="AR91" s="18"/>
      <c r="AS91" s="18"/>
      <c r="AT91" s="18"/>
      <c r="AU91" s="18"/>
      <c r="AV91" s="18"/>
      <c r="AW91" s="18"/>
      <c r="AX91" s="18"/>
      <c r="AY91" s="33"/>
      <c r="AZ91" s="18"/>
      <c r="BA91" s="18"/>
      <c r="BB91" s="18"/>
      <c r="BC91" s="18"/>
      <c r="BD91" s="18"/>
      <c r="BE91" s="17"/>
      <c r="BF91" s="33"/>
      <c r="BG91" s="18"/>
      <c r="BH91" s="18"/>
      <c r="BI91" s="18"/>
      <c r="BJ91" s="18"/>
      <c r="BK91" s="18"/>
      <c r="BL91" s="17"/>
      <c r="BM91" s="18"/>
      <c r="BN91" s="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33"/>
      <c r="CD91" s="18"/>
      <c r="CE91" s="18"/>
      <c r="CF91" s="18"/>
      <c r="CG91" s="17"/>
      <c r="CH91" s="13"/>
      <c r="CJ91" s="26"/>
      <c r="CN91" s="26"/>
      <c r="CY91" s="27"/>
    </row>
    <row r="92" spans="1:103" s="11" customFormat="1">
      <c r="A92" s="32"/>
      <c r="B92" s="33"/>
      <c r="C92" s="18"/>
      <c r="D92" s="18"/>
      <c r="E92" s="18"/>
      <c r="F92" s="18"/>
      <c r="G92" s="18"/>
      <c r="H92" s="17"/>
      <c r="I92" s="18"/>
      <c r="J92" s="18"/>
      <c r="K92" s="18"/>
      <c r="L92" s="18"/>
      <c r="M92" s="18"/>
      <c r="N92" s="18"/>
      <c r="O92" s="17"/>
      <c r="P92" s="18"/>
      <c r="Q92" s="18"/>
      <c r="R92" s="18"/>
      <c r="S92" s="18"/>
      <c r="T92" s="18"/>
      <c r="U92" s="18"/>
      <c r="V92" s="18"/>
      <c r="W92" s="33"/>
      <c r="X92" s="18"/>
      <c r="Y92" s="18"/>
      <c r="Z92" s="18"/>
      <c r="AA92" s="18"/>
      <c r="AB92" s="18"/>
      <c r="AC92" s="17"/>
      <c r="AD92" s="18"/>
      <c r="AE92" s="18"/>
      <c r="AF92" s="18"/>
      <c r="AG92" s="18"/>
      <c r="AH92" s="18"/>
      <c r="AI92" s="18"/>
      <c r="AJ92" s="18"/>
      <c r="AK92" s="33"/>
      <c r="AL92" s="18"/>
      <c r="AM92" s="18"/>
      <c r="AN92" s="18"/>
      <c r="AO92" s="18"/>
      <c r="AP92" s="18"/>
      <c r="AQ92" s="17"/>
      <c r="AR92" s="18"/>
      <c r="AS92" s="18"/>
      <c r="AT92" s="18"/>
      <c r="AU92" s="18"/>
      <c r="AV92" s="18"/>
      <c r="AW92" s="18"/>
      <c r="AX92" s="18"/>
      <c r="AY92" s="33"/>
      <c r="AZ92" s="18"/>
      <c r="BA92" s="18"/>
      <c r="BB92" s="18"/>
      <c r="BC92" s="18"/>
      <c r="BD92" s="18"/>
      <c r="BE92" s="17"/>
      <c r="BF92" s="33"/>
      <c r="BG92" s="18"/>
      <c r="BH92" s="18"/>
      <c r="BI92" s="18"/>
      <c r="BJ92" s="18"/>
      <c r="BK92" s="18"/>
      <c r="BL92" s="17"/>
      <c r="BM92" s="18"/>
      <c r="BN92" s="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33"/>
      <c r="CD92" s="18"/>
      <c r="CE92" s="18"/>
      <c r="CF92" s="18"/>
      <c r="CG92" s="17"/>
      <c r="CH92" s="13"/>
      <c r="CJ92" s="26"/>
      <c r="CN92" s="26"/>
      <c r="CY92" s="27"/>
    </row>
    <row r="93" spans="1:103" s="11" customFormat="1">
      <c r="A93" s="32"/>
      <c r="B93" s="33"/>
      <c r="C93" s="18"/>
      <c r="D93" s="18"/>
      <c r="E93" s="18"/>
      <c r="F93" s="18"/>
      <c r="G93" s="18"/>
      <c r="H93" s="17"/>
      <c r="I93" s="18"/>
      <c r="J93" s="18"/>
      <c r="K93" s="18"/>
      <c r="L93" s="18"/>
      <c r="M93" s="18"/>
      <c r="N93" s="18"/>
      <c r="O93" s="17"/>
      <c r="P93" s="18"/>
      <c r="Q93" s="18"/>
      <c r="R93" s="18"/>
      <c r="S93" s="18"/>
      <c r="T93" s="18"/>
      <c r="U93" s="18"/>
      <c r="V93" s="18"/>
      <c r="W93" s="33"/>
      <c r="X93" s="18"/>
      <c r="Y93" s="18"/>
      <c r="Z93" s="18"/>
      <c r="AA93" s="18"/>
      <c r="AB93" s="18"/>
      <c r="AC93" s="17"/>
      <c r="AD93" s="18"/>
      <c r="AE93" s="18"/>
      <c r="AF93" s="18"/>
      <c r="AG93" s="18"/>
      <c r="AH93" s="18"/>
      <c r="AI93" s="18"/>
      <c r="AJ93" s="18"/>
      <c r="AK93" s="33"/>
      <c r="AL93" s="18"/>
      <c r="AM93" s="18"/>
      <c r="AN93" s="18"/>
      <c r="AO93" s="18"/>
      <c r="AP93" s="18"/>
      <c r="AQ93" s="17"/>
      <c r="AR93" s="18"/>
      <c r="AS93" s="18"/>
      <c r="AT93" s="18"/>
      <c r="AU93" s="18"/>
      <c r="AV93" s="18"/>
      <c r="AW93" s="18"/>
      <c r="AX93" s="18"/>
      <c r="AY93" s="33"/>
      <c r="AZ93" s="18"/>
      <c r="BA93" s="18"/>
      <c r="BB93" s="18"/>
      <c r="BC93" s="18"/>
      <c r="BD93" s="18"/>
      <c r="BE93" s="17"/>
      <c r="BF93" s="33"/>
      <c r="BG93" s="18"/>
      <c r="BH93" s="18"/>
      <c r="BI93" s="18"/>
      <c r="BJ93" s="18"/>
      <c r="BK93" s="18"/>
      <c r="BL93" s="17"/>
      <c r="BM93" s="18"/>
      <c r="BN93" s="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33"/>
      <c r="CD93" s="18"/>
      <c r="CE93" s="18"/>
      <c r="CF93" s="18"/>
      <c r="CG93" s="17"/>
      <c r="CH93" s="13"/>
      <c r="CJ93" s="26"/>
      <c r="CN93" s="26"/>
      <c r="CY93" s="27"/>
    </row>
    <row r="94" spans="1:103" s="11" customFormat="1">
      <c r="A94" s="32"/>
      <c r="B94" s="33"/>
      <c r="C94" s="18"/>
      <c r="D94" s="18"/>
      <c r="E94" s="18"/>
      <c r="F94" s="18"/>
      <c r="G94" s="18"/>
      <c r="H94" s="17"/>
      <c r="I94" s="18"/>
      <c r="J94" s="18"/>
      <c r="K94" s="18"/>
      <c r="L94" s="18"/>
      <c r="M94" s="18"/>
      <c r="N94" s="18"/>
      <c r="O94" s="17"/>
      <c r="P94" s="18"/>
      <c r="Q94" s="18"/>
      <c r="R94" s="18"/>
      <c r="S94" s="18"/>
      <c r="T94" s="18"/>
      <c r="U94" s="18"/>
      <c r="V94" s="18"/>
      <c r="W94" s="33"/>
      <c r="X94" s="18"/>
      <c r="Y94" s="18"/>
      <c r="Z94" s="18"/>
      <c r="AA94" s="18"/>
      <c r="AB94" s="18"/>
      <c r="AC94" s="17"/>
      <c r="AD94" s="18"/>
      <c r="AE94" s="18"/>
      <c r="AF94" s="18"/>
      <c r="AG94" s="18"/>
      <c r="AH94" s="18"/>
      <c r="AI94" s="18"/>
      <c r="AJ94" s="18"/>
      <c r="AK94" s="33"/>
      <c r="AL94" s="18"/>
      <c r="AM94" s="18"/>
      <c r="AN94" s="18"/>
      <c r="AO94" s="18"/>
      <c r="AP94" s="18"/>
      <c r="AQ94" s="17"/>
      <c r="AR94" s="18"/>
      <c r="AS94" s="18"/>
      <c r="AT94" s="18"/>
      <c r="AU94" s="18"/>
      <c r="AV94" s="18"/>
      <c r="AW94" s="18"/>
      <c r="AX94" s="18"/>
      <c r="AY94" s="33"/>
      <c r="AZ94" s="18"/>
      <c r="BA94" s="18"/>
      <c r="BB94" s="18"/>
      <c r="BC94" s="18"/>
      <c r="BD94" s="18"/>
      <c r="BE94" s="17"/>
      <c r="BF94" s="33"/>
      <c r="BG94" s="18"/>
      <c r="BH94" s="18"/>
      <c r="BI94" s="18"/>
      <c r="BJ94" s="18"/>
      <c r="BK94" s="18"/>
      <c r="BL94" s="17"/>
      <c r="BM94" s="18"/>
      <c r="BN94" s="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33"/>
      <c r="CD94" s="18"/>
      <c r="CE94" s="18"/>
      <c r="CF94" s="18"/>
      <c r="CG94" s="17"/>
      <c r="CH94" s="13"/>
      <c r="CJ94" s="26"/>
      <c r="CN94" s="26"/>
      <c r="CY94" s="27"/>
    </row>
    <row r="95" spans="1:103" s="11" customFormat="1">
      <c r="A95" s="32"/>
      <c r="B95" s="33"/>
      <c r="C95" s="18"/>
      <c r="D95" s="18"/>
      <c r="E95" s="18"/>
      <c r="F95" s="18"/>
      <c r="G95" s="18"/>
      <c r="H95" s="17"/>
      <c r="I95" s="18"/>
      <c r="J95" s="18"/>
      <c r="K95" s="18"/>
      <c r="L95" s="18"/>
      <c r="M95" s="18"/>
      <c r="N95" s="18"/>
      <c r="O95" s="17"/>
      <c r="P95" s="18"/>
      <c r="Q95" s="18"/>
      <c r="R95" s="18"/>
      <c r="S95" s="18"/>
      <c r="T95" s="18"/>
      <c r="U95" s="18"/>
      <c r="V95" s="18"/>
      <c r="W95" s="33"/>
      <c r="X95" s="18"/>
      <c r="Y95" s="18"/>
      <c r="Z95" s="18"/>
      <c r="AA95" s="18"/>
      <c r="AB95" s="18"/>
      <c r="AC95" s="17"/>
      <c r="AD95" s="18"/>
      <c r="AE95" s="18"/>
      <c r="AF95" s="18"/>
      <c r="AG95" s="18"/>
      <c r="AH95" s="18"/>
      <c r="AI95" s="18"/>
      <c r="AJ95" s="18"/>
      <c r="AK95" s="33"/>
      <c r="AL95" s="18"/>
      <c r="AM95" s="18"/>
      <c r="AN95" s="18"/>
      <c r="AO95" s="18"/>
      <c r="AP95" s="18"/>
      <c r="AQ95" s="17"/>
      <c r="AR95" s="18"/>
      <c r="AS95" s="18"/>
      <c r="AT95" s="18"/>
      <c r="AU95" s="18"/>
      <c r="AV95" s="18"/>
      <c r="AW95" s="18"/>
      <c r="AX95" s="18"/>
      <c r="AY95" s="33"/>
      <c r="AZ95" s="18"/>
      <c r="BA95" s="18"/>
      <c r="BB95" s="18"/>
      <c r="BC95" s="18"/>
      <c r="BD95" s="18"/>
      <c r="BE95" s="17"/>
      <c r="BF95" s="33"/>
      <c r="BG95" s="18"/>
      <c r="BH95" s="18"/>
      <c r="BI95" s="18"/>
      <c r="BJ95" s="18"/>
      <c r="BK95" s="18"/>
      <c r="BL95" s="17"/>
      <c r="BM95" s="18"/>
      <c r="BN95" s="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33"/>
      <c r="CD95" s="18"/>
      <c r="CE95" s="18"/>
      <c r="CF95" s="18"/>
      <c r="CG95" s="17"/>
      <c r="CH95" s="13"/>
      <c r="CJ95" s="26"/>
      <c r="CN95" s="26"/>
      <c r="CY95" s="27"/>
    </row>
    <row r="96" spans="1:103" s="11" customFormat="1">
      <c r="A96" s="32"/>
      <c r="B96" s="33"/>
      <c r="C96" s="18"/>
      <c r="D96" s="18"/>
      <c r="E96" s="18"/>
      <c r="F96" s="18"/>
      <c r="G96" s="18"/>
      <c r="H96" s="17"/>
      <c r="I96" s="18"/>
      <c r="J96" s="18"/>
      <c r="K96" s="18"/>
      <c r="L96" s="18"/>
      <c r="M96" s="18"/>
      <c r="N96" s="18"/>
      <c r="O96" s="17"/>
      <c r="P96" s="18"/>
      <c r="Q96" s="18"/>
      <c r="R96" s="18"/>
      <c r="S96" s="18"/>
      <c r="T96" s="18"/>
      <c r="U96" s="18"/>
      <c r="V96" s="18"/>
      <c r="W96" s="33"/>
      <c r="X96" s="18"/>
      <c r="Y96" s="18"/>
      <c r="Z96" s="18"/>
      <c r="AA96" s="18"/>
      <c r="AB96" s="18"/>
      <c r="AC96" s="17"/>
      <c r="AD96" s="18"/>
      <c r="AE96" s="18"/>
      <c r="AF96" s="18"/>
      <c r="AG96" s="18"/>
      <c r="AH96" s="18"/>
      <c r="AI96" s="18"/>
      <c r="AJ96" s="18"/>
      <c r="AK96" s="33"/>
      <c r="AL96" s="18"/>
      <c r="AM96" s="18"/>
      <c r="AN96" s="18"/>
      <c r="AO96" s="18"/>
      <c r="AP96" s="18"/>
      <c r="AQ96" s="17"/>
      <c r="AR96" s="18"/>
      <c r="AS96" s="18"/>
      <c r="AT96" s="18"/>
      <c r="AU96" s="18"/>
      <c r="AV96" s="18"/>
      <c r="AW96" s="18"/>
      <c r="AX96" s="18"/>
      <c r="AY96" s="33"/>
      <c r="AZ96" s="18"/>
      <c r="BA96" s="18"/>
      <c r="BB96" s="18"/>
      <c r="BC96" s="18"/>
      <c r="BD96" s="18"/>
      <c r="BE96" s="17"/>
      <c r="BF96" s="33"/>
      <c r="BG96" s="18"/>
      <c r="BH96" s="18"/>
      <c r="BI96" s="18"/>
      <c r="BJ96" s="18"/>
      <c r="BK96" s="18"/>
      <c r="BL96" s="17"/>
      <c r="BM96" s="18"/>
      <c r="BN96" s="19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33"/>
      <c r="CD96" s="18"/>
      <c r="CE96" s="18"/>
      <c r="CF96" s="18"/>
      <c r="CG96" s="17"/>
      <c r="CH96" s="13"/>
      <c r="CJ96" s="26"/>
      <c r="CN96" s="26"/>
      <c r="CY96" s="27"/>
    </row>
    <row r="97" spans="1:103" s="11" customFormat="1">
      <c r="A97" s="32"/>
      <c r="B97" s="33"/>
      <c r="C97" s="18"/>
      <c r="D97" s="18"/>
      <c r="E97" s="18"/>
      <c r="F97" s="18"/>
      <c r="G97" s="18"/>
      <c r="H97" s="17"/>
      <c r="I97" s="18"/>
      <c r="J97" s="18"/>
      <c r="K97" s="18"/>
      <c r="L97" s="18"/>
      <c r="M97" s="18"/>
      <c r="N97" s="18"/>
      <c r="O97" s="17"/>
      <c r="P97" s="18"/>
      <c r="Q97" s="18"/>
      <c r="R97" s="18"/>
      <c r="S97" s="18"/>
      <c r="T97" s="18"/>
      <c r="U97" s="18"/>
      <c r="V97" s="18"/>
      <c r="W97" s="33"/>
      <c r="X97" s="18"/>
      <c r="Y97" s="18"/>
      <c r="Z97" s="18"/>
      <c r="AA97" s="18"/>
      <c r="AB97" s="18"/>
      <c r="AC97" s="17"/>
      <c r="AD97" s="18"/>
      <c r="AE97" s="18"/>
      <c r="AF97" s="18"/>
      <c r="AG97" s="18"/>
      <c r="AH97" s="18"/>
      <c r="AI97" s="18"/>
      <c r="AJ97" s="18"/>
      <c r="AK97" s="33"/>
      <c r="AL97" s="18"/>
      <c r="AM97" s="18"/>
      <c r="AN97" s="18"/>
      <c r="AO97" s="18"/>
      <c r="AP97" s="18"/>
      <c r="AQ97" s="17"/>
      <c r="AR97" s="18"/>
      <c r="AS97" s="18"/>
      <c r="AT97" s="18"/>
      <c r="AU97" s="18"/>
      <c r="AV97" s="18"/>
      <c r="AW97" s="18"/>
      <c r="AX97" s="18"/>
      <c r="AY97" s="33"/>
      <c r="AZ97" s="18"/>
      <c r="BA97" s="18"/>
      <c r="BB97" s="18"/>
      <c r="BC97" s="18"/>
      <c r="BD97" s="18"/>
      <c r="BE97" s="17"/>
      <c r="BF97" s="33"/>
      <c r="BG97" s="18"/>
      <c r="BH97" s="18"/>
      <c r="BI97" s="18"/>
      <c r="BJ97" s="18"/>
      <c r="BK97" s="18"/>
      <c r="BL97" s="17"/>
      <c r="BM97" s="18"/>
      <c r="BO97" s="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33"/>
      <c r="CD97" s="18"/>
      <c r="CE97" s="18"/>
      <c r="CF97" s="18"/>
      <c r="CG97" s="17"/>
      <c r="CH97" s="13"/>
      <c r="CJ97" s="26"/>
      <c r="CN97" s="26"/>
      <c r="CY97" s="27"/>
    </row>
    <row r="98" spans="1:103" s="11" customFormat="1">
      <c r="A98" s="32"/>
      <c r="B98" s="33"/>
      <c r="C98" s="18"/>
      <c r="D98" s="18"/>
      <c r="E98" s="18"/>
      <c r="F98" s="18"/>
      <c r="G98" s="18"/>
      <c r="H98" s="17"/>
      <c r="I98" s="18"/>
      <c r="J98" s="18"/>
      <c r="K98" s="18"/>
      <c r="L98" s="18"/>
      <c r="M98" s="18"/>
      <c r="N98" s="18"/>
      <c r="O98" s="17"/>
      <c r="P98" s="18"/>
      <c r="Q98" s="18"/>
      <c r="R98" s="18"/>
      <c r="S98" s="18"/>
      <c r="T98" s="18"/>
      <c r="U98" s="18"/>
      <c r="V98" s="18"/>
      <c r="W98" s="33"/>
      <c r="X98" s="18"/>
      <c r="Y98" s="18"/>
      <c r="Z98" s="18"/>
      <c r="AA98" s="18"/>
      <c r="AB98" s="18"/>
      <c r="AC98" s="17"/>
      <c r="AD98" s="18"/>
      <c r="AE98" s="18"/>
      <c r="AF98" s="18"/>
      <c r="AG98" s="18"/>
      <c r="AH98" s="18"/>
      <c r="AI98" s="18"/>
      <c r="AJ98" s="18"/>
      <c r="AK98" s="33"/>
      <c r="AL98" s="18"/>
      <c r="AM98" s="18"/>
      <c r="AN98" s="18"/>
      <c r="AO98" s="18"/>
      <c r="AP98" s="18"/>
      <c r="AQ98" s="17"/>
      <c r="AR98" s="18"/>
      <c r="AS98" s="18"/>
      <c r="AT98" s="18"/>
      <c r="AU98" s="18"/>
      <c r="AV98" s="18"/>
      <c r="AW98" s="18"/>
      <c r="AX98" s="18"/>
      <c r="AY98" s="33"/>
      <c r="AZ98" s="18"/>
      <c r="BA98" s="18"/>
      <c r="BB98" s="18"/>
      <c r="BC98" s="18"/>
      <c r="BD98" s="18"/>
      <c r="BE98" s="17"/>
      <c r="BF98" s="33"/>
      <c r="BG98" s="18"/>
      <c r="BH98" s="18"/>
      <c r="BI98" s="18"/>
      <c r="BJ98" s="18"/>
      <c r="BK98" s="18"/>
      <c r="BL98" s="17"/>
      <c r="BM98" s="18"/>
      <c r="BN98" s="8"/>
      <c r="BO98" s="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33"/>
      <c r="CD98" s="18"/>
      <c r="CE98" s="18"/>
      <c r="CF98" s="18"/>
      <c r="CG98" s="17"/>
      <c r="CH98" s="13"/>
      <c r="CJ98" s="26"/>
      <c r="CN98" s="26"/>
      <c r="CY98" s="27"/>
    </row>
    <row r="99" spans="1:103" s="11" customFormat="1">
      <c r="A99" s="32"/>
      <c r="B99" s="33"/>
      <c r="C99" s="18"/>
      <c r="D99" s="18"/>
      <c r="E99" s="18"/>
      <c r="F99" s="18"/>
      <c r="G99" s="18"/>
      <c r="H99" s="17"/>
      <c r="I99" s="18"/>
      <c r="J99" s="18"/>
      <c r="K99" s="18"/>
      <c r="L99" s="18"/>
      <c r="M99" s="18"/>
      <c r="N99" s="18"/>
      <c r="O99" s="17"/>
      <c r="P99" s="18"/>
      <c r="Q99" s="18"/>
      <c r="R99" s="18"/>
      <c r="S99" s="18"/>
      <c r="T99" s="18"/>
      <c r="U99" s="18"/>
      <c r="V99" s="18"/>
      <c r="W99" s="33"/>
      <c r="X99" s="18"/>
      <c r="Y99" s="18"/>
      <c r="Z99" s="18"/>
      <c r="AA99" s="18"/>
      <c r="AB99" s="18"/>
      <c r="AC99" s="17"/>
      <c r="AD99" s="18"/>
      <c r="AE99" s="18"/>
      <c r="AF99" s="18"/>
      <c r="AG99" s="18"/>
      <c r="AH99" s="18"/>
      <c r="AI99" s="18"/>
      <c r="AJ99" s="18"/>
      <c r="AK99" s="33"/>
      <c r="AL99" s="18"/>
      <c r="AM99" s="18"/>
      <c r="AN99" s="18"/>
      <c r="AO99" s="18"/>
      <c r="AP99" s="18"/>
      <c r="AQ99" s="17"/>
      <c r="AR99" s="18"/>
      <c r="AS99" s="18"/>
      <c r="AT99" s="18"/>
      <c r="AU99" s="18"/>
      <c r="AV99" s="18"/>
      <c r="AW99" s="18"/>
      <c r="AX99" s="18"/>
      <c r="AY99" s="33"/>
      <c r="AZ99" s="18"/>
      <c r="BA99" s="18"/>
      <c r="BB99" s="18"/>
      <c r="BC99" s="18"/>
      <c r="BD99" s="18"/>
      <c r="BE99" s="17"/>
      <c r="BF99" s="33"/>
      <c r="BG99" s="18"/>
      <c r="BH99" s="18"/>
      <c r="BI99" s="18"/>
      <c r="BJ99" s="18"/>
      <c r="BK99" s="18"/>
      <c r="BL99" s="17"/>
      <c r="BM99" s="18"/>
      <c r="BN99" s="16" t="s">
        <v>131</v>
      </c>
      <c r="BO99" s="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33"/>
      <c r="CD99" s="18"/>
      <c r="CE99" s="18"/>
      <c r="CF99" s="18"/>
      <c r="CG99" s="17"/>
      <c r="CH99" s="13"/>
      <c r="CJ99" s="26"/>
      <c r="CN99" s="26"/>
      <c r="CY99" s="27"/>
    </row>
    <row r="100" spans="1:103" s="11" customFormat="1">
      <c r="A100" s="32"/>
      <c r="B100" s="33"/>
      <c r="C100" s="18"/>
      <c r="D100" s="18"/>
      <c r="E100" s="18"/>
      <c r="F100" s="18"/>
      <c r="G100" s="18"/>
      <c r="H100" s="17"/>
      <c r="I100" s="18"/>
      <c r="J100" s="18"/>
      <c r="K100" s="18"/>
      <c r="L100" s="18"/>
      <c r="M100" s="18"/>
      <c r="N100" s="18"/>
      <c r="O100" s="17"/>
      <c r="P100" s="18"/>
      <c r="Q100" s="18"/>
      <c r="R100" s="18"/>
      <c r="S100" s="18"/>
      <c r="T100" s="18"/>
      <c r="U100" s="18"/>
      <c r="V100" s="18"/>
      <c r="W100" s="33"/>
      <c r="X100" s="18"/>
      <c r="Y100" s="18"/>
      <c r="Z100" s="18"/>
      <c r="AA100" s="18"/>
      <c r="AB100" s="18"/>
      <c r="AC100" s="17"/>
      <c r="AD100" s="18"/>
      <c r="AE100" s="18"/>
      <c r="AF100" s="18"/>
      <c r="AG100" s="18"/>
      <c r="AH100" s="18"/>
      <c r="AI100" s="18"/>
      <c r="AJ100" s="18"/>
      <c r="AK100" s="33"/>
      <c r="AL100" s="18"/>
      <c r="AM100" s="18"/>
      <c r="AN100" s="18"/>
      <c r="AO100" s="18"/>
      <c r="AP100" s="18"/>
      <c r="AQ100" s="17"/>
      <c r="AR100" s="18"/>
      <c r="AS100" s="18"/>
      <c r="AT100" s="18"/>
      <c r="AU100" s="18"/>
      <c r="AV100" s="18"/>
      <c r="AW100" s="18"/>
      <c r="AX100" s="18"/>
      <c r="AY100" s="33"/>
      <c r="AZ100" s="18"/>
      <c r="BA100" s="18"/>
      <c r="BB100" s="18"/>
      <c r="BC100" s="18"/>
      <c r="BD100" s="18"/>
      <c r="BE100" s="17"/>
      <c r="BF100" s="33"/>
      <c r="BG100" s="18"/>
      <c r="BH100" s="18"/>
      <c r="BI100" s="18"/>
      <c r="BJ100" s="18"/>
      <c r="BK100" s="18"/>
      <c r="BL100" s="17"/>
      <c r="BM100" s="18"/>
      <c r="BN100" s="8"/>
      <c r="BO100" s="8" t="s">
        <v>132</v>
      </c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33"/>
      <c r="CD100" s="18"/>
      <c r="CE100" s="18"/>
      <c r="CF100" s="18"/>
      <c r="CG100" s="17"/>
      <c r="CH100" s="13"/>
      <c r="CJ100" s="26"/>
      <c r="CN100" s="26"/>
      <c r="CY100" s="27"/>
    </row>
    <row r="101" spans="1:103" s="11" customFormat="1">
      <c r="A101" s="32"/>
      <c r="B101" s="33"/>
      <c r="C101" s="18"/>
      <c r="D101" s="18"/>
      <c r="E101" s="18"/>
      <c r="F101" s="18"/>
      <c r="G101" s="18"/>
      <c r="H101" s="17"/>
      <c r="I101" s="18"/>
      <c r="J101" s="18"/>
      <c r="K101" s="18"/>
      <c r="L101" s="18"/>
      <c r="M101" s="18"/>
      <c r="N101" s="18"/>
      <c r="O101" s="17"/>
      <c r="P101" s="18"/>
      <c r="Q101" s="18"/>
      <c r="R101" s="18"/>
      <c r="S101" s="18"/>
      <c r="T101" s="18"/>
      <c r="U101" s="18"/>
      <c r="V101" s="18"/>
      <c r="W101" s="33"/>
      <c r="X101" s="18"/>
      <c r="Y101" s="18"/>
      <c r="Z101" s="18"/>
      <c r="AA101" s="18"/>
      <c r="AB101" s="18"/>
      <c r="AC101" s="17"/>
      <c r="AD101" s="18"/>
      <c r="AE101" s="18"/>
      <c r="AF101" s="18"/>
      <c r="AG101" s="18"/>
      <c r="AH101" s="18"/>
      <c r="AI101" s="18"/>
      <c r="AJ101" s="18"/>
      <c r="AK101" s="33"/>
      <c r="AL101" s="18"/>
      <c r="AM101" s="18"/>
      <c r="AN101" s="18"/>
      <c r="AO101" s="18"/>
      <c r="AP101" s="18"/>
      <c r="AQ101" s="17"/>
      <c r="AR101" s="18"/>
      <c r="AS101" s="18"/>
      <c r="AT101" s="18"/>
      <c r="AU101" s="18"/>
      <c r="AV101" s="18"/>
      <c r="AW101" s="18"/>
      <c r="AX101" s="18"/>
      <c r="AY101" s="33"/>
      <c r="AZ101" s="18"/>
      <c r="BA101" s="18"/>
      <c r="BB101" s="18"/>
      <c r="BC101" s="18"/>
      <c r="BD101" s="18"/>
      <c r="BE101" s="17"/>
      <c r="BF101" s="33"/>
      <c r="BG101" s="18"/>
      <c r="BH101" s="18"/>
      <c r="BI101" s="18"/>
      <c r="BJ101" s="18"/>
      <c r="BK101" s="18"/>
      <c r="BL101" s="17"/>
      <c r="BM101" s="18"/>
      <c r="BN101" s="8"/>
      <c r="BO101" s="8" t="s">
        <v>133</v>
      </c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33"/>
      <c r="CD101" s="18"/>
      <c r="CE101" s="18"/>
      <c r="CF101" s="18"/>
      <c r="CG101" s="17"/>
      <c r="CH101" s="13"/>
      <c r="CJ101" s="26"/>
      <c r="CN101" s="26"/>
      <c r="CY101" s="27"/>
    </row>
    <row r="102" spans="1:103" s="11" customFormat="1">
      <c r="A102" s="32"/>
      <c r="B102" s="33"/>
      <c r="C102" s="18"/>
      <c r="D102" s="18"/>
      <c r="E102" s="18"/>
      <c r="F102" s="18"/>
      <c r="G102" s="18"/>
      <c r="H102" s="17"/>
      <c r="I102" s="18"/>
      <c r="J102" s="18"/>
      <c r="K102" s="18"/>
      <c r="L102" s="18"/>
      <c r="M102" s="18"/>
      <c r="N102" s="18"/>
      <c r="O102" s="17"/>
      <c r="P102" s="18"/>
      <c r="Q102" s="18"/>
      <c r="R102" s="18"/>
      <c r="S102" s="18"/>
      <c r="T102" s="18"/>
      <c r="U102" s="18"/>
      <c r="V102" s="18"/>
      <c r="W102" s="33"/>
      <c r="X102" s="18"/>
      <c r="Y102" s="18"/>
      <c r="Z102" s="18"/>
      <c r="AA102" s="18"/>
      <c r="AB102" s="18"/>
      <c r="AC102" s="17"/>
      <c r="AD102" s="18"/>
      <c r="AE102" s="18"/>
      <c r="AF102" s="18"/>
      <c r="AG102" s="18"/>
      <c r="AH102" s="18"/>
      <c r="AI102" s="18"/>
      <c r="AJ102" s="18"/>
      <c r="AK102" s="33"/>
      <c r="AL102" s="18"/>
      <c r="AM102" s="18"/>
      <c r="AN102" s="18"/>
      <c r="AO102" s="18"/>
      <c r="AP102" s="18"/>
      <c r="AQ102" s="17"/>
      <c r="AR102" s="18"/>
      <c r="AS102" s="18"/>
      <c r="AT102" s="18"/>
      <c r="AU102" s="18"/>
      <c r="AV102" s="18"/>
      <c r="AW102" s="18"/>
      <c r="AX102" s="18"/>
      <c r="AY102" s="33"/>
      <c r="AZ102" s="18"/>
      <c r="BA102" s="18"/>
      <c r="BB102" s="18"/>
      <c r="BC102" s="18"/>
      <c r="BD102" s="18"/>
      <c r="BE102" s="17"/>
      <c r="BF102" s="33"/>
      <c r="BG102" s="18"/>
      <c r="BH102" s="18"/>
      <c r="BI102" s="18"/>
      <c r="BJ102" s="18"/>
      <c r="BK102" s="18"/>
      <c r="BL102" s="17"/>
      <c r="BM102" s="18"/>
      <c r="BN102" s="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33"/>
      <c r="CD102" s="18"/>
      <c r="CE102" s="18"/>
      <c r="CF102" s="18"/>
      <c r="CG102" s="17"/>
      <c r="CH102" s="13"/>
      <c r="CJ102" s="26"/>
      <c r="CN102" s="26"/>
      <c r="CY102" s="27"/>
    </row>
    <row r="103" spans="1:103" s="11" customFormat="1">
      <c r="A103" s="32"/>
      <c r="B103" s="33"/>
      <c r="C103" s="18"/>
      <c r="D103" s="18"/>
      <c r="E103" s="18"/>
      <c r="F103" s="18"/>
      <c r="G103" s="18"/>
      <c r="H103" s="17"/>
      <c r="I103" s="18"/>
      <c r="J103" s="18"/>
      <c r="K103" s="18"/>
      <c r="L103" s="18"/>
      <c r="M103" s="18"/>
      <c r="N103" s="18"/>
      <c r="O103" s="17"/>
      <c r="P103" s="18"/>
      <c r="Q103" s="18"/>
      <c r="R103" s="18"/>
      <c r="S103" s="18"/>
      <c r="T103" s="18"/>
      <c r="U103" s="18"/>
      <c r="V103" s="18"/>
      <c r="W103" s="33"/>
      <c r="X103" s="18"/>
      <c r="Y103" s="18"/>
      <c r="Z103" s="18"/>
      <c r="AA103" s="18"/>
      <c r="AB103" s="18"/>
      <c r="AC103" s="17"/>
      <c r="AD103" s="18"/>
      <c r="AE103" s="18"/>
      <c r="AF103" s="18"/>
      <c r="AG103" s="18"/>
      <c r="AH103" s="18"/>
      <c r="AI103" s="18"/>
      <c r="AJ103" s="18"/>
      <c r="AK103" s="33"/>
      <c r="AL103" s="18"/>
      <c r="AM103" s="18"/>
      <c r="AN103" s="18"/>
      <c r="AO103" s="18"/>
      <c r="AP103" s="18"/>
      <c r="AQ103" s="17"/>
      <c r="AR103" s="18"/>
      <c r="AS103" s="18"/>
      <c r="AT103" s="18"/>
      <c r="AU103" s="18"/>
      <c r="AV103" s="18"/>
      <c r="AW103" s="18"/>
      <c r="AX103" s="18"/>
      <c r="AY103" s="33"/>
      <c r="AZ103" s="18"/>
      <c r="BA103" s="18"/>
      <c r="BB103" s="18"/>
      <c r="BC103" s="18"/>
      <c r="BD103" s="18"/>
      <c r="BE103" s="17"/>
      <c r="BF103" s="33"/>
      <c r="BG103" s="18"/>
      <c r="BH103" s="18"/>
      <c r="BI103" s="18"/>
      <c r="BJ103" s="18"/>
      <c r="BK103" s="18"/>
      <c r="BL103" s="17"/>
      <c r="BM103" s="18"/>
      <c r="BN103" s="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33"/>
      <c r="CD103" s="18"/>
      <c r="CE103" s="18"/>
      <c r="CF103" s="18"/>
      <c r="CG103" s="17"/>
      <c r="CH103" s="13"/>
      <c r="CJ103" s="26"/>
      <c r="CN103" s="26"/>
      <c r="CY103" s="27"/>
    </row>
    <row r="104" spans="1:103" s="11" customFormat="1">
      <c r="A104" s="32"/>
      <c r="B104" s="33"/>
      <c r="C104" s="18"/>
      <c r="D104" s="18"/>
      <c r="E104" s="18"/>
      <c r="F104" s="18"/>
      <c r="G104" s="18"/>
      <c r="H104" s="17"/>
      <c r="I104" s="18"/>
      <c r="J104" s="18"/>
      <c r="K104" s="18"/>
      <c r="L104" s="18"/>
      <c r="M104" s="18"/>
      <c r="N104" s="18"/>
      <c r="O104" s="17"/>
      <c r="P104" s="18"/>
      <c r="Q104" s="18"/>
      <c r="R104" s="18"/>
      <c r="S104" s="18"/>
      <c r="T104" s="18"/>
      <c r="U104" s="18"/>
      <c r="V104" s="18"/>
      <c r="W104" s="33"/>
      <c r="X104" s="18"/>
      <c r="Y104" s="18"/>
      <c r="Z104" s="18"/>
      <c r="AA104" s="18"/>
      <c r="AB104" s="18"/>
      <c r="AC104" s="17"/>
      <c r="AD104" s="18"/>
      <c r="AE104" s="18"/>
      <c r="AF104" s="18"/>
      <c r="AG104" s="18"/>
      <c r="AH104" s="18"/>
      <c r="AI104" s="18"/>
      <c r="AJ104" s="18"/>
      <c r="AK104" s="33"/>
      <c r="AL104" s="18"/>
      <c r="AM104" s="18"/>
      <c r="AN104" s="18"/>
      <c r="AO104" s="18"/>
      <c r="AP104" s="18"/>
      <c r="AQ104" s="17"/>
      <c r="AR104" s="18"/>
      <c r="AS104" s="18"/>
      <c r="AT104" s="18"/>
      <c r="AU104" s="18"/>
      <c r="AV104" s="18"/>
      <c r="AW104" s="18"/>
      <c r="AX104" s="18"/>
      <c r="AY104" s="33"/>
      <c r="AZ104" s="18"/>
      <c r="BA104" s="18"/>
      <c r="BB104" s="18"/>
      <c r="BC104" s="18"/>
      <c r="BD104" s="18"/>
      <c r="BE104" s="17"/>
      <c r="BF104" s="33"/>
      <c r="BG104" s="18"/>
      <c r="BH104" s="18"/>
      <c r="BI104" s="18"/>
      <c r="BJ104" s="18"/>
      <c r="BK104" s="18"/>
      <c r="BL104" s="17"/>
      <c r="BM104" s="18"/>
      <c r="BN104" s="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33"/>
      <c r="CD104" s="18"/>
      <c r="CE104" s="18"/>
      <c r="CF104" s="18"/>
      <c r="CG104" s="17"/>
      <c r="CH104" s="13"/>
      <c r="CJ104" s="26"/>
      <c r="CN104" s="26"/>
      <c r="CY104" s="27"/>
    </row>
    <row r="105" spans="1:103" s="11" customFormat="1">
      <c r="A105" s="32"/>
      <c r="B105" s="33"/>
      <c r="C105" s="18"/>
      <c r="D105" s="18"/>
      <c r="E105" s="18"/>
      <c r="F105" s="18"/>
      <c r="G105" s="18"/>
      <c r="H105" s="17"/>
      <c r="I105" s="18"/>
      <c r="J105" s="18"/>
      <c r="K105" s="18"/>
      <c r="L105" s="18"/>
      <c r="M105" s="18"/>
      <c r="N105" s="18"/>
      <c r="O105" s="17"/>
      <c r="P105" s="18"/>
      <c r="Q105" s="18"/>
      <c r="R105" s="18"/>
      <c r="S105" s="18"/>
      <c r="T105" s="18"/>
      <c r="U105" s="18"/>
      <c r="V105" s="18"/>
      <c r="W105" s="33"/>
      <c r="X105" s="18"/>
      <c r="Y105" s="18"/>
      <c r="Z105" s="18"/>
      <c r="AA105" s="18"/>
      <c r="AB105" s="18"/>
      <c r="AC105" s="17"/>
      <c r="AD105" s="18"/>
      <c r="AE105" s="18"/>
      <c r="AF105" s="18"/>
      <c r="AG105" s="18"/>
      <c r="AH105" s="18"/>
      <c r="AI105" s="18"/>
      <c r="AJ105" s="18"/>
      <c r="AK105" s="33"/>
      <c r="AL105" s="18"/>
      <c r="AM105" s="18"/>
      <c r="AN105" s="18"/>
      <c r="AO105" s="18"/>
      <c r="AP105" s="18"/>
      <c r="AQ105" s="17"/>
      <c r="AR105" s="18"/>
      <c r="AS105" s="18"/>
      <c r="AT105" s="18"/>
      <c r="AU105" s="18"/>
      <c r="AV105" s="18"/>
      <c r="AW105" s="18"/>
      <c r="AX105" s="18"/>
      <c r="AY105" s="33"/>
      <c r="AZ105" s="18"/>
      <c r="BA105" s="18"/>
      <c r="BB105" s="18"/>
      <c r="BC105" s="18"/>
      <c r="BD105" s="18"/>
      <c r="BE105" s="17"/>
      <c r="BF105" s="33"/>
      <c r="BG105" s="18"/>
      <c r="BH105" s="18"/>
      <c r="BI105" s="18"/>
      <c r="BJ105" s="18"/>
      <c r="BK105" s="18"/>
      <c r="BL105" s="17"/>
      <c r="BM105" s="18"/>
      <c r="BN105" s="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33"/>
      <c r="CD105" s="18"/>
      <c r="CE105" s="18"/>
      <c r="CF105" s="18"/>
      <c r="CG105" s="17"/>
      <c r="CH105" s="13"/>
      <c r="CJ105" s="26"/>
      <c r="CN105" s="26"/>
      <c r="CY105" s="27"/>
    </row>
    <row r="106" spans="1:103" s="11" customFormat="1">
      <c r="A106" s="32"/>
      <c r="B106" s="33"/>
      <c r="C106" s="18"/>
      <c r="D106" s="18"/>
      <c r="E106" s="18"/>
      <c r="F106" s="18"/>
      <c r="G106" s="18"/>
      <c r="H106" s="17"/>
      <c r="I106" s="18"/>
      <c r="J106" s="18"/>
      <c r="K106" s="18"/>
      <c r="L106" s="18"/>
      <c r="M106" s="18"/>
      <c r="N106" s="18"/>
      <c r="O106" s="17"/>
      <c r="P106" s="18"/>
      <c r="Q106" s="18"/>
      <c r="R106" s="18"/>
      <c r="S106" s="18"/>
      <c r="T106" s="18"/>
      <c r="U106" s="18"/>
      <c r="V106" s="18"/>
      <c r="W106" s="33"/>
      <c r="X106" s="18"/>
      <c r="Y106" s="18"/>
      <c r="Z106" s="18"/>
      <c r="AA106" s="18"/>
      <c r="AB106" s="18"/>
      <c r="AC106" s="17"/>
      <c r="AD106" s="18"/>
      <c r="AE106" s="18"/>
      <c r="AF106" s="18"/>
      <c r="AG106" s="18"/>
      <c r="AH106" s="18"/>
      <c r="AI106" s="18"/>
      <c r="AJ106" s="18"/>
      <c r="AK106" s="33"/>
      <c r="AL106" s="18"/>
      <c r="AM106" s="18"/>
      <c r="AN106" s="18"/>
      <c r="AO106" s="18"/>
      <c r="AP106" s="18"/>
      <c r="AQ106" s="17"/>
      <c r="AR106" s="18"/>
      <c r="AS106" s="18"/>
      <c r="AT106" s="18"/>
      <c r="AU106" s="18"/>
      <c r="AV106" s="18"/>
      <c r="AW106" s="18"/>
      <c r="AX106" s="18"/>
      <c r="AY106" s="33"/>
      <c r="AZ106" s="18"/>
      <c r="BA106" s="18"/>
      <c r="BB106" s="18"/>
      <c r="BC106" s="18"/>
      <c r="BD106" s="18"/>
      <c r="BE106" s="17"/>
      <c r="BF106" s="33"/>
      <c r="BG106" s="18"/>
      <c r="BH106" s="18"/>
      <c r="BI106" s="18"/>
      <c r="BJ106" s="18"/>
      <c r="BK106" s="18"/>
      <c r="BL106" s="17"/>
      <c r="BM106" s="18"/>
      <c r="BN106" s="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33"/>
      <c r="CD106" s="18"/>
      <c r="CE106" s="18"/>
      <c r="CF106" s="18"/>
      <c r="CG106" s="17"/>
      <c r="CH106" s="13"/>
      <c r="CJ106" s="26"/>
      <c r="CN106" s="26"/>
      <c r="CY106" s="27"/>
    </row>
    <row r="107" spans="1:103" s="11" customFormat="1">
      <c r="A107" s="32"/>
      <c r="B107" s="33"/>
      <c r="C107" s="18"/>
      <c r="D107" s="18"/>
      <c r="E107" s="18"/>
      <c r="F107" s="18"/>
      <c r="G107" s="18"/>
      <c r="H107" s="17"/>
      <c r="I107" s="18"/>
      <c r="J107" s="18"/>
      <c r="K107" s="18"/>
      <c r="L107" s="18"/>
      <c r="M107" s="18"/>
      <c r="N107" s="18"/>
      <c r="O107" s="17"/>
      <c r="P107" s="18"/>
      <c r="Q107" s="18"/>
      <c r="R107" s="18"/>
      <c r="S107" s="18"/>
      <c r="T107" s="18"/>
      <c r="U107" s="18"/>
      <c r="V107" s="18"/>
      <c r="W107" s="33"/>
      <c r="X107" s="18"/>
      <c r="Y107" s="18"/>
      <c r="Z107" s="18"/>
      <c r="AA107" s="18"/>
      <c r="AB107" s="18"/>
      <c r="AC107" s="17"/>
      <c r="AD107" s="18"/>
      <c r="AE107" s="18"/>
      <c r="AF107" s="18"/>
      <c r="AG107" s="18"/>
      <c r="AH107" s="18"/>
      <c r="AI107" s="18"/>
      <c r="AJ107" s="18"/>
      <c r="AK107" s="33"/>
      <c r="AL107" s="18"/>
      <c r="AM107" s="18"/>
      <c r="AN107" s="18"/>
      <c r="AO107" s="18"/>
      <c r="AP107" s="18"/>
      <c r="AQ107" s="17"/>
      <c r="AR107" s="18"/>
      <c r="AS107" s="18"/>
      <c r="AT107" s="18"/>
      <c r="AU107" s="18"/>
      <c r="AV107" s="18"/>
      <c r="AW107" s="18"/>
      <c r="AX107" s="18"/>
      <c r="AY107" s="33"/>
      <c r="AZ107" s="18"/>
      <c r="BA107" s="18"/>
      <c r="BB107" s="18"/>
      <c r="BC107" s="18"/>
      <c r="BD107" s="18"/>
      <c r="BE107" s="17"/>
      <c r="BF107" s="33"/>
      <c r="BG107" s="18"/>
      <c r="BH107" s="18"/>
      <c r="BI107" s="18"/>
      <c r="BJ107" s="18"/>
      <c r="BK107" s="18"/>
      <c r="BL107" s="17"/>
      <c r="BM107" s="18"/>
      <c r="BN107" s="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33"/>
      <c r="CD107" s="18"/>
      <c r="CE107" s="18"/>
      <c r="CF107" s="18"/>
      <c r="CG107" s="17"/>
      <c r="CH107" s="13"/>
      <c r="CJ107" s="26"/>
      <c r="CN107" s="26"/>
      <c r="CY107" s="27"/>
    </row>
    <row r="108" spans="1:103" s="11" customFormat="1">
      <c r="A108" s="32"/>
      <c r="B108" s="33"/>
      <c r="C108" s="18"/>
      <c r="D108" s="18"/>
      <c r="E108" s="18"/>
      <c r="F108" s="18"/>
      <c r="G108" s="18"/>
      <c r="H108" s="17"/>
      <c r="I108" s="18"/>
      <c r="J108" s="18"/>
      <c r="K108" s="18"/>
      <c r="L108" s="18"/>
      <c r="M108" s="18"/>
      <c r="N108" s="18"/>
      <c r="O108" s="17"/>
      <c r="P108" s="18"/>
      <c r="Q108" s="18"/>
      <c r="R108" s="18"/>
      <c r="S108" s="18"/>
      <c r="T108" s="18"/>
      <c r="U108" s="18"/>
      <c r="V108" s="18"/>
      <c r="W108" s="33"/>
      <c r="X108" s="18"/>
      <c r="Y108" s="18"/>
      <c r="Z108" s="18"/>
      <c r="AA108" s="18"/>
      <c r="AB108" s="18"/>
      <c r="AC108" s="17"/>
      <c r="AD108" s="18"/>
      <c r="AE108" s="18"/>
      <c r="AF108" s="18"/>
      <c r="AG108" s="18"/>
      <c r="AH108" s="18"/>
      <c r="AI108" s="18"/>
      <c r="AJ108" s="18"/>
      <c r="AK108" s="33"/>
      <c r="AL108" s="18"/>
      <c r="AM108" s="18"/>
      <c r="AN108" s="18"/>
      <c r="AO108" s="18"/>
      <c r="AP108" s="18"/>
      <c r="AQ108" s="17"/>
      <c r="AR108" s="18"/>
      <c r="AS108" s="18"/>
      <c r="AT108" s="18"/>
      <c r="AU108" s="18"/>
      <c r="AV108" s="18"/>
      <c r="AW108" s="18"/>
      <c r="AX108" s="18"/>
      <c r="AY108" s="33"/>
      <c r="AZ108" s="18"/>
      <c r="BA108" s="18"/>
      <c r="BB108" s="18"/>
      <c r="BC108" s="18"/>
      <c r="BD108" s="18"/>
      <c r="BE108" s="17"/>
      <c r="BF108" s="33"/>
      <c r="BG108" s="18"/>
      <c r="BH108" s="18"/>
      <c r="BI108" s="18"/>
      <c r="BJ108" s="18"/>
      <c r="BK108" s="18"/>
      <c r="BL108" s="17"/>
      <c r="BM108" s="18"/>
      <c r="BN108" s="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33"/>
      <c r="CD108" s="18"/>
      <c r="CE108" s="18"/>
      <c r="CF108" s="18"/>
      <c r="CG108" s="17"/>
      <c r="CH108" s="13"/>
      <c r="CJ108" s="26"/>
      <c r="CN108" s="26"/>
      <c r="CY108" s="27"/>
    </row>
    <row r="109" spans="1:103" s="11" customFormat="1">
      <c r="A109" s="32"/>
      <c r="B109" s="33"/>
      <c r="C109" s="18"/>
      <c r="D109" s="18"/>
      <c r="E109" s="18"/>
      <c r="F109" s="18"/>
      <c r="G109" s="18"/>
      <c r="H109" s="17"/>
      <c r="I109" s="18"/>
      <c r="J109" s="18"/>
      <c r="K109" s="18"/>
      <c r="L109" s="18"/>
      <c r="M109" s="18"/>
      <c r="N109" s="18"/>
      <c r="O109" s="17"/>
      <c r="P109" s="18"/>
      <c r="Q109" s="18"/>
      <c r="R109" s="18"/>
      <c r="S109" s="18"/>
      <c r="T109" s="18"/>
      <c r="U109" s="18"/>
      <c r="V109" s="18"/>
      <c r="W109" s="33"/>
      <c r="X109" s="18"/>
      <c r="Y109" s="18"/>
      <c r="Z109" s="18"/>
      <c r="AA109" s="18"/>
      <c r="AB109" s="18"/>
      <c r="AC109" s="17"/>
      <c r="AD109" s="18"/>
      <c r="AE109" s="18"/>
      <c r="AF109" s="18"/>
      <c r="AG109" s="18"/>
      <c r="AH109" s="18"/>
      <c r="AI109" s="18"/>
      <c r="AJ109" s="18"/>
      <c r="AK109" s="33"/>
      <c r="AL109" s="18"/>
      <c r="AM109" s="18"/>
      <c r="AN109" s="18"/>
      <c r="AO109" s="18"/>
      <c r="AP109" s="18"/>
      <c r="AQ109" s="17"/>
      <c r="AR109" s="18"/>
      <c r="AS109" s="18"/>
      <c r="AT109" s="18"/>
      <c r="AU109" s="18"/>
      <c r="AV109" s="18"/>
      <c r="AW109" s="18"/>
      <c r="AX109" s="18"/>
      <c r="AY109" s="33"/>
      <c r="AZ109" s="18"/>
      <c r="BA109" s="18"/>
      <c r="BB109" s="18"/>
      <c r="BC109" s="18"/>
      <c r="BD109" s="18"/>
      <c r="BE109" s="17"/>
      <c r="BF109" s="33"/>
      <c r="BG109" s="18"/>
      <c r="BH109" s="18"/>
      <c r="BI109" s="18"/>
      <c r="BJ109" s="18"/>
      <c r="BK109" s="18"/>
      <c r="BL109" s="17"/>
      <c r="BM109" s="18"/>
      <c r="BN109" s="16" t="s">
        <v>134</v>
      </c>
      <c r="BO109" s="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33"/>
      <c r="CD109" s="18"/>
      <c r="CE109" s="18"/>
      <c r="CF109" s="18"/>
      <c r="CG109" s="17"/>
      <c r="CH109" s="13"/>
      <c r="CJ109" s="26"/>
      <c r="CN109" s="26"/>
      <c r="CY109" s="27"/>
    </row>
    <row r="110" spans="1:103" s="11" customFormat="1">
      <c r="A110" s="32"/>
      <c r="B110" s="33"/>
      <c r="C110" s="18"/>
      <c r="D110" s="18"/>
      <c r="E110" s="18"/>
      <c r="F110" s="18"/>
      <c r="G110" s="18"/>
      <c r="H110" s="17"/>
      <c r="I110" s="18"/>
      <c r="J110" s="18"/>
      <c r="K110" s="18"/>
      <c r="L110" s="18"/>
      <c r="M110" s="18"/>
      <c r="N110" s="18"/>
      <c r="O110" s="17"/>
      <c r="P110" s="18"/>
      <c r="Q110" s="18"/>
      <c r="R110" s="18"/>
      <c r="S110" s="18"/>
      <c r="T110" s="18"/>
      <c r="U110" s="18"/>
      <c r="V110" s="18"/>
      <c r="W110" s="33"/>
      <c r="X110" s="18"/>
      <c r="Y110" s="18"/>
      <c r="Z110" s="18"/>
      <c r="AA110" s="18"/>
      <c r="AB110" s="18"/>
      <c r="AC110" s="17"/>
      <c r="AD110" s="18"/>
      <c r="AE110" s="18"/>
      <c r="AF110" s="18"/>
      <c r="AG110" s="18"/>
      <c r="AH110" s="18"/>
      <c r="AI110" s="18"/>
      <c r="AJ110" s="18"/>
      <c r="AK110" s="33"/>
      <c r="AL110" s="18"/>
      <c r="AM110" s="18"/>
      <c r="AN110" s="18"/>
      <c r="AO110" s="18"/>
      <c r="AP110" s="18"/>
      <c r="AQ110" s="17"/>
      <c r="AR110" s="18"/>
      <c r="AS110" s="18"/>
      <c r="AT110" s="18"/>
      <c r="AU110" s="18"/>
      <c r="AV110" s="18"/>
      <c r="AW110" s="18"/>
      <c r="AX110" s="18"/>
      <c r="AY110" s="33"/>
      <c r="AZ110" s="18"/>
      <c r="BA110" s="18"/>
      <c r="BB110" s="18"/>
      <c r="BC110" s="18"/>
      <c r="BD110" s="18"/>
      <c r="BE110" s="17"/>
      <c r="BF110" s="33"/>
      <c r="BG110" s="18"/>
      <c r="BH110" s="18"/>
      <c r="BI110" s="18"/>
      <c r="BJ110" s="18"/>
      <c r="BK110" s="18"/>
      <c r="BL110" s="17"/>
      <c r="BM110" s="18"/>
      <c r="BN110" s="8"/>
      <c r="BO110" s="8" t="s">
        <v>135</v>
      </c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33"/>
      <c r="CD110" s="18"/>
      <c r="CE110" s="18"/>
      <c r="CF110" s="18"/>
      <c r="CG110" s="17"/>
      <c r="CH110" s="13"/>
      <c r="CJ110" s="26"/>
      <c r="CN110" s="26"/>
      <c r="CY110" s="27"/>
    </row>
    <row r="111" spans="1:103" s="11" customFormat="1">
      <c r="A111" s="32"/>
      <c r="B111" s="33"/>
      <c r="C111" s="18"/>
      <c r="D111" s="18"/>
      <c r="E111" s="18"/>
      <c r="F111" s="18"/>
      <c r="G111" s="18"/>
      <c r="H111" s="17"/>
      <c r="I111" s="18"/>
      <c r="J111" s="18"/>
      <c r="K111" s="18"/>
      <c r="L111" s="18"/>
      <c r="M111" s="18"/>
      <c r="N111" s="18"/>
      <c r="O111" s="17"/>
      <c r="P111" s="18"/>
      <c r="Q111" s="18"/>
      <c r="R111" s="18"/>
      <c r="S111" s="18"/>
      <c r="T111" s="18"/>
      <c r="U111" s="18"/>
      <c r="V111" s="18"/>
      <c r="W111" s="33"/>
      <c r="X111" s="18"/>
      <c r="Y111" s="18"/>
      <c r="Z111" s="18"/>
      <c r="AA111" s="18"/>
      <c r="AB111" s="18"/>
      <c r="AC111" s="17"/>
      <c r="AD111" s="18"/>
      <c r="AE111" s="18"/>
      <c r="AF111" s="18"/>
      <c r="AG111" s="18"/>
      <c r="AH111" s="18"/>
      <c r="AI111" s="18"/>
      <c r="AJ111" s="18"/>
      <c r="AK111" s="33"/>
      <c r="AL111" s="18"/>
      <c r="AM111" s="18"/>
      <c r="AN111" s="18"/>
      <c r="AO111" s="18"/>
      <c r="AP111" s="18"/>
      <c r="AQ111" s="17"/>
      <c r="AR111" s="18"/>
      <c r="AS111" s="18"/>
      <c r="AT111" s="18"/>
      <c r="AU111" s="18"/>
      <c r="AV111" s="18"/>
      <c r="AW111" s="18"/>
      <c r="AX111" s="18"/>
      <c r="AY111" s="33"/>
      <c r="AZ111" s="18"/>
      <c r="BA111" s="18"/>
      <c r="BB111" s="18"/>
      <c r="BC111" s="18"/>
      <c r="BD111" s="18"/>
      <c r="BE111" s="17"/>
      <c r="BF111" s="33"/>
      <c r="BG111" s="18"/>
      <c r="BH111" s="18"/>
      <c r="BI111" s="18"/>
      <c r="BJ111" s="18"/>
      <c r="BK111" s="18"/>
      <c r="BL111" s="17"/>
      <c r="BM111" s="18"/>
      <c r="BN111" s="8"/>
      <c r="BO111" s="8" t="s">
        <v>136</v>
      </c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33"/>
      <c r="CD111" s="18"/>
      <c r="CE111" s="18"/>
      <c r="CF111" s="18"/>
      <c r="CG111" s="17"/>
      <c r="CH111" s="13"/>
      <c r="CJ111" s="26"/>
      <c r="CN111" s="26"/>
      <c r="CY111" s="27"/>
    </row>
    <row r="112" spans="1:103" s="11" customFormat="1">
      <c r="A112" s="32"/>
      <c r="B112" s="33"/>
      <c r="C112" s="18"/>
      <c r="D112" s="18"/>
      <c r="E112" s="18"/>
      <c r="F112" s="18"/>
      <c r="G112" s="18"/>
      <c r="H112" s="17"/>
      <c r="I112" s="18"/>
      <c r="J112" s="18"/>
      <c r="K112" s="18"/>
      <c r="L112" s="18"/>
      <c r="M112" s="18"/>
      <c r="N112" s="18"/>
      <c r="O112" s="17"/>
      <c r="P112" s="18"/>
      <c r="Q112" s="18"/>
      <c r="R112" s="18"/>
      <c r="S112" s="18"/>
      <c r="T112" s="18"/>
      <c r="U112" s="18"/>
      <c r="V112" s="18"/>
      <c r="W112" s="33"/>
      <c r="X112" s="18"/>
      <c r="Y112" s="18"/>
      <c r="Z112" s="18"/>
      <c r="AA112" s="18"/>
      <c r="AB112" s="18"/>
      <c r="AC112" s="17"/>
      <c r="AD112" s="18"/>
      <c r="AE112" s="18"/>
      <c r="AF112" s="18"/>
      <c r="AG112" s="18"/>
      <c r="AH112" s="18"/>
      <c r="AI112" s="18"/>
      <c r="AJ112" s="18"/>
      <c r="AK112" s="33"/>
      <c r="AL112" s="18"/>
      <c r="AM112" s="18"/>
      <c r="AN112" s="18"/>
      <c r="AO112" s="18"/>
      <c r="AP112" s="18"/>
      <c r="AQ112" s="17"/>
      <c r="AR112" s="18"/>
      <c r="AS112" s="18"/>
      <c r="AT112" s="18"/>
      <c r="AU112" s="18"/>
      <c r="AV112" s="18"/>
      <c r="AW112" s="18"/>
      <c r="AX112" s="18"/>
      <c r="AY112" s="33"/>
      <c r="AZ112" s="18"/>
      <c r="BA112" s="18"/>
      <c r="BB112" s="18"/>
      <c r="BC112" s="18"/>
      <c r="BD112" s="18"/>
      <c r="BE112" s="17"/>
      <c r="BF112" s="33"/>
      <c r="BG112" s="18"/>
      <c r="BH112" s="18"/>
      <c r="BI112" s="18"/>
      <c r="BJ112" s="18"/>
      <c r="BK112" s="18"/>
      <c r="BL112" s="17"/>
      <c r="BM112" s="18"/>
      <c r="BN112" s="8"/>
      <c r="BO112" s="8" t="s">
        <v>137</v>
      </c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33"/>
      <c r="CD112" s="18"/>
      <c r="CE112" s="18"/>
      <c r="CF112" s="18"/>
      <c r="CG112" s="17"/>
      <c r="CH112" s="13"/>
      <c r="CJ112" s="26"/>
      <c r="CN112" s="26"/>
      <c r="CY112" s="27"/>
    </row>
    <row r="113" spans="1:103" s="11" customFormat="1">
      <c r="A113" s="32"/>
      <c r="B113" s="33"/>
      <c r="C113" s="18"/>
      <c r="D113" s="18"/>
      <c r="E113" s="18"/>
      <c r="F113" s="18"/>
      <c r="G113" s="18"/>
      <c r="H113" s="17"/>
      <c r="I113" s="18"/>
      <c r="J113" s="18"/>
      <c r="K113" s="18"/>
      <c r="L113" s="18"/>
      <c r="M113" s="18"/>
      <c r="N113" s="18"/>
      <c r="O113" s="17"/>
      <c r="P113" s="18"/>
      <c r="Q113" s="18"/>
      <c r="R113" s="18"/>
      <c r="S113" s="18"/>
      <c r="T113" s="18"/>
      <c r="U113" s="18"/>
      <c r="V113" s="18"/>
      <c r="W113" s="33"/>
      <c r="X113" s="18"/>
      <c r="Y113" s="18"/>
      <c r="Z113" s="18"/>
      <c r="AA113" s="18"/>
      <c r="AB113" s="18"/>
      <c r="AC113" s="17"/>
      <c r="AD113" s="18"/>
      <c r="AE113" s="18"/>
      <c r="AF113" s="18"/>
      <c r="AG113" s="18"/>
      <c r="AH113" s="18"/>
      <c r="AI113" s="18"/>
      <c r="AJ113" s="18"/>
      <c r="AK113" s="33"/>
      <c r="AL113" s="18"/>
      <c r="AM113" s="18"/>
      <c r="AN113" s="18"/>
      <c r="AO113" s="18"/>
      <c r="AP113" s="18"/>
      <c r="AQ113" s="17"/>
      <c r="AR113" s="18"/>
      <c r="AS113" s="18"/>
      <c r="AT113" s="18"/>
      <c r="AU113" s="18"/>
      <c r="AV113" s="18"/>
      <c r="AW113" s="18"/>
      <c r="AX113" s="18"/>
      <c r="AY113" s="33"/>
      <c r="AZ113" s="18"/>
      <c r="BA113" s="18"/>
      <c r="BB113" s="18"/>
      <c r="BC113" s="18"/>
      <c r="BD113" s="18"/>
      <c r="BE113" s="17"/>
      <c r="BF113" s="33"/>
      <c r="BG113" s="18"/>
      <c r="BH113" s="18"/>
      <c r="BI113" s="18"/>
      <c r="BJ113" s="18"/>
      <c r="BK113" s="18"/>
      <c r="BL113" s="17"/>
      <c r="BM113" s="18"/>
      <c r="BN113" s="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33"/>
      <c r="CD113" s="18"/>
      <c r="CE113" s="18"/>
      <c r="CF113" s="18"/>
      <c r="CG113" s="17"/>
      <c r="CH113" s="13"/>
      <c r="CJ113" s="26"/>
      <c r="CN113" s="26"/>
      <c r="CY113" s="27"/>
    </row>
    <row r="114" spans="1:103" s="11" customFormat="1">
      <c r="A114" s="32"/>
      <c r="B114" s="33"/>
      <c r="C114" s="18"/>
      <c r="D114" s="18"/>
      <c r="E114" s="18"/>
      <c r="F114" s="18"/>
      <c r="G114" s="18"/>
      <c r="H114" s="17"/>
      <c r="I114" s="18"/>
      <c r="J114" s="18"/>
      <c r="K114" s="18"/>
      <c r="L114" s="18"/>
      <c r="M114" s="18"/>
      <c r="N114" s="18"/>
      <c r="O114" s="17"/>
      <c r="P114" s="18"/>
      <c r="Q114" s="18"/>
      <c r="R114" s="18"/>
      <c r="S114" s="18"/>
      <c r="T114" s="18"/>
      <c r="U114" s="18"/>
      <c r="V114" s="18"/>
      <c r="W114" s="33"/>
      <c r="X114" s="18"/>
      <c r="Y114" s="18"/>
      <c r="Z114" s="18"/>
      <c r="AA114" s="18"/>
      <c r="AB114" s="18"/>
      <c r="AC114" s="17"/>
      <c r="AD114" s="18"/>
      <c r="AE114" s="18"/>
      <c r="AF114" s="18"/>
      <c r="AG114" s="18"/>
      <c r="AH114" s="18"/>
      <c r="AI114" s="18"/>
      <c r="AJ114" s="18"/>
      <c r="AK114" s="33"/>
      <c r="AL114" s="18"/>
      <c r="AM114" s="18"/>
      <c r="AN114" s="18"/>
      <c r="AO114" s="18"/>
      <c r="AP114" s="18"/>
      <c r="AQ114" s="17"/>
      <c r="AR114" s="18"/>
      <c r="AS114" s="18"/>
      <c r="AT114" s="18"/>
      <c r="AU114" s="18"/>
      <c r="AV114" s="18"/>
      <c r="AW114" s="18"/>
      <c r="AX114" s="18"/>
      <c r="AY114" s="33"/>
      <c r="AZ114" s="18"/>
      <c r="BA114" s="18"/>
      <c r="BB114" s="18"/>
      <c r="BC114" s="18"/>
      <c r="BD114" s="18"/>
      <c r="BE114" s="17"/>
      <c r="BF114" s="33"/>
      <c r="BG114" s="18"/>
      <c r="BH114" s="18"/>
      <c r="BI114" s="18"/>
      <c r="BJ114" s="18"/>
      <c r="BK114" s="18"/>
      <c r="BL114" s="17"/>
      <c r="BM114" s="18"/>
      <c r="BN114" s="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33"/>
      <c r="CD114" s="18"/>
      <c r="CE114" s="18"/>
      <c r="CF114" s="18"/>
      <c r="CG114" s="17"/>
      <c r="CH114" s="13"/>
      <c r="CJ114" s="26"/>
      <c r="CN114" s="26"/>
      <c r="CY114" s="27"/>
    </row>
    <row r="115" spans="1:103" s="11" customFormat="1">
      <c r="A115" s="32"/>
      <c r="B115" s="33"/>
      <c r="C115" s="18"/>
      <c r="D115" s="18"/>
      <c r="E115" s="18"/>
      <c r="F115" s="18"/>
      <c r="G115" s="18"/>
      <c r="H115" s="17"/>
      <c r="I115" s="18"/>
      <c r="J115" s="18"/>
      <c r="K115" s="18"/>
      <c r="L115" s="18"/>
      <c r="M115" s="18"/>
      <c r="N115" s="18"/>
      <c r="O115" s="17"/>
      <c r="P115" s="18"/>
      <c r="Q115" s="18"/>
      <c r="R115" s="18"/>
      <c r="S115" s="18"/>
      <c r="T115" s="18"/>
      <c r="U115" s="18"/>
      <c r="V115" s="18"/>
      <c r="W115" s="33"/>
      <c r="X115" s="18"/>
      <c r="Y115" s="18"/>
      <c r="Z115" s="18"/>
      <c r="AA115" s="18"/>
      <c r="AB115" s="18"/>
      <c r="AC115" s="17"/>
      <c r="AD115" s="18"/>
      <c r="AE115" s="18"/>
      <c r="AF115" s="18"/>
      <c r="AG115" s="18"/>
      <c r="AH115" s="18"/>
      <c r="AI115" s="18"/>
      <c r="AJ115" s="18"/>
      <c r="AK115" s="33"/>
      <c r="AL115" s="18"/>
      <c r="AM115" s="18"/>
      <c r="AN115" s="18"/>
      <c r="AO115" s="18"/>
      <c r="AP115" s="18"/>
      <c r="AQ115" s="17"/>
      <c r="AR115" s="18"/>
      <c r="AS115" s="18"/>
      <c r="AT115" s="18"/>
      <c r="AU115" s="18"/>
      <c r="AV115" s="18"/>
      <c r="AW115" s="18"/>
      <c r="AX115" s="18"/>
      <c r="AY115" s="33"/>
      <c r="AZ115" s="18"/>
      <c r="BA115" s="18"/>
      <c r="BB115" s="18"/>
      <c r="BC115" s="18"/>
      <c r="BD115" s="18"/>
      <c r="BE115" s="17"/>
      <c r="BF115" s="33"/>
      <c r="BG115" s="18"/>
      <c r="BH115" s="18"/>
      <c r="BI115" s="18"/>
      <c r="BJ115" s="18"/>
      <c r="BK115" s="18"/>
      <c r="BL115" s="17"/>
      <c r="BM115" s="18"/>
      <c r="BN115" s="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33"/>
      <c r="CD115" s="18"/>
      <c r="CE115" s="18"/>
      <c r="CF115" s="18"/>
      <c r="CG115" s="17"/>
      <c r="CH115" s="13"/>
      <c r="CJ115" s="26"/>
      <c r="CN115" s="26"/>
      <c r="CY115" s="27"/>
    </row>
    <row r="116" spans="1:103" s="11" customFormat="1">
      <c r="A116" s="32"/>
      <c r="B116" s="33"/>
      <c r="C116" s="18"/>
      <c r="D116" s="18"/>
      <c r="E116" s="18"/>
      <c r="F116" s="18"/>
      <c r="G116" s="18"/>
      <c r="H116" s="17"/>
      <c r="I116" s="18"/>
      <c r="J116" s="18"/>
      <c r="K116" s="18"/>
      <c r="L116" s="18"/>
      <c r="M116" s="18"/>
      <c r="N116" s="18"/>
      <c r="O116" s="17"/>
      <c r="P116" s="18"/>
      <c r="Q116" s="18"/>
      <c r="R116" s="18"/>
      <c r="S116" s="18"/>
      <c r="T116" s="18"/>
      <c r="U116" s="18"/>
      <c r="V116" s="18"/>
      <c r="W116" s="33"/>
      <c r="X116" s="18"/>
      <c r="Y116" s="18"/>
      <c r="Z116" s="18"/>
      <c r="AA116" s="18"/>
      <c r="AB116" s="18"/>
      <c r="AC116" s="17"/>
      <c r="AD116" s="18"/>
      <c r="AE116" s="18"/>
      <c r="AF116" s="18"/>
      <c r="AG116" s="18"/>
      <c r="AH116" s="18"/>
      <c r="AI116" s="18"/>
      <c r="AJ116" s="18"/>
      <c r="AK116" s="33"/>
      <c r="AL116" s="18"/>
      <c r="AM116" s="18"/>
      <c r="AN116" s="18"/>
      <c r="AO116" s="18"/>
      <c r="AP116" s="18"/>
      <c r="AQ116" s="17"/>
      <c r="AR116" s="18"/>
      <c r="AS116" s="18"/>
      <c r="AT116" s="18"/>
      <c r="AU116" s="18"/>
      <c r="AV116" s="18"/>
      <c r="AW116" s="18"/>
      <c r="AX116" s="18"/>
      <c r="AY116" s="33"/>
      <c r="AZ116" s="18"/>
      <c r="BA116" s="18"/>
      <c r="BB116" s="18"/>
      <c r="BC116" s="18"/>
      <c r="BD116" s="18"/>
      <c r="BE116" s="17"/>
      <c r="BF116" s="33"/>
      <c r="BG116" s="18"/>
      <c r="BH116" s="18"/>
      <c r="BI116" s="18"/>
      <c r="BJ116" s="18"/>
      <c r="BK116" s="18"/>
      <c r="BL116" s="17"/>
      <c r="BM116" s="18"/>
      <c r="BN116" s="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33"/>
      <c r="CD116" s="18"/>
      <c r="CE116" s="18"/>
      <c r="CF116" s="18"/>
      <c r="CG116" s="17"/>
      <c r="CH116" s="13"/>
      <c r="CJ116" s="26"/>
      <c r="CN116" s="26"/>
      <c r="CY116" s="27"/>
    </row>
    <row r="117" spans="1:103" s="11" customFormat="1">
      <c r="A117" s="32"/>
      <c r="B117" s="33"/>
      <c r="C117" s="18"/>
      <c r="D117" s="18"/>
      <c r="E117" s="18"/>
      <c r="F117" s="18"/>
      <c r="G117" s="18"/>
      <c r="H117" s="17"/>
      <c r="I117" s="18"/>
      <c r="J117" s="18"/>
      <c r="K117" s="18"/>
      <c r="L117" s="18"/>
      <c r="M117" s="18"/>
      <c r="N117" s="18"/>
      <c r="O117" s="17"/>
      <c r="P117" s="18"/>
      <c r="Q117" s="18"/>
      <c r="R117" s="18"/>
      <c r="S117" s="18"/>
      <c r="T117" s="18"/>
      <c r="U117" s="18"/>
      <c r="V117" s="18"/>
      <c r="W117" s="33"/>
      <c r="X117" s="18"/>
      <c r="Y117" s="18"/>
      <c r="Z117" s="18"/>
      <c r="AA117" s="18"/>
      <c r="AB117" s="18"/>
      <c r="AC117" s="17"/>
      <c r="AD117" s="18"/>
      <c r="AE117" s="18"/>
      <c r="AF117" s="18"/>
      <c r="AG117" s="18"/>
      <c r="AH117" s="18"/>
      <c r="AI117" s="18"/>
      <c r="AJ117" s="18"/>
      <c r="AK117" s="33"/>
      <c r="AL117" s="18"/>
      <c r="AM117" s="18"/>
      <c r="AN117" s="18"/>
      <c r="AO117" s="18"/>
      <c r="AP117" s="18"/>
      <c r="AQ117" s="17"/>
      <c r="AR117" s="18"/>
      <c r="AS117" s="18"/>
      <c r="AT117" s="18"/>
      <c r="AU117" s="18"/>
      <c r="AV117" s="18"/>
      <c r="AW117" s="18"/>
      <c r="AX117" s="18"/>
      <c r="AY117" s="33"/>
      <c r="AZ117" s="18"/>
      <c r="BA117" s="18"/>
      <c r="BB117" s="18"/>
      <c r="BC117" s="18"/>
      <c r="BD117" s="18"/>
      <c r="BE117" s="17"/>
      <c r="BF117" s="33"/>
      <c r="BG117" s="18"/>
      <c r="BH117" s="18"/>
      <c r="BI117" s="18"/>
      <c r="BJ117" s="18"/>
      <c r="BK117" s="18"/>
      <c r="BL117" s="17"/>
      <c r="BM117" s="18"/>
      <c r="BN117" s="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33"/>
      <c r="CD117" s="18"/>
      <c r="CE117" s="18"/>
      <c r="CF117" s="18"/>
      <c r="CG117" s="17"/>
      <c r="CH117" s="13"/>
      <c r="CJ117" s="26"/>
      <c r="CN117" s="26"/>
      <c r="CY117" s="27"/>
    </row>
    <row r="118" spans="1:103" s="11" customFormat="1">
      <c r="A118" s="32"/>
      <c r="B118" s="33"/>
      <c r="C118" s="18"/>
      <c r="D118" s="18"/>
      <c r="E118" s="18"/>
      <c r="F118" s="18"/>
      <c r="G118" s="18"/>
      <c r="H118" s="17"/>
      <c r="I118" s="18"/>
      <c r="J118" s="18"/>
      <c r="K118" s="18"/>
      <c r="L118" s="18"/>
      <c r="M118" s="18"/>
      <c r="N118" s="18"/>
      <c r="O118" s="17"/>
      <c r="P118" s="18"/>
      <c r="Q118" s="18"/>
      <c r="R118" s="18"/>
      <c r="S118" s="18"/>
      <c r="T118" s="18"/>
      <c r="U118" s="18"/>
      <c r="V118" s="18"/>
      <c r="W118" s="33"/>
      <c r="X118" s="18"/>
      <c r="Y118" s="18"/>
      <c r="Z118" s="18"/>
      <c r="AA118" s="18"/>
      <c r="AB118" s="18"/>
      <c r="AC118" s="17"/>
      <c r="AD118" s="18"/>
      <c r="AE118" s="18"/>
      <c r="AF118" s="18"/>
      <c r="AG118" s="18"/>
      <c r="AH118" s="18"/>
      <c r="AI118" s="18"/>
      <c r="AJ118" s="18"/>
      <c r="AK118" s="33"/>
      <c r="AL118" s="18"/>
      <c r="AM118" s="18"/>
      <c r="AN118" s="18"/>
      <c r="AO118" s="18"/>
      <c r="AP118" s="18"/>
      <c r="AQ118" s="17"/>
      <c r="AR118" s="18"/>
      <c r="AS118" s="18"/>
      <c r="AT118" s="18"/>
      <c r="AU118" s="18"/>
      <c r="AV118" s="18"/>
      <c r="AW118" s="18"/>
      <c r="AX118" s="18"/>
      <c r="AY118" s="33"/>
      <c r="AZ118" s="18"/>
      <c r="BA118" s="18"/>
      <c r="BB118" s="18"/>
      <c r="BC118" s="18"/>
      <c r="BD118" s="18"/>
      <c r="BE118" s="17"/>
      <c r="BF118" s="33"/>
      <c r="BG118" s="18"/>
      <c r="BH118" s="18"/>
      <c r="BI118" s="18"/>
      <c r="BJ118" s="18"/>
      <c r="BK118" s="18"/>
      <c r="BL118" s="17"/>
      <c r="BM118" s="18"/>
      <c r="BN118" s="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33"/>
      <c r="CD118" s="18"/>
      <c r="CE118" s="18"/>
      <c r="CF118" s="18"/>
      <c r="CG118" s="17"/>
      <c r="CH118" s="13"/>
      <c r="CJ118" s="26"/>
      <c r="CN118" s="26"/>
      <c r="CY118" s="27"/>
    </row>
    <row r="119" spans="1:103" s="11" customFormat="1">
      <c r="A119" s="32"/>
      <c r="B119" s="33"/>
      <c r="C119" s="18"/>
      <c r="D119" s="18"/>
      <c r="E119" s="18"/>
      <c r="F119" s="18"/>
      <c r="G119" s="18"/>
      <c r="H119" s="17"/>
      <c r="I119" s="18"/>
      <c r="J119" s="18"/>
      <c r="K119" s="18"/>
      <c r="L119" s="18"/>
      <c r="M119" s="18"/>
      <c r="N119" s="18"/>
      <c r="O119" s="17"/>
      <c r="P119" s="18"/>
      <c r="Q119" s="18"/>
      <c r="R119" s="18"/>
      <c r="S119" s="18"/>
      <c r="T119" s="18"/>
      <c r="U119" s="18"/>
      <c r="V119" s="18"/>
      <c r="W119" s="33"/>
      <c r="X119" s="18"/>
      <c r="Y119" s="18"/>
      <c r="Z119" s="18"/>
      <c r="AA119" s="18"/>
      <c r="AB119" s="18"/>
      <c r="AC119" s="17"/>
      <c r="AD119" s="18"/>
      <c r="AE119" s="18"/>
      <c r="AF119" s="18"/>
      <c r="AG119" s="18"/>
      <c r="AH119" s="18"/>
      <c r="AI119" s="18"/>
      <c r="AJ119" s="18"/>
      <c r="AK119" s="33"/>
      <c r="AL119" s="18"/>
      <c r="AM119" s="18"/>
      <c r="AN119" s="18"/>
      <c r="AO119" s="18"/>
      <c r="AP119" s="18"/>
      <c r="AQ119" s="17"/>
      <c r="AR119" s="18"/>
      <c r="AS119" s="18"/>
      <c r="AT119" s="18"/>
      <c r="AU119" s="18"/>
      <c r="AV119" s="18"/>
      <c r="AW119" s="18"/>
      <c r="AX119" s="18"/>
      <c r="AY119" s="33"/>
      <c r="AZ119" s="18"/>
      <c r="BA119" s="18"/>
      <c r="BB119" s="18"/>
      <c r="BC119" s="18"/>
      <c r="BD119" s="18"/>
      <c r="BE119" s="17"/>
      <c r="BF119" s="33"/>
      <c r="BG119" s="18"/>
      <c r="BH119" s="18"/>
      <c r="BI119" s="18"/>
      <c r="BJ119" s="18"/>
      <c r="BK119" s="18"/>
      <c r="BL119" s="17"/>
      <c r="BM119" s="18"/>
      <c r="BN119" s="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33"/>
      <c r="CD119" s="18"/>
      <c r="CE119" s="18"/>
      <c r="CF119" s="18"/>
      <c r="CG119" s="17"/>
      <c r="CH119" s="13"/>
      <c r="CJ119" s="26"/>
      <c r="CN119" s="26"/>
      <c r="CY119" s="27"/>
    </row>
    <row r="120" spans="1:103" s="11" customFormat="1">
      <c r="A120" s="32"/>
      <c r="B120" s="33"/>
      <c r="C120" s="18"/>
      <c r="D120" s="18"/>
      <c r="E120" s="18"/>
      <c r="F120" s="18"/>
      <c r="G120" s="18"/>
      <c r="H120" s="17"/>
      <c r="I120" s="18"/>
      <c r="J120" s="18"/>
      <c r="K120" s="18"/>
      <c r="L120" s="18"/>
      <c r="M120" s="18"/>
      <c r="N120" s="18"/>
      <c r="O120" s="17"/>
      <c r="P120" s="18"/>
      <c r="Q120" s="18"/>
      <c r="R120" s="18"/>
      <c r="S120" s="18"/>
      <c r="T120" s="18"/>
      <c r="U120" s="18"/>
      <c r="V120" s="18"/>
      <c r="W120" s="33"/>
      <c r="X120" s="18"/>
      <c r="Y120" s="18"/>
      <c r="Z120" s="18"/>
      <c r="AA120" s="18"/>
      <c r="AB120" s="18"/>
      <c r="AC120" s="17"/>
      <c r="AD120" s="18"/>
      <c r="AE120" s="18"/>
      <c r="AF120" s="18"/>
      <c r="AG120" s="18"/>
      <c r="AH120" s="18"/>
      <c r="AI120" s="18"/>
      <c r="AJ120" s="18"/>
      <c r="AK120" s="33"/>
      <c r="AL120" s="18"/>
      <c r="AM120" s="18"/>
      <c r="AN120" s="18"/>
      <c r="AO120" s="18"/>
      <c r="AP120" s="18"/>
      <c r="AQ120" s="17"/>
      <c r="AR120" s="18"/>
      <c r="AS120" s="18"/>
      <c r="AT120" s="18"/>
      <c r="AU120" s="18"/>
      <c r="AV120" s="18"/>
      <c r="AW120" s="18"/>
      <c r="AX120" s="18"/>
      <c r="AY120" s="33"/>
      <c r="AZ120" s="18"/>
      <c r="BA120" s="18"/>
      <c r="BB120" s="18"/>
      <c r="BC120" s="18"/>
      <c r="BD120" s="18"/>
      <c r="BE120" s="17"/>
      <c r="BF120" s="33"/>
      <c r="BG120" s="18"/>
      <c r="BH120" s="18"/>
      <c r="BI120" s="18"/>
      <c r="BJ120" s="18"/>
      <c r="BK120" s="18"/>
      <c r="BL120" s="17"/>
      <c r="BM120" s="18"/>
      <c r="BN120" s="19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33"/>
      <c r="CD120" s="18"/>
      <c r="CE120" s="18"/>
      <c r="CF120" s="18"/>
      <c r="CG120" s="17"/>
      <c r="CH120" s="13"/>
      <c r="CJ120" s="26"/>
      <c r="CN120" s="26"/>
      <c r="CY120" s="27"/>
    </row>
    <row r="121" spans="1:103" s="11" customFormat="1">
      <c r="A121" s="32"/>
      <c r="B121" s="33"/>
      <c r="C121" s="18"/>
      <c r="D121" s="18"/>
      <c r="E121" s="18"/>
      <c r="F121" s="18"/>
      <c r="G121" s="18"/>
      <c r="H121" s="17"/>
      <c r="I121" s="18"/>
      <c r="J121" s="18"/>
      <c r="K121" s="18"/>
      <c r="L121" s="18"/>
      <c r="M121" s="18"/>
      <c r="N121" s="18"/>
      <c r="O121" s="17"/>
      <c r="P121" s="18"/>
      <c r="Q121" s="18"/>
      <c r="R121" s="18"/>
      <c r="S121" s="18"/>
      <c r="T121" s="18"/>
      <c r="U121" s="18"/>
      <c r="V121" s="18"/>
      <c r="W121" s="33"/>
      <c r="X121" s="18"/>
      <c r="Y121" s="18"/>
      <c r="Z121" s="18"/>
      <c r="AA121" s="18"/>
      <c r="AB121" s="18"/>
      <c r="AC121" s="17"/>
      <c r="AD121" s="18"/>
      <c r="AE121" s="18"/>
      <c r="AF121" s="18"/>
      <c r="AG121" s="18"/>
      <c r="AH121" s="18"/>
      <c r="AI121" s="18"/>
      <c r="AJ121" s="18"/>
      <c r="AK121" s="33"/>
      <c r="AL121" s="18"/>
      <c r="AM121" s="18"/>
      <c r="AN121" s="18"/>
      <c r="AO121" s="18"/>
      <c r="AP121" s="18"/>
      <c r="AQ121" s="17"/>
      <c r="AR121" s="18"/>
      <c r="AS121" s="18"/>
      <c r="AT121" s="18"/>
      <c r="AU121" s="18"/>
      <c r="AV121" s="18"/>
      <c r="AW121" s="18"/>
      <c r="AX121" s="18"/>
      <c r="AY121" s="33"/>
      <c r="AZ121" s="18"/>
      <c r="BA121" s="18"/>
      <c r="BB121" s="18"/>
      <c r="BC121" s="18"/>
      <c r="BD121" s="18"/>
      <c r="BE121" s="17"/>
      <c r="BF121" s="33"/>
      <c r="BG121" s="18"/>
      <c r="BH121" s="18"/>
      <c r="BI121" s="18"/>
      <c r="BJ121" s="18"/>
      <c r="BK121" s="18"/>
      <c r="BL121" s="17"/>
      <c r="BM121" s="18"/>
      <c r="BN121" s="16" t="s">
        <v>138</v>
      </c>
      <c r="BO121" s="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33"/>
      <c r="CD121" s="18"/>
      <c r="CE121" s="18"/>
      <c r="CF121" s="18"/>
      <c r="CG121" s="17"/>
      <c r="CH121" s="13"/>
      <c r="CJ121" s="26"/>
      <c r="CN121" s="26"/>
      <c r="CY121" s="27"/>
    </row>
    <row r="122" spans="1:103" s="11" customFormat="1">
      <c r="A122" s="32"/>
      <c r="B122" s="33"/>
      <c r="C122" s="18"/>
      <c r="D122" s="18"/>
      <c r="E122" s="18"/>
      <c r="F122" s="18"/>
      <c r="G122" s="18"/>
      <c r="H122" s="17"/>
      <c r="I122" s="18"/>
      <c r="J122" s="18"/>
      <c r="K122" s="18"/>
      <c r="L122" s="18"/>
      <c r="M122" s="18"/>
      <c r="N122" s="18"/>
      <c r="O122" s="17"/>
      <c r="P122" s="18"/>
      <c r="Q122" s="18"/>
      <c r="R122" s="18"/>
      <c r="S122" s="18"/>
      <c r="T122" s="18"/>
      <c r="U122" s="18"/>
      <c r="V122" s="18"/>
      <c r="W122" s="33"/>
      <c r="X122" s="18"/>
      <c r="Y122" s="18"/>
      <c r="Z122" s="18"/>
      <c r="AA122" s="18"/>
      <c r="AB122" s="18"/>
      <c r="AC122" s="17"/>
      <c r="AD122" s="18"/>
      <c r="AE122" s="18"/>
      <c r="AF122" s="18"/>
      <c r="AG122" s="18"/>
      <c r="AH122" s="18"/>
      <c r="AI122" s="18"/>
      <c r="AJ122" s="18"/>
      <c r="AK122" s="33"/>
      <c r="AL122" s="18"/>
      <c r="AM122" s="18"/>
      <c r="AN122" s="18"/>
      <c r="AO122" s="18"/>
      <c r="AP122" s="18"/>
      <c r="AQ122" s="17"/>
      <c r="AR122" s="18"/>
      <c r="AS122" s="18"/>
      <c r="AT122" s="18"/>
      <c r="AU122" s="18"/>
      <c r="AV122" s="18"/>
      <c r="AW122" s="18"/>
      <c r="AX122" s="18"/>
      <c r="AY122" s="33"/>
      <c r="AZ122" s="18"/>
      <c r="BA122" s="18"/>
      <c r="BB122" s="18"/>
      <c r="BC122" s="18"/>
      <c r="BD122" s="18"/>
      <c r="BE122" s="17"/>
      <c r="BF122" s="33"/>
      <c r="BG122" s="18"/>
      <c r="BH122" s="18"/>
      <c r="BI122" s="18"/>
      <c r="BJ122" s="18"/>
      <c r="BK122" s="18"/>
      <c r="BL122" s="17"/>
      <c r="BM122" s="18"/>
      <c r="BN122" s="8"/>
      <c r="BO122" s="8" t="s">
        <v>139</v>
      </c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46" t="s">
        <v>140</v>
      </c>
      <c r="CD122" s="18"/>
      <c r="CE122" s="18"/>
      <c r="CF122" s="18"/>
      <c r="CG122" s="17"/>
      <c r="CH122" s="13"/>
      <c r="CJ122" s="26"/>
      <c r="CN122" s="26"/>
      <c r="CY122" s="27"/>
    </row>
    <row r="123" spans="1:103" s="11" customFormat="1">
      <c r="A123" s="32"/>
      <c r="B123" s="33"/>
      <c r="C123" s="18"/>
      <c r="D123" s="18"/>
      <c r="E123" s="18"/>
      <c r="F123" s="18"/>
      <c r="G123" s="18"/>
      <c r="H123" s="17"/>
      <c r="I123" s="18"/>
      <c r="J123" s="18"/>
      <c r="K123" s="18"/>
      <c r="L123" s="18"/>
      <c r="M123" s="18"/>
      <c r="N123" s="18"/>
      <c r="O123" s="17"/>
      <c r="P123" s="18"/>
      <c r="Q123" s="18"/>
      <c r="R123" s="18"/>
      <c r="S123" s="18"/>
      <c r="T123" s="18"/>
      <c r="U123" s="18"/>
      <c r="V123" s="18"/>
      <c r="W123" s="33"/>
      <c r="X123" s="18"/>
      <c r="Y123" s="18"/>
      <c r="Z123" s="18"/>
      <c r="AA123" s="18"/>
      <c r="AB123" s="18"/>
      <c r="AC123" s="17"/>
      <c r="AD123" s="18"/>
      <c r="AE123" s="18"/>
      <c r="AF123" s="18"/>
      <c r="AG123" s="18"/>
      <c r="AH123" s="18"/>
      <c r="AI123" s="18"/>
      <c r="AJ123" s="18"/>
      <c r="AK123" s="33"/>
      <c r="AL123" s="18"/>
      <c r="AM123" s="18"/>
      <c r="AN123" s="18"/>
      <c r="AO123" s="18"/>
      <c r="AP123" s="18"/>
      <c r="AQ123" s="17"/>
      <c r="AR123" s="18"/>
      <c r="AS123" s="18"/>
      <c r="AT123" s="18"/>
      <c r="AU123" s="18"/>
      <c r="AV123" s="18"/>
      <c r="AW123" s="18"/>
      <c r="AX123" s="18"/>
      <c r="AY123" s="33"/>
      <c r="AZ123" s="18"/>
      <c r="BA123" s="18"/>
      <c r="BB123" s="18"/>
      <c r="BC123" s="18"/>
      <c r="BD123" s="18"/>
      <c r="BE123" s="17"/>
      <c r="BF123" s="33"/>
      <c r="BG123" s="18"/>
      <c r="BH123" s="18"/>
      <c r="BI123" s="18"/>
      <c r="BJ123" s="18"/>
      <c r="BK123" s="18"/>
      <c r="BL123" s="17"/>
      <c r="BM123" s="18"/>
      <c r="BN123" s="8"/>
      <c r="BO123" s="8" t="s">
        <v>141</v>
      </c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50" t="s">
        <v>142</v>
      </c>
      <c r="CD123" s="18"/>
      <c r="CE123" s="18"/>
      <c r="CF123" s="18"/>
      <c r="CG123" s="17"/>
      <c r="CH123" s="13"/>
      <c r="CJ123" s="26"/>
      <c r="CN123" s="26"/>
      <c r="CY123" s="27"/>
    </row>
    <row r="124" spans="1:103" s="11" customFormat="1">
      <c r="A124" s="32"/>
      <c r="B124" s="33"/>
      <c r="C124" s="18"/>
      <c r="D124" s="18"/>
      <c r="E124" s="18"/>
      <c r="F124" s="18"/>
      <c r="G124" s="18"/>
      <c r="H124" s="17"/>
      <c r="I124" s="18"/>
      <c r="J124" s="18"/>
      <c r="K124" s="18"/>
      <c r="L124" s="18"/>
      <c r="M124" s="18"/>
      <c r="N124" s="18"/>
      <c r="O124" s="17"/>
      <c r="P124" s="18"/>
      <c r="Q124" s="18"/>
      <c r="R124" s="18"/>
      <c r="S124" s="18"/>
      <c r="T124" s="18"/>
      <c r="U124" s="18"/>
      <c r="V124" s="18"/>
      <c r="W124" s="33"/>
      <c r="X124" s="18"/>
      <c r="Y124" s="18"/>
      <c r="Z124" s="18"/>
      <c r="AA124" s="18"/>
      <c r="AB124" s="18"/>
      <c r="AC124" s="17"/>
      <c r="AD124" s="18"/>
      <c r="AE124" s="18"/>
      <c r="AF124" s="18"/>
      <c r="AG124" s="18"/>
      <c r="AH124" s="18"/>
      <c r="AI124" s="18"/>
      <c r="AJ124" s="18"/>
      <c r="AK124" s="33"/>
      <c r="AL124" s="18"/>
      <c r="AM124" s="18"/>
      <c r="AN124" s="18"/>
      <c r="AO124" s="18"/>
      <c r="AP124" s="18"/>
      <c r="AQ124" s="17"/>
      <c r="AR124" s="18"/>
      <c r="AS124" s="18"/>
      <c r="AT124" s="18"/>
      <c r="AU124" s="18"/>
      <c r="AV124" s="18"/>
      <c r="AW124" s="18"/>
      <c r="AX124" s="18"/>
      <c r="AY124" s="33"/>
      <c r="AZ124" s="18"/>
      <c r="BA124" s="18"/>
      <c r="BB124" s="18"/>
      <c r="BC124" s="18"/>
      <c r="BD124" s="18"/>
      <c r="BE124" s="17"/>
      <c r="BF124" s="33"/>
      <c r="BG124" s="18"/>
      <c r="BH124" s="18"/>
      <c r="BI124" s="18"/>
      <c r="BJ124" s="18"/>
      <c r="BK124" s="18"/>
      <c r="BL124" s="17"/>
      <c r="BM124" s="18"/>
      <c r="BN124" s="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50" t="s">
        <v>143</v>
      </c>
      <c r="CD124" s="18"/>
      <c r="CE124" s="18"/>
      <c r="CF124" s="18"/>
      <c r="CG124" s="17"/>
      <c r="CH124" s="13"/>
      <c r="CJ124" s="26"/>
      <c r="CN124" s="26"/>
      <c r="CY124" s="27"/>
    </row>
    <row r="125" spans="1:103" s="11" customFormat="1">
      <c r="A125" s="32"/>
      <c r="B125" s="33"/>
      <c r="C125" s="18"/>
      <c r="D125" s="18"/>
      <c r="E125" s="18"/>
      <c r="F125" s="18"/>
      <c r="G125" s="18"/>
      <c r="H125" s="17"/>
      <c r="I125" s="18"/>
      <c r="J125" s="18"/>
      <c r="K125" s="18"/>
      <c r="L125" s="18"/>
      <c r="M125" s="18"/>
      <c r="N125" s="18"/>
      <c r="O125" s="17"/>
      <c r="P125" s="18"/>
      <c r="Q125" s="18"/>
      <c r="R125" s="18"/>
      <c r="S125" s="18"/>
      <c r="T125" s="18"/>
      <c r="U125" s="18"/>
      <c r="V125" s="18"/>
      <c r="W125" s="33"/>
      <c r="X125" s="18"/>
      <c r="Y125" s="18"/>
      <c r="Z125" s="18"/>
      <c r="AA125" s="18"/>
      <c r="AB125" s="18"/>
      <c r="AC125" s="17"/>
      <c r="AD125" s="18"/>
      <c r="AE125" s="18"/>
      <c r="AF125" s="18"/>
      <c r="AG125" s="18"/>
      <c r="AH125" s="18"/>
      <c r="AI125" s="18"/>
      <c r="AJ125" s="18"/>
      <c r="AK125" s="33"/>
      <c r="AL125" s="18"/>
      <c r="AM125" s="18"/>
      <c r="AN125" s="18"/>
      <c r="AO125" s="18"/>
      <c r="AP125" s="18"/>
      <c r="AQ125" s="17"/>
      <c r="AR125" s="18"/>
      <c r="AS125" s="18"/>
      <c r="AT125" s="18"/>
      <c r="AU125" s="18"/>
      <c r="AV125" s="18"/>
      <c r="AW125" s="18"/>
      <c r="AX125" s="18"/>
      <c r="AY125" s="33"/>
      <c r="AZ125" s="18"/>
      <c r="BA125" s="18"/>
      <c r="BB125" s="18"/>
      <c r="BC125" s="18"/>
      <c r="BD125" s="18"/>
      <c r="BE125" s="17"/>
      <c r="BF125" s="33"/>
      <c r="BG125" s="18"/>
      <c r="BH125" s="18"/>
      <c r="BI125" s="18"/>
      <c r="BJ125" s="18"/>
      <c r="BK125" s="18"/>
      <c r="BL125" s="17"/>
      <c r="BM125" s="18"/>
      <c r="BN125" s="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50" t="s">
        <v>144</v>
      </c>
      <c r="CD125" s="18"/>
      <c r="CE125" s="18"/>
      <c r="CF125" s="18"/>
      <c r="CG125" s="17"/>
      <c r="CH125" s="13"/>
      <c r="CJ125" s="26"/>
      <c r="CN125" s="26"/>
      <c r="CY125" s="27"/>
    </row>
    <row r="126" spans="1:103" s="11" customFormat="1">
      <c r="A126" s="32"/>
      <c r="B126" s="33"/>
      <c r="C126" s="18"/>
      <c r="D126" s="18"/>
      <c r="E126" s="18"/>
      <c r="F126" s="18"/>
      <c r="G126" s="18"/>
      <c r="H126" s="17"/>
      <c r="I126" s="18"/>
      <c r="J126" s="18"/>
      <c r="K126" s="18"/>
      <c r="L126" s="18"/>
      <c r="M126" s="18"/>
      <c r="N126" s="18"/>
      <c r="O126" s="17"/>
      <c r="P126" s="18"/>
      <c r="Q126" s="18"/>
      <c r="R126" s="18"/>
      <c r="S126" s="18"/>
      <c r="T126" s="18"/>
      <c r="U126" s="18"/>
      <c r="V126" s="18"/>
      <c r="W126" s="33"/>
      <c r="X126" s="18"/>
      <c r="Y126" s="18"/>
      <c r="Z126" s="18"/>
      <c r="AA126" s="18"/>
      <c r="AB126" s="18"/>
      <c r="AC126" s="17"/>
      <c r="AD126" s="18"/>
      <c r="AE126" s="18"/>
      <c r="AF126" s="18"/>
      <c r="AG126" s="18"/>
      <c r="AH126" s="18"/>
      <c r="AI126" s="18"/>
      <c r="AJ126" s="18"/>
      <c r="AK126" s="33"/>
      <c r="AL126" s="18"/>
      <c r="AM126" s="18"/>
      <c r="AN126" s="18"/>
      <c r="AO126" s="18"/>
      <c r="AP126" s="18"/>
      <c r="AQ126" s="17"/>
      <c r="AR126" s="18"/>
      <c r="AS126" s="18"/>
      <c r="AT126" s="18"/>
      <c r="AU126" s="18"/>
      <c r="AV126" s="18"/>
      <c r="AW126" s="18"/>
      <c r="AX126" s="18"/>
      <c r="AY126" s="33"/>
      <c r="AZ126" s="18"/>
      <c r="BA126" s="18"/>
      <c r="BB126" s="18"/>
      <c r="BC126" s="18"/>
      <c r="BD126" s="18"/>
      <c r="BE126" s="17"/>
      <c r="BF126" s="33"/>
      <c r="BG126" s="18"/>
      <c r="BH126" s="18"/>
      <c r="BI126" s="18"/>
      <c r="BJ126" s="18"/>
      <c r="BK126" s="18"/>
      <c r="BL126" s="17"/>
      <c r="BM126" s="18"/>
      <c r="BN126" s="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33"/>
      <c r="CD126" s="18"/>
      <c r="CE126" s="18"/>
      <c r="CF126" s="18"/>
      <c r="CG126" s="17"/>
      <c r="CH126" s="13"/>
      <c r="CJ126" s="26"/>
      <c r="CN126" s="26"/>
      <c r="CY126" s="27"/>
    </row>
    <row r="127" spans="1:103" s="11" customFormat="1">
      <c r="A127" s="32"/>
      <c r="B127" s="33"/>
      <c r="C127" s="18"/>
      <c r="D127" s="18"/>
      <c r="E127" s="18"/>
      <c r="F127" s="18"/>
      <c r="G127" s="18"/>
      <c r="H127" s="17"/>
      <c r="I127" s="18"/>
      <c r="J127" s="18"/>
      <c r="K127" s="18"/>
      <c r="L127" s="18"/>
      <c r="M127" s="18"/>
      <c r="N127" s="18"/>
      <c r="O127" s="17"/>
      <c r="P127" s="18"/>
      <c r="Q127" s="18"/>
      <c r="R127" s="18"/>
      <c r="S127" s="18"/>
      <c r="T127" s="18"/>
      <c r="U127" s="18"/>
      <c r="V127" s="18"/>
      <c r="W127" s="33"/>
      <c r="X127" s="18"/>
      <c r="Y127" s="18"/>
      <c r="Z127" s="18"/>
      <c r="AA127" s="18"/>
      <c r="AB127" s="18"/>
      <c r="AC127" s="17"/>
      <c r="AD127" s="18"/>
      <c r="AE127" s="18"/>
      <c r="AF127" s="18"/>
      <c r="AG127" s="18"/>
      <c r="AH127" s="18"/>
      <c r="AI127" s="18"/>
      <c r="AJ127" s="18"/>
      <c r="AK127" s="33"/>
      <c r="AL127" s="18"/>
      <c r="AM127" s="18"/>
      <c r="AN127" s="18"/>
      <c r="AO127" s="18"/>
      <c r="AP127" s="18"/>
      <c r="AQ127" s="17"/>
      <c r="AR127" s="18"/>
      <c r="AS127" s="18"/>
      <c r="AT127" s="18"/>
      <c r="AU127" s="18"/>
      <c r="AV127" s="18"/>
      <c r="AW127" s="18"/>
      <c r="AX127" s="18"/>
      <c r="AY127" s="33"/>
      <c r="AZ127" s="18"/>
      <c r="BA127" s="18"/>
      <c r="BB127" s="18"/>
      <c r="BC127" s="18"/>
      <c r="BD127" s="18"/>
      <c r="BE127" s="17"/>
      <c r="BF127" s="33"/>
      <c r="BG127" s="18"/>
      <c r="BH127" s="18"/>
      <c r="BI127" s="18"/>
      <c r="BJ127" s="18"/>
      <c r="BK127" s="18"/>
      <c r="BL127" s="17"/>
      <c r="BM127" s="18"/>
      <c r="BN127" s="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33"/>
      <c r="CD127" s="18"/>
      <c r="CE127" s="18"/>
      <c r="CF127" s="18"/>
      <c r="CG127" s="17"/>
      <c r="CH127" s="13"/>
      <c r="CJ127" s="26"/>
      <c r="CN127" s="26"/>
      <c r="CY127" s="27"/>
    </row>
    <row r="128" spans="1:103" s="11" customFormat="1">
      <c r="A128" s="32"/>
      <c r="B128" s="33"/>
      <c r="C128" s="18"/>
      <c r="D128" s="18"/>
      <c r="E128" s="18"/>
      <c r="F128" s="18"/>
      <c r="G128" s="18"/>
      <c r="H128" s="17"/>
      <c r="I128" s="18"/>
      <c r="J128" s="18"/>
      <c r="K128" s="18"/>
      <c r="L128" s="18"/>
      <c r="M128" s="18"/>
      <c r="N128" s="18"/>
      <c r="O128" s="17"/>
      <c r="P128" s="18"/>
      <c r="Q128" s="18"/>
      <c r="R128" s="18"/>
      <c r="S128" s="18"/>
      <c r="T128" s="18"/>
      <c r="U128" s="18"/>
      <c r="V128" s="18"/>
      <c r="W128" s="33"/>
      <c r="X128" s="18"/>
      <c r="Y128" s="18"/>
      <c r="Z128" s="18"/>
      <c r="AA128" s="18"/>
      <c r="AB128" s="18"/>
      <c r="AC128" s="17"/>
      <c r="AD128" s="18"/>
      <c r="AE128" s="18"/>
      <c r="AF128" s="18"/>
      <c r="AG128" s="18"/>
      <c r="AH128" s="18"/>
      <c r="AI128" s="18"/>
      <c r="AJ128" s="18"/>
      <c r="AK128" s="33"/>
      <c r="AL128" s="18"/>
      <c r="AM128" s="18"/>
      <c r="AN128" s="18"/>
      <c r="AO128" s="18"/>
      <c r="AP128" s="18"/>
      <c r="AQ128" s="17"/>
      <c r="AR128" s="18"/>
      <c r="AS128" s="18"/>
      <c r="AT128" s="18"/>
      <c r="AU128" s="18"/>
      <c r="AV128" s="18"/>
      <c r="AW128" s="18"/>
      <c r="AX128" s="18"/>
      <c r="AY128" s="33"/>
      <c r="AZ128" s="18"/>
      <c r="BA128" s="18"/>
      <c r="BB128" s="18"/>
      <c r="BC128" s="18"/>
      <c r="BD128" s="18"/>
      <c r="BE128" s="17"/>
      <c r="BF128" s="33"/>
      <c r="BG128" s="18"/>
      <c r="BH128" s="18"/>
      <c r="BI128" s="18"/>
      <c r="BJ128" s="18"/>
      <c r="BK128" s="18"/>
      <c r="BL128" s="17"/>
      <c r="BM128" s="18"/>
      <c r="BN128" s="19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33"/>
      <c r="CD128" s="18"/>
      <c r="CE128" s="18"/>
      <c r="CF128" s="18"/>
      <c r="CG128" s="17"/>
      <c r="CH128" s="13"/>
      <c r="CJ128" s="26"/>
      <c r="CN128" s="26"/>
      <c r="CY128" s="27"/>
    </row>
    <row r="129" spans="1:103" s="11" customFormat="1">
      <c r="A129" s="32"/>
      <c r="B129" s="33"/>
      <c r="C129" s="18"/>
      <c r="D129" s="18"/>
      <c r="E129" s="18"/>
      <c r="F129" s="18"/>
      <c r="G129" s="18"/>
      <c r="H129" s="17"/>
      <c r="I129" s="18"/>
      <c r="J129" s="18"/>
      <c r="K129" s="18"/>
      <c r="L129" s="18"/>
      <c r="M129" s="18"/>
      <c r="N129" s="18"/>
      <c r="O129" s="17"/>
      <c r="P129" s="18"/>
      <c r="Q129" s="18"/>
      <c r="R129" s="18"/>
      <c r="S129" s="18"/>
      <c r="T129" s="18"/>
      <c r="U129" s="18"/>
      <c r="V129" s="18"/>
      <c r="W129" s="33"/>
      <c r="X129" s="18"/>
      <c r="Y129" s="18"/>
      <c r="Z129" s="18"/>
      <c r="AA129" s="18"/>
      <c r="AB129" s="18"/>
      <c r="AC129" s="17"/>
      <c r="AD129" s="18"/>
      <c r="AE129" s="18"/>
      <c r="AF129" s="18"/>
      <c r="AG129" s="18"/>
      <c r="AH129" s="18"/>
      <c r="AI129" s="18"/>
      <c r="AJ129" s="18"/>
      <c r="AK129" s="33"/>
      <c r="AL129" s="18"/>
      <c r="AM129" s="18"/>
      <c r="AN129" s="18"/>
      <c r="AO129" s="18"/>
      <c r="AP129" s="18"/>
      <c r="AQ129" s="17"/>
      <c r="AR129" s="18"/>
      <c r="AS129" s="18"/>
      <c r="AT129" s="18"/>
      <c r="AU129" s="18"/>
      <c r="AV129" s="18"/>
      <c r="AW129" s="18"/>
      <c r="AX129" s="18"/>
      <c r="AY129" s="33"/>
      <c r="AZ129" s="18"/>
      <c r="BA129" s="18"/>
      <c r="BB129" s="18"/>
      <c r="BC129" s="18"/>
      <c r="BD129" s="18"/>
      <c r="BE129" s="17"/>
      <c r="BF129" s="33"/>
      <c r="BG129" s="18"/>
      <c r="BH129" s="18"/>
      <c r="BI129" s="18"/>
      <c r="BJ129" s="18"/>
      <c r="BK129" s="18"/>
      <c r="BL129" s="17"/>
      <c r="BM129" s="18"/>
      <c r="BN129" s="16" t="s">
        <v>145</v>
      </c>
      <c r="BO129" s="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33"/>
      <c r="CD129" s="18"/>
      <c r="CE129" s="18"/>
      <c r="CF129" s="18"/>
      <c r="CG129" s="17"/>
      <c r="CH129" s="13"/>
      <c r="CJ129" s="26"/>
      <c r="CN129" s="26"/>
      <c r="CY129" s="27"/>
    </row>
    <row r="130" spans="1:103" s="11" customFormat="1">
      <c r="A130" s="32"/>
      <c r="B130" s="33"/>
      <c r="C130" s="18"/>
      <c r="D130" s="18"/>
      <c r="E130" s="18"/>
      <c r="F130" s="18"/>
      <c r="G130" s="18"/>
      <c r="H130" s="17"/>
      <c r="I130" s="18"/>
      <c r="J130" s="18"/>
      <c r="K130" s="18"/>
      <c r="L130" s="18"/>
      <c r="M130" s="18"/>
      <c r="N130" s="18"/>
      <c r="O130" s="17"/>
      <c r="P130" s="18"/>
      <c r="Q130" s="18"/>
      <c r="R130" s="18"/>
      <c r="S130" s="18"/>
      <c r="T130" s="18"/>
      <c r="U130" s="18"/>
      <c r="V130" s="18"/>
      <c r="W130" s="33"/>
      <c r="X130" s="18"/>
      <c r="Y130" s="18"/>
      <c r="Z130" s="18"/>
      <c r="AA130" s="18"/>
      <c r="AB130" s="18"/>
      <c r="AC130" s="17"/>
      <c r="AD130" s="18"/>
      <c r="AE130" s="18"/>
      <c r="AF130" s="18"/>
      <c r="AG130" s="18"/>
      <c r="AH130" s="18"/>
      <c r="AI130" s="18"/>
      <c r="AJ130" s="18"/>
      <c r="AK130" s="33"/>
      <c r="AL130" s="18"/>
      <c r="AM130" s="18"/>
      <c r="AN130" s="18"/>
      <c r="AO130" s="18"/>
      <c r="AP130" s="18"/>
      <c r="AQ130" s="17"/>
      <c r="AR130" s="18"/>
      <c r="AS130" s="18"/>
      <c r="AT130" s="18"/>
      <c r="AU130" s="18"/>
      <c r="AV130" s="18"/>
      <c r="AW130" s="18"/>
      <c r="AX130" s="18"/>
      <c r="AY130" s="33"/>
      <c r="AZ130" s="18"/>
      <c r="BA130" s="18"/>
      <c r="BB130" s="18"/>
      <c r="BC130" s="18"/>
      <c r="BD130" s="18"/>
      <c r="BE130" s="17"/>
      <c r="BF130" s="33"/>
      <c r="BG130" s="18"/>
      <c r="BH130" s="18"/>
      <c r="BI130" s="18"/>
      <c r="BJ130" s="18"/>
      <c r="BK130" s="18"/>
      <c r="BL130" s="17"/>
      <c r="BM130" s="18"/>
      <c r="BN130" s="8"/>
      <c r="BO130" s="8" t="s">
        <v>146</v>
      </c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46" t="s">
        <v>147</v>
      </c>
      <c r="CD130" s="18"/>
      <c r="CE130" s="18"/>
      <c r="CF130" s="18"/>
      <c r="CG130" s="17"/>
      <c r="CH130" s="13"/>
      <c r="CJ130" s="26"/>
      <c r="CN130" s="26"/>
      <c r="CY130" s="27"/>
    </row>
    <row r="131" spans="1:103" s="11" customFormat="1">
      <c r="A131" s="32"/>
      <c r="B131" s="33"/>
      <c r="C131" s="18"/>
      <c r="D131" s="18"/>
      <c r="E131" s="18"/>
      <c r="F131" s="18"/>
      <c r="G131" s="18"/>
      <c r="H131" s="17"/>
      <c r="I131" s="18"/>
      <c r="J131" s="18"/>
      <c r="K131" s="18"/>
      <c r="L131" s="18"/>
      <c r="M131" s="18"/>
      <c r="N131" s="18"/>
      <c r="O131" s="17"/>
      <c r="P131" s="18"/>
      <c r="Q131" s="18"/>
      <c r="R131" s="18"/>
      <c r="S131" s="18"/>
      <c r="T131" s="18"/>
      <c r="U131" s="18"/>
      <c r="V131" s="18"/>
      <c r="W131" s="33"/>
      <c r="X131" s="18"/>
      <c r="Y131" s="18"/>
      <c r="Z131" s="18"/>
      <c r="AA131" s="18"/>
      <c r="AB131" s="18"/>
      <c r="AC131" s="17"/>
      <c r="AD131" s="18"/>
      <c r="AE131" s="18"/>
      <c r="AF131" s="18"/>
      <c r="AG131" s="18"/>
      <c r="AH131" s="18"/>
      <c r="AI131" s="18"/>
      <c r="AJ131" s="18"/>
      <c r="AK131" s="33"/>
      <c r="AL131" s="18"/>
      <c r="AM131" s="18"/>
      <c r="AN131" s="18"/>
      <c r="AO131" s="18"/>
      <c r="AP131" s="18"/>
      <c r="AQ131" s="17"/>
      <c r="AR131" s="18"/>
      <c r="AS131" s="18"/>
      <c r="AT131" s="18"/>
      <c r="AU131" s="18"/>
      <c r="AV131" s="18"/>
      <c r="AW131" s="18"/>
      <c r="AX131" s="18"/>
      <c r="AY131" s="33"/>
      <c r="AZ131" s="18"/>
      <c r="BA131" s="18"/>
      <c r="BB131" s="18"/>
      <c r="BC131" s="18"/>
      <c r="BD131" s="18"/>
      <c r="BE131" s="17"/>
      <c r="BF131" s="33"/>
      <c r="BG131" s="18"/>
      <c r="BH131" s="18"/>
      <c r="BI131" s="18"/>
      <c r="BJ131" s="18"/>
      <c r="BK131" s="18"/>
      <c r="BL131" s="17"/>
      <c r="BM131" s="18"/>
      <c r="BN131" s="8"/>
      <c r="BO131" s="8" t="s">
        <v>148</v>
      </c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50" t="s">
        <v>149</v>
      </c>
      <c r="CD131" s="18"/>
      <c r="CE131" s="18"/>
      <c r="CF131" s="18"/>
      <c r="CG131" s="17"/>
      <c r="CH131" s="13"/>
      <c r="CJ131" s="26"/>
      <c r="CN131" s="26"/>
      <c r="CY131" s="27"/>
    </row>
    <row r="132" spans="1:103" s="11" customFormat="1">
      <c r="A132" s="32"/>
      <c r="B132" s="33"/>
      <c r="C132" s="18"/>
      <c r="D132" s="18"/>
      <c r="E132" s="18"/>
      <c r="F132" s="18"/>
      <c r="G132" s="18"/>
      <c r="H132" s="17"/>
      <c r="I132" s="18"/>
      <c r="J132" s="18"/>
      <c r="K132" s="18"/>
      <c r="L132" s="18"/>
      <c r="M132" s="18"/>
      <c r="N132" s="18"/>
      <c r="O132" s="17"/>
      <c r="P132" s="18"/>
      <c r="Q132" s="18"/>
      <c r="R132" s="18"/>
      <c r="S132" s="18"/>
      <c r="T132" s="18"/>
      <c r="U132" s="18"/>
      <c r="V132" s="18"/>
      <c r="W132" s="33"/>
      <c r="X132" s="18"/>
      <c r="Y132" s="18"/>
      <c r="Z132" s="18"/>
      <c r="AA132" s="18"/>
      <c r="AB132" s="18"/>
      <c r="AC132" s="17"/>
      <c r="AD132" s="18"/>
      <c r="AE132" s="18"/>
      <c r="AF132" s="18"/>
      <c r="AG132" s="18"/>
      <c r="AH132" s="18"/>
      <c r="AI132" s="18"/>
      <c r="AJ132" s="18"/>
      <c r="AK132" s="33"/>
      <c r="AL132" s="18"/>
      <c r="AM132" s="18"/>
      <c r="AN132" s="18"/>
      <c r="AO132" s="18"/>
      <c r="AP132" s="18"/>
      <c r="AQ132" s="17"/>
      <c r="AR132" s="18"/>
      <c r="AS132" s="18"/>
      <c r="AT132" s="18"/>
      <c r="AU132" s="18"/>
      <c r="AV132" s="18"/>
      <c r="AW132" s="18"/>
      <c r="AX132" s="18"/>
      <c r="AY132" s="33"/>
      <c r="AZ132" s="18"/>
      <c r="BA132" s="18"/>
      <c r="BB132" s="18"/>
      <c r="BC132" s="18"/>
      <c r="BD132" s="18"/>
      <c r="BE132" s="17"/>
      <c r="BF132" s="33"/>
      <c r="BG132" s="18"/>
      <c r="BH132" s="18"/>
      <c r="BI132" s="18"/>
      <c r="BJ132" s="18"/>
      <c r="BK132" s="18"/>
      <c r="BL132" s="17"/>
      <c r="BM132" s="18"/>
      <c r="BN132" s="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50" t="s">
        <v>150</v>
      </c>
      <c r="CD132" s="18"/>
      <c r="CE132" s="18"/>
      <c r="CF132" s="18"/>
      <c r="CG132" s="17"/>
      <c r="CH132" s="13"/>
      <c r="CJ132" s="26"/>
      <c r="CN132" s="26"/>
      <c r="CY132" s="27"/>
    </row>
    <row r="133" spans="1:103" s="11" customFormat="1">
      <c r="A133" s="32"/>
      <c r="B133" s="33"/>
      <c r="C133" s="18"/>
      <c r="D133" s="18"/>
      <c r="E133" s="18"/>
      <c r="F133" s="18"/>
      <c r="G133" s="18"/>
      <c r="H133" s="17"/>
      <c r="I133" s="18"/>
      <c r="J133" s="18"/>
      <c r="K133" s="18"/>
      <c r="L133" s="18"/>
      <c r="M133" s="18"/>
      <c r="N133" s="18"/>
      <c r="O133" s="17"/>
      <c r="P133" s="18"/>
      <c r="Q133" s="18"/>
      <c r="R133" s="18"/>
      <c r="S133" s="18"/>
      <c r="T133" s="18"/>
      <c r="U133" s="18"/>
      <c r="V133" s="18"/>
      <c r="W133" s="33"/>
      <c r="X133" s="18"/>
      <c r="Y133" s="18"/>
      <c r="Z133" s="18"/>
      <c r="AA133" s="18"/>
      <c r="AB133" s="18"/>
      <c r="AC133" s="17"/>
      <c r="AD133" s="18"/>
      <c r="AE133" s="18"/>
      <c r="AF133" s="18"/>
      <c r="AG133" s="18"/>
      <c r="AH133" s="18"/>
      <c r="AI133" s="18"/>
      <c r="AJ133" s="18"/>
      <c r="AK133" s="33"/>
      <c r="AL133" s="18"/>
      <c r="AM133" s="18"/>
      <c r="AN133" s="18"/>
      <c r="AO133" s="18"/>
      <c r="AP133" s="18"/>
      <c r="AQ133" s="17"/>
      <c r="AR133" s="18"/>
      <c r="AS133" s="18"/>
      <c r="AT133" s="18"/>
      <c r="AU133" s="18"/>
      <c r="AV133" s="18"/>
      <c r="AW133" s="18"/>
      <c r="AX133" s="18"/>
      <c r="AY133" s="33"/>
      <c r="AZ133" s="18"/>
      <c r="BA133" s="18"/>
      <c r="BB133" s="18"/>
      <c r="BC133" s="18"/>
      <c r="BD133" s="18"/>
      <c r="BE133" s="17"/>
      <c r="BF133" s="33"/>
      <c r="BG133" s="18"/>
      <c r="BH133" s="18"/>
      <c r="BI133" s="18"/>
      <c r="BJ133" s="18"/>
      <c r="BK133" s="18"/>
      <c r="BL133" s="17"/>
      <c r="BM133" s="18"/>
      <c r="BN133" s="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50"/>
      <c r="CD133" s="18"/>
      <c r="CE133" s="18"/>
      <c r="CF133" s="18"/>
      <c r="CG133" s="17"/>
      <c r="CH133" s="13"/>
      <c r="CJ133" s="26"/>
      <c r="CN133" s="26"/>
      <c r="CY133" s="27"/>
    </row>
    <row r="134" spans="1:103" s="11" customFormat="1">
      <c r="A134" s="32"/>
      <c r="B134" s="33"/>
      <c r="C134" s="18"/>
      <c r="D134" s="18"/>
      <c r="E134" s="18"/>
      <c r="F134" s="18"/>
      <c r="G134" s="18"/>
      <c r="H134" s="17"/>
      <c r="I134" s="18"/>
      <c r="J134" s="18"/>
      <c r="K134" s="18"/>
      <c r="L134" s="18"/>
      <c r="M134" s="18"/>
      <c r="N134" s="18"/>
      <c r="O134" s="17"/>
      <c r="P134" s="18"/>
      <c r="Q134" s="18"/>
      <c r="R134" s="18"/>
      <c r="S134" s="18"/>
      <c r="T134" s="18"/>
      <c r="U134" s="18"/>
      <c r="V134" s="18"/>
      <c r="W134" s="33"/>
      <c r="X134" s="18"/>
      <c r="Y134" s="18"/>
      <c r="Z134" s="18"/>
      <c r="AA134" s="18"/>
      <c r="AB134" s="18"/>
      <c r="AC134" s="17"/>
      <c r="AD134" s="18"/>
      <c r="AE134" s="18"/>
      <c r="AF134" s="18"/>
      <c r="AG134" s="18"/>
      <c r="AH134" s="18"/>
      <c r="AI134" s="18"/>
      <c r="AJ134" s="18"/>
      <c r="AK134" s="33"/>
      <c r="AL134" s="18"/>
      <c r="AM134" s="18"/>
      <c r="AN134" s="18"/>
      <c r="AO134" s="18"/>
      <c r="AP134" s="18"/>
      <c r="AQ134" s="17"/>
      <c r="AR134" s="18"/>
      <c r="AS134" s="18"/>
      <c r="AT134" s="18"/>
      <c r="AU134" s="18"/>
      <c r="AV134" s="18"/>
      <c r="AW134" s="18"/>
      <c r="AX134" s="18"/>
      <c r="AY134" s="33"/>
      <c r="AZ134" s="18"/>
      <c r="BA134" s="18"/>
      <c r="BB134" s="18"/>
      <c r="BC134" s="18"/>
      <c r="BD134" s="18"/>
      <c r="BE134" s="17"/>
      <c r="BF134" s="33"/>
      <c r="BG134" s="18"/>
      <c r="BH134" s="18"/>
      <c r="BI134" s="18"/>
      <c r="BJ134" s="18"/>
      <c r="BK134" s="18"/>
      <c r="BL134" s="17"/>
      <c r="BM134" s="18"/>
      <c r="BN134" s="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50"/>
      <c r="CD134" s="18"/>
      <c r="CE134" s="18"/>
      <c r="CF134" s="18"/>
      <c r="CG134" s="17"/>
      <c r="CH134" s="13"/>
      <c r="CJ134" s="26"/>
      <c r="CN134" s="26"/>
      <c r="CY134" s="27"/>
    </row>
    <row r="135" spans="1:103" s="11" customFormat="1">
      <c r="A135" s="32"/>
      <c r="B135" s="33"/>
      <c r="C135" s="18"/>
      <c r="D135" s="18"/>
      <c r="E135" s="18"/>
      <c r="F135" s="18"/>
      <c r="G135" s="18"/>
      <c r="H135" s="17"/>
      <c r="I135" s="18"/>
      <c r="J135" s="18"/>
      <c r="K135" s="18"/>
      <c r="L135" s="18"/>
      <c r="M135" s="18"/>
      <c r="N135" s="18"/>
      <c r="O135" s="17"/>
      <c r="P135" s="18"/>
      <c r="Q135" s="18"/>
      <c r="R135" s="18"/>
      <c r="S135" s="18"/>
      <c r="T135" s="18"/>
      <c r="U135" s="18"/>
      <c r="V135" s="18"/>
      <c r="W135" s="33"/>
      <c r="X135" s="18"/>
      <c r="Y135" s="18"/>
      <c r="Z135" s="18"/>
      <c r="AA135" s="18"/>
      <c r="AB135" s="18"/>
      <c r="AC135" s="17"/>
      <c r="AD135" s="18"/>
      <c r="AE135" s="18"/>
      <c r="AF135" s="18"/>
      <c r="AG135" s="18"/>
      <c r="AH135" s="18"/>
      <c r="AI135" s="18"/>
      <c r="AJ135" s="18"/>
      <c r="AK135" s="33"/>
      <c r="AL135" s="18"/>
      <c r="AM135" s="18"/>
      <c r="AN135" s="18"/>
      <c r="AO135" s="18"/>
      <c r="AP135" s="18"/>
      <c r="AQ135" s="17"/>
      <c r="AR135" s="18"/>
      <c r="AS135" s="18"/>
      <c r="AT135" s="18"/>
      <c r="AU135" s="18"/>
      <c r="AV135" s="18"/>
      <c r="AW135" s="18"/>
      <c r="AX135" s="18"/>
      <c r="AY135" s="33"/>
      <c r="AZ135" s="18"/>
      <c r="BA135" s="18"/>
      <c r="BB135" s="18"/>
      <c r="BC135" s="18"/>
      <c r="BD135" s="18"/>
      <c r="BE135" s="17"/>
      <c r="BF135" s="33"/>
      <c r="BG135" s="18"/>
      <c r="BH135" s="18"/>
      <c r="BI135" s="18"/>
      <c r="BJ135" s="18"/>
      <c r="BK135" s="18"/>
      <c r="BL135" s="17"/>
      <c r="BM135" s="18"/>
      <c r="BN135" s="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50"/>
      <c r="CD135" s="18"/>
      <c r="CE135" s="18"/>
      <c r="CF135" s="18"/>
      <c r="CG135" s="17"/>
      <c r="CH135" s="13"/>
      <c r="CJ135" s="26"/>
      <c r="CN135" s="26"/>
      <c r="CY135" s="27"/>
    </row>
    <row r="136" spans="1:103" s="11" customFormat="1">
      <c r="A136" s="32"/>
      <c r="B136" s="33"/>
      <c r="C136" s="18"/>
      <c r="D136" s="18"/>
      <c r="E136" s="18"/>
      <c r="F136" s="18"/>
      <c r="G136" s="18"/>
      <c r="H136" s="17"/>
      <c r="I136" s="18"/>
      <c r="J136" s="18"/>
      <c r="K136" s="18"/>
      <c r="L136" s="18"/>
      <c r="M136" s="18"/>
      <c r="N136" s="18"/>
      <c r="O136" s="17"/>
      <c r="P136" s="18"/>
      <c r="Q136" s="18"/>
      <c r="R136" s="18"/>
      <c r="S136" s="18"/>
      <c r="T136" s="18"/>
      <c r="U136" s="18"/>
      <c r="V136" s="18"/>
      <c r="W136" s="33"/>
      <c r="X136" s="18"/>
      <c r="Y136" s="18"/>
      <c r="Z136" s="18"/>
      <c r="AA136" s="18"/>
      <c r="AB136" s="18"/>
      <c r="AC136" s="17"/>
      <c r="AD136" s="18"/>
      <c r="AE136" s="18"/>
      <c r="AF136" s="18"/>
      <c r="AG136" s="18"/>
      <c r="AH136" s="18"/>
      <c r="AI136" s="18"/>
      <c r="AJ136" s="18"/>
      <c r="AK136" s="33"/>
      <c r="AL136" s="18"/>
      <c r="AM136" s="18"/>
      <c r="AN136" s="18"/>
      <c r="AO136" s="18"/>
      <c r="AP136" s="18"/>
      <c r="AQ136" s="17"/>
      <c r="AR136" s="18"/>
      <c r="AS136" s="18"/>
      <c r="AT136" s="18"/>
      <c r="AU136" s="18"/>
      <c r="AV136" s="18"/>
      <c r="AW136" s="18"/>
      <c r="AX136" s="18"/>
      <c r="AY136" s="33"/>
      <c r="AZ136" s="18"/>
      <c r="BA136" s="18"/>
      <c r="BB136" s="18"/>
      <c r="BC136" s="18"/>
      <c r="BD136" s="18"/>
      <c r="BE136" s="17"/>
      <c r="BF136" s="33"/>
      <c r="BG136" s="18"/>
      <c r="BH136" s="18"/>
      <c r="BI136" s="18"/>
      <c r="BJ136" s="18"/>
      <c r="BK136" s="18"/>
      <c r="BL136" s="17"/>
      <c r="BM136" s="18"/>
      <c r="BN136" s="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50"/>
      <c r="CD136" s="18"/>
      <c r="CE136" s="18"/>
      <c r="CF136" s="18"/>
      <c r="CG136" s="17"/>
      <c r="CH136" s="13"/>
      <c r="CJ136" s="26"/>
      <c r="CN136" s="26"/>
      <c r="CY136" s="27"/>
    </row>
    <row r="137" spans="1:103" s="11" customFormat="1">
      <c r="A137" s="32"/>
      <c r="B137" s="33"/>
      <c r="C137" s="18"/>
      <c r="D137" s="18"/>
      <c r="E137" s="18"/>
      <c r="F137" s="18"/>
      <c r="G137" s="18"/>
      <c r="H137" s="17"/>
      <c r="I137" s="18"/>
      <c r="J137" s="18"/>
      <c r="K137" s="18"/>
      <c r="L137" s="18"/>
      <c r="M137" s="18"/>
      <c r="N137" s="18"/>
      <c r="O137" s="17"/>
      <c r="P137" s="18"/>
      <c r="Q137" s="18"/>
      <c r="R137" s="18"/>
      <c r="S137" s="18"/>
      <c r="T137" s="18"/>
      <c r="U137" s="18"/>
      <c r="V137" s="18"/>
      <c r="W137" s="33"/>
      <c r="X137" s="18"/>
      <c r="Y137" s="18"/>
      <c r="Z137" s="18"/>
      <c r="AA137" s="18"/>
      <c r="AB137" s="18"/>
      <c r="AC137" s="17"/>
      <c r="AD137" s="18"/>
      <c r="AE137" s="18"/>
      <c r="AF137" s="18"/>
      <c r="AG137" s="18"/>
      <c r="AH137" s="18"/>
      <c r="AI137" s="18"/>
      <c r="AJ137" s="18"/>
      <c r="AK137" s="33"/>
      <c r="AL137" s="18"/>
      <c r="AM137" s="18"/>
      <c r="AN137" s="18"/>
      <c r="AO137" s="18"/>
      <c r="AP137" s="18"/>
      <c r="AQ137" s="17"/>
      <c r="AR137" s="18"/>
      <c r="AS137" s="18"/>
      <c r="AT137" s="18"/>
      <c r="AU137" s="18"/>
      <c r="AV137" s="18"/>
      <c r="AW137" s="18"/>
      <c r="AX137" s="18"/>
      <c r="AY137" s="33"/>
      <c r="AZ137" s="18"/>
      <c r="BA137" s="18"/>
      <c r="BB137" s="18"/>
      <c r="BC137" s="18"/>
      <c r="BD137" s="18"/>
      <c r="BE137" s="17"/>
      <c r="BF137" s="33"/>
      <c r="BG137" s="18"/>
      <c r="BH137" s="18"/>
      <c r="BI137" s="18"/>
      <c r="BJ137" s="18"/>
      <c r="BK137" s="18"/>
      <c r="BL137" s="17"/>
      <c r="BM137" s="18"/>
      <c r="BN137" s="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50"/>
      <c r="CD137" s="18"/>
      <c r="CE137" s="18"/>
      <c r="CF137" s="18"/>
      <c r="CG137" s="17"/>
      <c r="CH137" s="13"/>
      <c r="CJ137" s="26"/>
      <c r="CN137" s="26"/>
      <c r="CY137" s="27"/>
    </row>
    <row r="138" spans="1:103" s="11" customFormat="1">
      <c r="A138" s="32"/>
      <c r="B138" s="33"/>
      <c r="C138" s="18"/>
      <c r="D138" s="18"/>
      <c r="E138" s="18"/>
      <c r="F138" s="18"/>
      <c r="G138" s="18"/>
      <c r="H138" s="17"/>
      <c r="I138" s="18"/>
      <c r="J138" s="18"/>
      <c r="K138" s="18"/>
      <c r="L138" s="18"/>
      <c r="M138" s="18"/>
      <c r="N138" s="18"/>
      <c r="O138" s="17"/>
      <c r="P138" s="18"/>
      <c r="Q138" s="18"/>
      <c r="R138" s="18"/>
      <c r="S138" s="18"/>
      <c r="T138" s="18"/>
      <c r="U138" s="18"/>
      <c r="V138" s="18"/>
      <c r="W138" s="33"/>
      <c r="X138" s="18"/>
      <c r="Y138" s="18"/>
      <c r="Z138" s="18"/>
      <c r="AA138" s="18"/>
      <c r="AB138" s="18"/>
      <c r="AC138" s="17"/>
      <c r="AD138" s="18"/>
      <c r="AE138" s="18"/>
      <c r="AF138" s="18"/>
      <c r="AG138" s="18"/>
      <c r="AH138" s="18"/>
      <c r="AI138" s="18"/>
      <c r="AJ138" s="18"/>
      <c r="AK138" s="33"/>
      <c r="AL138" s="18"/>
      <c r="AM138" s="18"/>
      <c r="AN138" s="18"/>
      <c r="AO138" s="18"/>
      <c r="AP138" s="18"/>
      <c r="AQ138" s="17"/>
      <c r="AR138" s="18"/>
      <c r="AS138" s="18"/>
      <c r="AT138" s="18"/>
      <c r="AU138" s="18"/>
      <c r="AV138" s="18"/>
      <c r="AW138" s="18"/>
      <c r="AX138" s="18"/>
      <c r="AY138" s="33"/>
      <c r="AZ138" s="18"/>
      <c r="BA138" s="18"/>
      <c r="BB138" s="18"/>
      <c r="BC138" s="18"/>
      <c r="BD138" s="18"/>
      <c r="BE138" s="17"/>
      <c r="BF138" s="33"/>
      <c r="BG138" s="18"/>
      <c r="BH138" s="18"/>
      <c r="BI138" s="18"/>
      <c r="BJ138" s="18"/>
      <c r="BK138" s="18"/>
      <c r="BL138" s="17"/>
      <c r="BM138" s="18"/>
      <c r="BN138" s="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50"/>
      <c r="CD138" s="18"/>
      <c r="CE138" s="18"/>
      <c r="CF138" s="18"/>
      <c r="CG138" s="17"/>
      <c r="CH138" s="13"/>
      <c r="CJ138" s="26"/>
      <c r="CN138" s="26"/>
      <c r="CY138" s="27"/>
    </row>
    <row r="139" spans="1:103" s="11" customFormat="1">
      <c r="A139" s="32"/>
      <c r="B139" s="33"/>
      <c r="C139" s="18"/>
      <c r="D139" s="18"/>
      <c r="E139" s="18"/>
      <c r="F139" s="18"/>
      <c r="G139" s="18"/>
      <c r="H139" s="17"/>
      <c r="I139" s="18"/>
      <c r="J139" s="18"/>
      <c r="K139" s="18"/>
      <c r="L139" s="18"/>
      <c r="M139" s="18"/>
      <c r="N139" s="18"/>
      <c r="O139" s="17"/>
      <c r="P139" s="18"/>
      <c r="Q139" s="18"/>
      <c r="R139" s="18"/>
      <c r="S139" s="18"/>
      <c r="T139" s="18"/>
      <c r="U139" s="18"/>
      <c r="V139" s="18"/>
      <c r="W139" s="33"/>
      <c r="X139" s="18"/>
      <c r="Y139" s="18"/>
      <c r="Z139" s="18"/>
      <c r="AA139" s="18"/>
      <c r="AB139" s="18"/>
      <c r="AC139" s="17"/>
      <c r="AD139" s="18"/>
      <c r="AE139" s="18"/>
      <c r="AF139" s="18"/>
      <c r="AG139" s="18"/>
      <c r="AH139" s="18"/>
      <c r="AI139" s="18"/>
      <c r="AJ139" s="18"/>
      <c r="AK139" s="33"/>
      <c r="AL139" s="18"/>
      <c r="AM139" s="18"/>
      <c r="AN139" s="18"/>
      <c r="AO139" s="18"/>
      <c r="AP139" s="18"/>
      <c r="AQ139" s="17"/>
      <c r="AR139" s="18"/>
      <c r="AS139" s="18"/>
      <c r="AT139" s="18"/>
      <c r="AU139" s="18"/>
      <c r="AV139" s="18"/>
      <c r="AW139" s="18"/>
      <c r="AX139" s="18"/>
      <c r="AY139" s="33"/>
      <c r="AZ139" s="18"/>
      <c r="BA139" s="18"/>
      <c r="BB139" s="18"/>
      <c r="BC139" s="18"/>
      <c r="BD139" s="18"/>
      <c r="BE139" s="17"/>
      <c r="BF139" s="33"/>
      <c r="BG139" s="18"/>
      <c r="BH139" s="18"/>
      <c r="BI139" s="18"/>
      <c r="BJ139" s="18"/>
      <c r="BK139" s="18"/>
      <c r="BL139" s="17"/>
      <c r="BM139" s="18"/>
      <c r="BN139" s="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50"/>
      <c r="CD139" s="18"/>
      <c r="CE139" s="18"/>
      <c r="CF139" s="18"/>
      <c r="CG139" s="17"/>
      <c r="CH139" s="13"/>
      <c r="CJ139" s="26"/>
      <c r="CN139" s="26"/>
      <c r="CY139" s="27"/>
    </row>
    <row r="140" spans="1:103" s="11" customFormat="1">
      <c r="A140" s="32"/>
      <c r="B140" s="33"/>
      <c r="C140" s="18"/>
      <c r="D140" s="18"/>
      <c r="E140" s="18"/>
      <c r="F140" s="18"/>
      <c r="G140" s="18"/>
      <c r="H140" s="17"/>
      <c r="I140" s="18"/>
      <c r="J140" s="18"/>
      <c r="K140" s="18"/>
      <c r="L140" s="18"/>
      <c r="M140" s="18"/>
      <c r="N140" s="18"/>
      <c r="O140" s="17"/>
      <c r="P140" s="18"/>
      <c r="Q140" s="18"/>
      <c r="R140" s="18"/>
      <c r="S140" s="18"/>
      <c r="T140" s="18"/>
      <c r="U140" s="18"/>
      <c r="V140" s="18"/>
      <c r="W140" s="33"/>
      <c r="X140" s="18"/>
      <c r="Y140" s="18"/>
      <c r="Z140" s="18"/>
      <c r="AA140" s="18"/>
      <c r="AB140" s="18"/>
      <c r="AC140" s="17"/>
      <c r="AD140" s="18"/>
      <c r="AE140" s="18"/>
      <c r="AF140" s="18"/>
      <c r="AG140" s="18"/>
      <c r="AH140" s="18"/>
      <c r="AI140" s="18"/>
      <c r="AJ140" s="18"/>
      <c r="AK140" s="33"/>
      <c r="AL140" s="18"/>
      <c r="AM140" s="18"/>
      <c r="AN140" s="18"/>
      <c r="AO140" s="18"/>
      <c r="AP140" s="18"/>
      <c r="AQ140" s="17"/>
      <c r="AR140" s="18"/>
      <c r="AS140" s="18"/>
      <c r="AT140" s="18"/>
      <c r="AU140" s="18"/>
      <c r="AV140" s="18"/>
      <c r="AW140" s="18"/>
      <c r="AX140" s="18"/>
      <c r="AY140" s="33"/>
      <c r="AZ140" s="18"/>
      <c r="BA140" s="18"/>
      <c r="BB140" s="18"/>
      <c r="BC140" s="18"/>
      <c r="BD140" s="18"/>
      <c r="BE140" s="17"/>
      <c r="BF140" s="33"/>
      <c r="BG140" s="18"/>
      <c r="BH140" s="18"/>
      <c r="BI140" s="18"/>
      <c r="BJ140" s="18"/>
      <c r="BK140" s="18"/>
      <c r="BL140" s="17"/>
      <c r="BM140" s="18"/>
      <c r="BN140" s="16" t="s">
        <v>151</v>
      </c>
      <c r="BO140" s="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50"/>
      <c r="CD140" s="18"/>
      <c r="CE140" s="18"/>
      <c r="CF140" s="18"/>
      <c r="CG140" s="17"/>
      <c r="CH140" s="13"/>
      <c r="CJ140" s="62" t="s">
        <v>112</v>
      </c>
      <c r="CK140" s="62"/>
      <c r="CL140" s="62"/>
      <c r="CM140" s="62"/>
      <c r="CN140" s="63" t="s">
        <v>152</v>
      </c>
      <c r="CO140" s="62"/>
      <c r="CY140" s="27"/>
    </row>
    <row r="141" spans="1:103" s="11" customFormat="1">
      <c r="A141" s="32"/>
      <c r="B141" s="33"/>
      <c r="C141" s="18"/>
      <c r="D141" s="18"/>
      <c r="E141" s="18"/>
      <c r="F141" s="18"/>
      <c r="G141" s="18"/>
      <c r="H141" s="17"/>
      <c r="I141" s="18"/>
      <c r="J141" s="18"/>
      <c r="K141" s="18"/>
      <c r="L141" s="18"/>
      <c r="M141" s="18"/>
      <c r="N141" s="18"/>
      <c r="O141" s="17"/>
      <c r="P141" s="18"/>
      <c r="Q141" s="18"/>
      <c r="R141" s="18"/>
      <c r="S141" s="18"/>
      <c r="T141" s="18"/>
      <c r="U141" s="18"/>
      <c r="V141" s="18"/>
      <c r="W141" s="33"/>
      <c r="X141" s="18"/>
      <c r="Y141" s="18"/>
      <c r="Z141" s="18"/>
      <c r="AA141" s="18"/>
      <c r="AB141" s="18"/>
      <c r="AC141" s="17"/>
      <c r="AD141" s="18"/>
      <c r="AE141" s="18"/>
      <c r="AF141" s="18"/>
      <c r="AG141" s="18"/>
      <c r="AH141" s="18"/>
      <c r="AI141" s="18"/>
      <c r="AJ141" s="18"/>
      <c r="AK141" s="33"/>
      <c r="AL141" s="18"/>
      <c r="AM141" s="18"/>
      <c r="AN141" s="18"/>
      <c r="AO141" s="18"/>
      <c r="AP141" s="18"/>
      <c r="AQ141" s="17"/>
      <c r="AR141" s="18"/>
      <c r="AS141" s="18"/>
      <c r="AT141" s="18"/>
      <c r="AU141" s="18"/>
      <c r="AV141" s="18"/>
      <c r="AW141" s="18"/>
      <c r="AX141" s="18"/>
      <c r="AY141" s="33"/>
      <c r="AZ141" s="18"/>
      <c r="BA141" s="18"/>
      <c r="BB141" s="18"/>
      <c r="BC141" s="18"/>
      <c r="BD141" s="18"/>
      <c r="BE141" s="17"/>
      <c r="BF141" s="33"/>
      <c r="BG141" s="18"/>
      <c r="BH141" s="18"/>
      <c r="BI141" s="18"/>
      <c r="BJ141" s="18"/>
      <c r="BK141" s="18"/>
      <c r="BL141" s="17"/>
      <c r="BM141" s="18"/>
      <c r="BN141" s="8"/>
      <c r="BO141" s="8" t="s">
        <v>153</v>
      </c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50"/>
      <c r="CD141" s="18"/>
      <c r="CE141" s="18"/>
      <c r="CF141" s="18"/>
      <c r="CG141" s="17"/>
      <c r="CH141" s="13"/>
      <c r="CJ141" s="63" t="s">
        <v>114</v>
      </c>
      <c r="CK141" s="62"/>
      <c r="CL141" s="62"/>
      <c r="CM141" s="62"/>
      <c r="CN141" s="63" t="s">
        <v>154</v>
      </c>
      <c r="CO141" s="62"/>
      <c r="CY141" s="27"/>
    </row>
    <row r="142" spans="1:103" s="11" customFormat="1">
      <c r="A142" s="32"/>
      <c r="B142" s="33"/>
      <c r="C142" s="18"/>
      <c r="D142" s="18"/>
      <c r="E142" s="18"/>
      <c r="F142" s="18"/>
      <c r="G142" s="18"/>
      <c r="H142" s="17"/>
      <c r="I142" s="18"/>
      <c r="J142" s="18"/>
      <c r="K142" s="18"/>
      <c r="L142" s="18"/>
      <c r="M142" s="18"/>
      <c r="N142" s="18"/>
      <c r="O142" s="17"/>
      <c r="P142" s="18"/>
      <c r="Q142" s="18"/>
      <c r="R142" s="18"/>
      <c r="S142" s="18"/>
      <c r="T142" s="18"/>
      <c r="U142" s="18"/>
      <c r="V142" s="18"/>
      <c r="W142" s="33"/>
      <c r="X142" s="18"/>
      <c r="Y142" s="18"/>
      <c r="Z142" s="18"/>
      <c r="AA142" s="18"/>
      <c r="AB142" s="18"/>
      <c r="AC142" s="17"/>
      <c r="AD142" s="18"/>
      <c r="AE142" s="18"/>
      <c r="AF142" s="18"/>
      <c r="AG142" s="18"/>
      <c r="AH142" s="18"/>
      <c r="AI142" s="18"/>
      <c r="AJ142" s="18"/>
      <c r="AK142" s="33"/>
      <c r="AL142" s="18"/>
      <c r="AM142" s="18"/>
      <c r="AN142" s="18"/>
      <c r="AO142" s="18"/>
      <c r="AP142" s="18"/>
      <c r="AQ142" s="17"/>
      <c r="AR142" s="18"/>
      <c r="AS142" s="18"/>
      <c r="AT142" s="18"/>
      <c r="AU142" s="18"/>
      <c r="AV142" s="18"/>
      <c r="AW142" s="18"/>
      <c r="AX142" s="18"/>
      <c r="AY142" s="33"/>
      <c r="AZ142" s="18"/>
      <c r="BA142" s="18"/>
      <c r="BB142" s="18"/>
      <c r="BC142" s="18"/>
      <c r="BD142" s="18"/>
      <c r="BE142" s="17"/>
      <c r="BF142" s="33"/>
      <c r="BG142" s="18"/>
      <c r="BH142" s="18"/>
      <c r="BI142" s="18"/>
      <c r="BJ142" s="18"/>
      <c r="BK142" s="18"/>
      <c r="BL142" s="17"/>
      <c r="BM142" s="18"/>
      <c r="BN142" s="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50"/>
      <c r="CD142" s="18"/>
      <c r="CE142" s="18"/>
      <c r="CF142" s="18"/>
      <c r="CG142" s="17"/>
      <c r="CH142" s="13"/>
      <c r="CJ142" s="26"/>
      <c r="CN142" s="26"/>
      <c r="CY142" s="27"/>
    </row>
    <row r="143" spans="1:103" s="11" customFormat="1">
      <c r="A143" s="32"/>
      <c r="B143" s="33"/>
      <c r="C143" s="18"/>
      <c r="D143" s="18"/>
      <c r="E143" s="18"/>
      <c r="F143" s="18"/>
      <c r="G143" s="18"/>
      <c r="H143" s="17"/>
      <c r="I143" s="18"/>
      <c r="J143" s="18"/>
      <c r="K143" s="18"/>
      <c r="L143" s="18"/>
      <c r="M143" s="18"/>
      <c r="N143" s="18"/>
      <c r="O143" s="17"/>
      <c r="P143" s="18"/>
      <c r="Q143" s="18"/>
      <c r="R143" s="18"/>
      <c r="S143" s="18"/>
      <c r="T143" s="18"/>
      <c r="U143" s="18"/>
      <c r="V143" s="18"/>
      <c r="W143" s="33"/>
      <c r="X143" s="18"/>
      <c r="Y143" s="18"/>
      <c r="Z143" s="18"/>
      <c r="AA143" s="18"/>
      <c r="AB143" s="18"/>
      <c r="AC143" s="17"/>
      <c r="AD143" s="18"/>
      <c r="AE143" s="18"/>
      <c r="AF143" s="18"/>
      <c r="AG143" s="18"/>
      <c r="AH143" s="18"/>
      <c r="AI143" s="18"/>
      <c r="AJ143" s="18"/>
      <c r="AK143" s="33"/>
      <c r="AL143" s="18"/>
      <c r="AM143" s="18"/>
      <c r="AN143" s="18"/>
      <c r="AO143" s="18"/>
      <c r="AP143" s="18"/>
      <c r="AQ143" s="17"/>
      <c r="AR143" s="18"/>
      <c r="AS143" s="18"/>
      <c r="AT143" s="18"/>
      <c r="AU143" s="18"/>
      <c r="AV143" s="18"/>
      <c r="AW143" s="18"/>
      <c r="AX143" s="18"/>
      <c r="AY143" s="33"/>
      <c r="AZ143" s="18"/>
      <c r="BA143" s="18"/>
      <c r="BB143" s="18"/>
      <c r="BC143" s="18"/>
      <c r="BD143" s="18"/>
      <c r="BE143" s="17"/>
      <c r="BF143" s="33"/>
      <c r="BG143" s="18"/>
      <c r="BH143" s="18"/>
      <c r="BI143" s="18"/>
      <c r="BJ143" s="18"/>
      <c r="BK143" s="18"/>
      <c r="BL143" s="17"/>
      <c r="BM143" s="18"/>
      <c r="BN143" s="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50"/>
      <c r="CD143" s="18"/>
      <c r="CE143" s="18"/>
      <c r="CF143" s="18"/>
      <c r="CG143" s="17"/>
      <c r="CH143" s="13"/>
      <c r="CJ143" s="26"/>
      <c r="CN143" s="26"/>
      <c r="CY143" s="27"/>
    </row>
    <row r="144" spans="1:103" s="11" customFormat="1">
      <c r="A144" s="32"/>
      <c r="B144" s="33"/>
      <c r="C144" s="18"/>
      <c r="D144" s="18"/>
      <c r="E144" s="18"/>
      <c r="F144" s="18"/>
      <c r="G144" s="18"/>
      <c r="H144" s="17"/>
      <c r="I144" s="18"/>
      <c r="J144" s="18"/>
      <c r="K144" s="18"/>
      <c r="L144" s="18"/>
      <c r="M144" s="18"/>
      <c r="N144" s="18"/>
      <c r="O144" s="17"/>
      <c r="P144" s="18"/>
      <c r="Q144" s="18"/>
      <c r="R144" s="18"/>
      <c r="S144" s="18"/>
      <c r="T144" s="18"/>
      <c r="U144" s="18"/>
      <c r="V144" s="18"/>
      <c r="W144" s="33"/>
      <c r="X144" s="18"/>
      <c r="Y144" s="18"/>
      <c r="Z144" s="18"/>
      <c r="AA144" s="18"/>
      <c r="AB144" s="18"/>
      <c r="AC144" s="17"/>
      <c r="AD144" s="18"/>
      <c r="AE144" s="18"/>
      <c r="AF144" s="18"/>
      <c r="AG144" s="18"/>
      <c r="AH144" s="18"/>
      <c r="AI144" s="18"/>
      <c r="AJ144" s="18"/>
      <c r="AK144" s="33"/>
      <c r="AL144" s="18"/>
      <c r="AM144" s="18"/>
      <c r="AN144" s="18"/>
      <c r="AO144" s="18"/>
      <c r="AP144" s="18"/>
      <c r="AQ144" s="17"/>
      <c r="AR144" s="18"/>
      <c r="AS144" s="18"/>
      <c r="AT144" s="18"/>
      <c r="AU144" s="18"/>
      <c r="AV144" s="18"/>
      <c r="AW144" s="18"/>
      <c r="AX144" s="18"/>
      <c r="AY144" s="33"/>
      <c r="AZ144" s="18"/>
      <c r="BA144" s="18"/>
      <c r="BB144" s="18"/>
      <c r="BC144" s="18"/>
      <c r="BD144" s="18"/>
      <c r="BE144" s="17"/>
      <c r="BF144" s="33"/>
      <c r="BG144" s="18"/>
      <c r="BH144" s="18"/>
      <c r="BI144" s="18"/>
      <c r="BJ144" s="18"/>
      <c r="BK144" s="18"/>
      <c r="BL144" s="17"/>
      <c r="BM144" s="18"/>
      <c r="BN144" s="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50"/>
      <c r="CD144" s="18"/>
      <c r="CE144" s="18"/>
      <c r="CF144" s="18"/>
      <c r="CG144" s="17"/>
      <c r="CH144" s="13"/>
      <c r="CJ144" s="26"/>
      <c r="CN144" s="26"/>
      <c r="CY144" s="27"/>
    </row>
    <row r="145" spans="1:103" s="11" customFormat="1">
      <c r="A145" s="32"/>
      <c r="B145" s="33"/>
      <c r="C145" s="18"/>
      <c r="D145" s="18"/>
      <c r="E145" s="18"/>
      <c r="F145" s="18"/>
      <c r="G145" s="18"/>
      <c r="H145" s="17"/>
      <c r="I145" s="18"/>
      <c r="J145" s="18"/>
      <c r="K145" s="18"/>
      <c r="L145" s="18"/>
      <c r="M145" s="18"/>
      <c r="N145" s="18"/>
      <c r="O145" s="17"/>
      <c r="P145" s="18"/>
      <c r="Q145" s="18"/>
      <c r="R145" s="18"/>
      <c r="S145" s="18"/>
      <c r="T145" s="18"/>
      <c r="U145" s="18"/>
      <c r="V145" s="18"/>
      <c r="W145" s="33"/>
      <c r="X145" s="18"/>
      <c r="Y145" s="18"/>
      <c r="Z145" s="18"/>
      <c r="AA145" s="18"/>
      <c r="AB145" s="18"/>
      <c r="AC145" s="17"/>
      <c r="AD145" s="18"/>
      <c r="AE145" s="18"/>
      <c r="AF145" s="18"/>
      <c r="AG145" s="18"/>
      <c r="AH145" s="18"/>
      <c r="AI145" s="18"/>
      <c r="AJ145" s="18"/>
      <c r="AK145" s="33"/>
      <c r="AL145" s="18"/>
      <c r="AM145" s="18"/>
      <c r="AN145" s="18"/>
      <c r="AO145" s="18"/>
      <c r="AP145" s="18"/>
      <c r="AQ145" s="17"/>
      <c r="AR145" s="18"/>
      <c r="AS145" s="18"/>
      <c r="AT145" s="18"/>
      <c r="AU145" s="18"/>
      <c r="AV145" s="18"/>
      <c r="AW145" s="18"/>
      <c r="AX145" s="18"/>
      <c r="AY145" s="33"/>
      <c r="AZ145" s="18"/>
      <c r="BA145" s="18"/>
      <c r="BB145" s="18"/>
      <c r="BC145" s="18"/>
      <c r="BD145" s="18"/>
      <c r="BE145" s="17"/>
      <c r="BF145" s="33"/>
      <c r="BG145" s="18"/>
      <c r="BH145" s="18"/>
      <c r="BI145" s="18"/>
      <c r="BJ145" s="18"/>
      <c r="BK145" s="18"/>
      <c r="BL145" s="17"/>
      <c r="BM145" s="18"/>
      <c r="BN145" s="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50"/>
      <c r="CD145" s="18"/>
      <c r="CE145" s="18"/>
      <c r="CF145" s="18"/>
      <c r="CG145" s="17"/>
      <c r="CH145" s="13"/>
      <c r="CJ145" s="26"/>
      <c r="CN145" s="26"/>
      <c r="CY145" s="27"/>
    </row>
    <row r="146" spans="1:103" s="11" customFormat="1">
      <c r="A146" s="32"/>
      <c r="B146" s="33"/>
      <c r="C146" s="18"/>
      <c r="D146" s="18"/>
      <c r="E146" s="18"/>
      <c r="F146" s="18"/>
      <c r="G146" s="18"/>
      <c r="H146" s="17"/>
      <c r="I146" s="18"/>
      <c r="J146" s="18"/>
      <c r="K146" s="18"/>
      <c r="L146" s="18"/>
      <c r="M146" s="18"/>
      <c r="N146" s="18"/>
      <c r="O146" s="17"/>
      <c r="P146" s="18"/>
      <c r="Q146" s="18"/>
      <c r="R146" s="18"/>
      <c r="S146" s="18"/>
      <c r="T146" s="18"/>
      <c r="U146" s="18"/>
      <c r="V146" s="18"/>
      <c r="W146" s="33"/>
      <c r="X146" s="18"/>
      <c r="Y146" s="18"/>
      <c r="Z146" s="18"/>
      <c r="AA146" s="18"/>
      <c r="AB146" s="18"/>
      <c r="AC146" s="17"/>
      <c r="AD146" s="18"/>
      <c r="AE146" s="18"/>
      <c r="AF146" s="18"/>
      <c r="AG146" s="18"/>
      <c r="AH146" s="18"/>
      <c r="AI146" s="18"/>
      <c r="AJ146" s="18"/>
      <c r="AK146" s="33"/>
      <c r="AL146" s="18"/>
      <c r="AM146" s="18"/>
      <c r="AN146" s="18"/>
      <c r="AO146" s="18"/>
      <c r="AP146" s="18"/>
      <c r="AQ146" s="17"/>
      <c r="AR146" s="18"/>
      <c r="AS146" s="18"/>
      <c r="AT146" s="18"/>
      <c r="AU146" s="18"/>
      <c r="AV146" s="18"/>
      <c r="AW146" s="18"/>
      <c r="AX146" s="18"/>
      <c r="AY146" s="33"/>
      <c r="AZ146" s="18"/>
      <c r="BA146" s="18"/>
      <c r="BB146" s="18"/>
      <c r="BC146" s="18"/>
      <c r="BD146" s="18"/>
      <c r="BE146" s="17"/>
      <c r="BF146" s="33"/>
      <c r="BG146" s="18"/>
      <c r="BH146" s="18"/>
      <c r="BI146" s="18"/>
      <c r="BJ146" s="18"/>
      <c r="BK146" s="18"/>
      <c r="BL146" s="17"/>
      <c r="BM146" s="18"/>
      <c r="BN146" s="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50"/>
      <c r="CD146" s="18"/>
      <c r="CE146" s="18"/>
      <c r="CF146" s="18"/>
      <c r="CG146" s="17"/>
      <c r="CH146" s="13"/>
      <c r="CJ146" s="26"/>
      <c r="CN146" s="26"/>
      <c r="CY146" s="27"/>
    </row>
    <row r="147" spans="1:103" s="11" customFormat="1">
      <c r="A147" s="32"/>
      <c r="B147" s="33"/>
      <c r="C147" s="18"/>
      <c r="D147" s="18"/>
      <c r="E147" s="18"/>
      <c r="F147" s="18"/>
      <c r="G147" s="18"/>
      <c r="H147" s="17"/>
      <c r="I147" s="18"/>
      <c r="J147" s="18"/>
      <c r="K147" s="18"/>
      <c r="L147" s="18"/>
      <c r="M147" s="18"/>
      <c r="N147" s="18"/>
      <c r="O147" s="17"/>
      <c r="P147" s="18"/>
      <c r="Q147" s="18"/>
      <c r="R147" s="18"/>
      <c r="S147" s="18"/>
      <c r="T147" s="18"/>
      <c r="U147" s="18"/>
      <c r="V147" s="18"/>
      <c r="W147" s="33"/>
      <c r="X147" s="18"/>
      <c r="Y147" s="18"/>
      <c r="Z147" s="18"/>
      <c r="AA147" s="18"/>
      <c r="AB147" s="18"/>
      <c r="AC147" s="17"/>
      <c r="AD147" s="18"/>
      <c r="AE147" s="18"/>
      <c r="AF147" s="18"/>
      <c r="AG147" s="18"/>
      <c r="AH147" s="18"/>
      <c r="AI147" s="18"/>
      <c r="AJ147" s="18"/>
      <c r="AK147" s="33"/>
      <c r="AL147" s="18"/>
      <c r="AM147" s="18"/>
      <c r="AN147" s="18"/>
      <c r="AO147" s="18"/>
      <c r="AP147" s="18"/>
      <c r="AQ147" s="17"/>
      <c r="AR147" s="18"/>
      <c r="AS147" s="18"/>
      <c r="AT147" s="18"/>
      <c r="AU147" s="18"/>
      <c r="AV147" s="18"/>
      <c r="AW147" s="18"/>
      <c r="AX147" s="18"/>
      <c r="AY147" s="33"/>
      <c r="AZ147" s="18"/>
      <c r="BA147" s="18"/>
      <c r="BB147" s="18"/>
      <c r="BC147" s="18"/>
      <c r="BD147" s="18"/>
      <c r="BE147" s="17"/>
      <c r="BF147" s="33"/>
      <c r="BG147" s="18"/>
      <c r="BH147" s="18"/>
      <c r="BI147" s="18"/>
      <c r="BJ147" s="18"/>
      <c r="BK147" s="18"/>
      <c r="BL147" s="17"/>
      <c r="BM147" s="18"/>
      <c r="BN147" s="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50"/>
      <c r="CD147" s="18"/>
      <c r="CE147" s="18"/>
      <c r="CF147" s="18"/>
      <c r="CG147" s="17"/>
      <c r="CH147" s="13"/>
      <c r="CJ147" s="26"/>
      <c r="CN147" s="26"/>
      <c r="CY147" s="27"/>
    </row>
    <row r="148" spans="1:103" s="11" customFormat="1">
      <c r="A148" s="32"/>
      <c r="B148" s="33"/>
      <c r="C148" s="18"/>
      <c r="D148" s="18"/>
      <c r="E148" s="18"/>
      <c r="F148" s="18"/>
      <c r="G148" s="18"/>
      <c r="H148" s="17"/>
      <c r="I148" s="18"/>
      <c r="J148" s="18"/>
      <c r="K148" s="18"/>
      <c r="L148" s="18"/>
      <c r="M148" s="18"/>
      <c r="N148" s="18"/>
      <c r="O148" s="17"/>
      <c r="P148" s="18"/>
      <c r="Q148" s="18"/>
      <c r="R148" s="18"/>
      <c r="S148" s="18"/>
      <c r="T148" s="18"/>
      <c r="U148" s="18"/>
      <c r="V148" s="18"/>
      <c r="W148" s="33"/>
      <c r="X148" s="18"/>
      <c r="Y148" s="18"/>
      <c r="Z148" s="18"/>
      <c r="AA148" s="18"/>
      <c r="AB148" s="18"/>
      <c r="AC148" s="17"/>
      <c r="AD148" s="18"/>
      <c r="AE148" s="18"/>
      <c r="AF148" s="18"/>
      <c r="AG148" s="18"/>
      <c r="AH148" s="18"/>
      <c r="AI148" s="18"/>
      <c r="AJ148" s="18"/>
      <c r="AK148" s="33"/>
      <c r="AL148" s="18"/>
      <c r="AM148" s="18"/>
      <c r="AN148" s="18"/>
      <c r="AO148" s="18"/>
      <c r="AP148" s="18"/>
      <c r="AQ148" s="17"/>
      <c r="AR148" s="18"/>
      <c r="AS148" s="18"/>
      <c r="AT148" s="18"/>
      <c r="AU148" s="18"/>
      <c r="AV148" s="18"/>
      <c r="AW148" s="18"/>
      <c r="AX148" s="18"/>
      <c r="AY148" s="33"/>
      <c r="AZ148" s="18"/>
      <c r="BA148" s="18"/>
      <c r="BB148" s="18"/>
      <c r="BC148" s="18"/>
      <c r="BD148" s="18"/>
      <c r="BE148" s="17"/>
      <c r="BF148" s="33"/>
      <c r="BG148" s="18"/>
      <c r="BH148" s="18"/>
      <c r="BI148" s="18"/>
      <c r="BJ148" s="18"/>
      <c r="BK148" s="18"/>
      <c r="BL148" s="17"/>
      <c r="BM148" s="18"/>
      <c r="BN148" s="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50"/>
      <c r="CD148" s="18"/>
      <c r="CE148" s="18"/>
      <c r="CF148" s="18"/>
      <c r="CG148" s="17"/>
      <c r="CH148" s="13"/>
      <c r="CJ148" s="26"/>
      <c r="CN148" s="26"/>
      <c r="CY148" s="27"/>
    </row>
    <row r="149" spans="1:103" s="11" customFormat="1">
      <c r="A149" s="32"/>
      <c r="B149" s="33"/>
      <c r="C149" s="18"/>
      <c r="D149" s="18"/>
      <c r="E149" s="18"/>
      <c r="F149" s="18"/>
      <c r="G149" s="18"/>
      <c r="H149" s="17"/>
      <c r="I149" s="18"/>
      <c r="J149" s="18"/>
      <c r="K149" s="18"/>
      <c r="L149" s="18"/>
      <c r="M149" s="18"/>
      <c r="N149" s="18"/>
      <c r="O149" s="17"/>
      <c r="P149" s="18"/>
      <c r="Q149" s="18"/>
      <c r="R149" s="18"/>
      <c r="S149" s="18"/>
      <c r="T149" s="18"/>
      <c r="U149" s="18"/>
      <c r="V149" s="18"/>
      <c r="W149" s="33"/>
      <c r="X149" s="18"/>
      <c r="Y149" s="18"/>
      <c r="Z149" s="18"/>
      <c r="AA149" s="18"/>
      <c r="AB149" s="18"/>
      <c r="AC149" s="17"/>
      <c r="AD149" s="18"/>
      <c r="AE149" s="18"/>
      <c r="AF149" s="18"/>
      <c r="AG149" s="18"/>
      <c r="AH149" s="18"/>
      <c r="AI149" s="18"/>
      <c r="AJ149" s="18"/>
      <c r="AK149" s="33"/>
      <c r="AL149" s="18"/>
      <c r="AM149" s="18"/>
      <c r="AN149" s="18"/>
      <c r="AO149" s="18"/>
      <c r="AP149" s="18"/>
      <c r="AQ149" s="17"/>
      <c r="AR149" s="18"/>
      <c r="AS149" s="18"/>
      <c r="AT149" s="18"/>
      <c r="AU149" s="18"/>
      <c r="AV149" s="18"/>
      <c r="AW149" s="18"/>
      <c r="AX149" s="18"/>
      <c r="AY149" s="33"/>
      <c r="AZ149" s="18"/>
      <c r="BA149" s="18"/>
      <c r="BB149" s="18"/>
      <c r="BC149" s="18"/>
      <c r="BD149" s="18"/>
      <c r="BE149" s="17"/>
      <c r="BF149" s="33"/>
      <c r="BG149" s="18"/>
      <c r="BH149" s="18"/>
      <c r="BI149" s="18"/>
      <c r="BJ149" s="18"/>
      <c r="BK149" s="18"/>
      <c r="BL149" s="17"/>
      <c r="BM149" s="18"/>
      <c r="BN149" s="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50"/>
      <c r="CD149" s="18"/>
      <c r="CE149" s="18"/>
      <c r="CF149" s="18"/>
      <c r="CG149" s="17"/>
      <c r="CH149" s="13"/>
      <c r="CJ149" s="26"/>
      <c r="CN149" s="26"/>
      <c r="CY149" s="27"/>
    </row>
    <row r="150" spans="1:103" s="11" customFormat="1">
      <c r="A150" s="32"/>
      <c r="B150" s="33"/>
      <c r="C150" s="18"/>
      <c r="D150" s="18"/>
      <c r="E150" s="18"/>
      <c r="F150" s="18"/>
      <c r="G150" s="18"/>
      <c r="H150" s="17"/>
      <c r="I150" s="18"/>
      <c r="J150" s="18"/>
      <c r="K150" s="18"/>
      <c r="L150" s="18"/>
      <c r="M150" s="18"/>
      <c r="N150" s="18"/>
      <c r="O150" s="17"/>
      <c r="P150" s="18"/>
      <c r="Q150" s="18"/>
      <c r="R150" s="18"/>
      <c r="S150" s="18"/>
      <c r="T150" s="18"/>
      <c r="U150" s="18"/>
      <c r="V150" s="18"/>
      <c r="W150" s="33"/>
      <c r="X150" s="18"/>
      <c r="Y150" s="18"/>
      <c r="Z150" s="18"/>
      <c r="AA150" s="18"/>
      <c r="AB150" s="18"/>
      <c r="AC150" s="17"/>
      <c r="AD150" s="18"/>
      <c r="AE150" s="18"/>
      <c r="AF150" s="18"/>
      <c r="AG150" s="18"/>
      <c r="AH150" s="18"/>
      <c r="AI150" s="18"/>
      <c r="AJ150" s="18"/>
      <c r="AK150" s="33"/>
      <c r="AL150" s="18"/>
      <c r="AM150" s="18"/>
      <c r="AN150" s="18"/>
      <c r="AO150" s="18"/>
      <c r="AP150" s="18"/>
      <c r="AQ150" s="17"/>
      <c r="AR150" s="18"/>
      <c r="AS150" s="18"/>
      <c r="AT150" s="18"/>
      <c r="AU150" s="18"/>
      <c r="AV150" s="18"/>
      <c r="AW150" s="18"/>
      <c r="AX150" s="18"/>
      <c r="AY150" s="33"/>
      <c r="AZ150" s="18"/>
      <c r="BA150" s="18"/>
      <c r="BB150" s="18"/>
      <c r="BC150" s="18"/>
      <c r="BD150" s="18"/>
      <c r="BE150" s="17"/>
      <c r="BF150" s="33"/>
      <c r="BG150" s="18"/>
      <c r="BH150" s="18"/>
      <c r="BI150" s="18"/>
      <c r="BJ150" s="18"/>
      <c r="BK150" s="18"/>
      <c r="BL150" s="17"/>
      <c r="BM150" s="18"/>
      <c r="BN150" s="16" t="s">
        <v>155</v>
      </c>
      <c r="BO150" s="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50"/>
      <c r="CD150" s="18"/>
      <c r="CE150" s="18"/>
      <c r="CF150" s="18"/>
      <c r="CG150" s="17"/>
      <c r="CH150" s="13"/>
      <c r="CJ150" s="26"/>
      <c r="CN150" s="26"/>
      <c r="CY150" s="27"/>
    </row>
    <row r="151" spans="1:103" s="11" customFormat="1">
      <c r="A151" s="32"/>
      <c r="B151" s="33"/>
      <c r="C151" s="18"/>
      <c r="D151" s="18"/>
      <c r="E151" s="18"/>
      <c r="F151" s="18"/>
      <c r="G151" s="18"/>
      <c r="H151" s="17"/>
      <c r="I151" s="18"/>
      <c r="J151" s="18"/>
      <c r="K151" s="18"/>
      <c r="L151" s="18"/>
      <c r="M151" s="18"/>
      <c r="N151" s="18"/>
      <c r="O151" s="17"/>
      <c r="P151" s="18"/>
      <c r="Q151" s="18"/>
      <c r="R151" s="18"/>
      <c r="S151" s="18"/>
      <c r="T151" s="18"/>
      <c r="U151" s="18"/>
      <c r="V151" s="18"/>
      <c r="W151" s="33"/>
      <c r="X151" s="18"/>
      <c r="Y151" s="18"/>
      <c r="Z151" s="18"/>
      <c r="AA151" s="18"/>
      <c r="AB151" s="18"/>
      <c r="AC151" s="17"/>
      <c r="AD151" s="18"/>
      <c r="AE151" s="18"/>
      <c r="AF151" s="18"/>
      <c r="AG151" s="18"/>
      <c r="AH151" s="18"/>
      <c r="AI151" s="18"/>
      <c r="AJ151" s="18"/>
      <c r="AK151" s="33"/>
      <c r="AL151" s="18"/>
      <c r="AM151" s="18"/>
      <c r="AN151" s="18"/>
      <c r="AO151" s="18"/>
      <c r="AP151" s="18"/>
      <c r="AQ151" s="17"/>
      <c r="AR151" s="18"/>
      <c r="AS151" s="18"/>
      <c r="AT151" s="18"/>
      <c r="AU151" s="18"/>
      <c r="AV151" s="18"/>
      <c r="AW151" s="18"/>
      <c r="AX151" s="18"/>
      <c r="AY151" s="33"/>
      <c r="AZ151" s="18"/>
      <c r="BA151" s="18"/>
      <c r="BB151" s="18"/>
      <c r="BC151" s="18"/>
      <c r="BD151" s="18"/>
      <c r="BE151" s="17"/>
      <c r="BF151" s="33"/>
      <c r="BG151" s="18"/>
      <c r="BH151" s="18"/>
      <c r="BI151" s="18"/>
      <c r="BJ151" s="18"/>
      <c r="BK151" s="18"/>
      <c r="BL151" s="17"/>
      <c r="BM151" s="18"/>
      <c r="BN151" s="8"/>
      <c r="BO151" s="8" t="s">
        <v>156</v>
      </c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50"/>
      <c r="CD151" s="18"/>
      <c r="CE151" s="18"/>
      <c r="CF151" s="18"/>
      <c r="CG151" s="17"/>
      <c r="CH151" s="13"/>
      <c r="CJ151" s="26"/>
      <c r="CN151" s="26"/>
      <c r="CY151" s="27"/>
    </row>
    <row r="152" spans="1:103" s="11" customFormat="1">
      <c r="A152" s="32"/>
      <c r="B152" s="33"/>
      <c r="C152" s="18"/>
      <c r="D152" s="18"/>
      <c r="E152" s="18"/>
      <c r="F152" s="18"/>
      <c r="G152" s="18"/>
      <c r="H152" s="17"/>
      <c r="I152" s="18"/>
      <c r="J152" s="18"/>
      <c r="K152" s="18"/>
      <c r="L152" s="18"/>
      <c r="M152" s="18"/>
      <c r="N152" s="18"/>
      <c r="O152" s="17"/>
      <c r="P152" s="18"/>
      <c r="Q152" s="18"/>
      <c r="R152" s="18"/>
      <c r="S152" s="18"/>
      <c r="T152" s="18"/>
      <c r="U152" s="18"/>
      <c r="V152" s="18"/>
      <c r="W152" s="33"/>
      <c r="X152" s="18"/>
      <c r="Y152" s="18"/>
      <c r="Z152" s="18"/>
      <c r="AA152" s="18"/>
      <c r="AB152" s="18"/>
      <c r="AC152" s="17"/>
      <c r="AD152" s="18"/>
      <c r="AE152" s="18"/>
      <c r="AF152" s="18"/>
      <c r="AG152" s="18"/>
      <c r="AH152" s="18"/>
      <c r="AI152" s="18"/>
      <c r="AJ152" s="18"/>
      <c r="AK152" s="33"/>
      <c r="AL152" s="18"/>
      <c r="AM152" s="18"/>
      <c r="AN152" s="18"/>
      <c r="AO152" s="18"/>
      <c r="AP152" s="18"/>
      <c r="AQ152" s="17"/>
      <c r="AR152" s="18"/>
      <c r="AS152" s="18"/>
      <c r="AT152" s="18"/>
      <c r="AU152" s="18"/>
      <c r="AV152" s="18"/>
      <c r="AW152" s="18"/>
      <c r="AX152" s="18"/>
      <c r="AY152" s="33"/>
      <c r="AZ152" s="18"/>
      <c r="BA152" s="18"/>
      <c r="BB152" s="18"/>
      <c r="BC152" s="18"/>
      <c r="BD152" s="18"/>
      <c r="BE152" s="17"/>
      <c r="BF152" s="33"/>
      <c r="BG152" s="18"/>
      <c r="BH152" s="18"/>
      <c r="BI152" s="18"/>
      <c r="BJ152" s="18"/>
      <c r="BK152" s="18"/>
      <c r="BL152" s="17"/>
      <c r="BM152" s="18"/>
      <c r="BN152" s="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50"/>
      <c r="CD152" s="18"/>
      <c r="CE152" s="18"/>
      <c r="CF152" s="18"/>
      <c r="CG152" s="17"/>
      <c r="CH152" s="13"/>
      <c r="CJ152" s="26"/>
      <c r="CN152" s="26"/>
      <c r="CY152" s="27"/>
    </row>
    <row r="153" spans="1:103" s="11" customFormat="1">
      <c r="A153" s="32"/>
      <c r="B153" s="33"/>
      <c r="C153" s="18"/>
      <c r="D153" s="18"/>
      <c r="E153" s="18"/>
      <c r="F153" s="18"/>
      <c r="G153" s="18"/>
      <c r="H153" s="17"/>
      <c r="I153" s="18"/>
      <c r="J153" s="18"/>
      <c r="K153" s="18"/>
      <c r="L153" s="18"/>
      <c r="M153" s="18"/>
      <c r="N153" s="18"/>
      <c r="O153" s="17"/>
      <c r="P153" s="18"/>
      <c r="Q153" s="18"/>
      <c r="R153" s="18"/>
      <c r="S153" s="18"/>
      <c r="T153" s="18"/>
      <c r="U153" s="18"/>
      <c r="V153" s="18"/>
      <c r="W153" s="33"/>
      <c r="X153" s="18"/>
      <c r="Y153" s="18"/>
      <c r="Z153" s="18"/>
      <c r="AA153" s="18"/>
      <c r="AB153" s="18"/>
      <c r="AC153" s="17"/>
      <c r="AD153" s="18"/>
      <c r="AE153" s="18"/>
      <c r="AF153" s="18"/>
      <c r="AG153" s="18"/>
      <c r="AH153" s="18"/>
      <c r="AI153" s="18"/>
      <c r="AJ153" s="18"/>
      <c r="AK153" s="33"/>
      <c r="AL153" s="18"/>
      <c r="AM153" s="18"/>
      <c r="AN153" s="18"/>
      <c r="AO153" s="18"/>
      <c r="AP153" s="18"/>
      <c r="AQ153" s="17"/>
      <c r="AR153" s="18"/>
      <c r="AS153" s="18"/>
      <c r="AT153" s="18"/>
      <c r="AU153" s="18"/>
      <c r="AV153" s="18"/>
      <c r="AW153" s="18"/>
      <c r="AX153" s="18"/>
      <c r="AY153" s="33"/>
      <c r="AZ153" s="18"/>
      <c r="BA153" s="18"/>
      <c r="BB153" s="18"/>
      <c r="BC153" s="18"/>
      <c r="BD153" s="18"/>
      <c r="BE153" s="17"/>
      <c r="BF153" s="33"/>
      <c r="BG153" s="18"/>
      <c r="BH153" s="18"/>
      <c r="BI153" s="18"/>
      <c r="BJ153" s="18"/>
      <c r="BK153" s="18"/>
      <c r="BL153" s="17"/>
      <c r="BM153" s="18"/>
      <c r="BN153" s="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50"/>
      <c r="CD153" s="18"/>
      <c r="CE153" s="18"/>
      <c r="CF153" s="18"/>
      <c r="CG153" s="17"/>
      <c r="CH153" s="13"/>
      <c r="CJ153" s="26"/>
      <c r="CN153" s="26"/>
      <c r="CY153" s="27"/>
    </row>
    <row r="154" spans="1:103" s="11" customFormat="1">
      <c r="A154" s="32"/>
      <c r="B154" s="33"/>
      <c r="C154" s="18"/>
      <c r="D154" s="18"/>
      <c r="E154" s="18"/>
      <c r="F154" s="18"/>
      <c r="G154" s="18"/>
      <c r="H154" s="17"/>
      <c r="I154" s="18"/>
      <c r="J154" s="18"/>
      <c r="K154" s="18"/>
      <c r="L154" s="18"/>
      <c r="M154" s="18"/>
      <c r="N154" s="18"/>
      <c r="O154" s="17"/>
      <c r="P154" s="18"/>
      <c r="Q154" s="18"/>
      <c r="R154" s="18"/>
      <c r="S154" s="18"/>
      <c r="T154" s="18"/>
      <c r="U154" s="18"/>
      <c r="V154" s="18"/>
      <c r="W154" s="33"/>
      <c r="X154" s="18"/>
      <c r="Y154" s="18"/>
      <c r="Z154" s="18"/>
      <c r="AA154" s="18"/>
      <c r="AB154" s="18"/>
      <c r="AC154" s="17"/>
      <c r="AD154" s="18"/>
      <c r="AE154" s="18"/>
      <c r="AF154" s="18"/>
      <c r="AG154" s="18"/>
      <c r="AH154" s="18"/>
      <c r="AI154" s="18"/>
      <c r="AJ154" s="18"/>
      <c r="AK154" s="33"/>
      <c r="AL154" s="18"/>
      <c r="AM154" s="18"/>
      <c r="AN154" s="18"/>
      <c r="AO154" s="18"/>
      <c r="AP154" s="18"/>
      <c r="AQ154" s="17"/>
      <c r="AR154" s="18"/>
      <c r="AS154" s="18"/>
      <c r="AT154" s="18"/>
      <c r="AU154" s="18"/>
      <c r="AV154" s="18"/>
      <c r="AW154" s="18"/>
      <c r="AX154" s="18"/>
      <c r="AY154" s="33"/>
      <c r="AZ154" s="18"/>
      <c r="BA154" s="18"/>
      <c r="BB154" s="18"/>
      <c r="BC154" s="18"/>
      <c r="BD154" s="18"/>
      <c r="BE154" s="17"/>
      <c r="BF154" s="33"/>
      <c r="BG154" s="18"/>
      <c r="BH154" s="18"/>
      <c r="BI154" s="18"/>
      <c r="BJ154" s="18"/>
      <c r="BK154" s="18"/>
      <c r="BL154" s="17"/>
      <c r="BM154" s="18"/>
      <c r="BN154" s="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50"/>
      <c r="CD154" s="18"/>
      <c r="CE154" s="18"/>
      <c r="CF154" s="18"/>
      <c r="CG154" s="17"/>
      <c r="CH154" s="13"/>
      <c r="CJ154" s="26"/>
      <c r="CN154" s="26"/>
      <c r="CY154" s="27"/>
    </row>
    <row r="155" spans="1:103" s="11" customFormat="1">
      <c r="A155" s="32"/>
      <c r="B155" s="33"/>
      <c r="C155" s="18"/>
      <c r="D155" s="18"/>
      <c r="E155" s="18"/>
      <c r="F155" s="18"/>
      <c r="G155" s="18"/>
      <c r="H155" s="17"/>
      <c r="I155" s="18"/>
      <c r="J155" s="18"/>
      <c r="K155" s="18"/>
      <c r="L155" s="18"/>
      <c r="M155" s="18"/>
      <c r="N155" s="18"/>
      <c r="O155" s="17"/>
      <c r="P155" s="18"/>
      <c r="Q155" s="18"/>
      <c r="R155" s="18"/>
      <c r="S155" s="18"/>
      <c r="T155" s="18"/>
      <c r="U155" s="18"/>
      <c r="V155" s="18"/>
      <c r="W155" s="33"/>
      <c r="X155" s="18"/>
      <c r="Y155" s="18"/>
      <c r="Z155" s="18"/>
      <c r="AA155" s="18"/>
      <c r="AB155" s="18"/>
      <c r="AC155" s="17"/>
      <c r="AD155" s="18"/>
      <c r="AE155" s="18"/>
      <c r="AF155" s="18"/>
      <c r="AG155" s="18"/>
      <c r="AH155" s="18"/>
      <c r="AI155" s="18"/>
      <c r="AJ155" s="18"/>
      <c r="AK155" s="33"/>
      <c r="AL155" s="18"/>
      <c r="AM155" s="18"/>
      <c r="AN155" s="18"/>
      <c r="AO155" s="18"/>
      <c r="AP155" s="18"/>
      <c r="AQ155" s="17"/>
      <c r="AR155" s="18"/>
      <c r="AS155" s="18"/>
      <c r="AT155" s="18"/>
      <c r="AU155" s="18"/>
      <c r="AV155" s="18"/>
      <c r="AW155" s="18"/>
      <c r="AX155" s="18"/>
      <c r="AY155" s="33"/>
      <c r="AZ155" s="18"/>
      <c r="BA155" s="18"/>
      <c r="BB155" s="18"/>
      <c r="BC155" s="18"/>
      <c r="BD155" s="18"/>
      <c r="BE155" s="17"/>
      <c r="BF155" s="33"/>
      <c r="BG155" s="18"/>
      <c r="BH155" s="18"/>
      <c r="BI155" s="18"/>
      <c r="BJ155" s="18"/>
      <c r="BK155" s="18"/>
      <c r="BL155" s="17"/>
      <c r="BM155" s="18"/>
      <c r="BN155" s="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50"/>
      <c r="CD155" s="18"/>
      <c r="CE155" s="18"/>
      <c r="CF155" s="18"/>
      <c r="CG155" s="17"/>
      <c r="CH155" s="13"/>
      <c r="CJ155" s="26"/>
      <c r="CN155" s="26"/>
      <c r="CY155" s="27"/>
    </row>
    <row r="156" spans="1:103" s="11" customFormat="1">
      <c r="A156" s="32"/>
      <c r="B156" s="33"/>
      <c r="C156" s="18"/>
      <c r="D156" s="18"/>
      <c r="E156" s="18"/>
      <c r="F156" s="18"/>
      <c r="G156" s="18"/>
      <c r="H156" s="17"/>
      <c r="I156" s="18"/>
      <c r="J156" s="18"/>
      <c r="K156" s="18"/>
      <c r="L156" s="18"/>
      <c r="M156" s="18"/>
      <c r="N156" s="18"/>
      <c r="O156" s="17"/>
      <c r="P156" s="18"/>
      <c r="Q156" s="18"/>
      <c r="R156" s="18"/>
      <c r="S156" s="18"/>
      <c r="T156" s="18"/>
      <c r="U156" s="18"/>
      <c r="V156" s="18"/>
      <c r="W156" s="33"/>
      <c r="X156" s="18"/>
      <c r="Y156" s="18"/>
      <c r="Z156" s="18"/>
      <c r="AA156" s="18"/>
      <c r="AB156" s="18"/>
      <c r="AC156" s="17"/>
      <c r="AD156" s="18"/>
      <c r="AE156" s="18"/>
      <c r="AF156" s="18"/>
      <c r="AG156" s="18"/>
      <c r="AH156" s="18"/>
      <c r="AI156" s="18"/>
      <c r="AJ156" s="18"/>
      <c r="AK156" s="33"/>
      <c r="AL156" s="18"/>
      <c r="AM156" s="18"/>
      <c r="AN156" s="18"/>
      <c r="AO156" s="18"/>
      <c r="AP156" s="18"/>
      <c r="AQ156" s="17"/>
      <c r="AR156" s="18"/>
      <c r="AS156" s="18"/>
      <c r="AT156" s="18"/>
      <c r="AU156" s="18"/>
      <c r="AV156" s="18"/>
      <c r="AW156" s="18"/>
      <c r="AX156" s="18"/>
      <c r="AY156" s="33"/>
      <c r="AZ156" s="18"/>
      <c r="BA156" s="18"/>
      <c r="BB156" s="18"/>
      <c r="BC156" s="18"/>
      <c r="BD156" s="18"/>
      <c r="BE156" s="17"/>
      <c r="BF156" s="33"/>
      <c r="BG156" s="18"/>
      <c r="BH156" s="18"/>
      <c r="BI156" s="18"/>
      <c r="BJ156" s="18"/>
      <c r="BK156" s="18"/>
      <c r="BL156" s="17"/>
      <c r="BM156" s="18"/>
      <c r="BN156" s="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50"/>
      <c r="CD156" s="18"/>
      <c r="CE156" s="18"/>
      <c r="CF156" s="18"/>
      <c r="CG156" s="17"/>
      <c r="CH156" s="13"/>
      <c r="CJ156" s="26"/>
      <c r="CN156" s="26"/>
      <c r="CY156" s="27"/>
    </row>
    <row r="157" spans="1:103" s="11" customFormat="1">
      <c r="A157" s="32"/>
      <c r="B157" s="33"/>
      <c r="C157" s="18"/>
      <c r="D157" s="18"/>
      <c r="E157" s="18"/>
      <c r="F157" s="18"/>
      <c r="G157" s="18"/>
      <c r="H157" s="17"/>
      <c r="I157" s="18"/>
      <c r="J157" s="18"/>
      <c r="K157" s="18"/>
      <c r="L157" s="18"/>
      <c r="M157" s="18"/>
      <c r="N157" s="18"/>
      <c r="O157" s="17"/>
      <c r="P157" s="18"/>
      <c r="Q157" s="18"/>
      <c r="R157" s="18"/>
      <c r="S157" s="18"/>
      <c r="T157" s="18"/>
      <c r="U157" s="18"/>
      <c r="V157" s="18"/>
      <c r="W157" s="33"/>
      <c r="X157" s="18"/>
      <c r="Y157" s="18"/>
      <c r="Z157" s="18"/>
      <c r="AA157" s="18"/>
      <c r="AB157" s="18"/>
      <c r="AC157" s="17"/>
      <c r="AD157" s="18"/>
      <c r="AE157" s="18"/>
      <c r="AF157" s="18"/>
      <c r="AG157" s="18"/>
      <c r="AH157" s="18"/>
      <c r="AI157" s="18"/>
      <c r="AJ157" s="18"/>
      <c r="AK157" s="33"/>
      <c r="AL157" s="18"/>
      <c r="AM157" s="18"/>
      <c r="AN157" s="18"/>
      <c r="AO157" s="18"/>
      <c r="AP157" s="18"/>
      <c r="AQ157" s="17"/>
      <c r="AR157" s="18"/>
      <c r="AS157" s="18"/>
      <c r="AT157" s="18"/>
      <c r="AU157" s="18"/>
      <c r="AV157" s="18"/>
      <c r="AW157" s="18"/>
      <c r="AX157" s="18"/>
      <c r="AY157" s="33"/>
      <c r="AZ157" s="18"/>
      <c r="BA157" s="18"/>
      <c r="BB157" s="18"/>
      <c r="BC157" s="18"/>
      <c r="BD157" s="18"/>
      <c r="BE157" s="17"/>
      <c r="BF157" s="33"/>
      <c r="BG157" s="18"/>
      <c r="BH157" s="18"/>
      <c r="BI157" s="18"/>
      <c r="BJ157" s="18"/>
      <c r="BK157" s="18"/>
      <c r="BL157" s="17"/>
      <c r="BM157" s="18"/>
      <c r="BN157" s="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50"/>
      <c r="CD157" s="18"/>
      <c r="CE157" s="18"/>
      <c r="CF157" s="18"/>
      <c r="CG157" s="17"/>
      <c r="CH157" s="13"/>
      <c r="CJ157" s="26"/>
      <c r="CN157" s="26"/>
      <c r="CY157" s="27"/>
    </row>
    <row r="158" spans="1:103" s="11" customFormat="1">
      <c r="A158" s="32"/>
      <c r="B158" s="33"/>
      <c r="C158" s="18"/>
      <c r="D158" s="18"/>
      <c r="E158" s="18"/>
      <c r="F158" s="18"/>
      <c r="G158" s="18"/>
      <c r="H158" s="17"/>
      <c r="I158" s="18"/>
      <c r="J158" s="18"/>
      <c r="K158" s="18"/>
      <c r="L158" s="18"/>
      <c r="M158" s="18"/>
      <c r="N158" s="18"/>
      <c r="O158" s="17"/>
      <c r="P158" s="18"/>
      <c r="Q158" s="18"/>
      <c r="R158" s="18"/>
      <c r="S158" s="18"/>
      <c r="T158" s="18"/>
      <c r="U158" s="18"/>
      <c r="V158" s="18"/>
      <c r="W158" s="33"/>
      <c r="X158" s="18"/>
      <c r="Y158" s="18"/>
      <c r="Z158" s="18"/>
      <c r="AA158" s="18"/>
      <c r="AB158" s="18"/>
      <c r="AC158" s="17"/>
      <c r="AD158" s="18"/>
      <c r="AE158" s="18"/>
      <c r="AF158" s="18"/>
      <c r="AG158" s="18"/>
      <c r="AH158" s="18"/>
      <c r="AI158" s="18"/>
      <c r="AJ158" s="18"/>
      <c r="AK158" s="33"/>
      <c r="AL158" s="18"/>
      <c r="AM158" s="18"/>
      <c r="AN158" s="18"/>
      <c r="AO158" s="18"/>
      <c r="AP158" s="18"/>
      <c r="AQ158" s="17"/>
      <c r="AR158" s="18"/>
      <c r="AS158" s="18"/>
      <c r="AT158" s="18"/>
      <c r="AU158" s="18"/>
      <c r="AV158" s="18"/>
      <c r="AW158" s="18"/>
      <c r="AX158" s="18"/>
      <c r="AY158" s="33"/>
      <c r="AZ158" s="18"/>
      <c r="BA158" s="18"/>
      <c r="BB158" s="18"/>
      <c r="BC158" s="18"/>
      <c r="BD158" s="18"/>
      <c r="BE158" s="17"/>
      <c r="BF158" s="33"/>
      <c r="BG158" s="18"/>
      <c r="BH158" s="18"/>
      <c r="BI158" s="18"/>
      <c r="BJ158" s="18"/>
      <c r="BK158" s="18"/>
      <c r="BL158" s="17"/>
      <c r="BM158" s="18"/>
      <c r="BN158" s="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50"/>
      <c r="CD158" s="18"/>
      <c r="CE158" s="18"/>
      <c r="CF158" s="18"/>
      <c r="CG158" s="17"/>
      <c r="CH158" s="13"/>
      <c r="CJ158" s="26"/>
      <c r="CN158" s="26"/>
      <c r="CY158" s="27"/>
    </row>
    <row r="159" spans="1:103" s="11" customFormat="1">
      <c r="A159" s="32"/>
      <c r="B159" s="33"/>
      <c r="C159" s="18"/>
      <c r="D159" s="18"/>
      <c r="E159" s="18"/>
      <c r="F159" s="18"/>
      <c r="G159" s="18"/>
      <c r="H159" s="17"/>
      <c r="I159" s="18"/>
      <c r="J159" s="18"/>
      <c r="K159" s="18"/>
      <c r="L159" s="18"/>
      <c r="M159" s="18"/>
      <c r="N159" s="18"/>
      <c r="O159" s="17"/>
      <c r="P159" s="18"/>
      <c r="Q159" s="18"/>
      <c r="R159" s="18"/>
      <c r="S159" s="18"/>
      <c r="T159" s="18"/>
      <c r="U159" s="18"/>
      <c r="V159" s="18"/>
      <c r="W159" s="33"/>
      <c r="X159" s="18"/>
      <c r="Y159" s="18"/>
      <c r="Z159" s="18"/>
      <c r="AA159" s="18"/>
      <c r="AB159" s="18"/>
      <c r="AC159" s="17"/>
      <c r="AD159" s="18"/>
      <c r="AE159" s="18"/>
      <c r="AF159" s="18"/>
      <c r="AG159" s="18"/>
      <c r="AH159" s="18"/>
      <c r="AI159" s="18"/>
      <c r="AJ159" s="18"/>
      <c r="AK159" s="33"/>
      <c r="AL159" s="18"/>
      <c r="AM159" s="18"/>
      <c r="AN159" s="18"/>
      <c r="AO159" s="18"/>
      <c r="AP159" s="18"/>
      <c r="AQ159" s="17"/>
      <c r="AR159" s="18"/>
      <c r="AS159" s="18"/>
      <c r="AT159" s="18"/>
      <c r="AU159" s="18"/>
      <c r="AV159" s="18"/>
      <c r="AW159" s="18"/>
      <c r="AX159" s="18"/>
      <c r="AY159" s="33"/>
      <c r="AZ159" s="18"/>
      <c r="BA159" s="18"/>
      <c r="BB159" s="18"/>
      <c r="BC159" s="18"/>
      <c r="BD159" s="18"/>
      <c r="BE159" s="17"/>
      <c r="BF159" s="33"/>
      <c r="BG159" s="18"/>
      <c r="BH159" s="18"/>
      <c r="BI159" s="18"/>
      <c r="BJ159" s="18"/>
      <c r="BK159" s="18"/>
      <c r="BL159" s="17"/>
      <c r="BM159" s="18"/>
      <c r="BN159" s="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33"/>
      <c r="CD159" s="18"/>
      <c r="CE159" s="18"/>
      <c r="CF159" s="18"/>
      <c r="CG159" s="17"/>
      <c r="CH159" s="13"/>
      <c r="CJ159" s="26"/>
      <c r="CN159" s="26"/>
      <c r="CY159" s="27"/>
    </row>
    <row r="160" spans="1:103" s="11" customFormat="1">
      <c r="A160" s="32"/>
      <c r="B160" s="33"/>
      <c r="C160" s="18"/>
      <c r="D160" s="18"/>
      <c r="E160" s="18"/>
      <c r="F160" s="18"/>
      <c r="G160" s="18"/>
      <c r="H160" s="17"/>
      <c r="I160" s="18"/>
      <c r="J160" s="18"/>
      <c r="K160" s="18"/>
      <c r="L160" s="18"/>
      <c r="M160" s="18"/>
      <c r="N160" s="18"/>
      <c r="O160" s="17"/>
      <c r="P160" s="18"/>
      <c r="Q160" s="18"/>
      <c r="R160" s="18"/>
      <c r="S160" s="18"/>
      <c r="T160" s="18"/>
      <c r="U160" s="18"/>
      <c r="V160" s="18"/>
      <c r="W160" s="33"/>
      <c r="X160" s="18"/>
      <c r="Y160" s="18"/>
      <c r="Z160" s="18"/>
      <c r="AA160" s="18"/>
      <c r="AB160" s="18"/>
      <c r="AC160" s="17"/>
      <c r="AD160" s="18"/>
      <c r="AE160" s="18"/>
      <c r="AF160" s="18"/>
      <c r="AG160" s="18"/>
      <c r="AH160" s="18"/>
      <c r="AI160" s="18"/>
      <c r="AJ160" s="18"/>
      <c r="AK160" s="33"/>
      <c r="AL160" s="18"/>
      <c r="AM160" s="18"/>
      <c r="AN160" s="18"/>
      <c r="AO160" s="18"/>
      <c r="AP160" s="18"/>
      <c r="AQ160" s="17"/>
      <c r="AR160" s="18"/>
      <c r="AS160" s="18"/>
      <c r="AT160" s="18"/>
      <c r="AU160" s="18"/>
      <c r="AV160" s="18"/>
      <c r="AW160" s="18"/>
      <c r="AX160" s="18"/>
      <c r="AY160" s="33"/>
      <c r="AZ160" s="18"/>
      <c r="BA160" s="18"/>
      <c r="BB160" s="18"/>
      <c r="BC160" s="18"/>
      <c r="BD160" s="18"/>
      <c r="BE160" s="17"/>
      <c r="BF160" s="33"/>
      <c r="BG160" s="18"/>
      <c r="BH160" s="18"/>
      <c r="BI160" s="18"/>
      <c r="BJ160" s="18"/>
      <c r="BK160" s="18"/>
      <c r="BL160" s="17"/>
      <c r="BM160" s="18"/>
      <c r="BN160" s="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33"/>
      <c r="CD160" s="18"/>
      <c r="CE160" s="18"/>
      <c r="CF160" s="18"/>
      <c r="CG160" s="17"/>
      <c r="CH160" s="13"/>
      <c r="CJ160" s="26"/>
      <c r="CN160" s="26"/>
      <c r="CY160" s="27"/>
    </row>
    <row r="161" spans="1:103" s="11" customFormat="1">
      <c r="A161" s="32"/>
      <c r="B161" s="33"/>
      <c r="C161" s="18"/>
      <c r="D161" s="18"/>
      <c r="E161" s="18"/>
      <c r="F161" s="18"/>
      <c r="G161" s="18"/>
      <c r="H161" s="17"/>
      <c r="I161" s="18"/>
      <c r="J161" s="18"/>
      <c r="K161" s="18"/>
      <c r="L161" s="18"/>
      <c r="M161" s="18"/>
      <c r="N161" s="18"/>
      <c r="O161" s="17"/>
      <c r="P161" s="18"/>
      <c r="Q161" s="18"/>
      <c r="R161" s="18"/>
      <c r="S161" s="18"/>
      <c r="T161" s="18"/>
      <c r="U161" s="18"/>
      <c r="V161" s="18"/>
      <c r="W161" s="33"/>
      <c r="X161" s="18"/>
      <c r="Y161" s="18"/>
      <c r="Z161" s="18"/>
      <c r="AA161" s="18"/>
      <c r="AB161" s="18"/>
      <c r="AC161" s="17"/>
      <c r="AD161" s="18"/>
      <c r="AE161" s="18"/>
      <c r="AF161" s="18"/>
      <c r="AG161" s="18"/>
      <c r="AH161" s="18"/>
      <c r="AI161" s="18"/>
      <c r="AJ161" s="18"/>
      <c r="AK161" s="33"/>
      <c r="AL161" s="18"/>
      <c r="AM161" s="18"/>
      <c r="AN161" s="18"/>
      <c r="AO161" s="18"/>
      <c r="AP161" s="18"/>
      <c r="AQ161" s="17"/>
      <c r="AR161" s="18"/>
      <c r="AS161" s="18"/>
      <c r="AT161" s="18"/>
      <c r="AU161" s="18"/>
      <c r="AV161" s="18"/>
      <c r="AW161" s="18"/>
      <c r="AX161" s="18"/>
      <c r="AY161" s="33"/>
      <c r="AZ161" s="18"/>
      <c r="BA161" s="18"/>
      <c r="BB161" s="18"/>
      <c r="BC161" s="18"/>
      <c r="BD161" s="18"/>
      <c r="BE161" s="17"/>
      <c r="BF161" s="33"/>
      <c r="BG161" s="18"/>
      <c r="BH161" s="18"/>
      <c r="BI161" s="18"/>
      <c r="BJ161" s="18"/>
      <c r="BK161" s="18"/>
      <c r="BL161" s="17"/>
      <c r="BM161" s="18"/>
      <c r="BN161" s="16"/>
      <c r="BO161" s="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33"/>
      <c r="CD161" s="18"/>
      <c r="CE161" s="18"/>
      <c r="CF161" s="18"/>
      <c r="CG161" s="17"/>
      <c r="CH161" s="13"/>
      <c r="CJ161" s="26"/>
      <c r="CN161" s="26"/>
      <c r="CY161" s="27"/>
    </row>
    <row r="162" spans="1:103" s="11" customFormat="1">
      <c r="A162" s="32"/>
      <c r="B162" s="33"/>
      <c r="C162" s="18"/>
      <c r="D162" s="18"/>
      <c r="E162" s="18"/>
      <c r="F162" s="18"/>
      <c r="G162" s="18"/>
      <c r="H162" s="17"/>
      <c r="I162" s="18"/>
      <c r="J162" s="18"/>
      <c r="K162" s="18"/>
      <c r="L162" s="18"/>
      <c r="M162" s="18"/>
      <c r="N162" s="18"/>
      <c r="O162" s="17"/>
      <c r="P162" s="18"/>
      <c r="Q162" s="18"/>
      <c r="R162" s="18"/>
      <c r="S162" s="18"/>
      <c r="T162" s="18"/>
      <c r="U162" s="18"/>
      <c r="V162" s="18"/>
      <c r="W162" s="33"/>
      <c r="X162" s="18"/>
      <c r="Y162" s="18"/>
      <c r="Z162" s="18"/>
      <c r="AA162" s="18"/>
      <c r="AB162" s="18"/>
      <c r="AC162" s="17"/>
      <c r="AD162" s="18"/>
      <c r="AE162" s="18"/>
      <c r="AF162" s="18"/>
      <c r="AG162" s="18"/>
      <c r="AH162" s="18"/>
      <c r="AI162" s="18"/>
      <c r="AJ162" s="18"/>
      <c r="AK162" s="33"/>
      <c r="AL162" s="18"/>
      <c r="AM162" s="18"/>
      <c r="AN162" s="18"/>
      <c r="AO162" s="18"/>
      <c r="AP162" s="18"/>
      <c r="AQ162" s="17"/>
      <c r="AR162" s="18"/>
      <c r="AS162" s="18"/>
      <c r="AT162" s="18"/>
      <c r="AU162" s="18"/>
      <c r="AV162" s="18"/>
      <c r="AW162" s="18"/>
      <c r="AX162" s="18"/>
      <c r="AY162" s="33"/>
      <c r="AZ162" s="18"/>
      <c r="BA162" s="18"/>
      <c r="BB162" s="18"/>
      <c r="BC162" s="18"/>
      <c r="BD162" s="18"/>
      <c r="BE162" s="17"/>
      <c r="BF162" s="33"/>
      <c r="BG162" s="18"/>
      <c r="BH162" s="18"/>
      <c r="BI162" s="18"/>
      <c r="BJ162" s="18"/>
      <c r="BK162" s="18"/>
      <c r="BL162" s="17"/>
      <c r="BM162" s="18"/>
      <c r="BN162" s="8"/>
      <c r="BO162" s="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33"/>
      <c r="CD162" s="18"/>
      <c r="CE162" s="18"/>
      <c r="CF162" s="18"/>
      <c r="CG162" s="17"/>
      <c r="CH162" s="13"/>
      <c r="CJ162" s="26"/>
      <c r="CN162" s="26"/>
      <c r="CY162" s="27"/>
    </row>
    <row r="163" spans="1:103" s="11" customFormat="1">
      <c r="A163" s="32"/>
      <c r="B163" s="33"/>
      <c r="C163" s="18"/>
      <c r="D163" s="18"/>
      <c r="E163" s="18"/>
      <c r="F163" s="18"/>
      <c r="G163" s="18"/>
      <c r="H163" s="17"/>
      <c r="I163" s="18"/>
      <c r="J163" s="18"/>
      <c r="K163" s="18"/>
      <c r="L163" s="18"/>
      <c r="M163" s="18"/>
      <c r="N163" s="18"/>
      <c r="O163" s="17"/>
      <c r="P163" s="18"/>
      <c r="Q163" s="18"/>
      <c r="R163" s="18"/>
      <c r="S163" s="18"/>
      <c r="T163" s="18"/>
      <c r="U163" s="18"/>
      <c r="V163" s="18"/>
      <c r="W163" s="33"/>
      <c r="X163" s="18"/>
      <c r="Y163" s="18"/>
      <c r="Z163" s="18"/>
      <c r="AA163" s="18"/>
      <c r="AB163" s="18"/>
      <c r="AC163" s="17"/>
      <c r="AD163" s="18"/>
      <c r="AE163" s="18"/>
      <c r="AF163" s="18"/>
      <c r="AG163" s="18"/>
      <c r="AH163" s="18"/>
      <c r="AI163" s="18"/>
      <c r="AJ163" s="18"/>
      <c r="AK163" s="33"/>
      <c r="AL163" s="18"/>
      <c r="AM163" s="18"/>
      <c r="AN163" s="18"/>
      <c r="AO163" s="18"/>
      <c r="AP163" s="18"/>
      <c r="AQ163" s="17"/>
      <c r="AR163" s="18"/>
      <c r="AS163" s="18"/>
      <c r="AT163" s="18"/>
      <c r="AU163" s="18"/>
      <c r="AV163" s="18"/>
      <c r="AW163" s="18"/>
      <c r="AX163" s="18"/>
      <c r="AY163" s="33"/>
      <c r="AZ163" s="18"/>
      <c r="BA163" s="18"/>
      <c r="BB163" s="18"/>
      <c r="BC163" s="18"/>
      <c r="BD163" s="18"/>
      <c r="BE163" s="17"/>
      <c r="BF163" s="33"/>
      <c r="BG163" s="18"/>
      <c r="BH163" s="18"/>
      <c r="BI163" s="18"/>
      <c r="BJ163" s="18"/>
      <c r="BK163" s="18"/>
      <c r="BL163" s="17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33"/>
      <c r="CD163" s="18"/>
      <c r="CE163" s="18"/>
      <c r="CF163" s="18"/>
      <c r="CG163" s="17"/>
      <c r="CH163" s="13"/>
      <c r="CJ163" s="26"/>
      <c r="CN163" s="26"/>
      <c r="CY163" s="27"/>
    </row>
    <row r="164" spans="1:103" s="11" customFormat="1">
      <c r="A164" s="32"/>
      <c r="B164" s="33"/>
      <c r="C164" s="18"/>
      <c r="D164" s="18"/>
      <c r="E164" s="18"/>
      <c r="F164" s="18"/>
      <c r="G164" s="18"/>
      <c r="H164" s="17"/>
      <c r="I164" s="18"/>
      <c r="J164" s="18"/>
      <c r="K164" s="18"/>
      <c r="L164" s="18"/>
      <c r="M164" s="18"/>
      <c r="N164" s="18"/>
      <c r="O164" s="17"/>
      <c r="P164" s="18"/>
      <c r="Q164" s="18"/>
      <c r="R164" s="18"/>
      <c r="S164" s="18"/>
      <c r="T164" s="18"/>
      <c r="U164" s="18"/>
      <c r="V164" s="18"/>
      <c r="W164" s="33"/>
      <c r="X164" s="18"/>
      <c r="Y164" s="18"/>
      <c r="Z164" s="18"/>
      <c r="AA164" s="18"/>
      <c r="AB164" s="18"/>
      <c r="AC164" s="17"/>
      <c r="AD164" s="18"/>
      <c r="AE164" s="18"/>
      <c r="AF164" s="18"/>
      <c r="AG164" s="18"/>
      <c r="AH164" s="18"/>
      <c r="AI164" s="18"/>
      <c r="AJ164" s="18"/>
      <c r="AK164" s="33"/>
      <c r="AL164" s="18"/>
      <c r="AM164" s="18"/>
      <c r="AN164" s="18"/>
      <c r="AO164" s="18"/>
      <c r="AP164" s="18"/>
      <c r="AQ164" s="17"/>
      <c r="AR164" s="18"/>
      <c r="AS164" s="18"/>
      <c r="AT164" s="18"/>
      <c r="AU164" s="18"/>
      <c r="AV164" s="18"/>
      <c r="AW164" s="18"/>
      <c r="AX164" s="18"/>
      <c r="AY164" s="33"/>
      <c r="AZ164" s="18"/>
      <c r="BA164" s="18"/>
      <c r="BB164" s="18"/>
      <c r="BC164" s="18"/>
      <c r="BD164" s="18"/>
      <c r="BE164" s="17"/>
      <c r="BF164" s="33"/>
      <c r="BG164" s="18"/>
      <c r="BH164" s="18"/>
      <c r="BI164" s="18"/>
      <c r="BJ164" s="18"/>
      <c r="BK164" s="18"/>
      <c r="BL164" s="17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33"/>
      <c r="CD164" s="18"/>
      <c r="CE164" s="18"/>
      <c r="CF164" s="18"/>
      <c r="CG164" s="17"/>
      <c r="CH164" s="13"/>
      <c r="CJ164" s="26"/>
      <c r="CN164" s="26"/>
      <c r="CY164" s="27"/>
    </row>
    <row r="165" spans="1:103" s="11" customFormat="1">
      <c r="A165" s="32"/>
      <c r="B165" s="33"/>
      <c r="C165" s="18"/>
      <c r="D165" s="18"/>
      <c r="E165" s="18"/>
      <c r="F165" s="18"/>
      <c r="G165" s="18"/>
      <c r="H165" s="17"/>
      <c r="I165" s="18"/>
      <c r="J165" s="18"/>
      <c r="K165" s="18"/>
      <c r="L165" s="18"/>
      <c r="M165" s="18"/>
      <c r="N165" s="18"/>
      <c r="O165" s="17"/>
      <c r="P165" s="18"/>
      <c r="Q165" s="18"/>
      <c r="R165" s="18"/>
      <c r="S165" s="18"/>
      <c r="T165" s="18"/>
      <c r="U165" s="18"/>
      <c r="V165" s="18"/>
      <c r="W165" s="33"/>
      <c r="X165" s="18"/>
      <c r="Y165" s="18"/>
      <c r="Z165" s="18"/>
      <c r="AA165" s="18"/>
      <c r="AB165" s="18"/>
      <c r="AC165" s="17"/>
      <c r="AD165" s="18"/>
      <c r="AE165" s="18"/>
      <c r="AF165" s="18"/>
      <c r="AG165" s="18"/>
      <c r="AH165" s="18"/>
      <c r="AI165" s="18"/>
      <c r="AJ165" s="18"/>
      <c r="AK165" s="33"/>
      <c r="AL165" s="18"/>
      <c r="AM165" s="18"/>
      <c r="AN165" s="18"/>
      <c r="AO165" s="18"/>
      <c r="AP165" s="18"/>
      <c r="AQ165" s="17"/>
      <c r="AR165" s="18"/>
      <c r="AS165" s="18"/>
      <c r="AT165" s="18"/>
      <c r="AU165" s="18"/>
      <c r="AV165" s="18"/>
      <c r="AW165" s="18"/>
      <c r="AX165" s="18"/>
      <c r="AY165" s="33"/>
      <c r="AZ165" s="18"/>
      <c r="BA165" s="18"/>
      <c r="BB165" s="18"/>
      <c r="BC165" s="18"/>
      <c r="BD165" s="18"/>
      <c r="BE165" s="17"/>
      <c r="BF165" s="33"/>
      <c r="BG165" s="18"/>
      <c r="BH165" s="18"/>
      <c r="BI165" s="18"/>
      <c r="BJ165" s="18"/>
      <c r="BK165" s="18"/>
      <c r="BL165" s="17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33"/>
      <c r="CD165" s="18"/>
      <c r="CE165" s="18"/>
      <c r="CF165" s="18"/>
      <c r="CG165" s="17"/>
      <c r="CH165" s="13"/>
      <c r="CJ165" s="26"/>
      <c r="CN165" s="26"/>
      <c r="CY165" s="27"/>
    </row>
    <row r="166" spans="1:103" s="11" customFormat="1">
      <c r="A166" s="32"/>
      <c r="B166" s="33"/>
      <c r="C166" s="18"/>
      <c r="D166" s="18"/>
      <c r="E166" s="18"/>
      <c r="F166" s="18"/>
      <c r="G166" s="18"/>
      <c r="H166" s="17"/>
      <c r="I166" s="18"/>
      <c r="J166" s="18"/>
      <c r="K166" s="18"/>
      <c r="L166" s="18"/>
      <c r="M166" s="18"/>
      <c r="N166" s="18"/>
      <c r="O166" s="17"/>
      <c r="P166" s="18"/>
      <c r="Q166" s="18"/>
      <c r="R166" s="18"/>
      <c r="S166" s="18"/>
      <c r="T166" s="18"/>
      <c r="U166" s="18"/>
      <c r="V166" s="18"/>
      <c r="W166" s="33"/>
      <c r="X166" s="18"/>
      <c r="Y166" s="18"/>
      <c r="Z166" s="18"/>
      <c r="AA166" s="18"/>
      <c r="AB166" s="18"/>
      <c r="AC166" s="17"/>
      <c r="AD166" s="18"/>
      <c r="AE166" s="18"/>
      <c r="AF166" s="18"/>
      <c r="AG166" s="18"/>
      <c r="AH166" s="18"/>
      <c r="AI166" s="18"/>
      <c r="AJ166" s="18"/>
      <c r="AK166" s="33"/>
      <c r="AL166" s="18"/>
      <c r="AM166" s="18"/>
      <c r="AN166" s="18"/>
      <c r="AO166" s="18"/>
      <c r="AP166" s="18"/>
      <c r="AQ166" s="17"/>
      <c r="AR166" s="18"/>
      <c r="AS166" s="18"/>
      <c r="AT166" s="18"/>
      <c r="AU166" s="18"/>
      <c r="AV166" s="18"/>
      <c r="AW166" s="18"/>
      <c r="AX166" s="18"/>
      <c r="AY166" s="33"/>
      <c r="AZ166" s="18"/>
      <c r="BA166" s="18"/>
      <c r="BB166" s="18"/>
      <c r="BC166" s="18"/>
      <c r="BD166" s="18"/>
      <c r="BE166" s="17"/>
      <c r="BF166" s="33"/>
      <c r="BG166" s="18"/>
      <c r="BH166" s="18"/>
      <c r="BI166" s="18"/>
      <c r="BJ166" s="18"/>
      <c r="BK166" s="18"/>
      <c r="BL166" s="17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33"/>
      <c r="CD166" s="18"/>
      <c r="CE166" s="18"/>
      <c r="CF166" s="18"/>
      <c r="CG166" s="17"/>
      <c r="CH166" s="13"/>
      <c r="CJ166" s="26"/>
      <c r="CN166" s="26"/>
      <c r="CY166" s="27"/>
    </row>
    <row r="167" spans="1:103" s="11" customFormat="1">
      <c r="A167" s="32"/>
      <c r="B167" s="33"/>
      <c r="C167" s="18"/>
      <c r="D167" s="18"/>
      <c r="E167" s="18"/>
      <c r="F167" s="18"/>
      <c r="G167" s="18"/>
      <c r="H167" s="17"/>
      <c r="I167" s="18"/>
      <c r="J167" s="18"/>
      <c r="K167" s="18"/>
      <c r="L167" s="18"/>
      <c r="M167" s="18"/>
      <c r="N167" s="18"/>
      <c r="O167" s="17"/>
      <c r="P167" s="18"/>
      <c r="Q167" s="18"/>
      <c r="R167" s="18"/>
      <c r="S167" s="18"/>
      <c r="T167" s="18"/>
      <c r="U167" s="18"/>
      <c r="V167" s="18"/>
      <c r="W167" s="33"/>
      <c r="X167" s="18"/>
      <c r="Y167" s="18"/>
      <c r="Z167" s="18"/>
      <c r="AA167" s="18"/>
      <c r="AB167" s="18"/>
      <c r="AC167" s="17"/>
      <c r="AD167" s="18"/>
      <c r="AE167" s="18"/>
      <c r="AF167" s="18"/>
      <c r="AG167" s="18"/>
      <c r="AH167" s="18"/>
      <c r="AI167" s="18"/>
      <c r="AJ167" s="18"/>
      <c r="AK167" s="33"/>
      <c r="AL167" s="18"/>
      <c r="AM167" s="18"/>
      <c r="AN167" s="18"/>
      <c r="AO167" s="18"/>
      <c r="AP167" s="18"/>
      <c r="AQ167" s="17"/>
      <c r="AR167" s="18"/>
      <c r="AS167" s="18"/>
      <c r="AT167" s="18"/>
      <c r="AU167" s="18"/>
      <c r="AV167" s="18"/>
      <c r="AW167" s="18"/>
      <c r="AX167" s="18"/>
      <c r="AY167" s="33"/>
      <c r="AZ167" s="18"/>
      <c r="BA167" s="18"/>
      <c r="BB167" s="18"/>
      <c r="BC167" s="18"/>
      <c r="BD167" s="18"/>
      <c r="BE167" s="17"/>
      <c r="BF167" s="33"/>
      <c r="BG167" s="18"/>
      <c r="BH167" s="18"/>
      <c r="BI167" s="18"/>
      <c r="BJ167" s="18"/>
      <c r="BK167" s="18"/>
      <c r="BL167" s="17"/>
      <c r="BM167" s="18"/>
      <c r="BN167" s="19"/>
      <c r="BP167" s="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33"/>
      <c r="CD167" s="18"/>
      <c r="CE167" s="18"/>
      <c r="CF167" s="18"/>
      <c r="CG167" s="17"/>
      <c r="CH167" s="13"/>
      <c r="CJ167" s="26"/>
      <c r="CN167" s="26"/>
      <c r="CY167" s="27"/>
    </row>
    <row r="168" spans="1:103" s="11" customFormat="1">
      <c r="A168" s="32"/>
      <c r="B168" s="33"/>
      <c r="C168" s="18"/>
      <c r="D168" s="18"/>
      <c r="E168" s="18"/>
      <c r="F168" s="18"/>
      <c r="G168" s="18"/>
      <c r="H168" s="17"/>
      <c r="I168" s="18"/>
      <c r="J168" s="18"/>
      <c r="K168" s="18"/>
      <c r="L168" s="18"/>
      <c r="M168" s="18"/>
      <c r="N168" s="18"/>
      <c r="O168" s="17"/>
      <c r="P168" s="18"/>
      <c r="Q168" s="18"/>
      <c r="R168" s="18"/>
      <c r="S168" s="18"/>
      <c r="T168" s="18"/>
      <c r="U168" s="18"/>
      <c r="V168" s="18"/>
      <c r="W168" s="33"/>
      <c r="X168" s="18"/>
      <c r="Y168" s="18"/>
      <c r="Z168" s="18"/>
      <c r="AA168" s="18"/>
      <c r="AB168" s="18"/>
      <c r="AC168" s="17"/>
      <c r="AD168" s="18"/>
      <c r="AE168" s="18"/>
      <c r="AF168" s="18"/>
      <c r="AG168" s="18"/>
      <c r="AH168" s="18"/>
      <c r="AI168" s="18"/>
      <c r="AJ168" s="18"/>
      <c r="AK168" s="33"/>
      <c r="AL168" s="18"/>
      <c r="AM168" s="18"/>
      <c r="AN168" s="18"/>
      <c r="AO168" s="18"/>
      <c r="AP168" s="18"/>
      <c r="AQ168" s="17"/>
      <c r="AR168" s="18"/>
      <c r="AS168" s="18"/>
      <c r="AT168" s="18"/>
      <c r="AU168" s="18"/>
      <c r="AV168" s="18"/>
      <c r="AW168" s="18"/>
      <c r="AX168" s="18"/>
      <c r="AY168" s="33"/>
      <c r="AZ168" s="18"/>
      <c r="BA168" s="18"/>
      <c r="BB168" s="18"/>
      <c r="BC168" s="18"/>
      <c r="BD168" s="18"/>
      <c r="BE168" s="17"/>
      <c r="BF168" s="33"/>
      <c r="BG168" s="18"/>
      <c r="BH168" s="18"/>
      <c r="BI168" s="18"/>
      <c r="BJ168" s="18"/>
      <c r="BK168" s="18"/>
      <c r="BL168" s="17"/>
      <c r="BM168" s="18"/>
      <c r="BN168" s="8"/>
      <c r="BO168" s="8"/>
      <c r="BP168" s="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33"/>
      <c r="CD168" s="18"/>
      <c r="CE168" s="18"/>
      <c r="CF168" s="18"/>
      <c r="CG168" s="17"/>
      <c r="CH168" s="13"/>
      <c r="CJ168" s="26"/>
      <c r="CN168" s="26"/>
      <c r="CY168" s="27"/>
    </row>
    <row r="169" spans="1:103" s="11" customFormat="1">
      <c r="A169" s="32"/>
      <c r="B169" s="33"/>
      <c r="C169" s="18"/>
      <c r="D169" s="18"/>
      <c r="E169" s="18"/>
      <c r="F169" s="18"/>
      <c r="G169" s="18"/>
      <c r="H169" s="17"/>
      <c r="I169" s="18"/>
      <c r="J169" s="18"/>
      <c r="K169" s="18"/>
      <c r="L169" s="18"/>
      <c r="M169" s="18"/>
      <c r="N169" s="18"/>
      <c r="O169" s="17"/>
      <c r="P169" s="18"/>
      <c r="Q169" s="18"/>
      <c r="R169" s="18"/>
      <c r="S169" s="18"/>
      <c r="T169" s="18"/>
      <c r="U169" s="18"/>
      <c r="V169" s="18"/>
      <c r="W169" s="33"/>
      <c r="X169" s="18"/>
      <c r="Y169" s="18"/>
      <c r="Z169" s="18"/>
      <c r="AA169" s="18"/>
      <c r="AB169" s="18"/>
      <c r="AC169" s="17"/>
      <c r="AD169" s="18"/>
      <c r="AE169" s="18"/>
      <c r="AF169" s="18"/>
      <c r="AG169" s="18"/>
      <c r="AH169" s="18"/>
      <c r="AI169" s="18"/>
      <c r="AJ169" s="18"/>
      <c r="AK169" s="33"/>
      <c r="AL169" s="18"/>
      <c r="AM169" s="18"/>
      <c r="AN169" s="18"/>
      <c r="AO169" s="18"/>
      <c r="AP169" s="18"/>
      <c r="AQ169" s="17"/>
      <c r="AR169" s="18"/>
      <c r="AS169" s="18"/>
      <c r="AT169" s="18"/>
      <c r="AU169" s="18"/>
      <c r="AV169" s="18"/>
      <c r="AW169" s="18"/>
      <c r="AX169" s="18"/>
      <c r="AY169" s="33"/>
      <c r="AZ169" s="18"/>
      <c r="BA169" s="18"/>
      <c r="BB169" s="18"/>
      <c r="BC169" s="18"/>
      <c r="BD169" s="18"/>
      <c r="BE169" s="17"/>
      <c r="BF169" s="33"/>
      <c r="BG169" s="18"/>
      <c r="BH169" s="18"/>
      <c r="BI169" s="18"/>
      <c r="BJ169" s="18"/>
      <c r="BK169" s="18"/>
      <c r="BL169" s="17"/>
      <c r="BM169" s="18"/>
      <c r="BN169" s="18"/>
      <c r="BO169" s="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33"/>
      <c r="CD169" s="18"/>
      <c r="CE169" s="18"/>
      <c r="CF169" s="18"/>
      <c r="CG169" s="17"/>
      <c r="CH169" s="13"/>
      <c r="CJ169" s="26"/>
      <c r="CN169" s="26"/>
      <c r="CY169" s="27"/>
    </row>
    <row r="170" spans="1:103">
      <c r="A170" s="34"/>
      <c r="B170" s="21"/>
      <c r="C170" s="10"/>
      <c r="D170" s="10"/>
      <c r="E170" s="10"/>
      <c r="F170" s="10"/>
      <c r="G170" s="10"/>
      <c r="H170" s="15"/>
      <c r="I170" s="10"/>
      <c r="J170" s="10"/>
      <c r="K170" s="10"/>
      <c r="L170" s="10"/>
      <c r="M170" s="10"/>
      <c r="N170" s="10"/>
      <c r="O170" s="15"/>
      <c r="P170" s="10"/>
      <c r="Q170" s="10"/>
      <c r="R170" s="10"/>
      <c r="S170" s="10"/>
      <c r="T170" s="10"/>
      <c r="U170" s="10"/>
      <c r="V170" s="10"/>
      <c r="W170" s="21"/>
      <c r="X170" s="10"/>
      <c r="Y170" s="10"/>
      <c r="Z170" s="10"/>
      <c r="AA170" s="10"/>
      <c r="AB170" s="10"/>
      <c r="AC170" s="15"/>
      <c r="AD170" s="10"/>
      <c r="AE170" s="10"/>
      <c r="AF170" s="10"/>
      <c r="AG170" s="10"/>
      <c r="AH170" s="10"/>
      <c r="AI170" s="10"/>
      <c r="AJ170" s="10"/>
      <c r="AK170" s="21"/>
      <c r="AL170" s="10"/>
      <c r="AM170" s="10"/>
      <c r="AN170" s="10"/>
      <c r="AO170" s="10"/>
      <c r="AP170" s="10"/>
      <c r="AQ170" s="15"/>
      <c r="AR170" s="10"/>
      <c r="AS170" s="10"/>
      <c r="AT170" s="10"/>
      <c r="AU170" s="10"/>
      <c r="AV170" s="10"/>
      <c r="AW170" s="10"/>
      <c r="AX170" s="10"/>
      <c r="AY170" s="21"/>
      <c r="AZ170" s="10"/>
      <c r="BA170" s="10"/>
      <c r="BB170" s="10"/>
      <c r="BC170" s="10"/>
      <c r="BD170" s="10"/>
      <c r="BE170" s="15"/>
      <c r="BF170" s="21"/>
      <c r="BG170" s="10"/>
      <c r="BH170" s="10"/>
      <c r="BI170" s="10"/>
      <c r="BJ170" s="10"/>
      <c r="BK170" s="10"/>
      <c r="BL170" s="15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21"/>
      <c r="CD170" s="10"/>
      <c r="CE170" s="10"/>
      <c r="CF170" s="10"/>
      <c r="CG170" s="15"/>
      <c r="CH170" s="14"/>
      <c r="CJ170" s="28"/>
      <c r="CK170" s="29"/>
      <c r="CL170" s="29"/>
      <c r="CM170" s="29"/>
      <c r="CN170" s="28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30"/>
    </row>
    <row r="171" spans="1:103">
      <c r="A171" s="21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5"/>
    </row>
  </sheetData>
  <mergeCells count="32">
    <mergeCell ref="CC8:CG9"/>
    <mergeCell ref="A1:E1"/>
    <mergeCell ref="V1:AI1"/>
    <mergeCell ref="AJ1:AP1"/>
    <mergeCell ref="AQ1:AV1"/>
    <mergeCell ref="F1:U1"/>
    <mergeCell ref="AQ2:AV2"/>
    <mergeCell ref="AJ3:AK3"/>
    <mergeCell ref="AL3:AP3"/>
    <mergeCell ref="AQ3:AV3"/>
    <mergeCell ref="AK8:AX8"/>
    <mergeCell ref="A2:E3"/>
    <mergeCell ref="V2:AI3"/>
    <mergeCell ref="AJ2:AK2"/>
    <mergeCell ref="AL2:AP2"/>
    <mergeCell ref="F2:U3"/>
    <mergeCell ref="W8:AJ8"/>
    <mergeCell ref="W9:AC9"/>
    <mergeCell ref="CJ8:CM9"/>
    <mergeCell ref="CN8:CY9"/>
    <mergeCell ref="B9:H9"/>
    <mergeCell ref="P9:V9"/>
    <mergeCell ref="AK9:AQ9"/>
    <mergeCell ref="AR9:AX9"/>
    <mergeCell ref="AY9:BE9"/>
    <mergeCell ref="BF9:BL9"/>
    <mergeCell ref="AD9:AJ9"/>
    <mergeCell ref="B8:H8"/>
    <mergeCell ref="I9:O9"/>
    <mergeCell ref="I8:V8"/>
    <mergeCell ref="AY8:BL8"/>
    <mergeCell ref="BM8:CB9"/>
  </mergeCells>
  <phoneticPr fontId="2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859A-FE8A-423D-872C-CC2D9D40046B}">
  <sheetPr>
    <pageSetUpPr fitToPage="1"/>
  </sheetPr>
  <dimension ref="A1:CD182"/>
  <sheetViews>
    <sheetView showGridLines="0" zoomScale="90" zoomScaleNormal="90" workbookViewId="0">
      <pane ySplit="9" topLeftCell="A10" activePane="bottomLeft" state="frozen"/>
      <selection pane="bottomLeft" activeCell="Z108" sqref="Z108"/>
      <selection activeCell="AJ39" sqref="AJ39"/>
    </sheetView>
  </sheetViews>
  <sheetFormatPr defaultColWidth="2.625" defaultRowHeight="13.5"/>
  <cols>
    <col min="1" max="5" width="2.625" style="8"/>
    <col min="6" max="10" width="2.625" style="8" customWidth="1"/>
    <col min="11" max="46" width="2.625" style="8"/>
    <col min="47" max="47" width="2.625" style="8" bestFit="1"/>
    <col min="48" max="59" width="2.625" style="8"/>
    <col min="60" max="60" width="9.875" style="8" bestFit="1" customWidth="1"/>
    <col min="61" max="63" width="2.625" style="8"/>
    <col min="64" max="64" width="2.625" style="8" customWidth="1"/>
    <col min="65" max="16384" width="2.625" style="8"/>
  </cols>
  <sheetData>
    <row r="1" spans="1:82" ht="14.1" customHeight="1" thickBot="1">
      <c r="A1" s="169" t="s">
        <v>9</v>
      </c>
      <c r="B1" s="170"/>
      <c r="C1" s="170"/>
      <c r="D1" s="170"/>
      <c r="E1" s="171"/>
      <c r="F1" s="166" t="str">
        <f>変更履歴!F1</f>
        <v>会計システム刷新プロジェクト（LIBRA）</v>
      </c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8"/>
      <c r="V1" s="169" t="s">
        <v>42</v>
      </c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1"/>
      <c r="AJ1" s="169" t="s">
        <v>11</v>
      </c>
      <c r="AK1" s="170"/>
      <c r="AL1" s="170"/>
      <c r="AM1" s="170"/>
      <c r="AN1" s="170"/>
      <c r="AO1" s="170"/>
      <c r="AP1" s="171"/>
      <c r="AQ1" s="169" t="s">
        <v>12</v>
      </c>
      <c r="AR1" s="170"/>
      <c r="AS1" s="170"/>
      <c r="AT1" s="170"/>
      <c r="AU1" s="170"/>
      <c r="AV1" s="171"/>
    </row>
    <row r="2" spans="1:82" ht="14.1" customHeight="1">
      <c r="A2" s="184" t="s">
        <v>13</v>
      </c>
      <c r="B2" s="185"/>
      <c r="C2" s="185"/>
      <c r="D2" s="185"/>
      <c r="E2" s="186"/>
      <c r="F2" s="146" t="str">
        <f>変更履歴!F2</f>
        <v>ToBe業務フロー（2.グループファイナンス・資金繰り）</v>
      </c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8"/>
      <c r="V2" s="146" t="e">
        <f ca="1">MID(CELL("filename",$A$1),FIND("]",CELL("filename",$A$1))+1,31)</f>
        <v>#VALUE!</v>
      </c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8"/>
      <c r="AJ2" s="158" t="s">
        <v>14</v>
      </c>
      <c r="AK2" s="159"/>
      <c r="AL2" s="160">
        <f>変更履歴!AT2</f>
        <v>45362</v>
      </c>
      <c r="AM2" s="161"/>
      <c r="AN2" s="161"/>
      <c r="AO2" s="161"/>
      <c r="AP2" s="162"/>
      <c r="AQ2" s="128" t="str">
        <f>変更履歴!BA2</f>
        <v>JBS福田</v>
      </c>
      <c r="AR2" s="129"/>
      <c r="AS2" s="129"/>
      <c r="AT2" s="129"/>
      <c r="AU2" s="129"/>
      <c r="AV2" s="130"/>
    </row>
    <row r="3" spans="1:82" ht="14.1" customHeight="1" thickBot="1">
      <c r="A3" s="187"/>
      <c r="B3" s="188"/>
      <c r="C3" s="188"/>
      <c r="D3" s="188"/>
      <c r="E3" s="189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1"/>
      <c r="V3" s="149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1"/>
      <c r="AJ3" s="131" t="s">
        <v>15</v>
      </c>
      <c r="AK3" s="132"/>
      <c r="AL3" s="133">
        <f ca="1">変更履歴!AT3</f>
        <v>45763</v>
      </c>
      <c r="AM3" s="134"/>
      <c r="AN3" s="134"/>
      <c r="AO3" s="134"/>
      <c r="AP3" s="135"/>
      <c r="AQ3" s="136" t="str">
        <f ca="1">変更履歴!BA3</f>
        <v>JBS福田</v>
      </c>
      <c r="AR3" s="137"/>
      <c r="AS3" s="137"/>
      <c r="AT3" s="137"/>
      <c r="AU3" s="137"/>
      <c r="AV3" s="138"/>
    </row>
    <row r="4" spans="1:82">
      <c r="A4" s="34"/>
      <c r="AV4" s="9"/>
    </row>
    <row r="5" spans="1:82">
      <c r="A5" s="2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</row>
    <row r="6" spans="1:82" s="11" customFormat="1">
      <c r="A6" s="38" t="e">
        <f ca="1">RIGHT(CELL("filename",A1),LEN(CELL("filename",A1))-FIND("]",CELL("filename",A1)))</f>
        <v>#VALUE!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40"/>
    </row>
    <row r="7" spans="1:82" s="11" customFormat="1">
      <c r="A7" s="32"/>
      <c r="BM7" s="13"/>
    </row>
    <row r="8" spans="1:82" s="11" customFormat="1" ht="17.25" customHeight="1">
      <c r="A8" s="32"/>
      <c r="B8" s="172" t="s">
        <v>157</v>
      </c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4"/>
      <c r="P8" s="172" t="s">
        <v>104</v>
      </c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4"/>
      <c r="AD8" s="181" t="s">
        <v>54</v>
      </c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3"/>
      <c r="AR8" s="193" t="s">
        <v>72</v>
      </c>
      <c r="AS8" s="193"/>
      <c r="AT8" s="193"/>
      <c r="AU8" s="193"/>
      <c r="AV8" s="193"/>
      <c r="AW8" s="193"/>
      <c r="AX8" s="193"/>
      <c r="AY8" s="193"/>
      <c r="AZ8" s="193"/>
      <c r="BA8" s="193"/>
      <c r="BB8" s="193"/>
      <c r="BC8" s="193"/>
      <c r="BD8" s="193"/>
      <c r="BE8" s="193"/>
      <c r="BF8" s="193"/>
      <c r="BG8" s="193"/>
      <c r="BH8" s="192" t="s">
        <v>74</v>
      </c>
      <c r="BI8" s="193"/>
      <c r="BJ8" s="193"/>
      <c r="BK8" s="193"/>
      <c r="BL8" s="193"/>
      <c r="BM8" s="13"/>
      <c r="BO8" s="201" t="s">
        <v>80</v>
      </c>
      <c r="BP8" s="202"/>
      <c r="BQ8" s="202"/>
      <c r="BR8" s="202"/>
      <c r="BS8" s="204" t="s">
        <v>81</v>
      </c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6"/>
    </row>
    <row r="9" spans="1:82" s="11" customFormat="1" ht="13.5" customHeight="1">
      <c r="A9" s="32"/>
      <c r="B9" s="172"/>
      <c r="C9" s="173"/>
      <c r="D9" s="173"/>
      <c r="E9" s="173"/>
      <c r="F9" s="173"/>
      <c r="G9" s="173"/>
      <c r="H9" s="174"/>
      <c r="I9" s="172"/>
      <c r="J9" s="173"/>
      <c r="K9" s="173"/>
      <c r="L9" s="173"/>
      <c r="M9" s="173"/>
      <c r="N9" s="173"/>
      <c r="O9" s="174"/>
      <c r="P9" s="172" t="s">
        <v>60</v>
      </c>
      <c r="Q9" s="173"/>
      <c r="R9" s="173"/>
      <c r="S9" s="173"/>
      <c r="T9" s="173"/>
      <c r="U9" s="173"/>
      <c r="V9" s="174"/>
      <c r="W9" s="172" t="s">
        <v>61</v>
      </c>
      <c r="X9" s="173"/>
      <c r="Y9" s="173"/>
      <c r="Z9" s="173"/>
      <c r="AA9" s="173"/>
      <c r="AB9" s="173"/>
      <c r="AC9" s="174"/>
      <c r="AD9" s="181" t="s">
        <v>69</v>
      </c>
      <c r="AE9" s="182"/>
      <c r="AF9" s="182"/>
      <c r="AG9" s="182"/>
      <c r="AH9" s="182"/>
      <c r="AI9" s="182"/>
      <c r="AJ9" s="183"/>
      <c r="AK9" s="181" t="s">
        <v>71</v>
      </c>
      <c r="AL9" s="182"/>
      <c r="AM9" s="182"/>
      <c r="AN9" s="182"/>
      <c r="AO9" s="182"/>
      <c r="AP9" s="182"/>
      <c r="AQ9" s="18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3"/>
      <c r="BO9" s="203"/>
      <c r="BP9" s="203"/>
      <c r="BQ9" s="203"/>
      <c r="BR9" s="203"/>
      <c r="BS9" s="207"/>
      <c r="BT9" s="208"/>
      <c r="BU9" s="208"/>
      <c r="BV9" s="208"/>
      <c r="BW9" s="208"/>
      <c r="BX9" s="208"/>
      <c r="BY9" s="208"/>
      <c r="BZ9" s="208"/>
      <c r="CA9" s="208"/>
      <c r="CB9" s="208"/>
      <c r="CC9" s="208"/>
      <c r="CD9" s="209"/>
    </row>
    <row r="10" spans="1:82" s="11" customFormat="1">
      <c r="A10" s="32"/>
      <c r="B10" s="35" t="s">
        <v>158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35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13"/>
      <c r="BO10" s="23"/>
      <c r="BP10" s="24"/>
      <c r="BQ10" s="24"/>
      <c r="BR10" s="24"/>
      <c r="BS10" s="23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5"/>
    </row>
    <row r="11" spans="1:82" s="11" customFormat="1">
      <c r="A11" s="32"/>
      <c r="B11" s="45"/>
      <c r="C11" s="43"/>
      <c r="D11" s="43"/>
      <c r="E11" s="43"/>
      <c r="F11" s="43"/>
      <c r="G11" s="43"/>
      <c r="H11" s="44"/>
      <c r="I11" s="43"/>
      <c r="J11" s="43"/>
      <c r="K11" s="43"/>
      <c r="L11" s="43"/>
      <c r="M11" s="43"/>
      <c r="N11" s="43"/>
      <c r="O11" s="43"/>
      <c r="P11" s="45"/>
      <c r="Q11" s="43"/>
      <c r="R11" s="43"/>
      <c r="S11" s="43"/>
      <c r="T11" s="43"/>
      <c r="U11" s="43"/>
      <c r="V11" s="44"/>
      <c r="W11" s="43"/>
      <c r="X11" s="43"/>
      <c r="Y11" s="43"/>
      <c r="Z11" s="43"/>
      <c r="AA11" s="43"/>
      <c r="AB11" s="43"/>
      <c r="AC11" s="43"/>
      <c r="AD11" s="45"/>
      <c r="AE11" s="43"/>
      <c r="AF11" s="43"/>
      <c r="AG11" s="43"/>
      <c r="AH11" s="43"/>
      <c r="AI11" s="43"/>
      <c r="AJ11" s="44"/>
      <c r="AK11" s="45"/>
      <c r="AL11" s="43"/>
      <c r="AM11" s="43"/>
      <c r="AN11" s="43"/>
      <c r="AO11" s="43"/>
      <c r="AP11" s="43"/>
      <c r="AQ11" s="44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5"/>
      <c r="BI11" s="43"/>
      <c r="BJ11" s="43"/>
      <c r="BK11" s="43"/>
      <c r="BL11" s="44"/>
      <c r="BM11" s="13"/>
      <c r="BO11" s="26"/>
      <c r="BS11" s="26"/>
      <c r="CD11" s="27"/>
    </row>
    <row r="12" spans="1:82" s="11" customFormat="1">
      <c r="A12" s="32"/>
      <c r="B12" s="33"/>
      <c r="C12" s="18"/>
      <c r="D12" s="18"/>
      <c r="E12" s="18"/>
      <c r="F12" s="18"/>
      <c r="G12" s="18"/>
      <c r="H12" s="17"/>
      <c r="I12" s="18"/>
      <c r="J12" s="18"/>
      <c r="K12" s="18"/>
      <c r="L12" s="18"/>
      <c r="M12" s="18"/>
      <c r="N12" s="18"/>
      <c r="O12" s="18"/>
      <c r="P12" s="33"/>
      <c r="Q12" s="18"/>
      <c r="R12" s="18"/>
      <c r="S12" s="18"/>
      <c r="T12" s="18"/>
      <c r="U12" s="18"/>
      <c r="V12" s="17"/>
      <c r="W12" s="18"/>
      <c r="X12" s="18"/>
      <c r="Y12" s="18"/>
      <c r="Z12" s="18"/>
      <c r="AA12" s="18"/>
      <c r="AB12" s="18"/>
      <c r="AC12" s="18"/>
      <c r="AD12" s="33"/>
      <c r="AE12" s="18"/>
      <c r="AF12" s="18"/>
      <c r="AG12" s="18"/>
      <c r="AH12" s="18"/>
      <c r="AI12" s="18"/>
      <c r="AJ12" s="17"/>
      <c r="AK12" s="33"/>
      <c r="AL12" s="18"/>
      <c r="AM12" s="18"/>
      <c r="AN12" s="18"/>
      <c r="AO12" s="18"/>
      <c r="AP12" s="18"/>
      <c r="AQ12" s="17"/>
      <c r="AR12" s="18"/>
      <c r="AS12" s="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33"/>
      <c r="BI12" s="18"/>
      <c r="BJ12" s="18"/>
      <c r="BK12" s="18"/>
      <c r="BL12" s="17"/>
      <c r="BM12" s="13"/>
      <c r="BO12" s="26"/>
      <c r="BS12" s="26"/>
      <c r="CD12" s="27"/>
    </row>
    <row r="13" spans="1:82" s="11" customFormat="1">
      <c r="A13" s="32"/>
      <c r="B13" s="33"/>
      <c r="C13" s="18"/>
      <c r="D13" s="18"/>
      <c r="E13" s="18"/>
      <c r="F13" s="18"/>
      <c r="G13" s="18"/>
      <c r="H13" s="17"/>
      <c r="I13" s="18"/>
      <c r="J13" s="18"/>
      <c r="K13" s="18"/>
      <c r="L13" s="18"/>
      <c r="M13" s="18"/>
      <c r="N13" s="18"/>
      <c r="O13" s="18"/>
      <c r="P13" s="33"/>
      <c r="Q13" s="18"/>
      <c r="R13" s="18"/>
      <c r="S13" s="18"/>
      <c r="T13" s="18"/>
      <c r="U13" s="18"/>
      <c r="V13" s="17"/>
      <c r="W13" s="18"/>
      <c r="X13" s="18"/>
      <c r="Y13" s="18"/>
      <c r="Z13" s="18"/>
      <c r="AA13" s="18"/>
      <c r="AB13" s="18"/>
      <c r="AC13" s="18"/>
      <c r="AD13" s="33"/>
      <c r="AE13" s="18"/>
      <c r="AF13" s="18"/>
      <c r="AG13" s="18"/>
      <c r="AH13" s="18"/>
      <c r="AI13" s="18"/>
      <c r="AJ13" s="17"/>
      <c r="AK13" s="33"/>
      <c r="AL13" s="18"/>
      <c r="AM13" s="18"/>
      <c r="AN13" s="18"/>
      <c r="AO13" s="18"/>
      <c r="AP13" s="18"/>
      <c r="AQ13" s="17"/>
      <c r="AR13" s="18"/>
      <c r="AS13" s="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33"/>
      <c r="BI13" s="18"/>
      <c r="BJ13" s="18"/>
      <c r="BK13" s="18"/>
      <c r="BL13" s="17"/>
      <c r="BM13" s="13"/>
      <c r="BO13" s="26"/>
      <c r="BS13" s="26"/>
      <c r="CD13" s="27"/>
    </row>
    <row r="14" spans="1:82" s="11" customFormat="1">
      <c r="A14" s="32"/>
      <c r="B14" s="33"/>
      <c r="C14" s="18"/>
      <c r="D14" s="18"/>
      <c r="E14" s="18"/>
      <c r="F14" s="18"/>
      <c r="G14" s="18"/>
      <c r="H14" s="17"/>
      <c r="I14" s="18"/>
      <c r="J14" s="18"/>
      <c r="K14" s="18"/>
      <c r="L14" s="18"/>
      <c r="M14" s="18"/>
      <c r="N14" s="18"/>
      <c r="O14" s="18"/>
      <c r="P14" s="33"/>
      <c r="Q14" s="18"/>
      <c r="R14" s="18"/>
      <c r="S14" s="18"/>
      <c r="T14" s="18"/>
      <c r="U14" s="18"/>
      <c r="V14" s="17"/>
      <c r="W14" s="18"/>
      <c r="X14" s="18"/>
      <c r="Y14" s="18"/>
      <c r="Z14" s="18"/>
      <c r="AA14" s="18"/>
      <c r="AB14" s="18"/>
      <c r="AC14" s="18"/>
      <c r="AD14" s="33"/>
      <c r="AE14" s="18"/>
      <c r="AF14" s="18"/>
      <c r="AG14" s="18"/>
      <c r="AH14" s="18"/>
      <c r="AI14" s="18"/>
      <c r="AJ14" s="17"/>
      <c r="AK14" s="33"/>
      <c r="AL14" s="18"/>
      <c r="AM14" s="18"/>
      <c r="AN14" s="18"/>
      <c r="AO14" s="18"/>
      <c r="AP14" s="18"/>
      <c r="AQ14" s="17"/>
      <c r="AR14" s="18"/>
      <c r="AS14" s="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33"/>
      <c r="BI14" s="18"/>
      <c r="BJ14" s="18"/>
      <c r="BK14" s="18"/>
      <c r="BL14" s="17"/>
      <c r="BM14" s="13"/>
      <c r="BO14" s="26"/>
      <c r="BS14" s="26"/>
      <c r="CD14" s="27"/>
    </row>
    <row r="15" spans="1:82" s="11" customFormat="1">
      <c r="A15" s="32"/>
      <c r="B15" s="33"/>
      <c r="C15" s="18"/>
      <c r="D15" s="18"/>
      <c r="E15" s="18"/>
      <c r="F15" s="18"/>
      <c r="G15" s="18"/>
      <c r="H15" s="17"/>
      <c r="I15" s="18"/>
      <c r="J15" s="18"/>
      <c r="K15" s="18"/>
      <c r="L15" s="18"/>
      <c r="M15" s="18"/>
      <c r="N15" s="18"/>
      <c r="O15" s="18"/>
      <c r="P15" s="33"/>
      <c r="Q15" s="18"/>
      <c r="R15" s="18"/>
      <c r="S15" s="18"/>
      <c r="T15" s="18"/>
      <c r="U15" s="18"/>
      <c r="V15" s="17"/>
      <c r="W15" s="18"/>
      <c r="X15" s="18"/>
      <c r="Y15" s="18"/>
      <c r="Z15" s="18"/>
      <c r="AA15" s="18"/>
      <c r="AB15" s="18"/>
      <c r="AC15" s="18"/>
      <c r="AD15" s="33"/>
      <c r="AE15" s="18"/>
      <c r="AF15" s="18"/>
      <c r="AG15" s="18"/>
      <c r="AH15" s="18"/>
      <c r="AI15" s="18"/>
      <c r="AJ15" s="17"/>
      <c r="AK15" s="33"/>
      <c r="AL15" s="18"/>
      <c r="AM15" s="18"/>
      <c r="AN15" s="18"/>
      <c r="AO15" s="18"/>
      <c r="AP15" s="18"/>
      <c r="AQ15" s="17"/>
      <c r="AR15" s="18"/>
      <c r="AS15" s="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33"/>
      <c r="BI15" s="18"/>
      <c r="BJ15" s="18"/>
      <c r="BK15" s="18"/>
      <c r="BL15" s="17"/>
      <c r="BM15" s="13"/>
      <c r="BO15" s="26"/>
      <c r="BS15" s="26"/>
      <c r="CD15" s="27"/>
    </row>
    <row r="16" spans="1:82" s="11" customFormat="1">
      <c r="A16" s="32"/>
      <c r="B16" s="33"/>
      <c r="C16" s="18"/>
      <c r="D16" s="18"/>
      <c r="E16" s="18"/>
      <c r="F16" s="18"/>
      <c r="G16" s="18"/>
      <c r="H16" s="17"/>
      <c r="I16" s="18"/>
      <c r="J16" s="18"/>
      <c r="K16" s="18"/>
      <c r="L16" s="18"/>
      <c r="M16" s="18"/>
      <c r="N16" s="18"/>
      <c r="O16" s="18"/>
      <c r="P16" s="33"/>
      <c r="Q16" s="18"/>
      <c r="R16" s="18"/>
      <c r="S16" s="18"/>
      <c r="T16" s="18"/>
      <c r="U16" s="18"/>
      <c r="V16" s="17"/>
      <c r="W16" s="18"/>
      <c r="X16" s="18"/>
      <c r="Y16" s="18"/>
      <c r="Z16" s="18"/>
      <c r="AA16" s="18"/>
      <c r="AB16" s="18"/>
      <c r="AC16" s="18"/>
      <c r="AD16" s="33"/>
      <c r="AE16" s="18"/>
      <c r="AF16" s="18"/>
      <c r="AG16" s="18"/>
      <c r="AH16" s="18"/>
      <c r="AI16" s="18"/>
      <c r="AJ16" s="17"/>
      <c r="AK16" s="33"/>
      <c r="AL16" s="18"/>
      <c r="AM16" s="18"/>
      <c r="AN16" s="18"/>
      <c r="AO16" s="18"/>
      <c r="AP16" s="18"/>
      <c r="AQ16" s="17"/>
      <c r="AR16" s="18"/>
      <c r="AS16" s="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33"/>
      <c r="BI16" s="18"/>
      <c r="BJ16" s="18"/>
      <c r="BK16" s="18"/>
      <c r="BL16" s="17"/>
      <c r="BM16" s="13"/>
      <c r="BO16" s="26"/>
      <c r="BS16" s="26"/>
      <c r="CD16" s="27"/>
    </row>
    <row r="17" spans="1:82" s="11" customFormat="1">
      <c r="A17" s="32"/>
      <c r="B17" s="33"/>
      <c r="C17" s="18"/>
      <c r="D17" s="18"/>
      <c r="E17" s="18"/>
      <c r="F17" s="18"/>
      <c r="G17" s="18"/>
      <c r="H17" s="17"/>
      <c r="I17" s="18"/>
      <c r="J17" s="18"/>
      <c r="K17" s="18"/>
      <c r="L17" s="18"/>
      <c r="M17" s="18"/>
      <c r="N17" s="18"/>
      <c r="O17" s="18"/>
      <c r="P17" s="33"/>
      <c r="Q17" s="18"/>
      <c r="R17" s="18"/>
      <c r="S17" s="18"/>
      <c r="T17" s="18"/>
      <c r="U17" s="18"/>
      <c r="V17" s="17"/>
      <c r="W17" s="18"/>
      <c r="X17" s="18"/>
      <c r="Y17" s="18"/>
      <c r="Z17" s="18"/>
      <c r="AA17" s="18"/>
      <c r="AB17" s="18"/>
      <c r="AC17" s="18"/>
      <c r="AD17" s="33"/>
      <c r="AE17" s="18"/>
      <c r="AF17" s="18"/>
      <c r="AG17" s="18"/>
      <c r="AH17" s="18"/>
      <c r="AI17" s="18"/>
      <c r="AJ17" s="17"/>
      <c r="AK17" s="33"/>
      <c r="AL17" s="18"/>
      <c r="AM17" s="18"/>
      <c r="AN17" s="18"/>
      <c r="AO17" s="18"/>
      <c r="AP17" s="18"/>
      <c r="AQ17" s="17"/>
      <c r="AR17" s="18"/>
      <c r="AS17" s="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33"/>
      <c r="BI17" s="18"/>
      <c r="BJ17" s="18"/>
      <c r="BK17" s="18"/>
      <c r="BL17" s="17"/>
      <c r="BM17" s="13"/>
      <c r="BO17" s="26"/>
      <c r="BS17" s="26"/>
      <c r="CD17" s="27"/>
    </row>
    <row r="18" spans="1:82" s="11" customFormat="1">
      <c r="A18" s="32"/>
      <c r="B18" s="33"/>
      <c r="C18" s="18"/>
      <c r="D18" s="18"/>
      <c r="E18" s="18"/>
      <c r="F18" s="18"/>
      <c r="G18" s="18"/>
      <c r="H18" s="17"/>
      <c r="I18" s="18"/>
      <c r="J18" s="18"/>
      <c r="K18" s="18"/>
      <c r="L18" s="18"/>
      <c r="M18" s="18"/>
      <c r="N18" s="18"/>
      <c r="O18" s="18"/>
      <c r="P18" s="33"/>
      <c r="Q18" s="18"/>
      <c r="R18" s="18"/>
      <c r="S18" s="18"/>
      <c r="T18" s="18"/>
      <c r="U18" s="18"/>
      <c r="V18" s="17"/>
      <c r="W18" s="18"/>
      <c r="X18" s="18"/>
      <c r="Y18" s="18"/>
      <c r="Z18" s="18"/>
      <c r="AA18" s="18"/>
      <c r="AB18" s="18"/>
      <c r="AC18" s="18"/>
      <c r="AD18" s="33"/>
      <c r="AE18" s="18"/>
      <c r="AF18" s="18"/>
      <c r="AG18" s="18"/>
      <c r="AH18" s="18"/>
      <c r="AI18" s="18"/>
      <c r="AJ18" s="17"/>
      <c r="AK18" s="33"/>
      <c r="AL18" s="18"/>
      <c r="AM18" s="18"/>
      <c r="AN18" s="18"/>
      <c r="AO18" s="18"/>
      <c r="AP18" s="18"/>
      <c r="AQ18" s="17"/>
      <c r="AR18" s="18"/>
      <c r="AS18" s="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33"/>
      <c r="BI18" s="18"/>
      <c r="BJ18" s="18"/>
      <c r="BK18" s="18"/>
      <c r="BL18" s="17"/>
      <c r="BM18" s="13"/>
      <c r="BO18" s="26"/>
      <c r="BS18" s="26"/>
      <c r="CD18" s="27"/>
    </row>
    <row r="19" spans="1:82" s="11" customFormat="1">
      <c r="A19" s="32"/>
      <c r="B19" s="33"/>
      <c r="C19" s="18"/>
      <c r="D19" s="18"/>
      <c r="E19" s="18"/>
      <c r="F19" s="18"/>
      <c r="G19" s="18"/>
      <c r="H19" s="17"/>
      <c r="I19" s="18"/>
      <c r="J19" s="18"/>
      <c r="K19" s="18"/>
      <c r="L19" s="18"/>
      <c r="M19" s="18"/>
      <c r="N19" s="18"/>
      <c r="O19" s="18"/>
      <c r="P19" s="33"/>
      <c r="Q19" s="18"/>
      <c r="R19" s="18"/>
      <c r="S19" s="18"/>
      <c r="T19" s="18"/>
      <c r="U19" s="18"/>
      <c r="V19" s="17"/>
      <c r="W19" s="18"/>
      <c r="X19" s="18"/>
      <c r="Y19" s="18"/>
      <c r="Z19" s="18"/>
      <c r="AA19" s="18"/>
      <c r="AB19" s="18"/>
      <c r="AC19" s="18"/>
      <c r="AD19" s="33"/>
      <c r="AE19" s="18"/>
      <c r="AF19" s="18"/>
      <c r="AG19" s="18"/>
      <c r="AH19" s="18"/>
      <c r="AI19" s="18"/>
      <c r="AJ19" s="17"/>
      <c r="AK19" s="33"/>
      <c r="AL19" s="18"/>
      <c r="AM19" s="18"/>
      <c r="AN19" s="18"/>
      <c r="AO19" s="18"/>
      <c r="AP19" s="18"/>
      <c r="AQ19" s="17"/>
      <c r="AR19" s="18"/>
      <c r="AS19" s="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33"/>
      <c r="BI19" s="18"/>
      <c r="BJ19" s="18"/>
      <c r="BK19" s="18"/>
      <c r="BL19" s="17"/>
      <c r="BM19" s="13"/>
      <c r="BO19" s="26"/>
      <c r="BS19" s="26"/>
      <c r="CD19" s="27"/>
    </row>
    <row r="20" spans="1:82" s="11" customFormat="1">
      <c r="A20" s="32"/>
      <c r="B20" s="33"/>
      <c r="C20" s="18"/>
      <c r="D20" s="18"/>
      <c r="E20" s="18"/>
      <c r="F20" s="18"/>
      <c r="G20" s="18"/>
      <c r="H20" s="17"/>
      <c r="I20" s="18"/>
      <c r="J20" s="18"/>
      <c r="K20" s="18"/>
      <c r="L20" s="18"/>
      <c r="M20" s="18"/>
      <c r="N20" s="18"/>
      <c r="O20" s="18"/>
      <c r="P20" s="33"/>
      <c r="Q20" s="18"/>
      <c r="R20" s="18"/>
      <c r="S20" s="18"/>
      <c r="T20" s="18"/>
      <c r="U20" s="18"/>
      <c r="V20" s="17"/>
      <c r="W20" s="18"/>
      <c r="X20" s="18"/>
      <c r="Y20" s="18"/>
      <c r="Z20" s="18"/>
      <c r="AA20" s="18"/>
      <c r="AB20" s="18"/>
      <c r="AC20" s="18"/>
      <c r="AD20" s="33"/>
      <c r="AE20" s="18"/>
      <c r="AF20" s="18"/>
      <c r="AG20" s="18"/>
      <c r="AH20" s="18"/>
      <c r="AI20" s="18"/>
      <c r="AJ20" s="17"/>
      <c r="AK20" s="33"/>
      <c r="AL20" s="18"/>
      <c r="AM20" s="18"/>
      <c r="AN20" s="18"/>
      <c r="AO20" s="18"/>
      <c r="AP20" s="18"/>
      <c r="AQ20" s="17"/>
      <c r="AR20" s="18"/>
      <c r="AS20" s="19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33"/>
      <c r="BI20" s="18"/>
      <c r="BJ20" s="18"/>
      <c r="BK20" s="18"/>
      <c r="BL20" s="17"/>
      <c r="BM20" s="13"/>
      <c r="BO20" s="26"/>
      <c r="BS20" s="26"/>
      <c r="CD20" s="27"/>
    </row>
    <row r="21" spans="1:82" s="11" customFormat="1">
      <c r="A21" s="32"/>
      <c r="B21" s="33"/>
      <c r="C21" s="18"/>
      <c r="D21" s="18"/>
      <c r="E21" s="18"/>
      <c r="F21" s="18"/>
      <c r="G21" s="18"/>
      <c r="H21" s="17"/>
      <c r="I21" s="18"/>
      <c r="J21" s="18"/>
      <c r="K21" s="18"/>
      <c r="L21" s="18"/>
      <c r="M21" s="18"/>
      <c r="N21" s="18"/>
      <c r="O21" s="18"/>
      <c r="P21" s="33"/>
      <c r="Q21" s="18"/>
      <c r="R21" s="18"/>
      <c r="S21" s="18"/>
      <c r="T21" s="18"/>
      <c r="U21" s="18"/>
      <c r="V21" s="17"/>
      <c r="W21" s="18"/>
      <c r="X21" s="18"/>
      <c r="Y21" s="18"/>
      <c r="Z21" s="18"/>
      <c r="AA21" s="18"/>
      <c r="AB21" s="18"/>
      <c r="AC21" s="18"/>
      <c r="AD21" s="33"/>
      <c r="AE21" s="18"/>
      <c r="AF21" s="18"/>
      <c r="AG21" s="18"/>
      <c r="AH21" s="18"/>
      <c r="AI21" s="18"/>
      <c r="AJ21" s="17"/>
      <c r="AK21" s="33"/>
      <c r="AL21" s="18"/>
      <c r="AM21" s="18"/>
      <c r="AN21" s="18"/>
      <c r="AO21" s="18"/>
      <c r="AP21" s="18"/>
      <c r="AQ21" s="17"/>
      <c r="AR21" s="18"/>
      <c r="AT21" s="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33"/>
      <c r="BI21" s="18"/>
      <c r="BJ21" s="18"/>
      <c r="BK21" s="18"/>
      <c r="BL21" s="17"/>
      <c r="BM21" s="13"/>
      <c r="BO21" s="26"/>
      <c r="BS21" s="26"/>
      <c r="CD21" s="27"/>
    </row>
    <row r="22" spans="1:82" s="11" customFormat="1">
      <c r="A22" s="32"/>
      <c r="B22" s="33"/>
      <c r="C22" s="18"/>
      <c r="D22" s="18"/>
      <c r="E22" s="18"/>
      <c r="F22" s="18"/>
      <c r="G22" s="18"/>
      <c r="H22" s="17"/>
      <c r="I22" s="18"/>
      <c r="J22" s="18"/>
      <c r="K22" s="18"/>
      <c r="L22" s="18"/>
      <c r="M22" s="18"/>
      <c r="N22" s="18"/>
      <c r="O22" s="18"/>
      <c r="P22" s="33"/>
      <c r="Q22" s="18"/>
      <c r="R22" s="18"/>
      <c r="S22" s="18"/>
      <c r="T22" s="18"/>
      <c r="U22" s="18"/>
      <c r="V22" s="17"/>
      <c r="W22" s="18"/>
      <c r="X22" s="18"/>
      <c r="Y22" s="18"/>
      <c r="Z22" s="18"/>
      <c r="AA22" s="18"/>
      <c r="AB22" s="18"/>
      <c r="AC22" s="18"/>
      <c r="AD22" s="33"/>
      <c r="AE22" s="18"/>
      <c r="AF22" s="18"/>
      <c r="AG22" s="18"/>
      <c r="AH22" s="18"/>
      <c r="AI22" s="18"/>
      <c r="AJ22" s="17"/>
      <c r="AK22" s="33"/>
      <c r="AL22" s="18"/>
      <c r="AM22" s="18"/>
      <c r="AN22" s="18"/>
      <c r="AO22" s="18"/>
      <c r="AP22" s="18"/>
      <c r="AQ22" s="17"/>
      <c r="AR22" s="18"/>
      <c r="AS22" s="8"/>
      <c r="AT22" s="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33"/>
      <c r="BI22" s="18"/>
      <c r="BJ22" s="18"/>
      <c r="BK22" s="18"/>
      <c r="BL22" s="17"/>
      <c r="BM22" s="13"/>
      <c r="BO22" s="26"/>
      <c r="BS22" s="26"/>
      <c r="CD22" s="27"/>
    </row>
    <row r="23" spans="1:82" s="11" customFormat="1">
      <c r="A23" s="32"/>
      <c r="B23" s="33"/>
      <c r="C23" s="18"/>
      <c r="D23" s="18"/>
      <c r="E23" s="18"/>
      <c r="F23" s="18"/>
      <c r="G23" s="18"/>
      <c r="H23" s="17"/>
      <c r="I23" s="18"/>
      <c r="J23" s="18"/>
      <c r="K23" s="18"/>
      <c r="L23" s="18"/>
      <c r="M23" s="18"/>
      <c r="N23" s="18"/>
      <c r="O23" s="18"/>
      <c r="P23" s="33"/>
      <c r="Q23" s="18"/>
      <c r="R23" s="18"/>
      <c r="S23" s="18"/>
      <c r="T23" s="18"/>
      <c r="U23" s="18"/>
      <c r="V23" s="17"/>
      <c r="W23" s="18"/>
      <c r="X23" s="18"/>
      <c r="Y23" s="18"/>
      <c r="Z23" s="18"/>
      <c r="AA23" s="18"/>
      <c r="AB23" s="18"/>
      <c r="AC23" s="18"/>
      <c r="AD23" s="33"/>
      <c r="AE23" s="18"/>
      <c r="AF23" s="18"/>
      <c r="AG23" s="18"/>
      <c r="AH23" s="18"/>
      <c r="AI23" s="18"/>
      <c r="AJ23" s="17"/>
      <c r="AK23" s="33"/>
      <c r="AL23" s="18"/>
      <c r="AM23" s="18"/>
      <c r="AN23" s="18"/>
      <c r="AO23" s="18"/>
      <c r="AP23" s="18"/>
      <c r="AQ23" s="17"/>
      <c r="AR23" s="18"/>
      <c r="AS23" s="16" t="s">
        <v>159</v>
      </c>
      <c r="AT23" s="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33"/>
      <c r="BI23" s="18"/>
      <c r="BJ23" s="18"/>
      <c r="BK23" s="18"/>
      <c r="BL23" s="17"/>
      <c r="BM23" s="13"/>
      <c r="BO23" s="26"/>
      <c r="BS23" s="26"/>
      <c r="CD23" s="27"/>
    </row>
    <row r="24" spans="1:82" s="11" customFormat="1">
      <c r="A24" s="32"/>
      <c r="B24" s="33"/>
      <c r="C24" s="18"/>
      <c r="D24" s="18"/>
      <c r="E24" s="18"/>
      <c r="F24" s="18"/>
      <c r="G24" s="18"/>
      <c r="H24" s="17"/>
      <c r="I24" s="18"/>
      <c r="J24" s="18"/>
      <c r="K24" s="18"/>
      <c r="L24" s="18"/>
      <c r="M24" s="18"/>
      <c r="N24" s="18"/>
      <c r="O24" s="18"/>
      <c r="P24" s="33"/>
      <c r="Q24" s="18"/>
      <c r="R24" s="18"/>
      <c r="S24" s="18"/>
      <c r="T24" s="18"/>
      <c r="U24" s="18"/>
      <c r="V24" s="17"/>
      <c r="W24" s="18"/>
      <c r="X24" s="18"/>
      <c r="Y24" s="18"/>
      <c r="Z24" s="18"/>
      <c r="AA24" s="18"/>
      <c r="AB24" s="18"/>
      <c r="AC24" s="18"/>
      <c r="AD24" s="33"/>
      <c r="AE24" s="18"/>
      <c r="AF24" s="18"/>
      <c r="AG24" s="18"/>
      <c r="AH24" s="18"/>
      <c r="AI24" s="18"/>
      <c r="AJ24" s="17"/>
      <c r="AK24" s="33"/>
      <c r="AL24" s="18"/>
      <c r="AM24" s="18"/>
      <c r="AN24" s="18"/>
      <c r="AO24" s="18"/>
      <c r="AP24" s="18"/>
      <c r="AQ24" s="17"/>
      <c r="AR24" s="18"/>
      <c r="AS24" s="8"/>
      <c r="AT24" s="8" t="s">
        <v>160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50">
        <v>20240411</v>
      </c>
      <c r="BI24" s="18"/>
      <c r="BJ24" s="18"/>
      <c r="BK24" s="18"/>
      <c r="BL24" s="17"/>
      <c r="BM24" s="13"/>
      <c r="BO24" s="26"/>
      <c r="BS24" s="26"/>
      <c r="CD24" s="27"/>
    </row>
    <row r="25" spans="1:82" s="11" customFormat="1">
      <c r="A25" s="32"/>
      <c r="B25" s="33"/>
      <c r="C25" s="18"/>
      <c r="D25" s="18"/>
      <c r="E25" s="18"/>
      <c r="F25" s="18"/>
      <c r="G25" s="18"/>
      <c r="H25" s="17"/>
      <c r="I25" s="18"/>
      <c r="J25" s="18"/>
      <c r="K25" s="18"/>
      <c r="L25" s="18"/>
      <c r="M25" s="18"/>
      <c r="N25" s="18"/>
      <c r="O25" s="18"/>
      <c r="P25" s="33"/>
      <c r="Q25" s="18"/>
      <c r="R25" s="18"/>
      <c r="S25" s="18"/>
      <c r="T25" s="18"/>
      <c r="U25" s="18"/>
      <c r="V25" s="17"/>
      <c r="W25" s="18"/>
      <c r="X25" s="18"/>
      <c r="Y25" s="18"/>
      <c r="Z25" s="18"/>
      <c r="AA25" s="18"/>
      <c r="AB25" s="18"/>
      <c r="AC25" s="18"/>
      <c r="AD25" s="33"/>
      <c r="AE25" s="18"/>
      <c r="AF25" s="18"/>
      <c r="AG25" s="18"/>
      <c r="AH25" s="18"/>
      <c r="AI25" s="18"/>
      <c r="AJ25" s="17"/>
      <c r="AK25" s="33"/>
      <c r="AL25" s="18"/>
      <c r="AM25" s="18"/>
      <c r="AN25" s="18"/>
      <c r="AO25" s="18"/>
      <c r="AP25" s="18"/>
      <c r="AQ25" s="17"/>
      <c r="AR25" s="18"/>
      <c r="AS25" s="8"/>
      <c r="AT25" s="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50" t="s">
        <v>161</v>
      </c>
      <c r="BI25" s="18"/>
      <c r="BJ25" s="18"/>
      <c r="BK25" s="18"/>
      <c r="BL25" s="17"/>
      <c r="BM25" s="13"/>
      <c r="BO25" s="26"/>
      <c r="BS25" s="26"/>
      <c r="CD25" s="27"/>
    </row>
    <row r="26" spans="1:82" s="11" customFormat="1">
      <c r="A26" s="32"/>
      <c r="B26" s="33"/>
      <c r="C26" s="18"/>
      <c r="D26" s="18"/>
      <c r="E26" s="18"/>
      <c r="F26" s="18"/>
      <c r="G26" s="18"/>
      <c r="H26" s="17"/>
      <c r="I26" s="18"/>
      <c r="J26" s="18"/>
      <c r="K26" s="18"/>
      <c r="L26" s="18"/>
      <c r="M26" s="18"/>
      <c r="N26" s="18"/>
      <c r="O26" s="18"/>
      <c r="P26" s="33"/>
      <c r="Q26" s="18"/>
      <c r="R26" s="18"/>
      <c r="S26" s="18"/>
      <c r="T26" s="18"/>
      <c r="U26" s="18"/>
      <c r="V26" s="17"/>
      <c r="W26" s="18"/>
      <c r="X26" s="18"/>
      <c r="Y26" s="18"/>
      <c r="Z26" s="18"/>
      <c r="AA26" s="18"/>
      <c r="AB26" s="18"/>
      <c r="AC26" s="18"/>
      <c r="AD26" s="33"/>
      <c r="AE26" s="18"/>
      <c r="AF26" s="18"/>
      <c r="AG26" s="18"/>
      <c r="AH26" s="18"/>
      <c r="AI26" s="18"/>
      <c r="AJ26" s="17"/>
      <c r="AK26" s="33"/>
      <c r="AL26" s="18"/>
      <c r="AM26" s="18"/>
      <c r="AN26" s="18"/>
      <c r="AO26" s="18"/>
      <c r="AP26" s="18"/>
      <c r="AQ26" s="17"/>
      <c r="AR26" s="18"/>
      <c r="AS26" s="8"/>
      <c r="AT26" s="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33"/>
      <c r="BI26" s="18"/>
      <c r="BJ26" s="18"/>
      <c r="BK26" s="18"/>
      <c r="BL26" s="17"/>
      <c r="BM26" s="13"/>
      <c r="BO26" s="26"/>
      <c r="BS26" s="26"/>
      <c r="CD26" s="27"/>
    </row>
    <row r="27" spans="1:82" s="11" customFormat="1">
      <c r="A27" s="32"/>
      <c r="B27" s="33"/>
      <c r="C27" s="18"/>
      <c r="D27" s="18"/>
      <c r="E27" s="18"/>
      <c r="F27" s="18"/>
      <c r="G27" s="18"/>
      <c r="H27" s="17"/>
      <c r="I27" s="18"/>
      <c r="J27" s="18"/>
      <c r="K27" s="18"/>
      <c r="L27" s="18"/>
      <c r="M27" s="18"/>
      <c r="N27" s="18"/>
      <c r="O27" s="18"/>
      <c r="P27" s="33"/>
      <c r="Q27" s="18"/>
      <c r="R27" s="18"/>
      <c r="S27" s="18"/>
      <c r="T27" s="18"/>
      <c r="U27" s="18"/>
      <c r="V27" s="17"/>
      <c r="W27" s="18"/>
      <c r="X27" s="18"/>
      <c r="Y27" s="18"/>
      <c r="Z27" s="18"/>
      <c r="AA27" s="18"/>
      <c r="AB27" s="18"/>
      <c r="AC27" s="18"/>
      <c r="AD27" s="33"/>
      <c r="AE27" s="18"/>
      <c r="AF27" s="18"/>
      <c r="AG27" s="18"/>
      <c r="AH27" s="18"/>
      <c r="AI27" s="18"/>
      <c r="AJ27" s="17"/>
      <c r="AK27" s="33"/>
      <c r="AL27" s="18"/>
      <c r="AM27" s="18"/>
      <c r="AN27" s="18"/>
      <c r="AO27" s="18"/>
      <c r="AP27" s="18"/>
      <c r="AQ27" s="17"/>
      <c r="AR27" s="18"/>
      <c r="AS27" s="8" t="s">
        <v>162</v>
      </c>
      <c r="AT27" s="8" t="s">
        <v>163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46" t="s">
        <v>147</v>
      </c>
      <c r="BI27" s="18"/>
      <c r="BJ27" s="18"/>
      <c r="BK27" s="18"/>
      <c r="BL27" s="17"/>
      <c r="BM27" s="13"/>
      <c r="BO27" s="26"/>
      <c r="BS27" s="26"/>
      <c r="CD27" s="27"/>
    </row>
    <row r="28" spans="1:82" s="11" customFormat="1">
      <c r="A28" s="32"/>
      <c r="B28" s="33"/>
      <c r="C28" s="18"/>
      <c r="D28" s="18"/>
      <c r="E28" s="18"/>
      <c r="F28" s="18"/>
      <c r="G28" s="18"/>
      <c r="H28" s="17"/>
      <c r="I28" s="18"/>
      <c r="J28" s="18"/>
      <c r="K28" s="18"/>
      <c r="L28" s="18"/>
      <c r="M28" s="18"/>
      <c r="N28" s="18"/>
      <c r="O28" s="18"/>
      <c r="P28" s="33"/>
      <c r="Q28" s="18"/>
      <c r="R28" s="18"/>
      <c r="S28" s="18"/>
      <c r="T28" s="18"/>
      <c r="U28" s="18"/>
      <c r="V28" s="17"/>
      <c r="W28" s="18"/>
      <c r="X28" s="18"/>
      <c r="Y28" s="18"/>
      <c r="Z28" s="18"/>
      <c r="AA28" s="18"/>
      <c r="AB28" s="18"/>
      <c r="AC28" s="18"/>
      <c r="AD28" s="33"/>
      <c r="AE28" s="18"/>
      <c r="AF28" s="18"/>
      <c r="AG28" s="18"/>
      <c r="AH28" s="18"/>
      <c r="AI28" s="18"/>
      <c r="AJ28" s="17"/>
      <c r="AK28" s="33"/>
      <c r="AL28" s="18"/>
      <c r="AM28" s="18"/>
      <c r="AN28" s="18"/>
      <c r="AO28" s="18"/>
      <c r="AP28" s="18"/>
      <c r="AQ28" s="17"/>
      <c r="AR28" s="18"/>
      <c r="AS28" s="8"/>
      <c r="AT28" s="8" t="s">
        <v>164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50" t="s">
        <v>165</v>
      </c>
      <c r="BI28" s="18"/>
      <c r="BJ28" s="18"/>
      <c r="BK28" s="18"/>
      <c r="BL28" s="17"/>
      <c r="BM28" s="13"/>
      <c r="BO28" s="26"/>
      <c r="BS28" s="26"/>
      <c r="CD28" s="27"/>
    </row>
    <row r="29" spans="1:82" s="11" customFormat="1">
      <c r="A29" s="32"/>
      <c r="B29" s="33"/>
      <c r="C29" s="18"/>
      <c r="D29" s="18"/>
      <c r="E29" s="18"/>
      <c r="F29" s="18"/>
      <c r="G29" s="18"/>
      <c r="H29" s="17"/>
      <c r="I29" s="18"/>
      <c r="J29" s="18"/>
      <c r="K29" s="18"/>
      <c r="L29" s="18"/>
      <c r="M29" s="18"/>
      <c r="N29" s="18"/>
      <c r="O29" s="18"/>
      <c r="P29" s="33"/>
      <c r="Q29" s="18"/>
      <c r="R29" s="18"/>
      <c r="S29" s="18"/>
      <c r="T29" s="18"/>
      <c r="U29" s="18"/>
      <c r="V29" s="17"/>
      <c r="W29" s="18"/>
      <c r="X29" s="18"/>
      <c r="Y29" s="18"/>
      <c r="Z29" s="18"/>
      <c r="AA29" s="18"/>
      <c r="AB29" s="18"/>
      <c r="AC29" s="18"/>
      <c r="AD29" s="33"/>
      <c r="AE29" s="18"/>
      <c r="AF29" s="18"/>
      <c r="AG29" s="18"/>
      <c r="AH29" s="18"/>
      <c r="AI29" s="18"/>
      <c r="AJ29" s="17"/>
      <c r="AK29" s="33"/>
      <c r="AL29" s="18"/>
      <c r="AM29" s="18"/>
      <c r="AN29" s="18"/>
      <c r="AO29" s="18"/>
      <c r="AP29" s="18"/>
      <c r="AQ29" s="17"/>
      <c r="AR29" s="18"/>
      <c r="AS29" s="8"/>
      <c r="AT29" s="8" t="s">
        <v>166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50" t="s">
        <v>167</v>
      </c>
      <c r="BI29" s="18"/>
      <c r="BJ29" s="18"/>
      <c r="BK29" s="18"/>
      <c r="BL29" s="17"/>
      <c r="BM29" s="13"/>
      <c r="BO29" s="26"/>
      <c r="BS29" s="26"/>
      <c r="CD29" s="27"/>
    </row>
    <row r="30" spans="1:82" s="11" customFormat="1">
      <c r="A30" s="32"/>
      <c r="B30" s="33"/>
      <c r="C30" s="18"/>
      <c r="D30" s="18"/>
      <c r="E30" s="18"/>
      <c r="F30" s="18"/>
      <c r="G30" s="18"/>
      <c r="H30" s="17"/>
      <c r="I30" s="18"/>
      <c r="J30" s="18"/>
      <c r="K30" s="18"/>
      <c r="L30" s="18"/>
      <c r="M30" s="18"/>
      <c r="N30" s="18"/>
      <c r="O30" s="18"/>
      <c r="P30" s="33"/>
      <c r="Q30" s="18"/>
      <c r="R30" s="18"/>
      <c r="S30" s="18"/>
      <c r="T30" s="18"/>
      <c r="U30" s="18"/>
      <c r="V30" s="17"/>
      <c r="W30" s="18"/>
      <c r="X30" s="18"/>
      <c r="Y30" s="18"/>
      <c r="Z30" s="18"/>
      <c r="AA30" s="18"/>
      <c r="AB30" s="18"/>
      <c r="AC30" s="18"/>
      <c r="AD30" s="33"/>
      <c r="AE30" s="18"/>
      <c r="AF30" s="18"/>
      <c r="AG30" s="18"/>
      <c r="AH30" s="18"/>
      <c r="AI30" s="18"/>
      <c r="AJ30" s="17"/>
      <c r="AK30" s="33"/>
      <c r="AL30" s="18"/>
      <c r="AM30" s="18"/>
      <c r="AN30" s="18"/>
      <c r="AO30" s="18"/>
      <c r="AP30" s="18"/>
      <c r="AQ30" s="17"/>
      <c r="AR30" s="18"/>
      <c r="AS30" s="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50" t="s">
        <v>168</v>
      </c>
      <c r="BI30" s="18"/>
      <c r="BJ30" s="18"/>
      <c r="BK30" s="18"/>
      <c r="BL30" s="17"/>
      <c r="BM30" s="13"/>
      <c r="BO30" s="26"/>
      <c r="BS30" s="26"/>
      <c r="CD30" s="27"/>
    </row>
    <row r="31" spans="1:82" s="11" customFormat="1">
      <c r="A31" s="32"/>
      <c r="B31" s="33"/>
      <c r="C31" s="18"/>
      <c r="D31" s="18"/>
      <c r="E31" s="18"/>
      <c r="F31" s="18"/>
      <c r="G31" s="18"/>
      <c r="H31" s="17"/>
      <c r="I31" s="18"/>
      <c r="J31" s="18"/>
      <c r="K31" s="18"/>
      <c r="L31" s="18"/>
      <c r="M31" s="18"/>
      <c r="N31" s="18"/>
      <c r="O31" s="18"/>
      <c r="P31" s="33"/>
      <c r="Q31" s="18"/>
      <c r="R31" s="18"/>
      <c r="S31" s="18"/>
      <c r="T31" s="18"/>
      <c r="U31" s="18"/>
      <c r="V31" s="17"/>
      <c r="W31" s="18"/>
      <c r="X31" s="18"/>
      <c r="Y31" s="18"/>
      <c r="Z31" s="18"/>
      <c r="AA31" s="18"/>
      <c r="AB31" s="18"/>
      <c r="AC31" s="18"/>
      <c r="AD31" s="33"/>
      <c r="AE31" s="18"/>
      <c r="AF31" s="18"/>
      <c r="AG31" s="18"/>
      <c r="AH31" s="18"/>
      <c r="AI31" s="18"/>
      <c r="AJ31" s="17"/>
      <c r="AK31" s="33"/>
      <c r="AL31" s="18"/>
      <c r="AM31" s="18"/>
      <c r="AN31" s="18"/>
      <c r="AO31" s="18"/>
      <c r="AP31" s="18"/>
      <c r="AQ31" s="17"/>
      <c r="AR31" s="18"/>
      <c r="AS31" s="19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33"/>
      <c r="BI31" s="18"/>
      <c r="BJ31" s="18"/>
      <c r="BK31" s="18"/>
      <c r="BL31" s="17"/>
      <c r="BM31" s="13"/>
      <c r="BO31" s="26"/>
      <c r="BS31" s="26"/>
      <c r="CD31" s="27"/>
    </row>
    <row r="32" spans="1:82" s="11" customFormat="1">
      <c r="A32" s="32"/>
      <c r="B32" s="33"/>
      <c r="C32" s="18"/>
      <c r="D32" s="18"/>
      <c r="E32" s="18"/>
      <c r="F32" s="18"/>
      <c r="G32" s="18"/>
      <c r="H32" s="17"/>
      <c r="I32" s="18"/>
      <c r="J32" s="18"/>
      <c r="K32" s="18"/>
      <c r="L32" s="18"/>
      <c r="M32" s="18"/>
      <c r="N32" s="18"/>
      <c r="O32" s="18"/>
      <c r="P32" s="33"/>
      <c r="Q32" s="18"/>
      <c r="R32" s="18"/>
      <c r="S32" s="18"/>
      <c r="T32" s="18"/>
      <c r="U32" s="18"/>
      <c r="V32" s="17"/>
      <c r="W32" s="18"/>
      <c r="X32" s="18"/>
      <c r="Y32" s="18"/>
      <c r="Z32" s="18"/>
      <c r="AA32" s="18"/>
      <c r="AB32" s="18"/>
      <c r="AC32" s="18"/>
      <c r="AD32" s="33"/>
      <c r="AE32" s="18"/>
      <c r="AF32" s="18"/>
      <c r="AG32" s="18"/>
      <c r="AH32" s="18"/>
      <c r="AI32" s="18"/>
      <c r="AJ32" s="17"/>
      <c r="AK32" s="33"/>
      <c r="AL32" s="18"/>
      <c r="AM32" s="18"/>
      <c r="AN32" s="18"/>
      <c r="AO32" s="18"/>
      <c r="AP32" s="18"/>
      <c r="AQ32" s="17"/>
      <c r="AR32" s="18"/>
      <c r="AS32" s="16" t="s">
        <v>169</v>
      </c>
      <c r="AT32" s="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33"/>
      <c r="BI32" s="18"/>
      <c r="BJ32" s="18"/>
      <c r="BK32" s="18"/>
      <c r="BL32" s="17"/>
      <c r="BM32" s="13"/>
      <c r="BO32" s="26"/>
      <c r="BS32" s="26"/>
      <c r="CD32" s="27"/>
    </row>
    <row r="33" spans="1:82" s="11" customFormat="1">
      <c r="A33" s="32"/>
      <c r="B33" s="33"/>
      <c r="C33" s="18"/>
      <c r="D33" s="18"/>
      <c r="E33" s="18"/>
      <c r="F33" s="18"/>
      <c r="G33" s="18"/>
      <c r="H33" s="17"/>
      <c r="I33" s="18"/>
      <c r="J33" s="18"/>
      <c r="K33" s="18"/>
      <c r="L33" s="18"/>
      <c r="M33" s="18"/>
      <c r="N33" s="18"/>
      <c r="O33" s="18"/>
      <c r="P33" s="33"/>
      <c r="Q33" s="18"/>
      <c r="R33" s="18"/>
      <c r="S33" s="18"/>
      <c r="T33" s="18"/>
      <c r="U33" s="18"/>
      <c r="V33" s="17"/>
      <c r="W33" s="18"/>
      <c r="X33" s="18"/>
      <c r="Y33" s="18"/>
      <c r="Z33" s="18"/>
      <c r="AA33" s="18"/>
      <c r="AB33" s="18"/>
      <c r="AC33" s="18"/>
      <c r="AD33" s="33"/>
      <c r="AE33" s="18"/>
      <c r="AF33" s="18"/>
      <c r="AG33" s="18"/>
      <c r="AH33" s="18"/>
      <c r="AI33" s="18"/>
      <c r="AJ33" s="17"/>
      <c r="AK33" s="33"/>
      <c r="AL33" s="18"/>
      <c r="AM33" s="18"/>
      <c r="AN33" s="18"/>
      <c r="AO33" s="18"/>
      <c r="AP33" s="18"/>
      <c r="AQ33" s="17"/>
      <c r="AR33" s="18"/>
      <c r="AS33" s="8"/>
      <c r="AT33" s="8" t="s">
        <v>170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33"/>
      <c r="BI33" s="18"/>
      <c r="BJ33" s="18"/>
      <c r="BK33" s="18"/>
      <c r="BL33" s="17"/>
      <c r="BM33" s="13"/>
      <c r="BO33" s="26"/>
      <c r="BS33" s="26"/>
      <c r="CD33" s="27"/>
    </row>
    <row r="34" spans="1:82" s="11" customFormat="1">
      <c r="A34" s="32"/>
      <c r="B34" s="33"/>
      <c r="C34" s="18"/>
      <c r="D34" s="18"/>
      <c r="E34" s="18"/>
      <c r="F34" s="18"/>
      <c r="G34" s="18"/>
      <c r="H34" s="17"/>
      <c r="I34" s="18"/>
      <c r="J34" s="18"/>
      <c r="K34" s="18"/>
      <c r="L34" s="18"/>
      <c r="M34" s="18"/>
      <c r="N34" s="18"/>
      <c r="O34" s="18"/>
      <c r="P34" s="33"/>
      <c r="Q34" s="18"/>
      <c r="R34" s="18"/>
      <c r="S34" s="18"/>
      <c r="T34" s="18"/>
      <c r="U34" s="18"/>
      <c r="V34" s="17"/>
      <c r="W34" s="18"/>
      <c r="X34" s="18"/>
      <c r="Y34" s="18"/>
      <c r="Z34" s="18"/>
      <c r="AA34" s="18"/>
      <c r="AB34" s="18"/>
      <c r="AC34" s="18"/>
      <c r="AD34" s="33"/>
      <c r="AE34" s="18"/>
      <c r="AF34" s="18"/>
      <c r="AG34" s="18"/>
      <c r="AH34" s="18"/>
      <c r="AI34" s="18"/>
      <c r="AJ34" s="17"/>
      <c r="AK34" s="33"/>
      <c r="AL34" s="18"/>
      <c r="AM34" s="18"/>
      <c r="AN34" s="18"/>
      <c r="AO34" s="18"/>
      <c r="AP34" s="18"/>
      <c r="AQ34" s="17"/>
      <c r="AR34" s="18"/>
      <c r="AS34" s="8" t="s">
        <v>162</v>
      </c>
      <c r="AT34" s="8" t="s">
        <v>163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46" t="s">
        <v>147</v>
      </c>
      <c r="BI34" s="18"/>
      <c r="BJ34" s="18"/>
      <c r="BK34" s="18"/>
      <c r="BL34" s="17"/>
      <c r="BM34" s="13"/>
      <c r="BO34" s="26"/>
      <c r="BS34" s="26"/>
      <c r="CD34" s="27"/>
    </row>
    <row r="35" spans="1:82" s="11" customFormat="1">
      <c r="A35" s="32"/>
      <c r="B35" s="33"/>
      <c r="C35" s="18"/>
      <c r="D35" s="18"/>
      <c r="E35" s="18"/>
      <c r="F35" s="18"/>
      <c r="G35" s="18"/>
      <c r="H35" s="17"/>
      <c r="I35" s="18"/>
      <c r="J35" s="18"/>
      <c r="K35" s="18"/>
      <c r="L35" s="18"/>
      <c r="M35" s="18"/>
      <c r="N35" s="18"/>
      <c r="O35" s="18"/>
      <c r="P35" s="33"/>
      <c r="Q35" s="18"/>
      <c r="R35" s="18"/>
      <c r="S35" s="18"/>
      <c r="T35" s="18"/>
      <c r="U35" s="18"/>
      <c r="V35" s="17"/>
      <c r="W35" s="18"/>
      <c r="X35" s="18"/>
      <c r="Y35" s="18"/>
      <c r="Z35" s="18"/>
      <c r="AA35" s="18"/>
      <c r="AB35" s="18"/>
      <c r="AC35" s="18"/>
      <c r="AD35" s="33"/>
      <c r="AE35" s="18"/>
      <c r="AF35" s="18"/>
      <c r="AG35" s="18"/>
      <c r="AH35" s="18"/>
      <c r="AI35" s="18"/>
      <c r="AJ35" s="17"/>
      <c r="AK35" s="33"/>
      <c r="AL35" s="18"/>
      <c r="AM35" s="18"/>
      <c r="AN35" s="18"/>
      <c r="AO35" s="18"/>
      <c r="AP35" s="18"/>
      <c r="AQ35" s="17"/>
      <c r="AR35" s="18"/>
      <c r="AS35" s="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50" t="s">
        <v>165</v>
      </c>
      <c r="BI35" s="18"/>
      <c r="BJ35" s="18"/>
      <c r="BK35" s="18"/>
      <c r="BL35" s="17"/>
      <c r="BM35" s="13"/>
      <c r="BO35" s="26"/>
      <c r="BS35" s="26"/>
      <c r="CD35" s="27"/>
    </row>
    <row r="36" spans="1:82" s="11" customFormat="1">
      <c r="A36" s="32"/>
      <c r="B36" s="33"/>
      <c r="C36" s="18"/>
      <c r="D36" s="18"/>
      <c r="E36" s="18"/>
      <c r="F36" s="18"/>
      <c r="G36" s="18"/>
      <c r="H36" s="17"/>
      <c r="I36" s="18"/>
      <c r="J36" s="18"/>
      <c r="K36" s="18"/>
      <c r="L36" s="18"/>
      <c r="M36" s="18"/>
      <c r="N36" s="18"/>
      <c r="O36" s="18"/>
      <c r="P36" s="33"/>
      <c r="Q36" s="18"/>
      <c r="R36" s="18"/>
      <c r="S36" s="18"/>
      <c r="T36" s="18"/>
      <c r="U36" s="18"/>
      <c r="V36" s="17"/>
      <c r="W36" s="18"/>
      <c r="X36" s="18"/>
      <c r="Y36" s="18"/>
      <c r="Z36" s="18"/>
      <c r="AA36" s="18"/>
      <c r="AB36" s="18"/>
      <c r="AC36" s="18"/>
      <c r="AD36" s="33"/>
      <c r="AE36" s="18"/>
      <c r="AF36" s="18"/>
      <c r="AG36" s="18"/>
      <c r="AH36" s="18"/>
      <c r="AI36" s="18"/>
      <c r="AJ36" s="17"/>
      <c r="AK36" s="33"/>
      <c r="AL36" s="18"/>
      <c r="AM36" s="18"/>
      <c r="AN36" s="18"/>
      <c r="AO36" s="18"/>
      <c r="AP36" s="18"/>
      <c r="AQ36" s="17"/>
      <c r="AR36" s="18"/>
      <c r="AS36" s="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50" t="s">
        <v>167</v>
      </c>
      <c r="BI36" s="18"/>
      <c r="BJ36" s="18"/>
      <c r="BK36" s="18"/>
      <c r="BL36" s="17"/>
      <c r="BM36" s="13"/>
      <c r="BO36" s="26"/>
      <c r="BS36" s="26"/>
      <c r="CD36" s="27"/>
    </row>
    <row r="37" spans="1:82" s="11" customFormat="1">
      <c r="A37" s="32"/>
      <c r="B37" s="33"/>
      <c r="C37" s="18"/>
      <c r="D37" s="18"/>
      <c r="E37" s="18"/>
      <c r="F37" s="18"/>
      <c r="G37" s="18"/>
      <c r="H37" s="17"/>
      <c r="I37" s="18"/>
      <c r="J37" s="18"/>
      <c r="K37" s="18"/>
      <c r="L37" s="18"/>
      <c r="M37" s="18"/>
      <c r="N37" s="18"/>
      <c r="O37" s="18"/>
      <c r="P37" s="33"/>
      <c r="Q37" s="18"/>
      <c r="R37" s="18"/>
      <c r="S37" s="18"/>
      <c r="T37" s="18"/>
      <c r="U37" s="18"/>
      <c r="V37" s="17"/>
      <c r="W37" s="18"/>
      <c r="X37" s="18"/>
      <c r="Y37" s="18"/>
      <c r="Z37" s="18"/>
      <c r="AA37" s="18"/>
      <c r="AB37" s="18"/>
      <c r="AC37" s="18"/>
      <c r="AD37" s="33"/>
      <c r="AE37" s="18"/>
      <c r="AF37" s="18"/>
      <c r="AG37" s="18"/>
      <c r="AH37" s="18"/>
      <c r="AI37" s="18"/>
      <c r="AJ37" s="17"/>
      <c r="AK37" s="33"/>
      <c r="AL37" s="18"/>
      <c r="AM37" s="18"/>
      <c r="AN37" s="18"/>
      <c r="AO37" s="18"/>
      <c r="AP37" s="18"/>
      <c r="AQ37" s="17"/>
      <c r="AR37" s="18"/>
      <c r="AS37" s="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50" t="s">
        <v>168</v>
      </c>
      <c r="BI37" s="18"/>
      <c r="BJ37" s="18"/>
      <c r="BK37" s="18"/>
      <c r="BL37" s="17"/>
      <c r="BM37" s="13"/>
      <c r="BO37" s="26"/>
      <c r="BS37" s="26"/>
      <c r="CD37" s="27"/>
    </row>
    <row r="38" spans="1:82" s="11" customFormat="1">
      <c r="A38" s="32"/>
      <c r="B38" s="33"/>
      <c r="C38" s="18"/>
      <c r="D38" s="18"/>
      <c r="E38" s="18"/>
      <c r="F38" s="18"/>
      <c r="G38" s="18"/>
      <c r="H38" s="17"/>
      <c r="I38" s="18"/>
      <c r="J38" s="18"/>
      <c r="K38" s="18"/>
      <c r="L38" s="18"/>
      <c r="M38" s="18"/>
      <c r="N38" s="18"/>
      <c r="O38" s="18"/>
      <c r="P38" s="33"/>
      <c r="Q38" s="18"/>
      <c r="R38" s="18"/>
      <c r="S38" s="18"/>
      <c r="T38" s="18"/>
      <c r="U38" s="18"/>
      <c r="V38" s="17"/>
      <c r="W38" s="18"/>
      <c r="X38" s="18"/>
      <c r="Y38" s="18"/>
      <c r="Z38" s="18"/>
      <c r="AA38" s="18"/>
      <c r="AB38" s="18"/>
      <c r="AC38" s="18"/>
      <c r="AD38" s="33"/>
      <c r="AE38" s="18"/>
      <c r="AF38" s="18"/>
      <c r="AG38" s="18"/>
      <c r="AH38" s="18"/>
      <c r="AI38" s="18"/>
      <c r="AJ38" s="17"/>
      <c r="AK38" s="33"/>
      <c r="AL38" s="18"/>
      <c r="AM38" s="18"/>
      <c r="AN38" s="18"/>
      <c r="AO38" s="18"/>
      <c r="AP38" s="18"/>
      <c r="AQ38" s="17"/>
      <c r="AR38" s="18"/>
      <c r="AS38" s="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33"/>
      <c r="BI38" s="18"/>
      <c r="BJ38" s="18"/>
      <c r="BK38" s="18"/>
      <c r="BL38" s="17"/>
      <c r="BM38" s="13"/>
      <c r="BO38" s="26"/>
      <c r="BS38" s="26"/>
      <c r="CD38" s="27"/>
    </row>
    <row r="39" spans="1:82" s="11" customFormat="1">
      <c r="A39" s="32"/>
      <c r="B39" s="33"/>
      <c r="C39" s="18"/>
      <c r="D39" s="18"/>
      <c r="E39" s="18"/>
      <c r="F39" s="18"/>
      <c r="G39" s="18"/>
      <c r="H39" s="17"/>
      <c r="I39" s="18"/>
      <c r="J39" s="18"/>
      <c r="K39" s="18"/>
      <c r="L39" s="18"/>
      <c r="M39" s="18"/>
      <c r="N39" s="18"/>
      <c r="O39" s="18"/>
      <c r="P39" s="33"/>
      <c r="Q39" s="18"/>
      <c r="R39" s="18"/>
      <c r="S39" s="18"/>
      <c r="T39" s="18"/>
      <c r="U39" s="18"/>
      <c r="V39" s="17"/>
      <c r="W39" s="18"/>
      <c r="X39" s="18"/>
      <c r="Y39" s="18"/>
      <c r="Z39" s="18"/>
      <c r="AA39" s="18"/>
      <c r="AB39" s="18"/>
      <c r="AC39" s="18"/>
      <c r="AD39" s="33"/>
      <c r="AE39" s="18"/>
      <c r="AF39" s="18"/>
      <c r="AG39" s="18"/>
      <c r="AH39" s="18"/>
      <c r="AI39" s="18"/>
      <c r="AJ39" s="17"/>
      <c r="AK39" s="33"/>
      <c r="AL39" s="18"/>
      <c r="AM39" s="18"/>
      <c r="AN39" s="18"/>
      <c r="AO39" s="18"/>
      <c r="AP39" s="18"/>
      <c r="AQ39" s="17"/>
      <c r="AR39" s="18"/>
      <c r="AS39" s="16" t="s">
        <v>171</v>
      </c>
      <c r="AT39" s="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33"/>
      <c r="BI39" s="18"/>
      <c r="BJ39" s="18"/>
      <c r="BK39" s="18"/>
      <c r="BL39" s="17"/>
      <c r="BM39" s="13"/>
      <c r="BO39" s="26"/>
      <c r="BS39" s="26"/>
      <c r="CD39" s="27"/>
    </row>
    <row r="40" spans="1:82" s="11" customFormat="1">
      <c r="A40" s="32"/>
      <c r="B40" s="33"/>
      <c r="C40" s="18"/>
      <c r="D40" s="18"/>
      <c r="E40" s="18"/>
      <c r="F40" s="18"/>
      <c r="G40" s="18"/>
      <c r="H40" s="17"/>
      <c r="I40" s="18"/>
      <c r="J40" s="18"/>
      <c r="K40" s="18"/>
      <c r="L40" s="18"/>
      <c r="M40" s="18"/>
      <c r="N40" s="18"/>
      <c r="O40" s="18"/>
      <c r="P40" s="33"/>
      <c r="Q40" s="18"/>
      <c r="R40" s="18"/>
      <c r="S40" s="18"/>
      <c r="T40" s="18"/>
      <c r="U40" s="18"/>
      <c r="V40" s="17"/>
      <c r="W40" s="18"/>
      <c r="X40" s="18"/>
      <c r="Y40" s="18"/>
      <c r="Z40" s="18"/>
      <c r="AA40" s="18"/>
      <c r="AB40" s="18"/>
      <c r="AC40" s="18"/>
      <c r="AD40" s="33"/>
      <c r="AE40" s="18"/>
      <c r="AF40" s="18"/>
      <c r="AG40" s="18"/>
      <c r="AH40" s="18"/>
      <c r="AI40" s="18"/>
      <c r="AJ40" s="17"/>
      <c r="AK40" s="33"/>
      <c r="AL40" s="18"/>
      <c r="AM40" s="18"/>
      <c r="AN40" s="18"/>
      <c r="AO40" s="18"/>
      <c r="AP40" s="18"/>
      <c r="AQ40" s="17"/>
      <c r="AR40" s="18"/>
      <c r="AS40" s="8"/>
      <c r="AT40" s="8" t="s">
        <v>172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33"/>
      <c r="BI40" s="18"/>
      <c r="BJ40" s="18"/>
      <c r="BK40" s="18"/>
      <c r="BL40" s="17"/>
      <c r="BM40" s="13"/>
      <c r="BO40" s="26"/>
      <c r="BS40" s="26"/>
      <c r="CD40" s="27"/>
    </row>
    <row r="41" spans="1:82" s="11" customFormat="1">
      <c r="A41" s="32"/>
      <c r="B41" s="33"/>
      <c r="C41" s="18"/>
      <c r="D41" s="18"/>
      <c r="E41" s="18"/>
      <c r="F41" s="18"/>
      <c r="G41" s="18"/>
      <c r="H41" s="17"/>
      <c r="I41" s="18"/>
      <c r="J41" s="18"/>
      <c r="K41" s="18"/>
      <c r="L41" s="18"/>
      <c r="M41" s="18"/>
      <c r="N41" s="18"/>
      <c r="O41" s="18"/>
      <c r="P41" s="33"/>
      <c r="Q41" s="18"/>
      <c r="R41" s="18"/>
      <c r="S41" s="18"/>
      <c r="T41" s="18"/>
      <c r="U41" s="18"/>
      <c r="V41" s="17"/>
      <c r="W41" s="18"/>
      <c r="X41" s="18"/>
      <c r="Y41" s="18"/>
      <c r="Z41" s="18"/>
      <c r="AA41" s="18"/>
      <c r="AB41" s="18"/>
      <c r="AC41" s="18"/>
      <c r="AD41" s="33"/>
      <c r="AE41" s="18"/>
      <c r="AF41" s="18"/>
      <c r="AG41" s="18"/>
      <c r="AH41" s="18"/>
      <c r="AI41" s="18"/>
      <c r="AJ41" s="17"/>
      <c r="AK41" s="33"/>
      <c r="AL41" s="18"/>
      <c r="AM41" s="18"/>
      <c r="AN41" s="18"/>
      <c r="AO41" s="18"/>
      <c r="AP41" s="18"/>
      <c r="AQ41" s="17"/>
      <c r="AR41" s="18"/>
      <c r="AS41" s="8" t="s">
        <v>162</v>
      </c>
      <c r="AT41" s="8" t="s">
        <v>173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46" t="s">
        <v>147</v>
      </c>
      <c r="BI41" s="18"/>
      <c r="BJ41" s="18"/>
      <c r="BK41" s="18"/>
      <c r="BL41" s="17"/>
      <c r="BM41" s="13"/>
      <c r="BO41" s="26"/>
      <c r="BS41" s="26"/>
      <c r="CD41" s="27"/>
    </row>
    <row r="42" spans="1:82" s="11" customFormat="1">
      <c r="A42" s="32"/>
      <c r="B42" s="33"/>
      <c r="C42" s="18"/>
      <c r="D42" s="18"/>
      <c r="E42" s="18"/>
      <c r="F42" s="18"/>
      <c r="G42" s="18"/>
      <c r="H42" s="17"/>
      <c r="I42" s="18"/>
      <c r="J42" s="18"/>
      <c r="K42" s="18"/>
      <c r="L42" s="18"/>
      <c r="M42" s="18"/>
      <c r="N42" s="18"/>
      <c r="O42" s="18"/>
      <c r="P42" s="33"/>
      <c r="Q42" s="18"/>
      <c r="R42" s="18"/>
      <c r="S42" s="18"/>
      <c r="T42" s="18"/>
      <c r="U42" s="18"/>
      <c r="V42" s="17"/>
      <c r="W42" s="18"/>
      <c r="X42" s="18"/>
      <c r="Y42" s="18"/>
      <c r="Z42" s="18"/>
      <c r="AA42" s="18"/>
      <c r="AB42" s="18"/>
      <c r="AC42" s="18"/>
      <c r="AD42" s="33"/>
      <c r="AE42" s="18"/>
      <c r="AF42" s="18"/>
      <c r="AG42" s="18"/>
      <c r="AH42" s="18"/>
      <c r="AI42" s="18"/>
      <c r="AJ42" s="17"/>
      <c r="AK42" s="33"/>
      <c r="AL42" s="18"/>
      <c r="AM42" s="18"/>
      <c r="AN42" s="18"/>
      <c r="AO42" s="18"/>
      <c r="AP42" s="18"/>
      <c r="AQ42" s="17"/>
      <c r="AR42" s="18"/>
      <c r="AS42" s="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50" t="s">
        <v>165</v>
      </c>
      <c r="BI42" s="18"/>
      <c r="BJ42" s="18"/>
      <c r="BK42" s="18"/>
      <c r="BL42" s="17"/>
      <c r="BM42" s="13"/>
      <c r="BO42" s="26"/>
      <c r="BS42" s="26"/>
      <c r="CD42" s="27"/>
    </row>
    <row r="43" spans="1:82" s="11" customFormat="1">
      <c r="A43" s="32"/>
      <c r="B43" s="33"/>
      <c r="C43" s="18"/>
      <c r="D43" s="18"/>
      <c r="E43" s="18"/>
      <c r="F43" s="18"/>
      <c r="G43" s="18"/>
      <c r="H43" s="17"/>
      <c r="I43" s="18"/>
      <c r="J43" s="18"/>
      <c r="K43" s="18"/>
      <c r="L43" s="18"/>
      <c r="M43" s="18"/>
      <c r="N43" s="18"/>
      <c r="O43" s="18"/>
      <c r="P43" s="33"/>
      <c r="Q43" s="18"/>
      <c r="R43" s="18"/>
      <c r="S43" s="18"/>
      <c r="T43" s="18"/>
      <c r="U43" s="18"/>
      <c r="V43" s="17"/>
      <c r="W43" s="18"/>
      <c r="X43" s="18"/>
      <c r="Y43" s="18"/>
      <c r="Z43" s="18"/>
      <c r="AA43" s="18"/>
      <c r="AB43" s="18"/>
      <c r="AC43" s="18"/>
      <c r="AD43" s="33"/>
      <c r="AE43" s="18"/>
      <c r="AF43" s="18"/>
      <c r="AG43" s="18"/>
      <c r="AH43" s="18"/>
      <c r="AI43" s="18"/>
      <c r="AJ43" s="17"/>
      <c r="AK43" s="33"/>
      <c r="AL43" s="18"/>
      <c r="AM43" s="18"/>
      <c r="AN43" s="18"/>
      <c r="AO43" s="18"/>
      <c r="AP43" s="18"/>
      <c r="AQ43" s="17"/>
      <c r="AR43" s="18"/>
      <c r="AS43" s="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50" t="s">
        <v>167</v>
      </c>
      <c r="BI43" s="18"/>
      <c r="BJ43" s="18"/>
      <c r="BK43" s="18"/>
      <c r="BL43" s="17"/>
      <c r="BM43" s="13"/>
      <c r="BO43" s="26"/>
      <c r="BS43" s="26"/>
      <c r="CD43" s="27"/>
    </row>
    <row r="44" spans="1:82" s="11" customFormat="1">
      <c r="A44" s="32"/>
      <c r="B44" s="33"/>
      <c r="C44" s="18"/>
      <c r="D44" s="18"/>
      <c r="E44" s="18"/>
      <c r="F44" s="18"/>
      <c r="G44" s="18"/>
      <c r="H44" s="17"/>
      <c r="I44" s="18"/>
      <c r="J44" s="18"/>
      <c r="K44" s="18"/>
      <c r="L44" s="18"/>
      <c r="M44" s="18"/>
      <c r="N44" s="18"/>
      <c r="O44" s="18"/>
      <c r="P44" s="33"/>
      <c r="Q44" s="18"/>
      <c r="R44" s="18"/>
      <c r="S44" s="18"/>
      <c r="T44" s="18"/>
      <c r="U44" s="18"/>
      <c r="V44" s="17"/>
      <c r="W44" s="18"/>
      <c r="X44" s="18"/>
      <c r="Y44" s="18"/>
      <c r="Z44" s="18"/>
      <c r="AA44" s="18"/>
      <c r="AB44" s="18"/>
      <c r="AC44" s="18"/>
      <c r="AD44" s="33"/>
      <c r="AE44" s="18"/>
      <c r="AF44" s="18"/>
      <c r="AG44" s="18"/>
      <c r="AH44" s="18"/>
      <c r="AI44" s="18"/>
      <c r="AJ44" s="17"/>
      <c r="AK44" s="33"/>
      <c r="AL44" s="18"/>
      <c r="AM44" s="18"/>
      <c r="AN44" s="18"/>
      <c r="AO44" s="18"/>
      <c r="AP44" s="18"/>
      <c r="AQ44" s="17"/>
      <c r="AR44" s="18"/>
      <c r="AS44" s="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50" t="s">
        <v>168</v>
      </c>
      <c r="BI44" s="18"/>
      <c r="BJ44" s="18"/>
      <c r="BK44" s="18"/>
      <c r="BL44" s="17"/>
      <c r="BM44" s="13"/>
      <c r="BO44" s="26"/>
      <c r="BS44" s="26"/>
      <c r="CD44" s="27"/>
    </row>
    <row r="45" spans="1:82" s="11" customFormat="1">
      <c r="A45" s="32"/>
      <c r="B45" s="33"/>
      <c r="C45" s="18"/>
      <c r="D45" s="18"/>
      <c r="E45" s="18"/>
      <c r="F45" s="18"/>
      <c r="G45" s="18"/>
      <c r="H45" s="17"/>
      <c r="I45" s="18"/>
      <c r="J45" s="18"/>
      <c r="K45" s="18"/>
      <c r="L45" s="18"/>
      <c r="M45" s="18"/>
      <c r="N45" s="18"/>
      <c r="O45" s="18"/>
      <c r="P45" s="33"/>
      <c r="Q45" s="18"/>
      <c r="R45" s="18"/>
      <c r="S45" s="18"/>
      <c r="T45" s="18"/>
      <c r="U45" s="18"/>
      <c r="V45" s="17"/>
      <c r="W45" s="18"/>
      <c r="X45" s="18"/>
      <c r="Y45" s="18"/>
      <c r="Z45" s="18"/>
      <c r="AA45" s="18"/>
      <c r="AB45" s="18"/>
      <c r="AC45" s="18"/>
      <c r="AD45" s="33"/>
      <c r="AE45" s="18"/>
      <c r="AF45" s="18"/>
      <c r="AG45" s="18"/>
      <c r="AH45" s="18"/>
      <c r="AI45" s="18"/>
      <c r="AJ45" s="17"/>
      <c r="AK45" s="33"/>
      <c r="AL45" s="18"/>
      <c r="AM45" s="18"/>
      <c r="AN45" s="18"/>
      <c r="AO45" s="18"/>
      <c r="AP45" s="18"/>
      <c r="AQ45" s="17"/>
      <c r="AR45" s="18"/>
      <c r="AS45" s="16" t="s">
        <v>174</v>
      </c>
      <c r="AT45" s="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33"/>
      <c r="BI45" s="18"/>
      <c r="BJ45" s="18"/>
      <c r="BK45" s="18"/>
      <c r="BL45" s="17"/>
      <c r="BM45" s="13"/>
      <c r="BO45" s="26"/>
      <c r="BS45" s="26"/>
      <c r="CD45" s="27"/>
    </row>
    <row r="46" spans="1:82" s="11" customFormat="1">
      <c r="A46" s="32"/>
      <c r="B46" s="33"/>
      <c r="C46" s="18"/>
      <c r="D46" s="18"/>
      <c r="E46" s="18"/>
      <c r="F46" s="18"/>
      <c r="G46" s="18"/>
      <c r="H46" s="17"/>
      <c r="I46" s="18"/>
      <c r="J46" s="18"/>
      <c r="K46" s="18"/>
      <c r="L46" s="18"/>
      <c r="M46" s="18"/>
      <c r="N46" s="18"/>
      <c r="O46" s="18"/>
      <c r="P46" s="33"/>
      <c r="Q46" s="18"/>
      <c r="R46" s="18"/>
      <c r="S46" s="18"/>
      <c r="T46" s="18"/>
      <c r="U46" s="18"/>
      <c r="V46" s="17"/>
      <c r="W46" s="18"/>
      <c r="X46" s="18"/>
      <c r="Y46" s="18"/>
      <c r="Z46" s="18"/>
      <c r="AA46" s="18"/>
      <c r="AB46" s="18"/>
      <c r="AC46" s="18"/>
      <c r="AD46" s="33"/>
      <c r="AE46" s="18"/>
      <c r="AF46" s="18"/>
      <c r="AG46" s="18"/>
      <c r="AH46" s="18"/>
      <c r="AI46" s="18"/>
      <c r="AJ46" s="17"/>
      <c r="AK46" s="33"/>
      <c r="AL46" s="18"/>
      <c r="AM46" s="18"/>
      <c r="AN46" s="18"/>
      <c r="AO46" s="18"/>
      <c r="AP46" s="18"/>
      <c r="AQ46" s="17"/>
      <c r="AR46" s="18"/>
      <c r="AS46" s="8"/>
      <c r="AT46" s="8" t="s">
        <v>175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33"/>
      <c r="BI46" s="18"/>
      <c r="BJ46" s="18"/>
      <c r="BK46" s="18"/>
      <c r="BL46" s="17"/>
      <c r="BM46" s="13"/>
      <c r="BO46" s="26"/>
      <c r="BS46" s="26"/>
      <c r="CD46" s="27"/>
    </row>
    <row r="47" spans="1:82" s="11" customFormat="1">
      <c r="A47" s="32"/>
      <c r="B47" s="33"/>
      <c r="C47" s="18"/>
      <c r="D47" s="18"/>
      <c r="E47" s="18"/>
      <c r="F47" s="18"/>
      <c r="G47" s="18"/>
      <c r="H47" s="17"/>
      <c r="I47" s="18"/>
      <c r="J47" s="18"/>
      <c r="K47" s="18"/>
      <c r="L47" s="18"/>
      <c r="M47" s="18"/>
      <c r="N47" s="18"/>
      <c r="O47" s="18"/>
      <c r="P47" s="33"/>
      <c r="Q47" s="18"/>
      <c r="R47" s="18"/>
      <c r="S47" s="18"/>
      <c r="T47" s="18"/>
      <c r="U47" s="18"/>
      <c r="V47" s="17"/>
      <c r="W47" s="18"/>
      <c r="X47" s="18"/>
      <c r="Y47" s="18"/>
      <c r="Z47" s="18"/>
      <c r="AA47" s="18"/>
      <c r="AB47" s="18"/>
      <c r="AC47" s="18"/>
      <c r="AD47" s="33"/>
      <c r="AE47" s="18"/>
      <c r="AF47" s="18"/>
      <c r="AG47" s="18"/>
      <c r="AH47" s="18"/>
      <c r="AI47" s="18"/>
      <c r="AJ47" s="17"/>
      <c r="AK47" s="33"/>
      <c r="AL47" s="18"/>
      <c r="AM47" s="18"/>
      <c r="AN47" s="18"/>
      <c r="AO47" s="18"/>
      <c r="AP47" s="18"/>
      <c r="AQ47" s="17"/>
      <c r="AR47" s="18"/>
      <c r="AS47" s="8"/>
      <c r="AT47" s="8" t="s">
        <v>176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33"/>
      <c r="BI47" s="18"/>
      <c r="BJ47" s="18"/>
      <c r="BK47" s="18"/>
      <c r="BL47" s="17"/>
      <c r="BM47" s="13"/>
      <c r="BO47" s="26"/>
      <c r="BS47" s="26"/>
      <c r="CD47" s="27"/>
    </row>
    <row r="48" spans="1:82" s="11" customFormat="1">
      <c r="A48" s="32"/>
      <c r="B48" s="33"/>
      <c r="C48" s="18"/>
      <c r="D48" s="18"/>
      <c r="E48" s="18"/>
      <c r="F48" s="18"/>
      <c r="G48" s="18"/>
      <c r="H48" s="17"/>
      <c r="I48" s="18"/>
      <c r="J48" s="18"/>
      <c r="K48" s="18"/>
      <c r="L48" s="18"/>
      <c r="M48" s="18"/>
      <c r="N48" s="18"/>
      <c r="O48" s="18"/>
      <c r="P48" s="33"/>
      <c r="Q48" s="18"/>
      <c r="R48" s="18"/>
      <c r="S48" s="18"/>
      <c r="T48" s="18"/>
      <c r="U48" s="18"/>
      <c r="V48" s="17"/>
      <c r="W48" s="18"/>
      <c r="X48" s="18"/>
      <c r="Y48" s="18"/>
      <c r="Z48" s="18"/>
      <c r="AA48" s="18"/>
      <c r="AB48" s="18"/>
      <c r="AC48" s="18"/>
      <c r="AD48" s="33"/>
      <c r="AE48" s="18"/>
      <c r="AF48" s="18"/>
      <c r="AG48" s="18"/>
      <c r="AH48" s="18"/>
      <c r="AI48" s="18"/>
      <c r="AJ48" s="17"/>
      <c r="AK48" s="33"/>
      <c r="AL48" s="18"/>
      <c r="AM48" s="18"/>
      <c r="AN48" s="18"/>
      <c r="AO48" s="18"/>
      <c r="AP48" s="18"/>
      <c r="AQ48" s="17"/>
      <c r="AR48" s="18"/>
      <c r="AS48" s="8" t="s">
        <v>162</v>
      </c>
      <c r="AT48" s="8" t="s">
        <v>177</v>
      </c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46" t="s">
        <v>147</v>
      </c>
      <c r="BI48" s="18"/>
      <c r="BJ48" s="18"/>
      <c r="BK48" s="18"/>
      <c r="BL48" s="17"/>
      <c r="BM48" s="13"/>
      <c r="BO48" s="26"/>
      <c r="BS48" s="26"/>
      <c r="CD48" s="27"/>
    </row>
    <row r="49" spans="1:82" s="11" customFormat="1">
      <c r="A49" s="32"/>
      <c r="B49" s="33"/>
      <c r="C49" s="18"/>
      <c r="D49" s="18"/>
      <c r="E49" s="18"/>
      <c r="F49" s="18"/>
      <c r="G49" s="18"/>
      <c r="H49" s="17"/>
      <c r="I49" s="18"/>
      <c r="J49" s="18"/>
      <c r="K49" s="18"/>
      <c r="L49" s="18"/>
      <c r="M49" s="18"/>
      <c r="N49" s="18"/>
      <c r="O49" s="18"/>
      <c r="P49" s="33"/>
      <c r="Q49" s="18"/>
      <c r="R49" s="18"/>
      <c r="S49" s="18"/>
      <c r="T49" s="18"/>
      <c r="U49" s="18"/>
      <c r="V49" s="17"/>
      <c r="W49" s="18"/>
      <c r="X49" s="18"/>
      <c r="Y49" s="18"/>
      <c r="Z49" s="18"/>
      <c r="AA49" s="18"/>
      <c r="AB49" s="18"/>
      <c r="AC49" s="18"/>
      <c r="AD49" s="33"/>
      <c r="AE49" s="18"/>
      <c r="AF49" s="18"/>
      <c r="AG49" s="18"/>
      <c r="AH49" s="18"/>
      <c r="AI49" s="18"/>
      <c r="AJ49" s="17"/>
      <c r="AK49" s="33"/>
      <c r="AL49" s="18"/>
      <c r="AM49" s="18"/>
      <c r="AN49" s="18"/>
      <c r="AO49" s="18"/>
      <c r="AP49" s="18"/>
      <c r="AQ49" s="17"/>
      <c r="AR49" s="18"/>
      <c r="AS49" s="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50" t="s">
        <v>165</v>
      </c>
      <c r="BI49" s="18"/>
      <c r="BJ49" s="18"/>
      <c r="BK49" s="18"/>
      <c r="BL49" s="17"/>
      <c r="BM49" s="13"/>
      <c r="BO49" s="26"/>
      <c r="BS49" s="26"/>
      <c r="CD49" s="27"/>
    </row>
    <row r="50" spans="1:82" s="11" customFormat="1">
      <c r="A50" s="32"/>
      <c r="B50" s="33"/>
      <c r="C50" s="18"/>
      <c r="D50" s="18"/>
      <c r="E50" s="18"/>
      <c r="F50" s="18"/>
      <c r="G50" s="18"/>
      <c r="H50" s="17"/>
      <c r="I50" s="18"/>
      <c r="J50" s="18"/>
      <c r="K50" s="18"/>
      <c r="L50" s="18"/>
      <c r="M50" s="18"/>
      <c r="N50" s="18"/>
      <c r="O50" s="18"/>
      <c r="P50" s="33"/>
      <c r="Q50" s="18"/>
      <c r="R50" s="18"/>
      <c r="S50" s="18"/>
      <c r="T50" s="18"/>
      <c r="U50" s="18"/>
      <c r="V50" s="17"/>
      <c r="W50" s="18"/>
      <c r="X50" s="18"/>
      <c r="Y50" s="18"/>
      <c r="Z50" s="18"/>
      <c r="AA50" s="18"/>
      <c r="AB50" s="18"/>
      <c r="AC50" s="18"/>
      <c r="AD50" s="33"/>
      <c r="AE50" s="18"/>
      <c r="AF50" s="18"/>
      <c r="AG50" s="18"/>
      <c r="AH50" s="18"/>
      <c r="AI50" s="18"/>
      <c r="AJ50" s="17"/>
      <c r="AK50" s="33"/>
      <c r="AL50" s="18"/>
      <c r="AM50" s="18"/>
      <c r="AN50" s="18"/>
      <c r="AO50" s="18"/>
      <c r="AP50" s="18"/>
      <c r="AQ50" s="17"/>
      <c r="AR50" s="18"/>
      <c r="AS50" s="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50" t="s">
        <v>167</v>
      </c>
      <c r="BI50" s="18"/>
      <c r="BJ50" s="18"/>
      <c r="BK50" s="18"/>
      <c r="BL50" s="17"/>
      <c r="BM50" s="13"/>
      <c r="BO50" s="26"/>
      <c r="BS50" s="26"/>
      <c r="CD50" s="27"/>
    </row>
    <row r="51" spans="1:82" s="11" customFormat="1">
      <c r="A51" s="32"/>
      <c r="B51" s="33"/>
      <c r="C51" s="18"/>
      <c r="D51" s="18"/>
      <c r="E51" s="18"/>
      <c r="F51" s="18"/>
      <c r="G51" s="18"/>
      <c r="H51" s="17"/>
      <c r="I51" s="18"/>
      <c r="J51" s="18"/>
      <c r="K51" s="18"/>
      <c r="L51" s="18"/>
      <c r="M51" s="18"/>
      <c r="N51" s="18"/>
      <c r="O51" s="18"/>
      <c r="P51" s="33"/>
      <c r="Q51" s="18"/>
      <c r="R51" s="18"/>
      <c r="S51" s="18"/>
      <c r="T51" s="18"/>
      <c r="U51" s="18"/>
      <c r="V51" s="17"/>
      <c r="W51" s="18"/>
      <c r="X51" s="18"/>
      <c r="Y51" s="18"/>
      <c r="Z51" s="18"/>
      <c r="AA51" s="18"/>
      <c r="AB51" s="18"/>
      <c r="AC51" s="18"/>
      <c r="AD51" s="33"/>
      <c r="AE51" s="18"/>
      <c r="AF51" s="18"/>
      <c r="AG51" s="18"/>
      <c r="AH51" s="18"/>
      <c r="AI51" s="18"/>
      <c r="AJ51" s="17"/>
      <c r="AK51" s="33"/>
      <c r="AL51" s="18"/>
      <c r="AM51" s="18"/>
      <c r="AN51" s="18"/>
      <c r="AO51" s="18"/>
      <c r="AP51" s="18"/>
      <c r="AQ51" s="17"/>
      <c r="AR51" s="18"/>
      <c r="AS51" s="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50" t="s">
        <v>168</v>
      </c>
      <c r="BI51" s="18"/>
      <c r="BJ51" s="18"/>
      <c r="BK51" s="18"/>
      <c r="BL51" s="17"/>
      <c r="BM51" s="13"/>
      <c r="BO51" s="26"/>
      <c r="BS51" s="26"/>
      <c r="CD51" s="27"/>
    </row>
    <row r="52" spans="1:82" s="11" customFormat="1">
      <c r="A52" s="32"/>
      <c r="B52" s="33"/>
      <c r="C52" s="18"/>
      <c r="D52" s="18"/>
      <c r="E52" s="18"/>
      <c r="F52" s="18"/>
      <c r="G52" s="18"/>
      <c r="H52" s="17"/>
      <c r="I52" s="18"/>
      <c r="J52" s="18"/>
      <c r="K52" s="18"/>
      <c r="L52" s="18"/>
      <c r="M52" s="18"/>
      <c r="N52" s="18"/>
      <c r="O52" s="18"/>
      <c r="P52" s="33"/>
      <c r="Q52" s="18"/>
      <c r="R52" s="18"/>
      <c r="S52" s="18"/>
      <c r="T52" s="18"/>
      <c r="U52" s="18"/>
      <c r="V52" s="17"/>
      <c r="W52" s="18"/>
      <c r="X52" s="18"/>
      <c r="Y52" s="18"/>
      <c r="Z52" s="18"/>
      <c r="AA52" s="18"/>
      <c r="AB52" s="18"/>
      <c r="AC52" s="18"/>
      <c r="AD52" s="33"/>
      <c r="AE52" s="18"/>
      <c r="AF52" s="18"/>
      <c r="AG52" s="18"/>
      <c r="AH52" s="18"/>
      <c r="AI52" s="18"/>
      <c r="AJ52" s="17"/>
      <c r="AK52" s="33"/>
      <c r="AL52" s="18"/>
      <c r="AM52" s="18"/>
      <c r="AN52" s="18"/>
      <c r="AO52" s="18"/>
      <c r="AP52" s="18"/>
      <c r="AQ52" s="17"/>
      <c r="AR52" s="18"/>
      <c r="AS52" s="16" t="s">
        <v>178</v>
      </c>
      <c r="AT52" s="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33"/>
      <c r="BI52" s="18"/>
      <c r="BJ52" s="18"/>
      <c r="BK52" s="18"/>
      <c r="BL52" s="17"/>
      <c r="BM52" s="13"/>
      <c r="BO52" s="26"/>
      <c r="BS52" s="26"/>
      <c r="CD52" s="27"/>
    </row>
    <row r="53" spans="1:82" s="11" customFormat="1">
      <c r="A53" s="32"/>
      <c r="B53" s="33"/>
      <c r="C53" s="18"/>
      <c r="D53" s="18"/>
      <c r="E53" s="18"/>
      <c r="F53" s="18"/>
      <c r="G53" s="18"/>
      <c r="H53" s="17"/>
      <c r="I53" s="18"/>
      <c r="J53" s="18"/>
      <c r="K53" s="18"/>
      <c r="L53" s="18"/>
      <c r="M53" s="18"/>
      <c r="N53" s="18"/>
      <c r="O53" s="18"/>
      <c r="P53" s="33"/>
      <c r="Q53" s="18"/>
      <c r="R53" s="18"/>
      <c r="S53" s="18"/>
      <c r="T53" s="18"/>
      <c r="U53" s="18"/>
      <c r="V53" s="17"/>
      <c r="W53" s="18"/>
      <c r="X53" s="18"/>
      <c r="Y53" s="18"/>
      <c r="Z53" s="18"/>
      <c r="AA53" s="18"/>
      <c r="AB53" s="18"/>
      <c r="AC53" s="18"/>
      <c r="AD53" s="33"/>
      <c r="AE53" s="18"/>
      <c r="AF53" s="18"/>
      <c r="AG53" s="18"/>
      <c r="AH53" s="18"/>
      <c r="AI53" s="18"/>
      <c r="AJ53" s="17"/>
      <c r="AK53" s="33"/>
      <c r="AL53" s="18"/>
      <c r="AM53" s="18"/>
      <c r="AN53" s="18"/>
      <c r="AO53" s="18"/>
      <c r="AP53" s="18"/>
      <c r="AQ53" s="17"/>
      <c r="AR53" s="18"/>
      <c r="AS53" s="8"/>
      <c r="AT53" s="8" t="s">
        <v>179</v>
      </c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33"/>
      <c r="BI53" s="18"/>
      <c r="BJ53" s="18"/>
      <c r="BK53" s="18"/>
      <c r="BL53" s="17"/>
      <c r="BM53" s="13"/>
      <c r="BO53" s="26"/>
      <c r="BS53" s="26"/>
      <c r="CD53" s="27"/>
    </row>
    <row r="54" spans="1:82" s="11" customFormat="1">
      <c r="A54" s="32"/>
      <c r="B54" s="33"/>
      <c r="C54" s="18"/>
      <c r="D54" s="18"/>
      <c r="E54" s="18"/>
      <c r="F54" s="18"/>
      <c r="G54" s="18"/>
      <c r="H54" s="17"/>
      <c r="I54" s="18"/>
      <c r="J54" s="18"/>
      <c r="K54" s="18"/>
      <c r="L54" s="18"/>
      <c r="M54" s="18"/>
      <c r="N54" s="18"/>
      <c r="O54" s="18"/>
      <c r="P54" s="33"/>
      <c r="Q54" s="18"/>
      <c r="R54" s="18"/>
      <c r="S54" s="18"/>
      <c r="T54" s="18"/>
      <c r="U54" s="18"/>
      <c r="V54" s="17"/>
      <c r="W54" s="18"/>
      <c r="X54" s="18"/>
      <c r="Y54" s="18"/>
      <c r="Z54" s="18"/>
      <c r="AA54" s="18"/>
      <c r="AB54" s="18"/>
      <c r="AC54" s="18"/>
      <c r="AD54" s="33"/>
      <c r="AE54" s="18"/>
      <c r="AF54" s="18"/>
      <c r="AG54" s="18"/>
      <c r="AH54" s="18"/>
      <c r="AI54" s="18"/>
      <c r="AJ54" s="17"/>
      <c r="AK54" s="33"/>
      <c r="AL54" s="18"/>
      <c r="AM54" s="18"/>
      <c r="AN54" s="18"/>
      <c r="AO54" s="18"/>
      <c r="AP54" s="18"/>
      <c r="AQ54" s="17"/>
      <c r="AR54" s="18"/>
      <c r="AS54" s="8"/>
      <c r="AT54" s="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33"/>
      <c r="BI54" s="18"/>
      <c r="BJ54" s="18"/>
      <c r="BK54" s="18"/>
      <c r="BL54" s="17"/>
      <c r="BM54" s="13"/>
      <c r="BO54" s="26"/>
      <c r="BS54" s="26"/>
      <c r="CD54" s="27"/>
    </row>
    <row r="55" spans="1:82" s="11" customFormat="1">
      <c r="A55" s="32"/>
      <c r="B55" s="33"/>
      <c r="C55" s="18"/>
      <c r="D55" s="18"/>
      <c r="E55" s="18"/>
      <c r="F55" s="18"/>
      <c r="G55" s="18"/>
      <c r="H55" s="17"/>
      <c r="I55" s="18"/>
      <c r="J55" s="18"/>
      <c r="K55" s="18"/>
      <c r="L55" s="18"/>
      <c r="M55" s="18"/>
      <c r="N55" s="18"/>
      <c r="O55" s="18"/>
      <c r="P55" s="33"/>
      <c r="Q55" s="18"/>
      <c r="R55" s="18"/>
      <c r="S55" s="18"/>
      <c r="T55" s="18"/>
      <c r="U55" s="18"/>
      <c r="V55" s="17"/>
      <c r="W55" s="18"/>
      <c r="X55" s="18"/>
      <c r="Y55" s="18"/>
      <c r="Z55" s="18"/>
      <c r="AA55" s="18"/>
      <c r="AB55" s="18"/>
      <c r="AC55" s="18"/>
      <c r="AD55" s="33"/>
      <c r="AE55" s="18"/>
      <c r="AF55" s="18"/>
      <c r="AG55" s="18"/>
      <c r="AH55" s="18"/>
      <c r="AI55" s="18"/>
      <c r="AJ55" s="17"/>
      <c r="AK55" s="33"/>
      <c r="AL55" s="18"/>
      <c r="AM55" s="18"/>
      <c r="AN55" s="18"/>
      <c r="AO55" s="18"/>
      <c r="AP55" s="18"/>
      <c r="AQ55" s="17"/>
      <c r="AR55" s="18"/>
      <c r="AS55" s="8" t="s">
        <v>162</v>
      </c>
      <c r="AT55" s="8" t="s">
        <v>180</v>
      </c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46" t="s">
        <v>147</v>
      </c>
      <c r="BI55" s="18"/>
      <c r="BJ55" s="18"/>
      <c r="BK55" s="18"/>
      <c r="BL55" s="17"/>
      <c r="BM55" s="13"/>
      <c r="BO55" s="26"/>
      <c r="BS55" s="26"/>
      <c r="CD55" s="27"/>
    </row>
    <row r="56" spans="1:82" s="11" customFormat="1">
      <c r="A56" s="32"/>
      <c r="B56" s="33"/>
      <c r="C56" s="18"/>
      <c r="D56" s="18"/>
      <c r="E56" s="18"/>
      <c r="F56" s="18"/>
      <c r="G56" s="18"/>
      <c r="H56" s="17"/>
      <c r="I56" s="18"/>
      <c r="J56" s="18"/>
      <c r="K56" s="18"/>
      <c r="L56" s="18"/>
      <c r="M56" s="18"/>
      <c r="N56" s="18"/>
      <c r="O56" s="18"/>
      <c r="P56" s="33"/>
      <c r="Q56" s="18"/>
      <c r="R56" s="18"/>
      <c r="S56" s="18"/>
      <c r="T56" s="18"/>
      <c r="U56" s="18"/>
      <c r="V56" s="17"/>
      <c r="W56" s="18"/>
      <c r="X56" s="18"/>
      <c r="Y56" s="18"/>
      <c r="Z56" s="18"/>
      <c r="AA56" s="18"/>
      <c r="AB56" s="18"/>
      <c r="AC56" s="18"/>
      <c r="AD56" s="33"/>
      <c r="AE56" s="18"/>
      <c r="AF56" s="18"/>
      <c r="AG56" s="18"/>
      <c r="AH56" s="18"/>
      <c r="AI56" s="18"/>
      <c r="AJ56" s="17"/>
      <c r="AK56" s="33"/>
      <c r="AL56" s="18"/>
      <c r="AM56" s="18"/>
      <c r="AN56" s="18"/>
      <c r="AO56" s="18"/>
      <c r="AP56" s="18"/>
      <c r="AQ56" s="17"/>
      <c r="AR56" s="18"/>
      <c r="AS56" s="8" t="s">
        <v>162</v>
      </c>
      <c r="AT56" s="8" t="s">
        <v>181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50" t="s">
        <v>165</v>
      </c>
      <c r="BI56" s="18"/>
      <c r="BJ56" s="18"/>
      <c r="BK56" s="18"/>
      <c r="BL56" s="17"/>
      <c r="BM56" s="13"/>
      <c r="BO56" s="26"/>
      <c r="BS56" s="26"/>
      <c r="CD56" s="27"/>
    </row>
    <row r="57" spans="1:82" s="11" customFormat="1">
      <c r="A57" s="32"/>
      <c r="B57" s="33"/>
      <c r="C57" s="18"/>
      <c r="D57" s="18"/>
      <c r="E57" s="18"/>
      <c r="F57" s="18"/>
      <c r="G57" s="18"/>
      <c r="H57" s="17"/>
      <c r="I57" s="18"/>
      <c r="J57" s="18"/>
      <c r="K57" s="18"/>
      <c r="L57" s="18"/>
      <c r="M57" s="18"/>
      <c r="N57" s="18"/>
      <c r="O57" s="18"/>
      <c r="P57" s="33"/>
      <c r="Q57" s="18"/>
      <c r="R57" s="18"/>
      <c r="S57" s="18"/>
      <c r="T57" s="18"/>
      <c r="U57" s="18"/>
      <c r="V57" s="17"/>
      <c r="W57" s="18"/>
      <c r="X57" s="18"/>
      <c r="Y57" s="18"/>
      <c r="Z57" s="18"/>
      <c r="AA57" s="18"/>
      <c r="AB57" s="18"/>
      <c r="AC57" s="18"/>
      <c r="AD57" s="33"/>
      <c r="AE57" s="18"/>
      <c r="AF57" s="18"/>
      <c r="AG57" s="18"/>
      <c r="AH57" s="18"/>
      <c r="AI57" s="18"/>
      <c r="AJ57" s="17"/>
      <c r="AK57" s="33"/>
      <c r="AL57" s="18"/>
      <c r="AM57" s="18"/>
      <c r="AN57" s="18"/>
      <c r="AO57" s="18"/>
      <c r="AP57" s="18"/>
      <c r="AQ57" s="17"/>
      <c r="AR57" s="18"/>
      <c r="AS57" s="8"/>
      <c r="AT57" s="8" t="s">
        <v>182</v>
      </c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50" t="s">
        <v>167</v>
      </c>
      <c r="BI57" s="18"/>
      <c r="BJ57" s="18"/>
      <c r="BK57" s="18"/>
      <c r="BL57" s="17"/>
      <c r="BM57" s="13"/>
      <c r="BO57" s="26"/>
      <c r="BS57" s="26"/>
      <c r="CD57" s="27"/>
    </row>
    <row r="58" spans="1:82" s="11" customFormat="1">
      <c r="A58" s="32"/>
      <c r="B58" s="33"/>
      <c r="C58" s="18"/>
      <c r="D58" s="18"/>
      <c r="E58" s="18"/>
      <c r="F58" s="18"/>
      <c r="G58" s="18"/>
      <c r="H58" s="17"/>
      <c r="I58" s="18"/>
      <c r="J58" s="18"/>
      <c r="K58" s="18"/>
      <c r="L58" s="18"/>
      <c r="M58" s="18"/>
      <c r="N58" s="18"/>
      <c r="O58" s="18"/>
      <c r="P58" s="33"/>
      <c r="Q58" s="18"/>
      <c r="R58" s="18"/>
      <c r="S58" s="18"/>
      <c r="T58" s="18"/>
      <c r="U58" s="18"/>
      <c r="V58" s="17"/>
      <c r="W58" s="18"/>
      <c r="X58" s="18"/>
      <c r="Y58" s="18"/>
      <c r="Z58" s="18"/>
      <c r="AA58" s="18"/>
      <c r="AB58" s="18"/>
      <c r="AC58" s="18"/>
      <c r="AD58" s="33"/>
      <c r="AE58" s="18"/>
      <c r="AF58" s="18"/>
      <c r="AG58" s="18"/>
      <c r="AH58" s="18"/>
      <c r="AI58" s="18"/>
      <c r="AJ58" s="17"/>
      <c r="AK58" s="33"/>
      <c r="AL58" s="18"/>
      <c r="AM58" s="18"/>
      <c r="AN58" s="18"/>
      <c r="AO58" s="18"/>
      <c r="AP58" s="18"/>
      <c r="AQ58" s="17"/>
      <c r="AR58" s="18"/>
      <c r="AS58" s="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50" t="s">
        <v>168</v>
      </c>
      <c r="BI58" s="18"/>
      <c r="BJ58" s="18"/>
      <c r="BK58" s="18"/>
      <c r="BL58" s="17"/>
      <c r="BM58" s="13"/>
      <c r="BO58" s="26"/>
      <c r="BS58" s="26"/>
      <c r="CD58" s="27"/>
    </row>
    <row r="59" spans="1:82" s="11" customFormat="1">
      <c r="A59" s="32"/>
      <c r="B59" s="33"/>
      <c r="C59" s="18"/>
      <c r="D59" s="18"/>
      <c r="E59" s="18"/>
      <c r="F59" s="18"/>
      <c r="G59" s="18"/>
      <c r="H59" s="17"/>
      <c r="I59" s="18"/>
      <c r="J59" s="18"/>
      <c r="K59" s="18"/>
      <c r="L59" s="18"/>
      <c r="M59" s="18"/>
      <c r="N59" s="18"/>
      <c r="O59" s="18"/>
      <c r="P59" s="33"/>
      <c r="Q59" s="18"/>
      <c r="R59" s="18"/>
      <c r="S59" s="18"/>
      <c r="T59" s="18"/>
      <c r="U59" s="18"/>
      <c r="V59" s="17"/>
      <c r="W59" s="18"/>
      <c r="X59" s="18"/>
      <c r="Y59" s="18"/>
      <c r="Z59" s="18"/>
      <c r="AA59" s="18"/>
      <c r="AB59" s="18"/>
      <c r="AC59" s="18"/>
      <c r="AD59" s="33"/>
      <c r="AE59" s="18"/>
      <c r="AF59" s="18"/>
      <c r="AG59" s="18"/>
      <c r="AH59" s="18"/>
      <c r="AI59" s="18"/>
      <c r="AJ59" s="17"/>
      <c r="AK59" s="33"/>
      <c r="AL59" s="18"/>
      <c r="AM59" s="18"/>
      <c r="AN59" s="18"/>
      <c r="AO59" s="18"/>
      <c r="AP59" s="18"/>
      <c r="AQ59" s="17"/>
      <c r="AR59" s="18"/>
      <c r="AS59" s="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33"/>
      <c r="BI59" s="18"/>
      <c r="BJ59" s="18"/>
      <c r="BK59" s="18"/>
      <c r="BL59" s="17"/>
      <c r="BM59" s="13"/>
      <c r="BO59" s="26"/>
      <c r="BS59" s="26"/>
      <c r="CD59" s="27"/>
    </row>
    <row r="60" spans="1:82" s="11" customFormat="1">
      <c r="A60" s="32"/>
      <c r="B60" s="33"/>
      <c r="C60" s="18"/>
      <c r="D60" s="18"/>
      <c r="E60" s="18"/>
      <c r="F60" s="18"/>
      <c r="G60" s="18"/>
      <c r="H60" s="17"/>
      <c r="I60" s="18"/>
      <c r="J60" s="18"/>
      <c r="K60" s="18"/>
      <c r="L60" s="18"/>
      <c r="M60" s="18"/>
      <c r="N60" s="18"/>
      <c r="O60" s="18"/>
      <c r="P60" s="33"/>
      <c r="Q60" s="18"/>
      <c r="R60" s="18"/>
      <c r="S60" s="18"/>
      <c r="T60" s="18"/>
      <c r="U60" s="18"/>
      <c r="V60" s="17"/>
      <c r="W60" s="18"/>
      <c r="X60" s="18"/>
      <c r="Y60" s="18"/>
      <c r="Z60" s="18"/>
      <c r="AA60" s="18"/>
      <c r="AB60" s="18"/>
      <c r="AC60" s="18"/>
      <c r="AD60" s="33"/>
      <c r="AE60" s="18"/>
      <c r="AF60" s="18"/>
      <c r="AG60" s="18"/>
      <c r="AH60" s="18"/>
      <c r="AI60" s="18"/>
      <c r="AJ60" s="17"/>
      <c r="AK60" s="33"/>
      <c r="AL60" s="18"/>
      <c r="AM60" s="18"/>
      <c r="AN60" s="18"/>
      <c r="AO60" s="18"/>
      <c r="AP60" s="18"/>
      <c r="AQ60" s="17"/>
      <c r="AR60" s="18"/>
      <c r="AS60" s="16" t="s">
        <v>183</v>
      </c>
      <c r="AT60" s="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33"/>
      <c r="BI60" s="18"/>
      <c r="BJ60" s="18"/>
      <c r="BK60" s="18"/>
      <c r="BL60" s="17"/>
      <c r="BM60" s="13"/>
      <c r="BO60" s="26"/>
      <c r="BS60" s="26"/>
      <c r="CD60" s="27"/>
    </row>
    <row r="61" spans="1:82" s="11" customFormat="1">
      <c r="A61" s="32"/>
      <c r="B61" s="33"/>
      <c r="C61" s="18"/>
      <c r="D61" s="18"/>
      <c r="E61" s="18"/>
      <c r="F61" s="18"/>
      <c r="G61" s="18"/>
      <c r="H61" s="17"/>
      <c r="I61" s="18"/>
      <c r="J61" s="18"/>
      <c r="K61" s="18"/>
      <c r="L61" s="18"/>
      <c r="M61" s="18"/>
      <c r="N61" s="18"/>
      <c r="O61" s="18"/>
      <c r="P61" s="33"/>
      <c r="Q61" s="18"/>
      <c r="R61" s="18"/>
      <c r="S61" s="18"/>
      <c r="T61" s="18"/>
      <c r="U61" s="18"/>
      <c r="V61" s="17"/>
      <c r="W61" s="18"/>
      <c r="X61" s="18"/>
      <c r="Y61" s="18"/>
      <c r="Z61" s="18"/>
      <c r="AA61" s="18"/>
      <c r="AB61" s="18"/>
      <c r="AC61" s="18"/>
      <c r="AD61" s="33"/>
      <c r="AE61" s="18"/>
      <c r="AF61" s="18"/>
      <c r="AG61" s="18"/>
      <c r="AH61" s="18"/>
      <c r="AI61" s="18"/>
      <c r="AJ61" s="17"/>
      <c r="AK61" s="33"/>
      <c r="AL61" s="18"/>
      <c r="AM61" s="18"/>
      <c r="AN61" s="18"/>
      <c r="AO61" s="18"/>
      <c r="AP61" s="18"/>
      <c r="AQ61" s="17"/>
      <c r="AR61" s="18"/>
      <c r="AS61" s="8"/>
      <c r="AT61" s="8" t="s">
        <v>184</v>
      </c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33"/>
      <c r="BI61" s="18"/>
      <c r="BJ61" s="18"/>
      <c r="BK61" s="18"/>
      <c r="BL61" s="17"/>
      <c r="BM61" s="13"/>
      <c r="BO61" s="26"/>
      <c r="BS61" s="26"/>
      <c r="CD61" s="27"/>
    </row>
    <row r="62" spans="1:82" s="11" customFormat="1">
      <c r="A62" s="32"/>
      <c r="B62" s="33"/>
      <c r="C62" s="18"/>
      <c r="D62" s="18"/>
      <c r="E62" s="18"/>
      <c r="F62" s="18"/>
      <c r="G62" s="18"/>
      <c r="H62" s="17"/>
      <c r="I62" s="18"/>
      <c r="J62" s="18"/>
      <c r="K62" s="18"/>
      <c r="L62" s="18"/>
      <c r="M62" s="18"/>
      <c r="N62" s="18"/>
      <c r="O62" s="18"/>
      <c r="P62" s="33"/>
      <c r="Q62" s="18"/>
      <c r="R62" s="18"/>
      <c r="S62" s="18"/>
      <c r="T62" s="18"/>
      <c r="U62" s="18"/>
      <c r="V62" s="17"/>
      <c r="W62" s="18"/>
      <c r="X62" s="18"/>
      <c r="Y62" s="18"/>
      <c r="Z62" s="18"/>
      <c r="AA62" s="18"/>
      <c r="AB62" s="18"/>
      <c r="AC62" s="18"/>
      <c r="AD62" s="33"/>
      <c r="AE62" s="18"/>
      <c r="AF62" s="18"/>
      <c r="AG62" s="18"/>
      <c r="AH62" s="18"/>
      <c r="AI62" s="18"/>
      <c r="AJ62" s="17"/>
      <c r="AK62" s="33"/>
      <c r="AL62" s="18"/>
      <c r="AM62" s="18"/>
      <c r="AN62" s="18"/>
      <c r="AO62" s="18"/>
      <c r="AP62" s="18"/>
      <c r="AQ62" s="17"/>
      <c r="AR62" s="18"/>
      <c r="AS62" s="8"/>
      <c r="AT62" s="8" t="s">
        <v>185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33"/>
      <c r="BI62" s="18"/>
      <c r="BJ62" s="18"/>
      <c r="BK62" s="18"/>
      <c r="BL62" s="17"/>
      <c r="BM62" s="13"/>
      <c r="BO62" s="26"/>
      <c r="BS62" s="26"/>
      <c r="CD62" s="27"/>
    </row>
    <row r="63" spans="1:82" s="11" customFormat="1">
      <c r="A63" s="32"/>
      <c r="B63" s="33"/>
      <c r="C63" s="18"/>
      <c r="D63" s="18"/>
      <c r="E63" s="18"/>
      <c r="F63" s="18"/>
      <c r="G63" s="18"/>
      <c r="H63" s="17"/>
      <c r="I63" s="18"/>
      <c r="J63" s="18"/>
      <c r="K63" s="18"/>
      <c r="L63" s="18"/>
      <c r="M63" s="18"/>
      <c r="N63" s="18"/>
      <c r="O63" s="18"/>
      <c r="P63" s="33"/>
      <c r="Q63" s="18"/>
      <c r="R63" s="18"/>
      <c r="S63" s="18"/>
      <c r="T63" s="18"/>
      <c r="U63" s="18"/>
      <c r="V63" s="17"/>
      <c r="W63" s="18"/>
      <c r="X63" s="18"/>
      <c r="Y63" s="18"/>
      <c r="Z63" s="18"/>
      <c r="AA63" s="18"/>
      <c r="AB63" s="18"/>
      <c r="AC63" s="18"/>
      <c r="AD63" s="33"/>
      <c r="AE63" s="18"/>
      <c r="AF63" s="18"/>
      <c r="AG63" s="18"/>
      <c r="AH63" s="18"/>
      <c r="AI63" s="18"/>
      <c r="AJ63" s="17"/>
      <c r="AK63" s="33"/>
      <c r="AL63" s="18"/>
      <c r="AM63" s="18"/>
      <c r="AN63" s="18"/>
      <c r="AO63" s="18"/>
      <c r="AP63" s="18"/>
      <c r="AQ63" s="17"/>
      <c r="AR63" s="18"/>
      <c r="AS63" s="8" t="s">
        <v>162</v>
      </c>
      <c r="AT63" s="8" t="s">
        <v>186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46" t="s">
        <v>147</v>
      </c>
      <c r="BI63" s="18"/>
      <c r="BJ63" s="18"/>
      <c r="BK63" s="18"/>
      <c r="BL63" s="17"/>
      <c r="BM63" s="13"/>
      <c r="BO63" s="26"/>
      <c r="BS63" s="26"/>
      <c r="CD63" s="27"/>
    </row>
    <row r="64" spans="1:82" s="11" customFormat="1">
      <c r="A64" s="32"/>
      <c r="B64" s="33"/>
      <c r="C64" s="18"/>
      <c r="D64" s="18"/>
      <c r="E64" s="18"/>
      <c r="F64" s="18"/>
      <c r="G64" s="18"/>
      <c r="H64" s="17"/>
      <c r="I64" s="18"/>
      <c r="J64" s="18"/>
      <c r="K64" s="18"/>
      <c r="L64" s="18"/>
      <c r="M64" s="18"/>
      <c r="N64" s="18"/>
      <c r="O64" s="18"/>
      <c r="P64" s="33"/>
      <c r="Q64" s="18"/>
      <c r="R64" s="18"/>
      <c r="S64" s="18"/>
      <c r="T64" s="18"/>
      <c r="U64" s="18"/>
      <c r="V64" s="17"/>
      <c r="W64" s="18"/>
      <c r="X64" s="18"/>
      <c r="Y64" s="18"/>
      <c r="Z64" s="18"/>
      <c r="AA64" s="18"/>
      <c r="AB64" s="18"/>
      <c r="AC64" s="18"/>
      <c r="AD64" s="33"/>
      <c r="AE64" s="18"/>
      <c r="AF64" s="18"/>
      <c r="AG64" s="18"/>
      <c r="AH64" s="18"/>
      <c r="AI64" s="18"/>
      <c r="AJ64" s="17"/>
      <c r="AK64" s="33"/>
      <c r="AL64" s="18"/>
      <c r="AM64" s="18"/>
      <c r="AN64" s="18"/>
      <c r="AO64" s="18"/>
      <c r="AP64" s="18"/>
      <c r="AQ64" s="17"/>
      <c r="AR64" s="18"/>
      <c r="AS64" s="8"/>
      <c r="AT64" s="8" t="s">
        <v>187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50" t="s">
        <v>188</v>
      </c>
      <c r="BI64" s="18"/>
      <c r="BJ64" s="18"/>
      <c r="BK64" s="18"/>
      <c r="BL64" s="17"/>
      <c r="BM64" s="13"/>
      <c r="BO64" s="26"/>
      <c r="BS64" s="26"/>
      <c r="CD64" s="27"/>
    </row>
    <row r="65" spans="1:82" s="11" customFormat="1">
      <c r="A65" s="32"/>
      <c r="B65" s="33"/>
      <c r="C65" s="18"/>
      <c r="D65" s="18"/>
      <c r="E65" s="18"/>
      <c r="F65" s="18"/>
      <c r="G65" s="18"/>
      <c r="H65" s="17"/>
      <c r="I65" s="18"/>
      <c r="J65" s="18"/>
      <c r="K65" s="18"/>
      <c r="L65" s="18"/>
      <c r="M65" s="18"/>
      <c r="N65" s="18"/>
      <c r="O65" s="18"/>
      <c r="P65" s="33"/>
      <c r="Q65" s="18"/>
      <c r="R65" s="18"/>
      <c r="S65" s="18"/>
      <c r="T65" s="18"/>
      <c r="U65" s="18"/>
      <c r="V65" s="17"/>
      <c r="W65" s="18"/>
      <c r="X65" s="18"/>
      <c r="Y65" s="18"/>
      <c r="Z65" s="18"/>
      <c r="AA65" s="18"/>
      <c r="AB65" s="18"/>
      <c r="AC65" s="18"/>
      <c r="AD65" s="33"/>
      <c r="AE65" s="18"/>
      <c r="AF65" s="18"/>
      <c r="AG65" s="18"/>
      <c r="AH65" s="18"/>
      <c r="AI65" s="18"/>
      <c r="AJ65" s="17"/>
      <c r="AK65" s="33"/>
      <c r="AL65" s="18"/>
      <c r="AM65" s="18"/>
      <c r="AN65" s="18"/>
      <c r="AO65" s="18"/>
      <c r="AP65" s="18"/>
      <c r="AQ65" s="17"/>
      <c r="AR65" s="18"/>
      <c r="AS65" s="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50" t="s">
        <v>189</v>
      </c>
      <c r="BI65" s="18"/>
      <c r="BJ65" s="18"/>
      <c r="BK65" s="18"/>
      <c r="BL65" s="17"/>
      <c r="BM65" s="13"/>
      <c r="BO65" s="26"/>
      <c r="BS65" s="26"/>
      <c r="CD65" s="27"/>
    </row>
    <row r="66" spans="1:82" s="11" customFormat="1">
      <c r="A66" s="32"/>
      <c r="B66" s="33"/>
      <c r="C66" s="18"/>
      <c r="D66" s="18"/>
      <c r="E66" s="18"/>
      <c r="F66" s="18"/>
      <c r="G66" s="18"/>
      <c r="H66" s="17"/>
      <c r="I66" s="18"/>
      <c r="J66" s="18"/>
      <c r="K66" s="18"/>
      <c r="L66" s="18"/>
      <c r="M66" s="18"/>
      <c r="N66" s="18"/>
      <c r="O66" s="18"/>
      <c r="P66" s="33"/>
      <c r="Q66" s="18"/>
      <c r="R66" s="18"/>
      <c r="S66" s="18"/>
      <c r="T66" s="18"/>
      <c r="U66" s="18"/>
      <c r="V66" s="17"/>
      <c r="W66" s="18"/>
      <c r="X66" s="18"/>
      <c r="Y66" s="18"/>
      <c r="Z66" s="18"/>
      <c r="AA66" s="18"/>
      <c r="AB66" s="18"/>
      <c r="AC66" s="18"/>
      <c r="AD66" s="33"/>
      <c r="AE66" s="18"/>
      <c r="AF66" s="18"/>
      <c r="AG66" s="18"/>
      <c r="AH66" s="18"/>
      <c r="AI66" s="18"/>
      <c r="AJ66" s="17"/>
      <c r="AK66" s="33"/>
      <c r="AL66" s="18"/>
      <c r="AM66" s="18"/>
      <c r="AN66" s="18"/>
      <c r="AO66" s="18"/>
      <c r="AP66" s="18"/>
      <c r="AQ66" s="17"/>
      <c r="AR66" s="18"/>
      <c r="AS66" s="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33"/>
      <c r="BI66" s="18"/>
      <c r="BJ66" s="18"/>
      <c r="BK66" s="18"/>
      <c r="BL66" s="17"/>
      <c r="BM66" s="13"/>
      <c r="BO66" s="26"/>
      <c r="BS66" s="26"/>
      <c r="CD66" s="27"/>
    </row>
    <row r="67" spans="1:82" s="11" customFormat="1">
      <c r="A67" s="32"/>
      <c r="B67" s="33"/>
      <c r="C67" s="18"/>
      <c r="D67" s="18"/>
      <c r="E67" s="18"/>
      <c r="F67" s="18"/>
      <c r="G67" s="18"/>
      <c r="H67" s="17"/>
      <c r="I67" s="18"/>
      <c r="J67" s="18"/>
      <c r="K67" s="18"/>
      <c r="L67" s="18"/>
      <c r="M67" s="18"/>
      <c r="N67" s="18"/>
      <c r="O67" s="18"/>
      <c r="P67" s="33"/>
      <c r="Q67" s="18"/>
      <c r="R67" s="18"/>
      <c r="S67" s="18"/>
      <c r="T67" s="18"/>
      <c r="U67" s="18"/>
      <c r="V67" s="17"/>
      <c r="W67" s="18"/>
      <c r="X67" s="18"/>
      <c r="Y67" s="18"/>
      <c r="Z67" s="18"/>
      <c r="AA67" s="18"/>
      <c r="AB67" s="18"/>
      <c r="AC67" s="18"/>
      <c r="AD67" s="33"/>
      <c r="AE67" s="18"/>
      <c r="AF67" s="18"/>
      <c r="AG67" s="18"/>
      <c r="AH67" s="18"/>
      <c r="AI67" s="18"/>
      <c r="AJ67" s="17"/>
      <c r="AK67" s="33"/>
      <c r="AL67" s="18"/>
      <c r="AM67" s="18"/>
      <c r="AN67" s="18"/>
      <c r="AO67" s="18"/>
      <c r="AP67" s="18"/>
      <c r="AQ67" s="17"/>
      <c r="AR67" s="18"/>
      <c r="AS67" s="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33"/>
      <c r="BI67" s="18"/>
      <c r="BJ67" s="18"/>
      <c r="BK67" s="18"/>
      <c r="BL67" s="17"/>
      <c r="BM67" s="13"/>
      <c r="BO67" s="26"/>
      <c r="BS67" s="26"/>
      <c r="CD67" s="27"/>
    </row>
    <row r="68" spans="1:82" s="11" customFormat="1">
      <c r="A68" s="32"/>
      <c r="B68" s="33"/>
      <c r="C68" s="18"/>
      <c r="D68" s="18"/>
      <c r="E68" s="18"/>
      <c r="F68" s="18"/>
      <c r="G68" s="18"/>
      <c r="H68" s="17"/>
      <c r="I68" s="18"/>
      <c r="J68" s="18"/>
      <c r="K68" s="18"/>
      <c r="L68" s="18"/>
      <c r="M68" s="18"/>
      <c r="N68" s="18"/>
      <c r="O68" s="18"/>
      <c r="P68" s="33"/>
      <c r="Q68" s="18"/>
      <c r="R68" s="18"/>
      <c r="S68" s="18"/>
      <c r="T68" s="18"/>
      <c r="U68" s="18"/>
      <c r="V68" s="17"/>
      <c r="W68" s="18"/>
      <c r="X68" s="18"/>
      <c r="Y68" s="18"/>
      <c r="Z68" s="18"/>
      <c r="AA68" s="18"/>
      <c r="AB68" s="18"/>
      <c r="AC68" s="18"/>
      <c r="AD68" s="33"/>
      <c r="AE68" s="18"/>
      <c r="AF68" s="18"/>
      <c r="AG68" s="18"/>
      <c r="AH68" s="18"/>
      <c r="AI68" s="18"/>
      <c r="AJ68" s="17"/>
      <c r="AK68" s="33"/>
      <c r="AL68" s="18"/>
      <c r="AM68" s="18"/>
      <c r="AN68" s="18"/>
      <c r="AO68" s="18"/>
      <c r="AP68" s="18"/>
      <c r="AQ68" s="17"/>
      <c r="AR68" s="18"/>
      <c r="AS68" s="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33"/>
      <c r="BI68" s="18"/>
      <c r="BJ68" s="18"/>
      <c r="BK68" s="18"/>
      <c r="BL68" s="17"/>
      <c r="BM68" s="13"/>
      <c r="BO68" s="26"/>
      <c r="BS68" s="26"/>
      <c r="CD68" s="27"/>
    </row>
    <row r="69" spans="1:82" s="11" customFormat="1">
      <c r="A69" s="32"/>
      <c r="B69" s="33"/>
      <c r="C69" s="18"/>
      <c r="D69" s="18"/>
      <c r="E69" s="18"/>
      <c r="F69" s="18"/>
      <c r="G69" s="18"/>
      <c r="H69" s="17"/>
      <c r="I69" s="18"/>
      <c r="J69" s="18"/>
      <c r="K69" s="18"/>
      <c r="L69" s="18"/>
      <c r="M69" s="18"/>
      <c r="N69" s="18"/>
      <c r="O69" s="18"/>
      <c r="P69" s="33"/>
      <c r="Q69" s="18"/>
      <c r="R69" s="18"/>
      <c r="S69" s="18"/>
      <c r="T69" s="18"/>
      <c r="U69" s="18"/>
      <c r="V69" s="17"/>
      <c r="W69" s="18"/>
      <c r="X69" s="18"/>
      <c r="Y69" s="18"/>
      <c r="Z69" s="18"/>
      <c r="AA69" s="18"/>
      <c r="AB69" s="18"/>
      <c r="AC69" s="18"/>
      <c r="AD69" s="33"/>
      <c r="AE69" s="18"/>
      <c r="AF69" s="18"/>
      <c r="AG69" s="18"/>
      <c r="AH69" s="18"/>
      <c r="AI69" s="18"/>
      <c r="AJ69" s="17"/>
      <c r="AK69" s="33"/>
      <c r="AL69" s="18"/>
      <c r="AM69" s="18"/>
      <c r="AN69" s="18"/>
      <c r="AO69" s="18"/>
      <c r="AP69" s="18"/>
      <c r="AQ69" s="17"/>
      <c r="AR69" s="18"/>
      <c r="AS69" s="16" t="s">
        <v>190</v>
      </c>
      <c r="AT69" s="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33"/>
      <c r="BI69" s="18"/>
      <c r="BJ69" s="18"/>
      <c r="BK69" s="18"/>
      <c r="BL69" s="17"/>
      <c r="BM69" s="13"/>
      <c r="BO69" s="26"/>
      <c r="BS69" s="26"/>
      <c r="CD69" s="27"/>
    </row>
    <row r="70" spans="1:82" s="11" customFormat="1">
      <c r="A70" s="32"/>
      <c r="B70" s="33"/>
      <c r="C70" s="18"/>
      <c r="D70" s="18"/>
      <c r="E70" s="18"/>
      <c r="F70" s="18"/>
      <c r="G70" s="18"/>
      <c r="H70" s="17"/>
      <c r="I70" s="18"/>
      <c r="J70" s="18"/>
      <c r="K70" s="18"/>
      <c r="L70" s="18"/>
      <c r="M70" s="18"/>
      <c r="N70" s="18"/>
      <c r="O70" s="18"/>
      <c r="P70" s="33"/>
      <c r="Q70" s="18"/>
      <c r="R70" s="18"/>
      <c r="S70" s="18"/>
      <c r="T70" s="18"/>
      <c r="U70" s="18"/>
      <c r="V70" s="17"/>
      <c r="W70" s="18"/>
      <c r="X70" s="18"/>
      <c r="Y70" s="18"/>
      <c r="Z70" s="18"/>
      <c r="AA70" s="18"/>
      <c r="AB70" s="18"/>
      <c r="AC70" s="18"/>
      <c r="AD70" s="33"/>
      <c r="AE70" s="18"/>
      <c r="AF70" s="18"/>
      <c r="AG70" s="18"/>
      <c r="AH70" s="18"/>
      <c r="AI70" s="18"/>
      <c r="AJ70" s="17"/>
      <c r="AK70" s="33"/>
      <c r="AL70" s="18"/>
      <c r="AM70" s="18"/>
      <c r="AN70" s="18"/>
      <c r="AO70" s="18"/>
      <c r="AP70" s="18"/>
      <c r="AQ70" s="17"/>
      <c r="AR70" s="18"/>
      <c r="AS70" s="8"/>
      <c r="AT70" s="8" t="s">
        <v>191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33"/>
      <c r="BI70" s="18"/>
      <c r="BJ70" s="18"/>
      <c r="BK70" s="18"/>
      <c r="BL70" s="17"/>
      <c r="BM70" s="13"/>
      <c r="BO70" s="26"/>
      <c r="BS70" s="26"/>
      <c r="CD70" s="27"/>
    </row>
    <row r="71" spans="1:82" s="11" customFormat="1">
      <c r="A71" s="32"/>
      <c r="B71" s="33"/>
      <c r="C71" s="18"/>
      <c r="D71" s="18"/>
      <c r="E71" s="18"/>
      <c r="F71" s="18"/>
      <c r="G71" s="18"/>
      <c r="H71" s="17"/>
      <c r="I71" s="18"/>
      <c r="J71" s="18"/>
      <c r="K71" s="18"/>
      <c r="L71" s="18"/>
      <c r="M71" s="18"/>
      <c r="N71" s="18"/>
      <c r="O71" s="18"/>
      <c r="P71" s="33"/>
      <c r="Q71" s="18"/>
      <c r="R71" s="18"/>
      <c r="S71" s="18"/>
      <c r="T71" s="18"/>
      <c r="U71" s="18"/>
      <c r="V71" s="17"/>
      <c r="W71" s="18"/>
      <c r="X71" s="18"/>
      <c r="Y71" s="18"/>
      <c r="Z71" s="18"/>
      <c r="AA71" s="18"/>
      <c r="AB71" s="18"/>
      <c r="AC71" s="18"/>
      <c r="AD71" s="33"/>
      <c r="AE71" s="18"/>
      <c r="AF71" s="18"/>
      <c r="AG71" s="18"/>
      <c r="AH71" s="18"/>
      <c r="AI71" s="18"/>
      <c r="AJ71" s="17"/>
      <c r="AK71" s="33"/>
      <c r="AL71" s="18"/>
      <c r="AM71" s="18"/>
      <c r="AN71" s="18"/>
      <c r="AO71" s="18"/>
      <c r="AP71" s="18"/>
      <c r="AQ71" s="17"/>
      <c r="AR71" s="18"/>
      <c r="AS71" s="8"/>
      <c r="AT71" s="8" t="s">
        <v>192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33" t="s">
        <v>193</v>
      </c>
      <c r="BI71" s="18"/>
      <c r="BJ71" s="18"/>
      <c r="BK71" s="18"/>
      <c r="BL71" s="17"/>
      <c r="BM71" s="13"/>
      <c r="BO71" s="26"/>
      <c r="BS71" s="26"/>
      <c r="CD71" s="27"/>
    </row>
    <row r="72" spans="1:82" s="11" customFormat="1">
      <c r="A72" s="32"/>
      <c r="B72" s="33"/>
      <c r="C72" s="18"/>
      <c r="D72" s="18"/>
      <c r="E72" s="18"/>
      <c r="F72" s="18"/>
      <c r="G72" s="18"/>
      <c r="H72" s="17"/>
      <c r="I72" s="18"/>
      <c r="J72" s="18"/>
      <c r="K72" s="18"/>
      <c r="L72" s="18"/>
      <c r="M72" s="18"/>
      <c r="N72" s="18"/>
      <c r="O72" s="18"/>
      <c r="P72" s="33"/>
      <c r="Q72" s="18"/>
      <c r="R72" s="18"/>
      <c r="S72" s="18"/>
      <c r="T72" s="18"/>
      <c r="U72" s="18"/>
      <c r="V72" s="17"/>
      <c r="W72" s="18"/>
      <c r="X72" s="18"/>
      <c r="Y72" s="18"/>
      <c r="Z72" s="18"/>
      <c r="AA72" s="18"/>
      <c r="AB72" s="18"/>
      <c r="AC72" s="18"/>
      <c r="AD72" s="33"/>
      <c r="AE72" s="18"/>
      <c r="AF72" s="18"/>
      <c r="AG72" s="18"/>
      <c r="AH72" s="18"/>
      <c r="AI72" s="18"/>
      <c r="AJ72" s="17"/>
      <c r="AK72" s="33"/>
      <c r="AL72" s="18"/>
      <c r="AM72" s="18"/>
      <c r="AN72" s="18"/>
      <c r="AO72" s="18"/>
      <c r="AP72" s="18"/>
      <c r="AQ72" s="17"/>
      <c r="AR72" s="18"/>
      <c r="AS72" s="8"/>
      <c r="AT72" s="8" t="s">
        <v>194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33"/>
      <c r="BI72" s="18"/>
      <c r="BJ72" s="18"/>
      <c r="BK72" s="18"/>
      <c r="BL72" s="17"/>
      <c r="BM72" s="13"/>
      <c r="BO72" s="26"/>
      <c r="BS72" s="26"/>
      <c r="CD72" s="27"/>
    </row>
    <row r="73" spans="1:82" s="11" customFormat="1">
      <c r="A73" s="32"/>
      <c r="B73" s="33"/>
      <c r="C73" s="18"/>
      <c r="D73" s="18"/>
      <c r="E73" s="18"/>
      <c r="F73" s="18"/>
      <c r="G73" s="18"/>
      <c r="H73" s="17"/>
      <c r="I73" s="18"/>
      <c r="J73" s="18"/>
      <c r="K73" s="18"/>
      <c r="L73" s="18"/>
      <c r="M73" s="18"/>
      <c r="N73" s="18"/>
      <c r="O73" s="18"/>
      <c r="P73" s="33"/>
      <c r="Q73" s="18"/>
      <c r="R73" s="18"/>
      <c r="S73" s="18"/>
      <c r="T73" s="18"/>
      <c r="U73" s="18"/>
      <c r="V73" s="17"/>
      <c r="W73" s="18"/>
      <c r="X73" s="18"/>
      <c r="Y73" s="18"/>
      <c r="Z73" s="18"/>
      <c r="AA73" s="18"/>
      <c r="AB73" s="18"/>
      <c r="AC73" s="18"/>
      <c r="AD73" s="33"/>
      <c r="AE73" s="18"/>
      <c r="AF73" s="18"/>
      <c r="AG73" s="18"/>
      <c r="AH73" s="18"/>
      <c r="AI73" s="18"/>
      <c r="AJ73" s="17"/>
      <c r="AK73" s="33"/>
      <c r="AL73" s="18"/>
      <c r="AM73" s="18"/>
      <c r="AN73" s="18"/>
      <c r="AO73" s="18"/>
      <c r="AP73" s="18"/>
      <c r="AQ73" s="17"/>
      <c r="AR73" s="18"/>
      <c r="AS73" s="8"/>
      <c r="AT73" s="8" t="s">
        <v>195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33"/>
      <c r="BI73" s="18"/>
      <c r="BJ73" s="18"/>
      <c r="BK73" s="18"/>
      <c r="BL73" s="17"/>
      <c r="BM73" s="13"/>
      <c r="BO73" s="26"/>
      <c r="BS73" s="26"/>
      <c r="CD73" s="27"/>
    </row>
    <row r="74" spans="1:82" s="11" customFormat="1">
      <c r="A74" s="32"/>
      <c r="B74" s="33"/>
      <c r="C74" s="18"/>
      <c r="D74" s="18"/>
      <c r="E74" s="18"/>
      <c r="F74" s="18"/>
      <c r="G74" s="18"/>
      <c r="H74" s="17"/>
      <c r="I74" s="18"/>
      <c r="J74" s="18"/>
      <c r="K74" s="18"/>
      <c r="L74" s="18"/>
      <c r="M74" s="18"/>
      <c r="N74" s="18"/>
      <c r="O74" s="18"/>
      <c r="P74" s="33"/>
      <c r="Q74" s="18"/>
      <c r="R74" s="18"/>
      <c r="S74" s="18"/>
      <c r="T74" s="18"/>
      <c r="U74" s="18"/>
      <c r="V74" s="17"/>
      <c r="W74" s="18"/>
      <c r="X74" s="18"/>
      <c r="Y74" s="18"/>
      <c r="Z74" s="18"/>
      <c r="AA74" s="18"/>
      <c r="AB74" s="18"/>
      <c r="AC74" s="18"/>
      <c r="AD74" s="33"/>
      <c r="AE74" s="18"/>
      <c r="AF74" s="18"/>
      <c r="AG74" s="18"/>
      <c r="AH74" s="18"/>
      <c r="AI74" s="18"/>
      <c r="AJ74" s="17"/>
      <c r="AK74" s="33"/>
      <c r="AL74" s="18"/>
      <c r="AM74" s="18"/>
      <c r="AN74" s="18"/>
      <c r="AO74" s="18"/>
      <c r="AP74" s="18"/>
      <c r="AQ74" s="17"/>
      <c r="AR74" s="18"/>
      <c r="AS74" s="8"/>
      <c r="AT74" s="8" t="s">
        <v>196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50" t="s">
        <v>197</v>
      </c>
      <c r="BI74" s="18"/>
      <c r="BJ74" s="18"/>
      <c r="BK74" s="18"/>
      <c r="BL74" s="17"/>
      <c r="BM74" s="13"/>
      <c r="BO74" s="26"/>
      <c r="BS74" s="26"/>
      <c r="CD74" s="27"/>
    </row>
    <row r="75" spans="1:82" s="11" customFormat="1">
      <c r="A75" s="32"/>
      <c r="B75" s="33"/>
      <c r="C75" s="18"/>
      <c r="D75" s="18"/>
      <c r="E75" s="18"/>
      <c r="F75" s="18"/>
      <c r="G75" s="18"/>
      <c r="H75" s="17"/>
      <c r="I75" s="18"/>
      <c r="J75" s="18"/>
      <c r="K75" s="18"/>
      <c r="L75" s="18"/>
      <c r="M75" s="18"/>
      <c r="N75" s="18"/>
      <c r="O75" s="18"/>
      <c r="P75" s="33"/>
      <c r="Q75" s="18"/>
      <c r="R75" s="18"/>
      <c r="S75" s="18"/>
      <c r="T75" s="18"/>
      <c r="U75" s="18"/>
      <c r="V75" s="17"/>
      <c r="W75" s="18"/>
      <c r="X75" s="18"/>
      <c r="Y75" s="18"/>
      <c r="Z75" s="18"/>
      <c r="AA75" s="18"/>
      <c r="AB75" s="18"/>
      <c r="AC75" s="18"/>
      <c r="AD75" s="33"/>
      <c r="AE75" s="18"/>
      <c r="AF75" s="18"/>
      <c r="AG75" s="18"/>
      <c r="AH75" s="18"/>
      <c r="AI75" s="18"/>
      <c r="AJ75" s="17"/>
      <c r="AK75" s="33"/>
      <c r="AL75" s="18"/>
      <c r="AM75" s="18"/>
      <c r="AN75" s="18"/>
      <c r="AO75" s="18"/>
      <c r="AP75" s="18"/>
      <c r="AQ75" s="17"/>
      <c r="AR75" s="18"/>
      <c r="AS75" s="8"/>
      <c r="AT75" s="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33"/>
      <c r="BI75" s="18"/>
      <c r="BJ75" s="18"/>
      <c r="BK75" s="18"/>
      <c r="BL75" s="17"/>
      <c r="BM75" s="13"/>
      <c r="BO75" s="26"/>
      <c r="BS75" s="26"/>
      <c r="CD75" s="27"/>
    </row>
    <row r="76" spans="1:82" s="11" customFormat="1">
      <c r="A76" s="32"/>
      <c r="B76" s="33"/>
      <c r="C76" s="18"/>
      <c r="D76" s="18"/>
      <c r="E76" s="18"/>
      <c r="F76" s="18"/>
      <c r="G76" s="18"/>
      <c r="H76" s="17"/>
      <c r="I76" s="18"/>
      <c r="J76" s="18"/>
      <c r="K76" s="18"/>
      <c r="L76" s="18"/>
      <c r="M76" s="18"/>
      <c r="N76" s="18"/>
      <c r="O76" s="18"/>
      <c r="P76" s="33"/>
      <c r="Q76" s="18"/>
      <c r="R76" s="18"/>
      <c r="S76" s="18"/>
      <c r="T76" s="18"/>
      <c r="U76" s="18"/>
      <c r="V76" s="17"/>
      <c r="W76" s="18"/>
      <c r="X76" s="18"/>
      <c r="Y76" s="18"/>
      <c r="Z76" s="18"/>
      <c r="AA76" s="18"/>
      <c r="AB76" s="18"/>
      <c r="AC76" s="18"/>
      <c r="AD76" s="33"/>
      <c r="AE76" s="18"/>
      <c r="AF76" s="18"/>
      <c r="AG76" s="18"/>
      <c r="AH76" s="18"/>
      <c r="AI76" s="18"/>
      <c r="AJ76" s="17"/>
      <c r="AK76" s="33"/>
      <c r="AL76" s="18"/>
      <c r="AM76" s="18"/>
      <c r="AN76" s="18"/>
      <c r="AO76" s="18"/>
      <c r="AP76" s="18"/>
      <c r="AQ76" s="17"/>
      <c r="AR76" s="18"/>
      <c r="AS76" s="8" t="s">
        <v>162</v>
      </c>
      <c r="AT76" s="31" t="s">
        <v>198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33"/>
      <c r="BI76" s="18"/>
      <c r="BJ76" s="18"/>
      <c r="BK76" s="18"/>
      <c r="BL76" s="17"/>
      <c r="BM76" s="13"/>
      <c r="BO76" s="26"/>
      <c r="BS76" s="26"/>
      <c r="CD76" s="27"/>
    </row>
    <row r="77" spans="1:82" s="11" customFormat="1">
      <c r="A77" s="32"/>
      <c r="B77" s="33"/>
      <c r="C77" s="18"/>
      <c r="D77" s="18"/>
      <c r="E77" s="18"/>
      <c r="F77" s="18"/>
      <c r="G77" s="18"/>
      <c r="H77" s="17"/>
      <c r="I77" s="18"/>
      <c r="J77" s="18"/>
      <c r="K77" s="18"/>
      <c r="L77" s="18"/>
      <c r="M77" s="18"/>
      <c r="N77" s="18"/>
      <c r="O77" s="18"/>
      <c r="P77" s="33"/>
      <c r="Q77" s="18"/>
      <c r="R77" s="18"/>
      <c r="S77" s="18"/>
      <c r="T77" s="18"/>
      <c r="U77" s="18"/>
      <c r="V77" s="17"/>
      <c r="W77" s="18"/>
      <c r="X77" s="18"/>
      <c r="Y77" s="18"/>
      <c r="Z77" s="18"/>
      <c r="AA77" s="18"/>
      <c r="AB77" s="18"/>
      <c r="AC77" s="18"/>
      <c r="AD77" s="33"/>
      <c r="AE77" s="18"/>
      <c r="AF77" s="18"/>
      <c r="AG77" s="18"/>
      <c r="AH77" s="18"/>
      <c r="AI77" s="18"/>
      <c r="AJ77" s="17"/>
      <c r="AK77" s="33"/>
      <c r="AL77" s="18"/>
      <c r="AM77" s="18"/>
      <c r="AN77" s="18"/>
      <c r="AO77" s="18"/>
      <c r="AP77" s="18"/>
      <c r="AQ77" s="17"/>
      <c r="AR77" s="18"/>
      <c r="AS77" s="8"/>
      <c r="AT77" s="31" t="s">
        <v>199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46" t="s">
        <v>147</v>
      </c>
      <c r="BI77" s="18"/>
      <c r="BJ77" s="18"/>
      <c r="BK77" s="18"/>
      <c r="BL77" s="17"/>
      <c r="BM77" s="13"/>
      <c r="BO77" s="26"/>
      <c r="BS77" s="26"/>
      <c r="CD77" s="27"/>
    </row>
    <row r="78" spans="1:82" s="11" customFormat="1">
      <c r="A78" s="32"/>
      <c r="B78" s="33"/>
      <c r="C78" s="18"/>
      <c r="D78" s="18"/>
      <c r="E78" s="18"/>
      <c r="F78" s="18"/>
      <c r="G78" s="18"/>
      <c r="H78" s="17"/>
      <c r="I78" s="18"/>
      <c r="J78" s="18"/>
      <c r="K78" s="18"/>
      <c r="L78" s="18"/>
      <c r="M78" s="18"/>
      <c r="N78" s="18"/>
      <c r="O78" s="18"/>
      <c r="P78" s="33"/>
      <c r="Q78" s="18"/>
      <c r="R78" s="18"/>
      <c r="S78" s="18"/>
      <c r="T78" s="18"/>
      <c r="U78" s="18"/>
      <c r="V78" s="17"/>
      <c r="W78" s="18"/>
      <c r="X78" s="18"/>
      <c r="Y78" s="18"/>
      <c r="Z78" s="18"/>
      <c r="AA78" s="18"/>
      <c r="AB78" s="18"/>
      <c r="AC78" s="18"/>
      <c r="AD78" s="33"/>
      <c r="AE78" s="18"/>
      <c r="AF78" s="18"/>
      <c r="AG78" s="18"/>
      <c r="AH78" s="18"/>
      <c r="AI78" s="18"/>
      <c r="AJ78" s="17"/>
      <c r="AK78" s="33"/>
      <c r="AL78" s="18"/>
      <c r="AM78" s="18"/>
      <c r="AN78" s="18"/>
      <c r="AO78" s="18"/>
      <c r="AP78" s="18"/>
      <c r="AQ78" s="17"/>
      <c r="AR78" s="18"/>
      <c r="AS78" s="8"/>
      <c r="AT78" s="31" t="s">
        <v>200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50" t="s">
        <v>165</v>
      </c>
      <c r="BI78" s="18"/>
      <c r="BJ78" s="18"/>
      <c r="BK78" s="18"/>
      <c r="BL78" s="17"/>
      <c r="BM78" s="13"/>
      <c r="BO78" s="26"/>
      <c r="BS78" s="26"/>
      <c r="CD78" s="27"/>
    </row>
    <row r="79" spans="1:82" s="11" customFormat="1">
      <c r="A79" s="32"/>
      <c r="B79" s="33"/>
      <c r="C79" s="18"/>
      <c r="D79" s="18"/>
      <c r="E79" s="18"/>
      <c r="F79" s="18"/>
      <c r="G79" s="18"/>
      <c r="H79" s="17"/>
      <c r="I79" s="18"/>
      <c r="J79" s="18"/>
      <c r="K79" s="18"/>
      <c r="L79" s="18"/>
      <c r="M79" s="18"/>
      <c r="N79" s="18"/>
      <c r="O79" s="18"/>
      <c r="P79" s="33"/>
      <c r="Q79" s="18"/>
      <c r="R79" s="18"/>
      <c r="S79" s="18"/>
      <c r="T79" s="18"/>
      <c r="U79" s="18"/>
      <c r="V79" s="17"/>
      <c r="W79" s="18"/>
      <c r="X79" s="18"/>
      <c r="Y79" s="18"/>
      <c r="Z79" s="18"/>
      <c r="AA79" s="18"/>
      <c r="AB79" s="18"/>
      <c r="AC79" s="18"/>
      <c r="AD79" s="33"/>
      <c r="AE79" s="18"/>
      <c r="AF79" s="18"/>
      <c r="AG79" s="18"/>
      <c r="AH79" s="18"/>
      <c r="AI79" s="18"/>
      <c r="AJ79" s="17"/>
      <c r="AK79" s="33"/>
      <c r="AL79" s="18"/>
      <c r="AM79" s="18"/>
      <c r="AN79" s="18"/>
      <c r="AO79" s="18"/>
      <c r="AP79" s="18"/>
      <c r="AQ79" s="17"/>
      <c r="AR79" s="18"/>
      <c r="AS79" s="16"/>
      <c r="AT79" s="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50" t="s">
        <v>167</v>
      </c>
      <c r="BI79" s="18"/>
      <c r="BJ79" s="18"/>
      <c r="BK79" s="18"/>
      <c r="BL79" s="17"/>
      <c r="BM79" s="13"/>
      <c r="BO79" s="26"/>
      <c r="BS79" s="26"/>
      <c r="CD79" s="27"/>
    </row>
    <row r="80" spans="1:82" s="11" customFormat="1">
      <c r="A80" s="32"/>
      <c r="B80" s="33"/>
      <c r="C80" s="18"/>
      <c r="D80" s="18"/>
      <c r="E80" s="18"/>
      <c r="F80" s="18"/>
      <c r="G80" s="18"/>
      <c r="H80" s="17"/>
      <c r="I80" s="18"/>
      <c r="J80" s="18"/>
      <c r="K80" s="18"/>
      <c r="L80" s="18"/>
      <c r="M80" s="18"/>
      <c r="N80" s="18"/>
      <c r="O80" s="18"/>
      <c r="P80" s="33"/>
      <c r="Q80" s="18"/>
      <c r="R80" s="18"/>
      <c r="S80" s="18"/>
      <c r="T80" s="18"/>
      <c r="U80" s="18"/>
      <c r="V80" s="17"/>
      <c r="W80" s="18"/>
      <c r="X80" s="18"/>
      <c r="Y80" s="18"/>
      <c r="Z80" s="18"/>
      <c r="AA80" s="18"/>
      <c r="AB80" s="18"/>
      <c r="AC80" s="18"/>
      <c r="AD80" s="33"/>
      <c r="AE80" s="18"/>
      <c r="AF80" s="18"/>
      <c r="AG80" s="18"/>
      <c r="AH80" s="18"/>
      <c r="AI80" s="18"/>
      <c r="AJ80" s="17"/>
      <c r="AK80" s="33"/>
      <c r="AL80" s="18"/>
      <c r="AM80" s="18"/>
      <c r="AN80" s="18"/>
      <c r="AO80" s="18"/>
      <c r="AP80" s="18"/>
      <c r="AQ80" s="17"/>
      <c r="AR80" s="18"/>
      <c r="AS80" s="8"/>
      <c r="AT80" s="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50" t="s">
        <v>168</v>
      </c>
      <c r="BI80" s="18"/>
      <c r="BJ80" s="18"/>
      <c r="BK80" s="18"/>
      <c r="BL80" s="17"/>
      <c r="BM80" s="13"/>
      <c r="BO80" s="26"/>
      <c r="BS80" s="26"/>
      <c r="CD80" s="27"/>
    </row>
    <row r="81" spans="1:82" s="11" customFormat="1">
      <c r="A81" s="32"/>
      <c r="B81" s="33"/>
      <c r="C81" s="18"/>
      <c r="D81" s="18"/>
      <c r="E81" s="18"/>
      <c r="F81" s="18"/>
      <c r="G81" s="18"/>
      <c r="H81" s="17"/>
      <c r="I81" s="18"/>
      <c r="J81" s="18"/>
      <c r="K81" s="18"/>
      <c r="L81" s="18"/>
      <c r="M81" s="18"/>
      <c r="N81" s="18"/>
      <c r="O81" s="18"/>
      <c r="P81" s="33"/>
      <c r="Q81" s="18"/>
      <c r="R81" s="18"/>
      <c r="S81" s="18"/>
      <c r="T81" s="18"/>
      <c r="U81" s="18"/>
      <c r="V81" s="17"/>
      <c r="W81" s="18"/>
      <c r="X81" s="18"/>
      <c r="Y81" s="18"/>
      <c r="Z81" s="18"/>
      <c r="AA81" s="18"/>
      <c r="AB81" s="18"/>
      <c r="AC81" s="18"/>
      <c r="AD81" s="33"/>
      <c r="AE81" s="18"/>
      <c r="AF81" s="18"/>
      <c r="AG81" s="18"/>
      <c r="AH81" s="18"/>
      <c r="AI81" s="18"/>
      <c r="AJ81" s="17"/>
      <c r="AK81" s="33"/>
      <c r="AL81" s="18"/>
      <c r="AM81" s="18"/>
      <c r="AN81" s="18"/>
      <c r="AO81" s="18"/>
      <c r="AP81" s="18"/>
      <c r="AQ81" s="17"/>
      <c r="AR81" s="18"/>
      <c r="AS81" s="8"/>
      <c r="AT81" s="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33"/>
      <c r="BI81" s="18"/>
      <c r="BJ81" s="18"/>
      <c r="BK81" s="18"/>
      <c r="BL81" s="17"/>
      <c r="BM81" s="13"/>
      <c r="BO81" s="26"/>
      <c r="BS81" s="26"/>
      <c r="CD81" s="27"/>
    </row>
    <row r="82" spans="1:82" s="11" customFormat="1">
      <c r="A82" s="32"/>
      <c r="B82" s="33"/>
      <c r="C82" s="18"/>
      <c r="D82" s="18"/>
      <c r="E82" s="18"/>
      <c r="F82" s="18"/>
      <c r="G82" s="18"/>
      <c r="H82" s="17"/>
      <c r="I82" s="18"/>
      <c r="J82" s="18"/>
      <c r="K82" s="18"/>
      <c r="L82" s="18"/>
      <c r="M82" s="18"/>
      <c r="N82" s="18"/>
      <c r="O82" s="18"/>
      <c r="P82" s="33"/>
      <c r="Q82" s="18"/>
      <c r="R82" s="18"/>
      <c r="S82" s="18"/>
      <c r="T82" s="18"/>
      <c r="U82" s="18"/>
      <c r="V82" s="17"/>
      <c r="W82" s="18"/>
      <c r="X82" s="18"/>
      <c r="Y82" s="18"/>
      <c r="Z82" s="18"/>
      <c r="AA82" s="18"/>
      <c r="AB82" s="18"/>
      <c r="AC82" s="18"/>
      <c r="AD82" s="33"/>
      <c r="AE82" s="18"/>
      <c r="AF82" s="18"/>
      <c r="AG82" s="18"/>
      <c r="AH82" s="18"/>
      <c r="AI82" s="18"/>
      <c r="AJ82" s="17"/>
      <c r="AK82" s="33"/>
      <c r="AL82" s="18"/>
      <c r="AM82" s="18"/>
      <c r="AN82" s="18"/>
      <c r="AO82" s="18"/>
      <c r="AP82" s="18"/>
      <c r="AQ82" s="17"/>
      <c r="AR82" s="18"/>
      <c r="AS82" s="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33"/>
      <c r="BI82" s="18"/>
      <c r="BJ82" s="18"/>
      <c r="BK82" s="18"/>
      <c r="BL82" s="17"/>
      <c r="BM82" s="13"/>
      <c r="BO82" s="26"/>
      <c r="BS82" s="26"/>
      <c r="CD82" s="27"/>
    </row>
    <row r="83" spans="1:82" s="11" customFormat="1">
      <c r="A83" s="32"/>
      <c r="B83" s="35" t="s">
        <v>201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35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13"/>
      <c r="BO83" s="23"/>
      <c r="BP83" s="24"/>
      <c r="BQ83" s="24"/>
      <c r="BR83" s="24"/>
      <c r="BS83" s="23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5"/>
    </row>
    <row r="84" spans="1:82" s="11" customFormat="1">
      <c r="A84" s="32"/>
      <c r="B84" s="33"/>
      <c r="C84" s="18"/>
      <c r="D84" s="18"/>
      <c r="E84" s="18"/>
      <c r="F84" s="18"/>
      <c r="G84" s="18"/>
      <c r="H84" s="17"/>
      <c r="I84" s="18"/>
      <c r="J84" s="18"/>
      <c r="K84" s="18"/>
      <c r="L84" s="18"/>
      <c r="M84" s="18"/>
      <c r="N84" s="18"/>
      <c r="O84" s="18"/>
      <c r="P84" s="33"/>
      <c r="Q84" s="18"/>
      <c r="R84" s="18"/>
      <c r="S84" s="18"/>
      <c r="T84" s="18"/>
      <c r="U84" s="18"/>
      <c r="V84" s="17"/>
      <c r="W84" s="18"/>
      <c r="X84" s="18"/>
      <c r="Y84" s="18"/>
      <c r="Z84" s="18"/>
      <c r="AA84" s="18"/>
      <c r="AB84" s="18"/>
      <c r="AC84" s="18"/>
      <c r="AD84" s="33"/>
      <c r="AE84" s="18"/>
      <c r="AF84" s="18"/>
      <c r="AG84" s="18"/>
      <c r="AH84" s="18"/>
      <c r="AI84" s="18"/>
      <c r="AJ84" s="17"/>
      <c r="AK84" s="33"/>
      <c r="AL84" s="18"/>
      <c r="AM84" s="18"/>
      <c r="AN84" s="18"/>
      <c r="AO84" s="18"/>
      <c r="AP84" s="18"/>
      <c r="AQ84" s="17"/>
      <c r="AR84" s="18"/>
      <c r="AS84" s="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33"/>
      <c r="BI84" s="18"/>
      <c r="BJ84" s="18"/>
      <c r="BK84" s="18"/>
      <c r="BL84" s="17"/>
      <c r="BM84" s="13"/>
      <c r="BO84" s="26"/>
      <c r="BS84" s="26"/>
      <c r="CD84" s="27"/>
    </row>
    <row r="85" spans="1:82" s="11" customFormat="1">
      <c r="A85" s="32"/>
      <c r="B85" s="33"/>
      <c r="C85" s="18"/>
      <c r="D85" s="18"/>
      <c r="E85" s="18"/>
      <c r="F85" s="18"/>
      <c r="G85" s="18"/>
      <c r="H85" s="17"/>
      <c r="I85" s="18"/>
      <c r="J85" s="18"/>
      <c r="K85" s="18"/>
      <c r="L85" s="18"/>
      <c r="M85" s="18"/>
      <c r="N85" s="18"/>
      <c r="O85" s="18"/>
      <c r="P85" s="33"/>
      <c r="Q85" s="18"/>
      <c r="R85" s="18"/>
      <c r="S85" s="18"/>
      <c r="T85" s="18"/>
      <c r="U85" s="18"/>
      <c r="V85" s="17"/>
      <c r="W85" s="18"/>
      <c r="X85" s="18"/>
      <c r="Y85" s="18"/>
      <c r="Z85" s="18"/>
      <c r="AA85" s="18"/>
      <c r="AB85" s="18"/>
      <c r="AC85" s="18"/>
      <c r="AD85" s="33"/>
      <c r="AE85" s="18"/>
      <c r="AF85" s="18"/>
      <c r="AG85" s="18"/>
      <c r="AH85" s="18"/>
      <c r="AI85" s="18"/>
      <c r="AJ85" s="17"/>
      <c r="AK85" s="33"/>
      <c r="AL85" s="18"/>
      <c r="AM85" s="18"/>
      <c r="AN85" s="18"/>
      <c r="AO85" s="18"/>
      <c r="AP85" s="18"/>
      <c r="AQ85" s="17"/>
      <c r="AR85" s="18"/>
      <c r="AS85" s="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33"/>
      <c r="BI85" s="18"/>
      <c r="BJ85" s="18"/>
      <c r="BK85" s="18"/>
      <c r="BL85" s="17"/>
      <c r="BM85" s="13"/>
      <c r="BO85" s="26"/>
      <c r="BS85" s="26"/>
      <c r="CD85" s="27"/>
    </row>
    <row r="86" spans="1:82" s="11" customFormat="1">
      <c r="A86" s="32"/>
      <c r="B86" s="33"/>
      <c r="C86" s="18"/>
      <c r="D86" s="18"/>
      <c r="E86" s="18"/>
      <c r="F86" s="18"/>
      <c r="G86" s="18"/>
      <c r="H86" s="17"/>
      <c r="I86" s="18"/>
      <c r="J86" s="18"/>
      <c r="K86" s="18"/>
      <c r="L86" s="18"/>
      <c r="M86" s="18"/>
      <c r="N86" s="18"/>
      <c r="O86" s="18"/>
      <c r="P86" s="33"/>
      <c r="Q86" s="18"/>
      <c r="R86" s="18"/>
      <c r="S86" s="18"/>
      <c r="T86" s="18"/>
      <c r="U86" s="18"/>
      <c r="V86" s="17"/>
      <c r="W86" s="18"/>
      <c r="X86" s="18"/>
      <c r="Y86" s="18"/>
      <c r="Z86" s="18"/>
      <c r="AA86" s="18"/>
      <c r="AB86" s="18"/>
      <c r="AC86" s="18"/>
      <c r="AD86" s="33"/>
      <c r="AE86" s="18"/>
      <c r="AF86" s="18"/>
      <c r="AG86" s="18"/>
      <c r="AH86" s="18"/>
      <c r="AI86" s="18"/>
      <c r="AJ86" s="17"/>
      <c r="AK86" s="33"/>
      <c r="AL86" s="18"/>
      <c r="AM86" s="18"/>
      <c r="AN86" s="18"/>
      <c r="AO86" s="18"/>
      <c r="AP86" s="18"/>
      <c r="AQ86" s="17"/>
      <c r="AR86" s="18"/>
      <c r="AS86" s="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33"/>
      <c r="BI86" s="18"/>
      <c r="BJ86" s="18"/>
      <c r="BK86" s="18"/>
      <c r="BL86" s="17"/>
      <c r="BM86" s="13"/>
      <c r="BO86" s="26"/>
      <c r="BS86" s="26"/>
      <c r="CD86" s="27"/>
    </row>
    <row r="87" spans="1:82" s="11" customFormat="1">
      <c r="A87" s="32"/>
      <c r="B87" s="33"/>
      <c r="C87" s="18"/>
      <c r="D87" s="18"/>
      <c r="E87" s="18"/>
      <c r="F87" s="18"/>
      <c r="G87" s="18"/>
      <c r="H87" s="17"/>
      <c r="I87" s="18"/>
      <c r="J87" s="18"/>
      <c r="K87" s="18"/>
      <c r="L87" s="18"/>
      <c r="M87" s="18"/>
      <c r="N87" s="18"/>
      <c r="O87" s="18"/>
      <c r="P87" s="33"/>
      <c r="Q87" s="18"/>
      <c r="R87" s="18"/>
      <c r="S87" s="18"/>
      <c r="T87" s="18"/>
      <c r="U87" s="18"/>
      <c r="V87" s="17"/>
      <c r="W87" s="18"/>
      <c r="X87" s="18"/>
      <c r="Y87" s="18"/>
      <c r="Z87" s="18"/>
      <c r="AA87" s="18"/>
      <c r="AB87" s="18"/>
      <c r="AC87" s="18"/>
      <c r="AD87" s="33"/>
      <c r="AE87" s="18"/>
      <c r="AF87" s="18"/>
      <c r="AG87" s="18"/>
      <c r="AH87" s="18"/>
      <c r="AI87" s="18"/>
      <c r="AJ87" s="17"/>
      <c r="AK87" s="33"/>
      <c r="AL87" s="18"/>
      <c r="AM87" s="18"/>
      <c r="AN87" s="18"/>
      <c r="AO87" s="18"/>
      <c r="AP87" s="18"/>
      <c r="AQ87" s="17"/>
      <c r="AR87" s="18"/>
      <c r="AS87" s="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33"/>
      <c r="BI87" s="18"/>
      <c r="BJ87" s="18"/>
      <c r="BK87" s="18"/>
      <c r="BL87" s="17"/>
      <c r="BM87" s="13"/>
      <c r="BO87" s="26"/>
      <c r="BS87" s="26"/>
      <c r="CD87" s="27"/>
    </row>
    <row r="88" spans="1:82" s="11" customFormat="1">
      <c r="A88" s="32"/>
      <c r="B88" s="33"/>
      <c r="C88" s="18"/>
      <c r="D88" s="18"/>
      <c r="E88" s="18"/>
      <c r="F88" s="18"/>
      <c r="G88" s="18"/>
      <c r="H88" s="17"/>
      <c r="I88" s="18"/>
      <c r="J88" s="18"/>
      <c r="K88" s="18"/>
      <c r="L88" s="18"/>
      <c r="M88" s="18"/>
      <c r="N88" s="18"/>
      <c r="O88" s="18"/>
      <c r="P88" s="33"/>
      <c r="Q88" s="18"/>
      <c r="R88" s="18"/>
      <c r="S88" s="18"/>
      <c r="T88" s="18"/>
      <c r="U88" s="18"/>
      <c r="V88" s="17"/>
      <c r="W88" s="18"/>
      <c r="X88" s="18"/>
      <c r="Y88" s="18"/>
      <c r="Z88" s="18"/>
      <c r="AA88" s="18"/>
      <c r="AB88" s="18"/>
      <c r="AC88" s="18"/>
      <c r="AD88" s="33"/>
      <c r="AE88" s="18"/>
      <c r="AF88" s="18"/>
      <c r="AG88" s="18"/>
      <c r="AH88" s="18"/>
      <c r="AI88" s="18"/>
      <c r="AJ88" s="17"/>
      <c r="AK88" s="33"/>
      <c r="AL88" s="18"/>
      <c r="AM88" s="18"/>
      <c r="AN88" s="18"/>
      <c r="AO88" s="18"/>
      <c r="AP88" s="18"/>
      <c r="AQ88" s="17"/>
      <c r="AR88" s="18"/>
      <c r="AS88" s="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33"/>
      <c r="BI88" s="18"/>
      <c r="BJ88" s="18"/>
      <c r="BK88" s="18"/>
      <c r="BL88" s="17"/>
      <c r="BM88" s="13"/>
      <c r="BO88" s="26"/>
      <c r="BS88" s="26"/>
      <c r="CD88" s="27"/>
    </row>
    <row r="89" spans="1:82" s="11" customFormat="1">
      <c r="A89" s="32"/>
      <c r="B89" s="33"/>
      <c r="C89" s="18"/>
      <c r="D89" s="18"/>
      <c r="E89" s="18"/>
      <c r="F89" s="18"/>
      <c r="G89" s="18"/>
      <c r="H89" s="17"/>
      <c r="I89" s="18"/>
      <c r="J89" s="18"/>
      <c r="K89" s="18"/>
      <c r="L89" s="18"/>
      <c r="M89" s="18"/>
      <c r="N89" s="18"/>
      <c r="O89" s="18"/>
      <c r="P89" s="33"/>
      <c r="Q89" s="18"/>
      <c r="R89" s="18"/>
      <c r="S89" s="18"/>
      <c r="T89" s="18"/>
      <c r="U89" s="18"/>
      <c r="V89" s="17"/>
      <c r="W89" s="18"/>
      <c r="X89" s="18"/>
      <c r="Y89" s="18"/>
      <c r="Z89" s="18"/>
      <c r="AA89" s="18"/>
      <c r="AB89" s="18"/>
      <c r="AC89" s="18"/>
      <c r="AD89" s="33"/>
      <c r="AE89" s="18"/>
      <c r="AF89" s="18"/>
      <c r="AG89" s="18"/>
      <c r="AH89" s="18"/>
      <c r="AI89" s="18"/>
      <c r="AJ89" s="17"/>
      <c r="AK89" s="33"/>
      <c r="AL89" s="18"/>
      <c r="AM89" s="18"/>
      <c r="AN89" s="18"/>
      <c r="AO89" s="18"/>
      <c r="AP89" s="18"/>
      <c r="AQ89" s="17"/>
      <c r="AR89" s="18"/>
      <c r="AS89" s="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33"/>
      <c r="BI89" s="18"/>
      <c r="BJ89" s="18"/>
      <c r="BK89" s="18"/>
      <c r="BL89" s="17"/>
      <c r="BM89" s="13"/>
      <c r="BO89" s="26"/>
      <c r="BS89" s="26"/>
      <c r="CD89" s="27"/>
    </row>
    <row r="90" spans="1:82" s="11" customFormat="1">
      <c r="A90" s="32"/>
      <c r="B90" s="33"/>
      <c r="C90" s="18"/>
      <c r="D90" s="18"/>
      <c r="E90" s="18"/>
      <c r="F90" s="18"/>
      <c r="G90" s="18"/>
      <c r="H90" s="17"/>
      <c r="I90" s="18"/>
      <c r="J90" s="18"/>
      <c r="K90" s="18"/>
      <c r="L90" s="18"/>
      <c r="M90" s="18"/>
      <c r="N90" s="18"/>
      <c r="O90" s="18"/>
      <c r="P90" s="33"/>
      <c r="Q90" s="18"/>
      <c r="R90" s="18"/>
      <c r="S90" s="18"/>
      <c r="T90" s="18"/>
      <c r="U90" s="18"/>
      <c r="V90" s="17"/>
      <c r="W90" s="18"/>
      <c r="X90" s="18"/>
      <c r="Y90" s="18"/>
      <c r="Z90" s="18"/>
      <c r="AA90" s="18"/>
      <c r="AB90" s="18"/>
      <c r="AC90" s="18"/>
      <c r="AD90" s="33"/>
      <c r="AE90" s="18"/>
      <c r="AF90" s="18"/>
      <c r="AG90" s="18"/>
      <c r="AH90" s="18"/>
      <c r="AI90" s="18"/>
      <c r="AJ90" s="17"/>
      <c r="AK90" s="33"/>
      <c r="AL90" s="18"/>
      <c r="AM90" s="18"/>
      <c r="AN90" s="18"/>
      <c r="AO90" s="18"/>
      <c r="AP90" s="18"/>
      <c r="AQ90" s="17"/>
      <c r="AR90" s="18"/>
      <c r="AS90" s="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33"/>
      <c r="BI90" s="18"/>
      <c r="BJ90" s="18"/>
      <c r="BK90" s="18"/>
      <c r="BL90" s="17"/>
      <c r="BM90" s="13"/>
      <c r="BO90" s="26"/>
      <c r="BS90" s="26"/>
      <c r="CD90" s="27"/>
    </row>
    <row r="91" spans="1:82" s="11" customFormat="1">
      <c r="A91" s="32"/>
      <c r="B91" s="33"/>
      <c r="C91" s="18"/>
      <c r="D91" s="18"/>
      <c r="E91" s="18"/>
      <c r="F91" s="18"/>
      <c r="G91" s="18"/>
      <c r="H91" s="17"/>
      <c r="I91" s="18"/>
      <c r="J91" s="18"/>
      <c r="K91" s="18"/>
      <c r="L91" s="18"/>
      <c r="M91" s="18"/>
      <c r="N91" s="18"/>
      <c r="O91" s="18"/>
      <c r="P91" s="33"/>
      <c r="Q91" s="18"/>
      <c r="R91" s="18"/>
      <c r="S91" s="18"/>
      <c r="T91" s="18"/>
      <c r="U91" s="18"/>
      <c r="V91" s="17"/>
      <c r="W91" s="18"/>
      <c r="X91" s="18"/>
      <c r="Y91" s="18"/>
      <c r="Z91" s="18"/>
      <c r="AA91" s="18"/>
      <c r="AB91" s="18"/>
      <c r="AC91" s="18"/>
      <c r="AD91" s="33"/>
      <c r="AE91" s="18"/>
      <c r="AF91" s="18"/>
      <c r="AG91" s="18"/>
      <c r="AH91" s="18"/>
      <c r="AI91" s="18"/>
      <c r="AJ91" s="17"/>
      <c r="AK91" s="33"/>
      <c r="AL91" s="18"/>
      <c r="AM91" s="18"/>
      <c r="AN91" s="18"/>
      <c r="AO91" s="18"/>
      <c r="AP91" s="18"/>
      <c r="AQ91" s="17"/>
      <c r="AR91" s="18"/>
      <c r="AS91" s="19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33"/>
      <c r="BI91" s="18"/>
      <c r="BJ91" s="18"/>
      <c r="BK91" s="18"/>
      <c r="BL91" s="17"/>
      <c r="BM91" s="13"/>
      <c r="BO91" s="26"/>
      <c r="BS91" s="26"/>
      <c r="CD91" s="27"/>
    </row>
    <row r="92" spans="1:82" s="11" customFormat="1">
      <c r="A92" s="32"/>
      <c r="B92" s="33"/>
      <c r="C92" s="18"/>
      <c r="D92" s="18"/>
      <c r="E92" s="18"/>
      <c r="F92" s="18"/>
      <c r="G92" s="18"/>
      <c r="H92" s="17"/>
      <c r="I92" s="18"/>
      <c r="J92" s="18"/>
      <c r="K92" s="18"/>
      <c r="L92" s="18"/>
      <c r="M92" s="18"/>
      <c r="N92" s="18"/>
      <c r="O92" s="18"/>
      <c r="P92" s="33"/>
      <c r="Q92" s="18"/>
      <c r="R92" s="18"/>
      <c r="S92" s="18"/>
      <c r="T92" s="18"/>
      <c r="U92" s="18"/>
      <c r="V92" s="17"/>
      <c r="W92" s="18"/>
      <c r="X92" s="18"/>
      <c r="Y92" s="18"/>
      <c r="Z92" s="18"/>
      <c r="AA92" s="18"/>
      <c r="AB92" s="18"/>
      <c r="AC92" s="18"/>
      <c r="AD92" s="33"/>
      <c r="AE92" s="18"/>
      <c r="AF92" s="18"/>
      <c r="AG92" s="18"/>
      <c r="AH92" s="18"/>
      <c r="AI92" s="18"/>
      <c r="AJ92" s="17"/>
      <c r="AK92" s="33"/>
      <c r="AL92" s="18"/>
      <c r="AM92" s="18"/>
      <c r="AN92" s="18"/>
      <c r="AO92" s="18"/>
      <c r="AP92" s="18"/>
      <c r="AQ92" s="17"/>
      <c r="AR92" s="18"/>
      <c r="AT92" s="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33"/>
      <c r="BI92" s="18"/>
      <c r="BJ92" s="18"/>
      <c r="BK92" s="18"/>
      <c r="BL92" s="17"/>
      <c r="BM92" s="13"/>
      <c r="BO92" s="26"/>
      <c r="BS92" s="26"/>
      <c r="CD92" s="27"/>
    </row>
    <row r="93" spans="1:82" s="11" customFormat="1">
      <c r="A93" s="32"/>
      <c r="B93" s="33"/>
      <c r="C93" s="18"/>
      <c r="D93" s="18"/>
      <c r="E93" s="18"/>
      <c r="F93" s="18"/>
      <c r="G93" s="18"/>
      <c r="H93" s="17"/>
      <c r="I93" s="18"/>
      <c r="J93" s="18"/>
      <c r="K93" s="18"/>
      <c r="L93" s="18"/>
      <c r="M93" s="18"/>
      <c r="N93" s="18"/>
      <c r="O93" s="18"/>
      <c r="P93" s="33"/>
      <c r="Q93" s="18"/>
      <c r="R93" s="18"/>
      <c r="S93" s="18"/>
      <c r="T93" s="18"/>
      <c r="U93" s="18"/>
      <c r="V93" s="17"/>
      <c r="W93" s="18"/>
      <c r="X93" s="18"/>
      <c r="Y93" s="18"/>
      <c r="Z93" s="18"/>
      <c r="AA93" s="18"/>
      <c r="AB93" s="18"/>
      <c r="AC93" s="18"/>
      <c r="AD93" s="33"/>
      <c r="AE93" s="18"/>
      <c r="AF93" s="18"/>
      <c r="AG93" s="18"/>
      <c r="AH93" s="18"/>
      <c r="AI93" s="18"/>
      <c r="AJ93" s="17"/>
      <c r="AK93" s="33"/>
      <c r="AL93" s="18"/>
      <c r="AM93" s="18"/>
      <c r="AN93" s="18"/>
      <c r="AO93" s="18"/>
      <c r="AP93" s="18"/>
      <c r="AQ93" s="17"/>
      <c r="AR93" s="18"/>
      <c r="AS93" s="8"/>
      <c r="AT93" s="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33"/>
      <c r="BI93" s="18"/>
      <c r="BJ93" s="18"/>
      <c r="BK93" s="18"/>
      <c r="BL93" s="17"/>
      <c r="BM93" s="13"/>
      <c r="BO93" s="26"/>
      <c r="BS93" s="26"/>
      <c r="CD93" s="27"/>
    </row>
    <row r="94" spans="1:82" s="11" customFormat="1">
      <c r="A94" s="32"/>
      <c r="B94" s="33"/>
      <c r="C94" s="18"/>
      <c r="D94" s="18"/>
      <c r="E94" s="18"/>
      <c r="F94" s="18"/>
      <c r="G94" s="18"/>
      <c r="H94" s="17"/>
      <c r="I94" s="18"/>
      <c r="J94" s="18"/>
      <c r="K94" s="18"/>
      <c r="L94" s="18"/>
      <c r="M94" s="18"/>
      <c r="N94" s="18"/>
      <c r="O94" s="18"/>
      <c r="P94" s="33"/>
      <c r="Q94" s="18"/>
      <c r="R94" s="18"/>
      <c r="S94" s="18"/>
      <c r="T94" s="18"/>
      <c r="U94" s="18"/>
      <c r="V94" s="17"/>
      <c r="W94" s="18"/>
      <c r="X94" s="18"/>
      <c r="Y94" s="18"/>
      <c r="Z94" s="18"/>
      <c r="AA94" s="18"/>
      <c r="AB94" s="18"/>
      <c r="AC94" s="18"/>
      <c r="AD94" s="33"/>
      <c r="AE94" s="18"/>
      <c r="AF94" s="18"/>
      <c r="AG94" s="18"/>
      <c r="AH94" s="18"/>
      <c r="AI94" s="18"/>
      <c r="AJ94" s="17"/>
      <c r="AK94" s="33"/>
      <c r="AL94" s="18"/>
      <c r="AM94" s="18"/>
      <c r="AN94" s="18"/>
      <c r="AO94" s="18"/>
      <c r="AP94" s="18"/>
      <c r="AQ94" s="17"/>
      <c r="AR94" s="18"/>
      <c r="AS94" s="16" t="s">
        <v>202</v>
      </c>
      <c r="AT94" s="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33"/>
      <c r="BI94" s="18"/>
      <c r="BJ94" s="18"/>
      <c r="BK94" s="18"/>
      <c r="BL94" s="17"/>
      <c r="BM94" s="13"/>
      <c r="BO94" s="26"/>
      <c r="BS94" s="26"/>
      <c r="CD94" s="27"/>
    </row>
    <row r="95" spans="1:82" s="11" customFormat="1">
      <c r="A95" s="32"/>
      <c r="B95" s="33"/>
      <c r="C95" s="18"/>
      <c r="D95" s="18"/>
      <c r="E95" s="18"/>
      <c r="F95" s="18"/>
      <c r="G95" s="18"/>
      <c r="H95" s="17"/>
      <c r="I95" s="18"/>
      <c r="J95" s="18"/>
      <c r="K95" s="18"/>
      <c r="L95" s="18"/>
      <c r="M95" s="18"/>
      <c r="N95" s="18"/>
      <c r="O95" s="18"/>
      <c r="P95" s="33"/>
      <c r="Q95" s="18"/>
      <c r="R95" s="18"/>
      <c r="S95" s="18"/>
      <c r="T95" s="18"/>
      <c r="U95" s="18"/>
      <c r="V95" s="17"/>
      <c r="W95" s="18"/>
      <c r="X95" s="18"/>
      <c r="Y95" s="18"/>
      <c r="Z95" s="18"/>
      <c r="AA95" s="18"/>
      <c r="AB95" s="18"/>
      <c r="AC95" s="18"/>
      <c r="AD95" s="33"/>
      <c r="AE95" s="18"/>
      <c r="AF95" s="18"/>
      <c r="AG95" s="18"/>
      <c r="AH95" s="18"/>
      <c r="AI95" s="18"/>
      <c r="AJ95" s="17"/>
      <c r="AK95" s="33"/>
      <c r="AL95" s="18"/>
      <c r="AM95" s="18"/>
      <c r="AN95" s="18"/>
      <c r="AO95" s="18"/>
      <c r="AP95" s="18"/>
      <c r="AQ95" s="17"/>
      <c r="AR95" s="18"/>
      <c r="AS95" s="8"/>
      <c r="AT95" s="8" t="s">
        <v>203</v>
      </c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33"/>
      <c r="BI95" s="18"/>
      <c r="BJ95" s="18"/>
      <c r="BK95" s="18"/>
      <c r="BL95" s="17"/>
      <c r="BM95" s="13"/>
      <c r="BO95" s="26"/>
      <c r="BS95" s="26"/>
      <c r="CD95" s="27"/>
    </row>
    <row r="96" spans="1:82" s="11" customFormat="1">
      <c r="A96" s="32"/>
      <c r="B96" s="33"/>
      <c r="C96" s="18"/>
      <c r="D96" s="18"/>
      <c r="E96" s="18"/>
      <c r="F96" s="18"/>
      <c r="G96" s="18"/>
      <c r="H96" s="17"/>
      <c r="I96" s="18"/>
      <c r="J96" s="18"/>
      <c r="K96" s="18"/>
      <c r="L96" s="18"/>
      <c r="M96" s="18"/>
      <c r="N96" s="18"/>
      <c r="O96" s="18"/>
      <c r="P96" s="33"/>
      <c r="Q96" s="18"/>
      <c r="R96" s="18"/>
      <c r="S96" s="18"/>
      <c r="T96" s="18"/>
      <c r="U96" s="18"/>
      <c r="V96" s="17"/>
      <c r="W96" s="18"/>
      <c r="X96" s="18"/>
      <c r="Y96" s="18"/>
      <c r="Z96" s="18"/>
      <c r="AA96" s="18"/>
      <c r="AB96" s="18"/>
      <c r="AC96" s="18"/>
      <c r="AD96" s="33"/>
      <c r="AE96" s="18"/>
      <c r="AF96" s="18"/>
      <c r="AG96" s="18"/>
      <c r="AH96" s="18"/>
      <c r="AI96" s="18"/>
      <c r="AJ96" s="17"/>
      <c r="AK96" s="33"/>
      <c r="AL96" s="18"/>
      <c r="AM96" s="18"/>
      <c r="AN96" s="18"/>
      <c r="AO96" s="18"/>
      <c r="AP96" s="18"/>
      <c r="AQ96" s="17"/>
      <c r="AR96" s="18"/>
      <c r="AS96" s="8" t="s">
        <v>162</v>
      </c>
      <c r="AT96" s="8" t="s">
        <v>204</v>
      </c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46" t="s">
        <v>147</v>
      </c>
      <c r="BI96" s="18"/>
      <c r="BJ96" s="18"/>
      <c r="BK96" s="18"/>
      <c r="BL96" s="17"/>
      <c r="BM96" s="13"/>
      <c r="BO96" s="26"/>
      <c r="BS96" s="26"/>
      <c r="CD96" s="27"/>
    </row>
    <row r="97" spans="1:82" s="11" customFormat="1">
      <c r="A97" s="32"/>
      <c r="B97" s="33"/>
      <c r="C97" s="18"/>
      <c r="D97" s="18"/>
      <c r="E97" s="18"/>
      <c r="F97" s="18"/>
      <c r="G97" s="18"/>
      <c r="H97" s="17"/>
      <c r="I97" s="18"/>
      <c r="J97" s="18"/>
      <c r="K97" s="18"/>
      <c r="L97" s="18"/>
      <c r="M97" s="18"/>
      <c r="N97" s="18"/>
      <c r="O97" s="18"/>
      <c r="P97" s="33"/>
      <c r="Q97" s="18"/>
      <c r="R97" s="18"/>
      <c r="S97" s="18"/>
      <c r="T97" s="18"/>
      <c r="U97" s="18"/>
      <c r="V97" s="17"/>
      <c r="W97" s="18"/>
      <c r="X97" s="18"/>
      <c r="Y97" s="18"/>
      <c r="Z97" s="18"/>
      <c r="AA97" s="18"/>
      <c r="AB97" s="18"/>
      <c r="AC97" s="18"/>
      <c r="AD97" s="33"/>
      <c r="AE97" s="18"/>
      <c r="AF97" s="18"/>
      <c r="AG97" s="18"/>
      <c r="AH97" s="18"/>
      <c r="AI97" s="18"/>
      <c r="AJ97" s="17"/>
      <c r="AK97" s="33"/>
      <c r="AL97" s="18"/>
      <c r="AM97" s="18"/>
      <c r="AN97" s="18"/>
      <c r="AO97" s="18"/>
      <c r="AP97" s="18"/>
      <c r="AQ97" s="17"/>
      <c r="AR97" s="18"/>
      <c r="AS97" s="8"/>
      <c r="AT97" s="8" t="s">
        <v>205</v>
      </c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50" t="s">
        <v>188</v>
      </c>
      <c r="BI97" s="18"/>
      <c r="BJ97" s="18"/>
      <c r="BK97" s="18"/>
      <c r="BL97" s="17"/>
      <c r="BM97" s="13"/>
      <c r="BO97" s="26"/>
      <c r="BS97" s="26"/>
      <c r="CD97" s="27"/>
    </row>
    <row r="98" spans="1:82" s="11" customFormat="1">
      <c r="A98" s="32"/>
      <c r="B98" s="33"/>
      <c r="C98" s="18"/>
      <c r="D98" s="18"/>
      <c r="E98" s="18"/>
      <c r="F98" s="18"/>
      <c r="G98" s="18"/>
      <c r="H98" s="17"/>
      <c r="I98" s="18"/>
      <c r="J98" s="18"/>
      <c r="K98" s="18"/>
      <c r="L98" s="18"/>
      <c r="M98" s="18"/>
      <c r="N98" s="18"/>
      <c r="O98" s="18"/>
      <c r="P98" s="33"/>
      <c r="Q98" s="18"/>
      <c r="R98" s="18"/>
      <c r="S98" s="18"/>
      <c r="T98" s="18"/>
      <c r="U98" s="18"/>
      <c r="V98" s="17"/>
      <c r="W98" s="18"/>
      <c r="X98" s="18"/>
      <c r="Y98" s="18"/>
      <c r="Z98" s="18"/>
      <c r="AA98" s="18"/>
      <c r="AB98" s="18"/>
      <c r="AC98" s="18"/>
      <c r="AD98" s="33"/>
      <c r="AE98" s="18"/>
      <c r="AF98" s="18"/>
      <c r="AG98" s="18"/>
      <c r="AH98" s="18"/>
      <c r="AI98" s="18"/>
      <c r="AJ98" s="17"/>
      <c r="AK98" s="33"/>
      <c r="AL98" s="18"/>
      <c r="AM98" s="18"/>
      <c r="AN98" s="18"/>
      <c r="AO98" s="18"/>
      <c r="AP98" s="18"/>
      <c r="AQ98" s="17"/>
      <c r="AR98" s="18"/>
      <c r="AS98" s="8"/>
      <c r="AT98" s="8" t="s">
        <v>206</v>
      </c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50" t="s">
        <v>189</v>
      </c>
      <c r="BI98" s="18"/>
      <c r="BJ98" s="18"/>
      <c r="BK98" s="18"/>
      <c r="BL98" s="17"/>
      <c r="BM98" s="13"/>
      <c r="BO98" s="26"/>
      <c r="BS98" s="26"/>
      <c r="CD98" s="27"/>
    </row>
    <row r="99" spans="1:82" s="11" customFormat="1">
      <c r="A99" s="32"/>
      <c r="B99" s="33"/>
      <c r="C99" s="18"/>
      <c r="D99" s="18"/>
      <c r="E99" s="18"/>
      <c r="F99" s="18"/>
      <c r="G99" s="18"/>
      <c r="H99" s="17"/>
      <c r="I99" s="18"/>
      <c r="J99" s="18"/>
      <c r="K99" s="18"/>
      <c r="L99" s="18"/>
      <c r="M99" s="18"/>
      <c r="N99" s="18"/>
      <c r="O99" s="18"/>
      <c r="P99" s="33"/>
      <c r="Q99" s="18"/>
      <c r="R99" s="18"/>
      <c r="S99" s="18"/>
      <c r="T99" s="18"/>
      <c r="U99" s="18"/>
      <c r="V99" s="17"/>
      <c r="W99" s="18"/>
      <c r="X99" s="18"/>
      <c r="Y99" s="18"/>
      <c r="Z99" s="18"/>
      <c r="AA99" s="18"/>
      <c r="AB99" s="18"/>
      <c r="AC99" s="18"/>
      <c r="AD99" s="33"/>
      <c r="AE99" s="18"/>
      <c r="AF99" s="18"/>
      <c r="AG99" s="18"/>
      <c r="AH99" s="18"/>
      <c r="AI99" s="18"/>
      <c r="AJ99" s="17"/>
      <c r="AK99" s="33"/>
      <c r="AL99" s="18"/>
      <c r="AM99" s="18"/>
      <c r="AN99" s="18"/>
      <c r="AO99" s="18"/>
      <c r="AP99" s="18"/>
      <c r="AQ99" s="17"/>
      <c r="AR99" s="18"/>
      <c r="AS99" s="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33"/>
      <c r="BI99" s="18"/>
      <c r="BJ99" s="18"/>
      <c r="BK99" s="18"/>
      <c r="BL99" s="17"/>
      <c r="BM99" s="13"/>
      <c r="BO99" s="26"/>
      <c r="BS99" s="26"/>
      <c r="CD99" s="27"/>
    </row>
    <row r="100" spans="1:82" s="11" customFormat="1">
      <c r="A100" s="32"/>
      <c r="B100" s="33"/>
      <c r="C100" s="18"/>
      <c r="D100" s="18"/>
      <c r="E100" s="18"/>
      <c r="F100" s="18"/>
      <c r="G100" s="18"/>
      <c r="H100" s="17"/>
      <c r="I100" s="18"/>
      <c r="J100" s="18"/>
      <c r="K100" s="18"/>
      <c r="L100" s="18"/>
      <c r="M100" s="18"/>
      <c r="N100" s="18"/>
      <c r="O100" s="18"/>
      <c r="P100" s="33"/>
      <c r="Q100" s="18"/>
      <c r="R100" s="18"/>
      <c r="S100" s="18"/>
      <c r="T100" s="18"/>
      <c r="U100" s="18"/>
      <c r="V100" s="17"/>
      <c r="W100" s="18"/>
      <c r="X100" s="18"/>
      <c r="Y100" s="18"/>
      <c r="Z100" s="18"/>
      <c r="AA100" s="18"/>
      <c r="AB100" s="18"/>
      <c r="AC100" s="18"/>
      <c r="AD100" s="33"/>
      <c r="AE100" s="18"/>
      <c r="AF100" s="18"/>
      <c r="AG100" s="18"/>
      <c r="AH100" s="18"/>
      <c r="AI100" s="18"/>
      <c r="AJ100" s="17"/>
      <c r="AK100" s="33"/>
      <c r="AL100" s="18"/>
      <c r="AM100" s="18"/>
      <c r="AN100" s="18"/>
      <c r="AO100" s="18"/>
      <c r="AP100" s="18"/>
      <c r="AQ100" s="17"/>
      <c r="AR100" s="18"/>
      <c r="AS100" s="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33"/>
      <c r="BI100" s="18"/>
      <c r="BJ100" s="18"/>
      <c r="BK100" s="18"/>
      <c r="BL100" s="17"/>
      <c r="BM100" s="13"/>
      <c r="BO100" s="26"/>
      <c r="BS100" s="26"/>
      <c r="CD100" s="27"/>
    </row>
    <row r="101" spans="1:82" s="11" customFormat="1">
      <c r="A101" s="32"/>
      <c r="B101" s="33"/>
      <c r="C101" s="18"/>
      <c r="D101" s="18"/>
      <c r="E101" s="18"/>
      <c r="F101" s="18"/>
      <c r="G101" s="18"/>
      <c r="H101" s="17"/>
      <c r="I101" s="18"/>
      <c r="J101" s="18"/>
      <c r="K101" s="18"/>
      <c r="L101" s="18"/>
      <c r="M101" s="18"/>
      <c r="N101" s="18"/>
      <c r="O101" s="18"/>
      <c r="P101" s="33"/>
      <c r="Q101" s="18"/>
      <c r="R101" s="18"/>
      <c r="S101" s="18"/>
      <c r="T101" s="18"/>
      <c r="U101" s="18"/>
      <c r="V101" s="17"/>
      <c r="W101" s="18"/>
      <c r="X101" s="18"/>
      <c r="Y101" s="18"/>
      <c r="Z101" s="18"/>
      <c r="AA101" s="18"/>
      <c r="AB101" s="18"/>
      <c r="AC101" s="18"/>
      <c r="AD101" s="33"/>
      <c r="AE101" s="18"/>
      <c r="AF101" s="18"/>
      <c r="AG101" s="18"/>
      <c r="AH101" s="18"/>
      <c r="AI101" s="18"/>
      <c r="AJ101" s="17"/>
      <c r="AK101" s="33"/>
      <c r="AL101" s="18"/>
      <c r="AM101" s="18"/>
      <c r="AN101" s="18"/>
      <c r="AO101" s="18"/>
      <c r="AP101" s="18"/>
      <c r="AQ101" s="17"/>
      <c r="AR101" s="18"/>
      <c r="AS101" s="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33"/>
      <c r="BI101" s="18"/>
      <c r="BJ101" s="18"/>
      <c r="BK101" s="18"/>
      <c r="BL101" s="17"/>
      <c r="BM101" s="13"/>
      <c r="BO101" s="26"/>
      <c r="BS101" s="26"/>
      <c r="CD101" s="27"/>
    </row>
    <row r="102" spans="1:82" s="11" customFormat="1">
      <c r="A102" s="32"/>
      <c r="B102" s="33"/>
      <c r="C102" s="18"/>
      <c r="D102" s="18"/>
      <c r="E102" s="18"/>
      <c r="F102" s="18"/>
      <c r="G102" s="18"/>
      <c r="H102" s="17"/>
      <c r="I102" s="18"/>
      <c r="J102" s="18"/>
      <c r="K102" s="18"/>
      <c r="L102" s="18"/>
      <c r="M102" s="18"/>
      <c r="N102" s="18"/>
      <c r="O102" s="18"/>
      <c r="P102" s="33"/>
      <c r="Q102" s="18"/>
      <c r="R102" s="18"/>
      <c r="S102" s="18"/>
      <c r="T102" s="18"/>
      <c r="U102" s="18"/>
      <c r="V102" s="17"/>
      <c r="W102" s="18"/>
      <c r="X102" s="18"/>
      <c r="Y102" s="18"/>
      <c r="Z102" s="18"/>
      <c r="AA102" s="18"/>
      <c r="AB102" s="18"/>
      <c r="AC102" s="18"/>
      <c r="AD102" s="33"/>
      <c r="AE102" s="18"/>
      <c r="AF102" s="18"/>
      <c r="AG102" s="18"/>
      <c r="AH102" s="18"/>
      <c r="AI102" s="18"/>
      <c r="AJ102" s="17"/>
      <c r="AK102" s="33"/>
      <c r="AL102" s="18"/>
      <c r="AM102" s="18"/>
      <c r="AN102" s="18"/>
      <c r="AO102" s="18"/>
      <c r="AP102" s="18"/>
      <c r="AQ102" s="17"/>
      <c r="AR102" s="18"/>
      <c r="AS102" s="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33"/>
      <c r="BI102" s="18"/>
      <c r="BJ102" s="18"/>
      <c r="BK102" s="18"/>
      <c r="BL102" s="17"/>
      <c r="BM102" s="13"/>
      <c r="BO102" s="26"/>
      <c r="BS102" s="26"/>
      <c r="CD102" s="27"/>
    </row>
    <row r="103" spans="1:82" s="11" customFormat="1">
      <c r="A103" s="32"/>
      <c r="B103" s="33"/>
      <c r="C103" s="18"/>
      <c r="D103" s="18"/>
      <c r="E103" s="18"/>
      <c r="F103" s="18"/>
      <c r="G103" s="18"/>
      <c r="H103" s="17"/>
      <c r="I103" s="18"/>
      <c r="J103" s="18"/>
      <c r="K103" s="18"/>
      <c r="L103" s="18"/>
      <c r="M103" s="18"/>
      <c r="N103" s="18"/>
      <c r="O103" s="18"/>
      <c r="P103" s="33"/>
      <c r="Q103" s="18"/>
      <c r="R103" s="18"/>
      <c r="S103" s="18"/>
      <c r="T103" s="18"/>
      <c r="U103" s="18"/>
      <c r="V103" s="17"/>
      <c r="W103" s="18"/>
      <c r="X103" s="18"/>
      <c r="Y103" s="18"/>
      <c r="Z103" s="18"/>
      <c r="AA103" s="18"/>
      <c r="AB103" s="18"/>
      <c r="AC103" s="18"/>
      <c r="AD103" s="33"/>
      <c r="AE103" s="18"/>
      <c r="AF103" s="18"/>
      <c r="AG103" s="18"/>
      <c r="AH103" s="18"/>
      <c r="AI103" s="18"/>
      <c r="AJ103" s="17"/>
      <c r="AK103" s="33"/>
      <c r="AL103" s="18"/>
      <c r="AM103" s="18"/>
      <c r="AN103" s="18"/>
      <c r="AO103" s="18"/>
      <c r="AP103" s="18"/>
      <c r="AQ103" s="17"/>
      <c r="AR103" s="18"/>
      <c r="AS103" s="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33"/>
      <c r="BI103" s="18"/>
      <c r="BJ103" s="18"/>
      <c r="BK103" s="18"/>
      <c r="BL103" s="17"/>
      <c r="BM103" s="13"/>
      <c r="BO103" s="26"/>
      <c r="BS103" s="26"/>
      <c r="CD103" s="27"/>
    </row>
    <row r="104" spans="1:82" s="11" customFormat="1">
      <c r="A104" s="32"/>
      <c r="B104" s="33"/>
      <c r="C104" s="18"/>
      <c r="D104" s="18"/>
      <c r="E104" s="18"/>
      <c r="F104" s="18"/>
      <c r="G104" s="18"/>
      <c r="H104" s="17"/>
      <c r="I104" s="18"/>
      <c r="J104" s="18"/>
      <c r="K104" s="18"/>
      <c r="L104" s="18"/>
      <c r="M104" s="18"/>
      <c r="N104" s="18"/>
      <c r="O104" s="18"/>
      <c r="P104" s="33"/>
      <c r="Q104" s="18"/>
      <c r="R104" s="18"/>
      <c r="S104" s="18"/>
      <c r="T104" s="18"/>
      <c r="U104" s="18"/>
      <c r="V104" s="17"/>
      <c r="W104" s="18"/>
      <c r="X104" s="18"/>
      <c r="Y104" s="18"/>
      <c r="Z104" s="18"/>
      <c r="AA104" s="18"/>
      <c r="AB104" s="18"/>
      <c r="AC104" s="18"/>
      <c r="AD104" s="33"/>
      <c r="AE104" s="18"/>
      <c r="AF104" s="18"/>
      <c r="AG104" s="18"/>
      <c r="AH104" s="18"/>
      <c r="AI104" s="18"/>
      <c r="AJ104" s="17"/>
      <c r="AK104" s="33"/>
      <c r="AL104" s="18"/>
      <c r="AM104" s="18"/>
      <c r="AN104" s="18"/>
      <c r="AO104" s="18"/>
      <c r="AP104" s="18"/>
      <c r="AQ104" s="17"/>
      <c r="AR104" s="18"/>
      <c r="AS104" s="19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33"/>
      <c r="BI104" s="18"/>
      <c r="BJ104" s="18"/>
      <c r="BK104" s="18"/>
      <c r="BL104" s="17"/>
      <c r="BM104" s="13"/>
      <c r="BO104" s="26"/>
      <c r="BS104" s="26"/>
      <c r="CD104" s="27"/>
    </row>
    <row r="105" spans="1:82" s="11" customFormat="1">
      <c r="A105" s="32"/>
      <c r="B105" s="33"/>
      <c r="C105" s="18"/>
      <c r="D105" s="18"/>
      <c r="E105" s="18"/>
      <c r="F105" s="18"/>
      <c r="G105" s="18"/>
      <c r="H105" s="17"/>
      <c r="I105" s="18"/>
      <c r="J105" s="18"/>
      <c r="K105" s="18"/>
      <c r="L105" s="18"/>
      <c r="M105" s="18"/>
      <c r="N105" s="18"/>
      <c r="O105" s="18"/>
      <c r="P105" s="33"/>
      <c r="Q105" s="18"/>
      <c r="R105" s="18"/>
      <c r="S105" s="18"/>
      <c r="T105" s="18"/>
      <c r="U105" s="18"/>
      <c r="V105" s="17"/>
      <c r="W105" s="18"/>
      <c r="X105" s="18"/>
      <c r="Y105" s="18"/>
      <c r="Z105" s="18"/>
      <c r="AA105" s="18"/>
      <c r="AB105" s="18"/>
      <c r="AC105" s="18"/>
      <c r="AD105" s="33"/>
      <c r="AE105" s="18"/>
      <c r="AF105" s="18"/>
      <c r="AG105" s="18"/>
      <c r="AH105" s="18"/>
      <c r="AI105" s="18"/>
      <c r="AJ105" s="17"/>
      <c r="AK105" s="33"/>
      <c r="AL105" s="18"/>
      <c r="AM105" s="18"/>
      <c r="AN105" s="18"/>
      <c r="AO105" s="18"/>
      <c r="AP105" s="18"/>
      <c r="AQ105" s="17"/>
      <c r="AR105" s="18"/>
      <c r="AS105" s="16" t="s">
        <v>207</v>
      </c>
      <c r="AT105" s="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33"/>
      <c r="BI105" s="18"/>
      <c r="BJ105" s="18"/>
      <c r="BK105" s="18"/>
      <c r="BL105" s="17"/>
      <c r="BM105" s="13"/>
      <c r="BO105" s="26"/>
      <c r="BS105" s="26"/>
      <c r="CD105" s="27"/>
    </row>
    <row r="106" spans="1:82" s="11" customFormat="1">
      <c r="A106" s="32"/>
      <c r="B106" s="33"/>
      <c r="C106" s="18"/>
      <c r="D106" s="18"/>
      <c r="E106" s="18"/>
      <c r="F106" s="18"/>
      <c r="G106" s="18"/>
      <c r="H106" s="17"/>
      <c r="I106" s="18"/>
      <c r="J106" s="18"/>
      <c r="K106" s="18"/>
      <c r="L106" s="18"/>
      <c r="M106" s="18"/>
      <c r="N106" s="18"/>
      <c r="O106" s="18"/>
      <c r="P106" s="33"/>
      <c r="Q106" s="18"/>
      <c r="R106" s="18"/>
      <c r="S106" s="18"/>
      <c r="T106" s="18"/>
      <c r="U106" s="18"/>
      <c r="V106" s="17"/>
      <c r="W106" s="18"/>
      <c r="X106" s="18"/>
      <c r="Y106" s="18"/>
      <c r="Z106" s="18"/>
      <c r="AA106" s="18"/>
      <c r="AB106" s="18"/>
      <c r="AC106" s="18"/>
      <c r="AD106" s="33"/>
      <c r="AE106" s="18"/>
      <c r="AF106" s="18"/>
      <c r="AG106" s="18"/>
      <c r="AH106" s="18"/>
      <c r="AI106" s="18"/>
      <c r="AJ106" s="17"/>
      <c r="AK106" s="33"/>
      <c r="AL106" s="18"/>
      <c r="AM106" s="18"/>
      <c r="AN106" s="18"/>
      <c r="AO106" s="18"/>
      <c r="AP106" s="18"/>
      <c r="AQ106" s="17"/>
      <c r="AR106" s="18"/>
      <c r="AS106" s="8"/>
      <c r="AT106" s="8" t="s">
        <v>208</v>
      </c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33"/>
      <c r="BI106" s="18"/>
      <c r="BJ106" s="18"/>
      <c r="BK106" s="18"/>
      <c r="BL106" s="17"/>
      <c r="BM106" s="13"/>
      <c r="BO106" s="26"/>
      <c r="BS106" s="26"/>
      <c r="CD106" s="27"/>
    </row>
    <row r="107" spans="1:82" s="11" customFormat="1">
      <c r="A107" s="32"/>
      <c r="B107" s="33"/>
      <c r="C107" s="18"/>
      <c r="D107" s="18"/>
      <c r="E107" s="18"/>
      <c r="F107" s="18"/>
      <c r="G107" s="18"/>
      <c r="H107" s="17"/>
      <c r="I107" s="18"/>
      <c r="J107" s="18"/>
      <c r="K107" s="18"/>
      <c r="L107" s="18"/>
      <c r="M107" s="18"/>
      <c r="N107" s="18"/>
      <c r="O107" s="18"/>
      <c r="P107" s="33"/>
      <c r="Q107" s="18"/>
      <c r="R107" s="18"/>
      <c r="S107" s="18"/>
      <c r="T107" s="18"/>
      <c r="U107" s="18"/>
      <c r="V107" s="17"/>
      <c r="W107" s="18"/>
      <c r="X107" s="18"/>
      <c r="Y107" s="18"/>
      <c r="Z107" s="18"/>
      <c r="AA107" s="18"/>
      <c r="AB107" s="18"/>
      <c r="AC107" s="18"/>
      <c r="AD107" s="33"/>
      <c r="AE107" s="18"/>
      <c r="AF107" s="18"/>
      <c r="AG107" s="18"/>
      <c r="AH107" s="18"/>
      <c r="AI107" s="18"/>
      <c r="AJ107" s="17"/>
      <c r="AK107" s="33"/>
      <c r="AL107" s="18"/>
      <c r="AM107" s="18"/>
      <c r="AN107" s="18"/>
      <c r="AO107" s="18"/>
      <c r="AP107" s="18"/>
      <c r="AQ107" s="17"/>
      <c r="AR107" s="18"/>
      <c r="AS107" s="8" t="s">
        <v>162</v>
      </c>
      <c r="AT107" s="8" t="s">
        <v>209</v>
      </c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46" t="s">
        <v>147</v>
      </c>
      <c r="BI107" s="18"/>
      <c r="BJ107" s="18"/>
      <c r="BK107" s="18"/>
      <c r="BL107" s="17"/>
      <c r="BM107" s="13"/>
      <c r="BO107" s="26"/>
      <c r="BS107" s="26"/>
      <c r="CD107" s="27"/>
    </row>
    <row r="108" spans="1:82" s="11" customFormat="1">
      <c r="A108" s="32"/>
      <c r="B108" s="33"/>
      <c r="C108" s="18"/>
      <c r="D108" s="18"/>
      <c r="E108" s="18"/>
      <c r="F108" s="18"/>
      <c r="G108" s="18"/>
      <c r="H108" s="17"/>
      <c r="I108" s="18"/>
      <c r="J108" s="18"/>
      <c r="K108" s="18"/>
      <c r="L108" s="18"/>
      <c r="M108" s="18"/>
      <c r="N108" s="18"/>
      <c r="O108" s="18"/>
      <c r="P108" s="33"/>
      <c r="Q108" s="18"/>
      <c r="R108" s="18"/>
      <c r="S108" s="18"/>
      <c r="T108" s="18"/>
      <c r="U108" s="18"/>
      <c r="V108" s="17"/>
      <c r="W108" s="18"/>
      <c r="X108" s="18"/>
      <c r="Y108" s="18"/>
      <c r="Z108" s="18"/>
      <c r="AA108" s="18"/>
      <c r="AB108" s="18"/>
      <c r="AC108" s="18"/>
      <c r="AD108" s="33"/>
      <c r="AE108" s="18"/>
      <c r="AF108" s="18"/>
      <c r="AG108" s="18"/>
      <c r="AH108" s="18"/>
      <c r="AI108" s="18"/>
      <c r="AJ108" s="17"/>
      <c r="AK108" s="33"/>
      <c r="AL108" s="18"/>
      <c r="AM108" s="18"/>
      <c r="AN108" s="18"/>
      <c r="AO108" s="18"/>
      <c r="AP108" s="18"/>
      <c r="AQ108" s="17"/>
      <c r="AR108" s="18"/>
      <c r="AS108" s="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50" t="s">
        <v>188</v>
      </c>
      <c r="BI108" s="18"/>
      <c r="BJ108" s="18"/>
      <c r="BK108" s="18"/>
      <c r="BL108" s="17"/>
      <c r="BM108" s="13"/>
      <c r="BO108" s="26"/>
      <c r="BS108" s="26"/>
      <c r="CD108" s="27"/>
    </row>
    <row r="109" spans="1:82" s="11" customFormat="1">
      <c r="A109" s="32"/>
      <c r="B109" s="33"/>
      <c r="C109" s="18"/>
      <c r="D109" s="18"/>
      <c r="E109" s="18"/>
      <c r="F109" s="18"/>
      <c r="G109" s="18"/>
      <c r="H109" s="17"/>
      <c r="I109" s="18"/>
      <c r="J109" s="18"/>
      <c r="K109" s="18"/>
      <c r="L109" s="18"/>
      <c r="M109" s="18"/>
      <c r="N109" s="18"/>
      <c r="O109" s="18"/>
      <c r="P109" s="33"/>
      <c r="Q109" s="18"/>
      <c r="R109" s="18"/>
      <c r="S109" s="18"/>
      <c r="T109" s="18"/>
      <c r="U109" s="18"/>
      <c r="V109" s="17"/>
      <c r="W109" s="18"/>
      <c r="X109" s="18"/>
      <c r="Y109" s="18"/>
      <c r="Z109" s="18"/>
      <c r="AA109" s="18"/>
      <c r="AB109" s="18"/>
      <c r="AC109" s="18"/>
      <c r="AD109" s="33"/>
      <c r="AE109" s="18"/>
      <c r="AF109" s="18"/>
      <c r="AG109" s="18"/>
      <c r="AH109" s="18"/>
      <c r="AI109" s="18"/>
      <c r="AJ109" s="17"/>
      <c r="AK109" s="33"/>
      <c r="AL109" s="18"/>
      <c r="AM109" s="18"/>
      <c r="AN109" s="18"/>
      <c r="AO109" s="18"/>
      <c r="AP109" s="18"/>
      <c r="AQ109" s="17"/>
      <c r="AR109" s="18"/>
      <c r="AS109" s="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50" t="s">
        <v>189</v>
      </c>
      <c r="BI109" s="18"/>
      <c r="BJ109" s="18"/>
      <c r="BK109" s="18"/>
      <c r="BL109" s="17"/>
      <c r="BM109" s="13"/>
      <c r="BO109" s="26"/>
      <c r="BS109" s="26"/>
      <c r="CD109" s="27"/>
    </row>
    <row r="110" spans="1:82" s="11" customFormat="1">
      <c r="A110" s="32"/>
      <c r="B110" s="33"/>
      <c r="C110" s="18"/>
      <c r="D110" s="18"/>
      <c r="E110" s="18"/>
      <c r="F110" s="18"/>
      <c r="G110" s="18"/>
      <c r="H110" s="17"/>
      <c r="I110" s="18"/>
      <c r="J110" s="18"/>
      <c r="K110" s="18"/>
      <c r="L110" s="18"/>
      <c r="M110" s="18"/>
      <c r="N110" s="18"/>
      <c r="O110" s="18"/>
      <c r="P110" s="33"/>
      <c r="Q110" s="18"/>
      <c r="R110" s="18"/>
      <c r="S110" s="18"/>
      <c r="T110" s="18"/>
      <c r="U110" s="18"/>
      <c r="V110" s="17"/>
      <c r="W110" s="18"/>
      <c r="X110" s="18"/>
      <c r="Y110" s="18"/>
      <c r="Z110" s="18"/>
      <c r="AA110" s="18"/>
      <c r="AB110" s="18"/>
      <c r="AC110" s="18"/>
      <c r="AD110" s="33"/>
      <c r="AE110" s="18"/>
      <c r="AF110" s="18"/>
      <c r="AG110" s="18"/>
      <c r="AH110" s="18"/>
      <c r="AI110" s="18"/>
      <c r="AJ110" s="17"/>
      <c r="AK110" s="33"/>
      <c r="AL110" s="18"/>
      <c r="AM110" s="18"/>
      <c r="AN110" s="18"/>
      <c r="AO110" s="18"/>
      <c r="AP110" s="18"/>
      <c r="AQ110" s="17"/>
      <c r="AR110" s="18"/>
      <c r="AS110" s="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33"/>
      <c r="BI110" s="18"/>
      <c r="BJ110" s="18"/>
      <c r="BK110" s="18"/>
      <c r="BL110" s="17"/>
      <c r="BM110" s="13"/>
      <c r="BO110" s="26"/>
      <c r="BS110" s="26"/>
      <c r="CD110" s="27"/>
    </row>
    <row r="111" spans="1:82" s="11" customFormat="1">
      <c r="A111" s="32"/>
      <c r="B111" s="33"/>
      <c r="C111" s="18"/>
      <c r="D111" s="18"/>
      <c r="E111" s="18"/>
      <c r="F111" s="18"/>
      <c r="G111" s="18"/>
      <c r="H111" s="17"/>
      <c r="I111" s="18"/>
      <c r="J111" s="18"/>
      <c r="K111" s="18"/>
      <c r="L111" s="18"/>
      <c r="M111" s="18"/>
      <c r="N111" s="18"/>
      <c r="O111" s="18"/>
      <c r="P111" s="33"/>
      <c r="Q111" s="18"/>
      <c r="R111" s="18"/>
      <c r="S111" s="18"/>
      <c r="T111" s="18"/>
      <c r="U111" s="18"/>
      <c r="V111" s="17"/>
      <c r="W111" s="18"/>
      <c r="X111" s="18"/>
      <c r="Y111" s="18"/>
      <c r="Z111" s="18"/>
      <c r="AA111" s="18"/>
      <c r="AB111" s="18"/>
      <c r="AC111" s="18"/>
      <c r="AD111" s="33"/>
      <c r="AE111" s="18"/>
      <c r="AF111" s="18"/>
      <c r="AG111" s="18"/>
      <c r="AH111" s="18"/>
      <c r="AI111" s="18"/>
      <c r="AJ111" s="17"/>
      <c r="AK111" s="33"/>
      <c r="AL111" s="18"/>
      <c r="AM111" s="18"/>
      <c r="AN111" s="18"/>
      <c r="AO111" s="18"/>
      <c r="AP111" s="18"/>
      <c r="AQ111" s="17"/>
      <c r="AR111" s="18"/>
      <c r="AS111" s="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33"/>
      <c r="BI111" s="18"/>
      <c r="BJ111" s="18"/>
      <c r="BK111" s="18"/>
      <c r="BL111" s="17"/>
      <c r="BM111" s="13"/>
      <c r="BO111" s="26"/>
      <c r="BS111" s="26"/>
      <c r="CD111" s="27"/>
    </row>
    <row r="112" spans="1:82" s="11" customFormat="1">
      <c r="A112" s="32"/>
      <c r="B112" s="33"/>
      <c r="C112" s="18"/>
      <c r="D112" s="18"/>
      <c r="E112" s="18"/>
      <c r="F112" s="18"/>
      <c r="G112" s="18"/>
      <c r="H112" s="17"/>
      <c r="I112" s="18"/>
      <c r="J112" s="18"/>
      <c r="K112" s="18"/>
      <c r="L112" s="18"/>
      <c r="M112" s="18"/>
      <c r="N112" s="18"/>
      <c r="O112" s="18"/>
      <c r="P112" s="33"/>
      <c r="Q112" s="18"/>
      <c r="R112" s="18"/>
      <c r="S112" s="18"/>
      <c r="T112" s="18"/>
      <c r="U112" s="18"/>
      <c r="V112" s="17"/>
      <c r="W112" s="18"/>
      <c r="X112" s="18"/>
      <c r="Y112" s="18"/>
      <c r="Z112" s="18"/>
      <c r="AA112" s="18"/>
      <c r="AB112" s="18"/>
      <c r="AC112" s="18"/>
      <c r="AD112" s="33"/>
      <c r="AE112" s="18"/>
      <c r="AF112" s="18"/>
      <c r="AG112" s="18"/>
      <c r="AH112" s="18"/>
      <c r="AI112" s="18"/>
      <c r="AJ112" s="17"/>
      <c r="AK112" s="33"/>
      <c r="AL112" s="18"/>
      <c r="AM112" s="18"/>
      <c r="AN112" s="18"/>
      <c r="AO112" s="18"/>
      <c r="AP112" s="18"/>
      <c r="AQ112" s="17"/>
      <c r="AR112" s="18"/>
      <c r="AS112" s="16" t="s">
        <v>210</v>
      </c>
      <c r="AT112" s="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33"/>
      <c r="BI112" s="18"/>
      <c r="BJ112" s="18"/>
      <c r="BK112" s="18"/>
      <c r="BL112" s="17"/>
      <c r="BM112" s="13"/>
      <c r="BO112" s="26"/>
      <c r="BS112" s="26"/>
      <c r="CD112" s="27"/>
    </row>
    <row r="113" spans="1:82" s="11" customFormat="1">
      <c r="A113" s="32"/>
      <c r="B113" s="33"/>
      <c r="C113" s="18"/>
      <c r="D113" s="18"/>
      <c r="E113" s="18"/>
      <c r="F113" s="18"/>
      <c r="G113" s="18"/>
      <c r="H113" s="17"/>
      <c r="I113" s="18"/>
      <c r="J113" s="18"/>
      <c r="K113" s="18"/>
      <c r="L113" s="18"/>
      <c r="M113" s="18"/>
      <c r="N113" s="18"/>
      <c r="O113" s="18"/>
      <c r="P113" s="33"/>
      <c r="Q113" s="18"/>
      <c r="R113" s="18"/>
      <c r="S113" s="18"/>
      <c r="T113" s="18"/>
      <c r="U113" s="18"/>
      <c r="V113" s="17"/>
      <c r="W113" s="18"/>
      <c r="X113" s="18"/>
      <c r="Y113" s="18"/>
      <c r="Z113" s="18"/>
      <c r="AA113" s="18"/>
      <c r="AB113" s="18"/>
      <c r="AC113" s="18"/>
      <c r="AD113" s="33"/>
      <c r="AE113" s="18"/>
      <c r="AF113" s="18"/>
      <c r="AG113" s="18"/>
      <c r="AH113" s="18"/>
      <c r="AI113" s="18"/>
      <c r="AJ113" s="17"/>
      <c r="AK113" s="33"/>
      <c r="AL113" s="18"/>
      <c r="AM113" s="18"/>
      <c r="AN113" s="18"/>
      <c r="AO113" s="18"/>
      <c r="AP113" s="18"/>
      <c r="AQ113" s="17"/>
      <c r="AR113" s="18"/>
      <c r="AS113" s="8"/>
      <c r="AT113" s="8" t="s">
        <v>211</v>
      </c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33"/>
      <c r="BI113" s="18"/>
      <c r="BJ113" s="18"/>
      <c r="BK113" s="18"/>
      <c r="BL113" s="17"/>
      <c r="BM113" s="13"/>
      <c r="BO113" s="26"/>
      <c r="BS113" s="26"/>
      <c r="CD113" s="27"/>
    </row>
    <row r="114" spans="1:82" s="11" customFormat="1">
      <c r="A114" s="32"/>
      <c r="B114" s="33"/>
      <c r="C114" s="18"/>
      <c r="D114" s="18"/>
      <c r="E114" s="18"/>
      <c r="F114" s="18"/>
      <c r="G114" s="18"/>
      <c r="H114" s="17"/>
      <c r="I114" s="18"/>
      <c r="J114" s="18"/>
      <c r="K114" s="18"/>
      <c r="L114" s="18"/>
      <c r="M114" s="18"/>
      <c r="N114" s="18"/>
      <c r="O114" s="18"/>
      <c r="P114" s="33"/>
      <c r="Q114" s="18"/>
      <c r="R114" s="18"/>
      <c r="S114" s="18"/>
      <c r="T114" s="18"/>
      <c r="U114" s="18"/>
      <c r="V114" s="17"/>
      <c r="W114" s="18"/>
      <c r="X114" s="18"/>
      <c r="Y114" s="18"/>
      <c r="Z114" s="18"/>
      <c r="AA114" s="18"/>
      <c r="AB114" s="18"/>
      <c r="AC114" s="18"/>
      <c r="AD114" s="33"/>
      <c r="AE114" s="18"/>
      <c r="AF114" s="18"/>
      <c r="AG114" s="18"/>
      <c r="AH114" s="18"/>
      <c r="AI114" s="18"/>
      <c r="AJ114" s="17"/>
      <c r="AK114" s="33"/>
      <c r="AL114" s="18"/>
      <c r="AM114" s="18"/>
      <c r="AN114" s="18"/>
      <c r="AO114" s="18"/>
      <c r="AP114" s="18"/>
      <c r="AQ114" s="17"/>
      <c r="AR114" s="18"/>
      <c r="AS114" s="8"/>
      <c r="AT114" s="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33"/>
      <c r="BI114" s="18"/>
      <c r="BJ114" s="18"/>
      <c r="BK114" s="18"/>
      <c r="BL114" s="17"/>
      <c r="BM114" s="13"/>
      <c r="BO114" s="26"/>
      <c r="BS114" s="26"/>
      <c r="CD114" s="27"/>
    </row>
    <row r="115" spans="1:82" s="11" customFormat="1">
      <c r="A115" s="32"/>
      <c r="B115" s="33"/>
      <c r="C115" s="18"/>
      <c r="D115" s="18"/>
      <c r="E115" s="18"/>
      <c r="F115" s="18"/>
      <c r="G115" s="18"/>
      <c r="H115" s="17"/>
      <c r="I115" s="18"/>
      <c r="J115" s="18"/>
      <c r="K115" s="18"/>
      <c r="L115" s="18"/>
      <c r="M115" s="18"/>
      <c r="N115" s="18"/>
      <c r="O115" s="18"/>
      <c r="P115" s="33"/>
      <c r="Q115" s="18"/>
      <c r="R115" s="18"/>
      <c r="S115" s="18"/>
      <c r="T115" s="18"/>
      <c r="U115" s="18"/>
      <c r="V115" s="17"/>
      <c r="W115" s="18"/>
      <c r="X115" s="18"/>
      <c r="Y115" s="18"/>
      <c r="Z115" s="18"/>
      <c r="AA115" s="18"/>
      <c r="AB115" s="18"/>
      <c r="AC115" s="18"/>
      <c r="AD115" s="33"/>
      <c r="AE115" s="18"/>
      <c r="AF115" s="18"/>
      <c r="AG115" s="18"/>
      <c r="AH115" s="18"/>
      <c r="AI115" s="18"/>
      <c r="AJ115" s="17"/>
      <c r="AK115" s="33"/>
      <c r="AL115" s="18"/>
      <c r="AM115" s="18"/>
      <c r="AN115" s="18"/>
      <c r="AO115" s="18"/>
      <c r="AP115" s="18"/>
      <c r="AQ115" s="17"/>
      <c r="AR115" s="18"/>
      <c r="AS115" s="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33"/>
      <c r="BI115" s="18"/>
      <c r="BJ115" s="18"/>
      <c r="BK115" s="18"/>
      <c r="BL115" s="17"/>
      <c r="BM115" s="13"/>
      <c r="BO115" s="26"/>
      <c r="BS115" s="26"/>
      <c r="CD115" s="27"/>
    </row>
    <row r="116" spans="1:82" s="11" customFormat="1">
      <c r="A116" s="32"/>
      <c r="B116" s="33"/>
      <c r="C116" s="18"/>
      <c r="D116" s="18"/>
      <c r="E116" s="18"/>
      <c r="F116" s="18"/>
      <c r="G116" s="18"/>
      <c r="H116" s="17"/>
      <c r="I116" s="18"/>
      <c r="J116" s="18"/>
      <c r="K116" s="18"/>
      <c r="L116" s="18"/>
      <c r="M116" s="18"/>
      <c r="N116" s="18"/>
      <c r="O116" s="18"/>
      <c r="P116" s="33"/>
      <c r="Q116" s="18"/>
      <c r="R116" s="18"/>
      <c r="S116" s="18"/>
      <c r="T116" s="18"/>
      <c r="U116" s="18"/>
      <c r="V116" s="17"/>
      <c r="W116" s="18"/>
      <c r="X116" s="18"/>
      <c r="Y116" s="18"/>
      <c r="Z116" s="18"/>
      <c r="AA116" s="18"/>
      <c r="AB116" s="18"/>
      <c r="AC116" s="18"/>
      <c r="AD116" s="33"/>
      <c r="AE116" s="18"/>
      <c r="AF116" s="18"/>
      <c r="AG116" s="18"/>
      <c r="AH116" s="18"/>
      <c r="AI116" s="18"/>
      <c r="AJ116" s="17"/>
      <c r="AK116" s="33"/>
      <c r="AL116" s="18"/>
      <c r="AM116" s="18"/>
      <c r="AN116" s="18"/>
      <c r="AO116" s="18"/>
      <c r="AP116" s="18"/>
      <c r="AQ116" s="17"/>
      <c r="AR116" s="18"/>
      <c r="AS116" s="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33"/>
      <c r="BI116" s="18"/>
      <c r="BJ116" s="18"/>
      <c r="BK116" s="18"/>
      <c r="BL116" s="17"/>
      <c r="BM116" s="13"/>
      <c r="BO116" s="26"/>
      <c r="BS116" s="26"/>
      <c r="CD116" s="27"/>
    </row>
    <row r="117" spans="1:82" s="11" customFormat="1">
      <c r="A117" s="32"/>
      <c r="B117" s="33"/>
      <c r="C117" s="18"/>
      <c r="D117" s="18"/>
      <c r="E117" s="18"/>
      <c r="F117" s="18"/>
      <c r="G117" s="18"/>
      <c r="H117" s="17"/>
      <c r="I117" s="18"/>
      <c r="J117" s="18"/>
      <c r="K117" s="18"/>
      <c r="L117" s="18"/>
      <c r="M117" s="18"/>
      <c r="N117" s="18"/>
      <c r="O117" s="18"/>
      <c r="P117" s="33"/>
      <c r="Q117" s="18"/>
      <c r="R117" s="18"/>
      <c r="S117" s="18"/>
      <c r="T117" s="18"/>
      <c r="U117" s="18"/>
      <c r="V117" s="17"/>
      <c r="W117" s="18"/>
      <c r="X117" s="18"/>
      <c r="Y117" s="18"/>
      <c r="Z117" s="18"/>
      <c r="AA117" s="18"/>
      <c r="AB117" s="18"/>
      <c r="AC117" s="18"/>
      <c r="AD117" s="33"/>
      <c r="AE117" s="18"/>
      <c r="AF117" s="18"/>
      <c r="AG117" s="18"/>
      <c r="AH117" s="18"/>
      <c r="AI117" s="18"/>
      <c r="AJ117" s="17"/>
      <c r="AK117" s="33"/>
      <c r="AL117" s="18"/>
      <c r="AM117" s="18"/>
      <c r="AN117" s="18"/>
      <c r="AO117" s="18"/>
      <c r="AP117" s="18"/>
      <c r="AQ117" s="17"/>
      <c r="AR117" s="18"/>
      <c r="AS117" s="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33"/>
      <c r="BI117" s="18"/>
      <c r="BJ117" s="18"/>
      <c r="BK117" s="18"/>
      <c r="BL117" s="17"/>
      <c r="BM117" s="13"/>
      <c r="BO117" s="26"/>
      <c r="BS117" s="26"/>
      <c r="CD117" s="27"/>
    </row>
    <row r="118" spans="1:82" s="11" customFormat="1">
      <c r="A118" s="32"/>
      <c r="B118" s="33"/>
      <c r="C118" s="18"/>
      <c r="D118" s="18"/>
      <c r="E118" s="18"/>
      <c r="F118" s="18"/>
      <c r="G118" s="18"/>
      <c r="H118" s="17"/>
      <c r="I118" s="18"/>
      <c r="J118" s="18"/>
      <c r="K118" s="18"/>
      <c r="L118" s="18"/>
      <c r="M118" s="18"/>
      <c r="N118" s="18"/>
      <c r="O118" s="18"/>
      <c r="P118" s="33"/>
      <c r="Q118" s="18"/>
      <c r="R118" s="18"/>
      <c r="S118" s="18"/>
      <c r="T118" s="18"/>
      <c r="U118" s="18"/>
      <c r="V118" s="17"/>
      <c r="W118" s="18"/>
      <c r="X118" s="18"/>
      <c r="Y118" s="18"/>
      <c r="Z118" s="18"/>
      <c r="AA118" s="18"/>
      <c r="AB118" s="18"/>
      <c r="AC118" s="18"/>
      <c r="AD118" s="33"/>
      <c r="AE118" s="18"/>
      <c r="AF118" s="18"/>
      <c r="AG118" s="18"/>
      <c r="AH118" s="18"/>
      <c r="AI118" s="18"/>
      <c r="AJ118" s="17"/>
      <c r="AK118" s="33"/>
      <c r="AL118" s="18"/>
      <c r="AM118" s="18"/>
      <c r="AN118" s="18"/>
      <c r="AO118" s="18"/>
      <c r="AP118" s="18"/>
      <c r="AQ118" s="17"/>
      <c r="AR118" s="18"/>
      <c r="AS118" s="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33"/>
      <c r="BI118" s="18"/>
      <c r="BJ118" s="18"/>
      <c r="BK118" s="18"/>
      <c r="BL118" s="17"/>
      <c r="BM118" s="13"/>
      <c r="BO118" s="26"/>
      <c r="BS118" s="26"/>
      <c r="CD118" s="27"/>
    </row>
    <row r="119" spans="1:82" s="11" customFormat="1">
      <c r="A119" s="32"/>
      <c r="B119" s="33"/>
      <c r="C119" s="18"/>
      <c r="D119" s="18"/>
      <c r="E119" s="18"/>
      <c r="F119" s="18"/>
      <c r="G119" s="18"/>
      <c r="H119" s="17"/>
      <c r="I119" s="18"/>
      <c r="J119" s="18"/>
      <c r="K119" s="18"/>
      <c r="L119" s="18"/>
      <c r="M119" s="18"/>
      <c r="N119" s="18"/>
      <c r="O119" s="18"/>
      <c r="P119" s="33"/>
      <c r="Q119" s="18"/>
      <c r="R119" s="18"/>
      <c r="S119" s="18"/>
      <c r="T119" s="18"/>
      <c r="U119" s="18"/>
      <c r="V119" s="17"/>
      <c r="W119" s="18"/>
      <c r="X119" s="18"/>
      <c r="Y119" s="18"/>
      <c r="Z119" s="18"/>
      <c r="AA119" s="18"/>
      <c r="AB119" s="18"/>
      <c r="AC119" s="18"/>
      <c r="AD119" s="33"/>
      <c r="AE119" s="18"/>
      <c r="AF119" s="18"/>
      <c r="AG119" s="18"/>
      <c r="AH119" s="18"/>
      <c r="AI119" s="18"/>
      <c r="AJ119" s="17"/>
      <c r="AK119" s="33"/>
      <c r="AL119" s="18"/>
      <c r="AM119" s="18"/>
      <c r="AN119" s="18"/>
      <c r="AO119" s="18"/>
      <c r="AP119" s="18"/>
      <c r="AQ119" s="17"/>
      <c r="AR119" s="18"/>
      <c r="AS119" s="16" t="s">
        <v>212</v>
      </c>
      <c r="AT119" s="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33"/>
      <c r="BI119" s="18"/>
      <c r="BJ119" s="18"/>
      <c r="BK119" s="18"/>
      <c r="BL119" s="17"/>
      <c r="BM119" s="13"/>
      <c r="BO119" s="26"/>
      <c r="BS119" s="26"/>
      <c r="CD119" s="27"/>
    </row>
    <row r="120" spans="1:82" s="11" customFormat="1">
      <c r="A120" s="32"/>
      <c r="B120" s="33"/>
      <c r="C120" s="18"/>
      <c r="D120" s="18"/>
      <c r="E120" s="18"/>
      <c r="F120" s="18"/>
      <c r="G120" s="18"/>
      <c r="H120" s="17"/>
      <c r="I120" s="18"/>
      <c r="J120" s="18"/>
      <c r="K120" s="18"/>
      <c r="L120" s="18"/>
      <c r="M120" s="18"/>
      <c r="N120" s="18"/>
      <c r="O120" s="18"/>
      <c r="P120" s="33"/>
      <c r="Q120" s="18"/>
      <c r="R120" s="18"/>
      <c r="S120" s="18"/>
      <c r="T120" s="18"/>
      <c r="U120" s="18"/>
      <c r="V120" s="17"/>
      <c r="W120" s="18"/>
      <c r="X120" s="18"/>
      <c r="Y120" s="18"/>
      <c r="Z120" s="18"/>
      <c r="AA120" s="18"/>
      <c r="AB120" s="18"/>
      <c r="AC120" s="18"/>
      <c r="AD120" s="33"/>
      <c r="AE120" s="18"/>
      <c r="AF120" s="18"/>
      <c r="AG120" s="18"/>
      <c r="AH120" s="18"/>
      <c r="AI120" s="18"/>
      <c r="AJ120" s="17"/>
      <c r="AK120" s="33"/>
      <c r="AL120" s="18"/>
      <c r="AM120" s="18"/>
      <c r="AN120" s="18"/>
      <c r="AO120" s="18"/>
      <c r="AP120" s="18"/>
      <c r="AQ120" s="17"/>
      <c r="AR120" s="18"/>
      <c r="AS120" s="8"/>
      <c r="AT120" s="8" t="s">
        <v>213</v>
      </c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33"/>
      <c r="BI120" s="18"/>
      <c r="BJ120" s="18"/>
      <c r="BK120" s="18"/>
      <c r="BL120" s="17"/>
      <c r="BM120" s="13"/>
      <c r="BO120" s="26"/>
      <c r="BS120" s="26"/>
      <c r="CD120" s="27"/>
    </row>
    <row r="121" spans="1:82" s="11" customFormat="1">
      <c r="A121" s="32"/>
      <c r="B121" s="33"/>
      <c r="C121" s="18"/>
      <c r="D121" s="18"/>
      <c r="E121" s="18"/>
      <c r="F121" s="18"/>
      <c r="G121" s="18"/>
      <c r="H121" s="17"/>
      <c r="I121" s="18"/>
      <c r="J121" s="18"/>
      <c r="K121" s="18"/>
      <c r="L121" s="18"/>
      <c r="M121" s="18"/>
      <c r="N121" s="18"/>
      <c r="O121" s="18"/>
      <c r="P121" s="33"/>
      <c r="Q121" s="18"/>
      <c r="R121" s="18"/>
      <c r="S121" s="18"/>
      <c r="T121" s="18"/>
      <c r="U121" s="18"/>
      <c r="V121" s="17"/>
      <c r="W121" s="18"/>
      <c r="X121" s="18"/>
      <c r="Y121" s="18"/>
      <c r="Z121" s="18"/>
      <c r="AA121" s="18"/>
      <c r="AB121" s="18"/>
      <c r="AC121" s="18"/>
      <c r="AD121" s="33"/>
      <c r="AE121" s="18"/>
      <c r="AF121" s="18"/>
      <c r="AG121" s="18"/>
      <c r="AH121" s="18"/>
      <c r="AI121" s="18"/>
      <c r="AJ121" s="17"/>
      <c r="AK121" s="33"/>
      <c r="AL121" s="18"/>
      <c r="AM121" s="18"/>
      <c r="AN121" s="18"/>
      <c r="AO121" s="18"/>
      <c r="AP121" s="18"/>
      <c r="AQ121" s="17"/>
      <c r="AR121" s="18"/>
      <c r="AS121" s="8"/>
      <c r="AT121" s="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33"/>
      <c r="BI121" s="18"/>
      <c r="BJ121" s="18"/>
      <c r="BK121" s="18"/>
      <c r="BL121" s="17"/>
      <c r="BM121" s="13"/>
      <c r="BO121" s="26"/>
      <c r="BS121" s="26"/>
      <c r="CD121" s="27"/>
    </row>
    <row r="122" spans="1:82" s="11" customFormat="1">
      <c r="A122" s="32"/>
      <c r="B122" s="33"/>
      <c r="C122" s="18"/>
      <c r="D122" s="18"/>
      <c r="E122" s="18"/>
      <c r="F122" s="18"/>
      <c r="G122" s="18"/>
      <c r="H122" s="17"/>
      <c r="I122" s="18"/>
      <c r="J122" s="18"/>
      <c r="K122" s="18"/>
      <c r="L122" s="18"/>
      <c r="M122" s="18"/>
      <c r="N122" s="18"/>
      <c r="O122" s="18"/>
      <c r="P122" s="33"/>
      <c r="Q122" s="18"/>
      <c r="R122" s="18"/>
      <c r="S122" s="18"/>
      <c r="T122" s="18"/>
      <c r="U122" s="18"/>
      <c r="V122" s="17"/>
      <c r="W122" s="18"/>
      <c r="X122" s="18"/>
      <c r="Y122" s="18"/>
      <c r="Z122" s="18"/>
      <c r="AA122" s="18"/>
      <c r="AB122" s="18"/>
      <c r="AC122" s="18"/>
      <c r="AD122" s="33"/>
      <c r="AE122" s="18"/>
      <c r="AF122" s="18"/>
      <c r="AG122" s="18"/>
      <c r="AH122" s="18"/>
      <c r="AI122" s="18"/>
      <c r="AJ122" s="17"/>
      <c r="AK122" s="33"/>
      <c r="AL122" s="18"/>
      <c r="AM122" s="18"/>
      <c r="AN122" s="18"/>
      <c r="AO122" s="18"/>
      <c r="AP122" s="18"/>
      <c r="AQ122" s="17"/>
      <c r="AR122" s="18"/>
      <c r="AS122" s="8"/>
      <c r="AT122" s="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33"/>
      <c r="BI122" s="18"/>
      <c r="BJ122" s="18"/>
      <c r="BK122" s="18"/>
      <c r="BL122" s="17"/>
      <c r="BM122" s="13"/>
      <c r="BO122" s="26"/>
      <c r="BS122" s="26"/>
      <c r="CD122" s="27"/>
    </row>
    <row r="123" spans="1:82" s="11" customFormat="1">
      <c r="A123" s="32"/>
      <c r="B123" s="33"/>
      <c r="C123" s="18"/>
      <c r="D123" s="18"/>
      <c r="E123" s="18"/>
      <c r="F123" s="18"/>
      <c r="G123" s="18"/>
      <c r="H123" s="17"/>
      <c r="I123" s="18"/>
      <c r="J123" s="18"/>
      <c r="K123" s="18"/>
      <c r="L123" s="18"/>
      <c r="M123" s="18"/>
      <c r="N123" s="18"/>
      <c r="O123" s="18"/>
      <c r="P123" s="33"/>
      <c r="Q123" s="18"/>
      <c r="R123" s="18"/>
      <c r="S123" s="18"/>
      <c r="T123" s="18"/>
      <c r="U123" s="18"/>
      <c r="V123" s="17"/>
      <c r="W123" s="18"/>
      <c r="X123" s="18"/>
      <c r="Y123" s="18"/>
      <c r="Z123" s="18"/>
      <c r="AA123" s="18"/>
      <c r="AB123" s="18"/>
      <c r="AC123" s="18"/>
      <c r="AD123" s="33"/>
      <c r="AE123" s="18"/>
      <c r="AF123" s="18"/>
      <c r="AG123" s="18"/>
      <c r="AH123" s="18"/>
      <c r="AI123" s="18"/>
      <c r="AJ123" s="17"/>
      <c r="AK123" s="33"/>
      <c r="AL123" s="18"/>
      <c r="AM123" s="18"/>
      <c r="AN123" s="18"/>
      <c r="AO123" s="18"/>
      <c r="AP123" s="18"/>
      <c r="AQ123" s="17"/>
      <c r="AR123" s="18"/>
      <c r="AS123" s="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33"/>
      <c r="BI123" s="18"/>
      <c r="BJ123" s="18"/>
      <c r="BK123" s="18"/>
      <c r="BL123" s="17"/>
      <c r="BM123" s="13"/>
      <c r="BO123" s="26"/>
      <c r="BS123" s="26"/>
      <c r="CD123" s="27"/>
    </row>
    <row r="124" spans="1:82" s="11" customFormat="1">
      <c r="A124" s="32"/>
      <c r="B124" s="33"/>
      <c r="C124" s="18"/>
      <c r="D124" s="18"/>
      <c r="E124" s="18"/>
      <c r="F124" s="18"/>
      <c r="G124" s="18"/>
      <c r="H124" s="17"/>
      <c r="I124" s="18"/>
      <c r="J124" s="18"/>
      <c r="K124" s="18"/>
      <c r="L124" s="18"/>
      <c r="M124" s="18"/>
      <c r="N124" s="18"/>
      <c r="O124" s="18"/>
      <c r="P124" s="33"/>
      <c r="Q124" s="18"/>
      <c r="R124" s="18"/>
      <c r="S124" s="18"/>
      <c r="T124" s="18"/>
      <c r="U124" s="18"/>
      <c r="V124" s="17"/>
      <c r="W124" s="18"/>
      <c r="X124" s="18"/>
      <c r="Y124" s="18"/>
      <c r="Z124" s="18"/>
      <c r="AA124" s="18"/>
      <c r="AB124" s="18"/>
      <c r="AC124" s="18"/>
      <c r="AD124" s="33"/>
      <c r="AE124" s="18"/>
      <c r="AF124" s="18"/>
      <c r="AG124" s="18"/>
      <c r="AH124" s="18"/>
      <c r="AI124" s="18"/>
      <c r="AJ124" s="17"/>
      <c r="AK124" s="33"/>
      <c r="AL124" s="18"/>
      <c r="AM124" s="18"/>
      <c r="AN124" s="18"/>
      <c r="AO124" s="18"/>
      <c r="AP124" s="18"/>
      <c r="AQ124" s="17"/>
      <c r="AR124" s="18"/>
      <c r="AS124" s="8"/>
      <c r="AT124" s="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33"/>
      <c r="BI124" s="18"/>
      <c r="BJ124" s="18"/>
      <c r="BK124" s="18"/>
      <c r="BL124" s="17"/>
      <c r="BM124" s="13"/>
      <c r="BO124" s="26"/>
      <c r="BS124" s="26"/>
      <c r="CD124" s="27"/>
    </row>
    <row r="125" spans="1:82" s="11" customFormat="1">
      <c r="A125" s="32"/>
      <c r="B125" s="33"/>
      <c r="C125" s="18"/>
      <c r="D125" s="18"/>
      <c r="E125" s="18"/>
      <c r="F125" s="18"/>
      <c r="G125" s="18"/>
      <c r="H125" s="17"/>
      <c r="I125" s="18"/>
      <c r="J125" s="18"/>
      <c r="K125" s="18"/>
      <c r="L125" s="18"/>
      <c r="M125" s="18"/>
      <c r="N125" s="18"/>
      <c r="O125" s="18"/>
      <c r="P125" s="33"/>
      <c r="Q125" s="18"/>
      <c r="R125" s="18"/>
      <c r="S125" s="18"/>
      <c r="T125" s="18"/>
      <c r="U125" s="18"/>
      <c r="V125" s="17"/>
      <c r="W125" s="18"/>
      <c r="X125" s="18"/>
      <c r="Y125" s="18"/>
      <c r="Z125" s="18"/>
      <c r="AA125" s="18"/>
      <c r="AB125" s="18"/>
      <c r="AC125" s="18"/>
      <c r="AD125" s="33"/>
      <c r="AE125" s="18"/>
      <c r="AF125" s="18"/>
      <c r="AG125" s="18"/>
      <c r="AH125" s="18"/>
      <c r="AI125" s="18"/>
      <c r="AJ125" s="17"/>
      <c r="AK125" s="33"/>
      <c r="AL125" s="18"/>
      <c r="AM125" s="18"/>
      <c r="AN125" s="18"/>
      <c r="AO125" s="18"/>
      <c r="AP125" s="18"/>
      <c r="AQ125" s="17"/>
      <c r="AR125" s="18"/>
      <c r="AS125" s="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33"/>
      <c r="BI125" s="18"/>
      <c r="BJ125" s="18"/>
      <c r="BK125" s="18"/>
      <c r="BL125" s="17"/>
      <c r="BM125" s="13"/>
      <c r="BO125" s="26"/>
      <c r="BS125" s="26"/>
      <c r="CD125" s="27"/>
    </row>
    <row r="126" spans="1:82" s="11" customFormat="1">
      <c r="A126" s="32"/>
      <c r="B126" s="33"/>
      <c r="C126" s="18"/>
      <c r="D126" s="18"/>
      <c r="E126" s="18"/>
      <c r="F126" s="18"/>
      <c r="G126" s="18"/>
      <c r="H126" s="17"/>
      <c r="I126" s="18"/>
      <c r="J126" s="18"/>
      <c r="K126" s="18"/>
      <c r="L126" s="18"/>
      <c r="M126" s="18"/>
      <c r="N126" s="18"/>
      <c r="O126" s="18"/>
      <c r="P126" s="33"/>
      <c r="Q126" s="18"/>
      <c r="R126" s="18"/>
      <c r="S126" s="18"/>
      <c r="T126" s="18"/>
      <c r="U126" s="18"/>
      <c r="V126" s="17"/>
      <c r="W126" s="18"/>
      <c r="X126" s="18"/>
      <c r="Y126" s="18"/>
      <c r="Z126" s="18"/>
      <c r="AA126" s="18"/>
      <c r="AB126" s="18"/>
      <c r="AC126" s="18"/>
      <c r="AD126" s="33"/>
      <c r="AE126" s="18"/>
      <c r="AF126" s="18"/>
      <c r="AG126" s="18"/>
      <c r="AH126" s="18"/>
      <c r="AI126" s="18"/>
      <c r="AJ126" s="17"/>
      <c r="AK126" s="33"/>
      <c r="AL126" s="18"/>
      <c r="AM126" s="18"/>
      <c r="AN126" s="18"/>
      <c r="AO126" s="18"/>
      <c r="AP126" s="18"/>
      <c r="AQ126" s="17"/>
      <c r="AR126" s="18"/>
      <c r="AS126" s="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33"/>
      <c r="BI126" s="18"/>
      <c r="BJ126" s="18"/>
      <c r="BK126" s="18"/>
      <c r="BL126" s="17"/>
      <c r="BM126" s="13"/>
      <c r="BO126" s="26"/>
      <c r="BS126" s="26"/>
      <c r="CD126" s="27"/>
    </row>
    <row r="127" spans="1:82" s="11" customFormat="1">
      <c r="A127" s="32"/>
      <c r="B127" s="33"/>
      <c r="C127" s="18"/>
      <c r="D127" s="18"/>
      <c r="E127" s="18"/>
      <c r="F127" s="18"/>
      <c r="G127" s="18"/>
      <c r="H127" s="17"/>
      <c r="I127" s="18"/>
      <c r="J127" s="18"/>
      <c r="K127" s="18"/>
      <c r="L127" s="18"/>
      <c r="M127" s="18"/>
      <c r="N127" s="18"/>
      <c r="O127" s="18"/>
      <c r="P127" s="33"/>
      <c r="Q127" s="18"/>
      <c r="R127" s="18"/>
      <c r="S127" s="18"/>
      <c r="T127" s="18"/>
      <c r="U127" s="18"/>
      <c r="V127" s="17"/>
      <c r="W127" s="18"/>
      <c r="X127" s="18"/>
      <c r="Y127" s="18"/>
      <c r="Z127" s="18"/>
      <c r="AA127" s="18"/>
      <c r="AB127" s="18"/>
      <c r="AC127" s="18"/>
      <c r="AD127" s="33"/>
      <c r="AE127" s="18"/>
      <c r="AF127" s="18"/>
      <c r="AG127" s="18"/>
      <c r="AH127" s="18"/>
      <c r="AI127" s="18"/>
      <c r="AJ127" s="17"/>
      <c r="AK127" s="33"/>
      <c r="AL127" s="18"/>
      <c r="AM127" s="18"/>
      <c r="AN127" s="18"/>
      <c r="AO127" s="18"/>
      <c r="AP127" s="18"/>
      <c r="AQ127" s="17"/>
      <c r="AR127" s="18"/>
      <c r="AS127" s="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33"/>
      <c r="BI127" s="18"/>
      <c r="BJ127" s="18"/>
      <c r="BK127" s="18"/>
      <c r="BL127" s="17"/>
      <c r="BM127" s="13"/>
      <c r="BO127" s="26"/>
      <c r="BS127" s="26"/>
      <c r="CD127" s="27"/>
    </row>
    <row r="128" spans="1:82" s="11" customFormat="1">
      <c r="A128" s="32"/>
      <c r="B128" s="33"/>
      <c r="C128" s="18"/>
      <c r="D128" s="18"/>
      <c r="E128" s="18"/>
      <c r="F128" s="18"/>
      <c r="G128" s="18"/>
      <c r="H128" s="17"/>
      <c r="I128" s="18"/>
      <c r="J128" s="18"/>
      <c r="K128" s="18"/>
      <c r="L128" s="18"/>
      <c r="M128" s="18"/>
      <c r="N128" s="18"/>
      <c r="O128" s="18"/>
      <c r="P128" s="33"/>
      <c r="Q128" s="18"/>
      <c r="R128" s="18"/>
      <c r="S128" s="18"/>
      <c r="T128" s="18"/>
      <c r="U128" s="18"/>
      <c r="V128" s="17"/>
      <c r="W128" s="18"/>
      <c r="X128" s="18"/>
      <c r="Y128" s="18"/>
      <c r="Z128" s="18"/>
      <c r="AA128" s="18"/>
      <c r="AB128" s="18"/>
      <c r="AC128" s="18"/>
      <c r="AD128" s="33"/>
      <c r="AE128" s="18"/>
      <c r="AF128" s="18"/>
      <c r="AG128" s="18"/>
      <c r="AH128" s="18"/>
      <c r="AI128" s="18"/>
      <c r="AJ128" s="17"/>
      <c r="AK128" s="33"/>
      <c r="AL128" s="18"/>
      <c r="AM128" s="18"/>
      <c r="AN128" s="18"/>
      <c r="AO128" s="18"/>
      <c r="AP128" s="18"/>
      <c r="AQ128" s="17"/>
      <c r="AR128" s="18"/>
      <c r="AS128" s="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33"/>
      <c r="BI128" s="18"/>
      <c r="BJ128" s="18"/>
      <c r="BK128" s="18"/>
      <c r="BL128" s="17"/>
      <c r="BM128" s="13"/>
      <c r="BO128" s="26"/>
      <c r="BS128" s="26"/>
      <c r="CD128" s="27"/>
    </row>
    <row r="129" spans="1:82" s="11" customFormat="1">
      <c r="A129" s="32"/>
      <c r="B129" s="33"/>
      <c r="C129" s="18"/>
      <c r="D129" s="18"/>
      <c r="E129" s="18"/>
      <c r="F129" s="18"/>
      <c r="G129" s="18"/>
      <c r="H129" s="17"/>
      <c r="I129" s="18"/>
      <c r="J129" s="18"/>
      <c r="K129" s="18"/>
      <c r="L129" s="18"/>
      <c r="M129" s="18"/>
      <c r="N129" s="18"/>
      <c r="O129" s="18"/>
      <c r="P129" s="33"/>
      <c r="Q129" s="18"/>
      <c r="R129" s="18"/>
      <c r="S129" s="18"/>
      <c r="T129" s="18"/>
      <c r="U129" s="18"/>
      <c r="V129" s="17"/>
      <c r="W129" s="18"/>
      <c r="X129" s="18"/>
      <c r="Y129" s="18"/>
      <c r="Z129" s="18"/>
      <c r="AA129" s="18"/>
      <c r="AB129" s="18"/>
      <c r="AC129" s="18"/>
      <c r="AD129" s="33"/>
      <c r="AE129" s="18"/>
      <c r="AF129" s="18"/>
      <c r="AG129" s="18"/>
      <c r="AH129" s="18"/>
      <c r="AI129" s="18"/>
      <c r="AJ129" s="17"/>
      <c r="AK129" s="33"/>
      <c r="AL129" s="18"/>
      <c r="AM129" s="18"/>
      <c r="AN129" s="18"/>
      <c r="AO129" s="18"/>
      <c r="AP129" s="18"/>
      <c r="AQ129" s="17"/>
      <c r="AR129" s="18"/>
      <c r="AS129" s="16" t="s">
        <v>214</v>
      </c>
      <c r="AT129" s="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33"/>
      <c r="BI129" s="18"/>
      <c r="BJ129" s="18"/>
      <c r="BK129" s="18"/>
      <c r="BL129" s="17"/>
      <c r="BM129" s="13"/>
      <c r="BO129" s="26"/>
      <c r="BS129" s="26"/>
      <c r="CD129" s="27"/>
    </row>
    <row r="130" spans="1:82" s="11" customFormat="1">
      <c r="A130" s="32"/>
      <c r="B130" s="33"/>
      <c r="C130" s="18"/>
      <c r="D130" s="18"/>
      <c r="E130" s="18"/>
      <c r="F130" s="18"/>
      <c r="G130" s="18"/>
      <c r="H130" s="17"/>
      <c r="I130" s="18"/>
      <c r="J130" s="18"/>
      <c r="K130" s="18"/>
      <c r="L130" s="18"/>
      <c r="M130" s="18"/>
      <c r="N130" s="18"/>
      <c r="O130" s="18"/>
      <c r="P130" s="33"/>
      <c r="Q130" s="18"/>
      <c r="R130" s="18"/>
      <c r="S130" s="18"/>
      <c r="T130" s="18"/>
      <c r="U130" s="18"/>
      <c r="V130" s="17"/>
      <c r="W130" s="18"/>
      <c r="X130" s="18"/>
      <c r="Y130" s="18"/>
      <c r="Z130" s="18"/>
      <c r="AA130" s="18"/>
      <c r="AB130" s="18"/>
      <c r="AC130" s="18"/>
      <c r="AD130" s="33"/>
      <c r="AE130" s="18"/>
      <c r="AF130" s="18"/>
      <c r="AG130" s="18"/>
      <c r="AH130" s="18"/>
      <c r="AI130" s="18"/>
      <c r="AJ130" s="17"/>
      <c r="AK130" s="33"/>
      <c r="AL130" s="18"/>
      <c r="AM130" s="18"/>
      <c r="AN130" s="18"/>
      <c r="AO130" s="18"/>
      <c r="AP130" s="18"/>
      <c r="AQ130" s="17"/>
      <c r="AR130" s="18"/>
      <c r="AS130" s="8"/>
      <c r="AT130" s="8" t="s">
        <v>215</v>
      </c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33"/>
      <c r="BI130" s="18"/>
      <c r="BJ130" s="18"/>
      <c r="BK130" s="18"/>
      <c r="BL130" s="17"/>
      <c r="BM130" s="13"/>
      <c r="BO130" s="26"/>
      <c r="BS130" s="26"/>
      <c r="CD130" s="27"/>
    </row>
    <row r="131" spans="1:82" s="11" customFormat="1">
      <c r="A131" s="32"/>
      <c r="B131" s="33"/>
      <c r="C131" s="18"/>
      <c r="D131" s="18"/>
      <c r="E131" s="18"/>
      <c r="F131" s="18"/>
      <c r="G131" s="18"/>
      <c r="H131" s="17"/>
      <c r="I131" s="18"/>
      <c r="J131" s="18"/>
      <c r="K131" s="18"/>
      <c r="L131" s="18"/>
      <c r="M131" s="18"/>
      <c r="N131" s="18"/>
      <c r="O131" s="18"/>
      <c r="P131" s="33"/>
      <c r="Q131" s="18"/>
      <c r="R131" s="18"/>
      <c r="S131" s="18"/>
      <c r="T131" s="18"/>
      <c r="U131" s="18"/>
      <c r="V131" s="17"/>
      <c r="W131" s="18"/>
      <c r="X131" s="18"/>
      <c r="Y131" s="18"/>
      <c r="Z131" s="18"/>
      <c r="AA131" s="18"/>
      <c r="AB131" s="18"/>
      <c r="AC131" s="18"/>
      <c r="AD131" s="33"/>
      <c r="AE131" s="18"/>
      <c r="AF131" s="18"/>
      <c r="AG131" s="18"/>
      <c r="AH131" s="18"/>
      <c r="AI131" s="18"/>
      <c r="AJ131" s="17"/>
      <c r="AK131" s="33"/>
      <c r="AL131" s="18"/>
      <c r="AM131" s="18"/>
      <c r="AN131" s="18"/>
      <c r="AO131" s="18"/>
      <c r="AP131" s="18"/>
      <c r="AQ131" s="17"/>
      <c r="AR131" s="18"/>
      <c r="AS131" s="8"/>
      <c r="AT131" s="8" t="s">
        <v>192</v>
      </c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33"/>
      <c r="BI131" s="18"/>
      <c r="BJ131" s="18"/>
      <c r="BK131" s="18"/>
      <c r="BL131" s="17"/>
      <c r="BM131" s="13"/>
      <c r="BO131" s="26"/>
      <c r="BS131" s="26"/>
      <c r="CD131" s="27"/>
    </row>
    <row r="132" spans="1:82" s="11" customFormat="1">
      <c r="A132" s="32"/>
      <c r="B132" s="33"/>
      <c r="C132" s="18"/>
      <c r="D132" s="18"/>
      <c r="E132" s="18"/>
      <c r="F132" s="18"/>
      <c r="G132" s="18"/>
      <c r="H132" s="17"/>
      <c r="I132" s="18"/>
      <c r="J132" s="18"/>
      <c r="K132" s="18"/>
      <c r="L132" s="18"/>
      <c r="M132" s="18"/>
      <c r="N132" s="18"/>
      <c r="O132" s="18"/>
      <c r="P132" s="33"/>
      <c r="Q132" s="18"/>
      <c r="R132" s="18"/>
      <c r="S132" s="18"/>
      <c r="T132" s="18"/>
      <c r="U132" s="18"/>
      <c r="V132" s="17"/>
      <c r="W132" s="18"/>
      <c r="X132" s="18"/>
      <c r="Y132" s="18"/>
      <c r="Z132" s="18"/>
      <c r="AA132" s="18"/>
      <c r="AB132" s="18"/>
      <c r="AC132" s="18"/>
      <c r="AD132" s="33"/>
      <c r="AE132" s="18"/>
      <c r="AF132" s="18"/>
      <c r="AG132" s="18"/>
      <c r="AH132" s="18"/>
      <c r="AI132" s="18"/>
      <c r="AJ132" s="17"/>
      <c r="AK132" s="33"/>
      <c r="AL132" s="18"/>
      <c r="AM132" s="18"/>
      <c r="AN132" s="18"/>
      <c r="AO132" s="18"/>
      <c r="AP132" s="18"/>
      <c r="AQ132" s="17"/>
      <c r="AR132" s="18"/>
      <c r="AS132" s="8"/>
      <c r="AT132" s="31" t="s">
        <v>216</v>
      </c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33"/>
      <c r="BI132" s="18"/>
      <c r="BJ132" s="18"/>
      <c r="BK132" s="18"/>
      <c r="BL132" s="17"/>
      <c r="BM132" s="13"/>
      <c r="BO132" s="26"/>
      <c r="BS132" s="26"/>
      <c r="CD132" s="27"/>
    </row>
    <row r="133" spans="1:82" s="11" customFormat="1">
      <c r="A133" s="32"/>
      <c r="B133" s="33"/>
      <c r="C133" s="18"/>
      <c r="D133" s="18"/>
      <c r="E133" s="18"/>
      <c r="F133" s="18"/>
      <c r="G133" s="18"/>
      <c r="H133" s="17"/>
      <c r="I133" s="18"/>
      <c r="J133" s="18"/>
      <c r="K133" s="18"/>
      <c r="L133" s="18"/>
      <c r="M133" s="18"/>
      <c r="N133" s="18"/>
      <c r="O133" s="18"/>
      <c r="P133" s="33"/>
      <c r="Q133" s="18"/>
      <c r="R133" s="18"/>
      <c r="S133" s="18"/>
      <c r="T133" s="18"/>
      <c r="U133" s="18"/>
      <c r="V133" s="17"/>
      <c r="W133" s="18"/>
      <c r="X133" s="18"/>
      <c r="Y133" s="18"/>
      <c r="Z133" s="18"/>
      <c r="AA133" s="18"/>
      <c r="AB133" s="18"/>
      <c r="AC133" s="18"/>
      <c r="AD133" s="33"/>
      <c r="AE133" s="18"/>
      <c r="AF133" s="18"/>
      <c r="AG133" s="18"/>
      <c r="AH133" s="18"/>
      <c r="AI133" s="18"/>
      <c r="AJ133" s="17"/>
      <c r="AK133" s="33"/>
      <c r="AL133" s="18"/>
      <c r="AM133" s="18"/>
      <c r="AN133" s="18"/>
      <c r="AO133" s="18"/>
      <c r="AP133" s="18"/>
      <c r="AQ133" s="17"/>
      <c r="AR133" s="18"/>
      <c r="AS133" s="8"/>
      <c r="AT133" s="8" t="s">
        <v>195</v>
      </c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33"/>
      <c r="BI133" s="18"/>
      <c r="BJ133" s="18"/>
      <c r="BK133" s="18"/>
      <c r="BL133" s="17"/>
      <c r="BM133" s="13"/>
      <c r="BO133" s="26"/>
      <c r="BS133" s="26"/>
      <c r="CD133" s="27"/>
    </row>
    <row r="134" spans="1:82" s="11" customFormat="1">
      <c r="A134" s="32"/>
      <c r="B134" s="33"/>
      <c r="C134" s="18"/>
      <c r="D134" s="18"/>
      <c r="E134" s="18"/>
      <c r="F134" s="18"/>
      <c r="G134" s="18"/>
      <c r="H134" s="17"/>
      <c r="I134" s="18"/>
      <c r="J134" s="18"/>
      <c r="K134" s="18"/>
      <c r="L134" s="18"/>
      <c r="M134" s="18"/>
      <c r="N134" s="18"/>
      <c r="O134" s="18"/>
      <c r="P134" s="33"/>
      <c r="Q134" s="18"/>
      <c r="R134" s="18"/>
      <c r="S134" s="18"/>
      <c r="T134" s="18"/>
      <c r="U134" s="18"/>
      <c r="V134" s="17"/>
      <c r="W134" s="18"/>
      <c r="X134" s="18"/>
      <c r="Y134" s="18"/>
      <c r="Z134" s="18"/>
      <c r="AA134" s="18"/>
      <c r="AB134" s="18"/>
      <c r="AC134" s="18"/>
      <c r="AD134" s="33"/>
      <c r="AE134" s="18"/>
      <c r="AF134" s="18"/>
      <c r="AG134" s="18"/>
      <c r="AH134" s="18"/>
      <c r="AI134" s="18"/>
      <c r="AJ134" s="17"/>
      <c r="AK134" s="33"/>
      <c r="AL134" s="18"/>
      <c r="AM134" s="18"/>
      <c r="AN134" s="18"/>
      <c r="AO134" s="18"/>
      <c r="AP134" s="18"/>
      <c r="AQ134" s="17"/>
      <c r="AR134" s="18"/>
      <c r="AS134" s="8"/>
      <c r="AT134" s="8" t="s">
        <v>217</v>
      </c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33"/>
      <c r="BI134" s="18"/>
      <c r="BJ134" s="18"/>
      <c r="BK134" s="18"/>
      <c r="BL134" s="17"/>
      <c r="BM134" s="13"/>
      <c r="BO134" s="26"/>
      <c r="BS134" s="26"/>
      <c r="CD134" s="27"/>
    </row>
    <row r="135" spans="1:82" s="11" customFormat="1">
      <c r="A135" s="32"/>
      <c r="B135" s="33"/>
      <c r="C135" s="18"/>
      <c r="D135" s="18"/>
      <c r="E135" s="18"/>
      <c r="F135" s="18"/>
      <c r="G135" s="18"/>
      <c r="H135" s="17"/>
      <c r="I135" s="18"/>
      <c r="J135" s="18"/>
      <c r="K135" s="18"/>
      <c r="L135" s="18"/>
      <c r="M135" s="18"/>
      <c r="N135" s="18"/>
      <c r="O135" s="18"/>
      <c r="P135" s="33"/>
      <c r="Q135" s="18"/>
      <c r="R135" s="18"/>
      <c r="S135" s="18"/>
      <c r="T135" s="18"/>
      <c r="U135" s="18"/>
      <c r="V135" s="17"/>
      <c r="W135" s="18"/>
      <c r="X135" s="18"/>
      <c r="Y135" s="18"/>
      <c r="Z135" s="18"/>
      <c r="AA135" s="18"/>
      <c r="AB135" s="18"/>
      <c r="AC135" s="18"/>
      <c r="AD135" s="33"/>
      <c r="AE135" s="18"/>
      <c r="AF135" s="18"/>
      <c r="AG135" s="18"/>
      <c r="AH135" s="18"/>
      <c r="AI135" s="18"/>
      <c r="AJ135" s="17"/>
      <c r="AK135" s="33"/>
      <c r="AL135" s="18"/>
      <c r="AM135" s="18"/>
      <c r="AN135" s="18"/>
      <c r="AO135" s="18"/>
      <c r="AP135" s="18"/>
      <c r="AQ135" s="17"/>
      <c r="AR135" s="18"/>
      <c r="AS135" s="8"/>
      <c r="AT135" s="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50" t="s">
        <v>218</v>
      </c>
      <c r="BI135" s="18"/>
      <c r="BJ135" s="18"/>
      <c r="BK135" s="18"/>
      <c r="BL135" s="17"/>
      <c r="BM135" s="13"/>
      <c r="BO135" s="26"/>
      <c r="BS135" s="26"/>
      <c r="CD135" s="27"/>
    </row>
    <row r="136" spans="1:82" s="11" customFormat="1">
      <c r="A136" s="32"/>
      <c r="B136" s="33"/>
      <c r="C136" s="18"/>
      <c r="D136" s="18"/>
      <c r="E136" s="18"/>
      <c r="F136" s="18"/>
      <c r="G136" s="18"/>
      <c r="H136" s="17"/>
      <c r="I136" s="18"/>
      <c r="J136" s="18"/>
      <c r="K136" s="18"/>
      <c r="L136" s="18"/>
      <c r="M136" s="18"/>
      <c r="N136" s="18"/>
      <c r="O136" s="18"/>
      <c r="P136" s="33"/>
      <c r="Q136" s="18"/>
      <c r="R136" s="18"/>
      <c r="S136" s="18"/>
      <c r="T136" s="18"/>
      <c r="U136" s="18"/>
      <c r="V136" s="17"/>
      <c r="W136" s="18"/>
      <c r="X136" s="18"/>
      <c r="Y136" s="18"/>
      <c r="Z136" s="18"/>
      <c r="AA136" s="18"/>
      <c r="AB136" s="18"/>
      <c r="AC136" s="18"/>
      <c r="AD136" s="33"/>
      <c r="AE136" s="18"/>
      <c r="AF136" s="18"/>
      <c r="AG136" s="18"/>
      <c r="AH136" s="18"/>
      <c r="AI136" s="18"/>
      <c r="AJ136" s="17"/>
      <c r="AK136" s="33"/>
      <c r="AL136" s="18"/>
      <c r="AM136" s="18"/>
      <c r="AN136" s="18"/>
      <c r="AO136" s="18"/>
      <c r="AP136" s="18"/>
      <c r="AQ136" s="17"/>
      <c r="AR136" s="18"/>
      <c r="AS136" s="8"/>
      <c r="AT136" s="31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50" t="s">
        <v>219</v>
      </c>
      <c r="BI136" s="18"/>
      <c r="BJ136" s="18"/>
      <c r="BK136" s="18"/>
      <c r="BL136" s="17"/>
      <c r="BM136" s="13"/>
      <c r="BO136" s="26"/>
      <c r="BS136" s="26"/>
      <c r="CD136" s="27"/>
    </row>
    <row r="137" spans="1:82" s="11" customFormat="1">
      <c r="A137" s="32"/>
      <c r="B137" s="33"/>
      <c r="C137" s="18"/>
      <c r="D137" s="18"/>
      <c r="E137" s="18"/>
      <c r="F137" s="18"/>
      <c r="G137" s="18"/>
      <c r="H137" s="17"/>
      <c r="I137" s="18"/>
      <c r="J137" s="18"/>
      <c r="K137" s="18"/>
      <c r="L137" s="18"/>
      <c r="M137" s="18"/>
      <c r="N137" s="18"/>
      <c r="O137" s="18"/>
      <c r="P137" s="33"/>
      <c r="Q137" s="18"/>
      <c r="R137" s="18"/>
      <c r="S137" s="18"/>
      <c r="T137" s="18"/>
      <c r="U137" s="18"/>
      <c r="V137" s="17"/>
      <c r="W137" s="18"/>
      <c r="X137" s="18"/>
      <c r="Y137" s="18"/>
      <c r="Z137" s="18"/>
      <c r="AA137" s="18"/>
      <c r="AB137" s="18"/>
      <c r="AC137" s="18"/>
      <c r="AD137" s="33"/>
      <c r="AE137" s="18"/>
      <c r="AF137" s="18"/>
      <c r="AG137" s="18"/>
      <c r="AH137" s="18"/>
      <c r="AI137" s="18"/>
      <c r="AJ137" s="17"/>
      <c r="AK137" s="33"/>
      <c r="AL137" s="18"/>
      <c r="AM137" s="18"/>
      <c r="AN137" s="18"/>
      <c r="AO137" s="18"/>
      <c r="AP137" s="18"/>
      <c r="AQ137" s="17"/>
      <c r="AR137" s="18"/>
      <c r="AS137" s="8"/>
      <c r="AT137" s="31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50" t="s">
        <v>220</v>
      </c>
      <c r="BI137" s="18"/>
      <c r="BJ137" s="18"/>
      <c r="BK137" s="18"/>
      <c r="BL137" s="17"/>
      <c r="BM137" s="13"/>
      <c r="BO137" s="26"/>
      <c r="BS137" s="26"/>
      <c r="CD137" s="27"/>
    </row>
    <row r="138" spans="1:82" s="11" customFormat="1">
      <c r="A138" s="32"/>
      <c r="B138" s="33"/>
      <c r="C138" s="18"/>
      <c r="D138" s="18"/>
      <c r="E138" s="18"/>
      <c r="F138" s="18"/>
      <c r="G138" s="18"/>
      <c r="H138" s="17"/>
      <c r="I138" s="18"/>
      <c r="J138" s="18"/>
      <c r="K138" s="18"/>
      <c r="L138" s="18"/>
      <c r="M138" s="18"/>
      <c r="N138" s="18"/>
      <c r="O138" s="18"/>
      <c r="P138" s="33"/>
      <c r="Q138" s="18"/>
      <c r="R138" s="18"/>
      <c r="S138" s="18"/>
      <c r="T138" s="18"/>
      <c r="U138" s="18"/>
      <c r="V138" s="17"/>
      <c r="W138" s="18"/>
      <c r="X138" s="18"/>
      <c r="Y138" s="18"/>
      <c r="Z138" s="18"/>
      <c r="AA138" s="18"/>
      <c r="AB138" s="18"/>
      <c r="AC138" s="18"/>
      <c r="AD138" s="33"/>
      <c r="AE138" s="18"/>
      <c r="AF138" s="18"/>
      <c r="AG138" s="18"/>
      <c r="AH138" s="18"/>
      <c r="AI138" s="18"/>
      <c r="AJ138" s="17"/>
      <c r="AK138" s="33"/>
      <c r="AL138" s="18"/>
      <c r="AM138" s="18"/>
      <c r="AN138" s="18"/>
      <c r="AO138" s="18"/>
      <c r="AP138" s="18"/>
      <c r="AQ138" s="17"/>
      <c r="AR138" s="18"/>
      <c r="AS138" s="8"/>
      <c r="AT138" s="31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50" t="s">
        <v>221</v>
      </c>
      <c r="BI138" s="18"/>
      <c r="BJ138" s="18"/>
      <c r="BK138" s="18"/>
      <c r="BL138" s="17"/>
      <c r="BM138" s="13"/>
      <c r="BO138" s="26"/>
      <c r="BS138" s="26"/>
      <c r="CD138" s="27"/>
    </row>
    <row r="139" spans="1:82" s="11" customFormat="1">
      <c r="A139" s="32"/>
      <c r="B139" s="33"/>
      <c r="C139" s="18"/>
      <c r="D139" s="18"/>
      <c r="E139" s="18"/>
      <c r="F139" s="18"/>
      <c r="G139" s="18"/>
      <c r="H139" s="17"/>
      <c r="I139" s="18"/>
      <c r="J139" s="18"/>
      <c r="K139" s="18"/>
      <c r="L139" s="18"/>
      <c r="M139" s="18"/>
      <c r="N139" s="18"/>
      <c r="O139" s="18"/>
      <c r="P139" s="33"/>
      <c r="Q139" s="18"/>
      <c r="R139" s="18"/>
      <c r="S139" s="18"/>
      <c r="T139" s="18"/>
      <c r="U139" s="18"/>
      <c r="V139" s="17"/>
      <c r="W139" s="18"/>
      <c r="X139" s="18"/>
      <c r="Y139" s="18"/>
      <c r="Z139" s="18"/>
      <c r="AA139" s="18"/>
      <c r="AB139" s="18"/>
      <c r="AC139" s="18"/>
      <c r="AD139" s="33"/>
      <c r="AE139" s="18"/>
      <c r="AF139" s="18"/>
      <c r="AG139" s="18"/>
      <c r="AH139" s="18"/>
      <c r="AI139" s="18"/>
      <c r="AJ139" s="17"/>
      <c r="AK139" s="33"/>
      <c r="AL139" s="18"/>
      <c r="AM139" s="18"/>
      <c r="AN139" s="18"/>
      <c r="AO139" s="18"/>
      <c r="AP139" s="18"/>
      <c r="AQ139" s="17"/>
      <c r="AR139" s="18"/>
      <c r="AS139" s="16"/>
      <c r="AT139" s="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50" t="s">
        <v>222</v>
      </c>
      <c r="BI139" s="18"/>
      <c r="BJ139" s="18"/>
      <c r="BK139" s="18"/>
      <c r="BL139" s="17"/>
      <c r="BM139" s="13"/>
      <c r="BO139" s="26"/>
      <c r="BS139" s="26"/>
      <c r="CD139" s="27"/>
    </row>
    <row r="140" spans="1:82" s="11" customFormat="1">
      <c r="A140" s="32"/>
      <c r="B140" s="33"/>
      <c r="C140" s="18"/>
      <c r="D140" s="18"/>
      <c r="E140" s="18"/>
      <c r="F140" s="18"/>
      <c r="G140" s="18"/>
      <c r="H140" s="17"/>
      <c r="I140" s="18"/>
      <c r="J140" s="18"/>
      <c r="K140" s="18"/>
      <c r="L140" s="18"/>
      <c r="M140" s="18"/>
      <c r="N140" s="18"/>
      <c r="O140" s="18"/>
      <c r="P140" s="33"/>
      <c r="Q140" s="18"/>
      <c r="R140" s="18"/>
      <c r="S140" s="18"/>
      <c r="T140" s="18"/>
      <c r="U140" s="18"/>
      <c r="V140" s="17"/>
      <c r="W140" s="18"/>
      <c r="X140" s="18"/>
      <c r="Y140" s="18"/>
      <c r="Z140" s="18"/>
      <c r="AA140" s="18"/>
      <c r="AB140" s="18"/>
      <c r="AC140" s="18"/>
      <c r="AD140" s="33"/>
      <c r="AE140" s="18"/>
      <c r="AF140" s="18"/>
      <c r="AG140" s="18"/>
      <c r="AH140" s="18"/>
      <c r="AI140" s="18"/>
      <c r="AJ140" s="17"/>
      <c r="AK140" s="33"/>
      <c r="AL140" s="18"/>
      <c r="AM140" s="18"/>
      <c r="AN140" s="18"/>
      <c r="AO140" s="18"/>
      <c r="AP140" s="18"/>
      <c r="AQ140" s="17"/>
      <c r="AR140" s="18"/>
      <c r="AS140" s="16"/>
      <c r="AT140" s="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50" t="s">
        <v>223</v>
      </c>
      <c r="BI140" s="18"/>
      <c r="BJ140" s="18"/>
      <c r="BK140" s="18"/>
      <c r="BL140" s="17"/>
      <c r="BM140" s="13"/>
      <c r="BO140" s="26"/>
      <c r="BS140" s="26"/>
      <c r="CD140" s="27"/>
    </row>
    <row r="141" spans="1:82" s="11" customFormat="1">
      <c r="A141" s="32"/>
      <c r="B141" s="33"/>
      <c r="C141" s="18"/>
      <c r="D141" s="18"/>
      <c r="E141" s="18"/>
      <c r="F141" s="18"/>
      <c r="G141" s="18"/>
      <c r="H141" s="17"/>
      <c r="I141" s="18"/>
      <c r="J141" s="18"/>
      <c r="K141" s="18"/>
      <c r="L141" s="18"/>
      <c r="M141" s="18"/>
      <c r="N141" s="18"/>
      <c r="O141" s="18"/>
      <c r="P141" s="33"/>
      <c r="Q141" s="18"/>
      <c r="R141" s="18"/>
      <c r="S141" s="18"/>
      <c r="T141" s="18"/>
      <c r="U141" s="18"/>
      <c r="V141" s="17"/>
      <c r="W141" s="18"/>
      <c r="X141" s="18"/>
      <c r="Y141" s="18"/>
      <c r="Z141" s="18"/>
      <c r="AA141" s="18"/>
      <c r="AB141" s="18"/>
      <c r="AC141" s="18"/>
      <c r="AD141" s="33"/>
      <c r="AE141" s="18"/>
      <c r="AF141" s="18"/>
      <c r="AG141" s="18"/>
      <c r="AH141" s="18"/>
      <c r="AI141" s="18"/>
      <c r="AJ141" s="17"/>
      <c r="AK141" s="33"/>
      <c r="AL141" s="18"/>
      <c r="AM141" s="18"/>
      <c r="AN141" s="18"/>
      <c r="AO141" s="18"/>
      <c r="AP141" s="18"/>
      <c r="AQ141" s="17"/>
      <c r="AR141" s="18"/>
      <c r="AS141" s="8"/>
      <c r="AT141" s="31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33"/>
      <c r="BI141" s="18"/>
      <c r="BJ141" s="18"/>
      <c r="BK141" s="18"/>
      <c r="BL141" s="17"/>
      <c r="BM141" s="13"/>
      <c r="BO141" s="26"/>
      <c r="BS141" s="26"/>
      <c r="CD141" s="27"/>
    </row>
    <row r="142" spans="1:82" s="11" customFormat="1">
      <c r="A142" s="32"/>
      <c r="B142" s="35" t="s">
        <v>224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35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13"/>
      <c r="BO142" s="23"/>
      <c r="BP142" s="24"/>
      <c r="BQ142" s="24"/>
      <c r="BR142" s="24"/>
      <c r="BS142" s="23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5"/>
    </row>
    <row r="143" spans="1:82" s="11" customFormat="1">
      <c r="A143" s="32"/>
      <c r="B143" s="33"/>
      <c r="C143" s="18"/>
      <c r="D143" s="18"/>
      <c r="E143" s="18"/>
      <c r="F143" s="18"/>
      <c r="G143" s="18"/>
      <c r="H143" s="17"/>
      <c r="I143" s="18"/>
      <c r="J143" s="18"/>
      <c r="K143" s="18"/>
      <c r="L143" s="18"/>
      <c r="M143" s="18"/>
      <c r="N143" s="18"/>
      <c r="O143" s="18"/>
      <c r="P143" s="33"/>
      <c r="Q143" s="18"/>
      <c r="R143" s="18"/>
      <c r="S143" s="18"/>
      <c r="T143" s="18"/>
      <c r="U143" s="18"/>
      <c r="V143" s="17"/>
      <c r="W143" s="18"/>
      <c r="X143" s="18"/>
      <c r="Y143" s="18"/>
      <c r="Z143" s="18"/>
      <c r="AA143" s="18"/>
      <c r="AB143" s="18"/>
      <c r="AC143" s="18"/>
      <c r="AD143" s="33"/>
      <c r="AE143" s="18"/>
      <c r="AF143" s="18"/>
      <c r="AG143" s="18"/>
      <c r="AH143" s="18"/>
      <c r="AI143" s="18"/>
      <c r="AJ143" s="17"/>
      <c r="AK143" s="33"/>
      <c r="AL143" s="18"/>
      <c r="AM143" s="18"/>
      <c r="AN143" s="18"/>
      <c r="AO143" s="18"/>
      <c r="AP143" s="18"/>
      <c r="AQ143" s="17"/>
      <c r="AR143" s="18"/>
      <c r="AS143" s="8"/>
      <c r="AT143" s="31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33"/>
      <c r="BI143" s="18"/>
      <c r="BJ143" s="18"/>
      <c r="BK143" s="18"/>
      <c r="BL143" s="17"/>
      <c r="BM143" s="13"/>
      <c r="BO143" s="26"/>
      <c r="BS143" s="26"/>
      <c r="CD143" s="27"/>
    </row>
    <row r="144" spans="1:82" s="11" customFormat="1">
      <c r="A144" s="32"/>
      <c r="B144" s="33"/>
      <c r="C144" s="18"/>
      <c r="D144" s="18"/>
      <c r="E144" s="18"/>
      <c r="F144" s="18"/>
      <c r="G144" s="18"/>
      <c r="H144" s="17"/>
      <c r="I144" s="18"/>
      <c r="J144" s="18"/>
      <c r="K144" s="18"/>
      <c r="L144" s="18"/>
      <c r="M144" s="18"/>
      <c r="N144" s="18"/>
      <c r="O144" s="18"/>
      <c r="P144" s="33"/>
      <c r="Q144" s="18"/>
      <c r="R144" s="18"/>
      <c r="S144" s="18"/>
      <c r="T144" s="18"/>
      <c r="U144" s="18"/>
      <c r="V144" s="17"/>
      <c r="W144" s="18"/>
      <c r="X144" s="18"/>
      <c r="Y144" s="18"/>
      <c r="Z144" s="18"/>
      <c r="AA144" s="18"/>
      <c r="AB144" s="18"/>
      <c r="AC144" s="18"/>
      <c r="AD144" s="33"/>
      <c r="AE144" s="18"/>
      <c r="AF144" s="18"/>
      <c r="AG144" s="18"/>
      <c r="AH144" s="18"/>
      <c r="AI144" s="18"/>
      <c r="AJ144" s="17"/>
      <c r="AK144" s="33"/>
      <c r="AL144" s="18"/>
      <c r="AM144" s="18"/>
      <c r="AN144" s="18"/>
      <c r="AO144" s="18"/>
      <c r="AP144" s="18"/>
      <c r="AQ144" s="17"/>
      <c r="AR144" s="18"/>
      <c r="AS144" s="8"/>
      <c r="AT144" s="31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33"/>
      <c r="BI144" s="18"/>
      <c r="BJ144" s="18"/>
      <c r="BK144" s="18"/>
      <c r="BL144" s="17"/>
      <c r="BM144" s="13"/>
      <c r="BO144" s="26"/>
      <c r="BS144" s="26"/>
      <c r="CD144" s="27"/>
    </row>
    <row r="145" spans="1:82" s="11" customFormat="1">
      <c r="A145" s="32"/>
      <c r="B145" s="33"/>
      <c r="C145" s="18"/>
      <c r="D145" s="18"/>
      <c r="E145" s="18"/>
      <c r="F145" s="18"/>
      <c r="G145" s="18"/>
      <c r="H145" s="17"/>
      <c r="I145" s="18"/>
      <c r="J145" s="18"/>
      <c r="K145" s="18"/>
      <c r="L145" s="18"/>
      <c r="M145" s="18"/>
      <c r="N145" s="18"/>
      <c r="O145" s="18"/>
      <c r="P145" s="33"/>
      <c r="Q145" s="18"/>
      <c r="R145" s="18"/>
      <c r="S145" s="18"/>
      <c r="T145" s="18"/>
      <c r="U145" s="18"/>
      <c r="V145" s="17"/>
      <c r="W145" s="18"/>
      <c r="X145" s="18"/>
      <c r="Y145" s="18"/>
      <c r="Z145" s="18"/>
      <c r="AA145" s="18"/>
      <c r="AB145" s="18"/>
      <c r="AC145" s="18"/>
      <c r="AD145" s="33"/>
      <c r="AE145" s="18"/>
      <c r="AF145" s="18"/>
      <c r="AG145" s="18"/>
      <c r="AH145" s="18"/>
      <c r="AI145" s="18"/>
      <c r="AJ145" s="17"/>
      <c r="AK145" s="33"/>
      <c r="AL145" s="18"/>
      <c r="AM145" s="18"/>
      <c r="AN145" s="18"/>
      <c r="AO145" s="18"/>
      <c r="AP145" s="18"/>
      <c r="AQ145" s="17"/>
      <c r="AR145" s="18"/>
      <c r="AS145" s="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33"/>
      <c r="BI145" s="18"/>
      <c r="BJ145" s="18"/>
      <c r="BK145" s="18"/>
      <c r="BL145" s="17"/>
      <c r="BM145" s="13"/>
      <c r="BO145" s="26"/>
      <c r="BS145" s="26"/>
      <c r="CD145" s="27"/>
    </row>
    <row r="146" spans="1:82" s="11" customFormat="1">
      <c r="A146" s="32"/>
      <c r="B146" s="33"/>
      <c r="C146" s="18"/>
      <c r="D146" s="18"/>
      <c r="E146" s="18"/>
      <c r="F146" s="18"/>
      <c r="G146" s="18"/>
      <c r="H146" s="17"/>
      <c r="I146" s="18"/>
      <c r="J146" s="18"/>
      <c r="K146" s="18"/>
      <c r="L146" s="18"/>
      <c r="M146" s="18"/>
      <c r="N146" s="18"/>
      <c r="O146" s="18"/>
      <c r="P146" s="33"/>
      <c r="Q146" s="18"/>
      <c r="R146" s="18"/>
      <c r="S146" s="18"/>
      <c r="T146" s="18"/>
      <c r="U146" s="18"/>
      <c r="V146" s="17"/>
      <c r="W146" s="18"/>
      <c r="X146" s="18"/>
      <c r="Y146" s="18"/>
      <c r="Z146" s="18"/>
      <c r="AA146" s="18"/>
      <c r="AB146" s="18"/>
      <c r="AC146" s="18"/>
      <c r="AD146" s="33"/>
      <c r="AE146" s="18"/>
      <c r="AF146" s="18"/>
      <c r="AG146" s="18"/>
      <c r="AH146" s="18"/>
      <c r="AI146" s="18"/>
      <c r="AJ146" s="17"/>
      <c r="AK146" s="33"/>
      <c r="AL146" s="18"/>
      <c r="AM146" s="18"/>
      <c r="AN146" s="18"/>
      <c r="AO146" s="18"/>
      <c r="AP146" s="18"/>
      <c r="AQ146" s="17"/>
      <c r="AR146" s="18"/>
      <c r="AS146" s="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33"/>
      <c r="BI146" s="18"/>
      <c r="BJ146" s="18"/>
      <c r="BK146" s="18"/>
      <c r="BL146" s="17"/>
      <c r="BM146" s="13"/>
      <c r="BO146" s="26"/>
      <c r="BS146" s="26"/>
      <c r="CD146" s="27"/>
    </row>
    <row r="147" spans="1:82" s="11" customFormat="1">
      <c r="A147" s="32"/>
      <c r="B147" s="33"/>
      <c r="C147" s="18"/>
      <c r="D147" s="18"/>
      <c r="E147" s="18"/>
      <c r="F147" s="18"/>
      <c r="G147" s="18"/>
      <c r="H147" s="17"/>
      <c r="I147" s="18"/>
      <c r="J147" s="18"/>
      <c r="K147" s="18"/>
      <c r="L147" s="18"/>
      <c r="M147" s="18"/>
      <c r="N147" s="18"/>
      <c r="O147" s="18"/>
      <c r="P147" s="33"/>
      <c r="Q147" s="18"/>
      <c r="R147" s="18"/>
      <c r="S147" s="18"/>
      <c r="T147" s="18"/>
      <c r="U147" s="18"/>
      <c r="V147" s="17"/>
      <c r="W147" s="18"/>
      <c r="X147" s="18"/>
      <c r="Y147" s="18"/>
      <c r="Z147" s="18"/>
      <c r="AA147" s="18"/>
      <c r="AB147" s="18"/>
      <c r="AC147" s="18"/>
      <c r="AD147" s="33"/>
      <c r="AE147" s="18"/>
      <c r="AF147" s="18"/>
      <c r="AG147" s="18"/>
      <c r="AH147" s="18"/>
      <c r="AI147" s="18"/>
      <c r="AJ147" s="17"/>
      <c r="AK147" s="33"/>
      <c r="AL147" s="18"/>
      <c r="AM147" s="18"/>
      <c r="AN147" s="18"/>
      <c r="AO147" s="18"/>
      <c r="AP147" s="18"/>
      <c r="AQ147" s="17"/>
      <c r="AR147" s="18"/>
      <c r="AS147" s="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33"/>
      <c r="BI147" s="18"/>
      <c r="BJ147" s="18"/>
      <c r="BK147" s="18"/>
      <c r="BL147" s="17"/>
      <c r="BM147" s="13"/>
      <c r="BO147" s="26"/>
      <c r="BS147" s="26"/>
      <c r="CD147" s="27"/>
    </row>
    <row r="148" spans="1:82" s="11" customFormat="1">
      <c r="A148" s="32"/>
      <c r="B148" s="33"/>
      <c r="C148" s="18"/>
      <c r="D148" s="18"/>
      <c r="E148" s="18"/>
      <c r="F148" s="18"/>
      <c r="G148" s="18"/>
      <c r="H148" s="17"/>
      <c r="I148" s="18"/>
      <c r="J148" s="18"/>
      <c r="K148" s="18"/>
      <c r="L148" s="18"/>
      <c r="M148" s="18"/>
      <c r="N148" s="18"/>
      <c r="O148" s="18"/>
      <c r="P148" s="33"/>
      <c r="Q148" s="18"/>
      <c r="R148" s="18"/>
      <c r="S148" s="18"/>
      <c r="T148" s="18"/>
      <c r="U148" s="18"/>
      <c r="V148" s="17"/>
      <c r="W148" s="18"/>
      <c r="X148" s="18"/>
      <c r="Y148" s="18"/>
      <c r="Z148" s="18"/>
      <c r="AA148" s="18"/>
      <c r="AB148" s="18"/>
      <c r="AC148" s="18"/>
      <c r="AD148" s="33"/>
      <c r="AE148" s="18"/>
      <c r="AF148" s="18"/>
      <c r="AG148" s="18"/>
      <c r="AH148" s="18"/>
      <c r="AI148" s="18"/>
      <c r="AJ148" s="17"/>
      <c r="AK148" s="33"/>
      <c r="AL148" s="18"/>
      <c r="AM148" s="18"/>
      <c r="AN148" s="18"/>
      <c r="AO148" s="18"/>
      <c r="AP148" s="18"/>
      <c r="AQ148" s="17"/>
      <c r="AR148" s="18"/>
      <c r="AS148" s="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33"/>
      <c r="BI148" s="18"/>
      <c r="BJ148" s="18"/>
      <c r="BK148" s="18"/>
      <c r="BL148" s="17"/>
      <c r="BM148" s="13"/>
      <c r="BO148" s="26"/>
      <c r="BS148" s="26"/>
      <c r="CD148" s="27"/>
    </row>
    <row r="149" spans="1:82" s="11" customFormat="1">
      <c r="A149" s="32"/>
      <c r="B149" s="33"/>
      <c r="C149" s="18"/>
      <c r="D149" s="18"/>
      <c r="E149" s="18"/>
      <c r="F149" s="18"/>
      <c r="G149" s="18"/>
      <c r="H149" s="17"/>
      <c r="I149" s="18"/>
      <c r="J149" s="18"/>
      <c r="K149" s="18"/>
      <c r="L149" s="18"/>
      <c r="M149" s="18"/>
      <c r="N149" s="18"/>
      <c r="O149" s="18"/>
      <c r="P149" s="33"/>
      <c r="Q149" s="18"/>
      <c r="R149" s="18"/>
      <c r="S149" s="18"/>
      <c r="T149" s="18"/>
      <c r="U149" s="18"/>
      <c r="V149" s="17"/>
      <c r="W149" s="18"/>
      <c r="X149" s="18"/>
      <c r="Y149" s="18"/>
      <c r="Z149" s="18"/>
      <c r="AA149" s="18"/>
      <c r="AB149" s="18"/>
      <c r="AC149" s="18"/>
      <c r="AD149" s="33"/>
      <c r="AE149" s="18"/>
      <c r="AF149" s="18"/>
      <c r="AG149" s="18"/>
      <c r="AH149" s="18"/>
      <c r="AI149" s="18"/>
      <c r="AJ149" s="17"/>
      <c r="AK149" s="33"/>
      <c r="AL149" s="18"/>
      <c r="AM149" s="18"/>
      <c r="AN149" s="18"/>
      <c r="AO149" s="18"/>
      <c r="AP149" s="18"/>
      <c r="AQ149" s="17"/>
      <c r="AR149" s="18"/>
      <c r="AS149" s="8"/>
      <c r="AT149" s="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33"/>
      <c r="BI149" s="18"/>
      <c r="BJ149" s="18"/>
      <c r="BK149" s="18"/>
      <c r="BL149" s="17"/>
      <c r="BM149" s="13"/>
      <c r="BO149" s="26"/>
      <c r="BS149" s="26"/>
      <c r="CD149" s="27"/>
    </row>
    <row r="150" spans="1:82" s="11" customFormat="1">
      <c r="A150" s="32"/>
      <c r="B150" s="33"/>
      <c r="C150" s="18"/>
      <c r="D150" s="18"/>
      <c r="E150" s="18"/>
      <c r="F150" s="18"/>
      <c r="G150" s="18"/>
      <c r="H150" s="17"/>
      <c r="I150" s="18"/>
      <c r="J150" s="18"/>
      <c r="K150" s="18"/>
      <c r="L150" s="18"/>
      <c r="M150" s="18"/>
      <c r="N150" s="18"/>
      <c r="O150" s="18"/>
      <c r="P150" s="33"/>
      <c r="Q150" s="18"/>
      <c r="R150" s="18"/>
      <c r="S150" s="18"/>
      <c r="T150" s="18"/>
      <c r="U150" s="18"/>
      <c r="V150" s="17"/>
      <c r="W150" s="18"/>
      <c r="X150" s="18"/>
      <c r="Y150" s="18"/>
      <c r="Z150" s="18"/>
      <c r="AA150" s="18"/>
      <c r="AB150" s="18"/>
      <c r="AC150" s="18"/>
      <c r="AD150" s="33"/>
      <c r="AE150" s="18"/>
      <c r="AF150" s="18"/>
      <c r="AG150" s="18"/>
      <c r="AH150" s="18"/>
      <c r="AI150" s="18"/>
      <c r="AJ150" s="17"/>
      <c r="AK150" s="33"/>
      <c r="AL150" s="18"/>
      <c r="AM150" s="18"/>
      <c r="AN150" s="18"/>
      <c r="AO150" s="18"/>
      <c r="AP150" s="18"/>
      <c r="AQ150" s="17"/>
      <c r="AR150" s="18"/>
      <c r="AS150" s="8"/>
      <c r="AT150" s="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33"/>
      <c r="BI150" s="18"/>
      <c r="BJ150" s="18"/>
      <c r="BK150" s="18"/>
      <c r="BL150" s="17"/>
      <c r="BM150" s="13"/>
      <c r="BO150" s="26"/>
      <c r="BS150" s="26"/>
      <c r="CD150" s="27"/>
    </row>
    <row r="151" spans="1:82" s="11" customFormat="1">
      <c r="A151" s="32"/>
      <c r="B151" s="33"/>
      <c r="C151" s="18"/>
      <c r="D151" s="18"/>
      <c r="E151" s="18"/>
      <c r="F151" s="18"/>
      <c r="G151" s="18"/>
      <c r="H151" s="17"/>
      <c r="I151" s="18"/>
      <c r="J151" s="18"/>
      <c r="K151" s="18"/>
      <c r="L151" s="18"/>
      <c r="M151" s="18"/>
      <c r="N151" s="18"/>
      <c r="O151" s="18"/>
      <c r="P151" s="33"/>
      <c r="Q151" s="18"/>
      <c r="R151" s="18"/>
      <c r="S151" s="18"/>
      <c r="T151" s="18"/>
      <c r="U151" s="18"/>
      <c r="V151" s="17"/>
      <c r="W151" s="18"/>
      <c r="X151" s="18"/>
      <c r="Y151" s="18"/>
      <c r="Z151" s="18"/>
      <c r="AA151" s="18"/>
      <c r="AB151" s="18"/>
      <c r="AC151" s="18"/>
      <c r="AD151" s="33"/>
      <c r="AE151" s="18"/>
      <c r="AF151" s="18"/>
      <c r="AG151" s="18"/>
      <c r="AH151" s="18"/>
      <c r="AI151" s="18"/>
      <c r="AJ151" s="17"/>
      <c r="AK151" s="33"/>
      <c r="AL151" s="18"/>
      <c r="AM151" s="18"/>
      <c r="AN151" s="18"/>
      <c r="AO151" s="18"/>
      <c r="AP151" s="18"/>
      <c r="AQ151" s="17"/>
      <c r="AR151" s="18"/>
      <c r="AS151" s="8"/>
      <c r="AT151" s="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33"/>
      <c r="BI151" s="18"/>
      <c r="BJ151" s="18"/>
      <c r="BK151" s="18"/>
      <c r="BL151" s="17"/>
      <c r="BM151" s="13"/>
      <c r="BO151" s="26"/>
      <c r="BS151" s="26"/>
      <c r="CD151" s="27"/>
    </row>
    <row r="152" spans="1:82" s="11" customFormat="1">
      <c r="A152" s="32"/>
      <c r="B152" s="33"/>
      <c r="C152" s="18"/>
      <c r="D152" s="18"/>
      <c r="E152" s="18"/>
      <c r="F152" s="18"/>
      <c r="G152" s="18"/>
      <c r="H152" s="17"/>
      <c r="I152" s="18"/>
      <c r="J152" s="18"/>
      <c r="K152" s="18"/>
      <c r="L152" s="18"/>
      <c r="M152" s="18"/>
      <c r="N152" s="18"/>
      <c r="O152" s="18"/>
      <c r="P152" s="33"/>
      <c r="Q152" s="18"/>
      <c r="R152" s="18"/>
      <c r="S152" s="18"/>
      <c r="T152" s="18"/>
      <c r="U152" s="18"/>
      <c r="V152" s="17"/>
      <c r="W152" s="18"/>
      <c r="X152" s="18"/>
      <c r="Y152" s="18"/>
      <c r="Z152" s="18"/>
      <c r="AA152" s="18"/>
      <c r="AB152" s="18"/>
      <c r="AC152" s="18"/>
      <c r="AD152" s="33"/>
      <c r="AE152" s="18"/>
      <c r="AF152" s="18"/>
      <c r="AG152" s="18"/>
      <c r="AH152" s="18"/>
      <c r="AI152" s="18"/>
      <c r="AJ152" s="17"/>
      <c r="AK152" s="33"/>
      <c r="AL152" s="18"/>
      <c r="AM152" s="18"/>
      <c r="AN152" s="18"/>
      <c r="AO152" s="18"/>
      <c r="AP152" s="18"/>
      <c r="AQ152" s="17"/>
      <c r="AR152" s="18"/>
      <c r="AS152" s="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33"/>
      <c r="BI152" s="18"/>
      <c r="BJ152" s="18"/>
      <c r="BK152" s="18"/>
      <c r="BL152" s="17"/>
      <c r="BM152" s="13"/>
      <c r="BO152" s="26"/>
      <c r="BS152" s="26"/>
      <c r="CD152" s="27"/>
    </row>
    <row r="153" spans="1:82" s="11" customFormat="1">
      <c r="A153" s="32"/>
      <c r="B153" s="33"/>
      <c r="C153" s="18"/>
      <c r="D153" s="18"/>
      <c r="E153" s="18"/>
      <c r="F153" s="18"/>
      <c r="G153" s="18"/>
      <c r="H153" s="17"/>
      <c r="I153" s="18"/>
      <c r="J153" s="18"/>
      <c r="K153" s="18"/>
      <c r="L153" s="18"/>
      <c r="M153" s="18"/>
      <c r="N153" s="18"/>
      <c r="O153" s="18"/>
      <c r="P153" s="33"/>
      <c r="Q153" s="18"/>
      <c r="R153" s="18"/>
      <c r="S153" s="18"/>
      <c r="T153" s="18"/>
      <c r="U153" s="18"/>
      <c r="V153" s="17"/>
      <c r="W153" s="18"/>
      <c r="X153" s="18"/>
      <c r="Y153" s="18"/>
      <c r="Z153" s="18"/>
      <c r="AA153" s="18"/>
      <c r="AB153" s="18"/>
      <c r="AC153" s="18"/>
      <c r="AD153" s="33"/>
      <c r="AE153" s="18"/>
      <c r="AF153" s="18"/>
      <c r="AG153" s="18"/>
      <c r="AH153" s="18"/>
      <c r="AI153" s="18"/>
      <c r="AJ153" s="17"/>
      <c r="AK153" s="33"/>
      <c r="AL153" s="18"/>
      <c r="AM153" s="18"/>
      <c r="AN153" s="18"/>
      <c r="AO153" s="18"/>
      <c r="AP153" s="18"/>
      <c r="AQ153" s="17"/>
      <c r="AR153" s="18"/>
      <c r="AS153" s="19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33"/>
      <c r="BI153" s="18"/>
      <c r="BJ153" s="18"/>
      <c r="BK153" s="18"/>
      <c r="BL153" s="17"/>
      <c r="BM153" s="13"/>
      <c r="BO153" s="26"/>
      <c r="BS153" s="26"/>
      <c r="CD153" s="27"/>
    </row>
    <row r="154" spans="1:82" s="11" customFormat="1">
      <c r="A154" s="32"/>
      <c r="B154" s="33"/>
      <c r="C154" s="18"/>
      <c r="D154" s="18"/>
      <c r="E154" s="18"/>
      <c r="F154" s="18"/>
      <c r="G154" s="18"/>
      <c r="H154" s="17"/>
      <c r="I154" s="18"/>
      <c r="J154" s="18"/>
      <c r="K154" s="18"/>
      <c r="L154" s="18"/>
      <c r="M154" s="18"/>
      <c r="N154" s="18"/>
      <c r="O154" s="18"/>
      <c r="P154" s="33"/>
      <c r="Q154" s="18"/>
      <c r="R154" s="18"/>
      <c r="S154" s="18"/>
      <c r="T154" s="18"/>
      <c r="U154" s="18"/>
      <c r="V154" s="17"/>
      <c r="W154" s="18"/>
      <c r="X154" s="18"/>
      <c r="Y154" s="18"/>
      <c r="Z154" s="18"/>
      <c r="AA154" s="18"/>
      <c r="AB154" s="18"/>
      <c r="AC154" s="18"/>
      <c r="AD154" s="33"/>
      <c r="AE154" s="18"/>
      <c r="AF154" s="18"/>
      <c r="AG154" s="18"/>
      <c r="AH154" s="18"/>
      <c r="AI154" s="18"/>
      <c r="AJ154" s="17"/>
      <c r="AK154" s="33"/>
      <c r="AL154" s="18"/>
      <c r="AM154" s="18"/>
      <c r="AN154" s="18"/>
      <c r="AO154" s="18"/>
      <c r="AP154" s="18"/>
      <c r="AQ154" s="17"/>
      <c r="AR154" s="18"/>
      <c r="AS154" s="16" t="s">
        <v>225</v>
      </c>
      <c r="AT154" s="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33"/>
      <c r="BI154" s="18"/>
      <c r="BJ154" s="18"/>
      <c r="BK154" s="18"/>
      <c r="BL154" s="17"/>
      <c r="BM154" s="13"/>
      <c r="BO154" s="26"/>
      <c r="BS154" s="26"/>
      <c r="CD154" s="27"/>
    </row>
    <row r="155" spans="1:82" s="11" customFormat="1">
      <c r="A155" s="32"/>
      <c r="B155" s="33"/>
      <c r="C155" s="18"/>
      <c r="D155" s="18"/>
      <c r="E155" s="18"/>
      <c r="F155" s="18"/>
      <c r="G155" s="18"/>
      <c r="H155" s="17"/>
      <c r="I155" s="18"/>
      <c r="J155" s="18"/>
      <c r="K155" s="18"/>
      <c r="L155" s="18"/>
      <c r="M155" s="18"/>
      <c r="N155" s="18"/>
      <c r="O155" s="18"/>
      <c r="P155" s="33"/>
      <c r="Q155" s="18"/>
      <c r="R155" s="18"/>
      <c r="S155" s="18"/>
      <c r="T155" s="18"/>
      <c r="U155" s="18"/>
      <c r="V155" s="17"/>
      <c r="W155" s="18"/>
      <c r="X155" s="18"/>
      <c r="Y155" s="18"/>
      <c r="Z155" s="18"/>
      <c r="AA155" s="18"/>
      <c r="AB155" s="18"/>
      <c r="AC155" s="18"/>
      <c r="AD155" s="33"/>
      <c r="AE155" s="18"/>
      <c r="AF155" s="18"/>
      <c r="AG155" s="18"/>
      <c r="AH155" s="18"/>
      <c r="AI155" s="18"/>
      <c r="AJ155" s="17"/>
      <c r="AK155" s="33"/>
      <c r="AL155" s="18"/>
      <c r="AM155" s="18"/>
      <c r="AN155" s="18"/>
      <c r="AO155" s="18"/>
      <c r="AP155" s="18"/>
      <c r="AQ155" s="17"/>
      <c r="AR155" s="18"/>
      <c r="AS155" s="8"/>
      <c r="AT155" s="8" t="s">
        <v>226</v>
      </c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33"/>
      <c r="BI155" s="18"/>
      <c r="BJ155" s="18"/>
      <c r="BK155" s="18"/>
      <c r="BL155" s="17"/>
      <c r="BM155" s="13"/>
      <c r="BO155" s="26"/>
      <c r="BS155" s="26"/>
      <c r="CD155" s="27"/>
    </row>
    <row r="156" spans="1:82" s="11" customFormat="1">
      <c r="A156" s="32"/>
      <c r="B156" s="33"/>
      <c r="C156" s="18"/>
      <c r="D156" s="18"/>
      <c r="E156" s="18"/>
      <c r="F156" s="18"/>
      <c r="G156" s="18"/>
      <c r="H156" s="17"/>
      <c r="I156" s="18"/>
      <c r="J156" s="18"/>
      <c r="K156" s="18"/>
      <c r="L156" s="18"/>
      <c r="M156" s="18"/>
      <c r="N156" s="18"/>
      <c r="O156" s="18"/>
      <c r="P156" s="33"/>
      <c r="Q156" s="18"/>
      <c r="R156" s="18"/>
      <c r="S156" s="18"/>
      <c r="T156" s="18"/>
      <c r="U156" s="18"/>
      <c r="V156" s="17"/>
      <c r="W156" s="18"/>
      <c r="X156" s="18"/>
      <c r="Y156" s="18"/>
      <c r="Z156" s="18"/>
      <c r="AA156" s="18"/>
      <c r="AB156" s="18"/>
      <c r="AC156" s="18"/>
      <c r="AD156" s="33"/>
      <c r="AE156" s="18"/>
      <c r="AF156" s="18"/>
      <c r="AG156" s="18"/>
      <c r="AH156" s="18"/>
      <c r="AI156" s="18"/>
      <c r="AJ156" s="17"/>
      <c r="AK156" s="33"/>
      <c r="AL156" s="18"/>
      <c r="AM156" s="18"/>
      <c r="AN156" s="18"/>
      <c r="AO156" s="18"/>
      <c r="AP156" s="18"/>
      <c r="AQ156" s="17"/>
      <c r="AR156" s="18"/>
      <c r="AS156" s="8"/>
      <c r="AT156" s="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33"/>
      <c r="BI156" s="18"/>
      <c r="BJ156" s="18"/>
      <c r="BK156" s="18"/>
      <c r="BL156" s="17"/>
      <c r="BM156" s="13"/>
      <c r="BO156" s="26"/>
      <c r="BS156" s="26"/>
      <c r="CD156" s="27"/>
    </row>
    <row r="157" spans="1:82" s="11" customFormat="1">
      <c r="A157" s="32"/>
      <c r="B157" s="33"/>
      <c r="C157" s="18"/>
      <c r="D157" s="18"/>
      <c r="E157" s="18"/>
      <c r="F157" s="18"/>
      <c r="G157" s="18"/>
      <c r="H157" s="17"/>
      <c r="I157" s="18"/>
      <c r="J157" s="18"/>
      <c r="K157" s="18"/>
      <c r="L157" s="18"/>
      <c r="M157" s="18"/>
      <c r="N157" s="18"/>
      <c r="O157" s="18"/>
      <c r="P157" s="33"/>
      <c r="Q157" s="18"/>
      <c r="R157" s="18"/>
      <c r="S157" s="18"/>
      <c r="T157" s="18"/>
      <c r="U157" s="18"/>
      <c r="V157" s="17"/>
      <c r="W157" s="18"/>
      <c r="X157" s="18"/>
      <c r="Y157" s="18"/>
      <c r="Z157" s="18"/>
      <c r="AA157" s="18"/>
      <c r="AB157" s="18"/>
      <c r="AC157" s="18"/>
      <c r="AD157" s="33"/>
      <c r="AE157" s="18"/>
      <c r="AF157" s="18"/>
      <c r="AG157" s="18"/>
      <c r="AH157" s="18"/>
      <c r="AI157" s="18"/>
      <c r="AJ157" s="17"/>
      <c r="AK157" s="33"/>
      <c r="AL157" s="18"/>
      <c r="AM157" s="18"/>
      <c r="AN157" s="18"/>
      <c r="AO157" s="18"/>
      <c r="AP157" s="18"/>
      <c r="AQ157" s="17"/>
      <c r="AR157" s="18"/>
      <c r="AS157" s="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33"/>
      <c r="BI157" s="18"/>
      <c r="BJ157" s="18"/>
      <c r="BK157" s="18"/>
      <c r="BL157" s="17"/>
      <c r="BM157" s="13"/>
      <c r="BO157" s="26"/>
      <c r="BS157" s="26"/>
      <c r="CD157" s="27"/>
    </row>
    <row r="158" spans="1:82" s="11" customFormat="1">
      <c r="A158" s="32"/>
      <c r="B158" s="33"/>
      <c r="C158" s="18"/>
      <c r="D158" s="18"/>
      <c r="E158" s="18"/>
      <c r="F158" s="18"/>
      <c r="G158" s="18"/>
      <c r="H158" s="17"/>
      <c r="I158" s="18"/>
      <c r="J158" s="18"/>
      <c r="K158" s="18"/>
      <c r="L158" s="18"/>
      <c r="M158" s="18"/>
      <c r="N158" s="18"/>
      <c r="O158" s="18"/>
      <c r="P158" s="33"/>
      <c r="Q158" s="18"/>
      <c r="R158" s="18"/>
      <c r="S158" s="18"/>
      <c r="T158" s="18"/>
      <c r="U158" s="18"/>
      <c r="V158" s="17"/>
      <c r="W158" s="18"/>
      <c r="X158" s="18"/>
      <c r="Y158" s="18"/>
      <c r="Z158" s="18"/>
      <c r="AA158" s="18"/>
      <c r="AB158" s="18"/>
      <c r="AC158" s="18"/>
      <c r="AD158" s="33"/>
      <c r="AE158" s="18"/>
      <c r="AF158" s="18"/>
      <c r="AG158" s="18"/>
      <c r="AH158" s="18"/>
      <c r="AI158" s="18"/>
      <c r="AJ158" s="17"/>
      <c r="AK158" s="33"/>
      <c r="AL158" s="18"/>
      <c r="AM158" s="18"/>
      <c r="AN158" s="18"/>
      <c r="AO158" s="18"/>
      <c r="AP158" s="18"/>
      <c r="AQ158" s="17"/>
      <c r="AR158" s="18"/>
      <c r="AS158" s="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33"/>
      <c r="BI158" s="18"/>
      <c r="BJ158" s="18"/>
      <c r="BK158" s="18"/>
      <c r="BL158" s="17"/>
      <c r="BM158" s="13"/>
      <c r="BO158" s="26"/>
      <c r="BS158" s="26"/>
      <c r="CD158" s="27"/>
    </row>
    <row r="159" spans="1:82" s="11" customFormat="1">
      <c r="A159" s="32"/>
      <c r="B159" s="33"/>
      <c r="C159" s="18"/>
      <c r="D159" s="18"/>
      <c r="E159" s="18"/>
      <c r="F159" s="18"/>
      <c r="G159" s="18"/>
      <c r="H159" s="17"/>
      <c r="I159" s="18"/>
      <c r="J159" s="18"/>
      <c r="K159" s="18"/>
      <c r="L159" s="18"/>
      <c r="M159" s="18"/>
      <c r="N159" s="18"/>
      <c r="O159" s="18"/>
      <c r="P159" s="33"/>
      <c r="Q159" s="18"/>
      <c r="R159" s="18"/>
      <c r="S159" s="18"/>
      <c r="T159" s="18"/>
      <c r="U159" s="18"/>
      <c r="V159" s="17"/>
      <c r="W159" s="18"/>
      <c r="X159" s="18"/>
      <c r="Y159" s="18"/>
      <c r="Z159" s="18"/>
      <c r="AA159" s="18"/>
      <c r="AB159" s="18"/>
      <c r="AC159" s="18"/>
      <c r="AD159" s="33"/>
      <c r="AE159" s="18"/>
      <c r="AF159" s="18"/>
      <c r="AG159" s="18"/>
      <c r="AH159" s="18"/>
      <c r="AI159" s="18"/>
      <c r="AJ159" s="17"/>
      <c r="AK159" s="33"/>
      <c r="AL159" s="18"/>
      <c r="AM159" s="18"/>
      <c r="AN159" s="18"/>
      <c r="AO159" s="18"/>
      <c r="AP159" s="18"/>
      <c r="AQ159" s="17"/>
      <c r="AR159" s="18"/>
      <c r="AS159" s="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33"/>
      <c r="BI159" s="18"/>
      <c r="BJ159" s="18"/>
      <c r="BK159" s="18"/>
      <c r="BL159" s="17"/>
      <c r="BM159" s="13"/>
      <c r="BO159" s="26"/>
      <c r="BS159" s="26"/>
      <c r="CD159" s="27"/>
    </row>
    <row r="160" spans="1:82" s="11" customFormat="1">
      <c r="A160" s="32"/>
      <c r="B160" s="33"/>
      <c r="C160" s="18"/>
      <c r="D160" s="18"/>
      <c r="E160" s="18"/>
      <c r="F160" s="18"/>
      <c r="G160" s="18"/>
      <c r="H160" s="17"/>
      <c r="I160" s="18"/>
      <c r="J160" s="18"/>
      <c r="K160" s="18"/>
      <c r="L160" s="18"/>
      <c r="M160" s="18"/>
      <c r="N160" s="18"/>
      <c r="O160" s="18"/>
      <c r="P160" s="33"/>
      <c r="Q160" s="18"/>
      <c r="R160" s="18"/>
      <c r="S160" s="18"/>
      <c r="T160" s="18"/>
      <c r="U160" s="18"/>
      <c r="V160" s="17"/>
      <c r="W160" s="18"/>
      <c r="X160" s="18"/>
      <c r="Y160" s="18"/>
      <c r="Z160" s="18"/>
      <c r="AA160" s="18"/>
      <c r="AB160" s="18"/>
      <c r="AC160" s="18"/>
      <c r="AD160" s="33"/>
      <c r="AE160" s="18"/>
      <c r="AF160" s="18"/>
      <c r="AG160" s="18"/>
      <c r="AH160" s="18"/>
      <c r="AI160" s="18"/>
      <c r="AJ160" s="17"/>
      <c r="AK160" s="33"/>
      <c r="AL160" s="18"/>
      <c r="AM160" s="18"/>
      <c r="AN160" s="18"/>
      <c r="AO160" s="18"/>
      <c r="AP160" s="18"/>
      <c r="AQ160" s="17"/>
      <c r="AR160" s="18"/>
      <c r="AS160" s="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33"/>
      <c r="BI160" s="18"/>
      <c r="BJ160" s="18"/>
      <c r="BK160" s="18"/>
      <c r="BL160" s="17"/>
      <c r="BM160" s="13"/>
      <c r="BO160" s="26"/>
      <c r="BS160" s="26"/>
      <c r="CD160" s="27"/>
    </row>
    <row r="161" spans="1:82" s="11" customFormat="1">
      <c r="A161" s="32"/>
      <c r="B161" s="33"/>
      <c r="C161" s="18"/>
      <c r="D161" s="18"/>
      <c r="E161" s="18"/>
      <c r="F161" s="18"/>
      <c r="G161" s="18"/>
      <c r="H161" s="17"/>
      <c r="I161" s="18"/>
      <c r="J161" s="18"/>
      <c r="K161" s="18"/>
      <c r="L161" s="18"/>
      <c r="M161" s="18"/>
      <c r="N161" s="18"/>
      <c r="O161" s="18"/>
      <c r="P161" s="33"/>
      <c r="Q161" s="18"/>
      <c r="R161" s="18"/>
      <c r="S161" s="18"/>
      <c r="T161" s="18"/>
      <c r="U161" s="18"/>
      <c r="V161" s="17"/>
      <c r="W161" s="18"/>
      <c r="X161" s="18"/>
      <c r="Y161" s="18"/>
      <c r="Z161" s="18"/>
      <c r="AA161" s="18"/>
      <c r="AB161" s="18"/>
      <c r="AC161" s="18"/>
      <c r="AD161" s="33"/>
      <c r="AE161" s="18"/>
      <c r="AF161" s="18"/>
      <c r="AG161" s="18"/>
      <c r="AH161" s="18"/>
      <c r="AI161" s="18"/>
      <c r="AJ161" s="17"/>
      <c r="AK161" s="33"/>
      <c r="AL161" s="18"/>
      <c r="AM161" s="18"/>
      <c r="AN161" s="18"/>
      <c r="AO161" s="18"/>
      <c r="AP161" s="18"/>
      <c r="AQ161" s="17"/>
      <c r="AR161" s="18"/>
      <c r="AS161" s="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33"/>
      <c r="BI161" s="18"/>
      <c r="BJ161" s="18"/>
      <c r="BK161" s="18"/>
      <c r="BL161" s="17"/>
      <c r="BM161" s="13"/>
      <c r="BO161" s="26"/>
      <c r="BS161" s="26"/>
      <c r="CD161" s="27"/>
    </row>
    <row r="162" spans="1:82" s="11" customFormat="1">
      <c r="A162" s="32"/>
      <c r="B162" s="33"/>
      <c r="C162" s="18"/>
      <c r="D162" s="18"/>
      <c r="E162" s="18"/>
      <c r="F162" s="18"/>
      <c r="G162" s="18"/>
      <c r="H162" s="17"/>
      <c r="I162" s="18"/>
      <c r="J162" s="18"/>
      <c r="K162" s="18"/>
      <c r="L162" s="18"/>
      <c r="M162" s="18"/>
      <c r="N162" s="18"/>
      <c r="O162" s="18"/>
      <c r="P162" s="33"/>
      <c r="Q162" s="18"/>
      <c r="R162" s="18"/>
      <c r="S162" s="18"/>
      <c r="T162" s="18"/>
      <c r="U162" s="18"/>
      <c r="V162" s="17"/>
      <c r="W162" s="18"/>
      <c r="X162" s="18"/>
      <c r="Y162" s="18"/>
      <c r="Z162" s="18"/>
      <c r="AA162" s="18"/>
      <c r="AB162" s="18"/>
      <c r="AC162" s="18"/>
      <c r="AD162" s="33"/>
      <c r="AE162" s="18"/>
      <c r="AF162" s="18"/>
      <c r="AG162" s="18"/>
      <c r="AH162" s="18"/>
      <c r="AI162" s="18"/>
      <c r="AJ162" s="17"/>
      <c r="AK162" s="33"/>
      <c r="AL162" s="18"/>
      <c r="AM162" s="18"/>
      <c r="AN162" s="18"/>
      <c r="AO162" s="18"/>
      <c r="AP162" s="18"/>
      <c r="AQ162" s="17"/>
      <c r="AR162" s="18"/>
      <c r="AS162" s="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33"/>
      <c r="BI162" s="18"/>
      <c r="BJ162" s="18"/>
      <c r="BK162" s="18"/>
      <c r="BL162" s="17"/>
      <c r="BM162" s="13"/>
      <c r="BO162" s="26"/>
      <c r="BS162" s="26"/>
      <c r="CD162" s="27"/>
    </row>
    <row r="163" spans="1:82" s="11" customFormat="1">
      <c r="A163" s="32"/>
      <c r="B163" s="33"/>
      <c r="C163" s="18"/>
      <c r="D163" s="18"/>
      <c r="E163" s="18"/>
      <c r="F163" s="18"/>
      <c r="G163" s="18"/>
      <c r="H163" s="17"/>
      <c r="I163" s="18"/>
      <c r="J163" s="18"/>
      <c r="K163" s="18"/>
      <c r="L163" s="18"/>
      <c r="M163" s="18"/>
      <c r="N163" s="18"/>
      <c r="O163" s="18"/>
      <c r="P163" s="33"/>
      <c r="Q163" s="18"/>
      <c r="R163" s="18"/>
      <c r="S163" s="18"/>
      <c r="T163" s="18"/>
      <c r="U163" s="18"/>
      <c r="V163" s="17"/>
      <c r="W163" s="18"/>
      <c r="X163" s="18"/>
      <c r="Y163" s="18"/>
      <c r="Z163" s="18"/>
      <c r="AA163" s="18"/>
      <c r="AB163" s="18"/>
      <c r="AC163" s="18"/>
      <c r="AD163" s="33"/>
      <c r="AE163" s="18"/>
      <c r="AF163" s="18"/>
      <c r="AG163" s="18"/>
      <c r="AH163" s="18"/>
      <c r="AI163" s="18"/>
      <c r="AJ163" s="17"/>
      <c r="AK163" s="33"/>
      <c r="AL163" s="18"/>
      <c r="AM163" s="18"/>
      <c r="AN163" s="18"/>
      <c r="AO163" s="18"/>
      <c r="AP163" s="18"/>
      <c r="AQ163" s="17"/>
      <c r="AR163" s="18"/>
      <c r="AS163" s="16" t="s">
        <v>227</v>
      </c>
      <c r="AT163" s="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33"/>
      <c r="BI163" s="18"/>
      <c r="BJ163" s="18"/>
      <c r="BK163" s="18"/>
      <c r="BL163" s="17"/>
      <c r="BM163" s="13"/>
      <c r="BO163" s="26"/>
      <c r="BS163" s="26"/>
      <c r="CD163" s="27"/>
    </row>
    <row r="164" spans="1:82" s="11" customFormat="1">
      <c r="A164" s="32"/>
      <c r="B164" s="33"/>
      <c r="C164" s="18"/>
      <c r="D164" s="18"/>
      <c r="E164" s="18"/>
      <c r="F164" s="18"/>
      <c r="G164" s="18"/>
      <c r="H164" s="17"/>
      <c r="I164" s="18"/>
      <c r="J164" s="18"/>
      <c r="K164" s="18"/>
      <c r="L164" s="18"/>
      <c r="M164" s="18"/>
      <c r="N164" s="18"/>
      <c r="O164" s="18"/>
      <c r="P164" s="33"/>
      <c r="Q164" s="18"/>
      <c r="R164" s="18"/>
      <c r="S164" s="18"/>
      <c r="T164" s="18"/>
      <c r="U164" s="18"/>
      <c r="V164" s="17"/>
      <c r="W164" s="18"/>
      <c r="X164" s="18"/>
      <c r="Y164" s="18"/>
      <c r="Z164" s="18"/>
      <c r="AA164" s="18"/>
      <c r="AB164" s="18"/>
      <c r="AC164" s="18"/>
      <c r="AD164" s="33"/>
      <c r="AE164" s="18"/>
      <c r="AF164" s="18"/>
      <c r="AG164" s="18"/>
      <c r="AH164" s="18"/>
      <c r="AI164" s="18"/>
      <c r="AJ164" s="17"/>
      <c r="AK164" s="33"/>
      <c r="AL164" s="18"/>
      <c r="AM164" s="18"/>
      <c r="AN164" s="18"/>
      <c r="AO164" s="18"/>
      <c r="AP164" s="18"/>
      <c r="AQ164" s="17"/>
      <c r="AR164" s="18"/>
      <c r="AS164" s="8"/>
      <c r="AT164" s="8" t="s">
        <v>228</v>
      </c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33"/>
      <c r="BI164" s="18"/>
      <c r="BJ164" s="18"/>
      <c r="BK164" s="18"/>
      <c r="BL164" s="17"/>
      <c r="BM164" s="13"/>
      <c r="BO164" s="26"/>
      <c r="BS164" s="26"/>
      <c r="CD164" s="27"/>
    </row>
    <row r="165" spans="1:82" s="11" customFormat="1">
      <c r="A165" s="32"/>
      <c r="B165" s="33"/>
      <c r="C165" s="18"/>
      <c r="D165" s="18"/>
      <c r="E165" s="18"/>
      <c r="F165" s="18"/>
      <c r="G165" s="18"/>
      <c r="H165" s="17"/>
      <c r="I165" s="18"/>
      <c r="J165" s="18"/>
      <c r="K165" s="18"/>
      <c r="L165" s="18"/>
      <c r="M165" s="18"/>
      <c r="N165" s="18"/>
      <c r="O165" s="18"/>
      <c r="P165" s="33"/>
      <c r="Q165" s="18"/>
      <c r="R165" s="18"/>
      <c r="S165" s="18"/>
      <c r="T165" s="18"/>
      <c r="U165" s="18"/>
      <c r="V165" s="17"/>
      <c r="W165" s="18"/>
      <c r="X165" s="18"/>
      <c r="Y165" s="18"/>
      <c r="Z165" s="18"/>
      <c r="AA165" s="18"/>
      <c r="AB165" s="18"/>
      <c r="AC165" s="18"/>
      <c r="AD165" s="33"/>
      <c r="AE165" s="18"/>
      <c r="AF165" s="18"/>
      <c r="AG165" s="18"/>
      <c r="AH165" s="18"/>
      <c r="AI165" s="18"/>
      <c r="AJ165" s="17"/>
      <c r="AK165" s="33"/>
      <c r="AL165" s="18"/>
      <c r="AM165" s="18"/>
      <c r="AN165" s="18"/>
      <c r="AO165" s="18"/>
      <c r="AP165" s="18"/>
      <c r="AQ165" s="17"/>
      <c r="AR165" s="18"/>
      <c r="AS165" s="8"/>
      <c r="AT165" s="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33"/>
      <c r="BI165" s="18"/>
      <c r="BJ165" s="18"/>
      <c r="BK165" s="18"/>
      <c r="BL165" s="17"/>
      <c r="BM165" s="13"/>
      <c r="BO165" s="26"/>
      <c r="BS165" s="26"/>
      <c r="CD165" s="27"/>
    </row>
    <row r="166" spans="1:82" s="11" customFormat="1">
      <c r="A166" s="32"/>
      <c r="B166" s="33"/>
      <c r="C166" s="18"/>
      <c r="D166" s="18"/>
      <c r="E166" s="18"/>
      <c r="F166" s="18"/>
      <c r="G166" s="18"/>
      <c r="H166" s="17"/>
      <c r="I166" s="18"/>
      <c r="J166" s="18"/>
      <c r="K166" s="18"/>
      <c r="L166" s="18"/>
      <c r="M166" s="18"/>
      <c r="N166" s="18"/>
      <c r="O166" s="18"/>
      <c r="P166" s="33"/>
      <c r="Q166" s="18"/>
      <c r="R166" s="18"/>
      <c r="S166" s="18"/>
      <c r="T166" s="18"/>
      <c r="U166" s="18"/>
      <c r="V166" s="17"/>
      <c r="W166" s="18"/>
      <c r="X166" s="18"/>
      <c r="Y166" s="18"/>
      <c r="Z166" s="18"/>
      <c r="AA166" s="18"/>
      <c r="AB166" s="18"/>
      <c r="AC166" s="18"/>
      <c r="AD166" s="33"/>
      <c r="AE166" s="18"/>
      <c r="AF166" s="18"/>
      <c r="AG166" s="18"/>
      <c r="AH166" s="18"/>
      <c r="AI166" s="18"/>
      <c r="AJ166" s="17"/>
      <c r="AK166" s="33"/>
      <c r="AL166" s="18"/>
      <c r="AM166" s="18"/>
      <c r="AN166" s="18"/>
      <c r="AO166" s="18"/>
      <c r="AP166" s="18"/>
      <c r="AQ166" s="17"/>
      <c r="AR166" s="18"/>
      <c r="AS166" s="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33"/>
      <c r="BI166" s="18"/>
      <c r="BJ166" s="18"/>
      <c r="BK166" s="18"/>
      <c r="BL166" s="17"/>
      <c r="BM166" s="13"/>
      <c r="BO166" s="26"/>
      <c r="BS166" s="26"/>
      <c r="CD166" s="27"/>
    </row>
    <row r="167" spans="1:82" s="11" customFormat="1">
      <c r="A167" s="32"/>
      <c r="B167" s="33"/>
      <c r="C167" s="18"/>
      <c r="D167" s="18"/>
      <c r="E167" s="18"/>
      <c r="F167" s="18"/>
      <c r="G167" s="18"/>
      <c r="H167" s="17"/>
      <c r="I167" s="18"/>
      <c r="J167" s="18"/>
      <c r="K167" s="18"/>
      <c r="L167" s="18"/>
      <c r="M167" s="18"/>
      <c r="N167" s="18"/>
      <c r="O167" s="18"/>
      <c r="P167" s="33"/>
      <c r="Q167" s="18"/>
      <c r="R167" s="18"/>
      <c r="S167" s="18"/>
      <c r="T167" s="18"/>
      <c r="U167" s="18"/>
      <c r="V167" s="17"/>
      <c r="W167" s="18"/>
      <c r="X167" s="18"/>
      <c r="Y167" s="18"/>
      <c r="Z167" s="18"/>
      <c r="AA167" s="18"/>
      <c r="AB167" s="18"/>
      <c r="AC167" s="18"/>
      <c r="AD167" s="33"/>
      <c r="AE167" s="18"/>
      <c r="AF167" s="18"/>
      <c r="AG167" s="18"/>
      <c r="AH167" s="18"/>
      <c r="AI167" s="18"/>
      <c r="AJ167" s="17"/>
      <c r="AK167" s="33"/>
      <c r="AL167" s="18"/>
      <c r="AM167" s="18"/>
      <c r="AN167" s="18"/>
      <c r="AO167" s="18"/>
      <c r="AP167" s="18"/>
      <c r="AQ167" s="17"/>
      <c r="AR167" s="18"/>
      <c r="AS167" s="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33"/>
      <c r="BI167" s="18"/>
      <c r="BJ167" s="18"/>
      <c r="BK167" s="18"/>
      <c r="BL167" s="17"/>
      <c r="BM167" s="13"/>
      <c r="BO167" s="26"/>
      <c r="BS167" s="26"/>
      <c r="CD167" s="27"/>
    </row>
    <row r="168" spans="1:82" s="11" customFormat="1">
      <c r="A168" s="32"/>
      <c r="B168" s="33"/>
      <c r="C168" s="18"/>
      <c r="D168" s="18"/>
      <c r="E168" s="18"/>
      <c r="F168" s="18"/>
      <c r="G168" s="18"/>
      <c r="H168" s="17"/>
      <c r="I168" s="18"/>
      <c r="J168" s="18"/>
      <c r="K168" s="18"/>
      <c r="L168" s="18"/>
      <c r="M168" s="18"/>
      <c r="N168" s="18"/>
      <c r="O168" s="18"/>
      <c r="P168" s="33"/>
      <c r="Q168" s="18"/>
      <c r="R168" s="18"/>
      <c r="S168" s="18"/>
      <c r="T168" s="18"/>
      <c r="U168" s="18"/>
      <c r="V168" s="17"/>
      <c r="W168" s="18"/>
      <c r="X168" s="18"/>
      <c r="Y168" s="18"/>
      <c r="Z168" s="18"/>
      <c r="AA168" s="18"/>
      <c r="AB168" s="18"/>
      <c r="AC168" s="18"/>
      <c r="AD168" s="33"/>
      <c r="AE168" s="18"/>
      <c r="AF168" s="18"/>
      <c r="AG168" s="18"/>
      <c r="AH168" s="18"/>
      <c r="AI168" s="18"/>
      <c r="AJ168" s="17"/>
      <c r="AK168" s="33"/>
      <c r="AL168" s="18"/>
      <c r="AM168" s="18"/>
      <c r="AN168" s="18"/>
      <c r="AO168" s="18"/>
      <c r="AP168" s="18"/>
      <c r="AQ168" s="17"/>
      <c r="AR168" s="18"/>
      <c r="AS168" s="8"/>
      <c r="AT168" s="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33"/>
      <c r="BI168" s="18"/>
      <c r="BJ168" s="18"/>
      <c r="BK168" s="18"/>
      <c r="BL168" s="17"/>
      <c r="BM168" s="13"/>
      <c r="BO168" s="26"/>
      <c r="BS168" s="26"/>
      <c r="CD168" s="27"/>
    </row>
    <row r="169" spans="1:82" s="11" customFormat="1">
      <c r="A169" s="32"/>
      <c r="B169" s="33"/>
      <c r="C169" s="18"/>
      <c r="D169" s="18"/>
      <c r="E169" s="18"/>
      <c r="F169" s="18"/>
      <c r="G169" s="18"/>
      <c r="H169" s="17"/>
      <c r="I169" s="18"/>
      <c r="J169" s="18"/>
      <c r="K169" s="18"/>
      <c r="L169" s="18"/>
      <c r="M169" s="18"/>
      <c r="N169" s="18"/>
      <c r="O169" s="18"/>
      <c r="P169" s="33"/>
      <c r="Q169" s="18"/>
      <c r="R169" s="18"/>
      <c r="S169" s="18"/>
      <c r="T169" s="18"/>
      <c r="U169" s="18"/>
      <c r="V169" s="17"/>
      <c r="W169" s="18"/>
      <c r="X169" s="18"/>
      <c r="Y169" s="18"/>
      <c r="Z169" s="18"/>
      <c r="AA169" s="18"/>
      <c r="AB169" s="18"/>
      <c r="AC169" s="18"/>
      <c r="AD169" s="33"/>
      <c r="AE169" s="18"/>
      <c r="AF169" s="18"/>
      <c r="AG169" s="18"/>
      <c r="AH169" s="18"/>
      <c r="AI169" s="18"/>
      <c r="AJ169" s="17"/>
      <c r="AK169" s="33"/>
      <c r="AL169" s="18"/>
      <c r="AM169" s="18"/>
      <c r="AN169" s="18"/>
      <c r="AO169" s="18"/>
      <c r="AP169" s="18"/>
      <c r="AQ169" s="17"/>
      <c r="AR169" s="18"/>
      <c r="AS169" s="8"/>
      <c r="AT169" s="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33"/>
      <c r="BI169" s="18"/>
      <c r="BJ169" s="18"/>
      <c r="BK169" s="18"/>
      <c r="BL169" s="17"/>
      <c r="BM169" s="13"/>
      <c r="BO169" s="26"/>
      <c r="BS169" s="26"/>
      <c r="CD169" s="27"/>
    </row>
    <row r="170" spans="1:82" s="11" customFormat="1">
      <c r="A170" s="32"/>
      <c r="B170" s="33"/>
      <c r="C170" s="18"/>
      <c r="D170" s="18"/>
      <c r="E170" s="18"/>
      <c r="F170" s="18"/>
      <c r="G170" s="18"/>
      <c r="H170" s="17"/>
      <c r="I170" s="18"/>
      <c r="J170" s="18"/>
      <c r="K170" s="18"/>
      <c r="L170" s="18"/>
      <c r="M170" s="18"/>
      <c r="N170" s="18"/>
      <c r="O170" s="18"/>
      <c r="P170" s="33"/>
      <c r="Q170" s="18"/>
      <c r="R170" s="18"/>
      <c r="S170" s="18"/>
      <c r="T170" s="18"/>
      <c r="U170" s="18"/>
      <c r="V170" s="17"/>
      <c r="W170" s="18"/>
      <c r="X170" s="18"/>
      <c r="Y170" s="18"/>
      <c r="Z170" s="18"/>
      <c r="AA170" s="18"/>
      <c r="AB170" s="18"/>
      <c r="AC170" s="18"/>
      <c r="AD170" s="33"/>
      <c r="AE170" s="18"/>
      <c r="AF170" s="18"/>
      <c r="AG170" s="18"/>
      <c r="AH170" s="18"/>
      <c r="AI170" s="18"/>
      <c r="AJ170" s="17"/>
      <c r="AK170" s="33"/>
      <c r="AL170" s="18"/>
      <c r="AM170" s="18"/>
      <c r="AN170" s="18"/>
      <c r="AO170" s="18"/>
      <c r="AP170" s="18"/>
      <c r="AQ170" s="17"/>
      <c r="AR170" s="18"/>
      <c r="AS170" s="8"/>
      <c r="AT170" s="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33"/>
      <c r="BI170" s="18"/>
      <c r="BJ170" s="18"/>
      <c r="BK170" s="18"/>
      <c r="BL170" s="17"/>
      <c r="BM170" s="13"/>
      <c r="BO170" s="26"/>
      <c r="BS170" s="26"/>
      <c r="CD170" s="27"/>
    </row>
    <row r="171" spans="1:82" s="11" customFormat="1">
      <c r="A171" s="32"/>
      <c r="B171" s="33"/>
      <c r="C171" s="18"/>
      <c r="D171" s="18"/>
      <c r="E171" s="18"/>
      <c r="F171" s="18"/>
      <c r="G171" s="18"/>
      <c r="H171" s="17"/>
      <c r="I171" s="18"/>
      <c r="J171" s="18"/>
      <c r="K171" s="18"/>
      <c r="L171" s="18"/>
      <c r="M171" s="18"/>
      <c r="N171" s="18"/>
      <c r="O171" s="18"/>
      <c r="P171" s="33"/>
      <c r="Q171" s="18"/>
      <c r="R171" s="18"/>
      <c r="S171" s="18"/>
      <c r="T171" s="18"/>
      <c r="U171" s="18"/>
      <c r="V171" s="17"/>
      <c r="W171" s="18"/>
      <c r="X171" s="18"/>
      <c r="Y171" s="18"/>
      <c r="Z171" s="18"/>
      <c r="AA171" s="18"/>
      <c r="AB171" s="18"/>
      <c r="AC171" s="18"/>
      <c r="AD171" s="33"/>
      <c r="AE171" s="18"/>
      <c r="AF171" s="18"/>
      <c r="AG171" s="18"/>
      <c r="AH171" s="18"/>
      <c r="AI171" s="18"/>
      <c r="AJ171" s="17"/>
      <c r="AK171" s="33"/>
      <c r="AL171" s="18"/>
      <c r="AM171" s="18"/>
      <c r="AN171" s="18"/>
      <c r="AO171" s="18"/>
      <c r="AP171" s="18"/>
      <c r="AQ171" s="17"/>
      <c r="AR171" s="18"/>
      <c r="AS171" s="8"/>
      <c r="AT171" s="31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33"/>
      <c r="BI171" s="18"/>
      <c r="BJ171" s="18"/>
      <c r="BK171" s="18"/>
      <c r="BL171" s="17"/>
      <c r="BM171" s="13"/>
      <c r="BO171" s="26"/>
      <c r="BS171" s="26"/>
      <c r="CD171" s="27"/>
    </row>
    <row r="172" spans="1:82" s="11" customFormat="1">
      <c r="A172" s="32"/>
      <c r="B172" s="33"/>
      <c r="C172" s="18"/>
      <c r="D172" s="18"/>
      <c r="E172" s="18"/>
      <c r="F172" s="18"/>
      <c r="G172" s="18"/>
      <c r="H172" s="17"/>
      <c r="I172" s="18"/>
      <c r="J172" s="18"/>
      <c r="K172" s="18"/>
      <c r="L172" s="18"/>
      <c r="M172" s="18"/>
      <c r="N172" s="18"/>
      <c r="O172" s="18"/>
      <c r="P172" s="33"/>
      <c r="Q172" s="18"/>
      <c r="R172" s="18"/>
      <c r="S172" s="18"/>
      <c r="T172" s="18"/>
      <c r="U172" s="18"/>
      <c r="V172" s="17"/>
      <c r="W172" s="18"/>
      <c r="X172" s="18"/>
      <c r="Y172" s="18"/>
      <c r="Z172" s="18"/>
      <c r="AA172" s="18"/>
      <c r="AB172" s="18"/>
      <c r="AC172" s="18"/>
      <c r="AD172" s="33"/>
      <c r="AE172" s="18"/>
      <c r="AF172" s="18"/>
      <c r="AG172" s="18"/>
      <c r="AH172" s="18"/>
      <c r="AI172" s="18"/>
      <c r="AJ172" s="17"/>
      <c r="AK172" s="33"/>
      <c r="AL172" s="18"/>
      <c r="AM172" s="18"/>
      <c r="AN172" s="18"/>
      <c r="AO172" s="18"/>
      <c r="AP172" s="18"/>
      <c r="AQ172" s="17"/>
      <c r="AR172" s="18"/>
      <c r="AS172" s="8"/>
      <c r="AT172" s="31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33"/>
      <c r="BI172" s="18"/>
      <c r="BJ172" s="18"/>
      <c r="BK172" s="18"/>
      <c r="BL172" s="17"/>
      <c r="BM172" s="13"/>
      <c r="BO172" s="26"/>
      <c r="BS172" s="26"/>
      <c r="CD172" s="27"/>
    </row>
    <row r="173" spans="1:82" s="11" customFormat="1">
      <c r="A173" s="32"/>
      <c r="B173" s="33"/>
      <c r="C173" s="18"/>
      <c r="D173" s="18"/>
      <c r="E173" s="18"/>
      <c r="F173" s="18"/>
      <c r="G173" s="18"/>
      <c r="H173" s="17"/>
      <c r="I173" s="18"/>
      <c r="J173" s="18"/>
      <c r="K173" s="18"/>
      <c r="L173" s="18"/>
      <c r="M173" s="18"/>
      <c r="N173" s="18"/>
      <c r="O173" s="18"/>
      <c r="P173" s="33"/>
      <c r="Q173" s="18"/>
      <c r="R173" s="18"/>
      <c r="S173" s="18"/>
      <c r="T173" s="18"/>
      <c r="U173" s="18"/>
      <c r="V173" s="17"/>
      <c r="W173" s="18"/>
      <c r="X173" s="18"/>
      <c r="Y173" s="18"/>
      <c r="Z173" s="18"/>
      <c r="AA173" s="18"/>
      <c r="AB173" s="18"/>
      <c r="AC173" s="18"/>
      <c r="AD173" s="33"/>
      <c r="AE173" s="18"/>
      <c r="AF173" s="18"/>
      <c r="AG173" s="18"/>
      <c r="AH173" s="18"/>
      <c r="AI173" s="18"/>
      <c r="AJ173" s="17"/>
      <c r="AK173" s="33"/>
      <c r="AL173" s="18"/>
      <c r="AM173" s="18"/>
      <c r="AN173" s="18"/>
      <c r="AO173" s="18"/>
      <c r="AP173" s="18"/>
      <c r="AQ173" s="17"/>
      <c r="AR173" s="18"/>
      <c r="AS173" s="8"/>
      <c r="AT173" s="31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33"/>
      <c r="BI173" s="18"/>
      <c r="BJ173" s="18"/>
      <c r="BK173" s="18"/>
      <c r="BL173" s="17"/>
      <c r="BM173" s="13"/>
      <c r="BO173" s="26"/>
      <c r="BS173" s="26"/>
      <c r="CD173" s="27"/>
    </row>
    <row r="174" spans="1:82" s="11" customFormat="1">
      <c r="A174" s="32"/>
      <c r="B174" s="33"/>
      <c r="C174" s="18"/>
      <c r="D174" s="18"/>
      <c r="E174" s="18"/>
      <c r="F174" s="18"/>
      <c r="G174" s="18"/>
      <c r="H174" s="17"/>
      <c r="I174" s="18"/>
      <c r="J174" s="18"/>
      <c r="K174" s="18"/>
      <c r="L174" s="18"/>
      <c r="M174" s="18"/>
      <c r="N174" s="18"/>
      <c r="O174" s="18"/>
      <c r="P174" s="33"/>
      <c r="Q174" s="18"/>
      <c r="R174" s="18"/>
      <c r="S174" s="18"/>
      <c r="T174" s="18"/>
      <c r="U174" s="18"/>
      <c r="V174" s="17"/>
      <c r="W174" s="18"/>
      <c r="X174" s="18"/>
      <c r="Y174" s="18"/>
      <c r="Z174" s="18"/>
      <c r="AA174" s="18"/>
      <c r="AB174" s="18"/>
      <c r="AC174" s="18"/>
      <c r="AD174" s="33"/>
      <c r="AE174" s="18"/>
      <c r="AF174" s="18"/>
      <c r="AG174" s="18"/>
      <c r="AH174" s="18"/>
      <c r="AI174" s="18"/>
      <c r="AJ174" s="17"/>
      <c r="AK174" s="33"/>
      <c r="AL174" s="18"/>
      <c r="AM174" s="18"/>
      <c r="AN174" s="18"/>
      <c r="AO174" s="18"/>
      <c r="AP174" s="18"/>
      <c r="AQ174" s="17"/>
      <c r="AR174" s="18"/>
      <c r="AS174" s="16"/>
      <c r="AT174" s="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33"/>
      <c r="BI174" s="18"/>
      <c r="BJ174" s="18"/>
      <c r="BK174" s="18"/>
      <c r="BL174" s="17"/>
      <c r="BM174" s="13"/>
      <c r="BO174" s="26"/>
      <c r="BS174" s="26"/>
      <c r="CD174" s="27"/>
    </row>
    <row r="175" spans="1:82" s="11" customFormat="1">
      <c r="A175" s="32"/>
      <c r="B175" s="33"/>
      <c r="C175" s="18"/>
      <c r="D175" s="18"/>
      <c r="E175" s="18"/>
      <c r="F175" s="18"/>
      <c r="G175" s="18"/>
      <c r="H175" s="17"/>
      <c r="I175" s="18"/>
      <c r="J175" s="18"/>
      <c r="K175" s="18"/>
      <c r="L175" s="18"/>
      <c r="M175" s="18"/>
      <c r="N175" s="18"/>
      <c r="O175" s="18"/>
      <c r="P175" s="33"/>
      <c r="Q175" s="18"/>
      <c r="R175" s="18"/>
      <c r="S175" s="18"/>
      <c r="T175" s="18"/>
      <c r="U175" s="18"/>
      <c r="V175" s="17"/>
      <c r="W175" s="18"/>
      <c r="X175" s="18"/>
      <c r="Y175" s="18"/>
      <c r="Z175" s="18"/>
      <c r="AA175" s="18"/>
      <c r="AB175" s="18"/>
      <c r="AC175" s="18"/>
      <c r="AD175" s="33"/>
      <c r="AE175" s="18"/>
      <c r="AF175" s="18"/>
      <c r="AG175" s="18"/>
      <c r="AH175" s="18"/>
      <c r="AI175" s="18"/>
      <c r="AJ175" s="17"/>
      <c r="AK175" s="33"/>
      <c r="AL175" s="18"/>
      <c r="AM175" s="18"/>
      <c r="AN175" s="18"/>
      <c r="AO175" s="18"/>
      <c r="AP175" s="18"/>
      <c r="AQ175" s="17"/>
      <c r="AR175" s="18"/>
      <c r="AS175" s="8"/>
      <c r="AT175" s="31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33"/>
      <c r="BI175" s="18"/>
      <c r="BJ175" s="18"/>
      <c r="BK175" s="18"/>
      <c r="BL175" s="17"/>
      <c r="BM175" s="13"/>
      <c r="BO175" s="26"/>
      <c r="BS175" s="26"/>
      <c r="CD175" s="27"/>
    </row>
    <row r="176" spans="1:82" s="11" customFormat="1">
      <c r="A176" s="32"/>
      <c r="B176" s="33"/>
      <c r="C176" s="18"/>
      <c r="D176" s="18"/>
      <c r="E176" s="18"/>
      <c r="F176" s="18"/>
      <c r="G176" s="18"/>
      <c r="H176" s="17"/>
      <c r="I176" s="18"/>
      <c r="J176" s="18"/>
      <c r="K176" s="18"/>
      <c r="L176" s="18"/>
      <c r="M176" s="18"/>
      <c r="N176" s="18"/>
      <c r="O176" s="18"/>
      <c r="P176" s="33"/>
      <c r="Q176" s="18"/>
      <c r="R176" s="18"/>
      <c r="S176" s="18"/>
      <c r="T176" s="18"/>
      <c r="U176" s="18"/>
      <c r="V176" s="17"/>
      <c r="W176" s="18"/>
      <c r="X176" s="18"/>
      <c r="Y176" s="18"/>
      <c r="Z176" s="18"/>
      <c r="AA176" s="18"/>
      <c r="AB176" s="18"/>
      <c r="AC176" s="18"/>
      <c r="AD176" s="33"/>
      <c r="AE176" s="18"/>
      <c r="AF176" s="18"/>
      <c r="AG176" s="18"/>
      <c r="AH176" s="18"/>
      <c r="AI176" s="18"/>
      <c r="AJ176" s="17"/>
      <c r="AK176" s="33"/>
      <c r="AL176" s="18"/>
      <c r="AM176" s="18"/>
      <c r="AN176" s="18"/>
      <c r="AO176" s="18"/>
      <c r="AP176" s="18"/>
      <c r="AQ176" s="17"/>
      <c r="AR176" s="18"/>
      <c r="AS176" s="8"/>
      <c r="AT176" s="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33"/>
      <c r="BI176" s="18"/>
      <c r="BJ176" s="18"/>
      <c r="BK176" s="18"/>
      <c r="BL176" s="17"/>
      <c r="BM176" s="13"/>
      <c r="BO176" s="26"/>
      <c r="BS176" s="26"/>
      <c r="CD176" s="27"/>
    </row>
    <row r="177" spans="1:82" s="11" customFormat="1">
      <c r="A177" s="32"/>
      <c r="B177" s="33"/>
      <c r="C177" s="18"/>
      <c r="D177" s="18"/>
      <c r="E177" s="18"/>
      <c r="F177" s="18"/>
      <c r="G177" s="18"/>
      <c r="H177" s="17"/>
      <c r="I177" s="18"/>
      <c r="J177" s="18"/>
      <c r="K177" s="18"/>
      <c r="L177" s="18"/>
      <c r="M177" s="18"/>
      <c r="N177" s="18"/>
      <c r="O177" s="18"/>
      <c r="P177" s="33"/>
      <c r="Q177" s="18"/>
      <c r="R177" s="18"/>
      <c r="S177" s="18"/>
      <c r="T177" s="18"/>
      <c r="U177" s="18"/>
      <c r="V177" s="17"/>
      <c r="W177" s="18"/>
      <c r="X177" s="18"/>
      <c r="Y177" s="18"/>
      <c r="Z177" s="18"/>
      <c r="AA177" s="18"/>
      <c r="AB177" s="18"/>
      <c r="AC177" s="18"/>
      <c r="AD177" s="33"/>
      <c r="AE177" s="18"/>
      <c r="AF177" s="18"/>
      <c r="AG177" s="18"/>
      <c r="AH177" s="18"/>
      <c r="AI177" s="18"/>
      <c r="AJ177" s="17"/>
      <c r="AK177" s="33"/>
      <c r="AL177" s="18"/>
      <c r="AM177" s="18"/>
      <c r="AN177" s="18"/>
      <c r="AO177" s="18"/>
      <c r="AP177" s="18"/>
      <c r="AQ177" s="17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33"/>
      <c r="BI177" s="18"/>
      <c r="BJ177" s="18"/>
      <c r="BK177" s="18"/>
      <c r="BL177" s="17"/>
      <c r="BM177" s="13"/>
      <c r="BO177" s="26"/>
      <c r="BS177" s="26"/>
      <c r="CD177" s="27"/>
    </row>
    <row r="178" spans="1:82" s="11" customFormat="1">
      <c r="A178" s="32"/>
      <c r="B178" s="33"/>
      <c r="C178" s="18"/>
      <c r="D178" s="18"/>
      <c r="E178" s="18"/>
      <c r="F178" s="18"/>
      <c r="G178" s="18"/>
      <c r="H178" s="17"/>
      <c r="I178" s="18"/>
      <c r="J178" s="18"/>
      <c r="K178" s="18"/>
      <c r="L178" s="18"/>
      <c r="M178" s="18"/>
      <c r="N178" s="18"/>
      <c r="O178" s="18"/>
      <c r="P178" s="33"/>
      <c r="Q178" s="18"/>
      <c r="R178" s="18"/>
      <c r="S178" s="18"/>
      <c r="T178" s="18"/>
      <c r="U178" s="18"/>
      <c r="V178" s="17"/>
      <c r="W178" s="18"/>
      <c r="X178" s="18"/>
      <c r="Y178" s="18"/>
      <c r="Z178" s="18"/>
      <c r="AA178" s="18"/>
      <c r="AB178" s="18"/>
      <c r="AC178" s="18"/>
      <c r="AD178" s="33"/>
      <c r="AE178" s="18"/>
      <c r="AF178" s="18"/>
      <c r="AG178" s="18"/>
      <c r="AH178" s="18"/>
      <c r="AI178" s="18"/>
      <c r="AJ178" s="17"/>
      <c r="AK178" s="33"/>
      <c r="AL178" s="18"/>
      <c r="AM178" s="18"/>
      <c r="AN178" s="18"/>
      <c r="AO178" s="18"/>
      <c r="AP178" s="18"/>
      <c r="AQ178" s="17"/>
      <c r="AR178" s="18"/>
      <c r="AS178" s="19"/>
      <c r="AU178" s="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33"/>
      <c r="BI178" s="18"/>
      <c r="BJ178" s="18"/>
      <c r="BK178" s="18"/>
      <c r="BL178" s="17"/>
      <c r="BM178" s="13"/>
      <c r="BO178" s="26"/>
      <c r="BS178" s="26"/>
      <c r="CD178" s="27"/>
    </row>
    <row r="179" spans="1:82" s="11" customFormat="1">
      <c r="A179" s="32"/>
      <c r="B179" s="33"/>
      <c r="C179" s="18"/>
      <c r="D179" s="18"/>
      <c r="E179" s="18"/>
      <c r="F179" s="18"/>
      <c r="G179" s="18"/>
      <c r="H179" s="17"/>
      <c r="I179" s="18"/>
      <c r="J179" s="18"/>
      <c r="K179" s="18"/>
      <c r="L179" s="18"/>
      <c r="M179" s="18"/>
      <c r="N179" s="18"/>
      <c r="O179" s="18"/>
      <c r="P179" s="33"/>
      <c r="Q179" s="18"/>
      <c r="R179" s="18"/>
      <c r="S179" s="18"/>
      <c r="T179" s="18"/>
      <c r="U179" s="18"/>
      <c r="V179" s="17"/>
      <c r="W179" s="18"/>
      <c r="X179" s="18"/>
      <c r="Y179" s="18"/>
      <c r="Z179" s="18"/>
      <c r="AA179" s="18"/>
      <c r="AB179" s="18"/>
      <c r="AC179" s="18"/>
      <c r="AD179" s="33"/>
      <c r="AE179" s="18"/>
      <c r="AF179" s="18"/>
      <c r="AG179" s="18"/>
      <c r="AH179" s="18"/>
      <c r="AI179" s="18"/>
      <c r="AJ179" s="17"/>
      <c r="AK179" s="33"/>
      <c r="AL179" s="18"/>
      <c r="AM179" s="18"/>
      <c r="AN179" s="18"/>
      <c r="AO179" s="18"/>
      <c r="AP179" s="18"/>
      <c r="AQ179" s="17"/>
      <c r="AR179" s="18"/>
      <c r="AS179" s="8"/>
      <c r="AT179" s="8"/>
      <c r="AU179" s="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33"/>
      <c r="BI179" s="18"/>
      <c r="BJ179" s="18"/>
      <c r="BK179" s="18"/>
      <c r="BL179" s="17"/>
      <c r="BM179" s="13"/>
      <c r="BO179" s="26"/>
      <c r="BS179" s="26"/>
      <c r="CD179" s="27"/>
    </row>
    <row r="180" spans="1:82" s="11" customFormat="1">
      <c r="A180" s="32"/>
      <c r="B180" s="33"/>
      <c r="C180" s="18"/>
      <c r="D180" s="18"/>
      <c r="E180" s="18"/>
      <c r="F180" s="18"/>
      <c r="G180" s="18"/>
      <c r="H180" s="17"/>
      <c r="I180" s="18"/>
      <c r="J180" s="18"/>
      <c r="K180" s="18"/>
      <c r="L180" s="18"/>
      <c r="M180" s="18"/>
      <c r="N180" s="18"/>
      <c r="O180" s="18"/>
      <c r="P180" s="33"/>
      <c r="Q180" s="18"/>
      <c r="R180" s="18"/>
      <c r="S180" s="18"/>
      <c r="T180" s="18"/>
      <c r="U180" s="18"/>
      <c r="V180" s="17"/>
      <c r="W180" s="18"/>
      <c r="X180" s="18"/>
      <c r="Y180" s="18"/>
      <c r="Z180" s="18"/>
      <c r="AA180" s="18"/>
      <c r="AB180" s="18"/>
      <c r="AC180" s="18"/>
      <c r="AD180" s="33"/>
      <c r="AE180" s="18"/>
      <c r="AF180" s="18"/>
      <c r="AG180" s="18"/>
      <c r="AH180" s="18"/>
      <c r="AI180" s="18"/>
      <c r="AJ180" s="17"/>
      <c r="AK180" s="33"/>
      <c r="AL180" s="18"/>
      <c r="AM180" s="18"/>
      <c r="AN180" s="18"/>
      <c r="AO180" s="18"/>
      <c r="AP180" s="18"/>
      <c r="AQ180" s="17"/>
      <c r="AR180" s="18"/>
      <c r="AS180" s="18"/>
      <c r="AT180" s="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33"/>
      <c r="BI180" s="18"/>
      <c r="BJ180" s="18"/>
      <c r="BK180" s="18"/>
      <c r="BL180" s="17"/>
      <c r="BM180" s="13"/>
      <c r="BO180" s="26"/>
      <c r="BS180" s="26"/>
      <c r="CD180" s="27"/>
    </row>
    <row r="181" spans="1:82">
      <c r="A181" s="34"/>
      <c r="B181" s="21"/>
      <c r="C181" s="10"/>
      <c r="D181" s="10"/>
      <c r="E181" s="10"/>
      <c r="F181" s="10"/>
      <c r="G181" s="10"/>
      <c r="H181" s="15"/>
      <c r="I181" s="10"/>
      <c r="J181" s="10"/>
      <c r="K181" s="10"/>
      <c r="L181" s="10"/>
      <c r="M181" s="10"/>
      <c r="N181" s="10"/>
      <c r="O181" s="10"/>
      <c r="P181" s="21"/>
      <c r="Q181" s="10"/>
      <c r="R181" s="10"/>
      <c r="S181" s="10"/>
      <c r="T181" s="10"/>
      <c r="U181" s="10"/>
      <c r="V181" s="15"/>
      <c r="W181" s="10"/>
      <c r="X181" s="10"/>
      <c r="Y181" s="10"/>
      <c r="Z181" s="10"/>
      <c r="AA181" s="10"/>
      <c r="AB181" s="10"/>
      <c r="AC181" s="10"/>
      <c r="AD181" s="21"/>
      <c r="AE181" s="10"/>
      <c r="AF181" s="10"/>
      <c r="AG181" s="10"/>
      <c r="AH181" s="10"/>
      <c r="AI181" s="10"/>
      <c r="AJ181" s="15"/>
      <c r="AK181" s="21"/>
      <c r="AL181" s="10"/>
      <c r="AM181" s="10"/>
      <c r="AN181" s="10"/>
      <c r="AO181" s="10"/>
      <c r="AP181" s="10"/>
      <c r="AQ181" s="15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21"/>
      <c r="BI181" s="10"/>
      <c r="BJ181" s="10"/>
      <c r="BK181" s="10"/>
      <c r="BL181" s="15"/>
      <c r="BM181" s="14"/>
      <c r="BO181" s="28"/>
      <c r="BP181" s="29"/>
      <c r="BQ181" s="29"/>
      <c r="BR181" s="29"/>
      <c r="BS181" s="28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30"/>
    </row>
    <row r="182" spans="1:82">
      <c r="A182" s="21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5"/>
    </row>
  </sheetData>
  <mergeCells count="27">
    <mergeCell ref="A2:E3"/>
    <mergeCell ref="F2:U3"/>
    <mergeCell ref="V2:AI3"/>
    <mergeCell ref="BO8:BR9"/>
    <mergeCell ref="BS8:CD9"/>
    <mergeCell ref="B9:H9"/>
    <mergeCell ref="I9:O9"/>
    <mergeCell ref="P9:V9"/>
    <mergeCell ref="W9:AC9"/>
    <mergeCell ref="AD9:AJ9"/>
    <mergeCell ref="AK9:AQ9"/>
    <mergeCell ref="B8:O8"/>
    <mergeCell ref="P8:AC8"/>
    <mergeCell ref="AD8:AQ8"/>
    <mergeCell ref="AR8:BG9"/>
    <mergeCell ref="BH8:BL9"/>
    <mergeCell ref="A1:E1"/>
    <mergeCell ref="F1:U1"/>
    <mergeCell ref="V1:AI1"/>
    <mergeCell ref="AJ1:AP1"/>
    <mergeCell ref="AQ1:AV1"/>
    <mergeCell ref="AJ2:AK2"/>
    <mergeCell ref="AL2:AP2"/>
    <mergeCell ref="AQ2:AV2"/>
    <mergeCell ref="AJ3:AK3"/>
    <mergeCell ref="AL3:AP3"/>
    <mergeCell ref="AQ3:AV3"/>
  </mergeCells>
  <phoneticPr fontId="2"/>
  <pageMargins left="0.7" right="0.7" top="0.75" bottom="0.75" header="0.3" footer="0.3"/>
  <pageSetup paperSize="9" scale="28" orientation="portrait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746D-E032-4CDD-BA5F-F965609ACA59}">
  <sheetPr>
    <pageSetUpPr fitToPage="1"/>
  </sheetPr>
  <dimension ref="A1:CD208"/>
  <sheetViews>
    <sheetView showGridLines="0" tabSelected="1" zoomScale="60" zoomScaleNormal="60" workbookViewId="0">
      <pane ySplit="9" topLeftCell="A164" activePane="bottomLeft" state="frozen"/>
      <selection pane="bottomLeft" activeCell="B168" sqref="B168"/>
      <selection activeCell="AJ39" sqref="AJ39"/>
    </sheetView>
  </sheetViews>
  <sheetFormatPr defaultColWidth="2.625" defaultRowHeight="13.5"/>
  <cols>
    <col min="1" max="5" width="2.625" style="8"/>
    <col min="6" max="10" width="2.625" style="8" customWidth="1"/>
    <col min="11" max="59" width="2.625" style="8"/>
    <col min="60" max="60" width="9.875" style="8" bestFit="1" customWidth="1"/>
    <col min="61" max="63" width="2.625" style="8"/>
    <col min="64" max="64" width="2.625" style="8" customWidth="1"/>
    <col min="65" max="16384" width="2.625" style="8"/>
  </cols>
  <sheetData>
    <row r="1" spans="1:82" ht="14.1" customHeight="1" thickBot="1">
      <c r="A1" s="169" t="s">
        <v>9</v>
      </c>
      <c r="B1" s="170"/>
      <c r="C1" s="170"/>
      <c r="D1" s="170"/>
      <c r="E1" s="171"/>
      <c r="F1" s="166" t="str">
        <f>変更履歴!F1</f>
        <v>会計システム刷新プロジェクト（LIBRA）</v>
      </c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8"/>
      <c r="V1" s="169" t="s">
        <v>42</v>
      </c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1"/>
      <c r="AJ1" s="169" t="s">
        <v>11</v>
      </c>
      <c r="AK1" s="170"/>
      <c r="AL1" s="170"/>
      <c r="AM1" s="170"/>
      <c r="AN1" s="170"/>
      <c r="AO1" s="170"/>
      <c r="AP1" s="171"/>
      <c r="AQ1" s="169" t="s">
        <v>12</v>
      </c>
      <c r="AR1" s="170"/>
      <c r="AS1" s="170"/>
      <c r="AT1" s="170"/>
      <c r="AU1" s="170"/>
      <c r="AV1" s="171"/>
    </row>
    <row r="2" spans="1:82" ht="14.1" customHeight="1">
      <c r="A2" s="184" t="s">
        <v>13</v>
      </c>
      <c r="B2" s="185"/>
      <c r="C2" s="185"/>
      <c r="D2" s="185"/>
      <c r="E2" s="186"/>
      <c r="F2" s="146" t="str">
        <f>変更履歴!F2</f>
        <v>ToBe業務フロー（2.グループファイナンス・資金繰り）</v>
      </c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8"/>
      <c r="V2" s="146" t="e">
        <f ca="1">MID(CELL("filename",$A$1),FIND("]",CELL("filename",$A$1))+1,31)</f>
        <v>#VALUE!</v>
      </c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8"/>
      <c r="AJ2" s="158" t="s">
        <v>14</v>
      </c>
      <c r="AK2" s="159"/>
      <c r="AL2" s="160">
        <f>変更履歴!AT2</f>
        <v>45362</v>
      </c>
      <c r="AM2" s="161"/>
      <c r="AN2" s="161"/>
      <c r="AO2" s="161"/>
      <c r="AP2" s="162"/>
      <c r="AQ2" s="128" t="str">
        <f>変更履歴!BA2</f>
        <v>JBS福田</v>
      </c>
      <c r="AR2" s="129"/>
      <c r="AS2" s="129"/>
      <c r="AT2" s="129"/>
      <c r="AU2" s="129"/>
      <c r="AV2" s="130"/>
    </row>
    <row r="3" spans="1:82" ht="14.1" customHeight="1" thickBot="1">
      <c r="A3" s="187"/>
      <c r="B3" s="188"/>
      <c r="C3" s="188"/>
      <c r="D3" s="188"/>
      <c r="E3" s="189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1"/>
      <c r="V3" s="149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1"/>
      <c r="AJ3" s="131" t="s">
        <v>15</v>
      </c>
      <c r="AK3" s="132"/>
      <c r="AL3" s="133">
        <f ca="1">変更履歴!AT3</f>
        <v>45763</v>
      </c>
      <c r="AM3" s="134"/>
      <c r="AN3" s="134"/>
      <c r="AO3" s="134"/>
      <c r="AP3" s="135"/>
      <c r="AQ3" s="136" t="str">
        <f ca="1">変更履歴!BA3</f>
        <v>JBS福田</v>
      </c>
      <c r="AR3" s="137"/>
      <c r="AS3" s="137"/>
      <c r="AT3" s="137"/>
      <c r="AU3" s="137"/>
      <c r="AV3" s="138"/>
    </row>
    <row r="5" spans="1:82">
      <c r="A5" s="2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</row>
    <row r="6" spans="1:82" s="11" customFormat="1">
      <c r="A6" s="38" t="e">
        <f ca="1">RIGHT(CELL("filename",A1),LEN(CELL("filename",A1))-FIND("]",CELL("filename",A1)))</f>
        <v>#VALUE!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40"/>
    </row>
    <row r="7" spans="1:82" s="11" customFormat="1">
      <c r="A7" s="32"/>
      <c r="BM7" s="13"/>
    </row>
    <row r="8" spans="1:82" s="11" customFormat="1" ht="17.25" customHeight="1">
      <c r="A8" s="32"/>
      <c r="B8" s="172" t="s">
        <v>229</v>
      </c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4"/>
      <c r="P8" s="172" t="s">
        <v>104</v>
      </c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4"/>
      <c r="AD8" s="181" t="s">
        <v>54</v>
      </c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3"/>
      <c r="AR8" s="193" t="s">
        <v>72</v>
      </c>
      <c r="AS8" s="193"/>
      <c r="AT8" s="193"/>
      <c r="AU8" s="193"/>
      <c r="AV8" s="193"/>
      <c r="AW8" s="193"/>
      <c r="AX8" s="193"/>
      <c r="AY8" s="193"/>
      <c r="AZ8" s="193"/>
      <c r="BA8" s="193"/>
      <c r="BB8" s="193"/>
      <c r="BC8" s="193"/>
      <c r="BD8" s="193"/>
      <c r="BE8" s="193"/>
      <c r="BF8" s="193"/>
      <c r="BG8" s="193"/>
      <c r="BH8" s="192" t="s">
        <v>74</v>
      </c>
      <c r="BI8" s="193"/>
      <c r="BJ8" s="193"/>
      <c r="BK8" s="193"/>
      <c r="BL8" s="193"/>
      <c r="BM8" s="13"/>
      <c r="BO8" s="201" t="s">
        <v>80</v>
      </c>
      <c r="BP8" s="202"/>
      <c r="BQ8" s="202"/>
      <c r="BR8" s="202"/>
      <c r="BS8" s="204" t="s">
        <v>81</v>
      </c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6"/>
    </row>
    <row r="9" spans="1:82" s="11" customFormat="1" ht="13.5" customHeight="1">
      <c r="A9" s="32"/>
      <c r="B9" s="172"/>
      <c r="C9" s="173"/>
      <c r="D9" s="173"/>
      <c r="E9" s="173"/>
      <c r="F9" s="173"/>
      <c r="G9" s="173"/>
      <c r="H9" s="174"/>
      <c r="I9" s="172"/>
      <c r="J9" s="173"/>
      <c r="K9" s="173"/>
      <c r="L9" s="173"/>
      <c r="M9" s="173"/>
      <c r="N9" s="173"/>
      <c r="O9" s="174"/>
      <c r="P9" s="172" t="s">
        <v>60</v>
      </c>
      <c r="Q9" s="173"/>
      <c r="R9" s="173"/>
      <c r="S9" s="173"/>
      <c r="T9" s="173"/>
      <c r="U9" s="173"/>
      <c r="V9" s="174"/>
      <c r="W9" s="172" t="s">
        <v>61</v>
      </c>
      <c r="X9" s="173"/>
      <c r="Y9" s="173"/>
      <c r="Z9" s="173"/>
      <c r="AA9" s="173"/>
      <c r="AB9" s="173"/>
      <c r="AC9" s="174"/>
      <c r="AD9" s="181" t="s">
        <v>69</v>
      </c>
      <c r="AE9" s="182"/>
      <c r="AF9" s="182"/>
      <c r="AG9" s="182"/>
      <c r="AH9" s="182"/>
      <c r="AI9" s="182"/>
      <c r="AJ9" s="183"/>
      <c r="AK9" s="181" t="s">
        <v>71</v>
      </c>
      <c r="AL9" s="182"/>
      <c r="AM9" s="182"/>
      <c r="AN9" s="182"/>
      <c r="AO9" s="182"/>
      <c r="AP9" s="182"/>
      <c r="AQ9" s="18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3"/>
      <c r="BO9" s="203"/>
      <c r="BP9" s="203"/>
      <c r="BQ9" s="203"/>
      <c r="BR9" s="203"/>
      <c r="BS9" s="207"/>
      <c r="BT9" s="208"/>
      <c r="BU9" s="208"/>
      <c r="BV9" s="208"/>
      <c r="BW9" s="208"/>
      <c r="BX9" s="208"/>
      <c r="BY9" s="208"/>
      <c r="BZ9" s="208"/>
      <c r="CA9" s="208"/>
      <c r="CB9" s="208"/>
      <c r="CC9" s="208"/>
      <c r="CD9" s="209"/>
    </row>
    <row r="10" spans="1:82" s="11" customFormat="1">
      <c r="A10" s="32"/>
      <c r="B10" s="35" t="s">
        <v>230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35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13"/>
      <c r="BO10" s="23"/>
      <c r="BP10" s="24"/>
      <c r="BQ10" s="24"/>
      <c r="BR10" s="24"/>
      <c r="BS10" s="23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5"/>
    </row>
    <row r="11" spans="1:82" s="11" customFormat="1">
      <c r="A11" s="32"/>
      <c r="B11" s="45"/>
      <c r="C11" s="43"/>
      <c r="D11" s="43"/>
      <c r="E11" s="43"/>
      <c r="F11" s="43"/>
      <c r="G11" s="43"/>
      <c r="H11" s="44"/>
      <c r="I11" s="43"/>
      <c r="J11" s="43"/>
      <c r="K11" s="43"/>
      <c r="L11" s="43"/>
      <c r="M11" s="43"/>
      <c r="N11" s="43"/>
      <c r="O11" s="43"/>
      <c r="P11" s="45"/>
      <c r="Q11" s="43"/>
      <c r="R11" s="43"/>
      <c r="S11" s="43"/>
      <c r="T11" s="43"/>
      <c r="U11" s="43"/>
      <c r="V11" s="44"/>
      <c r="W11" s="43"/>
      <c r="X11" s="43"/>
      <c r="Y11" s="43"/>
      <c r="Z11" s="43"/>
      <c r="AA11" s="43"/>
      <c r="AB11" s="43"/>
      <c r="AC11" s="43"/>
      <c r="AD11" s="45"/>
      <c r="AE11" s="43"/>
      <c r="AF11" s="43"/>
      <c r="AG11" s="43"/>
      <c r="AH11" s="43"/>
      <c r="AI11" s="43"/>
      <c r="AJ11" s="44"/>
      <c r="AK11" s="45"/>
      <c r="AL11" s="43"/>
      <c r="AM11" s="43"/>
      <c r="AN11" s="43"/>
      <c r="AO11" s="43"/>
      <c r="AP11" s="43"/>
      <c r="AQ11" s="44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5"/>
      <c r="BI11" s="43"/>
      <c r="BJ11" s="43"/>
      <c r="BK11" s="43"/>
      <c r="BL11" s="44"/>
      <c r="BM11" s="13"/>
      <c r="BO11" s="26"/>
      <c r="BS11" s="26"/>
      <c r="CD11" s="27"/>
    </row>
    <row r="12" spans="1:82" s="11" customFormat="1">
      <c r="A12" s="32"/>
      <c r="B12" s="33"/>
      <c r="C12" s="18"/>
      <c r="D12" s="18"/>
      <c r="E12" s="18"/>
      <c r="F12" s="18"/>
      <c r="G12" s="18"/>
      <c r="H12" s="17"/>
      <c r="I12" s="18"/>
      <c r="J12" s="18"/>
      <c r="K12" s="18"/>
      <c r="L12" s="18"/>
      <c r="M12" s="18"/>
      <c r="N12" s="18"/>
      <c r="O12" s="18"/>
      <c r="P12" s="33"/>
      <c r="Q12" s="18"/>
      <c r="R12" s="18"/>
      <c r="S12" s="18"/>
      <c r="T12" s="18"/>
      <c r="U12" s="18"/>
      <c r="V12" s="17"/>
      <c r="W12" s="18"/>
      <c r="X12" s="18"/>
      <c r="Y12" s="18"/>
      <c r="Z12" s="18"/>
      <c r="AA12" s="18"/>
      <c r="AB12" s="18"/>
      <c r="AC12" s="18"/>
      <c r="AD12" s="33"/>
      <c r="AE12" s="18"/>
      <c r="AF12" s="18"/>
      <c r="AG12" s="18"/>
      <c r="AH12" s="18"/>
      <c r="AI12" s="18"/>
      <c r="AJ12" s="17"/>
      <c r="AK12" s="33"/>
      <c r="AL12" s="18"/>
      <c r="AM12" s="18"/>
      <c r="AN12" s="18"/>
      <c r="AO12" s="18"/>
      <c r="AP12" s="18"/>
      <c r="AQ12" s="17"/>
      <c r="AR12" s="18"/>
      <c r="AS12" s="8" t="s">
        <v>231</v>
      </c>
      <c r="AT12" s="8" t="s">
        <v>232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33"/>
      <c r="BI12" s="18"/>
      <c r="BJ12" s="18"/>
      <c r="BK12" s="18"/>
      <c r="BL12" s="17"/>
      <c r="BM12" s="13"/>
      <c r="BO12" s="26"/>
      <c r="BS12" s="26"/>
      <c r="CD12" s="27"/>
    </row>
    <row r="13" spans="1:82" s="11" customFormat="1">
      <c r="A13" s="32"/>
      <c r="B13" s="33"/>
      <c r="C13" s="18"/>
      <c r="D13" s="18"/>
      <c r="E13" s="18"/>
      <c r="F13" s="18"/>
      <c r="G13" s="18"/>
      <c r="H13" s="17"/>
      <c r="I13" s="18"/>
      <c r="J13" s="18"/>
      <c r="K13" s="18"/>
      <c r="L13" s="18"/>
      <c r="M13" s="18"/>
      <c r="N13" s="18"/>
      <c r="O13" s="18"/>
      <c r="P13" s="33"/>
      <c r="Q13" s="18"/>
      <c r="R13" s="18"/>
      <c r="S13" s="18"/>
      <c r="T13" s="18"/>
      <c r="U13" s="18"/>
      <c r="V13" s="17"/>
      <c r="W13" s="18"/>
      <c r="X13" s="18"/>
      <c r="Y13" s="18"/>
      <c r="Z13" s="18"/>
      <c r="AA13" s="18"/>
      <c r="AB13" s="18"/>
      <c r="AC13" s="18"/>
      <c r="AD13" s="33"/>
      <c r="AE13" s="18"/>
      <c r="AF13" s="18"/>
      <c r="AG13" s="18"/>
      <c r="AH13" s="18"/>
      <c r="AI13" s="18"/>
      <c r="AJ13" s="17"/>
      <c r="AK13" s="33"/>
      <c r="AL13" s="18"/>
      <c r="AM13" s="18"/>
      <c r="AN13" s="18"/>
      <c r="AO13" s="18"/>
      <c r="AP13" s="18"/>
      <c r="AQ13" s="17"/>
      <c r="AR13" s="18"/>
      <c r="AS13" s="8"/>
      <c r="AT13" s="8" t="s">
        <v>233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33"/>
      <c r="BI13" s="18"/>
      <c r="BJ13" s="18"/>
      <c r="BK13" s="18"/>
      <c r="BL13" s="17"/>
      <c r="BM13" s="13"/>
      <c r="BO13" s="26"/>
      <c r="BS13" s="26"/>
      <c r="CD13" s="27"/>
    </row>
    <row r="14" spans="1:82" s="11" customFormat="1">
      <c r="A14" s="32"/>
      <c r="B14" s="33"/>
      <c r="C14" s="18"/>
      <c r="D14" s="18"/>
      <c r="E14" s="18"/>
      <c r="F14" s="18"/>
      <c r="G14" s="18"/>
      <c r="H14" s="17"/>
      <c r="I14" s="18"/>
      <c r="J14" s="18"/>
      <c r="K14" s="18"/>
      <c r="L14" s="18"/>
      <c r="M14" s="18"/>
      <c r="N14" s="18"/>
      <c r="O14" s="18"/>
      <c r="P14" s="33"/>
      <c r="Q14" s="18"/>
      <c r="R14" s="18"/>
      <c r="S14" s="18"/>
      <c r="T14" s="18"/>
      <c r="U14" s="18"/>
      <c r="V14" s="17"/>
      <c r="W14" s="18"/>
      <c r="X14" s="18"/>
      <c r="Y14" s="18"/>
      <c r="Z14" s="18"/>
      <c r="AA14" s="18"/>
      <c r="AB14" s="18"/>
      <c r="AC14" s="18"/>
      <c r="AD14" s="33"/>
      <c r="AE14" s="18"/>
      <c r="AF14" s="18"/>
      <c r="AG14" s="18"/>
      <c r="AH14" s="18"/>
      <c r="AI14" s="18"/>
      <c r="AJ14" s="17"/>
      <c r="AK14" s="33"/>
      <c r="AL14" s="18"/>
      <c r="AM14" s="18"/>
      <c r="AN14" s="18"/>
      <c r="AO14" s="18"/>
      <c r="AP14" s="18"/>
      <c r="AQ14" s="17"/>
      <c r="AR14" s="18"/>
      <c r="AS14" s="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33"/>
      <c r="BI14" s="18"/>
      <c r="BJ14" s="18"/>
      <c r="BK14" s="18"/>
      <c r="BL14" s="17"/>
      <c r="BM14" s="13"/>
      <c r="BO14" s="26"/>
      <c r="BS14" s="26"/>
      <c r="CD14" s="27"/>
    </row>
    <row r="15" spans="1:82" s="11" customFormat="1">
      <c r="A15" s="32"/>
      <c r="B15" s="33"/>
      <c r="C15" s="18"/>
      <c r="D15" s="18"/>
      <c r="E15" s="18"/>
      <c r="F15" s="18"/>
      <c r="G15" s="18"/>
      <c r="H15" s="17"/>
      <c r="I15" s="18"/>
      <c r="J15" s="18"/>
      <c r="K15" s="18"/>
      <c r="L15" s="18"/>
      <c r="M15" s="18"/>
      <c r="N15" s="18"/>
      <c r="O15" s="18"/>
      <c r="P15" s="33"/>
      <c r="Q15" s="18"/>
      <c r="R15" s="18"/>
      <c r="S15" s="18"/>
      <c r="T15" s="18"/>
      <c r="U15" s="18"/>
      <c r="V15" s="17"/>
      <c r="W15" s="18"/>
      <c r="X15" s="18"/>
      <c r="Y15" s="18"/>
      <c r="Z15" s="18"/>
      <c r="AA15" s="18"/>
      <c r="AB15" s="18"/>
      <c r="AC15" s="18"/>
      <c r="AD15" s="33"/>
      <c r="AE15" s="18"/>
      <c r="AF15" s="18"/>
      <c r="AG15" s="18"/>
      <c r="AH15" s="18"/>
      <c r="AI15" s="18"/>
      <c r="AJ15" s="17"/>
      <c r="AK15" s="33"/>
      <c r="AL15" s="18"/>
      <c r="AM15" s="18"/>
      <c r="AN15" s="18"/>
      <c r="AO15" s="18"/>
      <c r="AP15" s="18"/>
      <c r="AQ15" s="17"/>
      <c r="AR15" s="18"/>
      <c r="AS15" s="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33"/>
      <c r="BI15" s="18"/>
      <c r="BJ15" s="18"/>
      <c r="BK15" s="18"/>
      <c r="BL15" s="17"/>
      <c r="BM15" s="13"/>
      <c r="BO15" s="26"/>
      <c r="BS15" s="26"/>
      <c r="CD15" s="27"/>
    </row>
    <row r="16" spans="1:82" s="11" customFormat="1">
      <c r="A16" s="32"/>
      <c r="B16" s="33"/>
      <c r="C16" s="18"/>
      <c r="D16" s="18"/>
      <c r="E16" s="18"/>
      <c r="F16" s="18"/>
      <c r="G16" s="18"/>
      <c r="H16" s="17"/>
      <c r="I16" s="18"/>
      <c r="J16" s="18"/>
      <c r="K16" s="18"/>
      <c r="L16" s="18"/>
      <c r="M16" s="18"/>
      <c r="N16" s="18"/>
      <c r="O16" s="18"/>
      <c r="P16" s="33"/>
      <c r="Q16" s="18"/>
      <c r="R16" s="18"/>
      <c r="S16" s="18"/>
      <c r="T16" s="18"/>
      <c r="U16" s="18"/>
      <c r="V16" s="17"/>
      <c r="W16" s="18"/>
      <c r="X16" s="18"/>
      <c r="Y16" s="18"/>
      <c r="Z16" s="18"/>
      <c r="AA16" s="18"/>
      <c r="AB16" s="18"/>
      <c r="AC16" s="18"/>
      <c r="AD16" s="33"/>
      <c r="AE16" s="18"/>
      <c r="AF16" s="18"/>
      <c r="AG16" s="18"/>
      <c r="AH16" s="18"/>
      <c r="AI16" s="18"/>
      <c r="AJ16" s="17"/>
      <c r="AK16" s="33"/>
      <c r="AL16" s="18"/>
      <c r="AM16" s="18"/>
      <c r="AN16" s="18"/>
      <c r="AO16" s="18"/>
      <c r="AP16" s="18"/>
      <c r="AQ16" s="17"/>
      <c r="AR16" s="18"/>
      <c r="AS16" s="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33"/>
      <c r="BI16" s="18"/>
      <c r="BJ16" s="18"/>
      <c r="BK16" s="18"/>
      <c r="BL16" s="17"/>
      <c r="BM16" s="13"/>
      <c r="BO16" s="26"/>
      <c r="BS16" s="26"/>
      <c r="CD16" s="27"/>
    </row>
    <row r="17" spans="1:82" s="11" customFormat="1">
      <c r="A17" s="32"/>
      <c r="B17" s="33"/>
      <c r="C17" s="18"/>
      <c r="D17" s="18"/>
      <c r="E17" s="18"/>
      <c r="F17" s="18"/>
      <c r="G17" s="18"/>
      <c r="H17" s="17"/>
      <c r="I17" s="18"/>
      <c r="J17" s="18"/>
      <c r="K17" s="18"/>
      <c r="L17" s="18"/>
      <c r="M17" s="18"/>
      <c r="N17" s="18"/>
      <c r="O17" s="18"/>
      <c r="P17" s="33"/>
      <c r="Q17" s="18"/>
      <c r="R17" s="18"/>
      <c r="S17" s="18"/>
      <c r="T17" s="18"/>
      <c r="U17" s="18"/>
      <c r="V17" s="17"/>
      <c r="W17" s="18"/>
      <c r="X17" s="18"/>
      <c r="Y17" s="18"/>
      <c r="Z17" s="18"/>
      <c r="AA17" s="18"/>
      <c r="AB17" s="18"/>
      <c r="AC17" s="18"/>
      <c r="AD17" s="33"/>
      <c r="AE17" s="18"/>
      <c r="AF17" s="18"/>
      <c r="AG17" s="18"/>
      <c r="AH17" s="18"/>
      <c r="AI17" s="18"/>
      <c r="AJ17" s="17"/>
      <c r="AK17" s="33"/>
      <c r="AL17" s="18"/>
      <c r="AM17" s="18"/>
      <c r="AN17" s="18"/>
      <c r="AO17" s="18"/>
      <c r="AP17" s="18"/>
      <c r="AQ17" s="17"/>
      <c r="AR17" s="18"/>
      <c r="AS17" s="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33"/>
      <c r="BI17" s="18"/>
      <c r="BJ17" s="18"/>
      <c r="BK17" s="18"/>
      <c r="BL17" s="17"/>
      <c r="BM17" s="13"/>
      <c r="BO17" s="26"/>
      <c r="BS17" s="26"/>
      <c r="CD17" s="27"/>
    </row>
    <row r="18" spans="1:82" s="11" customFormat="1">
      <c r="A18" s="32"/>
      <c r="B18" s="33"/>
      <c r="C18" s="18"/>
      <c r="D18" s="18"/>
      <c r="E18" s="18"/>
      <c r="F18" s="18"/>
      <c r="G18" s="18"/>
      <c r="H18" s="17"/>
      <c r="I18" s="18"/>
      <c r="J18" s="18"/>
      <c r="K18" s="18"/>
      <c r="L18" s="18"/>
      <c r="M18" s="18"/>
      <c r="N18" s="18"/>
      <c r="O18" s="18"/>
      <c r="P18" s="33"/>
      <c r="Q18" s="18"/>
      <c r="R18" s="18"/>
      <c r="S18" s="18"/>
      <c r="T18" s="18"/>
      <c r="U18" s="18"/>
      <c r="V18" s="17"/>
      <c r="W18" s="18"/>
      <c r="X18" s="18"/>
      <c r="Y18" s="18"/>
      <c r="Z18" s="18"/>
      <c r="AA18" s="18"/>
      <c r="AB18" s="18"/>
      <c r="AC18" s="18"/>
      <c r="AD18" s="33"/>
      <c r="AE18" s="18"/>
      <c r="AF18" s="18"/>
      <c r="AG18" s="18"/>
      <c r="AH18" s="18"/>
      <c r="AI18" s="18"/>
      <c r="AJ18" s="17"/>
      <c r="AK18" s="33"/>
      <c r="AL18" s="18"/>
      <c r="AM18" s="18"/>
      <c r="AN18" s="18"/>
      <c r="AO18" s="18"/>
      <c r="AP18" s="18"/>
      <c r="AQ18" s="17"/>
      <c r="AR18" s="18"/>
      <c r="AS18" s="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33"/>
      <c r="BI18" s="18"/>
      <c r="BJ18" s="18"/>
      <c r="BK18" s="18"/>
      <c r="BL18" s="17"/>
      <c r="BM18" s="13"/>
      <c r="BO18" s="26"/>
      <c r="BS18" s="26"/>
      <c r="CD18" s="27"/>
    </row>
    <row r="19" spans="1:82" s="11" customFormat="1">
      <c r="A19" s="32"/>
      <c r="B19" s="33"/>
      <c r="C19" s="18"/>
      <c r="D19" s="18"/>
      <c r="E19" s="18"/>
      <c r="F19" s="18"/>
      <c r="G19" s="18"/>
      <c r="H19" s="17"/>
      <c r="I19" s="18"/>
      <c r="J19" s="18"/>
      <c r="K19" s="18"/>
      <c r="L19" s="18"/>
      <c r="M19" s="18"/>
      <c r="N19" s="18"/>
      <c r="O19" s="18"/>
      <c r="P19" s="33"/>
      <c r="Q19" s="18"/>
      <c r="R19" s="18"/>
      <c r="S19" s="18"/>
      <c r="T19" s="18"/>
      <c r="U19" s="18"/>
      <c r="V19" s="17"/>
      <c r="W19" s="18"/>
      <c r="X19" s="18"/>
      <c r="Y19" s="18"/>
      <c r="Z19" s="18"/>
      <c r="AA19" s="18"/>
      <c r="AB19" s="18"/>
      <c r="AC19" s="18"/>
      <c r="AD19" s="33"/>
      <c r="AE19" s="18"/>
      <c r="AF19" s="18"/>
      <c r="AG19" s="18"/>
      <c r="AH19" s="18"/>
      <c r="AI19" s="18"/>
      <c r="AJ19" s="17"/>
      <c r="AK19" s="33"/>
      <c r="AL19" s="18"/>
      <c r="AM19" s="18"/>
      <c r="AN19" s="18"/>
      <c r="AO19" s="18"/>
      <c r="AP19" s="18"/>
      <c r="AQ19" s="17"/>
      <c r="AR19" s="18"/>
      <c r="AS19" s="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33"/>
      <c r="BI19" s="18"/>
      <c r="BJ19" s="18"/>
      <c r="BK19" s="18"/>
      <c r="BL19" s="17"/>
      <c r="BM19" s="13"/>
      <c r="BO19" s="26"/>
      <c r="BS19" s="26"/>
      <c r="CD19" s="27"/>
    </row>
    <row r="20" spans="1:82" s="11" customFormat="1">
      <c r="A20" s="32"/>
      <c r="B20" s="33"/>
      <c r="C20" s="18"/>
      <c r="D20" s="18"/>
      <c r="E20" s="18"/>
      <c r="F20" s="18"/>
      <c r="G20" s="18"/>
      <c r="H20" s="17"/>
      <c r="I20" s="18"/>
      <c r="J20" s="18"/>
      <c r="K20" s="18"/>
      <c r="L20" s="18"/>
      <c r="M20" s="18"/>
      <c r="N20" s="18"/>
      <c r="O20" s="18"/>
      <c r="P20" s="33"/>
      <c r="Q20" s="18"/>
      <c r="R20" s="18"/>
      <c r="S20" s="18"/>
      <c r="T20" s="18"/>
      <c r="U20" s="18"/>
      <c r="V20" s="17"/>
      <c r="W20" s="18"/>
      <c r="X20" s="18"/>
      <c r="Y20" s="18"/>
      <c r="Z20" s="18"/>
      <c r="AA20" s="18"/>
      <c r="AB20" s="18"/>
      <c r="AC20" s="18"/>
      <c r="AD20" s="33"/>
      <c r="AE20" s="18"/>
      <c r="AF20" s="18"/>
      <c r="AG20" s="18"/>
      <c r="AH20" s="18"/>
      <c r="AI20" s="18"/>
      <c r="AJ20" s="17"/>
      <c r="AK20" s="33"/>
      <c r="AL20" s="18"/>
      <c r="AM20" s="18"/>
      <c r="AN20" s="18"/>
      <c r="AO20" s="18"/>
      <c r="AP20" s="18"/>
      <c r="AQ20" s="17"/>
      <c r="AR20" s="18"/>
      <c r="AS20" s="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33"/>
      <c r="BI20" s="18"/>
      <c r="BJ20" s="18"/>
      <c r="BK20" s="18"/>
      <c r="BL20" s="17"/>
      <c r="BM20" s="13"/>
      <c r="BO20" s="26"/>
      <c r="BS20" s="26"/>
      <c r="CD20" s="27"/>
    </row>
    <row r="21" spans="1:82" s="11" customFormat="1">
      <c r="A21" s="32"/>
      <c r="B21" s="33"/>
      <c r="C21" s="18"/>
      <c r="D21" s="18"/>
      <c r="E21" s="18"/>
      <c r="F21" s="18"/>
      <c r="G21" s="18"/>
      <c r="H21" s="17"/>
      <c r="I21" s="18"/>
      <c r="J21" s="18"/>
      <c r="K21" s="18"/>
      <c r="L21" s="18"/>
      <c r="M21" s="18"/>
      <c r="N21" s="18"/>
      <c r="O21" s="18"/>
      <c r="P21" s="33"/>
      <c r="Q21" s="18"/>
      <c r="R21" s="18"/>
      <c r="S21" s="18"/>
      <c r="T21" s="18"/>
      <c r="U21" s="18"/>
      <c r="V21" s="17"/>
      <c r="W21" s="18"/>
      <c r="X21" s="18"/>
      <c r="Y21" s="18"/>
      <c r="Z21" s="18"/>
      <c r="AA21" s="18"/>
      <c r="AB21" s="18"/>
      <c r="AC21" s="18"/>
      <c r="AD21" s="33"/>
      <c r="AE21" s="18"/>
      <c r="AF21" s="18"/>
      <c r="AG21" s="18"/>
      <c r="AH21" s="18"/>
      <c r="AI21" s="18"/>
      <c r="AJ21" s="17"/>
      <c r="AK21" s="33"/>
      <c r="AL21" s="18"/>
      <c r="AM21" s="18"/>
      <c r="AN21" s="18"/>
      <c r="AO21" s="18"/>
      <c r="AP21" s="18"/>
      <c r="AQ21" s="17"/>
      <c r="AR21" s="18"/>
      <c r="AS21" s="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33"/>
      <c r="BI21" s="18"/>
      <c r="BJ21" s="18"/>
      <c r="BK21" s="18"/>
      <c r="BL21" s="17"/>
      <c r="BM21" s="13"/>
      <c r="BO21" s="26"/>
      <c r="BS21" s="26"/>
      <c r="CD21" s="27"/>
    </row>
    <row r="22" spans="1:82" s="11" customFormat="1">
      <c r="A22" s="32"/>
      <c r="B22" s="33"/>
      <c r="C22" s="18"/>
      <c r="D22" s="18"/>
      <c r="E22" s="18"/>
      <c r="F22" s="18"/>
      <c r="G22" s="18"/>
      <c r="H22" s="17"/>
      <c r="I22" s="18"/>
      <c r="J22" s="18"/>
      <c r="K22" s="18"/>
      <c r="L22" s="18"/>
      <c r="M22" s="18"/>
      <c r="N22" s="18"/>
      <c r="O22" s="18"/>
      <c r="P22" s="33"/>
      <c r="Q22" s="18"/>
      <c r="R22" s="18"/>
      <c r="S22" s="18"/>
      <c r="T22" s="18"/>
      <c r="U22" s="18"/>
      <c r="V22" s="17"/>
      <c r="W22" s="18"/>
      <c r="X22" s="18"/>
      <c r="Y22" s="18"/>
      <c r="Z22" s="18"/>
      <c r="AA22" s="18"/>
      <c r="AB22" s="18"/>
      <c r="AC22" s="18"/>
      <c r="AD22" s="33"/>
      <c r="AE22" s="18"/>
      <c r="AF22" s="18"/>
      <c r="AG22" s="18"/>
      <c r="AH22" s="18"/>
      <c r="AI22" s="18"/>
      <c r="AJ22" s="17"/>
      <c r="AK22" s="33"/>
      <c r="AL22" s="18"/>
      <c r="AM22" s="18"/>
      <c r="AN22" s="18"/>
      <c r="AO22" s="18"/>
      <c r="AP22" s="18"/>
      <c r="AQ22" s="17"/>
      <c r="AR22" s="18"/>
      <c r="AS22" s="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33"/>
      <c r="BI22" s="18"/>
      <c r="BJ22" s="18"/>
      <c r="BK22" s="18"/>
      <c r="BL22" s="17"/>
      <c r="BM22" s="13"/>
      <c r="BO22" s="26"/>
      <c r="BS22" s="26"/>
      <c r="CD22" s="27"/>
    </row>
    <row r="23" spans="1:82" s="11" customFormat="1">
      <c r="A23" s="32"/>
      <c r="B23" s="33"/>
      <c r="C23" s="18"/>
      <c r="D23" s="18"/>
      <c r="E23" s="18"/>
      <c r="F23" s="18"/>
      <c r="G23" s="18"/>
      <c r="H23" s="17"/>
      <c r="I23" s="18"/>
      <c r="J23" s="18"/>
      <c r="K23" s="18"/>
      <c r="L23" s="18"/>
      <c r="M23" s="18"/>
      <c r="N23" s="18"/>
      <c r="O23" s="18"/>
      <c r="P23" s="33"/>
      <c r="Q23" s="18"/>
      <c r="R23" s="18"/>
      <c r="S23" s="18"/>
      <c r="T23" s="18"/>
      <c r="U23" s="18"/>
      <c r="V23" s="17"/>
      <c r="W23" s="18"/>
      <c r="X23" s="18"/>
      <c r="Y23" s="18"/>
      <c r="Z23" s="18"/>
      <c r="AA23" s="18"/>
      <c r="AB23" s="18"/>
      <c r="AC23" s="18"/>
      <c r="AD23" s="33"/>
      <c r="AE23" s="18"/>
      <c r="AF23" s="18"/>
      <c r="AG23" s="18"/>
      <c r="AH23" s="18"/>
      <c r="AI23" s="18"/>
      <c r="AJ23" s="17"/>
      <c r="AK23" s="33"/>
      <c r="AL23" s="18"/>
      <c r="AM23" s="18"/>
      <c r="AN23" s="18"/>
      <c r="AO23" s="18"/>
      <c r="AP23" s="18"/>
      <c r="AQ23" s="17"/>
      <c r="AR23" s="18"/>
      <c r="AS23" s="19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33"/>
      <c r="BI23" s="18"/>
      <c r="BJ23" s="18"/>
      <c r="BK23" s="18"/>
      <c r="BL23" s="17"/>
      <c r="BM23" s="13"/>
      <c r="BO23" s="26"/>
      <c r="BS23" s="26"/>
      <c r="CD23" s="27"/>
    </row>
    <row r="24" spans="1:82" s="11" customFormat="1">
      <c r="A24" s="32"/>
      <c r="B24" s="33"/>
      <c r="C24" s="18"/>
      <c r="D24" s="18"/>
      <c r="E24" s="18"/>
      <c r="F24" s="18"/>
      <c r="G24" s="18"/>
      <c r="H24" s="17"/>
      <c r="I24" s="18"/>
      <c r="J24" s="18"/>
      <c r="K24" s="18"/>
      <c r="L24" s="18"/>
      <c r="M24" s="18"/>
      <c r="N24" s="18"/>
      <c r="O24" s="18"/>
      <c r="P24" s="33"/>
      <c r="Q24" s="18"/>
      <c r="R24" s="18"/>
      <c r="S24" s="18"/>
      <c r="T24" s="18"/>
      <c r="U24" s="18"/>
      <c r="V24" s="17"/>
      <c r="W24" s="18"/>
      <c r="X24" s="18"/>
      <c r="Y24" s="18"/>
      <c r="Z24" s="18"/>
      <c r="AA24" s="18"/>
      <c r="AB24" s="18"/>
      <c r="AC24" s="18"/>
      <c r="AD24" s="33"/>
      <c r="AE24" s="18"/>
      <c r="AF24" s="18"/>
      <c r="AG24" s="18"/>
      <c r="AH24" s="18"/>
      <c r="AI24" s="18"/>
      <c r="AJ24" s="17"/>
      <c r="AK24" s="33"/>
      <c r="AL24" s="18"/>
      <c r="AM24" s="18"/>
      <c r="AN24" s="18"/>
      <c r="AO24" s="18"/>
      <c r="AP24" s="18"/>
      <c r="AQ24" s="17"/>
      <c r="AR24" s="18"/>
      <c r="AT24" s="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33"/>
      <c r="BI24" s="18"/>
      <c r="BJ24" s="18"/>
      <c r="BK24" s="18"/>
      <c r="BL24" s="17"/>
      <c r="BM24" s="13"/>
      <c r="BO24" s="26"/>
      <c r="BS24" s="26"/>
      <c r="CD24" s="27"/>
    </row>
    <row r="25" spans="1:82" s="11" customFormat="1">
      <c r="A25" s="32"/>
      <c r="B25" s="33"/>
      <c r="C25" s="18"/>
      <c r="D25" s="18"/>
      <c r="E25" s="18"/>
      <c r="F25" s="18"/>
      <c r="G25" s="18"/>
      <c r="H25" s="17"/>
      <c r="I25" s="18"/>
      <c r="J25" s="18"/>
      <c r="K25" s="18"/>
      <c r="L25" s="18"/>
      <c r="M25" s="18"/>
      <c r="N25" s="18"/>
      <c r="O25" s="18"/>
      <c r="P25" s="33"/>
      <c r="Q25" s="18"/>
      <c r="R25" s="18"/>
      <c r="S25" s="18"/>
      <c r="T25" s="18"/>
      <c r="U25" s="18"/>
      <c r="V25" s="17"/>
      <c r="W25" s="18"/>
      <c r="X25" s="18"/>
      <c r="Y25" s="18"/>
      <c r="Z25" s="18"/>
      <c r="AA25" s="18"/>
      <c r="AB25" s="18"/>
      <c r="AC25" s="18"/>
      <c r="AD25" s="33"/>
      <c r="AE25" s="18"/>
      <c r="AF25" s="18"/>
      <c r="AG25" s="18"/>
      <c r="AH25" s="18"/>
      <c r="AI25" s="18"/>
      <c r="AJ25" s="17"/>
      <c r="AK25" s="33"/>
      <c r="AL25" s="18"/>
      <c r="AM25" s="18"/>
      <c r="AN25" s="18"/>
      <c r="AO25" s="18"/>
      <c r="AP25" s="18"/>
      <c r="AQ25" s="17"/>
      <c r="AR25" s="18"/>
      <c r="AS25" s="8"/>
      <c r="AT25" s="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33"/>
      <c r="BI25" s="18"/>
      <c r="BJ25" s="18"/>
      <c r="BK25" s="18"/>
      <c r="BL25" s="17"/>
      <c r="BM25" s="13"/>
      <c r="BO25" s="26"/>
      <c r="BS25" s="26"/>
      <c r="CD25" s="27"/>
    </row>
    <row r="26" spans="1:82" s="11" customFormat="1">
      <c r="A26" s="32"/>
      <c r="B26" s="33"/>
      <c r="C26" s="18"/>
      <c r="D26" s="18"/>
      <c r="E26" s="18"/>
      <c r="F26" s="18"/>
      <c r="G26" s="18"/>
      <c r="H26" s="17"/>
      <c r="I26" s="18"/>
      <c r="J26" s="18"/>
      <c r="K26" s="18"/>
      <c r="L26" s="18"/>
      <c r="M26" s="18"/>
      <c r="N26" s="18"/>
      <c r="O26" s="18"/>
      <c r="P26" s="33"/>
      <c r="Q26" s="18"/>
      <c r="R26" s="18"/>
      <c r="S26" s="18"/>
      <c r="T26" s="18"/>
      <c r="U26" s="18"/>
      <c r="V26" s="17"/>
      <c r="W26" s="18"/>
      <c r="X26" s="18"/>
      <c r="Y26" s="18"/>
      <c r="Z26" s="18"/>
      <c r="AA26" s="18"/>
      <c r="AB26" s="18"/>
      <c r="AC26" s="18"/>
      <c r="AD26" s="33"/>
      <c r="AE26" s="18"/>
      <c r="AF26" s="18"/>
      <c r="AG26" s="18"/>
      <c r="AH26" s="18"/>
      <c r="AI26" s="18"/>
      <c r="AJ26" s="17"/>
      <c r="AK26" s="33"/>
      <c r="AL26" s="18"/>
      <c r="AM26" s="18"/>
      <c r="AN26" s="18"/>
      <c r="AO26" s="18"/>
      <c r="AP26" s="18"/>
      <c r="AQ26" s="17"/>
      <c r="AR26" s="18"/>
      <c r="AS26" s="16" t="s">
        <v>159</v>
      </c>
      <c r="AT26" s="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33"/>
      <c r="BI26" s="18"/>
      <c r="BJ26" s="18"/>
      <c r="BK26" s="18"/>
      <c r="BL26" s="17"/>
      <c r="BM26" s="13"/>
      <c r="BO26" s="26"/>
      <c r="BS26" s="26"/>
      <c r="CD26" s="27"/>
    </row>
    <row r="27" spans="1:82" s="11" customFormat="1">
      <c r="A27" s="32"/>
      <c r="B27" s="33"/>
      <c r="C27" s="18"/>
      <c r="D27" s="18"/>
      <c r="E27" s="18"/>
      <c r="F27" s="18"/>
      <c r="G27" s="18"/>
      <c r="H27" s="17"/>
      <c r="I27" s="18"/>
      <c r="J27" s="18"/>
      <c r="K27" s="18"/>
      <c r="L27" s="18"/>
      <c r="M27" s="18"/>
      <c r="N27" s="18"/>
      <c r="O27" s="18"/>
      <c r="P27" s="33"/>
      <c r="Q27" s="18"/>
      <c r="R27" s="18"/>
      <c r="S27" s="18"/>
      <c r="T27" s="18"/>
      <c r="U27" s="18"/>
      <c r="V27" s="17"/>
      <c r="W27" s="18"/>
      <c r="X27" s="18"/>
      <c r="Y27" s="18"/>
      <c r="Z27" s="18"/>
      <c r="AA27" s="18"/>
      <c r="AB27" s="18"/>
      <c r="AC27" s="18"/>
      <c r="AD27" s="33"/>
      <c r="AE27" s="18"/>
      <c r="AF27" s="18"/>
      <c r="AG27" s="18"/>
      <c r="AH27" s="18"/>
      <c r="AI27" s="18"/>
      <c r="AJ27" s="17"/>
      <c r="AK27" s="33"/>
      <c r="AL27" s="18"/>
      <c r="AM27" s="18"/>
      <c r="AN27" s="18"/>
      <c r="AO27" s="18"/>
      <c r="AP27" s="18"/>
      <c r="AQ27" s="17"/>
      <c r="AR27" s="18"/>
      <c r="AS27" s="8"/>
      <c r="AT27" s="8" t="s">
        <v>160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50">
        <v>20240411</v>
      </c>
      <c r="BI27" s="18"/>
      <c r="BJ27" s="18"/>
      <c r="BK27" s="18"/>
      <c r="BL27" s="17"/>
      <c r="BM27" s="13"/>
      <c r="BO27" s="26"/>
      <c r="BS27" s="26"/>
      <c r="CD27" s="27"/>
    </row>
    <row r="28" spans="1:82" s="11" customFormat="1">
      <c r="A28" s="32"/>
      <c r="B28" s="33"/>
      <c r="C28" s="18"/>
      <c r="D28" s="18"/>
      <c r="E28" s="18"/>
      <c r="F28" s="18"/>
      <c r="G28" s="18"/>
      <c r="H28" s="17"/>
      <c r="I28" s="18"/>
      <c r="J28" s="18"/>
      <c r="K28" s="18"/>
      <c r="L28" s="18"/>
      <c r="M28" s="18"/>
      <c r="N28" s="18"/>
      <c r="O28" s="18"/>
      <c r="P28" s="33"/>
      <c r="Q28" s="18"/>
      <c r="R28" s="18"/>
      <c r="S28" s="18"/>
      <c r="T28" s="18"/>
      <c r="U28" s="18"/>
      <c r="V28" s="17"/>
      <c r="W28" s="18"/>
      <c r="X28" s="18"/>
      <c r="Y28" s="18"/>
      <c r="Z28" s="18"/>
      <c r="AA28" s="18"/>
      <c r="AB28" s="18"/>
      <c r="AC28" s="18"/>
      <c r="AD28" s="33"/>
      <c r="AE28" s="18"/>
      <c r="AF28" s="18"/>
      <c r="AG28" s="18"/>
      <c r="AH28" s="18"/>
      <c r="AI28" s="18"/>
      <c r="AJ28" s="17"/>
      <c r="AK28" s="33"/>
      <c r="AL28" s="18"/>
      <c r="AM28" s="18"/>
      <c r="AN28" s="18"/>
      <c r="AO28" s="18"/>
      <c r="AP28" s="18"/>
      <c r="AQ28" s="17"/>
      <c r="AR28" s="18"/>
      <c r="AS28" s="8" t="s">
        <v>162</v>
      </c>
      <c r="AT28" s="8" t="s">
        <v>181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50" t="s">
        <v>234</v>
      </c>
      <c r="BI28" s="18"/>
      <c r="BJ28" s="18"/>
      <c r="BK28" s="18"/>
      <c r="BL28" s="17"/>
      <c r="BM28" s="13"/>
      <c r="BO28" s="26"/>
      <c r="BS28" s="26"/>
      <c r="CD28" s="27"/>
    </row>
    <row r="29" spans="1:82" s="11" customFormat="1">
      <c r="A29" s="32"/>
      <c r="B29" s="33"/>
      <c r="C29" s="18"/>
      <c r="D29" s="18"/>
      <c r="E29" s="18"/>
      <c r="F29" s="18"/>
      <c r="G29" s="18"/>
      <c r="H29" s="17"/>
      <c r="I29" s="18"/>
      <c r="J29" s="18"/>
      <c r="K29" s="18"/>
      <c r="L29" s="18"/>
      <c r="M29" s="18"/>
      <c r="N29" s="18"/>
      <c r="O29" s="18"/>
      <c r="P29" s="33"/>
      <c r="Q29" s="18"/>
      <c r="R29" s="18"/>
      <c r="S29" s="18"/>
      <c r="T29" s="18"/>
      <c r="U29" s="18"/>
      <c r="V29" s="17"/>
      <c r="W29" s="18"/>
      <c r="X29" s="18"/>
      <c r="Y29" s="18"/>
      <c r="Z29" s="18"/>
      <c r="AA29" s="18"/>
      <c r="AB29" s="18"/>
      <c r="AC29" s="18"/>
      <c r="AD29" s="33"/>
      <c r="AE29" s="18"/>
      <c r="AF29" s="18"/>
      <c r="AG29" s="18"/>
      <c r="AH29" s="18"/>
      <c r="AI29" s="18"/>
      <c r="AJ29" s="17"/>
      <c r="AK29" s="33"/>
      <c r="AL29" s="18"/>
      <c r="AM29" s="18"/>
      <c r="AN29" s="18"/>
      <c r="AO29" s="18"/>
      <c r="AP29" s="18"/>
      <c r="AQ29" s="17"/>
      <c r="AR29" s="18"/>
      <c r="AS29" s="8"/>
      <c r="AT29" s="8" t="s">
        <v>235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33"/>
      <c r="BI29" s="18"/>
      <c r="BJ29" s="18"/>
      <c r="BK29" s="18"/>
      <c r="BL29" s="17"/>
      <c r="BM29" s="13"/>
      <c r="BO29" s="26"/>
      <c r="BS29" s="26"/>
      <c r="CD29" s="27"/>
    </row>
    <row r="30" spans="1:82" s="11" customFormat="1">
      <c r="A30" s="32"/>
      <c r="B30" s="33"/>
      <c r="C30" s="18"/>
      <c r="D30" s="18"/>
      <c r="E30" s="18"/>
      <c r="F30" s="18"/>
      <c r="G30" s="18"/>
      <c r="H30" s="17"/>
      <c r="I30" s="18"/>
      <c r="J30" s="18"/>
      <c r="K30" s="18"/>
      <c r="L30" s="18"/>
      <c r="M30" s="18"/>
      <c r="N30" s="18"/>
      <c r="O30" s="18"/>
      <c r="P30" s="33"/>
      <c r="Q30" s="18"/>
      <c r="R30" s="18"/>
      <c r="S30" s="18"/>
      <c r="T30" s="18"/>
      <c r="U30" s="18"/>
      <c r="V30" s="17"/>
      <c r="W30" s="18"/>
      <c r="X30" s="18"/>
      <c r="Y30" s="18"/>
      <c r="Z30" s="18"/>
      <c r="AA30" s="18"/>
      <c r="AB30" s="18"/>
      <c r="AC30" s="18"/>
      <c r="AD30" s="33"/>
      <c r="AE30" s="18"/>
      <c r="AF30" s="18"/>
      <c r="AG30" s="18"/>
      <c r="AH30" s="18"/>
      <c r="AI30" s="18"/>
      <c r="AJ30" s="17"/>
      <c r="AK30" s="33"/>
      <c r="AL30" s="18"/>
      <c r="AM30" s="18"/>
      <c r="AN30" s="18"/>
      <c r="AO30" s="18"/>
      <c r="AP30" s="18"/>
      <c r="AQ30" s="17"/>
      <c r="AR30" s="18"/>
      <c r="AS30" s="8" t="s">
        <v>162</v>
      </c>
      <c r="AT30" s="8" t="s">
        <v>163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46" t="s">
        <v>147</v>
      </c>
      <c r="BI30" s="18"/>
      <c r="BJ30" s="18"/>
      <c r="BK30" s="18"/>
      <c r="BL30" s="17"/>
      <c r="BM30" s="13"/>
      <c r="BO30" s="26"/>
      <c r="BS30" s="26"/>
      <c r="CD30" s="27"/>
    </row>
    <row r="31" spans="1:82" s="11" customFormat="1">
      <c r="A31" s="32"/>
      <c r="B31" s="33"/>
      <c r="C31" s="18"/>
      <c r="D31" s="18"/>
      <c r="E31" s="18"/>
      <c r="F31" s="18"/>
      <c r="G31" s="18"/>
      <c r="H31" s="17"/>
      <c r="I31" s="18"/>
      <c r="J31" s="18"/>
      <c r="K31" s="18"/>
      <c r="L31" s="18"/>
      <c r="M31" s="18"/>
      <c r="N31" s="18"/>
      <c r="O31" s="18"/>
      <c r="P31" s="33"/>
      <c r="Q31" s="18"/>
      <c r="R31" s="18"/>
      <c r="S31" s="18"/>
      <c r="T31" s="18"/>
      <c r="U31" s="18"/>
      <c r="V31" s="17"/>
      <c r="W31" s="18"/>
      <c r="X31" s="18"/>
      <c r="Y31" s="18"/>
      <c r="Z31" s="18"/>
      <c r="AA31" s="18"/>
      <c r="AB31" s="18"/>
      <c r="AC31" s="18"/>
      <c r="AD31" s="33"/>
      <c r="AE31" s="18"/>
      <c r="AF31" s="18"/>
      <c r="AG31" s="18"/>
      <c r="AH31" s="18"/>
      <c r="AI31" s="18"/>
      <c r="AJ31" s="17"/>
      <c r="AK31" s="33"/>
      <c r="AL31" s="18"/>
      <c r="AM31" s="18"/>
      <c r="AN31" s="18"/>
      <c r="AO31" s="18"/>
      <c r="AP31" s="18"/>
      <c r="AQ31" s="17"/>
      <c r="AR31" s="18"/>
      <c r="AS31" s="8"/>
      <c r="AT31" s="8" t="s">
        <v>164</v>
      </c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50" t="s">
        <v>165</v>
      </c>
      <c r="BI31" s="18"/>
      <c r="BJ31" s="18"/>
      <c r="BK31" s="18"/>
      <c r="BL31" s="17"/>
      <c r="BM31" s="13"/>
      <c r="BO31" s="26"/>
      <c r="BS31" s="26"/>
      <c r="CD31" s="27"/>
    </row>
    <row r="32" spans="1:82" s="11" customFormat="1">
      <c r="A32" s="32"/>
      <c r="B32" s="33"/>
      <c r="C32" s="18"/>
      <c r="D32" s="18"/>
      <c r="E32" s="18"/>
      <c r="F32" s="18"/>
      <c r="G32" s="18"/>
      <c r="H32" s="17"/>
      <c r="I32" s="18"/>
      <c r="J32" s="18"/>
      <c r="K32" s="18"/>
      <c r="L32" s="18"/>
      <c r="M32" s="18"/>
      <c r="N32" s="18"/>
      <c r="O32" s="18"/>
      <c r="P32" s="33"/>
      <c r="Q32" s="18"/>
      <c r="R32" s="18"/>
      <c r="S32" s="18"/>
      <c r="T32" s="18"/>
      <c r="U32" s="18"/>
      <c r="V32" s="17"/>
      <c r="W32" s="18"/>
      <c r="X32" s="18"/>
      <c r="Y32" s="18"/>
      <c r="Z32" s="18"/>
      <c r="AA32" s="18"/>
      <c r="AB32" s="18"/>
      <c r="AC32" s="18"/>
      <c r="AD32" s="33"/>
      <c r="AE32" s="18"/>
      <c r="AF32" s="18"/>
      <c r="AG32" s="18"/>
      <c r="AH32" s="18"/>
      <c r="AI32" s="18"/>
      <c r="AJ32" s="17"/>
      <c r="AK32" s="33"/>
      <c r="AL32" s="18"/>
      <c r="AM32" s="18"/>
      <c r="AN32" s="18"/>
      <c r="AO32" s="18"/>
      <c r="AP32" s="18"/>
      <c r="AQ32" s="17"/>
      <c r="AR32" s="18"/>
      <c r="AS32" s="8"/>
      <c r="AT32" s="8" t="s">
        <v>166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50" t="s">
        <v>167</v>
      </c>
      <c r="BI32" s="18"/>
      <c r="BJ32" s="18"/>
      <c r="BK32" s="18"/>
      <c r="BL32" s="17"/>
      <c r="BM32" s="13"/>
      <c r="BO32" s="26"/>
      <c r="BS32" s="26"/>
      <c r="CD32" s="27"/>
    </row>
    <row r="33" spans="1:82" s="11" customFormat="1">
      <c r="A33" s="32"/>
      <c r="B33" s="33"/>
      <c r="C33" s="18"/>
      <c r="D33" s="18"/>
      <c r="E33" s="18"/>
      <c r="F33" s="18"/>
      <c r="G33" s="18"/>
      <c r="H33" s="17"/>
      <c r="I33" s="18"/>
      <c r="J33" s="18"/>
      <c r="K33" s="18"/>
      <c r="L33" s="18"/>
      <c r="M33" s="18"/>
      <c r="N33" s="18"/>
      <c r="O33" s="18"/>
      <c r="P33" s="33"/>
      <c r="Q33" s="18"/>
      <c r="R33" s="18"/>
      <c r="S33" s="18"/>
      <c r="T33" s="18"/>
      <c r="U33" s="18"/>
      <c r="V33" s="17"/>
      <c r="W33" s="18"/>
      <c r="X33" s="18"/>
      <c r="Y33" s="18"/>
      <c r="Z33" s="18"/>
      <c r="AA33" s="18"/>
      <c r="AB33" s="18"/>
      <c r="AC33" s="18"/>
      <c r="AD33" s="33"/>
      <c r="AE33" s="18"/>
      <c r="AF33" s="18"/>
      <c r="AG33" s="18"/>
      <c r="AH33" s="18"/>
      <c r="AI33" s="18"/>
      <c r="AJ33" s="17"/>
      <c r="AK33" s="33"/>
      <c r="AL33" s="18"/>
      <c r="AM33" s="18"/>
      <c r="AN33" s="18"/>
      <c r="AO33" s="18"/>
      <c r="AP33" s="18"/>
      <c r="AQ33" s="17"/>
      <c r="AR33" s="18"/>
      <c r="AS33" s="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50" t="s">
        <v>236</v>
      </c>
      <c r="BI33" s="18"/>
      <c r="BJ33" s="18"/>
      <c r="BK33" s="18"/>
      <c r="BL33" s="17"/>
      <c r="BM33" s="13"/>
      <c r="BO33" s="26"/>
      <c r="BS33" s="26"/>
      <c r="CD33" s="27"/>
    </row>
    <row r="34" spans="1:82" s="11" customFormat="1">
      <c r="A34" s="32"/>
      <c r="B34" s="33"/>
      <c r="C34" s="18"/>
      <c r="D34" s="18"/>
      <c r="E34" s="18"/>
      <c r="F34" s="18"/>
      <c r="G34" s="18"/>
      <c r="H34" s="17"/>
      <c r="I34" s="18"/>
      <c r="J34" s="18"/>
      <c r="K34" s="18"/>
      <c r="L34" s="18"/>
      <c r="M34" s="18"/>
      <c r="N34" s="18"/>
      <c r="O34" s="18"/>
      <c r="P34" s="33"/>
      <c r="Q34" s="18"/>
      <c r="R34" s="18"/>
      <c r="S34" s="18"/>
      <c r="T34" s="18"/>
      <c r="U34" s="18"/>
      <c r="V34" s="17"/>
      <c r="W34" s="18"/>
      <c r="X34" s="18"/>
      <c r="Y34" s="18"/>
      <c r="Z34" s="18"/>
      <c r="AA34" s="18"/>
      <c r="AB34" s="18"/>
      <c r="AC34" s="18"/>
      <c r="AD34" s="33"/>
      <c r="AE34" s="18"/>
      <c r="AF34" s="18"/>
      <c r="AG34" s="18"/>
      <c r="AH34" s="18"/>
      <c r="AI34" s="18"/>
      <c r="AJ34" s="17"/>
      <c r="AK34" s="33"/>
      <c r="AL34" s="18"/>
      <c r="AM34" s="18"/>
      <c r="AN34" s="18"/>
      <c r="AO34" s="18"/>
      <c r="AP34" s="18"/>
      <c r="AQ34" s="17"/>
      <c r="AR34" s="18"/>
      <c r="AS34" s="19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33"/>
      <c r="BI34" s="18"/>
      <c r="BJ34" s="18"/>
      <c r="BK34" s="18"/>
      <c r="BL34" s="17"/>
      <c r="BM34" s="13"/>
      <c r="BO34" s="26"/>
      <c r="BS34" s="26"/>
      <c r="CD34" s="27"/>
    </row>
    <row r="35" spans="1:82" s="11" customFormat="1">
      <c r="A35" s="32"/>
      <c r="B35" s="33"/>
      <c r="C35" s="18"/>
      <c r="D35" s="18"/>
      <c r="E35" s="18"/>
      <c r="F35" s="18"/>
      <c r="G35" s="18"/>
      <c r="H35" s="17"/>
      <c r="I35" s="18"/>
      <c r="J35" s="18"/>
      <c r="K35" s="18"/>
      <c r="L35" s="18"/>
      <c r="M35" s="18"/>
      <c r="N35" s="18"/>
      <c r="O35" s="18"/>
      <c r="P35" s="33"/>
      <c r="Q35" s="18"/>
      <c r="R35" s="18"/>
      <c r="S35" s="18"/>
      <c r="T35" s="18"/>
      <c r="U35" s="18"/>
      <c r="V35" s="17"/>
      <c r="W35" s="18"/>
      <c r="X35" s="18"/>
      <c r="Y35" s="18"/>
      <c r="Z35" s="18"/>
      <c r="AA35" s="18"/>
      <c r="AB35" s="18"/>
      <c r="AC35" s="18"/>
      <c r="AD35" s="33"/>
      <c r="AE35" s="18"/>
      <c r="AF35" s="18"/>
      <c r="AG35" s="18"/>
      <c r="AH35" s="18"/>
      <c r="AI35" s="18"/>
      <c r="AJ35" s="17"/>
      <c r="AK35" s="33"/>
      <c r="AL35" s="18"/>
      <c r="AM35" s="18"/>
      <c r="AN35" s="18"/>
      <c r="AO35" s="18"/>
      <c r="AP35" s="18"/>
      <c r="AQ35" s="17"/>
      <c r="AR35" s="18"/>
      <c r="AS35" s="16" t="s">
        <v>169</v>
      </c>
      <c r="AT35" s="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33"/>
      <c r="BI35" s="18"/>
      <c r="BJ35" s="18"/>
      <c r="BK35" s="18"/>
      <c r="BL35" s="17"/>
      <c r="BM35" s="13"/>
      <c r="BO35" s="26"/>
      <c r="BS35" s="26"/>
      <c r="CD35" s="27"/>
    </row>
    <row r="36" spans="1:82" s="11" customFormat="1">
      <c r="A36" s="32"/>
      <c r="B36" s="33"/>
      <c r="C36" s="18"/>
      <c r="D36" s="18"/>
      <c r="E36" s="18"/>
      <c r="F36" s="18"/>
      <c r="G36" s="18"/>
      <c r="H36" s="17"/>
      <c r="I36" s="18"/>
      <c r="J36" s="18"/>
      <c r="K36" s="18"/>
      <c r="L36" s="18"/>
      <c r="M36" s="18"/>
      <c r="N36" s="18"/>
      <c r="O36" s="18"/>
      <c r="P36" s="33"/>
      <c r="Q36" s="18"/>
      <c r="R36" s="18"/>
      <c r="S36" s="18"/>
      <c r="T36" s="18"/>
      <c r="U36" s="18"/>
      <c r="V36" s="17"/>
      <c r="W36" s="18"/>
      <c r="X36" s="18"/>
      <c r="Y36" s="18"/>
      <c r="Z36" s="18"/>
      <c r="AA36" s="18"/>
      <c r="AB36" s="18"/>
      <c r="AC36" s="18"/>
      <c r="AD36" s="33"/>
      <c r="AE36" s="18"/>
      <c r="AF36" s="18"/>
      <c r="AG36" s="18"/>
      <c r="AH36" s="18"/>
      <c r="AI36" s="18"/>
      <c r="AJ36" s="17"/>
      <c r="AK36" s="33"/>
      <c r="AL36" s="18"/>
      <c r="AM36" s="18"/>
      <c r="AN36" s="18"/>
      <c r="AO36" s="18"/>
      <c r="AP36" s="18"/>
      <c r="AQ36" s="17"/>
      <c r="AR36" s="18"/>
      <c r="AS36" s="8"/>
      <c r="AT36" s="8" t="s">
        <v>170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33"/>
      <c r="BI36" s="18"/>
      <c r="BJ36" s="18"/>
      <c r="BK36" s="18"/>
      <c r="BL36" s="17"/>
      <c r="BM36" s="13"/>
      <c r="BO36" s="26"/>
      <c r="BS36" s="26"/>
      <c r="CD36" s="27"/>
    </row>
    <row r="37" spans="1:82" s="11" customFormat="1">
      <c r="A37" s="32"/>
      <c r="B37" s="33"/>
      <c r="C37" s="18"/>
      <c r="D37" s="18"/>
      <c r="E37" s="18"/>
      <c r="F37" s="18"/>
      <c r="G37" s="18"/>
      <c r="H37" s="17"/>
      <c r="I37" s="18"/>
      <c r="J37" s="18"/>
      <c r="K37" s="18"/>
      <c r="L37" s="18"/>
      <c r="M37" s="18"/>
      <c r="N37" s="18"/>
      <c r="O37" s="18"/>
      <c r="P37" s="33"/>
      <c r="Q37" s="18"/>
      <c r="R37" s="18"/>
      <c r="S37" s="18"/>
      <c r="T37" s="18"/>
      <c r="U37" s="18"/>
      <c r="V37" s="17"/>
      <c r="W37" s="18"/>
      <c r="X37" s="18"/>
      <c r="Y37" s="18"/>
      <c r="Z37" s="18"/>
      <c r="AA37" s="18"/>
      <c r="AB37" s="18"/>
      <c r="AC37" s="18"/>
      <c r="AD37" s="33"/>
      <c r="AE37" s="18"/>
      <c r="AF37" s="18"/>
      <c r="AG37" s="18"/>
      <c r="AH37" s="18"/>
      <c r="AI37" s="18"/>
      <c r="AJ37" s="17"/>
      <c r="AK37" s="33"/>
      <c r="AL37" s="18"/>
      <c r="AM37" s="18"/>
      <c r="AN37" s="18"/>
      <c r="AO37" s="18"/>
      <c r="AP37" s="18"/>
      <c r="AQ37" s="17"/>
      <c r="AR37" s="18"/>
      <c r="AS37" s="8" t="s">
        <v>162</v>
      </c>
      <c r="AT37" s="8" t="s">
        <v>163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46" t="s">
        <v>147</v>
      </c>
      <c r="BI37" s="18"/>
      <c r="BJ37" s="18"/>
      <c r="BK37" s="18"/>
      <c r="BL37" s="17"/>
      <c r="BM37" s="13"/>
      <c r="BO37" s="26"/>
      <c r="BS37" s="26"/>
      <c r="CD37" s="27"/>
    </row>
    <row r="38" spans="1:82" s="11" customFormat="1">
      <c r="A38" s="32"/>
      <c r="B38" s="33"/>
      <c r="C38" s="18"/>
      <c r="D38" s="18"/>
      <c r="E38" s="18"/>
      <c r="F38" s="18"/>
      <c r="G38" s="18"/>
      <c r="H38" s="17"/>
      <c r="I38" s="18"/>
      <c r="J38" s="18"/>
      <c r="K38" s="18"/>
      <c r="L38" s="18"/>
      <c r="M38" s="18"/>
      <c r="N38" s="18"/>
      <c r="O38" s="18"/>
      <c r="P38" s="33"/>
      <c r="Q38" s="18"/>
      <c r="R38" s="18"/>
      <c r="S38" s="18"/>
      <c r="T38" s="18"/>
      <c r="U38" s="18"/>
      <c r="V38" s="17"/>
      <c r="W38" s="18"/>
      <c r="X38" s="18"/>
      <c r="Y38" s="18"/>
      <c r="Z38" s="18"/>
      <c r="AA38" s="18"/>
      <c r="AB38" s="18"/>
      <c r="AC38" s="18"/>
      <c r="AD38" s="33"/>
      <c r="AE38" s="18"/>
      <c r="AF38" s="18"/>
      <c r="AG38" s="18"/>
      <c r="AH38" s="18"/>
      <c r="AI38" s="18"/>
      <c r="AJ38" s="17"/>
      <c r="AK38" s="33"/>
      <c r="AL38" s="18"/>
      <c r="AM38" s="18"/>
      <c r="AN38" s="18"/>
      <c r="AO38" s="18"/>
      <c r="AP38" s="18"/>
      <c r="AQ38" s="17"/>
      <c r="AR38" s="18"/>
      <c r="AS38" s="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50" t="s">
        <v>165</v>
      </c>
      <c r="BI38" s="18"/>
      <c r="BJ38" s="18"/>
      <c r="BK38" s="18"/>
      <c r="BL38" s="17"/>
      <c r="BM38" s="13"/>
      <c r="BO38" s="26"/>
      <c r="BS38" s="26"/>
      <c r="CD38" s="27"/>
    </row>
    <row r="39" spans="1:82" s="11" customFormat="1">
      <c r="A39" s="32"/>
      <c r="B39" s="33"/>
      <c r="C39" s="18"/>
      <c r="D39" s="18"/>
      <c r="E39" s="18"/>
      <c r="F39" s="18"/>
      <c r="G39" s="18"/>
      <c r="H39" s="17"/>
      <c r="I39" s="18"/>
      <c r="J39" s="18"/>
      <c r="K39" s="18"/>
      <c r="L39" s="18"/>
      <c r="M39" s="18"/>
      <c r="N39" s="18"/>
      <c r="O39" s="18"/>
      <c r="P39" s="33"/>
      <c r="Q39" s="18"/>
      <c r="R39" s="18"/>
      <c r="S39" s="18"/>
      <c r="T39" s="18"/>
      <c r="U39" s="18"/>
      <c r="V39" s="17"/>
      <c r="W39" s="18"/>
      <c r="X39" s="18"/>
      <c r="Y39" s="18"/>
      <c r="Z39" s="18"/>
      <c r="AA39" s="18"/>
      <c r="AB39" s="18"/>
      <c r="AC39" s="18"/>
      <c r="AD39" s="33"/>
      <c r="AE39" s="18"/>
      <c r="AF39" s="18"/>
      <c r="AG39" s="18"/>
      <c r="AH39" s="18"/>
      <c r="AI39" s="18"/>
      <c r="AJ39" s="17"/>
      <c r="AK39" s="33"/>
      <c r="AL39" s="18"/>
      <c r="AM39" s="18"/>
      <c r="AN39" s="18"/>
      <c r="AO39" s="18"/>
      <c r="AP39" s="18"/>
      <c r="AQ39" s="17"/>
      <c r="AR39" s="18"/>
      <c r="AS39" s="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50" t="s">
        <v>167</v>
      </c>
      <c r="BI39" s="18"/>
      <c r="BJ39" s="18"/>
      <c r="BK39" s="18"/>
      <c r="BL39" s="17"/>
      <c r="BM39" s="13"/>
      <c r="BO39" s="26"/>
      <c r="BS39" s="26"/>
      <c r="CD39" s="27"/>
    </row>
    <row r="40" spans="1:82" s="11" customFormat="1">
      <c r="A40" s="32"/>
      <c r="B40" s="33"/>
      <c r="C40" s="18"/>
      <c r="D40" s="18"/>
      <c r="E40" s="18"/>
      <c r="F40" s="18"/>
      <c r="G40" s="18"/>
      <c r="H40" s="17"/>
      <c r="I40" s="18"/>
      <c r="J40" s="18"/>
      <c r="K40" s="18"/>
      <c r="L40" s="18"/>
      <c r="M40" s="18"/>
      <c r="N40" s="18"/>
      <c r="O40" s="18"/>
      <c r="P40" s="33"/>
      <c r="Q40" s="18"/>
      <c r="R40" s="18"/>
      <c r="S40" s="18"/>
      <c r="T40" s="18"/>
      <c r="U40" s="18"/>
      <c r="V40" s="17"/>
      <c r="W40" s="18"/>
      <c r="X40" s="18"/>
      <c r="Y40" s="18"/>
      <c r="Z40" s="18"/>
      <c r="AA40" s="18"/>
      <c r="AB40" s="18"/>
      <c r="AC40" s="18"/>
      <c r="AD40" s="33"/>
      <c r="AE40" s="18"/>
      <c r="AF40" s="18"/>
      <c r="AG40" s="18"/>
      <c r="AH40" s="18"/>
      <c r="AI40" s="18"/>
      <c r="AJ40" s="17"/>
      <c r="AK40" s="33"/>
      <c r="AL40" s="18"/>
      <c r="AM40" s="18"/>
      <c r="AN40" s="18"/>
      <c r="AO40" s="18"/>
      <c r="AP40" s="18"/>
      <c r="AQ40" s="17"/>
      <c r="AR40" s="18"/>
      <c r="AS40" s="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50" t="s">
        <v>236</v>
      </c>
      <c r="BI40" s="18"/>
      <c r="BJ40" s="18"/>
      <c r="BK40" s="18"/>
      <c r="BL40" s="17"/>
      <c r="BM40" s="13"/>
      <c r="BO40" s="26"/>
      <c r="BS40" s="26"/>
      <c r="CD40" s="27"/>
    </row>
    <row r="41" spans="1:82" s="11" customFormat="1">
      <c r="A41" s="32"/>
      <c r="B41" s="33"/>
      <c r="C41" s="18"/>
      <c r="D41" s="18"/>
      <c r="E41" s="18"/>
      <c r="F41" s="18"/>
      <c r="G41" s="18"/>
      <c r="H41" s="17"/>
      <c r="I41" s="18"/>
      <c r="J41" s="18"/>
      <c r="K41" s="18"/>
      <c r="L41" s="18"/>
      <c r="M41" s="18"/>
      <c r="N41" s="18"/>
      <c r="O41" s="18"/>
      <c r="P41" s="33"/>
      <c r="Q41" s="18"/>
      <c r="R41" s="18"/>
      <c r="S41" s="18"/>
      <c r="T41" s="18"/>
      <c r="U41" s="18"/>
      <c r="V41" s="17"/>
      <c r="W41" s="18"/>
      <c r="X41" s="18"/>
      <c r="Y41" s="18"/>
      <c r="Z41" s="18"/>
      <c r="AA41" s="18"/>
      <c r="AB41" s="18"/>
      <c r="AC41" s="18"/>
      <c r="AD41" s="33"/>
      <c r="AE41" s="18"/>
      <c r="AF41" s="18"/>
      <c r="AG41" s="18"/>
      <c r="AH41" s="18"/>
      <c r="AI41" s="18"/>
      <c r="AJ41" s="17"/>
      <c r="AK41" s="33"/>
      <c r="AL41" s="18"/>
      <c r="AM41" s="18"/>
      <c r="AN41" s="18"/>
      <c r="AO41" s="18"/>
      <c r="AP41" s="18"/>
      <c r="AQ41" s="17"/>
      <c r="AR41" s="18"/>
      <c r="AS41" s="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33"/>
      <c r="BI41" s="18"/>
      <c r="BJ41" s="18"/>
      <c r="BK41" s="18"/>
      <c r="BL41" s="17"/>
      <c r="BM41" s="13"/>
      <c r="BO41" s="26"/>
      <c r="BS41" s="26"/>
      <c r="CD41" s="27"/>
    </row>
    <row r="42" spans="1:82" s="11" customFormat="1">
      <c r="A42" s="32"/>
      <c r="B42" s="33"/>
      <c r="C42" s="18"/>
      <c r="D42" s="18"/>
      <c r="E42" s="18"/>
      <c r="F42" s="18"/>
      <c r="G42" s="18"/>
      <c r="H42" s="17"/>
      <c r="I42" s="18"/>
      <c r="J42" s="18"/>
      <c r="K42" s="18"/>
      <c r="L42" s="18"/>
      <c r="M42" s="18"/>
      <c r="N42" s="18"/>
      <c r="O42" s="18"/>
      <c r="P42" s="33"/>
      <c r="Q42" s="18"/>
      <c r="R42" s="18"/>
      <c r="S42" s="18"/>
      <c r="T42" s="18"/>
      <c r="U42" s="18"/>
      <c r="V42" s="17"/>
      <c r="W42" s="18"/>
      <c r="X42" s="18"/>
      <c r="Y42" s="18"/>
      <c r="Z42" s="18"/>
      <c r="AA42" s="18"/>
      <c r="AB42" s="18"/>
      <c r="AC42" s="18"/>
      <c r="AD42" s="33"/>
      <c r="AE42" s="18"/>
      <c r="AF42" s="18"/>
      <c r="AG42" s="18"/>
      <c r="AH42" s="18"/>
      <c r="AI42" s="18"/>
      <c r="AJ42" s="17"/>
      <c r="AK42" s="33"/>
      <c r="AL42" s="18"/>
      <c r="AM42" s="18"/>
      <c r="AN42" s="18"/>
      <c r="AO42" s="18"/>
      <c r="AP42" s="18"/>
      <c r="AQ42" s="17"/>
      <c r="AR42" s="18"/>
      <c r="AS42" s="16" t="s">
        <v>171</v>
      </c>
      <c r="AT42" s="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33"/>
      <c r="BI42" s="18"/>
      <c r="BJ42" s="18"/>
      <c r="BK42" s="18"/>
      <c r="BL42" s="17"/>
      <c r="BM42" s="13"/>
      <c r="BO42" s="26"/>
      <c r="BS42" s="26"/>
      <c r="CD42" s="27"/>
    </row>
    <row r="43" spans="1:82" s="11" customFormat="1">
      <c r="A43" s="32"/>
      <c r="B43" s="33"/>
      <c r="C43" s="18"/>
      <c r="D43" s="18"/>
      <c r="E43" s="18"/>
      <c r="F43" s="18"/>
      <c r="G43" s="18"/>
      <c r="H43" s="17"/>
      <c r="I43" s="18"/>
      <c r="J43" s="18"/>
      <c r="K43" s="18"/>
      <c r="L43" s="18"/>
      <c r="M43" s="18"/>
      <c r="N43" s="18"/>
      <c r="O43" s="18"/>
      <c r="P43" s="33"/>
      <c r="Q43" s="18"/>
      <c r="R43" s="18"/>
      <c r="S43" s="18"/>
      <c r="T43" s="18"/>
      <c r="U43" s="18"/>
      <c r="V43" s="17"/>
      <c r="W43" s="18"/>
      <c r="X43" s="18"/>
      <c r="Y43" s="18"/>
      <c r="Z43" s="18"/>
      <c r="AA43" s="18"/>
      <c r="AB43" s="18"/>
      <c r="AC43" s="18"/>
      <c r="AD43" s="33"/>
      <c r="AE43" s="18"/>
      <c r="AF43" s="18"/>
      <c r="AG43" s="18"/>
      <c r="AH43" s="18"/>
      <c r="AI43" s="18"/>
      <c r="AJ43" s="17"/>
      <c r="AK43" s="33"/>
      <c r="AL43" s="18"/>
      <c r="AM43" s="18"/>
      <c r="AN43" s="18"/>
      <c r="AO43" s="18"/>
      <c r="AP43" s="18"/>
      <c r="AQ43" s="17"/>
      <c r="AR43" s="18"/>
      <c r="AS43" s="8"/>
      <c r="AT43" s="8" t="s">
        <v>172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33"/>
      <c r="BI43" s="18"/>
      <c r="BJ43" s="18"/>
      <c r="BK43" s="18"/>
      <c r="BL43" s="17"/>
      <c r="BM43" s="13"/>
      <c r="BO43" s="26"/>
      <c r="BS43" s="26"/>
      <c r="CD43" s="27"/>
    </row>
    <row r="44" spans="1:82" s="11" customFormat="1">
      <c r="A44" s="32"/>
      <c r="B44" s="33"/>
      <c r="C44" s="18"/>
      <c r="D44" s="18"/>
      <c r="E44" s="18"/>
      <c r="F44" s="18"/>
      <c r="G44" s="18"/>
      <c r="H44" s="17"/>
      <c r="I44" s="18"/>
      <c r="J44" s="18"/>
      <c r="K44" s="18"/>
      <c r="L44" s="18"/>
      <c r="M44" s="18"/>
      <c r="N44" s="18"/>
      <c r="O44" s="18"/>
      <c r="P44" s="33"/>
      <c r="Q44" s="18"/>
      <c r="R44" s="18"/>
      <c r="S44" s="18"/>
      <c r="T44" s="18"/>
      <c r="U44" s="18"/>
      <c r="V44" s="17"/>
      <c r="W44" s="18"/>
      <c r="X44" s="18"/>
      <c r="Y44" s="18"/>
      <c r="Z44" s="18"/>
      <c r="AA44" s="18"/>
      <c r="AB44" s="18"/>
      <c r="AC44" s="18"/>
      <c r="AD44" s="33"/>
      <c r="AE44" s="18"/>
      <c r="AF44" s="18"/>
      <c r="AG44" s="18"/>
      <c r="AH44" s="18"/>
      <c r="AI44" s="18"/>
      <c r="AJ44" s="17"/>
      <c r="AK44" s="33"/>
      <c r="AL44" s="18"/>
      <c r="AM44" s="18"/>
      <c r="AN44" s="18"/>
      <c r="AO44" s="18"/>
      <c r="AP44" s="18"/>
      <c r="AQ44" s="17"/>
      <c r="AR44" s="18"/>
      <c r="AS44" s="8" t="s">
        <v>162</v>
      </c>
      <c r="AT44" s="8" t="s">
        <v>173</v>
      </c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46" t="s">
        <v>147</v>
      </c>
      <c r="BI44" s="18"/>
      <c r="BJ44" s="18"/>
      <c r="BK44" s="18"/>
      <c r="BL44" s="17"/>
      <c r="BM44" s="13"/>
      <c r="BO44" s="26"/>
      <c r="BS44" s="26"/>
      <c r="CD44" s="27"/>
    </row>
    <row r="45" spans="1:82" s="11" customFormat="1">
      <c r="A45" s="32"/>
      <c r="B45" s="33"/>
      <c r="C45" s="18"/>
      <c r="D45" s="18"/>
      <c r="E45" s="18"/>
      <c r="F45" s="18"/>
      <c r="G45" s="18"/>
      <c r="H45" s="17"/>
      <c r="I45" s="18"/>
      <c r="J45" s="18"/>
      <c r="K45" s="18"/>
      <c r="L45" s="18"/>
      <c r="M45" s="18"/>
      <c r="N45" s="18"/>
      <c r="O45" s="18"/>
      <c r="P45" s="33"/>
      <c r="Q45" s="18"/>
      <c r="R45" s="18"/>
      <c r="S45" s="18"/>
      <c r="T45" s="18"/>
      <c r="U45" s="18"/>
      <c r="V45" s="17"/>
      <c r="W45" s="18"/>
      <c r="X45" s="18"/>
      <c r="Y45" s="18"/>
      <c r="Z45" s="18"/>
      <c r="AA45" s="18"/>
      <c r="AB45" s="18"/>
      <c r="AC45" s="18"/>
      <c r="AD45" s="33"/>
      <c r="AE45" s="18"/>
      <c r="AF45" s="18"/>
      <c r="AG45" s="18"/>
      <c r="AH45" s="18"/>
      <c r="AI45" s="18"/>
      <c r="AJ45" s="17"/>
      <c r="AK45" s="33"/>
      <c r="AL45" s="18"/>
      <c r="AM45" s="18"/>
      <c r="AN45" s="18"/>
      <c r="AO45" s="18"/>
      <c r="AP45" s="18"/>
      <c r="AQ45" s="17"/>
      <c r="AR45" s="18"/>
      <c r="AS45" s="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50" t="s">
        <v>165</v>
      </c>
      <c r="BI45" s="18"/>
      <c r="BJ45" s="18"/>
      <c r="BK45" s="18"/>
      <c r="BL45" s="17"/>
      <c r="BM45" s="13"/>
      <c r="BO45" s="26"/>
      <c r="BS45" s="26"/>
      <c r="CD45" s="27"/>
    </row>
    <row r="46" spans="1:82" s="11" customFormat="1">
      <c r="A46" s="32"/>
      <c r="B46" s="33"/>
      <c r="C46" s="18"/>
      <c r="D46" s="18"/>
      <c r="E46" s="18"/>
      <c r="F46" s="18"/>
      <c r="G46" s="18"/>
      <c r="H46" s="17"/>
      <c r="I46" s="18"/>
      <c r="J46" s="18"/>
      <c r="K46" s="18"/>
      <c r="L46" s="18"/>
      <c r="M46" s="18"/>
      <c r="N46" s="18"/>
      <c r="O46" s="18"/>
      <c r="P46" s="33"/>
      <c r="Q46" s="18"/>
      <c r="R46" s="18"/>
      <c r="S46" s="18"/>
      <c r="T46" s="18"/>
      <c r="U46" s="18"/>
      <c r="V46" s="17"/>
      <c r="W46" s="18"/>
      <c r="X46" s="18"/>
      <c r="Y46" s="18"/>
      <c r="Z46" s="18"/>
      <c r="AA46" s="18"/>
      <c r="AB46" s="18"/>
      <c r="AC46" s="18"/>
      <c r="AD46" s="33"/>
      <c r="AE46" s="18"/>
      <c r="AF46" s="18"/>
      <c r="AG46" s="18"/>
      <c r="AH46" s="18"/>
      <c r="AI46" s="18"/>
      <c r="AJ46" s="17"/>
      <c r="AK46" s="33"/>
      <c r="AL46" s="18"/>
      <c r="AM46" s="18"/>
      <c r="AN46" s="18"/>
      <c r="AO46" s="18"/>
      <c r="AP46" s="18"/>
      <c r="AQ46" s="17"/>
      <c r="AR46" s="18"/>
      <c r="AS46" s="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50" t="s">
        <v>167</v>
      </c>
      <c r="BI46" s="18"/>
      <c r="BJ46" s="18"/>
      <c r="BK46" s="18"/>
      <c r="BL46" s="17"/>
      <c r="BM46" s="13"/>
      <c r="BO46" s="26"/>
      <c r="BS46" s="26"/>
      <c r="CD46" s="27"/>
    </row>
    <row r="47" spans="1:82" s="11" customFormat="1">
      <c r="A47" s="32"/>
      <c r="B47" s="33"/>
      <c r="C47" s="18"/>
      <c r="D47" s="18"/>
      <c r="E47" s="18"/>
      <c r="F47" s="18"/>
      <c r="G47" s="18"/>
      <c r="H47" s="17"/>
      <c r="I47" s="18"/>
      <c r="J47" s="18"/>
      <c r="K47" s="18"/>
      <c r="L47" s="18"/>
      <c r="M47" s="18"/>
      <c r="N47" s="18"/>
      <c r="O47" s="18"/>
      <c r="P47" s="33"/>
      <c r="Q47" s="18"/>
      <c r="R47" s="18"/>
      <c r="S47" s="18"/>
      <c r="T47" s="18"/>
      <c r="U47" s="18"/>
      <c r="V47" s="17"/>
      <c r="W47" s="18"/>
      <c r="X47" s="18"/>
      <c r="Y47" s="18"/>
      <c r="Z47" s="18"/>
      <c r="AA47" s="18"/>
      <c r="AB47" s="18"/>
      <c r="AC47" s="18"/>
      <c r="AD47" s="33"/>
      <c r="AE47" s="18"/>
      <c r="AF47" s="18"/>
      <c r="AG47" s="18"/>
      <c r="AH47" s="18"/>
      <c r="AI47" s="18"/>
      <c r="AJ47" s="17"/>
      <c r="AK47" s="33"/>
      <c r="AL47" s="18"/>
      <c r="AM47" s="18"/>
      <c r="AN47" s="18"/>
      <c r="AO47" s="18"/>
      <c r="AP47" s="18"/>
      <c r="AQ47" s="17"/>
      <c r="AR47" s="18"/>
      <c r="AS47" s="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50" t="s">
        <v>236</v>
      </c>
      <c r="BI47" s="18"/>
      <c r="BJ47" s="18"/>
      <c r="BK47" s="18"/>
      <c r="BL47" s="17"/>
      <c r="BM47" s="13"/>
      <c r="BO47" s="26"/>
      <c r="BS47" s="26"/>
      <c r="CD47" s="27"/>
    </row>
    <row r="48" spans="1:82" s="11" customFormat="1">
      <c r="A48" s="32"/>
      <c r="B48" s="33"/>
      <c r="C48" s="18"/>
      <c r="D48" s="18"/>
      <c r="E48" s="18"/>
      <c r="F48" s="18"/>
      <c r="G48" s="18"/>
      <c r="H48" s="17"/>
      <c r="I48" s="18"/>
      <c r="J48" s="18"/>
      <c r="K48" s="18"/>
      <c r="L48" s="18"/>
      <c r="M48" s="18"/>
      <c r="N48" s="18"/>
      <c r="O48" s="18"/>
      <c r="P48" s="33"/>
      <c r="Q48" s="18"/>
      <c r="R48" s="18"/>
      <c r="S48" s="18"/>
      <c r="T48" s="18"/>
      <c r="U48" s="18"/>
      <c r="V48" s="17"/>
      <c r="W48" s="18"/>
      <c r="X48" s="18"/>
      <c r="Y48" s="18"/>
      <c r="Z48" s="18"/>
      <c r="AA48" s="18"/>
      <c r="AB48" s="18"/>
      <c r="AC48" s="18"/>
      <c r="AD48" s="33"/>
      <c r="AE48" s="18"/>
      <c r="AF48" s="18"/>
      <c r="AG48" s="18"/>
      <c r="AH48" s="18"/>
      <c r="AI48" s="18"/>
      <c r="AJ48" s="17"/>
      <c r="AK48" s="33"/>
      <c r="AL48" s="18"/>
      <c r="AM48" s="18"/>
      <c r="AN48" s="18"/>
      <c r="AO48" s="18"/>
      <c r="AP48" s="18"/>
      <c r="AQ48" s="17"/>
      <c r="AR48" s="18"/>
      <c r="AS48" s="16" t="s">
        <v>174</v>
      </c>
      <c r="AT48" s="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33"/>
      <c r="BI48" s="18"/>
      <c r="BJ48" s="18"/>
      <c r="BK48" s="18"/>
      <c r="BL48" s="17"/>
      <c r="BM48" s="13"/>
      <c r="BO48" s="26"/>
      <c r="BS48" s="26"/>
      <c r="CD48" s="27"/>
    </row>
    <row r="49" spans="1:82" s="11" customFormat="1">
      <c r="A49" s="32"/>
      <c r="B49" s="33"/>
      <c r="C49" s="18"/>
      <c r="D49" s="18"/>
      <c r="E49" s="18"/>
      <c r="F49" s="18"/>
      <c r="G49" s="18"/>
      <c r="H49" s="17"/>
      <c r="I49" s="18"/>
      <c r="J49" s="18"/>
      <c r="K49" s="18"/>
      <c r="L49" s="18"/>
      <c r="M49" s="18"/>
      <c r="N49" s="18"/>
      <c r="O49" s="18"/>
      <c r="P49" s="33"/>
      <c r="Q49" s="18"/>
      <c r="R49" s="18"/>
      <c r="S49" s="18"/>
      <c r="T49" s="18"/>
      <c r="U49" s="18"/>
      <c r="V49" s="17"/>
      <c r="W49" s="18"/>
      <c r="X49" s="18"/>
      <c r="Y49" s="18"/>
      <c r="Z49" s="18"/>
      <c r="AA49" s="18"/>
      <c r="AB49" s="18"/>
      <c r="AC49" s="18"/>
      <c r="AD49" s="33"/>
      <c r="AE49" s="18"/>
      <c r="AF49" s="18"/>
      <c r="AG49" s="18"/>
      <c r="AH49" s="18"/>
      <c r="AI49" s="18"/>
      <c r="AJ49" s="17"/>
      <c r="AK49" s="33"/>
      <c r="AL49" s="18"/>
      <c r="AM49" s="18"/>
      <c r="AN49" s="18"/>
      <c r="AO49" s="18"/>
      <c r="AP49" s="18"/>
      <c r="AQ49" s="17"/>
      <c r="AR49" s="18"/>
      <c r="AS49" s="8"/>
      <c r="AT49" s="8" t="s">
        <v>175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33"/>
      <c r="BI49" s="18"/>
      <c r="BJ49" s="18"/>
      <c r="BK49" s="18"/>
      <c r="BL49" s="17"/>
      <c r="BM49" s="13"/>
      <c r="BO49" s="26"/>
      <c r="BS49" s="26"/>
      <c r="CD49" s="27"/>
    </row>
    <row r="50" spans="1:82" s="11" customFormat="1">
      <c r="A50" s="32"/>
      <c r="B50" s="33"/>
      <c r="C50" s="18"/>
      <c r="D50" s="18"/>
      <c r="E50" s="18"/>
      <c r="F50" s="18"/>
      <c r="G50" s="18"/>
      <c r="H50" s="17"/>
      <c r="I50" s="18"/>
      <c r="J50" s="18"/>
      <c r="K50" s="18"/>
      <c r="L50" s="18"/>
      <c r="M50" s="18"/>
      <c r="N50" s="18"/>
      <c r="O50" s="18"/>
      <c r="P50" s="33"/>
      <c r="Q50" s="18"/>
      <c r="R50" s="18"/>
      <c r="S50" s="18"/>
      <c r="T50" s="18"/>
      <c r="U50" s="18"/>
      <c r="V50" s="17"/>
      <c r="W50" s="18"/>
      <c r="X50" s="18"/>
      <c r="Y50" s="18"/>
      <c r="Z50" s="18"/>
      <c r="AA50" s="18"/>
      <c r="AB50" s="18"/>
      <c r="AC50" s="18"/>
      <c r="AD50" s="33"/>
      <c r="AE50" s="18"/>
      <c r="AF50" s="18"/>
      <c r="AG50" s="18"/>
      <c r="AH50" s="18"/>
      <c r="AI50" s="18"/>
      <c r="AJ50" s="17"/>
      <c r="AK50" s="33"/>
      <c r="AL50" s="18"/>
      <c r="AM50" s="18"/>
      <c r="AN50" s="18"/>
      <c r="AO50" s="18"/>
      <c r="AP50" s="18"/>
      <c r="AQ50" s="17"/>
      <c r="AR50" s="18"/>
      <c r="AS50" s="8"/>
      <c r="AT50" s="8" t="s">
        <v>176</v>
      </c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33"/>
      <c r="BI50" s="18"/>
      <c r="BJ50" s="18"/>
      <c r="BK50" s="18"/>
      <c r="BL50" s="17"/>
      <c r="BM50" s="13"/>
      <c r="BO50" s="26"/>
      <c r="BS50" s="26"/>
      <c r="CD50" s="27"/>
    </row>
    <row r="51" spans="1:82" s="11" customFormat="1">
      <c r="A51" s="32"/>
      <c r="B51" s="33"/>
      <c r="C51" s="18"/>
      <c r="D51" s="18"/>
      <c r="E51" s="18"/>
      <c r="F51" s="18"/>
      <c r="G51" s="18"/>
      <c r="H51" s="17"/>
      <c r="I51" s="18"/>
      <c r="J51" s="18"/>
      <c r="K51" s="18"/>
      <c r="L51" s="18"/>
      <c r="M51" s="18"/>
      <c r="N51" s="18"/>
      <c r="O51" s="18"/>
      <c r="P51" s="33"/>
      <c r="Q51" s="18"/>
      <c r="R51" s="18"/>
      <c r="S51" s="18"/>
      <c r="T51" s="18"/>
      <c r="U51" s="18"/>
      <c r="V51" s="17"/>
      <c r="W51" s="18"/>
      <c r="X51" s="18"/>
      <c r="Y51" s="18"/>
      <c r="Z51" s="18"/>
      <c r="AA51" s="18"/>
      <c r="AB51" s="18"/>
      <c r="AC51" s="18"/>
      <c r="AD51" s="33"/>
      <c r="AE51" s="18"/>
      <c r="AF51" s="18"/>
      <c r="AG51" s="18"/>
      <c r="AH51" s="18"/>
      <c r="AI51" s="18"/>
      <c r="AJ51" s="17"/>
      <c r="AK51" s="33"/>
      <c r="AL51" s="18"/>
      <c r="AM51" s="18"/>
      <c r="AN51" s="18"/>
      <c r="AO51" s="18"/>
      <c r="AP51" s="18"/>
      <c r="AQ51" s="17"/>
      <c r="AR51" s="18"/>
      <c r="AS51" s="8" t="s">
        <v>162</v>
      </c>
      <c r="AT51" s="8" t="s">
        <v>177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46" t="s">
        <v>147</v>
      </c>
      <c r="BI51" s="18"/>
      <c r="BJ51" s="18"/>
      <c r="BK51" s="18"/>
      <c r="BL51" s="17"/>
      <c r="BM51" s="13"/>
      <c r="BO51" s="26"/>
      <c r="BS51" s="26"/>
      <c r="CD51" s="27"/>
    </row>
    <row r="52" spans="1:82" s="11" customFormat="1">
      <c r="A52" s="32"/>
      <c r="B52" s="33"/>
      <c r="C52" s="18"/>
      <c r="D52" s="18"/>
      <c r="E52" s="18"/>
      <c r="F52" s="18"/>
      <c r="G52" s="18"/>
      <c r="H52" s="17"/>
      <c r="I52" s="18"/>
      <c r="J52" s="18"/>
      <c r="K52" s="18"/>
      <c r="L52" s="18"/>
      <c r="M52" s="18"/>
      <c r="N52" s="18"/>
      <c r="O52" s="18"/>
      <c r="P52" s="33"/>
      <c r="Q52" s="18"/>
      <c r="R52" s="18"/>
      <c r="S52" s="18"/>
      <c r="T52" s="18"/>
      <c r="U52" s="18"/>
      <c r="V52" s="17"/>
      <c r="W52" s="18"/>
      <c r="X52" s="18"/>
      <c r="Y52" s="18"/>
      <c r="Z52" s="18"/>
      <c r="AA52" s="18"/>
      <c r="AB52" s="18"/>
      <c r="AC52" s="18"/>
      <c r="AD52" s="33"/>
      <c r="AE52" s="18"/>
      <c r="AF52" s="18"/>
      <c r="AG52" s="18"/>
      <c r="AH52" s="18"/>
      <c r="AI52" s="18"/>
      <c r="AJ52" s="17"/>
      <c r="AK52" s="33"/>
      <c r="AL52" s="18"/>
      <c r="AM52" s="18"/>
      <c r="AN52" s="18"/>
      <c r="AO52" s="18"/>
      <c r="AP52" s="18"/>
      <c r="AQ52" s="17"/>
      <c r="AR52" s="18"/>
      <c r="AS52" s="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50" t="s">
        <v>165</v>
      </c>
      <c r="BI52" s="18"/>
      <c r="BJ52" s="18"/>
      <c r="BK52" s="18"/>
      <c r="BL52" s="17"/>
      <c r="BM52" s="13"/>
      <c r="BO52" s="26"/>
      <c r="BS52" s="26"/>
      <c r="CD52" s="27"/>
    </row>
    <row r="53" spans="1:82" s="11" customFormat="1">
      <c r="A53" s="32"/>
      <c r="B53" s="33"/>
      <c r="C53" s="18"/>
      <c r="D53" s="18"/>
      <c r="E53" s="18"/>
      <c r="F53" s="18"/>
      <c r="G53" s="18"/>
      <c r="H53" s="17"/>
      <c r="I53" s="18"/>
      <c r="J53" s="18"/>
      <c r="K53" s="18"/>
      <c r="L53" s="18"/>
      <c r="M53" s="18"/>
      <c r="N53" s="18"/>
      <c r="O53" s="18"/>
      <c r="P53" s="33"/>
      <c r="Q53" s="18"/>
      <c r="R53" s="18"/>
      <c r="S53" s="18"/>
      <c r="T53" s="18"/>
      <c r="U53" s="18"/>
      <c r="V53" s="17"/>
      <c r="W53" s="18"/>
      <c r="X53" s="18"/>
      <c r="Y53" s="18"/>
      <c r="Z53" s="18"/>
      <c r="AA53" s="18"/>
      <c r="AB53" s="18"/>
      <c r="AC53" s="18"/>
      <c r="AD53" s="33"/>
      <c r="AE53" s="18"/>
      <c r="AF53" s="18"/>
      <c r="AG53" s="18"/>
      <c r="AH53" s="18"/>
      <c r="AI53" s="18"/>
      <c r="AJ53" s="17"/>
      <c r="AK53" s="33"/>
      <c r="AL53" s="18"/>
      <c r="AM53" s="18"/>
      <c r="AN53" s="18"/>
      <c r="AO53" s="18"/>
      <c r="AP53" s="18"/>
      <c r="AQ53" s="17"/>
      <c r="AR53" s="18"/>
      <c r="AS53" s="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50" t="s">
        <v>167</v>
      </c>
      <c r="BI53" s="18"/>
      <c r="BJ53" s="18"/>
      <c r="BK53" s="18"/>
      <c r="BL53" s="17"/>
      <c r="BM53" s="13"/>
      <c r="BO53" s="26"/>
      <c r="BS53" s="26"/>
      <c r="CD53" s="27"/>
    </row>
    <row r="54" spans="1:82" s="11" customFormat="1">
      <c r="A54" s="32"/>
      <c r="B54" s="33"/>
      <c r="C54" s="18"/>
      <c r="D54" s="18"/>
      <c r="E54" s="18"/>
      <c r="F54" s="18"/>
      <c r="G54" s="18"/>
      <c r="H54" s="17"/>
      <c r="I54" s="18"/>
      <c r="J54" s="18"/>
      <c r="K54" s="18"/>
      <c r="L54" s="18"/>
      <c r="M54" s="18"/>
      <c r="N54" s="18"/>
      <c r="O54" s="18"/>
      <c r="P54" s="33"/>
      <c r="Q54" s="18"/>
      <c r="R54" s="18"/>
      <c r="S54" s="18"/>
      <c r="T54" s="18"/>
      <c r="U54" s="18"/>
      <c r="V54" s="17"/>
      <c r="W54" s="18"/>
      <c r="X54" s="18"/>
      <c r="Y54" s="18"/>
      <c r="Z54" s="18"/>
      <c r="AA54" s="18"/>
      <c r="AB54" s="18"/>
      <c r="AC54" s="18"/>
      <c r="AD54" s="33"/>
      <c r="AE54" s="18"/>
      <c r="AF54" s="18"/>
      <c r="AG54" s="18"/>
      <c r="AH54" s="18"/>
      <c r="AI54" s="18"/>
      <c r="AJ54" s="17"/>
      <c r="AK54" s="33"/>
      <c r="AL54" s="18"/>
      <c r="AM54" s="18"/>
      <c r="AN54" s="18"/>
      <c r="AO54" s="18"/>
      <c r="AP54" s="18"/>
      <c r="AQ54" s="17"/>
      <c r="AR54" s="18"/>
      <c r="AS54" s="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50" t="s">
        <v>236</v>
      </c>
      <c r="BI54" s="18"/>
      <c r="BJ54" s="18"/>
      <c r="BK54" s="18"/>
      <c r="BL54" s="17"/>
      <c r="BM54" s="13"/>
      <c r="BO54" s="26"/>
      <c r="BS54" s="26"/>
      <c r="CD54" s="27"/>
    </row>
    <row r="55" spans="1:82" s="11" customFormat="1">
      <c r="A55" s="32"/>
      <c r="B55" s="33"/>
      <c r="C55" s="18"/>
      <c r="D55" s="18"/>
      <c r="E55" s="18"/>
      <c r="F55" s="18"/>
      <c r="G55" s="18"/>
      <c r="H55" s="17"/>
      <c r="I55" s="18"/>
      <c r="J55" s="18"/>
      <c r="K55" s="18"/>
      <c r="L55" s="18"/>
      <c r="M55" s="18"/>
      <c r="N55" s="18"/>
      <c r="O55" s="18"/>
      <c r="P55" s="33"/>
      <c r="Q55" s="18"/>
      <c r="R55" s="18"/>
      <c r="S55" s="18"/>
      <c r="T55" s="18"/>
      <c r="U55" s="18"/>
      <c r="V55" s="17"/>
      <c r="W55" s="18"/>
      <c r="X55" s="18"/>
      <c r="Y55" s="18"/>
      <c r="Z55" s="18"/>
      <c r="AA55" s="18"/>
      <c r="AB55" s="18"/>
      <c r="AC55" s="18"/>
      <c r="AD55" s="33"/>
      <c r="AE55" s="18"/>
      <c r="AF55" s="18"/>
      <c r="AG55" s="18"/>
      <c r="AH55" s="18"/>
      <c r="AI55" s="18"/>
      <c r="AJ55" s="17"/>
      <c r="AK55" s="33"/>
      <c r="AL55" s="18"/>
      <c r="AM55" s="18"/>
      <c r="AN55" s="18"/>
      <c r="AO55" s="18"/>
      <c r="AP55" s="18"/>
      <c r="AQ55" s="17"/>
      <c r="AR55" s="18"/>
      <c r="AS55" s="16" t="s">
        <v>237</v>
      </c>
      <c r="AT55" s="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33"/>
      <c r="BI55" s="18"/>
      <c r="BJ55" s="18"/>
      <c r="BK55" s="18"/>
      <c r="BL55" s="17"/>
      <c r="BM55" s="13"/>
      <c r="BO55" s="26"/>
      <c r="BS55" s="26"/>
      <c r="CD55" s="27"/>
    </row>
    <row r="56" spans="1:82" s="11" customFormat="1">
      <c r="A56" s="32"/>
      <c r="B56" s="33"/>
      <c r="C56" s="18"/>
      <c r="D56" s="18"/>
      <c r="E56" s="18"/>
      <c r="F56" s="18"/>
      <c r="G56" s="18"/>
      <c r="H56" s="17"/>
      <c r="I56" s="18"/>
      <c r="J56" s="18"/>
      <c r="K56" s="18"/>
      <c r="L56" s="18"/>
      <c r="M56" s="18"/>
      <c r="N56" s="18"/>
      <c r="O56" s="18"/>
      <c r="P56" s="33"/>
      <c r="Q56" s="18"/>
      <c r="R56" s="18"/>
      <c r="S56" s="18"/>
      <c r="T56" s="18"/>
      <c r="U56" s="18"/>
      <c r="V56" s="17"/>
      <c r="W56" s="18"/>
      <c r="X56" s="18"/>
      <c r="Y56" s="18"/>
      <c r="Z56" s="18"/>
      <c r="AA56" s="18"/>
      <c r="AB56" s="18"/>
      <c r="AC56" s="18"/>
      <c r="AD56" s="33"/>
      <c r="AE56" s="18"/>
      <c r="AF56" s="18"/>
      <c r="AG56" s="18"/>
      <c r="AH56" s="18"/>
      <c r="AI56" s="18"/>
      <c r="AJ56" s="17"/>
      <c r="AK56" s="33"/>
      <c r="AL56" s="18"/>
      <c r="AM56" s="18"/>
      <c r="AN56" s="18"/>
      <c r="AO56" s="18"/>
      <c r="AP56" s="18"/>
      <c r="AQ56" s="17"/>
      <c r="AR56" s="18"/>
      <c r="AS56" s="8"/>
      <c r="AT56" s="8" t="s">
        <v>238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33"/>
      <c r="BI56" s="18"/>
      <c r="BJ56" s="18"/>
      <c r="BK56" s="18"/>
      <c r="BL56" s="17"/>
      <c r="BM56" s="13"/>
      <c r="BO56" s="26"/>
      <c r="BS56" s="26"/>
      <c r="CD56" s="27"/>
    </row>
    <row r="57" spans="1:82" s="11" customFormat="1">
      <c r="A57" s="32"/>
      <c r="B57" s="33"/>
      <c r="C57" s="18"/>
      <c r="D57" s="18"/>
      <c r="E57" s="18"/>
      <c r="F57" s="18"/>
      <c r="G57" s="18"/>
      <c r="H57" s="17"/>
      <c r="I57" s="18"/>
      <c r="J57" s="18"/>
      <c r="K57" s="18"/>
      <c r="L57" s="18"/>
      <c r="M57" s="18"/>
      <c r="N57" s="18"/>
      <c r="O57" s="18"/>
      <c r="P57" s="33"/>
      <c r="Q57" s="18"/>
      <c r="R57" s="18"/>
      <c r="S57" s="18"/>
      <c r="T57" s="18"/>
      <c r="U57" s="18"/>
      <c r="V57" s="17"/>
      <c r="W57" s="18"/>
      <c r="X57" s="18"/>
      <c r="Y57" s="18"/>
      <c r="Z57" s="18"/>
      <c r="AA57" s="18"/>
      <c r="AB57" s="18"/>
      <c r="AC57" s="18"/>
      <c r="AD57" s="33"/>
      <c r="AE57" s="18"/>
      <c r="AF57" s="18"/>
      <c r="AG57" s="18"/>
      <c r="AH57" s="18"/>
      <c r="AI57" s="18"/>
      <c r="AJ57" s="17"/>
      <c r="AK57" s="33"/>
      <c r="AL57" s="18"/>
      <c r="AM57" s="18"/>
      <c r="AN57" s="18"/>
      <c r="AO57" s="18"/>
      <c r="AP57" s="18"/>
      <c r="AQ57" s="17"/>
      <c r="AR57" s="18"/>
      <c r="AS57" s="8"/>
      <c r="AT57" s="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33"/>
      <c r="BI57" s="18"/>
      <c r="BJ57" s="18"/>
      <c r="BK57" s="18"/>
      <c r="BL57" s="17"/>
      <c r="BM57" s="13"/>
      <c r="BO57" s="26"/>
      <c r="BS57" s="26"/>
      <c r="CD57" s="27"/>
    </row>
    <row r="58" spans="1:82" s="11" customFormat="1">
      <c r="A58" s="32"/>
      <c r="B58" s="33"/>
      <c r="C58" s="18"/>
      <c r="D58" s="18"/>
      <c r="E58" s="18"/>
      <c r="F58" s="18"/>
      <c r="G58" s="18"/>
      <c r="H58" s="17"/>
      <c r="I58" s="18"/>
      <c r="J58" s="18"/>
      <c r="K58" s="18"/>
      <c r="L58" s="18"/>
      <c r="M58" s="18"/>
      <c r="N58" s="18"/>
      <c r="O58" s="18"/>
      <c r="P58" s="33"/>
      <c r="Q58" s="18"/>
      <c r="R58" s="18"/>
      <c r="S58" s="18"/>
      <c r="T58" s="18"/>
      <c r="U58" s="18"/>
      <c r="V58" s="17"/>
      <c r="W58" s="18"/>
      <c r="X58" s="18"/>
      <c r="Y58" s="18"/>
      <c r="Z58" s="18"/>
      <c r="AA58" s="18"/>
      <c r="AB58" s="18"/>
      <c r="AC58" s="18"/>
      <c r="AD58" s="33"/>
      <c r="AE58" s="18"/>
      <c r="AF58" s="18"/>
      <c r="AG58" s="18"/>
      <c r="AH58" s="18"/>
      <c r="AI58" s="18"/>
      <c r="AJ58" s="17"/>
      <c r="AK58" s="33"/>
      <c r="AL58" s="18"/>
      <c r="AM58" s="18"/>
      <c r="AN58" s="18"/>
      <c r="AO58" s="18"/>
      <c r="AP58" s="18"/>
      <c r="AQ58" s="17"/>
      <c r="AR58" s="18"/>
      <c r="AS58" s="8"/>
      <c r="AT58" s="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33"/>
      <c r="BI58" s="18"/>
      <c r="BJ58" s="18"/>
      <c r="BK58" s="18"/>
      <c r="BL58" s="17"/>
      <c r="BM58" s="13"/>
      <c r="BO58" s="26"/>
      <c r="BS58" s="26"/>
      <c r="CD58" s="27"/>
    </row>
    <row r="59" spans="1:82" s="11" customFormat="1">
      <c r="A59" s="32"/>
      <c r="B59" s="33"/>
      <c r="C59" s="18"/>
      <c r="D59" s="18"/>
      <c r="E59" s="18"/>
      <c r="F59" s="18"/>
      <c r="G59" s="18"/>
      <c r="H59" s="17"/>
      <c r="I59" s="18"/>
      <c r="J59" s="18"/>
      <c r="K59" s="18"/>
      <c r="L59" s="18"/>
      <c r="M59" s="18"/>
      <c r="N59" s="18"/>
      <c r="O59" s="18"/>
      <c r="P59" s="33"/>
      <c r="Q59" s="18"/>
      <c r="R59" s="18"/>
      <c r="S59" s="18"/>
      <c r="T59" s="18"/>
      <c r="U59" s="18"/>
      <c r="V59" s="17"/>
      <c r="W59" s="18"/>
      <c r="X59" s="18"/>
      <c r="Y59" s="18"/>
      <c r="Z59" s="18"/>
      <c r="AA59" s="18"/>
      <c r="AB59" s="18"/>
      <c r="AC59" s="18"/>
      <c r="AD59" s="33"/>
      <c r="AE59" s="18"/>
      <c r="AF59" s="18"/>
      <c r="AG59" s="18"/>
      <c r="AH59" s="18"/>
      <c r="AI59" s="18"/>
      <c r="AJ59" s="17"/>
      <c r="AK59" s="33"/>
      <c r="AL59" s="18"/>
      <c r="AM59" s="18"/>
      <c r="AN59" s="18"/>
      <c r="AO59" s="18"/>
      <c r="AP59" s="18"/>
      <c r="AQ59" s="17"/>
      <c r="AR59" s="18"/>
      <c r="AS59" s="8"/>
      <c r="AT59" s="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33"/>
      <c r="BI59" s="18"/>
      <c r="BJ59" s="18"/>
      <c r="BK59" s="18"/>
      <c r="BL59" s="17"/>
      <c r="BM59" s="13"/>
      <c r="BO59" s="26"/>
      <c r="BS59" s="26"/>
      <c r="CD59" s="27"/>
    </row>
    <row r="60" spans="1:82" s="11" customFormat="1">
      <c r="A60" s="32"/>
      <c r="B60" s="33"/>
      <c r="C60" s="18"/>
      <c r="D60" s="18"/>
      <c r="E60" s="18"/>
      <c r="F60" s="18"/>
      <c r="G60" s="18"/>
      <c r="H60" s="17"/>
      <c r="I60" s="18"/>
      <c r="J60" s="18"/>
      <c r="K60" s="18"/>
      <c r="L60" s="18"/>
      <c r="M60" s="18"/>
      <c r="N60" s="18"/>
      <c r="O60" s="18"/>
      <c r="P60" s="33"/>
      <c r="Q60" s="18"/>
      <c r="R60" s="18"/>
      <c r="S60" s="18"/>
      <c r="T60" s="18"/>
      <c r="U60" s="18"/>
      <c r="V60" s="17"/>
      <c r="W60" s="18"/>
      <c r="X60" s="18"/>
      <c r="Y60" s="18"/>
      <c r="Z60" s="18"/>
      <c r="AA60" s="18"/>
      <c r="AB60" s="18"/>
      <c r="AC60" s="18"/>
      <c r="AD60" s="33"/>
      <c r="AE60" s="18"/>
      <c r="AF60" s="18"/>
      <c r="AG60" s="18"/>
      <c r="AH60" s="18"/>
      <c r="AI60" s="18"/>
      <c r="AJ60" s="17"/>
      <c r="AK60" s="33"/>
      <c r="AL60" s="18"/>
      <c r="AM60" s="18"/>
      <c r="AN60" s="18"/>
      <c r="AO60" s="18"/>
      <c r="AP60" s="18"/>
      <c r="AQ60" s="17"/>
      <c r="AR60" s="18"/>
      <c r="AS60" s="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33"/>
      <c r="BI60" s="18"/>
      <c r="BJ60" s="18"/>
      <c r="BK60" s="18"/>
      <c r="BL60" s="17"/>
      <c r="BM60" s="13"/>
      <c r="BO60" s="26"/>
      <c r="BS60" s="26"/>
      <c r="CD60" s="27"/>
    </row>
    <row r="61" spans="1:82" s="11" customFormat="1">
      <c r="A61" s="32"/>
      <c r="B61" s="33"/>
      <c r="C61" s="18"/>
      <c r="D61" s="18"/>
      <c r="E61" s="18"/>
      <c r="F61" s="18"/>
      <c r="G61" s="18"/>
      <c r="H61" s="17"/>
      <c r="I61" s="18"/>
      <c r="J61" s="18"/>
      <c r="K61" s="18"/>
      <c r="L61" s="18"/>
      <c r="M61" s="18"/>
      <c r="N61" s="18"/>
      <c r="O61" s="18"/>
      <c r="P61" s="33"/>
      <c r="Q61" s="18"/>
      <c r="R61" s="18"/>
      <c r="S61" s="18"/>
      <c r="T61" s="18"/>
      <c r="U61" s="18"/>
      <c r="V61" s="17"/>
      <c r="W61" s="18"/>
      <c r="X61" s="18"/>
      <c r="Y61" s="18"/>
      <c r="Z61" s="18"/>
      <c r="AA61" s="18"/>
      <c r="AB61" s="18"/>
      <c r="AC61" s="18"/>
      <c r="AD61" s="33"/>
      <c r="AE61" s="18"/>
      <c r="AF61" s="18"/>
      <c r="AG61" s="18"/>
      <c r="AH61" s="18"/>
      <c r="AI61" s="18"/>
      <c r="AJ61" s="17"/>
      <c r="AK61" s="33"/>
      <c r="AL61" s="18"/>
      <c r="AM61" s="18"/>
      <c r="AN61" s="18"/>
      <c r="AO61" s="18"/>
      <c r="AP61" s="18"/>
      <c r="AQ61" s="17"/>
      <c r="AR61" s="18"/>
      <c r="AS61" s="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33"/>
      <c r="BI61" s="18"/>
      <c r="BJ61" s="18"/>
      <c r="BK61" s="18"/>
      <c r="BL61" s="17"/>
      <c r="BM61" s="13"/>
      <c r="BO61" s="26"/>
      <c r="BS61" s="26"/>
      <c r="CD61" s="27"/>
    </row>
    <row r="62" spans="1:82" s="11" customFormat="1">
      <c r="A62" s="32"/>
      <c r="B62" s="33"/>
      <c r="C62" s="18"/>
      <c r="D62" s="18"/>
      <c r="E62" s="18"/>
      <c r="F62" s="18"/>
      <c r="G62" s="18"/>
      <c r="H62" s="17"/>
      <c r="I62" s="18"/>
      <c r="J62" s="18"/>
      <c r="K62" s="18"/>
      <c r="L62" s="18"/>
      <c r="M62" s="18"/>
      <c r="N62" s="18"/>
      <c r="O62" s="18"/>
      <c r="P62" s="33"/>
      <c r="Q62" s="18"/>
      <c r="R62" s="18"/>
      <c r="S62" s="18"/>
      <c r="T62" s="18"/>
      <c r="U62" s="18"/>
      <c r="V62" s="17"/>
      <c r="W62" s="18"/>
      <c r="X62" s="18"/>
      <c r="Y62" s="18"/>
      <c r="Z62" s="18"/>
      <c r="AA62" s="18"/>
      <c r="AB62" s="18"/>
      <c r="AC62" s="18"/>
      <c r="AD62" s="33"/>
      <c r="AE62" s="18"/>
      <c r="AF62" s="18"/>
      <c r="AG62" s="18"/>
      <c r="AH62" s="18"/>
      <c r="AI62" s="18"/>
      <c r="AJ62" s="17"/>
      <c r="AK62" s="33"/>
      <c r="AL62" s="18"/>
      <c r="AM62" s="18"/>
      <c r="AN62" s="18"/>
      <c r="AO62" s="18"/>
      <c r="AP62" s="18"/>
      <c r="AQ62" s="17"/>
      <c r="AR62" s="18"/>
      <c r="AS62" s="16" t="s">
        <v>239</v>
      </c>
      <c r="AT62" s="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33"/>
      <c r="BI62" s="18"/>
      <c r="BJ62" s="18"/>
      <c r="BK62" s="18"/>
      <c r="BL62" s="17"/>
      <c r="BM62" s="13"/>
      <c r="BO62" s="26"/>
      <c r="BS62" s="26"/>
      <c r="CD62" s="27"/>
    </row>
    <row r="63" spans="1:82" s="11" customFormat="1">
      <c r="A63" s="32"/>
      <c r="B63" s="33"/>
      <c r="C63" s="18"/>
      <c r="D63" s="18"/>
      <c r="E63" s="18"/>
      <c r="F63" s="18"/>
      <c r="G63" s="18"/>
      <c r="H63" s="17"/>
      <c r="I63" s="18"/>
      <c r="J63" s="18"/>
      <c r="K63" s="18"/>
      <c r="L63" s="18"/>
      <c r="M63" s="18"/>
      <c r="N63" s="18"/>
      <c r="O63" s="18"/>
      <c r="P63" s="33"/>
      <c r="Q63" s="18"/>
      <c r="R63" s="18"/>
      <c r="S63" s="18"/>
      <c r="T63" s="18"/>
      <c r="U63" s="18"/>
      <c r="V63" s="17"/>
      <c r="W63" s="18"/>
      <c r="X63" s="18"/>
      <c r="Y63" s="18"/>
      <c r="Z63" s="18"/>
      <c r="AA63" s="18"/>
      <c r="AB63" s="18"/>
      <c r="AC63" s="18"/>
      <c r="AD63" s="33"/>
      <c r="AE63" s="18"/>
      <c r="AF63" s="18"/>
      <c r="AG63" s="18"/>
      <c r="AH63" s="18"/>
      <c r="AI63" s="18"/>
      <c r="AJ63" s="17"/>
      <c r="AK63" s="33"/>
      <c r="AL63" s="18"/>
      <c r="AM63" s="18"/>
      <c r="AN63" s="18"/>
      <c r="AO63" s="18"/>
      <c r="AP63" s="18"/>
      <c r="AQ63" s="17"/>
      <c r="AR63" s="18"/>
      <c r="AS63" s="8"/>
      <c r="AT63" s="8" t="s">
        <v>179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33"/>
      <c r="BI63" s="18"/>
      <c r="BJ63" s="18"/>
      <c r="BK63" s="18"/>
      <c r="BL63" s="17"/>
      <c r="BM63" s="13"/>
      <c r="BO63" s="26"/>
      <c r="BS63" s="26"/>
      <c r="CD63" s="27"/>
    </row>
    <row r="64" spans="1:82" s="11" customFormat="1">
      <c r="A64" s="32"/>
      <c r="B64" s="33"/>
      <c r="C64" s="18"/>
      <c r="D64" s="18"/>
      <c r="E64" s="18"/>
      <c r="F64" s="18"/>
      <c r="G64" s="18"/>
      <c r="H64" s="17"/>
      <c r="I64" s="18"/>
      <c r="J64" s="18"/>
      <c r="K64" s="18"/>
      <c r="L64" s="18"/>
      <c r="M64" s="18"/>
      <c r="N64" s="18"/>
      <c r="O64" s="18"/>
      <c r="P64" s="33"/>
      <c r="Q64" s="18"/>
      <c r="R64" s="18"/>
      <c r="S64" s="18"/>
      <c r="T64" s="18"/>
      <c r="U64" s="18"/>
      <c r="V64" s="17"/>
      <c r="W64" s="18"/>
      <c r="X64" s="18"/>
      <c r="Y64" s="18"/>
      <c r="Z64" s="18"/>
      <c r="AA64" s="18"/>
      <c r="AB64" s="18"/>
      <c r="AC64" s="18"/>
      <c r="AD64" s="33"/>
      <c r="AE64" s="18"/>
      <c r="AF64" s="18"/>
      <c r="AG64" s="18"/>
      <c r="AH64" s="18"/>
      <c r="AI64" s="18"/>
      <c r="AJ64" s="17"/>
      <c r="AK64" s="33"/>
      <c r="AL64" s="18"/>
      <c r="AM64" s="18"/>
      <c r="AN64" s="18"/>
      <c r="AO64" s="18"/>
      <c r="AP64" s="18"/>
      <c r="AQ64" s="17"/>
      <c r="AR64" s="18"/>
      <c r="AS64" s="8"/>
      <c r="AT64" s="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33"/>
      <c r="BI64" s="18"/>
      <c r="BJ64" s="18"/>
      <c r="BK64" s="18"/>
      <c r="BL64" s="17"/>
      <c r="BM64" s="13"/>
      <c r="BO64" s="26"/>
      <c r="BS64" s="26"/>
      <c r="CD64" s="27"/>
    </row>
    <row r="65" spans="1:82" s="11" customFormat="1">
      <c r="A65" s="32"/>
      <c r="B65" s="33"/>
      <c r="C65" s="18"/>
      <c r="D65" s="18"/>
      <c r="E65" s="18"/>
      <c r="F65" s="18"/>
      <c r="G65" s="18"/>
      <c r="H65" s="17"/>
      <c r="I65" s="18"/>
      <c r="J65" s="18"/>
      <c r="K65" s="18"/>
      <c r="L65" s="18"/>
      <c r="M65" s="18"/>
      <c r="N65" s="18"/>
      <c r="O65" s="18"/>
      <c r="P65" s="33"/>
      <c r="Q65" s="18"/>
      <c r="R65" s="18"/>
      <c r="S65" s="18"/>
      <c r="T65" s="18"/>
      <c r="U65" s="18"/>
      <c r="V65" s="17"/>
      <c r="W65" s="18"/>
      <c r="X65" s="18"/>
      <c r="Y65" s="18"/>
      <c r="Z65" s="18"/>
      <c r="AA65" s="18"/>
      <c r="AB65" s="18"/>
      <c r="AC65" s="18"/>
      <c r="AD65" s="33"/>
      <c r="AE65" s="18"/>
      <c r="AF65" s="18"/>
      <c r="AG65" s="18"/>
      <c r="AH65" s="18"/>
      <c r="AI65" s="18"/>
      <c r="AJ65" s="17"/>
      <c r="AK65" s="33"/>
      <c r="AL65" s="18"/>
      <c r="AM65" s="18"/>
      <c r="AN65" s="18"/>
      <c r="AO65" s="18"/>
      <c r="AP65" s="18"/>
      <c r="AQ65" s="17"/>
      <c r="AR65" s="18"/>
      <c r="AS65" s="8" t="s">
        <v>162</v>
      </c>
      <c r="AT65" s="8" t="s">
        <v>180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46" t="s">
        <v>147</v>
      </c>
      <c r="BI65" s="18"/>
      <c r="BJ65" s="18"/>
      <c r="BK65" s="18"/>
      <c r="BL65" s="17"/>
      <c r="BM65" s="13"/>
      <c r="BO65" s="26"/>
      <c r="BS65" s="26"/>
      <c r="CD65" s="27"/>
    </row>
    <row r="66" spans="1:82" s="11" customFormat="1">
      <c r="A66" s="32"/>
      <c r="B66" s="33"/>
      <c r="C66" s="18"/>
      <c r="D66" s="18"/>
      <c r="E66" s="18"/>
      <c r="F66" s="18"/>
      <c r="G66" s="18"/>
      <c r="H66" s="17"/>
      <c r="I66" s="18"/>
      <c r="J66" s="18"/>
      <c r="K66" s="18"/>
      <c r="L66" s="18"/>
      <c r="M66" s="18"/>
      <c r="N66" s="18"/>
      <c r="O66" s="18"/>
      <c r="P66" s="33"/>
      <c r="Q66" s="18"/>
      <c r="R66" s="18"/>
      <c r="S66" s="18"/>
      <c r="T66" s="18"/>
      <c r="U66" s="18"/>
      <c r="V66" s="17"/>
      <c r="W66" s="18"/>
      <c r="X66" s="18"/>
      <c r="Y66" s="18"/>
      <c r="Z66" s="18"/>
      <c r="AA66" s="18"/>
      <c r="AB66" s="18"/>
      <c r="AC66" s="18"/>
      <c r="AD66" s="33"/>
      <c r="AE66" s="18"/>
      <c r="AF66" s="18"/>
      <c r="AG66" s="18"/>
      <c r="AH66" s="18"/>
      <c r="AI66" s="18"/>
      <c r="AJ66" s="17"/>
      <c r="AK66" s="33"/>
      <c r="AL66" s="18"/>
      <c r="AM66" s="18"/>
      <c r="AN66" s="18"/>
      <c r="AO66" s="18"/>
      <c r="AP66" s="18"/>
      <c r="AQ66" s="17"/>
      <c r="AR66" s="18"/>
      <c r="AS66" s="8" t="s">
        <v>162</v>
      </c>
      <c r="AT66" s="8" t="s">
        <v>181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50" t="s">
        <v>165</v>
      </c>
      <c r="BI66" s="18"/>
      <c r="BJ66" s="18"/>
      <c r="BK66" s="18"/>
      <c r="BL66" s="17"/>
      <c r="BM66" s="13"/>
      <c r="BO66" s="26"/>
      <c r="BS66" s="26"/>
      <c r="CD66" s="27"/>
    </row>
    <row r="67" spans="1:82" s="11" customFormat="1">
      <c r="A67" s="32"/>
      <c r="B67" s="33"/>
      <c r="C67" s="18"/>
      <c r="D67" s="18"/>
      <c r="E67" s="18"/>
      <c r="F67" s="18"/>
      <c r="G67" s="18"/>
      <c r="H67" s="17"/>
      <c r="I67" s="18"/>
      <c r="J67" s="18"/>
      <c r="K67" s="18"/>
      <c r="L67" s="18"/>
      <c r="M67" s="18"/>
      <c r="N67" s="18"/>
      <c r="O67" s="18"/>
      <c r="P67" s="33"/>
      <c r="Q67" s="18"/>
      <c r="R67" s="18"/>
      <c r="S67" s="18"/>
      <c r="T67" s="18"/>
      <c r="U67" s="18"/>
      <c r="V67" s="17"/>
      <c r="W67" s="18"/>
      <c r="X67" s="18"/>
      <c r="Y67" s="18"/>
      <c r="Z67" s="18"/>
      <c r="AA67" s="18"/>
      <c r="AB67" s="18"/>
      <c r="AC67" s="18"/>
      <c r="AD67" s="33"/>
      <c r="AE67" s="18"/>
      <c r="AF67" s="18"/>
      <c r="AG67" s="18"/>
      <c r="AH67" s="18"/>
      <c r="AI67" s="18"/>
      <c r="AJ67" s="17"/>
      <c r="AK67" s="33"/>
      <c r="AL67" s="18"/>
      <c r="AM67" s="18"/>
      <c r="AN67" s="18"/>
      <c r="AO67" s="18"/>
      <c r="AP67" s="18"/>
      <c r="AQ67" s="17"/>
      <c r="AR67" s="18"/>
      <c r="AS67" s="8"/>
      <c r="AT67" s="8" t="s">
        <v>182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50" t="s">
        <v>167</v>
      </c>
      <c r="BI67" s="18"/>
      <c r="BJ67" s="18"/>
      <c r="BK67" s="18"/>
      <c r="BL67" s="17"/>
      <c r="BM67" s="13"/>
      <c r="BO67" s="26"/>
      <c r="BS67" s="26"/>
      <c r="CD67" s="27"/>
    </row>
    <row r="68" spans="1:82" s="11" customFormat="1">
      <c r="A68" s="32"/>
      <c r="B68" s="33"/>
      <c r="C68" s="18"/>
      <c r="D68" s="18"/>
      <c r="E68" s="18"/>
      <c r="F68" s="18"/>
      <c r="G68" s="18"/>
      <c r="H68" s="17"/>
      <c r="I68" s="18"/>
      <c r="J68" s="18"/>
      <c r="K68" s="18"/>
      <c r="L68" s="18"/>
      <c r="M68" s="18"/>
      <c r="N68" s="18"/>
      <c r="O68" s="18"/>
      <c r="P68" s="33"/>
      <c r="Q68" s="18"/>
      <c r="R68" s="18"/>
      <c r="S68" s="18"/>
      <c r="T68" s="18"/>
      <c r="U68" s="18"/>
      <c r="V68" s="17"/>
      <c r="W68" s="18"/>
      <c r="X68" s="18"/>
      <c r="Y68" s="18"/>
      <c r="Z68" s="18"/>
      <c r="AA68" s="18"/>
      <c r="AB68" s="18"/>
      <c r="AC68" s="18"/>
      <c r="AD68" s="33"/>
      <c r="AE68" s="18"/>
      <c r="AF68" s="18"/>
      <c r="AG68" s="18"/>
      <c r="AH68" s="18"/>
      <c r="AI68" s="18"/>
      <c r="AJ68" s="17"/>
      <c r="AK68" s="33"/>
      <c r="AL68" s="18"/>
      <c r="AM68" s="18"/>
      <c r="AN68" s="18"/>
      <c r="AO68" s="18"/>
      <c r="AP68" s="18"/>
      <c r="AQ68" s="17"/>
      <c r="AR68" s="18"/>
      <c r="AS68" s="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50" t="s">
        <v>168</v>
      </c>
      <c r="BI68" s="18"/>
      <c r="BJ68" s="18"/>
      <c r="BK68" s="18"/>
      <c r="BL68" s="17"/>
      <c r="BM68" s="13"/>
      <c r="BO68" s="26"/>
      <c r="BS68" s="26"/>
      <c r="CD68" s="27"/>
    </row>
    <row r="69" spans="1:82" s="11" customFormat="1">
      <c r="A69" s="32"/>
      <c r="B69" s="33"/>
      <c r="C69" s="18"/>
      <c r="D69" s="18"/>
      <c r="E69" s="18"/>
      <c r="F69" s="18"/>
      <c r="G69" s="18"/>
      <c r="H69" s="17"/>
      <c r="I69" s="18"/>
      <c r="J69" s="18"/>
      <c r="K69" s="18"/>
      <c r="L69" s="18"/>
      <c r="M69" s="18"/>
      <c r="N69" s="18"/>
      <c r="O69" s="18"/>
      <c r="P69" s="33"/>
      <c r="Q69" s="18"/>
      <c r="R69" s="18"/>
      <c r="S69" s="18"/>
      <c r="T69" s="18"/>
      <c r="U69" s="18"/>
      <c r="V69" s="17"/>
      <c r="W69" s="18"/>
      <c r="X69" s="18"/>
      <c r="Y69" s="18"/>
      <c r="Z69" s="18"/>
      <c r="AA69" s="18"/>
      <c r="AB69" s="18"/>
      <c r="AC69" s="18"/>
      <c r="AD69" s="33"/>
      <c r="AE69" s="18"/>
      <c r="AF69" s="18"/>
      <c r="AG69" s="18"/>
      <c r="AH69" s="18"/>
      <c r="AI69" s="18"/>
      <c r="AJ69" s="17"/>
      <c r="AK69" s="33"/>
      <c r="AL69" s="18"/>
      <c r="AM69" s="18"/>
      <c r="AN69" s="18"/>
      <c r="AO69" s="18"/>
      <c r="AP69" s="18"/>
      <c r="AQ69" s="17"/>
      <c r="AR69" s="18"/>
      <c r="AS69" s="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33"/>
      <c r="BI69" s="18"/>
      <c r="BJ69" s="18"/>
      <c r="BK69" s="18"/>
      <c r="BL69" s="17"/>
      <c r="BM69" s="13"/>
      <c r="BO69" s="26"/>
      <c r="BS69" s="26"/>
      <c r="CD69" s="27"/>
    </row>
    <row r="70" spans="1:82" s="11" customFormat="1">
      <c r="A70" s="32"/>
      <c r="B70" s="33"/>
      <c r="C70" s="18"/>
      <c r="D70" s="18"/>
      <c r="E70" s="18"/>
      <c r="F70" s="18"/>
      <c r="G70" s="18"/>
      <c r="H70" s="17"/>
      <c r="I70" s="18"/>
      <c r="J70" s="18"/>
      <c r="K70" s="18"/>
      <c r="L70" s="18"/>
      <c r="M70" s="18"/>
      <c r="N70" s="18"/>
      <c r="O70" s="18"/>
      <c r="P70" s="33"/>
      <c r="Q70" s="18"/>
      <c r="R70" s="18"/>
      <c r="S70" s="18"/>
      <c r="T70" s="18"/>
      <c r="U70" s="18"/>
      <c r="V70" s="17"/>
      <c r="W70" s="18"/>
      <c r="X70" s="18"/>
      <c r="Y70" s="18"/>
      <c r="Z70" s="18"/>
      <c r="AA70" s="18"/>
      <c r="AB70" s="18"/>
      <c r="AC70" s="18"/>
      <c r="AD70" s="33"/>
      <c r="AE70" s="18"/>
      <c r="AF70" s="18"/>
      <c r="AG70" s="18"/>
      <c r="AH70" s="18"/>
      <c r="AI70" s="18"/>
      <c r="AJ70" s="17"/>
      <c r="AK70" s="33"/>
      <c r="AL70" s="18"/>
      <c r="AM70" s="18"/>
      <c r="AN70" s="18"/>
      <c r="AO70" s="18"/>
      <c r="AP70" s="18"/>
      <c r="AQ70" s="17"/>
      <c r="AR70" s="18"/>
      <c r="AS70" s="16" t="s">
        <v>240</v>
      </c>
      <c r="AT70" s="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33"/>
      <c r="BI70" s="18"/>
      <c r="BJ70" s="18"/>
      <c r="BK70" s="18"/>
      <c r="BL70" s="17"/>
      <c r="BM70" s="13"/>
      <c r="BO70" s="26"/>
      <c r="BS70" s="26"/>
      <c r="CD70" s="27"/>
    </row>
    <row r="71" spans="1:82" s="11" customFormat="1">
      <c r="A71" s="32"/>
      <c r="B71" s="33"/>
      <c r="C71" s="18"/>
      <c r="D71" s="18"/>
      <c r="E71" s="18"/>
      <c r="F71" s="18"/>
      <c r="G71" s="18"/>
      <c r="H71" s="17"/>
      <c r="I71" s="18"/>
      <c r="J71" s="18"/>
      <c r="K71" s="18"/>
      <c r="L71" s="18"/>
      <c r="M71" s="18"/>
      <c r="N71" s="18"/>
      <c r="O71" s="18"/>
      <c r="P71" s="33"/>
      <c r="Q71" s="18"/>
      <c r="R71" s="18"/>
      <c r="S71" s="18"/>
      <c r="T71" s="18"/>
      <c r="U71" s="18"/>
      <c r="V71" s="17"/>
      <c r="W71" s="18"/>
      <c r="X71" s="18"/>
      <c r="Y71" s="18"/>
      <c r="Z71" s="18"/>
      <c r="AA71" s="18"/>
      <c r="AB71" s="18"/>
      <c r="AC71" s="18"/>
      <c r="AD71" s="33"/>
      <c r="AE71" s="18"/>
      <c r="AF71" s="18"/>
      <c r="AG71" s="18"/>
      <c r="AH71" s="18"/>
      <c r="AI71" s="18"/>
      <c r="AJ71" s="17"/>
      <c r="AK71" s="33"/>
      <c r="AL71" s="18"/>
      <c r="AM71" s="18"/>
      <c r="AN71" s="18"/>
      <c r="AO71" s="18"/>
      <c r="AP71" s="18"/>
      <c r="AQ71" s="17"/>
      <c r="AR71" s="18"/>
      <c r="AS71" s="8"/>
      <c r="AT71" s="8" t="s">
        <v>184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33"/>
      <c r="BI71" s="18"/>
      <c r="BJ71" s="18"/>
      <c r="BK71" s="18"/>
      <c r="BL71" s="17"/>
      <c r="BM71" s="13"/>
      <c r="BO71" s="26"/>
      <c r="BS71" s="26"/>
      <c r="CD71" s="27"/>
    </row>
    <row r="72" spans="1:82" s="11" customFormat="1">
      <c r="A72" s="32"/>
      <c r="B72" s="33"/>
      <c r="C72" s="18"/>
      <c r="D72" s="18"/>
      <c r="E72" s="18"/>
      <c r="F72" s="18"/>
      <c r="G72" s="18"/>
      <c r="H72" s="17"/>
      <c r="I72" s="18"/>
      <c r="J72" s="18"/>
      <c r="K72" s="18"/>
      <c r="L72" s="18"/>
      <c r="M72" s="18"/>
      <c r="N72" s="18"/>
      <c r="O72" s="18"/>
      <c r="P72" s="33"/>
      <c r="Q72" s="18"/>
      <c r="R72" s="18"/>
      <c r="S72" s="18"/>
      <c r="T72" s="18"/>
      <c r="U72" s="18"/>
      <c r="V72" s="17"/>
      <c r="W72" s="18"/>
      <c r="X72" s="18"/>
      <c r="Y72" s="18"/>
      <c r="Z72" s="18"/>
      <c r="AA72" s="18"/>
      <c r="AB72" s="18"/>
      <c r="AC72" s="18"/>
      <c r="AD72" s="33"/>
      <c r="AE72" s="18"/>
      <c r="AF72" s="18"/>
      <c r="AG72" s="18"/>
      <c r="AH72" s="18"/>
      <c r="AI72" s="18"/>
      <c r="AJ72" s="17"/>
      <c r="AK72" s="33"/>
      <c r="AL72" s="18"/>
      <c r="AM72" s="18"/>
      <c r="AN72" s="18"/>
      <c r="AO72" s="18"/>
      <c r="AP72" s="18"/>
      <c r="AQ72" s="17"/>
      <c r="AR72" s="18"/>
      <c r="AS72" s="8"/>
      <c r="AT72" s="8" t="s">
        <v>185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33"/>
      <c r="BI72" s="18"/>
      <c r="BJ72" s="18"/>
      <c r="BK72" s="18"/>
      <c r="BL72" s="17"/>
      <c r="BM72" s="13"/>
      <c r="BO72" s="26"/>
      <c r="BS72" s="26"/>
      <c r="CD72" s="27"/>
    </row>
    <row r="73" spans="1:82" s="11" customFormat="1">
      <c r="A73" s="32"/>
      <c r="B73" s="33"/>
      <c r="C73" s="18"/>
      <c r="D73" s="18"/>
      <c r="E73" s="18"/>
      <c r="F73" s="18"/>
      <c r="G73" s="18"/>
      <c r="H73" s="17"/>
      <c r="I73" s="18"/>
      <c r="J73" s="18"/>
      <c r="K73" s="18"/>
      <c r="L73" s="18"/>
      <c r="M73" s="18"/>
      <c r="N73" s="18"/>
      <c r="O73" s="18"/>
      <c r="P73" s="33"/>
      <c r="Q73" s="18"/>
      <c r="R73" s="18"/>
      <c r="S73" s="18"/>
      <c r="T73" s="18"/>
      <c r="U73" s="18"/>
      <c r="V73" s="17"/>
      <c r="W73" s="18"/>
      <c r="X73" s="18"/>
      <c r="Y73" s="18"/>
      <c r="Z73" s="18"/>
      <c r="AA73" s="18"/>
      <c r="AB73" s="18"/>
      <c r="AC73" s="18"/>
      <c r="AD73" s="33"/>
      <c r="AE73" s="18"/>
      <c r="AF73" s="18"/>
      <c r="AG73" s="18"/>
      <c r="AH73" s="18"/>
      <c r="AI73" s="18"/>
      <c r="AJ73" s="17"/>
      <c r="AK73" s="33"/>
      <c r="AL73" s="18"/>
      <c r="AM73" s="18"/>
      <c r="AN73" s="18"/>
      <c r="AO73" s="18"/>
      <c r="AP73" s="18"/>
      <c r="AQ73" s="17"/>
      <c r="AR73" s="18"/>
      <c r="AS73" s="8" t="s">
        <v>162</v>
      </c>
      <c r="AT73" s="8" t="s">
        <v>186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46" t="s">
        <v>147</v>
      </c>
      <c r="BI73" s="18"/>
      <c r="BJ73" s="18"/>
      <c r="BK73" s="18"/>
      <c r="BL73" s="17"/>
      <c r="BM73" s="13"/>
      <c r="BO73" s="26"/>
      <c r="BS73" s="26"/>
      <c r="CD73" s="27"/>
    </row>
    <row r="74" spans="1:82" s="11" customFormat="1">
      <c r="A74" s="32"/>
      <c r="B74" s="33"/>
      <c r="C74" s="18"/>
      <c r="D74" s="18"/>
      <c r="E74" s="18"/>
      <c r="F74" s="18"/>
      <c r="G74" s="18"/>
      <c r="H74" s="17"/>
      <c r="I74" s="18"/>
      <c r="J74" s="18"/>
      <c r="K74" s="18"/>
      <c r="L74" s="18"/>
      <c r="M74" s="18"/>
      <c r="N74" s="18"/>
      <c r="O74" s="18"/>
      <c r="P74" s="33"/>
      <c r="Q74" s="18"/>
      <c r="R74" s="18"/>
      <c r="S74" s="18"/>
      <c r="T74" s="18"/>
      <c r="U74" s="18"/>
      <c r="V74" s="17"/>
      <c r="W74" s="18"/>
      <c r="X74" s="18"/>
      <c r="Y74" s="18"/>
      <c r="Z74" s="18"/>
      <c r="AA74" s="18"/>
      <c r="AB74" s="18"/>
      <c r="AC74" s="18"/>
      <c r="AD74" s="33"/>
      <c r="AE74" s="18"/>
      <c r="AF74" s="18"/>
      <c r="AG74" s="18"/>
      <c r="AH74" s="18"/>
      <c r="AI74" s="18"/>
      <c r="AJ74" s="17"/>
      <c r="AK74" s="33"/>
      <c r="AL74" s="18"/>
      <c r="AM74" s="18"/>
      <c r="AN74" s="18"/>
      <c r="AO74" s="18"/>
      <c r="AP74" s="18"/>
      <c r="AQ74" s="17"/>
      <c r="AR74" s="18"/>
      <c r="AS74" s="8"/>
      <c r="AT74" s="8" t="s">
        <v>187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50" t="s">
        <v>188</v>
      </c>
      <c r="BI74" s="18"/>
      <c r="BJ74" s="18"/>
      <c r="BK74" s="18"/>
      <c r="BL74" s="17"/>
      <c r="BM74" s="13"/>
      <c r="BO74" s="26"/>
      <c r="BS74" s="26"/>
      <c r="CD74" s="27"/>
    </row>
    <row r="75" spans="1:82" s="11" customFormat="1">
      <c r="A75" s="32"/>
      <c r="B75" s="33"/>
      <c r="C75" s="18"/>
      <c r="D75" s="18"/>
      <c r="E75" s="18"/>
      <c r="F75" s="18"/>
      <c r="G75" s="18"/>
      <c r="H75" s="17"/>
      <c r="I75" s="18"/>
      <c r="J75" s="18"/>
      <c r="K75" s="18"/>
      <c r="L75" s="18"/>
      <c r="M75" s="18"/>
      <c r="N75" s="18"/>
      <c r="O75" s="18"/>
      <c r="P75" s="33"/>
      <c r="Q75" s="18"/>
      <c r="R75" s="18"/>
      <c r="S75" s="18"/>
      <c r="T75" s="18"/>
      <c r="U75" s="18"/>
      <c r="V75" s="17"/>
      <c r="W75" s="18"/>
      <c r="X75" s="18"/>
      <c r="Y75" s="18"/>
      <c r="Z75" s="18"/>
      <c r="AA75" s="18"/>
      <c r="AB75" s="18"/>
      <c r="AC75" s="18"/>
      <c r="AD75" s="33"/>
      <c r="AE75" s="18"/>
      <c r="AF75" s="18"/>
      <c r="AG75" s="18"/>
      <c r="AH75" s="18"/>
      <c r="AI75" s="18"/>
      <c r="AJ75" s="17"/>
      <c r="AK75" s="33"/>
      <c r="AL75" s="18"/>
      <c r="AM75" s="18"/>
      <c r="AN75" s="18"/>
      <c r="AO75" s="18"/>
      <c r="AP75" s="18"/>
      <c r="AQ75" s="17"/>
      <c r="AR75" s="18"/>
      <c r="AS75" s="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50" t="s">
        <v>189</v>
      </c>
      <c r="BI75" s="18"/>
      <c r="BJ75" s="18"/>
      <c r="BK75" s="18"/>
      <c r="BL75" s="17"/>
      <c r="BM75" s="13"/>
      <c r="BO75" s="26"/>
      <c r="BS75" s="26"/>
      <c r="CD75" s="27"/>
    </row>
    <row r="76" spans="1:82" s="11" customFormat="1">
      <c r="A76" s="32"/>
      <c r="B76" s="33"/>
      <c r="C76" s="18"/>
      <c r="D76" s="18"/>
      <c r="E76" s="18"/>
      <c r="F76" s="18"/>
      <c r="G76" s="18"/>
      <c r="H76" s="17"/>
      <c r="I76" s="18"/>
      <c r="J76" s="18"/>
      <c r="K76" s="18"/>
      <c r="L76" s="18"/>
      <c r="M76" s="18"/>
      <c r="N76" s="18"/>
      <c r="O76" s="18"/>
      <c r="P76" s="33"/>
      <c r="Q76" s="18"/>
      <c r="R76" s="18"/>
      <c r="S76" s="18"/>
      <c r="T76" s="18"/>
      <c r="U76" s="18"/>
      <c r="V76" s="17"/>
      <c r="W76" s="18"/>
      <c r="X76" s="18"/>
      <c r="Y76" s="18"/>
      <c r="Z76" s="18"/>
      <c r="AA76" s="18"/>
      <c r="AB76" s="18"/>
      <c r="AC76" s="18"/>
      <c r="AD76" s="33"/>
      <c r="AE76" s="18"/>
      <c r="AF76" s="18"/>
      <c r="AG76" s="18"/>
      <c r="AH76" s="18"/>
      <c r="AI76" s="18"/>
      <c r="AJ76" s="17"/>
      <c r="AK76" s="33"/>
      <c r="AL76" s="18"/>
      <c r="AM76" s="18"/>
      <c r="AN76" s="18"/>
      <c r="AO76" s="18"/>
      <c r="AP76" s="18"/>
      <c r="AQ76" s="17"/>
      <c r="AR76" s="18"/>
      <c r="AS76" s="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33"/>
      <c r="BI76" s="18"/>
      <c r="BJ76" s="18"/>
      <c r="BK76" s="18"/>
      <c r="BL76" s="17"/>
      <c r="BM76" s="13"/>
      <c r="BO76" s="26"/>
      <c r="BS76" s="26"/>
      <c r="CD76" s="27"/>
    </row>
    <row r="77" spans="1:82" s="11" customFormat="1">
      <c r="A77" s="32"/>
      <c r="B77" s="33"/>
      <c r="C77" s="18"/>
      <c r="D77" s="18"/>
      <c r="E77" s="18"/>
      <c r="F77" s="18"/>
      <c r="G77" s="18"/>
      <c r="H77" s="17"/>
      <c r="I77" s="18"/>
      <c r="J77" s="18"/>
      <c r="K77" s="18"/>
      <c r="L77" s="18"/>
      <c r="M77" s="18"/>
      <c r="N77" s="18"/>
      <c r="O77" s="18"/>
      <c r="P77" s="33"/>
      <c r="Q77" s="18"/>
      <c r="R77" s="18"/>
      <c r="S77" s="18"/>
      <c r="T77" s="18"/>
      <c r="U77" s="18"/>
      <c r="V77" s="17"/>
      <c r="W77" s="18"/>
      <c r="X77" s="18"/>
      <c r="Y77" s="18"/>
      <c r="Z77" s="18"/>
      <c r="AA77" s="18"/>
      <c r="AB77" s="18"/>
      <c r="AC77" s="18"/>
      <c r="AD77" s="33"/>
      <c r="AE77" s="18"/>
      <c r="AF77" s="18"/>
      <c r="AG77" s="18"/>
      <c r="AH77" s="18"/>
      <c r="AI77" s="18"/>
      <c r="AJ77" s="17"/>
      <c r="AK77" s="33"/>
      <c r="AL77" s="18"/>
      <c r="AM77" s="18"/>
      <c r="AN77" s="18"/>
      <c r="AO77" s="18"/>
      <c r="AP77" s="18"/>
      <c r="AQ77" s="17"/>
      <c r="AR77" s="18"/>
      <c r="AS77" s="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33"/>
      <c r="BI77" s="18"/>
      <c r="BJ77" s="18"/>
      <c r="BK77" s="18"/>
      <c r="BL77" s="17"/>
      <c r="BM77" s="13"/>
      <c r="BO77" s="26"/>
      <c r="BS77" s="26"/>
      <c r="CD77" s="27"/>
    </row>
    <row r="78" spans="1:82" s="11" customFormat="1">
      <c r="A78" s="32"/>
      <c r="B78" s="33"/>
      <c r="C78" s="18"/>
      <c r="D78" s="18"/>
      <c r="E78" s="18"/>
      <c r="F78" s="18"/>
      <c r="G78" s="18"/>
      <c r="H78" s="17"/>
      <c r="I78" s="18"/>
      <c r="J78" s="18"/>
      <c r="K78" s="18"/>
      <c r="L78" s="18"/>
      <c r="M78" s="18"/>
      <c r="N78" s="18"/>
      <c r="O78" s="18"/>
      <c r="P78" s="33"/>
      <c r="Q78" s="18"/>
      <c r="R78" s="18"/>
      <c r="S78" s="18"/>
      <c r="T78" s="18"/>
      <c r="U78" s="18"/>
      <c r="V78" s="17"/>
      <c r="W78" s="18"/>
      <c r="X78" s="18"/>
      <c r="Y78" s="18"/>
      <c r="Z78" s="18"/>
      <c r="AA78" s="18"/>
      <c r="AB78" s="18"/>
      <c r="AC78" s="18"/>
      <c r="AD78" s="33"/>
      <c r="AE78" s="18"/>
      <c r="AF78" s="18"/>
      <c r="AG78" s="18"/>
      <c r="AH78" s="18"/>
      <c r="AI78" s="18"/>
      <c r="AJ78" s="17"/>
      <c r="AK78" s="33"/>
      <c r="AL78" s="18"/>
      <c r="AM78" s="18"/>
      <c r="AN78" s="18"/>
      <c r="AO78" s="18"/>
      <c r="AP78" s="18"/>
      <c r="AQ78" s="17"/>
      <c r="AR78" s="18"/>
      <c r="AS78" s="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33"/>
      <c r="BI78" s="18"/>
      <c r="BJ78" s="18"/>
      <c r="BK78" s="18"/>
      <c r="BL78" s="17"/>
      <c r="BM78" s="13"/>
      <c r="BO78" s="26"/>
      <c r="BS78" s="26"/>
      <c r="CD78" s="27"/>
    </row>
    <row r="79" spans="1:82" s="11" customFormat="1">
      <c r="A79" s="32"/>
      <c r="B79" s="33"/>
      <c r="C79" s="18"/>
      <c r="D79" s="18"/>
      <c r="E79" s="18"/>
      <c r="F79" s="18"/>
      <c r="G79" s="18"/>
      <c r="H79" s="17"/>
      <c r="I79" s="18"/>
      <c r="J79" s="18"/>
      <c r="K79" s="18"/>
      <c r="L79" s="18"/>
      <c r="M79" s="18"/>
      <c r="N79" s="18"/>
      <c r="O79" s="18"/>
      <c r="P79" s="33"/>
      <c r="Q79" s="18"/>
      <c r="R79" s="18"/>
      <c r="S79" s="18"/>
      <c r="T79" s="18"/>
      <c r="U79" s="18"/>
      <c r="V79" s="17"/>
      <c r="W79" s="18"/>
      <c r="X79" s="18"/>
      <c r="Y79" s="18"/>
      <c r="Z79" s="18"/>
      <c r="AA79" s="18"/>
      <c r="AB79" s="18"/>
      <c r="AC79" s="18"/>
      <c r="AD79" s="33"/>
      <c r="AE79" s="18"/>
      <c r="AF79" s="18"/>
      <c r="AG79" s="18"/>
      <c r="AH79" s="18"/>
      <c r="AI79" s="18"/>
      <c r="AJ79" s="17"/>
      <c r="AK79" s="33"/>
      <c r="AL79" s="18"/>
      <c r="AM79" s="18"/>
      <c r="AN79" s="18"/>
      <c r="AO79" s="18"/>
      <c r="AP79" s="18"/>
      <c r="AQ79" s="17"/>
      <c r="AR79" s="18"/>
      <c r="AS79" s="16" t="s">
        <v>241</v>
      </c>
      <c r="AT79" s="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33"/>
      <c r="BI79" s="18"/>
      <c r="BJ79" s="18"/>
      <c r="BK79" s="18"/>
      <c r="BL79" s="17"/>
      <c r="BM79" s="13"/>
      <c r="BO79" s="26"/>
      <c r="BS79" s="26"/>
      <c r="CD79" s="27"/>
    </row>
    <row r="80" spans="1:82" s="11" customFormat="1">
      <c r="A80" s="32"/>
      <c r="B80" s="33"/>
      <c r="C80" s="18"/>
      <c r="D80" s="18"/>
      <c r="E80" s="18"/>
      <c r="F80" s="18"/>
      <c r="G80" s="18"/>
      <c r="H80" s="17"/>
      <c r="I80" s="18"/>
      <c r="J80" s="18"/>
      <c r="K80" s="18"/>
      <c r="L80" s="18"/>
      <c r="M80" s="18"/>
      <c r="N80" s="18"/>
      <c r="O80" s="18"/>
      <c r="P80" s="33"/>
      <c r="Q80" s="18"/>
      <c r="R80" s="18"/>
      <c r="S80" s="18"/>
      <c r="T80" s="18"/>
      <c r="U80" s="18"/>
      <c r="V80" s="17"/>
      <c r="W80" s="18"/>
      <c r="X80" s="18"/>
      <c r="Y80" s="18"/>
      <c r="Z80" s="18"/>
      <c r="AA80" s="18"/>
      <c r="AB80" s="18"/>
      <c r="AC80" s="18"/>
      <c r="AD80" s="33"/>
      <c r="AE80" s="18"/>
      <c r="AF80" s="18"/>
      <c r="AG80" s="18"/>
      <c r="AH80" s="18"/>
      <c r="AI80" s="18"/>
      <c r="AJ80" s="17"/>
      <c r="AK80" s="33"/>
      <c r="AL80" s="18"/>
      <c r="AM80" s="18"/>
      <c r="AN80" s="18"/>
      <c r="AO80" s="18"/>
      <c r="AP80" s="18"/>
      <c r="AQ80" s="17"/>
      <c r="AR80" s="18"/>
      <c r="AS80" s="8"/>
      <c r="AT80" s="8" t="s">
        <v>191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33"/>
      <c r="BI80" s="18"/>
      <c r="BJ80" s="18"/>
      <c r="BK80" s="18"/>
      <c r="BL80" s="17"/>
      <c r="BM80" s="13"/>
      <c r="BO80" s="26"/>
      <c r="BS80" s="26"/>
      <c r="CD80" s="27"/>
    </row>
    <row r="81" spans="1:82" s="11" customFormat="1">
      <c r="A81" s="32"/>
      <c r="B81" s="33"/>
      <c r="C81" s="18"/>
      <c r="D81" s="18"/>
      <c r="E81" s="18"/>
      <c r="F81" s="18"/>
      <c r="G81" s="18"/>
      <c r="H81" s="17"/>
      <c r="I81" s="18"/>
      <c r="J81" s="18"/>
      <c r="K81" s="18"/>
      <c r="L81" s="18"/>
      <c r="M81" s="18"/>
      <c r="N81" s="18"/>
      <c r="O81" s="18"/>
      <c r="P81" s="33"/>
      <c r="Q81" s="18"/>
      <c r="R81" s="18"/>
      <c r="S81" s="18"/>
      <c r="T81" s="18"/>
      <c r="U81" s="18"/>
      <c r="V81" s="17"/>
      <c r="W81" s="18"/>
      <c r="X81" s="18"/>
      <c r="Y81" s="18"/>
      <c r="Z81" s="18"/>
      <c r="AA81" s="18"/>
      <c r="AB81" s="18"/>
      <c r="AC81" s="18"/>
      <c r="AD81" s="33"/>
      <c r="AE81" s="18"/>
      <c r="AF81" s="18"/>
      <c r="AG81" s="18"/>
      <c r="AH81" s="18"/>
      <c r="AI81" s="18"/>
      <c r="AJ81" s="17"/>
      <c r="AK81" s="33"/>
      <c r="AL81" s="18"/>
      <c r="AM81" s="18"/>
      <c r="AN81" s="18"/>
      <c r="AO81" s="18"/>
      <c r="AP81" s="18"/>
      <c r="AQ81" s="17"/>
      <c r="AR81" s="18"/>
      <c r="AS81" s="8"/>
      <c r="AT81" s="8" t="s">
        <v>192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33"/>
      <c r="BI81" s="18"/>
      <c r="BJ81" s="18"/>
      <c r="BK81" s="18"/>
      <c r="BL81" s="17"/>
      <c r="BM81" s="13"/>
      <c r="BO81" s="26"/>
      <c r="BS81" s="26"/>
      <c r="CD81" s="27"/>
    </row>
    <row r="82" spans="1:82" s="11" customFormat="1">
      <c r="A82" s="32"/>
      <c r="B82" s="33"/>
      <c r="C82" s="18"/>
      <c r="D82" s="18"/>
      <c r="E82" s="18"/>
      <c r="F82" s="18"/>
      <c r="G82" s="18"/>
      <c r="H82" s="17"/>
      <c r="I82" s="18"/>
      <c r="J82" s="18"/>
      <c r="K82" s="18"/>
      <c r="L82" s="18"/>
      <c r="M82" s="18"/>
      <c r="N82" s="18"/>
      <c r="O82" s="18"/>
      <c r="P82" s="33"/>
      <c r="Q82" s="18"/>
      <c r="R82" s="18"/>
      <c r="S82" s="18"/>
      <c r="T82" s="18"/>
      <c r="U82" s="18"/>
      <c r="V82" s="17"/>
      <c r="W82" s="18"/>
      <c r="X82" s="18"/>
      <c r="Y82" s="18"/>
      <c r="Z82" s="18"/>
      <c r="AA82" s="18"/>
      <c r="AB82" s="18"/>
      <c r="AC82" s="18"/>
      <c r="AD82" s="33"/>
      <c r="AE82" s="18"/>
      <c r="AF82" s="18"/>
      <c r="AG82" s="18"/>
      <c r="AH82" s="18"/>
      <c r="AI82" s="18"/>
      <c r="AJ82" s="17"/>
      <c r="AK82" s="33"/>
      <c r="AL82" s="18"/>
      <c r="AM82" s="18"/>
      <c r="AN82" s="18"/>
      <c r="AO82" s="18"/>
      <c r="AP82" s="18"/>
      <c r="AQ82" s="17"/>
      <c r="AR82" s="18"/>
      <c r="AS82" s="8"/>
      <c r="AT82" s="8" t="s">
        <v>242</v>
      </c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50" t="s">
        <v>197</v>
      </c>
      <c r="BI82" s="18"/>
      <c r="BJ82" s="18"/>
      <c r="BK82" s="18"/>
      <c r="BL82" s="17"/>
      <c r="BM82" s="13"/>
      <c r="BO82" s="26"/>
      <c r="BS82" s="26"/>
      <c r="CD82" s="27"/>
    </row>
    <row r="83" spans="1:82" s="11" customFormat="1">
      <c r="A83" s="32"/>
      <c r="B83" s="33"/>
      <c r="C83" s="18"/>
      <c r="D83" s="18"/>
      <c r="E83" s="18"/>
      <c r="F83" s="18"/>
      <c r="G83" s="18"/>
      <c r="H83" s="17"/>
      <c r="I83" s="18"/>
      <c r="J83" s="18"/>
      <c r="K83" s="18"/>
      <c r="L83" s="18"/>
      <c r="M83" s="18"/>
      <c r="N83" s="18"/>
      <c r="O83" s="18"/>
      <c r="P83" s="33"/>
      <c r="Q83" s="18"/>
      <c r="R83" s="18"/>
      <c r="S83" s="18"/>
      <c r="T83" s="18"/>
      <c r="U83" s="18"/>
      <c r="V83" s="17"/>
      <c r="W83" s="18"/>
      <c r="X83" s="18"/>
      <c r="Y83" s="18"/>
      <c r="Z83" s="18"/>
      <c r="AA83" s="18"/>
      <c r="AB83" s="18"/>
      <c r="AC83" s="18"/>
      <c r="AD83" s="33"/>
      <c r="AE83" s="18"/>
      <c r="AF83" s="18"/>
      <c r="AG83" s="18"/>
      <c r="AH83" s="18"/>
      <c r="AI83" s="18"/>
      <c r="AJ83" s="17"/>
      <c r="AK83" s="33"/>
      <c r="AL83" s="18"/>
      <c r="AM83" s="18"/>
      <c r="AN83" s="18"/>
      <c r="AO83" s="18"/>
      <c r="AP83" s="18"/>
      <c r="AQ83" s="17"/>
      <c r="AR83" s="18"/>
      <c r="AS83" s="8"/>
      <c r="AT83" s="8" t="s">
        <v>195</v>
      </c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33"/>
      <c r="BI83" s="18"/>
      <c r="BJ83" s="18"/>
      <c r="BK83" s="18"/>
      <c r="BL83" s="17"/>
      <c r="BM83" s="13"/>
      <c r="BO83" s="26"/>
      <c r="BS83" s="26"/>
      <c r="CD83" s="27"/>
    </row>
    <row r="84" spans="1:82" s="11" customFormat="1">
      <c r="A84" s="32"/>
      <c r="B84" s="33"/>
      <c r="C84" s="18"/>
      <c r="D84" s="18"/>
      <c r="E84" s="18"/>
      <c r="F84" s="18"/>
      <c r="G84" s="18"/>
      <c r="H84" s="17"/>
      <c r="I84" s="18"/>
      <c r="J84" s="18"/>
      <c r="K84" s="18"/>
      <c r="L84" s="18"/>
      <c r="M84" s="18"/>
      <c r="N84" s="18"/>
      <c r="O84" s="18"/>
      <c r="P84" s="33"/>
      <c r="Q84" s="18"/>
      <c r="R84" s="18"/>
      <c r="S84" s="18"/>
      <c r="T84" s="18"/>
      <c r="U84" s="18"/>
      <c r="V84" s="17"/>
      <c r="W84" s="18"/>
      <c r="X84" s="18"/>
      <c r="Y84" s="18"/>
      <c r="Z84" s="18"/>
      <c r="AA84" s="18"/>
      <c r="AB84" s="18"/>
      <c r="AC84" s="18"/>
      <c r="AD84" s="33"/>
      <c r="AE84" s="18"/>
      <c r="AF84" s="18"/>
      <c r="AG84" s="18"/>
      <c r="AH84" s="18"/>
      <c r="AI84" s="18"/>
      <c r="AJ84" s="17"/>
      <c r="AK84" s="33"/>
      <c r="AL84" s="18"/>
      <c r="AM84" s="18"/>
      <c r="AN84" s="18"/>
      <c r="AO84" s="18"/>
      <c r="AP84" s="18"/>
      <c r="AQ84" s="17"/>
      <c r="AR84" s="18"/>
      <c r="AS84" s="8"/>
      <c r="AT84" s="8" t="s">
        <v>243</v>
      </c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33"/>
      <c r="BI84" s="18"/>
      <c r="BJ84" s="18"/>
      <c r="BK84" s="18"/>
      <c r="BL84" s="17"/>
      <c r="BM84" s="13"/>
      <c r="BO84" s="26"/>
      <c r="BS84" s="26"/>
      <c r="CD84" s="27"/>
    </row>
    <row r="85" spans="1:82" s="11" customFormat="1">
      <c r="A85" s="32"/>
      <c r="B85" s="33"/>
      <c r="C85" s="18"/>
      <c r="D85" s="18"/>
      <c r="E85" s="18"/>
      <c r="F85" s="18"/>
      <c r="G85" s="18"/>
      <c r="H85" s="17"/>
      <c r="I85" s="18"/>
      <c r="J85" s="18"/>
      <c r="K85" s="18"/>
      <c r="L85" s="18"/>
      <c r="M85" s="18"/>
      <c r="N85" s="18"/>
      <c r="O85" s="18"/>
      <c r="P85" s="33"/>
      <c r="Q85" s="18"/>
      <c r="R85" s="18"/>
      <c r="S85" s="18"/>
      <c r="T85" s="18"/>
      <c r="U85" s="18"/>
      <c r="V85" s="17"/>
      <c r="W85" s="18"/>
      <c r="X85" s="18"/>
      <c r="Y85" s="18"/>
      <c r="Z85" s="18"/>
      <c r="AA85" s="18"/>
      <c r="AB85" s="18"/>
      <c r="AC85" s="18"/>
      <c r="AD85" s="33"/>
      <c r="AE85" s="18"/>
      <c r="AF85" s="18"/>
      <c r="AG85" s="18"/>
      <c r="AH85" s="18"/>
      <c r="AI85" s="18"/>
      <c r="AJ85" s="17"/>
      <c r="AK85" s="33"/>
      <c r="AL85" s="18"/>
      <c r="AM85" s="18"/>
      <c r="AN85" s="18"/>
      <c r="AO85" s="18"/>
      <c r="AP85" s="18"/>
      <c r="AQ85" s="17"/>
      <c r="AR85" s="18"/>
      <c r="AS85" s="8"/>
      <c r="AT85" s="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33"/>
      <c r="BI85" s="18"/>
      <c r="BJ85" s="18"/>
      <c r="BK85" s="18"/>
      <c r="BL85" s="17"/>
      <c r="BM85" s="13"/>
      <c r="BO85" s="26"/>
      <c r="BS85" s="26"/>
      <c r="CD85" s="27"/>
    </row>
    <row r="86" spans="1:82" s="11" customFormat="1">
      <c r="A86" s="32"/>
      <c r="B86" s="33"/>
      <c r="C86" s="18"/>
      <c r="D86" s="18"/>
      <c r="E86" s="18"/>
      <c r="F86" s="18"/>
      <c r="G86" s="18"/>
      <c r="H86" s="17"/>
      <c r="I86" s="18"/>
      <c r="J86" s="18"/>
      <c r="K86" s="18"/>
      <c r="L86" s="18"/>
      <c r="M86" s="18"/>
      <c r="N86" s="18"/>
      <c r="O86" s="18"/>
      <c r="P86" s="33"/>
      <c r="Q86" s="18"/>
      <c r="R86" s="18"/>
      <c r="S86" s="18"/>
      <c r="T86" s="18"/>
      <c r="U86" s="18"/>
      <c r="V86" s="17"/>
      <c r="W86" s="18"/>
      <c r="X86" s="18"/>
      <c r="Y86" s="18"/>
      <c r="Z86" s="18"/>
      <c r="AA86" s="18"/>
      <c r="AB86" s="18"/>
      <c r="AC86" s="18"/>
      <c r="AD86" s="33"/>
      <c r="AE86" s="18"/>
      <c r="AF86" s="18"/>
      <c r="AG86" s="18"/>
      <c r="AH86" s="18"/>
      <c r="AI86" s="18"/>
      <c r="AJ86" s="17"/>
      <c r="AK86" s="33"/>
      <c r="AL86" s="18"/>
      <c r="AM86" s="18"/>
      <c r="AN86" s="18"/>
      <c r="AO86" s="18"/>
      <c r="AP86" s="18"/>
      <c r="AQ86" s="17"/>
      <c r="AR86" s="18"/>
      <c r="AS86" s="8" t="s">
        <v>162</v>
      </c>
      <c r="AT86" s="31" t="s">
        <v>198</v>
      </c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46" t="s">
        <v>147</v>
      </c>
      <c r="BI86" s="18"/>
      <c r="BJ86" s="18"/>
      <c r="BK86" s="18"/>
      <c r="BL86" s="17"/>
      <c r="BM86" s="13"/>
      <c r="BO86" s="26"/>
      <c r="BS86" s="26"/>
      <c r="CD86" s="27"/>
    </row>
    <row r="87" spans="1:82" s="11" customFormat="1">
      <c r="A87" s="32"/>
      <c r="B87" s="33"/>
      <c r="C87" s="18"/>
      <c r="D87" s="18"/>
      <c r="E87" s="18"/>
      <c r="F87" s="18"/>
      <c r="G87" s="18"/>
      <c r="H87" s="17"/>
      <c r="I87" s="18"/>
      <c r="J87" s="18"/>
      <c r="K87" s="18"/>
      <c r="L87" s="18"/>
      <c r="M87" s="18"/>
      <c r="N87" s="18"/>
      <c r="O87" s="18"/>
      <c r="P87" s="33"/>
      <c r="Q87" s="18"/>
      <c r="R87" s="18"/>
      <c r="S87" s="18"/>
      <c r="T87" s="18"/>
      <c r="U87" s="18"/>
      <c r="V87" s="17"/>
      <c r="W87" s="18"/>
      <c r="X87" s="18"/>
      <c r="Y87" s="18"/>
      <c r="Z87" s="18"/>
      <c r="AA87" s="18"/>
      <c r="AB87" s="18"/>
      <c r="AC87" s="18"/>
      <c r="AD87" s="33"/>
      <c r="AE87" s="18"/>
      <c r="AF87" s="18"/>
      <c r="AG87" s="18"/>
      <c r="AH87" s="18"/>
      <c r="AI87" s="18"/>
      <c r="AJ87" s="17"/>
      <c r="AK87" s="33"/>
      <c r="AL87" s="18"/>
      <c r="AM87" s="18"/>
      <c r="AN87" s="18"/>
      <c r="AO87" s="18"/>
      <c r="AP87" s="18"/>
      <c r="AQ87" s="17"/>
      <c r="AR87" s="18"/>
      <c r="AS87" s="8"/>
      <c r="AT87" s="31" t="s">
        <v>199</v>
      </c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50" t="s">
        <v>165</v>
      </c>
      <c r="BI87" s="18"/>
      <c r="BJ87" s="18"/>
      <c r="BK87" s="18"/>
      <c r="BL87" s="17"/>
      <c r="BM87" s="13"/>
      <c r="BO87" s="26"/>
      <c r="BS87" s="26"/>
      <c r="CD87" s="27"/>
    </row>
    <row r="88" spans="1:82" s="11" customFormat="1">
      <c r="A88" s="32"/>
      <c r="B88" s="33"/>
      <c r="C88" s="18"/>
      <c r="D88" s="18"/>
      <c r="E88" s="18"/>
      <c r="F88" s="18"/>
      <c r="G88" s="18"/>
      <c r="H88" s="17"/>
      <c r="I88" s="18"/>
      <c r="J88" s="18"/>
      <c r="K88" s="18"/>
      <c r="L88" s="18"/>
      <c r="M88" s="18"/>
      <c r="N88" s="18"/>
      <c r="O88" s="18"/>
      <c r="P88" s="33"/>
      <c r="Q88" s="18"/>
      <c r="R88" s="18"/>
      <c r="S88" s="18"/>
      <c r="T88" s="18"/>
      <c r="U88" s="18"/>
      <c r="V88" s="17"/>
      <c r="W88" s="18"/>
      <c r="X88" s="18"/>
      <c r="Y88" s="18"/>
      <c r="Z88" s="18"/>
      <c r="AA88" s="18"/>
      <c r="AB88" s="18"/>
      <c r="AC88" s="18"/>
      <c r="AD88" s="33"/>
      <c r="AE88" s="18"/>
      <c r="AF88" s="18"/>
      <c r="AG88" s="18"/>
      <c r="AH88" s="18"/>
      <c r="AI88" s="18"/>
      <c r="AJ88" s="17"/>
      <c r="AK88" s="33"/>
      <c r="AL88" s="18"/>
      <c r="AM88" s="18"/>
      <c r="AN88" s="18"/>
      <c r="AO88" s="18"/>
      <c r="AP88" s="18"/>
      <c r="AQ88" s="17"/>
      <c r="AR88" s="18"/>
      <c r="AS88" s="8"/>
      <c r="AT88" s="31" t="s">
        <v>200</v>
      </c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50" t="s">
        <v>167</v>
      </c>
      <c r="BI88" s="18"/>
      <c r="BJ88" s="18"/>
      <c r="BK88" s="18"/>
      <c r="BL88" s="17"/>
      <c r="BM88" s="13"/>
      <c r="BO88" s="26"/>
      <c r="BS88" s="26"/>
      <c r="CD88" s="27"/>
    </row>
    <row r="89" spans="1:82" s="11" customFormat="1">
      <c r="A89" s="32"/>
      <c r="B89" s="33"/>
      <c r="C89" s="18"/>
      <c r="D89" s="18"/>
      <c r="E89" s="18"/>
      <c r="F89" s="18"/>
      <c r="G89" s="18"/>
      <c r="H89" s="17"/>
      <c r="I89" s="18"/>
      <c r="J89" s="18"/>
      <c r="K89" s="18"/>
      <c r="L89" s="18"/>
      <c r="M89" s="18"/>
      <c r="N89" s="18"/>
      <c r="O89" s="18"/>
      <c r="P89" s="33"/>
      <c r="Q89" s="18"/>
      <c r="R89" s="18"/>
      <c r="S89" s="18"/>
      <c r="T89" s="18"/>
      <c r="U89" s="18"/>
      <c r="V89" s="17"/>
      <c r="W89" s="18"/>
      <c r="X89" s="18"/>
      <c r="Y89" s="18"/>
      <c r="Z89" s="18"/>
      <c r="AA89" s="18"/>
      <c r="AB89" s="18"/>
      <c r="AC89" s="18"/>
      <c r="AD89" s="33"/>
      <c r="AE89" s="18"/>
      <c r="AF89" s="18"/>
      <c r="AG89" s="18"/>
      <c r="AH89" s="18"/>
      <c r="AI89" s="18"/>
      <c r="AJ89" s="17"/>
      <c r="AK89" s="33"/>
      <c r="AL89" s="18"/>
      <c r="AM89" s="18"/>
      <c r="AN89" s="18"/>
      <c r="AO89" s="18"/>
      <c r="AP89" s="18"/>
      <c r="AQ89" s="17"/>
      <c r="AR89" s="18"/>
      <c r="AS89" s="16"/>
      <c r="AT89" s="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50" t="s">
        <v>168</v>
      </c>
      <c r="BI89" s="18"/>
      <c r="BJ89" s="18"/>
      <c r="BK89" s="18"/>
      <c r="BL89" s="17"/>
      <c r="BM89" s="13"/>
      <c r="BO89" s="26"/>
      <c r="BS89" s="26"/>
      <c r="CD89" s="27"/>
    </row>
    <row r="90" spans="1:82" s="11" customFormat="1">
      <c r="A90" s="32"/>
      <c r="B90" s="33"/>
      <c r="C90" s="18"/>
      <c r="D90" s="18"/>
      <c r="E90" s="18"/>
      <c r="F90" s="18"/>
      <c r="G90" s="18"/>
      <c r="H90" s="17"/>
      <c r="I90" s="18"/>
      <c r="J90" s="18"/>
      <c r="K90" s="18"/>
      <c r="L90" s="18"/>
      <c r="M90" s="18"/>
      <c r="N90" s="18"/>
      <c r="O90" s="18"/>
      <c r="P90" s="33"/>
      <c r="Q90" s="18"/>
      <c r="R90" s="18"/>
      <c r="S90" s="18"/>
      <c r="T90" s="18"/>
      <c r="U90" s="18"/>
      <c r="V90" s="17"/>
      <c r="W90" s="18"/>
      <c r="X90" s="18"/>
      <c r="Y90" s="18"/>
      <c r="Z90" s="18"/>
      <c r="AA90" s="18"/>
      <c r="AB90" s="18"/>
      <c r="AC90" s="18"/>
      <c r="AD90" s="33"/>
      <c r="AE90" s="18"/>
      <c r="AF90" s="18"/>
      <c r="AG90" s="18"/>
      <c r="AH90" s="18"/>
      <c r="AI90" s="18"/>
      <c r="AJ90" s="17"/>
      <c r="AK90" s="33"/>
      <c r="AL90" s="18"/>
      <c r="AM90" s="18"/>
      <c r="AN90" s="18"/>
      <c r="AO90" s="18"/>
      <c r="AP90" s="18"/>
      <c r="AQ90" s="17"/>
      <c r="AR90" s="18"/>
      <c r="AS90" s="8"/>
      <c r="AT90" s="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33"/>
      <c r="BI90" s="18"/>
      <c r="BJ90" s="18"/>
      <c r="BK90" s="18"/>
      <c r="BL90" s="17"/>
      <c r="BM90" s="13"/>
      <c r="BO90" s="26"/>
      <c r="BS90" s="26"/>
      <c r="CD90" s="27"/>
    </row>
    <row r="91" spans="1:82" s="11" customFormat="1">
      <c r="A91" s="32"/>
      <c r="B91" s="33"/>
      <c r="C91" s="18"/>
      <c r="D91" s="18"/>
      <c r="E91" s="18"/>
      <c r="F91" s="18"/>
      <c r="G91" s="18"/>
      <c r="H91" s="17"/>
      <c r="I91" s="18"/>
      <c r="J91" s="18"/>
      <c r="K91" s="18"/>
      <c r="L91" s="18"/>
      <c r="M91" s="18"/>
      <c r="N91" s="18"/>
      <c r="O91" s="18"/>
      <c r="P91" s="33"/>
      <c r="Q91" s="18"/>
      <c r="R91" s="18"/>
      <c r="S91" s="18"/>
      <c r="T91" s="18"/>
      <c r="U91" s="18"/>
      <c r="V91" s="17"/>
      <c r="W91" s="18"/>
      <c r="X91" s="18"/>
      <c r="Y91" s="18"/>
      <c r="Z91" s="18"/>
      <c r="AA91" s="18"/>
      <c r="AB91" s="18"/>
      <c r="AC91" s="18"/>
      <c r="AD91" s="33"/>
      <c r="AE91" s="18"/>
      <c r="AF91" s="18"/>
      <c r="AG91" s="18"/>
      <c r="AH91" s="18"/>
      <c r="AI91" s="18"/>
      <c r="AJ91" s="17"/>
      <c r="AK91" s="33"/>
      <c r="AL91" s="18"/>
      <c r="AM91" s="18"/>
      <c r="AN91" s="18"/>
      <c r="AO91" s="18"/>
      <c r="AP91" s="18"/>
      <c r="AQ91" s="17"/>
      <c r="AR91" s="18"/>
      <c r="AS91" s="8"/>
      <c r="AT91" s="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33"/>
      <c r="BI91" s="18"/>
      <c r="BJ91" s="18"/>
      <c r="BK91" s="18"/>
      <c r="BL91" s="17"/>
      <c r="BM91" s="13"/>
      <c r="BO91" s="26"/>
      <c r="BS91" s="26"/>
      <c r="CD91" s="27"/>
    </row>
    <row r="92" spans="1:82" s="11" customFormat="1">
      <c r="A92" s="32"/>
      <c r="B92" s="33"/>
      <c r="C92" s="18"/>
      <c r="D92" s="18"/>
      <c r="E92" s="18"/>
      <c r="F92" s="18"/>
      <c r="G92" s="18"/>
      <c r="H92" s="17"/>
      <c r="I92" s="18"/>
      <c r="J92" s="18"/>
      <c r="K92" s="18"/>
      <c r="L92" s="18"/>
      <c r="M92" s="18"/>
      <c r="N92" s="18"/>
      <c r="O92" s="18"/>
      <c r="P92" s="33"/>
      <c r="Q92" s="18"/>
      <c r="R92" s="18"/>
      <c r="S92" s="18"/>
      <c r="T92" s="18"/>
      <c r="U92" s="18"/>
      <c r="V92" s="17"/>
      <c r="W92" s="18"/>
      <c r="X92" s="18"/>
      <c r="Y92" s="18"/>
      <c r="Z92" s="18"/>
      <c r="AA92" s="18"/>
      <c r="AB92" s="18"/>
      <c r="AC92" s="18"/>
      <c r="AD92" s="33"/>
      <c r="AE92" s="18"/>
      <c r="AF92" s="18"/>
      <c r="AG92" s="18"/>
      <c r="AH92" s="18"/>
      <c r="AI92" s="18"/>
      <c r="AJ92" s="17"/>
      <c r="AK92" s="33"/>
      <c r="AL92" s="18"/>
      <c r="AM92" s="18"/>
      <c r="AN92" s="18"/>
      <c r="AO92" s="18"/>
      <c r="AP92" s="18"/>
      <c r="AQ92" s="17"/>
      <c r="AR92" s="18"/>
      <c r="AS92" s="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33"/>
      <c r="BI92" s="18"/>
      <c r="BJ92" s="18"/>
      <c r="BK92" s="18"/>
      <c r="BL92" s="17"/>
      <c r="BM92" s="13"/>
      <c r="BO92" s="26"/>
      <c r="BS92" s="26"/>
      <c r="CD92" s="27"/>
    </row>
    <row r="93" spans="1:82" s="11" customFormat="1">
      <c r="A93" s="32"/>
      <c r="B93" s="35" t="s">
        <v>244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35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13"/>
      <c r="BO93" s="23"/>
      <c r="BP93" s="24"/>
      <c r="BQ93" s="24"/>
      <c r="BR93" s="24"/>
      <c r="BS93" s="23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5"/>
    </row>
    <row r="94" spans="1:82" s="11" customFormat="1">
      <c r="A94" s="32"/>
      <c r="B94" s="33"/>
      <c r="C94" s="18"/>
      <c r="D94" s="18"/>
      <c r="E94" s="18"/>
      <c r="F94" s="18"/>
      <c r="G94" s="18"/>
      <c r="H94" s="17"/>
      <c r="I94" s="18"/>
      <c r="J94" s="18"/>
      <c r="K94" s="18"/>
      <c r="L94" s="18"/>
      <c r="M94" s="18"/>
      <c r="N94" s="18"/>
      <c r="O94" s="18"/>
      <c r="P94" s="33"/>
      <c r="Q94" s="18"/>
      <c r="R94" s="18"/>
      <c r="S94" s="18"/>
      <c r="T94" s="18"/>
      <c r="U94" s="18"/>
      <c r="V94" s="17"/>
      <c r="W94" s="18"/>
      <c r="X94" s="18"/>
      <c r="Y94" s="18"/>
      <c r="Z94" s="18"/>
      <c r="AA94" s="18"/>
      <c r="AB94" s="18"/>
      <c r="AC94" s="18"/>
      <c r="AD94" s="33"/>
      <c r="AE94" s="18"/>
      <c r="AF94" s="18"/>
      <c r="AG94" s="18"/>
      <c r="AH94" s="18"/>
      <c r="AI94" s="18"/>
      <c r="AJ94" s="17"/>
      <c r="AK94" s="33"/>
      <c r="AL94" s="18"/>
      <c r="AM94" s="18"/>
      <c r="AN94" s="18"/>
      <c r="AO94" s="18"/>
      <c r="AP94" s="18"/>
      <c r="AQ94" s="17"/>
      <c r="AR94" s="18"/>
      <c r="AS94" s="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33"/>
      <c r="BI94" s="18"/>
      <c r="BJ94" s="18"/>
      <c r="BK94" s="18"/>
      <c r="BL94" s="17"/>
      <c r="BM94" s="13"/>
      <c r="BO94" s="26"/>
      <c r="BS94" s="26"/>
      <c r="CD94" s="27"/>
    </row>
    <row r="95" spans="1:82" s="11" customFormat="1">
      <c r="A95" s="32"/>
      <c r="B95" s="33"/>
      <c r="C95" s="18"/>
      <c r="D95" s="18"/>
      <c r="E95" s="18"/>
      <c r="F95" s="18"/>
      <c r="G95" s="18"/>
      <c r="H95" s="17"/>
      <c r="I95" s="18"/>
      <c r="J95" s="18"/>
      <c r="K95" s="18"/>
      <c r="L95" s="18"/>
      <c r="M95" s="18"/>
      <c r="N95" s="18"/>
      <c r="O95" s="18"/>
      <c r="P95" s="33"/>
      <c r="Q95" s="18"/>
      <c r="R95" s="18"/>
      <c r="S95" s="18"/>
      <c r="T95" s="18"/>
      <c r="U95" s="18"/>
      <c r="V95" s="17"/>
      <c r="W95" s="18"/>
      <c r="X95" s="18"/>
      <c r="Y95" s="18"/>
      <c r="Z95" s="18"/>
      <c r="AA95" s="18"/>
      <c r="AB95" s="18"/>
      <c r="AC95" s="18"/>
      <c r="AD95" s="33"/>
      <c r="AE95" s="18"/>
      <c r="AF95" s="18"/>
      <c r="AG95" s="18"/>
      <c r="AH95" s="18"/>
      <c r="AI95" s="18"/>
      <c r="AJ95" s="17"/>
      <c r="AK95" s="33"/>
      <c r="AL95" s="18"/>
      <c r="AM95" s="18"/>
      <c r="AN95" s="18"/>
      <c r="AO95" s="18"/>
      <c r="AP95" s="18"/>
      <c r="AQ95" s="17"/>
      <c r="AR95" s="18"/>
      <c r="AS95" s="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33"/>
      <c r="BI95" s="18"/>
      <c r="BJ95" s="18"/>
      <c r="BK95" s="18"/>
      <c r="BL95" s="17"/>
      <c r="BM95" s="13"/>
      <c r="BO95" s="26"/>
      <c r="BS95" s="26"/>
      <c r="CD95" s="27"/>
    </row>
    <row r="96" spans="1:82" s="11" customFormat="1">
      <c r="A96" s="32"/>
      <c r="B96" s="33"/>
      <c r="C96" s="18"/>
      <c r="D96" s="18"/>
      <c r="E96" s="18"/>
      <c r="F96" s="18"/>
      <c r="G96" s="18"/>
      <c r="H96" s="17"/>
      <c r="I96" s="18"/>
      <c r="J96" s="18"/>
      <c r="K96" s="18"/>
      <c r="L96" s="18"/>
      <c r="M96" s="18"/>
      <c r="N96" s="18"/>
      <c r="O96" s="18"/>
      <c r="P96" s="33"/>
      <c r="Q96" s="18"/>
      <c r="R96" s="18"/>
      <c r="S96" s="18"/>
      <c r="T96" s="18"/>
      <c r="U96" s="18"/>
      <c r="V96" s="17"/>
      <c r="W96" s="18"/>
      <c r="X96" s="18"/>
      <c r="Y96" s="18"/>
      <c r="Z96" s="18"/>
      <c r="AA96" s="18"/>
      <c r="AB96" s="18"/>
      <c r="AC96" s="18"/>
      <c r="AD96" s="33"/>
      <c r="AE96" s="18"/>
      <c r="AF96" s="18"/>
      <c r="AG96" s="18"/>
      <c r="AH96" s="18"/>
      <c r="AI96" s="18"/>
      <c r="AJ96" s="17"/>
      <c r="AK96" s="33"/>
      <c r="AL96" s="18"/>
      <c r="AM96" s="18"/>
      <c r="AN96" s="18"/>
      <c r="AO96" s="18"/>
      <c r="AP96" s="18"/>
      <c r="AQ96" s="17"/>
      <c r="AR96" s="18"/>
      <c r="AS96" s="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33"/>
      <c r="BI96" s="18"/>
      <c r="BJ96" s="18"/>
      <c r="BK96" s="18"/>
      <c r="BL96" s="17"/>
      <c r="BM96" s="13"/>
      <c r="BO96" s="26"/>
      <c r="BS96" s="26"/>
      <c r="CD96" s="27"/>
    </row>
    <row r="97" spans="1:82" s="11" customFormat="1">
      <c r="A97" s="32"/>
      <c r="B97" s="33"/>
      <c r="C97" s="18"/>
      <c r="D97" s="18"/>
      <c r="E97" s="18"/>
      <c r="F97" s="18"/>
      <c r="G97" s="18"/>
      <c r="H97" s="17"/>
      <c r="I97" s="18"/>
      <c r="J97" s="18"/>
      <c r="K97" s="18"/>
      <c r="L97" s="18"/>
      <c r="M97" s="18"/>
      <c r="N97" s="18"/>
      <c r="O97" s="18"/>
      <c r="P97" s="33"/>
      <c r="Q97" s="18"/>
      <c r="R97" s="18"/>
      <c r="S97" s="18"/>
      <c r="T97" s="18"/>
      <c r="U97" s="18"/>
      <c r="V97" s="17"/>
      <c r="W97" s="18"/>
      <c r="X97" s="18"/>
      <c r="Y97" s="18"/>
      <c r="Z97" s="18"/>
      <c r="AA97" s="18"/>
      <c r="AB97" s="18"/>
      <c r="AC97" s="18"/>
      <c r="AD97" s="33"/>
      <c r="AE97" s="18"/>
      <c r="AF97" s="18"/>
      <c r="AG97" s="18"/>
      <c r="AH97" s="18"/>
      <c r="AI97" s="18"/>
      <c r="AJ97" s="17"/>
      <c r="AK97" s="33"/>
      <c r="AL97" s="18"/>
      <c r="AM97" s="18"/>
      <c r="AN97" s="18"/>
      <c r="AO97" s="18"/>
      <c r="AP97" s="18"/>
      <c r="AQ97" s="17"/>
      <c r="AR97" s="18"/>
      <c r="AS97" s="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33"/>
      <c r="BI97" s="18"/>
      <c r="BJ97" s="18"/>
      <c r="BK97" s="18"/>
      <c r="BL97" s="17"/>
      <c r="BM97" s="13"/>
      <c r="BO97" s="26"/>
      <c r="BS97" s="26"/>
      <c r="CD97" s="27"/>
    </row>
    <row r="98" spans="1:82" s="11" customFormat="1">
      <c r="A98" s="32"/>
      <c r="B98" s="33"/>
      <c r="C98" s="18"/>
      <c r="D98" s="18"/>
      <c r="E98" s="18"/>
      <c r="F98" s="18"/>
      <c r="G98" s="18"/>
      <c r="H98" s="17"/>
      <c r="I98" s="18"/>
      <c r="J98" s="18"/>
      <c r="K98" s="18"/>
      <c r="L98" s="18"/>
      <c r="M98" s="18"/>
      <c r="N98" s="18"/>
      <c r="O98" s="18"/>
      <c r="P98" s="33"/>
      <c r="Q98" s="18"/>
      <c r="R98" s="18"/>
      <c r="S98" s="18"/>
      <c r="T98" s="18"/>
      <c r="U98" s="18"/>
      <c r="V98" s="17"/>
      <c r="W98" s="18"/>
      <c r="X98" s="18"/>
      <c r="Y98" s="18"/>
      <c r="Z98" s="18"/>
      <c r="AA98" s="18"/>
      <c r="AB98" s="18"/>
      <c r="AC98" s="18"/>
      <c r="AD98" s="33"/>
      <c r="AE98" s="18"/>
      <c r="AF98" s="18"/>
      <c r="AG98" s="18"/>
      <c r="AH98" s="18"/>
      <c r="AI98" s="18"/>
      <c r="AJ98" s="17"/>
      <c r="AK98" s="33"/>
      <c r="AL98" s="18"/>
      <c r="AM98" s="18"/>
      <c r="AN98" s="18"/>
      <c r="AO98" s="18"/>
      <c r="AP98" s="18"/>
      <c r="AQ98" s="17"/>
      <c r="AR98" s="18"/>
      <c r="AS98" s="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33"/>
      <c r="BI98" s="18"/>
      <c r="BJ98" s="18"/>
      <c r="BK98" s="18"/>
      <c r="BL98" s="17"/>
      <c r="BM98" s="13"/>
      <c r="BO98" s="26"/>
      <c r="BS98" s="26"/>
      <c r="CD98" s="27"/>
    </row>
    <row r="99" spans="1:82" s="11" customFormat="1">
      <c r="A99" s="32"/>
      <c r="B99" s="33"/>
      <c r="C99" s="18"/>
      <c r="D99" s="18"/>
      <c r="E99" s="18"/>
      <c r="F99" s="18"/>
      <c r="G99" s="18"/>
      <c r="H99" s="17"/>
      <c r="I99" s="18"/>
      <c r="J99" s="18"/>
      <c r="K99" s="18"/>
      <c r="L99" s="18"/>
      <c r="M99" s="18"/>
      <c r="N99" s="18"/>
      <c r="O99" s="18"/>
      <c r="P99" s="33"/>
      <c r="Q99" s="18"/>
      <c r="R99" s="18"/>
      <c r="S99" s="18"/>
      <c r="T99" s="18"/>
      <c r="U99" s="18"/>
      <c r="V99" s="17"/>
      <c r="W99" s="18"/>
      <c r="X99" s="18"/>
      <c r="Y99" s="18"/>
      <c r="Z99" s="18"/>
      <c r="AA99" s="18"/>
      <c r="AB99" s="18"/>
      <c r="AC99" s="18"/>
      <c r="AD99" s="33"/>
      <c r="AE99" s="18"/>
      <c r="AF99" s="18"/>
      <c r="AG99" s="18"/>
      <c r="AH99" s="18"/>
      <c r="AI99" s="18"/>
      <c r="AJ99" s="17"/>
      <c r="AK99" s="33"/>
      <c r="AL99" s="18"/>
      <c r="AM99" s="18"/>
      <c r="AN99" s="18"/>
      <c r="AO99" s="18"/>
      <c r="AP99" s="18"/>
      <c r="AQ99" s="17"/>
      <c r="AR99" s="18"/>
      <c r="AS99" s="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33"/>
      <c r="BI99" s="18"/>
      <c r="BJ99" s="18"/>
      <c r="BK99" s="18"/>
      <c r="BL99" s="17"/>
      <c r="BM99" s="13"/>
      <c r="BO99" s="26"/>
      <c r="BS99" s="26"/>
      <c r="CD99" s="27"/>
    </row>
    <row r="100" spans="1:82" s="11" customFormat="1">
      <c r="A100" s="32"/>
      <c r="B100" s="33"/>
      <c r="C100" s="18"/>
      <c r="D100" s="18"/>
      <c r="E100" s="18"/>
      <c r="F100" s="18"/>
      <c r="G100" s="18"/>
      <c r="H100" s="17"/>
      <c r="I100" s="18"/>
      <c r="J100" s="18"/>
      <c r="K100" s="18"/>
      <c r="L100" s="18"/>
      <c r="M100" s="18"/>
      <c r="N100" s="18"/>
      <c r="O100" s="18"/>
      <c r="P100" s="33"/>
      <c r="Q100" s="18"/>
      <c r="R100" s="18"/>
      <c r="S100" s="18"/>
      <c r="T100" s="18"/>
      <c r="U100" s="18"/>
      <c r="V100" s="17"/>
      <c r="W100" s="18"/>
      <c r="X100" s="18"/>
      <c r="Y100" s="18"/>
      <c r="Z100" s="18"/>
      <c r="AA100" s="18"/>
      <c r="AB100" s="18"/>
      <c r="AC100" s="18"/>
      <c r="AD100" s="33"/>
      <c r="AE100" s="18"/>
      <c r="AF100" s="18"/>
      <c r="AG100" s="18"/>
      <c r="AH100" s="18"/>
      <c r="AI100" s="18"/>
      <c r="AJ100" s="17"/>
      <c r="AK100" s="33"/>
      <c r="AL100" s="18"/>
      <c r="AM100" s="18"/>
      <c r="AN100" s="18"/>
      <c r="AO100" s="18"/>
      <c r="AP100" s="18"/>
      <c r="AQ100" s="17"/>
      <c r="AR100" s="18"/>
      <c r="AS100" s="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33"/>
      <c r="BI100" s="18"/>
      <c r="BJ100" s="18"/>
      <c r="BK100" s="18"/>
      <c r="BL100" s="17"/>
      <c r="BM100" s="13"/>
      <c r="BO100" s="26"/>
      <c r="BS100" s="26"/>
      <c r="CD100" s="27"/>
    </row>
    <row r="101" spans="1:82" s="11" customFormat="1">
      <c r="A101" s="32"/>
      <c r="B101" s="33"/>
      <c r="C101" s="18"/>
      <c r="D101" s="18"/>
      <c r="E101" s="18"/>
      <c r="F101" s="18"/>
      <c r="G101" s="18"/>
      <c r="H101" s="17"/>
      <c r="I101" s="18"/>
      <c r="J101" s="18"/>
      <c r="K101" s="18"/>
      <c r="L101" s="18"/>
      <c r="M101" s="18"/>
      <c r="N101" s="18"/>
      <c r="O101" s="18"/>
      <c r="P101" s="33"/>
      <c r="Q101" s="18"/>
      <c r="R101" s="18"/>
      <c r="S101" s="18"/>
      <c r="T101" s="18"/>
      <c r="U101" s="18"/>
      <c r="V101" s="17"/>
      <c r="W101" s="18"/>
      <c r="X101" s="18"/>
      <c r="Y101" s="18"/>
      <c r="Z101" s="18"/>
      <c r="AA101" s="18"/>
      <c r="AB101" s="18"/>
      <c r="AC101" s="18"/>
      <c r="AD101" s="33"/>
      <c r="AE101" s="18"/>
      <c r="AF101" s="18"/>
      <c r="AG101" s="18"/>
      <c r="AH101" s="18"/>
      <c r="AI101" s="18"/>
      <c r="AJ101" s="17"/>
      <c r="AK101" s="33"/>
      <c r="AL101" s="18"/>
      <c r="AM101" s="18"/>
      <c r="AN101" s="18"/>
      <c r="AO101" s="18"/>
      <c r="AP101" s="18"/>
      <c r="AQ101" s="17"/>
      <c r="AR101" s="18"/>
      <c r="AS101" s="19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33"/>
      <c r="BI101" s="18"/>
      <c r="BJ101" s="18"/>
      <c r="BK101" s="18"/>
      <c r="BL101" s="17"/>
      <c r="BM101" s="13"/>
      <c r="BO101" s="26"/>
      <c r="BS101" s="26"/>
      <c r="CD101" s="27"/>
    </row>
    <row r="102" spans="1:82" s="11" customFormat="1">
      <c r="A102" s="32"/>
      <c r="B102" s="33"/>
      <c r="C102" s="18"/>
      <c r="D102" s="18"/>
      <c r="E102" s="18"/>
      <c r="F102" s="18"/>
      <c r="G102" s="18"/>
      <c r="H102" s="17"/>
      <c r="I102" s="18"/>
      <c r="J102" s="18"/>
      <c r="K102" s="18"/>
      <c r="L102" s="18"/>
      <c r="M102" s="18"/>
      <c r="N102" s="18"/>
      <c r="O102" s="18"/>
      <c r="P102" s="33"/>
      <c r="Q102" s="18"/>
      <c r="R102" s="18"/>
      <c r="S102" s="18"/>
      <c r="T102" s="18"/>
      <c r="U102" s="18"/>
      <c r="V102" s="17"/>
      <c r="W102" s="18"/>
      <c r="X102" s="18"/>
      <c r="Y102" s="18"/>
      <c r="Z102" s="18"/>
      <c r="AA102" s="18"/>
      <c r="AB102" s="18"/>
      <c r="AC102" s="18"/>
      <c r="AD102" s="33"/>
      <c r="AE102" s="18"/>
      <c r="AF102" s="18"/>
      <c r="AG102" s="18"/>
      <c r="AH102" s="18"/>
      <c r="AI102" s="18"/>
      <c r="AJ102" s="17"/>
      <c r="AK102" s="33"/>
      <c r="AL102" s="18"/>
      <c r="AM102" s="18"/>
      <c r="AN102" s="18"/>
      <c r="AO102" s="18"/>
      <c r="AP102" s="18"/>
      <c r="AQ102" s="17"/>
      <c r="AR102" s="18"/>
      <c r="AT102" s="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33"/>
      <c r="BI102" s="18"/>
      <c r="BJ102" s="18"/>
      <c r="BK102" s="18"/>
      <c r="BL102" s="17"/>
      <c r="BM102" s="13"/>
      <c r="BO102" s="26"/>
      <c r="BS102" s="26"/>
      <c r="CD102" s="27"/>
    </row>
    <row r="103" spans="1:82" s="11" customFormat="1">
      <c r="A103" s="32"/>
      <c r="B103" s="33"/>
      <c r="C103" s="18"/>
      <c r="D103" s="18"/>
      <c r="E103" s="18"/>
      <c r="F103" s="18"/>
      <c r="G103" s="18"/>
      <c r="H103" s="17"/>
      <c r="I103" s="18"/>
      <c r="J103" s="18"/>
      <c r="K103" s="18"/>
      <c r="L103" s="18"/>
      <c r="M103" s="18"/>
      <c r="N103" s="18"/>
      <c r="O103" s="18"/>
      <c r="P103" s="33"/>
      <c r="Q103" s="18"/>
      <c r="R103" s="18"/>
      <c r="S103" s="18"/>
      <c r="T103" s="18"/>
      <c r="U103" s="18"/>
      <c r="V103" s="17"/>
      <c r="W103" s="18"/>
      <c r="X103" s="18"/>
      <c r="Y103" s="18"/>
      <c r="Z103" s="18"/>
      <c r="AA103" s="18"/>
      <c r="AB103" s="18"/>
      <c r="AC103" s="18"/>
      <c r="AD103" s="33"/>
      <c r="AE103" s="18"/>
      <c r="AF103" s="18"/>
      <c r="AG103" s="18"/>
      <c r="AH103" s="18"/>
      <c r="AI103" s="18"/>
      <c r="AJ103" s="17"/>
      <c r="AK103" s="33"/>
      <c r="AL103" s="18"/>
      <c r="AM103" s="18"/>
      <c r="AN103" s="18"/>
      <c r="AO103" s="18"/>
      <c r="AP103" s="18"/>
      <c r="AQ103" s="17"/>
      <c r="AR103" s="18"/>
      <c r="AS103" s="8"/>
      <c r="AT103" s="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33"/>
      <c r="BI103" s="18"/>
      <c r="BJ103" s="18"/>
      <c r="BK103" s="18"/>
      <c r="BL103" s="17"/>
      <c r="BM103" s="13"/>
      <c r="BO103" s="26"/>
      <c r="BS103" s="26"/>
      <c r="CD103" s="27"/>
    </row>
    <row r="104" spans="1:82" s="11" customFormat="1">
      <c r="A104" s="32"/>
      <c r="B104" s="33"/>
      <c r="C104" s="18"/>
      <c r="D104" s="18"/>
      <c r="E104" s="18"/>
      <c r="F104" s="18"/>
      <c r="G104" s="18"/>
      <c r="H104" s="17"/>
      <c r="I104" s="18"/>
      <c r="J104" s="18"/>
      <c r="K104" s="18"/>
      <c r="L104" s="18"/>
      <c r="M104" s="18"/>
      <c r="N104" s="18"/>
      <c r="O104" s="18"/>
      <c r="P104" s="33"/>
      <c r="Q104" s="18"/>
      <c r="R104" s="18"/>
      <c r="S104" s="18"/>
      <c r="T104" s="18"/>
      <c r="U104" s="18"/>
      <c r="V104" s="17"/>
      <c r="W104" s="18"/>
      <c r="X104" s="18"/>
      <c r="Y104" s="18"/>
      <c r="Z104" s="18"/>
      <c r="AA104" s="18"/>
      <c r="AB104" s="18"/>
      <c r="AC104" s="18"/>
      <c r="AD104" s="33"/>
      <c r="AE104" s="18"/>
      <c r="AF104" s="18"/>
      <c r="AG104" s="18"/>
      <c r="AH104" s="18"/>
      <c r="AI104" s="18"/>
      <c r="AJ104" s="17"/>
      <c r="AK104" s="33"/>
      <c r="AL104" s="18"/>
      <c r="AM104" s="18"/>
      <c r="AN104" s="18"/>
      <c r="AO104" s="18"/>
      <c r="AP104" s="18"/>
      <c r="AQ104" s="17"/>
      <c r="AR104" s="18"/>
      <c r="AS104" s="16" t="s">
        <v>245</v>
      </c>
      <c r="AT104" s="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33"/>
      <c r="BI104" s="18"/>
      <c r="BJ104" s="18"/>
      <c r="BK104" s="18"/>
      <c r="BL104" s="17"/>
      <c r="BM104" s="13"/>
      <c r="BO104" s="26"/>
      <c r="BS104" s="26"/>
      <c r="CD104" s="27"/>
    </row>
    <row r="105" spans="1:82" s="11" customFormat="1">
      <c r="A105" s="32"/>
      <c r="B105" s="33"/>
      <c r="C105" s="18"/>
      <c r="D105" s="18"/>
      <c r="E105" s="18"/>
      <c r="F105" s="18"/>
      <c r="G105" s="18"/>
      <c r="H105" s="17"/>
      <c r="I105" s="18"/>
      <c r="J105" s="18"/>
      <c r="K105" s="18"/>
      <c r="L105" s="18"/>
      <c r="M105" s="18"/>
      <c r="N105" s="18"/>
      <c r="O105" s="18"/>
      <c r="P105" s="33"/>
      <c r="Q105" s="18"/>
      <c r="R105" s="18"/>
      <c r="S105" s="18"/>
      <c r="T105" s="18"/>
      <c r="U105" s="18"/>
      <c r="V105" s="17"/>
      <c r="W105" s="18"/>
      <c r="X105" s="18"/>
      <c r="Y105" s="18"/>
      <c r="Z105" s="18"/>
      <c r="AA105" s="18"/>
      <c r="AB105" s="18"/>
      <c r="AC105" s="18"/>
      <c r="AD105" s="33"/>
      <c r="AE105" s="18"/>
      <c r="AF105" s="18"/>
      <c r="AG105" s="18"/>
      <c r="AH105" s="18"/>
      <c r="AI105" s="18"/>
      <c r="AJ105" s="17"/>
      <c r="AK105" s="33"/>
      <c r="AL105" s="18"/>
      <c r="AM105" s="18"/>
      <c r="AN105" s="18"/>
      <c r="AO105" s="18"/>
      <c r="AP105" s="18"/>
      <c r="AQ105" s="17"/>
      <c r="AR105" s="18"/>
      <c r="AS105" s="8"/>
      <c r="AT105" s="8" t="s">
        <v>246</v>
      </c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33"/>
      <c r="BI105" s="18"/>
      <c r="BJ105" s="18"/>
      <c r="BK105" s="18"/>
      <c r="BL105" s="17"/>
      <c r="BM105" s="13"/>
      <c r="BO105" s="26"/>
      <c r="BS105" s="26"/>
      <c r="CD105" s="27"/>
    </row>
    <row r="106" spans="1:82" s="11" customFormat="1">
      <c r="A106" s="32"/>
      <c r="B106" s="33"/>
      <c r="C106" s="18"/>
      <c r="D106" s="18"/>
      <c r="E106" s="18"/>
      <c r="F106" s="18"/>
      <c r="G106" s="18"/>
      <c r="H106" s="17"/>
      <c r="I106" s="18"/>
      <c r="J106" s="18"/>
      <c r="K106" s="18"/>
      <c r="L106" s="18"/>
      <c r="M106" s="18"/>
      <c r="N106" s="18"/>
      <c r="O106" s="18"/>
      <c r="P106" s="33"/>
      <c r="Q106" s="18"/>
      <c r="R106" s="18"/>
      <c r="S106" s="18"/>
      <c r="T106" s="18"/>
      <c r="U106" s="18"/>
      <c r="V106" s="17"/>
      <c r="W106" s="18"/>
      <c r="X106" s="18"/>
      <c r="Y106" s="18"/>
      <c r="Z106" s="18"/>
      <c r="AA106" s="18"/>
      <c r="AB106" s="18"/>
      <c r="AC106" s="18"/>
      <c r="AD106" s="33"/>
      <c r="AE106" s="18"/>
      <c r="AF106" s="18"/>
      <c r="AG106" s="18"/>
      <c r="AH106" s="18"/>
      <c r="AI106" s="18"/>
      <c r="AJ106" s="17"/>
      <c r="AK106" s="33"/>
      <c r="AL106" s="18"/>
      <c r="AM106" s="18"/>
      <c r="AN106" s="18"/>
      <c r="AO106" s="18"/>
      <c r="AP106" s="18"/>
      <c r="AQ106" s="17"/>
      <c r="AR106" s="18"/>
      <c r="AT106" s="11" t="s">
        <v>247</v>
      </c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50">
        <v>20240411</v>
      </c>
      <c r="BI106" s="18"/>
      <c r="BJ106" s="18"/>
      <c r="BK106" s="18"/>
      <c r="BL106" s="17"/>
      <c r="BM106" s="13"/>
      <c r="BO106" s="26"/>
      <c r="BS106" s="26"/>
      <c r="CD106" s="27"/>
    </row>
    <row r="107" spans="1:82" s="11" customFormat="1">
      <c r="A107" s="32"/>
      <c r="B107" s="33"/>
      <c r="C107" s="18"/>
      <c r="D107" s="18"/>
      <c r="E107" s="18"/>
      <c r="F107" s="18"/>
      <c r="G107" s="18"/>
      <c r="H107" s="17"/>
      <c r="I107" s="18"/>
      <c r="J107" s="18"/>
      <c r="K107" s="18"/>
      <c r="L107" s="18"/>
      <c r="M107" s="18"/>
      <c r="N107" s="18"/>
      <c r="O107" s="18"/>
      <c r="P107" s="33"/>
      <c r="Q107" s="18"/>
      <c r="R107" s="18"/>
      <c r="S107" s="18"/>
      <c r="T107" s="18"/>
      <c r="U107" s="18"/>
      <c r="V107" s="17"/>
      <c r="W107" s="18"/>
      <c r="X107" s="18"/>
      <c r="Y107" s="18"/>
      <c r="Z107" s="18"/>
      <c r="AA107" s="18"/>
      <c r="AB107" s="18"/>
      <c r="AC107" s="18"/>
      <c r="AD107" s="33"/>
      <c r="AE107" s="18"/>
      <c r="AF107" s="18"/>
      <c r="AG107" s="18"/>
      <c r="AH107" s="18"/>
      <c r="AI107" s="18"/>
      <c r="AJ107" s="17"/>
      <c r="AK107" s="33"/>
      <c r="AL107" s="18"/>
      <c r="AM107" s="18"/>
      <c r="AN107" s="18"/>
      <c r="AO107" s="18"/>
      <c r="AP107" s="18"/>
      <c r="AQ107" s="17"/>
      <c r="AR107" s="18"/>
      <c r="AS107" s="8"/>
      <c r="AT107" s="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50" t="s">
        <v>234</v>
      </c>
      <c r="BI107" s="18"/>
      <c r="BJ107" s="18"/>
      <c r="BK107" s="18"/>
      <c r="BL107" s="17"/>
      <c r="BM107" s="13"/>
      <c r="BO107" s="26"/>
      <c r="BS107" s="26"/>
      <c r="CD107" s="27"/>
    </row>
    <row r="108" spans="1:82" s="11" customFormat="1">
      <c r="A108" s="32"/>
      <c r="B108" s="33"/>
      <c r="C108" s="18"/>
      <c r="D108" s="18"/>
      <c r="E108" s="18"/>
      <c r="F108" s="18"/>
      <c r="G108" s="18"/>
      <c r="H108" s="17"/>
      <c r="I108" s="18"/>
      <c r="J108" s="18"/>
      <c r="K108" s="18"/>
      <c r="L108" s="18"/>
      <c r="M108" s="18"/>
      <c r="N108" s="18"/>
      <c r="O108" s="18"/>
      <c r="P108" s="33"/>
      <c r="Q108" s="18"/>
      <c r="R108" s="18"/>
      <c r="S108" s="18"/>
      <c r="T108" s="18"/>
      <c r="U108" s="18"/>
      <c r="V108" s="17"/>
      <c r="W108" s="18"/>
      <c r="X108" s="18"/>
      <c r="Y108" s="18"/>
      <c r="Z108" s="18"/>
      <c r="AA108" s="18"/>
      <c r="AB108" s="18"/>
      <c r="AC108" s="18"/>
      <c r="AD108" s="33"/>
      <c r="AE108" s="18"/>
      <c r="AF108" s="18"/>
      <c r="AG108" s="18"/>
      <c r="AH108" s="18"/>
      <c r="AI108" s="18"/>
      <c r="AJ108" s="17"/>
      <c r="AK108" s="33"/>
      <c r="AL108" s="18"/>
      <c r="AM108" s="18"/>
      <c r="AN108" s="18"/>
      <c r="AO108" s="18"/>
      <c r="AP108" s="18"/>
      <c r="AQ108" s="17"/>
      <c r="AR108" s="18"/>
      <c r="AS108" s="8"/>
      <c r="AT108" s="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50" t="s">
        <v>248</v>
      </c>
      <c r="BI108" s="18"/>
      <c r="BJ108" s="18"/>
      <c r="BK108" s="18"/>
      <c r="BL108" s="17"/>
      <c r="BM108" s="13"/>
      <c r="BO108" s="26"/>
      <c r="BS108" s="26"/>
      <c r="CD108" s="27"/>
    </row>
    <row r="109" spans="1:82" s="11" customFormat="1">
      <c r="A109" s="32"/>
      <c r="B109" s="33"/>
      <c r="C109" s="18"/>
      <c r="D109" s="18"/>
      <c r="E109" s="18"/>
      <c r="F109" s="18"/>
      <c r="G109" s="18"/>
      <c r="H109" s="17"/>
      <c r="I109" s="18"/>
      <c r="J109" s="18"/>
      <c r="K109" s="18"/>
      <c r="L109" s="18"/>
      <c r="M109" s="18"/>
      <c r="N109" s="18"/>
      <c r="O109" s="18"/>
      <c r="P109" s="33"/>
      <c r="Q109" s="18"/>
      <c r="R109" s="18"/>
      <c r="S109" s="18"/>
      <c r="T109" s="18"/>
      <c r="U109" s="18"/>
      <c r="V109" s="17"/>
      <c r="W109" s="18"/>
      <c r="X109" s="18"/>
      <c r="Y109" s="18"/>
      <c r="Z109" s="18"/>
      <c r="AA109" s="18"/>
      <c r="AB109" s="18"/>
      <c r="AC109" s="18"/>
      <c r="AD109" s="33"/>
      <c r="AE109" s="18"/>
      <c r="AF109" s="18"/>
      <c r="AG109" s="18"/>
      <c r="AH109" s="18"/>
      <c r="AI109" s="18"/>
      <c r="AJ109" s="17"/>
      <c r="AK109" s="33"/>
      <c r="AL109" s="18"/>
      <c r="AM109" s="18"/>
      <c r="AN109" s="18"/>
      <c r="AO109" s="18"/>
      <c r="AP109" s="18"/>
      <c r="AQ109" s="17"/>
      <c r="AR109" s="18"/>
      <c r="AS109" s="8" t="s">
        <v>162</v>
      </c>
      <c r="AT109" s="8" t="s">
        <v>204</v>
      </c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46" t="s">
        <v>147</v>
      </c>
      <c r="BI109" s="18"/>
      <c r="BJ109" s="18"/>
      <c r="BK109" s="18"/>
      <c r="BL109" s="17"/>
      <c r="BM109" s="13"/>
      <c r="BO109" s="26"/>
      <c r="BS109" s="26"/>
      <c r="CD109" s="27"/>
    </row>
    <row r="110" spans="1:82" s="11" customFormat="1">
      <c r="A110" s="32"/>
      <c r="B110" s="33"/>
      <c r="C110" s="18"/>
      <c r="D110" s="18"/>
      <c r="E110" s="18"/>
      <c r="F110" s="18"/>
      <c r="G110" s="18"/>
      <c r="H110" s="17"/>
      <c r="I110" s="18"/>
      <c r="J110" s="18"/>
      <c r="K110" s="18"/>
      <c r="L110" s="18"/>
      <c r="M110" s="18"/>
      <c r="N110" s="18"/>
      <c r="O110" s="18"/>
      <c r="P110" s="33"/>
      <c r="Q110" s="18"/>
      <c r="R110" s="18"/>
      <c r="S110" s="18"/>
      <c r="T110" s="18"/>
      <c r="U110" s="18"/>
      <c r="V110" s="17"/>
      <c r="W110" s="18"/>
      <c r="X110" s="18"/>
      <c r="Y110" s="18"/>
      <c r="Z110" s="18"/>
      <c r="AA110" s="18"/>
      <c r="AB110" s="18"/>
      <c r="AC110" s="18"/>
      <c r="AD110" s="33"/>
      <c r="AE110" s="18"/>
      <c r="AF110" s="18"/>
      <c r="AG110" s="18"/>
      <c r="AH110" s="18"/>
      <c r="AI110" s="18"/>
      <c r="AJ110" s="17"/>
      <c r="AK110" s="33"/>
      <c r="AL110" s="18"/>
      <c r="AM110" s="18"/>
      <c r="AN110" s="18"/>
      <c r="AO110" s="18"/>
      <c r="AP110" s="18"/>
      <c r="AQ110" s="17"/>
      <c r="AR110" s="18"/>
      <c r="AS110" s="8"/>
      <c r="AT110" s="8" t="s">
        <v>249</v>
      </c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50" t="s">
        <v>188</v>
      </c>
      <c r="BI110" s="18"/>
      <c r="BJ110" s="18"/>
      <c r="BK110" s="18"/>
      <c r="BL110" s="17"/>
      <c r="BM110" s="13"/>
      <c r="BO110" s="26"/>
      <c r="BS110" s="26"/>
      <c r="CD110" s="27"/>
    </row>
    <row r="111" spans="1:82" s="11" customFormat="1">
      <c r="A111" s="32"/>
      <c r="B111" s="33"/>
      <c r="C111" s="18"/>
      <c r="D111" s="18"/>
      <c r="E111" s="18"/>
      <c r="F111" s="18"/>
      <c r="G111" s="18"/>
      <c r="H111" s="17"/>
      <c r="I111" s="18"/>
      <c r="J111" s="18"/>
      <c r="K111" s="18"/>
      <c r="L111" s="18"/>
      <c r="M111" s="18"/>
      <c r="N111" s="18"/>
      <c r="O111" s="18"/>
      <c r="P111" s="33"/>
      <c r="Q111" s="18"/>
      <c r="R111" s="18"/>
      <c r="S111" s="18"/>
      <c r="T111" s="18"/>
      <c r="U111" s="18"/>
      <c r="V111" s="17"/>
      <c r="W111" s="18"/>
      <c r="X111" s="18"/>
      <c r="Y111" s="18"/>
      <c r="Z111" s="18"/>
      <c r="AA111" s="18"/>
      <c r="AB111" s="18"/>
      <c r="AC111" s="18"/>
      <c r="AD111" s="33"/>
      <c r="AE111" s="18"/>
      <c r="AF111" s="18"/>
      <c r="AG111" s="18"/>
      <c r="AH111" s="18"/>
      <c r="AI111" s="18"/>
      <c r="AJ111" s="17"/>
      <c r="AK111" s="33"/>
      <c r="AL111" s="18"/>
      <c r="AM111" s="18"/>
      <c r="AN111" s="18"/>
      <c r="AO111" s="18"/>
      <c r="AP111" s="18"/>
      <c r="AQ111" s="17"/>
      <c r="AR111" s="18"/>
      <c r="AS111" s="8"/>
      <c r="AT111" s="8" t="s">
        <v>250</v>
      </c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50" t="s">
        <v>189</v>
      </c>
      <c r="BI111" s="18"/>
      <c r="BJ111" s="18"/>
      <c r="BK111" s="18"/>
      <c r="BL111" s="17"/>
      <c r="BM111" s="13"/>
      <c r="BO111" s="26"/>
      <c r="BS111" s="26"/>
      <c r="CD111" s="27"/>
    </row>
    <row r="112" spans="1:82" s="11" customFormat="1">
      <c r="A112" s="32"/>
      <c r="B112" s="33"/>
      <c r="C112" s="18"/>
      <c r="D112" s="18"/>
      <c r="E112" s="18"/>
      <c r="F112" s="18"/>
      <c r="G112" s="18"/>
      <c r="H112" s="17"/>
      <c r="I112" s="18"/>
      <c r="J112" s="18"/>
      <c r="K112" s="18"/>
      <c r="L112" s="18"/>
      <c r="M112" s="18"/>
      <c r="N112" s="18"/>
      <c r="O112" s="18"/>
      <c r="P112" s="33"/>
      <c r="Q112" s="18"/>
      <c r="R112" s="18"/>
      <c r="S112" s="18"/>
      <c r="T112" s="18"/>
      <c r="U112" s="18"/>
      <c r="V112" s="17"/>
      <c r="W112" s="18"/>
      <c r="X112" s="18"/>
      <c r="Y112" s="18"/>
      <c r="Z112" s="18"/>
      <c r="AA112" s="18"/>
      <c r="AB112" s="18"/>
      <c r="AC112" s="18"/>
      <c r="AD112" s="33"/>
      <c r="AE112" s="18"/>
      <c r="AF112" s="18"/>
      <c r="AG112" s="18"/>
      <c r="AH112" s="18"/>
      <c r="AI112" s="18"/>
      <c r="AJ112" s="17"/>
      <c r="AK112" s="33"/>
      <c r="AL112" s="18"/>
      <c r="AM112" s="18"/>
      <c r="AN112" s="18"/>
      <c r="AO112" s="18"/>
      <c r="AP112" s="18"/>
      <c r="AQ112" s="17"/>
      <c r="AR112" s="18"/>
      <c r="AS112" s="8"/>
      <c r="AT112" s="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33"/>
      <c r="BI112" s="18"/>
      <c r="BJ112" s="18"/>
      <c r="BK112" s="18"/>
      <c r="BL112" s="17"/>
      <c r="BM112" s="13"/>
      <c r="BO112" s="26"/>
      <c r="BS112" s="26"/>
      <c r="CD112" s="27"/>
    </row>
    <row r="113" spans="1:82" s="11" customFormat="1">
      <c r="A113" s="32"/>
      <c r="B113" s="33"/>
      <c r="C113" s="18"/>
      <c r="D113" s="18"/>
      <c r="E113" s="18"/>
      <c r="F113" s="18"/>
      <c r="G113" s="18"/>
      <c r="H113" s="17"/>
      <c r="I113" s="18"/>
      <c r="J113" s="18"/>
      <c r="K113" s="18"/>
      <c r="L113" s="18"/>
      <c r="M113" s="18"/>
      <c r="N113" s="18"/>
      <c r="O113" s="18"/>
      <c r="P113" s="33"/>
      <c r="Q113" s="18"/>
      <c r="R113" s="18"/>
      <c r="S113" s="18"/>
      <c r="T113" s="18"/>
      <c r="U113" s="18"/>
      <c r="V113" s="17"/>
      <c r="W113" s="18"/>
      <c r="X113" s="18"/>
      <c r="Y113" s="18"/>
      <c r="Z113" s="18"/>
      <c r="AA113" s="18"/>
      <c r="AB113" s="18"/>
      <c r="AC113" s="18"/>
      <c r="AD113" s="33"/>
      <c r="AE113" s="18"/>
      <c r="AF113" s="18"/>
      <c r="AG113" s="18"/>
      <c r="AH113" s="18"/>
      <c r="AI113" s="18"/>
      <c r="AJ113" s="17"/>
      <c r="AK113" s="33"/>
      <c r="AL113" s="18"/>
      <c r="AM113" s="18"/>
      <c r="AN113" s="18"/>
      <c r="AO113" s="18"/>
      <c r="AP113" s="18"/>
      <c r="AQ113" s="17"/>
      <c r="AR113" s="18"/>
      <c r="AS113" s="8"/>
      <c r="AT113" s="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33"/>
      <c r="BI113" s="18"/>
      <c r="BJ113" s="18"/>
      <c r="BK113" s="18"/>
      <c r="BL113" s="17"/>
      <c r="BM113" s="13"/>
      <c r="BO113" s="26"/>
      <c r="BS113" s="26"/>
      <c r="CD113" s="27"/>
    </row>
    <row r="114" spans="1:82" s="11" customFormat="1">
      <c r="A114" s="32"/>
      <c r="B114" s="33"/>
      <c r="C114" s="18"/>
      <c r="D114" s="18"/>
      <c r="E114" s="18"/>
      <c r="F114" s="18"/>
      <c r="G114" s="18"/>
      <c r="H114" s="17"/>
      <c r="I114" s="18"/>
      <c r="J114" s="18"/>
      <c r="K114" s="18"/>
      <c r="L114" s="18"/>
      <c r="M114" s="18"/>
      <c r="N114" s="18"/>
      <c r="O114" s="18"/>
      <c r="P114" s="33"/>
      <c r="Q114" s="18"/>
      <c r="R114" s="18"/>
      <c r="S114" s="18"/>
      <c r="T114" s="18"/>
      <c r="U114" s="18"/>
      <c r="V114" s="17"/>
      <c r="W114" s="18"/>
      <c r="X114" s="18"/>
      <c r="Y114" s="18"/>
      <c r="Z114" s="18"/>
      <c r="AA114" s="18"/>
      <c r="AB114" s="18"/>
      <c r="AC114" s="18"/>
      <c r="AD114" s="33"/>
      <c r="AE114" s="18"/>
      <c r="AF114" s="18"/>
      <c r="AG114" s="18"/>
      <c r="AH114" s="18"/>
      <c r="AI114" s="18"/>
      <c r="AJ114" s="17"/>
      <c r="AK114" s="33"/>
      <c r="AL114" s="18"/>
      <c r="AM114" s="18"/>
      <c r="AN114" s="18"/>
      <c r="AO114" s="18"/>
      <c r="AP114" s="18"/>
      <c r="AQ114" s="17"/>
      <c r="AR114" s="18"/>
      <c r="AS114" s="19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33"/>
      <c r="BI114" s="18"/>
      <c r="BJ114" s="18"/>
      <c r="BK114" s="18"/>
      <c r="BL114" s="17"/>
      <c r="BM114" s="13"/>
      <c r="BO114" s="26"/>
      <c r="BS114" s="26"/>
      <c r="CD114" s="27"/>
    </row>
    <row r="115" spans="1:82" s="11" customFormat="1">
      <c r="A115" s="32"/>
      <c r="B115" s="33"/>
      <c r="C115" s="18"/>
      <c r="D115" s="18"/>
      <c r="E115" s="18"/>
      <c r="F115" s="18"/>
      <c r="G115" s="18"/>
      <c r="H115" s="17"/>
      <c r="I115" s="18"/>
      <c r="J115" s="18"/>
      <c r="K115" s="18"/>
      <c r="L115" s="18"/>
      <c r="M115" s="18"/>
      <c r="N115" s="18"/>
      <c r="O115" s="18"/>
      <c r="P115" s="33"/>
      <c r="Q115" s="18"/>
      <c r="R115" s="18"/>
      <c r="S115" s="18"/>
      <c r="T115" s="18"/>
      <c r="U115" s="18"/>
      <c r="V115" s="17"/>
      <c r="W115" s="18"/>
      <c r="X115" s="18"/>
      <c r="Y115" s="18"/>
      <c r="Z115" s="18"/>
      <c r="AA115" s="18"/>
      <c r="AB115" s="18"/>
      <c r="AC115" s="18"/>
      <c r="AD115" s="33"/>
      <c r="AE115" s="18"/>
      <c r="AF115" s="18"/>
      <c r="AG115" s="18"/>
      <c r="AH115" s="18"/>
      <c r="AI115" s="18"/>
      <c r="AJ115" s="17"/>
      <c r="AK115" s="33"/>
      <c r="AL115" s="18"/>
      <c r="AM115" s="18"/>
      <c r="AN115" s="18"/>
      <c r="AO115" s="18"/>
      <c r="AP115" s="18"/>
      <c r="AQ115" s="17"/>
      <c r="AR115" s="18"/>
      <c r="AS115" s="16" t="s">
        <v>169</v>
      </c>
      <c r="AT115" s="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33"/>
      <c r="BI115" s="18"/>
      <c r="BJ115" s="18"/>
      <c r="BK115" s="18"/>
      <c r="BL115" s="17"/>
      <c r="BM115" s="13"/>
      <c r="BO115" s="26"/>
      <c r="BS115" s="26"/>
      <c r="CD115" s="27"/>
    </row>
    <row r="116" spans="1:82" s="11" customFormat="1">
      <c r="A116" s="32"/>
      <c r="B116" s="33"/>
      <c r="C116" s="18"/>
      <c r="D116" s="18"/>
      <c r="E116" s="18"/>
      <c r="F116" s="18"/>
      <c r="G116" s="18"/>
      <c r="H116" s="17"/>
      <c r="I116" s="18"/>
      <c r="J116" s="18"/>
      <c r="K116" s="18"/>
      <c r="L116" s="18"/>
      <c r="M116" s="18"/>
      <c r="N116" s="18"/>
      <c r="O116" s="18"/>
      <c r="P116" s="33"/>
      <c r="Q116" s="18"/>
      <c r="R116" s="18"/>
      <c r="S116" s="18"/>
      <c r="T116" s="18"/>
      <c r="U116" s="18"/>
      <c r="V116" s="17"/>
      <c r="W116" s="18"/>
      <c r="X116" s="18"/>
      <c r="Y116" s="18"/>
      <c r="Z116" s="18"/>
      <c r="AA116" s="18"/>
      <c r="AB116" s="18"/>
      <c r="AC116" s="18"/>
      <c r="AD116" s="33"/>
      <c r="AE116" s="18"/>
      <c r="AF116" s="18"/>
      <c r="AG116" s="18"/>
      <c r="AH116" s="18"/>
      <c r="AI116" s="18"/>
      <c r="AJ116" s="17"/>
      <c r="AK116" s="33"/>
      <c r="AL116" s="18"/>
      <c r="AM116" s="18"/>
      <c r="AN116" s="18"/>
      <c r="AO116" s="18"/>
      <c r="AP116" s="18"/>
      <c r="AQ116" s="17"/>
      <c r="AR116" s="18"/>
      <c r="AS116" s="8"/>
      <c r="AT116" s="8" t="s">
        <v>251</v>
      </c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33"/>
      <c r="BI116" s="18"/>
      <c r="BJ116" s="18"/>
      <c r="BK116" s="18"/>
      <c r="BL116" s="17"/>
      <c r="BM116" s="13"/>
      <c r="BO116" s="26"/>
      <c r="BS116" s="26"/>
      <c r="CD116" s="27"/>
    </row>
    <row r="117" spans="1:82" s="11" customFormat="1">
      <c r="A117" s="32"/>
      <c r="B117" s="33"/>
      <c r="C117" s="18"/>
      <c r="D117" s="18"/>
      <c r="E117" s="18"/>
      <c r="F117" s="18"/>
      <c r="G117" s="18"/>
      <c r="H117" s="17"/>
      <c r="I117" s="18"/>
      <c r="J117" s="18"/>
      <c r="K117" s="18"/>
      <c r="L117" s="18"/>
      <c r="M117" s="18"/>
      <c r="N117" s="18"/>
      <c r="O117" s="18"/>
      <c r="P117" s="33"/>
      <c r="Q117" s="18"/>
      <c r="R117" s="18"/>
      <c r="S117" s="18"/>
      <c r="T117" s="18"/>
      <c r="U117" s="18"/>
      <c r="V117" s="17"/>
      <c r="W117" s="18"/>
      <c r="X117" s="18"/>
      <c r="Y117" s="18"/>
      <c r="Z117" s="18"/>
      <c r="AA117" s="18"/>
      <c r="AB117" s="18"/>
      <c r="AC117" s="18"/>
      <c r="AD117" s="33"/>
      <c r="AE117" s="18"/>
      <c r="AF117" s="18"/>
      <c r="AG117" s="18"/>
      <c r="AH117" s="18"/>
      <c r="AI117" s="18"/>
      <c r="AJ117" s="17"/>
      <c r="AK117" s="33"/>
      <c r="AL117" s="18"/>
      <c r="AM117" s="18"/>
      <c r="AN117" s="18"/>
      <c r="AO117" s="18"/>
      <c r="AP117" s="18"/>
      <c r="AQ117" s="17"/>
      <c r="AR117" s="18"/>
      <c r="AS117" s="8" t="s">
        <v>162</v>
      </c>
      <c r="AT117" s="8" t="s">
        <v>252</v>
      </c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46" t="s">
        <v>147</v>
      </c>
      <c r="BI117" s="18"/>
      <c r="BJ117" s="18"/>
      <c r="BK117" s="18"/>
      <c r="BL117" s="17"/>
      <c r="BM117" s="13"/>
      <c r="BO117" s="26"/>
      <c r="BS117" s="26"/>
      <c r="CD117" s="27"/>
    </row>
    <row r="118" spans="1:82" s="11" customFormat="1">
      <c r="A118" s="32"/>
      <c r="B118" s="33"/>
      <c r="C118" s="18"/>
      <c r="D118" s="18"/>
      <c r="E118" s="18"/>
      <c r="F118" s="18"/>
      <c r="G118" s="18"/>
      <c r="H118" s="17"/>
      <c r="I118" s="18"/>
      <c r="J118" s="18"/>
      <c r="K118" s="18"/>
      <c r="L118" s="18"/>
      <c r="M118" s="18"/>
      <c r="N118" s="18"/>
      <c r="O118" s="18"/>
      <c r="P118" s="33"/>
      <c r="Q118" s="18"/>
      <c r="R118" s="18"/>
      <c r="S118" s="18"/>
      <c r="T118" s="18"/>
      <c r="U118" s="18"/>
      <c r="V118" s="17"/>
      <c r="W118" s="18"/>
      <c r="X118" s="18"/>
      <c r="Y118" s="18"/>
      <c r="Z118" s="18"/>
      <c r="AA118" s="18"/>
      <c r="AB118" s="18"/>
      <c r="AC118" s="18"/>
      <c r="AD118" s="33"/>
      <c r="AE118" s="18"/>
      <c r="AF118" s="18"/>
      <c r="AG118" s="18"/>
      <c r="AH118" s="18"/>
      <c r="AI118" s="18"/>
      <c r="AJ118" s="17"/>
      <c r="AK118" s="33"/>
      <c r="AL118" s="18"/>
      <c r="AM118" s="18"/>
      <c r="AN118" s="18"/>
      <c r="AO118" s="18"/>
      <c r="AP118" s="18"/>
      <c r="AQ118" s="17"/>
      <c r="AR118" s="18"/>
      <c r="AS118" s="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50" t="s">
        <v>188</v>
      </c>
      <c r="BI118" s="18"/>
      <c r="BJ118" s="18"/>
      <c r="BK118" s="18"/>
      <c r="BL118" s="17"/>
      <c r="BM118" s="13"/>
      <c r="BO118" s="26"/>
      <c r="BS118" s="26"/>
      <c r="CD118" s="27"/>
    </row>
    <row r="119" spans="1:82" s="11" customFormat="1">
      <c r="A119" s="32"/>
      <c r="B119" s="33"/>
      <c r="C119" s="18"/>
      <c r="D119" s="18"/>
      <c r="E119" s="18"/>
      <c r="F119" s="18"/>
      <c r="G119" s="18"/>
      <c r="H119" s="17"/>
      <c r="I119" s="18"/>
      <c r="J119" s="18"/>
      <c r="K119" s="18"/>
      <c r="L119" s="18"/>
      <c r="M119" s="18"/>
      <c r="N119" s="18"/>
      <c r="O119" s="18"/>
      <c r="P119" s="33"/>
      <c r="Q119" s="18"/>
      <c r="R119" s="18"/>
      <c r="S119" s="18"/>
      <c r="T119" s="18"/>
      <c r="U119" s="18"/>
      <c r="V119" s="17"/>
      <c r="W119" s="18"/>
      <c r="X119" s="18"/>
      <c r="Y119" s="18"/>
      <c r="Z119" s="18"/>
      <c r="AA119" s="18"/>
      <c r="AB119" s="18"/>
      <c r="AC119" s="18"/>
      <c r="AD119" s="33"/>
      <c r="AE119" s="18"/>
      <c r="AF119" s="18"/>
      <c r="AG119" s="18"/>
      <c r="AH119" s="18"/>
      <c r="AI119" s="18"/>
      <c r="AJ119" s="17"/>
      <c r="AK119" s="33"/>
      <c r="AL119" s="18"/>
      <c r="AM119" s="18"/>
      <c r="AN119" s="18"/>
      <c r="AO119" s="18"/>
      <c r="AP119" s="18"/>
      <c r="AQ119" s="17"/>
      <c r="AR119" s="18"/>
      <c r="AS119" s="8"/>
      <c r="AT119" s="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50" t="s">
        <v>189</v>
      </c>
      <c r="BI119" s="18"/>
      <c r="BJ119" s="18"/>
      <c r="BK119" s="18"/>
      <c r="BL119" s="17"/>
      <c r="BM119" s="13"/>
      <c r="BO119" s="26"/>
      <c r="BS119" s="26"/>
      <c r="CD119" s="27"/>
    </row>
    <row r="120" spans="1:82" s="11" customFormat="1">
      <c r="A120" s="32"/>
      <c r="B120" s="33"/>
      <c r="C120" s="18"/>
      <c r="D120" s="18"/>
      <c r="E120" s="18"/>
      <c r="F120" s="18"/>
      <c r="G120" s="18"/>
      <c r="H120" s="17"/>
      <c r="I120" s="18"/>
      <c r="J120" s="18"/>
      <c r="K120" s="18"/>
      <c r="L120" s="18"/>
      <c r="M120" s="18"/>
      <c r="N120" s="18"/>
      <c r="O120" s="18"/>
      <c r="P120" s="33"/>
      <c r="Q120" s="18"/>
      <c r="R120" s="18"/>
      <c r="S120" s="18"/>
      <c r="T120" s="18"/>
      <c r="U120" s="18"/>
      <c r="V120" s="17"/>
      <c r="W120" s="18"/>
      <c r="X120" s="18"/>
      <c r="Y120" s="18"/>
      <c r="Z120" s="18"/>
      <c r="AA120" s="18"/>
      <c r="AB120" s="18"/>
      <c r="AC120" s="18"/>
      <c r="AD120" s="33"/>
      <c r="AE120" s="18"/>
      <c r="AF120" s="18"/>
      <c r="AG120" s="18"/>
      <c r="AH120" s="18"/>
      <c r="AI120" s="18"/>
      <c r="AJ120" s="17"/>
      <c r="AK120" s="33"/>
      <c r="AL120" s="18"/>
      <c r="AM120" s="18"/>
      <c r="AN120" s="18"/>
      <c r="AO120" s="18"/>
      <c r="AP120" s="18"/>
      <c r="AQ120" s="17"/>
      <c r="AR120" s="18"/>
      <c r="AS120" s="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33"/>
      <c r="BI120" s="18"/>
      <c r="BJ120" s="18"/>
      <c r="BK120" s="18"/>
      <c r="BL120" s="17"/>
      <c r="BM120" s="13"/>
      <c r="BO120" s="26"/>
      <c r="BS120" s="26"/>
      <c r="CD120" s="27"/>
    </row>
    <row r="121" spans="1:82" s="11" customFormat="1">
      <c r="A121" s="32"/>
      <c r="B121" s="33"/>
      <c r="C121" s="18"/>
      <c r="D121" s="18"/>
      <c r="E121" s="18"/>
      <c r="F121" s="18"/>
      <c r="G121" s="18"/>
      <c r="H121" s="17"/>
      <c r="I121" s="18"/>
      <c r="J121" s="18"/>
      <c r="K121" s="18"/>
      <c r="L121" s="18"/>
      <c r="M121" s="18"/>
      <c r="N121" s="18"/>
      <c r="O121" s="18"/>
      <c r="P121" s="33"/>
      <c r="Q121" s="18"/>
      <c r="R121" s="18"/>
      <c r="S121" s="18"/>
      <c r="T121" s="18"/>
      <c r="U121" s="18"/>
      <c r="V121" s="17"/>
      <c r="W121" s="18"/>
      <c r="X121" s="18"/>
      <c r="Y121" s="18"/>
      <c r="Z121" s="18"/>
      <c r="AA121" s="18"/>
      <c r="AB121" s="18"/>
      <c r="AC121" s="18"/>
      <c r="AD121" s="33"/>
      <c r="AE121" s="18"/>
      <c r="AF121" s="18"/>
      <c r="AG121" s="18"/>
      <c r="AH121" s="18"/>
      <c r="AI121" s="18"/>
      <c r="AJ121" s="17"/>
      <c r="AK121" s="33"/>
      <c r="AL121" s="18"/>
      <c r="AM121" s="18"/>
      <c r="AN121" s="18"/>
      <c r="AO121" s="18"/>
      <c r="AP121" s="18"/>
      <c r="AQ121" s="17"/>
      <c r="AR121" s="18"/>
      <c r="AS121" s="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33"/>
      <c r="BI121" s="18"/>
      <c r="BJ121" s="18"/>
      <c r="BK121" s="18"/>
      <c r="BL121" s="17"/>
      <c r="BM121" s="13"/>
      <c r="BO121" s="26"/>
      <c r="BS121" s="26"/>
      <c r="CD121" s="27"/>
    </row>
    <row r="122" spans="1:82" s="11" customFormat="1">
      <c r="A122" s="32"/>
      <c r="B122" s="33"/>
      <c r="C122" s="18"/>
      <c r="D122" s="18"/>
      <c r="E122" s="18"/>
      <c r="F122" s="18"/>
      <c r="G122" s="18"/>
      <c r="H122" s="17"/>
      <c r="I122" s="18"/>
      <c r="J122" s="18"/>
      <c r="K122" s="18"/>
      <c r="L122" s="18"/>
      <c r="M122" s="18"/>
      <c r="N122" s="18"/>
      <c r="O122" s="18"/>
      <c r="P122" s="33"/>
      <c r="Q122" s="18"/>
      <c r="R122" s="18"/>
      <c r="S122" s="18"/>
      <c r="T122" s="18"/>
      <c r="U122" s="18"/>
      <c r="V122" s="17"/>
      <c r="W122" s="18"/>
      <c r="X122" s="18"/>
      <c r="Y122" s="18"/>
      <c r="Z122" s="18"/>
      <c r="AA122" s="18"/>
      <c r="AB122" s="18"/>
      <c r="AC122" s="18"/>
      <c r="AD122" s="33"/>
      <c r="AE122" s="18"/>
      <c r="AF122" s="18"/>
      <c r="AG122" s="18"/>
      <c r="AH122" s="18"/>
      <c r="AI122" s="18"/>
      <c r="AJ122" s="17"/>
      <c r="AK122" s="33"/>
      <c r="AL122" s="18"/>
      <c r="AM122" s="18"/>
      <c r="AN122" s="18"/>
      <c r="AO122" s="18"/>
      <c r="AP122" s="18"/>
      <c r="AQ122" s="17"/>
      <c r="AR122" s="18"/>
      <c r="AS122" s="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33"/>
      <c r="BI122" s="18"/>
      <c r="BJ122" s="18"/>
      <c r="BK122" s="18"/>
      <c r="BL122" s="17"/>
      <c r="BM122" s="13"/>
      <c r="BO122" s="26"/>
      <c r="BS122" s="26"/>
      <c r="CD122" s="27"/>
    </row>
    <row r="123" spans="1:82" s="11" customFormat="1">
      <c r="A123" s="32"/>
      <c r="B123" s="33"/>
      <c r="C123" s="18"/>
      <c r="D123" s="18"/>
      <c r="E123" s="18"/>
      <c r="F123" s="18"/>
      <c r="G123" s="18"/>
      <c r="H123" s="17"/>
      <c r="I123" s="18"/>
      <c r="J123" s="18"/>
      <c r="K123" s="18"/>
      <c r="L123" s="18"/>
      <c r="M123" s="18"/>
      <c r="N123" s="18"/>
      <c r="O123" s="18"/>
      <c r="P123" s="33"/>
      <c r="Q123" s="18"/>
      <c r="R123" s="18"/>
      <c r="S123" s="18"/>
      <c r="T123" s="18"/>
      <c r="U123" s="18"/>
      <c r="V123" s="17"/>
      <c r="W123" s="18"/>
      <c r="X123" s="18"/>
      <c r="Y123" s="18"/>
      <c r="Z123" s="18"/>
      <c r="AA123" s="18"/>
      <c r="AB123" s="18"/>
      <c r="AC123" s="18"/>
      <c r="AD123" s="33"/>
      <c r="AE123" s="18"/>
      <c r="AF123" s="18"/>
      <c r="AG123" s="18"/>
      <c r="AH123" s="18"/>
      <c r="AI123" s="18"/>
      <c r="AJ123" s="17"/>
      <c r="AK123" s="33"/>
      <c r="AL123" s="18"/>
      <c r="AM123" s="18"/>
      <c r="AN123" s="18"/>
      <c r="AO123" s="18"/>
      <c r="AP123" s="18"/>
      <c r="AQ123" s="17"/>
      <c r="AR123" s="18"/>
      <c r="AS123" s="16" t="s">
        <v>253</v>
      </c>
      <c r="AT123" s="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33"/>
      <c r="BI123" s="18"/>
      <c r="BJ123" s="18"/>
      <c r="BK123" s="18"/>
      <c r="BL123" s="17"/>
      <c r="BM123" s="13"/>
      <c r="BO123" s="26"/>
      <c r="BS123" s="26"/>
      <c r="CD123" s="27"/>
    </row>
    <row r="124" spans="1:82" s="11" customFormat="1">
      <c r="A124" s="32"/>
      <c r="B124" s="33"/>
      <c r="C124" s="18"/>
      <c r="D124" s="18"/>
      <c r="E124" s="18"/>
      <c r="F124" s="18"/>
      <c r="G124" s="18"/>
      <c r="H124" s="17"/>
      <c r="I124" s="18"/>
      <c r="J124" s="18"/>
      <c r="K124" s="18"/>
      <c r="L124" s="18"/>
      <c r="M124" s="18"/>
      <c r="N124" s="18"/>
      <c r="O124" s="18"/>
      <c r="P124" s="33"/>
      <c r="Q124" s="18"/>
      <c r="R124" s="18"/>
      <c r="S124" s="18"/>
      <c r="T124" s="18"/>
      <c r="U124" s="18"/>
      <c r="V124" s="17"/>
      <c r="W124" s="18"/>
      <c r="X124" s="18"/>
      <c r="Y124" s="18"/>
      <c r="Z124" s="18"/>
      <c r="AA124" s="18"/>
      <c r="AB124" s="18"/>
      <c r="AC124" s="18"/>
      <c r="AD124" s="33"/>
      <c r="AE124" s="18"/>
      <c r="AF124" s="18"/>
      <c r="AG124" s="18"/>
      <c r="AH124" s="18"/>
      <c r="AI124" s="18"/>
      <c r="AJ124" s="17"/>
      <c r="AK124" s="33"/>
      <c r="AL124" s="18"/>
      <c r="AM124" s="18"/>
      <c r="AN124" s="18"/>
      <c r="AO124" s="18"/>
      <c r="AP124" s="18"/>
      <c r="AQ124" s="17"/>
      <c r="AR124" s="18"/>
      <c r="AS124" s="8"/>
      <c r="AT124" s="8" t="s">
        <v>254</v>
      </c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33"/>
      <c r="BI124" s="18"/>
      <c r="BJ124" s="18"/>
      <c r="BK124" s="18"/>
      <c r="BL124" s="17"/>
      <c r="BM124" s="13"/>
      <c r="BO124" s="26"/>
      <c r="BS124" s="26"/>
      <c r="CD124" s="27"/>
    </row>
    <row r="125" spans="1:82" s="11" customFormat="1">
      <c r="A125" s="32"/>
      <c r="B125" s="33"/>
      <c r="C125" s="18"/>
      <c r="D125" s="18"/>
      <c r="E125" s="18"/>
      <c r="F125" s="18"/>
      <c r="G125" s="18"/>
      <c r="H125" s="17"/>
      <c r="I125" s="18"/>
      <c r="J125" s="18"/>
      <c r="K125" s="18"/>
      <c r="L125" s="18"/>
      <c r="M125" s="18"/>
      <c r="N125" s="18"/>
      <c r="O125" s="18"/>
      <c r="P125" s="33"/>
      <c r="Q125" s="18"/>
      <c r="R125" s="18"/>
      <c r="S125" s="18"/>
      <c r="T125" s="18"/>
      <c r="U125" s="18"/>
      <c r="V125" s="17"/>
      <c r="W125" s="18"/>
      <c r="X125" s="18"/>
      <c r="Y125" s="18"/>
      <c r="Z125" s="18"/>
      <c r="AA125" s="18"/>
      <c r="AB125" s="18"/>
      <c r="AC125" s="18"/>
      <c r="AD125" s="33"/>
      <c r="AE125" s="18"/>
      <c r="AF125" s="18"/>
      <c r="AG125" s="18"/>
      <c r="AH125" s="18"/>
      <c r="AI125" s="18"/>
      <c r="AJ125" s="17"/>
      <c r="AK125" s="33"/>
      <c r="AL125" s="18"/>
      <c r="AM125" s="18"/>
      <c r="AN125" s="18"/>
      <c r="AO125" s="18"/>
      <c r="AP125" s="18"/>
      <c r="AQ125" s="17"/>
      <c r="AR125" s="18"/>
      <c r="AS125" s="8"/>
      <c r="AT125" s="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33"/>
      <c r="BI125" s="18"/>
      <c r="BJ125" s="18"/>
      <c r="BK125" s="18"/>
      <c r="BL125" s="17"/>
      <c r="BM125" s="13"/>
      <c r="BO125" s="26"/>
      <c r="BS125" s="26"/>
      <c r="CD125" s="27"/>
    </row>
    <row r="126" spans="1:82" s="11" customFormat="1">
      <c r="A126" s="32"/>
      <c r="B126" s="33"/>
      <c r="C126" s="18"/>
      <c r="D126" s="18"/>
      <c r="E126" s="18"/>
      <c r="F126" s="18"/>
      <c r="G126" s="18"/>
      <c r="H126" s="17"/>
      <c r="I126" s="18"/>
      <c r="J126" s="18"/>
      <c r="K126" s="18"/>
      <c r="L126" s="18"/>
      <c r="M126" s="18"/>
      <c r="N126" s="18"/>
      <c r="O126" s="18"/>
      <c r="P126" s="33"/>
      <c r="Q126" s="18"/>
      <c r="R126" s="18"/>
      <c r="S126" s="18"/>
      <c r="T126" s="18"/>
      <c r="U126" s="18"/>
      <c r="V126" s="17"/>
      <c r="W126" s="18"/>
      <c r="X126" s="18"/>
      <c r="Y126" s="18"/>
      <c r="Z126" s="18"/>
      <c r="AA126" s="18"/>
      <c r="AB126" s="18"/>
      <c r="AC126" s="18"/>
      <c r="AD126" s="33"/>
      <c r="AE126" s="18"/>
      <c r="AF126" s="18"/>
      <c r="AG126" s="18"/>
      <c r="AH126" s="18"/>
      <c r="AI126" s="18"/>
      <c r="AJ126" s="17"/>
      <c r="AK126" s="33"/>
      <c r="AL126" s="18"/>
      <c r="AM126" s="18"/>
      <c r="AN126" s="18"/>
      <c r="AO126" s="18"/>
      <c r="AP126" s="18"/>
      <c r="AQ126" s="17"/>
      <c r="AR126" s="18"/>
      <c r="AS126" s="8"/>
      <c r="AT126" s="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33"/>
      <c r="BI126" s="18"/>
      <c r="BJ126" s="18"/>
      <c r="BK126" s="18"/>
      <c r="BL126" s="17"/>
      <c r="BM126" s="13"/>
      <c r="BO126" s="26"/>
      <c r="BS126" s="26"/>
      <c r="CD126" s="27"/>
    </row>
    <row r="127" spans="1:82" s="11" customFormat="1">
      <c r="A127" s="32"/>
      <c r="B127" s="33"/>
      <c r="C127" s="18"/>
      <c r="D127" s="18"/>
      <c r="E127" s="18"/>
      <c r="F127" s="18"/>
      <c r="G127" s="18"/>
      <c r="H127" s="17"/>
      <c r="I127" s="18"/>
      <c r="J127" s="18"/>
      <c r="K127" s="18"/>
      <c r="L127" s="18"/>
      <c r="M127" s="18"/>
      <c r="N127" s="18"/>
      <c r="O127" s="18"/>
      <c r="P127" s="33"/>
      <c r="Q127" s="18"/>
      <c r="R127" s="18"/>
      <c r="S127" s="18"/>
      <c r="T127" s="18"/>
      <c r="U127" s="18"/>
      <c r="V127" s="17"/>
      <c r="W127" s="18"/>
      <c r="X127" s="18"/>
      <c r="Y127" s="18"/>
      <c r="Z127" s="18"/>
      <c r="AA127" s="18"/>
      <c r="AB127" s="18"/>
      <c r="AC127" s="18"/>
      <c r="AD127" s="33"/>
      <c r="AE127" s="18"/>
      <c r="AF127" s="18"/>
      <c r="AG127" s="18"/>
      <c r="AH127" s="18"/>
      <c r="AI127" s="18"/>
      <c r="AJ127" s="17"/>
      <c r="AK127" s="33"/>
      <c r="AL127" s="18"/>
      <c r="AM127" s="18"/>
      <c r="AN127" s="18"/>
      <c r="AO127" s="18"/>
      <c r="AP127" s="18"/>
      <c r="AQ127" s="17"/>
      <c r="AR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33"/>
      <c r="BI127" s="18"/>
      <c r="BJ127" s="18"/>
      <c r="BK127" s="18"/>
      <c r="BL127" s="17"/>
      <c r="BM127" s="13"/>
      <c r="BO127" s="26"/>
      <c r="BS127" s="26"/>
      <c r="CD127" s="27"/>
    </row>
    <row r="128" spans="1:82" s="11" customFormat="1">
      <c r="A128" s="32"/>
      <c r="B128" s="33"/>
      <c r="C128" s="18"/>
      <c r="D128" s="18"/>
      <c r="E128" s="18"/>
      <c r="F128" s="18"/>
      <c r="G128" s="18"/>
      <c r="H128" s="17"/>
      <c r="I128" s="18"/>
      <c r="J128" s="18"/>
      <c r="K128" s="18"/>
      <c r="L128" s="18"/>
      <c r="M128" s="18"/>
      <c r="N128" s="18"/>
      <c r="O128" s="18"/>
      <c r="P128" s="33"/>
      <c r="Q128" s="18"/>
      <c r="R128" s="18"/>
      <c r="S128" s="18"/>
      <c r="T128" s="18"/>
      <c r="U128" s="18"/>
      <c r="V128" s="17"/>
      <c r="W128" s="18"/>
      <c r="X128" s="18"/>
      <c r="Y128" s="18"/>
      <c r="Z128" s="18"/>
      <c r="AA128" s="18"/>
      <c r="AB128" s="18"/>
      <c r="AC128" s="18"/>
      <c r="AD128" s="33"/>
      <c r="AE128" s="18"/>
      <c r="AF128" s="18"/>
      <c r="AG128" s="18"/>
      <c r="AH128" s="18"/>
      <c r="AI128" s="18"/>
      <c r="AJ128" s="17"/>
      <c r="AK128" s="33"/>
      <c r="AL128" s="18"/>
      <c r="AM128" s="18"/>
      <c r="AN128" s="18"/>
      <c r="AO128" s="18"/>
      <c r="AP128" s="18"/>
      <c r="AQ128" s="17"/>
      <c r="AR128" s="18"/>
      <c r="AS128" s="8" t="s">
        <v>162</v>
      </c>
      <c r="AT128" s="8" t="s">
        <v>255</v>
      </c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46" t="s">
        <v>147</v>
      </c>
      <c r="BI128" s="18"/>
      <c r="BJ128" s="18"/>
      <c r="BK128" s="18"/>
      <c r="BL128" s="17"/>
      <c r="BM128" s="13"/>
      <c r="BO128" s="26"/>
      <c r="BS128" s="26"/>
      <c r="CD128" s="27"/>
    </row>
    <row r="129" spans="1:82" s="11" customFormat="1">
      <c r="A129" s="32"/>
      <c r="B129" s="33"/>
      <c r="C129" s="18"/>
      <c r="D129" s="18"/>
      <c r="E129" s="18"/>
      <c r="F129" s="18"/>
      <c r="G129" s="18"/>
      <c r="H129" s="17"/>
      <c r="I129" s="18"/>
      <c r="J129" s="18"/>
      <c r="K129" s="18"/>
      <c r="L129" s="18"/>
      <c r="M129" s="18"/>
      <c r="N129" s="18"/>
      <c r="O129" s="18"/>
      <c r="P129" s="33"/>
      <c r="Q129" s="18"/>
      <c r="R129" s="18"/>
      <c r="S129" s="18"/>
      <c r="T129" s="18"/>
      <c r="U129" s="18"/>
      <c r="V129" s="17"/>
      <c r="W129" s="18"/>
      <c r="X129" s="18"/>
      <c r="Y129" s="18"/>
      <c r="Z129" s="18"/>
      <c r="AA129" s="18"/>
      <c r="AB129" s="18"/>
      <c r="AC129" s="18"/>
      <c r="AD129" s="33"/>
      <c r="AE129" s="18"/>
      <c r="AF129" s="18"/>
      <c r="AG129" s="18"/>
      <c r="AH129" s="18"/>
      <c r="AI129" s="18"/>
      <c r="AJ129" s="17"/>
      <c r="AK129" s="33"/>
      <c r="AL129" s="18"/>
      <c r="AM129" s="18"/>
      <c r="AN129" s="18"/>
      <c r="AO129" s="18"/>
      <c r="AP129" s="18"/>
      <c r="AQ129" s="17"/>
      <c r="AR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50" t="s">
        <v>188</v>
      </c>
      <c r="BI129" s="18"/>
      <c r="BJ129" s="18"/>
      <c r="BK129" s="18"/>
      <c r="BL129" s="17"/>
      <c r="BM129" s="13"/>
      <c r="BO129" s="26"/>
      <c r="BS129" s="26"/>
      <c r="CD129" s="27"/>
    </row>
    <row r="130" spans="1:82" s="11" customFormat="1">
      <c r="A130" s="32"/>
      <c r="B130" s="33"/>
      <c r="C130" s="18"/>
      <c r="D130" s="18"/>
      <c r="E130" s="18"/>
      <c r="F130" s="18"/>
      <c r="G130" s="18"/>
      <c r="H130" s="17"/>
      <c r="I130" s="18"/>
      <c r="J130" s="18"/>
      <c r="K130" s="18"/>
      <c r="L130" s="18"/>
      <c r="M130" s="18"/>
      <c r="N130" s="18"/>
      <c r="O130" s="18"/>
      <c r="P130" s="33"/>
      <c r="Q130" s="18"/>
      <c r="R130" s="18"/>
      <c r="S130" s="18"/>
      <c r="T130" s="18"/>
      <c r="U130" s="18"/>
      <c r="V130" s="17"/>
      <c r="W130" s="18"/>
      <c r="X130" s="18"/>
      <c r="Y130" s="18"/>
      <c r="Z130" s="18"/>
      <c r="AA130" s="18"/>
      <c r="AB130" s="18"/>
      <c r="AC130" s="18"/>
      <c r="AD130" s="33"/>
      <c r="AE130" s="18"/>
      <c r="AF130" s="18"/>
      <c r="AG130" s="18"/>
      <c r="AH130" s="18"/>
      <c r="AI130" s="18"/>
      <c r="AJ130" s="17"/>
      <c r="AK130" s="33"/>
      <c r="AL130" s="18"/>
      <c r="AM130" s="18"/>
      <c r="AN130" s="18"/>
      <c r="AO130" s="18"/>
      <c r="AP130" s="18"/>
      <c r="AQ130" s="17"/>
      <c r="AR130" s="18"/>
      <c r="AS130" s="19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50" t="s">
        <v>189</v>
      </c>
      <c r="BI130" s="18"/>
      <c r="BJ130" s="18"/>
      <c r="BK130" s="18"/>
      <c r="BL130" s="17"/>
      <c r="BM130" s="13"/>
      <c r="BO130" s="26"/>
      <c r="BS130" s="26"/>
      <c r="CD130" s="27"/>
    </row>
    <row r="131" spans="1:82" s="11" customFormat="1">
      <c r="A131" s="32"/>
      <c r="B131" s="33"/>
      <c r="C131" s="18"/>
      <c r="D131" s="18"/>
      <c r="E131" s="18"/>
      <c r="F131" s="18"/>
      <c r="G131" s="18"/>
      <c r="H131" s="17"/>
      <c r="I131" s="18"/>
      <c r="J131" s="18"/>
      <c r="K131" s="18"/>
      <c r="L131" s="18"/>
      <c r="M131" s="18"/>
      <c r="N131" s="18"/>
      <c r="O131" s="18"/>
      <c r="P131" s="33"/>
      <c r="Q131" s="18"/>
      <c r="R131" s="18"/>
      <c r="S131" s="18"/>
      <c r="T131" s="18"/>
      <c r="U131" s="18"/>
      <c r="V131" s="17"/>
      <c r="W131" s="18"/>
      <c r="X131" s="18"/>
      <c r="Y131" s="18"/>
      <c r="Z131" s="18"/>
      <c r="AA131" s="18"/>
      <c r="AB131" s="18"/>
      <c r="AC131" s="18"/>
      <c r="AD131" s="33"/>
      <c r="AE131" s="18"/>
      <c r="AF131" s="18"/>
      <c r="AG131" s="18"/>
      <c r="AH131" s="18"/>
      <c r="AI131" s="18"/>
      <c r="AJ131" s="17"/>
      <c r="AK131" s="33"/>
      <c r="AL131" s="18"/>
      <c r="AM131" s="18"/>
      <c r="AN131" s="18"/>
      <c r="AO131" s="18"/>
      <c r="AP131" s="18"/>
      <c r="AQ131" s="17"/>
      <c r="AR131" s="18"/>
      <c r="AS131" s="16" t="s">
        <v>256</v>
      </c>
      <c r="AT131" s="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33"/>
      <c r="BI131" s="18"/>
      <c r="BJ131" s="18"/>
      <c r="BK131" s="18"/>
      <c r="BL131" s="17"/>
      <c r="BM131" s="13"/>
      <c r="BO131" s="26"/>
      <c r="BS131" s="26"/>
      <c r="CD131" s="27"/>
    </row>
    <row r="132" spans="1:82" s="11" customFormat="1">
      <c r="A132" s="32"/>
      <c r="B132" s="33"/>
      <c r="C132" s="18"/>
      <c r="D132" s="18"/>
      <c r="E132" s="18"/>
      <c r="F132" s="18"/>
      <c r="G132" s="18"/>
      <c r="H132" s="17"/>
      <c r="I132" s="18"/>
      <c r="J132" s="18"/>
      <c r="K132" s="18"/>
      <c r="L132" s="18"/>
      <c r="M132" s="18"/>
      <c r="N132" s="18"/>
      <c r="O132" s="18"/>
      <c r="P132" s="33"/>
      <c r="Q132" s="18"/>
      <c r="R132" s="18"/>
      <c r="S132" s="18"/>
      <c r="T132" s="18"/>
      <c r="U132" s="18"/>
      <c r="V132" s="17"/>
      <c r="W132" s="18"/>
      <c r="X132" s="18"/>
      <c r="Y132" s="18"/>
      <c r="Z132" s="18"/>
      <c r="AA132" s="18"/>
      <c r="AB132" s="18"/>
      <c r="AC132" s="18"/>
      <c r="AD132" s="33"/>
      <c r="AE132" s="18"/>
      <c r="AF132" s="18"/>
      <c r="AG132" s="18"/>
      <c r="AH132" s="18"/>
      <c r="AI132" s="18"/>
      <c r="AJ132" s="17"/>
      <c r="AK132" s="33"/>
      <c r="AL132" s="18"/>
      <c r="AM132" s="18"/>
      <c r="AN132" s="18"/>
      <c r="AO132" s="18"/>
      <c r="AP132" s="18"/>
      <c r="AQ132" s="17"/>
      <c r="AR132" s="18"/>
      <c r="AS132" s="8"/>
      <c r="AT132" s="8" t="s">
        <v>257</v>
      </c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33"/>
      <c r="BI132" s="18"/>
      <c r="BJ132" s="18"/>
      <c r="BK132" s="18"/>
      <c r="BL132" s="17"/>
      <c r="BM132" s="13"/>
      <c r="BO132" s="26"/>
      <c r="BS132" s="26"/>
      <c r="CD132" s="27"/>
    </row>
    <row r="133" spans="1:82" s="11" customFormat="1">
      <c r="A133" s="32"/>
      <c r="B133" s="33"/>
      <c r="C133" s="18"/>
      <c r="D133" s="18"/>
      <c r="E133" s="18"/>
      <c r="F133" s="18"/>
      <c r="G133" s="18"/>
      <c r="H133" s="17"/>
      <c r="I133" s="18"/>
      <c r="J133" s="18"/>
      <c r="K133" s="18"/>
      <c r="L133" s="18"/>
      <c r="M133" s="18"/>
      <c r="N133" s="18"/>
      <c r="O133" s="18"/>
      <c r="P133" s="33"/>
      <c r="Q133" s="18"/>
      <c r="R133" s="18"/>
      <c r="S133" s="18"/>
      <c r="T133" s="18"/>
      <c r="U133" s="18"/>
      <c r="V133" s="17"/>
      <c r="W133" s="18"/>
      <c r="X133" s="18"/>
      <c r="Y133" s="18"/>
      <c r="Z133" s="18"/>
      <c r="AA133" s="18"/>
      <c r="AB133" s="18"/>
      <c r="AC133" s="18"/>
      <c r="AD133" s="33"/>
      <c r="AE133" s="18"/>
      <c r="AF133" s="18"/>
      <c r="AG133" s="18"/>
      <c r="AH133" s="18"/>
      <c r="AI133" s="18"/>
      <c r="AJ133" s="17"/>
      <c r="AK133" s="33"/>
      <c r="AL133" s="18"/>
      <c r="AM133" s="18"/>
      <c r="AN133" s="18"/>
      <c r="AO133" s="18"/>
      <c r="AP133" s="18"/>
      <c r="AQ133" s="17"/>
      <c r="AR133" s="18"/>
      <c r="AS133" s="8" t="s">
        <v>162</v>
      </c>
      <c r="AT133" s="8" t="s">
        <v>258</v>
      </c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33"/>
      <c r="BI133" s="18"/>
      <c r="BJ133" s="18"/>
      <c r="BK133" s="18"/>
      <c r="BL133" s="17"/>
      <c r="BM133" s="13"/>
      <c r="BO133" s="26"/>
      <c r="BS133" s="26"/>
      <c r="CD133" s="27"/>
    </row>
    <row r="134" spans="1:82" s="11" customFormat="1">
      <c r="A134" s="32"/>
      <c r="B134" s="33"/>
      <c r="C134" s="18"/>
      <c r="D134" s="18"/>
      <c r="E134" s="18"/>
      <c r="F134" s="18"/>
      <c r="G134" s="18"/>
      <c r="H134" s="17"/>
      <c r="I134" s="18"/>
      <c r="J134" s="18"/>
      <c r="K134" s="18"/>
      <c r="L134" s="18"/>
      <c r="M134" s="18"/>
      <c r="N134" s="18"/>
      <c r="O134" s="18"/>
      <c r="P134" s="33"/>
      <c r="Q134" s="18"/>
      <c r="R134" s="18"/>
      <c r="S134" s="18"/>
      <c r="T134" s="18"/>
      <c r="U134" s="18"/>
      <c r="V134" s="17"/>
      <c r="W134" s="18"/>
      <c r="X134" s="18"/>
      <c r="Y134" s="18"/>
      <c r="Z134" s="18"/>
      <c r="AA134" s="18"/>
      <c r="AB134" s="18"/>
      <c r="AC134" s="18"/>
      <c r="AD134" s="33"/>
      <c r="AE134" s="18"/>
      <c r="AF134" s="18"/>
      <c r="AG134" s="18"/>
      <c r="AH134" s="18"/>
      <c r="AI134" s="18"/>
      <c r="AJ134" s="17"/>
      <c r="AK134" s="33"/>
      <c r="AL134" s="18"/>
      <c r="AM134" s="18"/>
      <c r="AN134" s="18"/>
      <c r="AO134" s="18"/>
      <c r="AP134" s="18"/>
      <c r="AQ134" s="17"/>
      <c r="AR134" s="18"/>
      <c r="AS134" s="8"/>
      <c r="AT134" s="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33"/>
      <c r="BI134" s="18"/>
      <c r="BJ134" s="18"/>
      <c r="BK134" s="18"/>
      <c r="BL134" s="17"/>
      <c r="BM134" s="13"/>
      <c r="BO134" s="26"/>
      <c r="BS134" s="26"/>
      <c r="CD134" s="27"/>
    </row>
    <row r="135" spans="1:82" s="11" customFormat="1">
      <c r="A135" s="32"/>
      <c r="B135" s="33"/>
      <c r="C135" s="18"/>
      <c r="D135" s="18"/>
      <c r="E135" s="18"/>
      <c r="F135" s="18"/>
      <c r="G135" s="18"/>
      <c r="H135" s="17"/>
      <c r="I135" s="18"/>
      <c r="J135" s="18"/>
      <c r="K135" s="18"/>
      <c r="L135" s="18"/>
      <c r="M135" s="18"/>
      <c r="N135" s="18"/>
      <c r="O135" s="18"/>
      <c r="P135" s="33"/>
      <c r="Q135" s="18"/>
      <c r="R135" s="18"/>
      <c r="S135" s="18"/>
      <c r="T135" s="18"/>
      <c r="U135" s="18"/>
      <c r="V135" s="17"/>
      <c r="W135" s="18"/>
      <c r="X135" s="18"/>
      <c r="Y135" s="18"/>
      <c r="Z135" s="18"/>
      <c r="AA135" s="18"/>
      <c r="AB135" s="18"/>
      <c r="AC135" s="18"/>
      <c r="AD135" s="33"/>
      <c r="AE135" s="18"/>
      <c r="AF135" s="18"/>
      <c r="AG135" s="18"/>
      <c r="AH135" s="18"/>
      <c r="AI135" s="18"/>
      <c r="AJ135" s="17"/>
      <c r="AK135" s="33"/>
      <c r="AL135" s="18"/>
      <c r="AM135" s="18"/>
      <c r="AN135" s="18"/>
      <c r="AO135" s="18"/>
      <c r="AP135" s="18"/>
      <c r="AQ135" s="17"/>
      <c r="AR135" s="18"/>
      <c r="AS135" s="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33"/>
      <c r="BI135" s="18"/>
      <c r="BJ135" s="18"/>
      <c r="BK135" s="18"/>
      <c r="BL135" s="17"/>
      <c r="BM135" s="13"/>
      <c r="BO135" s="26"/>
      <c r="BS135" s="26"/>
      <c r="CD135" s="27"/>
    </row>
    <row r="136" spans="1:82" s="11" customFormat="1">
      <c r="A136" s="32"/>
      <c r="B136" s="33"/>
      <c r="C136" s="18"/>
      <c r="D136" s="18"/>
      <c r="E136" s="18"/>
      <c r="F136" s="18"/>
      <c r="G136" s="18"/>
      <c r="H136" s="17"/>
      <c r="I136" s="18"/>
      <c r="J136" s="18"/>
      <c r="K136" s="18"/>
      <c r="L136" s="18"/>
      <c r="M136" s="18"/>
      <c r="N136" s="18"/>
      <c r="O136" s="18"/>
      <c r="P136" s="33"/>
      <c r="Q136" s="18"/>
      <c r="R136" s="18"/>
      <c r="S136" s="18"/>
      <c r="T136" s="18"/>
      <c r="U136" s="18"/>
      <c r="V136" s="17"/>
      <c r="W136" s="18"/>
      <c r="X136" s="18"/>
      <c r="Y136" s="18"/>
      <c r="Z136" s="18"/>
      <c r="AA136" s="18"/>
      <c r="AB136" s="18"/>
      <c r="AC136" s="18"/>
      <c r="AD136" s="33"/>
      <c r="AE136" s="18"/>
      <c r="AF136" s="18"/>
      <c r="AG136" s="18"/>
      <c r="AH136" s="18"/>
      <c r="AI136" s="18"/>
      <c r="AJ136" s="17"/>
      <c r="AK136" s="33"/>
      <c r="AL136" s="18"/>
      <c r="AM136" s="18"/>
      <c r="AN136" s="18"/>
      <c r="AO136" s="18"/>
      <c r="AP136" s="18"/>
      <c r="AQ136" s="17"/>
      <c r="AR136" s="18"/>
      <c r="AS136" s="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33"/>
      <c r="BI136" s="18"/>
      <c r="BJ136" s="18"/>
      <c r="BK136" s="18"/>
      <c r="BL136" s="17"/>
      <c r="BM136" s="13"/>
      <c r="BO136" s="26"/>
      <c r="BS136" s="26"/>
      <c r="CD136" s="27"/>
    </row>
    <row r="137" spans="1:82" s="11" customFormat="1">
      <c r="A137" s="32"/>
      <c r="B137" s="33"/>
      <c r="C137" s="18"/>
      <c r="D137" s="18"/>
      <c r="E137" s="18"/>
      <c r="F137" s="18"/>
      <c r="G137" s="18"/>
      <c r="H137" s="17"/>
      <c r="I137" s="18"/>
      <c r="J137" s="18"/>
      <c r="K137" s="18"/>
      <c r="L137" s="18"/>
      <c r="M137" s="18"/>
      <c r="N137" s="18"/>
      <c r="O137" s="18"/>
      <c r="P137" s="33"/>
      <c r="Q137" s="18"/>
      <c r="R137" s="18"/>
      <c r="S137" s="18"/>
      <c r="T137" s="18"/>
      <c r="U137" s="18"/>
      <c r="V137" s="17"/>
      <c r="W137" s="18"/>
      <c r="X137" s="18"/>
      <c r="Y137" s="18"/>
      <c r="Z137" s="18"/>
      <c r="AA137" s="18"/>
      <c r="AB137" s="18"/>
      <c r="AC137" s="18"/>
      <c r="AD137" s="33"/>
      <c r="AE137" s="18"/>
      <c r="AF137" s="18"/>
      <c r="AG137" s="18"/>
      <c r="AH137" s="18"/>
      <c r="AI137" s="18"/>
      <c r="AJ137" s="17"/>
      <c r="AK137" s="33"/>
      <c r="AL137" s="18"/>
      <c r="AM137" s="18"/>
      <c r="AN137" s="18"/>
      <c r="AO137" s="18"/>
      <c r="AP137" s="18"/>
      <c r="AQ137" s="17"/>
      <c r="AR137" s="18"/>
      <c r="AS137" s="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33"/>
      <c r="BI137" s="18"/>
      <c r="BJ137" s="18"/>
      <c r="BK137" s="18"/>
      <c r="BL137" s="17"/>
      <c r="BM137" s="13"/>
      <c r="BO137" s="26"/>
      <c r="BS137" s="26"/>
      <c r="CD137" s="27"/>
    </row>
    <row r="138" spans="1:82" s="11" customFormat="1">
      <c r="A138" s="32"/>
      <c r="B138" s="33"/>
      <c r="C138" s="18"/>
      <c r="D138" s="18"/>
      <c r="E138" s="18"/>
      <c r="F138" s="18"/>
      <c r="G138" s="18"/>
      <c r="H138" s="17"/>
      <c r="I138" s="18"/>
      <c r="J138" s="18"/>
      <c r="K138" s="18"/>
      <c r="L138" s="18"/>
      <c r="M138" s="18"/>
      <c r="N138" s="18"/>
      <c r="O138" s="18"/>
      <c r="P138" s="33"/>
      <c r="Q138" s="18"/>
      <c r="R138" s="18"/>
      <c r="S138" s="18"/>
      <c r="T138" s="18"/>
      <c r="U138" s="18"/>
      <c r="V138" s="17"/>
      <c r="W138" s="18"/>
      <c r="X138" s="18"/>
      <c r="Y138" s="18"/>
      <c r="Z138" s="18"/>
      <c r="AA138" s="18"/>
      <c r="AB138" s="18"/>
      <c r="AC138" s="18"/>
      <c r="AD138" s="33"/>
      <c r="AE138" s="18"/>
      <c r="AF138" s="18"/>
      <c r="AG138" s="18"/>
      <c r="AH138" s="18"/>
      <c r="AI138" s="18"/>
      <c r="AJ138" s="17"/>
      <c r="AK138" s="33"/>
      <c r="AL138" s="18"/>
      <c r="AM138" s="18"/>
      <c r="AN138" s="18"/>
      <c r="AO138" s="18"/>
      <c r="AP138" s="18"/>
      <c r="AQ138" s="17"/>
      <c r="AR138" s="18"/>
      <c r="AS138" s="16" t="s">
        <v>259</v>
      </c>
      <c r="AT138" s="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33"/>
      <c r="BI138" s="18"/>
      <c r="BJ138" s="18"/>
      <c r="BK138" s="18"/>
      <c r="BL138" s="17"/>
      <c r="BM138" s="13"/>
      <c r="BO138" s="26"/>
      <c r="BS138" s="26"/>
      <c r="CD138" s="27"/>
    </row>
    <row r="139" spans="1:82" s="11" customFormat="1">
      <c r="A139" s="32"/>
      <c r="B139" s="33"/>
      <c r="C139" s="18"/>
      <c r="D139" s="18"/>
      <c r="E139" s="18"/>
      <c r="F139" s="18"/>
      <c r="G139" s="18"/>
      <c r="H139" s="17"/>
      <c r="I139" s="18"/>
      <c r="J139" s="18"/>
      <c r="K139" s="18"/>
      <c r="L139" s="18"/>
      <c r="M139" s="18"/>
      <c r="N139" s="18"/>
      <c r="O139" s="18"/>
      <c r="P139" s="33"/>
      <c r="Q139" s="18"/>
      <c r="R139" s="18"/>
      <c r="S139" s="18"/>
      <c r="T139" s="18"/>
      <c r="U139" s="18"/>
      <c r="V139" s="17"/>
      <c r="W139" s="18"/>
      <c r="X139" s="18"/>
      <c r="Y139" s="18"/>
      <c r="Z139" s="18"/>
      <c r="AA139" s="18"/>
      <c r="AB139" s="18"/>
      <c r="AC139" s="18"/>
      <c r="AD139" s="33"/>
      <c r="AE139" s="18"/>
      <c r="AF139" s="18"/>
      <c r="AG139" s="18"/>
      <c r="AH139" s="18"/>
      <c r="AI139" s="18"/>
      <c r="AJ139" s="17"/>
      <c r="AK139" s="33"/>
      <c r="AL139" s="18"/>
      <c r="AM139" s="18"/>
      <c r="AN139" s="18"/>
      <c r="AO139" s="18"/>
      <c r="AP139" s="18"/>
      <c r="AQ139" s="17"/>
      <c r="AR139" s="18"/>
      <c r="AS139" s="8"/>
      <c r="AT139" s="8" t="s">
        <v>260</v>
      </c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33"/>
      <c r="BI139" s="18"/>
      <c r="BJ139" s="18"/>
      <c r="BK139" s="18"/>
      <c r="BL139" s="17"/>
      <c r="BM139" s="13"/>
      <c r="BO139" s="26"/>
      <c r="BS139" s="26"/>
      <c r="CD139" s="27"/>
    </row>
    <row r="140" spans="1:82" s="11" customFormat="1">
      <c r="A140" s="32"/>
      <c r="B140" s="33"/>
      <c r="C140" s="18"/>
      <c r="D140" s="18"/>
      <c r="E140" s="18"/>
      <c r="F140" s="18"/>
      <c r="G140" s="18"/>
      <c r="H140" s="17"/>
      <c r="I140" s="18"/>
      <c r="J140" s="18"/>
      <c r="K140" s="18"/>
      <c r="L140" s="18"/>
      <c r="M140" s="18"/>
      <c r="N140" s="18"/>
      <c r="O140" s="18"/>
      <c r="P140" s="33"/>
      <c r="Q140" s="18"/>
      <c r="R140" s="18"/>
      <c r="S140" s="18"/>
      <c r="T140" s="18"/>
      <c r="U140" s="18"/>
      <c r="V140" s="17"/>
      <c r="W140" s="18"/>
      <c r="X140" s="18"/>
      <c r="Y140" s="18"/>
      <c r="Z140" s="18"/>
      <c r="AA140" s="18"/>
      <c r="AB140" s="18"/>
      <c r="AC140" s="18"/>
      <c r="AD140" s="33"/>
      <c r="AE140" s="18"/>
      <c r="AF140" s="18"/>
      <c r="AG140" s="18"/>
      <c r="AH140" s="18"/>
      <c r="AI140" s="18"/>
      <c r="AJ140" s="17"/>
      <c r="AK140" s="33"/>
      <c r="AL140" s="18"/>
      <c r="AM140" s="18"/>
      <c r="AN140" s="18"/>
      <c r="AO140" s="18"/>
      <c r="AP140" s="18"/>
      <c r="AQ140" s="17"/>
      <c r="AR140" s="18"/>
      <c r="AS140" s="8"/>
      <c r="AT140" s="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33"/>
      <c r="BI140" s="18"/>
      <c r="BJ140" s="18"/>
      <c r="BK140" s="18"/>
      <c r="BL140" s="17"/>
      <c r="BM140" s="13"/>
      <c r="BO140" s="26"/>
      <c r="BS140" s="26"/>
      <c r="CD140" s="27"/>
    </row>
    <row r="141" spans="1:82" s="11" customFormat="1">
      <c r="A141" s="32"/>
      <c r="B141" s="33"/>
      <c r="C141" s="18"/>
      <c r="D141" s="18"/>
      <c r="E141" s="18"/>
      <c r="F141" s="18"/>
      <c r="G141" s="18"/>
      <c r="H141" s="17"/>
      <c r="I141" s="18"/>
      <c r="J141" s="18"/>
      <c r="K141" s="18"/>
      <c r="L141" s="18"/>
      <c r="M141" s="18"/>
      <c r="N141" s="18"/>
      <c r="O141" s="18"/>
      <c r="P141" s="33"/>
      <c r="Q141" s="18"/>
      <c r="R141" s="18"/>
      <c r="S141" s="18"/>
      <c r="T141" s="18"/>
      <c r="U141" s="18"/>
      <c r="V141" s="17"/>
      <c r="W141" s="18"/>
      <c r="X141" s="18"/>
      <c r="Y141" s="18"/>
      <c r="Z141" s="18"/>
      <c r="AA141" s="18"/>
      <c r="AB141" s="18"/>
      <c r="AC141" s="18"/>
      <c r="AD141" s="33"/>
      <c r="AE141" s="18"/>
      <c r="AF141" s="18"/>
      <c r="AG141" s="18"/>
      <c r="AH141" s="18"/>
      <c r="AI141" s="18"/>
      <c r="AJ141" s="17"/>
      <c r="AK141" s="33"/>
      <c r="AL141" s="18"/>
      <c r="AM141" s="18"/>
      <c r="AN141" s="18"/>
      <c r="AO141" s="18"/>
      <c r="AP141" s="18"/>
      <c r="AQ141" s="17"/>
      <c r="AR141" s="18"/>
      <c r="AS141" s="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33"/>
      <c r="BI141" s="18"/>
      <c r="BJ141" s="18"/>
      <c r="BK141" s="18"/>
      <c r="BL141" s="17"/>
      <c r="BM141" s="13"/>
      <c r="BO141" s="26"/>
      <c r="BS141" s="26"/>
      <c r="CD141" s="27"/>
    </row>
    <row r="142" spans="1:82" s="11" customFormat="1">
      <c r="A142" s="32"/>
      <c r="B142" s="33"/>
      <c r="C142" s="18"/>
      <c r="D142" s="18"/>
      <c r="E142" s="18"/>
      <c r="F142" s="18"/>
      <c r="G142" s="18"/>
      <c r="H142" s="17"/>
      <c r="I142" s="18"/>
      <c r="J142" s="18"/>
      <c r="K142" s="18"/>
      <c r="L142" s="18"/>
      <c r="M142" s="18"/>
      <c r="N142" s="18"/>
      <c r="O142" s="18"/>
      <c r="P142" s="33"/>
      <c r="Q142" s="18"/>
      <c r="R142" s="18"/>
      <c r="S142" s="18"/>
      <c r="T142" s="18"/>
      <c r="U142" s="18"/>
      <c r="V142" s="17"/>
      <c r="W142" s="18"/>
      <c r="X142" s="18"/>
      <c r="Y142" s="18"/>
      <c r="Z142" s="18"/>
      <c r="AA142" s="18"/>
      <c r="AB142" s="18"/>
      <c r="AC142" s="18"/>
      <c r="AD142" s="33"/>
      <c r="AE142" s="18"/>
      <c r="AF142" s="18"/>
      <c r="AG142" s="18"/>
      <c r="AH142" s="18"/>
      <c r="AI142" s="18"/>
      <c r="AJ142" s="17"/>
      <c r="AK142" s="33"/>
      <c r="AL142" s="18"/>
      <c r="AM142" s="18"/>
      <c r="AN142" s="18"/>
      <c r="AO142" s="18"/>
      <c r="AP142" s="18"/>
      <c r="AQ142" s="17"/>
      <c r="AR142" s="18"/>
      <c r="AS142" s="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33"/>
      <c r="BI142" s="18"/>
      <c r="BJ142" s="18"/>
      <c r="BK142" s="18"/>
      <c r="BL142" s="17"/>
      <c r="BM142" s="13"/>
      <c r="BO142" s="26"/>
      <c r="BS142" s="26"/>
      <c r="CD142" s="27"/>
    </row>
    <row r="143" spans="1:82" s="11" customFormat="1">
      <c r="A143" s="32"/>
      <c r="B143" s="33"/>
      <c r="C143" s="18"/>
      <c r="D143" s="18"/>
      <c r="E143" s="18"/>
      <c r="F143" s="18"/>
      <c r="G143" s="18"/>
      <c r="H143" s="17"/>
      <c r="I143" s="18"/>
      <c r="J143" s="18"/>
      <c r="K143" s="18"/>
      <c r="L143" s="18"/>
      <c r="M143" s="18"/>
      <c r="N143" s="18"/>
      <c r="O143" s="18"/>
      <c r="P143" s="33"/>
      <c r="Q143" s="18"/>
      <c r="R143" s="18"/>
      <c r="S143" s="18"/>
      <c r="T143" s="18"/>
      <c r="U143" s="18"/>
      <c r="V143" s="17"/>
      <c r="W143" s="18"/>
      <c r="X143" s="18"/>
      <c r="Y143" s="18"/>
      <c r="Z143" s="18"/>
      <c r="AA143" s="18"/>
      <c r="AB143" s="18"/>
      <c r="AC143" s="18"/>
      <c r="AD143" s="33"/>
      <c r="AE143" s="18"/>
      <c r="AF143" s="18"/>
      <c r="AG143" s="18"/>
      <c r="AH143" s="18"/>
      <c r="AI143" s="18"/>
      <c r="AJ143" s="17"/>
      <c r="AK143" s="33"/>
      <c r="AL143" s="18"/>
      <c r="AM143" s="18"/>
      <c r="AN143" s="18"/>
      <c r="AO143" s="18"/>
      <c r="AP143" s="18"/>
      <c r="AQ143" s="17"/>
      <c r="AR143" s="18"/>
      <c r="AS143" s="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33"/>
      <c r="BI143" s="18"/>
      <c r="BJ143" s="18"/>
      <c r="BK143" s="18"/>
      <c r="BL143" s="17"/>
      <c r="BM143" s="13"/>
      <c r="BO143" s="26"/>
      <c r="BS143" s="26"/>
      <c r="CD143" s="27"/>
    </row>
    <row r="144" spans="1:82" s="11" customFormat="1">
      <c r="A144" s="32"/>
      <c r="B144" s="33"/>
      <c r="C144" s="18"/>
      <c r="D144" s="18"/>
      <c r="E144" s="18"/>
      <c r="F144" s="18"/>
      <c r="G144" s="18"/>
      <c r="H144" s="17"/>
      <c r="I144" s="18"/>
      <c r="J144" s="18"/>
      <c r="K144" s="18"/>
      <c r="L144" s="18"/>
      <c r="M144" s="18"/>
      <c r="N144" s="18"/>
      <c r="O144" s="18"/>
      <c r="P144" s="33"/>
      <c r="Q144" s="18"/>
      <c r="R144" s="18"/>
      <c r="S144" s="18"/>
      <c r="T144" s="18"/>
      <c r="U144" s="18"/>
      <c r="V144" s="17"/>
      <c r="W144" s="18"/>
      <c r="X144" s="18"/>
      <c r="Y144" s="18"/>
      <c r="Z144" s="18"/>
      <c r="AA144" s="18"/>
      <c r="AB144" s="18"/>
      <c r="AC144" s="18"/>
      <c r="AD144" s="33"/>
      <c r="AE144" s="18"/>
      <c r="AF144" s="18"/>
      <c r="AG144" s="18"/>
      <c r="AH144" s="18"/>
      <c r="AI144" s="18"/>
      <c r="AJ144" s="17"/>
      <c r="AK144" s="33"/>
      <c r="AL144" s="18"/>
      <c r="AM144" s="18"/>
      <c r="AN144" s="18"/>
      <c r="AO144" s="18"/>
      <c r="AP144" s="18"/>
      <c r="AQ144" s="17"/>
      <c r="AR144" s="18"/>
      <c r="AS144" s="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33"/>
      <c r="BI144" s="18"/>
      <c r="BJ144" s="18"/>
      <c r="BK144" s="18"/>
      <c r="BL144" s="17"/>
      <c r="BM144" s="13"/>
      <c r="BO144" s="26"/>
      <c r="BS144" s="26"/>
      <c r="CD144" s="27"/>
    </row>
    <row r="145" spans="1:82" s="11" customFormat="1">
      <c r="A145" s="32"/>
      <c r="B145" s="33"/>
      <c r="C145" s="18"/>
      <c r="D145" s="18"/>
      <c r="E145" s="18"/>
      <c r="F145" s="18"/>
      <c r="G145" s="18"/>
      <c r="H145" s="17"/>
      <c r="I145" s="18"/>
      <c r="J145" s="18"/>
      <c r="K145" s="18"/>
      <c r="L145" s="18"/>
      <c r="M145" s="18"/>
      <c r="N145" s="18"/>
      <c r="O145" s="18"/>
      <c r="P145" s="33"/>
      <c r="Q145" s="18"/>
      <c r="R145" s="18"/>
      <c r="S145" s="18"/>
      <c r="T145" s="18"/>
      <c r="U145" s="18"/>
      <c r="V145" s="17"/>
      <c r="W145" s="18"/>
      <c r="X145" s="18"/>
      <c r="Y145" s="18"/>
      <c r="Z145" s="18"/>
      <c r="AA145" s="18"/>
      <c r="AB145" s="18"/>
      <c r="AC145" s="18"/>
      <c r="AD145" s="33"/>
      <c r="AE145" s="18"/>
      <c r="AF145" s="18"/>
      <c r="AG145" s="18"/>
      <c r="AH145" s="18"/>
      <c r="AI145" s="18"/>
      <c r="AJ145" s="17"/>
      <c r="AK145" s="33"/>
      <c r="AL145" s="18"/>
      <c r="AM145" s="18"/>
      <c r="AN145" s="18"/>
      <c r="AO145" s="18"/>
      <c r="AP145" s="18"/>
      <c r="AQ145" s="17"/>
      <c r="AR145" s="18"/>
      <c r="AS145" s="16" t="s">
        <v>261</v>
      </c>
      <c r="AT145" s="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33"/>
      <c r="BI145" s="18"/>
      <c r="BJ145" s="18"/>
      <c r="BK145" s="18"/>
      <c r="BL145" s="17"/>
      <c r="BM145" s="13"/>
      <c r="BO145" s="26"/>
      <c r="BS145" s="26"/>
      <c r="CD145" s="27"/>
    </row>
    <row r="146" spans="1:82" s="11" customFormat="1">
      <c r="A146" s="32"/>
      <c r="B146" s="33"/>
      <c r="C146" s="18"/>
      <c r="D146" s="18"/>
      <c r="E146" s="18"/>
      <c r="F146" s="18"/>
      <c r="G146" s="18"/>
      <c r="H146" s="17"/>
      <c r="I146" s="18"/>
      <c r="J146" s="18"/>
      <c r="K146" s="18"/>
      <c r="L146" s="18"/>
      <c r="M146" s="18"/>
      <c r="N146" s="18"/>
      <c r="O146" s="18"/>
      <c r="P146" s="33"/>
      <c r="Q146" s="18"/>
      <c r="R146" s="18"/>
      <c r="S146" s="18"/>
      <c r="T146" s="18"/>
      <c r="U146" s="18"/>
      <c r="V146" s="17"/>
      <c r="W146" s="18"/>
      <c r="X146" s="18"/>
      <c r="Y146" s="18"/>
      <c r="Z146" s="18"/>
      <c r="AA146" s="18"/>
      <c r="AB146" s="18"/>
      <c r="AC146" s="18"/>
      <c r="AD146" s="33"/>
      <c r="AE146" s="18"/>
      <c r="AF146" s="18"/>
      <c r="AG146" s="18"/>
      <c r="AH146" s="18"/>
      <c r="AI146" s="18"/>
      <c r="AJ146" s="17"/>
      <c r="AK146" s="33"/>
      <c r="AL146" s="18"/>
      <c r="AM146" s="18"/>
      <c r="AN146" s="18"/>
      <c r="AO146" s="18"/>
      <c r="AP146" s="18"/>
      <c r="AQ146" s="17"/>
      <c r="AR146" s="18"/>
      <c r="AS146" s="8"/>
      <c r="AT146" s="8" t="s">
        <v>262</v>
      </c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33"/>
      <c r="BI146" s="18"/>
      <c r="BJ146" s="18"/>
      <c r="BK146" s="18"/>
      <c r="BL146" s="17"/>
      <c r="BM146" s="13"/>
      <c r="BO146" s="26"/>
      <c r="BS146" s="26"/>
      <c r="CD146" s="27"/>
    </row>
    <row r="147" spans="1:82" s="11" customFormat="1">
      <c r="A147" s="32"/>
      <c r="B147" s="33"/>
      <c r="C147" s="18"/>
      <c r="D147" s="18"/>
      <c r="E147" s="18"/>
      <c r="F147" s="18"/>
      <c r="G147" s="18"/>
      <c r="H147" s="17"/>
      <c r="I147" s="18"/>
      <c r="J147" s="18"/>
      <c r="K147" s="18"/>
      <c r="L147" s="18"/>
      <c r="M147" s="18"/>
      <c r="N147" s="18"/>
      <c r="O147" s="18"/>
      <c r="P147" s="33"/>
      <c r="Q147" s="18"/>
      <c r="R147" s="18"/>
      <c r="S147" s="18"/>
      <c r="T147" s="18"/>
      <c r="U147" s="18"/>
      <c r="V147" s="17"/>
      <c r="W147" s="18"/>
      <c r="X147" s="18"/>
      <c r="Y147" s="18"/>
      <c r="Z147" s="18"/>
      <c r="AA147" s="18"/>
      <c r="AB147" s="18"/>
      <c r="AC147" s="18"/>
      <c r="AD147" s="33"/>
      <c r="AE147" s="18"/>
      <c r="AF147" s="18"/>
      <c r="AG147" s="18"/>
      <c r="AH147" s="18"/>
      <c r="AI147" s="18"/>
      <c r="AJ147" s="17"/>
      <c r="AK147" s="33"/>
      <c r="AL147" s="18"/>
      <c r="AM147" s="18"/>
      <c r="AN147" s="18"/>
      <c r="AO147" s="18"/>
      <c r="AP147" s="18"/>
      <c r="AQ147" s="17"/>
      <c r="AR147" s="18"/>
      <c r="AS147" s="8"/>
      <c r="AT147" s="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33"/>
      <c r="BI147" s="18"/>
      <c r="BJ147" s="18"/>
      <c r="BK147" s="18"/>
      <c r="BL147" s="17"/>
      <c r="BM147" s="13"/>
      <c r="BO147" s="26"/>
      <c r="BS147" s="26"/>
      <c r="CD147" s="27"/>
    </row>
    <row r="148" spans="1:82" s="11" customFormat="1">
      <c r="A148" s="32"/>
      <c r="B148" s="33"/>
      <c r="C148" s="18"/>
      <c r="D148" s="18"/>
      <c r="E148" s="18"/>
      <c r="F148" s="18"/>
      <c r="G148" s="18"/>
      <c r="H148" s="17"/>
      <c r="I148" s="18"/>
      <c r="J148" s="18"/>
      <c r="K148" s="18"/>
      <c r="L148" s="18"/>
      <c r="M148" s="18"/>
      <c r="N148" s="18"/>
      <c r="O148" s="18"/>
      <c r="P148" s="33"/>
      <c r="Q148" s="18"/>
      <c r="R148" s="18"/>
      <c r="S148" s="18"/>
      <c r="T148" s="18"/>
      <c r="U148" s="18"/>
      <c r="V148" s="17"/>
      <c r="W148" s="18"/>
      <c r="X148" s="18"/>
      <c r="Y148" s="18"/>
      <c r="Z148" s="18"/>
      <c r="AA148" s="18"/>
      <c r="AB148" s="18"/>
      <c r="AC148" s="18"/>
      <c r="AD148" s="33"/>
      <c r="AE148" s="18"/>
      <c r="AF148" s="18"/>
      <c r="AG148" s="18"/>
      <c r="AH148" s="18"/>
      <c r="AI148" s="18"/>
      <c r="AJ148" s="17"/>
      <c r="AK148" s="33"/>
      <c r="AL148" s="18"/>
      <c r="AM148" s="18"/>
      <c r="AN148" s="18"/>
      <c r="AO148" s="18"/>
      <c r="AP148" s="18"/>
      <c r="AQ148" s="17"/>
      <c r="AR148" s="18"/>
      <c r="AS148" s="8" t="s">
        <v>162</v>
      </c>
      <c r="AT148" s="8" t="s">
        <v>263</v>
      </c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33"/>
      <c r="BI148" s="18"/>
      <c r="BJ148" s="18"/>
      <c r="BK148" s="18"/>
      <c r="BL148" s="17"/>
      <c r="BM148" s="13"/>
      <c r="BO148" s="26"/>
      <c r="BS148" s="26"/>
      <c r="CD148" s="27"/>
    </row>
    <row r="149" spans="1:82" s="11" customFormat="1">
      <c r="A149" s="32"/>
      <c r="B149" s="33"/>
      <c r="C149" s="18"/>
      <c r="D149" s="18"/>
      <c r="E149" s="18"/>
      <c r="F149" s="18"/>
      <c r="G149" s="18"/>
      <c r="H149" s="17"/>
      <c r="I149" s="18"/>
      <c r="J149" s="18"/>
      <c r="K149" s="18"/>
      <c r="L149" s="18"/>
      <c r="M149" s="18"/>
      <c r="N149" s="18"/>
      <c r="O149" s="18"/>
      <c r="P149" s="33"/>
      <c r="Q149" s="18"/>
      <c r="R149" s="18"/>
      <c r="S149" s="18"/>
      <c r="T149" s="18"/>
      <c r="U149" s="18"/>
      <c r="V149" s="17"/>
      <c r="W149" s="18"/>
      <c r="X149" s="18"/>
      <c r="Y149" s="18"/>
      <c r="Z149" s="18"/>
      <c r="AA149" s="18"/>
      <c r="AB149" s="18"/>
      <c r="AC149" s="18"/>
      <c r="AD149" s="33"/>
      <c r="AE149" s="18"/>
      <c r="AF149" s="18"/>
      <c r="AG149" s="18"/>
      <c r="AH149" s="18"/>
      <c r="AI149" s="18"/>
      <c r="AJ149" s="17"/>
      <c r="AK149" s="33"/>
      <c r="AL149" s="18"/>
      <c r="AM149" s="18"/>
      <c r="AN149" s="18"/>
      <c r="AO149" s="18"/>
      <c r="AP149" s="18"/>
      <c r="AQ149" s="17"/>
      <c r="AR149" s="18"/>
      <c r="AS149" s="8"/>
      <c r="AT149" s="8" t="s">
        <v>264</v>
      </c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46" t="s">
        <v>147</v>
      </c>
      <c r="BI149" s="18"/>
      <c r="BJ149" s="18"/>
      <c r="BK149" s="18"/>
      <c r="BL149" s="17"/>
      <c r="BM149" s="13"/>
      <c r="BO149" s="26"/>
      <c r="BS149" s="26"/>
      <c r="CD149" s="27"/>
    </row>
    <row r="150" spans="1:82" s="11" customFormat="1">
      <c r="A150" s="32"/>
      <c r="B150" s="33"/>
      <c r="C150" s="18"/>
      <c r="D150" s="18"/>
      <c r="E150" s="18"/>
      <c r="F150" s="18"/>
      <c r="G150" s="18"/>
      <c r="H150" s="17"/>
      <c r="I150" s="18"/>
      <c r="J150" s="18"/>
      <c r="K150" s="18"/>
      <c r="L150" s="18"/>
      <c r="M150" s="18"/>
      <c r="N150" s="18"/>
      <c r="O150" s="18"/>
      <c r="P150" s="33"/>
      <c r="Q150" s="18"/>
      <c r="R150" s="18"/>
      <c r="S150" s="18"/>
      <c r="T150" s="18"/>
      <c r="U150" s="18"/>
      <c r="V150" s="17"/>
      <c r="W150" s="18"/>
      <c r="X150" s="18"/>
      <c r="Y150" s="18"/>
      <c r="Z150" s="18"/>
      <c r="AA150" s="18"/>
      <c r="AB150" s="18"/>
      <c r="AC150" s="18"/>
      <c r="AD150" s="33"/>
      <c r="AE150" s="18"/>
      <c r="AF150" s="18"/>
      <c r="AG150" s="18"/>
      <c r="AH150" s="18"/>
      <c r="AI150" s="18"/>
      <c r="AJ150" s="17"/>
      <c r="AK150" s="33"/>
      <c r="AL150" s="18"/>
      <c r="AM150" s="18"/>
      <c r="AN150" s="18"/>
      <c r="AO150" s="18"/>
      <c r="AP150" s="18"/>
      <c r="AQ150" s="17"/>
      <c r="AR150" s="18"/>
      <c r="AS150" s="8"/>
      <c r="AT150" s="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50" t="s">
        <v>188</v>
      </c>
      <c r="BI150" s="18"/>
      <c r="BJ150" s="18"/>
      <c r="BK150" s="18"/>
      <c r="BL150" s="17"/>
      <c r="BM150" s="13"/>
      <c r="BO150" s="26"/>
      <c r="BS150" s="26"/>
      <c r="CD150" s="27"/>
    </row>
    <row r="151" spans="1:82" s="11" customFormat="1">
      <c r="A151" s="32"/>
      <c r="B151" s="33"/>
      <c r="C151" s="18"/>
      <c r="D151" s="18"/>
      <c r="E151" s="18"/>
      <c r="F151" s="18"/>
      <c r="G151" s="18"/>
      <c r="H151" s="17"/>
      <c r="I151" s="18"/>
      <c r="J151" s="18"/>
      <c r="K151" s="18"/>
      <c r="L151" s="18"/>
      <c r="M151" s="18"/>
      <c r="N151" s="18"/>
      <c r="O151" s="18"/>
      <c r="P151" s="33"/>
      <c r="Q151" s="18"/>
      <c r="R151" s="18"/>
      <c r="S151" s="18"/>
      <c r="T151" s="18"/>
      <c r="U151" s="18"/>
      <c r="V151" s="17"/>
      <c r="W151" s="18"/>
      <c r="X151" s="18"/>
      <c r="Y151" s="18"/>
      <c r="Z151" s="18"/>
      <c r="AA151" s="18"/>
      <c r="AB151" s="18"/>
      <c r="AC151" s="18"/>
      <c r="AD151" s="33"/>
      <c r="AE151" s="18"/>
      <c r="AF151" s="18"/>
      <c r="AG151" s="18"/>
      <c r="AH151" s="18"/>
      <c r="AI151" s="18"/>
      <c r="AJ151" s="17"/>
      <c r="AK151" s="33"/>
      <c r="AL151" s="18"/>
      <c r="AM151" s="18"/>
      <c r="AN151" s="18"/>
      <c r="AO151" s="18"/>
      <c r="AP151" s="18"/>
      <c r="AQ151" s="17"/>
      <c r="AR151" s="18"/>
      <c r="AS151" s="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50" t="s">
        <v>189</v>
      </c>
      <c r="BI151" s="18"/>
      <c r="BJ151" s="18"/>
      <c r="BK151" s="18"/>
      <c r="BL151" s="17"/>
      <c r="BM151" s="13"/>
      <c r="BO151" s="26"/>
      <c r="BS151" s="26"/>
      <c r="CD151" s="27"/>
    </row>
    <row r="152" spans="1:82" s="11" customFormat="1">
      <c r="A152" s="32"/>
      <c r="B152" s="33"/>
      <c r="C152" s="18"/>
      <c r="D152" s="18"/>
      <c r="E152" s="18"/>
      <c r="F152" s="18"/>
      <c r="G152" s="18"/>
      <c r="H152" s="17"/>
      <c r="I152" s="18"/>
      <c r="J152" s="18"/>
      <c r="K152" s="18"/>
      <c r="L152" s="18"/>
      <c r="M152" s="18"/>
      <c r="N152" s="18"/>
      <c r="O152" s="18"/>
      <c r="P152" s="33"/>
      <c r="Q152" s="18"/>
      <c r="R152" s="18"/>
      <c r="S152" s="18"/>
      <c r="T152" s="18"/>
      <c r="U152" s="18"/>
      <c r="V152" s="17"/>
      <c r="W152" s="18"/>
      <c r="X152" s="18"/>
      <c r="Y152" s="18"/>
      <c r="Z152" s="18"/>
      <c r="AA152" s="18"/>
      <c r="AB152" s="18"/>
      <c r="AC152" s="18"/>
      <c r="AD152" s="33"/>
      <c r="AE152" s="18"/>
      <c r="AF152" s="18"/>
      <c r="AG152" s="18"/>
      <c r="AH152" s="18"/>
      <c r="AI152" s="18"/>
      <c r="AJ152" s="17"/>
      <c r="AK152" s="33"/>
      <c r="AL152" s="18"/>
      <c r="AM152" s="18"/>
      <c r="AN152" s="18"/>
      <c r="AO152" s="18"/>
      <c r="AP152" s="18"/>
      <c r="AQ152" s="17"/>
      <c r="AR152" s="18"/>
      <c r="AS152" s="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33"/>
      <c r="BI152" s="18"/>
      <c r="BJ152" s="18"/>
      <c r="BK152" s="18"/>
      <c r="BL152" s="17"/>
      <c r="BM152" s="13"/>
      <c r="BO152" s="26"/>
      <c r="BS152" s="26"/>
      <c r="CD152" s="27"/>
    </row>
    <row r="153" spans="1:82" s="11" customFormat="1">
      <c r="A153" s="32"/>
      <c r="B153" s="33"/>
      <c r="C153" s="18"/>
      <c r="D153" s="18"/>
      <c r="E153" s="18"/>
      <c r="F153" s="18"/>
      <c r="G153" s="18"/>
      <c r="H153" s="17"/>
      <c r="I153" s="18"/>
      <c r="J153" s="18"/>
      <c r="K153" s="18"/>
      <c r="L153" s="18"/>
      <c r="M153" s="18"/>
      <c r="N153" s="18"/>
      <c r="O153" s="18"/>
      <c r="P153" s="33"/>
      <c r="Q153" s="18"/>
      <c r="R153" s="18"/>
      <c r="S153" s="18"/>
      <c r="T153" s="18"/>
      <c r="U153" s="18"/>
      <c r="V153" s="17"/>
      <c r="W153" s="18"/>
      <c r="X153" s="18"/>
      <c r="Y153" s="18"/>
      <c r="Z153" s="18"/>
      <c r="AA153" s="18"/>
      <c r="AB153" s="18"/>
      <c r="AC153" s="18"/>
      <c r="AD153" s="33"/>
      <c r="AE153" s="18"/>
      <c r="AF153" s="18"/>
      <c r="AG153" s="18"/>
      <c r="AH153" s="18"/>
      <c r="AI153" s="18"/>
      <c r="AJ153" s="17"/>
      <c r="AK153" s="33"/>
      <c r="AL153" s="18"/>
      <c r="AM153" s="18"/>
      <c r="AN153" s="18"/>
      <c r="AO153" s="18"/>
      <c r="AP153" s="18"/>
      <c r="AQ153" s="17"/>
      <c r="AR153" s="18"/>
      <c r="AS153" s="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33"/>
      <c r="BI153" s="18"/>
      <c r="BJ153" s="18"/>
      <c r="BK153" s="18"/>
      <c r="BL153" s="17"/>
      <c r="BM153" s="13"/>
      <c r="BO153" s="26"/>
      <c r="BS153" s="26"/>
      <c r="CD153" s="27"/>
    </row>
    <row r="154" spans="1:82" s="11" customFormat="1">
      <c r="A154" s="32"/>
      <c r="B154" s="33"/>
      <c r="C154" s="18"/>
      <c r="D154" s="18"/>
      <c r="E154" s="18"/>
      <c r="F154" s="18"/>
      <c r="G154" s="18"/>
      <c r="H154" s="17"/>
      <c r="I154" s="18"/>
      <c r="J154" s="18"/>
      <c r="K154" s="18"/>
      <c r="L154" s="18"/>
      <c r="M154" s="18"/>
      <c r="N154" s="18"/>
      <c r="O154" s="18"/>
      <c r="P154" s="33"/>
      <c r="Q154" s="18"/>
      <c r="R154" s="18"/>
      <c r="S154" s="18"/>
      <c r="T154" s="18"/>
      <c r="U154" s="18"/>
      <c r="V154" s="17"/>
      <c r="W154" s="18"/>
      <c r="X154" s="18"/>
      <c r="Y154" s="18"/>
      <c r="Z154" s="18"/>
      <c r="AA154" s="18"/>
      <c r="AB154" s="18"/>
      <c r="AC154" s="18"/>
      <c r="AD154" s="33"/>
      <c r="AE154" s="18"/>
      <c r="AF154" s="18"/>
      <c r="AG154" s="18"/>
      <c r="AH154" s="18"/>
      <c r="AI154" s="18"/>
      <c r="AJ154" s="17"/>
      <c r="AK154" s="33"/>
      <c r="AL154" s="18"/>
      <c r="AM154" s="18"/>
      <c r="AN154" s="18"/>
      <c r="AO154" s="18"/>
      <c r="AP154" s="18"/>
      <c r="AQ154" s="17"/>
      <c r="AR154" s="18"/>
      <c r="AS154" s="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33"/>
      <c r="BI154" s="18"/>
      <c r="BJ154" s="18"/>
      <c r="BK154" s="18"/>
      <c r="BL154" s="17"/>
      <c r="BM154" s="13"/>
      <c r="BO154" s="26"/>
      <c r="BS154" s="26"/>
      <c r="CD154" s="27"/>
    </row>
    <row r="155" spans="1:82" s="11" customFormat="1">
      <c r="A155" s="32"/>
      <c r="B155" s="33"/>
      <c r="C155" s="18"/>
      <c r="D155" s="18"/>
      <c r="E155" s="18"/>
      <c r="F155" s="18"/>
      <c r="G155" s="18"/>
      <c r="H155" s="17"/>
      <c r="I155" s="18"/>
      <c r="J155" s="18"/>
      <c r="K155" s="18"/>
      <c r="L155" s="18"/>
      <c r="M155" s="18"/>
      <c r="N155" s="18"/>
      <c r="O155" s="18"/>
      <c r="P155" s="33"/>
      <c r="Q155" s="18"/>
      <c r="R155" s="18"/>
      <c r="S155" s="18"/>
      <c r="T155" s="18"/>
      <c r="U155" s="18"/>
      <c r="V155" s="17"/>
      <c r="W155" s="18"/>
      <c r="X155" s="18"/>
      <c r="Y155" s="18"/>
      <c r="Z155" s="18"/>
      <c r="AA155" s="18"/>
      <c r="AB155" s="18"/>
      <c r="AC155" s="18"/>
      <c r="AD155" s="33"/>
      <c r="AE155" s="18"/>
      <c r="AF155" s="18"/>
      <c r="AG155" s="18"/>
      <c r="AH155" s="18"/>
      <c r="AI155" s="18"/>
      <c r="AJ155" s="17"/>
      <c r="AK155" s="33"/>
      <c r="AL155" s="18"/>
      <c r="AM155" s="18"/>
      <c r="AN155" s="18"/>
      <c r="AO155" s="18"/>
      <c r="AP155" s="18"/>
      <c r="AQ155" s="17"/>
      <c r="AR155" s="18"/>
      <c r="AS155" s="16" t="s">
        <v>265</v>
      </c>
      <c r="AT155" s="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33"/>
      <c r="BI155" s="18"/>
      <c r="BJ155" s="18"/>
      <c r="BK155" s="18"/>
      <c r="BL155" s="17"/>
      <c r="BM155" s="13"/>
      <c r="BO155" s="26"/>
      <c r="BS155" s="26"/>
      <c r="CD155" s="27"/>
    </row>
    <row r="156" spans="1:82" s="11" customFormat="1">
      <c r="A156" s="32"/>
      <c r="B156" s="33"/>
      <c r="C156" s="18"/>
      <c r="D156" s="18"/>
      <c r="E156" s="18"/>
      <c r="F156" s="18"/>
      <c r="G156" s="18"/>
      <c r="H156" s="17"/>
      <c r="I156" s="18"/>
      <c r="J156" s="18"/>
      <c r="K156" s="18"/>
      <c r="L156" s="18"/>
      <c r="M156" s="18"/>
      <c r="N156" s="18"/>
      <c r="O156" s="18"/>
      <c r="P156" s="33"/>
      <c r="Q156" s="18"/>
      <c r="R156" s="18"/>
      <c r="S156" s="18"/>
      <c r="T156" s="18"/>
      <c r="U156" s="18"/>
      <c r="V156" s="17"/>
      <c r="W156" s="18"/>
      <c r="X156" s="18"/>
      <c r="Y156" s="18"/>
      <c r="Z156" s="18"/>
      <c r="AA156" s="18"/>
      <c r="AB156" s="18"/>
      <c r="AC156" s="18"/>
      <c r="AD156" s="33"/>
      <c r="AE156" s="18"/>
      <c r="AF156" s="18"/>
      <c r="AG156" s="18"/>
      <c r="AH156" s="18"/>
      <c r="AI156" s="18"/>
      <c r="AJ156" s="17"/>
      <c r="AK156" s="33"/>
      <c r="AL156" s="18"/>
      <c r="AM156" s="18"/>
      <c r="AN156" s="18"/>
      <c r="AO156" s="18"/>
      <c r="AP156" s="18"/>
      <c r="AQ156" s="17"/>
      <c r="AR156" s="18"/>
      <c r="AS156" s="8"/>
      <c r="AT156" s="8" t="s">
        <v>266</v>
      </c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33"/>
      <c r="BI156" s="18"/>
      <c r="BJ156" s="18"/>
      <c r="BK156" s="18"/>
      <c r="BL156" s="17"/>
      <c r="BM156" s="13"/>
      <c r="BO156" s="26"/>
      <c r="BS156" s="26"/>
      <c r="CD156" s="27"/>
    </row>
    <row r="157" spans="1:82" s="11" customFormat="1">
      <c r="A157" s="32"/>
      <c r="B157" s="33"/>
      <c r="C157" s="18"/>
      <c r="D157" s="18"/>
      <c r="E157" s="18"/>
      <c r="F157" s="18"/>
      <c r="G157" s="18"/>
      <c r="H157" s="17"/>
      <c r="I157" s="18"/>
      <c r="J157" s="18"/>
      <c r="K157" s="18"/>
      <c r="L157" s="18"/>
      <c r="M157" s="18"/>
      <c r="N157" s="18"/>
      <c r="O157" s="18"/>
      <c r="P157" s="33"/>
      <c r="Q157" s="18"/>
      <c r="R157" s="18"/>
      <c r="S157" s="18"/>
      <c r="T157" s="18"/>
      <c r="U157" s="18"/>
      <c r="V157" s="17"/>
      <c r="W157" s="18"/>
      <c r="X157" s="18"/>
      <c r="Y157" s="18"/>
      <c r="Z157" s="18"/>
      <c r="AA157" s="18"/>
      <c r="AB157" s="18"/>
      <c r="AC157" s="18"/>
      <c r="AD157" s="33"/>
      <c r="AE157" s="18"/>
      <c r="AF157" s="18"/>
      <c r="AG157" s="18"/>
      <c r="AH157" s="18"/>
      <c r="AI157" s="18"/>
      <c r="AJ157" s="17"/>
      <c r="AK157" s="33"/>
      <c r="AL157" s="18"/>
      <c r="AM157" s="18"/>
      <c r="AN157" s="18"/>
      <c r="AO157" s="18"/>
      <c r="AP157" s="18"/>
      <c r="AQ157" s="17"/>
      <c r="AR157" s="18"/>
      <c r="AS157" s="8"/>
      <c r="AT157" s="8" t="s">
        <v>192</v>
      </c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33"/>
      <c r="BI157" s="18"/>
      <c r="BJ157" s="18"/>
      <c r="BK157" s="18"/>
      <c r="BL157" s="17"/>
      <c r="BM157" s="13"/>
      <c r="BO157" s="26"/>
      <c r="BS157" s="26"/>
      <c r="CD157" s="27"/>
    </row>
    <row r="158" spans="1:82" s="11" customFormat="1">
      <c r="A158" s="32"/>
      <c r="B158" s="33"/>
      <c r="C158" s="18"/>
      <c r="D158" s="18"/>
      <c r="E158" s="18"/>
      <c r="F158" s="18"/>
      <c r="G158" s="18"/>
      <c r="H158" s="17"/>
      <c r="I158" s="18"/>
      <c r="J158" s="18"/>
      <c r="K158" s="18"/>
      <c r="L158" s="18"/>
      <c r="M158" s="18"/>
      <c r="N158" s="18"/>
      <c r="O158" s="18"/>
      <c r="P158" s="33"/>
      <c r="Q158" s="18"/>
      <c r="R158" s="18"/>
      <c r="S158" s="18"/>
      <c r="T158" s="18"/>
      <c r="U158" s="18"/>
      <c r="V158" s="17"/>
      <c r="W158" s="18"/>
      <c r="X158" s="18"/>
      <c r="Y158" s="18"/>
      <c r="Z158" s="18"/>
      <c r="AA158" s="18"/>
      <c r="AB158" s="18"/>
      <c r="AC158" s="18"/>
      <c r="AD158" s="33"/>
      <c r="AE158" s="18"/>
      <c r="AF158" s="18"/>
      <c r="AG158" s="18"/>
      <c r="AH158" s="18"/>
      <c r="AI158" s="18"/>
      <c r="AJ158" s="17"/>
      <c r="AK158" s="33"/>
      <c r="AL158" s="18"/>
      <c r="AM158" s="18"/>
      <c r="AN158" s="18"/>
      <c r="AO158" s="18"/>
      <c r="AP158" s="18"/>
      <c r="AQ158" s="17"/>
      <c r="AR158" s="18"/>
      <c r="AS158" s="8"/>
      <c r="AT158" s="8" t="s">
        <v>242</v>
      </c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33"/>
      <c r="BI158" s="18"/>
      <c r="BJ158" s="18"/>
      <c r="BK158" s="18"/>
      <c r="BL158" s="17"/>
      <c r="BM158" s="13"/>
      <c r="BO158" s="26"/>
      <c r="BS158" s="26"/>
      <c r="CD158" s="27"/>
    </row>
    <row r="159" spans="1:82" s="11" customFormat="1">
      <c r="A159" s="32"/>
      <c r="B159" s="33"/>
      <c r="C159" s="18"/>
      <c r="D159" s="18"/>
      <c r="E159" s="18"/>
      <c r="F159" s="18"/>
      <c r="G159" s="18"/>
      <c r="H159" s="17"/>
      <c r="I159" s="18"/>
      <c r="J159" s="18"/>
      <c r="K159" s="18"/>
      <c r="L159" s="18"/>
      <c r="M159" s="18"/>
      <c r="N159" s="18"/>
      <c r="O159" s="18"/>
      <c r="P159" s="33"/>
      <c r="Q159" s="18"/>
      <c r="R159" s="18"/>
      <c r="S159" s="18"/>
      <c r="T159" s="18"/>
      <c r="U159" s="18"/>
      <c r="V159" s="17"/>
      <c r="W159" s="18"/>
      <c r="X159" s="18"/>
      <c r="Y159" s="18"/>
      <c r="Z159" s="18"/>
      <c r="AA159" s="18"/>
      <c r="AB159" s="18"/>
      <c r="AC159" s="18"/>
      <c r="AD159" s="33"/>
      <c r="AE159" s="18"/>
      <c r="AF159" s="18"/>
      <c r="AG159" s="18"/>
      <c r="AH159" s="18"/>
      <c r="AI159" s="18"/>
      <c r="AJ159" s="17"/>
      <c r="AK159" s="33"/>
      <c r="AL159" s="18"/>
      <c r="AM159" s="18"/>
      <c r="AN159" s="18"/>
      <c r="AO159" s="18"/>
      <c r="AP159" s="18"/>
      <c r="AQ159" s="17"/>
      <c r="AR159" s="18"/>
      <c r="AS159" s="8"/>
      <c r="AT159" s="8" t="s">
        <v>195</v>
      </c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33"/>
      <c r="BI159" s="18"/>
      <c r="BJ159" s="18"/>
      <c r="BK159" s="18"/>
      <c r="BL159" s="17"/>
      <c r="BM159" s="13"/>
      <c r="BO159" s="26"/>
      <c r="BS159" s="26"/>
      <c r="CD159" s="27"/>
    </row>
    <row r="160" spans="1:82" s="11" customFormat="1">
      <c r="A160" s="32"/>
      <c r="B160" s="33"/>
      <c r="C160" s="18"/>
      <c r="D160" s="18"/>
      <c r="E160" s="18"/>
      <c r="F160" s="18"/>
      <c r="G160" s="18"/>
      <c r="H160" s="17"/>
      <c r="I160" s="18"/>
      <c r="J160" s="18"/>
      <c r="K160" s="18"/>
      <c r="L160" s="18"/>
      <c r="M160" s="18"/>
      <c r="N160" s="18"/>
      <c r="O160" s="18"/>
      <c r="P160" s="33"/>
      <c r="Q160" s="18"/>
      <c r="R160" s="18"/>
      <c r="S160" s="18"/>
      <c r="T160" s="18"/>
      <c r="U160" s="18"/>
      <c r="V160" s="17"/>
      <c r="W160" s="18"/>
      <c r="X160" s="18"/>
      <c r="Y160" s="18"/>
      <c r="Z160" s="18"/>
      <c r="AA160" s="18"/>
      <c r="AB160" s="18"/>
      <c r="AC160" s="18"/>
      <c r="AD160" s="33"/>
      <c r="AE160" s="18"/>
      <c r="AF160" s="18"/>
      <c r="AG160" s="18"/>
      <c r="AH160" s="18"/>
      <c r="AI160" s="18"/>
      <c r="AJ160" s="17"/>
      <c r="AK160" s="33"/>
      <c r="AL160" s="18"/>
      <c r="AM160" s="18"/>
      <c r="AN160" s="18"/>
      <c r="AO160" s="18"/>
      <c r="AP160" s="18"/>
      <c r="AQ160" s="17"/>
      <c r="AR160" s="18"/>
      <c r="AS160" s="8"/>
      <c r="AT160" s="8" t="s">
        <v>267</v>
      </c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33"/>
      <c r="BI160" s="18"/>
      <c r="BJ160" s="18"/>
      <c r="BK160" s="18"/>
      <c r="BL160" s="17"/>
      <c r="BM160" s="13"/>
      <c r="BO160" s="26"/>
      <c r="BS160" s="26"/>
      <c r="CD160" s="27"/>
    </row>
    <row r="161" spans="1:82" s="11" customFormat="1">
      <c r="A161" s="32"/>
      <c r="B161" s="33"/>
      <c r="C161" s="18"/>
      <c r="D161" s="18"/>
      <c r="E161" s="18"/>
      <c r="F161" s="18"/>
      <c r="G161" s="18"/>
      <c r="H161" s="17"/>
      <c r="I161" s="18"/>
      <c r="J161" s="18"/>
      <c r="K161" s="18"/>
      <c r="L161" s="18"/>
      <c r="M161" s="18"/>
      <c r="N161" s="18"/>
      <c r="O161" s="18"/>
      <c r="P161" s="33"/>
      <c r="Q161" s="18"/>
      <c r="R161" s="18"/>
      <c r="S161" s="18"/>
      <c r="T161" s="18"/>
      <c r="U161" s="18"/>
      <c r="V161" s="17"/>
      <c r="W161" s="18"/>
      <c r="X161" s="18"/>
      <c r="Y161" s="18"/>
      <c r="Z161" s="18"/>
      <c r="AA161" s="18"/>
      <c r="AB161" s="18"/>
      <c r="AC161" s="18"/>
      <c r="AD161" s="33"/>
      <c r="AE161" s="18"/>
      <c r="AF161" s="18"/>
      <c r="AG161" s="18"/>
      <c r="AH161" s="18"/>
      <c r="AI161" s="18"/>
      <c r="AJ161" s="17"/>
      <c r="AK161" s="33"/>
      <c r="AL161" s="18"/>
      <c r="AM161" s="18"/>
      <c r="AN161" s="18"/>
      <c r="AO161" s="18"/>
      <c r="AP161" s="18"/>
      <c r="AQ161" s="17"/>
      <c r="AR161" s="18"/>
      <c r="AS161" s="8"/>
      <c r="AT161" s="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33"/>
      <c r="BI161" s="18"/>
      <c r="BJ161" s="18"/>
      <c r="BK161" s="18"/>
      <c r="BL161" s="17"/>
      <c r="BM161" s="13"/>
      <c r="BO161" s="26"/>
      <c r="BS161" s="26"/>
      <c r="CD161" s="27"/>
    </row>
    <row r="162" spans="1:82" s="11" customFormat="1">
      <c r="A162" s="32"/>
      <c r="B162" s="33"/>
      <c r="C162" s="18"/>
      <c r="D162" s="18"/>
      <c r="E162" s="18"/>
      <c r="F162" s="18"/>
      <c r="G162" s="18"/>
      <c r="H162" s="17"/>
      <c r="I162" s="18"/>
      <c r="J162" s="18"/>
      <c r="K162" s="18"/>
      <c r="L162" s="18"/>
      <c r="M162" s="18"/>
      <c r="N162" s="18"/>
      <c r="O162" s="18"/>
      <c r="P162" s="33"/>
      <c r="Q162" s="18"/>
      <c r="R162" s="18"/>
      <c r="S162" s="18"/>
      <c r="T162" s="18"/>
      <c r="U162" s="18"/>
      <c r="V162" s="17"/>
      <c r="W162" s="18"/>
      <c r="X162" s="18"/>
      <c r="Y162" s="18"/>
      <c r="Z162" s="18"/>
      <c r="AA162" s="18"/>
      <c r="AB162" s="18"/>
      <c r="AC162" s="18"/>
      <c r="AD162" s="33"/>
      <c r="AE162" s="18"/>
      <c r="AF162" s="18"/>
      <c r="AG162" s="18"/>
      <c r="AH162" s="18"/>
      <c r="AI162" s="18"/>
      <c r="AJ162" s="17"/>
      <c r="AK162" s="33"/>
      <c r="AL162" s="18"/>
      <c r="AM162" s="18"/>
      <c r="AN162" s="18"/>
      <c r="AO162" s="18"/>
      <c r="AP162" s="18"/>
      <c r="AQ162" s="17"/>
      <c r="AR162" s="18"/>
      <c r="AS162" s="8"/>
      <c r="AT162" s="31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33"/>
      <c r="BI162" s="18"/>
      <c r="BJ162" s="18"/>
      <c r="BK162" s="18"/>
      <c r="BL162" s="17"/>
      <c r="BM162" s="13"/>
      <c r="BO162" s="26"/>
      <c r="BS162" s="26"/>
      <c r="CD162" s="27"/>
    </row>
    <row r="163" spans="1:82" s="11" customFormat="1">
      <c r="A163" s="32"/>
      <c r="B163" s="33"/>
      <c r="C163" s="18"/>
      <c r="D163" s="18"/>
      <c r="E163" s="18"/>
      <c r="F163" s="18"/>
      <c r="G163" s="18"/>
      <c r="H163" s="17"/>
      <c r="I163" s="18"/>
      <c r="J163" s="18"/>
      <c r="K163" s="18"/>
      <c r="L163" s="18"/>
      <c r="M163" s="18"/>
      <c r="N163" s="18"/>
      <c r="O163" s="18"/>
      <c r="P163" s="33"/>
      <c r="Q163" s="18"/>
      <c r="R163" s="18"/>
      <c r="S163" s="18"/>
      <c r="T163" s="18"/>
      <c r="U163" s="18"/>
      <c r="V163" s="17"/>
      <c r="W163" s="18"/>
      <c r="X163" s="18"/>
      <c r="Y163" s="18"/>
      <c r="Z163" s="18"/>
      <c r="AA163" s="18"/>
      <c r="AB163" s="18"/>
      <c r="AC163" s="18"/>
      <c r="AD163" s="33"/>
      <c r="AE163" s="18"/>
      <c r="AF163" s="18"/>
      <c r="AG163" s="18"/>
      <c r="AH163" s="18"/>
      <c r="AI163" s="18"/>
      <c r="AJ163" s="17"/>
      <c r="AK163" s="33"/>
      <c r="AL163" s="18"/>
      <c r="AM163" s="18"/>
      <c r="AN163" s="18"/>
      <c r="AO163" s="18"/>
      <c r="AP163" s="18"/>
      <c r="AQ163" s="17"/>
      <c r="AR163" s="18"/>
      <c r="AS163" s="8"/>
      <c r="AT163" s="31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33"/>
      <c r="BI163" s="18"/>
      <c r="BJ163" s="18"/>
      <c r="BK163" s="18"/>
      <c r="BL163" s="17"/>
      <c r="BM163" s="13"/>
      <c r="BO163" s="26"/>
      <c r="BS163" s="26"/>
      <c r="CD163" s="27"/>
    </row>
    <row r="164" spans="1:82" s="11" customFormat="1">
      <c r="A164" s="32"/>
      <c r="B164" s="33"/>
      <c r="C164" s="18"/>
      <c r="D164" s="18"/>
      <c r="E164" s="18"/>
      <c r="F164" s="18"/>
      <c r="G164" s="18"/>
      <c r="H164" s="17"/>
      <c r="I164" s="18"/>
      <c r="J164" s="18"/>
      <c r="K164" s="18"/>
      <c r="L164" s="18"/>
      <c r="M164" s="18"/>
      <c r="N164" s="18"/>
      <c r="O164" s="18"/>
      <c r="P164" s="33"/>
      <c r="Q164" s="18"/>
      <c r="R164" s="18"/>
      <c r="S164" s="18"/>
      <c r="T164" s="18"/>
      <c r="U164" s="18"/>
      <c r="V164" s="17"/>
      <c r="W164" s="18"/>
      <c r="X164" s="18"/>
      <c r="Y164" s="18"/>
      <c r="Z164" s="18"/>
      <c r="AA164" s="18"/>
      <c r="AB164" s="18"/>
      <c r="AC164" s="18"/>
      <c r="AD164" s="33"/>
      <c r="AE164" s="18"/>
      <c r="AF164" s="18"/>
      <c r="AG164" s="18"/>
      <c r="AH164" s="18"/>
      <c r="AI164" s="18"/>
      <c r="AJ164" s="17"/>
      <c r="AK164" s="33"/>
      <c r="AL164" s="18"/>
      <c r="AM164" s="18"/>
      <c r="AN164" s="18"/>
      <c r="AO164" s="18"/>
      <c r="AP164" s="18"/>
      <c r="AQ164" s="17"/>
      <c r="AR164" s="18"/>
      <c r="AS164" s="8"/>
      <c r="AT164" s="31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33"/>
      <c r="BI164" s="18"/>
      <c r="BJ164" s="18"/>
      <c r="BK164" s="18"/>
      <c r="BL164" s="17"/>
      <c r="BM164" s="13"/>
      <c r="BO164" s="26"/>
      <c r="BS164" s="26"/>
      <c r="CD164" s="27"/>
    </row>
    <row r="165" spans="1:82" s="11" customFormat="1">
      <c r="A165" s="32"/>
      <c r="B165" s="33"/>
      <c r="C165" s="18"/>
      <c r="D165" s="18"/>
      <c r="E165" s="18"/>
      <c r="F165" s="18"/>
      <c r="G165" s="18"/>
      <c r="H165" s="17"/>
      <c r="I165" s="18"/>
      <c r="J165" s="18"/>
      <c r="K165" s="18"/>
      <c r="L165" s="18"/>
      <c r="M165" s="18"/>
      <c r="N165" s="18"/>
      <c r="O165" s="18"/>
      <c r="P165" s="33"/>
      <c r="Q165" s="18"/>
      <c r="R165" s="18"/>
      <c r="S165" s="18"/>
      <c r="T165" s="18"/>
      <c r="U165" s="18"/>
      <c r="V165" s="17"/>
      <c r="W165" s="18"/>
      <c r="X165" s="18"/>
      <c r="Y165" s="18"/>
      <c r="Z165" s="18"/>
      <c r="AA165" s="18"/>
      <c r="AB165" s="18"/>
      <c r="AC165" s="18"/>
      <c r="AD165" s="33"/>
      <c r="AE165" s="18"/>
      <c r="AF165" s="18"/>
      <c r="AG165" s="18"/>
      <c r="AH165" s="18"/>
      <c r="AI165" s="18"/>
      <c r="AJ165" s="17"/>
      <c r="AK165" s="33"/>
      <c r="AL165" s="18"/>
      <c r="AM165" s="18"/>
      <c r="AN165" s="18"/>
      <c r="AO165" s="18"/>
      <c r="AP165" s="18"/>
      <c r="AQ165" s="17"/>
      <c r="AR165" s="18"/>
      <c r="AS165" s="16"/>
      <c r="AT165" s="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33"/>
      <c r="BI165" s="18"/>
      <c r="BJ165" s="18"/>
      <c r="BK165" s="18"/>
      <c r="BL165" s="17"/>
      <c r="BM165" s="13"/>
      <c r="BO165" s="26"/>
      <c r="BS165" s="26"/>
      <c r="CD165" s="27"/>
    </row>
    <row r="166" spans="1:82" s="11" customFormat="1">
      <c r="A166" s="32"/>
      <c r="B166" s="33"/>
      <c r="C166" s="18"/>
      <c r="D166" s="18"/>
      <c r="E166" s="18"/>
      <c r="F166" s="18"/>
      <c r="G166" s="18"/>
      <c r="H166" s="17"/>
      <c r="I166" s="18"/>
      <c r="J166" s="18"/>
      <c r="K166" s="18"/>
      <c r="L166" s="18"/>
      <c r="M166" s="18"/>
      <c r="N166" s="18"/>
      <c r="O166" s="18"/>
      <c r="P166" s="33"/>
      <c r="Q166" s="18"/>
      <c r="R166" s="18"/>
      <c r="S166" s="18"/>
      <c r="T166" s="18"/>
      <c r="U166" s="18"/>
      <c r="V166" s="17"/>
      <c r="W166" s="18"/>
      <c r="X166" s="18"/>
      <c r="Y166" s="18"/>
      <c r="Z166" s="18"/>
      <c r="AA166" s="18"/>
      <c r="AB166" s="18"/>
      <c r="AC166" s="18"/>
      <c r="AD166" s="33"/>
      <c r="AE166" s="18"/>
      <c r="AF166" s="18"/>
      <c r="AG166" s="18"/>
      <c r="AH166" s="18"/>
      <c r="AI166" s="18"/>
      <c r="AJ166" s="17"/>
      <c r="AK166" s="33"/>
      <c r="AL166" s="18"/>
      <c r="AM166" s="18"/>
      <c r="AN166" s="18"/>
      <c r="AO166" s="18"/>
      <c r="AP166" s="18"/>
      <c r="AQ166" s="17"/>
      <c r="AR166" s="18"/>
      <c r="AS166" s="16"/>
      <c r="AT166" s="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33"/>
      <c r="BI166" s="18"/>
      <c r="BJ166" s="18"/>
      <c r="BK166" s="18"/>
      <c r="BL166" s="17"/>
      <c r="BM166" s="13"/>
      <c r="BO166" s="26"/>
      <c r="BS166" s="26"/>
      <c r="CD166" s="27"/>
    </row>
    <row r="167" spans="1:82" s="11" customFormat="1">
      <c r="A167" s="32"/>
      <c r="B167" s="33"/>
      <c r="C167" s="18"/>
      <c r="D167" s="18"/>
      <c r="E167" s="18"/>
      <c r="F167" s="18"/>
      <c r="G167" s="18"/>
      <c r="H167" s="17"/>
      <c r="I167" s="18"/>
      <c r="J167" s="18"/>
      <c r="K167" s="18"/>
      <c r="L167" s="18"/>
      <c r="M167" s="18"/>
      <c r="N167" s="18"/>
      <c r="O167" s="18"/>
      <c r="P167" s="33"/>
      <c r="Q167" s="18"/>
      <c r="R167" s="18"/>
      <c r="S167" s="18"/>
      <c r="T167" s="18"/>
      <c r="U167" s="18"/>
      <c r="V167" s="17"/>
      <c r="W167" s="18"/>
      <c r="X167" s="18"/>
      <c r="Y167" s="18"/>
      <c r="Z167" s="18"/>
      <c r="AA167" s="18"/>
      <c r="AB167" s="18"/>
      <c r="AC167" s="18"/>
      <c r="AD167" s="33"/>
      <c r="AE167" s="18"/>
      <c r="AF167" s="18"/>
      <c r="AG167" s="18"/>
      <c r="AH167" s="18"/>
      <c r="AI167" s="18"/>
      <c r="AJ167" s="17"/>
      <c r="AK167" s="33"/>
      <c r="AL167" s="18"/>
      <c r="AM167" s="18"/>
      <c r="AN167" s="18"/>
      <c r="AO167" s="18"/>
      <c r="AP167" s="18"/>
      <c r="AQ167" s="17"/>
      <c r="AR167" s="18"/>
      <c r="AS167" s="8"/>
      <c r="AT167" s="31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33"/>
      <c r="BI167" s="18"/>
      <c r="BJ167" s="18"/>
      <c r="BK167" s="18"/>
      <c r="BL167" s="17"/>
      <c r="BM167" s="13"/>
      <c r="BO167" s="26"/>
      <c r="BS167" s="26"/>
      <c r="CD167" s="27"/>
    </row>
    <row r="168" spans="1:82" s="11" customFormat="1">
      <c r="A168" s="32"/>
      <c r="B168" s="35" t="s">
        <v>268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35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13"/>
      <c r="BO168" s="23"/>
      <c r="BP168" s="24"/>
      <c r="BQ168" s="24"/>
      <c r="BR168" s="24"/>
      <c r="BS168" s="23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5"/>
    </row>
    <row r="169" spans="1:82" s="11" customFormat="1">
      <c r="A169" s="32"/>
      <c r="B169" s="33"/>
      <c r="C169" s="18"/>
      <c r="D169" s="18"/>
      <c r="E169" s="18"/>
      <c r="F169" s="18"/>
      <c r="G169" s="18"/>
      <c r="H169" s="17"/>
      <c r="I169" s="18"/>
      <c r="J169" s="18"/>
      <c r="K169" s="18"/>
      <c r="L169" s="18"/>
      <c r="M169" s="18"/>
      <c r="N169" s="18"/>
      <c r="O169" s="18"/>
      <c r="P169" s="33"/>
      <c r="Q169" s="18"/>
      <c r="R169" s="18"/>
      <c r="S169" s="18"/>
      <c r="T169" s="18"/>
      <c r="U169" s="18"/>
      <c r="V169" s="17"/>
      <c r="W169" s="18"/>
      <c r="X169" s="18"/>
      <c r="Y169" s="18"/>
      <c r="Z169" s="18"/>
      <c r="AA169" s="18"/>
      <c r="AB169" s="18"/>
      <c r="AC169" s="18"/>
      <c r="AD169" s="33"/>
      <c r="AE169" s="18"/>
      <c r="AF169" s="18"/>
      <c r="AG169" s="18"/>
      <c r="AH169" s="18"/>
      <c r="AI169" s="18"/>
      <c r="AJ169" s="17"/>
      <c r="AK169" s="33"/>
      <c r="AL169" s="18"/>
      <c r="AM169" s="18"/>
      <c r="AN169" s="18"/>
      <c r="AO169" s="18"/>
      <c r="AP169" s="18"/>
      <c r="AQ169" s="17"/>
      <c r="AR169" s="18"/>
      <c r="AS169" s="8"/>
      <c r="AT169" s="31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33"/>
      <c r="BI169" s="18"/>
      <c r="BJ169" s="18"/>
      <c r="BK169" s="18"/>
      <c r="BL169" s="17"/>
      <c r="BM169" s="13"/>
      <c r="BO169" s="26"/>
      <c r="BS169" s="26"/>
      <c r="CD169" s="27"/>
    </row>
    <row r="170" spans="1:82" s="11" customFormat="1">
      <c r="A170" s="32"/>
      <c r="B170" s="33"/>
      <c r="C170" s="18"/>
      <c r="D170" s="18"/>
      <c r="E170" s="18"/>
      <c r="F170" s="18"/>
      <c r="G170" s="18"/>
      <c r="H170" s="17"/>
      <c r="I170" s="18"/>
      <c r="J170" s="18"/>
      <c r="K170" s="18"/>
      <c r="L170" s="18"/>
      <c r="M170" s="18"/>
      <c r="N170" s="18"/>
      <c r="O170" s="18"/>
      <c r="P170" s="33"/>
      <c r="Q170" s="18"/>
      <c r="R170" s="18"/>
      <c r="S170" s="18"/>
      <c r="T170" s="18"/>
      <c r="U170" s="18"/>
      <c r="V170" s="17"/>
      <c r="W170" s="18"/>
      <c r="X170" s="18"/>
      <c r="Y170" s="18"/>
      <c r="Z170" s="18"/>
      <c r="AA170" s="18"/>
      <c r="AB170" s="18"/>
      <c r="AC170" s="18"/>
      <c r="AD170" s="33"/>
      <c r="AE170" s="18"/>
      <c r="AF170" s="18"/>
      <c r="AG170" s="18"/>
      <c r="AH170" s="18"/>
      <c r="AI170" s="18"/>
      <c r="AJ170" s="17"/>
      <c r="AK170" s="33"/>
      <c r="AL170" s="18"/>
      <c r="AM170" s="18"/>
      <c r="AN170" s="18"/>
      <c r="AO170" s="18"/>
      <c r="AP170" s="18"/>
      <c r="AQ170" s="17"/>
      <c r="AR170" s="18"/>
      <c r="AS170" s="8"/>
      <c r="AT170" s="31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33"/>
      <c r="BI170" s="18"/>
      <c r="BJ170" s="18"/>
      <c r="BK170" s="18"/>
      <c r="BL170" s="17"/>
      <c r="BM170" s="13"/>
      <c r="BO170" s="26"/>
      <c r="BS170" s="26"/>
      <c r="CD170" s="27"/>
    </row>
    <row r="171" spans="1:82" s="11" customFormat="1">
      <c r="A171" s="32"/>
      <c r="B171" s="33"/>
      <c r="C171" s="18"/>
      <c r="D171" s="18"/>
      <c r="E171" s="18"/>
      <c r="F171" s="18"/>
      <c r="G171" s="18"/>
      <c r="H171" s="17"/>
      <c r="I171" s="18"/>
      <c r="J171" s="18"/>
      <c r="K171" s="18"/>
      <c r="L171" s="18"/>
      <c r="M171" s="18"/>
      <c r="N171" s="18"/>
      <c r="O171" s="18"/>
      <c r="P171" s="33"/>
      <c r="Q171" s="18"/>
      <c r="R171" s="18"/>
      <c r="S171" s="18"/>
      <c r="T171" s="18"/>
      <c r="U171" s="18"/>
      <c r="V171" s="17"/>
      <c r="W171" s="18"/>
      <c r="X171" s="18"/>
      <c r="Y171" s="18"/>
      <c r="Z171" s="18"/>
      <c r="AA171" s="18"/>
      <c r="AB171" s="18"/>
      <c r="AC171" s="18"/>
      <c r="AD171" s="33"/>
      <c r="AE171" s="18"/>
      <c r="AF171" s="18"/>
      <c r="AG171" s="18"/>
      <c r="AH171" s="18"/>
      <c r="AI171" s="18"/>
      <c r="AJ171" s="17"/>
      <c r="AK171" s="33"/>
      <c r="AL171" s="18"/>
      <c r="AM171" s="18"/>
      <c r="AN171" s="18"/>
      <c r="AO171" s="18"/>
      <c r="AP171" s="18"/>
      <c r="AQ171" s="17"/>
      <c r="AR171" s="18"/>
      <c r="AS171" s="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33"/>
      <c r="BI171" s="18"/>
      <c r="BJ171" s="18"/>
      <c r="BK171" s="18"/>
      <c r="BL171" s="17"/>
      <c r="BM171" s="13"/>
      <c r="BO171" s="26"/>
      <c r="BS171" s="26"/>
      <c r="CD171" s="27"/>
    </row>
    <row r="172" spans="1:82" s="11" customFormat="1">
      <c r="A172" s="32"/>
      <c r="B172" s="33"/>
      <c r="C172" s="18"/>
      <c r="D172" s="18"/>
      <c r="E172" s="18"/>
      <c r="F172" s="18"/>
      <c r="G172" s="18"/>
      <c r="H172" s="17"/>
      <c r="I172" s="18"/>
      <c r="J172" s="18"/>
      <c r="K172" s="18"/>
      <c r="L172" s="18"/>
      <c r="M172" s="18"/>
      <c r="N172" s="18"/>
      <c r="O172" s="18"/>
      <c r="P172" s="33"/>
      <c r="Q172" s="18"/>
      <c r="R172" s="18"/>
      <c r="S172" s="18"/>
      <c r="T172" s="18"/>
      <c r="U172" s="18"/>
      <c r="V172" s="17"/>
      <c r="W172" s="18"/>
      <c r="X172" s="18"/>
      <c r="Y172" s="18"/>
      <c r="Z172" s="18"/>
      <c r="AA172" s="18"/>
      <c r="AB172" s="18"/>
      <c r="AC172" s="18"/>
      <c r="AD172" s="33"/>
      <c r="AE172" s="18"/>
      <c r="AF172" s="18"/>
      <c r="AG172" s="18"/>
      <c r="AH172" s="18"/>
      <c r="AI172" s="18"/>
      <c r="AJ172" s="17"/>
      <c r="AK172" s="33"/>
      <c r="AL172" s="18"/>
      <c r="AM172" s="18"/>
      <c r="AN172" s="18"/>
      <c r="AO172" s="18"/>
      <c r="AP172" s="18"/>
      <c r="AQ172" s="17"/>
      <c r="AR172" s="18"/>
      <c r="AS172" s="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33"/>
      <c r="BI172" s="18"/>
      <c r="BJ172" s="18"/>
      <c r="BK172" s="18"/>
      <c r="BL172" s="17"/>
      <c r="BM172" s="13"/>
      <c r="BO172" s="26"/>
      <c r="BS172" s="26"/>
      <c r="CD172" s="27"/>
    </row>
    <row r="173" spans="1:82" s="11" customFormat="1">
      <c r="A173" s="32"/>
      <c r="B173" s="33"/>
      <c r="C173" s="18"/>
      <c r="D173" s="18"/>
      <c r="E173" s="18"/>
      <c r="F173" s="18"/>
      <c r="G173" s="18"/>
      <c r="H173" s="17"/>
      <c r="I173" s="18"/>
      <c r="J173" s="18"/>
      <c r="K173" s="18"/>
      <c r="L173" s="18"/>
      <c r="M173" s="18"/>
      <c r="N173" s="18"/>
      <c r="O173" s="18"/>
      <c r="P173" s="33"/>
      <c r="Q173" s="18"/>
      <c r="R173" s="18"/>
      <c r="S173" s="18"/>
      <c r="T173" s="18"/>
      <c r="U173" s="18"/>
      <c r="V173" s="17"/>
      <c r="W173" s="18"/>
      <c r="X173" s="18"/>
      <c r="Y173" s="18"/>
      <c r="Z173" s="18"/>
      <c r="AA173" s="18"/>
      <c r="AB173" s="18"/>
      <c r="AC173" s="18"/>
      <c r="AD173" s="33"/>
      <c r="AE173" s="18"/>
      <c r="AF173" s="18"/>
      <c r="AG173" s="18"/>
      <c r="AH173" s="18"/>
      <c r="AI173" s="18"/>
      <c r="AJ173" s="17"/>
      <c r="AK173" s="33"/>
      <c r="AL173" s="18"/>
      <c r="AM173" s="18"/>
      <c r="AN173" s="18"/>
      <c r="AO173" s="18"/>
      <c r="AP173" s="18"/>
      <c r="AQ173" s="17"/>
      <c r="AR173" s="18"/>
      <c r="AS173" s="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33"/>
      <c r="BI173" s="18"/>
      <c r="BJ173" s="18"/>
      <c r="BK173" s="18"/>
      <c r="BL173" s="17"/>
      <c r="BM173" s="13"/>
      <c r="BO173" s="26"/>
      <c r="BS173" s="26"/>
      <c r="CD173" s="27"/>
    </row>
    <row r="174" spans="1:82" s="11" customFormat="1">
      <c r="A174" s="32"/>
      <c r="B174" s="33"/>
      <c r="C174" s="18"/>
      <c r="D174" s="18"/>
      <c r="E174" s="18"/>
      <c r="F174" s="18"/>
      <c r="G174" s="18"/>
      <c r="H174" s="17"/>
      <c r="I174" s="18"/>
      <c r="J174" s="18"/>
      <c r="K174" s="18"/>
      <c r="L174" s="18"/>
      <c r="M174" s="18"/>
      <c r="N174" s="18"/>
      <c r="O174" s="18"/>
      <c r="P174" s="33"/>
      <c r="Q174" s="18"/>
      <c r="R174" s="18"/>
      <c r="S174" s="18"/>
      <c r="T174" s="18"/>
      <c r="U174" s="18"/>
      <c r="V174" s="17"/>
      <c r="W174" s="18"/>
      <c r="X174" s="18"/>
      <c r="Y174" s="18"/>
      <c r="Z174" s="18"/>
      <c r="AA174" s="18"/>
      <c r="AB174" s="18"/>
      <c r="AC174" s="18"/>
      <c r="AD174" s="33"/>
      <c r="AE174" s="18"/>
      <c r="AF174" s="18"/>
      <c r="AG174" s="18"/>
      <c r="AH174" s="18"/>
      <c r="AI174" s="18"/>
      <c r="AJ174" s="17"/>
      <c r="AK174" s="33"/>
      <c r="AL174" s="18"/>
      <c r="AM174" s="18"/>
      <c r="AN174" s="18"/>
      <c r="AO174" s="18"/>
      <c r="AP174" s="18"/>
      <c r="AQ174" s="17"/>
      <c r="AR174" s="18"/>
      <c r="AS174" s="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33"/>
      <c r="BI174" s="18"/>
      <c r="BJ174" s="18"/>
      <c r="BK174" s="18"/>
      <c r="BL174" s="17"/>
      <c r="BM174" s="13"/>
      <c r="BO174" s="26"/>
      <c r="BS174" s="26"/>
      <c r="CD174" s="27"/>
    </row>
    <row r="175" spans="1:82" s="11" customFormat="1">
      <c r="A175" s="32"/>
      <c r="B175" s="33"/>
      <c r="C175" s="18"/>
      <c r="D175" s="18"/>
      <c r="E175" s="18"/>
      <c r="F175" s="18"/>
      <c r="G175" s="18"/>
      <c r="H175" s="17"/>
      <c r="I175" s="18"/>
      <c r="J175" s="18"/>
      <c r="K175" s="18"/>
      <c r="L175" s="18"/>
      <c r="M175" s="18"/>
      <c r="N175" s="18"/>
      <c r="O175" s="18"/>
      <c r="P175" s="33"/>
      <c r="Q175" s="18"/>
      <c r="R175" s="18"/>
      <c r="S175" s="18"/>
      <c r="T175" s="18"/>
      <c r="U175" s="18"/>
      <c r="V175" s="17"/>
      <c r="W175" s="18"/>
      <c r="X175" s="18"/>
      <c r="Y175" s="18"/>
      <c r="Z175" s="18"/>
      <c r="AA175" s="18"/>
      <c r="AB175" s="18"/>
      <c r="AC175" s="18"/>
      <c r="AD175" s="33"/>
      <c r="AE175" s="18"/>
      <c r="AF175" s="18"/>
      <c r="AG175" s="18"/>
      <c r="AH175" s="18"/>
      <c r="AI175" s="18"/>
      <c r="AJ175" s="17"/>
      <c r="AK175" s="33"/>
      <c r="AL175" s="18"/>
      <c r="AM175" s="18"/>
      <c r="AN175" s="18"/>
      <c r="AO175" s="18"/>
      <c r="AP175" s="18"/>
      <c r="AQ175" s="17"/>
      <c r="AR175" s="18"/>
      <c r="AS175" s="8"/>
      <c r="AT175" s="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33"/>
      <c r="BI175" s="18"/>
      <c r="BJ175" s="18"/>
      <c r="BK175" s="18"/>
      <c r="BL175" s="17"/>
      <c r="BM175" s="13"/>
      <c r="BO175" s="26"/>
      <c r="BS175" s="26"/>
      <c r="CD175" s="27"/>
    </row>
    <row r="176" spans="1:82" s="11" customFormat="1">
      <c r="A176" s="32"/>
      <c r="B176" s="33"/>
      <c r="C176" s="18"/>
      <c r="D176" s="18"/>
      <c r="E176" s="18"/>
      <c r="F176" s="18"/>
      <c r="G176" s="18"/>
      <c r="H176" s="17"/>
      <c r="I176" s="18"/>
      <c r="J176" s="18"/>
      <c r="K176" s="18"/>
      <c r="L176" s="18"/>
      <c r="M176" s="18"/>
      <c r="N176" s="18"/>
      <c r="O176" s="18"/>
      <c r="P176" s="33"/>
      <c r="Q176" s="18"/>
      <c r="R176" s="18"/>
      <c r="S176" s="18"/>
      <c r="T176" s="18"/>
      <c r="U176" s="18"/>
      <c r="V176" s="17"/>
      <c r="W176" s="18"/>
      <c r="X176" s="18"/>
      <c r="Y176" s="18"/>
      <c r="Z176" s="18"/>
      <c r="AA176" s="18"/>
      <c r="AB176" s="18"/>
      <c r="AC176" s="18"/>
      <c r="AD176" s="33"/>
      <c r="AE176" s="18"/>
      <c r="AF176" s="18"/>
      <c r="AG176" s="18"/>
      <c r="AH176" s="18"/>
      <c r="AI176" s="18"/>
      <c r="AJ176" s="17"/>
      <c r="AK176" s="33"/>
      <c r="AL176" s="18"/>
      <c r="AM176" s="18"/>
      <c r="AN176" s="18"/>
      <c r="AO176" s="18"/>
      <c r="AP176" s="18"/>
      <c r="AQ176" s="17"/>
      <c r="AR176" s="18"/>
      <c r="AS176" s="8"/>
      <c r="AT176" s="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33"/>
      <c r="BI176" s="18"/>
      <c r="BJ176" s="18"/>
      <c r="BK176" s="18"/>
      <c r="BL176" s="17"/>
      <c r="BM176" s="13"/>
      <c r="BO176" s="26"/>
      <c r="BS176" s="26"/>
      <c r="CD176" s="27"/>
    </row>
    <row r="177" spans="1:82" s="11" customFormat="1">
      <c r="A177" s="32"/>
      <c r="B177" s="33"/>
      <c r="C177" s="18"/>
      <c r="D177" s="18"/>
      <c r="E177" s="18"/>
      <c r="F177" s="18"/>
      <c r="G177" s="18"/>
      <c r="H177" s="17"/>
      <c r="I177" s="18"/>
      <c r="J177" s="18"/>
      <c r="K177" s="18"/>
      <c r="L177" s="18"/>
      <c r="M177" s="18"/>
      <c r="N177" s="18"/>
      <c r="O177" s="18"/>
      <c r="P177" s="33"/>
      <c r="Q177" s="18"/>
      <c r="R177" s="18"/>
      <c r="S177" s="18"/>
      <c r="T177" s="18"/>
      <c r="U177" s="18"/>
      <c r="V177" s="17"/>
      <c r="W177" s="18"/>
      <c r="X177" s="18"/>
      <c r="Y177" s="18"/>
      <c r="Z177" s="18"/>
      <c r="AA177" s="18"/>
      <c r="AB177" s="18"/>
      <c r="AC177" s="18"/>
      <c r="AD177" s="33"/>
      <c r="AE177" s="18"/>
      <c r="AF177" s="18"/>
      <c r="AG177" s="18"/>
      <c r="AH177" s="18"/>
      <c r="AI177" s="18"/>
      <c r="AJ177" s="17"/>
      <c r="AK177" s="33"/>
      <c r="AL177" s="18"/>
      <c r="AM177" s="18"/>
      <c r="AN177" s="18"/>
      <c r="AO177" s="18"/>
      <c r="AP177" s="18"/>
      <c r="AQ177" s="17"/>
      <c r="AR177" s="18"/>
      <c r="AS177" s="8"/>
      <c r="AT177" s="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33"/>
      <c r="BI177" s="18"/>
      <c r="BJ177" s="18"/>
      <c r="BK177" s="18"/>
      <c r="BL177" s="17"/>
      <c r="BM177" s="13"/>
      <c r="BO177" s="26"/>
      <c r="BS177" s="26"/>
      <c r="CD177" s="27"/>
    </row>
    <row r="178" spans="1:82" s="11" customFormat="1">
      <c r="A178" s="32"/>
      <c r="B178" s="33"/>
      <c r="C178" s="18"/>
      <c r="D178" s="18"/>
      <c r="E178" s="18"/>
      <c r="F178" s="18"/>
      <c r="G178" s="18"/>
      <c r="H178" s="17"/>
      <c r="I178" s="18"/>
      <c r="J178" s="18"/>
      <c r="K178" s="18"/>
      <c r="L178" s="18"/>
      <c r="M178" s="18"/>
      <c r="N178" s="18"/>
      <c r="O178" s="18"/>
      <c r="P178" s="33"/>
      <c r="Q178" s="18"/>
      <c r="R178" s="18"/>
      <c r="S178" s="18"/>
      <c r="T178" s="18"/>
      <c r="U178" s="18"/>
      <c r="V178" s="17"/>
      <c r="W178" s="18"/>
      <c r="X178" s="18"/>
      <c r="Y178" s="18"/>
      <c r="Z178" s="18"/>
      <c r="AA178" s="18"/>
      <c r="AB178" s="18"/>
      <c r="AC178" s="18"/>
      <c r="AD178" s="33"/>
      <c r="AE178" s="18"/>
      <c r="AF178" s="18"/>
      <c r="AG178" s="18"/>
      <c r="AH178" s="18"/>
      <c r="AI178" s="18"/>
      <c r="AJ178" s="17"/>
      <c r="AK178" s="33"/>
      <c r="AL178" s="18"/>
      <c r="AM178" s="18"/>
      <c r="AN178" s="18"/>
      <c r="AO178" s="18"/>
      <c r="AP178" s="18"/>
      <c r="AQ178" s="17"/>
      <c r="AR178" s="18"/>
      <c r="AS178" s="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33"/>
      <c r="BI178" s="18"/>
      <c r="BJ178" s="18"/>
      <c r="BK178" s="18"/>
      <c r="BL178" s="17"/>
      <c r="BM178" s="13"/>
      <c r="BO178" s="26"/>
      <c r="BS178" s="26"/>
      <c r="CD178" s="27"/>
    </row>
    <row r="179" spans="1:82" s="11" customFormat="1">
      <c r="A179" s="32"/>
      <c r="B179" s="33"/>
      <c r="C179" s="18"/>
      <c r="D179" s="18"/>
      <c r="E179" s="18"/>
      <c r="F179" s="18"/>
      <c r="G179" s="18"/>
      <c r="H179" s="17"/>
      <c r="I179" s="18"/>
      <c r="J179" s="18"/>
      <c r="K179" s="18"/>
      <c r="L179" s="18"/>
      <c r="M179" s="18"/>
      <c r="N179" s="18"/>
      <c r="O179" s="18"/>
      <c r="P179" s="33"/>
      <c r="Q179" s="18"/>
      <c r="R179" s="18"/>
      <c r="S179" s="18"/>
      <c r="T179" s="18"/>
      <c r="U179" s="18"/>
      <c r="V179" s="17"/>
      <c r="W179" s="18"/>
      <c r="X179" s="18"/>
      <c r="Y179" s="18"/>
      <c r="Z179" s="18"/>
      <c r="AA179" s="18"/>
      <c r="AB179" s="18"/>
      <c r="AC179" s="18"/>
      <c r="AD179" s="33"/>
      <c r="AE179" s="18"/>
      <c r="AF179" s="18"/>
      <c r="AG179" s="18"/>
      <c r="AH179" s="18"/>
      <c r="AI179" s="18"/>
      <c r="AJ179" s="17"/>
      <c r="AK179" s="33"/>
      <c r="AL179" s="18"/>
      <c r="AM179" s="18"/>
      <c r="AN179" s="18"/>
      <c r="AO179" s="18"/>
      <c r="AP179" s="18"/>
      <c r="AQ179" s="17"/>
      <c r="AR179" s="18"/>
      <c r="AS179" s="19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33"/>
      <c r="BI179" s="18"/>
      <c r="BJ179" s="18"/>
      <c r="BK179" s="18"/>
      <c r="BL179" s="17"/>
      <c r="BM179" s="13"/>
      <c r="BO179" s="26"/>
      <c r="BS179" s="26"/>
      <c r="CD179" s="27"/>
    </row>
    <row r="180" spans="1:82" s="11" customFormat="1">
      <c r="A180" s="32"/>
      <c r="B180" s="33"/>
      <c r="C180" s="18"/>
      <c r="D180" s="18"/>
      <c r="E180" s="18"/>
      <c r="F180" s="18"/>
      <c r="G180" s="18"/>
      <c r="H180" s="17"/>
      <c r="I180" s="18"/>
      <c r="J180" s="18"/>
      <c r="K180" s="18"/>
      <c r="L180" s="18"/>
      <c r="M180" s="18"/>
      <c r="N180" s="18"/>
      <c r="O180" s="18"/>
      <c r="P180" s="33"/>
      <c r="Q180" s="18"/>
      <c r="R180" s="18"/>
      <c r="S180" s="18"/>
      <c r="T180" s="18"/>
      <c r="U180" s="18"/>
      <c r="V180" s="17"/>
      <c r="W180" s="18"/>
      <c r="X180" s="18"/>
      <c r="Y180" s="18"/>
      <c r="Z180" s="18"/>
      <c r="AA180" s="18"/>
      <c r="AB180" s="18"/>
      <c r="AC180" s="18"/>
      <c r="AD180" s="33"/>
      <c r="AE180" s="18"/>
      <c r="AF180" s="18"/>
      <c r="AG180" s="18"/>
      <c r="AH180" s="18"/>
      <c r="AI180" s="18"/>
      <c r="AJ180" s="17"/>
      <c r="AK180" s="33"/>
      <c r="AL180" s="18"/>
      <c r="AM180" s="18"/>
      <c r="AN180" s="18"/>
      <c r="AO180" s="18"/>
      <c r="AP180" s="18"/>
      <c r="AQ180" s="17"/>
      <c r="AR180" s="18"/>
      <c r="AS180" s="16" t="s">
        <v>269</v>
      </c>
      <c r="AT180" s="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33"/>
      <c r="BI180" s="18"/>
      <c r="BJ180" s="18"/>
      <c r="BK180" s="18"/>
      <c r="BL180" s="17"/>
      <c r="BM180" s="13"/>
      <c r="BO180" s="26"/>
      <c r="BS180" s="26"/>
      <c r="CD180" s="27"/>
    </row>
    <row r="181" spans="1:82" s="11" customFormat="1">
      <c r="A181" s="32"/>
      <c r="B181" s="33"/>
      <c r="C181" s="18"/>
      <c r="D181" s="18"/>
      <c r="E181" s="18"/>
      <c r="F181" s="18"/>
      <c r="G181" s="18"/>
      <c r="H181" s="17"/>
      <c r="I181" s="18"/>
      <c r="J181" s="18"/>
      <c r="K181" s="18"/>
      <c r="L181" s="18"/>
      <c r="M181" s="18"/>
      <c r="N181" s="18"/>
      <c r="O181" s="18"/>
      <c r="P181" s="33"/>
      <c r="Q181" s="18"/>
      <c r="R181" s="18"/>
      <c r="S181" s="18"/>
      <c r="T181" s="18"/>
      <c r="U181" s="18"/>
      <c r="V181" s="17"/>
      <c r="W181" s="18"/>
      <c r="X181" s="18"/>
      <c r="Y181" s="18"/>
      <c r="Z181" s="18"/>
      <c r="AA181" s="18"/>
      <c r="AB181" s="18"/>
      <c r="AC181" s="18"/>
      <c r="AD181" s="33"/>
      <c r="AE181" s="18"/>
      <c r="AF181" s="18"/>
      <c r="AG181" s="18"/>
      <c r="AH181" s="18"/>
      <c r="AI181" s="18"/>
      <c r="AJ181" s="17"/>
      <c r="AK181" s="33"/>
      <c r="AL181" s="18"/>
      <c r="AM181" s="18"/>
      <c r="AN181" s="18"/>
      <c r="AO181" s="18"/>
      <c r="AP181" s="18"/>
      <c r="AQ181" s="17"/>
      <c r="AR181" s="18"/>
      <c r="AS181" s="8"/>
      <c r="AT181" s="8" t="s">
        <v>270</v>
      </c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33"/>
      <c r="BI181" s="18"/>
      <c r="BJ181" s="18"/>
      <c r="BK181" s="18"/>
      <c r="BL181" s="17"/>
      <c r="BM181" s="13"/>
      <c r="BO181" s="26"/>
      <c r="BS181" s="26"/>
      <c r="CD181" s="27"/>
    </row>
    <row r="182" spans="1:82" s="11" customFormat="1">
      <c r="A182" s="32"/>
      <c r="B182" s="33"/>
      <c r="C182" s="18"/>
      <c r="D182" s="18"/>
      <c r="E182" s="18"/>
      <c r="F182" s="18"/>
      <c r="G182" s="18"/>
      <c r="H182" s="17"/>
      <c r="I182" s="18"/>
      <c r="J182" s="18"/>
      <c r="K182" s="18"/>
      <c r="L182" s="18"/>
      <c r="M182" s="18"/>
      <c r="N182" s="18"/>
      <c r="O182" s="18"/>
      <c r="P182" s="33"/>
      <c r="Q182" s="18"/>
      <c r="R182" s="18"/>
      <c r="S182" s="18"/>
      <c r="T182" s="18"/>
      <c r="U182" s="18"/>
      <c r="V182" s="17"/>
      <c r="W182" s="18"/>
      <c r="X182" s="18"/>
      <c r="Y182" s="18"/>
      <c r="Z182" s="18"/>
      <c r="AA182" s="18"/>
      <c r="AB182" s="18"/>
      <c r="AC182" s="18"/>
      <c r="AD182" s="33"/>
      <c r="AE182" s="18"/>
      <c r="AF182" s="18"/>
      <c r="AG182" s="18"/>
      <c r="AH182" s="18"/>
      <c r="AI182" s="18"/>
      <c r="AJ182" s="17"/>
      <c r="AK182" s="33"/>
      <c r="AL182" s="18"/>
      <c r="AM182" s="18"/>
      <c r="AN182" s="18"/>
      <c r="AO182" s="18"/>
      <c r="AP182" s="18"/>
      <c r="AQ182" s="17"/>
      <c r="AR182" s="18"/>
      <c r="AS182" s="8"/>
      <c r="AT182" s="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33"/>
      <c r="BI182" s="18"/>
      <c r="BJ182" s="18"/>
      <c r="BK182" s="18"/>
      <c r="BL182" s="17"/>
      <c r="BM182" s="13"/>
      <c r="BO182" s="26"/>
      <c r="BS182" s="26"/>
      <c r="CD182" s="27"/>
    </row>
    <row r="183" spans="1:82" s="11" customFormat="1">
      <c r="A183" s="32"/>
      <c r="B183" s="33"/>
      <c r="C183" s="18"/>
      <c r="D183" s="18"/>
      <c r="E183" s="18"/>
      <c r="F183" s="18"/>
      <c r="G183" s="18"/>
      <c r="H183" s="17"/>
      <c r="I183" s="18"/>
      <c r="J183" s="18"/>
      <c r="K183" s="18"/>
      <c r="L183" s="18"/>
      <c r="M183" s="18"/>
      <c r="N183" s="18"/>
      <c r="O183" s="18"/>
      <c r="P183" s="33"/>
      <c r="Q183" s="18"/>
      <c r="R183" s="18"/>
      <c r="S183" s="18"/>
      <c r="T183" s="18"/>
      <c r="U183" s="18"/>
      <c r="V183" s="17"/>
      <c r="W183" s="18"/>
      <c r="X183" s="18"/>
      <c r="Y183" s="18"/>
      <c r="Z183" s="18"/>
      <c r="AA183" s="18"/>
      <c r="AB183" s="18"/>
      <c r="AC183" s="18"/>
      <c r="AD183" s="33"/>
      <c r="AE183" s="18"/>
      <c r="AF183" s="18"/>
      <c r="AG183" s="18"/>
      <c r="AH183" s="18"/>
      <c r="AI183" s="18"/>
      <c r="AJ183" s="17"/>
      <c r="AK183" s="33"/>
      <c r="AL183" s="18"/>
      <c r="AM183" s="18"/>
      <c r="AN183" s="18"/>
      <c r="AO183" s="18"/>
      <c r="AP183" s="18"/>
      <c r="AQ183" s="17"/>
      <c r="AR183" s="18"/>
      <c r="AS183" s="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33"/>
      <c r="BI183" s="18"/>
      <c r="BJ183" s="18"/>
      <c r="BK183" s="18"/>
      <c r="BL183" s="17"/>
      <c r="BM183" s="13"/>
      <c r="BO183" s="26"/>
      <c r="BS183" s="26"/>
      <c r="CD183" s="27"/>
    </row>
    <row r="184" spans="1:82" s="11" customFormat="1">
      <c r="A184" s="32"/>
      <c r="B184" s="33"/>
      <c r="C184" s="18"/>
      <c r="D184" s="18"/>
      <c r="E184" s="18"/>
      <c r="F184" s="18"/>
      <c r="G184" s="18"/>
      <c r="H184" s="17"/>
      <c r="I184" s="18"/>
      <c r="J184" s="18"/>
      <c r="K184" s="18"/>
      <c r="L184" s="18"/>
      <c r="M184" s="18"/>
      <c r="N184" s="18"/>
      <c r="O184" s="18"/>
      <c r="P184" s="33"/>
      <c r="Q184" s="18"/>
      <c r="R184" s="18"/>
      <c r="S184" s="18"/>
      <c r="T184" s="18"/>
      <c r="U184" s="18"/>
      <c r="V184" s="17"/>
      <c r="W184" s="18"/>
      <c r="X184" s="18"/>
      <c r="Y184" s="18"/>
      <c r="Z184" s="18"/>
      <c r="AA184" s="18"/>
      <c r="AB184" s="18"/>
      <c r="AC184" s="18"/>
      <c r="AD184" s="33"/>
      <c r="AE184" s="18"/>
      <c r="AF184" s="18"/>
      <c r="AG184" s="18"/>
      <c r="AH184" s="18"/>
      <c r="AI184" s="18"/>
      <c r="AJ184" s="17"/>
      <c r="AK184" s="33"/>
      <c r="AL184" s="18"/>
      <c r="AM184" s="18"/>
      <c r="AN184" s="18"/>
      <c r="AO184" s="18"/>
      <c r="AP184" s="18"/>
      <c r="AQ184" s="17"/>
      <c r="AR184" s="18"/>
      <c r="AS184" s="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33"/>
      <c r="BI184" s="18"/>
      <c r="BJ184" s="18"/>
      <c r="BK184" s="18"/>
      <c r="BL184" s="17"/>
      <c r="BM184" s="13"/>
      <c r="BO184" s="26"/>
      <c r="BS184" s="26"/>
      <c r="CD184" s="27"/>
    </row>
    <row r="185" spans="1:82" s="11" customFormat="1">
      <c r="A185" s="32"/>
      <c r="B185" s="33"/>
      <c r="C185" s="18"/>
      <c r="D185" s="18"/>
      <c r="E185" s="18"/>
      <c r="F185" s="18"/>
      <c r="G185" s="18"/>
      <c r="H185" s="17"/>
      <c r="I185" s="18"/>
      <c r="J185" s="18"/>
      <c r="K185" s="18"/>
      <c r="L185" s="18"/>
      <c r="M185" s="18"/>
      <c r="N185" s="18"/>
      <c r="O185" s="18"/>
      <c r="P185" s="33"/>
      <c r="Q185" s="18"/>
      <c r="R185" s="18"/>
      <c r="S185" s="18"/>
      <c r="T185" s="18"/>
      <c r="U185" s="18"/>
      <c r="V185" s="17"/>
      <c r="W185" s="18"/>
      <c r="X185" s="18"/>
      <c r="Y185" s="18"/>
      <c r="Z185" s="18"/>
      <c r="AA185" s="18"/>
      <c r="AB185" s="18"/>
      <c r="AC185" s="18"/>
      <c r="AD185" s="33"/>
      <c r="AE185" s="18"/>
      <c r="AF185" s="18"/>
      <c r="AG185" s="18"/>
      <c r="AH185" s="18"/>
      <c r="AI185" s="18"/>
      <c r="AJ185" s="17"/>
      <c r="AK185" s="33"/>
      <c r="AL185" s="18"/>
      <c r="AM185" s="18"/>
      <c r="AN185" s="18"/>
      <c r="AO185" s="18"/>
      <c r="AP185" s="18"/>
      <c r="AQ185" s="17"/>
      <c r="AR185" s="18"/>
      <c r="AS185" s="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33"/>
      <c r="BI185" s="18"/>
      <c r="BJ185" s="18"/>
      <c r="BK185" s="18"/>
      <c r="BL185" s="17"/>
      <c r="BM185" s="13"/>
      <c r="BO185" s="26"/>
      <c r="BS185" s="26"/>
      <c r="CD185" s="27"/>
    </row>
    <row r="186" spans="1:82" s="11" customFormat="1">
      <c r="A186" s="32"/>
      <c r="B186" s="33"/>
      <c r="C186" s="18"/>
      <c r="D186" s="18"/>
      <c r="E186" s="18"/>
      <c r="F186" s="18"/>
      <c r="G186" s="18"/>
      <c r="H186" s="17"/>
      <c r="I186" s="18"/>
      <c r="J186" s="18"/>
      <c r="K186" s="18"/>
      <c r="L186" s="18"/>
      <c r="M186" s="18"/>
      <c r="N186" s="18"/>
      <c r="O186" s="18"/>
      <c r="P186" s="33"/>
      <c r="Q186" s="18"/>
      <c r="R186" s="18"/>
      <c r="S186" s="18"/>
      <c r="T186" s="18"/>
      <c r="U186" s="18"/>
      <c r="V186" s="17"/>
      <c r="W186" s="18"/>
      <c r="X186" s="18"/>
      <c r="Y186" s="18"/>
      <c r="Z186" s="18"/>
      <c r="AA186" s="18"/>
      <c r="AB186" s="18"/>
      <c r="AC186" s="18"/>
      <c r="AD186" s="33"/>
      <c r="AE186" s="18"/>
      <c r="AF186" s="18"/>
      <c r="AG186" s="18"/>
      <c r="AH186" s="18"/>
      <c r="AI186" s="18"/>
      <c r="AJ186" s="17"/>
      <c r="AK186" s="33"/>
      <c r="AL186" s="18"/>
      <c r="AM186" s="18"/>
      <c r="AN186" s="18"/>
      <c r="AO186" s="18"/>
      <c r="AP186" s="18"/>
      <c r="AQ186" s="17"/>
      <c r="AR186" s="18"/>
      <c r="AS186" s="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33"/>
      <c r="BI186" s="18"/>
      <c r="BJ186" s="18"/>
      <c r="BK186" s="18"/>
      <c r="BL186" s="17"/>
      <c r="BM186" s="13"/>
      <c r="BO186" s="26"/>
      <c r="BS186" s="26"/>
      <c r="CD186" s="27"/>
    </row>
    <row r="187" spans="1:82" s="11" customFormat="1">
      <c r="A187" s="32"/>
      <c r="B187" s="33"/>
      <c r="C187" s="18"/>
      <c r="D187" s="18"/>
      <c r="E187" s="18"/>
      <c r="F187" s="18"/>
      <c r="G187" s="18"/>
      <c r="H187" s="17"/>
      <c r="I187" s="18"/>
      <c r="J187" s="18"/>
      <c r="K187" s="18"/>
      <c r="L187" s="18"/>
      <c r="M187" s="18"/>
      <c r="N187" s="18"/>
      <c r="O187" s="18"/>
      <c r="P187" s="33"/>
      <c r="Q187" s="18"/>
      <c r="R187" s="18"/>
      <c r="S187" s="18"/>
      <c r="T187" s="18"/>
      <c r="U187" s="18"/>
      <c r="V187" s="17"/>
      <c r="W187" s="18"/>
      <c r="X187" s="18"/>
      <c r="Y187" s="18"/>
      <c r="Z187" s="18"/>
      <c r="AA187" s="18"/>
      <c r="AB187" s="18"/>
      <c r="AC187" s="18"/>
      <c r="AD187" s="33"/>
      <c r="AE187" s="18"/>
      <c r="AF187" s="18"/>
      <c r="AG187" s="18"/>
      <c r="AH187" s="18"/>
      <c r="AI187" s="18"/>
      <c r="AJ187" s="17"/>
      <c r="AK187" s="33"/>
      <c r="AL187" s="18"/>
      <c r="AM187" s="18"/>
      <c r="AN187" s="18"/>
      <c r="AO187" s="18"/>
      <c r="AP187" s="18"/>
      <c r="AQ187" s="17"/>
      <c r="AR187" s="18"/>
      <c r="AS187" s="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33"/>
      <c r="BI187" s="18"/>
      <c r="BJ187" s="18"/>
      <c r="BK187" s="18"/>
      <c r="BL187" s="17"/>
      <c r="BM187" s="13"/>
      <c r="BO187" s="26"/>
      <c r="BS187" s="26"/>
      <c r="CD187" s="27"/>
    </row>
    <row r="188" spans="1:82" s="11" customFormat="1">
      <c r="A188" s="32"/>
      <c r="B188" s="33"/>
      <c r="C188" s="18"/>
      <c r="D188" s="18"/>
      <c r="E188" s="18"/>
      <c r="F188" s="18"/>
      <c r="G188" s="18"/>
      <c r="H188" s="17"/>
      <c r="I188" s="18"/>
      <c r="J188" s="18"/>
      <c r="K188" s="18"/>
      <c r="L188" s="18"/>
      <c r="M188" s="18"/>
      <c r="N188" s="18"/>
      <c r="O188" s="18"/>
      <c r="P188" s="33"/>
      <c r="Q188" s="18"/>
      <c r="R188" s="18"/>
      <c r="S188" s="18"/>
      <c r="T188" s="18"/>
      <c r="U188" s="18"/>
      <c r="V188" s="17"/>
      <c r="W188" s="18"/>
      <c r="X188" s="18"/>
      <c r="Y188" s="18"/>
      <c r="Z188" s="18"/>
      <c r="AA188" s="18"/>
      <c r="AB188" s="18"/>
      <c r="AC188" s="18"/>
      <c r="AD188" s="33"/>
      <c r="AE188" s="18"/>
      <c r="AF188" s="18"/>
      <c r="AG188" s="18"/>
      <c r="AH188" s="18"/>
      <c r="AI188" s="18"/>
      <c r="AJ188" s="17"/>
      <c r="AK188" s="33"/>
      <c r="AL188" s="18"/>
      <c r="AM188" s="18"/>
      <c r="AN188" s="18"/>
      <c r="AO188" s="18"/>
      <c r="AP188" s="18"/>
      <c r="AQ188" s="17"/>
      <c r="AR188" s="18"/>
      <c r="AS188" s="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33"/>
      <c r="BI188" s="18"/>
      <c r="BJ188" s="18"/>
      <c r="BK188" s="18"/>
      <c r="BL188" s="17"/>
      <c r="BM188" s="13"/>
      <c r="BO188" s="26"/>
      <c r="BS188" s="26"/>
      <c r="CD188" s="27"/>
    </row>
    <row r="189" spans="1:82" s="11" customFormat="1">
      <c r="A189" s="32"/>
      <c r="B189" s="33"/>
      <c r="C189" s="18"/>
      <c r="D189" s="18"/>
      <c r="E189" s="18"/>
      <c r="F189" s="18"/>
      <c r="G189" s="18"/>
      <c r="H189" s="17"/>
      <c r="I189" s="18"/>
      <c r="J189" s="18"/>
      <c r="K189" s="18"/>
      <c r="L189" s="18"/>
      <c r="M189" s="18"/>
      <c r="N189" s="18"/>
      <c r="O189" s="18"/>
      <c r="P189" s="33"/>
      <c r="Q189" s="18"/>
      <c r="R189" s="18"/>
      <c r="S189" s="18"/>
      <c r="T189" s="18"/>
      <c r="U189" s="18"/>
      <c r="V189" s="17"/>
      <c r="W189" s="18"/>
      <c r="X189" s="18"/>
      <c r="Y189" s="18"/>
      <c r="Z189" s="18"/>
      <c r="AA189" s="18"/>
      <c r="AB189" s="18"/>
      <c r="AC189" s="18"/>
      <c r="AD189" s="33"/>
      <c r="AE189" s="18"/>
      <c r="AF189" s="18"/>
      <c r="AG189" s="18"/>
      <c r="AH189" s="18"/>
      <c r="AI189" s="18"/>
      <c r="AJ189" s="17"/>
      <c r="AK189" s="33"/>
      <c r="AL189" s="18"/>
      <c r="AM189" s="18"/>
      <c r="AN189" s="18"/>
      <c r="AO189" s="18"/>
      <c r="AP189" s="18"/>
      <c r="AQ189" s="17"/>
      <c r="AR189" s="18"/>
      <c r="AS189" s="16" t="s">
        <v>271</v>
      </c>
      <c r="AT189" s="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33"/>
      <c r="BI189" s="18"/>
      <c r="BJ189" s="18"/>
      <c r="BK189" s="18"/>
      <c r="BL189" s="17"/>
      <c r="BM189" s="13"/>
      <c r="BO189" s="26"/>
      <c r="BS189" s="26"/>
      <c r="CD189" s="27"/>
    </row>
    <row r="190" spans="1:82" s="11" customFormat="1">
      <c r="A190" s="32"/>
      <c r="B190" s="33"/>
      <c r="C190" s="18"/>
      <c r="D190" s="18"/>
      <c r="E190" s="18"/>
      <c r="F190" s="18"/>
      <c r="G190" s="18"/>
      <c r="H190" s="17"/>
      <c r="I190" s="18"/>
      <c r="J190" s="18"/>
      <c r="K190" s="18"/>
      <c r="L190" s="18"/>
      <c r="M190" s="18"/>
      <c r="N190" s="18"/>
      <c r="O190" s="18"/>
      <c r="P190" s="33"/>
      <c r="Q190" s="18"/>
      <c r="R190" s="18"/>
      <c r="S190" s="18"/>
      <c r="T190" s="18"/>
      <c r="U190" s="18"/>
      <c r="V190" s="17"/>
      <c r="W190" s="18"/>
      <c r="X190" s="18"/>
      <c r="Y190" s="18"/>
      <c r="Z190" s="18"/>
      <c r="AA190" s="18"/>
      <c r="AB190" s="18"/>
      <c r="AC190" s="18"/>
      <c r="AD190" s="33"/>
      <c r="AE190" s="18"/>
      <c r="AF190" s="18"/>
      <c r="AG190" s="18"/>
      <c r="AH190" s="18"/>
      <c r="AI190" s="18"/>
      <c r="AJ190" s="17"/>
      <c r="AK190" s="33"/>
      <c r="AL190" s="18"/>
      <c r="AM190" s="18"/>
      <c r="AN190" s="18"/>
      <c r="AO190" s="18"/>
      <c r="AP190" s="18"/>
      <c r="AQ190" s="17"/>
      <c r="AR190" s="18"/>
      <c r="AS190" s="8"/>
      <c r="AT190" s="8" t="s">
        <v>272</v>
      </c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33"/>
      <c r="BI190" s="18"/>
      <c r="BJ190" s="18"/>
      <c r="BK190" s="18"/>
      <c r="BL190" s="17"/>
      <c r="BM190" s="13"/>
      <c r="BO190" s="26"/>
      <c r="BS190" s="26"/>
      <c r="CD190" s="27"/>
    </row>
    <row r="191" spans="1:82" s="11" customFormat="1">
      <c r="A191" s="32"/>
      <c r="B191" s="33"/>
      <c r="C191" s="18"/>
      <c r="D191" s="18"/>
      <c r="E191" s="18"/>
      <c r="F191" s="18"/>
      <c r="G191" s="18"/>
      <c r="H191" s="17"/>
      <c r="I191" s="18"/>
      <c r="J191" s="18"/>
      <c r="K191" s="18"/>
      <c r="L191" s="18"/>
      <c r="M191" s="18"/>
      <c r="N191" s="18"/>
      <c r="O191" s="18"/>
      <c r="P191" s="33"/>
      <c r="Q191" s="18"/>
      <c r="R191" s="18"/>
      <c r="S191" s="18"/>
      <c r="T191" s="18"/>
      <c r="U191" s="18"/>
      <c r="V191" s="17"/>
      <c r="W191" s="18"/>
      <c r="X191" s="18"/>
      <c r="Y191" s="18"/>
      <c r="Z191" s="18"/>
      <c r="AA191" s="18"/>
      <c r="AB191" s="18"/>
      <c r="AC191" s="18"/>
      <c r="AD191" s="33"/>
      <c r="AE191" s="18"/>
      <c r="AF191" s="18"/>
      <c r="AG191" s="18"/>
      <c r="AH191" s="18"/>
      <c r="AI191" s="18"/>
      <c r="AJ191" s="17"/>
      <c r="AK191" s="33"/>
      <c r="AL191" s="18"/>
      <c r="AM191" s="18"/>
      <c r="AN191" s="18"/>
      <c r="AO191" s="18"/>
      <c r="AP191" s="18"/>
      <c r="AQ191" s="17"/>
      <c r="AR191" s="18"/>
      <c r="AS191" s="8"/>
      <c r="AT191" s="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33"/>
      <c r="BI191" s="18"/>
      <c r="BJ191" s="18"/>
      <c r="BK191" s="18"/>
      <c r="BL191" s="17"/>
      <c r="BM191" s="13"/>
      <c r="BO191" s="26"/>
      <c r="BS191" s="26"/>
      <c r="CD191" s="27"/>
    </row>
    <row r="192" spans="1:82" s="11" customFormat="1">
      <c r="A192" s="32"/>
      <c r="B192" s="33"/>
      <c r="C192" s="18"/>
      <c r="D192" s="18"/>
      <c r="E192" s="18"/>
      <c r="F192" s="18"/>
      <c r="G192" s="18"/>
      <c r="H192" s="17"/>
      <c r="I192" s="18"/>
      <c r="J192" s="18"/>
      <c r="K192" s="18"/>
      <c r="L192" s="18"/>
      <c r="M192" s="18"/>
      <c r="N192" s="18"/>
      <c r="O192" s="18"/>
      <c r="P192" s="33"/>
      <c r="Q192" s="18"/>
      <c r="R192" s="18"/>
      <c r="S192" s="18"/>
      <c r="T192" s="18"/>
      <c r="U192" s="18"/>
      <c r="V192" s="17"/>
      <c r="W192" s="18"/>
      <c r="X192" s="18"/>
      <c r="Y192" s="18"/>
      <c r="Z192" s="18"/>
      <c r="AA192" s="18"/>
      <c r="AB192" s="18"/>
      <c r="AC192" s="18"/>
      <c r="AD192" s="33"/>
      <c r="AE192" s="18"/>
      <c r="AF192" s="18"/>
      <c r="AG192" s="18"/>
      <c r="AH192" s="18"/>
      <c r="AI192" s="18"/>
      <c r="AJ192" s="17"/>
      <c r="AK192" s="33"/>
      <c r="AL192" s="18"/>
      <c r="AM192" s="18"/>
      <c r="AN192" s="18"/>
      <c r="AO192" s="18"/>
      <c r="AP192" s="18"/>
      <c r="AQ192" s="17"/>
      <c r="AR192" s="18"/>
      <c r="AS192" s="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33"/>
      <c r="BI192" s="18"/>
      <c r="BJ192" s="18"/>
      <c r="BK192" s="18"/>
      <c r="BL192" s="17"/>
      <c r="BM192" s="13"/>
      <c r="BO192" s="26"/>
      <c r="BS192" s="26"/>
      <c r="CD192" s="27"/>
    </row>
    <row r="193" spans="1:82" s="11" customFormat="1">
      <c r="A193" s="32"/>
      <c r="B193" s="33"/>
      <c r="C193" s="18"/>
      <c r="D193" s="18"/>
      <c r="E193" s="18"/>
      <c r="F193" s="18"/>
      <c r="G193" s="18"/>
      <c r="H193" s="17"/>
      <c r="I193" s="18"/>
      <c r="J193" s="18"/>
      <c r="K193" s="18"/>
      <c r="L193" s="18"/>
      <c r="M193" s="18"/>
      <c r="N193" s="18"/>
      <c r="O193" s="18"/>
      <c r="P193" s="33"/>
      <c r="Q193" s="18"/>
      <c r="R193" s="18"/>
      <c r="S193" s="18"/>
      <c r="T193" s="18"/>
      <c r="U193" s="18"/>
      <c r="V193" s="17"/>
      <c r="W193" s="18"/>
      <c r="X193" s="18"/>
      <c r="Y193" s="18"/>
      <c r="Z193" s="18"/>
      <c r="AA193" s="18"/>
      <c r="AB193" s="18"/>
      <c r="AC193" s="18"/>
      <c r="AD193" s="33"/>
      <c r="AE193" s="18"/>
      <c r="AF193" s="18"/>
      <c r="AG193" s="18"/>
      <c r="AH193" s="18"/>
      <c r="AI193" s="18"/>
      <c r="AJ193" s="17"/>
      <c r="AK193" s="33"/>
      <c r="AL193" s="18"/>
      <c r="AM193" s="18"/>
      <c r="AN193" s="18"/>
      <c r="AO193" s="18"/>
      <c r="AP193" s="18"/>
      <c r="AQ193" s="17"/>
      <c r="AR193" s="18"/>
      <c r="AS193" s="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33"/>
      <c r="BI193" s="18"/>
      <c r="BJ193" s="18"/>
      <c r="BK193" s="18"/>
      <c r="BL193" s="17"/>
      <c r="BM193" s="13"/>
      <c r="BO193" s="26"/>
      <c r="BS193" s="26"/>
      <c r="CD193" s="27"/>
    </row>
    <row r="194" spans="1:82" s="11" customFormat="1">
      <c r="A194" s="32"/>
      <c r="B194" s="33"/>
      <c r="C194" s="18"/>
      <c r="D194" s="18"/>
      <c r="E194" s="18"/>
      <c r="F194" s="18"/>
      <c r="G194" s="18"/>
      <c r="H194" s="17"/>
      <c r="I194" s="18"/>
      <c r="J194" s="18"/>
      <c r="K194" s="18"/>
      <c r="L194" s="18"/>
      <c r="M194" s="18"/>
      <c r="N194" s="18"/>
      <c r="O194" s="18"/>
      <c r="P194" s="33"/>
      <c r="Q194" s="18"/>
      <c r="R194" s="18"/>
      <c r="S194" s="18"/>
      <c r="T194" s="18"/>
      <c r="U194" s="18"/>
      <c r="V194" s="17"/>
      <c r="W194" s="18"/>
      <c r="X194" s="18"/>
      <c r="Y194" s="18"/>
      <c r="Z194" s="18"/>
      <c r="AA194" s="18"/>
      <c r="AB194" s="18"/>
      <c r="AC194" s="18"/>
      <c r="AD194" s="33"/>
      <c r="AE194" s="18"/>
      <c r="AF194" s="18"/>
      <c r="AG194" s="18"/>
      <c r="AH194" s="18"/>
      <c r="AI194" s="18"/>
      <c r="AJ194" s="17"/>
      <c r="AK194" s="33"/>
      <c r="AL194" s="18"/>
      <c r="AM194" s="18"/>
      <c r="AN194" s="18"/>
      <c r="AO194" s="18"/>
      <c r="AP194" s="18"/>
      <c r="AQ194" s="17"/>
      <c r="AR194" s="18"/>
      <c r="AS194" s="8"/>
      <c r="AT194" s="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33"/>
      <c r="BI194" s="18"/>
      <c r="BJ194" s="18"/>
      <c r="BK194" s="18"/>
      <c r="BL194" s="17"/>
      <c r="BM194" s="13"/>
      <c r="BO194" s="26"/>
      <c r="BS194" s="26"/>
      <c r="CD194" s="27"/>
    </row>
    <row r="195" spans="1:82" s="11" customFormat="1">
      <c r="A195" s="32"/>
      <c r="B195" s="33"/>
      <c r="C195" s="18"/>
      <c r="D195" s="18"/>
      <c r="E195" s="18"/>
      <c r="F195" s="18"/>
      <c r="G195" s="18"/>
      <c r="H195" s="17"/>
      <c r="I195" s="18"/>
      <c r="J195" s="18"/>
      <c r="K195" s="18"/>
      <c r="L195" s="18"/>
      <c r="M195" s="18"/>
      <c r="N195" s="18"/>
      <c r="O195" s="18"/>
      <c r="P195" s="33"/>
      <c r="Q195" s="18"/>
      <c r="R195" s="18"/>
      <c r="S195" s="18"/>
      <c r="T195" s="18"/>
      <c r="U195" s="18"/>
      <c r="V195" s="17"/>
      <c r="W195" s="18"/>
      <c r="X195" s="18"/>
      <c r="Y195" s="18"/>
      <c r="Z195" s="18"/>
      <c r="AA195" s="18"/>
      <c r="AB195" s="18"/>
      <c r="AC195" s="18"/>
      <c r="AD195" s="33"/>
      <c r="AE195" s="18"/>
      <c r="AF195" s="18"/>
      <c r="AG195" s="18"/>
      <c r="AH195" s="18"/>
      <c r="AI195" s="18"/>
      <c r="AJ195" s="17"/>
      <c r="AK195" s="33"/>
      <c r="AL195" s="18"/>
      <c r="AM195" s="18"/>
      <c r="AN195" s="18"/>
      <c r="AO195" s="18"/>
      <c r="AP195" s="18"/>
      <c r="AQ195" s="17"/>
      <c r="AR195" s="18"/>
      <c r="AS195" s="8"/>
      <c r="AT195" s="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33"/>
      <c r="BI195" s="18"/>
      <c r="BJ195" s="18"/>
      <c r="BK195" s="18"/>
      <c r="BL195" s="17"/>
      <c r="BM195" s="13"/>
      <c r="BO195" s="26"/>
      <c r="BS195" s="26"/>
      <c r="CD195" s="27"/>
    </row>
    <row r="196" spans="1:82" s="11" customFormat="1">
      <c r="A196" s="32"/>
      <c r="B196" s="33"/>
      <c r="C196" s="18"/>
      <c r="D196" s="18"/>
      <c r="E196" s="18"/>
      <c r="F196" s="18"/>
      <c r="G196" s="18"/>
      <c r="H196" s="17"/>
      <c r="I196" s="18"/>
      <c r="J196" s="18"/>
      <c r="K196" s="18"/>
      <c r="L196" s="18"/>
      <c r="M196" s="18"/>
      <c r="N196" s="18"/>
      <c r="O196" s="18"/>
      <c r="P196" s="33"/>
      <c r="Q196" s="18"/>
      <c r="R196" s="18"/>
      <c r="S196" s="18"/>
      <c r="T196" s="18"/>
      <c r="U196" s="18"/>
      <c r="V196" s="17"/>
      <c r="W196" s="18"/>
      <c r="X196" s="18"/>
      <c r="Y196" s="18"/>
      <c r="Z196" s="18"/>
      <c r="AA196" s="18"/>
      <c r="AB196" s="18"/>
      <c r="AC196" s="18"/>
      <c r="AD196" s="33"/>
      <c r="AE196" s="18"/>
      <c r="AF196" s="18"/>
      <c r="AG196" s="18"/>
      <c r="AH196" s="18"/>
      <c r="AI196" s="18"/>
      <c r="AJ196" s="17"/>
      <c r="AK196" s="33"/>
      <c r="AL196" s="18"/>
      <c r="AM196" s="18"/>
      <c r="AN196" s="18"/>
      <c r="AO196" s="18"/>
      <c r="AP196" s="18"/>
      <c r="AQ196" s="17"/>
      <c r="AR196" s="18"/>
      <c r="AS196" s="8"/>
      <c r="AT196" s="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33"/>
      <c r="BI196" s="18"/>
      <c r="BJ196" s="18"/>
      <c r="BK196" s="18"/>
      <c r="BL196" s="17"/>
      <c r="BM196" s="13"/>
      <c r="BO196" s="26"/>
      <c r="BS196" s="26"/>
      <c r="CD196" s="27"/>
    </row>
    <row r="197" spans="1:82" s="11" customFormat="1">
      <c r="A197" s="32"/>
      <c r="B197" s="33"/>
      <c r="C197" s="18"/>
      <c r="D197" s="18"/>
      <c r="E197" s="18"/>
      <c r="F197" s="18"/>
      <c r="G197" s="18"/>
      <c r="H197" s="17"/>
      <c r="I197" s="18"/>
      <c r="J197" s="18"/>
      <c r="K197" s="18"/>
      <c r="L197" s="18"/>
      <c r="M197" s="18"/>
      <c r="N197" s="18"/>
      <c r="O197" s="18"/>
      <c r="P197" s="33"/>
      <c r="Q197" s="18"/>
      <c r="R197" s="18"/>
      <c r="S197" s="18"/>
      <c r="T197" s="18"/>
      <c r="U197" s="18"/>
      <c r="V197" s="17"/>
      <c r="W197" s="18"/>
      <c r="X197" s="18"/>
      <c r="Y197" s="18"/>
      <c r="Z197" s="18"/>
      <c r="AA197" s="18"/>
      <c r="AB197" s="18"/>
      <c r="AC197" s="18"/>
      <c r="AD197" s="33"/>
      <c r="AE197" s="18"/>
      <c r="AF197" s="18"/>
      <c r="AG197" s="18"/>
      <c r="AH197" s="18"/>
      <c r="AI197" s="18"/>
      <c r="AJ197" s="17"/>
      <c r="AK197" s="33"/>
      <c r="AL197" s="18"/>
      <c r="AM197" s="18"/>
      <c r="AN197" s="18"/>
      <c r="AO197" s="18"/>
      <c r="AP197" s="18"/>
      <c r="AQ197" s="17"/>
      <c r="AR197" s="18"/>
      <c r="AS197" s="8"/>
      <c r="AT197" s="31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33"/>
      <c r="BI197" s="18"/>
      <c r="BJ197" s="18"/>
      <c r="BK197" s="18"/>
      <c r="BL197" s="17"/>
      <c r="BM197" s="13"/>
      <c r="BO197" s="26"/>
      <c r="BS197" s="26"/>
      <c r="CD197" s="27"/>
    </row>
    <row r="198" spans="1:82" s="11" customFormat="1">
      <c r="A198" s="32"/>
      <c r="B198" s="33"/>
      <c r="C198" s="18"/>
      <c r="D198" s="18"/>
      <c r="E198" s="18"/>
      <c r="F198" s="18"/>
      <c r="G198" s="18"/>
      <c r="H198" s="17"/>
      <c r="I198" s="18"/>
      <c r="J198" s="18"/>
      <c r="K198" s="18"/>
      <c r="L198" s="18"/>
      <c r="M198" s="18"/>
      <c r="N198" s="18"/>
      <c r="O198" s="18"/>
      <c r="P198" s="33"/>
      <c r="Q198" s="18"/>
      <c r="R198" s="18"/>
      <c r="S198" s="18"/>
      <c r="T198" s="18"/>
      <c r="U198" s="18"/>
      <c r="V198" s="17"/>
      <c r="W198" s="18"/>
      <c r="X198" s="18"/>
      <c r="Y198" s="18"/>
      <c r="Z198" s="18"/>
      <c r="AA198" s="18"/>
      <c r="AB198" s="18"/>
      <c r="AC198" s="18"/>
      <c r="AD198" s="33"/>
      <c r="AE198" s="18"/>
      <c r="AF198" s="18"/>
      <c r="AG198" s="18"/>
      <c r="AH198" s="18"/>
      <c r="AI198" s="18"/>
      <c r="AJ198" s="17"/>
      <c r="AK198" s="33"/>
      <c r="AL198" s="18"/>
      <c r="AM198" s="18"/>
      <c r="AN198" s="18"/>
      <c r="AO198" s="18"/>
      <c r="AP198" s="18"/>
      <c r="AQ198" s="17"/>
      <c r="AR198" s="18"/>
      <c r="AS198" s="8"/>
      <c r="AT198" s="31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33"/>
      <c r="BI198" s="18"/>
      <c r="BJ198" s="18"/>
      <c r="BK198" s="18"/>
      <c r="BL198" s="17"/>
      <c r="BM198" s="13"/>
      <c r="BO198" s="26"/>
      <c r="BS198" s="26"/>
      <c r="CD198" s="27"/>
    </row>
    <row r="199" spans="1:82" s="11" customFormat="1">
      <c r="A199" s="32"/>
      <c r="B199" s="33"/>
      <c r="C199" s="18"/>
      <c r="D199" s="18"/>
      <c r="E199" s="18"/>
      <c r="F199" s="18"/>
      <c r="G199" s="18"/>
      <c r="H199" s="17"/>
      <c r="I199" s="18"/>
      <c r="J199" s="18"/>
      <c r="K199" s="18"/>
      <c r="L199" s="18"/>
      <c r="M199" s="18"/>
      <c r="N199" s="18"/>
      <c r="O199" s="18"/>
      <c r="P199" s="33"/>
      <c r="Q199" s="18"/>
      <c r="R199" s="18"/>
      <c r="S199" s="18"/>
      <c r="T199" s="18"/>
      <c r="U199" s="18"/>
      <c r="V199" s="17"/>
      <c r="W199" s="18"/>
      <c r="X199" s="18"/>
      <c r="Y199" s="18"/>
      <c r="Z199" s="18"/>
      <c r="AA199" s="18"/>
      <c r="AB199" s="18"/>
      <c r="AC199" s="18"/>
      <c r="AD199" s="33"/>
      <c r="AE199" s="18"/>
      <c r="AF199" s="18"/>
      <c r="AG199" s="18"/>
      <c r="AH199" s="18"/>
      <c r="AI199" s="18"/>
      <c r="AJ199" s="17"/>
      <c r="AK199" s="33"/>
      <c r="AL199" s="18"/>
      <c r="AM199" s="18"/>
      <c r="AN199" s="18"/>
      <c r="AO199" s="18"/>
      <c r="AP199" s="18"/>
      <c r="AQ199" s="17"/>
      <c r="AR199" s="18"/>
      <c r="AS199" s="8"/>
      <c r="AT199" s="31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33"/>
      <c r="BI199" s="18"/>
      <c r="BJ199" s="18"/>
      <c r="BK199" s="18"/>
      <c r="BL199" s="17"/>
      <c r="BM199" s="13"/>
      <c r="BO199" s="26"/>
      <c r="BS199" s="26"/>
      <c r="CD199" s="27"/>
    </row>
    <row r="200" spans="1:82" s="11" customFormat="1">
      <c r="A200" s="32"/>
      <c r="B200" s="33"/>
      <c r="C200" s="18"/>
      <c r="D200" s="18"/>
      <c r="E200" s="18"/>
      <c r="F200" s="18"/>
      <c r="G200" s="18"/>
      <c r="H200" s="17"/>
      <c r="I200" s="18"/>
      <c r="J200" s="18"/>
      <c r="K200" s="18"/>
      <c r="L200" s="18"/>
      <c r="M200" s="18"/>
      <c r="N200" s="18"/>
      <c r="O200" s="18"/>
      <c r="P200" s="33"/>
      <c r="Q200" s="18"/>
      <c r="R200" s="18"/>
      <c r="S200" s="18"/>
      <c r="T200" s="18"/>
      <c r="U200" s="18"/>
      <c r="V200" s="17"/>
      <c r="W200" s="18"/>
      <c r="X200" s="18"/>
      <c r="Y200" s="18"/>
      <c r="Z200" s="18"/>
      <c r="AA200" s="18"/>
      <c r="AB200" s="18"/>
      <c r="AC200" s="18"/>
      <c r="AD200" s="33"/>
      <c r="AE200" s="18"/>
      <c r="AF200" s="18"/>
      <c r="AG200" s="18"/>
      <c r="AH200" s="18"/>
      <c r="AI200" s="18"/>
      <c r="AJ200" s="17"/>
      <c r="AK200" s="33"/>
      <c r="AL200" s="18"/>
      <c r="AM200" s="18"/>
      <c r="AN200" s="18"/>
      <c r="AO200" s="18"/>
      <c r="AP200" s="18"/>
      <c r="AQ200" s="17"/>
      <c r="AR200" s="18"/>
      <c r="AS200" s="16"/>
      <c r="AT200" s="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33"/>
      <c r="BI200" s="18"/>
      <c r="BJ200" s="18"/>
      <c r="BK200" s="18"/>
      <c r="BL200" s="17"/>
      <c r="BM200" s="13"/>
      <c r="BO200" s="26"/>
      <c r="BS200" s="26"/>
      <c r="CD200" s="27"/>
    </row>
    <row r="201" spans="1:82" s="11" customFormat="1">
      <c r="A201" s="32"/>
      <c r="B201" s="33"/>
      <c r="C201" s="18"/>
      <c r="D201" s="18"/>
      <c r="E201" s="18"/>
      <c r="F201" s="18"/>
      <c r="G201" s="18"/>
      <c r="H201" s="17"/>
      <c r="I201" s="18"/>
      <c r="J201" s="18"/>
      <c r="K201" s="18"/>
      <c r="L201" s="18"/>
      <c r="M201" s="18"/>
      <c r="N201" s="18"/>
      <c r="O201" s="18"/>
      <c r="P201" s="33"/>
      <c r="Q201" s="18"/>
      <c r="R201" s="18"/>
      <c r="S201" s="18"/>
      <c r="T201" s="18"/>
      <c r="U201" s="18"/>
      <c r="V201" s="17"/>
      <c r="W201" s="18"/>
      <c r="X201" s="18"/>
      <c r="Y201" s="18"/>
      <c r="Z201" s="18"/>
      <c r="AA201" s="18"/>
      <c r="AB201" s="18"/>
      <c r="AC201" s="18"/>
      <c r="AD201" s="33"/>
      <c r="AE201" s="18"/>
      <c r="AF201" s="18"/>
      <c r="AG201" s="18"/>
      <c r="AH201" s="18"/>
      <c r="AI201" s="18"/>
      <c r="AJ201" s="17"/>
      <c r="AK201" s="33"/>
      <c r="AL201" s="18"/>
      <c r="AM201" s="18"/>
      <c r="AN201" s="18"/>
      <c r="AO201" s="18"/>
      <c r="AP201" s="18"/>
      <c r="AQ201" s="17"/>
      <c r="AR201" s="18"/>
      <c r="AS201" s="8"/>
      <c r="AT201" s="31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33"/>
      <c r="BI201" s="18"/>
      <c r="BJ201" s="18"/>
      <c r="BK201" s="18"/>
      <c r="BL201" s="17"/>
      <c r="BM201" s="13"/>
      <c r="BO201" s="26"/>
      <c r="BS201" s="26"/>
      <c r="CD201" s="27"/>
    </row>
    <row r="202" spans="1:82" s="11" customFormat="1">
      <c r="A202" s="32"/>
      <c r="B202" s="33"/>
      <c r="C202" s="18"/>
      <c r="D202" s="18"/>
      <c r="E202" s="18"/>
      <c r="F202" s="18"/>
      <c r="G202" s="18"/>
      <c r="H202" s="17"/>
      <c r="I202" s="18"/>
      <c r="J202" s="18"/>
      <c r="K202" s="18"/>
      <c r="L202" s="18"/>
      <c r="M202" s="18"/>
      <c r="N202" s="18"/>
      <c r="O202" s="18"/>
      <c r="P202" s="33"/>
      <c r="Q202" s="18"/>
      <c r="R202" s="18"/>
      <c r="S202" s="18"/>
      <c r="T202" s="18"/>
      <c r="U202" s="18"/>
      <c r="V202" s="17"/>
      <c r="W202" s="18"/>
      <c r="X202" s="18"/>
      <c r="Y202" s="18"/>
      <c r="Z202" s="18"/>
      <c r="AA202" s="18"/>
      <c r="AB202" s="18"/>
      <c r="AC202" s="18"/>
      <c r="AD202" s="33"/>
      <c r="AE202" s="18"/>
      <c r="AF202" s="18"/>
      <c r="AG202" s="18"/>
      <c r="AH202" s="18"/>
      <c r="AI202" s="18"/>
      <c r="AJ202" s="17"/>
      <c r="AK202" s="33"/>
      <c r="AL202" s="18"/>
      <c r="AM202" s="18"/>
      <c r="AN202" s="18"/>
      <c r="AO202" s="18"/>
      <c r="AP202" s="18"/>
      <c r="AQ202" s="17"/>
      <c r="AR202" s="18"/>
      <c r="AS202" s="8"/>
      <c r="AT202" s="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33"/>
      <c r="BI202" s="18"/>
      <c r="BJ202" s="18"/>
      <c r="BK202" s="18"/>
      <c r="BL202" s="17"/>
      <c r="BM202" s="13"/>
      <c r="BO202" s="26"/>
      <c r="BS202" s="26"/>
      <c r="CD202" s="27"/>
    </row>
    <row r="203" spans="1:82" s="11" customFormat="1">
      <c r="A203" s="32"/>
      <c r="B203" s="33"/>
      <c r="C203" s="18"/>
      <c r="D203" s="18"/>
      <c r="E203" s="18"/>
      <c r="F203" s="18"/>
      <c r="G203" s="18"/>
      <c r="H203" s="17"/>
      <c r="I203" s="18"/>
      <c r="J203" s="18"/>
      <c r="K203" s="18"/>
      <c r="L203" s="18"/>
      <c r="M203" s="18"/>
      <c r="N203" s="18"/>
      <c r="O203" s="18"/>
      <c r="P203" s="33"/>
      <c r="Q203" s="18"/>
      <c r="R203" s="18"/>
      <c r="S203" s="18"/>
      <c r="T203" s="18"/>
      <c r="U203" s="18"/>
      <c r="V203" s="17"/>
      <c r="W203" s="18"/>
      <c r="X203" s="18"/>
      <c r="Y203" s="18"/>
      <c r="Z203" s="18"/>
      <c r="AA203" s="18"/>
      <c r="AB203" s="18"/>
      <c r="AC203" s="18"/>
      <c r="AD203" s="33"/>
      <c r="AE203" s="18"/>
      <c r="AF203" s="18"/>
      <c r="AG203" s="18"/>
      <c r="AH203" s="18"/>
      <c r="AI203" s="18"/>
      <c r="AJ203" s="17"/>
      <c r="AK203" s="33"/>
      <c r="AL203" s="18"/>
      <c r="AM203" s="18"/>
      <c r="AN203" s="18"/>
      <c r="AO203" s="18"/>
      <c r="AP203" s="18"/>
      <c r="AQ203" s="17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33"/>
      <c r="BI203" s="18"/>
      <c r="BJ203" s="18"/>
      <c r="BK203" s="18"/>
      <c r="BL203" s="17"/>
      <c r="BM203" s="13"/>
      <c r="BO203" s="26"/>
      <c r="BS203" s="26"/>
      <c r="CD203" s="27"/>
    </row>
    <row r="204" spans="1:82" s="11" customFormat="1">
      <c r="A204" s="32"/>
      <c r="B204" s="33"/>
      <c r="C204" s="18"/>
      <c r="D204" s="18"/>
      <c r="E204" s="18"/>
      <c r="F204" s="18"/>
      <c r="G204" s="18"/>
      <c r="H204" s="17"/>
      <c r="I204" s="18"/>
      <c r="J204" s="18"/>
      <c r="K204" s="18"/>
      <c r="L204" s="18"/>
      <c r="M204" s="18"/>
      <c r="N204" s="18"/>
      <c r="O204" s="18"/>
      <c r="P204" s="33"/>
      <c r="Q204" s="18"/>
      <c r="R204" s="18"/>
      <c r="S204" s="18"/>
      <c r="T204" s="18"/>
      <c r="U204" s="18"/>
      <c r="V204" s="17"/>
      <c r="W204" s="18"/>
      <c r="X204" s="18"/>
      <c r="Y204" s="18"/>
      <c r="Z204" s="18"/>
      <c r="AA204" s="18"/>
      <c r="AB204" s="18"/>
      <c r="AC204" s="18"/>
      <c r="AD204" s="33"/>
      <c r="AE204" s="18"/>
      <c r="AF204" s="18"/>
      <c r="AG204" s="18"/>
      <c r="AH204" s="18"/>
      <c r="AI204" s="18"/>
      <c r="AJ204" s="17"/>
      <c r="AK204" s="33"/>
      <c r="AL204" s="18"/>
      <c r="AM204" s="18"/>
      <c r="AN204" s="18"/>
      <c r="AO204" s="18"/>
      <c r="AP204" s="18"/>
      <c r="AQ204" s="17"/>
      <c r="AR204" s="18"/>
      <c r="AS204" s="19"/>
      <c r="AU204" s="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33"/>
      <c r="BI204" s="18"/>
      <c r="BJ204" s="18"/>
      <c r="BK204" s="18"/>
      <c r="BL204" s="17"/>
      <c r="BM204" s="13"/>
      <c r="BO204" s="26"/>
      <c r="BS204" s="26"/>
      <c r="CD204" s="27"/>
    </row>
    <row r="205" spans="1:82" s="11" customFormat="1">
      <c r="A205" s="32"/>
      <c r="B205" s="33"/>
      <c r="C205" s="18"/>
      <c r="D205" s="18"/>
      <c r="E205" s="18"/>
      <c r="F205" s="18"/>
      <c r="G205" s="18"/>
      <c r="H205" s="17"/>
      <c r="I205" s="18"/>
      <c r="J205" s="18"/>
      <c r="K205" s="18"/>
      <c r="L205" s="18"/>
      <c r="M205" s="18"/>
      <c r="N205" s="18"/>
      <c r="O205" s="18"/>
      <c r="P205" s="33"/>
      <c r="Q205" s="18"/>
      <c r="R205" s="18"/>
      <c r="S205" s="18"/>
      <c r="T205" s="18"/>
      <c r="U205" s="18"/>
      <c r="V205" s="17"/>
      <c r="W205" s="18"/>
      <c r="X205" s="18"/>
      <c r="Y205" s="18"/>
      <c r="Z205" s="18"/>
      <c r="AA205" s="18"/>
      <c r="AB205" s="18"/>
      <c r="AC205" s="18"/>
      <c r="AD205" s="33"/>
      <c r="AE205" s="18"/>
      <c r="AF205" s="18"/>
      <c r="AG205" s="18"/>
      <c r="AH205" s="18"/>
      <c r="AI205" s="18"/>
      <c r="AJ205" s="17"/>
      <c r="AK205" s="33"/>
      <c r="AL205" s="18"/>
      <c r="AM205" s="18"/>
      <c r="AN205" s="18"/>
      <c r="AO205" s="18"/>
      <c r="AP205" s="18"/>
      <c r="AQ205" s="17"/>
      <c r="AR205" s="18"/>
      <c r="AS205" s="8"/>
      <c r="AT205" s="8"/>
      <c r="AU205" s="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33"/>
      <c r="BI205" s="18"/>
      <c r="BJ205" s="18"/>
      <c r="BK205" s="18"/>
      <c r="BL205" s="17"/>
      <c r="BM205" s="13"/>
      <c r="BO205" s="26"/>
      <c r="BS205" s="26"/>
      <c r="CD205" s="27"/>
    </row>
    <row r="206" spans="1:82" s="11" customFormat="1">
      <c r="A206" s="32"/>
      <c r="B206" s="33"/>
      <c r="C206" s="18"/>
      <c r="D206" s="18"/>
      <c r="E206" s="18"/>
      <c r="F206" s="18"/>
      <c r="G206" s="18"/>
      <c r="H206" s="17"/>
      <c r="I206" s="18"/>
      <c r="J206" s="18"/>
      <c r="K206" s="18"/>
      <c r="L206" s="18"/>
      <c r="M206" s="18"/>
      <c r="N206" s="18"/>
      <c r="O206" s="18"/>
      <c r="P206" s="33"/>
      <c r="Q206" s="18"/>
      <c r="R206" s="18"/>
      <c r="S206" s="18"/>
      <c r="T206" s="18"/>
      <c r="U206" s="18"/>
      <c r="V206" s="17"/>
      <c r="W206" s="18"/>
      <c r="X206" s="18"/>
      <c r="Y206" s="18"/>
      <c r="Z206" s="18"/>
      <c r="AA206" s="18"/>
      <c r="AB206" s="18"/>
      <c r="AC206" s="18"/>
      <c r="AD206" s="33"/>
      <c r="AE206" s="18"/>
      <c r="AF206" s="18"/>
      <c r="AG206" s="18"/>
      <c r="AH206" s="18"/>
      <c r="AI206" s="18"/>
      <c r="AJ206" s="17"/>
      <c r="AK206" s="33"/>
      <c r="AL206" s="18"/>
      <c r="AM206" s="18"/>
      <c r="AN206" s="18"/>
      <c r="AO206" s="18"/>
      <c r="AP206" s="18"/>
      <c r="AQ206" s="17"/>
      <c r="AR206" s="18"/>
      <c r="AS206" s="18"/>
      <c r="AT206" s="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33"/>
      <c r="BI206" s="18"/>
      <c r="BJ206" s="18"/>
      <c r="BK206" s="18"/>
      <c r="BL206" s="17"/>
      <c r="BM206" s="13"/>
      <c r="BO206" s="26"/>
      <c r="BS206" s="26"/>
      <c r="CD206" s="27"/>
    </row>
    <row r="207" spans="1:82">
      <c r="A207" s="34"/>
      <c r="B207" s="21"/>
      <c r="C207" s="10"/>
      <c r="D207" s="10"/>
      <c r="E207" s="10"/>
      <c r="F207" s="10"/>
      <c r="G207" s="10"/>
      <c r="H207" s="15"/>
      <c r="I207" s="10"/>
      <c r="J207" s="10"/>
      <c r="K207" s="10"/>
      <c r="L207" s="10"/>
      <c r="M207" s="10"/>
      <c r="N207" s="10"/>
      <c r="O207" s="10"/>
      <c r="P207" s="21"/>
      <c r="Q207" s="10"/>
      <c r="R207" s="10"/>
      <c r="S207" s="10"/>
      <c r="T207" s="10"/>
      <c r="U207" s="10"/>
      <c r="V207" s="15"/>
      <c r="W207" s="10"/>
      <c r="X207" s="10"/>
      <c r="Y207" s="10"/>
      <c r="Z207" s="10"/>
      <c r="AA207" s="10"/>
      <c r="AB207" s="10"/>
      <c r="AC207" s="10"/>
      <c r="AD207" s="21"/>
      <c r="AE207" s="10"/>
      <c r="AF207" s="10"/>
      <c r="AG207" s="10"/>
      <c r="AH207" s="10"/>
      <c r="AI207" s="10"/>
      <c r="AJ207" s="15"/>
      <c r="AK207" s="21"/>
      <c r="AL207" s="10"/>
      <c r="AM207" s="10"/>
      <c r="AN207" s="10"/>
      <c r="AO207" s="10"/>
      <c r="AP207" s="10"/>
      <c r="AQ207" s="15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21"/>
      <c r="BI207" s="10"/>
      <c r="BJ207" s="10"/>
      <c r="BK207" s="10"/>
      <c r="BL207" s="15"/>
      <c r="BM207" s="14"/>
      <c r="BO207" s="28"/>
      <c r="BP207" s="29"/>
      <c r="BQ207" s="29"/>
      <c r="BR207" s="29"/>
      <c r="BS207" s="28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30"/>
    </row>
    <row r="208" spans="1:82">
      <c r="A208" s="21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5"/>
    </row>
  </sheetData>
  <mergeCells count="27">
    <mergeCell ref="A2:E3"/>
    <mergeCell ref="F2:U3"/>
    <mergeCell ref="V2:AI3"/>
    <mergeCell ref="BO8:BR9"/>
    <mergeCell ref="BS8:CD9"/>
    <mergeCell ref="B9:H9"/>
    <mergeCell ref="I9:O9"/>
    <mergeCell ref="P9:V9"/>
    <mergeCell ref="W9:AC9"/>
    <mergeCell ref="AD9:AJ9"/>
    <mergeCell ref="AK9:AQ9"/>
    <mergeCell ref="B8:O8"/>
    <mergeCell ref="P8:AC8"/>
    <mergeCell ref="AD8:AQ8"/>
    <mergeCell ref="AR8:BG9"/>
    <mergeCell ref="BH8:BL9"/>
    <mergeCell ref="A1:E1"/>
    <mergeCell ref="F1:U1"/>
    <mergeCell ref="V1:AI1"/>
    <mergeCell ref="AJ1:AP1"/>
    <mergeCell ref="AQ1:AV1"/>
    <mergeCell ref="AJ2:AK2"/>
    <mergeCell ref="AL2:AP2"/>
    <mergeCell ref="AQ2:AV2"/>
    <mergeCell ref="AJ3:AK3"/>
    <mergeCell ref="AL3:AP3"/>
    <mergeCell ref="AQ3:AV3"/>
  </mergeCells>
  <phoneticPr fontId="2"/>
  <pageMargins left="0.7" right="0.7" top="0.75" bottom="0.75" header="0.3" footer="0.3"/>
  <pageSetup paperSize="9" scale="24" orientation="portrait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72E0-BD2E-4DB2-9157-7A2AD5EE1234}">
  <sheetPr>
    <tabColor theme="0" tint="-0.499984740745262"/>
  </sheetPr>
  <dimension ref="A1:CD155"/>
  <sheetViews>
    <sheetView showGridLines="0" zoomScaleNormal="100" workbookViewId="0">
      <pane ySplit="9" topLeftCell="A10" activePane="bottomLeft" state="frozen"/>
      <selection pane="bottomLeft" activeCell="AT13" sqref="AT13"/>
      <selection activeCell="AJ39" sqref="AJ39"/>
    </sheetView>
  </sheetViews>
  <sheetFormatPr defaultColWidth="2.625" defaultRowHeight="13.5"/>
  <cols>
    <col min="1" max="5" width="2.625" style="8"/>
    <col min="6" max="10" width="2.625" style="8" customWidth="1"/>
    <col min="11" max="63" width="2.625" style="8"/>
    <col min="64" max="64" width="2.625" style="8" customWidth="1"/>
    <col min="65" max="16384" width="2.625" style="8"/>
  </cols>
  <sheetData>
    <row r="1" spans="1:82" ht="14.1" customHeight="1" thickBot="1">
      <c r="A1" s="169" t="s">
        <v>9</v>
      </c>
      <c r="B1" s="170"/>
      <c r="C1" s="170"/>
      <c r="D1" s="170"/>
      <c r="E1" s="171"/>
      <c r="F1" s="166" t="str">
        <f>変更履歴!F1</f>
        <v>会計システム刷新プロジェクト（LIBRA）</v>
      </c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8"/>
      <c r="V1" s="169" t="s">
        <v>42</v>
      </c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1"/>
      <c r="AJ1" s="169" t="s">
        <v>11</v>
      </c>
      <c r="AK1" s="170"/>
      <c r="AL1" s="170"/>
      <c r="AM1" s="170"/>
      <c r="AN1" s="170"/>
      <c r="AO1" s="170"/>
      <c r="AP1" s="171"/>
      <c r="AQ1" s="169" t="s">
        <v>12</v>
      </c>
      <c r="AR1" s="170"/>
      <c r="AS1" s="170"/>
      <c r="AT1" s="170"/>
      <c r="AU1" s="170"/>
      <c r="AV1" s="171"/>
    </row>
    <row r="2" spans="1:82" ht="14.1" customHeight="1">
      <c r="A2" s="184" t="s">
        <v>13</v>
      </c>
      <c r="B2" s="185"/>
      <c r="C2" s="185"/>
      <c r="D2" s="185"/>
      <c r="E2" s="186"/>
      <c r="F2" s="146" t="str">
        <f>変更履歴!F2</f>
        <v>ToBe業務フロー（2.グループファイナンス・資金繰り）</v>
      </c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8"/>
      <c r="V2" s="146" t="e">
        <f ca="1">MID(CELL("filename",$A$1),FIND("]",CELL("filename",$A$1))+1,31)</f>
        <v>#VALUE!</v>
      </c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8"/>
      <c r="AJ2" s="158" t="s">
        <v>14</v>
      </c>
      <c r="AK2" s="159"/>
      <c r="AL2" s="160">
        <f>変更履歴!AT2</f>
        <v>45362</v>
      </c>
      <c r="AM2" s="161"/>
      <c r="AN2" s="161"/>
      <c r="AO2" s="161"/>
      <c r="AP2" s="162"/>
      <c r="AQ2" s="128" t="str">
        <f>変更履歴!BA2</f>
        <v>JBS福田</v>
      </c>
      <c r="AR2" s="129"/>
      <c r="AS2" s="129"/>
      <c r="AT2" s="129"/>
      <c r="AU2" s="129"/>
      <c r="AV2" s="130"/>
    </row>
    <row r="3" spans="1:82" ht="14.1" customHeight="1" thickBot="1">
      <c r="A3" s="187"/>
      <c r="B3" s="188"/>
      <c r="C3" s="188"/>
      <c r="D3" s="188"/>
      <c r="E3" s="189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1"/>
      <c r="V3" s="149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1"/>
      <c r="AJ3" s="131" t="s">
        <v>15</v>
      </c>
      <c r="AK3" s="132"/>
      <c r="AL3" s="133">
        <f ca="1">変更履歴!AT3</f>
        <v>45763</v>
      </c>
      <c r="AM3" s="134"/>
      <c r="AN3" s="134"/>
      <c r="AO3" s="134"/>
      <c r="AP3" s="135"/>
      <c r="AQ3" s="136" t="str">
        <f ca="1">変更履歴!BA3</f>
        <v>JBS福田</v>
      </c>
      <c r="AR3" s="137"/>
      <c r="AS3" s="137"/>
      <c r="AT3" s="137"/>
      <c r="AU3" s="137"/>
      <c r="AV3" s="138"/>
    </row>
    <row r="4" spans="1:82">
      <c r="A4" s="34"/>
      <c r="AV4" s="9"/>
    </row>
    <row r="5" spans="1:82">
      <c r="A5" s="2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</row>
    <row r="6" spans="1:82" s="11" customFormat="1">
      <c r="A6" s="38" t="e">
        <f ca="1">RIGHT(CELL("filename",A1),LEN(CELL("filename",A1))-FIND("]",CELL("filename",A1)))</f>
        <v>#VALUE!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40"/>
    </row>
    <row r="7" spans="1:82" s="11" customFormat="1">
      <c r="A7" s="32"/>
      <c r="BM7" s="13"/>
    </row>
    <row r="8" spans="1:82" s="11" customFormat="1" ht="17.25" customHeight="1">
      <c r="A8" s="32"/>
      <c r="B8" s="172" t="s">
        <v>273</v>
      </c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4"/>
      <c r="P8" s="172" t="s">
        <v>104</v>
      </c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4"/>
      <c r="AD8" s="181" t="s">
        <v>54</v>
      </c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3"/>
      <c r="AR8" s="193" t="s">
        <v>72</v>
      </c>
      <c r="AS8" s="193"/>
      <c r="AT8" s="193"/>
      <c r="AU8" s="193"/>
      <c r="AV8" s="193"/>
      <c r="AW8" s="193"/>
      <c r="AX8" s="193"/>
      <c r="AY8" s="193"/>
      <c r="AZ8" s="193"/>
      <c r="BA8" s="193"/>
      <c r="BB8" s="193"/>
      <c r="BC8" s="193"/>
      <c r="BD8" s="193"/>
      <c r="BE8" s="193"/>
      <c r="BF8" s="193"/>
      <c r="BG8" s="193"/>
      <c r="BH8" s="193" t="s">
        <v>74</v>
      </c>
      <c r="BI8" s="193"/>
      <c r="BJ8" s="193"/>
      <c r="BK8" s="193"/>
      <c r="BL8" s="193"/>
      <c r="BM8" s="13"/>
      <c r="BO8" s="202" t="s">
        <v>80</v>
      </c>
      <c r="BP8" s="202"/>
      <c r="BQ8" s="202"/>
      <c r="BR8" s="202"/>
      <c r="BS8" s="210" t="s">
        <v>81</v>
      </c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6"/>
    </row>
    <row r="9" spans="1:82" s="11" customFormat="1" ht="13.5" customHeight="1">
      <c r="A9" s="32"/>
      <c r="B9" s="172" t="s">
        <v>60</v>
      </c>
      <c r="C9" s="173"/>
      <c r="D9" s="173"/>
      <c r="E9" s="173"/>
      <c r="F9" s="173"/>
      <c r="G9" s="173"/>
      <c r="H9" s="174"/>
      <c r="I9" s="172" t="s">
        <v>61</v>
      </c>
      <c r="J9" s="173"/>
      <c r="K9" s="173"/>
      <c r="L9" s="173"/>
      <c r="M9" s="173"/>
      <c r="N9" s="173"/>
      <c r="O9" s="174"/>
      <c r="P9" s="172" t="s">
        <v>60</v>
      </c>
      <c r="Q9" s="173"/>
      <c r="R9" s="173"/>
      <c r="S9" s="173"/>
      <c r="T9" s="173"/>
      <c r="U9" s="173"/>
      <c r="V9" s="174"/>
      <c r="W9" s="172" t="s">
        <v>61</v>
      </c>
      <c r="X9" s="173"/>
      <c r="Y9" s="173"/>
      <c r="Z9" s="173"/>
      <c r="AA9" s="173"/>
      <c r="AB9" s="173"/>
      <c r="AC9" s="174"/>
      <c r="AD9" s="181" t="s">
        <v>69</v>
      </c>
      <c r="AE9" s="182"/>
      <c r="AF9" s="182"/>
      <c r="AG9" s="182"/>
      <c r="AH9" s="182"/>
      <c r="AI9" s="182"/>
      <c r="AJ9" s="183"/>
      <c r="AK9" s="181" t="s">
        <v>71</v>
      </c>
      <c r="AL9" s="182"/>
      <c r="AM9" s="182"/>
      <c r="AN9" s="182"/>
      <c r="AO9" s="182"/>
      <c r="AP9" s="182"/>
      <c r="AQ9" s="18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3"/>
      <c r="BO9" s="203"/>
      <c r="BP9" s="203"/>
      <c r="BQ9" s="203"/>
      <c r="BR9" s="203"/>
      <c r="BS9" s="207"/>
      <c r="BT9" s="208"/>
      <c r="BU9" s="208"/>
      <c r="BV9" s="208"/>
      <c r="BW9" s="208"/>
      <c r="BX9" s="208"/>
      <c r="BY9" s="208"/>
      <c r="BZ9" s="208"/>
      <c r="CA9" s="208"/>
      <c r="CB9" s="208"/>
      <c r="CC9" s="208"/>
      <c r="CD9" s="209"/>
    </row>
    <row r="10" spans="1:82" s="11" customFormat="1">
      <c r="A10" s="32"/>
      <c r="B10" s="35" t="s">
        <v>274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35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13"/>
      <c r="BO10" s="23"/>
      <c r="BP10" s="24"/>
      <c r="BQ10" s="24"/>
      <c r="BR10" s="24"/>
      <c r="BS10" s="23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5"/>
    </row>
    <row r="11" spans="1:82" s="11" customFormat="1">
      <c r="A11" s="32"/>
      <c r="B11" s="45"/>
      <c r="C11" s="43"/>
      <c r="D11" s="43"/>
      <c r="E11" s="43"/>
      <c r="F11" s="43"/>
      <c r="G11" s="43"/>
      <c r="H11" s="44"/>
      <c r="I11" s="43"/>
      <c r="J11" s="43"/>
      <c r="K11" s="43"/>
      <c r="L11" s="43"/>
      <c r="M11" s="43"/>
      <c r="N11" s="43"/>
      <c r="O11" s="43"/>
      <c r="P11" s="45"/>
      <c r="Q11" s="43"/>
      <c r="R11" s="43"/>
      <c r="S11" s="43"/>
      <c r="T11" s="43"/>
      <c r="U11" s="43"/>
      <c r="V11" s="44"/>
      <c r="W11" s="43"/>
      <c r="X11" s="43"/>
      <c r="Y11" s="43"/>
      <c r="Z11" s="43"/>
      <c r="AA11" s="43"/>
      <c r="AB11" s="43"/>
      <c r="AC11" s="43"/>
      <c r="AD11" s="45"/>
      <c r="AE11" s="43"/>
      <c r="AF11" s="43"/>
      <c r="AG11" s="43"/>
      <c r="AH11" s="43"/>
      <c r="AI11" s="43"/>
      <c r="AJ11" s="44"/>
      <c r="AK11" s="45"/>
      <c r="AL11" s="43"/>
      <c r="AM11" s="43"/>
      <c r="AN11" s="43"/>
      <c r="AO11" s="43"/>
      <c r="AP11" s="43"/>
      <c r="AQ11" s="44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5"/>
      <c r="BI11" s="43"/>
      <c r="BJ11" s="43"/>
      <c r="BK11" s="43"/>
      <c r="BL11" s="44"/>
      <c r="BM11" s="13"/>
      <c r="BO11" s="26"/>
      <c r="BS11" s="26"/>
      <c r="CD11" s="27"/>
    </row>
    <row r="12" spans="1:82" s="11" customFormat="1">
      <c r="A12" s="32"/>
      <c r="B12" s="33"/>
      <c r="C12" s="18"/>
      <c r="D12" s="18"/>
      <c r="E12" s="18"/>
      <c r="F12" s="18"/>
      <c r="G12" s="18"/>
      <c r="H12" s="17"/>
      <c r="I12" s="18"/>
      <c r="J12" s="18"/>
      <c r="K12" s="18"/>
      <c r="L12" s="18"/>
      <c r="M12" s="18"/>
      <c r="N12" s="18"/>
      <c r="O12" s="18"/>
      <c r="P12" s="33"/>
      <c r="Q12" s="18"/>
      <c r="R12" s="18"/>
      <c r="S12" s="18"/>
      <c r="T12" s="18"/>
      <c r="U12" s="18"/>
      <c r="V12" s="17"/>
      <c r="W12" s="18"/>
      <c r="X12" s="18"/>
      <c r="Y12" s="18"/>
      <c r="Z12" s="18"/>
      <c r="AA12" s="18"/>
      <c r="AB12" s="18"/>
      <c r="AC12" s="18"/>
      <c r="AD12" s="33"/>
      <c r="AE12" s="18"/>
      <c r="AF12" s="18"/>
      <c r="AG12" s="18"/>
      <c r="AH12" s="18"/>
      <c r="AI12" s="18"/>
      <c r="AJ12" s="17"/>
      <c r="AK12" s="33"/>
      <c r="AL12" s="18"/>
      <c r="AM12" s="18"/>
      <c r="AN12" s="18"/>
      <c r="AO12" s="18"/>
      <c r="AP12" s="18"/>
      <c r="AQ12" s="17"/>
      <c r="AR12" s="18"/>
      <c r="AS12" s="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33"/>
      <c r="BI12" s="18"/>
      <c r="BJ12" s="18"/>
      <c r="BK12" s="18"/>
      <c r="BL12" s="17"/>
      <c r="BM12" s="13"/>
      <c r="BO12" s="26"/>
      <c r="BS12" s="26"/>
      <c r="CD12" s="27"/>
    </row>
    <row r="13" spans="1:82" s="11" customFormat="1">
      <c r="A13" s="32"/>
      <c r="B13" s="33"/>
      <c r="C13" s="18"/>
      <c r="D13" s="18"/>
      <c r="E13" s="18"/>
      <c r="F13" s="18"/>
      <c r="G13" s="18"/>
      <c r="H13" s="17"/>
      <c r="I13" s="18"/>
      <c r="J13" s="18"/>
      <c r="K13" s="18"/>
      <c r="L13" s="18"/>
      <c r="M13" s="18"/>
      <c r="N13" s="18"/>
      <c r="O13" s="18"/>
      <c r="P13" s="33"/>
      <c r="Q13" s="18"/>
      <c r="R13" s="18"/>
      <c r="S13" s="18"/>
      <c r="T13" s="18"/>
      <c r="U13" s="18"/>
      <c r="V13" s="17"/>
      <c r="W13" s="18"/>
      <c r="X13" s="18"/>
      <c r="Y13" s="18"/>
      <c r="Z13" s="18"/>
      <c r="AA13" s="18"/>
      <c r="AB13" s="18"/>
      <c r="AC13" s="18"/>
      <c r="AD13" s="33"/>
      <c r="AE13" s="18"/>
      <c r="AF13" s="18"/>
      <c r="AG13" s="18"/>
      <c r="AH13" s="18"/>
      <c r="AI13" s="18"/>
      <c r="AJ13" s="17"/>
      <c r="AK13" s="33"/>
      <c r="AL13" s="18"/>
      <c r="AM13" s="18"/>
      <c r="AN13" s="18"/>
      <c r="AO13" s="18"/>
      <c r="AP13" s="18"/>
      <c r="AQ13" s="17"/>
      <c r="AR13" s="18"/>
      <c r="AS13" s="47" t="s">
        <v>162</v>
      </c>
      <c r="AT13" s="47" t="s">
        <v>275</v>
      </c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9" t="s">
        <v>147</v>
      </c>
      <c r="BI13" s="48"/>
      <c r="BJ13" s="48"/>
      <c r="BK13" s="18"/>
      <c r="BL13" s="17"/>
      <c r="BM13" s="13"/>
      <c r="BO13" s="26"/>
      <c r="BS13" s="26"/>
      <c r="CD13" s="27"/>
    </row>
    <row r="14" spans="1:82" s="11" customFormat="1">
      <c r="A14" s="32"/>
      <c r="B14" s="33"/>
      <c r="C14" s="18"/>
      <c r="D14" s="18"/>
      <c r="E14" s="18"/>
      <c r="F14" s="18"/>
      <c r="G14" s="18"/>
      <c r="H14" s="17"/>
      <c r="I14" s="18"/>
      <c r="J14" s="18"/>
      <c r="K14" s="18"/>
      <c r="L14" s="18"/>
      <c r="M14" s="18"/>
      <c r="N14" s="18"/>
      <c r="O14" s="18"/>
      <c r="P14" s="33"/>
      <c r="Q14" s="18"/>
      <c r="R14" s="18"/>
      <c r="S14" s="18"/>
      <c r="T14" s="18"/>
      <c r="U14" s="18"/>
      <c r="V14" s="17"/>
      <c r="W14" s="18"/>
      <c r="X14" s="18"/>
      <c r="Y14" s="18"/>
      <c r="Z14" s="18"/>
      <c r="AA14" s="18"/>
      <c r="AB14" s="18"/>
      <c r="AC14" s="18"/>
      <c r="AD14" s="33"/>
      <c r="AE14" s="18"/>
      <c r="AF14" s="18"/>
      <c r="AG14" s="18"/>
      <c r="AH14" s="18"/>
      <c r="AI14" s="18"/>
      <c r="AJ14" s="17"/>
      <c r="AK14" s="33"/>
      <c r="AL14" s="18"/>
      <c r="AM14" s="18"/>
      <c r="AN14" s="18"/>
      <c r="AO14" s="18"/>
      <c r="AP14" s="18"/>
      <c r="AQ14" s="17"/>
      <c r="AR14" s="18"/>
      <c r="AS14" s="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53" t="s">
        <v>276</v>
      </c>
      <c r="BI14" s="54"/>
      <c r="BJ14" s="54"/>
      <c r="BK14" s="54"/>
      <c r="BL14" s="17"/>
      <c r="BM14" s="13"/>
      <c r="BO14" s="26"/>
      <c r="BS14" s="26"/>
      <c r="CD14" s="27"/>
    </row>
    <row r="15" spans="1:82" s="11" customFormat="1">
      <c r="A15" s="32"/>
      <c r="B15" s="33"/>
      <c r="C15" s="18"/>
      <c r="D15" s="18"/>
      <c r="E15" s="18"/>
      <c r="F15" s="18"/>
      <c r="G15" s="18"/>
      <c r="H15" s="17"/>
      <c r="I15" s="18"/>
      <c r="J15" s="18"/>
      <c r="K15" s="18"/>
      <c r="L15" s="18"/>
      <c r="M15" s="18"/>
      <c r="N15" s="18"/>
      <c r="O15" s="18"/>
      <c r="P15" s="33"/>
      <c r="Q15" s="18"/>
      <c r="R15" s="18"/>
      <c r="S15" s="18"/>
      <c r="T15" s="18"/>
      <c r="U15" s="18"/>
      <c r="V15" s="17"/>
      <c r="W15" s="18"/>
      <c r="X15" s="18"/>
      <c r="Y15" s="18"/>
      <c r="Z15" s="18"/>
      <c r="AA15" s="18"/>
      <c r="AB15" s="18"/>
      <c r="AC15" s="18"/>
      <c r="AD15" s="33"/>
      <c r="AE15" s="18"/>
      <c r="AF15" s="18"/>
      <c r="AG15" s="18"/>
      <c r="AH15" s="18"/>
      <c r="AI15" s="18"/>
      <c r="AJ15" s="17"/>
      <c r="AK15" s="33"/>
      <c r="AL15" s="18"/>
      <c r="AM15" s="18"/>
      <c r="AN15" s="18"/>
      <c r="AO15" s="18"/>
      <c r="AP15" s="18"/>
      <c r="AQ15" s="17"/>
      <c r="AR15" s="18"/>
      <c r="AS15" s="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53" t="s">
        <v>277</v>
      </c>
      <c r="BI15" s="54"/>
      <c r="BJ15" s="54"/>
      <c r="BK15" s="54"/>
      <c r="BL15" s="17"/>
      <c r="BM15" s="13"/>
      <c r="BO15" s="26"/>
      <c r="BS15" s="26"/>
      <c r="CD15" s="27"/>
    </row>
    <row r="16" spans="1:82" s="11" customFormat="1">
      <c r="A16" s="32"/>
      <c r="B16" s="33"/>
      <c r="C16" s="18"/>
      <c r="D16" s="18"/>
      <c r="E16" s="18"/>
      <c r="F16" s="18"/>
      <c r="G16" s="18"/>
      <c r="H16" s="17"/>
      <c r="I16" s="18"/>
      <c r="J16" s="18"/>
      <c r="K16" s="18"/>
      <c r="L16" s="18"/>
      <c r="M16" s="18"/>
      <c r="N16" s="18"/>
      <c r="O16" s="18"/>
      <c r="P16" s="33"/>
      <c r="Q16" s="18"/>
      <c r="R16" s="18"/>
      <c r="S16" s="18"/>
      <c r="T16" s="18"/>
      <c r="U16" s="18"/>
      <c r="V16" s="17"/>
      <c r="W16" s="18"/>
      <c r="X16" s="18"/>
      <c r="Y16" s="18"/>
      <c r="Z16" s="18"/>
      <c r="AA16" s="18"/>
      <c r="AB16" s="18"/>
      <c r="AC16" s="18"/>
      <c r="AD16" s="33"/>
      <c r="AE16" s="18"/>
      <c r="AF16" s="18"/>
      <c r="AG16" s="18"/>
      <c r="AH16" s="18"/>
      <c r="AI16" s="18"/>
      <c r="AJ16" s="17"/>
      <c r="AK16" s="33"/>
      <c r="AL16" s="18"/>
      <c r="AM16" s="18"/>
      <c r="AN16" s="18"/>
      <c r="AO16" s="18"/>
      <c r="AP16" s="18"/>
      <c r="AQ16" s="17"/>
      <c r="AR16" s="18"/>
      <c r="AS16" s="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53" t="s">
        <v>278</v>
      </c>
      <c r="BI16" s="54"/>
      <c r="BJ16" s="54"/>
      <c r="BK16" s="54"/>
      <c r="BL16" s="17"/>
      <c r="BM16" s="13"/>
      <c r="BO16" s="26"/>
      <c r="BS16" s="26"/>
      <c r="CD16" s="27"/>
    </row>
    <row r="17" spans="1:82" s="11" customFormat="1">
      <c r="A17" s="32"/>
      <c r="B17" s="33"/>
      <c r="C17" s="18"/>
      <c r="D17" s="18"/>
      <c r="E17" s="18"/>
      <c r="F17" s="18"/>
      <c r="G17" s="18"/>
      <c r="H17" s="17"/>
      <c r="I17" s="18"/>
      <c r="J17" s="18"/>
      <c r="K17" s="18"/>
      <c r="L17" s="18"/>
      <c r="M17" s="18"/>
      <c r="N17" s="18"/>
      <c r="O17" s="18"/>
      <c r="P17" s="33"/>
      <c r="Q17" s="18"/>
      <c r="R17" s="18"/>
      <c r="S17" s="18"/>
      <c r="T17" s="18"/>
      <c r="U17" s="18"/>
      <c r="V17" s="17"/>
      <c r="W17" s="18"/>
      <c r="X17" s="18"/>
      <c r="Y17" s="18"/>
      <c r="Z17" s="18"/>
      <c r="AA17" s="18"/>
      <c r="AB17" s="18"/>
      <c r="AC17" s="18"/>
      <c r="AD17" s="33"/>
      <c r="AE17" s="18"/>
      <c r="AF17" s="18"/>
      <c r="AG17" s="18"/>
      <c r="AH17" s="18"/>
      <c r="AI17" s="18"/>
      <c r="AJ17" s="17"/>
      <c r="AK17" s="33"/>
      <c r="AL17" s="18"/>
      <c r="AM17" s="18"/>
      <c r="AN17" s="18"/>
      <c r="AO17" s="18"/>
      <c r="AP17" s="18"/>
      <c r="AQ17" s="17"/>
      <c r="AR17" s="18"/>
      <c r="AS17" s="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53" t="s">
        <v>279</v>
      </c>
      <c r="BI17" s="54"/>
      <c r="BJ17" s="54"/>
      <c r="BK17" s="54"/>
      <c r="BL17" s="17"/>
      <c r="BM17" s="13"/>
      <c r="BO17" s="26"/>
      <c r="BS17" s="26"/>
      <c r="CD17" s="27"/>
    </row>
    <row r="18" spans="1:82" s="11" customFormat="1">
      <c r="A18" s="32"/>
      <c r="B18" s="33"/>
      <c r="C18" s="18"/>
      <c r="D18" s="18"/>
      <c r="E18" s="18"/>
      <c r="F18" s="18"/>
      <c r="G18" s="18"/>
      <c r="H18" s="17"/>
      <c r="I18" s="18"/>
      <c r="J18" s="18"/>
      <c r="K18" s="18"/>
      <c r="L18" s="18"/>
      <c r="M18" s="18"/>
      <c r="N18" s="18"/>
      <c r="O18" s="18"/>
      <c r="P18" s="33"/>
      <c r="Q18" s="18"/>
      <c r="R18" s="18"/>
      <c r="S18" s="18"/>
      <c r="T18" s="18"/>
      <c r="U18" s="18"/>
      <c r="V18" s="17"/>
      <c r="W18" s="18"/>
      <c r="X18" s="18"/>
      <c r="Y18" s="18"/>
      <c r="Z18" s="18"/>
      <c r="AA18" s="18"/>
      <c r="AB18" s="18"/>
      <c r="AC18" s="18"/>
      <c r="AD18" s="33"/>
      <c r="AE18" s="18"/>
      <c r="AF18" s="18"/>
      <c r="AG18" s="18"/>
      <c r="AH18" s="18"/>
      <c r="AI18" s="18"/>
      <c r="AJ18" s="17"/>
      <c r="AK18" s="33"/>
      <c r="AL18" s="18"/>
      <c r="AM18" s="18"/>
      <c r="AN18" s="18"/>
      <c r="AO18" s="18"/>
      <c r="AP18" s="18"/>
      <c r="AQ18" s="17"/>
      <c r="AR18" s="18"/>
      <c r="AS18" s="19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53" t="s">
        <v>280</v>
      </c>
      <c r="BI18" s="54"/>
      <c r="BJ18" s="54"/>
      <c r="BK18" s="54"/>
      <c r="BL18" s="17"/>
      <c r="BM18" s="13"/>
      <c r="BO18" s="26"/>
      <c r="BS18" s="26"/>
      <c r="CD18" s="27"/>
    </row>
    <row r="19" spans="1:82" s="11" customFormat="1">
      <c r="A19" s="32"/>
      <c r="B19" s="33"/>
      <c r="C19" s="18"/>
      <c r="D19" s="18"/>
      <c r="E19" s="18"/>
      <c r="F19" s="18"/>
      <c r="G19" s="18"/>
      <c r="H19" s="17"/>
      <c r="I19" s="18"/>
      <c r="J19" s="18"/>
      <c r="K19" s="18"/>
      <c r="L19" s="18"/>
      <c r="M19" s="18"/>
      <c r="N19" s="18"/>
      <c r="O19" s="18"/>
      <c r="P19" s="33"/>
      <c r="Q19" s="18"/>
      <c r="R19" s="18"/>
      <c r="S19" s="18"/>
      <c r="T19" s="18"/>
      <c r="U19" s="18"/>
      <c r="V19" s="17"/>
      <c r="W19" s="18"/>
      <c r="X19" s="18"/>
      <c r="Y19" s="18"/>
      <c r="Z19" s="18"/>
      <c r="AA19" s="18"/>
      <c r="AB19" s="18"/>
      <c r="AC19" s="18"/>
      <c r="AD19" s="33"/>
      <c r="AE19" s="18"/>
      <c r="AF19" s="18"/>
      <c r="AG19" s="18"/>
      <c r="AH19" s="18"/>
      <c r="AI19" s="18"/>
      <c r="AJ19" s="17"/>
      <c r="AK19" s="33"/>
      <c r="AL19" s="18"/>
      <c r="AM19" s="18"/>
      <c r="AN19" s="18"/>
      <c r="AO19" s="18"/>
      <c r="AP19" s="18"/>
      <c r="AQ19" s="17"/>
      <c r="AR19" s="18"/>
      <c r="AT19" s="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53" t="s">
        <v>281</v>
      </c>
      <c r="BI19" s="54"/>
      <c r="BJ19" s="54"/>
      <c r="BK19" s="54"/>
      <c r="BL19" s="17"/>
      <c r="BM19" s="13"/>
      <c r="BO19" s="26"/>
      <c r="BS19" s="26"/>
      <c r="CD19" s="27"/>
    </row>
    <row r="20" spans="1:82" s="11" customFormat="1">
      <c r="A20" s="32"/>
      <c r="B20" s="33"/>
      <c r="C20" s="18"/>
      <c r="D20" s="18"/>
      <c r="E20" s="18"/>
      <c r="F20" s="18"/>
      <c r="G20" s="18"/>
      <c r="H20" s="17"/>
      <c r="I20" s="18"/>
      <c r="J20" s="18"/>
      <c r="K20" s="18"/>
      <c r="L20" s="18"/>
      <c r="M20" s="18"/>
      <c r="N20" s="18"/>
      <c r="O20" s="18"/>
      <c r="P20" s="33"/>
      <c r="Q20" s="18"/>
      <c r="R20" s="18"/>
      <c r="S20" s="18"/>
      <c r="T20" s="18"/>
      <c r="U20" s="18"/>
      <c r="V20" s="17"/>
      <c r="W20" s="18"/>
      <c r="X20" s="18"/>
      <c r="Y20" s="18"/>
      <c r="Z20" s="18"/>
      <c r="AA20" s="18"/>
      <c r="AB20" s="18"/>
      <c r="AC20" s="18"/>
      <c r="AD20" s="33"/>
      <c r="AE20" s="18"/>
      <c r="AF20" s="18"/>
      <c r="AG20" s="18"/>
      <c r="AH20" s="18"/>
      <c r="AI20" s="18"/>
      <c r="AJ20" s="17"/>
      <c r="AK20" s="33"/>
      <c r="AL20" s="18"/>
      <c r="AM20" s="18"/>
      <c r="AN20" s="18"/>
      <c r="AO20" s="18"/>
      <c r="AP20" s="18"/>
      <c r="AQ20" s="17"/>
      <c r="AR20" s="18"/>
      <c r="AS20" s="8"/>
      <c r="AT20" s="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33"/>
      <c r="BI20" s="18"/>
      <c r="BJ20" s="18"/>
      <c r="BK20" s="18"/>
      <c r="BL20" s="17"/>
      <c r="BM20" s="13"/>
      <c r="BO20" s="26"/>
      <c r="BS20" s="26"/>
      <c r="CD20" s="27"/>
    </row>
    <row r="21" spans="1:82" s="11" customFormat="1">
      <c r="A21" s="32"/>
      <c r="B21" s="33"/>
      <c r="C21" s="18"/>
      <c r="D21" s="18"/>
      <c r="E21" s="18"/>
      <c r="F21" s="18"/>
      <c r="G21" s="18"/>
      <c r="H21" s="17"/>
      <c r="I21" s="18"/>
      <c r="J21" s="18"/>
      <c r="K21" s="18"/>
      <c r="L21" s="18"/>
      <c r="M21" s="18"/>
      <c r="N21" s="18"/>
      <c r="O21" s="18"/>
      <c r="P21" s="33"/>
      <c r="Q21" s="18"/>
      <c r="R21" s="18"/>
      <c r="S21" s="18"/>
      <c r="T21" s="18"/>
      <c r="U21" s="18"/>
      <c r="V21" s="17"/>
      <c r="W21" s="18"/>
      <c r="X21" s="18"/>
      <c r="Y21" s="18"/>
      <c r="Z21" s="18"/>
      <c r="AA21" s="18"/>
      <c r="AB21" s="18"/>
      <c r="AC21" s="18"/>
      <c r="AD21" s="33"/>
      <c r="AE21" s="18"/>
      <c r="AF21" s="18"/>
      <c r="AG21" s="18"/>
      <c r="AH21" s="18"/>
      <c r="AI21" s="18"/>
      <c r="AJ21" s="17"/>
      <c r="AK21" s="33"/>
      <c r="AL21" s="18"/>
      <c r="AM21" s="18"/>
      <c r="AN21" s="18"/>
      <c r="AO21" s="18"/>
      <c r="AP21" s="18"/>
      <c r="AQ21" s="17"/>
      <c r="AR21" s="18"/>
      <c r="AS21" s="16" t="s">
        <v>282</v>
      </c>
      <c r="AT21" s="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33"/>
      <c r="BI21" s="18"/>
      <c r="BJ21" s="18"/>
      <c r="BK21" s="18"/>
      <c r="BL21" s="17"/>
      <c r="BM21" s="13"/>
      <c r="BO21" s="26"/>
      <c r="BS21" s="26"/>
      <c r="CD21" s="27"/>
    </row>
    <row r="22" spans="1:82" s="11" customFormat="1">
      <c r="A22" s="32"/>
      <c r="B22" s="33"/>
      <c r="C22" s="18"/>
      <c r="D22" s="18"/>
      <c r="E22" s="18"/>
      <c r="F22" s="18"/>
      <c r="G22" s="18"/>
      <c r="H22" s="17"/>
      <c r="I22" s="18"/>
      <c r="J22" s="18"/>
      <c r="K22" s="18"/>
      <c r="L22" s="18"/>
      <c r="M22" s="18"/>
      <c r="N22" s="18"/>
      <c r="O22" s="18"/>
      <c r="P22" s="33"/>
      <c r="Q22" s="18"/>
      <c r="R22" s="18"/>
      <c r="S22" s="18"/>
      <c r="T22" s="18"/>
      <c r="U22" s="18"/>
      <c r="V22" s="17"/>
      <c r="W22" s="18"/>
      <c r="X22" s="18"/>
      <c r="Y22" s="18"/>
      <c r="Z22" s="18"/>
      <c r="AA22" s="18"/>
      <c r="AB22" s="18"/>
      <c r="AC22" s="18"/>
      <c r="AD22" s="33"/>
      <c r="AE22" s="18"/>
      <c r="AF22" s="18"/>
      <c r="AG22" s="18"/>
      <c r="AH22" s="18"/>
      <c r="AI22" s="18"/>
      <c r="AJ22" s="17"/>
      <c r="AK22" s="33"/>
      <c r="AL22" s="18"/>
      <c r="AM22" s="18"/>
      <c r="AN22" s="18"/>
      <c r="AO22" s="18"/>
      <c r="AP22" s="18"/>
      <c r="AQ22" s="17"/>
      <c r="AR22" s="18"/>
      <c r="AS22" s="8"/>
      <c r="AT22" s="8" t="s">
        <v>283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33"/>
      <c r="BI22" s="18"/>
      <c r="BJ22" s="18"/>
      <c r="BK22" s="18"/>
      <c r="BL22" s="17"/>
      <c r="BM22" s="13"/>
      <c r="BO22" s="26"/>
      <c r="BS22" s="26"/>
      <c r="CD22" s="27"/>
    </row>
    <row r="23" spans="1:82" s="11" customFormat="1">
      <c r="A23" s="32"/>
      <c r="B23" s="33"/>
      <c r="C23" s="18"/>
      <c r="D23" s="18"/>
      <c r="E23" s="18"/>
      <c r="F23" s="18"/>
      <c r="G23" s="18"/>
      <c r="H23" s="17"/>
      <c r="I23" s="18"/>
      <c r="J23" s="18"/>
      <c r="K23" s="18"/>
      <c r="L23" s="18"/>
      <c r="M23" s="18"/>
      <c r="N23" s="18"/>
      <c r="O23" s="18"/>
      <c r="P23" s="33"/>
      <c r="Q23" s="18"/>
      <c r="R23" s="18"/>
      <c r="S23" s="18"/>
      <c r="T23" s="18"/>
      <c r="U23" s="18"/>
      <c r="V23" s="17"/>
      <c r="W23" s="18"/>
      <c r="X23" s="18"/>
      <c r="Y23" s="18"/>
      <c r="Z23" s="18"/>
      <c r="AA23" s="18"/>
      <c r="AB23" s="18"/>
      <c r="AC23" s="18"/>
      <c r="AD23" s="33"/>
      <c r="AE23" s="18"/>
      <c r="AF23" s="18"/>
      <c r="AG23" s="18"/>
      <c r="AH23" s="18"/>
      <c r="AI23" s="18"/>
      <c r="AJ23" s="17"/>
      <c r="AK23" s="33"/>
      <c r="AL23" s="18"/>
      <c r="AM23" s="18"/>
      <c r="AN23" s="18"/>
      <c r="AO23" s="18"/>
      <c r="AP23" s="18"/>
      <c r="AQ23" s="17"/>
      <c r="AR23" s="18"/>
      <c r="AS23" s="8"/>
      <c r="AT23" s="8" t="s">
        <v>284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33"/>
      <c r="BI23" s="18"/>
      <c r="BJ23" s="18"/>
      <c r="BK23" s="18"/>
      <c r="BL23" s="17"/>
      <c r="BM23" s="13"/>
      <c r="BO23" s="26"/>
      <c r="BS23" s="26"/>
      <c r="CD23" s="27"/>
    </row>
    <row r="24" spans="1:82" s="11" customFormat="1">
      <c r="A24" s="32"/>
      <c r="B24" s="33"/>
      <c r="C24" s="18"/>
      <c r="D24" s="18"/>
      <c r="E24" s="18"/>
      <c r="F24" s="18"/>
      <c r="G24" s="18"/>
      <c r="H24" s="17"/>
      <c r="I24" s="18"/>
      <c r="J24" s="18"/>
      <c r="K24" s="18"/>
      <c r="L24" s="18"/>
      <c r="M24" s="18"/>
      <c r="N24" s="18"/>
      <c r="O24" s="18"/>
      <c r="P24" s="33"/>
      <c r="Q24" s="18"/>
      <c r="R24" s="18"/>
      <c r="S24" s="18"/>
      <c r="T24" s="18"/>
      <c r="U24" s="18"/>
      <c r="V24" s="17"/>
      <c r="W24" s="18"/>
      <c r="X24" s="18"/>
      <c r="Y24" s="18"/>
      <c r="Z24" s="18"/>
      <c r="AA24" s="18"/>
      <c r="AB24" s="18"/>
      <c r="AC24" s="18"/>
      <c r="AD24" s="33"/>
      <c r="AE24" s="18"/>
      <c r="AF24" s="18"/>
      <c r="AG24" s="18"/>
      <c r="AH24" s="18"/>
      <c r="AI24" s="18"/>
      <c r="AJ24" s="17"/>
      <c r="AK24" s="33"/>
      <c r="AL24" s="18"/>
      <c r="AM24" s="18"/>
      <c r="AN24" s="18"/>
      <c r="AO24" s="18"/>
      <c r="AP24" s="18"/>
      <c r="AQ24" s="17"/>
      <c r="AR24" s="18"/>
      <c r="AS24" s="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33"/>
      <c r="BI24" s="18"/>
      <c r="BJ24" s="18"/>
      <c r="BK24" s="18"/>
      <c r="BL24" s="17"/>
      <c r="BM24" s="13"/>
      <c r="BO24" s="26"/>
      <c r="BS24" s="26"/>
      <c r="CD24" s="27"/>
    </row>
    <row r="25" spans="1:82" s="11" customFormat="1">
      <c r="A25" s="32"/>
      <c r="B25" s="33"/>
      <c r="C25" s="18"/>
      <c r="D25" s="18"/>
      <c r="E25" s="18"/>
      <c r="F25" s="18"/>
      <c r="G25" s="18"/>
      <c r="H25" s="17"/>
      <c r="I25" s="18"/>
      <c r="J25" s="18"/>
      <c r="K25" s="18"/>
      <c r="L25" s="18"/>
      <c r="M25" s="18"/>
      <c r="N25" s="18"/>
      <c r="O25" s="18"/>
      <c r="P25" s="33"/>
      <c r="Q25" s="18"/>
      <c r="R25" s="18"/>
      <c r="S25" s="18"/>
      <c r="T25" s="18"/>
      <c r="U25" s="18"/>
      <c r="V25" s="17"/>
      <c r="W25" s="18"/>
      <c r="X25" s="18"/>
      <c r="Y25" s="18"/>
      <c r="Z25" s="18"/>
      <c r="AA25" s="18"/>
      <c r="AB25" s="18"/>
      <c r="AC25" s="18"/>
      <c r="AD25" s="33"/>
      <c r="AE25" s="18"/>
      <c r="AF25" s="18"/>
      <c r="AG25" s="18"/>
      <c r="AH25" s="18"/>
      <c r="AI25" s="18"/>
      <c r="AJ25" s="17"/>
      <c r="AK25" s="33"/>
      <c r="AL25" s="18"/>
      <c r="AM25" s="18"/>
      <c r="AN25" s="18"/>
      <c r="AO25" s="18"/>
      <c r="AP25" s="18"/>
      <c r="AQ25" s="17"/>
      <c r="AR25" s="18"/>
      <c r="AS25" s="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33"/>
      <c r="BI25" s="18"/>
      <c r="BJ25" s="18"/>
      <c r="BK25" s="18"/>
      <c r="BL25" s="17"/>
      <c r="BM25" s="13"/>
      <c r="BO25" s="26"/>
      <c r="BS25" s="26"/>
      <c r="CD25" s="27"/>
    </row>
    <row r="26" spans="1:82" s="11" customFormat="1">
      <c r="A26" s="32"/>
      <c r="B26" s="33"/>
      <c r="C26" s="18"/>
      <c r="D26" s="18"/>
      <c r="E26" s="18"/>
      <c r="F26" s="18"/>
      <c r="G26" s="18"/>
      <c r="H26" s="17"/>
      <c r="I26" s="18"/>
      <c r="J26" s="18"/>
      <c r="K26" s="18"/>
      <c r="L26" s="18"/>
      <c r="M26" s="18"/>
      <c r="N26" s="18"/>
      <c r="O26" s="18"/>
      <c r="P26" s="33"/>
      <c r="Q26" s="18"/>
      <c r="R26" s="18"/>
      <c r="S26" s="18"/>
      <c r="T26" s="18"/>
      <c r="U26" s="18"/>
      <c r="V26" s="17"/>
      <c r="W26" s="18"/>
      <c r="X26" s="18"/>
      <c r="Y26" s="18"/>
      <c r="Z26" s="18"/>
      <c r="AA26" s="18"/>
      <c r="AB26" s="18"/>
      <c r="AC26" s="18"/>
      <c r="AD26" s="33"/>
      <c r="AE26" s="18"/>
      <c r="AF26" s="18"/>
      <c r="AG26" s="18"/>
      <c r="AH26" s="18"/>
      <c r="AI26" s="18"/>
      <c r="AJ26" s="17"/>
      <c r="AK26" s="33"/>
      <c r="AL26" s="18"/>
      <c r="AM26" s="18"/>
      <c r="AN26" s="18"/>
      <c r="AO26" s="18"/>
      <c r="AP26" s="18"/>
      <c r="AQ26" s="17"/>
      <c r="AR26" s="18"/>
      <c r="AS26" s="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33"/>
      <c r="BI26" s="18"/>
      <c r="BJ26" s="18"/>
      <c r="BK26" s="18"/>
      <c r="BL26" s="17"/>
      <c r="BM26" s="13"/>
      <c r="BO26" s="26"/>
      <c r="BS26" s="26"/>
      <c r="CD26" s="27"/>
    </row>
    <row r="27" spans="1:82" s="11" customFormat="1">
      <c r="A27" s="32"/>
      <c r="B27" s="33"/>
      <c r="C27" s="18"/>
      <c r="D27" s="18"/>
      <c r="E27" s="18"/>
      <c r="F27" s="18"/>
      <c r="G27" s="18"/>
      <c r="H27" s="17"/>
      <c r="I27" s="18"/>
      <c r="J27" s="18"/>
      <c r="K27" s="18"/>
      <c r="L27" s="18"/>
      <c r="M27" s="18"/>
      <c r="N27" s="18"/>
      <c r="O27" s="18"/>
      <c r="P27" s="33"/>
      <c r="Q27" s="18"/>
      <c r="R27" s="18"/>
      <c r="S27" s="18"/>
      <c r="T27" s="18"/>
      <c r="U27" s="18"/>
      <c r="V27" s="17"/>
      <c r="W27" s="18"/>
      <c r="X27" s="18"/>
      <c r="Y27" s="18"/>
      <c r="Z27" s="18"/>
      <c r="AA27" s="18"/>
      <c r="AB27" s="18"/>
      <c r="AC27" s="18"/>
      <c r="AD27" s="33"/>
      <c r="AE27" s="18"/>
      <c r="AF27" s="18"/>
      <c r="AG27" s="18"/>
      <c r="AH27" s="18"/>
      <c r="AI27" s="18"/>
      <c r="AJ27" s="17"/>
      <c r="AK27" s="33"/>
      <c r="AL27" s="18"/>
      <c r="AM27" s="18"/>
      <c r="AN27" s="18"/>
      <c r="AO27" s="18"/>
      <c r="AP27" s="18"/>
      <c r="AQ27" s="17"/>
      <c r="AR27" s="18"/>
      <c r="AS27" s="19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33"/>
      <c r="BI27" s="18"/>
      <c r="BJ27" s="18"/>
      <c r="BK27" s="18"/>
      <c r="BL27" s="17"/>
      <c r="BM27" s="13"/>
      <c r="BO27" s="26"/>
      <c r="BS27" s="26"/>
      <c r="CD27" s="27"/>
    </row>
    <row r="28" spans="1:82" s="11" customFormat="1">
      <c r="A28" s="32"/>
      <c r="B28" s="33"/>
      <c r="C28" s="18"/>
      <c r="D28" s="18"/>
      <c r="E28" s="18"/>
      <c r="F28" s="18"/>
      <c r="G28" s="18"/>
      <c r="H28" s="17"/>
      <c r="I28" s="18"/>
      <c r="J28" s="18"/>
      <c r="K28" s="18"/>
      <c r="L28" s="18"/>
      <c r="M28" s="18"/>
      <c r="N28" s="18"/>
      <c r="O28" s="18"/>
      <c r="P28" s="33"/>
      <c r="Q28" s="18"/>
      <c r="R28" s="18"/>
      <c r="S28" s="18"/>
      <c r="T28" s="18"/>
      <c r="U28" s="18"/>
      <c r="V28" s="17"/>
      <c r="W28" s="18"/>
      <c r="X28" s="18"/>
      <c r="Y28" s="18"/>
      <c r="Z28" s="18"/>
      <c r="AA28" s="18"/>
      <c r="AB28" s="18"/>
      <c r="AC28" s="18"/>
      <c r="AD28" s="33"/>
      <c r="AE28" s="18"/>
      <c r="AF28" s="18"/>
      <c r="AG28" s="18"/>
      <c r="AH28" s="18"/>
      <c r="AI28" s="18"/>
      <c r="AJ28" s="17"/>
      <c r="AK28" s="33"/>
      <c r="AL28" s="18"/>
      <c r="AM28" s="18"/>
      <c r="AN28" s="18"/>
      <c r="AO28" s="18"/>
      <c r="AP28" s="18"/>
      <c r="AQ28" s="17"/>
      <c r="AR28" s="18"/>
      <c r="AS28" s="16" t="s">
        <v>285</v>
      </c>
      <c r="AT28" s="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33"/>
      <c r="BI28" s="18"/>
      <c r="BJ28" s="18"/>
      <c r="BK28" s="18"/>
      <c r="BL28" s="17"/>
      <c r="BM28" s="13"/>
      <c r="BO28" s="26"/>
      <c r="BS28" s="26"/>
      <c r="CD28" s="27"/>
    </row>
    <row r="29" spans="1:82" s="11" customFormat="1">
      <c r="A29" s="32"/>
      <c r="B29" s="33"/>
      <c r="C29" s="18"/>
      <c r="D29" s="18"/>
      <c r="E29" s="18"/>
      <c r="F29" s="18"/>
      <c r="G29" s="18"/>
      <c r="H29" s="17"/>
      <c r="I29" s="18"/>
      <c r="J29" s="18"/>
      <c r="K29" s="18"/>
      <c r="L29" s="18"/>
      <c r="M29" s="18"/>
      <c r="N29" s="18"/>
      <c r="O29" s="18"/>
      <c r="P29" s="33"/>
      <c r="Q29" s="18"/>
      <c r="R29" s="18"/>
      <c r="S29" s="18"/>
      <c r="T29" s="18"/>
      <c r="U29" s="18"/>
      <c r="V29" s="17"/>
      <c r="W29" s="18"/>
      <c r="X29" s="18"/>
      <c r="Y29" s="18"/>
      <c r="Z29" s="18"/>
      <c r="AA29" s="18"/>
      <c r="AB29" s="18"/>
      <c r="AC29" s="18"/>
      <c r="AD29" s="33"/>
      <c r="AE29" s="18"/>
      <c r="AF29" s="18"/>
      <c r="AG29" s="18"/>
      <c r="AH29" s="18"/>
      <c r="AI29" s="18"/>
      <c r="AJ29" s="17"/>
      <c r="AK29" s="33"/>
      <c r="AL29" s="18"/>
      <c r="AM29" s="18"/>
      <c r="AN29" s="18"/>
      <c r="AO29" s="18"/>
      <c r="AP29" s="18"/>
      <c r="AQ29" s="17"/>
      <c r="AR29" s="18"/>
      <c r="AS29" s="8"/>
      <c r="AT29" s="8" t="s">
        <v>286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33"/>
      <c r="BI29" s="18"/>
      <c r="BJ29" s="18"/>
      <c r="BK29" s="18"/>
      <c r="BL29" s="17"/>
      <c r="BM29" s="13"/>
      <c r="BO29" s="26"/>
      <c r="BS29" s="26"/>
      <c r="CD29" s="27"/>
    </row>
    <row r="30" spans="1:82" s="11" customFormat="1">
      <c r="A30" s="32"/>
      <c r="B30" s="33"/>
      <c r="C30" s="18"/>
      <c r="D30" s="18"/>
      <c r="E30" s="18"/>
      <c r="F30" s="18"/>
      <c r="G30" s="18"/>
      <c r="H30" s="17"/>
      <c r="I30" s="18"/>
      <c r="J30" s="18"/>
      <c r="K30" s="18"/>
      <c r="L30" s="18"/>
      <c r="M30" s="18"/>
      <c r="N30" s="18"/>
      <c r="O30" s="18"/>
      <c r="P30" s="33"/>
      <c r="Q30" s="18"/>
      <c r="R30" s="18"/>
      <c r="S30" s="18"/>
      <c r="T30" s="18"/>
      <c r="U30" s="18"/>
      <c r="V30" s="17"/>
      <c r="W30" s="18"/>
      <c r="X30" s="18"/>
      <c r="Y30" s="18"/>
      <c r="Z30" s="18"/>
      <c r="AA30" s="18"/>
      <c r="AB30" s="18"/>
      <c r="AC30" s="18"/>
      <c r="AD30" s="33"/>
      <c r="AE30" s="18"/>
      <c r="AF30" s="18"/>
      <c r="AG30" s="18"/>
      <c r="AH30" s="18"/>
      <c r="AI30" s="18"/>
      <c r="AJ30" s="17"/>
      <c r="AK30" s="33"/>
      <c r="AL30" s="18"/>
      <c r="AM30" s="18"/>
      <c r="AN30" s="18"/>
      <c r="AO30" s="18"/>
      <c r="AP30" s="18"/>
      <c r="AQ30" s="17"/>
      <c r="AR30" s="18"/>
      <c r="AS30" s="8"/>
      <c r="AT30" s="8" t="s">
        <v>287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33"/>
      <c r="BI30" s="18"/>
      <c r="BJ30" s="18"/>
      <c r="BK30" s="18"/>
      <c r="BL30" s="17"/>
      <c r="BM30" s="13"/>
      <c r="BO30" s="26"/>
      <c r="BS30" s="26"/>
      <c r="CD30" s="27"/>
    </row>
    <row r="31" spans="1:82" s="11" customFormat="1">
      <c r="A31" s="32"/>
      <c r="B31" s="33"/>
      <c r="C31" s="18"/>
      <c r="D31" s="18"/>
      <c r="E31" s="18"/>
      <c r="F31" s="18"/>
      <c r="G31" s="18"/>
      <c r="H31" s="17"/>
      <c r="I31" s="18"/>
      <c r="J31" s="18"/>
      <c r="K31" s="18"/>
      <c r="L31" s="18"/>
      <c r="M31" s="18"/>
      <c r="N31" s="18"/>
      <c r="O31" s="18"/>
      <c r="P31" s="33"/>
      <c r="Q31" s="18"/>
      <c r="R31" s="18"/>
      <c r="S31" s="18"/>
      <c r="T31" s="18"/>
      <c r="U31" s="18"/>
      <c r="V31" s="17"/>
      <c r="W31" s="18"/>
      <c r="X31" s="18"/>
      <c r="Y31" s="18"/>
      <c r="Z31" s="18"/>
      <c r="AA31" s="18"/>
      <c r="AB31" s="18"/>
      <c r="AC31" s="18"/>
      <c r="AD31" s="33"/>
      <c r="AE31" s="18"/>
      <c r="AF31" s="18"/>
      <c r="AG31" s="18"/>
      <c r="AH31" s="18"/>
      <c r="AI31" s="18"/>
      <c r="AJ31" s="17"/>
      <c r="AK31" s="33"/>
      <c r="AL31" s="18"/>
      <c r="AM31" s="18"/>
      <c r="AN31" s="18"/>
      <c r="AO31" s="18"/>
      <c r="AP31" s="18"/>
      <c r="AQ31" s="17"/>
      <c r="AR31" s="18"/>
      <c r="AS31" s="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33"/>
      <c r="BI31" s="18"/>
      <c r="BJ31" s="18"/>
      <c r="BK31" s="18"/>
      <c r="BL31" s="17"/>
      <c r="BM31" s="13"/>
      <c r="BO31" s="26"/>
      <c r="BS31" s="26"/>
      <c r="CD31" s="27"/>
    </row>
    <row r="32" spans="1:82" s="11" customFormat="1">
      <c r="A32" s="32"/>
      <c r="B32" s="33"/>
      <c r="C32" s="18"/>
      <c r="D32" s="18"/>
      <c r="E32" s="18"/>
      <c r="F32" s="18"/>
      <c r="G32" s="18"/>
      <c r="H32" s="17"/>
      <c r="I32" s="18"/>
      <c r="J32" s="18"/>
      <c r="K32" s="18"/>
      <c r="L32" s="18"/>
      <c r="M32" s="18"/>
      <c r="N32" s="18"/>
      <c r="O32" s="18"/>
      <c r="P32" s="33"/>
      <c r="Q32" s="18"/>
      <c r="R32" s="18"/>
      <c r="S32" s="18"/>
      <c r="T32" s="18"/>
      <c r="U32" s="18"/>
      <c r="V32" s="17"/>
      <c r="W32" s="18"/>
      <c r="X32" s="18"/>
      <c r="Y32" s="18"/>
      <c r="Z32" s="18"/>
      <c r="AA32" s="18"/>
      <c r="AB32" s="18"/>
      <c r="AC32" s="18"/>
      <c r="AD32" s="33"/>
      <c r="AE32" s="18"/>
      <c r="AF32" s="18"/>
      <c r="AG32" s="18"/>
      <c r="AH32" s="18"/>
      <c r="AI32" s="18"/>
      <c r="AJ32" s="17"/>
      <c r="AK32" s="33"/>
      <c r="AL32" s="18"/>
      <c r="AM32" s="18"/>
      <c r="AN32" s="18"/>
      <c r="AO32" s="18"/>
      <c r="AP32" s="18"/>
      <c r="AQ32" s="17"/>
      <c r="AR32" s="18"/>
      <c r="AS32" s="8"/>
      <c r="AT32" s="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46"/>
      <c r="BI32" s="18"/>
      <c r="BJ32" s="18"/>
      <c r="BK32" s="18"/>
      <c r="BL32" s="17"/>
      <c r="BM32" s="13"/>
      <c r="BO32" s="26"/>
      <c r="BS32" s="26"/>
      <c r="CD32" s="27"/>
    </row>
    <row r="33" spans="1:82" s="11" customFormat="1">
      <c r="A33" s="32"/>
      <c r="B33" s="33"/>
      <c r="C33" s="18"/>
      <c r="D33" s="18"/>
      <c r="E33" s="18"/>
      <c r="F33" s="18"/>
      <c r="G33" s="18"/>
      <c r="H33" s="17"/>
      <c r="I33" s="18"/>
      <c r="J33" s="18"/>
      <c r="K33" s="18"/>
      <c r="L33" s="18"/>
      <c r="M33" s="18"/>
      <c r="N33" s="18"/>
      <c r="O33" s="18"/>
      <c r="P33" s="33"/>
      <c r="Q33" s="18"/>
      <c r="R33" s="18"/>
      <c r="S33" s="18"/>
      <c r="T33" s="18"/>
      <c r="U33" s="18"/>
      <c r="V33" s="17"/>
      <c r="W33" s="18"/>
      <c r="X33" s="18"/>
      <c r="Y33" s="18"/>
      <c r="Z33" s="18"/>
      <c r="AA33" s="18"/>
      <c r="AB33" s="18"/>
      <c r="AC33" s="18"/>
      <c r="AD33" s="33"/>
      <c r="AE33" s="18"/>
      <c r="AF33" s="18"/>
      <c r="AG33" s="18"/>
      <c r="AH33" s="18"/>
      <c r="AI33" s="18"/>
      <c r="AJ33" s="17"/>
      <c r="AK33" s="33"/>
      <c r="AL33" s="18"/>
      <c r="AM33" s="18"/>
      <c r="AN33" s="18"/>
      <c r="AO33" s="18"/>
      <c r="AP33" s="18"/>
      <c r="AQ33" s="17"/>
      <c r="AR33" s="18"/>
      <c r="AS33" s="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33"/>
      <c r="BI33" s="18"/>
      <c r="BJ33" s="18"/>
      <c r="BK33" s="18"/>
      <c r="BL33" s="17"/>
      <c r="BM33" s="13"/>
      <c r="BO33" s="26"/>
      <c r="BS33" s="26"/>
      <c r="CD33" s="27"/>
    </row>
    <row r="34" spans="1:82" s="11" customFormat="1">
      <c r="A34" s="32"/>
      <c r="B34" s="33"/>
      <c r="C34" s="18"/>
      <c r="D34" s="18"/>
      <c r="E34" s="18"/>
      <c r="F34" s="18"/>
      <c r="G34" s="18"/>
      <c r="H34" s="17"/>
      <c r="I34" s="18"/>
      <c r="J34" s="18"/>
      <c r="K34" s="18"/>
      <c r="L34" s="18"/>
      <c r="M34" s="18"/>
      <c r="N34" s="18"/>
      <c r="O34" s="18"/>
      <c r="P34" s="33"/>
      <c r="Q34" s="18"/>
      <c r="R34" s="18"/>
      <c r="S34" s="18"/>
      <c r="T34" s="18"/>
      <c r="U34" s="18"/>
      <c r="V34" s="17"/>
      <c r="W34" s="18"/>
      <c r="X34" s="18"/>
      <c r="Y34" s="18"/>
      <c r="Z34" s="18"/>
      <c r="AA34" s="18"/>
      <c r="AB34" s="18"/>
      <c r="AC34" s="18"/>
      <c r="AD34" s="33"/>
      <c r="AE34" s="18"/>
      <c r="AF34" s="18"/>
      <c r="AG34" s="18"/>
      <c r="AH34" s="18"/>
      <c r="AI34" s="18"/>
      <c r="AJ34" s="17"/>
      <c r="AK34" s="33"/>
      <c r="AL34" s="18"/>
      <c r="AM34" s="18"/>
      <c r="AN34" s="18"/>
      <c r="AO34" s="18"/>
      <c r="AP34" s="18"/>
      <c r="AQ34" s="17"/>
      <c r="AR34" s="18"/>
      <c r="AS34" s="16" t="s">
        <v>288</v>
      </c>
      <c r="AT34" s="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33"/>
      <c r="BI34" s="18"/>
      <c r="BJ34" s="18"/>
      <c r="BK34" s="18"/>
      <c r="BL34" s="17"/>
      <c r="BM34" s="13"/>
      <c r="BO34" s="26"/>
      <c r="BS34" s="26"/>
      <c r="CD34" s="27"/>
    </row>
    <row r="35" spans="1:82" s="11" customFormat="1">
      <c r="A35" s="32"/>
      <c r="B35" s="33"/>
      <c r="C35" s="18"/>
      <c r="D35" s="18"/>
      <c r="E35" s="18"/>
      <c r="F35" s="18"/>
      <c r="G35" s="18"/>
      <c r="H35" s="17"/>
      <c r="I35" s="18"/>
      <c r="J35" s="18"/>
      <c r="K35" s="18"/>
      <c r="L35" s="18"/>
      <c r="M35" s="18"/>
      <c r="N35" s="18"/>
      <c r="O35" s="18"/>
      <c r="P35" s="33"/>
      <c r="Q35" s="18"/>
      <c r="R35" s="18"/>
      <c r="S35" s="18"/>
      <c r="T35" s="18"/>
      <c r="U35" s="18"/>
      <c r="V35" s="17"/>
      <c r="W35" s="18"/>
      <c r="X35" s="18"/>
      <c r="Y35" s="18"/>
      <c r="Z35" s="18"/>
      <c r="AA35" s="18"/>
      <c r="AB35" s="18"/>
      <c r="AC35" s="18"/>
      <c r="AD35" s="33"/>
      <c r="AE35" s="18"/>
      <c r="AF35" s="18"/>
      <c r="AG35" s="18"/>
      <c r="AH35" s="18"/>
      <c r="AI35" s="18"/>
      <c r="AJ35" s="17"/>
      <c r="AK35" s="33"/>
      <c r="AL35" s="18"/>
      <c r="AM35" s="18"/>
      <c r="AN35" s="18"/>
      <c r="AO35" s="18"/>
      <c r="AP35" s="18"/>
      <c r="AQ35" s="17"/>
      <c r="AR35" s="18"/>
      <c r="AS35" s="8"/>
      <c r="AT35" s="8" t="s">
        <v>286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33"/>
      <c r="BI35" s="18"/>
      <c r="BJ35" s="18"/>
      <c r="BK35" s="18"/>
      <c r="BL35" s="17"/>
      <c r="BM35" s="13"/>
      <c r="BO35" s="26"/>
      <c r="BS35" s="26"/>
      <c r="CD35" s="27"/>
    </row>
    <row r="36" spans="1:82" s="11" customFormat="1">
      <c r="A36" s="32"/>
      <c r="B36" s="33"/>
      <c r="C36" s="18"/>
      <c r="D36" s="18"/>
      <c r="E36" s="18"/>
      <c r="F36" s="18"/>
      <c r="G36" s="18"/>
      <c r="H36" s="17"/>
      <c r="I36" s="18"/>
      <c r="J36" s="18"/>
      <c r="K36" s="18"/>
      <c r="L36" s="18"/>
      <c r="M36" s="18"/>
      <c r="N36" s="18"/>
      <c r="O36" s="18"/>
      <c r="P36" s="33"/>
      <c r="Q36" s="18"/>
      <c r="R36" s="18"/>
      <c r="S36" s="18"/>
      <c r="T36" s="18"/>
      <c r="U36" s="18"/>
      <c r="V36" s="17"/>
      <c r="W36" s="18"/>
      <c r="X36" s="18"/>
      <c r="Y36" s="18"/>
      <c r="Z36" s="18"/>
      <c r="AA36" s="18"/>
      <c r="AB36" s="18"/>
      <c r="AC36" s="18"/>
      <c r="AD36" s="33"/>
      <c r="AE36" s="18"/>
      <c r="AF36" s="18"/>
      <c r="AG36" s="18"/>
      <c r="AH36" s="18"/>
      <c r="AI36" s="18"/>
      <c r="AJ36" s="17"/>
      <c r="AK36" s="33"/>
      <c r="AL36" s="18"/>
      <c r="AM36" s="18"/>
      <c r="AN36" s="18"/>
      <c r="AO36" s="18"/>
      <c r="AP36" s="18"/>
      <c r="AQ36" s="17"/>
      <c r="AR36" s="18"/>
      <c r="AS36" s="8"/>
      <c r="AT36" s="8" t="s">
        <v>289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33"/>
      <c r="BI36" s="18"/>
      <c r="BJ36" s="18"/>
      <c r="BK36" s="18"/>
      <c r="BL36" s="17"/>
      <c r="BM36" s="13"/>
      <c r="BO36" s="26"/>
      <c r="BS36" s="26"/>
      <c r="CD36" s="27"/>
    </row>
    <row r="37" spans="1:82" s="11" customFormat="1">
      <c r="A37" s="32"/>
      <c r="B37" s="33"/>
      <c r="C37" s="18"/>
      <c r="D37" s="18"/>
      <c r="E37" s="18"/>
      <c r="F37" s="18"/>
      <c r="G37" s="18"/>
      <c r="H37" s="17"/>
      <c r="I37" s="18"/>
      <c r="J37" s="18"/>
      <c r="K37" s="18"/>
      <c r="L37" s="18"/>
      <c r="M37" s="18"/>
      <c r="N37" s="18"/>
      <c r="O37" s="18"/>
      <c r="P37" s="33"/>
      <c r="Q37" s="18"/>
      <c r="R37" s="18"/>
      <c r="S37" s="18"/>
      <c r="T37" s="18"/>
      <c r="U37" s="18"/>
      <c r="V37" s="17"/>
      <c r="W37" s="18"/>
      <c r="X37" s="18"/>
      <c r="Y37" s="18"/>
      <c r="Z37" s="18"/>
      <c r="AA37" s="18"/>
      <c r="AB37" s="18"/>
      <c r="AC37" s="18"/>
      <c r="AD37" s="33"/>
      <c r="AE37" s="18"/>
      <c r="AF37" s="18"/>
      <c r="AG37" s="18"/>
      <c r="AH37" s="18"/>
      <c r="AI37" s="18"/>
      <c r="AJ37" s="17"/>
      <c r="AK37" s="33"/>
      <c r="AL37" s="18"/>
      <c r="AM37" s="18"/>
      <c r="AN37" s="18"/>
      <c r="AO37" s="18"/>
      <c r="AP37" s="18"/>
      <c r="AQ37" s="17"/>
      <c r="AR37" s="18"/>
      <c r="AS37" s="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33"/>
      <c r="BI37" s="18"/>
      <c r="BJ37" s="18"/>
      <c r="BK37" s="18"/>
      <c r="BL37" s="17"/>
      <c r="BM37" s="13"/>
      <c r="BO37" s="26"/>
      <c r="BS37" s="26"/>
      <c r="CD37" s="27"/>
    </row>
    <row r="38" spans="1:82" s="11" customFormat="1">
      <c r="A38" s="32"/>
      <c r="B38" s="33"/>
      <c r="C38" s="18"/>
      <c r="D38" s="18"/>
      <c r="E38" s="18"/>
      <c r="F38" s="18"/>
      <c r="G38" s="18"/>
      <c r="H38" s="17"/>
      <c r="I38" s="18"/>
      <c r="J38" s="18"/>
      <c r="K38" s="18"/>
      <c r="L38" s="18"/>
      <c r="M38" s="18"/>
      <c r="N38" s="18"/>
      <c r="O38" s="18"/>
      <c r="P38" s="33"/>
      <c r="Q38" s="18"/>
      <c r="R38" s="18"/>
      <c r="S38" s="18"/>
      <c r="T38" s="18"/>
      <c r="U38" s="18"/>
      <c r="V38" s="17"/>
      <c r="W38" s="18"/>
      <c r="X38" s="18"/>
      <c r="Y38" s="18"/>
      <c r="Z38" s="18"/>
      <c r="AA38" s="18"/>
      <c r="AB38" s="18"/>
      <c r="AC38" s="18"/>
      <c r="AD38" s="33"/>
      <c r="AE38" s="18"/>
      <c r="AF38" s="18"/>
      <c r="AG38" s="18"/>
      <c r="AH38" s="18"/>
      <c r="AI38" s="18"/>
      <c r="AJ38" s="17"/>
      <c r="AK38" s="33"/>
      <c r="AL38" s="18"/>
      <c r="AM38" s="18"/>
      <c r="AN38" s="18"/>
      <c r="AO38" s="18"/>
      <c r="AP38" s="18"/>
      <c r="AQ38" s="17"/>
      <c r="AR38" s="18"/>
      <c r="AS38" s="8"/>
      <c r="AT38" s="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46"/>
      <c r="BI38" s="18"/>
      <c r="BJ38" s="18"/>
      <c r="BK38" s="18"/>
      <c r="BL38" s="17"/>
      <c r="BM38" s="13"/>
      <c r="BO38" s="26"/>
      <c r="BS38" s="26"/>
      <c r="CD38" s="27"/>
    </row>
    <row r="39" spans="1:82" s="11" customFormat="1">
      <c r="A39" s="32"/>
      <c r="B39" s="33"/>
      <c r="C39" s="18"/>
      <c r="D39" s="18"/>
      <c r="E39" s="18"/>
      <c r="F39" s="18"/>
      <c r="G39" s="18"/>
      <c r="H39" s="17"/>
      <c r="I39" s="18"/>
      <c r="J39" s="18"/>
      <c r="K39" s="18"/>
      <c r="L39" s="18"/>
      <c r="M39" s="18"/>
      <c r="N39" s="18"/>
      <c r="O39" s="18"/>
      <c r="P39" s="33"/>
      <c r="Q39" s="18"/>
      <c r="R39" s="18"/>
      <c r="S39" s="18"/>
      <c r="T39" s="18"/>
      <c r="U39" s="18"/>
      <c r="V39" s="17"/>
      <c r="W39" s="18"/>
      <c r="X39" s="18"/>
      <c r="Y39" s="18"/>
      <c r="Z39" s="18"/>
      <c r="AA39" s="18"/>
      <c r="AB39" s="18"/>
      <c r="AC39" s="18"/>
      <c r="AD39" s="33"/>
      <c r="AE39" s="18"/>
      <c r="AF39" s="18"/>
      <c r="AG39" s="18"/>
      <c r="AH39" s="18"/>
      <c r="AI39" s="18"/>
      <c r="AJ39" s="17"/>
      <c r="AK39" s="33"/>
      <c r="AL39" s="18"/>
      <c r="AM39" s="18"/>
      <c r="AN39" s="18"/>
      <c r="AO39" s="18"/>
      <c r="AP39" s="18"/>
      <c r="AQ39" s="17"/>
      <c r="AR39" s="18"/>
      <c r="AS39" s="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33"/>
      <c r="BI39" s="18"/>
      <c r="BJ39" s="18"/>
      <c r="BK39" s="18"/>
      <c r="BL39" s="17"/>
      <c r="BM39" s="13"/>
      <c r="BO39" s="26"/>
      <c r="BS39" s="26"/>
      <c r="CD39" s="27"/>
    </row>
    <row r="40" spans="1:82" s="11" customFormat="1">
      <c r="A40" s="32"/>
      <c r="B40" s="33"/>
      <c r="C40" s="18"/>
      <c r="D40" s="18"/>
      <c r="E40" s="18"/>
      <c r="F40" s="18"/>
      <c r="G40" s="18"/>
      <c r="H40" s="17"/>
      <c r="I40" s="18"/>
      <c r="J40" s="18"/>
      <c r="K40" s="18"/>
      <c r="L40" s="18"/>
      <c r="M40" s="18"/>
      <c r="N40" s="18"/>
      <c r="O40" s="18"/>
      <c r="P40" s="33"/>
      <c r="Q40" s="18"/>
      <c r="R40" s="18"/>
      <c r="S40" s="18"/>
      <c r="T40" s="18"/>
      <c r="U40" s="18"/>
      <c r="V40" s="17"/>
      <c r="W40" s="18"/>
      <c r="X40" s="18"/>
      <c r="Y40" s="18"/>
      <c r="Z40" s="18"/>
      <c r="AA40" s="18"/>
      <c r="AB40" s="18"/>
      <c r="AC40" s="18"/>
      <c r="AD40" s="33"/>
      <c r="AE40" s="18"/>
      <c r="AF40" s="18"/>
      <c r="AG40" s="18"/>
      <c r="AH40" s="18"/>
      <c r="AI40" s="18"/>
      <c r="AJ40" s="17"/>
      <c r="AK40" s="33"/>
      <c r="AL40" s="18"/>
      <c r="AM40" s="18"/>
      <c r="AN40" s="18"/>
      <c r="AO40" s="18"/>
      <c r="AP40" s="18"/>
      <c r="AQ40" s="17"/>
      <c r="AR40" s="18"/>
      <c r="AS40" s="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33"/>
      <c r="BI40" s="18"/>
      <c r="BJ40" s="18"/>
      <c r="BK40" s="18"/>
      <c r="BL40" s="17"/>
      <c r="BM40" s="13"/>
      <c r="BO40" s="26"/>
      <c r="BS40" s="26"/>
      <c r="CD40" s="27"/>
    </row>
    <row r="41" spans="1:82" s="11" customFormat="1">
      <c r="A41" s="32"/>
      <c r="B41" s="33"/>
      <c r="C41" s="18"/>
      <c r="D41" s="18"/>
      <c r="E41" s="18"/>
      <c r="F41" s="18"/>
      <c r="G41" s="18"/>
      <c r="H41" s="17"/>
      <c r="I41" s="18"/>
      <c r="J41" s="18"/>
      <c r="K41" s="18"/>
      <c r="L41" s="18"/>
      <c r="M41" s="18"/>
      <c r="N41" s="18"/>
      <c r="O41" s="18"/>
      <c r="P41" s="33"/>
      <c r="Q41" s="18"/>
      <c r="R41" s="18"/>
      <c r="S41" s="18"/>
      <c r="T41" s="18"/>
      <c r="U41" s="18"/>
      <c r="V41" s="17"/>
      <c r="W41" s="18"/>
      <c r="X41" s="18"/>
      <c r="Y41" s="18"/>
      <c r="Z41" s="18"/>
      <c r="AA41" s="18"/>
      <c r="AB41" s="18"/>
      <c r="AC41" s="18"/>
      <c r="AD41" s="33"/>
      <c r="AE41" s="18"/>
      <c r="AF41" s="18"/>
      <c r="AG41" s="18"/>
      <c r="AH41" s="18"/>
      <c r="AI41" s="18"/>
      <c r="AJ41" s="17"/>
      <c r="AK41" s="33"/>
      <c r="AL41" s="18"/>
      <c r="AM41" s="18"/>
      <c r="AN41" s="18"/>
      <c r="AO41" s="18"/>
      <c r="AP41" s="18"/>
      <c r="AQ41" s="17"/>
      <c r="AR41" s="18"/>
      <c r="AS41" s="16" t="s">
        <v>290</v>
      </c>
      <c r="AT41" s="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33"/>
      <c r="BI41" s="18"/>
      <c r="BJ41" s="18"/>
      <c r="BK41" s="18"/>
      <c r="BL41" s="17"/>
      <c r="BM41" s="13"/>
      <c r="BO41" s="26"/>
      <c r="BS41" s="26"/>
      <c r="CD41" s="27"/>
    </row>
    <row r="42" spans="1:82" s="11" customFormat="1">
      <c r="A42" s="32"/>
      <c r="B42" s="33"/>
      <c r="C42" s="18"/>
      <c r="D42" s="18"/>
      <c r="E42" s="18"/>
      <c r="F42" s="18"/>
      <c r="G42" s="18"/>
      <c r="H42" s="17"/>
      <c r="I42" s="18"/>
      <c r="J42" s="18"/>
      <c r="K42" s="18"/>
      <c r="L42" s="18"/>
      <c r="M42" s="18"/>
      <c r="N42" s="18"/>
      <c r="O42" s="18"/>
      <c r="P42" s="33"/>
      <c r="Q42" s="18"/>
      <c r="R42" s="18"/>
      <c r="S42" s="18"/>
      <c r="T42" s="18"/>
      <c r="U42" s="18"/>
      <c r="V42" s="17"/>
      <c r="W42" s="18"/>
      <c r="X42" s="18"/>
      <c r="Y42" s="18"/>
      <c r="Z42" s="18"/>
      <c r="AA42" s="18"/>
      <c r="AB42" s="18"/>
      <c r="AC42" s="18"/>
      <c r="AD42" s="33"/>
      <c r="AE42" s="18"/>
      <c r="AF42" s="18"/>
      <c r="AG42" s="18"/>
      <c r="AH42" s="18"/>
      <c r="AI42" s="18"/>
      <c r="AJ42" s="17"/>
      <c r="AK42" s="33"/>
      <c r="AL42" s="18"/>
      <c r="AM42" s="18"/>
      <c r="AN42" s="18"/>
      <c r="AO42" s="18"/>
      <c r="AP42" s="18"/>
      <c r="AQ42" s="17"/>
      <c r="AR42" s="18"/>
      <c r="AS42" s="8"/>
      <c r="AT42" s="8" t="s">
        <v>291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33"/>
      <c r="BI42" s="18"/>
      <c r="BJ42" s="18"/>
      <c r="BK42" s="18"/>
      <c r="BL42" s="17"/>
      <c r="BM42" s="13"/>
      <c r="BO42" s="26"/>
      <c r="BS42" s="26"/>
      <c r="CD42" s="27"/>
    </row>
    <row r="43" spans="1:82" s="11" customFormat="1">
      <c r="A43" s="32"/>
      <c r="B43" s="33"/>
      <c r="C43" s="18"/>
      <c r="D43" s="18"/>
      <c r="E43" s="18"/>
      <c r="F43" s="18"/>
      <c r="G43" s="18"/>
      <c r="H43" s="17"/>
      <c r="I43" s="18"/>
      <c r="J43" s="18"/>
      <c r="K43" s="18"/>
      <c r="L43" s="18"/>
      <c r="M43" s="18"/>
      <c r="N43" s="18"/>
      <c r="O43" s="18"/>
      <c r="P43" s="33"/>
      <c r="Q43" s="18"/>
      <c r="R43" s="18"/>
      <c r="S43" s="18"/>
      <c r="T43" s="18"/>
      <c r="U43" s="18"/>
      <c r="V43" s="17"/>
      <c r="W43" s="18"/>
      <c r="X43" s="18"/>
      <c r="Y43" s="18"/>
      <c r="Z43" s="18"/>
      <c r="AA43" s="18"/>
      <c r="AB43" s="18"/>
      <c r="AC43" s="18"/>
      <c r="AD43" s="33"/>
      <c r="AE43" s="18"/>
      <c r="AF43" s="18"/>
      <c r="AG43" s="18"/>
      <c r="AH43" s="18"/>
      <c r="AI43" s="18"/>
      <c r="AJ43" s="17"/>
      <c r="AK43" s="33"/>
      <c r="AL43" s="18"/>
      <c r="AM43" s="18"/>
      <c r="AN43" s="18"/>
      <c r="AO43" s="18"/>
      <c r="AP43" s="18"/>
      <c r="AQ43" s="17"/>
      <c r="AR43" s="18"/>
      <c r="AS43" s="8"/>
      <c r="AT43" s="8" t="s">
        <v>292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33"/>
      <c r="BI43" s="18"/>
      <c r="BJ43" s="18"/>
      <c r="BK43" s="18"/>
      <c r="BL43" s="17"/>
      <c r="BM43" s="13"/>
      <c r="BO43" s="26"/>
      <c r="BS43" s="26"/>
      <c r="CD43" s="27"/>
    </row>
    <row r="44" spans="1:82" s="11" customFormat="1">
      <c r="A44" s="32"/>
      <c r="B44" s="33"/>
      <c r="C44" s="18"/>
      <c r="D44" s="18"/>
      <c r="E44" s="18"/>
      <c r="F44" s="18"/>
      <c r="G44" s="18"/>
      <c r="H44" s="17"/>
      <c r="I44" s="18"/>
      <c r="J44" s="18"/>
      <c r="K44" s="18"/>
      <c r="L44" s="18"/>
      <c r="M44" s="18"/>
      <c r="N44" s="18"/>
      <c r="O44" s="18"/>
      <c r="P44" s="33"/>
      <c r="Q44" s="18"/>
      <c r="R44" s="18"/>
      <c r="S44" s="18"/>
      <c r="T44" s="18"/>
      <c r="U44" s="18"/>
      <c r="V44" s="17"/>
      <c r="W44" s="18"/>
      <c r="X44" s="18"/>
      <c r="Y44" s="18"/>
      <c r="Z44" s="18"/>
      <c r="AA44" s="18"/>
      <c r="AB44" s="18"/>
      <c r="AC44" s="18"/>
      <c r="AD44" s="33"/>
      <c r="AE44" s="18"/>
      <c r="AF44" s="18"/>
      <c r="AG44" s="18"/>
      <c r="AH44" s="18"/>
      <c r="AI44" s="18"/>
      <c r="AJ44" s="17"/>
      <c r="AK44" s="33"/>
      <c r="AL44" s="18"/>
      <c r="AM44" s="18"/>
      <c r="AN44" s="18"/>
      <c r="AO44" s="18"/>
      <c r="AP44" s="18"/>
      <c r="AQ44" s="17"/>
      <c r="AR44" s="18"/>
      <c r="AS44" s="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33"/>
      <c r="BI44" s="18"/>
      <c r="BJ44" s="18"/>
      <c r="BK44" s="18"/>
      <c r="BL44" s="17"/>
      <c r="BM44" s="13"/>
      <c r="BO44" s="26"/>
      <c r="BS44" s="26"/>
      <c r="CD44" s="27"/>
    </row>
    <row r="45" spans="1:82" s="11" customFormat="1">
      <c r="A45" s="32"/>
      <c r="B45" s="33"/>
      <c r="C45" s="18"/>
      <c r="D45" s="18"/>
      <c r="E45" s="18"/>
      <c r="F45" s="18"/>
      <c r="G45" s="18"/>
      <c r="H45" s="17"/>
      <c r="I45" s="18"/>
      <c r="J45" s="18"/>
      <c r="K45" s="18"/>
      <c r="L45" s="18"/>
      <c r="M45" s="18"/>
      <c r="N45" s="18"/>
      <c r="O45" s="18"/>
      <c r="P45" s="33"/>
      <c r="Q45" s="18"/>
      <c r="R45" s="18"/>
      <c r="S45" s="18"/>
      <c r="T45" s="18"/>
      <c r="U45" s="18"/>
      <c r="V45" s="17"/>
      <c r="W45" s="18"/>
      <c r="X45" s="18"/>
      <c r="Y45" s="18"/>
      <c r="Z45" s="18"/>
      <c r="AA45" s="18"/>
      <c r="AB45" s="18"/>
      <c r="AC45" s="18"/>
      <c r="AD45" s="33"/>
      <c r="AE45" s="18"/>
      <c r="AF45" s="18"/>
      <c r="AG45" s="18"/>
      <c r="AH45" s="18"/>
      <c r="AI45" s="18"/>
      <c r="AJ45" s="17"/>
      <c r="AK45" s="33"/>
      <c r="AL45" s="18"/>
      <c r="AM45" s="18"/>
      <c r="AN45" s="18"/>
      <c r="AO45" s="18"/>
      <c r="AP45" s="18"/>
      <c r="AQ45" s="17"/>
      <c r="AR45" s="18"/>
      <c r="AS45" s="8" t="s">
        <v>162</v>
      </c>
      <c r="AT45" s="8" t="s">
        <v>293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46"/>
      <c r="BI45" s="18"/>
      <c r="BJ45" s="18"/>
      <c r="BK45" s="18"/>
      <c r="BL45" s="17"/>
      <c r="BM45" s="13"/>
      <c r="BO45" s="26"/>
      <c r="BS45" s="26"/>
      <c r="CD45" s="27"/>
    </row>
    <row r="46" spans="1:82" s="11" customFormat="1">
      <c r="A46" s="32"/>
      <c r="B46" s="33"/>
      <c r="C46" s="18"/>
      <c r="D46" s="18"/>
      <c r="E46" s="18"/>
      <c r="F46" s="18"/>
      <c r="G46" s="18"/>
      <c r="H46" s="17"/>
      <c r="I46" s="18"/>
      <c r="J46" s="18"/>
      <c r="K46" s="18"/>
      <c r="L46" s="18"/>
      <c r="M46" s="18"/>
      <c r="N46" s="18"/>
      <c r="O46" s="18"/>
      <c r="P46" s="33"/>
      <c r="Q46" s="18"/>
      <c r="R46" s="18"/>
      <c r="S46" s="18"/>
      <c r="T46" s="18"/>
      <c r="U46" s="18"/>
      <c r="V46" s="17"/>
      <c r="W46" s="18"/>
      <c r="X46" s="18"/>
      <c r="Y46" s="18"/>
      <c r="Z46" s="18"/>
      <c r="AA46" s="18"/>
      <c r="AB46" s="18"/>
      <c r="AC46" s="18"/>
      <c r="AD46" s="33"/>
      <c r="AE46" s="18"/>
      <c r="AF46" s="18"/>
      <c r="AG46" s="18"/>
      <c r="AH46" s="18"/>
      <c r="AI46" s="18"/>
      <c r="AJ46" s="17"/>
      <c r="AK46" s="33"/>
      <c r="AL46" s="18"/>
      <c r="AM46" s="18"/>
      <c r="AN46" s="18"/>
      <c r="AO46" s="18"/>
      <c r="AP46" s="18"/>
      <c r="AQ46" s="17"/>
      <c r="AR46" s="18"/>
      <c r="AS46" s="8"/>
      <c r="AT46" s="8" t="s">
        <v>294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33"/>
      <c r="BI46" s="18"/>
      <c r="BJ46" s="18"/>
      <c r="BK46" s="18"/>
      <c r="BL46" s="17"/>
      <c r="BM46" s="13"/>
      <c r="BO46" s="26"/>
      <c r="BS46" s="26"/>
      <c r="CD46" s="27"/>
    </row>
    <row r="47" spans="1:82" s="11" customFormat="1">
      <c r="A47" s="32"/>
      <c r="B47" s="33"/>
      <c r="C47" s="18"/>
      <c r="D47" s="18"/>
      <c r="E47" s="18"/>
      <c r="F47" s="18"/>
      <c r="G47" s="18"/>
      <c r="H47" s="17"/>
      <c r="I47" s="18"/>
      <c r="J47" s="18"/>
      <c r="K47" s="18"/>
      <c r="L47" s="18"/>
      <c r="M47" s="18"/>
      <c r="N47" s="18"/>
      <c r="O47" s="18"/>
      <c r="P47" s="33"/>
      <c r="Q47" s="18"/>
      <c r="R47" s="18"/>
      <c r="S47" s="18"/>
      <c r="T47" s="18"/>
      <c r="U47" s="18"/>
      <c r="V47" s="17"/>
      <c r="W47" s="18"/>
      <c r="X47" s="18"/>
      <c r="Y47" s="18"/>
      <c r="Z47" s="18"/>
      <c r="AA47" s="18"/>
      <c r="AB47" s="18"/>
      <c r="AC47" s="18"/>
      <c r="AD47" s="33"/>
      <c r="AE47" s="18"/>
      <c r="AF47" s="18"/>
      <c r="AG47" s="18"/>
      <c r="AH47" s="18"/>
      <c r="AI47" s="18"/>
      <c r="AJ47" s="17"/>
      <c r="AK47" s="33"/>
      <c r="AL47" s="18"/>
      <c r="AM47" s="18"/>
      <c r="AN47" s="18"/>
      <c r="AO47" s="18"/>
      <c r="AP47" s="18"/>
      <c r="AQ47" s="17"/>
      <c r="AR47" s="18"/>
      <c r="AS47" s="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33"/>
      <c r="BI47" s="18"/>
      <c r="BJ47" s="18"/>
      <c r="BK47" s="18"/>
      <c r="BL47" s="17"/>
      <c r="BM47" s="13"/>
      <c r="BO47" s="26"/>
      <c r="BS47" s="26"/>
      <c r="CD47" s="27"/>
    </row>
    <row r="48" spans="1:82" s="11" customFormat="1">
      <c r="A48" s="32"/>
      <c r="B48" s="33"/>
      <c r="C48" s="18"/>
      <c r="D48" s="18"/>
      <c r="E48" s="18"/>
      <c r="F48" s="18"/>
      <c r="G48" s="18"/>
      <c r="H48" s="17"/>
      <c r="I48" s="18"/>
      <c r="J48" s="18"/>
      <c r="K48" s="18"/>
      <c r="L48" s="18"/>
      <c r="M48" s="18"/>
      <c r="N48" s="18"/>
      <c r="O48" s="18"/>
      <c r="P48" s="33"/>
      <c r="Q48" s="18"/>
      <c r="R48" s="18"/>
      <c r="S48" s="18"/>
      <c r="T48" s="18"/>
      <c r="U48" s="18"/>
      <c r="V48" s="17"/>
      <c r="W48" s="18"/>
      <c r="X48" s="18"/>
      <c r="Y48" s="18"/>
      <c r="Z48" s="18"/>
      <c r="AA48" s="18"/>
      <c r="AB48" s="18"/>
      <c r="AC48" s="18"/>
      <c r="AD48" s="33"/>
      <c r="AE48" s="18"/>
      <c r="AF48" s="18"/>
      <c r="AG48" s="18"/>
      <c r="AH48" s="18"/>
      <c r="AI48" s="18"/>
      <c r="AJ48" s="17"/>
      <c r="AK48" s="33"/>
      <c r="AL48" s="18"/>
      <c r="AM48" s="18"/>
      <c r="AN48" s="18"/>
      <c r="AO48" s="18"/>
      <c r="AP48" s="18"/>
      <c r="AQ48" s="17"/>
      <c r="AR48" s="18"/>
      <c r="AS48" s="16" t="s">
        <v>295</v>
      </c>
      <c r="AT48" s="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33"/>
      <c r="BI48" s="18"/>
      <c r="BJ48" s="18"/>
      <c r="BK48" s="18"/>
      <c r="BL48" s="17"/>
      <c r="BM48" s="13"/>
      <c r="BO48" s="26"/>
      <c r="BS48" s="26"/>
      <c r="CD48" s="27"/>
    </row>
    <row r="49" spans="1:82" s="11" customFormat="1">
      <c r="A49" s="32"/>
      <c r="B49" s="33"/>
      <c r="C49" s="18"/>
      <c r="D49" s="18"/>
      <c r="E49" s="18"/>
      <c r="F49" s="18"/>
      <c r="G49" s="18"/>
      <c r="H49" s="17"/>
      <c r="I49" s="18"/>
      <c r="J49" s="18"/>
      <c r="K49" s="18"/>
      <c r="L49" s="18"/>
      <c r="M49" s="18"/>
      <c r="N49" s="18"/>
      <c r="O49" s="18"/>
      <c r="P49" s="33"/>
      <c r="Q49" s="18"/>
      <c r="R49" s="18"/>
      <c r="S49" s="18"/>
      <c r="T49" s="18"/>
      <c r="U49" s="18"/>
      <c r="V49" s="17"/>
      <c r="W49" s="18"/>
      <c r="X49" s="18"/>
      <c r="Y49" s="18"/>
      <c r="Z49" s="18"/>
      <c r="AA49" s="18"/>
      <c r="AB49" s="18"/>
      <c r="AC49" s="18"/>
      <c r="AD49" s="33"/>
      <c r="AE49" s="18"/>
      <c r="AF49" s="18"/>
      <c r="AG49" s="18"/>
      <c r="AH49" s="18"/>
      <c r="AI49" s="18"/>
      <c r="AJ49" s="17"/>
      <c r="AK49" s="33"/>
      <c r="AL49" s="18"/>
      <c r="AM49" s="18"/>
      <c r="AN49" s="18"/>
      <c r="AO49" s="18"/>
      <c r="AP49" s="18"/>
      <c r="AQ49" s="17"/>
      <c r="AR49" s="18"/>
      <c r="AS49" s="8"/>
      <c r="AT49" s="8" t="s">
        <v>296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49" t="s">
        <v>297</v>
      </c>
      <c r="BI49" s="48"/>
      <c r="BJ49" s="48"/>
      <c r="BK49" s="48"/>
      <c r="BL49" s="17"/>
      <c r="BM49" s="13"/>
      <c r="BO49" s="26"/>
      <c r="BS49" s="26"/>
      <c r="CD49" s="27"/>
    </row>
    <row r="50" spans="1:82" s="11" customFormat="1">
      <c r="A50" s="32"/>
      <c r="B50" s="33"/>
      <c r="C50" s="18"/>
      <c r="D50" s="18"/>
      <c r="E50" s="18"/>
      <c r="F50" s="18"/>
      <c r="G50" s="18"/>
      <c r="H50" s="17"/>
      <c r="I50" s="18"/>
      <c r="J50" s="18"/>
      <c r="K50" s="18"/>
      <c r="L50" s="18"/>
      <c r="M50" s="18"/>
      <c r="N50" s="18"/>
      <c r="O50" s="18"/>
      <c r="P50" s="33"/>
      <c r="Q50" s="18"/>
      <c r="R50" s="18"/>
      <c r="S50" s="18"/>
      <c r="T50" s="18"/>
      <c r="U50" s="18"/>
      <c r="V50" s="17"/>
      <c r="W50" s="18"/>
      <c r="X50" s="18"/>
      <c r="Y50" s="18"/>
      <c r="Z50" s="18"/>
      <c r="AA50" s="18"/>
      <c r="AB50" s="18"/>
      <c r="AC50" s="18"/>
      <c r="AD50" s="33"/>
      <c r="AE50" s="18"/>
      <c r="AF50" s="18"/>
      <c r="AG50" s="18"/>
      <c r="AH50" s="18"/>
      <c r="AI50" s="18"/>
      <c r="AJ50" s="17"/>
      <c r="AK50" s="33"/>
      <c r="AL50" s="18"/>
      <c r="AM50" s="18"/>
      <c r="AN50" s="18"/>
      <c r="AO50" s="18"/>
      <c r="AP50" s="18"/>
      <c r="AQ50" s="17"/>
      <c r="AR50" s="18"/>
      <c r="AS50" s="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51" t="s">
        <v>298</v>
      </c>
      <c r="BI50" s="48"/>
      <c r="BJ50" s="48"/>
      <c r="BK50" s="48"/>
      <c r="BL50" s="17"/>
      <c r="BM50" s="13"/>
      <c r="BO50" s="26"/>
      <c r="BS50" s="26"/>
      <c r="CD50" s="27"/>
    </row>
    <row r="51" spans="1:82" s="11" customFormat="1">
      <c r="A51" s="32"/>
      <c r="B51" s="33"/>
      <c r="C51" s="18"/>
      <c r="D51" s="18"/>
      <c r="E51" s="18"/>
      <c r="F51" s="18"/>
      <c r="G51" s="18"/>
      <c r="H51" s="17"/>
      <c r="I51" s="18"/>
      <c r="J51" s="18"/>
      <c r="K51" s="18"/>
      <c r="L51" s="18"/>
      <c r="M51" s="18"/>
      <c r="N51" s="18"/>
      <c r="O51" s="18"/>
      <c r="P51" s="33"/>
      <c r="Q51" s="18"/>
      <c r="R51" s="18"/>
      <c r="S51" s="18"/>
      <c r="T51" s="18"/>
      <c r="U51" s="18"/>
      <c r="V51" s="17"/>
      <c r="W51" s="18"/>
      <c r="X51" s="18"/>
      <c r="Y51" s="18"/>
      <c r="Z51" s="18"/>
      <c r="AA51" s="18"/>
      <c r="AB51" s="18"/>
      <c r="AC51" s="18"/>
      <c r="AD51" s="33"/>
      <c r="AE51" s="18"/>
      <c r="AF51" s="18"/>
      <c r="AG51" s="18"/>
      <c r="AH51" s="18"/>
      <c r="AI51" s="18"/>
      <c r="AJ51" s="17"/>
      <c r="AK51" s="33"/>
      <c r="AL51" s="18"/>
      <c r="AM51" s="18"/>
      <c r="AN51" s="18"/>
      <c r="AO51" s="18"/>
      <c r="AP51" s="18"/>
      <c r="AQ51" s="17"/>
      <c r="AR51" s="18"/>
      <c r="AS51" s="8" t="s">
        <v>162</v>
      </c>
      <c r="AT51" s="8" t="s">
        <v>293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51" t="s">
        <v>299</v>
      </c>
      <c r="BI51" s="48"/>
      <c r="BJ51" s="48"/>
      <c r="BK51" s="48"/>
      <c r="BL51" s="17"/>
      <c r="BM51" s="13"/>
      <c r="BO51" s="26"/>
      <c r="BS51" s="26"/>
      <c r="CD51" s="27"/>
    </row>
    <row r="52" spans="1:82" s="11" customFormat="1">
      <c r="A52" s="32"/>
      <c r="B52" s="33"/>
      <c r="C52" s="18"/>
      <c r="D52" s="18"/>
      <c r="E52" s="18"/>
      <c r="F52" s="18"/>
      <c r="G52" s="18"/>
      <c r="H52" s="17"/>
      <c r="I52" s="18"/>
      <c r="J52" s="18"/>
      <c r="K52" s="18"/>
      <c r="L52" s="18"/>
      <c r="M52" s="18"/>
      <c r="N52" s="18"/>
      <c r="O52" s="18"/>
      <c r="P52" s="33"/>
      <c r="Q52" s="18"/>
      <c r="R52" s="18"/>
      <c r="S52" s="18"/>
      <c r="T52" s="18"/>
      <c r="U52" s="18"/>
      <c r="V52" s="17"/>
      <c r="W52" s="18"/>
      <c r="X52" s="18"/>
      <c r="Y52" s="18"/>
      <c r="Z52" s="18"/>
      <c r="AA52" s="18"/>
      <c r="AB52" s="18"/>
      <c r="AC52" s="18"/>
      <c r="AD52" s="33"/>
      <c r="AE52" s="18"/>
      <c r="AF52" s="18"/>
      <c r="AG52" s="18"/>
      <c r="AH52" s="18"/>
      <c r="AI52" s="18"/>
      <c r="AJ52" s="17"/>
      <c r="AK52" s="33"/>
      <c r="AL52" s="18"/>
      <c r="AM52" s="18"/>
      <c r="AN52" s="18"/>
      <c r="AO52" s="18"/>
      <c r="AP52" s="18"/>
      <c r="AQ52" s="17"/>
      <c r="AR52" s="18"/>
      <c r="AS52" s="8"/>
      <c r="AT52" s="8" t="s">
        <v>294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51" t="s">
        <v>300</v>
      </c>
      <c r="BI52" s="48"/>
      <c r="BJ52" s="48"/>
      <c r="BK52" s="48"/>
      <c r="BL52" s="17"/>
      <c r="BM52" s="13"/>
      <c r="BO52" s="26"/>
      <c r="BS52" s="26"/>
      <c r="CD52" s="27"/>
    </row>
    <row r="53" spans="1:82" s="11" customFormat="1">
      <c r="A53" s="32"/>
      <c r="B53" s="33"/>
      <c r="C53" s="18"/>
      <c r="D53" s="18"/>
      <c r="E53" s="18"/>
      <c r="F53" s="18"/>
      <c r="G53" s="18"/>
      <c r="H53" s="17"/>
      <c r="I53" s="18"/>
      <c r="J53" s="18"/>
      <c r="K53" s="18"/>
      <c r="L53" s="18"/>
      <c r="M53" s="18"/>
      <c r="N53" s="18"/>
      <c r="O53" s="18"/>
      <c r="P53" s="33"/>
      <c r="Q53" s="18"/>
      <c r="R53" s="18"/>
      <c r="S53" s="18"/>
      <c r="T53" s="18"/>
      <c r="U53" s="18"/>
      <c r="V53" s="17"/>
      <c r="W53" s="18"/>
      <c r="X53" s="18"/>
      <c r="Y53" s="18"/>
      <c r="Z53" s="18"/>
      <c r="AA53" s="18"/>
      <c r="AB53" s="18"/>
      <c r="AC53" s="18"/>
      <c r="AD53" s="33"/>
      <c r="AE53" s="18"/>
      <c r="AF53" s="18"/>
      <c r="AG53" s="18"/>
      <c r="AH53" s="18"/>
      <c r="AI53" s="18"/>
      <c r="AJ53" s="17"/>
      <c r="AK53" s="33"/>
      <c r="AL53" s="18"/>
      <c r="AM53" s="18"/>
      <c r="AN53" s="18"/>
      <c r="AO53" s="18"/>
      <c r="AP53" s="18"/>
      <c r="AQ53" s="17"/>
      <c r="AR53" s="18"/>
      <c r="AS53" s="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51" t="s">
        <v>301</v>
      </c>
      <c r="BI53" s="48"/>
      <c r="BJ53" s="48"/>
      <c r="BK53" s="48"/>
      <c r="BL53" s="17"/>
      <c r="BM53" s="13"/>
      <c r="BO53" s="26"/>
      <c r="BS53" s="26"/>
      <c r="CD53" s="27"/>
    </row>
    <row r="54" spans="1:82" s="11" customFormat="1">
      <c r="A54" s="32"/>
      <c r="B54" s="33"/>
      <c r="C54" s="18"/>
      <c r="D54" s="18"/>
      <c r="E54" s="18"/>
      <c r="F54" s="18"/>
      <c r="G54" s="18"/>
      <c r="H54" s="17"/>
      <c r="I54" s="18"/>
      <c r="J54" s="18"/>
      <c r="K54" s="18"/>
      <c r="L54" s="18"/>
      <c r="M54" s="18"/>
      <c r="N54" s="18"/>
      <c r="O54" s="18"/>
      <c r="P54" s="33"/>
      <c r="Q54" s="18"/>
      <c r="R54" s="18"/>
      <c r="S54" s="18"/>
      <c r="T54" s="18"/>
      <c r="U54" s="18"/>
      <c r="V54" s="17"/>
      <c r="W54" s="18"/>
      <c r="X54" s="18"/>
      <c r="Y54" s="18"/>
      <c r="Z54" s="18"/>
      <c r="AA54" s="18"/>
      <c r="AB54" s="18"/>
      <c r="AC54" s="18"/>
      <c r="AD54" s="33"/>
      <c r="AE54" s="18"/>
      <c r="AF54" s="18"/>
      <c r="AG54" s="18"/>
      <c r="AH54" s="18"/>
      <c r="AI54" s="18"/>
      <c r="AJ54" s="17"/>
      <c r="AK54" s="33"/>
      <c r="AL54" s="18"/>
      <c r="AM54" s="18"/>
      <c r="AN54" s="18"/>
      <c r="AO54" s="18"/>
      <c r="AP54" s="18"/>
      <c r="AQ54" s="17"/>
      <c r="AR54" s="18"/>
      <c r="AS54" s="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51" t="s">
        <v>302</v>
      </c>
      <c r="BI54" s="48"/>
      <c r="BJ54" s="48"/>
      <c r="BK54" s="48"/>
      <c r="BL54" s="17"/>
      <c r="BM54" s="13"/>
      <c r="BO54" s="26"/>
      <c r="BS54" s="26"/>
      <c r="CD54" s="27"/>
    </row>
    <row r="55" spans="1:82" s="11" customFormat="1">
      <c r="A55" s="32"/>
      <c r="B55" s="33"/>
      <c r="C55" s="18"/>
      <c r="D55" s="18"/>
      <c r="E55" s="18"/>
      <c r="F55" s="18"/>
      <c r="G55" s="18"/>
      <c r="H55" s="17"/>
      <c r="I55" s="18"/>
      <c r="J55" s="18"/>
      <c r="K55" s="18"/>
      <c r="L55" s="18"/>
      <c r="M55" s="18"/>
      <c r="N55" s="18"/>
      <c r="O55" s="18"/>
      <c r="P55" s="33"/>
      <c r="Q55" s="18"/>
      <c r="R55" s="18"/>
      <c r="S55" s="18"/>
      <c r="T55" s="18"/>
      <c r="U55" s="18"/>
      <c r="V55" s="17"/>
      <c r="W55" s="18"/>
      <c r="X55" s="18"/>
      <c r="Y55" s="18"/>
      <c r="Z55" s="18"/>
      <c r="AA55" s="18"/>
      <c r="AB55" s="18"/>
      <c r="AC55" s="18"/>
      <c r="AD55" s="33"/>
      <c r="AE55" s="18"/>
      <c r="AF55" s="18"/>
      <c r="AG55" s="18"/>
      <c r="AH55" s="18"/>
      <c r="AI55" s="18"/>
      <c r="AJ55" s="17"/>
      <c r="AK55" s="33"/>
      <c r="AL55" s="18"/>
      <c r="AM55" s="18"/>
      <c r="AN55" s="18"/>
      <c r="AO55" s="18"/>
      <c r="AP55" s="18"/>
      <c r="AQ55" s="17"/>
      <c r="AR55" s="18"/>
      <c r="AS55" s="16" t="s">
        <v>303</v>
      </c>
      <c r="AT55" s="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33"/>
      <c r="BI55" s="18"/>
      <c r="BJ55" s="18"/>
      <c r="BK55" s="18"/>
      <c r="BL55" s="17"/>
      <c r="BM55" s="13"/>
      <c r="BO55" s="26"/>
      <c r="BS55" s="26"/>
      <c r="CD55" s="27"/>
    </row>
    <row r="56" spans="1:82" s="11" customFormat="1">
      <c r="A56" s="32"/>
      <c r="B56" s="33"/>
      <c r="C56" s="18"/>
      <c r="D56" s="18"/>
      <c r="E56" s="18"/>
      <c r="F56" s="18"/>
      <c r="G56" s="18"/>
      <c r="H56" s="17"/>
      <c r="I56" s="18"/>
      <c r="J56" s="18"/>
      <c r="K56" s="18"/>
      <c r="L56" s="18"/>
      <c r="M56" s="18"/>
      <c r="N56" s="18"/>
      <c r="O56" s="18"/>
      <c r="P56" s="33"/>
      <c r="Q56" s="18"/>
      <c r="R56" s="18"/>
      <c r="S56" s="18"/>
      <c r="T56" s="18"/>
      <c r="U56" s="18"/>
      <c r="V56" s="17"/>
      <c r="W56" s="18"/>
      <c r="X56" s="18"/>
      <c r="Y56" s="18"/>
      <c r="Z56" s="18"/>
      <c r="AA56" s="18"/>
      <c r="AB56" s="18"/>
      <c r="AC56" s="18"/>
      <c r="AD56" s="33"/>
      <c r="AE56" s="18"/>
      <c r="AF56" s="18"/>
      <c r="AG56" s="18"/>
      <c r="AH56" s="18"/>
      <c r="AI56" s="18"/>
      <c r="AJ56" s="17"/>
      <c r="AK56" s="33"/>
      <c r="AL56" s="18"/>
      <c r="AM56" s="18"/>
      <c r="AN56" s="18"/>
      <c r="AO56" s="18"/>
      <c r="AP56" s="18"/>
      <c r="AQ56" s="17"/>
      <c r="AR56" s="18"/>
      <c r="AS56" s="8"/>
      <c r="AT56" s="8" t="s">
        <v>304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33"/>
      <c r="BI56" s="18"/>
      <c r="BJ56" s="18"/>
      <c r="BK56" s="18"/>
      <c r="BL56" s="17"/>
      <c r="BM56" s="13"/>
      <c r="BO56" s="26"/>
      <c r="BS56" s="26"/>
      <c r="CD56" s="27"/>
    </row>
    <row r="57" spans="1:82" s="11" customFormat="1">
      <c r="A57" s="32"/>
      <c r="B57" s="33"/>
      <c r="C57" s="18"/>
      <c r="D57" s="18"/>
      <c r="E57" s="18"/>
      <c r="F57" s="18"/>
      <c r="G57" s="18"/>
      <c r="H57" s="17"/>
      <c r="I57" s="18"/>
      <c r="J57" s="18"/>
      <c r="K57" s="18"/>
      <c r="L57" s="18"/>
      <c r="M57" s="18"/>
      <c r="N57" s="18"/>
      <c r="O57" s="18"/>
      <c r="P57" s="33"/>
      <c r="Q57" s="18"/>
      <c r="R57" s="18"/>
      <c r="S57" s="18"/>
      <c r="T57" s="18"/>
      <c r="U57" s="18"/>
      <c r="V57" s="17"/>
      <c r="W57" s="18"/>
      <c r="X57" s="18"/>
      <c r="Y57" s="18"/>
      <c r="Z57" s="18"/>
      <c r="AA57" s="18"/>
      <c r="AB57" s="18"/>
      <c r="AC57" s="18"/>
      <c r="AD57" s="33"/>
      <c r="AE57" s="18"/>
      <c r="AF57" s="18"/>
      <c r="AG57" s="18"/>
      <c r="AH57" s="18"/>
      <c r="AI57" s="18"/>
      <c r="AJ57" s="17"/>
      <c r="AK57" s="33"/>
      <c r="AL57" s="18"/>
      <c r="AM57" s="18"/>
      <c r="AN57" s="18"/>
      <c r="AO57" s="18"/>
      <c r="AP57" s="18"/>
      <c r="AQ57" s="17"/>
      <c r="AR57" s="18"/>
      <c r="AS57" s="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33"/>
      <c r="BI57" s="18"/>
      <c r="BJ57" s="18"/>
      <c r="BK57" s="18"/>
      <c r="BL57" s="17"/>
      <c r="BM57" s="13"/>
      <c r="BO57" s="26"/>
      <c r="BS57" s="26"/>
      <c r="CD57" s="27"/>
    </row>
    <row r="58" spans="1:82" s="11" customFormat="1">
      <c r="A58" s="32"/>
      <c r="B58" s="33"/>
      <c r="C58" s="18"/>
      <c r="D58" s="18"/>
      <c r="E58" s="18"/>
      <c r="F58" s="18"/>
      <c r="G58" s="18"/>
      <c r="H58" s="17"/>
      <c r="I58" s="18"/>
      <c r="J58" s="18"/>
      <c r="K58" s="18"/>
      <c r="L58" s="18"/>
      <c r="M58" s="18"/>
      <c r="N58" s="18"/>
      <c r="O58" s="18"/>
      <c r="P58" s="33"/>
      <c r="Q58" s="18"/>
      <c r="R58" s="18"/>
      <c r="S58" s="18"/>
      <c r="T58" s="18"/>
      <c r="U58" s="18"/>
      <c r="V58" s="17"/>
      <c r="W58" s="18"/>
      <c r="X58" s="18"/>
      <c r="Y58" s="18"/>
      <c r="Z58" s="18"/>
      <c r="AA58" s="18"/>
      <c r="AB58" s="18"/>
      <c r="AC58" s="18"/>
      <c r="AD58" s="33"/>
      <c r="AE58" s="18"/>
      <c r="AF58" s="18"/>
      <c r="AG58" s="18"/>
      <c r="AH58" s="18"/>
      <c r="AI58" s="18"/>
      <c r="AJ58" s="17"/>
      <c r="AK58" s="33"/>
      <c r="AL58" s="18"/>
      <c r="AM58" s="18"/>
      <c r="AN58" s="18"/>
      <c r="AO58" s="18"/>
      <c r="AP58" s="18"/>
      <c r="AQ58" s="17"/>
      <c r="AR58" s="18"/>
      <c r="AS58" s="8"/>
      <c r="AT58" s="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46"/>
      <c r="BI58" s="18"/>
      <c r="BJ58" s="18"/>
      <c r="BK58" s="18"/>
      <c r="BL58" s="17"/>
      <c r="BM58" s="13"/>
      <c r="BO58" s="26"/>
      <c r="BS58" s="26"/>
      <c r="CD58" s="27"/>
    </row>
    <row r="59" spans="1:82" s="11" customFormat="1">
      <c r="A59" s="32"/>
      <c r="B59" s="33"/>
      <c r="C59" s="18"/>
      <c r="D59" s="18"/>
      <c r="E59" s="18"/>
      <c r="F59" s="18"/>
      <c r="G59" s="18"/>
      <c r="H59" s="17"/>
      <c r="I59" s="18"/>
      <c r="J59" s="18"/>
      <c r="K59" s="18"/>
      <c r="L59" s="18"/>
      <c r="M59" s="18"/>
      <c r="N59" s="18"/>
      <c r="O59" s="18"/>
      <c r="P59" s="33"/>
      <c r="Q59" s="18"/>
      <c r="R59" s="18"/>
      <c r="S59" s="18"/>
      <c r="T59" s="18"/>
      <c r="U59" s="18"/>
      <c r="V59" s="17"/>
      <c r="W59" s="18"/>
      <c r="X59" s="18"/>
      <c r="Y59" s="18"/>
      <c r="Z59" s="18"/>
      <c r="AA59" s="18"/>
      <c r="AB59" s="18"/>
      <c r="AC59" s="18"/>
      <c r="AD59" s="33"/>
      <c r="AE59" s="18"/>
      <c r="AF59" s="18"/>
      <c r="AG59" s="18"/>
      <c r="AH59" s="18"/>
      <c r="AI59" s="18"/>
      <c r="AJ59" s="17"/>
      <c r="AK59" s="33"/>
      <c r="AL59" s="18"/>
      <c r="AM59" s="18"/>
      <c r="AN59" s="18"/>
      <c r="AO59" s="18"/>
      <c r="AP59" s="18"/>
      <c r="AQ59" s="17"/>
      <c r="AR59" s="18"/>
      <c r="AS59" s="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33"/>
      <c r="BI59" s="18"/>
      <c r="BJ59" s="18"/>
      <c r="BK59" s="18"/>
      <c r="BL59" s="17"/>
      <c r="BM59" s="13"/>
      <c r="BO59" s="26"/>
      <c r="BS59" s="26"/>
      <c r="CD59" s="27"/>
    </row>
    <row r="60" spans="1:82" s="11" customFormat="1">
      <c r="A60" s="32"/>
      <c r="B60" s="33"/>
      <c r="C60" s="18"/>
      <c r="D60" s="18"/>
      <c r="E60" s="18"/>
      <c r="F60" s="18"/>
      <c r="G60" s="18"/>
      <c r="H60" s="17"/>
      <c r="I60" s="18"/>
      <c r="J60" s="18"/>
      <c r="K60" s="18"/>
      <c r="L60" s="18"/>
      <c r="M60" s="18"/>
      <c r="N60" s="18"/>
      <c r="O60" s="18"/>
      <c r="P60" s="33"/>
      <c r="Q60" s="18"/>
      <c r="R60" s="18"/>
      <c r="S60" s="18"/>
      <c r="T60" s="18"/>
      <c r="U60" s="18"/>
      <c r="V60" s="17"/>
      <c r="W60" s="18"/>
      <c r="X60" s="18"/>
      <c r="Y60" s="18"/>
      <c r="Z60" s="18"/>
      <c r="AA60" s="18"/>
      <c r="AB60" s="18"/>
      <c r="AC60" s="18"/>
      <c r="AD60" s="33"/>
      <c r="AE60" s="18"/>
      <c r="AF60" s="18"/>
      <c r="AG60" s="18"/>
      <c r="AH60" s="18"/>
      <c r="AI60" s="18"/>
      <c r="AJ60" s="17"/>
      <c r="AK60" s="33"/>
      <c r="AL60" s="18"/>
      <c r="AM60" s="18"/>
      <c r="AN60" s="18"/>
      <c r="AO60" s="18"/>
      <c r="AP60" s="18"/>
      <c r="AQ60" s="17"/>
      <c r="AR60" s="18"/>
      <c r="AS60" s="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33"/>
      <c r="BI60" s="18"/>
      <c r="BJ60" s="18"/>
      <c r="BK60" s="18"/>
      <c r="BL60" s="17"/>
      <c r="BM60" s="13"/>
      <c r="BO60" s="26"/>
      <c r="BS60" s="26"/>
      <c r="CD60" s="27"/>
    </row>
    <row r="61" spans="1:82" s="11" customFormat="1">
      <c r="A61" s="32"/>
      <c r="B61" s="33"/>
      <c r="C61" s="18"/>
      <c r="D61" s="18"/>
      <c r="E61" s="18"/>
      <c r="F61" s="18"/>
      <c r="G61" s="18"/>
      <c r="H61" s="17"/>
      <c r="I61" s="18"/>
      <c r="J61" s="18"/>
      <c r="K61" s="18"/>
      <c r="L61" s="18"/>
      <c r="M61" s="18"/>
      <c r="N61" s="18"/>
      <c r="O61" s="18"/>
      <c r="P61" s="33"/>
      <c r="Q61" s="18"/>
      <c r="R61" s="18"/>
      <c r="S61" s="18"/>
      <c r="T61" s="18"/>
      <c r="U61" s="18"/>
      <c r="V61" s="17"/>
      <c r="W61" s="18"/>
      <c r="X61" s="18"/>
      <c r="Y61" s="18"/>
      <c r="Z61" s="18"/>
      <c r="AA61" s="18"/>
      <c r="AB61" s="18"/>
      <c r="AC61" s="18"/>
      <c r="AD61" s="33"/>
      <c r="AE61" s="18"/>
      <c r="AF61" s="18"/>
      <c r="AG61" s="18"/>
      <c r="AH61" s="18"/>
      <c r="AI61" s="18"/>
      <c r="AJ61" s="17"/>
      <c r="AK61" s="33"/>
      <c r="AL61" s="18"/>
      <c r="AM61" s="18"/>
      <c r="AN61" s="18"/>
      <c r="AO61" s="18"/>
      <c r="AP61" s="18"/>
      <c r="AQ61" s="17"/>
      <c r="AR61" s="18"/>
      <c r="AS61" s="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33"/>
      <c r="BI61" s="18"/>
      <c r="BJ61" s="18"/>
      <c r="BK61" s="18"/>
      <c r="BL61" s="17"/>
      <c r="BM61" s="13"/>
      <c r="BO61" s="26"/>
      <c r="BS61" s="26"/>
      <c r="CD61" s="27"/>
    </row>
    <row r="62" spans="1:82" s="11" customFormat="1">
      <c r="A62" s="32"/>
      <c r="B62" s="33"/>
      <c r="C62" s="18"/>
      <c r="D62" s="18"/>
      <c r="E62" s="18"/>
      <c r="F62" s="18"/>
      <c r="G62" s="18"/>
      <c r="H62" s="17"/>
      <c r="I62" s="18"/>
      <c r="J62" s="18"/>
      <c r="K62" s="18"/>
      <c r="L62" s="18"/>
      <c r="M62" s="18"/>
      <c r="N62" s="18"/>
      <c r="O62" s="18"/>
      <c r="P62" s="33"/>
      <c r="Q62" s="18"/>
      <c r="R62" s="18"/>
      <c r="S62" s="18"/>
      <c r="T62" s="18"/>
      <c r="U62" s="18"/>
      <c r="V62" s="17"/>
      <c r="W62" s="18"/>
      <c r="X62" s="18"/>
      <c r="Y62" s="18"/>
      <c r="Z62" s="18"/>
      <c r="AA62" s="18"/>
      <c r="AB62" s="18"/>
      <c r="AC62" s="18"/>
      <c r="AD62" s="33"/>
      <c r="AE62" s="18"/>
      <c r="AF62" s="18"/>
      <c r="AG62" s="18"/>
      <c r="AH62" s="18"/>
      <c r="AI62" s="18"/>
      <c r="AJ62" s="17"/>
      <c r="AK62" s="33"/>
      <c r="AL62" s="18"/>
      <c r="AM62" s="18"/>
      <c r="AN62" s="18"/>
      <c r="AO62" s="18"/>
      <c r="AP62" s="18"/>
      <c r="AQ62" s="17"/>
      <c r="AR62" s="18"/>
      <c r="AS62" s="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33"/>
      <c r="BI62" s="18"/>
      <c r="BJ62" s="18"/>
      <c r="BK62" s="18"/>
      <c r="BL62" s="17"/>
      <c r="BM62" s="13"/>
      <c r="BO62" s="26"/>
      <c r="BS62" s="26"/>
      <c r="CD62" s="27"/>
    </row>
    <row r="63" spans="1:82" s="11" customFormat="1">
      <c r="A63" s="32"/>
      <c r="B63" s="33"/>
      <c r="C63" s="18"/>
      <c r="D63" s="18"/>
      <c r="E63" s="18"/>
      <c r="F63" s="18"/>
      <c r="G63" s="18"/>
      <c r="H63" s="17"/>
      <c r="I63" s="18"/>
      <c r="J63" s="18"/>
      <c r="K63" s="18"/>
      <c r="L63" s="18"/>
      <c r="M63" s="18"/>
      <c r="N63" s="18"/>
      <c r="O63" s="18"/>
      <c r="P63" s="33"/>
      <c r="Q63" s="18"/>
      <c r="R63" s="18"/>
      <c r="S63" s="18"/>
      <c r="T63" s="18"/>
      <c r="U63" s="18"/>
      <c r="V63" s="17"/>
      <c r="W63" s="18"/>
      <c r="X63" s="18"/>
      <c r="Y63" s="18"/>
      <c r="Z63" s="18"/>
      <c r="AA63" s="18"/>
      <c r="AB63" s="18"/>
      <c r="AC63" s="18"/>
      <c r="AD63" s="33"/>
      <c r="AE63" s="18"/>
      <c r="AF63" s="18"/>
      <c r="AG63" s="18"/>
      <c r="AH63" s="18"/>
      <c r="AI63" s="18"/>
      <c r="AJ63" s="17"/>
      <c r="AK63" s="33"/>
      <c r="AL63" s="18"/>
      <c r="AM63" s="18"/>
      <c r="AN63" s="18"/>
      <c r="AO63" s="18"/>
      <c r="AP63" s="18"/>
      <c r="AQ63" s="17"/>
      <c r="AR63" s="18"/>
      <c r="AS63" s="16" t="s">
        <v>305</v>
      </c>
      <c r="AT63" s="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33"/>
      <c r="BI63" s="18"/>
      <c r="BJ63" s="18"/>
      <c r="BK63" s="18"/>
      <c r="BL63" s="17"/>
      <c r="BM63" s="13"/>
      <c r="BO63" s="26"/>
      <c r="BS63" s="26"/>
      <c r="CD63" s="27"/>
    </row>
    <row r="64" spans="1:82" s="11" customFormat="1">
      <c r="A64" s="32"/>
      <c r="B64" s="33"/>
      <c r="C64" s="18"/>
      <c r="D64" s="18"/>
      <c r="E64" s="18"/>
      <c r="F64" s="18"/>
      <c r="G64" s="18"/>
      <c r="H64" s="17"/>
      <c r="I64" s="18"/>
      <c r="J64" s="18"/>
      <c r="K64" s="18"/>
      <c r="L64" s="18"/>
      <c r="M64" s="18"/>
      <c r="N64" s="18"/>
      <c r="O64" s="18"/>
      <c r="P64" s="33"/>
      <c r="Q64" s="18"/>
      <c r="R64" s="18"/>
      <c r="S64" s="18"/>
      <c r="T64" s="18"/>
      <c r="U64" s="18"/>
      <c r="V64" s="17"/>
      <c r="W64" s="18"/>
      <c r="X64" s="18"/>
      <c r="Y64" s="18"/>
      <c r="Z64" s="18"/>
      <c r="AA64" s="18"/>
      <c r="AB64" s="18"/>
      <c r="AC64" s="18"/>
      <c r="AD64" s="33"/>
      <c r="AE64" s="18"/>
      <c r="AF64" s="18"/>
      <c r="AG64" s="18"/>
      <c r="AH64" s="18"/>
      <c r="AI64" s="18"/>
      <c r="AJ64" s="17"/>
      <c r="AK64" s="33"/>
      <c r="AL64" s="18"/>
      <c r="AM64" s="18"/>
      <c r="AN64" s="18"/>
      <c r="AO64" s="18"/>
      <c r="AP64" s="18"/>
      <c r="AQ64" s="17"/>
      <c r="AR64" s="18"/>
      <c r="AS64" s="8"/>
      <c r="AT64" s="8" t="s">
        <v>306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33"/>
      <c r="BI64" s="18"/>
      <c r="BJ64" s="18"/>
      <c r="BK64" s="18"/>
      <c r="BL64" s="17"/>
      <c r="BM64" s="13"/>
      <c r="BO64" s="26"/>
      <c r="BS64" s="26"/>
      <c r="CD64" s="27"/>
    </row>
    <row r="65" spans="1:82" s="11" customFormat="1">
      <c r="A65" s="32"/>
      <c r="B65" s="33"/>
      <c r="C65" s="18"/>
      <c r="D65" s="18"/>
      <c r="E65" s="18"/>
      <c r="F65" s="18"/>
      <c r="G65" s="18"/>
      <c r="H65" s="17"/>
      <c r="I65" s="18"/>
      <c r="J65" s="18"/>
      <c r="K65" s="18"/>
      <c r="L65" s="18"/>
      <c r="M65" s="18"/>
      <c r="N65" s="18"/>
      <c r="O65" s="18"/>
      <c r="P65" s="33"/>
      <c r="Q65" s="18"/>
      <c r="R65" s="18"/>
      <c r="S65" s="18"/>
      <c r="T65" s="18"/>
      <c r="U65" s="18"/>
      <c r="V65" s="17"/>
      <c r="W65" s="18"/>
      <c r="X65" s="18"/>
      <c r="Y65" s="18"/>
      <c r="Z65" s="18"/>
      <c r="AA65" s="18"/>
      <c r="AB65" s="18"/>
      <c r="AC65" s="18"/>
      <c r="AD65" s="33"/>
      <c r="AE65" s="18"/>
      <c r="AF65" s="18"/>
      <c r="AG65" s="18"/>
      <c r="AH65" s="18"/>
      <c r="AI65" s="18"/>
      <c r="AJ65" s="17"/>
      <c r="AK65" s="33"/>
      <c r="AL65" s="18"/>
      <c r="AM65" s="18"/>
      <c r="AN65" s="18"/>
      <c r="AO65" s="18"/>
      <c r="AP65" s="18"/>
      <c r="AQ65" s="17"/>
      <c r="AR65" s="18"/>
      <c r="AS65" s="8"/>
      <c r="AT65" s="8" t="s">
        <v>307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33"/>
      <c r="BI65" s="18"/>
      <c r="BJ65" s="18"/>
      <c r="BK65" s="18"/>
      <c r="BL65" s="17"/>
      <c r="BM65" s="13"/>
      <c r="BO65" s="26"/>
      <c r="BS65" s="26"/>
      <c r="CD65" s="27"/>
    </row>
    <row r="66" spans="1:82" s="11" customFormat="1">
      <c r="A66" s="32"/>
      <c r="B66" s="33"/>
      <c r="C66" s="18"/>
      <c r="D66" s="18"/>
      <c r="E66" s="18"/>
      <c r="F66" s="18"/>
      <c r="G66" s="18"/>
      <c r="H66" s="17"/>
      <c r="I66" s="18"/>
      <c r="J66" s="18"/>
      <c r="K66" s="18"/>
      <c r="L66" s="18"/>
      <c r="M66" s="18"/>
      <c r="N66" s="18"/>
      <c r="O66" s="18"/>
      <c r="P66" s="33"/>
      <c r="Q66" s="18"/>
      <c r="R66" s="18"/>
      <c r="S66" s="18"/>
      <c r="T66" s="18"/>
      <c r="U66" s="18"/>
      <c r="V66" s="17"/>
      <c r="W66" s="18"/>
      <c r="X66" s="18"/>
      <c r="Y66" s="18"/>
      <c r="Z66" s="18"/>
      <c r="AA66" s="18"/>
      <c r="AB66" s="18"/>
      <c r="AC66" s="18"/>
      <c r="AD66" s="33"/>
      <c r="AE66" s="18"/>
      <c r="AF66" s="18"/>
      <c r="AG66" s="18"/>
      <c r="AH66" s="18"/>
      <c r="AI66" s="18"/>
      <c r="AJ66" s="17"/>
      <c r="AK66" s="33"/>
      <c r="AL66" s="18"/>
      <c r="AM66" s="18"/>
      <c r="AN66" s="18"/>
      <c r="AO66" s="18"/>
      <c r="AP66" s="18"/>
      <c r="AQ66" s="17"/>
      <c r="AR66" s="18"/>
      <c r="AS66" s="8"/>
      <c r="AT66" s="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33"/>
      <c r="BI66" s="18"/>
      <c r="BJ66" s="18"/>
      <c r="BK66" s="18"/>
      <c r="BL66" s="17"/>
      <c r="BM66" s="13"/>
      <c r="BO66" s="26"/>
      <c r="BS66" s="26"/>
      <c r="CD66" s="27"/>
    </row>
    <row r="67" spans="1:82" s="11" customFormat="1">
      <c r="A67" s="32"/>
      <c r="B67" s="33"/>
      <c r="C67" s="18"/>
      <c r="D67" s="18"/>
      <c r="E67" s="18"/>
      <c r="F67" s="18"/>
      <c r="G67" s="18"/>
      <c r="H67" s="17"/>
      <c r="I67" s="18"/>
      <c r="J67" s="18"/>
      <c r="K67" s="18"/>
      <c r="L67" s="18"/>
      <c r="M67" s="18"/>
      <c r="N67" s="18"/>
      <c r="O67" s="18"/>
      <c r="P67" s="33"/>
      <c r="Q67" s="18"/>
      <c r="R67" s="18"/>
      <c r="S67" s="18"/>
      <c r="T67" s="18"/>
      <c r="U67" s="18"/>
      <c r="V67" s="17"/>
      <c r="W67" s="18"/>
      <c r="X67" s="18"/>
      <c r="Y67" s="18"/>
      <c r="Z67" s="18"/>
      <c r="AA67" s="18"/>
      <c r="AB67" s="18"/>
      <c r="AC67" s="18"/>
      <c r="AD67" s="33"/>
      <c r="AE67" s="18"/>
      <c r="AF67" s="18"/>
      <c r="AG67" s="18"/>
      <c r="AH67" s="18"/>
      <c r="AI67" s="18"/>
      <c r="AJ67" s="17"/>
      <c r="AK67" s="33"/>
      <c r="AL67" s="18"/>
      <c r="AM67" s="18"/>
      <c r="AN67" s="18"/>
      <c r="AO67" s="18"/>
      <c r="AP67" s="18"/>
      <c r="AQ67" s="17"/>
      <c r="AR67" s="18"/>
      <c r="AS67" s="8"/>
      <c r="AT67" s="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46"/>
      <c r="BI67" s="18"/>
      <c r="BJ67" s="18"/>
      <c r="BK67" s="18"/>
      <c r="BL67" s="17"/>
      <c r="BM67" s="13"/>
      <c r="BO67" s="26"/>
      <c r="BS67" s="26"/>
      <c r="CD67" s="27"/>
    </row>
    <row r="68" spans="1:82" s="11" customFormat="1">
      <c r="A68" s="32"/>
      <c r="B68" s="33"/>
      <c r="C68" s="18"/>
      <c r="D68" s="18"/>
      <c r="E68" s="18"/>
      <c r="F68" s="18"/>
      <c r="G68" s="18"/>
      <c r="H68" s="17"/>
      <c r="I68" s="18"/>
      <c r="J68" s="18"/>
      <c r="K68" s="18"/>
      <c r="L68" s="18"/>
      <c r="M68" s="18"/>
      <c r="N68" s="18"/>
      <c r="O68" s="18"/>
      <c r="P68" s="33"/>
      <c r="Q68" s="18"/>
      <c r="R68" s="18"/>
      <c r="S68" s="18"/>
      <c r="T68" s="18"/>
      <c r="U68" s="18"/>
      <c r="V68" s="17"/>
      <c r="W68" s="18"/>
      <c r="X68" s="18"/>
      <c r="Y68" s="18"/>
      <c r="Z68" s="18"/>
      <c r="AA68" s="18"/>
      <c r="AB68" s="18"/>
      <c r="AC68" s="18"/>
      <c r="AD68" s="33"/>
      <c r="AE68" s="18"/>
      <c r="AF68" s="18"/>
      <c r="AG68" s="18"/>
      <c r="AH68" s="18"/>
      <c r="AI68" s="18"/>
      <c r="AJ68" s="17"/>
      <c r="AK68" s="33"/>
      <c r="AL68" s="18"/>
      <c r="AM68" s="18"/>
      <c r="AN68" s="18"/>
      <c r="AO68" s="18"/>
      <c r="AP68" s="18"/>
      <c r="AQ68" s="17"/>
      <c r="AR68" s="18"/>
      <c r="AS68" s="8"/>
      <c r="AT68" s="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33"/>
      <c r="BI68" s="18"/>
      <c r="BJ68" s="18"/>
      <c r="BK68" s="18"/>
      <c r="BL68" s="17"/>
      <c r="BM68" s="13"/>
      <c r="BO68" s="26"/>
      <c r="BS68" s="26"/>
      <c r="CD68" s="27"/>
    </row>
    <row r="69" spans="1:82" s="11" customFormat="1">
      <c r="A69" s="32"/>
      <c r="B69" s="33"/>
      <c r="C69" s="18"/>
      <c r="D69" s="18"/>
      <c r="E69" s="18"/>
      <c r="F69" s="18"/>
      <c r="G69" s="18"/>
      <c r="H69" s="17"/>
      <c r="I69" s="18"/>
      <c r="J69" s="18"/>
      <c r="K69" s="18"/>
      <c r="L69" s="18"/>
      <c r="M69" s="18"/>
      <c r="N69" s="18"/>
      <c r="O69" s="18"/>
      <c r="P69" s="33"/>
      <c r="Q69" s="18"/>
      <c r="R69" s="18"/>
      <c r="S69" s="18"/>
      <c r="T69" s="18"/>
      <c r="U69" s="18"/>
      <c r="V69" s="17"/>
      <c r="W69" s="18"/>
      <c r="X69" s="18"/>
      <c r="Y69" s="18"/>
      <c r="Z69" s="18"/>
      <c r="AA69" s="18"/>
      <c r="AB69" s="18"/>
      <c r="AC69" s="18"/>
      <c r="AD69" s="33"/>
      <c r="AE69" s="18"/>
      <c r="AF69" s="18"/>
      <c r="AG69" s="18"/>
      <c r="AH69" s="18"/>
      <c r="AI69" s="18"/>
      <c r="AJ69" s="17"/>
      <c r="AK69" s="33"/>
      <c r="AL69" s="18"/>
      <c r="AM69" s="18"/>
      <c r="AN69" s="18"/>
      <c r="AO69" s="18"/>
      <c r="AP69" s="18"/>
      <c r="AQ69" s="17"/>
      <c r="AR69" s="18"/>
      <c r="AS69" s="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33"/>
      <c r="BI69" s="18"/>
      <c r="BJ69" s="18"/>
      <c r="BK69" s="18"/>
      <c r="BL69" s="17"/>
      <c r="BM69" s="13"/>
      <c r="BO69" s="26"/>
      <c r="BS69" s="26"/>
      <c r="CD69" s="27"/>
    </row>
    <row r="70" spans="1:82" s="11" customFormat="1">
      <c r="A70" s="32"/>
      <c r="B70" s="33"/>
      <c r="C70" s="18"/>
      <c r="D70" s="18"/>
      <c r="E70" s="18"/>
      <c r="F70" s="18"/>
      <c r="G70" s="18"/>
      <c r="H70" s="17"/>
      <c r="I70" s="18"/>
      <c r="J70" s="18"/>
      <c r="K70" s="18"/>
      <c r="L70" s="18"/>
      <c r="M70" s="18"/>
      <c r="N70" s="18"/>
      <c r="O70" s="18"/>
      <c r="P70" s="33"/>
      <c r="Q70" s="18"/>
      <c r="R70" s="18"/>
      <c r="S70" s="18"/>
      <c r="T70" s="18"/>
      <c r="U70" s="18"/>
      <c r="V70" s="17"/>
      <c r="W70" s="18"/>
      <c r="X70" s="18"/>
      <c r="Y70" s="18"/>
      <c r="Z70" s="18"/>
      <c r="AA70" s="18"/>
      <c r="AB70" s="18"/>
      <c r="AC70" s="18"/>
      <c r="AD70" s="33"/>
      <c r="AE70" s="18"/>
      <c r="AF70" s="18"/>
      <c r="AG70" s="18"/>
      <c r="AH70" s="18"/>
      <c r="AI70" s="18"/>
      <c r="AJ70" s="17"/>
      <c r="AK70" s="33"/>
      <c r="AL70" s="18"/>
      <c r="AM70" s="18"/>
      <c r="AN70" s="18"/>
      <c r="AO70" s="18"/>
      <c r="AP70" s="18"/>
      <c r="AQ70" s="17"/>
      <c r="AR70" s="18"/>
      <c r="AS70" s="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33"/>
      <c r="BI70" s="18"/>
      <c r="BJ70" s="18"/>
      <c r="BK70" s="18"/>
      <c r="BL70" s="17"/>
      <c r="BM70" s="13"/>
      <c r="BO70" s="26"/>
      <c r="BS70" s="26"/>
      <c r="CD70" s="27"/>
    </row>
    <row r="71" spans="1:82" s="11" customFormat="1">
      <c r="A71" s="32"/>
      <c r="B71" s="35" t="s">
        <v>308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35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13"/>
      <c r="BO71" s="23"/>
      <c r="BP71" s="24"/>
      <c r="BQ71" s="24"/>
      <c r="BR71" s="24"/>
      <c r="BS71" s="23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5"/>
    </row>
    <row r="72" spans="1:82" s="11" customFormat="1">
      <c r="A72" s="32"/>
      <c r="B72" s="45"/>
      <c r="C72" s="43"/>
      <c r="D72" s="43"/>
      <c r="E72" s="43"/>
      <c r="F72" s="43"/>
      <c r="G72" s="43"/>
      <c r="H72" s="44"/>
      <c r="I72" s="43"/>
      <c r="J72" s="43"/>
      <c r="K72" s="43"/>
      <c r="L72" s="43"/>
      <c r="M72" s="43"/>
      <c r="N72" s="43"/>
      <c r="O72" s="43"/>
      <c r="P72" s="45"/>
      <c r="Q72" s="43"/>
      <c r="R72" s="43"/>
      <c r="S72" s="43"/>
      <c r="T72" s="43"/>
      <c r="U72" s="43"/>
      <c r="V72" s="44"/>
      <c r="W72" s="43"/>
      <c r="X72" s="43"/>
      <c r="Y72" s="43"/>
      <c r="Z72" s="43"/>
      <c r="AA72" s="43"/>
      <c r="AB72" s="43"/>
      <c r="AC72" s="43"/>
      <c r="AD72" s="45"/>
      <c r="AE72" s="43"/>
      <c r="AF72" s="43"/>
      <c r="AG72" s="43"/>
      <c r="AH72" s="43"/>
      <c r="AI72" s="43"/>
      <c r="AJ72" s="44"/>
      <c r="AK72" s="45"/>
      <c r="AL72" s="43"/>
      <c r="AM72" s="43"/>
      <c r="AN72" s="43"/>
      <c r="AO72" s="43"/>
      <c r="AP72" s="43"/>
      <c r="AQ72" s="44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5"/>
      <c r="BI72" s="43"/>
      <c r="BJ72" s="43"/>
      <c r="BK72" s="43"/>
      <c r="BL72" s="44"/>
      <c r="BM72" s="13"/>
      <c r="BO72" s="26"/>
      <c r="BS72" s="26"/>
      <c r="CD72" s="27"/>
    </row>
    <row r="73" spans="1:82" s="11" customFormat="1">
      <c r="A73" s="32"/>
      <c r="B73" s="33"/>
      <c r="C73" s="18"/>
      <c r="D73" s="18"/>
      <c r="E73" s="18"/>
      <c r="F73" s="18"/>
      <c r="G73" s="18"/>
      <c r="H73" s="17"/>
      <c r="I73" s="18"/>
      <c r="J73" s="18"/>
      <c r="K73" s="18"/>
      <c r="L73" s="18"/>
      <c r="M73" s="18"/>
      <c r="N73" s="18"/>
      <c r="O73" s="18"/>
      <c r="P73" s="33"/>
      <c r="Q73" s="18"/>
      <c r="R73" s="18"/>
      <c r="S73" s="18"/>
      <c r="T73" s="18"/>
      <c r="U73" s="18"/>
      <c r="V73" s="17"/>
      <c r="W73" s="18"/>
      <c r="X73" s="18"/>
      <c r="Y73" s="18"/>
      <c r="Z73" s="18"/>
      <c r="AA73" s="18"/>
      <c r="AB73" s="18"/>
      <c r="AC73" s="18"/>
      <c r="AD73" s="33"/>
      <c r="AE73" s="18"/>
      <c r="AF73" s="18"/>
      <c r="AG73" s="18"/>
      <c r="AH73" s="18"/>
      <c r="AI73" s="18"/>
      <c r="AJ73" s="17"/>
      <c r="AK73" s="33"/>
      <c r="AL73" s="18"/>
      <c r="AM73" s="18"/>
      <c r="AN73" s="18"/>
      <c r="AO73" s="18"/>
      <c r="AP73" s="18"/>
      <c r="AQ73" s="17"/>
      <c r="AR73" s="18"/>
      <c r="AS73" s="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33"/>
      <c r="BI73" s="18"/>
      <c r="BJ73" s="18"/>
      <c r="BK73" s="18"/>
      <c r="BL73" s="17"/>
      <c r="BM73" s="13"/>
      <c r="BO73" s="26"/>
      <c r="BS73" s="26"/>
      <c r="CD73" s="27"/>
    </row>
    <row r="74" spans="1:82" s="11" customFormat="1">
      <c r="A74" s="32"/>
      <c r="B74" s="33"/>
      <c r="C74" s="18"/>
      <c r="D74" s="18"/>
      <c r="E74" s="18"/>
      <c r="F74" s="18"/>
      <c r="G74" s="18"/>
      <c r="H74" s="17"/>
      <c r="I74" s="18"/>
      <c r="J74" s="18"/>
      <c r="K74" s="18"/>
      <c r="L74" s="18"/>
      <c r="M74" s="18"/>
      <c r="N74" s="18"/>
      <c r="O74" s="18"/>
      <c r="P74" s="33"/>
      <c r="Q74" s="18"/>
      <c r="R74" s="18"/>
      <c r="S74" s="18"/>
      <c r="T74" s="18"/>
      <c r="U74" s="18"/>
      <c r="V74" s="17"/>
      <c r="W74" s="18"/>
      <c r="X74" s="18"/>
      <c r="Y74" s="18"/>
      <c r="Z74" s="18"/>
      <c r="AA74" s="18"/>
      <c r="AB74" s="18"/>
      <c r="AC74" s="18"/>
      <c r="AD74" s="33"/>
      <c r="AE74" s="18"/>
      <c r="AF74" s="18"/>
      <c r="AG74" s="18"/>
      <c r="AH74" s="18"/>
      <c r="AI74" s="18"/>
      <c r="AJ74" s="17"/>
      <c r="AK74" s="33"/>
      <c r="AL74" s="18"/>
      <c r="AM74" s="18"/>
      <c r="AN74" s="18"/>
      <c r="AO74" s="18"/>
      <c r="AP74" s="18"/>
      <c r="AQ74" s="17"/>
      <c r="AR74" s="18"/>
      <c r="AS74" s="47" t="s">
        <v>162</v>
      </c>
      <c r="AT74" s="47" t="s">
        <v>309</v>
      </c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9" t="s">
        <v>147</v>
      </c>
      <c r="BI74" s="48"/>
      <c r="BJ74" s="18"/>
      <c r="BK74" s="18"/>
      <c r="BL74" s="17"/>
      <c r="BM74" s="13"/>
      <c r="BO74" s="26"/>
      <c r="BS74" s="26"/>
      <c r="CD74" s="27"/>
    </row>
    <row r="75" spans="1:82" s="11" customFormat="1">
      <c r="A75" s="32"/>
      <c r="B75" s="33"/>
      <c r="C75" s="18"/>
      <c r="D75" s="18"/>
      <c r="E75" s="18"/>
      <c r="F75" s="18"/>
      <c r="G75" s="18"/>
      <c r="H75" s="17"/>
      <c r="I75" s="18"/>
      <c r="J75" s="18"/>
      <c r="K75" s="18"/>
      <c r="L75" s="18"/>
      <c r="M75" s="18"/>
      <c r="N75" s="18"/>
      <c r="O75" s="18"/>
      <c r="P75" s="33"/>
      <c r="Q75" s="18"/>
      <c r="R75" s="18"/>
      <c r="S75" s="18"/>
      <c r="T75" s="18"/>
      <c r="U75" s="18"/>
      <c r="V75" s="17"/>
      <c r="W75" s="18"/>
      <c r="X75" s="18"/>
      <c r="Y75" s="18"/>
      <c r="Z75" s="18"/>
      <c r="AA75" s="18"/>
      <c r="AB75" s="18"/>
      <c r="AC75" s="18"/>
      <c r="AD75" s="33"/>
      <c r="AE75" s="18"/>
      <c r="AF75" s="18"/>
      <c r="AG75" s="18"/>
      <c r="AH75" s="18"/>
      <c r="AI75" s="18"/>
      <c r="AJ75" s="17"/>
      <c r="AK75" s="33"/>
      <c r="AL75" s="18"/>
      <c r="AM75" s="18"/>
      <c r="AN75" s="18"/>
      <c r="AO75" s="18"/>
      <c r="AP75" s="18"/>
      <c r="AQ75" s="17"/>
      <c r="AR75" s="18"/>
      <c r="AS75" s="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53" t="s">
        <v>276</v>
      </c>
      <c r="BI75" s="54"/>
      <c r="BJ75" s="54"/>
      <c r="BK75" s="54"/>
      <c r="BL75" s="17"/>
      <c r="BM75" s="13"/>
      <c r="BO75" s="26"/>
      <c r="BS75" s="26"/>
      <c r="CD75" s="27"/>
    </row>
    <row r="76" spans="1:82" s="11" customFormat="1">
      <c r="A76" s="32"/>
      <c r="B76" s="33"/>
      <c r="C76" s="18"/>
      <c r="D76" s="18"/>
      <c r="E76" s="18"/>
      <c r="F76" s="18"/>
      <c r="G76" s="18"/>
      <c r="H76" s="17"/>
      <c r="I76" s="18"/>
      <c r="J76" s="18"/>
      <c r="K76" s="18"/>
      <c r="L76" s="18"/>
      <c r="M76" s="18"/>
      <c r="N76" s="18"/>
      <c r="O76" s="18"/>
      <c r="P76" s="33"/>
      <c r="Q76" s="18"/>
      <c r="R76" s="18"/>
      <c r="S76" s="18"/>
      <c r="T76" s="18"/>
      <c r="U76" s="18"/>
      <c r="V76" s="17"/>
      <c r="W76" s="18"/>
      <c r="X76" s="18"/>
      <c r="Y76" s="18"/>
      <c r="Z76" s="18"/>
      <c r="AA76" s="18"/>
      <c r="AB76" s="18"/>
      <c r="AC76" s="18"/>
      <c r="AD76" s="33"/>
      <c r="AE76" s="18"/>
      <c r="AF76" s="18"/>
      <c r="AG76" s="18"/>
      <c r="AH76" s="18"/>
      <c r="AI76" s="18"/>
      <c r="AJ76" s="17"/>
      <c r="AK76" s="33"/>
      <c r="AL76" s="18"/>
      <c r="AM76" s="18"/>
      <c r="AN76" s="18"/>
      <c r="AO76" s="18"/>
      <c r="AP76" s="18"/>
      <c r="AQ76" s="17"/>
      <c r="AR76" s="18"/>
      <c r="AS76" s="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53" t="s">
        <v>277</v>
      </c>
      <c r="BI76" s="54"/>
      <c r="BJ76" s="54"/>
      <c r="BK76" s="54"/>
      <c r="BL76" s="17"/>
      <c r="BM76" s="13"/>
      <c r="BO76" s="26"/>
      <c r="BS76" s="26"/>
      <c r="CD76" s="27"/>
    </row>
    <row r="77" spans="1:82" s="11" customFormat="1">
      <c r="A77" s="32"/>
      <c r="B77" s="33"/>
      <c r="C77" s="18"/>
      <c r="D77" s="18"/>
      <c r="E77" s="18"/>
      <c r="F77" s="18"/>
      <c r="G77" s="18"/>
      <c r="H77" s="17"/>
      <c r="I77" s="18"/>
      <c r="J77" s="18"/>
      <c r="K77" s="18"/>
      <c r="L77" s="18"/>
      <c r="M77" s="18"/>
      <c r="N77" s="18"/>
      <c r="O77" s="18"/>
      <c r="P77" s="33"/>
      <c r="Q77" s="18"/>
      <c r="R77" s="18"/>
      <c r="S77" s="18"/>
      <c r="T77" s="18"/>
      <c r="U77" s="18"/>
      <c r="V77" s="17"/>
      <c r="W77" s="18"/>
      <c r="X77" s="18"/>
      <c r="Y77" s="18"/>
      <c r="Z77" s="18"/>
      <c r="AA77" s="18"/>
      <c r="AB77" s="18"/>
      <c r="AC77" s="18"/>
      <c r="AD77" s="33"/>
      <c r="AE77" s="18"/>
      <c r="AF77" s="18"/>
      <c r="AG77" s="18"/>
      <c r="AH77" s="18"/>
      <c r="AI77" s="18"/>
      <c r="AJ77" s="17"/>
      <c r="AK77" s="33"/>
      <c r="AL77" s="18"/>
      <c r="AM77" s="18"/>
      <c r="AN77" s="18"/>
      <c r="AO77" s="18"/>
      <c r="AP77" s="18"/>
      <c r="AQ77" s="17"/>
      <c r="AR77" s="18"/>
      <c r="AS77" s="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53" t="s">
        <v>278</v>
      </c>
      <c r="BI77" s="54"/>
      <c r="BJ77" s="54"/>
      <c r="BK77" s="54"/>
      <c r="BL77" s="17"/>
      <c r="BM77" s="13"/>
      <c r="BO77" s="26"/>
      <c r="BS77" s="26"/>
      <c r="CD77" s="27"/>
    </row>
    <row r="78" spans="1:82" s="11" customFormat="1">
      <c r="A78" s="32"/>
      <c r="B78" s="33"/>
      <c r="C78" s="18"/>
      <c r="D78" s="18"/>
      <c r="E78" s="18"/>
      <c r="F78" s="18"/>
      <c r="G78" s="18"/>
      <c r="H78" s="17"/>
      <c r="I78" s="18"/>
      <c r="J78" s="18"/>
      <c r="K78" s="18"/>
      <c r="L78" s="18"/>
      <c r="M78" s="18"/>
      <c r="N78" s="18"/>
      <c r="O78" s="18"/>
      <c r="P78" s="33"/>
      <c r="Q78" s="18"/>
      <c r="R78" s="18"/>
      <c r="S78" s="18"/>
      <c r="T78" s="18"/>
      <c r="U78" s="18"/>
      <c r="V78" s="17"/>
      <c r="W78" s="18"/>
      <c r="X78" s="18"/>
      <c r="Y78" s="18"/>
      <c r="Z78" s="18"/>
      <c r="AA78" s="18"/>
      <c r="AB78" s="18"/>
      <c r="AC78" s="18"/>
      <c r="AD78" s="33"/>
      <c r="AE78" s="18"/>
      <c r="AF78" s="18"/>
      <c r="AG78" s="18"/>
      <c r="AH78" s="18"/>
      <c r="AI78" s="18"/>
      <c r="AJ78" s="17"/>
      <c r="AK78" s="33"/>
      <c r="AL78" s="18"/>
      <c r="AM78" s="18"/>
      <c r="AN78" s="18"/>
      <c r="AO78" s="18"/>
      <c r="AP78" s="18"/>
      <c r="AQ78" s="17"/>
      <c r="AR78" s="18"/>
      <c r="AS78" s="8"/>
      <c r="AT78" s="22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53" t="s">
        <v>279</v>
      </c>
      <c r="BI78" s="54"/>
      <c r="BJ78" s="54"/>
      <c r="BK78" s="54"/>
      <c r="BL78" s="17"/>
      <c r="BM78" s="13"/>
      <c r="BO78" s="26"/>
      <c r="BS78" s="26"/>
      <c r="CD78" s="27"/>
    </row>
    <row r="79" spans="1:82" s="11" customFormat="1">
      <c r="A79" s="32"/>
      <c r="B79" s="33"/>
      <c r="C79" s="18"/>
      <c r="D79" s="18"/>
      <c r="E79" s="18"/>
      <c r="F79" s="18"/>
      <c r="G79" s="18"/>
      <c r="H79" s="17"/>
      <c r="I79" s="18"/>
      <c r="J79" s="18"/>
      <c r="K79" s="18"/>
      <c r="L79" s="18"/>
      <c r="M79" s="18"/>
      <c r="N79" s="18"/>
      <c r="O79" s="18"/>
      <c r="P79" s="33"/>
      <c r="Q79" s="18"/>
      <c r="R79" s="18"/>
      <c r="S79" s="18"/>
      <c r="T79" s="18"/>
      <c r="U79" s="18"/>
      <c r="V79" s="17"/>
      <c r="W79" s="18"/>
      <c r="X79" s="18"/>
      <c r="Y79" s="18"/>
      <c r="Z79" s="18"/>
      <c r="AA79" s="18"/>
      <c r="AB79" s="18"/>
      <c r="AC79" s="18"/>
      <c r="AD79" s="33"/>
      <c r="AE79" s="18"/>
      <c r="AF79" s="18"/>
      <c r="AG79" s="18"/>
      <c r="AH79" s="18"/>
      <c r="AI79" s="18"/>
      <c r="AJ79" s="17"/>
      <c r="AK79" s="33"/>
      <c r="AL79" s="18"/>
      <c r="AM79" s="18"/>
      <c r="AN79" s="18"/>
      <c r="AO79" s="18"/>
      <c r="AP79" s="18"/>
      <c r="AQ79" s="17"/>
      <c r="AR79" s="18"/>
      <c r="AS79" s="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53" t="s">
        <v>280</v>
      </c>
      <c r="BI79" s="54"/>
      <c r="BJ79" s="54"/>
      <c r="BK79" s="54"/>
      <c r="BL79" s="17"/>
      <c r="BM79" s="13"/>
      <c r="BO79" s="26"/>
      <c r="BS79" s="26"/>
      <c r="CD79" s="27"/>
    </row>
    <row r="80" spans="1:82" s="11" customFormat="1">
      <c r="A80" s="32"/>
      <c r="B80" s="33"/>
      <c r="C80" s="18"/>
      <c r="D80" s="18"/>
      <c r="E80" s="18"/>
      <c r="F80" s="18"/>
      <c r="G80" s="18"/>
      <c r="H80" s="17"/>
      <c r="I80" s="18"/>
      <c r="J80" s="18"/>
      <c r="K80" s="18"/>
      <c r="L80" s="18"/>
      <c r="M80" s="18"/>
      <c r="N80" s="18"/>
      <c r="O80" s="18"/>
      <c r="P80" s="33"/>
      <c r="Q80" s="18"/>
      <c r="R80" s="18"/>
      <c r="S80" s="18"/>
      <c r="T80" s="18"/>
      <c r="U80" s="18"/>
      <c r="V80" s="17"/>
      <c r="W80" s="18"/>
      <c r="X80" s="18"/>
      <c r="Y80" s="18"/>
      <c r="Z80" s="18"/>
      <c r="AA80" s="18"/>
      <c r="AB80" s="18"/>
      <c r="AC80" s="18"/>
      <c r="AD80" s="33"/>
      <c r="AE80" s="18"/>
      <c r="AF80" s="18"/>
      <c r="AG80" s="18"/>
      <c r="AH80" s="18"/>
      <c r="AI80" s="18"/>
      <c r="AJ80" s="17"/>
      <c r="AK80" s="33"/>
      <c r="AL80" s="18"/>
      <c r="AM80" s="18"/>
      <c r="AN80" s="18"/>
      <c r="AO80" s="18"/>
      <c r="AP80" s="18"/>
      <c r="AQ80" s="17"/>
      <c r="AR80" s="18"/>
      <c r="AS80" s="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53" t="s">
        <v>281</v>
      </c>
      <c r="BI80" s="54"/>
      <c r="BJ80" s="54"/>
      <c r="BK80" s="54"/>
      <c r="BL80" s="17"/>
      <c r="BM80" s="13"/>
      <c r="BO80" s="26"/>
      <c r="BS80" s="26"/>
      <c r="CD80" s="27"/>
    </row>
    <row r="81" spans="1:82" s="11" customFormat="1">
      <c r="A81" s="32"/>
      <c r="B81" s="33"/>
      <c r="C81" s="18"/>
      <c r="D81" s="18"/>
      <c r="E81" s="18"/>
      <c r="F81" s="18"/>
      <c r="G81" s="18"/>
      <c r="H81" s="17"/>
      <c r="I81" s="18"/>
      <c r="J81" s="18"/>
      <c r="K81" s="18"/>
      <c r="L81" s="18"/>
      <c r="M81" s="18"/>
      <c r="N81" s="18"/>
      <c r="O81" s="18"/>
      <c r="P81" s="33"/>
      <c r="Q81" s="18"/>
      <c r="R81" s="18"/>
      <c r="S81" s="18"/>
      <c r="T81" s="18"/>
      <c r="U81" s="18"/>
      <c r="V81" s="17"/>
      <c r="W81" s="18"/>
      <c r="X81" s="18"/>
      <c r="Y81" s="18"/>
      <c r="Z81" s="18"/>
      <c r="AA81" s="18"/>
      <c r="AB81" s="18"/>
      <c r="AC81" s="18"/>
      <c r="AD81" s="33"/>
      <c r="AE81" s="18"/>
      <c r="AF81" s="18"/>
      <c r="AG81" s="18"/>
      <c r="AH81" s="18"/>
      <c r="AI81" s="18"/>
      <c r="AJ81" s="17"/>
      <c r="AK81" s="33"/>
      <c r="AL81" s="18"/>
      <c r="AM81" s="18"/>
      <c r="AN81" s="18"/>
      <c r="AO81" s="18"/>
      <c r="AP81" s="18"/>
      <c r="AQ81" s="17"/>
      <c r="AR81" s="18"/>
      <c r="AS81" s="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33"/>
      <c r="BI81" s="18"/>
      <c r="BJ81" s="18"/>
      <c r="BK81" s="18"/>
      <c r="BL81" s="17"/>
      <c r="BM81" s="13"/>
      <c r="BO81" s="26"/>
      <c r="BS81" s="26"/>
      <c r="CD81" s="27"/>
    </row>
    <row r="82" spans="1:82" s="11" customFormat="1">
      <c r="A82" s="32"/>
      <c r="B82" s="33"/>
      <c r="C82" s="18"/>
      <c r="D82" s="18"/>
      <c r="E82" s="18"/>
      <c r="F82" s="18"/>
      <c r="G82" s="18"/>
      <c r="H82" s="17"/>
      <c r="I82" s="18"/>
      <c r="J82" s="18"/>
      <c r="K82" s="18"/>
      <c r="L82" s="18"/>
      <c r="M82" s="18"/>
      <c r="N82" s="18"/>
      <c r="O82" s="18"/>
      <c r="P82" s="33"/>
      <c r="Q82" s="18"/>
      <c r="R82" s="18"/>
      <c r="S82" s="18"/>
      <c r="T82" s="18"/>
      <c r="U82" s="18"/>
      <c r="V82" s="17"/>
      <c r="W82" s="18"/>
      <c r="X82" s="18"/>
      <c r="Y82" s="18"/>
      <c r="Z82" s="18"/>
      <c r="AA82" s="18"/>
      <c r="AB82" s="18"/>
      <c r="AC82" s="18"/>
      <c r="AD82" s="33"/>
      <c r="AE82" s="18"/>
      <c r="AF82" s="18"/>
      <c r="AG82" s="18"/>
      <c r="AH82" s="18"/>
      <c r="AI82" s="18"/>
      <c r="AJ82" s="17"/>
      <c r="AK82" s="33"/>
      <c r="AL82" s="18"/>
      <c r="AM82" s="18"/>
      <c r="AN82" s="18"/>
      <c r="AO82" s="18"/>
      <c r="AP82" s="18"/>
      <c r="AQ82" s="17"/>
      <c r="AR82" s="18"/>
      <c r="AS82" s="16" t="s">
        <v>310</v>
      </c>
      <c r="AT82" s="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33"/>
      <c r="BI82" s="18"/>
      <c r="BJ82" s="18"/>
      <c r="BK82" s="18"/>
      <c r="BL82" s="17"/>
      <c r="BM82" s="13"/>
      <c r="BO82" s="26"/>
      <c r="BS82" s="26"/>
      <c r="CD82" s="27"/>
    </row>
    <row r="83" spans="1:82" s="11" customFormat="1">
      <c r="A83" s="32"/>
      <c r="B83" s="33"/>
      <c r="C83" s="18"/>
      <c r="D83" s="18"/>
      <c r="E83" s="18"/>
      <c r="F83" s="18"/>
      <c r="G83" s="18"/>
      <c r="H83" s="17"/>
      <c r="I83" s="18"/>
      <c r="J83" s="18"/>
      <c r="K83" s="18"/>
      <c r="L83" s="18"/>
      <c r="M83" s="18"/>
      <c r="N83" s="18"/>
      <c r="O83" s="18"/>
      <c r="P83" s="33"/>
      <c r="Q83" s="18"/>
      <c r="R83" s="18"/>
      <c r="S83" s="18"/>
      <c r="T83" s="18"/>
      <c r="U83" s="18"/>
      <c r="V83" s="17"/>
      <c r="W83" s="18"/>
      <c r="X83" s="18"/>
      <c r="Y83" s="18"/>
      <c r="Z83" s="18"/>
      <c r="AA83" s="18"/>
      <c r="AB83" s="18"/>
      <c r="AC83" s="18"/>
      <c r="AD83" s="33"/>
      <c r="AE83" s="18"/>
      <c r="AF83" s="18"/>
      <c r="AG83" s="18"/>
      <c r="AH83" s="18"/>
      <c r="AI83" s="18"/>
      <c r="AJ83" s="17"/>
      <c r="AK83" s="33"/>
      <c r="AL83" s="18"/>
      <c r="AM83" s="18"/>
      <c r="AN83" s="18"/>
      <c r="AO83" s="18"/>
      <c r="AP83" s="18"/>
      <c r="AQ83" s="17"/>
      <c r="AR83" s="18"/>
      <c r="AS83" s="8"/>
      <c r="AT83" s="8" t="s">
        <v>291</v>
      </c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33"/>
      <c r="BI83" s="18"/>
      <c r="BJ83" s="18"/>
      <c r="BK83" s="18"/>
      <c r="BL83" s="17"/>
      <c r="BM83" s="13"/>
      <c r="BO83" s="26"/>
      <c r="BS83" s="26"/>
      <c r="CD83" s="27"/>
    </row>
    <row r="84" spans="1:82" s="11" customFormat="1">
      <c r="A84" s="32"/>
      <c r="B84" s="33"/>
      <c r="C84" s="18"/>
      <c r="D84" s="18"/>
      <c r="E84" s="18"/>
      <c r="F84" s="18"/>
      <c r="G84" s="18"/>
      <c r="H84" s="17"/>
      <c r="I84" s="18"/>
      <c r="J84" s="18"/>
      <c r="K84" s="18"/>
      <c r="L84" s="18"/>
      <c r="M84" s="18"/>
      <c r="N84" s="18"/>
      <c r="O84" s="18"/>
      <c r="P84" s="33"/>
      <c r="Q84" s="18"/>
      <c r="R84" s="18"/>
      <c r="S84" s="18"/>
      <c r="T84" s="18"/>
      <c r="U84" s="18"/>
      <c r="V84" s="17"/>
      <c r="W84" s="18"/>
      <c r="X84" s="18"/>
      <c r="Y84" s="18"/>
      <c r="Z84" s="18"/>
      <c r="AA84" s="18"/>
      <c r="AB84" s="18"/>
      <c r="AC84" s="18"/>
      <c r="AD84" s="33"/>
      <c r="AE84" s="18"/>
      <c r="AF84" s="18"/>
      <c r="AG84" s="18"/>
      <c r="AH84" s="18"/>
      <c r="AI84" s="18"/>
      <c r="AJ84" s="17"/>
      <c r="AK84" s="33"/>
      <c r="AL84" s="18"/>
      <c r="AM84" s="18"/>
      <c r="AN84" s="18"/>
      <c r="AO84" s="18"/>
      <c r="AP84" s="18"/>
      <c r="AQ84" s="17"/>
      <c r="AR84" s="18"/>
      <c r="AS84" s="8"/>
      <c r="AT84" s="8" t="s">
        <v>292</v>
      </c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33"/>
      <c r="BI84" s="18"/>
      <c r="BJ84" s="18"/>
      <c r="BK84" s="18"/>
      <c r="BL84" s="17"/>
      <c r="BM84" s="13"/>
      <c r="BO84" s="26"/>
      <c r="BS84" s="26"/>
      <c r="CD84" s="27"/>
    </row>
    <row r="85" spans="1:82" s="11" customFormat="1">
      <c r="A85" s="32"/>
      <c r="B85" s="33"/>
      <c r="C85" s="18"/>
      <c r="D85" s="18"/>
      <c r="E85" s="18"/>
      <c r="F85" s="18"/>
      <c r="G85" s="18"/>
      <c r="H85" s="17"/>
      <c r="I85" s="18"/>
      <c r="J85" s="18"/>
      <c r="K85" s="18"/>
      <c r="L85" s="18"/>
      <c r="M85" s="18"/>
      <c r="N85" s="18"/>
      <c r="O85" s="18"/>
      <c r="P85" s="33"/>
      <c r="Q85" s="18"/>
      <c r="R85" s="18"/>
      <c r="S85" s="18"/>
      <c r="T85" s="18"/>
      <c r="U85" s="18"/>
      <c r="V85" s="17"/>
      <c r="W85" s="18"/>
      <c r="X85" s="18"/>
      <c r="Y85" s="18"/>
      <c r="Z85" s="18"/>
      <c r="AA85" s="18"/>
      <c r="AB85" s="18"/>
      <c r="AC85" s="18"/>
      <c r="AD85" s="33"/>
      <c r="AE85" s="18"/>
      <c r="AF85" s="18"/>
      <c r="AG85" s="18"/>
      <c r="AH85" s="18"/>
      <c r="AI85" s="18"/>
      <c r="AJ85" s="17"/>
      <c r="AK85" s="33"/>
      <c r="AL85" s="18"/>
      <c r="AM85" s="18"/>
      <c r="AN85" s="18"/>
      <c r="AO85" s="18"/>
      <c r="AP85" s="18"/>
      <c r="AQ85" s="17"/>
      <c r="AR85" s="18"/>
      <c r="AS85" s="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33"/>
      <c r="BI85" s="18"/>
      <c r="BJ85" s="18"/>
      <c r="BK85" s="18"/>
      <c r="BL85" s="17"/>
      <c r="BM85" s="13"/>
      <c r="BO85" s="26"/>
      <c r="BS85" s="26"/>
      <c r="CD85" s="27"/>
    </row>
    <row r="86" spans="1:82" s="11" customFormat="1">
      <c r="A86" s="32"/>
      <c r="B86" s="33"/>
      <c r="C86" s="18"/>
      <c r="D86" s="18"/>
      <c r="E86" s="18"/>
      <c r="F86" s="18"/>
      <c r="G86" s="18"/>
      <c r="H86" s="17"/>
      <c r="I86" s="18"/>
      <c r="J86" s="18"/>
      <c r="K86" s="18"/>
      <c r="L86" s="18"/>
      <c r="M86" s="18"/>
      <c r="N86" s="18"/>
      <c r="O86" s="18"/>
      <c r="P86" s="33"/>
      <c r="Q86" s="18"/>
      <c r="R86" s="18"/>
      <c r="S86" s="18"/>
      <c r="T86" s="18"/>
      <c r="U86" s="18"/>
      <c r="V86" s="17"/>
      <c r="W86" s="18"/>
      <c r="X86" s="18"/>
      <c r="Y86" s="18"/>
      <c r="Z86" s="18"/>
      <c r="AA86" s="18"/>
      <c r="AB86" s="18"/>
      <c r="AC86" s="18"/>
      <c r="AD86" s="33"/>
      <c r="AE86" s="18"/>
      <c r="AF86" s="18"/>
      <c r="AG86" s="18"/>
      <c r="AH86" s="18"/>
      <c r="AI86" s="18"/>
      <c r="AJ86" s="17"/>
      <c r="AK86" s="33"/>
      <c r="AL86" s="18"/>
      <c r="AM86" s="18"/>
      <c r="AN86" s="18"/>
      <c r="AO86" s="18"/>
      <c r="AP86" s="18"/>
      <c r="AQ86" s="17"/>
      <c r="AR86" s="18"/>
      <c r="AS86" s="8" t="s">
        <v>162</v>
      </c>
      <c r="AT86" s="8" t="s">
        <v>293</v>
      </c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33"/>
      <c r="BI86" s="18"/>
      <c r="BJ86" s="18"/>
      <c r="BK86" s="18"/>
      <c r="BL86" s="17"/>
      <c r="BM86" s="13"/>
      <c r="BO86" s="26"/>
      <c r="BS86" s="26"/>
      <c r="CD86" s="27"/>
    </row>
    <row r="87" spans="1:82" s="11" customFormat="1">
      <c r="A87" s="32"/>
      <c r="B87" s="33"/>
      <c r="C87" s="18"/>
      <c r="D87" s="18"/>
      <c r="E87" s="18"/>
      <c r="F87" s="18"/>
      <c r="G87" s="18"/>
      <c r="H87" s="17"/>
      <c r="I87" s="18"/>
      <c r="J87" s="18"/>
      <c r="K87" s="18"/>
      <c r="L87" s="18"/>
      <c r="M87" s="18"/>
      <c r="N87" s="18"/>
      <c r="O87" s="18"/>
      <c r="P87" s="33"/>
      <c r="Q87" s="18"/>
      <c r="R87" s="18"/>
      <c r="S87" s="18"/>
      <c r="T87" s="18"/>
      <c r="U87" s="18"/>
      <c r="V87" s="17"/>
      <c r="W87" s="18"/>
      <c r="X87" s="18"/>
      <c r="Y87" s="18"/>
      <c r="Z87" s="18"/>
      <c r="AA87" s="18"/>
      <c r="AB87" s="18"/>
      <c r="AC87" s="18"/>
      <c r="AD87" s="33"/>
      <c r="AE87" s="18"/>
      <c r="AF87" s="18"/>
      <c r="AG87" s="18"/>
      <c r="AH87" s="18"/>
      <c r="AI87" s="18"/>
      <c r="AJ87" s="17"/>
      <c r="AK87" s="33"/>
      <c r="AL87" s="18"/>
      <c r="AM87" s="18"/>
      <c r="AN87" s="18"/>
      <c r="AO87" s="18"/>
      <c r="AP87" s="18"/>
      <c r="AQ87" s="17"/>
      <c r="AR87" s="18"/>
      <c r="AS87" s="8"/>
      <c r="AT87" s="8" t="s">
        <v>294</v>
      </c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33"/>
      <c r="BI87" s="18"/>
      <c r="BJ87" s="18"/>
      <c r="BK87" s="18"/>
      <c r="BL87" s="17"/>
      <c r="BM87" s="13"/>
      <c r="BO87" s="26"/>
      <c r="BS87" s="26"/>
      <c r="CD87" s="27"/>
    </row>
    <row r="88" spans="1:82" s="11" customFormat="1">
      <c r="A88" s="32"/>
      <c r="B88" s="33"/>
      <c r="C88" s="18"/>
      <c r="D88" s="18"/>
      <c r="E88" s="18"/>
      <c r="F88" s="18"/>
      <c r="G88" s="18"/>
      <c r="H88" s="17"/>
      <c r="I88" s="18"/>
      <c r="J88" s="18"/>
      <c r="K88" s="18"/>
      <c r="L88" s="18"/>
      <c r="M88" s="18"/>
      <c r="N88" s="18"/>
      <c r="O88" s="18"/>
      <c r="P88" s="33"/>
      <c r="Q88" s="18"/>
      <c r="R88" s="18"/>
      <c r="S88" s="18"/>
      <c r="T88" s="18"/>
      <c r="U88" s="18"/>
      <c r="V88" s="17"/>
      <c r="W88" s="18"/>
      <c r="X88" s="18"/>
      <c r="Y88" s="18"/>
      <c r="Z88" s="18"/>
      <c r="AA88" s="18"/>
      <c r="AB88" s="18"/>
      <c r="AC88" s="18"/>
      <c r="AD88" s="33"/>
      <c r="AE88" s="18"/>
      <c r="AF88" s="18"/>
      <c r="AG88" s="18"/>
      <c r="AH88" s="18"/>
      <c r="AI88" s="18"/>
      <c r="AJ88" s="17"/>
      <c r="AK88" s="33"/>
      <c r="AL88" s="18"/>
      <c r="AM88" s="18"/>
      <c r="AN88" s="18"/>
      <c r="AO88" s="18"/>
      <c r="AP88" s="18"/>
      <c r="AQ88" s="17"/>
      <c r="AR88" s="18"/>
      <c r="AS88" s="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33"/>
      <c r="BI88" s="18"/>
      <c r="BJ88" s="18"/>
      <c r="BK88" s="18"/>
      <c r="BL88" s="17"/>
      <c r="BM88" s="13"/>
      <c r="BO88" s="26"/>
      <c r="BS88" s="26"/>
      <c r="CD88" s="27"/>
    </row>
    <row r="89" spans="1:82" s="11" customFormat="1">
      <c r="A89" s="32"/>
      <c r="B89" s="33"/>
      <c r="C89" s="18"/>
      <c r="D89" s="18"/>
      <c r="E89" s="18"/>
      <c r="F89" s="18"/>
      <c r="G89" s="18"/>
      <c r="H89" s="17"/>
      <c r="I89" s="18"/>
      <c r="J89" s="18"/>
      <c r="K89" s="18"/>
      <c r="L89" s="18"/>
      <c r="M89" s="18"/>
      <c r="N89" s="18"/>
      <c r="O89" s="18"/>
      <c r="P89" s="33"/>
      <c r="Q89" s="18"/>
      <c r="R89" s="18"/>
      <c r="S89" s="18"/>
      <c r="T89" s="18"/>
      <c r="U89" s="18"/>
      <c r="V89" s="17"/>
      <c r="W89" s="18"/>
      <c r="X89" s="18"/>
      <c r="Y89" s="18"/>
      <c r="Z89" s="18"/>
      <c r="AA89" s="18"/>
      <c r="AB89" s="18"/>
      <c r="AC89" s="18"/>
      <c r="AD89" s="33"/>
      <c r="AE89" s="18"/>
      <c r="AF89" s="18"/>
      <c r="AG89" s="18"/>
      <c r="AH89" s="18"/>
      <c r="AI89" s="18"/>
      <c r="AJ89" s="17"/>
      <c r="AK89" s="33"/>
      <c r="AL89" s="18"/>
      <c r="AM89" s="18"/>
      <c r="AN89" s="18"/>
      <c r="AO89" s="18"/>
      <c r="AP89" s="18"/>
      <c r="AQ89" s="17"/>
      <c r="AR89" s="18"/>
      <c r="AS89" s="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33"/>
      <c r="BI89" s="18"/>
      <c r="BJ89" s="18"/>
      <c r="BK89" s="18"/>
      <c r="BL89" s="17"/>
      <c r="BM89" s="13"/>
      <c r="BO89" s="26"/>
      <c r="BS89" s="26"/>
      <c r="CD89" s="27"/>
    </row>
    <row r="90" spans="1:82" s="11" customFormat="1">
      <c r="A90" s="32"/>
      <c r="B90" s="33"/>
      <c r="C90" s="18"/>
      <c r="D90" s="18"/>
      <c r="E90" s="18"/>
      <c r="F90" s="18"/>
      <c r="G90" s="18"/>
      <c r="H90" s="17"/>
      <c r="I90" s="18"/>
      <c r="J90" s="18"/>
      <c r="K90" s="18"/>
      <c r="L90" s="18"/>
      <c r="M90" s="18"/>
      <c r="N90" s="18"/>
      <c r="O90" s="18"/>
      <c r="P90" s="33"/>
      <c r="Q90" s="18"/>
      <c r="R90" s="18"/>
      <c r="S90" s="18"/>
      <c r="T90" s="18"/>
      <c r="U90" s="18"/>
      <c r="V90" s="17"/>
      <c r="W90" s="18"/>
      <c r="X90" s="18"/>
      <c r="Y90" s="18"/>
      <c r="Z90" s="18"/>
      <c r="AA90" s="18"/>
      <c r="AB90" s="18"/>
      <c r="AC90" s="18"/>
      <c r="AD90" s="33"/>
      <c r="AE90" s="18"/>
      <c r="AF90" s="18"/>
      <c r="AG90" s="18"/>
      <c r="AH90" s="18"/>
      <c r="AI90" s="18"/>
      <c r="AJ90" s="17"/>
      <c r="AK90" s="33"/>
      <c r="AL90" s="18"/>
      <c r="AM90" s="18"/>
      <c r="AN90" s="18"/>
      <c r="AO90" s="18"/>
      <c r="AP90" s="18"/>
      <c r="AQ90" s="17"/>
      <c r="AR90" s="18"/>
      <c r="AS90" s="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33"/>
      <c r="BI90" s="18"/>
      <c r="BJ90" s="18"/>
      <c r="BK90" s="18"/>
      <c r="BL90" s="17"/>
      <c r="BM90" s="13"/>
      <c r="BO90" s="26"/>
      <c r="BS90" s="26"/>
      <c r="CD90" s="27"/>
    </row>
    <row r="91" spans="1:82" s="11" customFormat="1">
      <c r="A91" s="32"/>
      <c r="B91" s="33"/>
      <c r="C91" s="18"/>
      <c r="D91" s="18"/>
      <c r="E91" s="18"/>
      <c r="F91" s="18"/>
      <c r="G91" s="18"/>
      <c r="H91" s="17"/>
      <c r="I91" s="18"/>
      <c r="J91" s="18"/>
      <c r="K91" s="18"/>
      <c r="L91" s="18"/>
      <c r="M91" s="18"/>
      <c r="N91" s="18"/>
      <c r="O91" s="18"/>
      <c r="P91" s="33"/>
      <c r="Q91" s="18"/>
      <c r="R91" s="18"/>
      <c r="S91" s="18"/>
      <c r="T91" s="18"/>
      <c r="U91" s="18"/>
      <c r="V91" s="17"/>
      <c r="W91" s="18"/>
      <c r="X91" s="18"/>
      <c r="Y91" s="18"/>
      <c r="Z91" s="18"/>
      <c r="AA91" s="18"/>
      <c r="AB91" s="18"/>
      <c r="AC91" s="18"/>
      <c r="AD91" s="33"/>
      <c r="AE91" s="18"/>
      <c r="AF91" s="18"/>
      <c r="AG91" s="18"/>
      <c r="AH91" s="18"/>
      <c r="AI91" s="18"/>
      <c r="AJ91" s="17"/>
      <c r="AK91" s="33"/>
      <c r="AL91" s="18"/>
      <c r="AM91" s="18"/>
      <c r="AN91" s="18"/>
      <c r="AO91" s="18"/>
      <c r="AP91" s="18"/>
      <c r="AQ91" s="17"/>
      <c r="AR91" s="18"/>
      <c r="AS91" s="16" t="s">
        <v>311</v>
      </c>
      <c r="AT91" s="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33"/>
      <c r="BI91" s="18"/>
      <c r="BJ91" s="18"/>
      <c r="BK91" s="18"/>
      <c r="BL91" s="17"/>
      <c r="BM91" s="13"/>
      <c r="BO91" s="26"/>
      <c r="BS91" s="26"/>
      <c r="CD91" s="27"/>
    </row>
    <row r="92" spans="1:82" s="11" customFormat="1">
      <c r="A92" s="32"/>
      <c r="B92" s="33"/>
      <c r="C92" s="18"/>
      <c r="D92" s="18"/>
      <c r="E92" s="18"/>
      <c r="F92" s="18"/>
      <c r="G92" s="18"/>
      <c r="H92" s="17"/>
      <c r="I92" s="18"/>
      <c r="J92" s="18"/>
      <c r="K92" s="18"/>
      <c r="L92" s="18"/>
      <c r="M92" s="18"/>
      <c r="N92" s="18"/>
      <c r="O92" s="18"/>
      <c r="P92" s="33"/>
      <c r="Q92" s="18"/>
      <c r="R92" s="18"/>
      <c r="S92" s="18"/>
      <c r="T92" s="18"/>
      <c r="U92" s="18"/>
      <c r="V92" s="17"/>
      <c r="W92" s="18"/>
      <c r="X92" s="18"/>
      <c r="Y92" s="18"/>
      <c r="Z92" s="18"/>
      <c r="AA92" s="18"/>
      <c r="AB92" s="18"/>
      <c r="AC92" s="18"/>
      <c r="AD92" s="33"/>
      <c r="AE92" s="18"/>
      <c r="AF92" s="18"/>
      <c r="AG92" s="18"/>
      <c r="AH92" s="18"/>
      <c r="AI92" s="18"/>
      <c r="AJ92" s="17"/>
      <c r="AK92" s="33"/>
      <c r="AL92" s="18"/>
      <c r="AM92" s="18"/>
      <c r="AN92" s="18"/>
      <c r="AO92" s="18"/>
      <c r="AP92" s="18"/>
      <c r="AQ92" s="17"/>
      <c r="AR92" s="18"/>
      <c r="AS92" s="8"/>
      <c r="AT92" s="8" t="s">
        <v>312</v>
      </c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33"/>
      <c r="BI92" s="18"/>
      <c r="BJ92" s="18"/>
      <c r="BK92" s="18"/>
      <c r="BL92" s="17"/>
      <c r="BM92" s="13"/>
      <c r="BO92" s="26"/>
      <c r="BS92" s="26"/>
      <c r="CD92" s="27"/>
    </row>
    <row r="93" spans="1:82" s="11" customFormat="1">
      <c r="A93" s="32"/>
      <c r="B93" s="33"/>
      <c r="C93" s="18"/>
      <c r="D93" s="18"/>
      <c r="E93" s="18"/>
      <c r="F93" s="18"/>
      <c r="G93" s="18"/>
      <c r="H93" s="17"/>
      <c r="I93" s="18"/>
      <c r="J93" s="18"/>
      <c r="K93" s="18"/>
      <c r="L93" s="18"/>
      <c r="M93" s="18"/>
      <c r="N93" s="18"/>
      <c r="O93" s="18"/>
      <c r="P93" s="33"/>
      <c r="Q93" s="18"/>
      <c r="R93" s="18"/>
      <c r="S93" s="18"/>
      <c r="T93" s="18"/>
      <c r="U93" s="18"/>
      <c r="V93" s="17"/>
      <c r="W93" s="18"/>
      <c r="X93" s="18"/>
      <c r="Y93" s="18"/>
      <c r="Z93" s="18"/>
      <c r="AA93" s="18"/>
      <c r="AB93" s="18"/>
      <c r="AC93" s="18"/>
      <c r="AD93" s="33"/>
      <c r="AE93" s="18"/>
      <c r="AF93" s="18"/>
      <c r="AG93" s="18"/>
      <c r="AH93" s="18"/>
      <c r="AI93" s="18"/>
      <c r="AJ93" s="17"/>
      <c r="AK93" s="33"/>
      <c r="AL93" s="18"/>
      <c r="AM93" s="18"/>
      <c r="AN93" s="18"/>
      <c r="AO93" s="18"/>
      <c r="AP93" s="18"/>
      <c r="AQ93" s="17"/>
      <c r="AR93" s="18"/>
      <c r="AS93" s="8"/>
      <c r="AT93" s="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33"/>
      <c r="BI93" s="18"/>
      <c r="BJ93" s="18"/>
      <c r="BK93" s="18"/>
      <c r="BL93" s="17"/>
      <c r="BM93" s="13"/>
      <c r="BO93" s="26"/>
      <c r="BS93" s="26"/>
      <c r="CD93" s="27"/>
    </row>
    <row r="94" spans="1:82" s="11" customFormat="1">
      <c r="A94" s="32"/>
      <c r="B94" s="33"/>
      <c r="C94" s="18"/>
      <c r="D94" s="18"/>
      <c r="E94" s="18"/>
      <c r="F94" s="18"/>
      <c r="G94" s="18"/>
      <c r="H94" s="17"/>
      <c r="I94" s="18"/>
      <c r="J94" s="18"/>
      <c r="K94" s="18"/>
      <c r="L94" s="18"/>
      <c r="M94" s="18"/>
      <c r="N94" s="18"/>
      <c r="O94" s="18"/>
      <c r="P94" s="33"/>
      <c r="Q94" s="18"/>
      <c r="R94" s="18"/>
      <c r="S94" s="18"/>
      <c r="T94" s="18"/>
      <c r="U94" s="18"/>
      <c r="V94" s="17"/>
      <c r="W94" s="18"/>
      <c r="X94" s="18"/>
      <c r="Y94" s="18"/>
      <c r="Z94" s="18"/>
      <c r="AA94" s="18"/>
      <c r="AB94" s="18"/>
      <c r="AC94" s="18"/>
      <c r="AD94" s="33"/>
      <c r="AE94" s="18"/>
      <c r="AF94" s="18"/>
      <c r="AG94" s="18"/>
      <c r="AH94" s="18"/>
      <c r="AI94" s="18"/>
      <c r="AJ94" s="17"/>
      <c r="AK94" s="33"/>
      <c r="AL94" s="18"/>
      <c r="AM94" s="18"/>
      <c r="AN94" s="18"/>
      <c r="AO94" s="18"/>
      <c r="AP94" s="18"/>
      <c r="AQ94" s="17"/>
      <c r="AR94" s="18"/>
      <c r="AS94" s="8" t="s">
        <v>162</v>
      </c>
      <c r="AT94" s="8" t="s">
        <v>293</v>
      </c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33"/>
      <c r="BI94" s="18"/>
      <c r="BJ94" s="18"/>
      <c r="BK94" s="18"/>
      <c r="BL94" s="17"/>
      <c r="BM94" s="13"/>
      <c r="BO94" s="26"/>
      <c r="BS94" s="26"/>
      <c r="CD94" s="27"/>
    </row>
    <row r="95" spans="1:82" s="11" customFormat="1">
      <c r="A95" s="32"/>
      <c r="B95" s="33"/>
      <c r="C95" s="18"/>
      <c r="D95" s="18"/>
      <c r="E95" s="18"/>
      <c r="F95" s="18"/>
      <c r="G95" s="18"/>
      <c r="H95" s="17"/>
      <c r="I95" s="18"/>
      <c r="J95" s="18"/>
      <c r="K95" s="18"/>
      <c r="L95" s="18"/>
      <c r="M95" s="18"/>
      <c r="N95" s="18"/>
      <c r="O95" s="18"/>
      <c r="P95" s="33"/>
      <c r="Q95" s="18"/>
      <c r="R95" s="18"/>
      <c r="S95" s="18"/>
      <c r="T95" s="18"/>
      <c r="U95" s="18"/>
      <c r="V95" s="17"/>
      <c r="W95" s="18"/>
      <c r="X95" s="18"/>
      <c r="Y95" s="18"/>
      <c r="Z95" s="18"/>
      <c r="AA95" s="18"/>
      <c r="AB95" s="18"/>
      <c r="AC95" s="18"/>
      <c r="AD95" s="33"/>
      <c r="AE95" s="18"/>
      <c r="AF95" s="18"/>
      <c r="AG95" s="18"/>
      <c r="AH95" s="18"/>
      <c r="AI95" s="18"/>
      <c r="AJ95" s="17"/>
      <c r="AK95" s="33"/>
      <c r="AL95" s="18"/>
      <c r="AM95" s="18"/>
      <c r="AN95" s="18"/>
      <c r="AO95" s="18"/>
      <c r="AP95" s="18"/>
      <c r="AQ95" s="17"/>
      <c r="AR95" s="18"/>
      <c r="AS95" s="8"/>
      <c r="AT95" s="8" t="s">
        <v>294</v>
      </c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33"/>
      <c r="BI95" s="18"/>
      <c r="BJ95" s="18"/>
      <c r="BK95" s="18"/>
      <c r="BL95" s="17"/>
      <c r="BM95" s="13"/>
      <c r="BO95" s="26"/>
      <c r="BS95" s="26"/>
      <c r="CD95" s="27"/>
    </row>
    <row r="96" spans="1:82" s="11" customFormat="1">
      <c r="A96" s="32"/>
      <c r="B96" s="33"/>
      <c r="C96" s="18"/>
      <c r="D96" s="18"/>
      <c r="E96" s="18"/>
      <c r="F96" s="18"/>
      <c r="G96" s="18"/>
      <c r="H96" s="17"/>
      <c r="I96" s="18"/>
      <c r="J96" s="18"/>
      <c r="K96" s="18"/>
      <c r="L96" s="18"/>
      <c r="M96" s="18"/>
      <c r="N96" s="18"/>
      <c r="O96" s="18"/>
      <c r="P96" s="33"/>
      <c r="Q96" s="18"/>
      <c r="R96" s="18"/>
      <c r="S96" s="18"/>
      <c r="T96" s="18"/>
      <c r="U96" s="18"/>
      <c r="V96" s="17"/>
      <c r="W96" s="18"/>
      <c r="X96" s="18"/>
      <c r="Y96" s="18"/>
      <c r="Z96" s="18"/>
      <c r="AA96" s="18"/>
      <c r="AB96" s="18"/>
      <c r="AC96" s="18"/>
      <c r="AD96" s="33"/>
      <c r="AE96" s="18"/>
      <c r="AF96" s="18"/>
      <c r="AG96" s="18"/>
      <c r="AH96" s="18"/>
      <c r="AI96" s="18"/>
      <c r="AJ96" s="17"/>
      <c r="AK96" s="33"/>
      <c r="AL96" s="18"/>
      <c r="AM96" s="18"/>
      <c r="AN96" s="18"/>
      <c r="AO96" s="18"/>
      <c r="AP96" s="18"/>
      <c r="AQ96" s="17"/>
      <c r="AR96" s="18"/>
      <c r="AS96" s="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33"/>
      <c r="BI96" s="18"/>
      <c r="BJ96" s="18"/>
      <c r="BK96" s="18"/>
      <c r="BL96" s="17"/>
      <c r="BM96" s="13"/>
      <c r="BO96" s="26"/>
      <c r="BS96" s="26"/>
      <c r="CD96" s="27"/>
    </row>
    <row r="97" spans="1:82" s="11" customFormat="1">
      <c r="A97" s="32"/>
      <c r="B97" s="33"/>
      <c r="C97" s="18"/>
      <c r="D97" s="18"/>
      <c r="E97" s="18"/>
      <c r="F97" s="18"/>
      <c r="G97" s="18"/>
      <c r="H97" s="17"/>
      <c r="I97" s="18"/>
      <c r="J97" s="18"/>
      <c r="K97" s="18"/>
      <c r="L97" s="18"/>
      <c r="M97" s="18"/>
      <c r="N97" s="18"/>
      <c r="O97" s="18"/>
      <c r="P97" s="33"/>
      <c r="Q97" s="18"/>
      <c r="R97" s="18"/>
      <c r="S97" s="18"/>
      <c r="T97" s="18"/>
      <c r="U97" s="18"/>
      <c r="V97" s="17"/>
      <c r="W97" s="18"/>
      <c r="X97" s="18"/>
      <c r="Y97" s="18"/>
      <c r="Z97" s="18"/>
      <c r="AA97" s="18"/>
      <c r="AB97" s="18"/>
      <c r="AC97" s="18"/>
      <c r="AD97" s="33"/>
      <c r="AE97" s="18"/>
      <c r="AF97" s="18"/>
      <c r="AG97" s="18"/>
      <c r="AH97" s="18"/>
      <c r="AI97" s="18"/>
      <c r="AJ97" s="17"/>
      <c r="AK97" s="33"/>
      <c r="AL97" s="18"/>
      <c r="AM97" s="18"/>
      <c r="AN97" s="18"/>
      <c r="AO97" s="18"/>
      <c r="AP97" s="18"/>
      <c r="AQ97" s="17"/>
      <c r="AR97" s="18"/>
      <c r="AS97" s="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33"/>
      <c r="BI97" s="18"/>
      <c r="BJ97" s="18"/>
      <c r="BK97" s="18"/>
      <c r="BL97" s="17"/>
      <c r="BM97" s="13"/>
      <c r="BO97" s="26"/>
      <c r="BS97" s="26"/>
      <c r="CD97" s="27"/>
    </row>
    <row r="98" spans="1:82" s="11" customFormat="1">
      <c r="A98" s="32"/>
      <c r="B98" s="33"/>
      <c r="C98" s="18"/>
      <c r="D98" s="18"/>
      <c r="E98" s="18"/>
      <c r="F98" s="18"/>
      <c r="G98" s="18"/>
      <c r="H98" s="17"/>
      <c r="I98" s="18"/>
      <c r="J98" s="18"/>
      <c r="K98" s="18"/>
      <c r="L98" s="18"/>
      <c r="M98" s="18"/>
      <c r="N98" s="18"/>
      <c r="O98" s="18"/>
      <c r="P98" s="33"/>
      <c r="Q98" s="18"/>
      <c r="R98" s="18"/>
      <c r="S98" s="18"/>
      <c r="T98" s="18"/>
      <c r="U98" s="18"/>
      <c r="V98" s="17"/>
      <c r="W98" s="18"/>
      <c r="X98" s="18"/>
      <c r="Y98" s="18"/>
      <c r="Z98" s="18"/>
      <c r="AA98" s="18"/>
      <c r="AB98" s="18"/>
      <c r="AC98" s="18"/>
      <c r="AD98" s="33"/>
      <c r="AE98" s="18"/>
      <c r="AF98" s="18"/>
      <c r="AG98" s="18"/>
      <c r="AH98" s="18"/>
      <c r="AI98" s="18"/>
      <c r="AJ98" s="17"/>
      <c r="AK98" s="33"/>
      <c r="AL98" s="18"/>
      <c r="AM98" s="18"/>
      <c r="AN98" s="18"/>
      <c r="AO98" s="18"/>
      <c r="AP98" s="18"/>
      <c r="AQ98" s="17"/>
      <c r="AR98" s="18"/>
      <c r="AS98" s="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33"/>
      <c r="BI98" s="18"/>
      <c r="BJ98" s="18"/>
      <c r="BK98" s="18"/>
      <c r="BL98" s="17"/>
      <c r="BM98" s="13"/>
      <c r="BO98" s="26"/>
      <c r="BS98" s="26"/>
      <c r="CD98" s="27"/>
    </row>
    <row r="99" spans="1:82" s="11" customFormat="1">
      <c r="A99" s="32"/>
      <c r="B99" s="33"/>
      <c r="C99" s="18"/>
      <c r="D99" s="18"/>
      <c r="E99" s="18"/>
      <c r="F99" s="18"/>
      <c r="G99" s="18"/>
      <c r="H99" s="17"/>
      <c r="I99" s="18"/>
      <c r="J99" s="18"/>
      <c r="K99" s="18"/>
      <c r="L99" s="18"/>
      <c r="M99" s="18"/>
      <c r="N99" s="18"/>
      <c r="O99" s="18"/>
      <c r="P99" s="33"/>
      <c r="Q99" s="18"/>
      <c r="R99" s="18"/>
      <c r="S99" s="18"/>
      <c r="T99" s="18"/>
      <c r="U99" s="18"/>
      <c r="V99" s="17"/>
      <c r="W99" s="18"/>
      <c r="X99" s="18"/>
      <c r="Y99" s="18"/>
      <c r="Z99" s="18"/>
      <c r="AA99" s="18"/>
      <c r="AB99" s="18"/>
      <c r="AC99" s="18"/>
      <c r="AD99" s="33"/>
      <c r="AE99" s="18"/>
      <c r="AF99" s="18"/>
      <c r="AG99" s="18"/>
      <c r="AH99" s="18"/>
      <c r="AI99" s="18"/>
      <c r="AJ99" s="17"/>
      <c r="AK99" s="33"/>
      <c r="AL99" s="18"/>
      <c r="AM99" s="18"/>
      <c r="AN99" s="18"/>
      <c r="AO99" s="18"/>
      <c r="AP99" s="18"/>
      <c r="AQ99" s="17"/>
      <c r="AR99" s="18"/>
      <c r="AS99" s="16" t="s">
        <v>313</v>
      </c>
      <c r="AT99" s="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33"/>
      <c r="BI99" s="18"/>
      <c r="BJ99" s="18"/>
      <c r="BK99" s="18"/>
      <c r="BL99" s="17"/>
      <c r="BM99" s="13"/>
      <c r="BO99" s="26"/>
      <c r="BS99" s="26"/>
      <c r="CD99" s="27"/>
    </row>
    <row r="100" spans="1:82" s="11" customFormat="1">
      <c r="A100" s="32"/>
      <c r="B100" s="33"/>
      <c r="C100" s="18"/>
      <c r="D100" s="18"/>
      <c r="E100" s="18"/>
      <c r="F100" s="18"/>
      <c r="G100" s="18"/>
      <c r="H100" s="17"/>
      <c r="I100" s="18"/>
      <c r="J100" s="18"/>
      <c r="K100" s="18"/>
      <c r="L100" s="18"/>
      <c r="M100" s="18"/>
      <c r="N100" s="18"/>
      <c r="O100" s="18"/>
      <c r="P100" s="33"/>
      <c r="Q100" s="18"/>
      <c r="R100" s="18"/>
      <c r="S100" s="18"/>
      <c r="T100" s="18"/>
      <c r="U100" s="18"/>
      <c r="V100" s="17"/>
      <c r="W100" s="18"/>
      <c r="X100" s="18"/>
      <c r="Y100" s="18"/>
      <c r="Z100" s="18"/>
      <c r="AA100" s="18"/>
      <c r="AB100" s="18"/>
      <c r="AC100" s="18"/>
      <c r="AD100" s="33"/>
      <c r="AE100" s="18"/>
      <c r="AF100" s="18"/>
      <c r="AG100" s="18"/>
      <c r="AH100" s="18"/>
      <c r="AI100" s="18"/>
      <c r="AJ100" s="17"/>
      <c r="AK100" s="33"/>
      <c r="AL100" s="18"/>
      <c r="AM100" s="18"/>
      <c r="AN100" s="18"/>
      <c r="AO100" s="18"/>
      <c r="AP100" s="18"/>
      <c r="AQ100" s="17"/>
      <c r="AR100" s="18"/>
      <c r="AS100" s="8"/>
      <c r="AT100" s="8" t="s">
        <v>314</v>
      </c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33"/>
      <c r="BI100" s="18"/>
      <c r="BJ100" s="18"/>
      <c r="BK100" s="18"/>
      <c r="BL100" s="17"/>
      <c r="BM100" s="13"/>
      <c r="BO100" s="26"/>
      <c r="BS100" s="26"/>
      <c r="CD100" s="27"/>
    </row>
    <row r="101" spans="1:82" s="11" customFormat="1">
      <c r="A101" s="32"/>
      <c r="B101" s="33"/>
      <c r="C101" s="18"/>
      <c r="D101" s="18"/>
      <c r="E101" s="18"/>
      <c r="F101" s="18"/>
      <c r="G101" s="18"/>
      <c r="H101" s="17"/>
      <c r="I101" s="18"/>
      <c r="J101" s="18"/>
      <c r="K101" s="18"/>
      <c r="L101" s="18"/>
      <c r="M101" s="18"/>
      <c r="N101" s="18"/>
      <c r="O101" s="18"/>
      <c r="P101" s="33"/>
      <c r="Q101" s="18"/>
      <c r="R101" s="18"/>
      <c r="S101" s="18"/>
      <c r="T101" s="18"/>
      <c r="U101" s="18"/>
      <c r="V101" s="17"/>
      <c r="W101" s="18"/>
      <c r="X101" s="18"/>
      <c r="Y101" s="18"/>
      <c r="Z101" s="18"/>
      <c r="AA101" s="18"/>
      <c r="AB101" s="18"/>
      <c r="AC101" s="18"/>
      <c r="AD101" s="33"/>
      <c r="AE101" s="18"/>
      <c r="AF101" s="18"/>
      <c r="AG101" s="18"/>
      <c r="AH101" s="18"/>
      <c r="AI101" s="18"/>
      <c r="AJ101" s="17"/>
      <c r="AK101" s="33"/>
      <c r="AL101" s="18"/>
      <c r="AM101" s="18"/>
      <c r="AN101" s="18"/>
      <c r="AO101" s="18"/>
      <c r="AP101" s="18"/>
      <c r="AQ101" s="17"/>
      <c r="AR101" s="18"/>
      <c r="AS101" s="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33"/>
      <c r="BI101" s="18"/>
      <c r="BJ101" s="18"/>
      <c r="BK101" s="18"/>
      <c r="BL101" s="17"/>
      <c r="BM101" s="13"/>
      <c r="BO101" s="26"/>
      <c r="BS101" s="26"/>
      <c r="CD101" s="27"/>
    </row>
    <row r="102" spans="1:82" s="11" customFormat="1">
      <c r="A102" s="32"/>
      <c r="B102" s="33"/>
      <c r="C102" s="18"/>
      <c r="D102" s="18"/>
      <c r="E102" s="18"/>
      <c r="F102" s="18"/>
      <c r="G102" s="18"/>
      <c r="H102" s="17"/>
      <c r="I102" s="18"/>
      <c r="J102" s="18"/>
      <c r="K102" s="18"/>
      <c r="L102" s="18"/>
      <c r="M102" s="18"/>
      <c r="N102" s="18"/>
      <c r="O102" s="18"/>
      <c r="P102" s="33"/>
      <c r="Q102" s="18"/>
      <c r="R102" s="18"/>
      <c r="S102" s="18"/>
      <c r="T102" s="18"/>
      <c r="U102" s="18"/>
      <c r="V102" s="17"/>
      <c r="W102" s="18"/>
      <c r="X102" s="18"/>
      <c r="Y102" s="18"/>
      <c r="Z102" s="18"/>
      <c r="AA102" s="18"/>
      <c r="AB102" s="18"/>
      <c r="AC102" s="18"/>
      <c r="AD102" s="33"/>
      <c r="AE102" s="18"/>
      <c r="AF102" s="18"/>
      <c r="AG102" s="18"/>
      <c r="AH102" s="18"/>
      <c r="AI102" s="18"/>
      <c r="AJ102" s="17"/>
      <c r="AK102" s="33"/>
      <c r="AL102" s="18"/>
      <c r="AM102" s="18"/>
      <c r="AN102" s="18"/>
      <c r="AO102" s="18"/>
      <c r="AP102" s="18"/>
      <c r="AQ102" s="17"/>
      <c r="AR102" s="18"/>
      <c r="AS102" s="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33"/>
      <c r="BI102" s="18"/>
      <c r="BJ102" s="18"/>
      <c r="BK102" s="18"/>
      <c r="BL102" s="17"/>
      <c r="BM102" s="13"/>
      <c r="BO102" s="26"/>
      <c r="BS102" s="26"/>
      <c r="CD102" s="27"/>
    </row>
    <row r="103" spans="1:82" s="11" customFormat="1">
      <c r="A103" s="32"/>
      <c r="B103" s="33"/>
      <c r="C103" s="18"/>
      <c r="D103" s="18"/>
      <c r="E103" s="18"/>
      <c r="F103" s="18"/>
      <c r="G103" s="18"/>
      <c r="H103" s="17"/>
      <c r="I103" s="18"/>
      <c r="J103" s="18"/>
      <c r="K103" s="18"/>
      <c r="L103" s="18"/>
      <c r="M103" s="18"/>
      <c r="N103" s="18"/>
      <c r="O103" s="18"/>
      <c r="P103" s="33"/>
      <c r="Q103" s="18"/>
      <c r="R103" s="18"/>
      <c r="S103" s="18"/>
      <c r="T103" s="18"/>
      <c r="U103" s="18"/>
      <c r="V103" s="17"/>
      <c r="W103" s="18"/>
      <c r="X103" s="18"/>
      <c r="Y103" s="18"/>
      <c r="Z103" s="18"/>
      <c r="AA103" s="18"/>
      <c r="AB103" s="18"/>
      <c r="AC103" s="18"/>
      <c r="AD103" s="33"/>
      <c r="AE103" s="18"/>
      <c r="AF103" s="18"/>
      <c r="AG103" s="18"/>
      <c r="AH103" s="18"/>
      <c r="AI103" s="18"/>
      <c r="AJ103" s="17"/>
      <c r="AK103" s="33"/>
      <c r="AL103" s="18"/>
      <c r="AM103" s="18"/>
      <c r="AN103" s="18"/>
      <c r="AO103" s="18"/>
      <c r="AP103" s="18"/>
      <c r="AQ103" s="17"/>
      <c r="AR103" s="18"/>
      <c r="AS103" s="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33"/>
      <c r="BI103" s="18"/>
      <c r="BJ103" s="18"/>
      <c r="BK103" s="18"/>
      <c r="BL103" s="17"/>
      <c r="BM103" s="13"/>
      <c r="BO103" s="26"/>
      <c r="BS103" s="26"/>
      <c r="CD103" s="27"/>
    </row>
    <row r="104" spans="1:82" s="11" customFormat="1">
      <c r="A104" s="32"/>
      <c r="B104" s="33"/>
      <c r="C104" s="18"/>
      <c r="D104" s="18"/>
      <c r="E104" s="18"/>
      <c r="F104" s="18"/>
      <c r="G104" s="18"/>
      <c r="H104" s="17"/>
      <c r="I104" s="18"/>
      <c r="J104" s="18"/>
      <c r="K104" s="18"/>
      <c r="L104" s="18"/>
      <c r="M104" s="18"/>
      <c r="N104" s="18"/>
      <c r="O104" s="18"/>
      <c r="P104" s="33"/>
      <c r="Q104" s="18"/>
      <c r="R104" s="18"/>
      <c r="S104" s="18"/>
      <c r="T104" s="18"/>
      <c r="U104" s="18"/>
      <c r="V104" s="17"/>
      <c r="W104" s="18"/>
      <c r="X104" s="18"/>
      <c r="Y104" s="18"/>
      <c r="Z104" s="18"/>
      <c r="AA104" s="18"/>
      <c r="AB104" s="18"/>
      <c r="AC104" s="18"/>
      <c r="AD104" s="33"/>
      <c r="AE104" s="18"/>
      <c r="AF104" s="18"/>
      <c r="AG104" s="18"/>
      <c r="AH104" s="18"/>
      <c r="AI104" s="18"/>
      <c r="AJ104" s="17"/>
      <c r="AK104" s="33"/>
      <c r="AL104" s="18"/>
      <c r="AM104" s="18"/>
      <c r="AN104" s="18"/>
      <c r="AO104" s="18"/>
      <c r="AP104" s="18"/>
      <c r="AQ104" s="17"/>
      <c r="AR104" s="18"/>
      <c r="AS104" s="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33"/>
      <c r="BI104" s="18"/>
      <c r="BJ104" s="18"/>
      <c r="BK104" s="18"/>
      <c r="BL104" s="17"/>
      <c r="BM104" s="13"/>
      <c r="BO104" s="26"/>
      <c r="BS104" s="26"/>
      <c r="CD104" s="27"/>
    </row>
    <row r="105" spans="1:82" s="11" customFormat="1">
      <c r="A105" s="32"/>
      <c r="B105" s="33"/>
      <c r="C105" s="18"/>
      <c r="D105" s="18"/>
      <c r="E105" s="18"/>
      <c r="F105" s="18"/>
      <c r="G105" s="18"/>
      <c r="H105" s="17"/>
      <c r="I105" s="18"/>
      <c r="J105" s="18"/>
      <c r="K105" s="18"/>
      <c r="L105" s="18"/>
      <c r="M105" s="18"/>
      <c r="N105" s="18"/>
      <c r="O105" s="18"/>
      <c r="P105" s="33"/>
      <c r="Q105" s="18"/>
      <c r="R105" s="18"/>
      <c r="S105" s="18"/>
      <c r="T105" s="18"/>
      <c r="U105" s="18"/>
      <c r="V105" s="17"/>
      <c r="W105" s="18"/>
      <c r="X105" s="18"/>
      <c r="Y105" s="18"/>
      <c r="Z105" s="18"/>
      <c r="AA105" s="18"/>
      <c r="AB105" s="18"/>
      <c r="AC105" s="18"/>
      <c r="AD105" s="33"/>
      <c r="AE105" s="18"/>
      <c r="AF105" s="18"/>
      <c r="AG105" s="18"/>
      <c r="AH105" s="18"/>
      <c r="AI105" s="18"/>
      <c r="AJ105" s="17"/>
      <c r="AK105" s="33"/>
      <c r="AL105" s="18"/>
      <c r="AM105" s="18"/>
      <c r="AN105" s="18"/>
      <c r="AO105" s="18"/>
      <c r="AP105" s="18"/>
      <c r="AQ105" s="17"/>
      <c r="AR105" s="18"/>
      <c r="AS105" s="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33"/>
      <c r="BI105" s="18"/>
      <c r="BJ105" s="18"/>
      <c r="BK105" s="18"/>
      <c r="BL105" s="17"/>
      <c r="BM105" s="13"/>
      <c r="BO105" s="26"/>
      <c r="BS105" s="26"/>
      <c r="CD105" s="27"/>
    </row>
    <row r="106" spans="1:82" s="11" customFormat="1">
      <c r="A106" s="32"/>
      <c r="B106" s="33"/>
      <c r="C106" s="18"/>
      <c r="D106" s="18"/>
      <c r="E106" s="18"/>
      <c r="F106" s="18"/>
      <c r="G106" s="18"/>
      <c r="H106" s="17"/>
      <c r="I106" s="18"/>
      <c r="J106" s="18"/>
      <c r="K106" s="18"/>
      <c r="L106" s="18"/>
      <c r="M106" s="18"/>
      <c r="N106" s="18"/>
      <c r="O106" s="18"/>
      <c r="P106" s="33"/>
      <c r="Q106" s="18"/>
      <c r="R106" s="18"/>
      <c r="S106" s="18"/>
      <c r="T106" s="18"/>
      <c r="U106" s="18"/>
      <c r="V106" s="17"/>
      <c r="W106" s="18"/>
      <c r="X106" s="18"/>
      <c r="Y106" s="18"/>
      <c r="Z106" s="18"/>
      <c r="AA106" s="18"/>
      <c r="AB106" s="18"/>
      <c r="AC106" s="18"/>
      <c r="AD106" s="33"/>
      <c r="AE106" s="18"/>
      <c r="AF106" s="18"/>
      <c r="AG106" s="18"/>
      <c r="AH106" s="18"/>
      <c r="AI106" s="18"/>
      <c r="AJ106" s="17"/>
      <c r="AK106" s="33"/>
      <c r="AL106" s="18"/>
      <c r="AM106" s="18"/>
      <c r="AN106" s="18"/>
      <c r="AO106" s="18"/>
      <c r="AP106" s="18"/>
      <c r="AQ106" s="17"/>
      <c r="AR106" s="18"/>
      <c r="AS106" s="16" t="s">
        <v>315</v>
      </c>
      <c r="AT106" s="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33"/>
      <c r="BI106" s="18"/>
      <c r="BJ106" s="18"/>
      <c r="BK106" s="18"/>
      <c r="BL106" s="17"/>
      <c r="BM106" s="13"/>
      <c r="BO106" s="26"/>
      <c r="BS106" s="26"/>
      <c r="CD106" s="27"/>
    </row>
    <row r="107" spans="1:82" s="11" customFormat="1">
      <c r="A107" s="32"/>
      <c r="B107" s="33"/>
      <c r="C107" s="18"/>
      <c r="D107" s="18"/>
      <c r="E107" s="18"/>
      <c r="F107" s="18"/>
      <c r="G107" s="18"/>
      <c r="H107" s="17"/>
      <c r="I107" s="18"/>
      <c r="J107" s="18"/>
      <c r="K107" s="18"/>
      <c r="L107" s="18"/>
      <c r="M107" s="18"/>
      <c r="N107" s="18"/>
      <c r="O107" s="18"/>
      <c r="P107" s="33"/>
      <c r="Q107" s="18"/>
      <c r="R107" s="18"/>
      <c r="S107" s="18"/>
      <c r="T107" s="18"/>
      <c r="U107" s="18"/>
      <c r="V107" s="17"/>
      <c r="W107" s="18"/>
      <c r="X107" s="18"/>
      <c r="Y107" s="18"/>
      <c r="Z107" s="18"/>
      <c r="AA107" s="18"/>
      <c r="AB107" s="18"/>
      <c r="AC107" s="18"/>
      <c r="AD107" s="33"/>
      <c r="AE107" s="18"/>
      <c r="AF107" s="18"/>
      <c r="AG107" s="18"/>
      <c r="AH107" s="18"/>
      <c r="AI107" s="18"/>
      <c r="AJ107" s="17"/>
      <c r="AK107" s="33"/>
      <c r="AL107" s="18"/>
      <c r="AM107" s="18"/>
      <c r="AN107" s="18"/>
      <c r="AO107" s="18"/>
      <c r="AP107" s="18"/>
      <c r="AQ107" s="17"/>
      <c r="AR107" s="18"/>
      <c r="AS107" s="8"/>
      <c r="AT107" s="8" t="s">
        <v>316</v>
      </c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33"/>
      <c r="BI107" s="18"/>
      <c r="BJ107" s="18"/>
      <c r="BK107" s="18"/>
      <c r="BL107" s="17"/>
      <c r="BM107" s="13"/>
      <c r="BO107" s="26"/>
      <c r="BS107" s="26"/>
      <c r="CD107" s="27"/>
    </row>
    <row r="108" spans="1:82" s="11" customFormat="1">
      <c r="A108" s="32"/>
      <c r="B108" s="33"/>
      <c r="C108" s="18"/>
      <c r="D108" s="18"/>
      <c r="E108" s="18"/>
      <c r="F108" s="18"/>
      <c r="G108" s="18"/>
      <c r="H108" s="17"/>
      <c r="I108" s="18"/>
      <c r="J108" s="18"/>
      <c r="K108" s="18"/>
      <c r="L108" s="18"/>
      <c r="M108" s="18"/>
      <c r="N108" s="18"/>
      <c r="O108" s="18"/>
      <c r="P108" s="33"/>
      <c r="Q108" s="18"/>
      <c r="R108" s="18"/>
      <c r="S108" s="18"/>
      <c r="T108" s="18"/>
      <c r="U108" s="18"/>
      <c r="V108" s="17"/>
      <c r="W108" s="18"/>
      <c r="X108" s="18"/>
      <c r="Y108" s="18"/>
      <c r="Z108" s="18"/>
      <c r="AA108" s="18"/>
      <c r="AB108" s="18"/>
      <c r="AC108" s="18"/>
      <c r="AD108" s="33"/>
      <c r="AE108" s="18"/>
      <c r="AF108" s="18"/>
      <c r="AG108" s="18"/>
      <c r="AH108" s="18"/>
      <c r="AI108" s="18"/>
      <c r="AJ108" s="17"/>
      <c r="AK108" s="33"/>
      <c r="AL108" s="18"/>
      <c r="AM108" s="18"/>
      <c r="AN108" s="18"/>
      <c r="AO108" s="18"/>
      <c r="AP108" s="18"/>
      <c r="AQ108" s="17"/>
      <c r="AR108" s="18"/>
      <c r="AS108" s="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33"/>
      <c r="BI108" s="18"/>
      <c r="BJ108" s="18"/>
      <c r="BK108" s="18"/>
      <c r="BL108" s="17"/>
      <c r="BM108" s="13"/>
      <c r="BO108" s="26"/>
      <c r="BS108" s="26"/>
      <c r="CD108" s="27"/>
    </row>
    <row r="109" spans="1:82" s="11" customFormat="1">
      <c r="A109" s="32"/>
      <c r="B109" s="33"/>
      <c r="C109" s="18"/>
      <c r="D109" s="18"/>
      <c r="E109" s="18"/>
      <c r="F109" s="18"/>
      <c r="G109" s="18"/>
      <c r="H109" s="17"/>
      <c r="I109" s="18"/>
      <c r="J109" s="18"/>
      <c r="K109" s="18"/>
      <c r="L109" s="18"/>
      <c r="M109" s="18"/>
      <c r="N109" s="18"/>
      <c r="O109" s="18"/>
      <c r="P109" s="33"/>
      <c r="Q109" s="18"/>
      <c r="R109" s="18"/>
      <c r="S109" s="18"/>
      <c r="T109" s="18"/>
      <c r="U109" s="18"/>
      <c r="V109" s="17"/>
      <c r="W109" s="18"/>
      <c r="X109" s="18"/>
      <c r="Y109" s="18"/>
      <c r="Z109" s="18"/>
      <c r="AA109" s="18"/>
      <c r="AB109" s="18"/>
      <c r="AC109" s="18"/>
      <c r="AD109" s="33"/>
      <c r="AE109" s="18"/>
      <c r="AF109" s="18"/>
      <c r="AG109" s="18"/>
      <c r="AH109" s="18"/>
      <c r="AI109" s="18"/>
      <c r="AJ109" s="17"/>
      <c r="AK109" s="33"/>
      <c r="AL109" s="18"/>
      <c r="AM109" s="18"/>
      <c r="AN109" s="18"/>
      <c r="AO109" s="18"/>
      <c r="AP109" s="18"/>
      <c r="AQ109" s="17"/>
      <c r="AR109" s="18"/>
      <c r="AS109" s="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33"/>
      <c r="BI109" s="18"/>
      <c r="BJ109" s="18"/>
      <c r="BK109" s="18"/>
      <c r="BL109" s="17"/>
      <c r="BM109" s="13"/>
      <c r="BO109" s="26"/>
      <c r="BS109" s="26"/>
      <c r="CD109" s="27"/>
    </row>
    <row r="110" spans="1:82" s="11" customFormat="1">
      <c r="A110" s="32"/>
      <c r="B110" s="33"/>
      <c r="C110" s="18"/>
      <c r="D110" s="18"/>
      <c r="E110" s="18"/>
      <c r="F110" s="18"/>
      <c r="G110" s="18"/>
      <c r="H110" s="17"/>
      <c r="I110" s="18"/>
      <c r="J110" s="18"/>
      <c r="K110" s="18"/>
      <c r="L110" s="18"/>
      <c r="M110" s="18"/>
      <c r="N110" s="18"/>
      <c r="O110" s="18"/>
      <c r="P110" s="33"/>
      <c r="Q110" s="18"/>
      <c r="R110" s="18"/>
      <c r="S110" s="18"/>
      <c r="T110" s="18"/>
      <c r="U110" s="18"/>
      <c r="V110" s="17"/>
      <c r="W110" s="18"/>
      <c r="X110" s="18"/>
      <c r="Y110" s="18"/>
      <c r="Z110" s="18"/>
      <c r="AA110" s="18"/>
      <c r="AB110" s="18"/>
      <c r="AC110" s="18"/>
      <c r="AD110" s="33"/>
      <c r="AE110" s="18"/>
      <c r="AF110" s="18"/>
      <c r="AG110" s="18"/>
      <c r="AH110" s="18"/>
      <c r="AI110" s="18"/>
      <c r="AJ110" s="17"/>
      <c r="AK110" s="33"/>
      <c r="AL110" s="18"/>
      <c r="AM110" s="18"/>
      <c r="AN110" s="18"/>
      <c r="AO110" s="18"/>
      <c r="AP110" s="18"/>
      <c r="AQ110" s="17"/>
      <c r="AR110" s="18"/>
      <c r="AS110" s="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33"/>
      <c r="BI110" s="18"/>
      <c r="BJ110" s="18"/>
      <c r="BK110" s="18"/>
      <c r="BL110" s="17"/>
      <c r="BM110" s="13"/>
      <c r="BO110" s="26"/>
      <c r="BS110" s="26"/>
      <c r="CD110" s="27"/>
    </row>
    <row r="111" spans="1:82" s="11" customFormat="1">
      <c r="A111" s="32"/>
      <c r="B111" s="33"/>
      <c r="C111" s="18"/>
      <c r="D111" s="18"/>
      <c r="E111" s="18"/>
      <c r="F111" s="18"/>
      <c r="G111" s="18"/>
      <c r="H111" s="17"/>
      <c r="I111" s="18"/>
      <c r="J111" s="18"/>
      <c r="K111" s="18"/>
      <c r="L111" s="18"/>
      <c r="M111" s="18"/>
      <c r="N111" s="18"/>
      <c r="O111" s="18"/>
      <c r="P111" s="33"/>
      <c r="Q111" s="18"/>
      <c r="R111" s="18"/>
      <c r="S111" s="18"/>
      <c r="T111" s="18"/>
      <c r="U111" s="18"/>
      <c r="V111" s="17"/>
      <c r="W111" s="18"/>
      <c r="X111" s="18"/>
      <c r="Y111" s="18"/>
      <c r="Z111" s="18"/>
      <c r="AA111" s="18"/>
      <c r="AB111" s="18"/>
      <c r="AC111" s="18"/>
      <c r="AD111" s="33"/>
      <c r="AE111" s="18"/>
      <c r="AF111" s="18"/>
      <c r="AG111" s="18"/>
      <c r="AH111" s="18"/>
      <c r="AI111" s="18"/>
      <c r="AJ111" s="17"/>
      <c r="AK111" s="33"/>
      <c r="AL111" s="18"/>
      <c r="AM111" s="18"/>
      <c r="AN111" s="18"/>
      <c r="AO111" s="18"/>
      <c r="AP111" s="18"/>
      <c r="AQ111" s="17"/>
      <c r="AR111" s="18"/>
      <c r="AS111" s="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33"/>
      <c r="BI111" s="18"/>
      <c r="BJ111" s="18"/>
      <c r="BK111" s="18"/>
      <c r="BL111" s="17"/>
      <c r="BM111" s="13"/>
      <c r="BO111" s="26"/>
      <c r="BS111" s="26"/>
      <c r="CD111" s="27"/>
    </row>
    <row r="112" spans="1:82" s="11" customFormat="1">
      <c r="A112" s="32"/>
      <c r="B112" s="33"/>
      <c r="C112" s="18"/>
      <c r="D112" s="18"/>
      <c r="E112" s="18"/>
      <c r="F112" s="18"/>
      <c r="G112" s="18"/>
      <c r="H112" s="17"/>
      <c r="I112" s="18"/>
      <c r="J112" s="18"/>
      <c r="K112" s="18"/>
      <c r="L112" s="18"/>
      <c r="M112" s="18"/>
      <c r="N112" s="18"/>
      <c r="O112" s="18"/>
      <c r="P112" s="33"/>
      <c r="Q112" s="18"/>
      <c r="R112" s="18"/>
      <c r="S112" s="18"/>
      <c r="T112" s="18"/>
      <c r="U112" s="18"/>
      <c r="V112" s="17"/>
      <c r="W112" s="18"/>
      <c r="X112" s="18"/>
      <c r="Y112" s="18"/>
      <c r="Z112" s="18"/>
      <c r="AA112" s="18"/>
      <c r="AB112" s="18"/>
      <c r="AC112" s="18"/>
      <c r="AD112" s="33"/>
      <c r="AE112" s="18"/>
      <c r="AF112" s="18"/>
      <c r="AG112" s="18"/>
      <c r="AH112" s="18"/>
      <c r="AI112" s="18"/>
      <c r="AJ112" s="17"/>
      <c r="AK112" s="33"/>
      <c r="AL112" s="18"/>
      <c r="AM112" s="18"/>
      <c r="AN112" s="18"/>
      <c r="AO112" s="18"/>
      <c r="AP112" s="18"/>
      <c r="AQ112" s="17"/>
      <c r="AR112" s="18"/>
      <c r="AS112" s="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33"/>
      <c r="BI112" s="18"/>
      <c r="BJ112" s="18"/>
      <c r="BK112" s="18"/>
      <c r="BL112" s="17"/>
      <c r="BM112" s="13"/>
      <c r="BO112" s="26"/>
      <c r="BS112" s="26"/>
      <c r="CD112" s="27"/>
    </row>
    <row r="113" spans="1:82" s="11" customFormat="1">
      <c r="A113" s="32"/>
      <c r="B113" s="33"/>
      <c r="C113" s="18"/>
      <c r="D113" s="18"/>
      <c r="E113" s="18"/>
      <c r="F113" s="18"/>
      <c r="G113" s="18"/>
      <c r="H113" s="17"/>
      <c r="I113" s="18"/>
      <c r="J113" s="18"/>
      <c r="K113" s="18"/>
      <c r="L113" s="18"/>
      <c r="M113" s="18"/>
      <c r="N113" s="18"/>
      <c r="O113" s="18"/>
      <c r="P113" s="33"/>
      <c r="Q113" s="18"/>
      <c r="R113" s="18"/>
      <c r="S113" s="18"/>
      <c r="T113" s="18"/>
      <c r="U113" s="18"/>
      <c r="V113" s="17"/>
      <c r="W113" s="18"/>
      <c r="X113" s="18"/>
      <c r="Y113" s="18"/>
      <c r="Z113" s="18"/>
      <c r="AA113" s="18"/>
      <c r="AB113" s="18"/>
      <c r="AC113" s="18"/>
      <c r="AD113" s="33"/>
      <c r="AE113" s="18"/>
      <c r="AF113" s="18"/>
      <c r="AG113" s="18"/>
      <c r="AH113" s="18"/>
      <c r="AI113" s="18"/>
      <c r="AJ113" s="17"/>
      <c r="AK113" s="33"/>
      <c r="AL113" s="18"/>
      <c r="AM113" s="18"/>
      <c r="AN113" s="18"/>
      <c r="AO113" s="18"/>
      <c r="AP113" s="18"/>
      <c r="AQ113" s="17"/>
      <c r="AR113" s="18"/>
      <c r="AS113" s="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33"/>
      <c r="BI113" s="18"/>
      <c r="BJ113" s="18"/>
      <c r="BK113" s="18"/>
      <c r="BL113" s="17"/>
      <c r="BM113" s="13"/>
      <c r="BO113" s="26"/>
      <c r="BS113" s="26"/>
      <c r="CD113" s="27"/>
    </row>
    <row r="114" spans="1:82" s="11" customFormat="1">
      <c r="A114" s="32"/>
      <c r="B114" s="35" t="s">
        <v>317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35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13"/>
      <c r="BO114" s="23"/>
      <c r="BP114" s="24"/>
      <c r="BQ114" s="24"/>
      <c r="BR114" s="24"/>
      <c r="BS114" s="23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5"/>
    </row>
    <row r="115" spans="1:82" s="11" customFormat="1">
      <c r="A115" s="32"/>
      <c r="B115" s="45"/>
      <c r="C115" s="43"/>
      <c r="D115" s="43"/>
      <c r="E115" s="43"/>
      <c r="F115" s="43"/>
      <c r="G115" s="43"/>
      <c r="H115" s="44"/>
      <c r="I115" s="43"/>
      <c r="J115" s="43"/>
      <c r="K115" s="43"/>
      <c r="L115" s="43"/>
      <c r="M115" s="43"/>
      <c r="N115" s="43"/>
      <c r="O115" s="43"/>
      <c r="P115" s="45"/>
      <c r="Q115" s="43"/>
      <c r="R115" s="43"/>
      <c r="S115" s="43"/>
      <c r="T115" s="43"/>
      <c r="U115" s="43"/>
      <c r="V115" s="44"/>
      <c r="W115" s="43"/>
      <c r="X115" s="43"/>
      <c r="Y115" s="43"/>
      <c r="Z115" s="43"/>
      <c r="AA115" s="43"/>
      <c r="AB115" s="43"/>
      <c r="AC115" s="43"/>
      <c r="AD115" s="45"/>
      <c r="AE115" s="43"/>
      <c r="AF115" s="43"/>
      <c r="AG115" s="43"/>
      <c r="AH115" s="43"/>
      <c r="AI115" s="43"/>
      <c r="AJ115" s="44"/>
      <c r="AK115" s="45"/>
      <c r="AL115" s="43"/>
      <c r="AM115" s="43"/>
      <c r="AN115" s="43"/>
      <c r="AO115" s="43"/>
      <c r="AP115" s="43"/>
      <c r="AQ115" s="44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5"/>
      <c r="BI115" s="43"/>
      <c r="BJ115" s="43"/>
      <c r="BK115" s="43"/>
      <c r="BL115" s="44"/>
      <c r="BM115" s="13"/>
      <c r="BO115" s="26"/>
      <c r="BS115" s="26"/>
      <c r="CD115" s="27"/>
    </row>
    <row r="116" spans="1:82" s="11" customFormat="1">
      <c r="A116" s="32"/>
      <c r="B116" s="33"/>
      <c r="C116" s="18"/>
      <c r="D116" s="18"/>
      <c r="E116" s="18"/>
      <c r="F116" s="18"/>
      <c r="G116" s="18"/>
      <c r="H116" s="17"/>
      <c r="I116" s="18"/>
      <c r="J116" s="18"/>
      <c r="K116" s="18"/>
      <c r="L116" s="18"/>
      <c r="M116" s="18"/>
      <c r="N116" s="18"/>
      <c r="O116" s="18"/>
      <c r="P116" s="33"/>
      <c r="Q116" s="18"/>
      <c r="R116" s="18"/>
      <c r="S116" s="18"/>
      <c r="T116" s="18"/>
      <c r="U116" s="18"/>
      <c r="V116" s="17"/>
      <c r="W116" s="18"/>
      <c r="X116" s="18"/>
      <c r="Y116" s="18"/>
      <c r="Z116" s="18"/>
      <c r="AA116" s="18"/>
      <c r="AB116" s="18"/>
      <c r="AC116" s="18"/>
      <c r="AD116" s="33"/>
      <c r="AE116" s="18"/>
      <c r="AF116" s="18"/>
      <c r="AG116" s="18"/>
      <c r="AH116" s="18"/>
      <c r="AI116" s="18"/>
      <c r="AJ116" s="17"/>
      <c r="AK116" s="33"/>
      <c r="AL116" s="18"/>
      <c r="AM116" s="18"/>
      <c r="AN116" s="18"/>
      <c r="AO116" s="18"/>
      <c r="AP116" s="18"/>
      <c r="AQ116" s="17"/>
      <c r="AR116" s="18"/>
      <c r="AS116" s="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33"/>
      <c r="BI116" s="18"/>
      <c r="BJ116" s="18"/>
      <c r="BK116" s="18"/>
      <c r="BL116" s="17"/>
      <c r="BM116" s="13"/>
      <c r="BO116" s="26"/>
      <c r="BS116" s="26"/>
      <c r="CD116" s="27"/>
    </row>
    <row r="117" spans="1:82" s="11" customFormat="1">
      <c r="A117" s="32"/>
      <c r="B117" s="33"/>
      <c r="C117" s="18"/>
      <c r="D117" s="18"/>
      <c r="E117" s="18"/>
      <c r="F117" s="18"/>
      <c r="G117" s="18"/>
      <c r="H117" s="17"/>
      <c r="I117" s="18"/>
      <c r="J117" s="18"/>
      <c r="K117" s="18"/>
      <c r="L117" s="18"/>
      <c r="M117" s="18"/>
      <c r="N117" s="18"/>
      <c r="O117" s="18"/>
      <c r="P117" s="33"/>
      <c r="Q117" s="18"/>
      <c r="R117" s="18"/>
      <c r="S117" s="18"/>
      <c r="T117" s="18"/>
      <c r="U117" s="18"/>
      <c r="V117" s="17"/>
      <c r="W117" s="18"/>
      <c r="X117" s="18"/>
      <c r="Y117" s="18"/>
      <c r="Z117" s="18"/>
      <c r="AA117" s="18"/>
      <c r="AB117" s="18"/>
      <c r="AC117" s="18"/>
      <c r="AD117" s="33"/>
      <c r="AE117" s="18"/>
      <c r="AF117" s="18"/>
      <c r="AG117" s="18"/>
      <c r="AH117" s="18"/>
      <c r="AI117" s="18"/>
      <c r="AJ117" s="17"/>
      <c r="AK117" s="33"/>
      <c r="AL117" s="18"/>
      <c r="AM117" s="18"/>
      <c r="AN117" s="18"/>
      <c r="AO117" s="18"/>
      <c r="AP117" s="18"/>
      <c r="AQ117" s="17"/>
      <c r="AR117" s="18"/>
      <c r="AS117" s="47" t="s">
        <v>162</v>
      </c>
      <c r="AT117" s="47" t="s">
        <v>318</v>
      </c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9" t="s">
        <v>147</v>
      </c>
      <c r="BI117" s="48"/>
      <c r="BJ117" s="18"/>
      <c r="BK117" s="18"/>
      <c r="BL117" s="17"/>
      <c r="BM117" s="13"/>
      <c r="BO117" s="26"/>
      <c r="BS117" s="26"/>
      <c r="CD117" s="27"/>
    </row>
    <row r="118" spans="1:82" s="11" customFormat="1">
      <c r="A118" s="32"/>
      <c r="B118" s="33"/>
      <c r="C118" s="18"/>
      <c r="D118" s="18"/>
      <c r="E118" s="18"/>
      <c r="F118" s="18"/>
      <c r="G118" s="18"/>
      <c r="H118" s="17"/>
      <c r="I118" s="18"/>
      <c r="J118" s="18"/>
      <c r="K118" s="18"/>
      <c r="L118" s="18"/>
      <c r="M118" s="18"/>
      <c r="N118" s="18"/>
      <c r="O118" s="18"/>
      <c r="P118" s="33"/>
      <c r="Q118" s="18"/>
      <c r="R118" s="18"/>
      <c r="S118" s="18"/>
      <c r="T118" s="18"/>
      <c r="U118" s="18"/>
      <c r="V118" s="17"/>
      <c r="W118" s="18"/>
      <c r="X118" s="18"/>
      <c r="Y118" s="18"/>
      <c r="Z118" s="18"/>
      <c r="AA118" s="18"/>
      <c r="AB118" s="18"/>
      <c r="AC118" s="18"/>
      <c r="AD118" s="33"/>
      <c r="AE118" s="18"/>
      <c r="AF118" s="18"/>
      <c r="AG118" s="18"/>
      <c r="AH118" s="18"/>
      <c r="AI118" s="18"/>
      <c r="AJ118" s="17"/>
      <c r="AK118" s="33"/>
      <c r="AL118" s="18"/>
      <c r="AM118" s="18"/>
      <c r="AN118" s="18"/>
      <c r="AO118" s="18"/>
      <c r="AP118" s="18"/>
      <c r="AQ118" s="17"/>
      <c r="AR118" s="18"/>
      <c r="AS118" s="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53" t="s">
        <v>276</v>
      </c>
      <c r="BI118" s="54"/>
      <c r="BJ118" s="54"/>
      <c r="BK118" s="54"/>
      <c r="BL118" s="17"/>
      <c r="BM118" s="13"/>
      <c r="BO118" s="26"/>
      <c r="BS118" s="26"/>
      <c r="CD118" s="27"/>
    </row>
    <row r="119" spans="1:82" s="11" customFormat="1">
      <c r="A119" s="32"/>
      <c r="B119" s="33"/>
      <c r="C119" s="18"/>
      <c r="D119" s="18"/>
      <c r="E119" s="18"/>
      <c r="F119" s="18"/>
      <c r="G119" s="18"/>
      <c r="H119" s="17"/>
      <c r="I119" s="18"/>
      <c r="J119" s="18"/>
      <c r="K119" s="18"/>
      <c r="L119" s="18"/>
      <c r="M119" s="18"/>
      <c r="N119" s="18"/>
      <c r="O119" s="18"/>
      <c r="P119" s="33"/>
      <c r="Q119" s="18"/>
      <c r="R119" s="18"/>
      <c r="S119" s="18"/>
      <c r="T119" s="18"/>
      <c r="U119" s="18"/>
      <c r="V119" s="17"/>
      <c r="W119" s="18"/>
      <c r="X119" s="18"/>
      <c r="Y119" s="18"/>
      <c r="Z119" s="18"/>
      <c r="AA119" s="18"/>
      <c r="AB119" s="18"/>
      <c r="AC119" s="18"/>
      <c r="AD119" s="33"/>
      <c r="AE119" s="18"/>
      <c r="AF119" s="18"/>
      <c r="AG119" s="18"/>
      <c r="AH119" s="18"/>
      <c r="AI119" s="18"/>
      <c r="AJ119" s="17"/>
      <c r="AK119" s="33"/>
      <c r="AL119" s="18"/>
      <c r="AM119" s="18"/>
      <c r="AN119" s="18"/>
      <c r="AO119" s="18"/>
      <c r="AP119" s="18"/>
      <c r="AQ119" s="17"/>
      <c r="AR119" s="18"/>
      <c r="AS119" s="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53" t="s">
        <v>277</v>
      </c>
      <c r="BI119" s="54"/>
      <c r="BJ119" s="54"/>
      <c r="BK119" s="54"/>
      <c r="BL119" s="17"/>
      <c r="BM119" s="13"/>
      <c r="BO119" s="26"/>
      <c r="BS119" s="26"/>
      <c r="CD119" s="27"/>
    </row>
    <row r="120" spans="1:82" s="11" customFormat="1">
      <c r="A120" s="32"/>
      <c r="B120" s="33"/>
      <c r="C120" s="18"/>
      <c r="D120" s="18"/>
      <c r="E120" s="18"/>
      <c r="F120" s="18"/>
      <c r="G120" s="18"/>
      <c r="H120" s="17"/>
      <c r="I120" s="18"/>
      <c r="J120" s="18"/>
      <c r="K120" s="18"/>
      <c r="L120" s="18"/>
      <c r="M120" s="18"/>
      <c r="N120" s="18"/>
      <c r="O120" s="18"/>
      <c r="P120" s="33"/>
      <c r="Q120" s="18"/>
      <c r="R120" s="18"/>
      <c r="S120" s="18"/>
      <c r="T120" s="18"/>
      <c r="U120" s="18"/>
      <c r="V120" s="17"/>
      <c r="W120" s="18"/>
      <c r="X120" s="18"/>
      <c r="Y120" s="18"/>
      <c r="Z120" s="18"/>
      <c r="AA120" s="18"/>
      <c r="AB120" s="18"/>
      <c r="AC120" s="18"/>
      <c r="AD120" s="33"/>
      <c r="AE120" s="18"/>
      <c r="AF120" s="18"/>
      <c r="AG120" s="18"/>
      <c r="AH120" s="18"/>
      <c r="AI120" s="18"/>
      <c r="AJ120" s="17"/>
      <c r="AK120" s="33"/>
      <c r="AL120" s="18"/>
      <c r="AM120" s="18"/>
      <c r="AN120" s="18"/>
      <c r="AO120" s="18"/>
      <c r="AP120" s="18"/>
      <c r="AQ120" s="17"/>
      <c r="AR120" s="18"/>
      <c r="AS120" s="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53" t="s">
        <v>278</v>
      </c>
      <c r="BI120" s="54"/>
      <c r="BJ120" s="54"/>
      <c r="BK120" s="54"/>
      <c r="BL120" s="17"/>
      <c r="BM120" s="13"/>
      <c r="BO120" s="26"/>
      <c r="BS120" s="26"/>
      <c r="CD120" s="27"/>
    </row>
    <row r="121" spans="1:82" s="11" customFormat="1">
      <c r="A121" s="32"/>
      <c r="B121" s="33"/>
      <c r="C121" s="18"/>
      <c r="D121" s="18"/>
      <c r="E121" s="18"/>
      <c r="F121" s="18"/>
      <c r="G121" s="18"/>
      <c r="H121" s="17"/>
      <c r="I121" s="18"/>
      <c r="J121" s="18"/>
      <c r="K121" s="18"/>
      <c r="L121" s="18"/>
      <c r="M121" s="18"/>
      <c r="N121" s="18"/>
      <c r="O121" s="18"/>
      <c r="P121" s="33"/>
      <c r="Q121" s="18"/>
      <c r="R121" s="18"/>
      <c r="S121" s="18"/>
      <c r="T121" s="18"/>
      <c r="U121" s="18"/>
      <c r="V121" s="17"/>
      <c r="W121" s="18"/>
      <c r="X121" s="18"/>
      <c r="Y121" s="18"/>
      <c r="Z121" s="18"/>
      <c r="AA121" s="18"/>
      <c r="AB121" s="18"/>
      <c r="AC121" s="18"/>
      <c r="AD121" s="33"/>
      <c r="AE121" s="18"/>
      <c r="AF121" s="18"/>
      <c r="AG121" s="18"/>
      <c r="AH121" s="18"/>
      <c r="AI121" s="18"/>
      <c r="AJ121" s="17"/>
      <c r="AK121" s="33"/>
      <c r="AL121" s="18"/>
      <c r="AM121" s="18"/>
      <c r="AN121" s="18"/>
      <c r="AO121" s="18"/>
      <c r="AP121" s="18"/>
      <c r="AQ121" s="17"/>
      <c r="AR121" s="18"/>
      <c r="AS121" s="8"/>
      <c r="AT121" s="22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53" t="s">
        <v>279</v>
      </c>
      <c r="BI121" s="54"/>
      <c r="BJ121" s="54"/>
      <c r="BK121" s="54"/>
      <c r="BL121" s="17"/>
      <c r="BM121" s="13"/>
      <c r="BO121" s="26"/>
      <c r="BS121" s="26"/>
      <c r="CD121" s="27"/>
    </row>
    <row r="122" spans="1:82" s="11" customFormat="1">
      <c r="A122" s="32"/>
      <c r="B122" s="33"/>
      <c r="C122" s="18"/>
      <c r="D122" s="18"/>
      <c r="E122" s="18"/>
      <c r="F122" s="18"/>
      <c r="G122" s="18"/>
      <c r="H122" s="17"/>
      <c r="I122" s="18"/>
      <c r="J122" s="18"/>
      <c r="K122" s="18"/>
      <c r="L122" s="18"/>
      <c r="M122" s="18"/>
      <c r="N122" s="18"/>
      <c r="O122" s="18"/>
      <c r="P122" s="33"/>
      <c r="Q122" s="18"/>
      <c r="R122" s="18"/>
      <c r="S122" s="18"/>
      <c r="T122" s="18"/>
      <c r="U122" s="18"/>
      <c r="V122" s="17"/>
      <c r="W122" s="18"/>
      <c r="X122" s="18"/>
      <c r="Y122" s="18"/>
      <c r="Z122" s="18"/>
      <c r="AA122" s="18"/>
      <c r="AB122" s="18"/>
      <c r="AC122" s="18"/>
      <c r="AD122" s="33"/>
      <c r="AE122" s="18"/>
      <c r="AF122" s="18"/>
      <c r="AG122" s="18"/>
      <c r="AH122" s="18"/>
      <c r="AI122" s="18"/>
      <c r="AJ122" s="17"/>
      <c r="AK122" s="33"/>
      <c r="AL122" s="18"/>
      <c r="AM122" s="18"/>
      <c r="AN122" s="18"/>
      <c r="AO122" s="18"/>
      <c r="AP122" s="18"/>
      <c r="AQ122" s="17"/>
      <c r="AR122" s="18"/>
      <c r="AS122" s="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53" t="s">
        <v>280</v>
      </c>
      <c r="BI122" s="54"/>
      <c r="BJ122" s="54"/>
      <c r="BK122" s="54"/>
      <c r="BL122" s="17"/>
      <c r="BM122" s="13"/>
      <c r="BO122" s="26"/>
      <c r="BS122" s="26"/>
      <c r="CD122" s="27"/>
    </row>
    <row r="123" spans="1:82" s="11" customFormat="1">
      <c r="A123" s="32"/>
      <c r="B123" s="33"/>
      <c r="C123" s="18"/>
      <c r="D123" s="18"/>
      <c r="E123" s="18"/>
      <c r="F123" s="18"/>
      <c r="G123" s="18"/>
      <c r="H123" s="17"/>
      <c r="I123" s="18"/>
      <c r="J123" s="18"/>
      <c r="K123" s="18"/>
      <c r="L123" s="18"/>
      <c r="M123" s="18"/>
      <c r="N123" s="18"/>
      <c r="O123" s="18"/>
      <c r="P123" s="33"/>
      <c r="Q123" s="18"/>
      <c r="R123" s="18"/>
      <c r="S123" s="18"/>
      <c r="T123" s="18"/>
      <c r="U123" s="18"/>
      <c r="V123" s="17"/>
      <c r="W123" s="18"/>
      <c r="X123" s="18"/>
      <c r="Y123" s="18"/>
      <c r="Z123" s="18"/>
      <c r="AA123" s="18"/>
      <c r="AB123" s="18"/>
      <c r="AC123" s="18"/>
      <c r="AD123" s="33"/>
      <c r="AE123" s="18"/>
      <c r="AF123" s="18"/>
      <c r="AG123" s="18"/>
      <c r="AH123" s="18"/>
      <c r="AI123" s="18"/>
      <c r="AJ123" s="17"/>
      <c r="AK123" s="33"/>
      <c r="AL123" s="18"/>
      <c r="AM123" s="18"/>
      <c r="AN123" s="18"/>
      <c r="AO123" s="18"/>
      <c r="AP123" s="18"/>
      <c r="AQ123" s="17"/>
      <c r="AR123" s="18"/>
      <c r="AS123" s="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53" t="s">
        <v>281</v>
      </c>
      <c r="BI123" s="54"/>
      <c r="BJ123" s="54"/>
      <c r="BK123" s="54"/>
      <c r="BL123" s="17"/>
      <c r="BM123" s="13"/>
      <c r="BO123" s="26"/>
      <c r="BS123" s="26"/>
      <c r="CD123" s="27"/>
    </row>
    <row r="124" spans="1:82" s="11" customFormat="1">
      <c r="A124" s="32"/>
      <c r="B124" s="33"/>
      <c r="C124" s="18"/>
      <c r="D124" s="18"/>
      <c r="E124" s="18"/>
      <c r="F124" s="18"/>
      <c r="G124" s="18"/>
      <c r="H124" s="17"/>
      <c r="I124" s="18"/>
      <c r="J124" s="18"/>
      <c r="K124" s="18"/>
      <c r="L124" s="18"/>
      <c r="M124" s="18"/>
      <c r="N124" s="18"/>
      <c r="O124" s="18"/>
      <c r="P124" s="33"/>
      <c r="Q124" s="18"/>
      <c r="R124" s="18"/>
      <c r="S124" s="18"/>
      <c r="T124" s="18"/>
      <c r="U124" s="18"/>
      <c r="V124" s="17"/>
      <c r="W124" s="18"/>
      <c r="X124" s="18"/>
      <c r="Y124" s="18"/>
      <c r="Z124" s="18"/>
      <c r="AA124" s="18"/>
      <c r="AB124" s="18"/>
      <c r="AC124" s="18"/>
      <c r="AD124" s="33"/>
      <c r="AE124" s="18"/>
      <c r="AF124" s="18"/>
      <c r="AG124" s="18"/>
      <c r="AH124" s="18"/>
      <c r="AI124" s="18"/>
      <c r="AJ124" s="17"/>
      <c r="AK124" s="33"/>
      <c r="AL124" s="18"/>
      <c r="AM124" s="18"/>
      <c r="AN124" s="18"/>
      <c r="AO124" s="18"/>
      <c r="AP124" s="18"/>
      <c r="AQ124" s="17"/>
      <c r="AR124" s="18"/>
      <c r="AS124" s="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33"/>
      <c r="BI124" s="18"/>
      <c r="BJ124" s="18"/>
      <c r="BK124" s="18"/>
      <c r="BL124" s="17"/>
      <c r="BM124" s="13"/>
      <c r="BO124" s="26"/>
      <c r="BS124" s="26"/>
      <c r="CD124" s="27"/>
    </row>
    <row r="125" spans="1:82" s="11" customFormat="1">
      <c r="A125" s="32"/>
      <c r="B125" s="33"/>
      <c r="C125" s="18"/>
      <c r="D125" s="18"/>
      <c r="E125" s="18"/>
      <c r="F125" s="18"/>
      <c r="G125" s="18"/>
      <c r="H125" s="17"/>
      <c r="I125" s="18"/>
      <c r="J125" s="18"/>
      <c r="K125" s="18"/>
      <c r="L125" s="18"/>
      <c r="M125" s="18"/>
      <c r="N125" s="18"/>
      <c r="O125" s="18"/>
      <c r="P125" s="33"/>
      <c r="Q125" s="18"/>
      <c r="R125" s="18"/>
      <c r="S125" s="18"/>
      <c r="T125" s="18"/>
      <c r="U125" s="18"/>
      <c r="V125" s="17"/>
      <c r="W125" s="18"/>
      <c r="X125" s="18"/>
      <c r="Y125" s="18"/>
      <c r="Z125" s="18"/>
      <c r="AA125" s="18"/>
      <c r="AB125" s="18"/>
      <c r="AC125" s="18"/>
      <c r="AD125" s="33"/>
      <c r="AE125" s="18"/>
      <c r="AF125" s="18"/>
      <c r="AG125" s="18"/>
      <c r="AH125" s="18"/>
      <c r="AI125" s="18"/>
      <c r="AJ125" s="17"/>
      <c r="AK125" s="33"/>
      <c r="AL125" s="18"/>
      <c r="AM125" s="18"/>
      <c r="AN125" s="18"/>
      <c r="AO125" s="18"/>
      <c r="AP125" s="18"/>
      <c r="AQ125" s="17"/>
      <c r="AR125" s="18"/>
      <c r="AS125" s="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33"/>
      <c r="BI125" s="18"/>
      <c r="BJ125" s="18"/>
      <c r="BK125" s="18"/>
      <c r="BL125" s="17"/>
      <c r="BM125" s="13"/>
      <c r="BO125" s="26"/>
      <c r="BS125" s="26"/>
      <c r="CD125" s="27"/>
    </row>
    <row r="126" spans="1:82" s="11" customFormat="1">
      <c r="A126" s="32"/>
      <c r="B126" s="33"/>
      <c r="C126" s="18"/>
      <c r="D126" s="18"/>
      <c r="E126" s="18"/>
      <c r="F126" s="18"/>
      <c r="G126" s="18"/>
      <c r="H126" s="17"/>
      <c r="I126" s="18"/>
      <c r="J126" s="18"/>
      <c r="K126" s="18"/>
      <c r="L126" s="18"/>
      <c r="M126" s="18"/>
      <c r="N126" s="18"/>
      <c r="O126" s="18"/>
      <c r="P126" s="33"/>
      <c r="Q126" s="18"/>
      <c r="R126" s="18"/>
      <c r="S126" s="18"/>
      <c r="T126" s="18"/>
      <c r="U126" s="18"/>
      <c r="V126" s="17"/>
      <c r="W126" s="18"/>
      <c r="X126" s="18"/>
      <c r="Y126" s="18"/>
      <c r="Z126" s="18"/>
      <c r="AA126" s="18"/>
      <c r="AB126" s="18"/>
      <c r="AC126" s="18"/>
      <c r="AD126" s="33"/>
      <c r="AE126" s="18"/>
      <c r="AF126" s="18"/>
      <c r="AG126" s="18"/>
      <c r="AH126" s="18"/>
      <c r="AI126" s="18"/>
      <c r="AJ126" s="17"/>
      <c r="AK126" s="33"/>
      <c r="AL126" s="18"/>
      <c r="AM126" s="18"/>
      <c r="AN126" s="18"/>
      <c r="AO126" s="18"/>
      <c r="AP126" s="18"/>
      <c r="AQ126" s="17"/>
      <c r="AR126" s="18"/>
      <c r="AS126" s="16" t="s">
        <v>319</v>
      </c>
      <c r="AT126" s="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33"/>
      <c r="BI126" s="18"/>
      <c r="BJ126" s="18"/>
      <c r="BK126" s="18"/>
      <c r="BL126" s="17"/>
      <c r="BM126" s="13"/>
      <c r="BO126" s="26"/>
      <c r="BS126" s="26"/>
      <c r="CD126" s="27"/>
    </row>
    <row r="127" spans="1:82" s="11" customFormat="1">
      <c r="A127" s="32"/>
      <c r="B127" s="33"/>
      <c r="C127" s="18"/>
      <c r="D127" s="18"/>
      <c r="E127" s="18"/>
      <c r="F127" s="18"/>
      <c r="G127" s="18"/>
      <c r="H127" s="17"/>
      <c r="I127" s="18"/>
      <c r="J127" s="18"/>
      <c r="K127" s="18"/>
      <c r="L127" s="18"/>
      <c r="M127" s="18"/>
      <c r="N127" s="18"/>
      <c r="O127" s="18"/>
      <c r="P127" s="33"/>
      <c r="Q127" s="18"/>
      <c r="R127" s="18"/>
      <c r="S127" s="18"/>
      <c r="T127" s="18"/>
      <c r="U127" s="18"/>
      <c r="V127" s="17"/>
      <c r="W127" s="18"/>
      <c r="X127" s="18"/>
      <c r="Y127" s="18"/>
      <c r="Z127" s="18"/>
      <c r="AA127" s="18"/>
      <c r="AB127" s="18"/>
      <c r="AC127" s="18"/>
      <c r="AD127" s="33"/>
      <c r="AE127" s="18"/>
      <c r="AF127" s="18"/>
      <c r="AG127" s="18"/>
      <c r="AH127" s="18"/>
      <c r="AI127" s="18"/>
      <c r="AJ127" s="17"/>
      <c r="AK127" s="33"/>
      <c r="AL127" s="18"/>
      <c r="AM127" s="18"/>
      <c r="AN127" s="18"/>
      <c r="AO127" s="18"/>
      <c r="AP127" s="18"/>
      <c r="AQ127" s="17"/>
      <c r="AR127" s="18"/>
      <c r="AS127" s="8"/>
      <c r="AT127" s="8" t="s">
        <v>320</v>
      </c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33"/>
      <c r="BI127" s="18"/>
      <c r="BJ127" s="18"/>
      <c r="BK127" s="18"/>
      <c r="BL127" s="17"/>
      <c r="BM127" s="13"/>
      <c r="BO127" s="26"/>
      <c r="BS127" s="26"/>
      <c r="CD127" s="27"/>
    </row>
    <row r="128" spans="1:82" s="11" customFormat="1">
      <c r="A128" s="32"/>
      <c r="B128" s="33"/>
      <c r="C128" s="18"/>
      <c r="D128" s="18"/>
      <c r="E128" s="18"/>
      <c r="F128" s="18"/>
      <c r="G128" s="18"/>
      <c r="H128" s="17"/>
      <c r="I128" s="18"/>
      <c r="J128" s="18"/>
      <c r="K128" s="18"/>
      <c r="L128" s="18"/>
      <c r="M128" s="18"/>
      <c r="N128" s="18"/>
      <c r="O128" s="18"/>
      <c r="P128" s="33"/>
      <c r="Q128" s="18"/>
      <c r="R128" s="18"/>
      <c r="S128" s="18"/>
      <c r="T128" s="18"/>
      <c r="U128" s="18"/>
      <c r="V128" s="17"/>
      <c r="W128" s="18"/>
      <c r="X128" s="18"/>
      <c r="Y128" s="18"/>
      <c r="Z128" s="18"/>
      <c r="AA128" s="18"/>
      <c r="AB128" s="18"/>
      <c r="AC128" s="18"/>
      <c r="AD128" s="33"/>
      <c r="AE128" s="18"/>
      <c r="AF128" s="18"/>
      <c r="AG128" s="18"/>
      <c r="AH128" s="18"/>
      <c r="AI128" s="18"/>
      <c r="AJ128" s="17"/>
      <c r="AK128" s="33"/>
      <c r="AL128" s="18"/>
      <c r="AM128" s="18"/>
      <c r="AN128" s="18"/>
      <c r="AO128" s="18"/>
      <c r="AP128" s="18"/>
      <c r="AQ128" s="17"/>
      <c r="AR128" s="18"/>
      <c r="AS128" s="8"/>
      <c r="AT128" s="8" t="s">
        <v>321</v>
      </c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33"/>
      <c r="BI128" s="18"/>
      <c r="BJ128" s="18"/>
      <c r="BK128" s="18"/>
      <c r="BL128" s="17"/>
      <c r="BM128" s="13"/>
      <c r="BO128" s="26"/>
      <c r="BS128" s="26"/>
      <c r="CD128" s="27"/>
    </row>
    <row r="129" spans="1:82" s="11" customFormat="1">
      <c r="A129" s="32"/>
      <c r="B129" s="33"/>
      <c r="C129" s="18"/>
      <c r="D129" s="18"/>
      <c r="E129" s="18"/>
      <c r="F129" s="18"/>
      <c r="G129" s="18"/>
      <c r="H129" s="17"/>
      <c r="I129" s="18"/>
      <c r="J129" s="18"/>
      <c r="K129" s="18"/>
      <c r="L129" s="18"/>
      <c r="M129" s="18"/>
      <c r="N129" s="18"/>
      <c r="O129" s="18"/>
      <c r="P129" s="33"/>
      <c r="Q129" s="18"/>
      <c r="R129" s="18"/>
      <c r="S129" s="18"/>
      <c r="T129" s="18"/>
      <c r="U129" s="18"/>
      <c r="V129" s="17"/>
      <c r="W129" s="18"/>
      <c r="X129" s="18"/>
      <c r="Y129" s="18"/>
      <c r="Z129" s="18"/>
      <c r="AA129" s="18"/>
      <c r="AB129" s="18"/>
      <c r="AC129" s="18"/>
      <c r="AD129" s="33"/>
      <c r="AE129" s="18"/>
      <c r="AF129" s="18"/>
      <c r="AG129" s="18"/>
      <c r="AH129" s="18"/>
      <c r="AI129" s="18"/>
      <c r="AJ129" s="17"/>
      <c r="AK129" s="33"/>
      <c r="AL129" s="18"/>
      <c r="AM129" s="18"/>
      <c r="AN129" s="18"/>
      <c r="AO129" s="18"/>
      <c r="AP129" s="18"/>
      <c r="AQ129" s="17"/>
      <c r="AR129" s="18"/>
      <c r="AS129" s="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33"/>
      <c r="BI129" s="18"/>
      <c r="BJ129" s="18"/>
      <c r="BK129" s="18"/>
      <c r="BL129" s="17"/>
      <c r="BM129" s="13"/>
      <c r="BO129" s="26"/>
      <c r="BS129" s="26"/>
      <c r="CD129" s="27"/>
    </row>
    <row r="130" spans="1:82" s="11" customFormat="1">
      <c r="A130" s="32"/>
      <c r="B130" s="33"/>
      <c r="C130" s="18"/>
      <c r="D130" s="18"/>
      <c r="E130" s="18"/>
      <c r="F130" s="18"/>
      <c r="G130" s="18"/>
      <c r="H130" s="17"/>
      <c r="I130" s="18"/>
      <c r="J130" s="18"/>
      <c r="K130" s="18"/>
      <c r="L130" s="18"/>
      <c r="M130" s="18"/>
      <c r="N130" s="18"/>
      <c r="O130" s="18"/>
      <c r="P130" s="33"/>
      <c r="Q130" s="18"/>
      <c r="R130" s="18"/>
      <c r="S130" s="18"/>
      <c r="T130" s="18"/>
      <c r="U130" s="18"/>
      <c r="V130" s="17"/>
      <c r="W130" s="18"/>
      <c r="X130" s="18"/>
      <c r="Y130" s="18"/>
      <c r="Z130" s="18"/>
      <c r="AA130" s="18"/>
      <c r="AB130" s="18"/>
      <c r="AC130" s="18"/>
      <c r="AD130" s="33"/>
      <c r="AE130" s="18"/>
      <c r="AF130" s="18"/>
      <c r="AG130" s="18"/>
      <c r="AH130" s="18"/>
      <c r="AI130" s="18"/>
      <c r="AJ130" s="17"/>
      <c r="AK130" s="33"/>
      <c r="AL130" s="18"/>
      <c r="AM130" s="18"/>
      <c r="AN130" s="18"/>
      <c r="AO130" s="18"/>
      <c r="AP130" s="18"/>
      <c r="AQ130" s="17"/>
      <c r="AR130" s="18"/>
      <c r="AS130" s="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33"/>
      <c r="BI130" s="18"/>
      <c r="BJ130" s="18"/>
      <c r="BK130" s="18"/>
      <c r="BL130" s="17"/>
      <c r="BM130" s="13"/>
      <c r="BO130" s="26"/>
      <c r="BS130" s="26"/>
      <c r="CD130" s="27"/>
    </row>
    <row r="131" spans="1:82" s="11" customFormat="1">
      <c r="A131" s="32"/>
      <c r="B131" s="33"/>
      <c r="C131" s="18"/>
      <c r="D131" s="18"/>
      <c r="E131" s="18"/>
      <c r="F131" s="18"/>
      <c r="G131" s="18"/>
      <c r="H131" s="17"/>
      <c r="I131" s="18"/>
      <c r="J131" s="18"/>
      <c r="K131" s="18"/>
      <c r="L131" s="18"/>
      <c r="M131" s="18"/>
      <c r="N131" s="18"/>
      <c r="O131" s="18"/>
      <c r="P131" s="33"/>
      <c r="Q131" s="18"/>
      <c r="R131" s="18"/>
      <c r="S131" s="18"/>
      <c r="T131" s="18"/>
      <c r="U131" s="18"/>
      <c r="V131" s="17"/>
      <c r="W131" s="18"/>
      <c r="X131" s="18"/>
      <c r="Y131" s="18"/>
      <c r="Z131" s="18"/>
      <c r="AA131" s="18"/>
      <c r="AB131" s="18"/>
      <c r="AC131" s="18"/>
      <c r="AD131" s="33"/>
      <c r="AE131" s="18"/>
      <c r="AF131" s="18"/>
      <c r="AG131" s="18"/>
      <c r="AH131" s="18"/>
      <c r="AI131" s="18"/>
      <c r="AJ131" s="17"/>
      <c r="AK131" s="33"/>
      <c r="AL131" s="18"/>
      <c r="AM131" s="18"/>
      <c r="AN131" s="18"/>
      <c r="AO131" s="18"/>
      <c r="AP131" s="18"/>
      <c r="AQ131" s="17"/>
      <c r="AR131" s="18"/>
      <c r="AS131" s="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33"/>
      <c r="BI131" s="18"/>
      <c r="BJ131" s="18"/>
      <c r="BK131" s="18"/>
      <c r="BL131" s="17"/>
      <c r="BM131" s="13"/>
      <c r="BO131" s="26"/>
      <c r="BS131" s="26"/>
      <c r="CD131" s="27"/>
    </row>
    <row r="132" spans="1:82" s="11" customFormat="1">
      <c r="A132" s="32"/>
      <c r="B132" s="33"/>
      <c r="C132" s="18"/>
      <c r="D132" s="18"/>
      <c r="E132" s="18"/>
      <c r="F132" s="18"/>
      <c r="G132" s="18"/>
      <c r="H132" s="17"/>
      <c r="I132" s="18"/>
      <c r="J132" s="18"/>
      <c r="K132" s="18"/>
      <c r="L132" s="18"/>
      <c r="M132" s="18"/>
      <c r="N132" s="18"/>
      <c r="O132" s="18"/>
      <c r="P132" s="33"/>
      <c r="Q132" s="18"/>
      <c r="R132" s="18"/>
      <c r="S132" s="18"/>
      <c r="T132" s="18"/>
      <c r="U132" s="18"/>
      <c r="V132" s="17"/>
      <c r="W132" s="18"/>
      <c r="X132" s="18"/>
      <c r="Y132" s="18"/>
      <c r="Z132" s="18"/>
      <c r="AA132" s="18"/>
      <c r="AB132" s="18"/>
      <c r="AC132" s="18"/>
      <c r="AD132" s="33"/>
      <c r="AE132" s="18"/>
      <c r="AF132" s="18"/>
      <c r="AG132" s="18"/>
      <c r="AH132" s="18"/>
      <c r="AI132" s="18"/>
      <c r="AJ132" s="17"/>
      <c r="AK132" s="33"/>
      <c r="AL132" s="18"/>
      <c r="AM132" s="18"/>
      <c r="AN132" s="18"/>
      <c r="AO132" s="18"/>
      <c r="AP132" s="18"/>
      <c r="AQ132" s="17"/>
      <c r="AR132" s="18"/>
      <c r="AS132" s="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33"/>
      <c r="BI132" s="18"/>
      <c r="BJ132" s="18"/>
      <c r="BK132" s="18"/>
      <c r="BL132" s="17"/>
      <c r="BM132" s="13"/>
      <c r="BO132" s="26"/>
      <c r="BS132" s="26"/>
      <c r="CD132" s="27"/>
    </row>
    <row r="133" spans="1:82" s="11" customFormat="1">
      <c r="A133" s="32"/>
      <c r="B133" s="33"/>
      <c r="C133" s="18"/>
      <c r="D133" s="18"/>
      <c r="E133" s="18"/>
      <c r="F133" s="18"/>
      <c r="G133" s="18"/>
      <c r="H133" s="17"/>
      <c r="I133" s="18"/>
      <c r="J133" s="18"/>
      <c r="K133" s="18"/>
      <c r="L133" s="18"/>
      <c r="M133" s="18"/>
      <c r="N133" s="18"/>
      <c r="O133" s="18"/>
      <c r="P133" s="33"/>
      <c r="Q133" s="18"/>
      <c r="R133" s="18"/>
      <c r="S133" s="18"/>
      <c r="T133" s="18"/>
      <c r="U133" s="18"/>
      <c r="V133" s="17"/>
      <c r="W133" s="18"/>
      <c r="X133" s="18"/>
      <c r="Y133" s="18"/>
      <c r="Z133" s="18"/>
      <c r="AA133" s="18"/>
      <c r="AB133" s="18"/>
      <c r="AC133" s="18"/>
      <c r="AD133" s="33"/>
      <c r="AE133" s="18"/>
      <c r="AF133" s="18"/>
      <c r="AG133" s="18"/>
      <c r="AH133" s="18"/>
      <c r="AI133" s="18"/>
      <c r="AJ133" s="17"/>
      <c r="AK133" s="33"/>
      <c r="AL133" s="18"/>
      <c r="AM133" s="18"/>
      <c r="AN133" s="18"/>
      <c r="AO133" s="18"/>
      <c r="AP133" s="18"/>
      <c r="AQ133" s="17"/>
      <c r="AR133" s="18"/>
      <c r="AS133" s="16" t="s">
        <v>322</v>
      </c>
      <c r="AT133" s="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33"/>
      <c r="BI133" s="18"/>
      <c r="BJ133" s="18"/>
      <c r="BK133" s="18"/>
      <c r="BL133" s="17"/>
      <c r="BM133" s="13"/>
      <c r="BO133" s="26"/>
      <c r="BS133" s="26"/>
      <c r="CD133" s="27"/>
    </row>
    <row r="134" spans="1:82" s="11" customFormat="1">
      <c r="A134" s="32"/>
      <c r="B134" s="33"/>
      <c r="C134" s="18"/>
      <c r="D134" s="18"/>
      <c r="E134" s="18"/>
      <c r="F134" s="18"/>
      <c r="G134" s="18"/>
      <c r="H134" s="17"/>
      <c r="I134" s="18"/>
      <c r="J134" s="18"/>
      <c r="K134" s="18"/>
      <c r="L134" s="18"/>
      <c r="M134" s="18"/>
      <c r="N134" s="18"/>
      <c r="O134" s="18"/>
      <c r="P134" s="33"/>
      <c r="Q134" s="18"/>
      <c r="R134" s="18"/>
      <c r="S134" s="18"/>
      <c r="T134" s="18"/>
      <c r="U134" s="18"/>
      <c r="V134" s="17"/>
      <c r="W134" s="18"/>
      <c r="X134" s="18"/>
      <c r="Y134" s="18"/>
      <c r="Z134" s="18"/>
      <c r="AA134" s="18"/>
      <c r="AB134" s="18"/>
      <c r="AC134" s="18"/>
      <c r="AD134" s="33"/>
      <c r="AE134" s="18"/>
      <c r="AF134" s="18"/>
      <c r="AG134" s="18"/>
      <c r="AH134" s="18"/>
      <c r="AI134" s="18"/>
      <c r="AJ134" s="17"/>
      <c r="AK134" s="33"/>
      <c r="AL134" s="18"/>
      <c r="AM134" s="18"/>
      <c r="AN134" s="18"/>
      <c r="AO134" s="18"/>
      <c r="AP134" s="18"/>
      <c r="AQ134" s="17"/>
      <c r="AR134" s="18"/>
      <c r="AS134" s="8"/>
      <c r="AT134" s="8" t="s">
        <v>323</v>
      </c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33"/>
      <c r="BI134" s="18"/>
      <c r="BJ134" s="18"/>
      <c r="BK134" s="18"/>
      <c r="BL134" s="17"/>
      <c r="BM134" s="13"/>
      <c r="BO134" s="26"/>
      <c r="BS134" s="26"/>
      <c r="CD134" s="27"/>
    </row>
    <row r="135" spans="1:82" s="11" customFormat="1">
      <c r="A135" s="32"/>
      <c r="B135" s="33"/>
      <c r="C135" s="18"/>
      <c r="D135" s="18"/>
      <c r="E135" s="18"/>
      <c r="F135" s="18"/>
      <c r="G135" s="18"/>
      <c r="H135" s="17"/>
      <c r="I135" s="18"/>
      <c r="J135" s="18"/>
      <c r="K135" s="18"/>
      <c r="L135" s="18"/>
      <c r="M135" s="18"/>
      <c r="N135" s="18"/>
      <c r="O135" s="18"/>
      <c r="P135" s="33"/>
      <c r="Q135" s="18"/>
      <c r="R135" s="18"/>
      <c r="S135" s="18"/>
      <c r="T135" s="18"/>
      <c r="U135" s="18"/>
      <c r="V135" s="17"/>
      <c r="W135" s="18"/>
      <c r="X135" s="18"/>
      <c r="Y135" s="18"/>
      <c r="Z135" s="18"/>
      <c r="AA135" s="18"/>
      <c r="AB135" s="18"/>
      <c r="AC135" s="18"/>
      <c r="AD135" s="33"/>
      <c r="AE135" s="18"/>
      <c r="AF135" s="18"/>
      <c r="AG135" s="18"/>
      <c r="AH135" s="18"/>
      <c r="AI135" s="18"/>
      <c r="AJ135" s="17"/>
      <c r="AK135" s="33"/>
      <c r="AL135" s="18"/>
      <c r="AM135" s="18"/>
      <c r="AN135" s="18"/>
      <c r="AO135" s="18"/>
      <c r="AP135" s="18"/>
      <c r="AQ135" s="17"/>
      <c r="AR135" s="18"/>
      <c r="AS135" s="8"/>
      <c r="AT135" s="8" t="s">
        <v>324</v>
      </c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33"/>
      <c r="BI135" s="18"/>
      <c r="BJ135" s="18"/>
      <c r="BK135" s="18"/>
      <c r="BL135" s="17"/>
      <c r="BM135" s="13"/>
      <c r="BO135" s="26"/>
      <c r="BS135" s="26"/>
      <c r="CD135" s="27"/>
    </row>
    <row r="136" spans="1:82" s="11" customFormat="1">
      <c r="A136" s="32"/>
      <c r="B136" s="33"/>
      <c r="C136" s="18"/>
      <c r="D136" s="18"/>
      <c r="E136" s="18"/>
      <c r="F136" s="18"/>
      <c r="G136" s="18"/>
      <c r="H136" s="17"/>
      <c r="I136" s="18"/>
      <c r="J136" s="18"/>
      <c r="K136" s="18"/>
      <c r="L136" s="18"/>
      <c r="M136" s="18"/>
      <c r="N136" s="18"/>
      <c r="O136" s="18"/>
      <c r="P136" s="33"/>
      <c r="Q136" s="18"/>
      <c r="R136" s="18"/>
      <c r="S136" s="18"/>
      <c r="T136" s="18"/>
      <c r="U136" s="18"/>
      <c r="V136" s="17"/>
      <c r="W136" s="18"/>
      <c r="X136" s="18"/>
      <c r="Y136" s="18"/>
      <c r="Z136" s="18"/>
      <c r="AA136" s="18"/>
      <c r="AB136" s="18"/>
      <c r="AC136" s="18"/>
      <c r="AD136" s="33"/>
      <c r="AE136" s="18"/>
      <c r="AF136" s="18"/>
      <c r="AG136" s="18"/>
      <c r="AH136" s="18"/>
      <c r="AI136" s="18"/>
      <c r="AJ136" s="17"/>
      <c r="AK136" s="33"/>
      <c r="AL136" s="18"/>
      <c r="AM136" s="18"/>
      <c r="AN136" s="18"/>
      <c r="AO136" s="18"/>
      <c r="AP136" s="18"/>
      <c r="AQ136" s="17"/>
      <c r="AR136" s="18"/>
      <c r="AS136" s="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33"/>
      <c r="BI136" s="18"/>
      <c r="BJ136" s="18"/>
      <c r="BK136" s="18"/>
      <c r="BL136" s="17"/>
      <c r="BM136" s="13"/>
      <c r="BO136" s="26"/>
      <c r="BS136" s="26"/>
      <c r="CD136" s="27"/>
    </row>
    <row r="137" spans="1:82" s="11" customFormat="1">
      <c r="A137" s="32"/>
      <c r="B137" s="33"/>
      <c r="C137" s="18"/>
      <c r="D137" s="18"/>
      <c r="E137" s="18"/>
      <c r="F137" s="18"/>
      <c r="G137" s="18"/>
      <c r="H137" s="17"/>
      <c r="I137" s="18"/>
      <c r="J137" s="18"/>
      <c r="K137" s="18"/>
      <c r="L137" s="18"/>
      <c r="M137" s="18"/>
      <c r="N137" s="18"/>
      <c r="O137" s="18"/>
      <c r="P137" s="33"/>
      <c r="Q137" s="18"/>
      <c r="R137" s="18"/>
      <c r="S137" s="18"/>
      <c r="T137" s="18"/>
      <c r="U137" s="18"/>
      <c r="V137" s="17"/>
      <c r="W137" s="18"/>
      <c r="X137" s="18"/>
      <c r="Y137" s="18"/>
      <c r="Z137" s="18"/>
      <c r="AA137" s="18"/>
      <c r="AB137" s="18"/>
      <c r="AC137" s="18"/>
      <c r="AD137" s="33"/>
      <c r="AE137" s="18"/>
      <c r="AF137" s="18"/>
      <c r="AG137" s="18"/>
      <c r="AH137" s="18"/>
      <c r="AI137" s="18"/>
      <c r="AJ137" s="17"/>
      <c r="AK137" s="33"/>
      <c r="AL137" s="18"/>
      <c r="AM137" s="18"/>
      <c r="AN137" s="18"/>
      <c r="AO137" s="18"/>
      <c r="AP137" s="18"/>
      <c r="AQ137" s="17"/>
      <c r="AR137" s="18"/>
      <c r="AS137" s="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33"/>
      <c r="BI137" s="18"/>
      <c r="BJ137" s="18"/>
      <c r="BK137" s="18"/>
      <c r="BL137" s="17"/>
      <c r="BM137" s="13"/>
      <c r="BO137" s="26"/>
      <c r="BS137" s="26"/>
      <c r="CD137" s="27"/>
    </row>
    <row r="138" spans="1:82" s="11" customFormat="1">
      <c r="A138" s="32"/>
      <c r="B138" s="33"/>
      <c r="C138" s="18"/>
      <c r="D138" s="18"/>
      <c r="E138" s="18"/>
      <c r="F138" s="18"/>
      <c r="G138" s="18"/>
      <c r="H138" s="17"/>
      <c r="I138" s="18"/>
      <c r="J138" s="18"/>
      <c r="K138" s="18"/>
      <c r="L138" s="18"/>
      <c r="M138" s="18"/>
      <c r="N138" s="18"/>
      <c r="O138" s="18"/>
      <c r="P138" s="33"/>
      <c r="Q138" s="18"/>
      <c r="R138" s="18"/>
      <c r="S138" s="18"/>
      <c r="T138" s="18"/>
      <c r="U138" s="18"/>
      <c r="V138" s="17"/>
      <c r="W138" s="18"/>
      <c r="X138" s="18"/>
      <c r="Y138" s="18"/>
      <c r="Z138" s="18"/>
      <c r="AA138" s="18"/>
      <c r="AB138" s="18"/>
      <c r="AC138" s="18"/>
      <c r="AD138" s="33"/>
      <c r="AE138" s="18"/>
      <c r="AF138" s="18"/>
      <c r="AG138" s="18"/>
      <c r="AH138" s="18"/>
      <c r="AI138" s="18"/>
      <c r="AJ138" s="17"/>
      <c r="AK138" s="33"/>
      <c r="AL138" s="18"/>
      <c r="AM138" s="18"/>
      <c r="AN138" s="18"/>
      <c r="AO138" s="18"/>
      <c r="AP138" s="18"/>
      <c r="AQ138" s="17"/>
      <c r="AR138" s="18"/>
      <c r="AS138" s="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33"/>
      <c r="BI138" s="18"/>
      <c r="BJ138" s="18"/>
      <c r="BK138" s="18"/>
      <c r="BL138" s="17"/>
      <c r="BM138" s="13"/>
      <c r="BO138" s="26"/>
      <c r="BS138" s="26"/>
      <c r="CD138" s="27"/>
    </row>
    <row r="139" spans="1:82" s="11" customFormat="1">
      <c r="A139" s="32"/>
      <c r="B139" s="33"/>
      <c r="C139" s="18"/>
      <c r="D139" s="18"/>
      <c r="E139" s="18"/>
      <c r="F139" s="18"/>
      <c r="G139" s="18"/>
      <c r="H139" s="17"/>
      <c r="I139" s="18"/>
      <c r="J139" s="18"/>
      <c r="K139" s="18"/>
      <c r="L139" s="18"/>
      <c r="M139" s="18"/>
      <c r="N139" s="18"/>
      <c r="O139" s="18"/>
      <c r="P139" s="33"/>
      <c r="Q139" s="18"/>
      <c r="R139" s="18"/>
      <c r="S139" s="18"/>
      <c r="T139" s="18"/>
      <c r="U139" s="18"/>
      <c r="V139" s="17"/>
      <c r="W139" s="18"/>
      <c r="X139" s="18"/>
      <c r="Y139" s="18"/>
      <c r="Z139" s="18"/>
      <c r="AA139" s="18"/>
      <c r="AB139" s="18"/>
      <c r="AC139" s="18"/>
      <c r="AD139" s="33"/>
      <c r="AE139" s="18"/>
      <c r="AF139" s="18"/>
      <c r="AG139" s="18"/>
      <c r="AH139" s="18"/>
      <c r="AI139" s="18"/>
      <c r="AJ139" s="17"/>
      <c r="AK139" s="33"/>
      <c r="AL139" s="18"/>
      <c r="AM139" s="18"/>
      <c r="AN139" s="18"/>
      <c r="AO139" s="18"/>
      <c r="AP139" s="18"/>
      <c r="AQ139" s="17"/>
      <c r="AR139" s="18"/>
      <c r="AS139" s="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33"/>
      <c r="BI139" s="18"/>
      <c r="BJ139" s="18"/>
      <c r="BK139" s="18"/>
      <c r="BL139" s="17"/>
      <c r="BM139" s="13"/>
      <c r="BO139" s="26"/>
      <c r="BS139" s="26"/>
      <c r="CD139" s="27"/>
    </row>
    <row r="140" spans="1:82" s="11" customFormat="1">
      <c r="A140" s="32"/>
      <c r="B140" s="33"/>
      <c r="C140" s="18"/>
      <c r="D140" s="18"/>
      <c r="E140" s="18"/>
      <c r="F140" s="18"/>
      <c r="G140" s="18"/>
      <c r="H140" s="17"/>
      <c r="I140" s="18"/>
      <c r="J140" s="18"/>
      <c r="K140" s="18"/>
      <c r="L140" s="18"/>
      <c r="M140" s="18"/>
      <c r="N140" s="18"/>
      <c r="O140" s="18"/>
      <c r="P140" s="33"/>
      <c r="Q140" s="18"/>
      <c r="R140" s="18"/>
      <c r="S140" s="18"/>
      <c r="T140" s="18"/>
      <c r="U140" s="18"/>
      <c r="V140" s="17"/>
      <c r="W140" s="18"/>
      <c r="X140" s="18"/>
      <c r="Y140" s="18"/>
      <c r="Z140" s="18"/>
      <c r="AA140" s="18"/>
      <c r="AB140" s="18"/>
      <c r="AC140" s="18"/>
      <c r="AD140" s="33"/>
      <c r="AE140" s="18"/>
      <c r="AF140" s="18"/>
      <c r="AG140" s="18"/>
      <c r="AH140" s="18"/>
      <c r="AI140" s="18"/>
      <c r="AJ140" s="17"/>
      <c r="AK140" s="33"/>
      <c r="AL140" s="18"/>
      <c r="AM140" s="18"/>
      <c r="AN140" s="18"/>
      <c r="AO140" s="18"/>
      <c r="AP140" s="18"/>
      <c r="AQ140" s="17"/>
      <c r="AR140" s="18"/>
      <c r="AS140" s="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33"/>
      <c r="BI140" s="18"/>
      <c r="BJ140" s="18"/>
      <c r="BK140" s="18"/>
      <c r="BL140" s="17"/>
      <c r="BM140" s="13"/>
      <c r="BO140" s="26"/>
      <c r="BS140" s="26"/>
      <c r="CD140" s="27"/>
    </row>
    <row r="141" spans="1:82" s="11" customFormat="1">
      <c r="A141" s="32"/>
      <c r="B141" s="33"/>
      <c r="C141" s="18"/>
      <c r="D141" s="18"/>
      <c r="E141" s="18"/>
      <c r="F141" s="18"/>
      <c r="G141" s="18"/>
      <c r="H141" s="17"/>
      <c r="I141" s="18"/>
      <c r="J141" s="18"/>
      <c r="K141" s="18"/>
      <c r="L141" s="18"/>
      <c r="M141" s="18"/>
      <c r="N141" s="18"/>
      <c r="O141" s="18"/>
      <c r="P141" s="33"/>
      <c r="Q141" s="18"/>
      <c r="R141" s="18"/>
      <c r="S141" s="18"/>
      <c r="T141" s="18"/>
      <c r="U141" s="18"/>
      <c r="V141" s="17"/>
      <c r="W141" s="18"/>
      <c r="X141" s="18"/>
      <c r="Y141" s="18"/>
      <c r="Z141" s="18"/>
      <c r="AA141" s="18"/>
      <c r="AB141" s="18"/>
      <c r="AC141" s="18"/>
      <c r="AD141" s="33"/>
      <c r="AE141" s="18"/>
      <c r="AF141" s="18"/>
      <c r="AG141" s="18"/>
      <c r="AH141" s="18"/>
      <c r="AI141" s="18"/>
      <c r="AJ141" s="17"/>
      <c r="AK141" s="33"/>
      <c r="AL141" s="18"/>
      <c r="AM141" s="18"/>
      <c r="AN141" s="18"/>
      <c r="AO141" s="18"/>
      <c r="AP141" s="18"/>
      <c r="AQ141" s="17"/>
      <c r="AR141" s="18"/>
      <c r="AS141" s="16" t="s">
        <v>325</v>
      </c>
      <c r="AT141" s="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33"/>
      <c r="BI141" s="18"/>
      <c r="BJ141" s="18"/>
      <c r="BK141" s="18"/>
      <c r="BL141" s="17"/>
      <c r="BM141" s="13"/>
      <c r="BO141" s="26"/>
      <c r="BS141" s="26"/>
      <c r="CD141" s="27"/>
    </row>
    <row r="142" spans="1:82" s="11" customFormat="1">
      <c r="A142" s="32"/>
      <c r="B142" s="33"/>
      <c r="C142" s="18"/>
      <c r="D142" s="18"/>
      <c r="E142" s="18"/>
      <c r="F142" s="18"/>
      <c r="G142" s="18"/>
      <c r="H142" s="17"/>
      <c r="I142" s="18"/>
      <c r="J142" s="18"/>
      <c r="K142" s="18"/>
      <c r="L142" s="18"/>
      <c r="M142" s="18"/>
      <c r="N142" s="18"/>
      <c r="O142" s="18"/>
      <c r="P142" s="33"/>
      <c r="Q142" s="18"/>
      <c r="R142" s="18"/>
      <c r="S142" s="18"/>
      <c r="T142" s="18"/>
      <c r="U142" s="18"/>
      <c r="V142" s="17"/>
      <c r="W142" s="18"/>
      <c r="X142" s="18"/>
      <c r="Y142" s="18"/>
      <c r="Z142" s="18"/>
      <c r="AA142" s="18"/>
      <c r="AB142" s="18"/>
      <c r="AC142" s="18"/>
      <c r="AD142" s="33"/>
      <c r="AE142" s="18"/>
      <c r="AF142" s="18"/>
      <c r="AG142" s="18"/>
      <c r="AH142" s="18"/>
      <c r="AI142" s="18"/>
      <c r="AJ142" s="17"/>
      <c r="AK142" s="33"/>
      <c r="AL142" s="18"/>
      <c r="AM142" s="18"/>
      <c r="AN142" s="18"/>
      <c r="AO142" s="18"/>
      <c r="AP142" s="18"/>
      <c r="AQ142" s="17"/>
      <c r="AR142" s="18"/>
      <c r="AS142" s="8"/>
      <c r="AT142" s="8" t="s">
        <v>320</v>
      </c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33"/>
      <c r="BI142" s="18"/>
      <c r="BJ142" s="18"/>
      <c r="BK142" s="18"/>
      <c r="BL142" s="17"/>
      <c r="BM142" s="13"/>
      <c r="BO142" s="26"/>
      <c r="BS142" s="26"/>
      <c r="CD142" s="27"/>
    </row>
    <row r="143" spans="1:82" s="11" customFormat="1">
      <c r="A143" s="32"/>
      <c r="B143" s="33"/>
      <c r="C143" s="18"/>
      <c r="D143" s="18"/>
      <c r="E143" s="18"/>
      <c r="F143" s="18"/>
      <c r="G143" s="18"/>
      <c r="H143" s="17"/>
      <c r="I143" s="18"/>
      <c r="J143" s="18"/>
      <c r="K143" s="18"/>
      <c r="L143" s="18"/>
      <c r="M143" s="18"/>
      <c r="N143" s="18"/>
      <c r="O143" s="18"/>
      <c r="P143" s="33"/>
      <c r="Q143" s="18"/>
      <c r="R143" s="18"/>
      <c r="S143" s="18"/>
      <c r="T143" s="18"/>
      <c r="U143" s="18"/>
      <c r="V143" s="17"/>
      <c r="W143" s="18"/>
      <c r="X143" s="18"/>
      <c r="Y143" s="18"/>
      <c r="Z143" s="18"/>
      <c r="AA143" s="18"/>
      <c r="AB143" s="18"/>
      <c r="AC143" s="18"/>
      <c r="AD143" s="33"/>
      <c r="AE143" s="18"/>
      <c r="AF143" s="18"/>
      <c r="AG143" s="18"/>
      <c r="AH143" s="18"/>
      <c r="AI143" s="18"/>
      <c r="AJ143" s="17"/>
      <c r="AK143" s="33"/>
      <c r="AL143" s="18"/>
      <c r="AM143" s="18"/>
      <c r="AN143" s="18"/>
      <c r="AO143" s="18"/>
      <c r="AP143" s="18"/>
      <c r="AQ143" s="17"/>
      <c r="AR143" s="18"/>
      <c r="AS143" s="8"/>
      <c r="AT143" s="8" t="s">
        <v>326</v>
      </c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33"/>
      <c r="BI143" s="18"/>
      <c r="BJ143" s="18"/>
      <c r="BK143" s="18"/>
      <c r="BL143" s="17"/>
      <c r="BM143" s="13"/>
      <c r="BO143" s="26"/>
      <c r="BS143" s="26"/>
      <c r="CD143" s="27"/>
    </row>
    <row r="144" spans="1:82" s="11" customFormat="1">
      <c r="A144" s="32"/>
      <c r="B144" s="33"/>
      <c r="C144" s="18"/>
      <c r="D144" s="18"/>
      <c r="E144" s="18"/>
      <c r="F144" s="18"/>
      <c r="G144" s="18"/>
      <c r="H144" s="17"/>
      <c r="I144" s="18"/>
      <c r="J144" s="18"/>
      <c r="K144" s="18"/>
      <c r="L144" s="18"/>
      <c r="M144" s="18"/>
      <c r="N144" s="18"/>
      <c r="O144" s="18"/>
      <c r="P144" s="33"/>
      <c r="Q144" s="18"/>
      <c r="R144" s="18"/>
      <c r="S144" s="18"/>
      <c r="T144" s="18"/>
      <c r="U144" s="18"/>
      <c r="V144" s="17"/>
      <c r="W144" s="18"/>
      <c r="X144" s="18"/>
      <c r="Y144" s="18"/>
      <c r="Z144" s="18"/>
      <c r="AA144" s="18"/>
      <c r="AB144" s="18"/>
      <c r="AC144" s="18"/>
      <c r="AD144" s="33"/>
      <c r="AE144" s="18"/>
      <c r="AF144" s="18"/>
      <c r="AG144" s="18"/>
      <c r="AH144" s="18"/>
      <c r="AI144" s="18"/>
      <c r="AJ144" s="17"/>
      <c r="AK144" s="33"/>
      <c r="AL144" s="18"/>
      <c r="AM144" s="18"/>
      <c r="AN144" s="18"/>
      <c r="AO144" s="18"/>
      <c r="AP144" s="18"/>
      <c r="AQ144" s="17"/>
      <c r="AR144" s="18"/>
      <c r="AS144" s="8"/>
      <c r="AT144" s="8" t="s">
        <v>327</v>
      </c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33"/>
      <c r="BI144" s="18"/>
      <c r="BJ144" s="18"/>
      <c r="BK144" s="18"/>
      <c r="BL144" s="17"/>
      <c r="BM144" s="13"/>
      <c r="BO144" s="26"/>
      <c r="BS144" s="26"/>
      <c r="CD144" s="27"/>
    </row>
    <row r="145" spans="1:82" s="11" customFormat="1">
      <c r="A145" s="32"/>
      <c r="B145" s="33"/>
      <c r="C145" s="18"/>
      <c r="D145" s="18"/>
      <c r="E145" s="18"/>
      <c r="F145" s="18"/>
      <c r="G145" s="18"/>
      <c r="H145" s="17"/>
      <c r="I145" s="18"/>
      <c r="J145" s="18"/>
      <c r="K145" s="18"/>
      <c r="L145" s="18"/>
      <c r="M145" s="18"/>
      <c r="N145" s="18"/>
      <c r="O145" s="18"/>
      <c r="P145" s="33"/>
      <c r="Q145" s="18"/>
      <c r="R145" s="18"/>
      <c r="S145" s="18"/>
      <c r="T145" s="18"/>
      <c r="U145" s="18"/>
      <c r="V145" s="17"/>
      <c r="W145" s="18"/>
      <c r="X145" s="18"/>
      <c r="Y145" s="18"/>
      <c r="Z145" s="18"/>
      <c r="AA145" s="18"/>
      <c r="AB145" s="18"/>
      <c r="AC145" s="18"/>
      <c r="AD145" s="33"/>
      <c r="AE145" s="18"/>
      <c r="AF145" s="18"/>
      <c r="AG145" s="18"/>
      <c r="AH145" s="18"/>
      <c r="AI145" s="18"/>
      <c r="AJ145" s="17"/>
      <c r="AK145" s="33"/>
      <c r="AL145" s="18"/>
      <c r="AM145" s="18"/>
      <c r="AN145" s="18"/>
      <c r="AO145" s="18"/>
      <c r="AP145" s="18"/>
      <c r="AQ145" s="17"/>
      <c r="AR145" s="18"/>
      <c r="AS145" s="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33"/>
      <c r="BI145" s="18"/>
      <c r="BJ145" s="18"/>
      <c r="BK145" s="18"/>
      <c r="BL145" s="17"/>
      <c r="BM145" s="13"/>
      <c r="BO145" s="26"/>
      <c r="BS145" s="26"/>
      <c r="CD145" s="27"/>
    </row>
    <row r="146" spans="1:82" s="11" customFormat="1">
      <c r="A146" s="32"/>
      <c r="B146" s="33"/>
      <c r="C146" s="18"/>
      <c r="D146" s="18"/>
      <c r="E146" s="18"/>
      <c r="F146" s="18"/>
      <c r="G146" s="18"/>
      <c r="H146" s="17"/>
      <c r="I146" s="18"/>
      <c r="J146" s="18"/>
      <c r="K146" s="18"/>
      <c r="L146" s="18"/>
      <c r="M146" s="18"/>
      <c r="N146" s="18"/>
      <c r="O146" s="18"/>
      <c r="P146" s="33"/>
      <c r="Q146" s="18"/>
      <c r="R146" s="18"/>
      <c r="S146" s="18"/>
      <c r="T146" s="18"/>
      <c r="U146" s="18"/>
      <c r="V146" s="17"/>
      <c r="W146" s="18"/>
      <c r="X146" s="18"/>
      <c r="Y146" s="18"/>
      <c r="Z146" s="18"/>
      <c r="AA146" s="18"/>
      <c r="AB146" s="18"/>
      <c r="AC146" s="18"/>
      <c r="AD146" s="33"/>
      <c r="AE146" s="18"/>
      <c r="AF146" s="18"/>
      <c r="AG146" s="18"/>
      <c r="AH146" s="18"/>
      <c r="AI146" s="18"/>
      <c r="AJ146" s="17"/>
      <c r="AK146" s="33"/>
      <c r="AL146" s="18"/>
      <c r="AM146" s="18"/>
      <c r="AN146" s="18"/>
      <c r="AO146" s="18"/>
      <c r="AP146" s="18"/>
      <c r="AQ146" s="17"/>
      <c r="AR146" s="18"/>
      <c r="AS146" s="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33"/>
      <c r="BI146" s="18"/>
      <c r="BJ146" s="18"/>
      <c r="BK146" s="18"/>
      <c r="BL146" s="17"/>
      <c r="BM146" s="13"/>
      <c r="BO146" s="26"/>
      <c r="BS146" s="26"/>
      <c r="CD146" s="27"/>
    </row>
    <row r="147" spans="1:82" s="11" customFormat="1">
      <c r="A147" s="32"/>
      <c r="B147" s="33"/>
      <c r="C147" s="18"/>
      <c r="D147" s="18"/>
      <c r="E147" s="18"/>
      <c r="F147" s="18"/>
      <c r="G147" s="18"/>
      <c r="H147" s="17"/>
      <c r="I147" s="18"/>
      <c r="J147" s="18"/>
      <c r="K147" s="18"/>
      <c r="L147" s="18"/>
      <c r="M147" s="18"/>
      <c r="N147" s="18"/>
      <c r="O147" s="18"/>
      <c r="P147" s="33"/>
      <c r="Q147" s="18"/>
      <c r="R147" s="18"/>
      <c r="S147" s="18"/>
      <c r="T147" s="18"/>
      <c r="U147" s="18"/>
      <c r="V147" s="17"/>
      <c r="W147" s="18"/>
      <c r="X147" s="18"/>
      <c r="Y147" s="18"/>
      <c r="Z147" s="18"/>
      <c r="AA147" s="18"/>
      <c r="AB147" s="18"/>
      <c r="AC147" s="18"/>
      <c r="AD147" s="33"/>
      <c r="AE147" s="18"/>
      <c r="AF147" s="18"/>
      <c r="AG147" s="18"/>
      <c r="AH147" s="18"/>
      <c r="AI147" s="18"/>
      <c r="AJ147" s="17"/>
      <c r="AK147" s="33"/>
      <c r="AL147" s="18"/>
      <c r="AM147" s="18"/>
      <c r="AN147" s="18"/>
      <c r="AO147" s="18"/>
      <c r="AP147" s="18"/>
      <c r="AQ147" s="17"/>
      <c r="AR147" s="18"/>
      <c r="AS147" s="8" t="s">
        <v>162</v>
      </c>
      <c r="AT147" s="8" t="s">
        <v>293</v>
      </c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33"/>
      <c r="BI147" s="18"/>
      <c r="BJ147" s="18"/>
      <c r="BK147" s="18"/>
      <c r="BL147" s="17"/>
      <c r="BM147" s="13"/>
      <c r="BO147" s="26"/>
      <c r="BS147" s="26"/>
      <c r="CD147" s="27"/>
    </row>
    <row r="148" spans="1:82" s="11" customFormat="1">
      <c r="A148" s="32"/>
      <c r="B148" s="33"/>
      <c r="C148" s="18"/>
      <c r="D148" s="18"/>
      <c r="E148" s="18"/>
      <c r="F148" s="18"/>
      <c r="G148" s="18"/>
      <c r="H148" s="17"/>
      <c r="I148" s="18"/>
      <c r="J148" s="18"/>
      <c r="K148" s="18"/>
      <c r="L148" s="18"/>
      <c r="M148" s="18"/>
      <c r="N148" s="18"/>
      <c r="O148" s="18"/>
      <c r="P148" s="33"/>
      <c r="Q148" s="18"/>
      <c r="R148" s="18"/>
      <c r="S148" s="18"/>
      <c r="T148" s="18"/>
      <c r="U148" s="18"/>
      <c r="V148" s="17"/>
      <c r="W148" s="18"/>
      <c r="X148" s="18"/>
      <c r="Y148" s="18"/>
      <c r="Z148" s="18"/>
      <c r="AA148" s="18"/>
      <c r="AB148" s="18"/>
      <c r="AC148" s="18"/>
      <c r="AD148" s="33"/>
      <c r="AE148" s="18"/>
      <c r="AF148" s="18"/>
      <c r="AG148" s="18"/>
      <c r="AH148" s="18"/>
      <c r="AI148" s="18"/>
      <c r="AJ148" s="17"/>
      <c r="AK148" s="33"/>
      <c r="AL148" s="18"/>
      <c r="AM148" s="18"/>
      <c r="AN148" s="18"/>
      <c r="AO148" s="18"/>
      <c r="AP148" s="18"/>
      <c r="AQ148" s="17"/>
      <c r="AR148" s="18"/>
      <c r="AS148" s="8"/>
      <c r="AT148" s="8" t="s">
        <v>294</v>
      </c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33"/>
      <c r="BI148" s="18"/>
      <c r="BJ148" s="18"/>
      <c r="BK148" s="18"/>
      <c r="BL148" s="17"/>
      <c r="BM148" s="13"/>
      <c r="BO148" s="26"/>
      <c r="BS148" s="26"/>
      <c r="CD148" s="27"/>
    </row>
    <row r="149" spans="1:82" s="11" customFormat="1">
      <c r="A149" s="32"/>
      <c r="B149" s="33"/>
      <c r="C149" s="18"/>
      <c r="D149" s="18"/>
      <c r="E149" s="18"/>
      <c r="F149" s="18"/>
      <c r="G149" s="18"/>
      <c r="H149" s="17"/>
      <c r="I149" s="18"/>
      <c r="J149" s="18"/>
      <c r="K149" s="18"/>
      <c r="L149" s="18"/>
      <c r="M149" s="18"/>
      <c r="N149" s="18"/>
      <c r="O149" s="18"/>
      <c r="P149" s="33"/>
      <c r="Q149" s="18"/>
      <c r="R149" s="18"/>
      <c r="S149" s="18"/>
      <c r="T149" s="18"/>
      <c r="U149" s="18"/>
      <c r="V149" s="17"/>
      <c r="W149" s="18"/>
      <c r="X149" s="18"/>
      <c r="Y149" s="18"/>
      <c r="Z149" s="18"/>
      <c r="AA149" s="18"/>
      <c r="AB149" s="18"/>
      <c r="AC149" s="18"/>
      <c r="AD149" s="33"/>
      <c r="AE149" s="18"/>
      <c r="AF149" s="18"/>
      <c r="AG149" s="18"/>
      <c r="AH149" s="18"/>
      <c r="AI149" s="18"/>
      <c r="AJ149" s="17"/>
      <c r="AK149" s="33"/>
      <c r="AL149" s="18"/>
      <c r="AM149" s="18"/>
      <c r="AN149" s="18"/>
      <c r="AO149" s="18"/>
      <c r="AP149" s="18"/>
      <c r="AQ149" s="17"/>
      <c r="AR149" s="18"/>
      <c r="AS149" s="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33"/>
      <c r="BI149" s="18"/>
      <c r="BJ149" s="18"/>
      <c r="BK149" s="18"/>
      <c r="BL149" s="17"/>
      <c r="BM149" s="13"/>
      <c r="BO149" s="26"/>
      <c r="BS149" s="26"/>
      <c r="CD149" s="27"/>
    </row>
    <row r="150" spans="1:82" s="11" customFormat="1">
      <c r="A150" s="32"/>
      <c r="B150" s="33"/>
      <c r="C150" s="18"/>
      <c r="D150" s="18"/>
      <c r="E150" s="18"/>
      <c r="F150" s="18"/>
      <c r="G150" s="18"/>
      <c r="H150" s="17"/>
      <c r="I150" s="18"/>
      <c r="J150" s="18"/>
      <c r="K150" s="18"/>
      <c r="L150" s="18"/>
      <c r="M150" s="18"/>
      <c r="N150" s="18"/>
      <c r="O150" s="18"/>
      <c r="P150" s="33"/>
      <c r="Q150" s="18"/>
      <c r="R150" s="18"/>
      <c r="S150" s="18"/>
      <c r="T150" s="18"/>
      <c r="U150" s="18"/>
      <c r="V150" s="17"/>
      <c r="W150" s="18"/>
      <c r="X150" s="18"/>
      <c r="Y150" s="18"/>
      <c r="Z150" s="18"/>
      <c r="AA150" s="18"/>
      <c r="AB150" s="18"/>
      <c r="AC150" s="18"/>
      <c r="AD150" s="33"/>
      <c r="AE150" s="18"/>
      <c r="AF150" s="18"/>
      <c r="AG150" s="18"/>
      <c r="AH150" s="18"/>
      <c r="AI150" s="18"/>
      <c r="AJ150" s="17"/>
      <c r="AK150" s="33"/>
      <c r="AL150" s="18"/>
      <c r="AM150" s="18"/>
      <c r="AN150" s="18"/>
      <c r="AO150" s="18"/>
      <c r="AP150" s="18"/>
      <c r="AQ150" s="17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33"/>
      <c r="BI150" s="18"/>
      <c r="BJ150" s="18"/>
      <c r="BK150" s="18"/>
      <c r="BL150" s="17"/>
      <c r="BM150" s="13"/>
      <c r="BO150" s="26"/>
      <c r="BS150" s="26"/>
      <c r="CD150" s="27"/>
    </row>
    <row r="151" spans="1:82" s="11" customFormat="1">
      <c r="A151" s="32"/>
      <c r="B151" s="33"/>
      <c r="C151" s="18"/>
      <c r="D151" s="18"/>
      <c r="E151" s="18"/>
      <c r="F151" s="18"/>
      <c r="G151" s="18"/>
      <c r="H151" s="17"/>
      <c r="I151" s="18"/>
      <c r="J151" s="18"/>
      <c r="K151" s="18"/>
      <c r="L151" s="18"/>
      <c r="M151" s="18"/>
      <c r="N151" s="18"/>
      <c r="O151" s="18"/>
      <c r="P151" s="33"/>
      <c r="Q151" s="18"/>
      <c r="R151" s="18"/>
      <c r="S151" s="18"/>
      <c r="T151" s="18"/>
      <c r="U151" s="18"/>
      <c r="V151" s="17"/>
      <c r="W151" s="18"/>
      <c r="X151" s="18"/>
      <c r="Y151" s="18"/>
      <c r="Z151" s="18"/>
      <c r="AA151" s="18"/>
      <c r="AB151" s="18"/>
      <c r="AC151" s="18"/>
      <c r="AD151" s="33"/>
      <c r="AE151" s="18"/>
      <c r="AF151" s="18"/>
      <c r="AG151" s="18"/>
      <c r="AH151" s="18"/>
      <c r="AI151" s="18"/>
      <c r="AJ151" s="17"/>
      <c r="AK151" s="33"/>
      <c r="AL151" s="18"/>
      <c r="AM151" s="18"/>
      <c r="AN151" s="18"/>
      <c r="AO151" s="18"/>
      <c r="AP151" s="18"/>
      <c r="AQ151" s="17"/>
      <c r="AR151" s="18"/>
      <c r="AS151" s="19"/>
      <c r="AU151" s="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33"/>
      <c r="BI151" s="18"/>
      <c r="BJ151" s="18"/>
      <c r="BK151" s="18"/>
      <c r="BL151" s="17"/>
      <c r="BM151" s="13"/>
      <c r="BO151" s="26"/>
      <c r="BS151" s="26"/>
      <c r="CD151" s="27"/>
    </row>
    <row r="152" spans="1:82" s="11" customFormat="1">
      <c r="A152" s="32"/>
      <c r="B152" s="33"/>
      <c r="C152" s="18"/>
      <c r="D152" s="18"/>
      <c r="E152" s="18"/>
      <c r="F152" s="18"/>
      <c r="G152" s="18"/>
      <c r="H152" s="17"/>
      <c r="I152" s="18"/>
      <c r="J152" s="18"/>
      <c r="K152" s="18"/>
      <c r="L152" s="18"/>
      <c r="M152" s="18"/>
      <c r="N152" s="18"/>
      <c r="O152" s="18"/>
      <c r="P152" s="33"/>
      <c r="Q152" s="18"/>
      <c r="R152" s="18"/>
      <c r="S152" s="18"/>
      <c r="T152" s="18"/>
      <c r="U152" s="18"/>
      <c r="V152" s="17"/>
      <c r="W152" s="18"/>
      <c r="X152" s="18"/>
      <c r="Y152" s="18"/>
      <c r="Z152" s="18"/>
      <c r="AA152" s="18"/>
      <c r="AB152" s="18"/>
      <c r="AC152" s="18"/>
      <c r="AD152" s="33"/>
      <c r="AE152" s="18"/>
      <c r="AF152" s="18"/>
      <c r="AG152" s="18"/>
      <c r="AH152" s="18"/>
      <c r="AI152" s="18"/>
      <c r="AJ152" s="17"/>
      <c r="AK152" s="33"/>
      <c r="AL152" s="18"/>
      <c r="AM152" s="18"/>
      <c r="AN152" s="18"/>
      <c r="AO152" s="18"/>
      <c r="AP152" s="18"/>
      <c r="AQ152" s="17"/>
      <c r="AR152" s="18"/>
      <c r="AS152" s="8"/>
      <c r="AT152" s="8"/>
      <c r="AU152" s="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33"/>
      <c r="BI152" s="18"/>
      <c r="BJ152" s="18"/>
      <c r="BK152" s="18"/>
      <c r="BL152" s="17"/>
      <c r="BM152" s="13"/>
      <c r="BO152" s="26"/>
      <c r="BS152" s="26"/>
      <c r="CD152" s="27"/>
    </row>
    <row r="153" spans="1:82" s="11" customFormat="1">
      <c r="A153" s="32"/>
      <c r="B153" s="33"/>
      <c r="C153" s="18"/>
      <c r="D153" s="18"/>
      <c r="E153" s="18"/>
      <c r="F153" s="18"/>
      <c r="G153" s="18"/>
      <c r="H153" s="17"/>
      <c r="I153" s="18"/>
      <c r="J153" s="18"/>
      <c r="K153" s="18"/>
      <c r="L153" s="18"/>
      <c r="M153" s="18"/>
      <c r="N153" s="18"/>
      <c r="O153" s="18"/>
      <c r="P153" s="33"/>
      <c r="Q153" s="18"/>
      <c r="R153" s="18"/>
      <c r="S153" s="18"/>
      <c r="T153" s="18"/>
      <c r="U153" s="18"/>
      <c r="V153" s="17"/>
      <c r="W153" s="18"/>
      <c r="X153" s="18"/>
      <c r="Y153" s="18"/>
      <c r="Z153" s="18"/>
      <c r="AA153" s="18"/>
      <c r="AB153" s="18"/>
      <c r="AC153" s="18"/>
      <c r="AD153" s="33"/>
      <c r="AE153" s="18"/>
      <c r="AF153" s="18"/>
      <c r="AG153" s="18"/>
      <c r="AH153" s="18"/>
      <c r="AI153" s="18"/>
      <c r="AJ153" s="17"/>
      <c r="AK153" s="33"/>
      <c r="AL153" s="18"/>
      <c r="AM153" s="18"/>
      <c r="AN153" s="18"/>
      <c r="AO153" s="18"/>
      <c r="AP153" s="18"/>
      <c r="AQ153" s="17"/>
      <c r="AR153" s="18"/>
      <c r="AS153" s="18"/>
      <c r="AT153" s="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33"/>
      <c r="BI153" s="18"/>
      <c r="BJ153" s="18"/>
      <c r="BK153" s="18"/>
      <c r="BL153" s="17"/>
      <c r="BM153" s="13"/>
      <c r="BO153" s="26"/>
      <c r="BS153" s="26"/>
      <c r="CD153" s="27"/>
    </row>
    <row r="154" spans="1:82">
      <c r="A154" s="34"/>
      <c r="B154" s="21"/>
      <c r="C154" s="10"/>
      <c r="D154" s="10"/>
      <c r="E154" s="10"/>
      <c r="F154" s="10"/>
      <c r="G154" s="10"/>
      <c r="H154" s="15"/>
      <c r="I154" s="10"/>
      <c r="J154" s="10"/>
      <c r="K154" s="10"/>
      <c r="L154" s="10"/>
      <c r="M154" s="10"/>
      <c r="N154" s="10"/>
      <c r="O154" s="10"/>
      <c r="P154" s="21"/>
      <c r="Q154" s="10"/>
      <c r="R154" s="10"/>
      <c r="S154" s="10"/>
      <c r="T154" s="10"/>
      <c r="U154" s="10"/>
      <c r="V154" s="15"/>
      <c r="W154" s="10"/>
      <c r="X154" s="10"/>
      <c r="Y154" s="10"/>
      <c r="Z154" s="10"/>
      <c r="AA154" s="10"/>
      <c r="AB154" s="10"/>
      <c r="AC154" s="10"/>
      <c r="AD154" s="21"/>
      <c r="AE154" s="10"/>
      <c r="AF154" s="10"/>
      <c r="AG154" s="10"/>
      <c r="AH154" s="10"/>
      <c r="AI154" s="10"/>
      <c r="AJ154" s="15"/>
      <c r="AK154" s="21"/>
      <c r="AL154" s="10"/>
      <c r="AM154" s="10"/>
      <c r="AN154" s="10"/>
      <c r="AO154" s="10"/>
      <c r="AP154" s="10"/>
      <c r="AQ154" s="15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21"/>
      <c r="BI154" s="10"/>
      <c r="BJ154" s="10"/>
      <c r="BK154" s="10"/>
      <c r="BL154" s="15"/>
      <c r="BM154" s="14"/>
      <c r="BO154" s="28"/>
      <c r="BP154" s="29"/>
      <c r="BQ154" s="29"/>
      <c r="BR154" s="29"/>
      <c r="BS154" s="28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30"/>
    </row>
    <row r="155" spans="1:82">
      <c r="A155" s="21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5"/>
    </row>
  </sheetData>
  <mergeCells count="27">
    <mergeCell ref="AQ1:AV1"/>
    <mergeCell ref="A2:E3"/>
    <mergeCell ref="F2:U3"/>
    <mergeCell ref="V2:AI3"/>
    <mergeCell ref="AJ2:AK2"/>
    <mergeCell ref="A1:E1"/>
    <mergeCell ref="F1:U1"/>
    <mergeCell ref="V1:AI1"/>
    <mergeCell ref="AJ1:AP1"/>
    <mergeCell ref="AL2:AP2"/>
    <mergeCell ref="AQ2:AV2"/>
    <mergeCell ref="AJ3:AK3"/>
    <mergeCell ref="AL3:AP3"/>
    <mergeCell ref="AQ3:AV3"/>
    <mergeCell ref="BO8:BR9"/>
    <mergeCell ref="BS8:CD9"/>
    <mergeCell ref="B9:H9"/>
    <mergeCell ref="I9:O9"/>
    <mergeCell ref="AD9:AJ9"/>
    <mergeCell ref="AK9:AQ9"/>
    <mergeCell ref="P8:AC8"/>
    <mergeCell ref="P9:V9"/>
    <mergeCell ref="W9:AC9"/>
    <mergeCell ref="B8:O8"/>
    <mergeCell ref="AD8:AQ8"/>
    <mergeCell ref="AR8:BG9"/>
    <mergeCell ref="BH8:BL9"/>
  </mergeCells>
  <phoneticPr fontId="2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8E61-7716-4261-A3F0-B6DC136A45D8}">
  <sheetPr>
    <tabColor theme="0" tint="-0.499984740745262"/>
  </sheetPr>
  <dimension ref="A1:CD80"/>
  <sheetViews>
    <sheetView showGridLines="0" zoomScaleNormal="100" workbookViewId="0">
      <pane ySplit="9" topLeftCell="A10" activePane="bottomLeft" state="frozen"/>
      <selection pane="bottomLeft" activeCell="P15" sqref="O15:P15"/>
      <selection activeCell="AJ39" sqref="AJ39"/>
    </sheetView>
  </sheetViews>
  <sheetFormatPr defaultColWidth="2.625" defaultRowHeight="13.5"/>
  <cols>
    <col min="1" max="5" width="2.625" style="8"/>
    <col min="6" max="10" width="2.625" style="8" customWidth="1"/>
    <col min="11" max="63" width="2.625" style="8"/>
    <col min="64" max="64" width="2.625" style="8" customWidth="1"/>
    <col min="65" max="16384" width="2.625" style="8"/>
  </cols>
  <sheetData>
    <row r="1" spans="1:82" ht="14.1" customHeight="1" thickBot="1">
      <c r="A1" s="169" t="s">
        <v>9</v>
      </c>
      <c r="B1" s="170"/>
      <c r="C1" s="170"/>
      <c r="D1" s="170"/>
      <c r="E1" s="171"/>
      <c r="F1" s="166" t="str">
        <f>変更履歴!F1</f>
        <v>会計システム刷新プロジェクト（LIBRA）</v>
      </c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8"/>
      <c r="V1" s="169" t="s">
        <v>42</v>
      </c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1"/>
      <c r="AJ1" s="169" t="s">
        <v>11</v>
      </c>
      <c r="AK1" s="170"/>
      <c r="AL1" s="170"/>
      <c r="AM1" s="170"/>
      <c r="AN1" s="170"/>
      <c r="AO1" s="170"/>
      <c r="AP1" s="171"/>
      <c r="AQ1" s="169" t="s">
        <v>12</v>
      </c>
      <c r="AR1" s="170"/>
      <c r="AS1" s="170"/>
      <c r="AT1" s="170"/>
      <c r="AU1" s="170"/>
      <c r="AV1" s="171"/>
    </row>
    <row r="2" spans="1:82" ht="14.1" customHeight="1">
      <c r="A2" s="184" t="s">
        <v>13</v>
      </c>
      <c r="B2" s="185"/>
      <c r="C2" s="185"/>
      <c r="D2" s="185"/>
      <c r="E2" s="186"/>
      <c r="F2" s="146" t="str">
        <f>変更履歴!F2</f>
        <v>ToBe業務フロー（2.グループファイナンス・資金繰り）</v>
      </c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8"/>
      <c r="V2" s="146" t="e">
        <f ca="1">MID(CELL("filename",$A$1),FIND("]",CELL("filename",$A$1))+1,31)</f>
        <v>#VALUE!</v>
      </c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8"/>
      <c r="AJ2" s="158" t="s">
        <v>14</v>
      </c>
      <c r="AK2" s="159"/>
      <c r="AL2" s="160">
        <f>変更履歴!AT2</f>
        <v>45362</v>
      </c>
      <c r="AM2" s="161"/>
      <c r="AN2" s="161"/>
      <c r="AO2" s="161"/>
      <c r="AP2" s="162"/>
      <c r="AQ2" s="128" t="str">
        <f>変更履歴!BA2</f>
        <v>JBS福田</v>
      </c>
      <c r="AR2" s="129"/>
      <c r="AS2" s="129"/>
      <c r="AT2" s="129"/>
      <c r="AU2" s="129"/>
      <c r="AV2" s="130"/>
    </row>
    <row r="3" spans="1:82" ht="14.1" customHeight="1" thickBot="1">
      <c r="A3" s="187"/>
      <c r="B3" s="188"/>
      <c r="C3" s="188"/>
      <c r="D3" s="188"/>
      <c r="E3" s="189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1"/>
      <c r="V3" s="149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1"/>
      <c r="AJ3" s="131" t="s">
        <v>15</v>
      </c>
      <c r="AK3" s="132"/>
      <c r="AL3" s="133">
        <f ca="1">変更履歴!AT3</f>
        <v>45763</v>
      </c>
      <c r="AM3" s="134"/>
      <c r="AN3" s="134"/>
      <c r="AO3" s="134"/>
      <c r="AP3" s="135"/>
      <c r="AQ3" s="136" t="str">
        <f ca="1">変更履歴!BA3</f>
        <v>JBS福田</v>
      </c>
      <c r="AR3" s="137"/>
      <c r="AS3" s="137"/>
      <c r="AT3" s="137"/>
      <c r="AU3" s="137"/>
      <c r="AV3" s="138"/>
    </row>
    <row r="4" spans="1:82">
      <c r="A4" s="34"/>
    </row>
    <row r="5" spans="1:82">
      <c r="A5" s="2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</row>
    <row r="6" spans="1:82" s="11" customFormat="1">
      <c r="A6" s="38" t="e">
        <f ca="1">RIGHT(CELL("filename",A1),LEN(CELL("filename",A1))-FIND("]",CELL("filename",A1)))</f>
        <v>#VALUE!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40"/>
    </row>
    <row r="7" spans="1:82" s="11" customFormat="1">
      <c r="A7" s="32"/>
      <c r="BM7" s="13"/>
    </row>
    <row r="8" spans="1:82" s="11" customFormat="1" ht="17.25" customHeight="1">
      <c r="A8" s="32"/>
      <c r="B8" s="172" t="s">
        <v>229</v>
      </c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4"/>
      <c r="P8" s="172" t="s">
        <v>104</v>
      </c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4"/>
      <c r="AD8" s="181" t="s">
        <v>54</v>
      </c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3"/>
      <c r="AR8" s="193" t="s">
        <v>72</v>
      </c>
      <c r="AS8" s="193"/>
      <c r="AT8" s="193"/>
      <c r="AU8" s="193"/>
      <c r="AV8" s="193"/>
      <c r="AW8" s="193"/>
      <c r="AX8" s="193"/>
      <c r="AY8" s="193"/>
      <c r="AZ8" s="193"/>
      <c r="BA8" s="193"/>
      <c r="BB8" s="193"/>
      <c r="BC8" s="193"/>
      <c r="BD8" s="193"/>
      <c r="BE8" s="193"/>
      <c r="BF8" s="193"/>
      <c r="BG8" s="193"/>
      <c r="BH8" s="192" t="s">
        <v>74</v>
      </c>
      <c r="BI8" s="193"/>
      <c r="BJ8" s="193"/>
      <c r="BK8" s="193"/>
      <c r="BL8" s="193"/>
      <c r="BM8" s="13"/>
      <c r="BO8" s="201" t="s">
        <v>80</v>
      </c>
      <c r="BP8" s="202"/>
      <c r="BQ8" s="202"/>
      <c r="BR8" s="202"/>
      <c r="BS8" s="204" t="s">
        <v>81</v>
      </c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6"/>
    </row>
    <row r="9" spans="1:82" s="11" customFormat="1" ht="13.5" customHeight="1">
      <c r="A9" s="32"/>
      <c r="B9" s="172"/>
      <c r="C9" s="173"/>
      <c r="D9" s="173"/>
      <c r="E9" s="173"/>
      <c r="F9" s="173"/>
      <c r="G9" s="173"/>
      <c r="H9" s="174"/>
      <c r="I9" s="172"/>
      <c r="J9" s="173"/>
      <c r="K9" s="173"/>
      <c r="L9" s="173"/>
      <c r="M9" s="173"/>
      <c r="N9" s="173"/>
      <c r="O9" s="174"/>
      <c r="P9" s="172" t="s">
        <v>60</v>
      </c>
      <c r="Q9" s="173"/>
      <c r="R9" s="173"/>
      <c r="S9" s="173"/>
      <c r="T9" s="173"/>
      <c r="U9" s="173"/>
      <c r="V9" s="174"/>
      <c r="W9" s="172" t="s">
        <v>61</v>
      </c>
      <c r="X9" s="173"/>
      <c r="Y9" s="173"/>
      <c r="Z9" s="173"/>
      <c r="AA9" s="173"/>
      <c r="AB9" s="173"/>
      <c r="AC9" s="174"/>
      <c r="AD9" s="181" t="s">
        <v>69</v>
      </c>
      <c r="AE9" s="182"/>
      <c r="AF9" s="182"/>
      <c r="AG9" s="182"/>
      <c r="AH9" s="182"/>
      <c r="AI9" s="182"/>
      <c r="AJ9" s="183"/>
      <c r="AK9" s="181" t="s">
        <v>71</v>
      </c>
      <c r="AL9" s="182"/>
      <c r="AM9" s="182"/>
      <c r="AN9" s="182"/>
      <c r="AO9" s="182"/>
      <c r="AP9" s="182"/>
      <c r="AQ9" s="18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3"/>
      <c r="BO9" s="203"/>
      <c r="BP9" s="203"/>
      <c r="BQ9" s="203"/>
      <c r="BR9" s="203"/>
      <c r="BS9" s="207"/>
      <c r="BT9" s="208"/>
      <c r="BU9" s="208"/>
      <c r="BV9" s="208"/>
      <c r="BW9" s="208"/>
      <c r="BX9" s="208"/>
      <c r="BY9" s="208"/>
      <c r="BZ9" s="208"/>
      <c r="CA9" s="208"/>
      <c r="CB9" s="208"/>
      <c r="CC9" s="208"/>
      <c r="CD9" s="209"/>
    </row>
    <row r="10" spans="1:82" s="11" customFormat="1">
      <c r="A10" s="32"/>
      <c r="B10" s="35" t="s">
        <v>328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35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13"/>
      <c r="BO10" s="23"/>
      <c r="BP10" s="24"/>
      <c r="BQ10" s="24"/>
      <c r="BR10" s="24"/>
      <c r="BS10" s="23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5"/>
    </row>
    <row r="11" spans="1:82" s="11" customFormat="1">
      <c r="A11" s="32"/>
      <c r="B11" s="45"/>
      <c r="C11" s="43"/>
      <c r="D11" s="43"/>
      <c r="E11" s="43"/>
      <c r="F11" s="43"/>
      <c r="G11" s="43"/>
      <c r="H11" s="44"/>
      <c r="I11" s="43"/>
      <c r="J11" s="43"/>
      <c r="K11" s="43"/>
      <c r="L11" s="43"/>
      <c r="M11" s="43"/>
      <c r="N11" s="43"/>
      <c r="O11" s="43"/>
      <c r="P11" s="45"/>
      <c r="Q11" s="43"/>
      <c r="R11" s="43"/>
      <c r="S11" s="43"/>
      <c r="T11" s="43"/>
      <c r="U11" s="43"/>
      <c r="V11" s="44"/>
      <c r="W11" s="43"/>
      <c r="X11" s="43"/>
      <c r="Y11" s="43"/>
      <c r="Z11" s="43"/>
      <c r="AA11" s="43"/>
      <c r="AB11" s="43"/>
      <c r="AC11" s="43"/>
      <c r="AD11" s="45"/>
      <c r="AE11" s="43"/>
      <c r="AF11" s="43"/>
      <c r="AG11" s="43"/>
      <c r="AH11" s="43"/>
      <c r="AI11" s="43"/>
      <c r="AJ11" s="44"/>
      <c r="AK11" s="45"/>
      <c r="AL11" s="43"/>
      <c r="AM11" s="43"/>
      <c r="AN11" s="43"/>
      <c r="AO11" s="43"/>
      <c r="AP11" s="43"/>
      <c r="AQ11" s="44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5"/>
      <c r="BI11" s="43"/>
      <c r="BJ11" s="43"/>
      <c r="BK11" s="43"/>
      <c r="BL11" s="44"/>
      <c r="BM11" s="13"/>
      <c r="BO11" s="26"/>
      <c r="BS11" s="26"/>
      <c r="CD11" s="27"/>
    </row>
    <row r="12" spans="1:82" s="11" customFormat="1">
      <c r="A12" s="32"/>
      <c r="B12" s="33"/>
      <c r="C12" s="18"/>
      <c r="D12" s="18"/>
      <c r="E12" s="18"/>
      <c r="F12" s="18"/>
      <c r="G12" s="18"/>
      <c r="H12" s="17"/>
      <c r="I12" s="18"/>
      <c r="J12" s="18"/>
      <c r="K12" s="18"/>
      <c r="L12" s="18"/>
      <c r="M12" s="18"/>
      <c r="N12" s="18"/>
      <c r="O12" s="18"/>
      <c r="P12" s="33"/>
      <c r="Q12" s="18"/>
      <c r="R12" s="18"/>
      <c r="S12" s="18"/>
      <c r="T12" s="18"/>
      <c r="U12" s="18"/>
      <c r="V12" s="17"/>
      <c r="W12" s="18"/>
      <c r="X12" s="18"/>
      <c r="Y12" s="18"/>
      <c r="Z12" s="18"/>
      <c r="AA12" s="18"/>
      <c r="AB12" s="18"/>
      <c r="AC12" s="18"/>
      <c r="AD12" s="33"/>
      <c r="AE12" s="18"/>
      <c r="AF12" s="18"/>
      <c r="AG12" s="18"/>
      <c r="AH12" s="18"/>
      <c r="AI12" s="18"/>
      <c r="AJ12" s="17"/>
      <c r="AK12" s="33"/>
      <c r="AL12" s="18"/>
      <c r="AM12" s="18"/>
      <c r="AN12" s="18"/>
      <c r="AO12" s="18"/>
      <c r="AP12" s="18"/>
      <c r="AQ12" s="17"/>
      <c r="AR12" s="18"/>
      <c r="AS12" s="47" t="s">
        <v>231</v>
      </c>
      <c r="AT12" s="47" t="s">
        <v>329</v>
      </c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9" t="s">
        <v>147</v>
      </c>
      <c r="BI12" s="48"/>
      <c r="BJ12" s="48"/>
      <c r="BK12" s="48"/>
      <c r="BL12" s="52"/>
      <c r="BM12" s="13"/>
      <c r="BO12" s="26"/>
      <c r="BS12" s="26"/>
      <c r="CD12" s="27"/>
    </row>
    <row r="13" spans="1:82" s="11" customFormat="1">
      <c r="A13" s="32"/>
      <c r="B13" s="33"/>
      <c r="C13" s="18"/>
      <c r="D13" s="18"/>
      <c r="E13" s="18"/>
      <c r="F13" s="18"/>
      <c r="G13" s="18"/>
      <c r="H13" s="17"/>
      <c r="I13" s="18"/>
      <c r="J13" s="18"/>
      <c r="K13" s="18"/>
      <c r="L13" s="18"/>
      <c r="M13" s="18"/>
      <c r="N13" s="18"/>
      <c r="O13" s="18"/>
      <c r="P13" s="33"/>
      <c r="Q13" s="18"/>
      <c r="R13" s="18"/>
      <c r="S13" s="18"/>
      <c r="T13" s="18"/>
      <c r="U13" s="18"/>
      <c r="V13" s="17"/>
      <c r="W13" s="18"/>
      <c r="X13" s="18"/>
      <c r="Y13" s="18"/>
      <c r="Z13" s="18"/>
      <c r="AA13" s="18"/>
      <c r="AB13" s="18"/>
      <c r="AC13" s="18"/>
      <c r="AD13" s="33"/>
      <c r="AE13" s="18"/>
      <c r="AF13" s="18"/>
      <c r="AG13" s="18"/>
      <c r="AH13" s="18"/>
      <c r="AI13" s="18"/>
      <c r="AJ13" s="17"/>
      <c r="AK13" s="33"/>
      <c r="AL13" s="18"/>
      <c r="AM13" s="18"/>
      <c r="AN13" s="18"/>
      <c r="AO13" s="18"/>
      <c r="AP13" s="18"/>
      <c r="AQ13" s="17"/>
      <c r="AR13" s="18"/>
      <c r="AS13" s="47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51" t="s">
        <v>189</v>
      </c>
      <c r="BI13" s="48"/>
      <c r="BJ13" s="48"/>
      <c r="BK13" s="48"/>
      <c r="BL13" s="52"/>
      <c r="BM13" s="13"/>
      <c r="BO13" s="26"/>
      <c r="BS13" s="26"/>
      <c r="CD13" s="27"/>
    </row>
    <row r="14" spans="1:82" s="11" customFormat="1">
      <c r="A14" s="32"/>
      <c r="B14" s="33"/>
      <c r="C14" s="18"/>
      <c r="D14" s="18"/>
      <c r="E14" s="18"/>
      <c r="F14" s="18"/>
      <c r="G14" s="18"/>
      <c r="H14" s="17"/>
      <c r="I14" s="18"/>
      <c r="J14" s="18"/>
      <c r="K14" s="18"/>
      <c r="L14" s="18"/>
      <c r="M14" s="18"/>
      <c r="N14" s="18"/>
      <c r="O14" s="18"/>
      <c r="P14" s="33"/>
      <c r="Q14" s="18"/>
      <c r="R14" s="18"/>
      <c r="S14" s="18"/>
      <c r="T14" s="18"/>
      <c r="U14" s="18"/>
      <c r="V14" s="17"/>
      <c r="W14" s="18"/>
      <c r="X14" s="18"/>
      <c r="Y14" s="18"/>
      <c r="Z14" s="18"/>
      <c r="AA14" s="18"/>
      <c r="AB14" s="18"/>
      <c r="AC14" s="18"/>
      <c r="AD14" s="33"/>
      <c r="AE14" s="18"/>
      <c r="AF14" s="18"/>
      <c r="AG14" s="18"/>
      <c r="AH14" s="18"/>
      <c r="AI14" s="18"/>
      <c r="AJ14" s="17"/>
      <c r="AK14" s="33"/>
      <c r="AL14" s="18"/>
      <c r="AM14" s="18"/>
      <c r="AN14" s="18"/>
      <c r="AO14" s="18"/>
      <c r="AP14" s="18"/>
      <c r="AQ14" s="17"/>
      <c r="AR14" s="18"/>
      <c r="AS14" s="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33"/>
      <c r="BI14" s="18"/>
      <c r="BJ14" s="18"/>
      <c r="BK14" s="18"/>
      <c r="BL14" s="17"/>
      <c r="BM14" s="13"/>
      <c r="BO14" s="26"/>
      <c r="BS14" s="26"/>
      <c r="CD14" s="27"/>
    </row>
    <row r="15" spans="1:82" s="11" customFormat="1">
      <c r="A15" s="32"/>
      <c r="B15" s="33"/>
      <c r="C15" s="18"/>
      <c r="D15" s="18"/>
      <c r="E15" s="18"/>
      <c r="F15" s="18"/>
      <c r="G15" s="18"/>
      <c r="H15" s="17"/>
      <c r="I15" s="18"/>
      <c r="J15" s="18"/>
      <c r="K15" s="18"/>
      <c r="L15" s="18"/>
      <c r="M15" s="18"/>
      <c r="N15" s="18"/>
      <c r="O15" s="18"/>
      <c r="P15" s="33"/>
      <c r="Q15" s="18"/>
      <c r="R15" s="18"/>
      <c r="S15" s="18"/>
      <c r="T15" s="18"/>
      <c r="U15" s="18"/>
      <c r="V15" s="17"/>
      <c r="W15" s="18"/>
      <c r="X15" s="18"/>
      <c r="Y15" s="18"/>
      <c r="Z15" s="18"/>
      <c r="AA15" s="18"/>
      <c r="AB15" s="18"/>
      <c r="AC15" s="18"/>
      <c r="AD15" s="33"/>
      <c r="AE15" s="18"/>
      <c r="AF15" s="18"/>
      <c r="AG15" s="18"/>
      <c r="AH15" s="18"/>
      <c r="AI15" s="18"/>
      <c r="AJ15" s="17"/>
      <c r="AK15" s="33"/>
      <c r="AL15" s="18"/>
      <c r="AM15" s="18"/>
      <c r="AN15" s="18"/>
      <c r="AO15" s="18"/>
      <c r="AP15" s="18"/>
      <c r="AQ15" s="17"/>
      <c r="AR15" s="18"/>
      <c r="AS15" s="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33"/>
      <c r="BI15" s="18"/>
      <c r="BJ15" s="18"/>
      <c r="BK15" s="18"/>
      <c r="BL15" s="17"/>
      <c r="BM15" s="13"/>
      <c r="BO15" s="26"/>
      <c r="BS15" s="26"/>
      <c r="CD15" s="27"/>
    </row>
    <row r="16" spans="1:82" s="11" customFormat="1">
      <c r="A16" s="32"/>
      <c r="B16" s="33"/>
      <c r="C16" s="18"/>
      <c r="D16" s="18"/>
      <c r="E16" s="18"/>
      <c r="F16" s="18"/>
      <c r="G16" s="18"/>
      <c r="H16" s="17"/>
      <c r="I16" s="18"/>
      <c r="J16" s="18"/>
      <c r="K16" s="18"/>
      <c r="L16" s="18"/>
      <c r="M16" s="18"/>
      <c r="N16" s="18"/>
      <c r="O16" s="18"/>
      <c r="P16" s="33"/>
      <c r="Q16" s="18"/>
      <c r="R16" s="18"/>
      <c r="S16" s="18"/>
      <c r="T16" s="18"/>
      <c r="U16" s="18"/>
      <c r="V16" s="17"/>
      <c r="W16" s="18"/>
      <c r="X16" s="18"/>
      <c r="Y16" s="18"/>
      <c r="Z16" s="18"/>
      <c r="AA16" s="18"/>
      <c r="AB16" s="18"/>
      <c r="AC16" s="18"/>
      <c r="AD16" s="33"/>
      <c r="AE16" s="18"/>
      <c r="AF16" s="18"/>
      <c r="AG16" s="18"/>
      <c r="AH16" s="18"/>
      <c r="AI16" s="18"/>
      <c r="AJ16" s="17"/>
      <c r="AK16" s="33"/>
      <c r="AL16" s="18"/>
      <c r="AM16" s="18"/>
      <c r="AN16" s="18"/>
      <c r="AO16" s="18"/>
      <c r="AP16" s="18"/>
      <c r="AQ16" s="17"/>
      <c r="AR16" s="18"/>
      <c r="AS16" s="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33"/>
      <c r="BI16" s="18"/>
      <c r="BJ16" s="18"/>
      <c r="BK16" s="18"/>
      <c r="BL16" s="17"/>
      <c r="BM16" s="13"/>
      <c r="BO16" s="26"/>
      <c r="BS16" s="26"/>
      <c r="CD16" s="27"/>
    </row>
    <row r="17" spans="1:82" s="11" customFormat="1">
      <c r="A17" s="32"/>
      <c r="B17" s="33"/>
      <c r="C17" s="18"/>
      <c r="D17" s="18"/>
      <c r="E17" s="18"/>
      <c r="F17" s="18"/>
      <c r="G17" s="18"/>
      <c r="H17" s="17"/>
      <c r="I17" s="18"/>
      <c r="J17" s="18"/>
      <c r="K17" s="18"/>
      <c r="L17" s="18"/>
      <c r="M17" s="18"/>
      <c r="N17" s="18"/>
      <c r="O17" s="18"/>
      <c r="P17" s="33"/>
      <c r="Q17" s="18"/>
      <c r="R17" s="18"/>
      <c r="S17" s="18"/>
      <c r="T17" s="18"/>
      <c r="U17" s="18"/>
      <c r="V17" s="17"/>
      <c r="W17" s="18"/>
      <c r="X17" s="18"/>
      <c r="Y17" s="18"/>
      <c r="Z17" s="18"/>
      <c r="AA17" s="18"/>
      <c r="AB17" s="18"/>
      <c r="AC17" s="18"/>
      <c r="AD17" s="33"/>
      <c r="AE17" s="18"/>
      <c r="AF17" s="18"/>
      <c r="AG17" s="18"/>
      <c r="AH17" s="18"/>
      <c r="AI17" s="18"/>
      <c r="AJ17" s="17"/>
      <c r="AK17" s="33"/>
      <c r="AL17" s="18"/>
      <c r="AM17" s="18"/>
      <c r="AN17" s="18"/>
      <c r="AO17" s="18"/>
      <c r="AP17" s="18"/>
      <c r="AQ17" s="17"/>
      <c r="AR17" s="18"/>
      <c r="AS17" s="8"/>
      <c r="AT17" s="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33"/>
      <c r="BI17" s="18"/>
      <c r="BJ17" s="18"/>
      <c r="BK17" s="18"/>
      <c r="BL17" s="17"/>
      <c r="BM17" s="13"/>
      <c r="BO17" s="26"/>
      <c r="BS17" s="26"/>
      <c r="CD17" s="27"/>
    </row>
    <row r="18" spans="1:82" s="11" customFormat="1">
      <c r="A18" s="32"/>
      <c r="B18" s="33"/>
      <c r="C18" s="18"/>
      <c r="D18" s="18"/>
      <c r="E18" s="18"/>
      <c r="F18" s="18"/>
      <c r="G18" s="18"/>
      <c r="H18" s="17"/>
      <c r="I18" s="18"/>
      <c r="J18" s="18"/>
      <c r="K18" s="18"/>
      <c r="L18" s="18"/>
      <c r="M18" s="18"/>
      <c r="N18" s="18"/>
      <c r="O18" s="18"/>
      <c r="P18" s="33"/>
      <c r="Q18" s="18"/>
      <c r="R18" s="18"/>
      <c r="S18" s="18"/>
      <c r="T18" s="18"/>
      <c r="U18" s="18"/>
      <c r="V18" s="17"/>
      <c r="W18" s="18"/>
      <c r="X18" s="18"/>
      <c r="Y18" s="18"/>
      <c r="Z18" s="18"/>
      <c r="AA18" s="18"/>
      <c r="AB18" s="18"/>
      <c r="AC18" s="18"/>
      <c r="AD18" s="33"/>
      <c r="AE18" s="18"/>
      <c r="AF18" s="18"/>
      <c r="AG18" s="18"/>
      <c r="AH18" s="18"/>
      <c r="AI18" s="18"/>
      <c r="AJ18" s="17"/>
      <c r="AK18" s="33"/>
      <c r="AL18" s="18"/>
      <c r="AM18" s="18"/>
      <c r="AN18" s="18"/>
      <c r="AO18" s="18"/>
      <c r="AP18" s="18"/>
      <c r="AQ18" s="17"/>
      <c r="AR18" s="18"/>
      <c r="AS18" s="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33"/>
      <c r="BI18" s="18"/>
      <c r="BJ18" s="18"/>
      <c r="BK18" s="18"/>
      <c r="BL18" s="17"/>
      <c r="BM18" s="13"/>
      <c r="BO18" s="26"/>
      <c r="BS18" s="26"/>
      <c r="CD18" s="27"/>
    </row>
    <row r="19" spans="1:82" s="11" customFormat="1">
      <c r="A19" s="32"/>
      <c r="B19" s="33"/>
      <c r="C19" s="18"/>
      <c r="D19" s="18"/>
      <c r="E19" s="18"/>
      <c r="F19" s="18"/>
      <c r="G19" s="18"/>
      <c r="H19" s="17"/>
      <c r="I19" s="18"/>
      <c r="J19" s="18"/>
      <c r="K19" s="18"/>
      <c r="L19" s="18"/>
      <c r="M19" s="18"/>
      <c r="N19" s="18"/>
      <c r="O19" s="18"/>
      <c r="P19" s="33"/>
      <c r="Q19" s="18"/>
      <c r="R19" s="18"/>
      <c r="S19" s="18"/>
      <c r="T19" s="18"/>
      <c r="U19" s="18"/>
      <c r="V19" s="17"/>
      <c r="W19" s="18"/>
      <c r="X19" s="18"/>
      <c r="Y19" s="18"/>
      <c r="Z19" s="18"/>
      <c r="AA19" s="18"/>
      <c r="AB19" s="18"/>
      <c r="AC19" s="18"/>
      <c r="AD19" s="33"/>
      <c r="AE19" s="18"/>
      <c r="AF19" s="18"/>
      <c r="AG19" s="18"/>
      <c r="AH19" s="18"/>
      <c r="AI19" s="18"/>
      <c r="AJ19" s="17"/>
      <c r="AK19" s="33"/>
      <c r="AL19" s="18"/>
      <c r="AM19" s="18"/>
      <c r="AN19" s="18"/>
      <c r="AO19" s="18"/>
      <c r="AP19" s="18"/>
      <c r="AQ19" s="17"/>
      <c r="AR19" s="18"/>
      <c r="AS19" s="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33"/>
      <c r="BI19" s="18"/>
      <c r="BJ19" s="18"/>
      <c r="BK19" s="18"/>
      <c r="BL19" s="17"/>
      <c r="BM19" s="13"/>
      <c r="BO19" s="26"/>
      <c r="BS19" s="26"/>
      <c r="CD19" s="27"/>
    </row>
    <row r="20" spans="1:82" s="11" customFormat="1">
      <c r="A20" s="32"/>
      <c r="B20" s="33"/>
      <c r="C20" s="18"/>
      <c r="D20" s="18"/>
      <c r="E20" s="18"/>
      <c r="F20" s="18"/>
      <c r="G20" s="18"/>
      <c r="H20" s="17"/>
      <c r="I20" s="18"/>
      <c r="J20" s="18"/>
      <c r="K20" s="18"/>
      <c r="L20" s="18"/>
      <c r="M20" s="18"/>
      <c r="N20" s="18"/>
      <c r="O20" s="18"/>
      <c r="P20" s="33"/>
      <c r="Q20" s="18"/>
      <c r="R20" s="18"/>
      <c r="S20" s="18"/>
      <c r="T20" s="18"/>
      <c r="U20" s="18"/>
      <c r="V20" s="17"/>
      <c r="W20" s="18"/>
      <c r="X20" s="18"/>
      <c r="Y20" s="18"/>
      <c r="Z20" s="18"/>
      <c r="AA20" s="18"/>
      <c r="AB20" s="18"/>
      <c r="AC20" s="18"/>
      <c r="AD20" s="33"/>
      <c r="AE20" s="18"/>
      <c r="AF20" s="18"/>
      <c r="AG20" s="18"/>
      <c r="AH20" s="18"/>
      <c r="AI20" s="18"/>
      <c r="AJ20" s="17"/>
      <c r="AK20" s="33"/>
      <c r="AL20" s="18"/>
      <c r="AM20" s="18"/>
      <c r="AN20" s="18"/>
      <c r="AO20" s="18"/>
      <c r="AP20" s="18"/>
      <c r="AQ20" s="17"/>
      <c r="AR20" s="18"/>
      <c r="AS20" s="19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33"/>
      <c r="BI20" s="18"/>
      <c r="BJ20" s="18"/>
      <c r="BK20" s="18"/>
      <c r="BL20" s="17"/>
      <c r="BM20" s="13"/>
      <c r="BO20" s="26"/>
      <c r="BS20" s="26"/>
      <c r="CD20" s="27"/>
    </row>
    <row r="21" spans="1:82" s="11" customFormat="1">
      <c r="A21" s="32"/>
      <c r="B21" s="33"/>
      <c r="C21" s="18"/>
      <c r="D21" s="18"/>
      <c r="E21" s="18"/>
      <c r="F21" s="18"/>
      <c r="G21" s="18"/>
      <c r="H21" s="17"/>
      <c r="I21" s="18"/>
      <c r="J21" s="18"/>
      <c r="K21" s="18"/>
      <c r="L21" s="18"/>
      <c r="M21" s="18"/>
      <c r="N21" s="18"/>
      <c r="O21" s="18"/>
      <c r="P21" s="33"/>
      <c r="Q21" s="18"/>
      <c r="R21" s="18"/>
      <c r="S21" s="18"/>
      <c r="T21" s="18"/>
      <c r="U21" s="18"/>
      <c r="V21" s="17"/>
      <c r="W21" s="18"/>
      <c r="X21" s="18"/>
      <c r="Y21" s="18"/>
      <c r="Z21" s="18"/>
      <c r="AA21" s="18"/>
      <c r="AB21" s="18"/>
      <c r="AC21" s="18"/>
      <c r="AD21" s="33"/>
      <c r="AE21" s="18"/>
      <c r="AF21" s="18"/>
      <c r="AG21" s="18"/>
      <c r="AH21" s="18"/>
      <c r="AI21" s="18"/>
      <c r="AJ21" s="17"/>
      <c r="AK21" s="33"/>
      <c r="AL21" s="18"/>
      <c r="AM21" s="18"/>
      <c r="AN21" s="18"/>
      <c r="AO21" s="18"/>
      <c r="AP21" s="18"/>
      <c r="AQ21" s="17"/>
      <c r="AR21" s="18"/>
      <c r="AT21" s="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33"/>
      <c r="BI21" s="18"/>
      <c r="BJ21" s="18"/>
      <c r="BK21" s="18"/>
      <c r="BL21" s="17"/>
      <c r="BM21" s="13"/>
      <c r="BO21" s="26"/>
      <c r="BS21" s="26"/>
      <c r="CD21" s="27"/>
    </row>
    <row r="22" spans="1:82" s="11" customFormat="1">
      <c r="A22" s="32"/>
      <c r="B22" s="33"/>
      <c r="C22" s="18"/>
      <c r="D22" s="18"/>
      <c r="E22" s="18"/>
      <c r="F22" s="18"/>
      <c r="G22" s="18"/>
      <c r="H22" s="17"/>
      <c r="I22" s="18"/>
      <c r="J22" s="18"/>
      <c r="K22" s="18"/>
      <c r="L22" s="18"/>
      <c r="M22" s="18"/>
      <c r="N22" s="18"/>
      <c r="O22" s="18"/>
      <c r="P22" s="33"/>
      <c r="Q22" s="18"/>
      <c r="R22" s="18"/>
      <c r="S22" s="18"/>
      <c r="T22" s="18"/>
      <c r="U22" s="18"/>
      <c r="V22" s="17"/>
      <c r="W22" s="18"/>
      <c r="X22" s="18"/>
      <c r="Y22" s="18"/>
      <c r="Z22" s="18"/>
      <c r="AA22" s="18"/>
      <c r="AB22" s="18"/>
      <c r="AC22" s="18"/>
      <c r="AD22" s="33"/>
      <c r="AE22" s="18"/>
      <c r="AF22" s="18"/>
      <c r="AG22" s="18"/>
      <c r="AH22" s="18"/>
      <c r="AI22" s="18"/>
      <c r="AJ22" s="17"/>
      <c r="AK22" s="33"/>
      <c r="AL22" s="18"/>
      <c r="AM22" s="18"/>
      <c r="AN22" s="18"/>
      <c r="AO22" s="18"/>
      <c r="AP22" s="18"/>
      <c r="AQ22" s="17"/>
      <c r="AR22" s="18"/>
      <c r="AS22" s="8"/>
      <c r="AT22" s="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33"/>
      <c r="BI22" s="18"/>
      <c r="BJ22" s="18"/>
      <c r="BK22" s="18"/>
      <c r="BL22" s="17"/>
      <c r="BM22" s="13"/>
      <c r="BO22" s="26"/>
      <c r="BS22" s="26"/>
      <c r="CD22" s="27"/>
    </row>
    <row r="23" spans="1:82" s="11" customFormat="1">
      <c r="A23" s="32"/>
      <c r="B23" s="33"/>
      <c r="C23" s="18"/>
      <c r="D23" s="18"/>
      <c r="E23" s="18"/>
      <c r="F23" s="18"/>
      <c r="G23" s="18"/>
      <c r="H23" s="17"/>
      <c r="I23" s="18"/>
      <c r="J23" s="18"/>
      <c r="K23" s="18"/>
      <c r="L23" s="18"/>
      <c r="M23" s="18"/>
      <c r="N23" s="18"/>
      <c r="O23" s="18"/>
      <c r="P23" s="33"/>
      <c r="Q23" s="18"/>
      <c r="R23" s="18"/>
      <c r="S23" s="18"/>
      <c r="T23" s="18"/>
      <c r="U23" s="18"/>
      <c r="V23" s="17"/>
      <c r="W23" s="18"/>
      <c r="X23" s="18"/>
      <c r="Y23" s="18"/>
      <c r="Z23" s="18"/>
      <c r="AA23" s="18"/>
      <c r="AB23" s="18"/>
      <c r="AC23" s="18"/>
      <c r="AD23" s="33"/>
      <c r="AE23" s="18"/>
      <c r="AF23" s="18"/>
      <c r="AG23" s="18"/>
      <c r="AH23" s="18"/>
      <c r="AI23" s="18"/>
      <c r="AJ23" s="17"/>
      <c r="AK23" s="33"/>
      <c r="AL23" s="18"/>
      <c r="AM23" s="18"/>
      <c r="AN23" s="18"/>
      <c r="AO23" s="18"/>
      <c r="AP23" s="18"/>
      <c r="AQ23" s="17"/>
      <c r="AR23" s="18"/>
      <c r="AS23" s="16" t="s">
        <v>330</v>
      </c>
      <c r="AT23" s="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33"/>
      <c r="BI23" s="18"/>
      <c r="BJ23" s="18"/>
      <c r="BK23" s="18"/>
      <c r="BL23" s="17"/>
      <c r="BM23" s="13"/>
      <c r="BO23" s="26"/>
      <c r="BS23" s="26"/>
      <c r="CD23" s="27"/>
    </row>
    <row r="24" spans="1:82" s="11" customFormat="1">
      <c r="A24" s="32"/>
      <c r="B24" s="33"/>
      <c r="C24" s="18"/>
      <c r="D24" s="18"/>
      <c r="E24" s="18"/>
      <c r="F24" s="18"/>
      <c r="G24" s="18"/>
      <c r="H24" s="17"/>
      <c r="I24" s="18"/>
      <c r="J24" s="18"/>
      <c r="K24" s="18"/>
      <c r="L24" s="18"/>
      <c r="M24" s="18"/>
      <c r="N24" s="18"/>
      <c r="O24" s="18"/>
      <c r="P24" s="33"/>
      <c r="Q24" s="18"/>
      <c r="R24" s="18"/>
      <c r="S24" s="18"/>
      <c r="T24" s="18"/>
      <c r="U24" s="18"/>
      <c r="V24" s="17"/>
      <c r="W24" s="18"/>
      <c r="X24" s="18"/>
      <c r="Y24" s="18"/>
      <c r="Z24" s="18"/>
      <c r="AA24" s="18"/>
      <c r="AB24" s="18"/>
      <c r="AC24" s="18"/>
      <c r="AD24" s="33"/>
      <c r="AE24" s="18"/>
      <c r="AF24" s="18"/>
      <c r="AG24" s="18"/>
      <c r="AH24" s="18"/>
      <c r="AI24" s="18"/>
      <c r="AJ24" s="17"/>
      <c r="AK24" s="33"/>
      <c r="AL24" s="18"/>
      <c r="AM24" s="18"/>
      <c r="AN24" s="18"/>
      <c r="AO24" s="18"/>
      <c r="AP24" s="18"/>
      <c r="AQ24" s="17"/>
      <c r="AR24" s="18"/>
      <c r="AS24" s="8"/>
      <c r="AT24" s="8" t="s">
        <v>331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33"/>
      <c r="BI24" s="18"/>
      <c r="BJ24" s="18"/>
      <c r="BK24" s="18"/>
      <c r="BL24" s="17"/>
      <c r="BM24" s="13"/>
      <c r="BO24" s="26"/>
      <c r="BS24" s="26"/>
      <c r="CD24" s="27"/>
    </row>
    <row r="25" spans="1:82" s="11" customFormat="1">
      <c r="A25" s="32"/>
      <c r="B25" s="33"/>
      <c r="C25" s="18"/>
      <c r="D25" s="18"/>
      <c r="E25" s="18"/>
      <c r="F25" s="18"/>
      <c r="G25" s="18"/>
      <c r="H25" s="17"/>
      <c r="I25" s="18"/>
      <c r="J25" s="18"/>
      <c r="K25" s="18"/>
      <c r="L25" s="18"/>
      <c r="M25" s="18"/>
      <c r="N25" s="18"/>
      <c r="O25" s="18"/>
      <c r="P25" s="33"/>
      <c r="Q25" s="18"/>
      <c r="R25" s="18"/>
      <c r="S25" s="18"/>
      <c r="T25" s="18"/>
      <c r="U25" s="18"/>
      <c r="V25" s="17"/>
      <c r="W25" s="18"/>
      <c r="X25" s="18"/>
      <c r="Y25" s="18"/>
      <c r="Z25" s="18"/>
      <c r="AA25" s="18"/>
      <c r="AB25" s="18"/>
      <c r="AC25" s="18"/>
      <c r="AD25" s="33"/>
      <c r="AE25" s="18"/>
      <c r="AF25" s="18"/>
      <c r="AG25" s="18"/>
      <c r="AH25" s="18"/>
      <c r="AI25" s="18"/>
      <c r="AJ25" s="17"/>
      <c r="AK25" s="33"/>
      <c r="AL25" s="18"/>
      <c r="AM25" s="18"/>
      <c r="AN25" s="18"/>
      <c r="AO25" s="18"/>
      <c r="AP25" s="18"/>
      <c r="AQ25" s="17"/>
      <c r="AR25" s="18"/>
      <c r="AS25" s="8"/>
      <c r="AT25" s="8" t="s">
        <v>332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33"/>
      <c r="BI25" s="18"/>
      <c r="BJ25" s="18"/>
      <c r="BK25" s="18"/>
      <c r="BL25" s="17"/>
      <c r="BM25" s="13"/>
      <c r="BO25" s="26"/>
      <c r="BS25" s="26"/>
      <c r="CD25" s="27"/>
    </row>
    <row r="26" spans="1:82" s="11" customFormat="1">
      <c r="A26" s="32"/>
      <c r="B26" s="33"/>
      <c r="C26" s="18"/>
      <c r="D26" s="18"/>
      <c r="E26" s="18"/>
      <c r="F26" s="18"/>
      <c r="G26" s="18"/>
      <c r="H26" s="17"/>
      <c r="I26" s="18"/>
      <c r="J26" s="18"/>
      <c r="K26" s="18"/>
      <c r="L26" s="18"/>
      <c r="M26" s="18"/>
      <c r="N26" s="18"/>
      <c r="O26" s="18"/>
      <c r="P26" s="33"/>
      <c r="Q26" s="18"/>
      <c r="R26" s="18"/>
      <c r="S26" s="18"/>
      <c r="T26" s="18"/>
      <c r="U26" s="18"/>
      <c r="V26" s="17"/>
      <c r="W26" s="18"/>
      <c r="X26" s="18"/>
      <c r="Y26" s="18"/>
      <c r="Z26" s="18"/>
      <c r="AA26" s="18"/>
      <c r="AB26" s="18"/>
      <c r="AC26" s="18"/>
      <c r="AD26" s="33"/>
      <c r="AE26" s="18"/>
      <c r="AF26" s="18"/>
      <c r="AG26" s="18"/>
      <c r="AH26" s="18"/>
      <c r="AI26" s="18"/>
      <c r="AJ26" s="17"/>
      <c r="AK26" s="33"/>
      <c r="AL26" s="18"/>
      <c r="AM26" s="18"/>
      <c r="AN26" s="18"/>
      <c r="AO26" s="18"/>
      <c r="AP26" s="18"/>
      <c r="AQ26" s="17"/>
      <c r="AR26" s="18"/>
      <c r="AS26" s="8"/>
      <c r="AT26" s="8" t="s">
        <v>333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33"/>
      <c r="BI26" s="18"/>
      <c r="BJ26" s="18"/>
      <c r="BK26" s="18"/>
      <c r="BL26" s="17"/>
      <c r="BM26" s="13"/>
      <c r="BO26" s="26"/>
      <c r="BS26" s="26"/>
      <c r="CD26" s="27"/>
    </row>
    <row r="27" spans="1:82" s="11" customFormat="1">
      <c r="A27" s="32"/>
      <c r="B27" s="33"/>
      <c r="C27" s="18"/>
      <c r="D27" s="18"/>
      <c r="E27" s="18"/>
      <c r="F27" s="18"/>
      <c r="G27" s="18"/>
      <c r="H27" s="17"/>
      <c r="I27" s="18"/>
      <c r="J27" s="18"/>
      <c r="K27" s="18"/>
      <c r="L27" s="18"/>
      <c r="M27" s="18"/>
      <c r="N27" s="18"/>
      <c r="O27" s="18"/>
      <c r="P27" s="33"/>
      <c r="Q27" s="18"/>
      <c r="R27" s="18"/>
      <c r="S27" s="18"/>
      <c r="T27" s="18"/>
      <c r="U27" s="18"/>
      <c r="V27" s="17"/>
      <c r="W27" s="18"/>
      <c r="X27" s="18"/>
      <c r="Y27" s="18"/>
      <c r="Z27" s="18"/>
      <c r="AA27" s="18"/>
      <c r="AB27" s="18"/>
      <c r="AC27" s="18"/>
      <c r="AD27" s="33"/>
      <c r="AE27" s="18"/>
      <c r="AF27" s="18"/>
      <c r="AG27" s="18"/>
      <c r="AH27" s="18"/>
      <c r="AI27" s="18"/>
      <c r="AJ27" s="17"/>
      <c r="AK27" s="33"/>
      <c r="AL27" s="18"/>
      <c r="AM27" s="18"/>
      <c r="AN27" s="18"/>
      <c r="AO27" s="18"/>
      <c r="AP27" s="18"/>
      <c r="AQ27" s="17"/>
      <c r="AR27" s="18"/>
      <c r="AS27" s="8"/>
      <c r="AT27" s="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46"/>
      <c r="BI27" s="18"/>
      <c r="BJ27" s="18"/>
      <c r="BK27" s="18"/>
      <c r="BL27" s="17"/>
      <c r="BM27" s="13"/>
      <c r="BO27" s="26"/>
      <c r="BS27" s="26"/>
      <c r="CD27" s="27"/>
    </row>
    <row r="28" spans="1:82" s="11" customFormat="1">
      <c r="A28" s="32"/>
      <c r="B28" s="33"/>
      <c r="C28" s="18"/>
      <c r="D28" s="18"/>
      <c r="E28" s="18"/>
      <c r="F28" s="18"/>
      <c r="G28" s="18"/>
      <c r="H28" s="17"/>
      <c r="I28" s="18"/>
      <c r="J28" s="18"/>
      <c r="K28" s="18"/>
      <c r="L28" s="18"/>
      <c r="M28" s="18"/>
      <c r="N28" s="18"/>
      <c r="O28" s="18"/>
      <c r="P28" s="33"/>
      <c r="Q28" s="18"/>
      <c r="R28" s="18"/>
      <c r="S28" s="18"/>
      <c r="T28" s="18"/>
      <c r="U28" s="18"/>
      <c r="V28" s="17"/>
      <c r="W28" s="18"/>
      <c r="X28" s="18"/>
      <c r="Y28" s="18"/>
      <c r="Z28" s="18"/>
      <c r="AA28" s="18"/>
      <c r="AB28" s="18"/>
      <c r="AC28" s="18"/>
      <c r="AD28" s="33"/>
      <c r="AE28" s="18"/>
      <c r="AF28" s="18"/>
      <c r="AG28" s="18"/>
      <c r="AH28" s="18"/>
      <c r="AI28" s="18"/>
      <c r="AJ28" s="17"/>
      <c r="AK28" s="33"/>
      <c r="AL28" s="18"/>
      <c r="AM28" s="18"/>
      <c r="AN28" s="18"/>
      <c r="AO28" s="18"/>
      <c r="AP28" s="18"/>
      <c r="AQ28" s="17"/>
      <c r="AR28" s="18"/>
      <c r="AS28" s="8"/>
      <c r="AT28" s="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33"/>
      <c r="BI28" s="18"/>
      <c r="BJ28" s="18"/>
      <c r="BK28" s="18"/>
      <c r="BL28" s="17"/>
      <c r="BM28" s="13"/>
      <c r="BO28" s="26"/>
      <c r="BS28" s="26"/>
      <c r="CD28" s="27"/>
    </row>
    <row r="29" spans="1:82" s="11" customFormat="1">
      <c r="A29" s="32"/>
      <c r="B29" s="33"/>
      <c r="C29" s="18"/>
      <c r="D29" s="18"/>
      <c r="E29" s="18"/>
      <c r="F29" s="18"/>
      <c r="G29" s="18"/>
      <c r="H29" s="17"/>
      <c r="I29" s="18"/>
      <c r="J29" s="18"/>
      <c r="K29" s="18"/>
      <c r="L29" s="18"/>
      <c r="M29" s="18"/>
      <c r="N29" s="18"/>
      <c r="O29" s="18"/>
      <c r="P29" s="33"/>
      <c r="Q29" s="18"/>
      <c r="R29" s="18"/>
      <c r="S29" s="18"/>
      <c r="T29" s="18"/>
      <c r="U29" s="18"/>
      <c r="V29" s="17"/>
      <c r="W29" s="18"/>
      <c r="X29" s="18"/>
      <c r="Y29" s="18"/>
      <c r="Z29" s="18"/>
      <c r="AA29" s="18"/>
      <c r="AB29" s="18"/>
      <c r="AC29" s="18"/>
      <c r="AD29" s="33"/>
      <c r="AE29" s="18"/>
      <c r="AF29" s="18"/>
      <c r="AG29" s="18"/>
      <c r="AH29" s="18"/>
      <c r="AI29" s="18"/>
      <c r="AJ29" s="17"/>
      <c r="AK29" s="33"/>
      <c r="AL29" s="18"/>
      <c r="AM29" s="18"/>
      <c r="AN29" s="18"/>
      <c r="AO29" s="18"/>
      <c r="AP29" s="18"/>
      <c r="AQ29" s="17"/>
      <c r="AR29" s="18"/>
      <c r="AS29" s="8"/>
      <c r="AT29" s="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33"/>
      <c r="BI29" s="18"/>
      <c r="BJ29" s="18"/>
      <c r="BK29" s="18"/>
      <c r="BL29" s="17"/>
      <c r="BM29" s="13"/>
      <c r="BO29" s="26"/>
      <c r="BS29" s="26"/>
      <c r="CD29" s="27"/>
    </row>
    <row r="30" spans="1:82" s="11" customFormat="1">
      <c r="A30" s="32"/>
      <c r="B30" s="33"/>
      <c r="C30" s="18"/>
      <c r="D30" s="18"/>
      <c r="E30" s="18"/>
      <c r="F30" s="18"/>
      <c r="G30" s="18"/>
      <c r="H30" s="17"/>
      <c r="I30" s="18"/>
      <c r="J30" s="18"/>
      <c r="K30" s="18"/>
      <c r="L30" s="18"/>
      <c r="M30" s="18"/>
      <c r="N30" s="18"/>
      <c r="O30" s="18"/>
      <c r="P30" s="33"/>
      <c r="Q30" s="18"/>
      <c r="R30" s="18"/>
      <c r="S30" s="18"/>
      <c r="T30" s="18"/>
      <c r="U30" s="18"/>
      <c r="V30" s="17"/>
      <c r="W30" s="18"/>
      <c r="X30" s="18"/>
      <c r="Y30" s="18"/>
      <c r="Z30" s="18"/>
      <c r="AA30" s="18"/>
      <c r="AB30" s="18"/>
      <c r="AC30" s="18"/>
      <c r="AD30" s="33"/>
      <c r="AE30" s="18"/>
      <c r="AF30" s="18"/>
      <c r="AG30" s="18"/>
      <c r="AH30" s="18"/>
      <c r="AI30" s="18"/>
      <c r="AJ30" s="17"/>
      <c r="AK30" s="33"/>
      <c r="AL30" s="18"/>
      <c r="AM30" s="18"/>
      <c r="AN30" s="18"/>
      <c r="AO30" s="18"/>
      <c r="AP30" s="18"/>
      <c r="AQ30" s="17"/>
      <c r="AR30" s="18"/>
      <c r="AS30" s="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33"/>
      <c r="BI30" s="18"/>
      <c r="BJ30" s="18"/>
      <c r="BK30" s="18"/>
      <c r="BL30" s="17"/>
      <c r="BM30" s="13"/>
      <c r="BO30" s="26"/>
      <c r="BS30" s="26"/>
      <c r="CD30" s="27"/>
    </row>
    <row r="31" spans="1:82" s="11" customFormat="1">
      <c r="A31" s="32"/>
      <c r="B31" s="33"/>
      <c r="C31" s="18"/>
      <c r="D31" s="18"/>
      <c r="E31" s="18"/>
      <c r="F31" s="18"/>
      <c r="G31" s="18"/>
      <c r="H31" s="17"/>
      <c r="I31" s="18"/>
      <c r="J31" s="18"/>
      <c r="K31" s="18"/>
      <c r="L31" s="18"/>
      <c r="M31" s="18"/>
      <c r="N31" s="18"/>
      <c r="O31" s="18"/>
      <c r="P31" s="33"/>
      <c r="Q31" s="18"/>
      <c r="R31" s="18"/>
      <c r="S31" s="18"/>
      <c r="T31" s="18"/>
      <c r="U31" s="18"/>
      <c r="V31" s="17"/>
      <c r="W31" s="18"/>
      <c r="X31" s="18"/>
      <c r="Y31" s="18"/>
      <c r="Z31" s="18"/>
      <c r="AA31" s="18"/>
      <c r="AB31" s="18"/>
      <c r="AC31" s="18"/>
      <c r="AD31" s="33"/>
      <c r="AE31" s="18"/>
      <c r="AF31" s="18"/>
      <c r="AG31" s="18"/>
      <c r="AH31" s="18"/>
      <c r="AI31" s="18"/>
      <c r="AJ31" s="17"/>
      <c r="AK31" s="33"/>
      <c r="AL31" s="18"/>
      <c r="AM31" s="18"/>
      <c r="AN31" s="18"/>
      <c r="AO31" s="18"/>
      <c r="AP31" s="18"/>
      <c r="AQ31" s="17"/>
      <c r="AR31" s="18"/>
      <c r="AS31" s="19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33"/>
      <c r="BI31" s="18"/>
      <c r="BJ31" s="18"/>
      <c r="BK31" s="18"/>
      <c r="BL31" s="17"/>
      <c r="BM31" s="13"/>
      <c r="BO31" s="26"/>
      <c r="BS31" s="26"/>
      <c r="CD31" s="27"/>
    </row>
    <row r="32" spans="1:82" s="11" customFormat="1">
      <c r="A32" s="32"/>
      <c r="B32" s="33"/>
      <c r="C32" s="18"/>
      <c r="D32" s="18"/>
      <c r="E32" s="18"/>
      <c r="F32" s="18"/>
      <c r="G32" s="18"/>
      <c r="H32" s="17"/>
      <c r="I32" s="18"/>
      <c r="J32" s="18"/>
      <c r="K32" s="18"/>
      <c r="L32" s="18"/>
      <c r="M32" s="18"/>
      <c r="N32" s="18"/>
      <c r="O32" s="18"/>
      <c r="P32" s="33"/>
      <c r="Q32" s="18"/>
      <c r="R32" s="18"/>
      <c r="S32" s="18"/>
      <c r="T32" s="18"/>
      <c r="U32" s="18"/>
      <c r="V32" s="17"/>
      <c r="W32" s="18"/>
      <c r="X32" s="18"/>
      <c r="Y32" s="18"/>
      <c r="Z32" s="18"/>
      <c r="AA32" s="18"/>
      <c r="AB32" s="18"/>
      <c r="AC32" s="18"/>
      <c r="AD32" s="33"/>
      <c r="AE32" s="18"/>
      <c r="AF32" s="18"/>
      <c r="AG32" s="18"/>
      <c r="AH32" s="18"/>
      <c r="AI32" s="18"/>
      <c r="AJ32" s="17"/>
      <c r="AK32" s="33"/>
      <c r="AL32" s="18"/>
      <c r="AM32" s="18"/>
      <c r="AN32" s="18"/>
      <c r="AO32" s="18"/>
      <c r="AP32" s="18"/>
      <c r="AQ32" s="17"/>
      <c r="AR32" s="18"/>
      <c r="AS32" s="16" t="s">
        <v>334</v>
      </c>
      <c r="AT32" s="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33"/>
      <c r="BI32" s="18"/>
      <c r="BJ32" s="18"/>
      <c r="BK32" s="18"/>
      <c r="BL32" s="17"/>
      <c r="BM32" s="13"/>
      <c r="BO32" s="26"/>
      <c r="BS32" s="26"/>
      <c r="CD32" s="27"/>
    </row>
    <row r="33" spans="1:82" s="11" customFormat="1">
      <c r="A33" s="32"/>
      <c r="B33" s="33"/>
      <c r="C33" s="18"/>
      <c r="D33" s="18"/>
      <c r="E33" s="18"/>
      <c r="F33" s="18"/>
      <c r="G33" s="18"/>
      <c r="H33" s="17"/>
      <c r="I33" s="18"/>
      <c r="J33" s="18"/>
      <c r="K33" s="18"/>
      <c r="L33" s="18"/>
      <c r="M33" s="18"/>
      <c r="N33" s="18"/>
      <c r="O33" s="18"/>
      <c r="P33" s="33"/>
      <c r="Q33" s="18"/>
      <c r="R33" s="18"/>
      <c r="S33" s="18"/>
      <c r="T33" s="18"/>
      <c r="U33" s="18"/>
      <c r="V33" s="17"/>
      <c r="W33" s="18"/>
      <c r="X33" s="18"/>
      <c r="Y33" s="18"/>
      <c r="Z33" s="18"/>
      <c r="AA33" s="18"/>
      <c r="AB33" s="18"/>
      <c r="AC33" s="18"/>
      <c r="AD33" s="33"/>
      <c r="AE33" s="18"/>
      <c r="AF33" s="18"/>
      <c r="AG33" s="18"/>
      <c r="AH33" s="18"/>
      <c r="AI33" s="18"/>
      <c r="AJ33" s="17"/>
      <c r="AK33" s="33"/>
      <c r="AL33" s="18"/>
      <c r="AM33" s="18"/>
      <c r="AN33" s="18"/>
      <c r="AO33" s="18"/>
      <c r="AP33" s="18"/>
      <c r="AQ33" s="17"/>
      <c r="AR33" s="18"/>
      <c r="AS33" s="8"/>
      <c r="AT33" s="8" t="s">
        <v>335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33"/>
      <c r="BI33" s="18"/>
      <c r="BJ33" s="18"/>
      <c r="BK33" s="18"/>
      <c r="BL33" s="17"/>
      <c r="BM33" s="13"/>
      <c r="BO33" s="26"/>
      <c r="BS33" s="26"/>
      <c r="CD33" s="27"/>
    </row>
    <row r="34" spans="1:82" s="11" customFormat="1">
      <c r="A34" s="32"/>
      <c r="B34" s="33"/>
      <c r="C34" s="18"/>
      <c r="D34" s="18"/>
      <c r="E34" s="18"/>
      <c r="F34" s="18"/>
      <c r="G34" s="18"/>
      <c r="H34" s="17"/>
      <c r="I34" s="18"/>
      <c r="J34" s="18"/>
      <c r="K34" s="18"/>
      <c r="L34" s="18"/>
      <c r="M34" s="18"/>
      <c r="N34" s="18"/>
      <c r="O34" s="18"/>
      <c r="P34" s="33"/>
      <c r="Q34" s="18"/>
      <c r="R34" s="18"/>
      <c r="S34" s="18"/>
      <c r="T34" s="18"/>
      <c r="U34" s="18"/>
      <c r="V34" s="17"/>
      <c r="W34" s="18"/>
      <c r="X34" s="18"/>
      <c r="Y34" s="18"/>
      <c r="Z34" s="18"/>
      <c r="AA34" s="18"/>
      <c r="AB34" s="18"/>
      <c r="AC34" s="18"/>
      <c r="AD34" s="33"/>
      <c r="AE34" s="18"/>
      <c r="AF34" s="18"/>
      <c r="AG34" s="18"/>
      <c r="AH34" s="18"/>
      <c r="AI34" s="18"/>
      <c r="AJ34" s="17"/>
      <c r="AK34" s="33"/>
      <c r="AL34" s="18"/>
      <c r="AM34" s="18"/>
      <c r="AN34" s="18"/>
      <c r="AO34" s="18"/>
      <c r="AP34" s="18"/>
      <c r="AQ34" s="17"/>
      <c r="AR34" s="18"/>
      <c r="AS34" s="8"/>
      <c r="AT34" s="8" t="s">
        <v>336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46"/>
      <c r="BI34" s="18"/>
      <c r="BJ34" s="18"/>
      <c r="BK34" s="18"/>
      <c r="BL34" s="17"/>
      <c r="BM34" s="13"/>
      <c r="BO34" s="26"/>
      <c r="BS34" s="26"/>
      <c r="CD34" s="27"/>
    </row>
    <row r="35" spans="1:82" s="11" customFormat="1">
      <c r="A35" s="32"/>
      <c r="B35" s="33"/>
      <c r="C35" s="18"/>
      <c r="D35" s="18"/>
      <c r="E35" s="18"/>
      <c r="F35" s="18"/>
      <c r="G35" s="18"/>
      <c r="H35" s="17"/>
      <c r="I35" s="18"/>
      <c r="J35" s="18"/>
      <c r="K35" s="18"/>
      <c r="L35" s="18"/>
      <c r="M35" s="18"/>
      <c r="N35" s="18"/>
      <c r="O35" s="18"/>
      <c r="P35" s="33"/>
      <c r="Q35" s="18"/>
      <c r="R35" s="18"/>
      <c r="S35" s="18"/>
      <c r="T35" s="18"/>
      <c r="U35" s="18"/>
      <c r="V35" s="17"/>
      <c r="W35" s="18"/>
      <c r="X35" s="18"/>
      <c r="Y35" s="18"/>
      <c r="Z35" s="18"/>
      <c r="AA35" s="18"/>
      <c r="AB35" s="18"/>
      <c r="AC35" s="18"/>
      <c r="AD35" s="33"/>
      <c r="AE35" s="18"/>
      <c r="AF35" s="18"/>
      <c r="AG35" s="18"/>
      <c r="AH35" s="18"/>
      <c r="AI35" s="18"/>
      <c r="AJ35" s="17"/>
      <c r="AK35" s="33"/>
      <c r="AL35" s="18"/>
      <c r="AM35" s="18"/>
      <c r="AN35" s="18"/>
      <c r="AO35" s="18"/>
      <c r="AP35" s="18"/>
      <c r="AQ35" s="17"/>
      <c r="AR35" s="18"/>
      <c r="AS35" s="8"/>
      <c r="AT35" s="8" t="s">
        <v>337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46"/>
      <c r="BI35" s="18"/>
      <c r="BJ35" s="18"/>
      <c r="BK35" s="18"/>
      <c r="BL35" s="17"/>
      <c r="BM35" s="13"/>
      <c r="BO35" s="26"/>
      <c r="BS35" s="26"/>
      <c r="CD35" s="27"/>
    </row>
    <row r="36" spans="1:82" s="11" customFormat="1">
      <c r="A36" s="32"/>
      <c r="B36" s="33"/>
      <c r="C36" s="18"/>
      <c r="D36" s="18"/>
      <c r="E36" s="18"/>
      <c r="F36" s="18"/>
      <c r="G36" s="18"/>
      <c r="H36" s="17"/>
      <c r="I36" s="18"/>
      <c r="J36" s="18"/>
      <c r="K36" s="18"/>
      <c r="L36" s="18"/>
      <c r="M36" s="18"/>
      <c r="N36" s="18"/>
      <c r="O36" s="18"/>
      <c r="P36" s="33"/>
      <c r="Q36" s="18"/>
      <c r="R36" s="18"/>
      <c r="S36" s="18"/>
      <c r="T36" s="18"/>
      <c r="U36" s="18"/>
      <c r="V36" s="17"/>
      <c r="W36" s="18"/>
      <c r="X36" s="18"/>
      <c r="Y36" s="18"/>
      <c r="Z36" s="18"/>
      <c r="AA36" s="18"/>
      <c r="AB36" s="18"/>
      <c r="AC36" s="18"/>
      <c r="AD36" s="33"/>
      <c r="AE36" s="18"/>
      <c r="AF36" s="18"/>
      <c r="AG36" s="18"/>
      <c r="AH36" s="18"/>
      <c r="AI36" s="18"/>
      <c r="AJ36" s="17"/>
      <c r="AK36" s="33"/>
      <c r="AL36" s="18"/>
      <c r="AM36" s="18"/>
      <c r="AN36" s="18"/>
      <c r="AO36" s="18"/>
      <c r="AP36" s="18"/>
      <c r="AQ36" s="17"/>
      <c r="AR36" s="18"/>
      <c r="AS36" s="8" t="s">
        <v>162</v>
      </c>
      <c r="AT36" s="8" t="s">
        <v>263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46" t="s">
        <v>147</v>
      </c>
      <c r="BI36" s="18"/>
      <c r="BJ36" s="18"/>
      <c r="BK36" s="18"/>
      <c r="BL36" s="17"/>
      <c r="BM36" s="13"/>
      <c r="BO36" s="26"/>
      <c r="BS36" s="26"/>
      <c r="CD36" s="27"/>
    </row>
    <row r="37" spans="1:82" s="11" customFormat="1">
      <c r="A37" s="32"/>
      <c r="B37" s="33"/>
      <c r="C37" s="18"/>
      <c r="D37" s="18"/>
      <c r="E37" s="18"/>
      <c r="F37" s="18"/>
      <c r="G37" s="18"/>
      <c r="H37" s="17"/>
      <c r="I37" s="18"/>
      <c r="J37" s="18"/>
      <c r="K37" s="18"/>
      <c r="L37" s="18"/>
      <c r="M37" s="18"/>
      <c r="N37" s="18"/>
      <c r="O37" s="18"/>
      <c r="P37" s="33"/>
      <c r="Q37" s="18"/>
      <c r="R37" s="18"/>
      <c r="S37" s="18"/>
      <c r="T37" s="18"/>
      <c r="U37" s="18"/>
      <c r="V37" s="17"/>
      <c r="W37" s="18"/>
      <c r="X37" s="18"/>
      <c r="Y37" s="18"/>
      <c r="Z37" s="18"/>
      <c r="AA37" s="18"/>
      <c r="AB37" s="18"/>
      <c r="AC37" s="18"/>
      <c r="AD37" s="33"/>
      <c r="AE37" s="18"/>
      <c r="AF37" s="18"/>
      <c r="AG37" s="18"/>
      <c r="AH37" s="18"/>
      <c r="AI37" s="18"/>
      <c r="AJ37" s="17"/>
      <c r="AK37" s="33"/>
      <c r="AL37" s="18"/>
      <c r="AM37" s="18"/>
      <c r="AN37" s="18"/>
      <c r="AO37" s="18"/>
      <c r="AP37" s="18"/>
      <c r="AQ37" s="17"/>
      <c r="AR37" s="18"/>
      <c r="AS37" s="8"/>
      <c r="AT37" s="8" t="s">
        <v>338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50" t="s">
        <v>189</v>
      </c>
      <c r="BI37" s="18"/>
      <c r="BJ37" s="18"/>
      <c r="BK37" s="18"/>
      <c r="BL37" s="17"/>
      <c r="BM37" s="13"/>
      <c r="BO37" s="26"/>
      <c r="BS37" s="26"/>
      <c r="CD37" s="27"/>
    </row>
    <row r="38" spans="1:82" s="11" customFormat="1">
      <c r="A38" s="32"/>
      <c r="B38" s="33"/>
      <c r="C38" s="18"/>
      <c r="D38" s="18"/>
      <c r="E38" s="18"/>
      <c r="F38" s="18"/>
      <c r="G38" s="18"/>
      <c r="H38" s="17"/>
      <c r="I38" s="18"/>
      <c r="J38" s="18"/>
      <c r="K38" s="18"/>
      <c r="L38" s="18"/>
      <c r="M38" s="18"/>
      <c r="N38" s="18"/>
      <c r="O38" s="18"/>
      <c r="P38" s="33"/>
      <c r="Q38" s="18"/>
      <c r="R38" s="18"/>
      <c r="S38" s="18"/>
      <c r="T38" s="18"/>
      <c r="U38" s="18"/>
      <c r="V38" s="17"/>
      <c r="W38" s="18"/>
      <c r="X38" s="18"/>
      <c r="Y38" s="18"/>
      <c r="Z38" s="18"/>
      <c r="AA38" s="18"/>
      <c r="AB38" s="18"/>
      <c r="AC38" s="18"/>
      <c r="AD38" s="33"/>
      <c r="AE38" s="18"/>
      <c r="AF38" s="18"/>
      <c r="AG38" s="18"/>
      <c r="AH38" s="18"/>
      <c r="AI38" s="18"/>
      <c r="AJ38" s="17"/>
      <c r="AK38" s="33"/>
      <c r="AL38" s="18"/>
      <c r="AM38" s="18"/>
      <c r="AN38" s="18"/>
      <c r="AO38" s="18"/>
      <c r="AP38" s="18"/>
      <c r="AQ38" s="17"/>
      <c r="AR38" s="18"/>
      <c r="AS38" s="8"/>
      <c r="AT38" s="8" t="s">
        <v>339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33"/>
      <c r="BI38" s="18"/>
      <c r="BJ38" s="18"/>
      <c r="BK38" s="18"/>
      <c r="BL38" s="17"/>
      <c r="BM38" s="13"/>
      <c r="BO38" s="26"/>
      <c r="BS38" s="26"/>
      <c r="CD38" s="27"/>
    </row>
    <row r="39" spans="1:82" s="11" customFormat="1">
      <c r="A39" s="32"/>
      <c r="B39" s="33"/>
      <c r="C39" s="18"/>
      <c r="D39" s="18"/>
      <c r="E39" s="18"/>
      <c r="F39" s="18"/>
      <c r="G39" s="18"/>
      <c r="H39" s="17"/>
      <c r="I39" s="18"/>
      <c r="J39" s="18"/>
      <c r="K39" s="18"/>
      <c r="L39" s="18"/>
      <c r="M39" s="18"/>
      <c r="N39" s="18"/>
      <c r="O39" s="18"/>
      <c r="P39" s="33"/>
      <c r="Q39" s="18"/>
      <c r="R39" s="18"/>
      <c r="S39" s="18"/>
      <c r="T39" s="18"/>
      <c r="U39" s="18"/>
      <c r="V39" s="17"/>
      <c r="W39" s="18"/>
      <c r="X39" s="18"/>
      <c r="Y39" s="18"/>
      <c r="Z39" s="18"/>
      <c r="AA39" s="18"/>
      <c r="AB39" s="18"/>
      <c r="AC39" s="18"/>
      <c r="AD39" s="33"/>
      <c r="AE39" s="18"/>
      <c r="AF39" s="18"/>
      <c r="AG39" s="18"/>
      <c r="AH39" s="18"/>
      <c r="AI39" s="18"/>
      <c r="AJ39" s="17"/>
      <c r="AK39" s="33"/>
      <c r="AL39" s="18"/>
      <c r="AM39" s="18"/>
      <c r="AN39" s="18"/>
      <c r="AO39" s="18"/>
      <c r="AP39" s="18"/>
      <c r="AQ39" s="17"/>
      <c r="AR39" s="18"/>
      <c r="AS39" s="8"/>
      <c r="AT39" s="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33"/>
      <c r="BI39" s="18"/>
      <c r="BJ39" s="18"/>
      <c r="BK39" s="18"/>
      <c r="BL39" s="17"/>
      <c r="BM39" s="13"/>
      <c r="BO39" s="26"/>
      <c r="BS39" s="26"/>
      <c r="CD39" s="27"/>
    </row>
    <row r="40" spans="1:82" s="11" customFormat="1">
      <c r="A40" s="32"/>
      <c r="B40" s="33"/>
      <c r="C40" s="18"/>
      <c r="D40" s="18"/>
      <c r="E40" s="18"/>
      <c r="F40" s="18"/>
      <c r="G40" s="18"/>
      <c r="H40" s="17"/>
      <c r="I40" s="18"/>
      <c r="J40" s="18"/>
      <c r="K40" s="18"/>
      <c r="L40" s="18"/>
      <c r="M40" s="18"/>
      <c r="N40" s="18"/>
      <c r="O40" s="18"/>
      <c r="P40" s="33"/>
      <c r="Q40" s="18"/>
      <c r="R40" s="18"/>
      <c r="S40" s="18"/>
      <c r="T40" s="18"/>
      <c r="U40" s="18"/>
      <c r="V40" s="17"/>
      <c r="W40" s="18"/>
      <c r="X40" s="18"/>
      <c r="Y40" s="18"/>
      <c r="Z40" s="18"/>
      <c r="AA40" s="18"/>
      <c r="AB40" s="18"/>
      <c r="AC40" s="18"/>
      <c r="AD40" s="33"/>
      <c r="AE40" s="18"/>
      <c r="AF40" s="18"/>
      <c r="AG40" s="18"/>
      <c r="AH40" s="18"/>
      <c r="AI40" s="18"/>
      <c r="AJ40" s="17"/>
      <c r="AK40" s="33"/>
      <c r="AL40" s="18"/>
      <c r="AM40" s="18"/>
      <c r="AN40" s="18"/>
      <c r="AO40" s="18"/>
      <c r="AP40" s="18"/>
      <c r="AQ40" s="17"/>
      <c r="AR40" s="18"/>
      <c r="AS40" s="8"/>
      <c r="AT40" s="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33"/>
      <c r="BI40" s="18"/>
      <c r="BJ40" s="18"/>
      <c r="BK40" s="18"/>
      <c r="BL40" s="17"/>
      <c r="BM40" s="13"/>
      <c r="BO40" s="26"/>
      <c r="BS40" s="26"/>
      <c r="CD40" s="27"/>
    </row>
    <row r="41" spans="1:82" s="11" customFormat="1">
      <c r="A41" s="32"/>
      <c r="B41" s="33"/>
      <c r="C41" s="18"/>
      <c r="D41" s="18"/>
      <c r="E41" s="18"/>
      <c r="F41" s="18"/>
      <c r="G41" s="18"/>
      <c r="H41" s="17"/>
      <c r="I41" s="18"/>
      <c r="J41" s="18"/>
      <c r="K41" s="18"/>
      <c r="L41" s="18"/>
      <c r="M41" s="18"/>
      <c r="N41" s="18"/>
      <c r="O41" s="18"/>
      <c r="P41" s="33"/>
      <c r="Q41" s="18"/>
      <c r="R41" s="18"/>
      <c r="S41" s="18"/>
      <c r="T41" s="18"/>
      <c r="U41" s="18"/>
      <c r="V41" s="17"/>
      <c r="W41" s="18"/>
      <c r="X41" s="18"/>
      <c r="Y41" s="18"/>
      <c r="Z41" s="18"/>
      <c r="AA41" s="18"/>
      <c r="AB41" s="18"/>
      <c r="AC41" s="18"/>
      <c r="AD41" s="33"/>
      <c r="AE41" s="18"/>
      <c r="AF41" s="18"/>
      <c r="AG41" s="18"/>
      <c r="AH41" s="18"/>
      <c r="AI41" s="18"/>
      <c r="AJ41" s="17"/>
      <c r="AK41" s="33"/>
      <c r="AL41" s="18"/>
      <c r="AM41" s="18"/>
      <c r="AN41" s="18"/>
      <c r="AO41" s="18"/>
      <c r="AP41" s="18"/>
      <c r="AQ41" s="17"/>
      <c r="AR41" s="18"/>
      <c r="AS41" s="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33"/>
      <c r="BI41" s="18"/>
      <c r="BJ41" s="18"/>
      <c r="BK41" s="18"/>
      <c r="BL41" s="17"/>
      <c r="BM41" s="13"/>
      <c r="BO41" s="26"/>
      <c r="BS41" s="26"/>
      <c r="CD41" s="27"/>
    </row>
    <row r="42" spans="1:82" s="11" customFormat="1">
      <c r="A42" s="32"/>
      <c r="B42" s="33"/>
      <c r="C42" s="18"/>
      <c r="D42" s="18"/>
      <c r="E42" s="18"/>
      <c r="F42" s="18"/>
      <c r="G42" s="18"/>
      <c r="H42" s="17"/>
      <c r="I42" s="18"/>
      <c r="J42" s="18"/>
      <c r="K42" s="18"/>
      <c r="L42" s="18"/>
      <c r="M42" s="18"/>
      <c r="N42" s="18"/>
      <c r="O42" s="18"/>
      <c r="P42" s="33"/>
      <c r="Q42" s="18"/>
      <c r="R42" s="18"/>
      <c r="S42" s="18"/>
      <c r="T42" s="18"/>
      <c r="U42" s="18"/>
      <c r="V42" s="17"/>
      <c r="W42" s="18"/>
      <c r="X42" s="18"/>
      <c r="Y42" s="18"/>
      <c r="Z42" s="18"/>
      <c r="AA42" s="18"/>
      <c r="AB42" s="18"/>
      <c r="AC42" s="18"/>
      <c r="AD42" s="33"/>
      <c r="AE42" s="18"/>
      <c r="AF42" s="18"/>
      <c r="AG42" s="18"/>
      <c r="AH42" s="18"/>
      <c r="AI42" s="18"/>
      <c r="AJ42" s="17"/>
      <c r="AK42" s="33"/>
      <c r="AL42" s="18"/>
      <c r="AM42" s="18"/>
      <c r="AN42" s="18"/>
      <c r="AO42" s="18"/>
      <c r="AP42" s="18"/>
      <c r="AQ42" s="17"/>
      <c r="AR42" s="18"/>
      <c r="AS42" s="16" t="s">
        <v>340</v>
      </c>
      <c r="AT42" s="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33"/>
      <c r="BI42" s="18"/>
      <c r="BJ42" s="18"/>
      <c r="BK42" s="18"/>
      <c r="BL42" s="17"/>
      <c r="BM42" s="13"/>
      <c r="BO42" s="26"/>
      <c r="BS42" s="26"/>
      <c r="CD42" s="27"/>
    </row>
    <row r="43" spans="1:82" s="11" customFormat="1">
      <c r="A43" s="32"/>
      <c r="B43" s="33"/>
      <c r="C43" s="18"/>
      <c r="D43" s="18"/>
      <c r="E43" s="18"/>
      <c r="F43" s="18"/>
      <c r="G43" s="18"/>
      <c r="H43" s="17"/>
      <c r="I43" s="18"/>
      <c r="J43" s="18"/>
      <c r="K43" s="18"/>
      <c r="L43" s="18"/>
      <c r="M43" s="18"/>
      <c r="N43" s="18"/>
      <c r="O43" s="18"/>
      <c r="P43" s="33"/>
      <c r="Q43" s="18"/>
      <c r="R43" s="18"/>
      <c r="S43" s="18"/>
      <c r="T43" s="18"/>
      <c r="U43" s="18"/>
      <c r="V43" s="17"/>
      <c r="W43" s="18"/>
      <c r="X43" s="18"/>
      <c r="Y43" s="18"/>
      <c r="Z43" s="18"/>
      <c r="AA43" s="18"/>
      <c r="AB43" s="18"/>
      <c r="AC43" s="18"/>
      <c r="AD43" s="33"/>
      <c r="AE43" s="18"/>
      <c r="AF43" s="18"/>
      <c r="AG43" s="18"/>
      <c r="AH43" s="18"/>
      <c r="AI43" s="18"/>
      <c r="AJ43" s="17"/>
      <c r="AK43" s="33"/>
      <c r="AL43" s="18"/>
      <c r="AM43" s="18"/>
      <c r="AN43" s="18"/>
      <c r="AO43" s="18"/>
      <c r="AP43" s="18"/>
      <c r="AQ43" s="17"/>
      <c r="AR43" s="18"/>
      <c r="AS43" s="8"/>
      <c r="AT43" s="8" t="s">
        <v>341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33"/>
      <c r="BI43" s="18"/>
      <c r="BJ43" s="18"/>
      <c r="BK43" s="18"/>
      <c r="BL43" s="17"/>
      <c r="BM43" s="13"/>
      <c r="BO43" s="26"/>
      <c r="BS43" s="26"/>
      <c r="CD43" s="27"/>
    </row>
    <row r="44" spans="1:82" s="11" customFormat="1">
      <c r="A44" s="32"/>
      <c r="B44" s="33"/>
      <c r="C44" s="18"/>
      <c r="D44" s="18"/>
      <c r="E44" s="18"/>
      <c r="F44" s="18"/>
      <c r="G44" s="18"/>
      <c r="H44" s="17"/>
      <c r="I44" s="18"/>
      <c r="J44" s="18"/>
      <c r="K44" s="18"/>
      <c r="L44" s="18"/>
      <c r="M44" s="18"/>
      <c r="N44" s="18"/>
      <c r="O44" s="18"/>
      <c r="P44" s="33"/>
      <c r="Q44" s="18"/>
      <c r="R44" s="18"/>
      <c r="S44" s="18"/>
      <c r="T44" s="18"/>
      <c r="U44" s="18"/>
      <c r="V44" s="17"/>
      <c r="W44" s="18"/>
      <c r="X44" s="18"/>
      <c r="Y44" s="18"/>
      <c r="Z44" s="18"/>
      <c r="AA44" s="18"/>
      <c r="AB44" s="18"/>
      <c r="AC44" s="18"/>
      <c r="AD44" s="33"/>
      <c r="AE44" s="18"/>
      <c r="AF44" s="18"/>
      <c r="AG44" s="18"/>
      <c r="AH44" s="18"/>
      <c r="AI44" s="18"/>
      <c r="AJ44" s="17"/>
      <c r="AK44" s="33"/>
      <c r="AL44" s="18"/>
      <c r="AM44" s="18"/>
      <c r="AN44" s="18"/>
      <c r="AO44" s="18"/>
      <c r="AP44" s="18"/>
      <c r="AQ44" s="17"/>
      <c r="AR44" s="18"/>
      <c r="AS44" s="8"/>
      <c r="AT44" s="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33"/>
      <c r="BI44" s="18"/>
      <c r="BJ44" s="18"/>
      <c r="BK44" s="18"/>
      <c r="BL44" s="17"/>
      <c r="BM44" s="13"/>
      <c r="BO44" s="26"/>
      <c r="BS44" s="26"/>
      <c r="CD44" s="27"/>
    </row>
    <row r="45" spans="1:82" s="11" customFormat="1">
      <c r="A45" s="32"/>
      <c r="B45" s="33"/>
      <c r="C45" s="18"/>
      <c r="D45" s="18"/>
      <c r="E45" s="18"/>
      <c r="F45" s="18"/>
      <c r="G45" s="18"/>
      <c r="H45" s="17"/>
      <c r="I45" s="18"/>
      <c r="J45" s="18"/>
      <c r="K45" s="18"/>
      <c r="L45" s="18"/>
      <c r="M45" s="18"/>
      <c r="N45" s="18"/>
      <c r="O45" s="18"/>
      <c r="P45" s="33"/>
      <c r="Q45" s="18"/>
      <c r="R45" s="18"/>
      <c r="S45" s="18"/>
      <c r="T45" s="18"/>
      <c r="U45" s="18"/>
      <c r="V45" s="17"/>
      <c r="W45" s="18"/>
      <c r="X45" s="18"/>
      <c r="Y45" s="18"/>
      <c r="Z45" s="18"/>
      <c r="AA45" s="18"/>
      <c r="AB45" s="18"/>
      <c r="AC45" s="18"/>
      <c r="AD45" s="33"/>
      <c r="AE45" s="18"/>
      <c r="AF45" s="18"/>
      <c r="AG45" s="18"/>
      <c r="AH45" s="18"/>
      <c r="AI45" s="18"/>
      <c r="AJ45" s="17"/>
      <c r="AK45" s="33"/>
      <c r="AL45" s="18"/>
      <c r="AM45" s="18"/>
      <c r="AN45" s="18"/>
      <c r="AO45" s="18"/>
      <c r="AP45" s="18"/>
      <c r="AQ45" s="17"/>
      <c r="AR45" s="18"/>
      <c r="AS45" s="8" t="s">
        <v>162</v>
      </c>
      <c r="AT45" s="8" t="s">
        <v>342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33"/>
      <c r="BI45" s="18"/>
      <c r="BJ45" s="18"/>
      <c r="BK45" s="18"/>
      <c r="BL45" s="17"/>
      <c r="BM45" s="13"/>
      <c r="BO45" s="26"/>
      <c r="BS45" s="26"/>
      <c r="CD45" s="27"/>
    </row>
    <row r="46" spans="1:82" s="11" customFormat="1">
      <c r="A46" s="32"/>
      <c r="B46" s="33"/>
      <c r="C46" s="18"/>
      <c r="D46" s="18"/>
      <c r="E46" s="18"/>
      <c r="F46" s="18"/>
      <c r="G46" s="18"/>
      <c r="H46" s="17"/>
      <c r="I46" s="18"/>
      <c r="J46" s="18"/>
      <c r="K46" s="18"/>
      <c r="L46" s="18"/>
      <c r="M46" s="18"/>
      <c r="N46" s="18"/>
      <c r="O46" s="18"/>
      <c r="P46" s="33"/>
      <c r="Q46" s="18"/>
      <c r="R46" s="18"/>
      <c r="S46" s="18"/>
      <c r="T46" s="18"/>
      <c r="U46" s="18"/>
      <c r="V46" s="17"/>
      <c r="W46" s="18"/>
      <c r="X46" s="18"/>
      <c r="Y46" s="18"/>
      <c r="Z46" s="18"/>
      <c r="AA46" s="18"/>
      <c r="AB46" s="18"/>
      <c r="AC46" s="18"/>
      <c r="AD46" s="33"/>
      <c r="AE46" s="18"/>
      <c r="AF46" s="18"/>
      <c r="AG46" s="18"/>
      <c r="AH46" s="18"/>
      <c r="AI46" s="18"/>
      <c r="AJ46" s="17"/>
      <c r="AK46" s="33"/>
      <c r="AL46" s="18"/>
      <c r="AM46" s="18"/>
      <c r="AN46" s="18"/>
      <c r="AO46" s="18"/>
      <c r="AP46" s="18"/>
      <c r="AQ46" s="17"/>
      <c r="AR46" s="18"/>
      <c r="AS46" s="8"/>
      <c r="AT46" s="8" t="s">
        <v>343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33"/>
      <c r="BI46" s="18"/>
      <c r="BJ46" s="18"/>
      <c r="BK46" s="18"/>
      <c r="BL46" s="17"/>
      <c r="BM46" s="13"/>
      <c r="BO46" s="26"/>
      <c r="BS46" s="26"/>
      <c r="CD46" s="27"/>
    </row>
    <row r="47" spans="1:82" s="11" customFormat="1">
      <c r="A47" s="32"/>
      <c r="B47" s="33"/>
      <c r="C47" s="18"/>
      <c r="D47" s="18"/>
      <c r="E47" s="18"/>
      <c r="F47" s="18"/>
      <c r="G47" s="18"/>
      <c r="H47" s="17"/>
      <c r="I47" s="18"/>
      <c r="J47" s="18"/>
      <c r="K47" s="18"/>
      <c r="L47" s="18"/>
      <c r="M47" s="18"/>
      <c r="N47" s="18"/>
      <c r="O47" s="18"/>
      <c r="P47" s="33"/>
      <c r="Q47" s="18"/>
      <c r="R47" s="18"/>
      <c r="S47" s="18"/>
      <c r="T47" s="18"/>
      <c r="U47" s="18"/>
      <c r="V47" s="17"/>
      <c r="W47" s="18"/>
      <c r="X47" s="18"/>
      <c r="Y47" s="18"/>
      <c r="Z47" s="18"/>
      <c r="AA47" s="18"/>
      <c r="AB47" s="18"/>
      <c r="AC47" s="18"/>
      <c r="AD47" s="33"/>
      <c r="AE47" s="18"/>
      <c r="AF47" s="18"/>
      <c r="AG47" s="18"/>
      <c r="AH47" s="18"/>
      <c r="AI47" s="18"/>
      <c r="AJ47" s="17"/>
      <c r="AK47" s="33"/>
      <c r="AL47" s="18"/>
      <c r="AM47" s="18"/>
      <c r="AN47" s="18"/>
      <c r="AO47" s="18"/>
      <c r="AP47" s="18"/>
      <c r="AQ47" s="17"/>
      <c r="AR47" s="18"/>
      <c r="AS47" s="8"/>
      <c r="AT47" s="8" t="s">
        <v>344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33"/>
      <c r="BI47" s="18"/>
      <c r="BJ47" s="18"/>
      <c r="BK47" s="18"/>
      <c r="BL47" s="17"/>
      <c r="BM47" s="13"/>
      <c r="BO47" s="26"/>
      <c r="BS47" s="26"/>
      <c r="CD47" s="27"/>
    </row>
    <row r="48" spans="1:82" s="11" customFormat="1">
      <c r="A48" s="32"/>
      <c r="B48" s="33"/>
      <c r="C48" s="18"/>
      <c r="D48" s="18"/>
      <c r="E48" s="18"/>
      <c r="F48" s="18"/>
      <c r="G48" s="18"/>
      <c r="H48" s="17"/>
      <c r="I48" s="18"/>
      <c r="J48" s="18"/>
      <c r="K48" s="18"/>
      <c r="L48" s="18"/>
      <c r="M48" s="18"/>
      <c r="N48" s="18"/>
      <c r="O48" s="18"/>
      <c r="P48" s="33"/>
      <c r="Q48" s="18"/>
      <c r="R48" s="18"/>
      <c r="S48" s="18"/>
      <c r="T48" s="18"/>
      <c r="U48" s="18"/>
      <c r="V48" s="17"/>
      <c r="W48" s="18"/>
      <c r="X48" s="18"/>
      <c r="Y48" s="18"/>
      <c r="Z48" s="18"/>
      <c r="AA48" s="18"/>
      <c r="AB48" s="18"/>
      <c r="AC48" s="18"/>
      <c r="AD48" s="33"/>
      <c r="AE48" s="18"/>
      <c r="AF48" s="18"/>
      <c r="AG48" s="18"/>
      <c r="AH48" s="18"/>
      <c r="AI48" s="18"/>
      <c r="AJ48" s="17"/>
      <c r="AK48" s="33"/>
      <c r="AL48" s="18"/>
      <c r="AM48" s="18"/>
      <c r="AN48" s="18"/>
      <c r="AO48" s="18"/>
      <c r="AP48" s="18"/>
      <c r="AQ48" s="17"/>
      <c r="AR48" s="18"/>
      <c r="AS48" s="8"/>
      <c r="AT48" s="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33"/>
      <c r="BI48" s="18"/>
      <c r="BJ48" s="18"/>
      <c r="BK48" s="18"/>
      <c r="BL48" s="17"/>
      <c r="BM48" s="13"/>
      <c r="BO48" s="26"/>
      <c r="BS48" s="26"/>
      <c r="CD48" s="27"/>
    </row>
    <row r="49" spans="1:82" s="11" customFormat="1">
      <c r="A49" s="32"/>
      <c r="B49" s="33"/>
      <c r="C49" s="18"/>
      <c r="D49" s="18"/>
      <c r="E49" s="18"/>
      <c r="F49" s="18"/>
      <c r="G49" s="18"/>
      <c r="H49" s="17"/>
      <c r="I49" s="18"/>
      <c r="J49" s="18"/>
      <c r="K49" s="18"/>
      <c r="L49" s="18"/>
      <c r="M49" s="18"/>
      <c r="N49" s="18"/>
      <c r="O49" s="18"/>
      <c r="P49" s="33"/>
      <c r="Q49" s="18"/>
      <c r="R49" s="18"/>
      <c r="S49" s="18"/>
      <c r="T49" s="18"/>
      <c r="U49" s="18"/>
      <c r="V49" s="17"/>
      <c r="W49" s="18"/>
      <c r="X49" s="18"/>
      <c r="Y49" s="18"/>
      <c r="Z49" s="18"/>
      <c r="AA49" s="18"/>
      <c r="AB49" s="18"/>
      <c r="AC49" s="18"/>
      <c r="AD49" s="33"/>
      <c r="AE49" s="18"/>
      <c r="AF49" s="18"/>
      <c r="AG49" s="18"/>
      <c r="AH49" s="18"/>
      <c r="AI49" s="18"/>
      <c r="AJ49" s="17"/>
      <c r="AK49" s="33"/>
      <c r="AL49" s="18"/>
      <c r="AM49" s="18"/>
      <c r="AN49" s="18"/>
      <c r="AO49" s="18"/>
      <c r="AP49" s="18"/>
      <c r="AQ49" s="17"/>
      <c r="AR49" s="18"/>
      <c r="AS49" s="8"/>
      <c r="AT49" s="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33"/>
      <c r="BI49" s="18"/>
      <c r="BJ49" s="18"/>
      <c r="BK49" s="18"/>
      <c r="BL49" s="17"/>
      <c r="BM49" s="13"/>
      <c r="BO49" s="26"/>
      <c r="BS49" s="26"/>
      <c r="CD49" s="27"/>
    </row>
    <row r="50" spans="1:82" s="11" customFormat="1">
      <c r="A50" s="32"/>
      <c r="B50" s="33"/>
      <c r="C50" s="18"/>
      <c r="D50" s="18"/>
      <c r="E50" s="18"/>
      <c r="F50" s="18"/>
      <c r="G50" s="18"/>
      <c r="H50" s="17"/>
      <c r="I50" s="18"/>
      <c r="J50" s="18"/>
      <c r="K50" s="18"/>
      <c r="L50" s="18"/>
      <c r="M50" s="18"/>
      <c r="N50" s="18"/>
      <c r="O50" s="18"/>
      <c r="P50" s="33"/>
      <c r="Q50" s="18"/>
      <c r="R50" s="18"/>
      <c r="S50" s="18"/>
      <c r="T50" s="18"/>
      <c r="U50" s="18"/>
      <c r="V50" s="17"/>
      <c r="W50" s="18"/>
      <c r="X50" s="18"/>
      <c r="Y50" s="18"/>
      <c r="Z50" s="18"/>
      <c r="AA50" s="18"/>
      <c r="AB50" s="18"/>
      <c r="AC50" s="18"/>
      <c r="AD50" s="33"/>
      <c r="AE50" s="18"/>
      <c r="AF50" s="18"/>
      <c r="AG50" s="18"/>
      <c r="AH50" s="18"/>
      <c r="AI50" s="18"/>
      <c r="AJ50" s="17"/>
      <c r="AK50" s="33"/>
      <c r="AL50" s="18"/>
      <c r="AM50" s="18"/>
      <c r="AN50" s="18"/>
      <c r="AO50" s="18"/>
      <c r="AP50" s="18"/>
      <c r="AQ50" s="17"/>
      <c r="AR50" s="18"/>
      <c r="AS50" s="8"/>
      <c r="AT50" s="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33"/>
      <c r="BI50" s="18"/>
      <c r="BJ50" s="18"/>
      <c r="BK50" s="18"/>
      <c r="BL50" s="17"/>
      <c r="BM50" s="13"/>
      <c r="BO50" s="26"/>
      <c r="BS50" s="26"/>
      <c r="CD50" s="27"/>
    </row>
    <row r="51" spans="1:82" s="11" customFormat="1">
      <c r="A51" s="32"/>
      <c r="B51" s="33"/>
      <c r="C51" s="18"/>
      <c r="D51" s="18"/>
      <c r="E51" s="18"/>
      <c r="F51" s="18"/>
      <c r="G51" s="18"/>
      <c r="H51" s="17"/>
      <c r="I51" s="18"/>
      <c r="J51" s="18"/>
      <c r="K51" s="18"/>
      <c r="L51" s="18"/>
      <c r="M51" s="18"/>
      <c r="N51" s="18"/>
      <c r="O51" s="18"/>
      <c r="P51" s="33"/>
      <c r="Q51" s="18"/>
      <c r="R51" s="18"/>
      <c r="S51" s="18"/>
      <c r="T51" s="18"/>
      <c r="U51" s="18"/>
      <c r="V51" s="17"/>
      <c r="W51" s="18"/>
      <c r="X51" s="18"/>
      <c r="Y51" s="18"/>
      <c r="Z51" s="18"/>
      <c r="AA51" s="18"/>
      <c r="AB51" s="18"/>
      <c r="AC51" s="18"/>
      <c r="AD51" s="33"/>
      <c r="AE51" s="18"/>
      <c r="AF51" s="18"/>
      <c r="AG51" s="18"/>
      <c r="AH51" s="18"/>
      <c r="AI51" s="18"/>
      <c r="AJ51" s="17"/>
      <c r="AK51" s="33"/>
      <c r="AL51" s="18"/>
      <c r="AM51" s="18"/>
      <c r="AN51" s="18"/>
      <c r="AO51" s="18"/>
      <c r="AP51" s="18"/>
      <c r="AQ51" s="17"/>
      <c r="AR51" s="18"/>
      <c r="AS51" s="8"/>
      <c r="AT51" s="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33"/>
      <c r="BI51" s="18"/>
      <c r="BJ51" s="18"/>
      <c r="BK51" s="18"/>
      <c r="BL51" s="17"/>
      <c r="BM51" s="13"/>
      <c r="BO51" s="26"/>
      <c r="BS51" s="26"/>
      <c r="CD51" s="27"/>
    </row>
    <row r="52" spans="1:82" s="11" customFormat="1">
      <c r="A52" s="32"/>
      <c r="B52" s="33"/>
      <c r="C52" s="18"/>
      <c r="D52" s="18"/>
      <c r="E52" s="18"/>
      <c r="F52" s="18"/>
      <c r="G52" s="18"/>
      <c r="H52" s="17"/>
      <c r="I52" s="18"/>
      <c r="J52" s="18"/>
      <c r="K52" s="18"/>
      <c r="L52" s="18"/>
      <c r="M52" s="18"/>
      <c r="N52" s="18"/>
      <c r="O52" s="18"/>
      <c r="P52" s="33"/>
      <c r="Q52" s="18"/>
      <c r="R52" s="18"/>
      <c r="S52" s="18"/>
      <c r="T52" s="18"/>
      <c r="U52" s="18"/>
      <c r="V52" s="17"/>
      <c r="W52" s="18"/>
      <c r="X52" s="18"/>
      <c r="Y52" s="18"/>
      <c r="Z52" s="18"/>
      <c r="AA52" s="18"/>
      <c r="AB52" s="18"/>
      <c r="AC52" s="18"/>
      <c r="AD52" s="33"/>
      <c r="AE52" s="18"/>
      <c r="AF52" s="18"/>
      <c r="AG52" s="18"/>
      <c r="AH52" s="18"/>
      <c r="AI52" s="18"/>
      <c r="AJ52" s="17"/>
      <c r="AK52" s="33"/>
      <c r="AL52" s="18"/>
      <c r="AM52" s="18"/>
      <c r="AN52" s="18"/>
      <c r="AO52" s="18"/>
      <c r="AP52" s="18"/>
      <c r="AQ52" s="17"/>
      <c r="AR52" s="18"/>
      <c r="AS52" s="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33"/>
      <c r="BI52" s="18"/>
      <c r="BJ52" s="18"/>
      <c r="BK52" s="18"/>
      <c r="BL52" s="17"/>
      <c r="BM52" s="13"/>
      <c r="BO52" s="26"/>
      <c r="BS52" s="26"/>
      <c r="CD52" s="27"/>
    </row>
    <row r="53" spans="1:82" s="11" customFormat="1">
      <c r="A53" s="32"/>
      <c r="B53" s="33"/>
      <c r="C53" s="18"/>
      <c r="D53" s="18"/>
      <c r="E53" s="18"/>
      <c r="F53" s="18"/>
      <c r="G53" s="18"/>
      <c r="H53" s="17"/>
      <c r="I53" s="18"/>
      <c r="J53" s="18"/>
      <c r="K53" s="18"/>
      <c r="L53" s="18"/>
      <c r="M53" s="18"/>
      <c r="N53" s="18"/>
      <c r="O53" s="18"/>
      <c r="P53" s="33"/>
      <c r="Q53" s="18"/>
      <c r="R53" s="18"/>
      <c r="S53" s="18"/>
      <c r="T53" s="18"/>
      <c r="U53" s="18"/>
      <c r="V53" s="17"/>
      <c r="W53" s="18"/>
      <c r="X53" s="18"/>
      <c r="Y53" s="18"/>
      <c r="Z53" s="18"/>
      <c r="AA53" s="18"/>
      <c r="AB53" s="18"/>
      <c r="AC53" s="18"/>
      <c r="AD53" s="33"/>
      <c r="AE53" s="18"/>
      <c r="AF53" s="18"/>
      <c r="AG53" s="18"/>
      <c r="AH53" s="18"/>
      <c r="AI53" s="18"/>
      <c r="AJ53" s="17"/>
      <c r="AK53" s="33"/>
      <c r="AL53" s="18"/>
      <c r="AM53" s="18"/>
      <c r="AN53" s="18"/>
      <c r="AO53" s="18"/>
      <c r="AP53" s="18"/>
      <c r="AQ53" s="17"/>
      <c r="AR53" s="18"/>
      <c r="AS53" s="16" t="s">
        <v>345</v>
      </c>
      <c r="AT53" s="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33"/>
      <c r="BI53" s="18"/>
      <c r="BJ53" s="18"/>
      <c r="BK53" s="18"/>
      <c r="BL53" s="17"/>
      <c r="BM53" s="13"/>
      <c r="BO53" s="26"/>
      <c r="BS53" s="26"/>
      <c r="CD53" s="27"/>
    </row>
    <row r="54" spans="1:82" s="11" customFormat="1">
      <c r="A54" s="32"/>
      <c r="B54" s="33"/>
      <c r="C54" s="18"/>
      <c r="D54" s="18"/>
      <c r="E54" s="18"/>
      <c r="F54" s="18"/>
      <c r="G54" s="18"/>
      <c r="H54" s="17"/>
      <c r="I54" s="18"/>
      <c r="J54" s="18"/>
      <c r="K54" s="18"/>
      <c r="L54" s="18"/>
      <c r="M54" s="18"/>
      <c r="N54" s="18"/>
      <c r="O54" s="18"/>
      <c r="P54" s="33"/>
      <c r="Q54" s="18"/>
      <c r="R54" s="18"/>
      <c r="S54" s="18"/>
      <c r="T54" s="18"/>
      <c r="U54" s="18"/>
      <c r="V54" s="17"/>
      <c r="W54" s="18"/>
      <c r="X54" s="18"/>
      <c r="Y54" s="18"/>
      <c r="Z54" s="18"/>
      <c r="AA54" s="18"/>
      <c r="AB54" s="18"/>
      <c r="AC54" s="18"/>
      <c r="AD54" s="33"/>
      <c r="AE54" s="18"/>
      <c r="AF54" s="18"/>
      <c r="AG54" s="18"/>
      <c r="AH54" s="18"/>
      <c r="AI54" s="18"/>
      <c r="AJ54" s="17"/>
      <c r="AK54" s="33"/>
      <c r="AL54" s="18"/>
      <c r="AM54" s="18"/>
      <c r="AN54" s="18"/>
      <c r="AO54" s="18"/>
      <c r="AP54" s="18"/>
      <c r="AQ54" s="17"/>
      <c r="AR54" s="18"/>
      <c r="AS54" s="8"/>
      <c r="AT54" s="8" t="s">
        <v>172</v>
      </c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33"/>
      <c r="BI54" s="18"/>
      <c r="BJ54" s="18"/>
      <c r="BK54" s="18"/>
      <c r="BL54" s="17"/>
      <c r="BM54" s="13"/>
      <c r="BO54" s="26"/>
      <c r="BS54" s="26"/>
      <c r="CD54" s="27"/>
    </row>
    <row r="55" spans="1:82" s="11" customFormat="1">
      <c r="A55" s="32"/>
      <c r="B55" s="33"/>
      <c r="C55" s="18"/>
      <c r="D55" s="18"/>
      <c r="E55" s="18"/>
      <c r="F55" s="18"/>
      <c r="G55" s="18"/>
      <c r="H55" s="17"/>
      <c r="I55" s="18"/>
      <c r="J55" s="18"/>
      <c r="K55" s="18"/>
      <c r="L55" s="18"/>
      <c r="M55" s="18"/>
      <c r="N55" s="18"/>
      <c r="O55" s="18"/>
      <c r="P55" s="33"/>
      <c r="Q55" s="18"/>
      <c r="R55" s="18"/>
      <c r="S55" s="18"/>
      <c r="T55" s="18"/>
      <c r="U55" s="18"/>
      <c r="V55" s="17"/>
      <c r="W55" s="18"/>
      <c r="X55" s="18"/>
      <c r="Y55" s="18"/>
      <c r="Z55" s="18"/>
      <c r="AA55" s="18"/>
      <c r="AB55" s="18"/>
      <c r="AC55" s="18"/>
      <c r="AD55" s="33"/>
      <c r="AE55" s="18"/>
      <c r="AF55" s="18"/>
      <c r="AG55" s="18"/>
      <c r="AH55" s="18"/>
      <c r="AI55" s="18"/>
      <c r="AJ55" s="17"/>
      <c r="AK55" s="33"/>
      <c r="AL55" s="18"/>
      <c r="AM55" s="18"/>
      <c r="AN55" s="18"/>
      <c r="AO55" s="18"/>
      <c r="AP55" s="18"/>
      <c r="AQ55" s="17"/>
      <c r="AR55" s="18"/>
      <c r="AS55" s="8" t="s">
        <v>162</v>
      </c>
      <c r="AT55" s="8" t="s">
        <v>173</v>
      </c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46" t="s">
        <v>147</v>
      </c>
      <c r="BI55" s="18"/>
      <c r="BJ55" s="18"/>
      <c r="BK55" s="18"/>
      <c r="BL55" s="17"/>
      <c r="BM55" s="13"/>
      <c r="BO55" s="26"/>
      <c r="BS55" s="26"/>
      <c r="CD55" s="27"/>
    </row>
    <row r="56" spans="1:82" s="11" customFormat="1">
      <c r="A56" s="32"/>
      <c r="B56" s="33"/>
      <c r="C56" s="18"/>
      <c r="D56" s="18"/>
      <c r="E56" s="18"/>
      <c r="F56" s="18"/>
      <c r="G56" s="18"/>
      <c r="H56" s="17"/>
      <c r="I56" s="18"/>
      <c r="J56" s="18"/>
      <c r="K56" s="18"/>
      <c r="L56" s="18"/>
      <c r="M56" s="18"/>
      <c r="N56" s="18"/>
      <c r="O56" s="18"/>
      <c r="P56" s="33"/>
      <c r="Q56" s="18"/>
      <c r="R56" s="18"/>
      <c r="S56" s="18"/>
      <c r="T56" s="18"/>
      <c r="U56" s="18"/>
      <c r="V56" s="17"/>
      <c r="W56" s="18"/>
      <c r="X56" s="18"/>
      <c r="Y56" s="18"/>
      <c r="Z56" s="18"/>
      <c r="AA56" s="18"/>
      <c r="AB56" s="18"/>
      <c r="AC56" s="18"/>
      <c r="AD56" s="33"/>
      <c r="AE56" s="18"/>
      <c r="AF56" s="18"/>
      <c r="AG56" s="18"/>
      <c r="AH56" s="18"/>
      <c r="AI56" s="18"/>
      <c r="AJ56" s="17"/>
      <c r="AK56" s="33"/>
      <c r="AL56" s="18"/>
      <c r="AM56" s="18"/>
      <c r="AN56" s="18"/>
      <c r="AO56" s="18"/>
      <c r="AP56" s="18"/>
      <c r="AQ56" s="17"/>
      <c r="AR56" s="18"/>
      <c r="AS56" s="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50" t="s">
        <v>189</v>
      </c>
      <c r="BI56" s="18"/>
      <c r="BJ56" s="18"/>
      <c r="BK56" s="18"/>
      <c r="BL56" s="17"/>
      <c r="BM56" s="13"/>
      <c r="BO56" s="26"/>
      <c r="BS56" s="26"/>
      <c r="CD56" s="27"/>
    </row>
    <row r="57" spans="1:82" s="11" customFormat="1">
      <c r="A57" s="32"/>
      <c r="B57" s="33"/>
      <c r="C57" s="18"/>
      <c r="D57" s="18"/>
      <c r="E57" s="18"/>
      <c r="F57" s="18"/>
      <c r="G57" s="18"/>
      <c r="H57" s="17"/>
      <c r="I57" s="18"/>
      <c r="J57" s="18"/>
      <c r="K57" s="18"/>
      <c r="L57" s="18"/>
      <c r="M57" s="18"/>
      <c r="N57" s="18"/>
      <c r="O57" s="18"/>
      <c r="P57" s="33"/>
      <c r="Q57" s="18"/>
      <c r="R57" s="18"/>
      <c r="S57" s="18"/>
      <c r="T57" s="18"/>
      <c r="U57" s="18"/>
      <c r="V57" s="17"/>
      <c r="W57" s="18"/>
      <c r="X57" s="18"/>
      <c r="Y57" s="18"/>
      <c r="Z57" s="18"/>
      <c r="AA57" s="18"/>
      <c r="AB57" s="18"/>
      <c r="AC57" s="18"/>
      <c r="AD57" s="33"/>
      <c r="AE57" s="18"/>
      <c r="AF57" s="18"/>
      <c r="AG57" s="18"/>
      <c r="AH57" s="18"/>
      <c r="AI57" s="18"/>
      <c r="AJ57" s="17"/>
      <c r="AK57" s="33"/>
      <c r="AL57" s="18"/>
      <c r="AM57" s="18"/>
      <c r="AN57" s="18"/>
      <c r="AO57" s="18"/>
      <c r="AP57" s="18"/>
      <c r="AQ57" s="17"/>
      <c r="AR57" s="18"/>
      <c r="AS57" s="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33"/>
      <c r="BI57" s="18"/>
      <c r="BJ57" s="18"/>
      <c r="BK57" s="18"/>
      <c r="BL57" s="17"/>
      <c r="BM57" s="13"/>
      <c r="BO57" s="26"/>
      <c r="BS57" s="26"/>
      <c r="CD57" s="27"/>
    </row>
    <row r="58" spans="1:82" s="11" customFormat="1">
      <c r="A58" s="32"/>
      <c r="B58" s="33"/>
      <c r="C58" s="18"/>
      <c r="D58" s="18"/>
      <c r="E58" s="18"/>
      <c r="F58" s="18"/>
      <c r="G58" s="18"/>
      <c r="H58" s="17"/>
      <c r="I58" s="18"/>
      <c r="J58" s="18"/>
      <c r="K58" s="18"/>
      <c r="L58" s="18"/>
      <c r="M58" s="18"/>
      <c r="N58" s="18"/>
      <c r="O58" s="18"/>
      <c r="P58" s="33"/>
      <c r="Q58" s="18"/>
      <c r="R58" s="18"/>
      <c r="S58" s="18"/>
      <c r="T58" s="18"/>
      <c r="U58" s="18"/>
      <c r="V58" s="17"/>
      <c r="W58" s="18"/>
      <c r="X58" s="18"/>
      <c r="Y58" s="18"/>
      <c r="Z58" s="18"/>
      <c r="AA58" s="18"/>
      <c r="AB58" s="18"/>
      <c r="AC58" s="18"/>
      <c r="AD58" s="33"/>
      <c r="AE58" s="18"/>
      <c r="AF58" s="18"/>
      <c r="AG58" s="18"/>
      <c r="AH58" s="18"/>
      <c r="AI58" s="18"/>
      <c r="AJ58" s="17"/>
      <c r="AK58" s="33"/>
      <c r="AL58" s="18"/>
      <c r="AM58" s="18"/>
      <c r="AN58" s="18"/>
      <c r="AO58" s="18"/>
      <c r="AP58" s="18"/>
      <c r="AQ58" s="17"/>
      <c r="AR58" s="18"/>
      <c r="AS58" s="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33"/>
      <c r="BI58" s="18"/>
      <c r="BJ58" s="18"/>
      <c r="BK58" s="18"/>
      <c r="BL58" s="17"/>
      <c r="BM58" s="13"/>
      <c r="BO58" s="26"/>
      <c r="BS58" s="26"/>
      <c r="CD58" s="27"/>
    </row>
    <row r="59" spans="1:82" s="11" customFormat="1">
      <c r="A59" s="32"/>
      <c r="B59" s="33"/>
      <c r="C59" s="18"/>
      <c r="D59" s="18"/>
      <c r="E59" s="18"/>
      <c r="F59" s="18"/>
      <c r="G59" s="18"/>
      <c r="H59" s="17"/>
      <c r="I59" s="18"/>
      <c r="J59" s="18"/>
      <c r="K59" s="18"/>
      <c r="L59" s="18"/>
      <c r="M59" s="18"/>
      <c r="N59" s="18"/>
      <c r="O59" s="18"/>
      <c r="P59" s="33"/>
      <c r="Q59" s="18"/>
      <c r="R59" s="18"/>
      <c r="S59" s="18"/>
      <c r="T59" s="18"/>
      <c r="U59" s="18"/>
      <c r="V59" s="17"/>
      <c r="W59" s="18"/>
      <c r="X59" s="18"/>
      <c r="Y59" s="18"/>
      <c r="Z59" s="18"/>
      <c r="AA59" s="18"/>
      <c r="AB59" s="18"/>
      <c r="AC59" s="18"/>
      <c r="AD59" s="33"/>
      <c r="AE59" s="18"/>
      <c r="AF59" s="18"/>
      <c r="AG59" s="18"/>
      <c r="AH59" s="18"/>
      <c r="AI59" s="18"/>
      <c r="AJ59" s="17"/>
      <c r="AK59" s="33"/>
      <c r="AL59" s="18"/>
      <c r="AM59" s="18"/>
      <c r="AN59" s="18"/>
      <c r="AO59" s="18"/>
      <c r="AP59" s="18"/>
      <c r="AQ59" s="17"/>
      <c r="AR59" s="18"/>
      <c r="AS59" s="8"/>
      <c r="AT59" s="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33"/>
      <c r="BI59" s="18"/>
      <c r="BJ59" s="18"/>
      <c r="BK59" s="18"/>
      <c r="BL59" s="17"/>
      <c r="BM59" s="13"/>
      <c r="BO59" s="26"/>
      <c r="BS59" s="26"/>
      <c r="CD59" s="27"/>
    </row>
    <row r="60" spans="1:82" s="11" customFormat="1">
      <c r="A60" s="32"/>
      <c r="B60" s="33"/>
      <c r="C60" s="18"/>
      <c r="D60" s="18"/>
      <c r="E60" s="18"/>
      <c r="F60" s="18"/>
      <c r="G60" s="18"/>
      <c r="H60" s="17"/>
      <c r="I60" s="18"/>
      <c r="J60" s="18"/>
      <c r="K60" s="18"/>
      <c r="L60" s="18"/>
      <c r="M60" s="18"/>
      <c r="N60" s="18"/>
      <c r="O60" s="18"/>
      <c r="P60" s="33"/>
      <c r="Q60" s="18"/>
      <c r="R60" s="18"/>
      <c r="S60" s="18"/>
      <c r="T60" s="18"/>
      <c r="U60" s="18"/>
      <c r="V60" s="17"/>
      <c r="W60" s="18"/>
      <c r="X60" s="18"/>
      <c r="Y60" s="18"/>
      <c r="Z60" s="18"/>
      <c r="AA60" s="18"/>
      <c r="AB60" s="18"/>
      <c r="AC60" s="18"/>
      <c r="AD60" s="33"/>
      <c r="AE60" s="18"/>
      <c r="AF60" s="18"/>
      <c r="AG60" s="18"/>
      <c r="AH60" s="18"/>
      <c r="AI60" s="18"/>
      <c r="AJ60" s="17"/>
      <c r="AK60" s="33"/>
      <c r="AL60" s="18"/>
      <c r="AM60" s="18"/>
      <c r="AN60" s="18"/>
      <c r="AO60" s="18"/>
      <c r="AP60" s="18"/>
      <c r="AQ60" s="17"/>
      <c r="AR60" s="18"/>
      <c r="AS60" s="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33"/>
      <c r="BI60" s="18"/>
      <c r="BJ60" s="18"/>
      <c r="BK60" s="18"/>
      <c r="BL60" s="17"/>
      <c r="BM60" s="13"/>
      <c r="BO60" s="26"/>
      <c r="BS60" s="26"/>
      <c r="CD60" s="27"/>
    </row>
    <row r="61" spans="1:82" s="11" customFormat="1">
      <c r="A61" s="32"/>
      <c r="B61" s="33"/>
      <c r="C61" s="18"/>
      <c r="D61" s="18"/>
      <c r="E61" s="18"/>
      <c r="F61" s="18"/>
      <c r="G61" s="18"/>
      <c r="H61" s="17"/>
      <c r="I61" s="18"/>
      <c r="J61" s="18"/>
      <c r="K61" s="18"/>
      <c r="L61" s="18"/>
      <c r="M61" s="18"/>
      <c r="N61" s="18"/>
      <c r="O61" s="18"/>
      <c r="P61" s="33"/>
      <c r="Q61" s="18"/>
      <c r="R61" s="18"/>
      <c r="S61" s="18"/>
      <c r="T61" s="18"/>
      <c r="U61" s="18"/>
      <c r="V61" s="17"/>
      <c r="W61" s="18"/>
      <c r="X61" s="18"/>
      <c r="Y61" s="18"/>
      <c r="Z61" s="18"/>
      <c r="AA61" s="18"/>
      <c r="AB61" s="18"/>
      <c r="AC61" s="18"/>
      <c r="AD61" s="33"/>
      <c r="AE61" s="18"/>
      <c r="AF61" s="18"/>
      <c r="AG61" s="18"/>
      <c r="AH61" s="18"/>
      <c r="AI61" s="18"/>
      <c r="AJ61" s="17"/>
      <c r="AK61" s="33"/>
      <c r="AL61" s="18"/>
      <c r="AM61" s="18"/>
      <c r="AN61" s="18"/>
      <c r="AO61" s="18"/>
      <c r="AP61" s="18"/>
      <c r="AQ61" s="17"/>
      <c r="AR61" s="18"/>
      <c r="AS61" s="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33"/>
      <c r="BI61" s="18"/>
      <c r="BJ61" s="18"/>
      <c r="BK61" s="18"/>
      <c r="BL61" s="17"/>
      <c r="BM61" s="13"/>
      <c r="BO61" s="26"/>
      <c r="BS61" s="26"/>
      <c r="CD61" s="27"/>
    </row>
    <row r="62" spans="1:82" s="11" customFormat="1">
      <c r="A62" s="32"/>
      <c r="B62" s="33"/>
      <c r="C62" s="18"/>
      <c r="D62" s="18"/>
      <c r="E62" s="18"/>
      <c r="F62" s="18"/>
      <c r="G62" s="18"/>
      <c r="H62" s="17"/>
      <c r="I62" s="18"/>
      <c r="J62" s="18"/>
      <c r="K62" s="18"/>
      <c r="L62" s="18"/>
      <c r="M62" s="18"/>
      <c r="N62" s="18"/>
      <c r="O62" s="18"/>
      <c r="P62" s="33"/>
      <c r="Q62" s="18"/>
      <c r="R62" s="18"/>
      <c r="S62" s="18"/>
      <c r="T62" s="18"/>
      <c r="U62" s="18"/>
      <c r="V62" s="17"/>
      <c r="W62" s="18"/>
      <c r="X62" s="18"/>
      <c r="Y62" s="18"/>
      <c r="Z62" s="18"/>
      <c r="AA62" s="18"/>
      <c r="AB62" s="18"/>
      <c r="AC62" s="18"/>
      <c r="AD62" s="33"/>
      <c r="AE62" s="18"/>
      <c r="AF62" s="18"/>
      <c r="AG62" s="18"/>
      <c r="AH62" s="18"/>
      <c r="AI62" s="18"/>
      <c r="AJ62" s="17"/>
      <c r="AK62" s="33"/>
      <c r="AL62" s="18"/>
      <c r="AM62" s="18"/>
      <c r="AN62" s="18"/>
      <c r="AO62" s="18"/>
      <c r="AP62" s="18"/>
      <c r="AQ62" s="17"/>
      <c r="AR62" s="18"/>
      <c r="AS62" s="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33"/>
      <c r="BI62" s="18"/>
      <c r="BJ62" s="18"/>
      <c r="BK62" s="18"/>
      <c r="BL62" s="17"/>
      <c r="BM62" s="13"/>
      <c r="BO62" s="26"/>
      <c r="BS62" s="26"/>
      <c r="CD62" s="27"/>
    </row>
    <row r="63" spans="1:82" s="11" customFormat="1">
      <c r="A63" s="32"/>
      <c r="B63" s="33"/>
      <c r="C63" s="18"/>
      <c r="D63" s="18"/>
      <c r="E63" s="18"/>
      <c r="F63" s="18"/>
      <c r="G63" s="18"/>
      <c r="H63" s="17"/>
      <c r="I63" s="18"/>
      <c r="J63" s="18"/>
      <c r="K63" s="18"/>
      <c r="L63" s="18"/>
      <c r="M63" s="18"/>
      <c r="N63" s="18"/>
      <c r="O63" s="18"/>
      <c r="P63" s="33"/>
      <c r="Q63" s="18"/>
      <c r="R63" s="18"/>
      <c r="S63" s="18"/>
      <c r="T63" s="18"/>
      <c r="U63" s="18"/>
      <c r="V63" s="17"/>
      <c r="W63" s="18"/>
      <c r="X63" s="18"/>
      <c r="Y63" s="18"/>
      <c r="Z63" s="18"/>
      <c r="AA63" s="18"/>
      <c r="AB63" s="18"/>
      <c r="AC63" s="18"/>
      <c r="AD63" s="33"/>
      <c r="AE63" s="18"/>
      <c r="AF63" s="18"/>
      <c r="AG63" s="18"/>
      <c r="AH63" s="18"/>
      <c r="AI63" s="18"/>
      <c r="AJ63" s="17"/>
      <c r="AK63" s="33"/>
      <c r="AL63" s="18"/>
      <c r="AM63" s="18"/>
      <c r="AN63" s="18"/>
      <c r="AO63" s="18"/>
      <c r="AP63" s="18"/>
      <c r="AQ63" s="17"/>
      <c r="AR63" s="18"/>
      <c r="AS63" s="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33"/>
      <c r="BI63" s="18"/>
      <c r="BJ63" s="18"/>
      <c r="BK63" s="18"/>
      <c r="BL63" s="17"/>
      <c r="BM63" s="13"/>
      <c r="BO63" s="26"/>
      <c r="BS63" s="26"/>
      <c r="CD63" s="27"/>
    </row>
    <row r="64" spans="1:82" s="11" customFormat="1">
      <c r="A64" s="32"/>
      <c r="B64" s="33"/>
      <c r="C64" s="18"/>
      <c r="D64" s="18"/>
      <c r="E64" s="18"/>
      <c r="F64" s="18"/>
      <c r="G64" s="18"/>
      <c r="H64" s="17"/>
      <c r="I64" s="18"/>
      <c r="J64" s="18"/>
      <c r="K64" s="18"/>
      <c r="L64" s="18"/>
      <c r="M64" s="18"/>
      <c r="N64" s="18"/>
      <c r="O64" s="18"/>
      <c r="P64" s="33"/>
      <c r="Q64" s="18"/>
      <c r="R64" s="18"/>
      <c r="S64" s="18"/>
      <c r="T64" s="18"/>
      <c r="U64" s="18"/>
      <c r="V64" s="17"/>
      <c r="W64" s="18"/>
      <c r="X64" s="18"/>
      <c r="Y64" s="18"/>
      <c r="Z64" s="18"/>
      <c r="AA64" s="18"/>
      <c r="AB64" s="18"/>
      <c r="AC64" s="18"/>
      <c r="AD64" s="33"/>
      <c r="AE64" s="18"/>
      <c r="AF64" s="18"/>
      <c r="AG64" s="18"/>
      <c r="AH64" s="18"/>
      <c r="AI64" s="18"/>
      <c r="AJ64" s="17"/>
      <c r="AK64" s="33"/>
      <c r="AL64" s="18"/>
      <c r="AM64" s="18"/>
      <c r="AN64" s="18"/>
      <c r="AO64" s="18"/>
      <c r="AP64" s="18"/>
      <c r="AQ64" s="17"/>
      <c r="AR64" s="18"/>
      <c r="AS64" s="16" t="s">
        <v>346</v>
      </c>
      <c r="AT64" s="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33"/>
      <c r="BI64" s="18"/>
      <c r="BJ64" s="18"/>
      <c r="BK64" s="18"/>
      <c r="BL64" s="17"/>
      <c r="BM64" s="13"/>
      <c r="BO64" s="26"/>
      <c r="BS64" s="26"/>
      <c r="CD64" s="27"/>
    </row>
    <row r="65" spans="1:82" s="11" customFormat="1">
      <c r="A65" s="32"/>
      <c r="B65" s="33"/>
      <c r="C65" s="18"/>
      <c r="D65" s="18"/>
      <c r="E65" s="18"/>
      <c r="F65" s="18"/>
      <c r="G65" s="18"/>
      <c r="H65" s="17"/>
      <c r="I65" s="18"/>
      <c r="J65" s="18"/>
      <c r="K65" s="18"/>
      <c r="L65" s="18"/>
      <c r="M65" s="18"/>
      <c r="N65" s="18"/>
      <c r="O65" s="18"/>
      <c r="P65" s="33"/>
      <c r="Q65" s="18"/>
      <c r="R65" s="18"/>
      <c r="S65" s="18"/>
      <c r="T65" s="18"/>
      <c r="U65" s="18"/>
      <c r="V65" s="17"/>
      <c r="W65" s="18"/>
      <c r="X65" s="18"/>
      <c r="Y65" s="18"/>
      <c r="Z65" s="18"/>
      <c r="AA65" s="18"/>
      <c r="AB65" s="18"/>
      <c r="AC65" s="18"/>
      <c r="AD65" s="33"/>
      <c r="AE65" s="18"/>
      <c r="AF65" s="18"/>
      <c r="AG65" s="18"/>
      <c r="AH65" s="18"/>
      <c r="AI65" s="18"/>
      <c r="AJ65" s="17"/>
      <c r="AK65" s="33"/>
      <c r="AL65" s="18"/>
      <c r="AM65" s="18"/>
      <c r="AN65" s="18"/>
      <c r="AO65" s="18"/>
      <c r="AP65" s="18"/>
      <c r="AQ65" s="17"/>
      <c r="AR65" s="18"/>
      <c r="AS65" s="8"/>
      <c r="AT65" s="8" t="s">
        <v>347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33"/>
      <c r="BI65" s="18"/>
      <c r="BJ65" s="18"/>
      <c r="BK65" s="18"/>
      <c r="BL65" s="17"/>
      <c r="BM65" s="13"/>
      <c r="BO65" s="26"/>
      <c r="BS65" s="26"/>
      <c r="CD65" s="27"/>
    </row>
    <row r="66" spans="1:82" s="11" customFormat="1">
      <c r="A66" s="32"/>
      <c r="B66" s="33"/>
      <c r="C66" s="18"/>
      <c r="D66" s="18"/>
      <c r="E66" s="18"/>
      <c r="F66" s="18"/>
      <c r="G66" s="18"/>
      <c r="H66" s="17"/>
      <c r="I66" s="18"/>
      <c r="J66" s="18"/>
      <c r="K66" s="18"/>
      <c r="L66" s="18"/>
      <c r="M66" s="18"/>
      <c r="N66" s="18"/>
      <c r="O66" s="18"/>
      <c r="P66" s="33"/>
      <c r="Q66" s="18"/>
      <c r="R66" s="18"/>
      <c r="S66" s="18"/>
      <c r="T66" s="18"/>
      <c r="U66" s="18"/>
      <c r="V66" s="17"/>
      <c r="W66" s="18"/>
      <c r="X66" s="18"/>
      <c r="Y66" s="18"/>
      <c r="Z66" s="18"/>
      <c r="AA66" s="18"/>
      <c r="AB66" s="18"/>
      <c r="AC66" s="18"/>
      <c r="AD66" s="33"/>
      <c r="AE66" s="18"/>
      <c r="AF66" s="18"/>
      <c r="AG66" s="18"/>
      <c r="AH66" s="18"/>
      <c r="AI66" s="18"/>
      <c r="AJ66" s="17"/>
      <c r="AK66" s="33"/>
      <c r="AL66" s="18"/>
      <c r="AM66" s="18"/>
      <c r="AN66" s="18"/>
      <c r="AO66" s="18"/>
      <c r="AP66" s="18"/>
      <c r="AQ66" s="17"/>
      <c r="AR66" s="18"/>
      <c r="AS66" s="8"/>
      <c r="AT66" s="8" t="s">
        <v>348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33"/>
      <c r="BI66" s="18"/>
      <c r="BJ66" s="18"/>
      <c r="BK66" s="18"/>
      <c r="BL66" s="17"/>
      <c r="BM66" s="13"/>
      <c r="BO66" s="26"/>
      <c r="BS66" s="26"/>
      <c r="CD66" s="27"/>
    </row>
    <row r="67" spans="1:82" s="11" customFormat="1">
      <c r="A67" s="32"/>
      <c r="B67" s="33"/>
      <c r="C67" s="18"/>
      <c r="D67" s="18"/>
      <c r="E67" s="18"/>
      <c r="F67" s="18"/>
      <c r="G67" s="18"/>
      <c r="H67" s="17"/>
      <c r="I67" s="18"/>
      <c r="J67" s="18"/>
      <c r="K67" s="18"/>
      <c r="L67" s="18"/>
      <c r="M67" s="18"/>
      <c r="N67" s="18"/>
      <c r="O67" s="18"/>
      <c r="P67" s="33"/>
      <c r="Q67" s="18"/>
      <c r="R67" s="18"/>
      <c r="S67" s="18"/>
      <c r="T67" s="18"/>
      <c r="U67" s="18"/>
      <c r="V67" s="17"/>
      <c r="W67" s="18"/>
      <c r="X67" s="18"/>
      <c r="Y67" s="18"/>
      <c r="Z67" s="18"/>
      <c r="AA67" s="18"/>
      <c r="AB67" s="18"/>
      <c r="AC67" s="18"/>
      <c r="AD67" s="33"/>
      <c r="AE67" s="18"/>
      <c r="AF67" s="18"/>
      <c r="AG67" s="18"/>
      <c r="AH67" s="18"/>
      <c r="AI67" s="18"/>
      <c r="AJ67" s="17"/>
      <c r="AK67" s="33"/>
      <c r="AL67" s="18"/>
      <c r="AM67" s="18"/>
      <c r="AN67" s="18"/>
      <c r="AO67" s="18"/>
      <c r="AP67" s="18"/>
      <c r="AQ67" s="17"/>
      <c r="AR67" s="18"/>
      <c r="AS67" s="8"/>
      <c r="AT67" s="8" t="s">
        <v>349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33"/>
      <c r="BI67" s="18"/>
      <c r="BJ67" s="18"/>
      <c r="BK67" s="18"/>
      <c r="BL67" s="17"/>
      <c r="BM67" s="13"/>
      <c r="BO67" s="26"/>
      <c r="BS67" s="26"/>
      <c r="CD67" s="27"/>
    </row>
    <row r="68" spans="1:82" s="11" customFormat="1">
      <c r="A68" s="32"/>
      <c r="B68" s="33"/>
      <c r="C68" s="18"/>
      <c r="D68" s="18"/>
      <c r="E68" s="18"/>
      <c r="F68" s="18"/>
      <c r="G68" s="18"/>
      <c r="H68" s="17"/>
      <c r="I68" s="18"/>
      <c r="J68" s="18"/>
      <c r="K68" s="18"/>
      <c r="L68" s="18"/>
      <c r="M68" s="18"/>
      <c r="N68" s="18"/>
      <c r="O68" s="18"/>
      <c r="P68" s="33"/>
      <c r="Q68" s="18"/>
      <c r="R68" s="18"/>
      <c r="S68" s="18"/>
      <c r="T68" s="18"/>
      <c r="U68" s="18"/>
      <c r="V68" s="17"/>
      <c r="W68" s="18"/>
      <c r="X68" s="18"/>
      <c r="Y68" s="18"/>
      <c r="Z68" s="18"/>
      <c r="AA68" s="18"/>
      <c r="AB68" s="18"/>
      <c r="AC68" s="18"/>
      <c r="AD68" s="33"/>
      <c r="AE68" s="18"/>
      <c r="AF68" s="18"/>
      <c r="AG68" s="18"/>
      <c r="AH68" s="18"/>
      <c r="AI68" s="18"/>
      <c r="AJ68" s="17"/>
      <c r="AK68" s="33"/>
      <c r="AL68" s="18"/>
      <c r="AM68" s="18"/>
      <c r="AN68" s="18"/>
      <c r="AO68" s="18"/>
      <c r="AP68" s="18"/>
      <c r="AQ68" s="17"/>
      <c r="AR68" s="18"/>
      <c r="AS68" s="8"/>
      <c r="AT68" s="8" t="s">
        <v>350</v>
      </c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33"/>
      <c r="BI68" s="18"/>
      <c r="BJ68" s="18"/>
      <c r="BK68" s="18"/>
      <c r="BL68" s="17"/>
      <c r="BM68" s="13"/>
      <c r="BO68" s="26"/>
      <c r="BS68" s="26"/>
      <c r="CD68" s="27"/>
    </row>
    <row r="69" spans="1:82" s="11" customFormat="1">
      <c r="A69" s="32"/>
      <c r="B69" s="33"/>
      <c r="C69" s="18"/>
      <c r="D69" s="18"/>
      <c r="E69" s="18"/>
      <c r="F69" s="18"/>
      <c r="G69" s="18"/>
      <c r="H69" s="17"/>
      <c r="I69" s="18"/>
      <c r="J69" s="18"/>
      <c r="K69" s="18"/>
      <c r="L69" s="18"/>
      <c r="M69" s="18"/>
      <c r="N69" s="18"/>
      <c r="O69" s="18"/>
      <c r="P69" s="33"/>
      <c r="Q69" s="18"/>
      <c r="R69" s="18"/>
      <c r="S69" s="18"/>
      <c r="T69" s="18"/>
      <c r="U69" s="18"/>
      <c r="V69" s="17"/>
      <c r="W69" s="18"/>
      <c r="X69" s="18"/>
      <c r="Y69" s="18"/>
      <c r="Z69" s="18"/>
      <c r="AA69" s="18"/>
      <c r="AB69" s="18"/>
      <c r="AC69" s="18"/>
      <c r="AD69" s="33"/>
      <c r="AE69" s="18"/>
      <c r="AF69" s="18"/>
      <c r="AG69" s="18"/>
      <c r="AH69" s="18"/>
      <c r="AI69" s="18"/>
      <c r="AJ69" s="17"/>
      <c r="AK69" s="33"/>
      <c r="AL69" s="18"/>
      <c r="AM69" s="18"/>
      <c r="AN69" s="18"/>
      <c r="AO69" s="18"/>
      <c r="AP69" s="18"/>
      <c r="AQ69" s="17"/>
      <c r="AR69" s="18"/>
      <c r="AS69" s="8"/>
      <c r="AT69" s="11" t="s">
        <v>351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33"/>
      <c r="BI69" s="18"/>
      <c r="BJ69" s="18"/>
      <c r="BK69" s="18"/>
      <c r="BL69" s="17"/>
      <c r="BM69" s="13"/>
      <c r="BO69" s="26"/>
      <c r="BS69" s="26"/>
      <c r="CD69" s="27"/>
    </row>
    <row r="70" spans="1:82" s="11" customFormat="1">
      <c r="A70" s="32"/>
      <c r="B70" s="33"/>
      <c r="C70" s="18"/>
      <c r="D70" s="18"/>
      <c r="E70" s="18"/>
      <c r="F70" s="18"/>
      <c r="G70" s="18"/>
      <c r="H70" s="17"/>
      <c r="I70" s="18"/>
      <c r="J70" s="18"/>
      <c r="K70" s="18"/>
      <c r="L70" s="18"/>
      <c r="M70" s="18"/>
      <c r="N70" s="18"/>
      <c r="O70" s="18"/>
      <c r="P70" s="33"/>
      <c r="Q70" s="18"/>
      <c r="R70" s="18"/>
      <c r="S70" s="18"/>
      <c r="T70" s="18"/>
      <c r="U70" s="18"/>
      <c r="V70" s="17"/>
      <c r="W70" s="18"/>
      <c r="X70" s="18"/>
      <c r="Y70" s="18"/>
      <c r="Z70" s="18"/>
      <c r="AA70" s="18"/>
      <c r="AB70" s="18"/>
      <c r="AC70" s="18"/>
      <c r="AD70" s="33"/>
      <c r="AE70" s="18"/>
      <c r="AF70" s="18"/>
      <c r="AG70" s="18"/>
      <c r="AH70" s="18"/>
      <c r="AI70" s="18"/>
      <c r="AJ70" s="17"/>
      <c r="AK70" s="33"/>
      <c r="AL70" s="18"/>
      <c r="AM70" s="18"/>
      <c r="AN70" s="18"/>
      <c r="AO70" s="18"/>
      <c r="AP70" s="18"/>
      <c r="AQ70" s="17"/>
      <c r="AR70" s="18"/>
      <c r="AS70" s="8"/>
      <c r="AT70" s="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33"/>
      <c r="BI70" s="18"/>
      <c r="BJ70" s="18"/>
      <c r="BK70" s="18"/>
      <c r="BL70" s="17"/>
      <c r="BM70" s="13"/>
      <c r="BO70" s="26"/>
      <c r="BS70" s="26"/>
      <c r="CD70" s="27"/>
    </row>
    <row r="71" spans="1:82" s="11" customFormat="1">
      <c r="A71" s="32"/>
      <c r="B71" s="33"/>
      <c r="C71" s="18"/>
      <c r="D71" s="18"/>
      <c r="E71" s="18"/>
      <c r="F71" s="18"/>
      <c r="G71" s="18"/>
      <c r="H71" s="17"/>
      <c r="I71" s="18"/>
      <c r="J71" s="18"/>
      <c r="K71" s="18"/>
      <c r="L71" s="18"/>
      <c r="M71" s="18"/>
      <c r="N71" s="18"/>
      <c r="O71" s="18"/>
      <c r="P71" s="33"/>
      <c r="Q71" s="18"/>
      <c r="R71" s="18"/>
      <c r="S71" s="18"/>
      <c r="T71" s="18"/>
      <c r="U71" s="18"/>
      <c r="V71" s="17"/>
      <c r="W71" s="18"/>
      <c r="X71" s="18"/>
      <c r="Y71" s="18"/>
      <c r="Z71" s="18"/>
      <c r="AA71" s="18"/>
      <c r="AB71" s="18"/>
      <c r="AC71" s="18"/>
      <c r="AD71" s="33"/>
      <c r="AE71" s="18"/>
      <c r="AF71" s="18"/>
      <c r="AG71" s="18"/>
      <c r="AH71" s="18"/>
      <c r="AI71" s="18"/>
      <c r="AJ71" s="17"/>
      <c r="AK71" s="33"/>
      <c r="AL71" s="18"/>
      <c r="AM71" s="18"/>
      <c r="AN71" s="18"/>
      <c r="AO71" s="18"/>
      <c r="AP71" s="18"/>
      <c r="AQ71" s="17"/>
      <c r="AR71" s="18"/>
      <c r="AS71" s="8"/>
      <c r="AT71" s="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46"/>
      <c r="BI71" s="18"/>
      <c r="BJ71" s="18"/>
      <c r="BK71" s="18"/>
      <c r="BL71" s="17"/>
      <c r="BM71" s="13"/>
      <c r="BO71" s="26"/>
      <c r="BS71" s="26"/>
      <c r="CD71" s="27"/>
    </row>
    <row r="72" spans="1:82" s="11" customFormat="1">
      <c r="A72" s="32"/>
      <c r="B72" s="33"/>
      <c r="C72" s="18"/>
      <c r="D72" s="18"/>
      <c r="E72" s="18"/>
      <c r="F72" s="18"/>
      <c r="G72" s="18"/>
      <c r="H72" s="17"/>
      <c r="I72" s="18"/>
      <c r="J72" s="18"/>
      <c r="K72" s="18"/>
      <c r="L72" s="18"/>
      <c r="M72" s="18"/>
      <c r="N72" s="18"/>
      <c r="O72" s="18"/>
      <c r="P72" s="33"/>
      <c r="Q72" s="18"/>
      <c r="R72" s="18"/>
      <c r="S72" s="18"/>
      <c r="T72" s="18"/>
      <c r="U72" s="18"/>
      <c r="V72" s="17"/>
      <c r="W72" s="18"/>
      <c r="X72" s="18"/>
      <c r="Y72" s="18"/>
      <c r="Z72" s="18"/>
      <c r="AA72" s="18"/>
      <c r="AB72" s="18"/>
      <c r="AC72" s="18"/>
      <c r="AD72" s="33"/>
      <c r="AE72" s="18"/>
      <c r="AF72" s="18"/>
      <c r="AG72" s="18"/>
      <c r="AH72" s="18"/>
      <c r="AI72" s="18"/>
      <c r="AJ72" s="17"/>
      <c r="AK72" s="33"/>
      <c r="AL72" s="18"/>
      <c r="AM72" s="18"/>
      <c r="AN72" s="18"/>
      <c r="AO72" s="18"/>
      <c r="AP72" s="18"/>
      <c r="AQ72" s="17"/>
      <c r="AR72" s="18"/>
      <c r="AS72" s="8"/>
      <c r="AT72" s="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33"/>
      <c r="BI72" s="18"/>
      <c r="BJ72" s="18"/>
      <c r="BK72" s="18"/>
      <c r="BL72" s="17"/>
      <c r="BM72" s="13"/>
      <c r="BO72" s="26"/>
      <c r="BS72" s="26"/>
      <c r="CD72" s="27"/>
    </row>
    <row r="73" spans="1:82" s="11" customFormat="1">
      <c r="A73" s="32"/>
      <c r="B73" s="33"/>
      <c r="C73" s="18"/>
      <c r="D73" s="18"/>
      <c r="E73" s="18"/>
      <c r="F73" s="18"/>
      <c r="G73" s="18"/>
      <c r="H73" s="17"/>
      <c r="I73" s="18"/>
      <c r="J73" s="18"/>
      <c r="K73" s="18"/>
      <c r="L73" s="18"/>
      <c r="M73" s="18"/>
      <c r="N73" s="18"/>
      <c r="O73" s="18"/>
      <c r="P73" s="33"/>
      <c r="Q73" s="18"/>
      <c r="R73" s="18"/>
      <c r="S73" s="18"/>
      <c r="T73" s="18"/>
      <c r="U73" s="18"/>
      <c r="V73" s="17"/>
      <c r="W73" s="18"/>
      <c r="X73" s="18"/>
      <c r="Y73" s="18"/>
      <c r="Z73" s="18"/>
      <c r="AA73" s="18"/>
      <c r="AB73" s="18"/>
      <c r="AC73" s="18"/>
      <c r="AD73" s="33"/>
      <c r="AE73" s="18"/>
      <c r="AF73" s="18"/>
      <c r="AG73" s="18"/>
      <c r="AH73" s="18"/>
      <c r="AI73" s="18"/>
      <c r="AJ73" s="17"/>
      <c r="AK73" s="33"/>
      <c r="AL73" s="18"/>
      <c r="AM73" s="18"/>
      <c r="AN73" s="18"/>
      <c r="AO73" s="18"/>
      <c r="AP73" s="18"/>
      <c r="AQ73" s="17"/>
      <c r="AR73" s="18"/>
      <c r="AS73" s="8"/>
      <c r="AT73" s="31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33"/>
      <c r="BI73" s="18"/>
      <c r="BJ73" s="18"/>
      <c r="BK73" s="18"/>
      <c r="BL73" s="17"/>
      <c r="BM73" s="13"/>
      <c r="BO73" s="26"/>
      <c r="BS73" s="26"/>
      <c r="CD73" s="27"/>
    </row>
    <row r="74" spans="1:82" s="11" customFormat="1">
      <c r="A74" s="32"/>
      <c r="B74" s="33"/>
      <c r="C74" s="18"/>
      <c r="D74" s="18"/>
      <c r="E74" s="18"/>
      <c r="F74" s="18"/>
      <c r="G74" s="18"/>
      <c r="H74" s="17"/>
      <c r="I74" s="18"/>
      <c r="J74" s="18"/>
      <c r="K74" s="18"/>
      <c r="L74" s="18"/>
      <c r="M74" s="18"/>
      <c r="N74" s="18"/>
      <c r="O74" s="18"/>
      <c r="P74" s="33"/>
      <c r="Q74" s="18"/>
      <c r="R74" s="18"/>
      <c r="S74" s="18"/>
      <c r="T74" s="18"/>
      <c r="U74" s="18"/>
      <c r="V74" s="17"/>
      <c r="W74" s="18"/>
      <c r="X74" s="18"/>
      <c r="Y74" s="18"/>
      <c r="Z74" s="18"/>
      <c r="AA74" s="18"/>
      <c r="AB74" s="18"/>
      <c r="AC74" s="18"/>
      <c r="AD74" s="33"/>
      <c r="AE74" s="18"/>
      <c r="AF74" s="18"/>
      <c r="AG74" s="18"/>
      <c r="AH74" s="18"/>
      <c r="AI74" s="18"/>
      <c r="AJ74" s="17"/>
      <c r="AK74" s="33"/>
      <c r="AL74" s="18"/>
      <c r="AM74" s="18"/>
      <c r="AN74" s="18"/>
      <c r="AO74" s="18"/>
      <c r="AP74" s="18"/>
      <c r="AQ74" s="17"/>
      <c r="AR74" s="18"/>
      <c r="AS74" s="16"/>
      <c r="AT74" s="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33"/>
      <c r="BI74" s="18"/>
      <c r="BJ74" s="18"/>
      <c r="BK74" s="18"/>
      <c r="BL74" s="17"/>
      <c r="BM74" s="13"/>
      <c r="BO74" s="26"/>
      <c r="BS74" s="26"/>
      <c r="CD74" s="27"/>
    </row>
    <row r="75" spans="1:82" s="11" customFormat="1">
      <c r="A75" s="32"/>
      <c r="B75" s="33"/>
      <c r="C75" s="18"/>
      <c r="D75" s="18"/>
      <c r="E75" s="18"/>
      <c r="F75" s="18"/>
      <c r="G75" s="18"/>
      <c r="H75" s="17"/>
      <c r="I75" s="18"/>
      <c r="J75" s="18"/>
      <c r="K75" s="18"/>
      <c r="L75" s="18"/>
      <c r="M75" s="18"/>
      <c r="N75" s="18"/>
      <c r="O75" s="18"/>
      <c r="P75" s="33"/>
      <c r="Q75" s="18"/>
      <c r="R75" s="18"/>
      <c r="S75" s="18"/>
      <c r="T75" s="18"/>
      <c r="U75" s="18"/>
      <c r="V75" s="17"/>
      <c r="W75" s="18"/>
      <c r="X75" s="18"/>
      <c r="Y75" s="18"/>
      <c r="Z75" s="18"/>
      <c r="AA75" s="18"/>
      <c r="AB75" s="18"/>
      <c r="AC75" s="18"/>
      <c r="AD75" s="33"/>
      <c r="AE75" s="18"/>
      <c r="AF75" s="18"/>
      <c r="AG75" s="18"/>
      <c r="AH75" s="18"/>
      <c r="AI75" s="18"/>
      <c r="AJ75" s="17"/>
      <c r="AK75" s="33"/>
      <c r="AL75" s="18"/>
      <c r="AM75" s="18"/>
      <c r="AN75" s="18"/>
      <c r="AO75" s="18"/>
      <c r="AP75" s="18"/>
      <c r="AQ75" s="17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33"/>
      <c r="BI75" s="18"/>
      <c r="BJ75" s="18"/>
      <c r="BK75" s="18"/>
      <c r="BL75" s="17"/>
      <c r="BM75" s="13"/>
      <c r="BO75" s="26"/>
      <c r="BS75" s="26"/>
      <c r="CD75" s="27"/>
    </row>
    <row r="76" spans="1:82" s="11" customFormat="1">
      <c r="A76" s="32"/>
      <c r="B76" s="33"/>
      <c r="C76" s="18"/>
      <c r="D76" s="18"/>
      <c r="E76" s="18"/>
      <c r="F76" s="18"/>
      <c r="G76" s="18"/>
      <c r="H76" s="17"/>
      <c r="I76" s="18"/>
      <c r="J76" s="18"/>
      <c r="K76" s="18"/>
      <c r="L76" s="18"/>
      <c r="M76" s="18"/>
      <c r="N76" s="18"/>
      <c r="O76" s="18"/>
      <c r="P76" s="33"/>
      <c r="Q76" s="18"/>
      <c r="R76" s="18"/>
      <c r="S76" s="18"/>
      <c r="T76" s="18"/>
      <c r="U76" s="18"/>
      <c r="V76" s="17"/>
      <c r="W76" s="18"/>
      <c r="X76" s="18"/>
      <c r="Y76" s="18"/>
      <c r="Z76" s="18"/>
      <c r="AA76" s="18"/>
      <c r="AB76" s="18"/>
      <c r="AC76" s="18"/>
      <c r="AD76" s="33"/>
      <c r="AE76" s="18"/>
      <c r="AF76" s="18"/>
      <c r="AG76" s="18"/>
      <c r="AH76" s="18"/>
      <c r="AI76" s="18"/>
      <c r="AJ76" s="17"/>
      <c r="AK76" s="33"/>
      <c r="AL76" s="18"/>
      <c r="AM76" s="18"/>
      <c r="AN76" s="18"/>
      <c r="AO76" s="18"/>
      <c r="AP76" s="18"/>
      <c r="AQ76" s="17"/>
      <c r="AR76" s="18"/>
      <c r="AS76" s="19"/>
      <c r="AU76" s="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33"/>
      <c r="BI76" s="18"/>
      <c r="BJ76" s="18"/>
      <c r="BK76" s="18"/>
      <c r="BL76" s="17"/>
      <c r="BM76" s="13"/>
      <c r="BO76" s="26"/>
      <c r="BS76" s="26"/>
      <c r="CD76" s="27"/>
    </row>
    <row r="77" spans="1:82" s="11" customFormat="1">
      <c r="A77" s="32"/>
      <c r="B77" s="33"/>
      <c r="C77" s="18"/>
      <c r="D77" s="18"/>
      <c r="E77" s="18"/>
      <c r="F77" s="18"/>
      <c r="G77" s="18"/>
      <c r="H77" s="17"/>
      <c r="I77" s="18"/>
      <c r="J77" s="18"/>
      <c r="K77" s="18"/>
      <c r="L77" s="18"/>
      <c r="M77" s="18"/>
      <c r="N77" s="18"/>
      <c r="O77" s="18"/>
      <c r="P77" s="33"/>
      <c r="Q77" s="18"/>
      <c r="R77" s="18"/>
      <c r="S77" s="18"/>
      <c r="T77" s="18"/>
      <c r="U77" s="18"/>
      <c r="V77" s="17"/>
      <c r="W77" s="18"/>
      <c r="X77" s="18"/>
      <c r="Y77" s="18"/>
      <c r="Z77" s="18"/>
      <c r="AA77" s="18"/>
      <c r="AB77" s="18"/>
      <c r="AC77" s="18"/>
      <c r="AD77" s="33"/>
      <c r="AE77" s="18"/>
      <c r="AF77" s="18"/>
      <c r="AG77" s="18"/>
      <c r="AH77" s="18"/>
      <c r="AI77" s="18"/>
      <c r="AJ77" s="17"/>
      <c r="AK77" s="33"/>
      <c r="AL77" s="18"/>
      <c r="AM77" s="18"/>
      <c r="AN77" s="18"/>
      <c r="AO77" s="18"/>
      <c r="AP77" s="18"/>
      <c r="AQ77" s="17"/>
      <c r="AR77" s="18"/>
      <c r="AS77" s="8"/>
      <c r="AT77" s="8"/>
      <c r="AU77" s="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33"/>
      <c r="BI77" s="18"/>
      <c r="BJ77" s="18"/>
      <c r="BK77" s="18"/>
      <c r="BL77" s="17"/>
      <c r="BM77" s="13"/>
      <c r="BO77" s="26"/>
      <c r="BS77" s="26"/>
      <c r="CD77" s="27"/>
    </row>
    <row r="78" spans="1:82" s="11" customFormat="1">
      <c r="A78" s="32"/>
      <c r="B78" s="33"/>
      <c r="C78" s="18"/>
      <c r="D78" s="18"/>
      <c r="E78" s="18"/>
      <c r="F78" s="18"/>
      <c r="G78" s="18"/>
      <c r="H78" s="17"/>
      <c r="I78" s="18"/>
      <c r="J78" s="18"/>
      <c r="K78" s="18"/>
      <c r="L78" s="18"/>
      <c r="M78" s="18"/>
      <c r="N78" s="18"/>
      <c r="O78" s="18"/>
      <c r="P78" s="33"/>
      <c r="Q78" s="18"/>
      <c r="R78" s="18"/>
      <c r="S78" s="18"/>
      <c r="T78" s="18"/>
      <c r="U78" s="18"/>
      <c r="V78" s="17"/>
      <c r="W78" s="18"/>
      <c r="X78" s="18"/>
      <c r="Y78" s="18"/>
      <c r="Z78" s="18"/>
      <c r="AA78" s="18"/>
      <c r="AB78" s="18"/>
      <c r="AC78" s="18"/>
      <c r="AD78" s="33"/>
      <c r="AE78" s="18"/>
      <c r="AF78" s="18"/>
      <c r="AG78" s="18"/>
      <c r="AH78" s="18"/>
      <c r="AI78" s="18"/>
      <c r="AJ78" s="17"/>
      <c r="AK78" s="33"/>
      <c r="AL78" s="18"/>
      <c r="AM78" s="18"/>
      <c r="AN78" s="18"/>
      <c r="AO78" s="18"/>
      <c r="AP78" s="18"/>
      <c r="AQ78" s="17"/>
      <c r="AR78" s="18"/>
      <c r="AS78" s="18"/>
      <c r="AT78" s="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33"/>
      <c r="BI78" s="18"/>
      <c r="BJ78" s="18"/>
      <c r="BK78" s="18"/>
      <c r="BL78" s="17"/>
      <c r="BM78" s="13"/>
      <c r="BO78" s="26"/>
      <c r="BS78" s="26"/>
      <c r="CD78" s="27"/>
    </row>
    <row r="79" spans="1:82">
      <c r="A79" s="34"/>
      <c r="B79" s="21"/>
      <c r="C79" s="10"/>
      <c r="D79" s="10"/>
      <c r="E79" s="10"/>
      <c r="F79" s="10"/>
      <c r="G79" s="10"/>
      <c r="H79" s="15"/>
      <c r="I79" s="10"/>
      <c r="J79" s="10"/>
      <c r="K79" s="10"/>
      <c r="L79" s="10"/>
      <c r="M79" s="10"/>
      <c r="N79" s="10"/>
      <c r="O79" s="10"/>
      <c r="P79" s="21"/>
      <c r="Q79" s="10"/>
      <c r="R79" s="10"/>
      <c r="S79" s="10"/>
      <c r="T79" s="10"/>
      <c r="U79" s="10"/>
      <c r="V79" s="15"/>
      <c r="W79" s="10"/>
      <c r="X79" s="10"/>
      <c r="Y79" s="10"/>
      <c r="Z79" s="10"/>
      <c r="AA79" s="10"/>
      <c r="AB79" s="10"/>
      <c r="AC79" s="10"/>
      <c r="AD79" s="21"/>
      <c r="AE79" s="10"/>
      <c r="AF79" s="10"/>
      <c r="AG79" s="10"/>
      <c r="AH79" s="10"/>
      <c r="AI79" s="10"/>
      <c r="AJ79" s="15"/>
      <c r="AK79" s="21"/>
      <c r="AL79" s="10"/>
      <c r="AM79" s="10"/>
      <c r="AN79" s="10"/>
      <c r="AO79" s="10"/>
      <c r="AP79" s="10"/>
      <c r="AQ79" s="15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21"/>
      <c r="BI79" s="10"/>
      <c r="BJ79" s="10"/>
      <c r="BK79" s="10"/>
      <c r="BL79" s="15"/>
      <c r="BM79" s="14"/>
      <c r="BO79" s="28"/>
      <c r="BP79" s="29"/>
      <c r="BQ79" s="29"/>
      <c r="BR79" s="29"/>
      <c r="BS79" s="28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30"/>
    </row>
    <row r="80" spans="1:82">
      <c r="A80" s="21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5"/>
    </row>
  </sheetData>
  <mergeCells count="27">
    <mergeCell ref="AJ1:AP1"/>
    <mergeCell ref="AQ1:AV1"/>
    <mergeCell ref="A2:E3"/>
    <mergeCell ref="F2:U3"/>
    <mergeCell ref="V2:AI3"/>
    <mergeCell ref="A1:E1"/>
    <mergeCell ref="F1:U1"/>
    <mergeCell ref="V1:AI1"/>
    <mergeCell ref="AJ2:AK2"/>
    <mergeCell ref="AL2:AP2"/>
    <mergeCell ref="AQ2:AV2"/>
    <mergeCell ref="AJ3:AK3"/>
    <mergeCell ref="AL3:AP3"/>
    <mergeCell ref="AQ3:AV3"/>
    <mergeCell ref="BO8:BR9"/>
    <mergeCell ref="BS8:CD9"/>
    <mergeCell ref="B9:H9"/>
    <mergeCell ref="I9:O9"/>
    <mergeCell ref="P9:V9"/>
    <mergeCell ref="W9:AC9"/>
    <mergeCell ref="AD9:AJ9"/>
    <mergeCell ref="AK9:AQ9"/>
    <mergeCell ref="B8:O8"/>
    <mergeCell ref="P8:AC8"/>
    <mergeCell ref="AD8:AQ8"/>
    <mergeCell ref="AR8:BG9"/>
    <mergeCell ref="BH8:BL9"/>
  </mergeCells>
  <phoneticPr fontId="2"/>
  <pageMargins left="0.7" right="0.7" top="0.75" bottom="0.75" header="0.3" footer="0.3"/>
  <pageSetup paperSize="9" scale="69" fitToHeight="0" orientation="portrait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96D4-3096-4BA5-8C74-B9E462A4643F}">
  <sheetPr>
    <tabColor theme="0" tint="-0.499984740745262"/>
  </sheetPr>
  <dimension ref="A1:CD61"/>
  <sheetViews>
    <sheetView showGridLines="0" zoomScaleNormal="100" workbookViewId="0">
      <pane ySplit="9" topLeftCell="A10" activePane="bottomLeft" state="frozen"/>
      <selection pane="bottomLeft" activeCell="BM29" sqref="BM29"/>
      <selection activeCell="BM53" sqref="BM53"/>
    </sheetView>
  </sheetViews>
  <sheetFormatPr defaultColWidth="2.625" defaultRowHeight="13.5"/>
  <cols>
    <col min="1" max="5" width="2.625" style="8"/>
    <col min="6" max="10" width="2.625" style="8" customWidth="1"/>
    <col min="11" max="63" width="2.625" style="8"/>
    <col min="64" max="64" width="2.625" style="8" customWidth="1"/>
    <col min="65" max="16384" width="2.625" style="8"/>
  </cols>
  <sheetData>
    <row r="1" spans="1:82" ht="14.1" customHeight="1" thickBot="1">
      <c r="A1" s="169" t="s">
        <v>9</v>
      </c>
      <c r="B1" s="170"/>
      <c r="C1" s="170"/>
      <c r="D1" s="170"/>
      <c r="E1" s="171"/>
      <c r="F1" s="166" t="str">
        <f>変更履歴!F1</f>
        <v>会計システム刷新プロジェクト（LIBRA）</v>
      </c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8"/>
      <c r="V1" s="169" t="s">
        <v>42</v>
      </c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1"/>
      <c r="AJ1" s="169" t="s">
        <v>11</v>
      </c>
      <c r="AK1" s="170"/>
      <c r="AL1" s="170"/>
      <c r="AM1" s="170"/>
      <c r="AN1" s="170"/>
      <c r="AO1" s="170"/>
      <c r="AP1" s="171"/>
      <c r="AQ1" s="169" t="s">
        <v>12</v>
      </c>
      <c r="AR1" s="170"/>
      <c r="AS1" s="170"/>
      <c r="AT1" s="170"/>
      <c r="AU1" s="170"/>
      <c r="AV1" s="171"/>
    </row>
    <row r="2" spans="1:82" ht="14.1" customHeight="1">
      <c r="A2" s="184" t="s">
        <v>13</v>
      </c>
      <c r="B2" s="185"/>
      <c r="C2" s="185"/>
      <c r="D2" s="185"/>
      <c r="E2" s="186"/>
      <c r="F2" s="146" t="str">
        <f>変更履歴!F2</f>
        <v>ToBe業務フロー（2.グループファイナンス・資金繰り）</v>
      </c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8"/>
      <c r="V2" s="146" t="e">
        <f ca="1">MID(CELL("filename",$A$1),FIND("]",CELL("filename",$A$1))+1,31)</f>
        <v>#VALUE!</v>
      </c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8"/>
      <c r="AJ2" s="158" t="s">
        <v>14</v>
      </c>
      <c r="AK2" s="159"/>
      <c r="AL2" s="160">
        <f>変更履歴!AT2</f>
        <v>45362</v>
      </c>
      <c r="AM2" s="161"/>
      <c r="AN2" s="161"/>
      <c r="AO2" s="161"/>
      <c r="AP2" s="162"/>
      <c r="AQ2" s="128" t="str">
        <f>変更履歴!BA2</f>
        <v>JBS福田</v>
      </c>
      <c r="AR2" s="129"/>
      <c r="AS2" s="129"/>
      <c r="AT2" s="129"/>
      <c r="AU2" s="129"/>
      <c r="AV2" s="130"/>
    </row>
    <row r="3" spans="1:82" ht="14.1" customHeight="1" thickBot="1">
      <c r="A3" s="187"/>
      <c r="B3" s="188"/>
      <c r="C3" s="188"/>
      <c r="D3" s="188"/>
      <c r="E3" s="189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1"/>
      <c r="V3" s="149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1"/>
      <c r="AJ3" s="131" t="s">
        <v>15</v>
      </c>
      <c r="AK3" s="132"/>
      <c r="AL3" s="133">
        <f ca="1">変更履歴!AT3</f>
        <v>45763</v>
      </c>
      <c r="AM3" s="134"/>
      <c r="AN3" s="134"/>
      <c r="AO3" s="134"/>
      <c r="AP3" s="135"/>
      <c r="AQ3" s="136" t="str">
        <f ca="1">変更履歴!BA3</f>
        <v>JBS福田</v>
      </c>
      <c r="AR3" s="137"/>
      <c r="AS3" s="137"/>
      <c r="AT3" s="137"/>
      <c r="AU3" s="137"/>
      <c r="AV3" s="138"/>
    </row>
    <row r="5" spans="1:82">
      <c r="A5" s="2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</row>
    <row r="6" spans="1:82" s="11" customFormat="1">
      <c r="A6" s="38" t="e">
        <f ca="1">RIGHT(CELL("filename",A1),LEN(CELL("filename",A1))-FIND("]",CELL("filename",A1)))</f>
        <v>#VALUE!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40"/>
    </row>
    <row r="7" spans="1:82" s="11" customFormat="1">
      <c r="A7" s="32"/>
      <c r="BM7" s="13"/>
    </row>
    <row r="8" spans="1:82" s="11" customFormat="1" ht="17.25" customHeight="1">
      <c r="A8" s="32"/>
      <c r="B8" s="172" t="s">
        <v>229</v>
      </c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4"/>
      <c r="P8" s="172" t="s">
        <v>104</v>
      </c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4"/>
      <c r="AD8" s="181" t="s">
        <v>54</v>
      </c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3"/>
      <c r="AR8" s="193" t="s">
        <v>72</v>
      </c>
      <c r="AS8" s="193"/>
      <c r="AT8" s="193"/>
      <c r="AU8" s="193"/>
      <c r="AV8" s="193"/>
      <c r="AW8" s="193"/>
      <c r="AX8" s="193"/>
      <c r="AY8" s="193"/>
      <c r="AZ8" s="193"/>
      <c r="BA8" s="193"/>
      <c r="BB8" s="193"/>
      <c r="BC8" s="193"/>
      <c r="BD8" s="193"/>
      <c r="BE8" s="193"/>
      <c r="BF8" s="193"/>
      <c r="BG8" s="193"/>
      <c r="BH8" s="192" t="s">
        <v>74</v>
      </c>
      <c r="BI8" s="193"/>
      <c r="BJ8" s="193"/>
      <c r="BK8" s="193"/>
      <c r="BL8" s="193"/>
      <c r="BM8" s="13"/>
      <c r="BO8" s="201" t="s">
        <v>80</v>
      </c>
      <c r="BP8" s="202"/>
      <c r="BQ8" s="202"/>
      <c r="BR8" s="202"/>
      <c r="BS8" s="204" t="s">
        <v>81</v>
      </c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6"/>
    </row>
    <row r="9" spans="1:82" s="11" customFormat="1" ht="13.5" customHeight="1">
      <c r="A9" s="32"/>
      <c r="B9" s="172"/>
      <c r="C9" s="173"/>
      <c r="D9" s="173"/>
      <c r="E9" s="173"/>
      <c r="F9" s="173"/>
      <c r="G9" s="173"/>
      <c r="H9" s="174"/>
      <c r="I9" s="172"/>
      <c r="J9" s="173"/>
      <c r="K9" s="173"/>
      <c r="L9" s="173"/>
      <c r="M9" s="173"/>
      <c r="N9" s="173"/>
      <c r="O9" s="174"/>
      <c r="P9" s="172" t="s">
        <v>60</v>
      </c>
      <c r="Q9" s="173"/>
      <c r="R9" s="173"/>
      <c r="S9" s="173"/>
      <c r="T9" s="173"/>
      <c r="U9" s="173"/>
      <c r="V9" s="174"/>
      <c r="W9" s="172" t="s">
        <v>61</v>
      </c>
      <c r="X9" s="173"/>
      <c r="Y9" s="173"/>
      <c r="Z9" s="173"/>
      <c r="AA9" s="173"/>
      <c r="AB9" s="173"/>
      <c r="AC9" s="174"/>
      <c r="AD9" s="181" t="s">
        <v>69</v>
      </c>
      <c r="AE9" s="182"/>
      <c r="AF9" s="182"/>
      <c r="AG9" s="182"/>
      <c r="AH9" s="182"/>
      <c r="AI9" s="182"/>
      <c r="AJ9" s="183"/>
      <c r="AK9" s="181" t="s">
        <v>71</v>
      </c>
      <c r="AL9" s="182"/>
      <c r="AM9" s="182"/>
      <c r="AN9" s="182"/>
      <c r="AO9" s="182"/>
      <c r="AP9" s="182"/>
      <c r="AQ9" s="18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3"/>
      <c r="BO9" s="203"/>
      <c r="BP9" s="203"/>
      <c r="BQ9" s="203"/>
      <c r="BR9" s="203"/>
      <c r="BS9" s="207"/>
      <c r="BT9" s="208"/>
      <c r="BU9" s="208"/>
      <c r="BV9" s="208"/>
      <c r="BW9" s="208"/>
      <c r="BX9" s="208"/>
      <c r="BY9" s="208"/>
      <c r="BZ9" s="208"/>
      <c r="CA9" s="208"/>
      <c r="CB9" s="208"/>
      <c r="CC9" s="208"/>
      <c r="CD9" s="209"/>
    </row>
    <row r="10" spans="1:82" s="11" customFormat="1">
      <c r="A10" s="32"/>
      <c r="B10" s="35" t="s">
        <v>352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35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13"/>
      <c r="BO10" s="23"/>
      <c r="BP10" s="24"/>
      <c r="BQ10" s="24"/>
      <c r="BR10" s="24"/>
      <c r="BS10" s="23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5"/>
    </row>
    <row r="11" spans="1:82" s="11" customFormat="1">
      <c r="A11" s="32"/>
      <c r="B11" s="45"/>
      <c r="C11" s="43"/>
      <c r="D11" s="43"/>
      <c r="E11" s="43"/>
      <c r="F11" s="43"/>
      <c r="G11" s="43"/>
      <c r="H11" s="44"/>
      <c r="I11" s="43"/>
      <c r="J11" s="43"/>
      <c r="K11" s="43"/>
      <c r="L11" s="43"/>
      <c r="M11" s="43"/>
      <c r="N11" s="43"/>
      <c r="O11" s="43"/>
      <c r="P11" s="45"/>
      <c r="Q11" s="43"/>
      <c r="R11" s="43"/>
      <c r="S11" s="43"/>
      <c r="T11" s="43"/>
      <c r="U11" s="43"/>
      <c r="V11" s="44"/>
      <c r="W11" s="43"/>
      <c r="X11" s="43"/>
      <c r="Y11" s="43"/>
      <c r="Z11" s="43"/>
      <c r="AA11" s="43"/>
      <c r="AB11" s="43"/>
      <c r="AC11" s="43"/>
      <c r="AD11" s="45"/>
      <c r="AE11" s="43"/>
      <c r="AF11" s="43"/>
      <c r="AG11" s="43"/>
      <c r="AH11" s="43"/>
      <c r="AI11" s="43"/>
      <c r="AJ11" s="44"/>
      <c r="AK11" s="45"/>
      <c r="AL11" s="43"/>
      <c r="AM11" s="43"/>
      <c r="AN11" s="43"/>
      <c r="AO11" s="43"/>
      <c r="AP11" s="43"/>
      <c r="AQ11" s="44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5"/>
      <c r="BI11" s="43"/>
      <c r="BJ11" s="43"/>
      <c r="BK11" s="43"/>
      <c r="BL11" s="44"/>
      <c r="BM11" s="13"/>
      <c r="BO11" s="26"/>
      <c r="BS11" s="26"/>
      <c r="CD11" s="27"/>
    </row>
    <row r="12" spans="1:82" s="11" customFormat="1">
      <c r="A12" s="32"/>
      <c r="B12" s="33"/>
      <c r="C12" s="18"/>
      <c r="D12" s="18"/>
      <c r="E12" s="18"/>
      <c r="F12" s="18"/>
      <c r="G12" s="18"/>
      <c r="H12" s="17"/>
      <c r="I12" s="18"/>
      <c r="J12" s="18"/>
      <c r="K12" s="18"/>
      <c r="L12" s="18"/>
      <c r="M12" s="18"/>
      <c r="N12" s="18"/>
      <c r="O12" s="18"/>
      <c r="P12" s="33"/>
      <c r="Q12" s="18"/>
      <c r="R12" s="18"/>
      <c r="S12" s="18"/>
      <c r="T12" s="18"/>
      <c r="U12" s="18"/>
      <c r="V12" s="17"/>
      <c r="W12" s="18"/>
      <c r="X12" s="18"/>
      <c r="Y12" s="18"/>
      <c r="Z12" s="18"/>
      <c r="AA12" s="18"/>
      <c r="AB12" s="18"/>
      <c r="AC12" s="18"/>
      <c r="AD12" s="33"/>
      <c r="AE12" s="18"/>
      <c r="AF12" s="18"/>
      <c r="AG12" s="18"/>
      <c r="AH12" s="18"/>
      <c r="AI12" s="18"/>
      <c r="AJ12" s="17"/>
      <c r="AK12" s="33"/>
      <c r="AL12" s="18"/>
      <c r="AM12" s="18"/>
      <c r="AN12" s="18"/>
      <c r="AO12" s="18"/>
      <c r="AP12" s="18"/>
      <c r="AQ12" s="17"/>
      <c r="AR12" s="48"/>
      <c r="AS12" s="47" t="s">
        <v>231</v>
      </c>
      <c r="AT12" s="47" t="s">
        <v>329</v>
      </c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9" t="s">
        <v>147</v>
      </c>
      <c r="BI12" s="48"/>
      <c r="BJ12" s="48"/>
      <c r="BK12" s="48"/>
      <c r="BL12" s="52"/>
      <c r="BM12" s="13"/>
      <c r="BO12" s="26"/>
      <c r="BS12" s="26"/>
      <c r="CD12" s="27"/>
    </row>
    <row r="13" spans="1:82" s="11" customFormat="1">
      <c r="A13" s="32"/>
      <c r="B13" s="33"/>
      <c r="C13" s="18"/>
      <c r="D13" s="18"/>
      <c r="E13" s="18"/>
      <c r="F13" s="18"/>
      <c r="G13" s="18"/>
      <c r="H13" s="17"/>
      <c r="I13" s="18"/>
      <c r="J13" s="18"/>
      <c r="K13" s="18"/>
      <c r="L13" s="18"/>
      <c r="M13" s="18"/>
      <c r="N13" s="18"/>
      <c r="O13" s="18"/>
      <c r="P13" s="33"/>
      <c r="Q13" s="18"/>
      <c r="R13" s="18"/>
      <c r="S13" s="18"/>
      <c r="T13" s="18"/>
      <c r="U13" s="18"/>
      <c r="V13" s="17"/>
      <c r="W13" s="18"/>
      <c r="X13" s="18"/>
      <c r="Y13" s="18"/>
      <c r="Z13" s="18"/>
      <c r="AA13" s="18"/>
      <c r="AB13" s="18"/>
      <c r="AC13" s="18"/>
      <c r="AD13" s="33"/>
      <c r="AE13" s="18"/>
      <c r="AF13" s="18"/>
      <c r="AG13" s="18"/>
      <c r="AH13" s="18"/>
      <c r="AI13" s="18"/>
      <c r="AJ13" s="17"/>
      <c r="AK13" s="33"/>
      <c r="AL13" s="18"/>
      <c r="AM13" s="18"/>
      <c r="AN13" s="18"/>
      <c r="AO13" s="18"/>
      <c r="AP13" s="18"/>
      <c r="AQ13" s="17"/>
      <c r="AR13" s="48"/>
      <c r="AS13" s="47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51" t="s">
        <v>189</v>
      </c>
      <c r="BI13" s="48"/>
      <c r="BJ13" s="48"/>
      <c r="BK13" s="48"/>
      <c r="BL13" s="52"/>
      <c r="BM13" s="13"/>
      <c r="BO13" s="26"/>
      <c r="BS13" s="26"/>
      <c r="CD13" s="27"/>
    </row>
    <row r="14" spans="1:82" s="11" customFormat="1">
      <c r="A14" s="32"/>
      <c r="B14" s="33"/>
      <c r="C14" s="18"/>
      <c r="D14" s="18"/>
      <c r="E14" s="18"/>
      <c r="F14" s="18"/>
      <c r="G14" s="18"/>
      <c r="H14" s="17"/>
      <c r="I14" s="18"/>
      <c r="J14" s="18"/>
      <c r="K14" s="18"/>
      <c r="L14" s="18"/>
      <c r="M14" s="18"/>
      <c r="N14" s="18"/>
      <c r="O14" s="18"/>
      <c r="P14" s="33"/>
      <c r="Q14" s="18"/>
      <c r="R14" s="18"/>
      <c r="S14" s="18"/>
      <c r="T14" s="18"/>
      <c r="U14" s="18"/>
      <c r="V14" s="17"/>
      <c r="W14" s="18"/>
      <c r="X14" s="18"/>
      <c r="Y14" s="18"/>
      <c r="Z14" s="18"/>
      <c r="AA14" s="18"/>
      <c r="AB14" s="18"/>
      <c r="AC14" s="18"/>
      <c r="AD14" s="33"/>
      <c r="AE14" s="18"/>
      <c r="AF14" s="18"/>
      <c r="AG14" s="18"/>
      <c r="AH14" s="18"/>
      <c r="AI14" s="18"/>
      <c r="AJ14" s="17"/>
      <c r="AK14" s="33"/>
      <c r="AL14" s="18"/>
      <c r="AM14" s="18"/>
      <c r="AN14" s="18"/>
      <c r="AO14" s="18"/>
      <c r="AP14" s="18"/>
      <c r="AQ14" s="17"/>
      <c r="AR14" s="18"/>
      <c r="AS14" s="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33"/>
      <c r="BI14" s="18"/>
      <c r="BJ14" s="18"/>
      <c r="BK14" s="18"/>
      <c r="BL14" s="17"/>
      <c r="BM14" s="13"/>
      <c r="BO14" s="26"/>
      <c r="BS14" s="26"/>
      <c r="CD14" s="27"/>
    </row>
    <row r="15" spans="1:82" s="11" customFormat="1">
      <c r="A15" s="32"/>
      <c r="B15" s="33"/>
      <c r="C15" s="18"/>
      <c r="D15" s="18"/>
      <c r="E15" s="18"/>
      <c r="F15" s="18"/>
      <c r="G15" s="18"/>
      <c r="H15" s="17"/>
      <c r="I15" s="18"/>
      <c r="J15" s="18"/>
      <c r="K15" s="18"/>
      <c r="L15" s="18"/>
      <c r="M15" s="18"/>
      <c r="N15" s="18"/>
      <c r="O15" s="18"/>
      <c r="P15" s="33"/>
      <c r="Q15" s="18"/>
      <c r="R15" s="18"/>
      <c r="S15" s="18"/>
      <c r="T15" s="18"/>
      <c r="U15" s="18"/>
      <c r="V15" s="17"/>
      <c r="W15" s="18"/>
      <c r="X15" s="18"/>
      <c r="Y15" s="18"/>
      <c r="Z15" s="18"/>
      <c r="AA15" s="18"/>
      <c r="AB15" s="18"/>
      <c r="AC15" s="18"/>
      <c r="AD15" s="33"/>
      <c r="AE15" s="18"/>
      <c r="AF15" s="18"/>
      <c r="AG15" s="18"/>
      <c r="AH15" s="18"/>
      <c r="AI15" s="18"/>
      <c r="AJ15" s="17"/>
      <c r="AK15" s="33"/>
      <c r="AL15" s="18"/>
      <c r="AM15" s="18"/>
      <c r="AN15" s="18"/>
      <c r="AO15" s="18"/>
      <c r="AP15" s="18"/>
      <c r="AQ15" s="17"/>
      <c r="AR15" s="18"/>
      <c r="AS15" s="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33"/>
      <c r="BI15" s="18"/>
      <c r="BJ15" s="18"/>
      <c r="BK15" s="18"/>
      <c r="BL15" s="17"/>
      <c r="BM15" s="13"/>
      <c r="BO15" s="26"/>
      <c r="BS15" s="26"/>
      <c r="CD15" s="27"/>
    </row>
    <row r="16" spans="1:82" s="11" customFormat="1">
      <c r="A16" s="32"/>
      <c r="B16" s="33"/>
      <c r="C16" s="18"/>
      <c r="D16" s="18"/>
      <c r="E16" s="18"/>
      <c r="F16" s="18"/>
      <c r="G16" s="18"/>
      <c r="H16" s="17"/>
      <c r="I16" s="18"/>
      <c r="J16" s="18"/>
      <c r="K16" s="18"/>
      <c r="L16" s="18"/>
      <c r="M16" s="18"/>
      <c r="N16" s="18"/>
      <c r="O16" s="18"/>
      <c r="P16" s="33"/>
      <c r="Q16" s="18"/>
      <c r="R16" s="18"/>
      <c r="S16" s="18"/>
      <c r="T16" s="18"/>
      <c r="U16" s="18"/>
      <c r="V16" s="17"/>
      <c r="W16" s="18"/>
      <c r="X16" s="18"/>
      <c r="Y16" s="18"/>
      <c r="Z16" s="18"/>
      <c r="AA16" s="18"/>
      <c r="AB16" s="18"/>
      <c r="AC16" s="18"/>
      <c r="AD16" s="33"/>
      <c r="AE16" s="18"/>
      <c r="AF16" s="18"/>
      <c r="AG16" s="18"/>
      <c r="AH16" s="18"/>
      <c r="AI16" s="18"/>
      <c r="AJ16" s="17"/>
      <c r="AK16" s="33"/>
      <c r="AL16" s="18"/>
      <c r="AM16" s="18"/>
      <c r="AN16" s="18"/>
      <c r="AO16" s="18"/>
      <c r="AP16" s="18"/>
      <c r="AQ16" s="17"/>
      <c r="AR16" s="18"/>
      <c r="AS16" s="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33"/>
      <c r="BI16" s="18"/>
      <c r="BJ16" s="18"/>
      <c r="BK16" s="18"/>
      <c r="BL16" s="17"/>
      <c r="BM16" s="13"/>
      <c r="BO16" s="26"/>
      <c r="BS16" s="26"/>
      <c r="CD16" s="27"/>
    </row>
    <row r="17" spans="1:82" s="11" customFormat="1">
      <c r="A17" s="32"/>
      <c r="B17" s="33"/>
      <c r="C17" s="18"/>
      <c r="D17" s="18"/>
      <c r="E17" s="18"/>
      <c r="F17" s="18"/>
      <c r="G17" s="18"/>
      <c r="H17" s="17"/>
      <c r="I17" s="18"/>
      <c r="J17" s="18"/>
      <c r="K17" s="18"/>
      <c r="L17" s="18"/>
      <c r="M17" s="18"/>
      <c r="N17" s="18"/>
      <c r="O17" s="18"/>
      <c r="P17" s="33"/>
      <c r="Q17" s="18"/>
      <c r="R17" s="18"/>
      <c r="S17" s="18"/>
      <c r="T17" s="18"/>
      <c r="U17" s="18"/>
      <c r="V17" s="17"/>
      <c r="W17" s="18"/>
      <c r="X17" s="18"/>
      <c r="Y17" s="18"/>
      <c r="Z17" s="18"/>
      <c r="AA17" s="18"/>
      <c r="AB17" s="18"/>
      <c r="AC17" s="18"/>
      <c r="AD17" s="33"/>
      <c r="AE17" s="18"/>
      <c r="AF17" s="18"/>
      <c r="AG17" s="18"/>
      <c r="AH17" s="18"/>
      <c r="AI17" s="18"/>
      <c r="AJ17" s="17"/>
      <c r="AK17" s="33"/>
      <c r="AL17" s="18"/>
      <c r="AM17" s="18"/>
      <c r="AN17" s="18"/>
      <c r="AO17" s="18"/>
      <c r="AP17" s="18"/>
      <c r="AQ17" s="17"/>
      <c r="AR17" s="18"/>
      <c r="AS17" s="8"/>
      <c r="AT17" s="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46"/>
      <c r="BI17" s="18"/>
      <c r="BJ17" s="18"/>
      <c r="BK17" s="18"/>
      <c r="BL17" s="17"/>
      <c r="BM17" s="13"/>
      <c r="BO17" s="26"/>
      <c r="BS17" s="26"/>
      <c r="CD17" s="27"/>
    </row>
    <row r="18" spans="1:82" s="11" customFormat="1">
      <c r="A18" s="32"/>
      <c r="B18" s="33"/>
      <c r="C18" s="18"/>
      <c r="D18" s="18"/>
      <c r="E18" s="18"/>
      <c r="F18" s="18"/>
      <c r="G18" s="18"/>
      <c r="H18" s="17"/>
      <c r="I18" s="18"/>
      <c r="J18" s="18"/>
      <c r="K18" s="18"/>
      <c r="L18" s="18"/>
      <c r="M18" s="18"/>
      <c r="N18" s="18"/>
      <c r="O18" s="18"/>
      <c r="P18" s="33"/>
      <c r="Q18" s="18"/>
      <c r="R18" s="18"/>
      <c r="S18" s="18"/>
      <c r="T18" s="18"/>
      <c r="U18" s="18"/>
      <c r="V18" s="17"/>
      <c r="W18" s="18"/>
      <c r="X18" s="18"/>
      <c r="Y18" s="18"/>
      <c r="Z18" s="18"/>
      <c r="AA18" s="18"/>
      <c r="AB18" s="18"/>
      <c r="AC18" s="18"/>
      <c r="AD18" s="33"/>
      <c r="AE18" s="18"/>
      <c r="AF18" s="18"/>
      <c r="AG18" s="18"/>
      <c r="AH18" s="18"/>
      <c r="AI18" s="18"/>
      <c r="AJ18" s="17"/>
      <c r="AK18" s="33"/>
      <c r="AL18" s="18"/>
      <c r="AM18" s="18"/>
      <c r="AN18" s="18"/>
      <c r="AO18" s="18"/>
      <c r="AP18" s="18"/>
      <c r="AQ18" s="17"/>
      <c r="AR18" s="18"/>
      <c r="AS18" s="8"/>
      <c r="AT18" s="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33"/>
      <c r="BI18" s="18"/>
      <c r="BJ18" s="18"/>
      <c r="BK18" s="18"/>
      <c r="BL18" s="17"/>
      <c r="BM18" s="13"/>
      <c r="BO18" s="26"/>
      <c r="BS18" s="26"/>
      <c r="CD18" s="27"/>
    </row>
    <row r="19" spans="1:82" s="11" customFormat="1">
      <c r="A19" s="32"/>
      <c r="B19" s="33"/>
      <c r="C19" s="18"/>
      <c r="D19" s="18"/>
      <c r="E19" s="18"/>
      <c r="F19" s="18"/>
      <c r="G19" s="18"/>
      <c r="H19" s="17"/>
      <c r="I19" s="18"/>
      <c r="J19" s="18"/>
      <c r="K19" s="18"/>
      <c r="L19" s="18"/>
      <c r="M19" s="18"/>
      <c r="N19" s="18"/>
      <c r="O19" s="18"/>
      <c r="P19" s="33"/>
      <c r="Q19" s="18"/>
      <c r="R19" s="18"/>
      <c r="S19" s="18"/>
      <c r="T19" s="18"/>
      <c r="U19" s="18"/>
      <c r="V19" s="17"/>
      <c r="W19" s="18"/>
      <c r="X19" s="18"/>
      <c r="Y19" s="18"/>
      <c r="Z19" s="18"/>
      <c r="AA19" s="18"/>
      <c r="AB19" s="18"/>
      <c r="AC19" s="18"/>
      <c r="AD19" s="33"/>
      <c r="AE19" s="18"/>
      <c r="AF19" s="18"/>
      <c r="AG19" s="18"/>
      <c r="AH19" s="18"/>
      <c r="AI19" s="18"/>
      <c r="AJ19" s="17"/>
      <c r="AK19" s="33"/>
      <c r="AL19" s="18"/>
      <c r="AM19" s="18"/>
      <c r="AN19" s="18"/>
      <c r="AO19" s="18"/>
      <c r="AP19" s="18"/>
      <c r="AQ19" s="17"/>
      <c r="AR19" s="18"/>
      <c r="AS19" s="8"/>
      <c r="AT19" s="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33"/>
      <c r="BI19" s="18"/>
      <c r="BJ19" s="18"/>
      <c r="BK19" s="18"/>
      <c r="BL19" s="17"/>
      <c r="BM19" s="13"/>
      <c r="BO19" s="26"/>
      <c r="BS19" s="26"/>
      <c r="CD19" s="27"/>
    </row>
    <row r="20" spans="1:82" s="11" customFormat="1">
      <c r="A20" s="32"/>
      <c r="B20" s="33"/>
      <c r="C20" s="18"/>
      <c r="D20" s="18"/>
      <c r="E20" s="18"/>
      <c r="F20" s="18"/>
      <c r="G20" s="18"/>
      <c r="H20" s="17"/>
      <c r="I20" s="18"/>
      <c r="J20" s="18"/>
      <c r="K20" s="18"/>
      <c r="L20" s="18"/>
      <c r="M20" s="18"/>
      <c r="N20" s="18"/>
      <c r="O20" s="18"/>
      <c r="P20" s="33"/>
      <c r="Q20" s="18"/>
      <c r="R20" s="18"/>
      <c r="S20" s="18"/>
      <c r="T20" s="18"/>
      <c r="U20" s="18"/>
      <c r="V20" s="17"/>
      <c r="W20" s="18"/>
      <c r="X20" s="18"/>
      <c r="Y20" s="18"/>
      <c r="Z20" s="18"/>
      <c r="AA20" s="18"/>
      <c r="AB20" s="18"/>
      <c r="AC20" s="18"/>
      <c r="AD20" s="33"/>
      <c r="AE20" s="18"/>
      <c r="AF20" s="18"/>
      <c r="AG20" s="18"/>
      <c r="AH20" s="18"/>
      <c r="AI20" s="18"/>
      <c r="AJ20" s="17"/>
      <c r="AK20" s="33"/>
      <c r="AL20" s="18"/>
      <c r="AM20" s="18"/>
      <c r="AN20" s="18"/>
      <c r="AO20" s="18"/>
      <c r="AP20" s="18"/>
      <c r="AQ20" s="17"/>
      <c r="AR20" s="18"/>
      <c r="AS20" s="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33"/>
      <c r="BI20" s="18"/>
      <c r="BJ20" s="18"/>
      <c r="BK20" s="18"/>
      <c r="BL20" s="17"/>
      <c r="BM20" s="13"/>
      <c r="BO20" s="26"/>
      <c r="BS20" s="26"/>
      <c r="CD20" s="27"/>
    </row>
    <row r="21" spans="1:82" s="11" customFormat="1">
      <c r="A21" s="32"/>
      <c r="B21" s="33"/>
      <c r="C21" s="18"/>
      <c r="D21" s="18"/>
      <c r="E21" s="18"/>
      <c r="F21" s="18"/>
      <c r="G21" s="18"/>
      <c r="H21" s="17"/>
      <c r="I21" s="18"/>
      <c r="J21" s="18"/>
      <c r="K21" s="18"/>
      <c r="L21" s="18"/>
      <c r="M21" s="18"/>
      <c r="N21" s="18"/>
      <c r="O21" s="18"/>
      <c r="P21" s="33"/>
      <c r="Q21" s="18"/>
      <c r="R21" s="18"/>
      <c r="S21" s="18"/>
      <c r="T21" s="18"/>
      <c r="U21" s="18"/>
      <c r="V21" s="17"/>
      <c r="W21" s="18"/>
      <c r="X21" s="18"/>
      <c r="Y21" s="18"/>
      <c r="Z21" s="18"/>
      <c r="AA21" s="18"/>
      <c r="AB21" s="18"/>
      <c r="AC21" s="18"/>
      <c r="AD21" s="33"/>
      <c r="AE21" s="18"/>
      <c r="AF21" s="18"/>
      <c r="AG21" s="18"/>
      <c r="AH21" s="18"/>
      <c r="AI21" s="18"/>
      <c r="AJ21" s="17"/>
      <c r="AK21" s="33"/>
      <c r="AL21" s="18"/>
      <c r="AM21" s="18"/>
      <c r="AN21" s="18"/>
      <c r="AO21" s="18"/>
      <c r="AP21" s="18"/>
      <c r="AQ21" s="17"/>
      <c r="AR21" s="18"/>
      <c r="AS21" s="19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33"/>
      <c r="BI21" s="18"/>
      <c r="BJ21" s="18"/>
      <c r="BK21" s="18"/>
      <c r="BL21" s="17"/>
      <c r="BM21" s="13"/>
      <c r="BO21" s="26"/>
      <c r="BS21" s="26"/>
      <c r="CD21" s="27"/>
    </row>
    <row r="22" spans="1:82" s="11" customFormat="1">
      <c r="A22" s="32"/>
      <c r="B22" s="33"/>
      <c r="C22" s="18"/>
      <c r="D22" s="18"/>
      <c r="E22" s="18"/>
      <c r="F22" s="18"/>
      <c r="G22" s="18"/>
      <c r="H22" s="17"/>
      <c r="I22" s="18"/>
      <c r="J22" s="18"/>
      <c r="K22" s="18"/>
      <c r="L22" s="18"/>
      <c r="M22" s="18"/>
      <c r="N22" s="18"/>
      <c r="O22" s="18"/>
      <c r="P22" s="33"/>
      <c r="Q22" s="18"/>
      <c r="R22" s="18"/>
      <c r="S22" s="18"/>
      <c r="T22" s="18"/>
      <c r="U22" s="18"/>
      <c r="V22" s="17"/>
      <c r="W22" s="18"/>
      <c r="X22" s="18"/>
      <c r="Y22" s="18"/>
      <c r="Z22" s="18"/>
      <c r="AA22" s="18"/>
      <c r="AB22" s="18"/>
      <c r="AC22" s="18"/>
      <c r="AD22" s="33"/>
      <c r="AE22" s="18"/>
      <c r="AF22" s="18"/>
      <c r="AG22" s="18"/>
      <c r="AH22" s="18"/>
      <c r="AI22" s="18"/>
      <c r="AJ22" s="17"/>
      <c r="AK22" s="33"/>
      <c r="AL22" s="18"/>
      <c r="AM22" s="18"/>
      <c r="AN22" s="18"/>
      <c r="AO22" s="18"/>
      <c r="AP22" s="18"/>
      <c r="AQ22" s="17"/>
      <c r="AR22" s="18"/>
      <c r="AS22" s="16" t="s">
        <v>353</v>
      </c>
      <c r="AT22" s="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33"/>
      <c r="BI22" s="18"/>
      <c r="BJ22" s="18"/>
      <c r="BK22" s="18"/>
      <c r="BL22" s="17"/>
      <c r="BM22" s="13"/>
      <c r="BO22" s="26"/>
      <c r="BS22" s="26"/>
      <c r="CD22" s="27"/>
    </row>
    <row r="23" spans="1:82" s="11" customFormat="1">
      <c r="A23" s="32"/>
      <c r="B23" s="33"/>
      <c r="C23" s="18"/>
      <c r="D23" s="18"/>
      <c r="E23" s="18"/>
      <c r="F23" s="18"/>
      <c r="G23" s="18"/>
      <c r="H23" s="17"/>
      <c r="I23" s="18"/>
      <c r="J23" s="18"/>
      <c r="K23" s="18"/>
      <c r="L23" s="18"/>
      <c r="M23" s="18"/>
      <c r="N23" s="18"/>
      <c r="O23" s="18"/>
      <c r="P23" s="33"/>
      <c r="Q23" s="18"/>
      <c r="R23" s="18"/>
      <c r="S23" s="18"/>
      <c r="T23" s="18"/>
      <c r="U23" s="18"/>
      <c r="V23" s="17"/>
      <c r="W23" s="18"/>
      <c r="X23" s="18"/>
      <c r="Y23" s="18"/>
      <c r="Z23" s="18"/>
      <c r="AA23" s="18"/>
      <c r="AB23" s="18"/>
      <c r="AC23" s="18"/>
      <c r="AD23" s="33"/>
      <c r="AE23" s="18"/>
      <c r="AF23" s="18"/>
      <c r="AG23" s="18"/>
      <c r="AH23" s="18"/>
      <c r="AI23" s="18"/>
      <c r="AJ23" s="17"/>
      <c r="AK23" s="33"/>
      <c r="AL23" s="18"/>
      <c r="AM23" s="18"/>
      <c r="AN23" s="18"/>
      <c r="AO23" s="18"/>
      <c r="AP23" s="18"/>
      <c r="AQ23" s="17"/>
      <c r="AR23" s="18"/>
      <c r="AS23" s="8"/>
      <c r="AT23" s="8" t="s">
        <v>354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33"/>
      <c r="BI23" s="18"/>
      <c r="BJ23" s="18"/>
      <c r="BK23" s="18"/>
      <c r="BL23" s="17"/>
      <c r="BM23" s="13"/>
      <c r="BO23" s="26"/>
      <c r="BS23" s="26"/>
      <c r="CD23" s="27"/>
    </row>
    <row r="24" spans="1:82" s="11" customFormat="1">
      <c r="A24" s="32"/>
      <c r="B24" s="33"/>
      <c r="C24" s="18"/>
      <c r="D24" s="18"/>
      <c r="E24" s="18"/>
      <c r="F24" s="18"/>
      <c r="G24" s="18"/>
      <c r="H24" s="17"/>
      <c r="I24" s="18"/>
      <c r="J24" s="18"/>
      <c r="K24" s="18"/>
      <c r="L24" s="18"/>
      <c r="M24" s="18"/>
      <c r="N24" s="18"/>
      <c r="O24" s="18"/>
      <c r="P24" s="33"/>
      <c r="Q24" s="18"/>
      <c r="R24" s="18"/>
      <c r="S24" s="18"/>
      <c r="T24" s="18"/>
      <c r="U24" s="18"/>
      <c r="V24" s="17"/>
      <c r="W24" s="18"/>
      <c r="X24" s="18"/>
      <c r="Y24" s="18"/>
      <c r="Z24" s="18"/>
      <c r="AA24" s="18"/>
      <c r="AB24" s="18"/>
      <c r="AC24" s="18"/>
      <c r="AD24" s="33"/>
      <c r="AE24" s="18"/>
      <c r="AF24" s="18"/>
      <c r="AG24" s="18"/>
      <c r="AH24" s="18"/>
      <c r="AI24" s="18"/>
      <c r="AJ24" s="17"/>
      <c r="AK24" s="33"/>
      <c r="AL24" s="18"/>
      <c r="AM24" s="18"/>
      <c r="AN24" s="18"/>
      <c r="AO24" s="18"/>
      <c r="AP24" s="18"/>
      <c r="AQ24" s="17"/>
      <c r="AR24" s="18"/>
      <c r="AS24" s="8"/>
      <c r="AT24" s="8" t="s">
        <v>355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46"/>
      <c r="BI24" s="18"/>
      <c r="BJ24" s="18"/>
      <c r="BK24" s="18"/>
      <c r="BL24" s="17"/>
      <c r="BM24" s="13"/>
      <c r="BO24" s="26"/>
      <c r="BS24" s="26"/>
      <c r="CD24" s="27"/>
    </row>
    <row r="25" spans="1:82" s="11" customFormat="1">
      <c r="A25" s="32"/>
      <c r="B25" s="33"/>
      <c r="C25" s="18"/>
      <c r="D25" s="18"/>
      <c r="E25" s="18"/>
      <c r="F25" s="18"/>
      <c r="G25" s="18"/>
      <c r="H25" s="17"/>
      <c r="I25" s="18"/>
      <c r="J25" s="18"/>
      <c r="K25" s="18"/>
      <c r="L25" s="18"/>
      <c r="M25" s="18"/>
      <c r="N25" s="18"/>
      <c r="O25" s="18"/>
      <c r="P25" s="33"/>
      <c r="Q25" s="18"/>
      <c r="R25" s="18"/>
      <c r="S25" s="18"/>
      <c r="T25" s="18"/>
      <c r="U25" s="18"/>
      <c r="V25" s="17"/>
      <c r="W25" s="18"/>
      <c r="X25" s="18"/>
      <c r="Y25" s="18"/>
      <c r="Z25" s="18"/>
      <c r="AA25" s="18"/>
      <c r="AB25" s="18"/>
      <c r="AC25" s="18"/>
      <c r="AD25" s="33"/>
      <c r="AE25" s="18"/>
      <c r="AF25" s="18"/>
      <c r="AG25" s="18"/>
      <c r="AH25" s="18"/>
      <c r="AI25" s="18"/>
      <c r="AJ25" s="17"/>
      <c r="AK25" s="33"/>
      <c r="AL25" s="18"/>
      <c r="AM25" s="18"/>
      <c r="AN25" s="18"/>
      <c r="AO25" s="18"/>
      <c r="AP25" s="18"/>
      <c r="AQ25" s="17"/>
      <c r="AR25" s="18"/>
      <c r="AS25" s="8"/>
      <c r="AT25" s="8" t="s">
        <v>337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46"/>
      <c r="BI25" s="18"/>
      <c r="BJ25" s="18"/>
      <c r="BK25" s="18"/>
      <c r="BL25" s="17"/>
      <c r="BM25" s="13"/>
      <c r="BO25" s="26"/>
      <c r="BS25" s="26"/>
      <c r="CD25" s="27"/>
    </row>
    <row r="26" spans="1:82" s="11" customFormat="1">
      <c r="A26" s="32"/>
      <c r="B26" s="33"/>
      <c r="C26" s="18"/>
      <c r="D26" s="18"/>
      <c r="E26" s="18"/>
      <c r="F26" s="18"/>
      <c r="G26" s="18"/>
      <c r="H26" s="17"/>
      <c r="I26" s="18"/>
      <c r="J26" s="18"/>
      <c r="K26" s="18"/>
      <c r="L26" s="18"/>
      <c r="M26" s="18"/>
      <c r="N26" s="18"/>
      <c r="O26" s="18"/>
      <c r="P26" s="33"/>
      <c r="Q26" s="18"/>
      <c r="R26" s="18"/>
      <c r="S26" s="18"/>
      <c r="T26" s="18"/>
      <c r="U26" s="18"/>
      <c r="V26" s="17"/>
      <c r="W26" s="18"/>
      <c r="X26" s="18"/>
      <c r="Y26" s="18"/>
      <c r="Z26" s="18"/>
      <c r="AA26" s="18"/>
      <c r="AB26" s="18"/>
      <c r="AC26" s="18"/>
      <c r="AD26" s="33"/>
      <c r="AE26" s="18"/>
      <c r="AF26" s="18"/>
      <c r="AG26" s="18"/>
      <c r="AH26" s="18"/>
      <c r="AI26" s="18"/>
      <c r="AJ26" s="17"/>
      <c r="AK26" s="33"/>
      <c r="AL26" s="18"/>
      <c r="AM26" s="18"/>
      <c r="AN26" s="18"/>
      <c r="AO26" s="18"/>
      <c r="AP26" s="18"/>
      <c r="AQ26" s="17"/>
      <c r="AR26" s="18"/>
      <c r="AS26" s="8"/>
      <c r="AT26" s="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46"/>
      <c r="BI26" s="18"/>
      <c r="BJ26" s="18"/>
      <c r="BK26" s="18"/>
      <c r="BL26" s="17"/>
      <c r="BM26" s="13"/>
      <c r="BO26" s="26"/>
      <c r="BS26" s="26"/>
      <c r="CD26" s="27"/>
    </row>
    <row r="27" spans="1:82" s="11" customFormat="1">
      <c r="A27" s="32"/>
      <c r="B27" s="33"/>
      <c r="C27" s="18"/>
      <c r="D27" s="18"/>
      <c r="E27" s="18"/>
      <c r="F27" s="18"/>
      <c r="G27" s="18"/>
      <c r="H27" s="17"/>
      <c r="I27" s="18"/>
      <c r="J27" s="18"/>
      <c r="K27" s="18"/>
      <c r="L27" s="18"/>
      <c r="M27" s="18"/>
      <c r="N27" s="18"/>
      <c r="O27" s="18"/>
      <c r="P27" s="33"/>
      <c r="Q27" s="18"/>
      <c r="R27" s="18"/>
      <c r="S27" s="18"/>
      <c r="T27" s="18"/>
      <c r="U27" s="18"/>
      <c r="V27" s="17"/>
      <c r="W27" s="18"/>
      <c r="X27" s="18"/>
      <c r="Y27" s="18"/>
      <c r="Z27" s="18"/>
      <c r="AA27" s="18"/>
      <c r="AB27" s="18"/>
      <c r="AC27" s="18"/>
      <c r="AD27" s="33"/>
      <c r="AE27" s="18"/>
      <c r="AF27" s="18"/>
      <c r="AG27" s="18"/>
      <c r="AH27" s="18"/>
      <c r="AI27" s="18"/>
      <c r="AJ27" s="17"/>
      <c r="AK27" s="33"/>
      <c r="AL27" s="18"/>
      <c r="AM27" s="18"/>
      <c r="AN27" s="18"/>
      <c r="AO27" s="18"/>
      <c r="AP27" s="18"/>
      <c r="AQ27" s="17"/>
      <c r="AR27" s="18"/>
      <c r="AS27" s="8"/>
      <c r="AT27" s="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33"/>
      <c r="BI27" s="18"/>
      <c r="BJ27" s="18"/>
      <c r="BK27" s="18"/>
      <c r="BL27" s="17"/>
      <c r="BM27" s="13"/>
      <c r="BO27" s="26"/>
      <c r="BS27" s="26"/>
      <c r="CD27" s="27"/>
    </row>
    <row r="28" spans="1:82" s="11" customFormat="1">
      <c r="A28" s="32"/>
      <c r="B28" s="33"/>
      <c r="C28" s="18"/>
      <c r="D28" s="18"/>
      <c r="E28" s="18"/>
      <c r="F28" s="18"/>
      <c r="G28" s="18"/>
      <c r="H28" s="17"/>
      <c r="I28" s="18"/>
      <c r="J28" s="18"/>
      <c r="K28" s="18"/>
      <c r="L28" s="18"/>
      <c r="M28" s="18"/>
      <c r="N28" s="18"/>
      <c r="O28" s="18"/>
      <c r="P28" s="33"/>
      <c r="Q28" s="18"/>
      <c r="R28" s="18"/>
      <c r="S28" s="18"/>
      <c r="T28" s="18"/>
      <c r="U28" s="18"/>
      <c r="V28" s="17"/>
      <c r="W28" s="18"/>
      <c r="X28" s="18"/>
      <c r="Y28" s="18"/>
      <c r="Z28" s="18"/>
      <c r="AA28" s="18"/>
      <c r="AB28" s="18"/>
      <c r="AC28" s="18"/>
      <c r="AD28" s="33"/>
      <c r="AE28" s="18"/>
      <c r="AF28" s="18"/>
      <c r="AG28" s="18"/>
      <c r="AH28" s="18"/>
      <c r="AI28" s="18"/>
      <c r="AJ28" s="17"/>
      <c r="AK28" s="33"/>
      <c r="AL28" s="18"/>
      <c r="AM28" s="18"/>
      <c r="AN28" s="18"/>
      <c r="AO28" s="18"/>
      <c r="AP28" s="18"/>
      <c r="AQ28" s="17"/>
      <c r="AR28" s="18"/>
      <c r="AS28" s="8"/>
      <c r="AT28" s="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33"/>
      <c r="BI28" s="18"/>
      <c r="BJ28" s="18"/>
      <c r="BK28" s="18"/>
      <c r="BL28" s="17"/>
      <c r="BM28" s="13"/>
      <c r="BO28" s="26"/>
      <c r="BS28" s="26"/>
      <c r="CD28" s="27"/>
    </row>
    <row r="29" spans="1:82" s="11" customFormat="1">
      <c r="A29" s="32"/>
      <c r="B29" s="33"/>
      <c r="C29" s="18"/>
      <c r="D29" s="18"/>
      <c r="E29" s="18"/>
      <c r="F29" s="18"/>
      <c r="G29" s="18"/>
      <c r="H29" s="17"/>
      <c r="I29" s="18"/>
      <c r="J29" s="18"/>
      <c r="K29" s="18"/>
      <c r="L29" s="18"/>
      <c r="M29" s="18"/>
      <c r="N29" s="18"/>
      <c r="O29" s="18"/>
      <c r="P29" s="33"/>
      <c r="Q29" s="18"/>
      <c r="R29" s="18"/>
      <c r="S29" s="18"/>
      <c r="T29" s="18"/>
      <c r="U29" s="18"/>
      <c r="V29" s="17"/>
      <c r="W29" s="18"/>
      <c r="X29" s="18"/>
      <c r="Y29" s="18"/>
      <c r="Z29" s="18"/>
      <c r="AA29" s="18"/>
      <c r="AB29" s="18"/>
      <c r="AC29" s="18"/>
      <c r="AD29" s="33"/>
      <c r="AE29" s="18"/>
      <c r="AF29" s="18"/>
      <c r="AG29" s="18"/>
      <c r="AH29" s="18"/>
      <c r="AI29" s="18"/>
      <c r="AJ29" s="17"/>
      <c r="AK29" s="33"/>
      <c r="AL29" s="18"/>
      <c r="AM29" s="18"/>
      <c r="AN29" s="18"/>
      <c r="AO29" s="18"/>
      <c r="AP29" s="18"/>
      <c r="AQ29" s="17"/>
      <c r="AR29" s="18"/>
      <c r="AS29" s="8"/>
      <c r="AT29" s="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33"/>
      <c r="BI29" s="18"/>
      <c r="BJ29" s="18"/>
      <c r="BK29" s="18"/>
      <c r="BL29" s="17"/>
      <c r="BM29" s="13"/>
      <c r="BO29" s="26"/>
      <c r="BS29" s="26"/>
      <c r="CD29" s="27"/>
    </row>
    <row r="30" spans="1:82" s="11" customFormat="1">
      <c r="A30" s="32"/>
      <c r="B30" s="33"/>
      <c r="C30" s="18"/>
      <c r="D30" s="18"/>
      <c r="E30" s="18"/>
      <c r="F30" s="18"/>
      <c r="G30" s="18"/>
      <c r="H30" s="17"/>
      <c r="I30" s="18"/>
      <c r="J30" s="18"/>
      <c r="K30" s="18"/>
      <c r="L30" s="18"/>
      <c r="M30" s="18"/>
      <c r="N30" s="18"/>
      <c r="O30" s="18"/>
      <c r="P30" s="33"/>
      <c r="Q30" s="18"/>
      <c r="R30" s="18"/>
      <c r="S30" s="18"/>
      <c r="T30" s="18"/>
      <c r="U30" s="18"/>
      <c r="V30" s="17"/>
      <c r="W30" s="18"/>
      <c r="X30" s="18"/>
      <c r="Y30" s="18"/>
      <c r="Z30" s="18"/>
      <c r="AA30" s="18"/>
      <c r="AB30" s="18"/>
      <c r="AC30" s="18"/>
      <c r="AD30" s="33"/>
      <c r="AE30" s="18"/>
      <c r="AF30" s="18"/>
      <c r="AG30" s="18"/>
      <c r="AH30" s="18"/>
      <c r="AI30" s="18"/>
      <c r="AJ30" s="17"/>
      <c r="AK30" s="33"/>
      <c r="AL30" s="18"/>
      <c r="AM30" s="18"/>
      <c r="AN30" s="18"/>
      <c r="AO30" s="18"/>
      <c r="AP30" s="18"/>
      <c r="AQ30" s="17"/>
      <c r="AR30" s="18"/>
      <c r="AS30" s="8"/>
      <c r="AT30" s="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33"/>
      <c r="BI30" s="18"/>
      <c r="BJ30" s="18"/>
      <c r="BK30" s="18"/>
      <c r="BL30" s="17"/>
      <c r="BM30" s="13"/>
      <c r="BO30" s="26"/>
      <c r="BS30" s="26"/>
      <c r="CD30" s="27"/>
    </row>
    <row r="31" spans="1:82" s="11" customFormat="1">
      <c r="A31" s="32"/>
      <c r="B31" s="33"/>
      <c r="C31" s="18"/>
      <c r="D31" s="18"/>
      <c r="E31" s="18"/>
      <c r="F31" s="18"/>
      <c r="G31" s="18"/>
      <c r="H31" s="17"/>
      <c r="I31" s="18"/>
      <c r="J31" s="18"/>
      <c r="K31" s="18"/>
      <c r="L31" s="18"/>
      <c r="M31" s="18"/>
      <c r="N31" s="18"/>
      <c r="O31" s="18"/>
      <c r="P31" s="33"/>
      <c r="Q31" s="18"/>
      <c r="R31" s="18"/>
      <c r="S31" s="18"/>
      <c r="T31" s="18"/>
      <c r="U31" s="18"/>
      <c r="V31" s="17"/>
      <c r="W31" s="18"/>
      <c r="X31" s="18"/>
      <c r="Y31" s="18"/>
      <c r="Z31" s="18"/>
      <c r="AA31" s="18"/>
      <c r="AB31" s="18"/>
      <c r="AC31" s="18"/>
      <c r="AD31" s="33"/>
      <c r="AE31" s="18"/>
      <c r="AF31" s="18"/>
      <c r="AG31" s="18"/>
      <c r="AH31" s="18"/>
      <c r="AI31" s="18"/>
      <c r="AJ31" s="17"/>
      <c r="AK31" s="33"/>
      <c r="AL31" s="18"/>
      <c r="AM31" s="18"/>
      <c r="AN31" s="18"/>
      <c r="AO31" s="18"/>
      <c r="AP31" s="18"/>
      <c r="AQ31" s="17"/>
      <c r="AR31" s="18"/>
      <c r="AS31" s="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33"/>
      <c r="BI31" s="18"/>
      <c r="BJ31" s="18"/>
      <c r="BK31" s="18"/>
      <c r="BL31" s="17"/>
      <c r="BM31" s="13"/>
      <c r="BO31" s="26"/>
      <c r="BS31" s="26"/>
      <c r="CD31" s="27"/>
    </row>
    <row r="32" spans="1:82" s="11" customFormat="1">
      <c r="A32" s="32"/>
      <c r="B32" s="33"/>
      <c r="C32" s="18"/>
      <c r="D32" s="18"/>
      <c r="E32" s="18"/>
      <c r="F32" s="18"/>
      <c r="G32" s="18"/>
      <c r="H32" s="17"/>
      <c r="I32" s="18"/>
      <c r="J32" s="18"/>
      <c r="K32" s="18"/>
      <c r="L32" s="18"/>
      <c r="M32" s="18"/>
      <c r="N32" s="18"/>
      <c r="O32" s="18"/>
      <c r="P32" s="33"/>
      <c r="Q32" s="18"/>
      <c r="R32" s="18"/>
      <c r="S32" s="18"/>
      <c r="T32" s="18"/>
      <c r="U32" s="18"/>
      <c r="V32" s="17"/>
      <c r="W32" s="18"/>
      <c r="X32" s="18"/>
      <c r="Y32" s="18"/>
      <c r="Z32" s="18"/>
      <c r="AA32" s="18"/>
      <c r="AB32" s="18"/>
      <c r="AC32" s="18"/>
      <c r="AD32" s="33"/>
      <c r="AE32" s="18"/>
      <c r="AF32" s="18"/>
      <c r="AG32" s="18"/>
      <c r="AH32" s="18"/>
      <c r="AI32" s="18"/>
      <c r="AJ32" s="17"/>
      <c r="AK32" s="33"/>
      <c r="AL32" s="18"/>
      <c r="AM32" s="18"/>
      <c r="AN32" s="18"/>
      <c r="AO32" s="18"/>
      <c r="AP32" s="18"/>
      <c r="AQ32" s="17"/>
      <c r="AR32" s="18"/>
      <c r="AS32" s="16" t="s">
        <v>356</v>
      </c>
      <c r="AT32" s="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33"/>
      <c r="BI32" s="18"/>
      <c r="BJ32" s="18"/>
      <c r="BK32" s="18"/>
      <c r="BL32" s="17"/>
      <c r="BM32" s="13"/>
      <c r="BO32" s="26"/>
      <c r="BS32" s="26"/>
      <c r="CD32" s="27"/>
    </row>
    <row r="33" spans="1:82" s="11" customFormat="1">
      <c r="A33" s="32"/>
      <c r="B33" s="33"/>
      <c r="C33" s="18"/>
      <c r="D33" s="18"/>
      <c r="E33" s="18"/>
      <c r="F33" s="18"/>
      <c r="G33" s="18"/>
      <c r="H33" s="17"/>
      <c r="I33" s="18"/>
      <c r="J33" s="18"/>
      <c r="K33" s="18"/>
      <c r="L33" s="18"/>
      <c r="M33" s="18"/>
      <c r="N33" s="18"/>
      <c r="O33" s="18"/>
      <c r="P33" s="33"/>
      <c r="Q33" s="18"/>
      <c r="R33" s="18"/>
      <c r="S33" s="18"/>
      <c r="T33" s="18"/>
      <c r="U33" s="18"/>
      <c r="V33" s="17"/>
      <c r="W33" s="18"/>
      <c r="X33" s="18"/>
      <c r="Y33" s="18"/>
      <c r="Z33" s="18"/>
      <c r="AA33" s="18"/>
      <c r="AB33" s="18"/>
      <c r="AC33" s="18"/>
      <c r="AD33" s="33"/>
      <c r="AE33" s="18"/>
      <c r="AF33" s="18"/>
      <c r="AG33" s="18"/>
      <c r="AH33" s="18"/>
      <c r="AI33" s="18"/>
      <c r="AJ33" s="17"/>
      <c r="AK33" s="33"/>
      <c r="AL33" s="18"/>
      <c r="AM33" s="18"/>
      <c r="AN33" s="18"/>
      <c r="AO33" s="18"/>
      <c r="AP33" s="18"/>
      <c r="AQ33" s="17"/>
      <c r="AR33" s="18"/>
      <c r="AS33" s="8"/>
      <c r="AT33" s="8" t="s">
        <v>357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33"/>
      <c r="BI33" s="18"/>
      <c r="BJ33" s="18"/>
      <c r="BK33" s="18"/>
      <c r="BL33" s="17"/>
      <c r="BM33" s="13"/>
      <c r="BO33" s="26"/>
      <c r="BS33" s="26"/>
      <c r="CD33" s="27"/>
    </row>
    <row r="34" spans="1:82" s="11" customFormat="1">
      <c r="A34" s="32"/>
      <c r="B34" s="33"/>
      <c r="C34" s="18"/>
      <c r="D34" s="18"/>
      <c r="E34" s="18"/>
      <c r="F34" s="18"/>
      <c r="G34" s="18"/>
      <c r="H34" s="17"/>
      <c r="I34" s="18"/>
      <c r="J34" s="18"/>
      <c r="K34" s="18"/>
      <c r="L34" s="18"/>
      <c r="M34" s="18"/>
      <c r="N34" s="18"/>
      <c r="O34" s="18"/>
      <c r="P34" s="33"/>
      <c r="Q34" s="18"/>
      <c r="R34" s="18"/>
      <c r="S34" s="18"/>
      <c r="T34" s="18"/>
      <c r="U34" s="18"/>
      <c r="V34" s="17"/>
      <c r="W34" s="18"/>
      <c r="X34" s="18"/>
      <c r="Y34" s="18"/>
      <c r="Z34" s="18"/>
      <c r="AA34" s="18"/>
      <c r="AB34" s="18"/>
      <c r="AC34" s="18"/>
      <c r="AD34" s="33"/>
      <c r="AE34" s="18"/>
      <c r="AF34" s="18"/>
      <c r="AG34" s="18"/>
      <c r="AH34" s="18"/>
      <c r="AI34" s="18"/>
      <c r="AJ34" s="17"/>
      <c r="AK34" s="33"/>
      <c r="AL34" s="18"/>
      <c r="AM34" s="18"/>
      <c r="AN34" s="18"/>
      <c r="AO34" s="18"/>
      <c r="AP34" s="18"/>
      <c r="AQ34" s="17"/>
      <c r="AR34" s="18"/>
      <c r="AS34" s="8"/>
      <c r="AT34" s="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33"/>
      <c r="BI34" s="18"/>
      <c r="BJ34" s="18"/>
      <c r="BK34" s="18"/>
      <c r="BL34" s="17"/>
      <c r="BM34" s="13"/>
      <c r="BO34" s="26"/>
      <c r="BS34" s="26"/>
      <c r="CD34" s="27"/>
    </row>
    <row r="35" spans="1:82" s="11" customFormat="1">
      <c r="A35" s="32"/>
      <c r="B35" s="33"/>
      <c r="C35" s="18"/>
      <c r="D35" s="18"/>
      <c r="E35" s="18"/>
      <c r="F35" s="18"/>
      <c r="G35" s="18"/>
      <c r="H35" s="17"/>
      <c r="I35" s="18"/>
      <c r="J35" s="18"/>
      <c r="K35" s="18"/>
      <c r="L35" s="18"/>
      <c r="M35" s="18"/>
      <c r="N35" s="18"/>
      <c r="O35" s="18"/>
      <c r="P35" s="33"/>
      <c r="Q35" s="18"/>
      <c r="R35" s="18"/>
      <c r="S35" s="18"/>
      <c r="T35" s="18"/>
      <c r="U35" s="18"/>
      <c r="V35" s="17"/>
      <c r="W35" s="18"/>
      <c r="X35" s="18"/>
      <c r="Y35" s="18"/>
      <c r="Z35" s="18"/>
      <c r="AA35" s="18"/>
      <c r="AB35" s="18"/>
      <c r="AC35" s="18"/>
      <c r="AD35" s="33"/>
      <c r="AE35" s="18"/>
      <c r="AF35" s="18"/>
      <c r="AG35" s="18"/>
      <c r="AH35" s="18"/>
      <c r="AI35" s="18"/>
      <c r="AJ35" s="17"/>
      <c r="AK35" s="33"/>
      <c r="AL35" s="18"/>
      <c r="AM35" s="18"/>
      <c r="AN35" s="18"/>
      <c r="AO35" s="18"/>
      <c r="AP35" s="18"/>
      <c r="AQ35" s="17"/>
      <c r="AR35" s="18"/>
      <c r="AS35" s="8" t="s">
        <v>162</v>
      </c>
      <c r="AT35" s="8" t="s">
        <v>342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33"/>
      <c r="BI35" s="18"/>
      <c r="BJ35" s="18"/>
      <c r="BK35" s="18"/>
      <c r="BL35" s="17"/>
      <c r="BM35" s="13"/>
      <c r="BO35" s="26"/>
      <c r="BS35" s="26"/>
      <c r="CD35" s="27"/>
    </row>
    <row r="36" spans="1:82" s="11" customFormat="1">
      <c r="A36" s="32"/>
      <c r="B36" s="33"/>
      <c r="C36" s="18"/>
      <c r="D36" s="18"/>
      <c r="E36" s="18"/>
      <c r="F36" s="18"/>
      <c r="G36" s="18"/>
      <c r="H36" s="17"/>
      <c r="I36" s="18"/>
      <c r="J36" s="18"/>
      <c r="K36" s="18"/>
      <c r="L36" s="18"/>
      <c r="M36" s="18"/>
      <c r="N36" s="18"/>
      <c r="O36" s="18"/>
      <c r="P36" s="33"/>
      <c r="Q36" s="18"/>
      <c r="R36" s="18"/>
      <c r="S36" s="18"/>
      <c r="T36" s="18"/>
      <c r="U36" s="18"/>
      <c r="V36" s="17"/>
      <c r="W36" s="18"/>
      <c r="X36" s="18"/>
      <c r="Y36" s="18"/>
      <c r="Z36" s="18"/>
      <c r="AA36" s="18"/>
      <c r="AB36" s="18"/>
      <c r="AC36" s="18"/>
      <c r="AD36" s="33"/>
      <c r="AE36" s="18"/>
      <c r="AF36" s="18"/>
      <c r="AG36" s="18"/>
      <c r="AH36" s="18"/>
      <c r="AI36" s="18"/>
      <c r="AJ36" s="17"/>
      <c r="AK36" s="33"/>
      <c r="AL36" s="18"/>
      <c r="AM36" s="18"/>
      <c r="AN36" s="18"/>
      <c r="AO36" s="18"/>
      <c r="AP36" s="18"/>
      <c r="AQ36" s="17"/>
      <c r="AR36" s="18"/>
      <c r="AS36" s="8"/>
      <c r="AT36" s="8" t="s">
        <v>343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33"/>
      <c r="BI36" s="18"/>
      <c r="BJ36" s="18"/>
      <c r="BK36" s="18"/>
      <c r="BL36" s="17"/>
      <c r="BM36" s="13"/>
      <c r="BO36" s="26"/>
      <c r="BS36" s="26"/>
      <c r="CD36" s="27"/>
    </row>
    <row r="37" spans="1:82" s="11" customFormat="1">
      <c r="A37" s="32"/>
      <c r="B37" s="33"/>
      <c r="C37" s="18"/>
      <c r="D37" s="18"/>
      <c r="E37" s="18"/>
      <c r="F37" s="18"/>
      <c r="G37" s="18"/>
      <c r="H37" s="17"/>
      <c r="I37" s="18"/>
      <c r="J37" s="18"/>
      <c r="K37" s="18"/>
      <c r="L37" s="18"/>
      <c r="M37" s="18"/>
      <c r="N37" s="18"/>
      <c r="O37" s="18"/>
      <c r="P37" s="33"/>
      <c r="Q37" s="18"/>
      <c r="R37" s="18"/>
      <c r="S37" s="18"/>
      <c r="T37" s="18"/>
      <c r="U37" s="18"/>
      <c r="V37" s="17"/>
      <c r="W37" s="18"/>
      <c r="X37" s="18"/>
      <c r="Y37" s="18"/>
      <c r="Z37" s="18"/>
      <c r="AA37" s="18"/>
      <c r="AB37" s="18"/>
      <c r="AC37" s="18"/>
      <c r="AD37" s="33"/>
      <c r="AE37" s="18"/>
      <c r="AF37" s="18"/>
      <c r="AG37" s="18"/>
      <c r="AH37" s="18"/>
      <c r="AI37" s="18"/>
      <c r="AJ37" s="17"/>
      <c r="AK37" s="33"/>
      <c r="AL37" s="18"/>
      <c r="AM37" s="18"/>
      <c r="AN37" s="18"/>
      <c r="AO37" s="18"/>
      <c r="AP37" s="18"/>
      <c r="AQ37" s="17"/>
      <c r="AR37" s="18"/>
      <c r="AS37" s="8"/>
      <c r="AT37" s="8" t="s">
        <v>344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33"/>
      <c r="BI37" s="18"/>
      <c r="BJ37" s="18"/>
      <c r="BK37" s="18"/>
      <c r="BL37" s="17"/>
      <c r="BM37" s="13"/>
      <c r="BO37" s="26"/>
      <c r="BS37" s="26"/>
      <c r="CD37" s="27"/>
    </row>
    <row r="38" spans="1:82" s="11" customFormat="1">
      <c r="A38" s="32"/>
      <c r="B38" s="33"/>
      <c r="C38" s="18"/>
      <c r="D38" s="18"/>
      <c r="E38" s="18"/>
      <c r="F38" s="18"/>
      <c r="G38" s="18"/>
      <c r="H38" s="17"/>
      <c r="I38" s="18"/>
      <c r="J38" s="18"/>
      <c r="K38" s="18"/>
      <c r="L38" s="18"/>
      <c r="M38" s="18"/>
      <c r="N38" s="18"/>
      <c r="O38" s="18"/>
      <c r="P38" s="33"/>
      <c r="Q38" s="18"/>
      <c r="R38" s="18"/>
      <c r="S38" s="18"/>
      <c r="T38" s="18"/>
      <c r="U38" s="18"/>
      <c r="V38" s="17"/>
      <c r="W38" s="18"/>
      <c r="X38" s="18"/>
      <c r="Y38" s="18"/>
      <c r="Z38" s="18"/>
      <c r="AA38" s="18"/>
      <c r="AB38" s="18"/>
      <c r="AC38" s="18"/>
      <c r="AD38" s="33"/>
      <c r="AE38" s="18"/>
      <c r="AF38" s="18"/>
      <c r="AG38" s="18"/>
      <c r="AH38" s="18"/>
      <c r="AI38" s="18"/>
      <c r="AJ38" s="17"/>
      <c r="AK38" s="33"/>
      <c r="AL38" s="18"/>
      <c r="AM38" s="18"/>
      <c r="AN38" s="18"/>
      <c r="AO38" s="18"/>
      <c r="AP38" s="18"/>
      <c r="AQ38" s="17"/>
      <c r="AR38" s="18"/>
      <c r="AS38" s="8"/>
      <c r="AT38" s="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33"/>
      <c r="BI38" s="18"/>
      <c r="BJ38" s="18"/>
      <c r="BK38" s="18"/>
      <c r="BL38" s="17"/>
      <c r="BM38" s="13"/>
      <c r="BO38" s="26"/>
      <c r="BS38" s="26"/>
      <c r="CD38" s="27"/>
    </row>
    <row r="39" spans="1:82" s="11" customFormat="1">
      <c r="A39" s="32"/>
      <c r="B39" s="33"/>
      <c r="C39" s="18"/>
      <c r="D39" s="18"/>
      <c r="E39" s="18"/>
      <c r="F39" s="18"/>
      <c r="G39" s="18"/>
      <c r="H39" s="17"/>
      <c r="I39" s="18"/>
      <c r="J39" s="18"/>
      <c r="K39" s="18"/>
      <c r="L39" s="18"/>
      <c r="M39" s="18"/>
      <c r="N39" s="18"/>
      <c r="O39" s="18"/>
      <c r="P39" s="33"/>
      <c r="Q39" s="18"/>
      <c r="R39" s="18"/>
      <c r="S39" s="18"/>
      <c r="T39" s="18"/>
      <c r="U39" s="18"/>
      <c r="V39" s="17"/>
      <c r="W39" s="18"/>
      <c r="X39" s="18"/>
      <c r="Y39" s="18"/>
      <c r="Z39" s="18"/>
      <c r="AA39" s="18"/>
      <c r="AB39" s="18"/>
      <c r="AC39" s="18"/>
      <c r="AD39" s="33"/>
      <c r="AE39" s="18"/>
      <c r="AF39" s="18"/>
      <c r="AG39" s="18"/>
      <c r="AH39" s="18"/>
      <c r="AI39" s="18"/>
      <c r="AJ39" s="17"/>
      <c r="AK39" s="33"/>
      <c r="AL39" s="18"/>
      <c r="AM39" s="18"/>
      <c r="AN39" s="18"/>
      <c r="AO39" s="18"/>
      <c r="AP39" s="18"/>
      <c r="AQ39" s="17"/>
      <c r="AR39" s="18"/>
      <c r="AS39" s="8"/>
      <c r="AT39" s="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33"/>
      <c r="BI39" s="18"/>
      <c r="BJ39" s="18"/>
      <c r="BK39" s="18"/>
      <c r="BL39" s="17"/>
      <c r="BM39" s="13"/>
      <c r="BO39" s="26"/>
      <c r="BS39" s="26"/>
      <c r="CD39" s="27"/>
    </row>
    <row r="40" spans="1:82" s="11" customFormat="1">
      <c r="A40" s="32"/>
      <c r="B40" s="33"/>
      <c r="C40" s="18"/>
      <c r="D40" s="18"/>
      <c r="E40" s="18"/>
      <c r="F40" s="18"/>
      <c r="G40" s="18"/>
      <c r="H40" s="17"/>
      <c r="I40" s="18"/>
      <c r="J40" s="18"/>
      <c r="K40" s="18"/>
      <c r="L40" s="18"/>
      <c r="M40" s="18"/>
      <c r="N40" s="18"/>
      <c r="O40" s="18"/>
      <c r="P40" s="33"/>
      <c r="Q40" s="18"/>
      <c r="R40" s="18"/>
      <c r="S40" s="18"/>
      <c r="T40" s="18"/>
      <c r="U40" s="18"/>
      <c r="V40" s="17"/>
      <c r="W40" s="18"/>
      <c r="X40" s="18"/>
      <c r="Y40" s="18"/>
      <c r="Z40" s="18"/>
      <c r="AA40" s="18"/>
      <c r="AB40" s="18"/>
      <c r="AC40" s="18"/>
      <c r="AD40" s="33"/>
      <c r="AE40" s="18"/>
      <c r="AF40" s="18"/>
      <c r="AG40" s="18"/>
      <c r="AH40" s="18"/>
      <c r="AI40" s="18"/>
      <c r="AJ40" s="17"/>
      <c r="AK40" s="33"/>
      <c r="AL40" s="18"/>
      <c r="AM40" s="18"/>
      <c r="AN40" s="18"/>
      <c r="AO40" s="18"/>
      <c r="AP40" s="18"/>
      <c r="AQ40" s="17"/>
      <c r="AR40" s="18"/>
      <c r="AS40" s="8"/>
      <c r="AT40" s="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33"/>
      <c r="BI40" s="18"/>
      <c r="BJ40" s="18"/>
      <c r="BK40" s="18"/>
      <c r="BL40" s="17"/>
      <c r="BM40" s="13"/>
      <c r="BO40" s="26"/>
      <c r="BS40" s="26"/>
      <c r="CD40" s="27"/>
    </row>
    <row r="41" spans="1:82" s="11" customFormat="1">
      <c r="A41" s="32"/>
      <c r="B41" s="33"/>
      <c r="C41" s="18"/>
      <c r="D41" s="18"/>
      <c r="E41" s="18"/>
      <c r="F41" s="18"/>
      <c r="G41" s="18"/>
      <c r="H41" s="17"/>
      <c r="I41" s="18"/>
      <c r="J41" s="18"/>
      <c r="K41" s="18"/>
      <c r="L41" s="18"/>
      <c r="M41" s="18"/>
      <c r="N41" s="18"/>
      <c r="O41" s="18"/>
      <c r="P41" s="33"/>
      <c r="Q41" s="18"/>
      <c r="R41" s="18"/>
      <c r="S41" s="18"/>
      <c r="T41" s="18"/>
      <c r="U41" s="18"/>
      <c r="V41" s="17"/>
      <c r="W41" s="18"/>
      <c r="X41" s="18"/>
      <c r="Y41" s="18"/>
      <c r="Z41" s="18"/>
      <c r="AA41" s="18"/>
      <c r="AB41" s="18"/>
      <c r="AC41" s="18"/>
      <c r="AD41" s="33"/>
      <c r="AE41" s="18"/>
      <c r="AF41" s="18"/>
      <c r="AG41" s="18"/>
      <c r="AH41" s="18"/>
      <c r="AI41" s="18"/>
      <c r="AJ41" s="17"/>
      <c r="AK41" s="33"/>
      <c r="AL41" s="18"/>
      <c r="AM41" s="18"/>
      <c r="AN41" s="18"/>
      <c r="AO41" s="18"/>
      <c r="AP41" s="18"/>
      <c r="AQ41" s="17"/>
      <c r="AR41" s="18"/>
      <c r="AS41" s="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33"/>
      <c r="BI41" s="18"/>
      <c r="BJ41" s="18"/>
      <c r="BK41" s="18"/>
      <c r="BL41" s="17"/>
      <c r="BM41" s="13"/>
      <c r="BO41" s="26"/>
      <c r="BS41" s="26"/>
      <c r="CD41" s="27"/>
    </row>
    <row r="42" spans="1:82" s="11" customFormat="1">
      <c r="A42" s="32"/>
      <c r="B42" s="33"/>
      <c r="C42" s="18"/>
      <c r="D42" s="18"/>
      <c r="E42" s="18"/>
      <c r="F42" s="18"/>
      <c r="G42" s="18"/>
      <c r="H42" s="17"/>
      <c r="I42" s="18"/>
      <c r="J42" s="18"/>
      <c r="K42" s="18"/>
      <c r="L42" s="18"/>
      <c r="M42" s="18"/>
      <c r="N42" s="18"/>
      <c r="O42" s="18"/>
      <c r="P42" s="33"/>
      <c r="Q42" s="18"/>
      <c r="R42" s="18"/>
      <c r="S42" s="18"/>
      <c r="T42" s="18"/>
      <c r="U42" s="18"/>
      <c r="V42" s="17"/>
      <c r="W42" s="18"/>
      <c r="X42" s="18"/>
      <c r="Y42" s="18"/>
      <c r="Z42" s="18"/>
      <c r="AA42" s="18"/>
      <c r="AB42" s="18"/>
      <c r="AC42" s="18"/>
      <c r="AD42" s="33"/>
      <c r="AE42" s="18"/>
      <c r="AF42" s="18"/>
      <c r="AG42" s="18"/>
      <c r="AH42" s="18"/>
      <c r="AI42" s="18"/>
      <c r="AJ42" s="17"/>
      <c r="AK42" s="33"/>
      <c r="AL42" s="18"/>
      <c r="AM42" s="18"/>
      <c r="AN42" s="18"/>
      <c r="AO42" s="18"/>
      <c r="AP42" s="18"/>
      <c r="AQ42" s="17"/>
      <c r="AR42" s="18"/>
      <c r="AS42" s="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33"/>
      <c r="BI42" s="18"/>
      <c r="BJ42" s="18"/>
      <c r="BK42" s="18"/>
      <c r="BL42" s="17"/>
      <c r="BM42" s="13"/>
      <c r="BO42" s="26"/>
      <c r="BS42" s="26"/>
      <c r="CD42" s="27"/>
    </row>
    <row r="43" spans="1:82" s="11" customFormat="1">
      <c r="A43" s="32"/>
      <c r="B43" s="33"/>
      <c r="C43" s="18"/>
      <c r="D43" s="18"/>
      <c r="E43" s="18"/>
      <c r="F43" s="18"/>
      <c r="G43" s="18"/>
      <c r="H43" s="17"/>
      <c r="I43" s="18"/>
      <c r="J43" s="18"/>
      <c r="K43" s="18"/>
      <c r="L43" s="18"/>
      <c r="M43" s="18"/>
      <c r="N43" s="18"/>
      <c r="O43" s="18"/>
      <c r="P43" s="33"/>
      <c r="Q43" s="18"/>
      <c r="R43" s="18"/>
      <c r="S43" s="18"/>
      <c r="T43" s="18"/>
      <c r="U43" s="18"/>
      <c r="V43" s="17"/>
      <c r="W43" s="18"/>
      <c r="X43" s="18"/>
      <c r="Y43" s="18"/>
      <c r="Z43" s="18"/>
      <c r="AA43" s="18"/>
      <c r="AB43" s="18"/>
      <c r="AC43" s="18"/>
      <c r="AD43" s="33"/>
      <c r="AE43" s="18"/>
      <c r="AF43" s="18"/>
      <c r="AG43" s="18"/>
      <c r="AH43" s="18"/>
      <c r="AI43" s="18"/>
      <c r="AJ43" s="17"/>
      <c r="AK43" s="33"/>
      <c r="AL43" s="18"/>
      <c r="AM43" s="18"/>
      <c r="AN43" s="18"/>
      <c r="AO43" s="18"/>
      <c r="AP43" s="18"/>
      <c r="AQ43" s="17"/>
      <c r="AR43" s="18"/>
      <c r="AS43" s="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33"/>
      <c r="BI43" s="18"/>
      <c r="BJ43" s="18"/>
      <c r="BK43" s="18"/>
      <c r="BL43" s="17"/>
      <c r="BM43" s="13"/>
      <c r="BO43" s="26"/>
      <c r="BS43" s="26"/>
      <c r="CD43" s="27"/>
    </row>
    <row r="44" spans="1:82" s="11" customFormat="1">
      <c r="A44" s="32"/>
      <c r="B44" s="33"/>
      <c r="C44" s="18"/>
      <c r="D44" s="18"/>
      <c r="E44" s="18"/>
      <c r="F44" s="18"/>
      <c r="G44" s="18"/>
      <c r="H44" s="17"/>
      <c r="I44" s="18"/>
      <c r="J44" s="18"/>
      <c r="K44" s="18"/>
      <c r="L44" s="18"/>
      <c r="M44" s="18"/>
      <c r="N44" s="18"/>
      <c r="O44" s="18"/>
      <c r="P44" s="33"/>
      <c r="Q44" s="18"/>
      <c r="R44" s="18"/>
      <c r="S44" s="18"/>
      <c r="T44" s="18"/>
      <c r="U44" s="18"/>
      <c r="V44" s="17"/>
      <c r="W44" s="18"/>
      <c r="X44" s="18"/>
      <c r="Y44" s="18"/>
      <c r="Z44" s="18"/>
      <c r="AA44" s="18"/>
      <c r="AB44" s="18"/>
      <c r="AC44" s="18"/>
      <c r="AD44" s="33"/>
      <c r="AE44" s="18"/>
      <c r="AF44" s="18"/>
      <c r="AG44" s="18"/>
      <c r="AH44" s="18"/>
      <c r="AI44" s="18"/>
      <c r="AJ44" s="17"/>
      <c r="AK44" s="33"/>
      <c r="AL44" s="18"/>
      <c r="AM44" s="18"/>
      <c r="AN44" s="18"/>
      <c r="AO44" s="18"/>
      <c r="AP44" s="18"/>
      <c r="AQ44" s="17"/>
      <c r="AR44" s="18"/>
      <c r="AS44" s="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33"/>
      <c r="BI44" s="18"/>
      <c r="BJ44" s="18"/>
      <c r="BK44" s="18"/>
      <c r="BL44" s="17"/>
      <c r="BM44" s="13"/>
      <c r="BO44" s="26"/>
      <c r="BS44" s="26"/>
      <c r="CD44" s="27"/>
    </row>
    <row r="45" spans="1:82" s="11" customFormat="1">
      <c r="A45" s="32"/>
      <c r="B45" s="33"/>
      <c r="C45" s="18"/>
      <c r="D45" s="18"/>
      <c r="E45" s="18"/>
      <c r="F45" s="18"/>
      <c r="G45" s="18"/>
      <c r="H45" s="17"/>
      <c r="I45" s="18"/>
      <c r="J45" s="18"/>
      <c r="K45" s="18"/>
      <c r="L45" s="18"/>
      <c r="M45" s="18"/>
      <c r="N45" s="18"/>
      <c r="O45" s="18"/>
      <c r="P45" s="33"/>
      <c r="Q45" s="18"/>
      <c r="R45" s="18"/>
      <c r="S45" s="18"/>
      <c r="T45" s="18"/>
      <c r="U45" s="18"/>
      <c r="V45" s="17"/>
      <c r="W45" s="18"/>
      <c r="X45" s="18"/>
      <c r="Y45" s="18"/>
      <c r="Z45" s="18"/>
      <c r="AA45" s="18"/>
      <c r="AB45" s="18"/>
      <c r="AC45" s="18"/>
      <c r="AD45" s="33"/>
      <c r="AE45" s="18"/>
      <c r="AF45" s="18"/>
      <c r="AG45" s="18"/>
      <c r="AH45" s="18"/>
      <c r="AI45" s="18"/>
      <c r="AJ45" s="17"/>
      <c r="AK45" s="33"/>
      <c r="AL45" s="18"/>
      <c r="AM45" s="18"/>
      <c r="AN45" s="18"/>
      <c r="AO45" s="18"/>
      <c r="AP45" s="18"/>
      <c r="AQ45" s="17"/>
      <c r="AR45" s="18"/>
      <c r="AS45" s="16" t="s">
        <v>358</v>
      </c>
      <c r="AT45" s="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33"/>
      <c r="BI45" s="18"/>
      <c r="BJ45" s="18"/>
      <c r="BK45" s="18"/>
      <c r="BL45" s="17"/>
      <c r="BM45" s="13"/>
      <c r="BO45" s="26"/>
      <c r="BS45" s="26"/>
      <c r="CD45" s="27"/>
    </row>
    <row r="46" spans="1:82" s="11" customFormat="1">
      <c r="A46" s="32"/>
      <c r="B46" s="33"/>
      <c r="C46" s="18"/>
      <c r="D46" s="18"/>
      <c r="E46" s="18"/>
      <c r="F46" s="18"/>
      <c r="G46" s="18"/>
      <c r="H46" s="17"/>
      <c r="I46" s="18"/>
      <c r="J46" s="18"/>
      <c r="K46" s="18"/>
      <c r="L46" s="18"/>
      <c r="M46" s="18"/>
      <c r="N46" s="18"/>
      <c r="O46" s="18"/>
      <c r="P46" s="33"/>
      <c r="Q46" s="18"/>
      <c r="R46" s="18"/>
      <c r="S46" s="18"/>
      <c r="T46" s="18"/>
      <c r="U46" s="18"/>
      <c r="V46" s="17"/>
      <c r="W46" s="18"/>
      <c r="X46" s="18"/>
      <c r="Y46" s="18"/>
      <c r="Z46" s="18"/>
      <c r="AA46" s="18"/>
      <c r="AB46" s="18"/>
      <c r="AC46" s="18"/>
      <c r="AD46" s="33"/>
      <c r="AE46" s="18"/>
      <c r="AF46" s="18"/>
      <c r="AG46" s="18"/>
      <c r="AH46" s="18"/>
      <c r="AI46" s="18"/>
      <c r="AJ46" s="17"/>
      <c r="AK46" s="33"/>
      <c r="AL46" s="18"/>
      <c r="AM46" s="18"/>
      <c r="AN46" s="18"/>
      <c r="AO46" s="18"/>
      <c r="AP46" s="18"/>
      <c r="AQ46" s="17"/>
      <c r="AR46" s="18"/>
      <c r="AS46" s="8"/>
      <c r="AT46" s="8" t="s">
        <v>359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33"/>
      <c r="BI46" s="18"/>
      <c r="BJ46" s="18"/>
      <c r="BK46" s="18"/>
      <c r="BL46" s="17"/>
      <c r="BM46" s="13"/>
      <c r="BO46" s="26"/>
      <c r="BS46" s="26"/>
      <c r="CD46" s="27"/>
    </row>
    <row r="47" spans="1:82" s="11" customFormat="1">
      <c r="A47" s="32"/>
      <c r="B47" s="33"/>
      <c r="C47" s="18"/>
      <c r="D47" s="18"/>
      <c r="E47" s="18"/>
      <c r="F47" s="18"/>
      <c r="G47" s="18"/>
      <c r="H47" s="17"/>
      <c r="I47" s="18"/>
      <c r="J47" s="18"/>
      <c r="K47" s="18"/>
      <c r="L47" s="18"/>
      <c r="M47" s="18"/>
      <c r="N47" s="18"/>
      <c r="O47" s="18"/>
      <c r="P47" s="33"/>
      <c r="Q47" s="18"/>
      <c r="R47" s="18"/>
      <c r="S47" s="18"/>
      <c r="T47" s="18"/>
      <c r="U47" s="18"/>
      <c r="V47" s="17"/>
      <c r="W47" s="18"/>
      <c r="X47" s="18"/>
      <c r="Y47" s="18"/>
      <c r="Z47" s="18"/>
      <c r="AA47" s="18"/>
      <c r="AB47" s="18"/>
      <c r="AC47" s="18"/>
      <c r="AD47" s="33"/>
      <c r="AE47" s="18"/>
      <c r="AF47" s="18"/>
      <c r="AG47" s="18"/>
      <c r="AH47" s="18"/>
      <c r="AI47" s="18"/>
      <c r="AJ47" s="17"/>
      <c r="AK47" s="33"/>
      <c r="AL47" s="18"/>
      <c r="AM47" s="18"/>
      <c r="AN47" s="18"/>
      <c r="AO47" s="18"/>
      <c r="AP47" s="18"/>
      <c r="AQ47" s="17"/>
      <c r="AR47" s="18"/>
      <c r="AS47" s="8"/>
      <c r="AT47" s="8" t="s">
        <v>348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33"/>
      <c r="BI47" s="18"/>
      <c r="BJ47" s="18"/>
      <c r="BK47" s="18"/>
      <c r="BL47" s="17"/>
      <c r="BM47" s="13"/>
      <c r="BO47" s="26"/>
      <c r="BS47" s="26"/>
      <c r="CD47" s="27"/>
    </row>
    <row r="48" spans="1:82" s="11" customFormat="1">
      <c r="A48" s="32"/>
      <c r="B48" s="33"/>
      <c r="C48" s="18"/>
      <c r="D48" s="18"/>
      <c r="E48" s="18"/>
      <c r="F48" s="18"/>
      <c r="G48" s="18"/>
      <c r="H48" s="17"/>
      <c r="I48" s="18"/>
      <c r="J48" s="18"/>
      <c r="K48" s="18"/>
      <c r="L48" s="18"/>
      <c r="M48" s="18"/>
      <c r="N48" s="18"/>
      <c r="O48" s="18"/>
      <c r="P48" s="33"/>
      <c r="Q48" s="18"/>
      <c r="R48" s="18"/>
      <c r="S48" s="18"/>
      <c r="T48" s="18"/>
      <c r="U48" s="18"/>
      <c r="V48" s="17"/>
      <c r="W48" s="18"/>
      <c r="X48" s="18"/>
      <c r="Y48" s="18"/>
      <c r="Z48" s="18"/>
      <c r="AA48" s="18"/>
      <c r="AB48" s="18"/>
      <c r="AC48" s="18"/>
      <c r="AD48" s="33"/>
      <c r="AE48" s="18"/>
      <c r="AF48" s="18"/>
      <c r="AG48" s="18"/>
      <c r="AH48" s="18"/>
      <c r="AI48" s="18"/>
      <c r="AJ48" s="17"/>
      <c r="AK48" s="33"/>
      <c r="AL48" s="18"/>
      <c r="AM48" s="18"/>
      <c r="AN48" s="18"/>
      <c r="AO48" s="18"/>
      <c r="AP48" s="18"/>
      <c r="AQ48" s="17"/>
      <c r="AR48" s="18"/>
      <c r="AS48" s="8"/>
      <c r="AT48" s="8" t="s">
        <v>360</v>
      </c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33"/>
      <c r="BI48" s="18"/>
      <c r="BJ48" s="18"/>
      <c r="BK48" s="18"/>
      <c r="BL48" s="17"/>
      <c r="BM48" s="13"/>
      <c r="BO48" s="26"/>
      <c r="BS48" s="26"/>
      <c r="CD48" s="27"/>
    </row>
    <row r="49" spans="1:82" s="11" customFormat="1">
      <c r="A49" s="32"/>
      <c r="B49" s="33"/>
      <c r="C49" s="18"/>
      <c r="D49" s="18"/>
      <c r="E49" s="18"/>
      <c r="F49" s="18"/>
      <c r="G49" s="18"/>
      <c r="H49" s="17"/>
      <c r="I49" s="18"/>
      <c r="J49" s="18"/>
      <c r="K49" s="18"/>
      <c r="L49" s="18"/>
      <c r="M49" s="18"/>
      <c r="N49" s="18"/>
      <c r="O49" s="18"/>
      <c r="P49" s="33"/>
      <c r="Q49" s="18"/>
      <c r="R49" s="18"/>
      <c r="S49" s="18"/>
      <c r="T49" s="18"/>
      <c r="U49" s="18"/>
      <c r="V49" s="17"/>
      <c r="W49" s="18"/>
      <c r="X49" s="18"/>
      <c r="Y49" s="18"/>
      <c r="Z49" s="18"/>
      <c r="AA49" s="18"/>
      <c r="AB49" s="18"/>
      <c r="AC49" s="18"/>
      <c r="AD49" s="33"/>
      <c r="AE49" s="18"/>
      <c r="AF49" s="18"/>
      <c r="AG49" s="18"/>
      <c r="AH49" s="18"/>
      <c r="AI49" s="18"/>
      <c r="AJ49" s="17"/>
      <c r="AK49" s="33"/>
      <c r="AL49" s="18"/>
      <c r="AM49" s="18"/>
      <c r="AN49" s="18"/>
      <c r="AO49" s="18"/>
      <c r="AP49" s="18"/>
      <c r="AQ49" s="17"/>
      <c r="AR49" s="18"/>
      <c r="AS49" s="8"/>
      <c r="AT49" s="8" t="s">
        <v>361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33"/>
      <c r="BI49" s="18"/>
      <c r="BJ49" s="18"/>
      <c r="BK49" s="18"/>
      <c r="BL49" s="17"/>
      <c r="BM49" s="13"/>
      <c r="BO49" s="26"/>
      <c r="BS49" s="26"/>
      <c r="CD49" s="27"/>
    </row>
    <row r="50" spans="1:82" s="11" customFormat="1">
      <c r="A50" s="32"/>
      <c r="B50" s="33"/>
      <c r="C50" s="18"/>
      <c r="D50" s="18"/>
      <c r="E50" s="18"/>
      <c r="F50" s="18"/>
      <c r="G50" s="18"/>
      <c r="H50" s="17"/>
      <c r="I50" s="18"/>
      <c r="J50" s="18"/>
      <c r="K50" s="18"/>
      <c r="L50" s="18"/>
      <c r="M50" s="18"/>
      <c r="N50" s="18"/>
      <c r="O50" s="18"/>
      <c r="P50" s="33"/>
      <c r="Q50" s="18"/>
      <c r="R50" s="18"/>
      <c r="S50" s="18"/>
      <c r="T50" s="18"/>
      <c r="U50" s="18"/>
      <c r="V50" s="17"/>
      <c r="W50" s="18"/>
      <c r="X50" s="18"/>
      <c r="Y50" s="18"/>
      <c r="Z50" s="18"/>
      <c r="AA50" s="18"/>
      <c r="AB50" s="18"/>
      <c r="AC50" s="18"/>
      <c r="AD50" s="33"/>
      <c r="AE50" s="18"/>
      <c r="AF50" s="18"/>
      <c r="AG50" s="18"/>
      <c r="AH50" s="18"/>
      <c r="AI50" s="18"/>
      <c r="AJ50" s="17"/>
      <c r="AK50" s="33"/>
      <c r="AL50" s="18"/>
      <c r="AM50" s="18"/>
      <c r="AN50" s="18"/>
      <c r="AO50" s="18"/>
      <c r="AP50" s="18"/>
      <c r="AQ50" s="17"/>
      <c r="AR50" s="18"/>
      <c r="AS50" s="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33"/>
      <c r="BI50" s="18"/>
      <c r="BJ50" s="18"/>
      <c r="BK50" s="18"/>
      <c r="BL50" s="17"/>
      <c r="BM50" s="13"/>
      <c r="BO50" s="26"/>
      <c r="BS50" s="26"/>
      <c r="CD50" s="27"/>
    </row>
    <row r="51" spans="1:82" s="11" customFormat="1">
      <c r="A51" s="32"/>
      <c r="B51" s="33"/>
      <c r="C51" s="18"/>
      <c r="D51" s="18"/>
      <c r="E51" s="18"/>
      <c r="F51" s="18"/>
      <c r="G51" s="18"/>
      <c r="H51" s="17"/>
      <c r="I51" s="18"/>
      <c r="J51" s="18"/>
      <c r="K51" s="18"/>
      <c r="L51" s="18"/>
      <c r="M51" s="18"/>
      <c r="N51" s="18"/>
      <c r="O51" s="18"/>
      <c r="P51" s="33"/>
      <c r="Q51" s="18"/>
      <c r="R51" s="18"/>
      <c r="S51" s="18"/>
      <c r="T51" s="18"/>
      <c r="U51" s="18"/>
      <c r="V51" s="17"/>
      <c r="W51" s="18"/>
      <c r="X51" s="18"/>
      <c r="Y51" s="18"/>
      <c r="Z51" s="18"/>
      <c r="AA51" s="18"/>
      <c r="AB51" s="18"/>
      <c r="AC51" s="18"/>
      <c r="AD51" s="33"/>
      <c r="AE51" s="18"/>
      <c r="AF51" s="18"/>
      <c r="AG51" s="18"/>
      <c r="AH51" s="18"/>
      <c r="AI51" s="18"/>
      <c r="AJ51" s="17"/>
      <c r="AK51" s="33"/>
      <c r="AL51" s="18"/>
      <c r="AM51" s="18"/>
      <c r="AN51" s="18"/>
      <c r="AO51" s="18"/>
      <c r="AP51" s="18"/>
      <c r="AQ51" s="17"/>
      <c r="AR51" s="18"/>
      <c r="AS51" s="8"/>
      <c r="AT51" s="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33"/>
      <c r="BI51" s="18"/>
      <c r="BJ51" s="18"/>
      <c r="BK51" s="18"/>
      <c r="BL51" s="17"/>
      <c r="BM51" s="13"/>
      <c r="BO51" s="26"/>
      <c r="BS51" s="26"/>
      <c r="CD51" s="27"/>
    </row>
    <row r="52" spans="1:82" s="11" customFormat="1">
      <c r="A52" s="32"/>
      <c r="B52" s="33"/>
      <c r="C52" s="18"/>
      <c r="D52" s="18"/>
      <c r="E52" s="18"/>
      <c r="F52" s="18"/>
      <c r="G52" s="18"/>
      <c r="H52" s="17"/>
      <c r="I52" s="18"/>
      <c r="J52" s="18"/>
      <c r="K52" s="18"/>
      <c r="L52" s="18"/>
      <c r="M52" s="18"/>
      <c r="N52" s="18"/>
      <c r="O52" s="18"/>
      <c r="P52" s="33"/>
      <c r="Q52" s="18"/>
      <c r="R52" s="18"/>
      <c r="S52" s="18"/>
      <c r="T52" s="18"/>
      <c r="U52" s="18"/>
      <c r="V52" s="17"/>
      <c r="W52" s="18"/>
      <c r="X52" s="18"/>
      <c r="Y52" s="18"/>
      <c r="Z52" s="18"/>
      <c r="AA52" s="18"/>
      <c r="AB52" s="18"/>
      <c r="AC52" s="18"/>
      <c r="AD52" s="33"/>
      <c r="AE52" s="18"/>
      <c r="AF52" s="18"/>
      <c r="AG52" s="18"/>
      <c r="AH52" s="18"/>
      <c r="AI52" s="18"/>
      <c r="AJ52" s="17"/>
      <c r="AK52" s="33"/>
      <c r="AL52" s="18"/>
      <c r="AM52" s="18"/>
      <c r="AN52" s="18"/>
      <c r="AO52" s="18"/>
      <c r="AP52" s="18"/>
      <c r="AQ52" s="17"/>
      <c r="AR52" s="18"/>
      <c r="AS52" s="8"/>
      <c r="AT52" s="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46"/>
      <c r="BI52" s="18"/>
      <c r="BJ52" s="18"/>
      <c r="BK52" s="18"/>
      <c r="BL52" s="17"/>
      <c r="BM52" s="13"/>
      <c r="BO52" s="26"/>
      <c r="BS52" s="26"/>
      <c r="CD52" s="27"/>
    </row>
    <row r="53" spans="1:82" s="11" customFormat="1">
      <c r="A53" s="32"/>
      <c r="B53" s="33"/>
      <c r="C53" s="18"/>
      <c r="D53" s="18"/>
      <c r="E53" s="18"/>
      <c r="F53" s="18"/>
      <c r="G53" s="18"/>
      <c r="H53" s="17"/>
      <c r="I53" s="18"/>
      <c r="J53" s="18"/>
      <c r="K53" s="18"/>
      <c r="L53" s="18"/>
      <c r="M53" s="18"/>
      <c r="N53" s="18"/>
      <c r="O53" s="18"/>
      <c r="P53" s="33"/>
      <c r="Q53" s="18"/>
      <c r="R53" s="18"/>
      <c r="S53" s="18"/>
      <c r="T53" s="18"/>
      <c r="U53" s="18"/>
      <c r="V53" s="17"/>
      <c r="W53" s="18"/>
      <c r="X53" s="18"/>
      <c r="Y53" s="18"/>
      <c r="Z53" s="18"/>
      <c r="AA53" s="18"/>
      <c r="AB53" s="18"/>
      <c r="AC53" s="18"/>
      <c r="AD53" s="33"/>
      <c r="AE53" s="18"/>
      <c r="AF53" s="18"/>
      <c r="AG53" s="18"/>
      <c r="AH53" s="18"/>
      <c r="AI53" s="18"/>
      <c r="AJ53" s="17"/>
      <c r="AK53" s="33"/>
      <c r="AL53" s="18"/>
      <c r="AM53" s="18"/>
      <c r="AN53" s="18"/>
      <c r="AO53" s="18"/>
      <c r="AP53" s="18"/>
      <c r="AQ53" s="17"/>
      <c r="AR53" s="18"/>
      <c r="AS53" s="8"/>
      <c r="AT53" s="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33"/>
      <c r="BI53" s="18"/>
      <c r="BJ53" s="18"/>
      <c r="BK53" s="18"/>
      <c r="BL53" s="17"/>
      <c r="BM53" s="13"/>
      <c r="BO53" s="26"/>
      <c r="BS53" s="26"/>
      <c r="CD53" s="27"/>
    </row>
    <row r="54" spans="1:82" s="11" customFormat="1">
      <c r="A54" s="32"/>
      <c r="B54" s="33"/>
      <c r="C54" s="18"/>
      <c r="D54" s="18"/>
      <c r="E54" s="18"/>
      <c r="F54" s="18"/>
      <c r="G54" s="18"/>
      <c r="H54" s="17"/>
      <c r="I54" s="18"/>
      <c r="J54" s="18"/>
      <c r="K54" s="18"/>
      <c r="L54" s="18"/>
      <c r="M54" s="18"/>
      <c r="N54" s="18"/>
      <c r="O54" s="18"/>
      <c r="P54" s="33"/>
      <c r="Q54" s="18"/>
      <c r="R54" s="18"/>
      <c r="S54" s="18"/>
      <c r="T54" s="18"/>
      <c r="U54" s="18"/>
      <c r="V54" s="17"/>
      <c r="W54" s="18"/>
      <c r="X54" s="18"/>
      <c r="Y54" s="18"/>
      <c r="Z54" s="18"/>
      <c r="AA54" s="18"/>
      <c r="AB54" s="18"/>
      <c r="AC54" s="18"/>
      <c r="AD54" s="33"/>
      <c r="AE54" s="18"/>
      <c r="AF54" s="18"/>
      <c r="AG54" s="18"/>
      <c r="AH54" s="18"/>
      <c r="AI54" s="18"/>
      <c r="AJ54" s="17"/>
      <c r="AK54" s="33"/>
      <c r="AL54" s="18"/>
      <c r="AM54" s="18"/>
      <c r="AN54" s="18"/>
      <c r="AO54" s="18"/>
      <c r="AP54" s="18"/>
      <c r="AQ54" s="17"/>
      <c r="AR54" s="18"/>
      <c r="AS54" s="8"/>
      <c r="AT54" s="31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33"/>
      <c r="BI54" s="18"/>
      <c r="BJ54" s="18"/>
      <c r="BK54" s="18"/>
      <c r="BL54" s="17"/>
      <c r="BM54" s="13"/>
      <c r="BO54" s="26"/>
      <c r="BS54" s="26"/>
      <c r="CD54" s="27"/>
    </row>
    <row r="55" spans="1:82" s="11" customFormat="1">
      <c r="A55" s="32"/>
      <c r="B55" s="33"/>
      <c r="C55" s="18"/>
      <c r="D55" s="18"/>
      <c r="E55" s="18"/>
      <c r="F55" s="18"/>
      <c r="G55" s="18"/>
      <c r="H55" s="17"/>
      <c r="I55" s="18"/>
      <c r="J55" s="18"/>
      <c r="K55" s="18"/>
      <c r="L55" s="18"/>
      <c r="M55" s="18"/>
      <c r="N55" s="18"/>
      <c r="O55" s="18"/>
      <c r="P55" s="33"/>
      <c r="Q55" s="18"/>
      <c r="R55" s="18"/>
      <c r="S55" s="18"/>
      <c r="T55" s="18"/>
      <c r="U55" s="18"/>
      <c r="V55" s="17"/>
      <c r="W55" s="18"/>
      <c r="X55" s="18"/>
      <c r="Y55" s="18"/>
      <c r="Z55" s="18"/>
      <c r="AA55" s="18"/>
      <c r="AB55" s="18"/>
      <c r="AC55" s="18"/>
      <c r="AD55" s="33"/>
      <c r="AE55" s="18"/>
      <c r="AF55" s="18"/>
      <c r="AG55" s="18"/>
      <c r="AH55" s="18"/>
      <c r="AI55" s="18"/>
      <c r="AJ55" s="17"/>
      <c r="AK55" s="33"/>
      <c r="AL55" s="18"/>
      <c r="AM55" s="18"/>
      <c r="AN55" s="18"/>
      <c r="AO55" s="18"/>
      <c r="AP55" s="18"/>
      <c r="AQ55" s="17"/>
      <c r="AR55" s="18"/>
      <c r="AS55" s="16"/>
      <c r="AT55" s="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33"/>
      <c r="BI55" s="18"/>
      <c r="BJ55" s="18"/>
      <c r="BK55" s="18"/>
      <c r="BL55" s="17"/>
      <c r="BM55" s="13"/>
      <c r="BO55" s="26"/>
      <c r="BS55" s="26"/>
      <c r="CD55" s="27"/>
    </row>
    <row r="56" spans="1:82" s="11" customFormat="1">
      <c r="A56" s="32"/>
      <c r="B56" s="33"/>
      <c r="C56" s="18"/>
      <c r="D56" s="18"/>
      <c r="E56" s="18"/>
      <c r="F56" s="18"/>
      <c r="G56" s="18"/>
      <c r="H56" s="17"/>
      <c r="I56" s="18"/>
      <c r="J56" s="18"/>
      <c r="K56" s="18"/>
      <c r="L56" s="18"/>
      <c r="M56" s="18"/>
      <c r="N56" s="18"/>
      <c r="O56" s="18"/>
      <c r="P56" s="33"/>
      <c r="Q56" s="18"/>
      <c r="R56" s="18"/>
      <c r="S56" s="18"/>
      <c r="T56" s="18"/>
      <c r="U56" s="18"/>
      <c r="V56" s="17"/>
      <c r="W56" s="18"/>
      <c r="X56" s="18"/>
      <c r="Y56" s="18"/>
      <c r="Z56" s="18"/>
      <c r="AA56" s="18"/>
      <c r="AB56" s="18"/>
      <c r="AC56" s="18"/>
      <c r="AD56" s="33"/>
      <c r="AE56" s="18"/>
      <c r="AF56" s="18"/>
      <c r="AG56" s="18"/>
      <c r="AH56" s="18"/>
      <c r="AI56" s="18"/>
      <c r="AJ56" s="17"/>
      <c r="AK56" s="33"/>
      <c r="AL56" s="18"/>
      <c r="AM56" s="18"/>
      <c r="AN56" s="18"/>
      <c r="AO56" s="18"/>
      <c r="AP56" s="18"/>
      <c r="AQ56" s="17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33"/>
      <c r="BI56" s="18"/>
      <c r="BJ56" s="18"/>
      <c r="BK56" s="18"/>
      <c r="BL56" s="17"/>
      <c r="BM56" s="13"/>
      <c r="BO56" s="26"/>
      <c r="BS56" s="26"/>
      <c r="CD56" s="27"/>
    </row>
    <row r="57" spans="1:82" s="11" customFormat="1">
      <c r="A57" s="32"/>
      <c r="B57" s="33"/>
      <c r="C57" s="18"/>
      <c r="D57" s="18"/>
      <c r="E57" s="18"/>
      <c r="F57" s="18"/>
      <c r="G57" s="18"/>
      <c r="H57" s="17"/>
      <c r="I57" s="18"/>
      <c r="J57" s="18"/>
      <c r="K57" s="18"/>
      <c r="L57" s="18"/>
      <c r="M57" s="18"/>
      <c r="N57" s="18"/>
      <c r="O57" s="18"/>
      <c r="P57" s="33"/>
      <c r="Q57" s="18"/>
      <c r="R57" s="18"/>
      <c r="S57" s="18"/>
      <c r="T57" s="18"/>
      <c r="U57" s="18"/>
      <c r="V57" s="17"/>
      <c r="W57" s="18"/>
      <c r="X57" s="18"/>
      <c r="Y57" s="18"/>
      <c r="Z57" s="18"/>
      <c r="AA57" s="18"/>
      <c r="AB57" s="18"/>
      <c r="AC57" s="18"/>
      <c r="AD57" s="33"/>
      <c r="AE57" s="18"/>
      <c r="AF57" s="18"/>
      <c r="AG57" s="18"/>
      <c r="AH57" s="18"/>
      <c r="AI57" s="18"/>
      <c r="AJ57" s="17"/>
      <c r="AK57" s="33"/>
      <c r="AL57" s="18"/>
      <c r="AM57" s="18"/>
      <c r="AN57" s="18"/>
      <c r="AO57" s="18"/>
      <c r="AP57" s="18"/>
      <c r="AQ57" s="17"/>
      <c r="AR57" s="18"/>
      <c r="AS57" s="19"/>
      <c r="AU57" s="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33"/>
      <c r="BI57" s="18"/>
      <c r="BJ57" s="18"/>
      <c r="BK57" s="18"/>
      <c r="BL57" s="17"/>
      <c r="BM57" s="13"/>
      <c r="BO57" s="26"/>
      <c r="BS57" s="26"/>
      <c r="CD57" s="27"/>
    </row>
    <row r="58" spans="1:82" s="11" customFormat="1">
      <c r="A58" s="32"/>
      <c r="B58" s="33"/>
      <c r="C58" s="18"/>
      <c r="D58" s="18"/>
      <c r="E58" s="18"/>
      <c r="F58" s="18"/>
      <c r="G58" s="18"/>
      <c r="H58" s="17"/>
      <c r="I58" s="18"/>
      <c r="J58" s="18"/>
      <c r="K58" s="18"/>
      <c r="L58" s="18"/>
      <c r="M58" s="18"/>
      <c r="N58" s="18"/>
      <c r="O58" s="18"/>
      <c r="P58" s="33"/>
      <c r="Q58" s="18"/>
      <c r="R58" s="18"/>
      <c r="S58" s="18"/>
      <c r="T58" s="18"/>
      <c r="U58" s="18"/>
      <c r="V58" s="17"/>
      <c r="W58" s="18"/>
      <c r="X58" s="18"/>
      <c r="Y58" s="18"/>
      <c r="Z58" s="18"/>
      <c r="AA58" s="18"/>
      <c r="AB58" s="18"/>
      <c r="AC58" s="18"/>
      <c r="AD58" s="33"/>
      <c r="AE58" s="18"/>
      <c r="AF58" s="18"/>
      <c r="AG58" s="18"/>
      <c r="AH58" s="18"/>
      <c r="AI58" s="18"/>
      <c r="AJ58" s="17"/>
      <c r="AK58" s="33"/>
      <c r="AL58" s="18"/>
      <c r="AM58" s="18"/>
      <c r="AN58" s="18"/>
      <c r="AO58" s="18"/>
      <c r="AP58" s="18"/>
      <c r="AQ58" s="17"/>
      <c r="AR58" s="18"/>
      <c r="AS58" s="8"/>
      <c r="AT58" s="8"/>
      <c r="AU58" s="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33"/>
      <c r="BI58" s="18"/>
      <c r="BJ58" s="18"/>
      <c r="BK58" s="18"/>
      <c r="BL58" s="17"/>
      <c r="BM58" s="13"/>
      <c r="BO58" s="26"/>
      <c r="BS58" s="26"/>
      <c r="CD58" s="27"/>
    </row>
    <row r="59" spans="1:82" s="11" customFormat="1">
      <c r="A59" s="32"/>
      <c r="B59" s="33"/>
      <c r="C59" s="18"/>
      <c r="D59" s="18"/>
      <c r="E59" s="18"/>
      <c r="F59" s="18"/>
      <c r="G59" s="18"/>
      <c r="H59" s="17"/>
      <c r="I59" s="18"/>
      <c r="J59" s="18"/>
      <c r="K59" s="18"/>
      <c r="L59" s="18"/>
      <c r="M59" s="18"/>
      <c r="N59" s="18"/>
      <c r="O59" s="18"/>
      <c r="P59" s="33"/>
      <c r="Q59" s="18"/>
      <c r="R59" s="18"/>
      <c r="S59" s="18"/>
      <c r="T59" s="18"/>
      <c r="U59" s="18"/>
      <c r="V59" s="17"/>
      <c r="W59" s="18"/>
      <c r="X59" s="18"/>
      <c r="Y59" s="18"/>
      <c r="Z59" s="18"/>
      <c r="AA59" s="18"/>
      <c r="AB59" s="18"/>
      <c r="AC59" s="18"/>
      <c r="AD59" s="33"/>
      <c r="AE59" s="18"/>
      <c r="AF59" s="18"/>
      <c r="AG59" s="18"/>
      <c r="AH59" s="18"/>
      <c r="AI59" s="18"/>
      <c r="AJ59" s="17"/>
      <c r="AK59" s="33"/>
      <c r="AL59" s="18"/>
      <c r="AM59" s="18"/>
      <c r="AN59" s="18"/>
      <c r="AO59" s="18"/>
      <c r="AP59" s="18"/>
      <c r="AQ59" s="17"/>
      <c r="AR59" s="18"/>
      <c r="AS59" s="18"/>
      <c r="AT59" s="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33"/>
      <c r="BI59" s="18"/>
      <c r="BJ59" s="18"/>
      <c r="BK59" s="18"/>
      <c r="BL59" s="17"/>
      <c r="BM59" s="13"/>
      <c r="BO59" s="26"/>
      <c r="BS59" s="26"/>
      <c r="CD59" s="27"/>
    </row>
    <row r="60" spans="1:82">
      <c r="A60" s="34"/>
      <c r="B60" s="21"/>
      <c r="C60" s="10"/>
      <c r="D60" s="10"/>
      <c r="E60" s="10"/>
      <c r="F60" s="10"/>
      <c r="G60" s="10"/>
      <c r="H60" s="15"/>
      <c r="I60" s="10"/>
      <c r="J60" s="10"/>
      <c r="K60" s="10"/>
      <c r="L60" s="10"/>
      <c r="M60" s="10"/>
      <c r="N60" s="10"/>
      <c r="O60" s="10"/>
      <c r="P60" s="21"/>
      <c r="Q60" s="10"/>
      <c r="R60" s="10"/>
      <c r="S60" s="10"/>
      <c r="T60" s="10"/>
      <c r="U60" s="10"/>
      <c r="V60" s="15"/>
      <c r="W60" s="10"/>
      <c r="X60" s="10"/>
      <c r="Y60" s="10"/>
      <c r="Z60" s="10"/>
      <c r="AA60" s="10"/>
      <c r="AB60" s="10"/>
      <c r="AC60" s="10"/>
      <c r="AD60" s="21"/>
      <c r="AE60" s="10"/>
      <c r="AF60" s="10"/>
      <c r="AG60" s="10"/>
      <c r="AH60" s="10"/>
      <c r="AI60" s="10"/>
      <c r="AJ60" s="15"/>
      <c r="AK60" s="21"/>
      <c r="AL60" s="10"/>
      <c r="AM60" s="10"/>
      <c r="AN60" s="10"/>
      <c r="AO60" s="10"/>
      <c r="AP60" s="10"/>
      <c r="AQ60" s="15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21"/>
      <c r="BI60" s="10"/>
      <c r="BJ60" s="10"/>
      <c r="BK60" s="10"/>
      <c r="BL60" s="15"/>
      <c r="BM60" s="14"/>
      <c r="BO60" s="28"/>
      <c r="BP60" s="29"/>
      <c r="BQ60" s="29"/>
      <c r="BR60" s="29"/>
      <c r="BS60" s="28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30"/>
    </row>
    <row r="61" spans="1:82">
      <c r="A61" s="21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5"/>
    </row>
  </sheetData>
  <mergeCells count="27">
    <mergeCell ref="A2:E3"/>
    <mergeCell ref="F2:U3"/>
    <mergeCell ref="V2:AI3"/>
    <mergeCell ref="BO8:BR9"/>
    <mergeCell ref="BS8:CD9"/>
    <mergeCell ref="B9:H9"/>
    <mergeCell ref="I9:O9"/>
    <mergeCell ref="P9:V9"/>
    <mergeCell ref="W9:AC9"/>
    <mergeCell ref="AD9:AJ9"/>
    <mergeCell ref="AK9:AQ9"/>
    <mergeCell ref="B8:O8"/>
    <mergeCell ref="P8:AC8"/>
    <mergeCell ref="AD8:AQ8"/>
    <mergeCell ref="AR8:BG9"/>
    <mergeCell ref="BH8:BL9"/>
    <mergeCell ref="A1:E1"/>
    <mergeCell ref="F1:U1"/>
    <mergeCell ref="V1:AI1"/>
    <mergeCell ref="AJ1:AP1"/>
    <mergeCell ref="AQ1:AV1"/>
    <mergeCell ref="AJ2:AK2"/>
    <mergeCell ref="AL2:AP2"/>
    <mergeCell ref="AQ2:AV2"/>
    <mergeCell ref="AJ3:AK3"/>
    <mergeCell ref="AL3:AP3"/>
    <mergeCell ref="AQ3:AV3"/>
  </mergeCells>
  <phoneticPr fontId="2"/>
  <pageMargins left="0.7" right="0.7" top="0.75" bottom="0.75" header="0.3" footer="0.3"/>
  <pageSetup paperSize="9" scale="69" fitToHeight="0" orientation="portrait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7D8DE12D48B47B0D44EEF0BC44240" ma:contentTypeVersion="3" ma:contentTypeDescription="Create a new document." ma:contentTypeScope="" ma:versionID="16c51bd49fd1e4ed1770dd35df481b43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153b58a2c46f1fad70237535d3299674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280B23-2C48-4B11-A853-354482C17978}"/>
</file>

<file path=customXml/itemProps2.xml><?xml version="1.0" encoding="utf-8"?>
<ds:datastoreItem xmlns:ds="http://schemas.openxmlformats.org/officeDocument/2006/customXml" ds:itemID="{CFA8C942-3B47-4776-8BDA-17699C526566}"/>
</file>

<file path=customXml/itemProps3.xml><?xml version="1.0" encoding="utf-8"?>
<ds:datastoreItem xmlns:ds="http://schemas.openxmlformats.org/officeDocument/2006/customXml" ds:itemID="{88E5C748-0E82-465F-AAE2-69FF9B0201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Fukuda, Miki</dc:creator>
  <cp:keywords/>
  <dc:description/>
  <cp:lastModifiedBy>北山 瑞季 Mizuki Kitayama</cp:lastModifiedBy>
  <cp:revision/>
  <dcterms:created xsi:type="dcterms:W3CDTF">2018-11-08T07:18:29Z</dcterms:created>
  <dcterms:modified xsi:type="dcterms:W3CDTF">2025-09-08T08:29:36Z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