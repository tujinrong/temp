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General/04_開発フェーズ/07_データ定義書/01_テーブル定義書  (Table Definition)/"/>
    </mc:Choice>
  </mc:AlternateContent>
  <xr:revisionPtr revIDLastSave="239" documentId="13_ncr:1_{B0CADA02-442A-43CA-B9BB-A38DFCA14D27}" xr6:coauthVersionLast="47" xr6:coauthVersionMax="47" xr10:uidLastSave="{68998238-5157-4516-BD91-E9D7BC743E7E}"/>
  <bookViews>
    <workbookView xWindow="28680" yWindow="-120" windowWidth="29040" windowHeight="15720" activeTab="1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_xlnm._FilterDatabase" localSheetId="1" hidden="1">テーブル定義!$A$7:$N$58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テーブル定義!$A$1:$M$36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5" l="1"/>
  <c r="B41" i="5"/>
  <c r="B32" i="5"/>
  <c r="B19" i="5"/>
  <c r="B36" i="5" l="1"/>
  <c r="B37" i="5"/>
  <c r="B38" i="5"/>
  <c r="B39" i="5"/>
  <c r="B40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F2" i="9" l="1" a="1"/>
  <c r="F2" i="9" s="1"/>
  <c r="B18" i="5"/>
  <c r="B8" i="5"/>
  <c r="B9" i="5"/>
  <c r="B10" i="5"/>
  <c r="B11" i="5"/>
  <c r="B12" i="5"/>
  <c r="B13" i="5"/>
  <c r="B14" i="5"/>
  <c r="B15" i="5"/>
  <c r="B16" i="5"/>
  <c r="B17" i="5"/>
  <c r="B20" i="5"/>
  <c r="H2" i="5" l="1"/>
  <c r="H3" i="5"/>
  <c r="M3" i="5"/>
  <c r="B35" i="5" l="1"/>
  <c r="B34" i="5"/>
  <c r="B33" i="5"/>
  <c r="B31" i="5"/>
  <c r="B30" i="5"/>
  <c r="B29" i="5"/>
  <c r="B28" i="5"/>
  <c r="B27" i="5"/>
  <c r="B26" i="5"/>
  <c r="B25" i="5"/>
  <c r="B24" i="5"/>
  <c r="B23" i="5"/>
  <c r="B22" i="5"/>
  <c r="B2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<sst xmlns="http://schemas.openxmlformats.org/spreadsheetml/2006/main" count="462" uniqueCount="307">
  <si>
    <t>システム名</t>
    <rPh sb="4" eb="5">
      <t>メイ</t>
    </rPh>
    <phoneticPr fontId="6"/>
  </si>
  <si>
    <t>Dynamics365 for Finance and Operations</t>
    <phoneticPr fontId="3"/>
  </si>
  <si>
    <t>タイトル</t>
  </si>
  <si>
    <t>日付</t>
    <rPh sb="0" eb="2">
      <t>ヒヅケ</t>
    </rPh>
    <phoneticPr fontId="17"/>
  </si>
  <si>
    <t>更新者</t>
    <rPh sb="0" eb="2">
      <t>コウシン</t>
    </rPh>
    <rPh sb="2" eb="3">
      <t>シャ</t>
    </rPh>
    <phoneticPr fontId="6"/>
  </si>
  <si>
    <t>文書名</t>
    <rPh sb="0" eb="2">
      <t>ブンショ</t>
    </rPh>
    <rPh sb="2" eb="3">
      <t>メイ</t>
    </rPh>
    <phoneticPr fontId="6"/>
  </si>
  <si>
    <t>変更履歴</t>
    <rPh sb="0" eb="4">
      <t>ヘンコウリレキ</t>
    </rPh>
    <phoneticPr fontId="19"/>
  </si>
  <si>
    <t>作成</t>
    <rPh sb="0" eb="2">
      <t>サクセイ</t>
    </rPh>
    <phoneticPr fontId="6"/>
  </si>
  <si>
    <t>更新</t>
    <rPh sb="0" eb="2">
      <t>コウシン</t>
    </rPh>
    <phoneticPr fontId="6"/>
  </si>
  <si>
    <t>変更年月日</t>
    <rPh sb="0" eb="2">
      <t>ヘンコウ</t>
    </rPh>
    <rPh sb="2" eb="5">
      <t>ネンガッピ</t>
    </rPh>
    <phoneticPr fontId="21"/>
  </si>
  <si>
    <t>変更箇所</t>
    <rPh sb="0" eb="2">
      <t>ヘンコウ</t>
    </rPh>
    <rPh sb="2" eb="4">
      <t>カショ</t>
    </rPh>
    <phoneticPr fontId="21"/>
  </si>
  <si>
    <t>変更内容</t>
    <rPh sb="0" eb="2">
      <t>ヘンコウ</t>
    </rPh>
    <rPh sb="2" eb="4">
      <t>ナイヨウ</t>
    </rPh>
    <phoneticPr fontId="21"/>
  </si>
  <si>
    <t>変更者</t>
    <rPh sb="0" eb="2">
      <t>ヘンコウ</t>
    </rPh>
    <rPh sb="2" eb="3">
      <t>シャ</t>
    </rPh>
    <phoneticPr fontId="21"/>
  </si>
  <si>
    <t>版数</t>
    <rPh sb="0" eb="1">
      <t>ハン</t>
    </rPh>
    <rPh sb="1" eb="2">
      <t>スウ</t>
    </rPh>
    <phoneticPr fontId="21"/>
  </si>
  <si>
    <t>新規作成</t>
    <rPh sb="0" eb="4">
      <t>シンキサクセイ</t>
    </rPh>
    <phoneticPr fontId="3"/>
  </si>
  <si>
    <t>1.0</t>
    <phoneticPr fontId="3"/>
  </si>
  <si>
    <t>プロジェクト名</t>
    <rPh sb="6" eb="7">
      <t>メイ</t>
    </rPh>
    <phoneticPr fontId="6"/>
  </si>
  <si>
    <t>区分</t>
    <rPh sb="0" eb="2">
      <t>クブン</t>
    </rPh>
    <phoneticPr fontId="6"/>
  </si>
  <si>
    <t>作成日時</t>
    <rPh sb="0" eb="2">
      <t>サクセイ</t>
    </rPh>
    <rPh sb="2" eb="4">
      <t>ニチジ</t>
    </rPh>
    <phoneticPr fontId="3"/>
  </si>
  <si>
    <t>変更日時</t>
    <rPh sb="0" eb="2">
      <t>ヘンコウ</t>
    </rPh>
    <rPh sb="2" eb="4">
      <t>ニチジ</t>
    </rPh>
    <phoneticPr fontId="3"/>
  </si>
  <si>
    <t>会計システム刷新プロジェクト（LIBRA）</t>
    <phoneticPr fontId="3"/>
  </si>
  <si>
    <t>テーブル定義書</t>
    <rPh sb="4" eb="7">
      <t>テイギショ</t>
    </rPh>
    <phoneticPr fontId="3"/>
  </si>
  <si>
    <t>作成者</t>
    <rPh sb="0" eb="2">
      <t>サクセイ</t>
    </rPh>
    <rPh sb="2" eb="3">
      <t>シャ</t>
    </rPh>
    <phoneticPr fontId="3"/>
  </si>
  <si>
    <t>変更者</t>
    <rPh sb="0" eb="3">
      <t>ヘンコウシャ</t>
    </rPh>
    <phoneticPr fontId="3"/>
  </si>
  <si>
    <t>ﾃｰﾌﾞﾙ名(論理)</t>
    <rPh sb="5" eb="6">
      <t>メイ</t>
    </rPh>
    <rPh sb="7" eb="9">
      <t>ロンリ</t>
    </rPh>
    <phoneticPr fontId="6"/>
  </si>
  <si>
    <t>ラベルID</t>
    <phoneticPr fontId="6"/>
  </si>
  <si>
    <t>ﾃｰﾌﾞﾙ名(物理)</t>
    <rPh sb="5" eb="6">
      <t>メイ</t>
    </rPh>
    <rPh sb="7" eb="9">
      <t>ブツリ</t>
    </rPh>
    <phoneticPr fontId="6"/>
  </si>
  <si>
    <t>テーブルタイプ</t>
    <phoneticPr fontId="6"/>
  </si>
  <si>
    <t>テーブル種別</t>
    <rPh sb="4" eb="6">
      <t>シュベツ</t>
    </rPh>
    <phoneticPr fontId="6"/>
  </si>
  <si>
    <t>開発区分</t>
    <rPh sb="0" eb="2">
      <t>カイハツ</t>
    </rPh>
    <rPh sb="2" eb="4">
      <t>クブン</t>
    </rPh>
    <phoneticPr fontId="6"/>
  </si>
  <si>
    <t>Save Data Per Company</t>
    <phoneticPr fontId="3"/>
  </si>
  <si>
    <t>Regular</t>
  </si>
  <si>
    <t>Transaction</t>
  </si>
  <si>
    <t>アドオン</t>
  </si>
  <si>
    <t>No</t>
    <phoneticPr fontId="3"/>
  </si>
  <si>
    <t>#</t>
    <phoneticPr fontId="6"/>
  </si>
  <si>
    <t>列名(論理)</t>
    <rPh sb="0" eb="1">
      <t>レツ</t>
    </rPh>
    <rPh sb="1" eb="2">
      <t>メイ</t>
    </rPh>
    <rPh sb="3" eb="5">
      <t>ロンリ</t>
    </rPh>
    <phoneticPr fontId="6"/>
  </si>
  <si>
    <t>列名(物理)</t>
    <rPh sb="0" eb="1">
      <t>レツ</t>
    </rPh>
    <rPh sb="1" eb="2">
      <t>メイ</t>
    </rPh>
    <rPh sb="3" eb="5">
      <t>ブツリ</t>
    </rPh>
    <phoneticPr fontId="6"/>
  </si>
  <si>
    <t>型</t>
    <rPh sb="0" eb="1">
      <t>カタ</t>
    </rPh>
    <phoneticPr fontId="6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</si>
  <si>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6"/>
  </si>
  <si>
    <t>桁数</t>
    <rPh sb="0" eb="2">
      <t>ケタスウ</t>
    </rPh>
    <phoneticPr fontId="6"/>
  </si>
  <si>
    <t>PK</t>
    <phoneticPr fontId="6"/>
  </si>
  <si>
    <t>必須</t>
    <rPh sb="0" eb="2">
      <t>ヒッス</t>
    </rPh>
    <phoneticPr fontId="6"/>
  </si>
  <si>
    <t>CompanyId</t>
    <phoneticPr fontId="3"/>
  </si>
  <si>
    <t>String</t>
  </si>
  <si>
    <t>SJ_CompanyId</t>
    <phoneticPr fontId="3"/>
  </si>
  <si>
    <t>NO</t>
  </si>
  <si>
    <t>YES</t>
  </si>
  <si>
    <t>※RecIDをPKとする</t>
  </si>
  <si>
    <t>データ区分</t>
    <rPh sb="3" eb="5">
      <t>クブン</t>
    </rPh>
    <phoneticPr fontId="6"/>
  </si>
  <si>
    <t>SJ00387</t>
  </si>
  <si>
    <t>DataClass</t>
    <phoneticPr fontId="3"/>
  </si>
  <si>
    <t>3</t>
    <phoneticPr fontId="3"/>
  </si>
  <si>
    <t>伝票キー</t>
    <rPh sb="0" eb="2">
      <t>デンピョウ</t>
    </rPh>
    <phoneticPr fontId="6"/>
  </si>
  <si>
    <t>SJ00386</t>
  </si>
  <si>
    <t>VoucherKey</t>
    <phoneticPr fontId="3"/>
  </si>
  <si>
    <t>SJ_VoucherKey</t>
    <phoneticPr fontId="3"/>
  </si>
  <si>
    <t>16</t>
    <phoneticPr fontId="3"/>
  </si>
  <si>
    <t>明細番号</t>
  </si>
  <si>
    <t>SJ00258</t>
  </si>
  <si>
    <t>RowNum</t>
    <phoneticPr fontId="3"/>
  </si>
  <si>
    <t>SJ_rowNumber</t>
    <phoneticPr fontId="3"/>
  </si>
  <si>
    <t>3</t>
  </si>
  <si>
    <t>伝票タイプ</t>
  </si>
  <si>
    <t>SJ00256</t>
  </si>
  <si>
    <t>DocumentNumber</t>
  </si>
  <si>
    <t>SJ_DocumentNumber</t>
    <phoneticPr fontId="3"/>
  </si>
  <si>
    <t>2</t>
    <phoneticPr fontId="3"/>
  </si>
  <si>
    <t>仕訳帳ヘッダテキスト</t>
    <rPh sb="0" eb="3">
      <t>シワケチョウ</t>
    </rPh>
    <phoneticPr fontId="6"/>
  </si>
  <si>
    <t>SJ00384</t>
  </si>
  <si>
    <t>HeaderText</t>
    <phoneticPr fontId="3"/>
  </si>
  <si>
    <t>25</t>
    <phoneticPr fontId="3"/>
  </si>
  <si>
    <t>PostingDate</t>
    <phoneticPr fontId="3"/>
  </si>
  <si>
    <t>Date</t>
  </si>
  <si>
    <t>税額計算</t>
  </si>
  <si>
    <t>SJ00378</t>
    <phoneticPr fontId="3"/>
  </si>
  <si>
    <t>TaxCalculation</t>
    <phoneticPr fontId="3"/>
  </si>
  <si>
    <t>Enum</t>
  </si>
  <si>
    <t>SJ_TaxCalculation</t>
    <phoneticPr fontId="3"/>
  </si>
  <si>
    <t>0：外税計算, 1：内税計算</t>
    <rPh sb="2" eb="4">
      <t>ソトゼイ</t>
    </rPh>
    <rPh sb="4" eb="6">
      <t>ケイサン</t>
    </rPh>
    <rPh sb="10" eb="12">
      <t>ウチゼイ</t>
    </rPh>
    <rPh sb="12" eb="14">
      <t>ケイサン</t>
    </rPh>
    <phoneticPr fontId="3"/>
  </si>
  <si>
    <t>伝票日付</t>
  </si>
  <si>
    <t>SJ00255</t>
    <phoneticPr fontId="3"/>
  </si>
  <si>
    <t>VoucherDate</t>
    <phoneticPr fontId="3"/>
  </si>
  <si>
    <t>SJ_VoucherDate</t>
    <phoneticPr fontId="3"/>
  </si>
  <si>
    <t>勘定タイプ</t>
    <rPh sb="0" eb="2">
      <t>カンジョウ</t>
    </rPh>
    <phoneticPr fontId="6"/>
  </si>
  <si>
    <t>AccountType</t>
  </si>
  <si>
    <t>勘定</t>
    <rPh sb="0" eb="2">
      <t>カンジョウ</t>
    </rPh>
    <phoneticPr fontId="6"/>
  </si>
  <si>
    <t>SJ00653</t>
  </si>
  <si>
    <t>AccountID</t>
    <phoneticPr fontId="3"/>
  </si>
  <si>
    <t>20</t>
    <phoneticPr fontId="3"/>
  </si>
  <si>
    <t>勘定細目</t>
    <rPh sb="0" eb="2">
      <t>カンジョウ</t>
    </rPh>
    <rPh sb="2" eb="4">
      <t>サイモク</t>
    </rPh>
    <phoneticPr fontId="3"/>
  </si>
  <si>
    <t>SJ00401</t>
  </si>
  <si>
    <t>AccountDetails</t>
    <phoneticPr fontId="3"/>
  </si>
  <si>
    <t>明細テキスト</t>
    <rPh sb="0" eb="2">
      <t>メイサイ</t>
    </rPh>
    <phoneticPr fontId="6"/>
  </si>
  <si>
    <t>SJ00385</t>
  </si>
  <si>
    <t>DetailsText</t>
    <phoneticPr fontId="3"/>
  </si>
  <si>
    <t>50</t>
    <phoneticPr fontId="3"/>
  </si>
  <si>
    <t>貸方金額</t>
    <rPh sb="0" eb="2">
      <t>カシカタ</t>
    </rPh>
    <rPh sb="2" eb="4">
      <t>キンガク</t>
    </rPh>
    <phoneticPr fontId="6"/>
  </si>
  <si>
    <t>SJ00241</t>
  </si>
  <si>
    <t>CreditAmount</t>
    <phoneticPr fontId="3"/>
  </si>
  <si>
    <t>Real</t>
  </si>
  <si>
    <t>借方金額</t>
    <rPh sb="0" eb="2">
      <t>カリカタ</t>
    </rPh>
    <rPh sb="2" eb="4">
      <t>キンガク</t>
    </rPh>
    <phoneticPr fontId="6"/>
  </si>
  <si>
    <t>SJ00240</t>
    <phoneticPr fontId="3"/>
  </si>
  <si>
    <t>DebitAmount</t>
    <phoneticPr fontId="3"/>
  </si>
  <si>
    <t>税額</t>
    <rPh sb="0" eb="2">
      <t>ゼイガク</t>
    </rPh>
    <phoneticPr fontId="6"/>
  </si>
  <si>
    <t>SJ00382</t>
  </si>
  <si>
    <t>TaxAmount</t>
    <phoneticPr fontId="3"/>
  </si>
  <si>
    <t>通貨</t>
    <rPh sb="0" eb="2">
      <t>ツウカ</t>
    </rPh>
    <phoneticPr fontId="6"/>
  </si>
  <si>
    <t>CurrencyCode</t>
  </si>
  <si>
    <t>為替レート</t>
    <rPh sb="0" eb="2">
      <t>カワセ</t>
    </rPh>
    <phoneticPr fontId="5"/>
  </si>
  <si>
    <t>ExchRate</t>
  </si>
  <si>
    <t>小数点以下12桁</t>
    <rPh sb="0" eb="3">
      <t>ショウスウテン</t>
    </rPh>
    <rPh sb="3" eb="5">
      <t>イカ</t>
    </rPh>
    <rPh sb="7" eb="8">
      <t>ケタ</t>
    </rPh>
    <phoneticPr fontId="3"/>
  </si>
  <si>
    <t>税コード</t>
    <phoneticPr fontId="3"/>
  </si>
  <si>
    <t>TaxCode</t>
  </si>
  <si>
    <t>SJ_TaxCode</t>
    <phoneticPr fontId="3"/>
  </si>
  <si>
    <t>2</t>
  </si>
  <si>
    <t>利益センタ</t>
  </si>
  <si>
    <t>SJ00262</t>
  </si>
  <si>
    <t>Department</t>
  </si>
  <si>
    <t>SJ_Department</t>
    <phoneticPr fontId="3"/>
  </si>
  <si>
    <t>10</t>
  </si>
  <si>
    <t>原価センタ</t>
    <rPh sb="0" eb="2">
      <t>ゲンカ</t>
    </rPh>
    <phoneticPr fontId="6"/>
  </si>
  <si>
    <t>SJ00381</t>
  </si>
  <si>
    <t>CostCenter</t>
    <phoneticPr fontId="3"/>
  </si>
  <si>
    <t>10</t>
    <phoneticPr fontId="3"/>
  </si>
  <si>
    <t>チャネル</t>
  </si>
  <si>
    <t>SJ00263</t>
  </si>
  <si>
    <t>Channel</t>
    <phoneticPr fontId="3"/>
  </si>
  <si>
    <t>SJ_Channel</t>
    <phoneticPr fontId="3"/>
  </si>
  <si>
    <t>ブランド</t>
  </si>
  <si>
    <t>SJ00264</t>
  </si>
  <si>
    <t>BrandCode</t>
    <phoneticPr fontId="3"/>
  </si>
  <si>
    <t>SJ_BrandCode</t>
    <phoneticPr fontId="3"/>
  </si>
  <si>
    <t>SJ00265</t>
  </si>
  <si>
    <t>Category</t>
  </si>
  <si>
    <t>SJ_Category</t>
    <phoneticPr fontId="3"/>
  </si>
  <si>
    <t>指図コード</t>
    <rPh sb="0" eb="2">
      <t>サシズ</t>
    </rPh>
    <phoneticPr fontId="3"/>
  </si>
  <si>
    <t>SJ00003</t>
  </si>
  <si>
    <t>OrderCode</t>
  </si>
  <si>
    <t>12</t>
  </si>
  <si>
    <t>品番</t>
    <rPh sb="0" eb="2">
      <t>ヒンバン</t>
    </rPh>
    <phoneticPr fontId="3"/>
  </si>
  <si>
    <t>SJ00498</t>
  </si>
  <si>
    <t>ItemNumber</t>
    <phoneticPr fontId="3"/>
  </si>
  <si>
    <t>参照伝票番号</t>
    <phoneticPr fontId="3"/>
  </si>
  <si>
    <t>SJ00257</t>
  </si>
  <si>
    <t>RefVoucher</t>
  </si>
  <si>
    <t>SJ_RefVoucher</t>
    <phoneticPr fontId="3"/>
  </si>
  <si>
    <t>16</t>
  </si>
  <si>
    <t>社内稟議書番号</t>
    <rPh sb="0" eb="5">
      <t>シャナイリンギショ</t>
    </rPh>
    <rPh sb="5" eb="7">
      <t>バンゴウ</t>
    </rPh>
    <phoneticPr fontId="6"/>
  </si>
  <si>
    <t>SJ00374</t>
  </si>
  <si>
    <t>ApprovalDocumentNumber</t>
    <phoneticPr fontId="3"/>
  </si>
  <si>
    <t>得意先コード</t>
    <rPh sb="0" eb="3">
      <t>トクイサキ</t>
    </rPh>
    <phoneticPr fontId="6"/>
  </si>
  <si>
    <t>SJ00373</t>
  </si>
  <si>
    <t>CustNumber</t>
    <phoneticPr fontId="3"/>
  </si>
  <si>
    <t>PostingProfile</t>
  </si>
  <si>
    <t>PostingProfile</t>
    <phoneticPr fontId="3"/>
  </si>
  <si>
    <t>請求書</t>
    <phoneticPr fontId="3"/>
  </si>
  <si>
    <t>InvoiceId</t>
  </si>
  <si>
    <t>支払方法</t>
    <rPh sb="0" eb="2">
      <t>シハラ</t>
    </rPh>
    <rPh sb="2" eb="4">
      <t>ホウホウ</t>
    </rPh>
    <phoneticPr fontId="6"/>
  </si>
  <si>
    <t>PaymMode</t>
  </si>
  <si>
    <t>SJ_PaymMode</t>
    <phoneticPr fontId="3"/>
  </si>
  <si>
    <t>支払基準日</t>
    <rPh sb="0" eb="2">
      <t>シハラ</t>
    </rPh>
    <rPh sb="2" eb="5">
      <t>キジュンビ</t>
    </rPh>
    <phoneticPr fontId="6"/>
  </si>
  <si>
    <t>SJ00001</t>
  </si>
  <si>
    <t>PaymBaseDate</t>
    <phoneticPr fontId="3"/>
  </si>
  <si>
    <t>SJ_PaymBaseDate</t>
    <phoneticPr fontId="3"/>
  </si>
  <si>
    <t>UtcDateTime</t>
  </si>
  <si>
    <t>InvoiceDate</t>
    <phoneticPr fontId="3"/>
  </si>
  <si>
    <t>ファイル名</t>
    <rPh sb="4" eb="5">
      <t>メイ</t>
    </rPh>
    <phoneticPr fontId="3"/>
  </si>
  <si>
    <t>FileName</t>
    <phoneticPr fontId="3"/>
  </si>
  <si>
    <t>259</t>
    <phoneticPr fontId="3"/>
  </si>
  <si>
    <t>行番号</t>
    <rPh sb="0" eb="3">
      <t>ギョウバンゴウ</t>
    </rPh>
    <phoneticPr fontId="16"/>
  </si>
  <si>
    <t>LineNum</t>
  </si>
  <si>
    <t>Integer</t>
  </si>
  <si>
    <t>処理ステータス</t>
    <rPh sb="0" eb="2">
      <t>ショリ</t>
    </rPh>
    <phoneticPr fontId="3"/>
  </si>
  <si>
    <t>SJ00028</t>
  </si>
  <si>
    <t>ProcessStatus</t>
    <phoneticPr fontId="3"/>
  </si>
  <si>
    <t>SJ_ProcessStatus</t>
    <phoneticPr fontId="3"/>
  </si>
  <si>
    <t>伝票番号</t>
  </si>
  <si>
    <t>SJ00254</t>
  </si>
  <si>
    <t>Voucher</t>
  </si>
  <si>
    <t>SJ_Voucher</t>
    <phoneticPr fontId="3"/>
  </si>
  <si>
    <t>ログ</t>
  </si>
  <si>
    <t>SJ00194</t>
  </si>
  <si>
    <t>Log</t>
    <phoneticPr fontId="3"/>
  </si>
  <si>
    <t>String</t>
    <phoneticPr fontId="3"/>
  </si>
  <si>
    <t>SJ_Log</t>
    <phoneticPr fontId="3"/>
  </si>
  <si>
    <t>【フィールドグループ】</t>
    <phoneticPr fontId="6"/>
  </si>
  <si>
    <t>グループ名</t>
    <rPh sb="4" eb="5">
      <t>メイ</t>
    </rPh>
    <phoneticPr fontId="6"/>
  </si>
  <si>
    <t>ラベル</t>
    <phoneticPr fontId="6"/>
  </si>
  <si>
    <t>フィールド</t>
    <phoneticPr fontId="6"/>
  </si>
  <si>
    <t>その他プロパティ</t>
    <rPh sb="2" eb="3">
      <t>タ</t>
    </rPh>
    <phoneticPr fontId="6"/>
  </si>
  <si>
    <t>【インデックス】</t>
    <phoneticPr fontId="6"/>
  </si>
  <si>
    <t>インデックス名</t>
    <rPh sb="6" eb="7">
      <t>メイ</t>
    </rPh>
    <phoneticPr fontId="6"/>
  </si>
  <si>
    <t>重複許可</t>
    <rPh sb="0" eb="2">
      <t>ジュウフク</t>
    </rPh>
    <rPh sb="2" eb="4">
      <t>キョカ</t>
    </rPh>
    <phoneticPr fontId="6"/>
  </si>
  <si>
    <t>【リレーション】</t>
    <phoneticPr fontId="6"/>
  </si>
  <si>
    <t>リレーション名(テーブル名)</t>
    <rPh sb="6" eb="7">
      <t>メイ</t>
    </rPh>
    <rPh sb="12" eb="13">
      <t>メイ</t>
    </rPh>
    <phoneticPr fontId="6"/>
  </si>
  <si>
    <t>リレーションタイプ</t>
    <phoneticPr fontId="6"/>
  </si>
  <si>
    <t>基数</t>
    <rPh sb="0" eb="2">
      <t>キスウ</t>
    </rPh>
    <phoneticPr fontId="6"/>
  </si>
  <si>
    <t>関連テーブル基数</t>
    <rPh sb="0" eb="2">
      <t>カンレン</t>
    </rPh>
    <rPh sb="6" eb="8">
      <t>キスウ</t>
    </rPh>
    <phoneticPr fontId="6"/>
  </si>
  <si>
    <t>リレーション内容</t>
    <rPh sb="6" eb="8">
      <t>ナイヨウ</t>
    </rPh>
    <phoneticPr fontId="6"/>
  </si>
  <si>
    <t>【Deleteアクション】</t>
    <phoneticPr fontId="6"/>
  </si>
  <si>
    <t>テーブル</t>
    <phoneticPr fontId="6"/>
  </si>
  <si>
    <t>デリートアクション</t>
    <phoneticPr fontId="6"/>
  </si>
  <si>
    <t>リレーション名</t>
    <rPh sb="6" eb="7">
      <t>メイ</t>
    </rPh>
    <phoneticPr fontId="6"/>
  </si>
  <si>
    <t>【メソッド】</t>
    <phoneticPr fontId="6"/>
  </si>
  <si>
    <t>No</t>
    <phoneticPr fontId="6"/>
  </si>
  <si>
    <t>メソッド名</t>
    <rPh sb="4" eb="5">
      <t>メイ</t>
    </rPh>
    <phoneticPr fontId="6"/>
  </si>
  <si>
    <t>戻り値(型)</t>
    <rPh sb="0" eb="1">
      <t>モド</t>
    </rPh>
    <rPh sb="2" eb="3">
      <t>チ</t>
    </rPh>
    <rPh sb="4" eb="5">
      <t>カタ</t>
    </rPh>
    <phoneticPr fontId="6"/>
  </si>
  <si>
    <t>引数(型)</t>
    <rPh sb="0" eb="2">
      <t>ヒキスウ</t>
    </rPh>
    <rPh sb="3" eb="4">
      <t>カタ</t>
    </rPh>
    <phoneticPr fontId="6"/>
  </si>
  <si>
    <t>処理概要</t>
    <rPh sb="0" eb="2">
      <t>ショリ</t>
    </rPh>
    <rPh sb="2" eb="4">
      <t>ガイヨウ</t>
    </rPh>
    <phoneticPr fontId="6"/>
  </si>
  <si>
    <t>区分</t>
    <rPh sb="0" eb="2">
      <t>クブン</t>
    </rPh>
    <phoneticPr fontId="3"/>
  </si>
  <si>
    <t>テーブルタイプ</t>
    <phoneticPr fontId="3"/>
  </si>
  <si>
    <t>テーブル種別</t>
    <rPh sb="4" eb="6">
      <t>シュベツ</t>
    </rPh>
    <phoneticPr fontId="3"/>
  </si>
  <si>
    <t>開発区分</t>
    <rPh sb="0" eb="4">
      <t>カイハツクブン</t>
    </rPh>
    <phoneticPr fontId="3"/>
  </si>
  <si>
    <t>型</t>
    <rPh sb="0" eb="1">
      <t>カタ</t>
    </rPh>
    <phoneticPr fontId="3"/>
  </si>
  <si>
    <t>Regular</t>
    <phoneticPr fontId="3"/>
  </si>
  <si>
    <t>Miscellaneous</t>
    <phoneticPr fontId="3"/>
  </si>
  <si>
    <t>標準(Extension)</t>
    <rPh sb="0" eb="2">
      <t>ヒョウジュン</t>
    </rPh>
    <phoneticPr fontId="3"/>
  </si>
  <si>
    <t>ビュー定義書</t>
    <rPh sb="3" eb="6">
      <t>テイギショ</t>
    </rPh>
    <phoneticPr fontId="3"/>
  </si>
  <si>
    <t>InMemory</t>
    <phoneticPr fontId="3"/>
  </si>
  <si>
    <t>Parameter</t>
    <phoneticPr fontId="3"/>
  </si>
  <si>
    <t>アドオン</t>
    <phoneticPr fontId="3"/>
  </si>
  <si>
    <t>Integer</t>
    <phoneticPr fontId="3"/>
  </si>
  <si>
    <t>TempDB</t>
    <phoneticPr fontId="3"/>
  </si>
  <si>
    <t>Group</t>
    <phoneticPr fontId="3"/>
  </si>
  <si>
    <t>Real</t>
    <phoneticPr fontId="3"/>
  </si>
  <si>
    <t>Main</t>
    <phoneticPr fontId="3"/>
  </si>
  <si>
    <t>Date</t>
    <phoneticPr fontId="3"/>
  </si>
  <si>
    <t>Time</t>
    <phoneticPr fontId="3"/>
  </si>
  <si>
    <t>WorksheetHeader</t>
  </si>
  <si>
    <t>UtcDateTime</t>
    <phoneticPr fontId="3"/>
  </si>
  <si>
    <t>WorksheetLine</t>
  </si>
  <si>
    <t>Enum</t>
    <phoneticPr fontId="3"/>
  </si>
  <si>
    <t>Framework</t>
  </si>
  <si>
    <t>Container</t>
    <phoneticPr fontId="3"/>
  </si>
  <si>
    <t>Reference</t>
  </si>
  <si>
    <t>Guid</t>
    <phoneticPr fontId="3"/>
  </si>
  <si>
    <t>Worksheet</t>
  </si>
  <si>
    <t>Int64</t>
    <phoneticPr fontId="3"/>
  </si>
  <si>
    <t>TransactionHeader</t>
  </si>
  <si>
    <t>TransactionLine</t>
  </si>
  <si>
    <t>請求書支払リリース日</t>
    <phoneticPr fontId="3"/>
  </si>
  <si>
    <t>転記日付</t>
    <phoneticPr fontId="3"/>
  </si>
  <si>
    <t>JBS吉井</t>
    <rPh sb="3" eb="5">
      <t>ヨシイ</t>
    </rPh>
    <phoneticPr fontId="3"/>
  </si>
  <si>
    <t>SJ_AccountingDataImportLogArchive</t>
    <phoneticPr fontId="3"/>
  </si>
  <si>
    <t>JournalNum</t>
    <phoneticPr fontId="3"/>
  </si>
  <si>
    <t>LedgerJournalId</t>
    <phoneticPr fontId="3"/>
  </si>
  <si>
    <t>OriginCreatedBy</t>
    <phoneticPr fontId="3"/>
  </si>
  <si>
    <t>OriginCreatedDateTime</t>
    <phoneticPr fontId="3"/>
  </si>
  <si>
    <t>オリジナル作成者</t>
    <rPh sb="5" eb="8">
      <t>サクセイシャ</t>
    </rPh>
    <phoneticPr fontId="3"/>
  </si>
  <si>
    <t>CreatedDateTime</t>
    <phoneticPr fontId="3"/>
  </si>
  <si>
    <t>オリジナル作成日時</t>
    <rPh sb="5" eb="9">
      <t>サクセイニチジ</t>
    </rPh>
    <phoneticPr fontId="3"/>
  </si>
  <si>
    <t>SJ05611</t>
  </si>
  <si>
    <t>SJ05612</t>
  </si>
  <si>
    <t>SJ05061</t>
    <phoneticPr fontId="3"/>
  </si>
  <si>
    <t>SJ005615</t>
    <phoneticPr fontId="3"/>
  </si>
  <si>
    <t>会計伝票情報ログアーカイブ</t>
    <phoneticPr fontId="3"/>
  </si>
  <si>
    <t>SYS328705</t>
    <phoneticPr fontId="3"/>
  </si>
  <si>
    <t>会社</t>
    <rPh sb="0" eb="2">
      <t>カイシャ</t>
    </rPh>
    <phoneticPr fontId="6"/>
  </si>
  <si>
    <t>SJ00029</t>
    <phoneticPr fontId="3"/>
  </si>
  <si>
    <t>SJ_DataClass</t>
    <phoneticPr fontId="3"/>
  </si>
  <si>
    <t>SJ_HeaderText</t>
    <phoneticPr fontId="3"/>
  </si>
  <si>
    <t>SJ_PostingDate</t>
    <phoneticPr fontId="3"/>
  </si>
  <si>
    <t>SJ_AccountType</t>
    <phoneticPr fontId="3"/>
  </si>
  <si>
    <t>SJ_AccountID</t>
    <phoneticPr fontId="3"/>
  </si>
  <si>
    <t>SJ_AccountDetails</t>
    <phoneticPr fontId="3"/>
  </si>
  <si>
    <t>SJ_DetailsText</t>
    <phoneticPr fontId="3"/>
  </si>
  <si>
    <t>SJ_CreditAmount</t>
    <phoneticPr fontId="3"/>
  </si>
  <si>
    <t>SJ_DebitAmount</t>
    <phoneticPr fontId="3"/>
  </si>
  <si>
    <t>SJ_TaxAmount</t>
    <phoneticPr fontId="3"/>
  </si>
  <si>
    <t>CurrencyCode</t>
    <phoneticPr fontId="3"/>
  </si>
  <si>
    <t>ExchRate</t>
    <phoneticPr fontId="3"/>
  </si>
  <si>
    <t>SJ_CostCenter</t>
    <phoneticPr fontId="3"/>
  </si>
  <si>
    <t>SJ_OrderCode</t>
    <phoneticPr fontId="3"/>
  </si>
  <si>
    <t>SJ_ItemNumber</t>
    <phoneticPr fontId="3"/>
  </si>
  <si>
    <t>SJ_ApprovalDocumentNumber</t>
    <phoneticPr fontId="3"/>
  </si>
  <si>
    <t>SJ_CustNumber</t>
    <phoneticPr fontId="3"/>
  </si>
  <si>
    <t>InvoiceId</t>
    <phoneticPr fontId="3"/>
  </si>
  <si>
    <t>Sys21698</t>
    <phoneticPr fontId="3"/>
  </si>
  <si>
    <t>InvoiceReleaseDate</t>
    <phoneticPr fontId="3"/>
  </si>
  <si>
    <t>SJ_LineNum</t>
    <phoneticPr fontId="3"/>
  </si>
  <si>
    <t>仕訳帳バッチ番号</t>
    <phoneticPr fontId="3"/>
  </si>
  <si>
    <t>転記プロファイル</t>
  </si>
  <si>
    <t>SYS21530</t>
    <phoneticPr fontId="3"/>
  </si>
  <si>
    <t>SYS12128</t>
    <phoneticPr fontId="3"/>
  </si>
  <si>
    <t>SYS128401</t>
    <phoneticPr fontId="3"/>
  </si>
  <si>
    <t>SYS57610</t>
    <phoneticPr fontId="3"/>
  </si>
  <si>
    <t>請求日</t>
    <rPh sb="2" eb="3">
      <t>ビ</t>
    </rPh>
    <phoneticPr fontId="3"/>
  </si>
  <si>
    <t>SYS16423</t>
    <phoneticPr fontId="3"/>
  </si>
  <si>
    <t>SYS27730</t>
    <phoneticPr fontId="3"/>
  </si>
  <si>
    <t>0：Ledger：元帳, 1：Cust：顧客, 2：Vend：仕入先, 6：Bank：銀行</t>
    <phoneticPr fontId="3"/>
  </si>
  <si>
    <t>SYS7572</t>
    <phoneticPr fontId="3"/>
  </si>
  <si>
    <t>SYS4955</t>
    <phoneticPr fontId="3"/>
  </si>
  <si>
    <t>150</t>
    <phoneticPr fontId="3"/>
  </si>
  <si>
    <t>0:(None), 1:正常終了(Success), 2:異常終了(Error), 3:作成済(Created), 4:転記処理中(Posting), 5:削除対象(Deleting), 6:処理中(Processing), 7:作成中(Creating)</t>
    <rPh sb="12" eb="14">
      <t>セイジョウ</t>
    </rPh>
    <rPh sb="14" eb="16">
      <t>シュウリョウ</t>
    </rPh>
    <rPh sb="29" eb="31">
      <t>イジョウ</t>
    </rPh>
    <rPh sb="31" eb="33">
      <t>シュウリョウ</t>
    </rPh>
    <rPh sb="44" eb="47">
      <t>サクセイズミ</t>
    </rPh>
    <rPh sb="60" eb="65">
      <t>テンキショリチュウ</t>
    </rPh>
    <rPh sb="78" eb="82">
      <t>サクジョタイショウ</t>
    </rPh>
    <rPh sb="96" eb="99">
      <t>ショリチュウ</t>
    </rPh>
    <rPh sb="115" eb="118">
      <t>サクセイチュウ</t>
    </rPh>
    <phoneticPr fontId="3"/>
  </si>
  <si>
    <t>作成者</t>
  </si>
  <si>
    <t>-</t>
    <phoneticPr fontId="3"/>
  </si>
  <si>
    <t>createdBy</t>
  </si>
  <si>
    <t>CreatedBy</t>
  </si>
  <si>
    <t>system項目　CreatedBy:Yes</t>
    <rPh sb="6" eb="8">
      <t>コウモク</t>
    </rPh>
    <phoneticPr fontId="3"/>
  </si>
  <si>
    <t>作成日時</t>
  </si>
  <si>
    <t>createdDateTime</t>
  </si>
  <si>
    <t>UtcDateTim</t>
  </si>
  <si>
    <t>CreatedDateTime</t>
  </si>
  <si>
    <t>system項目　CreatedDateTime:Yes</t>
    <rPh sb="6" eb="8">
      <t>コウモク</t>
    </rPh>
    <phoneticPr fontId="3"/>
  </si>
  <si>
    <t>SJ00297</t>
    <phoneticPr fontId="3"/>
  </si>
  <si>
    <t>カテゴリ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</si>
</sst>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8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  <font>
      <sz val="9"/>
      <color rgb="FF000000"/>
      <name val="Meiryo UI"/>
      <family val="3"/>
      <charset val="128"/>
    </font>
    <font>
      <sz val="10"/>
      <color rgb="FF000000"/>
      <name val="Meiryo UI"/>
      <family val="3"/>
      <charset val="128"/>
    </font>
    <font>
      <sz val="9"/>
      <color theme="1"/>
      <name val="メイリオ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medium">
        <color indexed="64"/>
      </right>
      <top style="thin">
        <color rgb="FF808080"/>
      </top>
      <bottom style="thin">
        <color rgb="FF808080"/>
      </bottom>
      <diagonal/>
    </border>
  </borders>
  <cellStyleXfs count="15">
    <xf numFmtId="0" fontId="0" fillId="0" borderId="0"/>
    <xf numFmtId="0" fontId="2" fillId="0" borderId="0">
      <alignment vertical="center"/>
    </xf>
    <xf numFmtId="0" fontId="7" fillId="0" borderId="0">
      <alignment vertical="center"/>
    </xf>
    <xf numFmtId="0" fontId="5" fillId="0" borderId="0"/>
    <xf numFmtId="0" fontId="16" fillId="0" borderId="0"/>
    <xf numFmtId="0" fontId="18" fillId="0" borderId="0">
      <alignment vertical="center"/>
    </xf>
    <xf numFmtId="0" fontId="18" fillId="0" borderId="0">
      <alignment vertical="center"/>
    </xf>
    <xf numFmtId="0" fontId="5" fillId="0" borderId="0"/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77">
    <xf numFmtId="0" fontId="0" fillId="0" borderId="0" xfId="0"/>
    <xf numFmtId="49" fontId="9" fillId="0" borderId="3" xfId="2" applyNumberFormat="1" applyFont="1" applyBorder="1" applyAlignment="1">
      <alignment horizontal="left" vertical="center"/>
    </xf>
    <xf numFmtId="0" fontId="9" fillId="0" borderId="3" xfId="2" applyFont="1" applyBorder="1" applyAlignment="1">
      <alignment horizontal="center" vertical="center"/>
    </xf>
    <xf numFmtId="49" fontId="9" fillId="0" borderId="3" xfId="2" applyNumberFormat="1" applyFont="1" applyBorder="1" applyAlignment="1">
      <alignment horizontal="right" vertical="center"/>
    </xf>
    <xf numFmtId="49" fontId="9" fillId="0" borderId="3" xfId="2" applyNumberFormat="1" applyFont="1" applyBorder="1" applyAlignment="1">
      <alignment horizontal="center" vertical="center"/>
    </xf>
    <xf numFmtId="176" fontId="9" fillId="0" borderId="3" xfId="2" applyNumberFormat="1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0" fillId="3" borderId="3" xfId="2" applyFont="1" applyFill="1" applyBorder="1" applyAlignment="1">
      <alignment horizontal="left" vertical="center"/>
    </xf>
    <xf numFmtId="0" fontId="10" fillId="3" borderId="1" xfId="2" applyFont="1" applyFill="1" applyBorder="1">
      <alignment vertical="center"/>
    </xf>
    <xf numFmtId="0" fontId="10" fillId="3" borderId="4" xfId="2" applyFont="1" applyFill="1" applyBorder="1">
      <alignment vertical="center"/>
    </xf>
    <xf numFmtId="0" fontId="14" fillId="0" borderId="1" xfId="2" applyFont="1" applyBorder="1">
      <alignment vertical="center"/>
    </xf>
    <xf numFmtId="0" fontId="14" fillId="0" borderId="2" xfId="2" applyFont="1" applyBorder="1">
      <alignment vertical="center"/>
    </xf>
    <xf numFmtId="0" fontId="14" fillId="0" borderId="4" xfId="2" applyFont="1" applyBorder="1">
      <alignment vertical="center"/>
    </xf>
    <xf numFmtId="0" fontId="15" fillId="0" borderId="0" xfId="5" applyFont="1">
      <alignment vertical="center"/>
    </xf>
    <xf numFmtId="0" fontId="14" fillId="0" borderId="0" xfId="5" applyFont="1">
      <alignment vertical="center"/>
    </xf>
    <xf numFmtId="0" fontId="15" fillId="0" borderId="6" xfId="5" applyFont="1" applyBorder="1">
      <alignment vertical="center"/>
    </xf>
    <xf numFmtId="0" fontId="23" fillId="0" borderId="0" xfId="5" applyFont="1">
      <alignment vertical="center"/>
    </xf>
    <xf numFmtId="0" fontId="9" fillId="0" borderId="0" xfId="2" applyFont="1">
      <alignment vertical="center"/>
    </xf>
    <xf numFmtId="0" fontId="10" fillId="3" borderId="3" xfId="2" applyFont="1" applyFill="1" applyBorder="1">
      <alignment vertical="center"/>
    </xf>
    <xf numFmtId="49" fontId="9" fillId="0" borderId="3" xfId="2" applyNumberFormat="1" applyFont="1" applyBorder="1">
      <alignment vertical="center"/>
    </xf>
    <xf numFmtId="49" fontId="11" fillId="0" borderId="3" xfId="2" applyNumberFormat="1" applyFont="1" applyBorder="1">
      <alignment vertical="center"/>
    </xf>
    <xf numFmtId="0" fontId="24" fillId="3" borderId="33" xfId="0" applyFont="1" applyFill="1" applyBorder="1"/>
    <xf numFmtId="0" fontId="24" fillId="3" borderId="37" xfId="0" applyFont="1" applyFill="1" applyBorder="1"/>
    <xf numFmtId="0" fontId="24" fillId="3" borderId="38" xfId="0" applyFont="1" applyFill="1" applyBorder="1"/>
    <xf numFmtId="0" fontId="24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0" fontId="26" fillId="0" borderId="0" xfId="0" applyFont="1"/>
    <xf numFmtId="49" fontId="9" fillId="6" borderId="3" xfId="2" applyNumberFormat="1" applyFont="1" applyFill="1" applyBorder="1">
      <alignment vertical="center"/>
    </xf>
    <xf numFmtId="49" fontId="9" fillId="6" borderId="3" xfId="2" applyNumberFormat="1" applyFont="1" applyFill="1" applyBorder="1" applyAlignment="1">
      <alignment horizontal="left" vertical="center"/>
    </xf>
    <xf numFmtId="49" fontId="11" fillId="6" borderId="3" xfId="2" applyNumberFormat="1" applyFont="1" applyFill="1" applyBorder="1">
      <alignment vertical="center"/>
    </xf>
    <xf numFmtId="0" fontId="9" fillId="6" borderId="3" xfId="2" applyFont="1" applyFill="1" applyBorder="1" applyAlignment="1">
      <alignment horizontal="right" vertical="center"/>
    </xf>
    <xf numFmtId="0" fontId="9" fillId="6" borderId="3" xfId="2" applyFont="1" applyFill="1" applyBorder="1" applyAlignment="1">
      <alignment horizontal="center" vertical="center"/>
    </xf>
    <xf numFmtId="49" fontId="9" fillId="6" borderId="3" xfId="2" applyNumberFormat="1" applyFont="1" applyFill="1" applyBorder="1" applyAlignment="1">
      <alignment horizontal="right" vertical="center"/>
    </xf>
    <xf numFmtId="0" fontId="9" fillId="0" borderId="1" xfId="2" applyFont="1" applyBorder="1" applyAlignment="1">
      <alignment horizontal="left" vertical="center"/>
    </xf>
    <xf numFmtId="0" fontId="9" fillId="0" borderId="2" xfId="2" applyFont="1" applyBorder="1" applyAlignment="1">
      <alignment horizontal="left" vertical="center"/>
    </xf>
    <xf numFmtId="0" fontId="9" fillId="0" borderId="4" xfId="2" applyFont="1" applyBorder="1" applyAlignment="1">
      <alignment horizontal="left" vertical="center"/>
    </xf>
    <xf numFmtId="0" fontId="12" fillId="0" borderId="3" xfId="2" applyFont="1" applyBorder="1">
      <alignment vertical="center"/>
    </xf>
    <xf numFmtId="0" fontId="12" fillId="0" borderId="4" xfId="2" applyFont="1" applyBorder="1">
      <alignment vertical="center"/>
    </xf>
    <xf numFmtId="0" fontId="10" fillId="0" borderId="3" xfId="2" applyFont="1" applyBorder="1" applyAlignment="1">
      <alignment horizontal="center" vertical="center"/>
    </xf>
    <xf numFmtId="0" fontId="9" fillId="0" borderId="3" xfId="2" applyFont="1" applyBorder="1" applyAlignment="1">
      <alignment horizontal="right" vertical="center"/>
    </xf>
    <xf numFmtId="49" fontId="11" fillId="0" borderId="3" xfId="2" applyNumberFormat="1" applyFont="1" applyBorder="1" applyAlignment="1">
      <alignment horizontal="left" vertical="center"/>
    </xf>
    <xf numFmtId="0" fontId="25" fillId="0" borderId="3" xfId="0" applyFont="1" applyBorder="1"/>
    <xf numFmtId="0" fontId="25" fillId="0" borderId="43" xfId="0" applyFont="1" applyBorder="1"/>
    <xf numFmtId="0" fontId="11" fillId="0" borderId="43" xfId="0" applyFont="1" applyBorder="1"/>
    <xf numFmtId="0" fontId="11" fillId="0" borderId="3" xfId="0" applyFont="1" applyBorder="1"/>
    <xf numFmtId="0" fontId="25" fillId="0" borderId="43" xfId="0" applyFont="1" applyBorder="1" applyAlignment="1">
      <alignment vertical="center"/>
    </xf>
    <xf numFmtId="14" fontId="9" fillId="2" borderId="35" xfId="4" applyNumberFormat="1" applyFont="1" applyFill="1" applyBorder="1" applyAlignment="1">
      <alignment horizontal="left" vertical="center"/>
    </xf>
    <xf numFmtId="0" fontId="9" fillId="2" borderId="35" xfId="4" applyFont="1" applyFill="1" applyBorder="1" applyAlignment="1">
      <alignment horizontal="left" vertical="center"/>
    </xf>
    <xf numFmtId="0" fontId="9" fillId="2" borderId="35" xfId="4" applyFont="1" applyFill="1" applyBorder="1" applyAlignment="1">
      <alignment vertical="center"/>
    </xf>
    <xf numFmtId="0" fontId="9" fillId="2" borderId="35" xfId="4" applyFont="1" applyFill="1" applyBorder="1" applyAlignment="1">
      <alignment horizontal="center" vertical="center" wrapText="1"/>
    </xf>
    <xf numFmtId="49" fontId="9" fillId="2" borderId="35" xfId="4" applyNumberFormat="1" applyFont="1" applyFill="1" applyBorder="1" applyAlignment="1">
      <alignment horizontal="center" vertical="center"/>
    </xf>
    <xf numFmtId="14" fontId="9" fillId="2" borderId="36" xfId="4" applyNumberFormat="1" applyFont="1" applyFill="1" applyBorder="1" applyAlignment="1">
      <alignment horizontal="left" vertical="center"/>
    </xf>
    <xf numFmtId="0" fontId="9" fillId="2" borderId="36" xfId="4" applyFont="1" applyFill="1" applyBorder="1" applyAlignment="1">
      <alignment horizontal="left" vertical="center"/>
    </xf>
    <xf numFmtId="0" fontId="9" fillId="2" borderId="36" xfId="4" applyFont="1" applyFill="1" applyBorder="1" applyAlignment="1">
      <alignment vertical="center"/>
    </xf>
    <xf numFmtId="0" fontId="9" fillId="2" borderId="36" xfId="4" applyFont="1" applyFill="1" applyBorder="1" applyAlignment="1">
      <alignment horizontal="center" vertical="center" wrapText="1"/>
    </xf>
    <xf numFmtId="49" fontId="9" fillId="2" borderId="36" xfId="4" applyNumberFormat="1" applyFont="1" applyFill="1" applyBorder="1" applyAlignment="1">
      <alignment horizontal="center" vertical="center"/>
    </xf>
    <xf numFmtId="0" fontId="9" fillId="2" borderId="35" xfId="4" applyFont="1" applyFill="1" applyBorder="1" applyAlignment="1">
      <alignment horizontal="left" vertical="center" wrapText="1"/>
    </xf>
    <xf numFmtId="14" fontId="9" fillId="2" borderId="35" xfId="4" applyNumberFormat="1" applyFont="1" applyFill="1" applyBorder="1" applyAlignment="1">
      <alignment horizontal="left" vertical="top"/>
    </xf>
    <xf numFmtId="0" fontId="9" fillId="2" borderId="35" xfId="4" applyFont="1" applyFill="1" applyBorder="1" applyAlignment="1">
      <alignment vertical="center" wrapText="1"/>
    </xf>
    <xf numFmtId="14" fontId="25" fillId="5" borderId="44" xfId="0" applyNumberFormat="1" applyFont="1" applyFill="1" applyBorder="1" applyAlignment="1">
      <alignment horizontal="left"/>
    </xf>
    <xf numFmtId="0" fontId="25" fillId="5" borderId="45" xfId="0" applyFont="1" applyFill="1" applyBorder="1" applyAlignment="1">
      <alignment horizontal="left"/>
    </xf>
    <xf numFmtId="0" fontId="25" fillId="5" borderId="46" xfId="0" applyFont="1" applyFill="1" applyBorder="1" applyAlignment="1">
      <alignment horizontal="left"/>
    </xf>
    <xf numFmtId="0" fontId="25" fillId="5" borderId="45" xfId="0" applyFont="1" applyFill="1" applyBorder="1"/>
    <xf numFmtId="0" fontId="25" fillId="5" borderId="46" xfId="0" applyFont="1" applyFill="1" applyBorder="1"/>
    <xf numFmtId="0" fontId="25" fillId="5" borderId="45" xfId="0" applyFont="1" applyFill="1" applyBorder="1" applyAlignment="1">
      <alignment horizontal="center" vertical="center" wrapText="1"/>
    </xf>
    <xf numFmtId="0" fontId="25" fillId="5" borderId="46" xfId="0" applyFont="1" applyFill="1" applyBorder="1" applyAlignment="1">
      <alignment horizontal="center" vertical="center" wrapText="1"/>
    </xf>
    <xf numFmtId="0" fontId="25" fillId="5" borderId="45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center" vertical="center"/>
    </xf>
    <xf numFmtId="0" fontId="13" fillId="4" borderId="33" xfId="4" applyFont="1" applyFill="1" applyBorder="1" applyAlignment="1">
      <alignment horizontal="center" vertical="center"/>
    </xf>
    <xf numFmtId="14" fontId="9" fillId="2" borderId="34" xfId="4" applyNumberFormat="1" applyFont="1" applyFill="1" applyBorder="1" applyAlignment="1">
      <alignment horizontal="left" vertical="center"/>
    </xf>
    <xf numFmtId="0" fontId="9" fillId="2" borderId="34" xfId="4" applyFont="1" applyFill="1" applyBorder="1" applyAlignment="1">
      <alignment horizontal="left" vertical="center"/>
    </xf>
    <xf numFmtId="0" fontId="9" fillId="2" borderId="34" xfId="4" applyFont="1" applyFill="1" applyBorder="1" applyAlignment="1">
      <alignment vertical="center"/>
    </xf>
    <xf numFmtId="0" fontId="9" fillId="2" borderId="34" xfId="4" applyFont="1" applyFill="1" applyBorder="1" applyAlignment="1">
      <alignment horizontal="center" vertical="center" wrapText="1"/>
    </xf>
    <xf numFmtId="49" fontId="9" fillId="2" borderId="34" xfId="4" applyNumberFormat="1" applyFont="1" applyFill="1" applyBorder="1" applyAlignment="1">
      <alignment horizontal="center" vertical="center"/>
    </xf>
    <xf numFmtId="49" fontId="9" fillId="2" borderId="34" xfId="4" quotePrefix="1" applyNumberFormat="1" applyFont="1" applyFill="1" applyBorder="1" applyAlignment="1">
      <alignment horizontal="center" vertical="center"/>
    </xf>
    <xf numFmtId="0" fontId="20" fillId="4" borderId="14" xfId="4" applyFont="1" applyFill="1" applyBorder="1" applyAlignment="1">
      <alignment horizontal="center" vertical="center"/>
    </xf>
    <xf numFmtId="0" fontId="20" fillId="4" borderId="15" xfId="4" applyFont="1" applyFill="1" applyBorder="1" applyAlignment="1">
      <alignment horizontal="center" vertical="center"/>
    </xf>
    <xf numFmtId="0" fontId="20" fillId="4" borderId="16" xfId="4" applyFont="1" applyFill="1" applyBorder="1" applyAlignment="1">
      <alignment horizontal="center" vertical="center"/>
    </xf>
    <xf numFmtId="0" fontId="22" fillId="0" borderId="8" xfId="4" applyFont="1" applyBorder="1" applyAlignment="1">
      <alignment horizontal="left" vertical="center"/>
    </xf>
    <xf numFmtId="0" fontId="22" fillId="0" borderId="9" xfId="4" applyFont="1" applyBorder="1" applyAlignment="1">
      <alignment horizontal="left" vertical="center"/>
    </xf>
    <xf numFmtId="0" fontId="22" fillId="0" borderId="10" xfId="4" applyFont="1" applyBorder="1" applyAlignment="1">
      <alignment horizontal="left" vertical="center"/>
    </xf>
    <xf numFmtId="0" fontId="20" fillId="4" borderId="8" xfId="4" applyFont="1" applyFill="1" applyBorder="1" applyAlignment="1">
      <alignment horizontal="center" vertical="center"/>
    </xf>
    <xf numFmtId="0" fontId="20" fillId="4" borderId="9" xfId="4" applyFont="1" applyFill="1" applyBorder="1" applyAlignment="1">
      <alignment horizontal="center" vertical="center"/>
    </xf>
    <xf numFmtId="0" fontId="20" fillId="4" borderId="10" xfId="4" applyFont="1" applyFill="1" applyBorder="1" applyAlignment="1">
      <alignment horizontal="center" vertical="center"/>
    </xf>
    <xf numFmtId="0" fontId="20" fillId="4" borderId="17" xfId="4" applyFont="1" applyFill="1" applyBorder="1" applyAlignment="1">
      <alignment horizontal="center" vertical="center"/>
    </xf>
    <xf numFmtId="0" fontId="20" fillId="4" borderId="18" xfId="4" applyFont="1" applyFill="1" applyBorder="1" applyAlignment="1">
      <alignment horizontal="center" vertical="center"/>
    </xf>
    <xf numFmtId="0" fontId="20" fillId="4" borderId="19" xfId="4" applyFont="1" applyFill="1" applyBorder="1" applyAlignment="1">
      <alignment horizontal="center" vertical="center"/>
    </xf>
    <xf numFmtId="0" fontId="20" fillId="4" borderId="25" xfId="4" applyFont="1" applyFill="1" applyBorder="1" applyAlignment="1">
      <alignment horizontal="center" vertical="center"/>
    </xf>
    <xf numFmtId="0" fontId="20" fillId="4" borderId="26" xfId="4" applyFont="1" applyFill="1" applyBorder="1" applyAlignment="1">
      <alignment horizontal="center" vertical="center"/>
    </xf>
    <xf numFmtId="0" fontId="20" fillId="4" borderId="27" xfId="4" applyFont="1" applyFill="1" applyBorder="1" applyAlignment="1">
      <alignment horizontal="center" vertical="center"/>
    </xf>
    <xf numFmtId="0" fontId="22" fillId="0" borderId="5" xfId="4" applyFont="1" applyBorder="1" applyAlignment="1">
      <alignment horizontal="left" vertical="center" wrapText="1"/>
    </xf>
    <xf numFmtId="0" fontId="22" fillId="0" borderId="6" xfId="4" applyFont="1" applyBorder="1" applyAlignment="1">
      <alignment horizontal="left" vertical="center" wrapText="1"/>
    </xf>
    <xf numFmtId="0" fontId="22" fillId="0" borderId="7" xfId="4" applyFont="1" applyBorder="1" applyAlignment="1">
      <alignment horizontal="left" vertical="center" wrapText="1"/>
    </xf>
    <xf numFmtId="0" fontId="22" fillId="0" borderId="11" xfId="4" applyFont="1" applyBorder="1" applyAlignment="1">
      <alignment horizontal="left" vertical="center" wrapText="1"/>
    </xf>
    <xf numFmtId="0" fontId="22" fillId="0" borderId="12" xfId="4" applyFont="1" applyBorder="1" applyAlignment="1">
      <alignment horizontal="left" vertical="center" wrapText="1"/>
    </xf>
    <xf numFmtId="0" fontId="22" fillId="0" borderId="13" xfId="4" applyFont="1" applyBorder="1" applyAlignment="1">
      <alignment horizontal="left" vertical="center" wrapText="1"/>
    </xf>
    <xf numFmtId="0" fontId="9" fillId="2" borderId="5" xfId="4" applyFont="1" applyFill="1" applyBorder="1" applyAlignment="1">
      <alignment horizontal="center" vertical="center"/>
    </xf>
    <xf numFmtId="0" fontId="9" fillId="2" borderId="6" xfId="4" applyFont="1" applyFill="1" applyBorder="1" applyAlignment="1">
      <alignment horizontal="center" vertical="center"/>
    </xf>
    <xf numFmtId="0" fontId="9" fillId="2" borderId="7" xfId="4" applyFont="1" applyFill="1" applyBorder="1" applyAlignment="1">
      <alignment horizontal="center" vertical="center"/>
    </xf>
    <xf numFmtId="0" fontId="9" fillId="2" borderId="11" xfId="4" applyFont="1" applyFill="1" applyBorder="1" applyAlignment="1">
      <alignment horizontal="center" vertical="center"/>
    </xf>
    <xf numFmtId="0" fontId="9" fillId="2" borderId="12" xfId="4" applyFont="1" applyFill="1" applyBorder="1" applyAlignment="1">
      <alignment horizontal="center" vertical="center"/>
    </xf>
    <xf numFmtId="0" fontId="9" fillId="2" borderId="13" xfId="4" applyFont="1" applyFill="1" applyBorder="1" applyAlignment="1">
      <alignment horizontal="center" vertical="center"/>
    </xf>
    <xf numFmtId="0" fontId="9" fillId="2" borderId="20" xfId="4" applyFont="1" applyFill="1" applyBorder="1" applyAlignment="1">
      <alignment horizontal="center" vertical="center"/>
    </xf>
    <xf numFmtId="0" fontId="9" fillId="2" borderId="21" xfId="4" applyFont="1" applyFill="1" applyBorder="1" applyAlignment="1">
      <alignment horizontal="center" vertical="center"/>
    </xf>
    <xf numFmtId="177" fontId="11" fillId="2" borderId="22" xfId="4" applyNumberFormat="1" applyFont="1" applyFill="1" applyBorder="1" applyAlignment="1">
      <alignment horizontal="center" vertical="center"/>
    </xf>
    <xf numFmtId="177" fontId="11" fillId="2" borderId="23" xfId="4" applyNumberFormat="1" applyFont="1" applyFill="1" applyBorder="1" applyAlignment="1">
      <alignment horizontal="center" vertical="center"/>
    </xf>
    <xf numFmtId="177" fontId="11" fillId="2" borderId="24" xfId="4" applyNumberFormat="1" applyFont="1" applyFill="1" applyBorder="1" applyAlignment="1">
      <alignment horizontal="center" vertical="center"/>
    </xf>
    <xf numFmtId="0" fontId="11" fillId="2" borderId="20" xfId="4" applyFont="1" applyFill="1" applyBorder="1" applyAlignment="1">
      <alignment horizontal="center" vertical="center"/>
    </xf>
    <xf numFmtId="0" fontId="11" fillId="2" borderId="23" xfId="4" applyFont="1" applyFill="1" applyBorder="1" applyAlignment="1">
      <alignment horizontal="center" vertical="center"/>
    </xf>
    <xf numFmtId="0" fontId="11" fillId="2" borderId="24" xfId="4" applyFont="1" applyFill="1" applyBorder="1" applyAlignment="1">
      <alignment horizontal="center" vertical="center"/>
    </xf>
    <xf numFmtId="0" fontId="9" fillId="2" borderId="28" xfId="4" applyFont="1" applyFill="1" applyBorder="1" applyAlignment="1">
      <alignment horizontal="center" vertical="center"/>
    </xf>
    <xf numFmtId="0" fontId="9" fillId="2" borderId="29" xfId="4" applyFont="1" applyFill="1" applyBorder="1" applyAlignment="1">
      <alignment horizontal="center" vertical="center"/>
    </xf>
    <xf numFmtId="177" fontId="11" fillId="2" borderId="30" xfId="4" applyNumberFormat="1" applyFont="1" applyFill="1" applyBorder="1" applyAlignment="1">
      <alignment horizontal="center" vertical="center"/>
    </xf>
    <xf numFmtId="177" fontId="11" fillId="2" borderId="31" xfId="4" applyNumberFormat="1" applyFont="1" applyFill="1" applyBorder="1" applyAlignment="1">
      <alignment horizontal="center" vertical="center"/>
    </xf>
    <xf numFmtId="177" fontId="11" fillId="2" borderId="32" xfId="4" applyNumberFormat="1" applyFont="1" applyFill="1" applyBorder="1" applyAlignment="1">
      <alignment horizontal="center" vertical="center"/>
    </xf>
    <xf numFmtId="0" fontId="11" fillId="2" borderId="28" xfId="4" applyFont="1" applyFill="1" applyBorder="1" applyAlignment="1">
      <alignment horizontal="center" vertical="center"/>
    </xf>
    <xf numFmtId="0" fontId="11" fillId="2" borderId="31" xfId="4" applyFont="1" applyFill="1" applyBorder="1" applyAlignment="1">
      <alignment horizontal="center" vertical="center"/>
    </xf>
    <xf numFmtId="0" fontId="11" fillId="2" borderId="32" xfId="4" applyFont="1" applyFill="1" applyBorder="1" applyAlignment="1">
      <alignment horizontal="center" vertical="center"/>
    </xf>
    <xf numFmtId="0" fontId="9" fillId="0" borderId="2" xfId="2" applyFont="1" applyBorder="1" applyAlignment="1">
      <alignment horizontal="left" vertical="center"/>
    </xf>
    <xf numFmtId="0" fontId="9" fillId="0" borderId="4" xfId="2" applyFont="1" applyBorder="1" applyAlignment="1">
      <alignment horizontal="left" vertical="center"/>
    </xf>
    <xf numFmtId="0" fontId="10" fillId="3" borderId="3" xfId="2" applyFont="1" applyFill="1" applyBorder="1" applyAlignment="1">
      <alignment horizontal="left" vertical="center"/>
    </xf>
    <xf numFmtId="176" fontId="11" fillId="0" borderId="1" xfId="2" applyNumberFormat="1" applyFont="1" applyBorder="1" applyAlignment="1">
      <alignment horizontal="center" vertical="center"/>
    </xf>
    <xf numFmtId="176" fontId="11" fillId="0" borderId="2" xfId="2" applyNumberFormat="1" applyFont="1" applyBorder="1" applyAlignment="1">
      <alignment horizontal="center" vertical="center"/>
    </xf>
    <xf numFmtId="176" fontId="11" fillId="0" borderId="4" xfId="2" applyNumberFormat="1" applyFont="1" applyBorder="1" applyAlignment="1">
      <alignment horizontal="center" vertical="center"/>
    </xf>
    <xf numFmtId="0" fontId="9" fillId="0" borderId="3" xfId="2" applyFont="1" applyBorder="1" applyAlignment="1">
      <alignment horizontal="left" vertical="center"/>
    </xf>
    <xf numFmtId="0" fontId="9" fillId="0" borderId="1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9" fillId="0" borderId="1" xfId="2" applyFont="1" applyBorder="1" applyAlignment="1">
      <alignment horizontal="left" vertical="center"/>
    </xf>
    <xf numFmtId="0" fontId="10" fillId="3" borderId="1" xfId="2" applyFont="1" applyFill="1" applyBorder="1" applyAlignment="1">
      <alignment horizontal="left" vertical="center"/>
    </xf>
    <xf numFmtId="0" fontId="10" fillId="3" borderId="4" xfId="2" applyFont="1" applyFill="1" applyBorder="1" applyAlignment="1">
      <alignment horizontal="left" vertical="center"/>
    </xf>
    <xf numFmtId="0" fontId="10" fillId="3" borderId="1" xfId="2" applyFont="1" applyFill="1" applyBorder="1">
      <alignment vertical="center"/>
    </xf>
    <xf numFmtId="0" fontId="10" fillId="3" borderId="2" xfId="2" applyFont="1" applyFill="1" applyBorder="1">
      <alignment vertical="center"/>
    </xf>
    <xf numFmtId="0" fontId="10" fillId="3" borderId="4" xfId="2" applyFont="1" applyFill="1" applyBorder="1">
      <alignment vertical="center"/>
    </xf>
    <xf numFmtId="0" fontId="12" fillId="0" borderId="1" xfId="2" applyFont="1" applyBorder="1" applyAlignment="1">
      <alignment horizontal="left" vertical="center"/>
    </xf>
    <xf numFmtId="0" fontId="12" fillId="0" borderId="2" xfId="2" applyFont="1" applyBorder="1" applyAlignment="1">
      <alignment horizontal="left" vertical="center"/>
    </xf>
    <xf numFmtId="0" fontId="12" fillId="0" borderId="4" xfId="2" applyFont="1" applyBorder="1" applyAlignment="1">
      <alignment horizontal="left" vertical="center"/>
    </xf>
    <xf numFmtId="0" fontId="10" fillId="0" borderId="2" xfId="2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0" fontId="9" fillId="0" borderId="1" xfId="2" quotePrefix="1" applyFont="1" applyBorder="1" applyAlignment="1">
      <alignment horizontal="left" vertical="center"/>
    </xf>
    <xf numFmtId="0" fontId="9" fillId="0" borderId="1" xfId="2" applyFont="1" applyBorder="1" applyAlignment="1">
      <alignment horizontal="left" vertical="center" wrapText="1"/>
    </xf>
    <xf numFmtId="0" fontId="9" fillId="0" borderId="2" xfId="2" applyFont="1" applyBorder="1" applyAlignment="1">
      <alignment horizontal="left" vertical="center" wrapText="1"/>
    </xf>
    <xf numFmtId="0" fontId="9" fillId="0" borderId="4" xfId="2" applyFont="1" applyBorder="1" applyAlignment="1">
      <alignment horizontal="left" vertical="center" wrapText="1"/>
    </xf>
    <xf numFmtId="0" fontId="9" fillId="6" borderId="1" xfId="2" applyFont="1" applyFill="1" applyBorder="1" applyAlignment="1">
      <alignment horizontal="left" vertical="center"/>
    </xf>
    <xf numFmtId="0" fontId="9" fillId="6" borderId="2" xfId="2" applyFont="1" applyFill="1" applyBorder="1" applyAlignment="1">
      <alignment horizontal="left" vertical="center"/>
    </xf>
    <xf numFmtId="0" fontId="9" fillId="6" borderId="4" xfId="2" applyFont="1" applyFill="1" applyBorder="1" applyAlignment="1">
      <alignment horizontal="left" vertical="center"/>
    </xf>
    <xf numFmtId="0" fontId="13" fillId="3" borderId="1" xfId="3" applyFont="1" applyFill="1" applyBorder="1" applyAlignment="1">
      <alignment vertical="center"/>
    </xf>
    <xf numFmtId="0" fontId="13" fillId="3" borderId="2" xfId="3" applyFont="1" applyFill="1" applyBorder="1" applyAlignment="1">
      <alignment vertical="center"/>
    </xf>
    <xf numFmtId="0" fontId="13" fillId="3" borderId="4" xfId="3" applyFont="1" applyFill="1" applyBorder="1" applyAlignment="1">
      <alignment vertical="center"/>
    </xf>
    <xf numFmtId="0" fontId="13" fillId="3" borderId="1" xfId="3" applyFont="1" applyFill="1" applyBorder="1" applyAlignment="1">
      <alignment horizontal="center" vertical="center"/>
    </xf>
    <xf numFmtId="0" fontId="13" fillId="3" borderId="4" xfId="3" applyFont="1" applyFill="1" applyBorder="1" applyAlignment="1">
      <alignment horizontal="center" vertical="center"/>
    </xf>
    <xf numFmtId="0" fontId="13" fillId="3" borderId="2" xfId="3" applyFont="1" applyFill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11" fillId="0" borderId="4" xfId="3" applyFont="1" applyBorder="1" applyAlignment="1">
      <alignment horizontal="center" vertical="center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4" xfId="3" applyFont="1" applyBorder="1" applyAlignment="1">
      <alignment vertical="center"/>
    </xf>
    <xf numFmtId="49" fontId="11" fillId="0" borderId="1" xfId="3" applyNumberFormat="1" applyFont="1" applyBorder="1" applyAlignment="1">
      <alignment horizontal="center" vertical="center"/>
    </xf>
    <xf numFmtId="49" fontId="11" fillId="0" borderId="2" xfId="3" applyNumberFormat="1" applyFont="1" applyBorder="1" applyAlignment="1">
      <alignment horizontal="center" vertical="center"/>
    </xf>
    <xf numFmtId="49" fontId="11" fillId="0" borderId="4" xfId="3" applyNumberFormat="1" applyFont="1" applyBorder="1" applyAlignment="1">
      <alignment horizontal="center" vertical="center"/>
    </xf>
    <xf numFmtId="0" fontId="11" fillId="0" borderId="3" xfId="3" applyFont="1" applyBorder="1" applyAlignment="1">
      <alignment horizontal="center" vertical="center"/>
    </xf>
    <xf numFmtId="0" fontId="11" fillId="0" borderId="2" xfId="3" applyFont="1" applyBorder="1" applyAlignment="1">
      <alignment horizontal="center" vertical="center"/>
    </xf>
    <xf numFmtId="0" fontId="11" fillId="0" borderId="1" xfId="3" applyFont="1" applyBorder="1" applyAlignment="1">
      <alignment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1" xfId="2" applyFont="1" applyBorder="1">
      <alignment vertical="center"/>
    </xf>
    <xf numFmtId="0" fontId="14" fillId="0" borderId="2" xfId="2" applyFont="1" applyBorder="1">
      <alignment vertical="center"/>
    </xf>
    <xf numFmtId="0" fontId="14" fillId="0" borderId="4" xfId="2" applyFont="1" applyBorder="1">
      <alignment vertical="center"/>
    </xf>
    <xf numFmtId="0" fontId="10" fillId="3" borderId="1" xfId="2" applyFont="1" applyFill="1" applyBorder="1" applyAlignment="1">
      <alignment horizontal="left" vertical="center" wrapText="1"/>
    </xf>
    <xf numFmtId="0" fontId="10" fillId="3" borderId="2" xfId="2" applyFont="1" applyFill="1" applyBorder="1" applyAlignment="1">
      <alignment horizontal="left" vertical="center" wrapText="1"/>
    </xf>
    <xf numFmtId="0" fontId="10" fillId="3" borderId="4" xfId="2" applyFont="1" applyFill="1" applyBorder="1" applyAlignment="1">
      <alignment horizontal="left" vertical="center" wrapText="1"/>
    </xf>
    <xf numFmtId="0" fontId="10" fillId="3" borderId="4" xfId="2" applyFont="1" applyFill="1" applyBorder="1" applyAlignment="1">
      <alignment horizontal="center" vertical="center" wrapText="1"/>
    </xf>
  </cellXfs>
  <cellStyles count="15">
    <cellStyle name="標準" xfId="0" builtinId="0"/>
    <cellStyle name="標準 2" xfId="2" xr:uid="{7B5B8620-8D9A-4231-A5B6-4A01EA93306A}"/>
    <cellStyle name="標準 2 2" xfId="4" xr:uid="{CD08377E-8BA4-43D5-9D67-923A941C42ED}"/>
    <cellStyle name="標準 2 2 2" xfId="9" xr:uid="{C39E3B66-F6D3-4A02-B9BB-A8D228CC0B50}"/>
    <cellStyle name="標準 2 2 3" xfId="12" xr:uid="{7371C98E-4CD9-4A94-BAFF-0BC48AD1FF07}"/>
    <cellStyle name="標準 2 2 3 2" xfId="14" xr:uid="{8C788D00-F014-486A-9C00-416390DE8066}"/>
    <cellStyle name="標準 2 2 4" xfId="13" xr:uid="{0F29F482-8721-4B34-8524-272A465476D7}"/>
    <cellStyle name="標準 2 2 5" xfId="10" xr:uid="{8F4379AD-77CC-4DB9-A4B9-9C60F2AFACF6}"/>
    <cellStyle name="標準 2 3" xfId="7" xr:uid="{ADF3C65C-82E3-436E-B952-A575F5F0E5E2}"/>
    <cellStyle name="標準 2 4" xfId="11" xr:uid="{C54C8D80-AE24-4AD2-A642-E5CEF5775C4C}"/>
    <cellStyle name="標準 21" xfId="1" xr:uid="{413DA342-E469-4252-BCD3-62188C4E9B6A}"/>
    <cellStyle name="標準 21 2" xfId="8" xr:uid="{50E82B55-F54D-4890-903A-19C7EA2C3DF9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6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bsbpos1.sharepoint.com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activeCell="T22" sqref="T22:AY22"/>
    </sheetView>
  </sheetViews>
  <sheetFormatPr defaultColWidth="2.5" defaultRowHeight="15" customHeight="1"/>
  <cols>
    <col min="1" max="16384" width="2.5" style="13"/>
  </cols>
  <sheetData>
    <row r="1" spans="1:68" s="14" customFormat="1" ht="14.25" customHeight="1" thickBot="1">
      <c r="A1" s="78" t="s">
        <v>0</v>
      </c>
      <c r="B1" s="79"/>
      <c r="C1" s="79"/>
      <c r="D1" s="79"/>
      <c r="E1" s="80"/>
      <c r="F1" s="81" t="s">
        <v>1</v>
      </c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  <c r="W1" s="84" t="s">
        <v>2</v>
      </c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6"/>
      <c r="AR1" s="84" t="s">
        <v>3</v>
      </c>
      <c r="AS1" s="85"/>
      <c r="AT1" s="85"/>
      <c r="AU1" s="85"/>
      <c r="AV1" s="85"/>
      <c r="AW1" s="85"/>
      <c r="AX1" s="85"/>
      <c r="AY1" s="85"/>
      <c r="AZ1" s="86"/>
      <c r="BA1" s="84" t="s">
        <v>4</v>
      </c>
      <c r="BB1" s="85"/>
      <c r="BC1" s="85"/>
      <c r="BD1" s="85"/>
      <c r="BE1" s="85"/>
      <c r="BF1" s="85"/>
      <c r="BG1" s="85"/>
      <c r="BH1" s="85"/>
      <c r="BI1" s="86"/>
      <c r="BJ1" s="13"/>
      <c r="BK1" s="13"/>
      <c r="BL1" s="13"/>
      <c r="BM1" s="13"/>
      <c r="BN1" s="13"/>
      <c r="BO1" s="13"/>
      <c r="BP1" s="13"/>
    </row>
    <row r="2" spans="1:68" s="14" customFormat="1" ht="23.25" customHeight="1">
      <c r="A2" s="87" t="s">
        <v>5</v>
      </c>
      <c r="B2" s="88"/>
      <c r="C2" s="88"/>
      <c r="D2" s="88"/>
      <c r="E2" s="89"/>
      <c r="F2" s="93" t="str" cm="1">
        <f t="array" aca="1" ref="F2" ca="1">SUBSTITUTE(MID(CELL("filename"),FIND("[",CELL("filename"))+1,FIND("]",CELL("filename"))-FIND("[",CELL("filename"))-1),".xlsx","")</f>
        <v>【テーブル定義書】SJ_AccountingDataImportLogArchive_会計伝票情報ログアーカイブ</v>
      </c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5"/>
      <c r="W2" s="99" t="s">
        <v>6</v>
      </c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1"/>
      <c r="AR2" s="105" t="s">
        <v>7</v>
      </c>
      <c r="AS2" s="106"/>
      <c r="AT2" s="107">
        <v>46232</v>
      </c>
      <c r="AU2" s="108"/>
      <c r="AV2" s="108"/>
      <c r="AW2" s="108"/>
      <c r="AX2" s="108"/>
      <c r="AY2" s="108"/>
      <c r="AZ2" s="109"/>
      <c r="BA2" s="110" t="s">
        <v>243</v>
      </c>
      <c r="BB2" s="111"/>
      <c r="BC2" s="111"/>
      <c r="BD2" s="111"/>
      <c r="BE2" s="111"/>
      <c r="BF2" s="111"/>
      <c r="BG2" s="111"/>
      <c r="BH2" s="111"/>
      <c r="BI2" s="112"/>
      <c r="BJ2" s="13"/>
      <c r="BK2" s="13"/>
      <c r="BL2" s="13"/>
      <c r="BM2" s="13"/>
      <c r="BN2" s="13"/>
      <c r="BO2" s="13"/>
      <c r="BP2" s="13"/>
    </row>
    <row r="3" spans="1:68" s="14" customFormat="1" ht="23.25" customHeight="1" thickBot="1">
      <c r="A3" s="90"/>
      <c r="B3" s="91"/>
      <c r="C3" s="91"/>
      <c r="D3" s="91"/>
      <c r="E3" s="92"/>
      <c r="F3" s="96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102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4"/>
      <c r="AR3" s="113" t="s">
        <v>8</v>
      </c>
      <c r="AS3" s="114"/>
      <c r="AT3" s="115"/>
      <c r="AU3" s="116"/>
      <c r="AV3" s="116"/>
      <c r="AW3" s="116"/>
      <c r="AX3" s="116"/>
      <c r="AY3" s="116"/>
      <c r="AZ3" s="117"/>
      <c r="BA3" s="118"/>
      <c r="BB3" s="119"/>
      <c r="BC3" s="119"/>
      <c r="BD3" s="119"/>
      <c r="BE3" s="119"/>
      <c r="BF3" s="119"/>
      <c r="BG3" s="119"/>
      <c r="BH3" s="119"/>
      <c r="BI3" s="120"/>
      <c r="BJ3" s="13"/>
      <c r="BK3" s="13"/>
      <c r="BL3" s="13"/>
      <c r="BM3" s="13"/>
      <c r="BN3" s="13"/>
      <c r="BO3" s="13"/>
      <c r="BP3" s="13"/>
    </row>
    <row r="4" spans="1:68" ht="15" customHeight="1" thickBo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</row>
    <row r="5" spans="1:68" s="16" customFormat="1" ht="15" customHeight="1" thickBot="1">
      <c r="A5" s="71" t="s">
        <v>9</v>
      </c>
      <c r="B5" s="71"/>
      <c r="C5" s="71"/>
      <c r="D5" s="71"/>
      <c r="E5" s="71"/>
      <c r="F5" s="71" t="s">
        <v>10</v>
      </c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 t="s">
        <v>11</v>
      </c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 t="s">
        <v>12</v>
      </c>
      <c r="BA5" s="71"/>
      <c r="BB5" s="71"/>
      <c r="BC5" s="71"/>
      <c r="BD5" s="71"/>
      <c r="BE5" s="71" t="s">
        <v>13</v>
      </c>
      <c r="BF5" s="71"/>
      <c r="BG5" s="71"/>
      <c r="BH5" s="71"/>
      <c r="BI5" s="71"/>
    </row>
    <row r="6" spans="1:68" ht="13.5" customHeight="1">
      <c r="A6" s="72">
        <v>46232</v>
      </c>
      <c r="B6" s="72"/>
      <c r="C6" s="72"/>
      <c r="D6" s="72"/>
      <c r="E6" s="72"/>
      <c r="F6" s="73" t="s">
        <v>14</v>
      </c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4" t="s">
        <v>14</v>
      </c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5" t="s">
        <v>243</v>
      </c>
      <c r="BA6" s="75"/>
      <c r="BB6" s="75"/>
      <c r="BC6" s="75"/>
      <c r="BD6" s="75"/>
      <c r="BE6" s="76" t="s">
        <v>15</v>
      </c>
      <c r="BF6" s="77"/>
      <c r="BG6" s="77"/>
      <c r="BH6" s="77"/>
      <c r="BI6" s="77"/>
    </row>
    <row r="7" spans="1:68" ht="61.95" customHeight="1">
      <c r="A7" s="49"/>
      <c r="B7" s="49"/>
      <c r="C7" s="49"/>
      <c r="D7" s="49"/>
      <c r="E7" s="49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6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2"/>
      <c r="BA7" s="52"/>
      <c r="BB7" s="52"/>
      <c r="BC7" s="52"/>
      <c r="BD7" s="52"/>
      <c r="BE7" s="53"/>
      <c r="BF7" s="53"/>
      <c r="BG7" s="53"/>
      <c r="BH7" s="53"/>
      <c r="BI7" s="53"/>
    </row>
    <row r="8" spans="1:68" ht="14.25" customHeight="1">
      <c r="A8" s="62"/>
      <c r="B8" s="63"/>
      <c r="C8" s="63"/>
      <c r="D8" s="63"/>
      <c r="E8" s="64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6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6"/>
      <c r="AZ8" s="67"/>
      <c r="BA8" s="67"/>
      <c r="BB8" s="67"/>
      <c r="BC8" s="67"/>
      <c r="BD8" s="68"/>
      <c r="BE8" s="69"/>
      <c r="BF8" s="69"/>
      <c r="BG8" s="69"/>
      <c r="BH8" s="69"/>
      <c r="BI8" s="70"/>
      <c r="BJ8" s="29"/>
      <c r="BK8" s="29"/>
      <c r="BL8" s="29"/>
      <c r="BM8" s="29"/>
      <c r="BN8" s="29"/>
      <c r="BO8" s="29"/>
      <c r="BP8" s="29"/>
    </row>
    <row r="9" spans="1:68" ht="14.4">
      <c r="A9" s="60"/>
      <c r="B9" s="60"/>
      <c r="C9" s="60"/>
      <c r="D9" s="60"/>
      <c r="E9" s="6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6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2"/>
      <c r="BA9" s="52"/>
      <c r="BB9" s="52"/>
      <c r="BC9" s="52"/>
      <c r="BD9" s="52"/>
      <c r="BE9" s="53"/>
      <c r="BF9" s="53"/>
      <c r="BG9" s="53"/>
      <c r="BH9" s="53"/>
      <c r="BI9" s="53"/>
    </row>
    <row r="10" spans="1:68" ht="15" customHeight="1">
      <c r="A10" s="49"/>
      <c r="B10" s="49"/>
      <c r="C10" s="49"/>
      <c r="D10" s="49"/>
      <c r="E10" s="49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2"/>
      <c r="BA10" s="52"/>
      <c r="BB10" s="52"/>
      <c r="BC10" s="52"/>
      <c r="BD10" s="52"/>
      <c r="BE10" s="53"/>
      <c r="BF10" s="53"/>
      <c r="BG10" s="53"/>
      <c r="BH10" s="53"/>
      <c r="BI10" s="53"/>
    </row>
    <row r="11" spans="1:68" ht="15" customHeight="1">
      <c r="A11" s="49"/>
      <c r="B11" s="49"/>
      <c r="C11" s="49"/>
      <c r="D11" s="49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2"/>
      <c r="BA11" s="52"/>
      <c r="BB11" s="52"/>
      <c r="BC11" s="52"/>
      <c r="BD11" s="52"/>
      <c r="BE11" s="53"/>
      <c r="BF11" s="53"/>
      <c r="BG11" s="53"/>
      <c r="BH11" s="53"/>
      <c r="BI11" s="53"/>
    </row>
    <row r="12" spans="1:68" ht="15" customHeight="1">
      <c r="A12" s="49"/>
      <c r="B12" s="49"/>
      <c r="C12" s="49"/>
      <c r="D12" s="49"/>
      <c r="E12" s="49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2"/>
      <c r="BA12" s="52"/>
      <c r="BB12" s="52"/>
      <c r="BC12" s="52"/>
      <c r="BD12" s="52"/>
      <c r="BE12" s="53"/>
      <c r="BF12" s="53"/>
      <c r="BG12" s="53"/>
      <c r="BH12" s="53"/>
      <c r="BI12" s="53"/>
    </row>
    <row r="13" spans="1:68" ht="15" customHeight="1">
      <c r="A13" s="49"/>
      <c r="B13" s="49"/>
      <c r="C13" s="49"/>
      <c r="D13" s="49"/>
      <c r="E13" s="49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2"/>
      <c r="BA13" s="52"/>
      <c r="BB13" s="52"/>
      <c r="BC13" s="52"/>
      <c r="BD13" s="52"/>
      <c r="BE13" s="53"/>
      <c r="BF13" s="53"/>
      <c r="BG13" s="53"/>
      <c r="BH13" s="53"/>
      <c r="BI13" s="53"/>
    </row>
    <row r="14" spans="1:68" ht="15" customHeight="1">
      <c r="A14" s="49"/>
      <c r="B14" s="49"/>
      <c r="C14" s="49"/>
      <c r="D14" s="49"/>
      <c r="E14" s="49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2"/>
      <c r="BA14" s="52"/>
      <c r="BB14" s="52"/>
      <c r="BC14" s="52"/>
      <c r="BD14" s="52"/>
      <c r="BE14" s="53"/>
      <c r="BF14" s="53"/>
      <c r="BG14" s="53"/>
      <c r="BH14" s="53"/>
      <c r="BI14" s="53"/>
    </row>
    <row r="15" spans="1:68" ht="15" customHeight="1">
      <c r="A15" s="49"/>
      <c r="B15" s="49"/>
      <c r="C15" s="49"/>
      <c r="D15" s="49"/>
      <c r="E15" s="49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2"/>
      <c r="BA15" s="52"/>
      <c r="BB15" s="52"/>
      <c r="BC15" s="52"/>
      <c r="BD15" s="52"/>
      <c r="BE15" s="53"/>
      <c r="BF15" s="53"/>
      <c r="BG15" s="53"/>
      <c r="BH15" s="53"/>
      <c r="BI15" s="53"/>
    </row>
    <row r="16" spans="1:68" ht="15" customHeight="1">
      <c r="A16" s="49"/>
      <c r="B16" s="49"/>
      <c r="C16" s="49"/>
      <c r="D16" s="49"/>
      <c r="E16" s="49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2"/>
      <c r="BA16" s="52"/>
      <c r="BB16" s="52"/>
      <c r="BC16" s="52"/>
      <c r="BD16" s="52"/>
      <c r="BE16" s="53"/>
      <c r="BF16" s="53"/>
      <c r="BG16" s="53"/>
      <c r="BH16" s="53"/>
      <c r="BI16" s="53"/>
    </row>
    <row r="17" spans="1:61" ht="15" customHeight="1">
      <c r="A17" s="49"/>
      <c r="B17" s="49"/>
      <c r="C17" s="49"/>
      <c r="D17" s="49"/>
      <c r="E17" s="49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2"/>
      <c r="BA17" s="52"/>
      <c r="BB17" s="52"/>
      <c r="BC17" s="52"/>
      <c r="BD17" s="52"/>
      <c r="BE17" s="53"/>
      <c r="BF17" s="53"/>
      <c r="BG17" s="53"/>
      <c r="BH17" s="53"/>
      <c r="BI17" s="53"/>
    </row>
    <row r="18" spans="1:61" ht="15" customHeight="1">
      <c r="A18" s="49"/>
      <c r="B18" s="49"/>
      <c r="C18" s="49"/>
      <c r="D18" s="49"/>
      <c r="E18" s="4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2"/>
      <c r="BA18" s="52"/>
      <c r="BB18" s="52"/>
      <c r="BC18" s="52"/>
      <c r="BD18" s="52"/>
      <c r="BE18" s="53"/>
      <c r="BF18" s="53"/>
      <c r="BG18" s="53"/>
      <c r="BH18" s="53"/>
      <c r="BI18" s="53"/>
    </row>
    <row r="19" spans="1:61" ht="15" customHeight="1">
      <c r="A19" s="49"/>
      <c r="B19" s="49"/>
      <c r="C19" s="49"/>
      <c r="D19" s="49"/>
      <c r="E19" s="49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2"/>
      <c r="BA19" s="52"/>
      <c r="BB19" s="52"/>
      <c r="BC19" s="52"/>
      <c r="BD19" s="52"/>
      <c r="BE19" s="53"/>
      <c r="BF19" s="53"/>
      <c r="BG19" s="53"/>
      <c r="BH19" s="53"/>
      <c r="BI19" s="53"/>
    </row>
    <row r="20" spans="1:61" ht="15" customHeight="1">
      <c r="A20" s="49"/>
      <c r="B20" s="49"/>
      <c r="C20" s="49"/>
      <c r="D20" s="49"/>
      <c r="E20" s="49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2"/>
      <c r="BA20" s="52"/>
      <c r="BB20" s="52"/>
      <c r="BC20" s="52"/>
      <c r="BD20" s="52"/>
      <c r="BE20" s="53"/>
      <c r="BF20" s="53"/>
      <c r="BG20" s="53"/>
      <c r="BH20" s="53"/>
      <c r="BI20" s="53"/>
    </row>
    <row r="21" spans="1:61" ht="15" customHeight="1">
      <c r="A21" s="49"/>
      <c r="B21" s="49"/>
      <c r="C21" s="49"/>
      <c r="D21" s="49"/>
      <c r="E21" s="49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2"/>
      <c r="BA21" s="52"/>
      <c r="BB21" s="52"/>
      <c r="BC21" s="52"/>
      <c r="BD21" s="52"/>
      <c r="BE21" s="53"/>
      <c r="BF21" s="53"/>
      <c r="BG21" s="53"/>
      <c r="BH21" s="53"/>
      <c r="BI21" s="53"/>
    </row>
    <row r="22" spans="1:61" ht="15" customHeight="1" thickBot="1">
      <c r="A22" s="54"/>
      <c r="B22" s="54"/>
      <c r="C22" s="54"/>
      <c r="D22" s="54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7"/>
      <c r="BA22" s="57"/>
      <c r="BB22" s="57"/>
      <c r="BC22" s="57"/>
      <c r="BD22" s="57"/>
      <c r="BE22" s="58"/>
      <c r="BF22" s="58"/>
      <c r="BG22" s="58"/>
      <c r="BH22" s="58"/>
      <c r="BI22" s="58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3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58"/>
  <sheetViews>
    <sheetView showGridLines="0" tabSelected="1" topLeftCell="A17" zoomScaleNormal="100" zoomScaleSheetLayoutView="89" workbookViewId="0">
      <selection activeCell="G50" sqref="G50"/>
    </sheetView>
  </sheetViews>
  <sheetFormatPr defaultColWidth="9" defaultRowHeight="12.6"/>
  <cols>
    <col min="1" max="1" width="0.69921875" style="17" customWidth="1"/>
    <col min="2" max="2" width="3.69921875" style="17" bestFit="1" customWidth="1"/>
    <col min="3" max="3" width="18.59765625" style="17" customWidth="1"/>
    <col min="4" max="4" width="14.09765625" style="17" bestFit="1" customWidth="1"/>
    <col min="5" max="5" width="28.19921875" style="17" customWidth="1"/>
    <col min="6" max="6" width="9.69921875" style="17" customWidth="1"/>
    <col min="7" max="7" width="22.19921875" style="17" customWidth="1"/>
    <col min="8" max="8" width="8.69921875" style="17" customWidth="1"/>
    <col min="9" max="9" width="7.19921875" style="17" customWidth="1"/>
    <col min="10" max="10" width="5.5" style="17" customWidth="1"/>
    <col min="11" max="11" width="2.59765625" style="17" customWidth="1"/>
    <col min="12" max="12" width="17" style="17" customWidth="1"/>
    <col min="13" max="13" width="23.19921875" style="17" customWidth="1"/>
    <col min="14" max="14" width="0.69921875" style="17" customWidth="1"/>
    <col min="15" max="16384" width="9" style="17"/>
  </cols>
  <sheetData>
    <row r="1" spans="2:13" ht="5.0999999999999996" customHeight="1"/>
    <row r="2" spans="2:13">
      <c r="B2" s="123" t="s">
        <v>16</v>
      </c>
      <c r="C2" s="123"/>
      <c r="D2" s="123"/>
      <c r="E2" s="123" t="s">
        <v>17</v>
      </c>
      <c r="F2" s="123"/>
      <c r="G2" s="18" t="s">
        <v>18</v>
      </c>
      <c r="H2" s="124">
        <f>変更履歴!AT2</f>
        <v>46232</v>
      </c>
      <c r="I2" s="125"/>
      <c r="J2" s="125"/>
      <c r="K2" s="126"/>
      <c r="L2" s="8" t="s">
        <v>19</v>
      </c>
      <c r="M2" s="5">
        <f>変更履歴!AT3</f>
        <v>0</v>
      </c>
    </row>
    <row r="3" spans="2:13">
      <c r="B3" s="127" t="s">
        <v>20</v>
      </c>
      <c r="C3" s="127"/>
      <c r="D3" s="127"/>
      <c r="E3" s="127" t="s">
        <v>21</v>
      </c>
      <c r="F3" s="127"/>
      <c r="G3" s="18" t="s">
        <v>22</v>
      </c>
      <c r="H3" s="128" t="str">
        <f>変更履歴!BA2</f>
        <v>JBS吉井</v>
      </c>
      <c r="I3" s="129"/>
      <c r="J3" s="129"/>
      <c r="K3" s="130"/>
      <c r="L3" s="8" t="s">
        <v>23</v>
      </c>
      <c r="M3" s="2">
        <f>変更履歴!BA3</f>
        <v>0</v>
      </c>
    </row>
    <row r="4" spans="2:13">
      <c r="B4" s="123" t="s">
        <v>24</v>
      </c>
      <c r="C4" s="123"/>
      <c r="D4" s="7" t="s">
        <v>25</v>
      </c>
      <c r="E4" s="132" t="s">
        <v>26</v>
      </c>
      <c r="F4" s="133"/>
      <c r="G4" s="18" t="s">
        <v>27</v>
      </c>
      <c r="H4" s="134" t="s">
        <v>28</v>
      </c>
      <c r="I4" s="135"/>
      <c r="J4" s="135"/>
      <c r="K4" s="136"/>
      <c r="L4" s="18" t="s">
        <v>29</v>
      </c>
      <c r="M4" s="9" t="s">
        <v>30</v>
      </c>
    </row>
    <row r="5" spans="2:13">
      <c r="B5" s="127" t="s">
        <v>256</v>
      </c>
      <c r="C5" s="127"/>
      <c r="D5" s="1" t="s">
        <v>255</v>
      </c>
      <c r="E5" s="131" t="s">
        <v>244</v>
      </c>
      <c r="F5" s="122"/>
      <c r="G5" s="39" t="s">
        <v>31</v>
      </c>
      <c r="H5" s="137" t="s">
        <v>32</v>
      </c>
      <c r="I5" s="138"/>
      <c r="J5" s="138"/>
      <c r="K5" s="139"/>
      <c r="L5" s="39" t="s">
        <v>33</v>
      </c>
      <c r="M5" s="40" t="s">
        <v>34</v>
      </c>
    </row>
    <row r="6" spans="2:13" ht="5.0999999999999996" customHeight="1"/>
    <row r="7" spans="2:13">
      <c r="B7" s="41" t="s">
        <v>35</v>
      </c>
      <c r="C7" s="41" t="s">
        <v>36</v>
      </c>
      <c r="D7" s="41" t="s">
        <v>25</v>
      </c>
      <c r="E7" s="41" t="s">
        <v>37</v>
      </c>
      <c r="F7" s="41" t="s">
        <v>38</v>
      </c>
      <c r="G7" s="41" t="s">
        <v>39</v>
      </c>
      <c r="H7" s="41" t="s">
        <v>40</v>
      </c>
      <c r="I7" s="41" t="s">
        <v>41</v>
      </c>
      <c r="J7" s="41" t="s">
        <v>42</v>
      </c>
      <c r="K7" s="140"/>
      <c r="L7" s="140"/>
      <c r="M7" s="141"/>
    </row>
    <row r="8" spans="2:13">
      <c r="B8" s="2">
        <f t="shared" ref="B8:B58" si="0">ROW()-7</f>
        <v>1</v>
      </c>
      <c r="C8" s="1" t="s">
        <v>258</v>
      </c>
      <c r="D8" s="1" t="s">
        <v>259</v>
      </c>
      <c r="E8" s="19" t="s">
        <v>43</v>
      </c>
      <c r="F8" s="20" t="s">
        <v>44</v>
      </c>
      <c r="G8" s="19" t="s">
        <v>45</v>
      </c>
      <c r="H8" s="42">
        <v>4</v>
      </c>
      <c r="I8" s="2" t="s">
        <v>46</v>
      </c>
      <c r="J8" s="2" t="s">
        <v>47</v>
      </c>
      <c r="K8" s="131" t="s">
        <v>48</v>
      </c>
      <c r="L8" s="121"/>
      <c r="M8" s="122"/>
    </row>
    <row r="9" spans="2:13">
      <c r="B9" s="2">
        <f t="shared" si="0"/>
        <v>2</v>
      </c>
      <c r="C9" s="1" t="s">
        <v>49</v>
      </c>
      <c r="D9" s="1" t="s">
        <v>50</v>
      </c>
      <c r="E9" s="19" t="s">
        <v>51</v>
      </c>
      <c r="F9" s="20" t="s">
        <v>44</v>
      </c>
      <c r="G9" s="19" t="s">
        <v>260</v>
      </c>
      <c r="H9" s="3" t="s">
        <v>52</v>
      </c>
      <c r="I9" s="2" t="s">
        <v>46</v>
      </c>
      <c r="J9" s="2" t="s">
        <v>47</v>
      </c>
      <c r="K9" s="131"/>
      <c r="L9" s="121"/>
      <c r="M9" s="122"/>
    </row>
    <row r="10" spans="2:13">
      <c r="B10" s="2">
        <f t="shared" si="0"/>
        <v>3</v>
      </c>
      <c r="C10" s="1" t="s">
        <v>53</v>
      </c>
      <c r="D10" s="1" t="s">
        <v>54</v>
      </c>
      <c r="E10" s="19" t="s">
        <v>55</v>
      </c>
      <c r="F10" s="20" t="s">
        <v>44</v>
      </c>
      <c r="G10" s="19" t="s">
        <v>56</v>
      </c>
      <c r="H10" s="3" t="s">
        <v>57</v>
      </c>
      <c r="I10" s="2" t="s">
        <v>46</v>
      </c>
      <c r="J10" s="2" t="s">
        <v>47</v>
      </c>
      <c r="K10" s="131"/>
      <c r="L10" s="121"/>
      <c r="M10" s="122"/>
    </row>
    <row r="11" spans="2:13">
      <c r="B11" s="2">
        <f t="shared" si="0"/>
        <v>4</v>
      </c>
      <c r="C11" s="1" t="s">
        <v>58</v>
      </c>
      <c r="D11" s="1" t="s">
        <v>59</v>
      </c>
      <c r="E11" s="19" t="s">
        <v>60</v>
      </c>
      <c r="F11" s="20" t="s">
        <v>44</v>
      </c>
      <c r="G11" s="19" t="s">
        <v>61</v>
      </c>
      <c r="H11" s="3" t="s">
        <v>62</v>
      </c>
      <c r="I11" s="2" t="s">
        <v>46</v>
      </c>
      <c r="J11" s="2" t="s">
        <v>47</v>
      </c>
      <c r="K11" s="131"/>
      <c r="L11" s="121"/>
      <c r="M11" s="122"/>
    </row>
    <row r="12" spans="2:13">
      <c r="B12" s="2">
        <f t="shared" si="0"/>
        <v>5</v>
      </c>
      <c r="C12" s="1" t="s">
        <v>63</v>
      </c>
      <c r="D12" s="1" t="s">
        <v>64</v>
      </c>
      <c r="E12" s="19" t="s">
        <v>65</v>
      </c>
      <c r="F12" s="20" t="s">
        <v>44</v>
      </c>
      <c r="G12" s="19" t="s">
        <v>66</v>
      </c>
      <c r="H12" s="3" t="s">
        <v>67</v>
      </c>
      <c r="I12" s="2" t="s">
        <v>46</v>
      </c>
      <c r="J12" s="2" t="s">
        <v>46</v>
      </c>
      <c r="K12" s="131"/>
      <c r="L12" s="121"/>
      <c r="M12" s="122"/>
    </row>
    <row r="13" spans="2:13">
      <c r="B13" s="2">
        <f t="shared" si="0"/>
        <v>6</v>
      </c>
      <c r="C13" s="1" t="s">
        <v>68</v>
      </c>
      <c r="D13" s="1" t="s">
        <v>69</v>
      </c>
      <c r="E13" s="19" t="s">
        <v>70</v>
      </c>
      <c r="F13" s="20" t="s">
        <v>44</v>
      </c>
      <c r="G13" s="19" t="s">
        <v>261</v>
      </c>
      <c r="H13" s="3" t="s">
        <v>71</v>
      </c>
      <c r="I13" s="2" t="s">
        <v>46</v>
      </c>
      <c r="J13" s="2" t="s">
        <v>46</v>
      </c>
      <c r="K13" s="131"/>
      <c r="L13" s="121"/>
      <c r="M13" s="122"/>
    </row>
    <row r="14" spans="2:13">
      <c r="B14" s="2">
        <f t="shared" si="0"/>
        <v>7</v>
      </c>
      <c r="C14" s="43" t="s">
        <v>242</v>
      </c>
      <c r="D14" s="43" t="s">
        <v>72</v>
      </c>
      <c r="E14" s="19" t="s">
        <v>72</v>
      </c>
      <c r="F14" s="20" t="s">
        <v>73</v>
      </c>
      <c r="G14" s="19" t="s">
        <v>262</v>
      </c>
      <c r="H14" s="42"/>
      <c r="I14" s="2" t="s">
        <v>46</v>
      </c>
      <c r="J14" s="2" t="s">
        <v>47</v>
      </c>
      <c r="K14" s="131"/>
      <c r="L14" s="121"/>
      <c r="M14" s="122"/>
    </row>
    <row r="15" spans="2:13">
      <c r="B15" s="2">
        <f t="shared" si="0"/>
        <v>8</v>
      </c>
      <c r="C15" s="1" t="s">
        <v>74</v>
      </c>
      <c r="D15" s="1" t="s">
        <v>75</v>
      </c>
      <c r="E15" s="19" t="s">
        <v>76</v>
      </c>
      <c r="F15" s="20" t="s">
        <v>77</v>
      </c>
      <c r="G15" s="19" t="s">
        <v>78</v>
      </c>
      <c r="H15" s="3"/>
      <c r="I15" s="2" t="s">
        <v>46</v>
      </c>
      <c r="J15" s="2" t="s">
        <v>46</v>
      </c>
      <c r="K15" s="131" t="s">
        <v>79</v>
      </c>
      <c r="L15" s="121"/>
      <c r="M15" s="122"/>
    </row>
    <row r="16" spans="2:13">
      <c r="B16" s="2">
        <f t="shared" si="0"/>
        <v>9</v>
      </c>
      <c r="C16" s="1" t="s">
        <v>80</v>
      </c>
      <c r="D16" s="1" t="s">
        <v>81</v>
      </c>
      <c r="E16" s="19" t="s">
        <v>82</v>
      </c>
      <c r="F16" s="20" t="s">
        <v>73</v>
      </c>
      <c r="G16" s="19" t="s">
        <v>83</v>
      </c>
      <c r="H16" s="3"/>
      <c r="I16" s="2" t="s">
        <v>46</v>
      </c>
      <c r="J16" s="2" t="s">
        <v>47</v>
      </c>
      <c r="K16" s="131"/>
      <c r="L16" s="121"/>
      <c r="M16" s="122"/>
    </row>
    <row r="17" spans="2:13">
      <c r="B17" s="2">
        <f t="shared" si="0"/>
        <v>10</v>
      </c>
      <c r="C17" s="19" t="s">
        <v>84</v>
      </c>
      <c r="D17" s="1" t="s">
        <v>289</v>
      </c>
      <c r="E17" s="19" t="s">
        <v>85</v>
      </c>
      <c r="F17" s="20" t="s">
        <v>77</v>
      </c>
      <c r="G17" s="20" t="s">
        <v>263</v>
      </c>
      <c r="H17" s="3"/>
      <c r="I17" s="2" t="s">
        <v>46</v>
      </c>
      <c r="J17" s="2" t="s">
        <v>47</v>
      </c>
      <c r="K17" s="142" t="s">
        <v>290</v>
      </c>
      <c r="L17" s="121"/>
      <c r="M17" s="122"/>
    </row>
    <row r="18" spans="2:13">
      <c r="B18" s="2">
        <f t="shared" si="0"/>
        <v>11</v>
      </c>
      <c r="C18" s="19" t="s">
        <v>86</v>
      </c>
      <c r="D18" s="1" t="s">
        <v>87</v>
      </c>
      <c r="E18" s="19" t="s">
        <v>88</v>
      </c>
      <c r="F18" s="20" t="s">
        <v>44</v>
      </c>
      <c r="G18" s="19" t="s">
        <v>264</v>
      </c>
      <c r="H18" s="3" t="s">
        <v>89</v>
      </c>
      <c r="I18" s="2" t="s">
        <v>46</v>
      </c>
      <c r="J18" s="2" t="s">
        <v>46</v>
      </c>
      <c r="K18" s="131"/>
      <c r="L18" s="121"/>
      <c r="M18" s="122"/>
    </row>
    <row r="19" spans="2:13">
      <c r="B19" s="2">
        <f t="shared" si="0"/>
        <v>12</v>
      </c>
      <c r="C19" s="1" t="s">
        <v>90</v>
      </c>
      <c r="D19" s="1" t="s">
        <v>91</v>
      </c>
      <c r="E19" s="19" t="s">
        <v>92</v>
      </c>
      <c r="F19" s="20" t="s">
        <v>44</v>
      </c>
      <c r="G19" s="19" t="s">
        <v>265</v>
      </c>
      <c r="H19" s="3" t="s">
        <v>89</v>
      </c>
      <c r="I19" s="2" t="s">
        <v>46</v>
      </c>
      <c r="J19" s="2" t="s">
        <v>46</v>
      </c>
      <c r="K19" s="36"/>
      <c r="L19" s="37"/>
      <c r="M19" s="38"/>
    </row>
    <row r="20" spans="2:13">
      <c r="B20" s="2">
        <f t="shared" si="0"/>
        <v>13</v>
      </c>
      <c r="C20" s="1" t="s">
        <v>93</v>
      </c>
      <c r="D20" s="1" t="s">
        <v>94</v>
      </c>
      <c r="E20" s="19" t="s">
        <v>95</v>
      </c>
      <c r="F20" s="20" t="s">
        <v>44</v>
      </c>
      <c r="G20" s="19" t="s">
        <v>266</v>
      </c>
      <c r="H20" s="3" t="s">
        <v>96</v>
      </c>
      <c r="I20" s="2" t="s">
        <v>46</v>
      </c>
      <c r="J20" s="2" t="s">
        <v>46</v>
      </c>
      <c r="K20" s="131"/>
      <c r="L20" s="121"/>
      <c r="M20" s="122"/>
    </row>
    <row r="21" spans="2:13">
      <c r="B21" s="2">
        <f t="shared" si="0"/>
        <v>14</v>
      </c>
      <c r="C21" s="1" t="s">
        <v>97</v>
      </c>
      <c r="D21" s="1" t="s">
        <v>98</v>
      </c>
      <c r="E21" s="19" t="s">
        <v>99</v>
      </c>
      <c r="F21" s="20" t="s">
        <v>100</v>
      </c>
      <c r="G21" s="19" t="s">
        <v>267</v>
      </c>
      <c r="H21" s="3"/>
      <c r="I21" s="2" t="s">
        <v>46</v>
      </c>
      <c r="J21" s="2" t="s">
        <v>46</v>
      </c>
      <c r="K21" s="131"/>
      <c r="L21" s="121"/>
      <c r="M21" s="122"/>
    </row>
    <row r="22" spans="2:13">
      <c r="B22" s="2">
        <f t="shared" si="0"/>
        <v>15</v>
      </c>
      <c r="C22" s="1" t="s">
        <v>101</v>
      </c>
      <c r="D22" s="1" t="s">
        <v>102</v>
      </c>
      <c r="E22" s="19" t="s">
        <v>103</v>
      </c>
      <c r="F22" s="20" t="s">
        <v>100</v>
      </c>
      <c r="G22" s="19" t="s">
        <v>268</v>
      </c>
      <c r="H22" s="3"/>
      <c r="I22" s="2" t="s">
        <v>46</v>
      </c>
      <c r="J22" s="2" t="s">
        <v>46</v>
      </c>
      <c r="K22" s="131"/>
      <c r="L22" s="121"/>
      <c r="M22" s="122"/>
    </row>
    <row r="23" spans="2:13">
      <c r="B23" s="2">
        <f t="shared" si="0"/>
        <v>16</v>
      </c>
      <c r="C23" s="1" t="s">
        <v>104</v>
      </c>
      <c r="D23" s="1" t="s">
        <v>105</v>
      </c>
      <c r="E23" s="19" t="s">
        <v>106</v>
      </c>
      <c r="F23" s="20" t="s">
        <v>100</v>
      </c>
      <c r="G23" s="19" t="s">
        <v>269</v>
      </c>
      <c r="H23" s="3"/>
      <c r="I23" s="2" t="s">
        <v>46</v>
      </c>
      <c r="J23" s="2" t="s">
        <v>46</v>
      </c>
      <c r="K23" s="131"/>
      <c r="L23" s="121"/>
      <c r="M23" s="122"/>
    </row>
    <row r="24" spans="2:13">
      <c r="B24" s="2">
        <f t="shared" si="0"/>
        <v>17</v>
      </c>
      <c r="C24" s="1" t="s">
        <v>107</v>
      </c>
      <c r="D24" s="44" t="s">
        <v>291</v>
      </c>
      <c r="E24" s="19" t="s">
        <v>108</v>
      </c>
      <c r="F24" s="20" t="s">
        <v>44</v>
      </c>
      <c r="G24" s="19" t="s">
        <v>270</v>
      </c>
      <c r="H24" s="3" t="s">
        <v>52</v>
      </c>
      <c r="I24" s="2" t="s">
        <v>46</v>
      </c>
      <c r="J24" s="2" t="s">
        <v>46</v>
      </c>
      <c r="K24" s="131"/>
      <c r="L24" s="121"/>
      <c r="M24" s="122"/>
    </row>
    <row r="25" spans="2:13">
      <c r="B25" s="2">
        <f t="shared" si="0"/>
        <v>18</v>
      </c>
      <c r="C25" s="1" t="s">
        <v>109</v>
      </c>
      <c r="D25" s="45" t="s">
        <v>292</v>
      </c>
      <c r="E25" s="19" t="s">
        <v>110</v>
      </c>
      <c r="F25" s="20" t="s">
        <v>100</v>
      </c>
      <c r="G25" s="19" t="s">
        <v>271</v>
      </c>
      <c r="H25" s="3"/>
      <c r="I25" s="2" t="s">
        <v>46</v>
      </c>
      <c r="J25" s="2" t="s">
        <v>46</v>
      </c>
      <c r="K25" s="131" t="s">
        <v>111</v>
      </c>
      <c r="L25" s="121"/>
      <c r="M25" s="122"/>
    </row>
    <row r="26" spans="2:13">
      <c r="B26" s="2">
        <f t="shared" si="0"/>
        <v>19</v>
      </c>
      <c r="C26" s="19" t="s">
        <v>112</v>
      </c>
      <c r="D26" s="45" t="s">
        <v>254</v>
      </c>
      <c r="E26" s="19" t="s">
        <v>113</v>
      </c>
      <c r="F26" s="20" t="s">
        <v>44</v>
      </c>
      <c r="G26" s="19" t="s">
        <v>114</v>
      </c>
      <c r="H26" s="3" t="s">
        <v>115</v>
      </c>
      <c r="I26" s="2" t="s">
        <v>46</v>
      </c>
      <c r="J26" s="2" t="s">
        <v>46</v>
      </c>
      <c r="K26" s="131"/>
      <c r="L26" s="121"/>
      <c r="M26" s="122"/>
    </row>
    <row r="27" spans="2:13">
      <c r="B27" s="2">
        <f t="shared" si="0"/>
        <v>20</v>
      </c>
      <c r="C27" s="1" t="s">
        <v>116</v>
      </c>
      <c r="D27" s="44" t="s">
        <v>117</v>
      </c>
      <c r="E27" s="19" t="s">
        <v>118</v>
      </c>
      <c r="F27" s="20" t="s">
        <v>44</v>
      </c>
      <c r="G27" s="19" t="s">
        <v>119</v>
      </c>
      <c r="H27" s="3" t="s">
        <v>120</v>
      </c>
      <c r="I27" s="2" t="s">
        <v>46</v>
      </c>
      <c r="J27" s="2" t="s">
        <v>46</v>
      </c>
      <c r="K27" s="131"/>
      <c r="L27" s="121"/>
      <c r="M27" s="122"/>
    </row>
    <row r="28" spans="2:13">
      <c r="B28" s="2">
        <f t="shared" si="0"/>
        <v>21</v>
      </c>
      <c r="C28" s="19" t="s">
        <v>121</v>
      </c>
      <c r="D28" s="45" t="s">
        <v>122</v>
      </c>
      <c r="E28" s="1" t="s">
        <v>123</v>
      </c>
      <c r="F28" s="20" t="s">
        <v>44</v>
      </c>
      <c r="G28" s="1" t="s">
        <v>272</v>
      </c>
      <c r="H28" s="3" t="s">
        <v>293</v>
      </c>
      <c r="I28" s="2" t="s">
        <v>46</v>
      </c>
      <c r="J28" s="2" t="s">
        <v>46</v>
      </c>
      <c r="K28" s="131"/>
      <c r="L28" s="121"/>
      <c r="M28" s="122"/>
    </row>
    <row r="29" spans="2:13">
      <c r="B29" s="2">
        <f t="shared" si="0"/>
        <v>22</v>
      </c>
      <c r="C29" s="1" t="s">
        <v>125</v>
      </c>
      <c r="D29" s="45" t="s">
        <v>126</v>
      </c>
      <c r="E29" s="19" t="s">
        <v>127</v>
      </c>
      <c r="F29" s="20" t="s">
        <v>44</v>
      </c>
      <c r="G29" s="19" t="s">
        <v>128</v>
      </c>
      <c r="H29" s="3" t="s">
        <v>120</v>
      </c>
      <c r="I29" s="2" t="s">
        <v>46</v>
      </c>
      <c r="J29" s="2" t="s">
        <v>46</v>
      </c>
      <c r="K29" s="131"/>
      <c r="L29" s="121"/>
      <c r="M29" s="122"/>
    </row>
    <row r="30" spans="2:13">
      <c r="B30" s="2">
        <f t="shared" si="0"/>
        <v>23</v>
      </c>
      <c r="C30" s="19" t="s">
        <v>129</v>
      </c>
      <c r="D30" s="45" t="s">
        <v>130</v>
      </c>
      <c r="E30" s="19" t="s">
        <v>131</v>
      </c>
      <c r="F30" s="20" t="s">
        <v>44</v>
      </c>
      <c r="G30" s="19" t="s">
        <v>132</v>
      </c>
      <c r="H30" s="3" t="s">
        <v>120</v>
      </c>
      <c r="I30" s="2" t="s">
        <v>46</v>
      </c>
      <c r="J30" s="2" t="s">
        <v>46</v>
      </c>
      <c r="K30" s="131"/>
      <c r="L30" s="121"/>
      <c r="M30" s="122"/>
    </row>
    <row r="31" spans="2:13">
      <c r="B31" s="2">
        <f t="shared" si="0"/>
        <v>24</v>
      </c>
      <c r="C31" s="19" t="s">
        <v>306</v>
      </c>
      <c r="D31" s="45" t="s">
        <v>133</v>
      </c>
      <c r="E31" s="19" t="s">
        <v>134</v>
      </c>
      <c r="F31" s="20" t="s">
        <v>44</v>
      </c>
      <c r="G31" s="19" t="s">
        <v>135</v>
      </c>
      <c r="H31" s="3" t="s">
        <v>120</v>
      </c>
      <c r="I31" s="2" t="s">
        <v>46</v>
      </c>
      <c r="J31" s="2" t="s">
        <v>46</v>
      </c>
      <c r="K31" s="131"/>
      <c r="L31" s="121"/>
      <c r="M31" s="122"/>
    </row>
    <row r="32" spans="2:13">
      <c r="B32" s="2">
        <f t="shared" si="0"/>
        <v>25</v>
      </c>
      <c r="C32" s="19" t="s">
        <v>136</v>
      </c>
      <c r="D32" s="45" t="s">
        <v>137</v>
      </c>
      <c r="E32" s="1" t="s">
        <v>138</v>
      </c>
      <c r="F32" s="20" t="s">
        <v>44</v>
      </c>
      <c r="G32" s="1" t="s">
        <v>273</v>
      </c>
      <c r="H32" s="3" t="s">
        <v>139</v>
      </c>
      <c r="I32" s="2" t="s">
        <v>46</v>
      </c>
      <c r="J32" s="2" t="s">
        <v>46</v>
      </c>
      <c r="K32" s="131"/>
      <c r="L32" s="121"/>
      <c r="M32" s="122"/>
    </row>
    <row r="33" spans="2:13">
      <c r="B33" s="2">
        <f t="shared" si="0"/>
        <v>26</v>
      </c>
      <c r="C33" s="19" t="s">
        <v>140</v>
      </c>
      <c r="D33" s="45" t="s">
        <v>141</v>
      </c>
      <c r="E33" s="1" t="s">
        <v>142</v>
      </c>
      <c r="F33" s="20" t="s">
        <v>44</v>
      </c>
      <c r="G33" s="1" t="s">
        <v>274</v>
      </c>
      <c r="H33" s="3" t="s">
        <v>89</v>
      </c>
      <c r="I33" s="2" t="s">
        <v>46</v>
      </c>
      <c r="J33" s="2" t="s">
        <v>46</v>
      </c>
      <c r="K33" s="131"/>
      <c r="L33" s="121"/>
      <c r="M33" s="122"/>
    </row>
    <row r="34" spans="2:13">
      <c r="B34" s="2">
        <f t="shared" si="0"/>
        <v>27</v>
      </c>
      <c r="C34" s="1" t="s">
        <v>143</v>
      </c>
      <c r="D34" s="45" t="s">
        <v>144</v>
      </c>
      <c r="E34" s="19" t="s">
        <v>145</v>
      </c>
      <c r="F34" s="20" t="s">
        <v>44</v>
      </c>
      <c r="G34" s="19" t="s">
        <v>146</v>
      </c>
      <c r="H34" s="3" t="s">
        <v>147</v>
      </c>
      <c r="I34" s="2" t="s">
        <v>46</v>
      </c>
      <c r="J34" s="2" t="s">
        <v>46</v>
      </c>
      <c r="K34" s="131"/>
      <c r="L34" s="121"/>
      <c r="M34" s="122"/>
    </row>
    <row r="35" spans="2:13">
      <c r="B35" s="2">
        <f t="shared" si="0"/>
        <v>28</v>
      </c>
      <c r="C35" s="19" t="s">
        <v>148</v>
      </c>
      <c r="D35" s="46" t="s">
        <v>149</v>
      </c>
      <c r="E35" s="19" t="s">
        <v>150</v>
      </c>
      <c r="F35" s="19" t="s">
        <v>44</v>
      </c>
      <c r="G35" s="1" t="s">
        <v>275</v>
      </c>
      <c r="H35" s="3" t="s">
        <v>89</v>
      </c>
      <c r="I35" s="2" t="s">
        <v>46</v>
      </c>
      <c r="J35" s="2" t="s">
        <v>46</v>
      </c>
      <c r="K35" s="131"/>
      <c r="L35" s="121"/>
      <c r="M35" s="122"/>
    </row>
    <row r="36" spans="2:13">
      <c r="B36" s="2">
        <f t="shared" si="0"/>
        <v>29</v>
      </c>
      <c r="C36" s="19" t="s">
        <v>151</v>
      </c>
      <c r="D36" s="46" t="s">
        <v>152</v>
      </c>
      <c r="E36" s="1" t="s">
        <v>153</v>
      </c>
      <c r="F36" s="20" t="s">
        <v>44</v>
      </c>
      <c r="G36" s="1" t="s">
        <v>276</v>
      </c>
      <c r="H36" s="3" t="s">
        <v>89</v>
      </c>
      <c r="I36" s="2" t="s">
        <v>46</v>
      </c>
      <c r="J36" s="2" t="s">
        <v>46</v>
      </c>
      <c r="K36" s="131"/>
      <c r="L36" s="121"/>
      <c r="M36" s="122"/>
    </row>
    <row r="37" spans="2:13">
      <c r="B37" s="2">
        <f t="shared" si="0"/>
        <v>30</v>
      </c>
      <c r="C37" s="20" t="s">
        <v>282</v>
      </c>
      <c r="D37" s="20" t="s">
        <v>283</v>
      </c>
      <c r="E37" s="19" t="s">
        <v>154</v>
      </c>
      <c r="F37" s="19" t="s">
        <v>44</v>
      </c>
      <c r="G37" s="43" t="s">
        <v>155</v>
      </c>
      <c r="H37" s="3" t="s">
        <v>124</v>
      </c>
      <c r="I37" s="2" t="s">
        <v>46</v>
      </c>
      <c r="J37" s="2" t="s">
        <v>46</v>
      </c>
      <c r="K37" s="121"/>
      <c r="L37" s="121"/>
      <c r="M37" s="122"/>
    </row>
    <row r="38" spans="2:13">
      <c r="B38" s="2">
        <f t="shared" si="0"/>
        <v>31</v>
      </c>
      <c r="C38" s="20" t="s">
        <v>156</v>
      </c>
      <c r="D38" s="43" t="s">
        <v>284</v>
      </c>
      <c r="E38" s="1" t="s">
        <v>157</v>
      </c>
      <c r="F38" s="19" t="s">
        <v>44</v>
      </c>
      <c r="G38" s="1" t="s">
        <v>277</v>
      </c>
      <c r="H38" s="3" t="s">
        <v>96</v>
      </c>
      <c r="I38" s="2" t="s">
        <v>46</v>
      </c>
      <c r="J38" s="2" t="s">
        <v>46</v>
      </c>
      <c r="K38" s="131"/>
      <c r="L38" s="121"/>
      <c r="M38" s="122"/>
    </row>
    <row r="39" spans="2:13">
      <c r="B39" s="2">
        <f t="shared" si="0"/>
        <v>32</v>
      </c>
      <c r="C39" s="20" t="s">
        <v>158</v>
      </c>
      <c r="D39" s="20" t="s">
        <v>278</v>
      </c>
      <c r="E39" s="19" t="s">
        <v>159</v>
      </c>
      <c r="F39" s="19" t="s">
        <v>44</v>
      </c>
      <c r="G39" s="1" t="s">
        <v>160</v>
      </c>
      <c r="H39" s="3" t="s">
        <v>124</v>
      </c>
      <c r="I39" s="2" t="s">
        <v>46</v>
      </c>
      <c r="J39" s="2" t="s">
        <v>46</v>
      </c>
      <c r="K39" s="121"/>
      <c r="L39" s="121"/>
      <c r="M39" s="122"/>
    </row>
    <row r="40" spans="2:13">
      <c r="B40" s="2">
        <f t="shared" si="0"/>
        <v>33</v>
      </c>
      <c r="C40" s="19" t="s">
        <v>161</v>
      </c>
      <c r="D40" s="43" t="s">
        <v>162</v>
      </c>
      <c r="E40" s="1" t="s">
        <v>163</v>
      </c>
      <c r="F40" s="20" t="s">
        <v>73</v>
      </c>
      <c r="G40" s="1" t="s">
        <v>164</v>
      </c>
      <c r="H40" s="3"/>
      <c r="I40" s="2" t="s">
        <v>46</v>
      </c>
      <c r="J40" s="2" t="s">
        <v>46</v>
      </c>
      <c r="K40" s="131"/>
      <c r="L40" s="121"/>
      <c r="M40" s="122"/>
    </row>
    <row r="41" spans="2:13">
      <c r="B41" s="2">
        <f t="shared" si="0"/>
        <v>34</v>
      </c>
      <c r="C41" s="20" t="s">
        <v>241</v>
      </c>
      <c r="D41" s="20" t="s">
        <v>285</v>
      </c>
      <c r="E41" s="19" t="s">
        <v>279</v>
      </c>
      <c r="F41" s="19" t="s">
        <v>165</v>
      </c>
      <c r="G41" s="1" t="s">
        <v>279</v>
      </c>
      <c r="H41" s="3"/>
      <c r="I41" s="2" t="s">
        <v>46</v>
      </c>
      <c r="J41" s="2" t="s">
        <v>46</v>
      </c>
      <c r="K41" s="121"/>
      <c r="L41" s="121"/>
      <c r="M41" s="122"/>
    </row>
    <row r="42" spans="2:13">
      <c r="B42" s="2">
        <f t="shared" si="0"/>
        <v>35</v>
      </c>
      <c r="C42" s="20" t="s">
        <v>287</v>
      </c>
      <c r="D42" s="47" t="s">
        <v>286</v>
      </c>
      <c r="E42" s="19" t="s">
        <v>166</v>
      </c>
      <c r="F42" s="19" t="s">
        <v>73</v>
      </c>
      <c r="G42" s="1" t="s">
        <v>166</v>
      </c>
      <c r="H42" s="3"/>
      <c r="I42" s="2" t="s">
        <v>46</v>
      </c>
      <c r="J42" s="2" t="s">
        <v>46</v>
      </c>
      <c r="K42" s="121"/>
      <c r="L42" s="121"/>
      <c r="M42" s="122"/>
    </row>
    <row r="43" spans="2:13">
      <c r="B43" s="2">
        <f t="shared" si="0"/>
        <v>36</v>
      </c>
      <c r="C43" s="20" t="s">
        <v>167</v>
      </c>
      <c r="D43" s="47" t="s">
        <v>288</v>
      </c>
      <c r="E43" s="1" t="s">
        <v>168</v>
      </c>
      <c r="F43" s="20" t="s">
        <v>44</v>
      </c>
      <c r="G43" s="1" t="s">
        <v>168</v>
      </c>
      <c r="H43" s="3" t="s">
        <v>169</v>
      </c>
      <c r="I43" s="2" t="s">
        <v>46</v>
      </c>
      <c r="J43" s="2" t="s">
        <v>46</v>
      </c>
      <c r="K43" s="131"/>
      <c r="L43" s="121"/>
      <c r="M43" s="122"/>
    </row>
    <row r="44" spans="2:13">
      <c r="B44" s="2">
        <f t="shared" si="0"/>
        <v>37</v>
      </c>
      <c r="C44" s="19" t="s">
        <v>170</v>
      </c>
      <c r="D44" s="46" t="s">
        <v>305</v>
      </c>
      <c r="E44" s="19" t="s">
        <v>171</v>
      </c>
      <c r="F44" s="19" t="s">
        <v>172</v>
      </c>
      <c r="G44" s="1" t="s">
        <v>280</v>
      </c>
      <c r="H44" s="3"/>
      <c r="I44" s="2" t="s">
        <v>46</v>
      </c>
      <c r="J44" s="2" t="s">
        <v>46</v>
      </c>
      <c r="K44" s="121"/>
      <c r="L44" s="121"/>
      <c r="M44" s="122"/>
    </row>
    <row r="45" spans="2:13" ht="43.95" customHeight="1">
      <c r="B45" s="2">
        <f t="shared" si="0"/>
        <v>38</v>
      </c>
      <c r="C45" s="19" t="s">
        <v>173</v>
      </c>
      <c r="D45" s="48" t="s">
        <v>174</v>
      </c>
      <c r="E45" s="1" t="s">
        <v>175</v>
      </c>
      <c r="F45" s="20" t="s">
        <v>77</v>
      </c>
      <c r="G45" s="1" t="s">
        <v>176</v>
      </c>
      <c r="H45" s="3"/>
      <c r="I45" s="2" t="s">
        <v>46</v>
      </c>
      <c r="J45" s="2" t="s">
        <v>46</v>
      </c>
      <c r="K45" s="143" t="s">
        <v>294</v>
      </c>
      <c r="L45" s="144"/>
      <c r="M45" s="145"/>
    </row>
    <row r="46" spans="2:13">
      <c r="B46" s="2">
        <f t="shared" si="0"/>
        <v>39</v>
      </c>
      <c r="C46" s="1" t="s">
        <v>177</v>
      </c>
      <c r="D46" s="45" t="s">
        <v>178</v>
      </c>
      <c r="E46" s="19" t="s">
        <v>179</v>
      </c>
      <c r="F46" s="20" t="s">
        <v>44</v>
      </c>
      <c r="G46" s="19" t="s">
        <v>180</v>
      </c>
      <c r="H46" s="42">
        <v>20</v>
      </c>
      <c r="I46" s="2" t="s">
        <v>46</v>
      </c>
      <c r="J46" s="2" t="s">
        <v>46</v>
      </c>
      <c r="K46" s="121"/>
      <c r="L46" s="121"/>
      <c r="M46" s="122"/>
    </row>
    <row r="47" spans="2:13">
      <c r="B47" s="2">
        <f t="shared" si="0"/>
        <v>40</v>
      </c>
      <c r="C47" s="1" t="s">
        <v>181</v>
      </c>
      <c r="D47" s="45" t="s">
        <v>182</v>
      </c>
      <c r="E47" s="19" t="s">
        <v>183</v>
      </c>
      <c r="F47" s="20" t="s">
        <v>184</v>
      </c>
      <c r="G47" s="1" t="s">
        <v>185</v>
      </c>
      <c r="H47" s="42"/>
      <c r="I47" s="2" t="s">
        <v>46</v>
      </c>
      <c r="J47" s="2" t="s">
        <v>46</v>
      </c>
      <c r="K47" s="131"/>
      <c r="L47" s="121"/>
      <c r="M47" s="122"/>
    </row>
    <row r="48" spans="2:13">
      <c r="B48" s="2">
        <f t="shared" si="0"/>
        <v>41</v>
      </c>
      <c r="C48" s="20" t="s">
        <v>281</v>
      </c>
      <c r="D48" s="1" t="s">
        <v>257</v>
      </c>
      <c r="E48" s="1" t="s">
        <v>245</v>
      </c>
      <c r="F48" s="20" t="s">
        <v>44</v>
      </c>
      <c r="G48" s="1" t="s">
        <v>246</v>
      </c>
      <c r="H48" s="42">
        <v>20</v>
      </c>
      <c r="I48" s="2" t="s">
        <v>46</v>
      </c>
      <c r="J48" s="2" t="s">
        <v>46</v>
      </c>
      <c r="K48" s="131"/>
      <c r="L48" s="121"/>
      <c r="M48" s="122"/>
    </row>
    <row r="49" spans="2:13">
      <c r="B49" s="2">
        <f t="shared" si="0"/>
        <v>42</v>
      </c>
      <c r="C49" s="19" t="s">
        <v>249</v>
      </c>
      <c r="D49" s="1" t="s">
        <v>252</v>
      </c>
      <c r="E49" s="1" t="s">
        <v>247</v>
      </c>
      <c r="F49" s="20" t="s">
        <v>44</v>
      </c>
      <c r="G49" s="31" t="s">
        <v>298</v>
      </c>
      <c r="H49" s="3" t="s">
        <v>89</v>
      </c>
      <c r="I49" s="2" t="s">
        <v>46</v>
      </c>
      <c r="J49" s="2" t="s">
        <v>46</v>
      </c>
      <c r="K49" s="131"/>
      <c r="L49" s="121"/>
      <c r="M49" s="122"/>
    </row>
    <row r="50" spans="2:13">
      <c r="B50" s="2">
        <f t="shared" si="0"/>
        <v>43</v>
      </c>
      <c r="C50" s="19" t="s">
        <v>251</v>
      </c>
      <c r="D50" s="1" t="s">
        <v>253</v>
      </c>
      <c r="E50" s="1" t="s">
        <v>248</v>
      </c>
      <c r="F50" s="20" t="s">
        <v>165</v>
      </c>
      <c r="G50" s="1" t="s">
        <v>250</v>
      </c>
      <c r="H50" s="3"/>
      <c r="I50" s="2" t="s">
        <v>46</v>
      </c>
      <c r="J50" s="2" t="s">
        <v>46</v>
      </c>
      <c r="K50" s="131"/>
      <c r="L50" s="121"/>
      <c r="M50" s="122"/>
    </row>
    <row r="51" spans="2:13">
      <c r="B51" s="2">
        <f t="shared" si="0"/>
        <v>44</v>
      </c>
      <c r="C51" s="30" t="s">
        <v>295</v>
      </c>
      <c r="D51" s="31" t="s">
        <v>296</v>
      </c>
      <c r="E51" s="31" t="s">
        <v>297</v>
      </c>
      <c r="F51" s="32" t="s">
        <v>44</v>
      </c>
      <c r="G51" s="31" t="s">
        <v>298</v>
      </c>
      <c r="H51" s="33">
        <v>20</v>
      </c>
      <c r="I51" s="34" t="s">
        <v>46</v>
      </c>
      <c r="J51" s="34" t="s">
        <v>46</v>
      </c>
      <c r="K51" s="146" t="s">
        <v>299</v>
      </c>
      <c r="L51" s="147"/>
      <c r="M51" s="148"/>
    </row>
    <row r="52" spans="2:13">
      <c r="B52" s="2">
        <f t="shared" si="0"/>
        <v>45</v>
      </c>
      <c r="C52" s="30" t="s">
        <v>300</v>
      </c>
      <c r="D52" s="31" t="s">
        <v>296</v>
      </c>
      <c r="E52" s="31" t="s">
        <v>301</v>
      </c>
      <c r="F52" s="32" t="s">
        <v>302</v>
      </c>
      <c r="G52" s="31" t="s">
        <v>303</v>
      </c>
      <c r="H52" s="35"/>
      <c r="I52" s="34" t="s">
        <v>46</v>
      </c>
      <c r="J52" s="34" t="s">
        <v>46</v>
      </c>
      <c r="K52" s="146" t="s">
        <v>304</v>
      </c>
      <c r="L52" s="147"/>
      <c r="M52" s="148"/>
    </row>
    <row r="53" spans="2:13">
      <c r="B53" s="2">
        <f t="shared" si="0"/>
        <v>46</v>
      </c>
      <c r="C53" s="19"/>
      <c r="D53" s="1"/>
      <c r="E53" s="1"/>
      <c r="F53" s="20"/>
      <c r="G53" s="1"/>
      <c r="H53" s="3"/>
      <c r="I53" s="2"/>
      <c r="J53" s="2"/>
      <c r="K53" s="131"/>
      <c r="L53" s="121"/>
      <c r="M53" s="122"/>
    </row>
    <row r="54" spans="2:13">
      <c r="B54" s="2">
        <f t="shared" si="0"/>
        <v>47</v>
      </c>
      <c r="C54" s="19"/>
      <c r="D54" s="19"/>
      <c r="E54" s="19"/>
      <c r="F54" s="19"/>
      <c r="G54" s="4"/>
      <c r="H54" s="19"/>
      <c r="I54" s="19"/>
      <c r="J54" s="2"/>
      <c r="K54" s="121"/>
      <c r="L54" s="121"/>
      <c r="M54" s="122"/>
    </row>
    <row r="55" spans="2:13">
      <c r="B55" s="2">
        <f t="shared" si="0"/>
        <v>48</v>
      </c>
      <c r="C55" s="19"/>
      <c r="D55" s="1"/>
      <c r="E55" s="1"/>
      <c r="F55" s="20"/>
      <c r="G55" s="1"/>
      <c r="H55" s="3"/>
      <c r="I55" s="2"/>
      <c r="J55" s="2"/>
      <c r="K55" s="131"/>
      <c r="L55" s="121"/>
      <c r="M55" s="122"/>
    </row>
    <row r="56" spans="2:13">
      <c r="B56" s="2">
        <f t="shared" si="0"/>
        <v>49</v>
      </c>
      <c r="C56" s="19"/>
      <c r="D56" s="19"/>
      <c r="E56" s="19"/>
      <c r="F56" s="19"/>
      <c r="G56" s="4"/>
      <c r="H56" s="19"/>
      <c r="I56" s="19"/>
      <c r="J56" s="2"/>
      <c r="K56" s="121"/>
      <c r="L56" s="121"/>
      <c r="M56" s="122"/>
    </row>
    <row r="57" spans="2:13">
      <c r="B57" s="2">
        <f t="shared" si="0"/>
        <v>50</v>
      </c>
      <c r="C57" s="19"/>
      <c r="D57" s="1"/>
      <c r="E57" s="1"/>
      <c r="F57" s="20"/>
      <c r="G57" s="1"/>
      <c r="H57" s="3"/>
      <c r="I57" s="2"/>
      <c r="J57" s="2"/>
      <c r="K57" s="131"/>
      <c r="L57" s="121"/>
      <c r="M57" s="122"/>
    </row>
    <row r="58" spans="2:13">
      <c r="B58" s="2">
        <f t="shared" si="0"/>
        <v>51</v>
      </c>
      <c r="C58" s="19"/>
      <c r="D58" s="19"/>
      <c r="E58" s="19"/>
      <c r="F58" s="19"/>
      <c r="G58" s="4"/>
      <c r="H58" s="19"/>
      <c r="I58" s="19"/>
      <c r="J58" s="2"/>
      <c r="K58" s="121"/>
      <c r="L58" s="121"/>
      <c r="M58" s="122"/>
    </row>
  </sheetData>
  <autoFilter ref="A7:N58" xr:uid="{501FE99D-A42D-418E-AE4E-96DF789E4EEC}">
    <filterColumn colId="10" showButton="0"/>
    <filterColumn colId="11" showButton="0"/>
  </autoFilter>
  <mergeCells count="63">
    <mergeCell ref="K57:M57"/>
    <mergeCell ref="K58:M58"/>
    <mergeCell ref="K52:M52"/>
    <mergeCell ref="K53:M53"/>
    <mergeCell ref="K54:M54"/>
    <mergeCell ref="K55:M55"/>
    <mergeCell ref="K56:M56"/>
    <mergeCell ref="K47:M47"/>
    <mergeCell ref="K48:M48"/>
    <mergeCell ref="K49:M49"/>
    <mergeCell ref="K50:M50"/>
    <mergeCell ref="K51:M51"/>
    <mergeCell ref="K42:M42"/>
    <mergeCell ref="K43:M43"/>
    <mergeCell ref="K44:M44"/>
    <mergeCell ref="K45:M45"/>
    <mergeCell ref="K46:M46"/>
    <mergeCell ref="K36:M36"/>
    <mergeCell ref="K37:M37"/>
    <mergeCell ref="K38:M38"/>
    <mergeCell ref="K39:M39"/>
    <mergeCell ref="K40:M40"/>
    <mergeCell ref="K33:M33"/>
    <mergeCell ref="K34:M34"/>
    <mergeCell ref="K35:M35"/>
    <mergeCell ref="K31:M31"/>
    <mergeCell ref="K26:M26"/>
    <mergeCell ref="K27:M27"/>
    <mergeCell ref="K28:M28"/>
    <mergeCell ref="K29:M29"/>
    <mergeCell ref="K30:M30"/>
    <mergeCell ref="K32:M32"/>
    <mergeCell ref="K21:M21"/>
    <mergeCell ref="K22:M22"/>
    <mergeCell ref="K23:M23"/>
    <mergeCell ref="K24:M24"/>
    <mergeCell ref="K25:M25"/>
    <mergeCell ref="K9:M9"/>
    <mergeCell ref="K10:M10"/>
    <mergeCell ref="K11:M11"/>
    <mergeCell ref="K20:M20"/>
    <mergeCell ref="K13:M13"/>
    <mergeCell ref="K14:M14"/>
    <mergeCell ref="K15:M15"/>
    <mergeCell ref="K16:M16"/>
    <mergeCell ref="K17:M17"/>
    <mergeCell ref="K18:M18"/>
    <mergeCell ref="K41:M41"/>
    <mergeCell ref="B2:D2"/>
    <mergeCell ref="E2:F2"/>
    <mergeCell ref="H2:K2"/>
    <mergeCell ref="B3:D3"/>
    <mergeCell ref="E3:F3"/>
    <mergeCell ref="H3:K3"/>
    <mergeCell ref="K12:M12"/>
    <mergeCell ref="B4:C4"/>
    <mergeCell ref="E4:F4"/>
    <mergeCell ref="H4:K4"/>
    <mergeCell ref="B5:C5"/>
    <mergeCell ref="E5:F5"/>
    <mergeCell ref="H5:K5"/>
    <mergeCell ref="K7:M7"/>
    <mergeCell ref="K8:M8"/>
  </mergeCells>
  <phoneticPr fontId="3"/>
  <conditionalFormatting sqref="H8 H25">
    <cfRule type="expression" dxfId="5" priority="15">
      <formula>$F8&lt;&gt;"String"</formula>
    </cfRule>
  </conditionalFormatting>
  <conditionalFormatting sqref="H14:H18">
    <cfRule type="expression" dxfId="4" priority="3">
      <formula>$F14&lt;&gt;"String"</formula>
    </cfRule>
  </conditionalFormatting>
  <conditionalFormatting sqref="H21:H23">
    <cfRule type="expression" dxfId="3" priority="6">
      <formula>$F21&lt;&gt;"String"</formula>
    </cfRule>
  </conditionalFormatting>
  <conditionalFormatting sqref="H40:H46">
    <cfRule type="expression" dxfId="2" priority="7">
      <formula>$F40&lt;&gt;"String"</formula>
    </cfRule>
  </conditionalFormatting>
  <conditionalFormatting sqref="H48:H52">
    <cfRule type="expression" dxfId="1" priority="1">
      <formula>$F48&lt;&gt;"String"</formula>
    </cfRule>
  </conditionalFormatting>
  <conditionalFormatting sqref="H50">
    <cfRule type="expression" dxfId="0" priority="17">
      <formula>#REF!&lt;&gt;"String"</formula>
    </cfRule>
  </conditionalFormatting>
  <dataValidations count="1">
    <dataValidation type="list" allowBlank="1" showInputMessage="1" showErrorMessage="1" sqref="I55:J55 I57:J57 I8:J53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F46 F44 F8:F9 F12:F42 F50 F53:F58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sqref="A1:BG1"/>
    </sheetView>
  </sheetViews>
  <sheetFormatPr defaultColWidth="2.59765625" defaultRowHeight="16.5" customHeight="1"/>
  <cols>
    <col min="1" max="12" width="2.59765625" style="6"/>
    <col min="13" max="17" width="3.19921875" style="6" customWidth="1"/>
    <col min="18" max="22" width="2.59765625" style="6"/>
    <col min="23" max="27" width="3.59765625" style="6" customWidth="1"/>
    <col min="28" max="16384" width="2.59765625" style="6"/>
  </cols>
  <sheetData>
    <row r="1" spans="1:59" ht="11.25" customHeight="1">
      <c r="A1" s="149" t="s">
        <v>186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  <c r="BC1" s="150"/>
      <c r="BD1" s="150"/>
      <c r="BE1" s="150"/>
      <c r="BF1" s="150"/>
      <c r="BG1" s="151"/>
    </row>
    <row r="2" spans="1:59" ht="11.25" customHeight="1">
      <c r="A2" s="152" t="s">
        <v>35</v>
      </c>
      <c r="B2" s="153"/>
      <c r="C2" s="152" t="s">
        <v>187</v>
      </c>
      <c r="D2" s="154"/>
      <c r="E2" s="154"/>
      <c r="F2" s="154"/>
      <c r="G2" s="154"/>
      <c r="H2" s="154"/>
      <c r="I2" s="154"/>
      <c r="J2" s="154"/>
      <c r="K2" s="154"/>
      <c r="L2" s="153"/>
      <c r="M2" s="152" t="s">
        <v>188</v>
      </c>
      <c r="N2" s="154"/>
      <c r="O2" s="154"/>
      <c r="P2" s="153"/>
      <c r="Q2" s="152" t="s">
        <v>189</v>
      </c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3"/>
      <c r="BB2" s="152" t="s">
        <v>190</v>
      </c>
      <c r="BC2" s="154"/>
      <c r="BD2" s="154"/>
      <c r="BE2" s="154"/>
      <c r="BF2" s="154"/>
      <c r="BG2" s="153"/>
    </row>
    <row r="3" spans="1:59" ht="11.25" customHeight="1">
      <c r="A3" s="155">
        <v>1</v>
      </c>
      <c r="B3" s="156"/>
      <c r="C3" s="157"/>
      <c r="D3" s="158"/>
      <c r="E3" s="158"/>
      <c r="F3" s="158"/>
      <c r="G3" s="158"/>
      <c r="H3" s="158"/>
      <c r="I3" s="158"/>
      <c r="J3" s="158"/>
      <c r="K3" s="158"/>
      <c r="L3" s="159"/>
      <c r="M3" s="160"/>
      <c r="N3" s="161"/>
      <c r="O3" s="161"/>
      <c r="P3" s="162"/>
      <c r="Q3" s="157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8"/>
      <c r="AP3" s="158"/>
      <c r="AQ3" s="158"/>
      <c r="AR3" s="158"/>
      <c r="AS3" s="158"/>
      <c r="AT3" s="158"/>
      <c r="AU3" s="158"/>
      <c r="AV3" s="158"/>
      <c r="AW3" s="158"/>
      <c r="AX3" s="158"/>
      <c r="AY3" s="158"/>
      <c r="AZ3" s="158"/>
      <c r="BA3" s="159"/>
      <c r="BB3" s="157"/>
      <c r="BC3" s="158"/>
      <c r="BD3" s="158"/>
      <c r="BE3" s="158"/>
      <c r="BF3" s="158"/>
      <c r="BG3" s="159"/>
    </row>
    <row r="4" spans="1:59" ht="11.25" customHeight="1">
      <c r="A4" s="155">
        <v>2</v>
      </c>
      <c r="B4" s="156"/>
      <c r="C4" s="157"/>
      <c r="D4" s="158"/>
      <c r="E4" s="158"/>
      <c r="F4" s="158"/>
      <c r="G4" s="158"/>
      <c r="H4" s="158"/>
      <c r="I4" s="158"/>
      <c r="J4" s="158"/>
      <c r="K4" s="158"/>
      <c r="L4" s="159"/>
      <c r="M4" s="160"/>
      <c r="N4" s="161"/>
      <c r="O4" s="161"/>
      <c r="P4" s="162"/>
      <c r="Q4" s="157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9"/>
      <c r="BB4" s="157"/>
      <c r="BC4" s="158"/>
      <c r="BD4" s="158"/>
      <c r="BE4" s="158"/>
      <c r="BF4" s="158"/>
      <c r="BG4" s="159"/>
    </row>
    <row r="5" spans="1:59" ht="11.25" customHeight="1">
      <c r="A5" s="155">
        <v>3</v>
      </c>
      <c r="B5" s="156"/>
      <c r="C5" s="157"/>
      <c r="D5" s="158"/>
      <c r="E5" s="158"/>
      <c r="F5" s="158"/>
      <c r="G5" s="158"/>
      <c r="H5" s="158"/>
      <c r="I5" s="158"/>
      <c r="J5" s="158"/>
      <c r="K5" s="158"/>
      <c r="L5" s="159"/>
      <c r="M5" s="160"/>
      <c r="N5" s="161"/>
      <c r="O5" s="161"/>
      <c r="P5" s="162"/>
      <c r="Q5" s="157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8"/>
      <c r="AI5" s="158"/>
      <c r="AJ5" s="158"/>
      <c r="AK5" s="158"/>
      <c r="AL5" s="158"/>
      <c r="AM5" s="158"/>
      <c r="AN5" s="158"/>
      <c r="AO5" s="158"/>
      <c r="AP5" s="158"/>
      <c r="AQ5" s="158"/>
      <c r="AR5" s="158"/>
      <c r="AS5" s="158"/>
      <c r="AT5" s="158"/>
      <c r="AU5" s="158"/>
      <c r="AV5" s="158"/>
      <c r="AW5" s="158"/>
      <c r="AX5" s="158"/>
      <c r="AY5" s="158"/>
      <c r="AZ5" s="158"/>
      <c r="BA5" s="159"/>
      <c r="BB5" s="157"/>
      <c r="BC5" s="158"/>
      <c r="BD5" s="158"/>
      <c r="BE5" s="158"/>
      <c r="BF5" s="158"/>
      <c r="BG5" s="159"/>
    </row>
    <row r="6" spans="1:59" ht="11.25" customHeight="1">
      <c r="A6" s="155">
        <v>4</v>
      </c>
      <c r="B6" s="156"/>
      <c r="C6" s="157"/>
      <c r="D6" s="158"/>
      <c r="E6" s="158"/>
      <c r="F6" s="158"/>
      <c r="G6" s="158"/>
      <c r="H6" s="158"/>
      <c r="I6" s="158"/>
      <c r="J6" s="158"/>
      <c r="K6" s="158"/>
      <c r="L6" s="159"/>
      <c r="M6" s="160"/>
      <c r="N6" s="161"/>
      <c r="O6" s="161"/>
      <c r="P6" s="162"/>
      <c r="Q6" s="157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8"/>
      <c r="AU6" s="158"/>
      <c r="AV6" s="158"/>
      <c r="AW6" s="158"/>
      <c r="AX6" s="158"/>
      <c r="AY6" s="158"/>
      <c r="AZ6" s="158"/>
      <c r="BA6" s="159"/>
      <c r="BB6" s="157"/>
      <c r="BC6" s="158"/>
      <c r="BD6" s="158"/>
      <c r="BE6" s="158"/>
      <c r="BF6" s="158"/>
      <c r="BG6" s="159"/>
    </row>
    <row r="7" spans="1:59" ht="11.25" customHeight="1">
      <c r="A7" s="155">
        <v>5</v>
      </c>
      <c r="B7" s="156"/>
      <c r="C7" s="157"/>
      <c r="D7" s="158"/>
      <c r="E7" s="158"/>
      <c r="F7" s="158"/>
      <c r="G7" s="158"/>
      <c r="H7" s="158"/>
      <c r="I7" s="158"/>
      <c r="J7" s="158"/>
      <c r="K7" s="158"/>
      <c r="L7" s="159"/>
      <c r="M7" s="160"/>
      <c r="N7" s="161"/>
      <c r="O7" s="161"/>
      <c r="P7" s="162"/>
      <c r="Q7" s="157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  <c r="AH7" s="158"/>
      <c r="AI7" s="158"/>
      <c r="AJ7" s="158"/>
      <c r="AK7" s="158"/>
      <c r="AL7" s="158"/>
      <c r="AM7" s="158"/>
      <c r="AN7" s="158"/>
      <c r="AO7" s="158"/>
      <c r="AP7" s="158"/>
      <c r="AQ7" s="158"/>
      <c r="AR7" s="158"/>
      <c r="AS7" s="158"/>
      <c r="AT7" s="158"/>
      <c r="AU7" s="158"/>
      <c r="AV7" s="158"/>
      <c r="AW7" s="158"/>
      <c r="AX7" s="158"/>
      <c r="AY7" s="158"/>
      <c r="AZ7" s="158"/>
      <c r="BA7" s="159"/>
      <c r="BB7" s="157"/>
      <c r="BC7" s="158"/>
      <c r="BD7" s="158"/>
      <c r="BE7" s="158"/>
      <c r="BF7" s="158"/>
      <c r="BG7" s="159"/>
    </row>
    <row r="8" spans="1:59" ht="11.25" customHeight="1">
      <c r="A8" s="149" t="s">
        <v>191</v>
      </c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50"/>
      <c r="AL8" s="150"/>
      <c r="AM8" s="150"/>
      <c r="AN8" s="150"/>
      <c r="AO8" s="150"/>
      <c r="AP8" s="150"/>
      <c r="AQ8" s="150"/>
      <c r="AR8" s="150"/>
      <c r="AS8" s="150"/>
      <c r="AT8" s="150"/>
      <c r="AU8" s="150"/>
      <c r="AV8" s="150"/>
      <c r="AW8" s="150"/>
      <c r="AX8" s="150"/>
      <c r="AY8" s="150"/>
      <c r="AZ8" s="150"/>
      <c r="BA8" s="150"/>
      <c r="BB8" s="150"/>
      <c r="BC8" s="150"/>
      <c r="BD8" s="150"/>
      <c r="BE8" s="150"/>
      <c r="BF8" s="150"/>
      <c r="BG8" s="150"/>
    </row>
    <row r="9" spans="1:59" ht="11.25" customHeight="1">
      <c r="A9" s="152" t="s">
        <v>35</v>
      </c>
      <c r="B9" s="153"/>
      <c r="C9" s="152" t="s">
        <v>192</v>
      </c>
      <c r="D9" s="154"/>
      <c r="E9" s="154"/>
      <c r="F9" s="154"/>
      <c r="G9" s="154"/>
      <c r="H9" s="154"/>
      <c r="I9" s="154"/>
      <c r="J9" s="154"/>
      <c r="K9" s="154"/>
      <c r="L9" s="153"/>
      <c r="M9" s="152" t="s">
        <v>193</v>
      </c>
      <c r="N9" s="154"/>
      <c r="O9" s="153"/>
      <c r="P9" s="152" t="s">
        <v>189</v>
      </c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3"/>
      <c r="AQ9" s="152" t="s">
        <v>190</v>
      </c>
      <c r="AR9" s="154"/>
      <c r="AS9" s="154"/>
      <c r="AT9" s="154"/>
      <c r="AU9" s="154"/>
      <c r="AV9" s="154"/>
      <c r="AW9" s="154"/>
      <c r="AX9" s="154"/>
      <c r="AY9" s="154"/>
      <c r="AZ9" s="154"/>
      <c r="BA9" s="154"/>
      <c r="BB9" s="154"/>
      <c r="BC9" s="154"/>
      <c r="BD9" s="154"/>
      <c r="BE9" s="154"/>
      <c r="BF9" s="154"/>
      <c r="BG9" s="153"/>
    </row>
    <row r="10" spans="1:59" ht="11.25" customHeight="1">
      <c r="A10" s="155">
        <v>1</v>
      </c>
      <c r="B10" s="156"/>
      <c r="C10" s="157"/>
      <c r="D10" s="158"/>
      <c r="E10" s="158"/>
      <c r="F10" s="158"/>
      <c r="G10" s="158"/>
      <c r="H10" s="158"/>
      <c r="I10" s="158"/>
      <c r="J10" s="158"/>
      <c r="K10" s="158"/>
      <c r="L10" s="159"/>
      <c r="M10" s="163"/>
      <c r="N10" s="163"/>
      <c r="O10" s="163"/>
      <c r="P10" s="157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9"/>
      <c r="AQ10" s="157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58"/>
      <c r="BC10" s="158"/>
      <c r="BD10" s="158"/>
      <c r="BE10" s="158"/>
      <c r="BF10" s="158"/>
      <c r="BG10" s="159"/>
    </row>
    <row r="11" spans="1:59" ht="11.25" customHeight="1">
      <c r="A11" s="155">
        <v>2</v>
      </c>
      <c r="B11" s="156"/>
      <c r="C11" s="157"/>
      <c r="D11" s="158"/>
      <c r="E11" s="158"/>
      <c r="F11" s="158"/>
      <c r="G11" s="158"/>
      <c r="H11" s="158"/>
      <c r="I11" s="158"/>
      <c r="J11" s="158"/>
      <c r="K11" s="158"/>
      <c r="L11" s="159"/>
      <c r="M11" s="163"/>
      <c r="N11" s="163"/>
      <c r="O11" s="163"/>
      <c r="P11" s="157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9"/>
      <c r="AQ11" s="157"/>
      <c r="AR11" s="158"/>
      <c r="AS11" s="158"/>
      <c r="AT11" s="158"/>
      <c r="AU11" s="158"/>
      <c r="AV11" s="158"/>
      <c r="AW11" s="158"/>
      <c r="AX11" s="158"/>
      <c r="AY11" s="158"/>
      <c r="AZ11" s="158"/>
      <c r="BA11" s="158"/>
      <c r="BB11" s="158"/>
      <c r="BC11" s="158"/>
      <c r="BD11" s="158"/>
      <c r="BE11" s="158"/>
      <c r="BF11" s="158"/>
      <c r="BG11" s="159"/>
    </row>
    <row r="12" spans="1:59" ht="11.25" customHeight="1">
      <c r="A12" s="155">
        <v>3</v>
      </c>
      <c r="B12" s="156"/>
      <c r="C12" s="157"/>
      <c r="D12" s="158"/>
      <c r="E12" s="158"/>
      <c r="F12" s="158"/>
      <c r="G12" s="158"/>
      <c r="H12" s="158"/>
      <c r="I12" s="158"/>
      <c r="J12" s="158"/>
      <c r="K12" s="158"/>
      <c r="L12" s="159"/>
      <c r="M12" s="163"/>
      <c r="N12" s="163"/>
      <c r="O12" s="163"/>
      <c r="P12" s="157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9"/>
      <c r="AQ12" s="157"/>
      <c r="AR12" s="158"/>
      <c r="AS12" s="158"/>
      <c r="AT12" s="158"/>
      <c r="AU12" s="158"/>
      <c r="AV12" s="158"/>
      <c r="AW12" s="158"/>
      <c r="AX12" s="158"/>
      <c r="AY12" s="158"/>
      <c r="AZ12" s="158"/>
      <c r="BA12" s="158"/>
      <c r="BB12" s="158"/>
      <c r="BC12" s="158"/>
      <c r="BD12" s="158"/>
      <c r="BE12" s="158"/>
      <c r="BF12" s="158"/>
      <c r="BG12" s="159"/>
    </row>
    <row r="13" spans="1:59" ht="11.25" customHeight="1">
      <c r="A13" s="155">
        <v>4</v>
      </c>
      <c r="B13" s="156"/>
      <c r="C13" s="157"/>
      <c r="D13" s="158"/>
      <c r="E13" s="158"/>
      <c r="F13" s="158"/>
      <c r="G13" s="158"/>
      <c r="H13" s="158"/>
      <c r="I13" s="158"/>
      <c r="J13" s="158"/>
      <c r="K13" s="158"/>
      <c r="L13" s="159"/>
      <c r="M13" s="163"/>
      <c r="N13" s="163"/>
      <c r="O13" s="163"/>
      <c r="P13" s="157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9"/>
      <c r="AQ13" s="157"/>
      <c r="AR13" s="158"/>
      <c r="AS13" s="158"/>
      <c r="AT13" s="158"/>
      <c r="AU13" s="158"/>
      <c r="AV13" s="158"/>
      <c r="AW13" s="158"/>
      <c r="AX13" s="158"/>
      <c r="AY13" s="158"/>
      <c r="AZ13" s="158"/>
      <c r="BA13" s="158"/>
      <c r="BB13" s="158"/>
      <c r="BC13" s="158"/>
      <c r="BD13" s="158"/>
      <c r="BE13" s="158"/>
      <c r="BF13" s="158"/>
      <c r="BG13" s="159"/>
    </row>
    <row r="14" spans="1:59" ht="11.25" customHeight="1">
      <c r="A14" s="155">
        <v>5</v>
      </c>
      <c r="B14" s="156"/>
      <c r="C14" s="157"/>
      <c r="D14" s="158"/>
      <c r="E14" s="158"/>
      <c r="F14" s="158"/>
      <c r="G14" s="158"/>
      <c r="H14" s="158"/>
      <c r="I14" s="158"/>
      <c r="J14" s="158"/>
      <c r="K14" s="158"/>
      <c r="L14" s="159"/>
      <c r="M14" s="163"/>
      <c r="N14" s="163"/>
      <c r="O14" s="163"/>
      <c r="P14" s="157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9"/>
      <c r="AQ14" s="157"/>
      <c r="AR14" s="158"/>
      <c r="AS14" s="158"/>
      <c r="AT14" s="158"/>
      <c r="AU14" s="158"/>
      <c r="AV14" s="158"/>
      <c r="AW14" s="158"/>
      <c r="AX14" s="158"/>
      <c r="AY14" s="158"/>
      <c r="AZ14" s="158"/>
      <c r="BA14" s="158"/>
      <c r="BB14" s="158"/>
      <c r="BC14" s="158"/>
      <c r="BD14" s="158"/>
      <c r="BE14" s="158"/>
      <c r="BF14" s="158"/>
      <c r="BG14" s="159"/>
    </row>
    <row r="15" spans="1:59" ht="11.25" customHeight="1">
      <c r="A15" s="149" t="s">
        <v>194</v>
      </c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</row>
    <row r="16" spans="1:59" ht="11.25" customHeight="1">
      <c r="A16" s="152" t="s">
        <v>35</v>
      </c>
      <c r="B16" s="153"/>
      <c r="C16" s="152" t="s">
        <v>195</v>
      </c>
      <c r="D16" s="154"/>
      <c r="E16" s="154"/>
      <c r="F16" s="154"/>
      <c r="G16" s="154"/>
      <c r="H16" s="154"/>
      <c r="I16" s="154"/>
      <c r="J16" s="154"/>
      <c r="K16" s="154"/>
      <c r="L16" s="153"/>
      <c r="M16" s="152" t="s">
        <v>196</v>
      </c>
      <c r="N16" s="154"/>
      <c r="O16" s="154"/>
      <c r="P16" s="154"/>
      <c r="Q16" s="153"/>
      <c r="R16" s="152" t="s">
        <v>197</v>
      </c>
      <c r="S16" s="154"/>
      <c r="T16" s="154"/>
      <c r="U16" s="154"/>
      <c r="V16" s="153"/>
      <c r="W16" s="152" t="s">
        <v>198</v>
      </c>
      <c r="X16" s="154"/>
      <c r="Y16" s="154"/>
      <c r="Z16" s="154"/>
      <c r="AA16" s="153"/>
      <c r="AB16" s="152" t="s">
        <v>199</v>
      </c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  <c r="AS16" s="154"/>
      <c r="AT16" s="154"/>
      <c r="AU16" s="154"/>
      <c r="AV16" s="154"/>
      <c r="AW16" s="154"/>
      <c r="AX16" s="154"/>
      <c r="AY16" s="154"/>
      <c r="AZ16" s="154"/>
      <c r="BA16" s="154"/>
      <c r="BB16" s="154"/>
      <c r="BC16" s="154"/>
      <c r="BD16" s="154"/>
      <c r="BE16" s="154"/>
      <c r="BF16" s="154"/>
      <c r="BG16" s="153"/>
    </row>
    <row r="17" spans="1:59" ht="11.25" customHeight="1">
      <c r="A17" s="155">
        <v>1</v>
      </c>
      <c r="B17" s="156"/>
      <c r="C17" s="157"/>
      <c r="D17" s="158"/>
      <c r="E17" s="158"/>
      <c r="F17" s="158"/>
      <c r="G17" s="158"/>
      <c r="H17" s="158"/>
      <c r="I17" s="158"/>
      <c r="J17" s="158"/>
      <c r="K17" s="158"/>
      <c r="L17" s="159"/>
      <c r="M17" s="155"/>
      <c r="N17" s="164"/>
      <c r="O17" s="164"/>
      <c r="P17" s="164"/>
      <c r="Q17" s="156"/>
      <c r="R17" s="155"/>
      <c r="S17" s="164"/>
      <c r="T17" s="164"/>
      <c r="U17" s="164"/>
      <c r="V17" s="156"/>
      <c r="W17" s="155"/>
      <c r="X17" s="164"/>
      <c r="Y17" s="164"/>
      <c r="Z17" s="164"/>
      <c r="AA17" s="156"/>
      <c r="AB17" s="157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 s="158"/>
      <c r="AU17" s="158"/>
      <c r="AV17" s="158"/>
      <c r="AW17" s="158"/>
      <c r="AX17" s="158"/>
      <c r="AY17" s="158"/>
      <c r="AZ17" s="158"/>
      <c r="BA17" s="158"/>
      <c r="BB17" s="158"/>
      <c r="BC17" s="158"/>
      <c r="BD17" s="158"/>
      <c r="BE17" s="158"/>
      <c r="BF17" s="158"/>
      <c r="BG17" s="159"/>
    </row>
    <row r="18" spans="1:59" ht="11.25" customHeight="1">
      <c r="A18" s="155">
        <v>2</v>
      </c>
      <c r="B18" s="156"/>
      <c r="C18" s="157"/>
      <c r="D18" s="158"/>
      <c r="E18" s="158"/>
      <c r="F18" s="158"/>
      <c r="G18" s="158"/>
      <c r="H18" s="158"/>
      <c r="I18" s="158"/>
      <c r="J18" s="158"/>
      <c r="K18" s="158"/>
      <c r="L18" s="159"/>
      <c r="M18" s="155"/>
      <c r="N18" s="164"/>
      <c r="O18" s="164"/>
      <c r="P18" s="164"/>
      <c r="Q18" s="156"/>
      <c r="R18" s="155"/>
      <c r="S18" s="164"/>
      <c r="T18" s="164"/>
      <c r="U18" s="164"/>
      <c r="V18" s="156"/>
      <c r="W18" s="155"/>
      <c r="X18" s="164"/>
      <c r="Y18" s="164"/>
      <c r="Z18" s="164"/>
      <c r="AA18" s="156"/>
      <c r="AB18" s="157"/>
      <c r="AC18" s="158"/>
      <c r="AD18" s="158"/>
      <c r="AE18" s="158"/>
      <c r="AF18" s="158"/>
      <c r="AG18" s="158"/>
      <c r="AH18" s="158"/>
      <c r="AI18" s="158"/>
      <c r="AJ18" s="158"/>
      <c r="AK18" s="158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58"/>
      <c r="AX18" s="158"/>
      <c r="AY18" s="158"/>
      <c r="AZ18" s="158"/>
      <c r="BA18" s="158"/>
      <c r="BB18" s="158"/>
      <c r="BC18" s="158"/>
      <c r="BD18" s="158"/>
      <c r="BE18" s="158"/>
      <c r="BF18" s="158"/>
      <c r="BG18" s="159"/>
    </row>
    <row r="19" spans="1:59" ht="11.25" customHeight="1">
      <c r="A19" s="155">
        <v>3</v>
      </c>
      <c r="B19" s="156"/>
      <c r="C19" s="157"/>
      <c r="D19" s="158"/>
      <c r="E19" s="158"/>
      <c r="F19" s="158"/>
      <c r="G19" s="158"/>
      <c r="H19" s="158"/>
      <c r="I19" s="158"/>
      <c r="J19" s="158"/>
      <c r="K19" s="158"/>
      <c r="L19" s="159"/>
      <c r="M19" s="155"/>
      <c r="N19" s="164"/>
      <c r="O19" s="164"/>
      <c r="P19" s="164"/>
      <c r="Q19" s="156"/>
      <c r="R19" s="155"/>
      <c r="S19" s="164"/>
      <c r="T19" s="164"/>
      <c r="U19" s="164"/>
      <c r="V19" s="156"/>
      <c r="W19" s="155"/>
      <c r="X19" s="164"/>
      <c r="Y19" s="164"/>
      <c r="Z19" s="164"/>
      <c r="AA19" s="156"/>
      <c r="AB19" s="165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 s="158"/>
      <c r="AU19" s="158"/>
      <c r="AV19" s="158"/>
      <c r="AW19" s="158"/>
      <c r="AX19" s="158"/>
      <c r="AY19" s="158"/>
      <c r="AZ19" s="158"/>
      <c r="BA19" s="158"/>
      <c r="BB19" s="158"/>
      <c r="BC19" s="158"/>
      <c r="BD19" s="158"/>
      <c r="BE19" s="158"/>
      <c r="BF19" s="158"/>
      <c r="BG19" s="159"/>
    </row>
    <row r="20" spans="1:59" ht="11.25" customHeight="1">
      <c r="A20" s="149" t="s">
        <v>200</v>
      </c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0"/>
      <c r="AQ20" s="150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</row>
    <row r="21" spans="1:59" ht="11.25" customHeight="1">
      <c r="A21" s="152" t="s">
        <v>35</v>
      </c>
      <c r="B21" s="153"/>
      <c r="C21" s="152" t="s">
        <v>201</v>
      </c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3"/>
      <c r="R21" s="152" t="s">
        <v>202</v>
      </c>
      <c r="S21" s="154"/>
      <c r="T21" s="154"/>
      <c r="U21" s="154"/>
      <c r="V21" s="154"/>
      <c r="W21" s="154"/>
      <c r="X21" s="154"/>
      <c r="Y21" s="154"/>
      <c r="Z21" s="154"/>
      <c r="AA21" s="153"/>
      <c r="AB21" s="152" t="s">
        <v>203</v>
      </c>
      <c r="AC21" s="154"/>
      <c r="AD21" s="154"/>
      <c r="AE21" s="154"/>
      <c r="AF21" s="154"/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4"/>
      <c r="AU21" s="154"/>
      <c r="AV21" s="154"/>
      <c r="AW21" s="154"/>
      <c r="AX21" s="154"/>
      <c r="AY21" s="154"/>
      <c r="AZ21" s="154"/>
      <c r="BA21" s="153"/>
      <c r="BB21" s="152" t="s">
        <v>190</v>
      </c>
      <c r="BC21" s="154"/>
      <c r="BD21" s="154"/>
      <c r="BE21" s="154"/>
      <c r="BF21" s="154"/>
      <c r="BG21" s="153"/>
    </row>
    <row r="22" spans="1:59" ht="11.25" customHeight="1">
      <c r="A22" s="155">
        <v>1</v>
      </c>
      <c r="B22" s="156"/>
      <c r="C22" s="157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9"/>
      <c r="R22" s="155"/>
      <c r="S22" s="164"/>
      <c r="T22" s="164"/>
      <c r="U22" s="164"/>
      <c r="V22" s="164"/>
      <c r="W22" s="164"/>
      <c r="X22" s="164"/>
      <c r="Y22" s="164"/>
      <c r="Z22" s="164"/>
      <c r="AA22" s="156"/>
      <c r="AB22" s="157"/>
      <c r="AC22" s="158"/>
      <c r="AD22" s="158"/>
      <c r="AE22" s="158"/>
      <c r="AF22" s="158"/>
      <c r="AG22" s="158"/>
      <c r="AH22" s="158"/>
      <c r="AI22" s="158"/>
      <c r="AJ22" s="158"/>
      <c r="AK22" s="158"/>
      <c r="AL22" s="158"/>
      <c r="AM22" s="158"/>
      <c r="AN22" s="158"/>
      <c r="AO22" s="158"/>
      <c r="AP22" s="158"/>
      <c r="AQ22" s="158"/>
      <c r="AR22" s="158"/>
      <c r="AS22" s="158"/>
      <c r="AT22" s="158"/>
      <c r="AU22" s="158"/>
      <c r="AV22" s="158"/>
      <c r="AW22" s="158"/>
      <c r="AX22" s="158"/>
      <c r="AY22" s="158"/>
      <c r="AZ22" s="158"/>
      <c r="BA22" s="159"/>
      <c r="BB22" s="157"/>
      <c r="BC22" s="158"/>
      <c r="BD22" s="158"/>
      <c r="BE22" s="158"/>
      <c r="BF22" s="158"/>
      <c r="BG22" s="159"/>
    </row>
    <row r="23" spans="1:59" ht="11.25" customHeight="1">
      <c r="A23" s="155">
        <v>2</v>
      </c>
      <c r="B23" s="156"/>
      <c r="C23" s="157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9"/>
      <c r="R23" s="155"/>
      <c r="S23" s="164"/>
      <c r="T23" s="164"/>
      <c r="U23" s="164"/>
      <c r="V23" s="164"/>
      <c r="W23" s="164"/>
      <c r="X23" s="164"/>
      <c r="Y23" s="164"/>
      <c r="Z23" s="164"/>
      <c r="AA23" s="156"/>
      <c r="AB23" s="157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/>
      <c r="AS23" s="158"/>
      <c r="AT23" s="158"/>
      <c r="AU23" s="158"/>
      <c r="AV23" s="158"/>
      <c r="AW23" s="158"/>
      <c r="AX23" s="158"/>
      <c r="AY23" s="158"/>
      <c r="AZ23" s="158"/>
      <c r="BA23" s="159"/>
      <c r="BB23" s="157"/>
      <c r="BC23" s="158"/>
      <c r="BD23" s="158"/>
      <c r="BE23" s="158"/>
      <c r="BF23" s="158"/>
      <c r="BG23" s="159"/>
    </row>
    <row r="24" spans="1:59" ht="11.25" customHeight="1">
      <c r="A24" s="155">
        <v>3</v>
      </c>
      <c r="B24" s="156"/>
      <c r="C24" s="157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9"/>
      <c r="R24" s="155"/>
      <c r="S24" s="164"/>
      <c r="T24" s="164"/>
      <c r="U24" s="164"/>
      <c r="V24" s="164"/>
      <c r="W24" s="164"/>
      <c r="X24" s="164"/>
      <c r="Y24" s="164"/>
      <c r="Z24" s="164"/>
      <c r="AA24" s="156"/>
      <c r="AB24" s="157"/>
      <c r="AC24" s="158"/>
      <c r="AD24" s="158"/>
      <c r="AE24" s="158"/>
      <c r="AF24" s="158"/>
      <c r="AG24" s="158"/>
      <c r="AH24" s="158"/>
      <c r="AI24" s="158"/>
      <c r="AJ24" s="158"/>
      <c r="AK24" s="158"/>
      <c r="AL24" s="158"/>
      <c r="AM24" s="158"/>
      <c r="AN24" s="158"/>
      <c r="AO24" s="158"/>
      <c r="AP24" s="158"/>
      <c r="AQ24" s="158"/>
      <c r="AR24" s="158"/>
      <c r="AS24" s="158"/>
      <c r="AT24" s="158"/>
      <c r="AU24" s="158"/>
      <c r="AV24" s="158"/>
      <c r="AW24" s="158"/>
      <c r="AX24" s="158"/>
      <c r="AY24" s="158"/>
      <c r="AZ24" s="158"/>
      <c r="BA24" s="159"/>
      <c r="BB24" s="157"/>
      <c r="BC24" s="158"/>
      <c r="BD24" s="158"/>
      <c r="BE24" s="158"/>
      <c r="BF24" s="158"/>
      <c r="BG24" s="159"/>
    </row>
    <row r="25" spans="1:59" ht="11.25" customHeight="1">
      <c r="A25" s="173" t="s">
        <v>204</v>
      </c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  <c r="AR25" s="174"/>
      <c r="AS25" s="174"/>
      <c r="AT25" s="174"/>
      <c r="AU25" s="174"/>
      <c r="AV25" s="174"/>
      <c r="AW25" s="174"/>
      <c r="AX25" s="174"/>
      <c r="AY25" s="174"/>
      <c r="AZ25" s="174"/>
      <c r="BA25" s="174"/>
      <c r="BB25" s="174"/>
      <c r="BC25" s="174"/>
      <c r="BD25" s="174"/>
      <c r="BE25" s="174"/>
      <c r="BF25" s="174"/>
      <c r="BG25" s="175"/>
    </row>
    <row r="26" spans="1:59" ht="11.25" customHeight="1">
      <c r="A26" s="166" t="s">
        <v>205</v>
      </c>
      <c r="B26" s="176"/>
      <c r="C26" s="166" t="s">
        <v>206</v>
      </c>
      <c r="D26" s="167"/>
      <c r="E26" s="167"/>
      <c r="F26" s="167"/>
      <c r="G26" s="167"/>
      <c r="H26" s="167"/>
      <c r="I26" s="167"/>
      <c r="J26" s="167"/>
      <c r="K26" s="167"/>
      <c r="L26" s="176"/>
      <c r="M26" s="166" t="s">
        <v>207</v>
      </c>
      <c r="N26" s="167"/>
      <c r="O26" s="167"/>
      <c r="P26" s="167"/>
      <c r="Q26" s="167"/>
      <c r="R26" s="167"/>
      <c r="S26" s="167"/>
      <c r="T26" s="176"/>
      <c r="U26" s="166" t="s">
        <v>208</v>
      </c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76"/>
      <c r="AK26" s="166" t="s">
        <v>209</v>
      </c>
      <c r="AL26" s="167"/>
      <c r="AM26" s="167"/>
      <c r="AN26" s="167"/>
      <c r="AO26" s="167"/>
      <c r="AP26" s="167"/>
      <c r="AQ26" s="167"/>
      <c r="AR26" s="167"/>
      <c r="AS26" s="167"/>
      <c r="AT26" s="167"/>
      <c r="AU26" s="167"/>
      <c r="AV26" s="167"/>
      <c r="AW26" s="167"/>
      <c r="AX26" s="167"/>
      <c r="AY26" s="167"/>
      <c r="AZ26" s="167"/>
      <c r="BA26" s="167"/>
      <c r="BB26" s="167"/>
      <c r="BC26" s="167"/>
      <c r="BD26" s="167"/>
      <c r="BE26" s="167"/>
      <c r="BF26" s="167"/>
      <c r="BG26" s="167"/>
    </row>
    <row r="27" spans="1:59" ht="11.25" customHeight="1">
      <c r="A27" s="168">
        <v>1</v>
      </c>
      <c r="B27" s="169"/>
      <c r="C27" s="170"/>
      <c r="D27" s="171"/>
      <c r="E27" s="171"/>
      <c r="F27" s="171"/>
      <c r="G27" s="171"/>
      <c r="H27" s="171"/>
      <c r="I27" s="171"/>
      <c r="J27" s="171"/>
      <c r="K27" s="171"/>
      <c r="L27" s="172"/>
      <c r="M27" s="170"/>
      <c r="N27" s="171"/>
      <c r="O27" s="171"/>
      <c r="P27" s="171"/>
      <c r="Q27" s="171"/>
      <c r="R27" s="171"/>
      <c r="S27" s="171"/>
      <c r="T27" s="172"/>
      <c r="U27" s="170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2"/>
      <c r="AK27" s="10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2"/>
    </row>
    <row r="28" spans="1:59" ht="11.25" customHeight="1">
      <c r="A28" s="168">
        <v>2</v>
      </c>
      <c r="B28" s="169"/>
      <c r="C28" s="170"/>
      <c r="D28" s="171"/>
      <c r="E28" s="171"/>
      <c r="F28" s="171"/>
      <c r="G28" s="171"/>
      <c r="H28" s="171"/>
      <c r="I28" s="171"/>
      <c r="J28" s="171"/>
      <c r="K28" s="171"/>
      <c r="L28" s="172"/>
      <c r="M28" s="170"/>
      <c r="N28" s="171"/>
      <c r="O28" s="171"/>
      <c r="P28" s="171"/>
      <c r="Q28" s="171"/>
      <c r="R28" s="171"/>
      <c r="S28" s="171"/>
      <c r="T28" s="172"/>
      <c r="U28" s="170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2"/>
      <c r="AK28" s="10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2"/>
    </row>
    <row r="29" spans="1:59" ht="11.25" customHeight="1">
      <c r="A29" s="168">
        <v>3</v>
      </c>
      <c r="B29" s="169"/>
      <c r="C29" s="170"/>
      <c r="D29" s="171"/>
      <c r="E29" s="171"/>
      <c r="F29" s="171"/>
      <c r="G29" s="171"/>
      <c r="H29" s="171"/>
      <c r="I29" s="171"/>
      <c r="J29" s="171"/>
      <c r="K29" s="171"/>
      <c r="L29" s="172"/>
      <c r="M29" s="170"/>
      <c r="N29" s="171"/>
      <c r="O29" s="171"/>
      <c r="P29" s="171"/>
      <c r="Q29" s="171"/>
      <c r="R29" s="171"/>
      <c r="S29" s="171"/>
      <c r="T29" s="172"/>
      <c r="U29" s="170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2"/>
      <c r="AK29" s="10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2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3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E13"/>
  <sheetViews>
    <sheetView workbookViewId="0">
      <selection activeCell="B9" sqref="B9"/>
    </sheetView>
  </sheetViews>
  <sheetFormatPr defaultRowHeight="18"/>
  <cols>
    <col min="1" max="2" width="15.09765625" bestFit="1" customWidth="1"/>
    <col min="3" max="3" width="18.59765625" bestFit="1" customWidth="1"/>
    <col min="4" max="4" width="15.59765625" bestFit="1" customWidth="1"/>
    <col min="5" max="5" width="13" bestFit="1" customWidth="1"/>
  </cols>
  <sheetData>
    <row r="1" spans="1:5" ht="18.600000000000001" thickBot="1">
      <c r="A1" s="21" t="s">
        <v>210</v>
      </c>
      <c r="B1" s="21" t="s">
        <v>211</v>
      </c>
      <c r="C1" s="22" t="s">
        <v>212</v>
      </c>
      <c r="D1" s="23" t="s">
        <v>213</v>
      </c>
      <c r="E1" s="24" t="s">
        <v>214</v>
      </c>
    </row>
    <row r="2" spans="1:5">
      <c r="A2" s="25" t="s">
        <v>21</v>
      </c>
      <c r="B2" s="25" t="s">
        <v>215</v>
      </c>
      <c r="C2" s="26" t="s">
        <v>216</v>
      </c>
      <c r="D2" s="26" t="s">
        <v>217</v>
      </c>
      <c r="E2" s="25" t="s">
        <v>184</v>
      </c>
    </row>
    <row r="3" spans="1:5" ht="18.600000000000001" thickBot="1">
      <c r="A3" s="27" t="s">
        <v>218</v>
      </c>
      <c r="B3" s="25" t="s">
        <v>219</v>
      </c>
      <c r="C3" s="26" t="s">
        <v>220</v>
      </c>
      <c r="D3" s="28" t="s">
        <v>221</v>
      </c>
      <c r="E3" s="25" t="s">
        <v>222</v>
      </c>
    </row>
    <row r="4" spans="1:5" ht="18.600000000000001" thickBot="1">
      <c r="B4" s="27" t="s">
        <v>223</v>
      </c>
      <c r="C4" s="26" t="s">
        <v>224</v>
      </c>
      <c r="E4" s="25" t="s">
        <v>225</v>
      </c>
    </row>
    <row r="5" spans="1:5">
      <c r="C5" s="25" t="s">
        <v>226</v>
      </c>
      <c r="E5" s="25" t="s">
        <v>227</v>
      </c>
    </row>
    <row r="6" spans="1:5">
      <c r="C6" s="25" t="s">
        <v>32</v>
      </c>
      <c r="E6" s="25" t="s">
        <v>228</v>
      </c>
    </row>
    <row r="7" spans="1:5">
      <c r="C7" s="25" t="s">
        <v>229</v>
      </c>
      <c r="E7" s="25" t="s">
        <v>230</v>
      </c>
    </row>
    <row r="8" spans="1:5">
      <c r="C8" s="25" t="s">
        <v>231</v>
      </c>
      <c r="E8" s="25" t="s">
        <v>232</v>
      </c>
    </row>
    <row r="9" spans="1:5">
      <c r="C9" s="25" t="s">
        <v>233</v>
      </c>
      <c r="E9" s="25" t="s">
        <v>234</v>
      </c>
    </row>
    <row r="10" spans="1:5">
      <c r="C10" s="25" t="s">
        <v>235</v>
      </c>
      <c r="E10" s="25" t="s">
        <v>236</v>
      </c>
    </row>
    <row r="11" spans="1:5" ht="18.600000000000001" thickBot="1">
      <c r="C11" s="25" t="s">
        <v>237</v>
      </c>
      <c r="E11" s="27" t="s">
        <v>238</v>
      </c>
    </row>
    <row r="12" spans="1:5">
      <c r="C12" s="25" t="s">
        <v>239</v>
      </c>
    </row>
    <row r="13" spans="1:5" ht="18.600000000000001" thickBot="1">
      <c r="C13" s="27" t="s">
        <v>240</v>
      </c>
    </row>
  </sheetData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342DC-6103-4A6F-BBCB-0E7CB74EFEE1}"/>
</file>

<file path=customXml/itemProps2.xml><?xml version="1.0" encoding="utf-8"?>
<ds:datastoreItem xmlns:ds="http://schemas.openxmlformats.org/officeDocument/2006/customXml" ds:itemID="{0CD90A09-F9C1-4822-8BFB-245A099C4C80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5bd2875c-1d77-4e59-90f4-883ca6a86c01"/>
    <ds:schemaRef ds:uri="0e104af9-8863-48b3-a0f9-b99702920d19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Ida, Mizuho</cp:lastModifiedBy>
  <cp:revision/>
  <dcterms:created xsi:type="dcterms:W3CDTF">2015-06-05T18:19:34Z</dcterms:created>
  <dcterms:modified xsi:type="dcterms:W3CDTF">2026-08-10T08:36:22Z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