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sunstarsuisse.sharepoint.com/sites/JP_668/Shared Documents/General/02_要件定義フェーズ/09_移行・非機能/02_非機能要件/"/>
    </mc:Choice>
  </mc:AlternateContent>
  <xr:revisionPtr revIDLastSave="287" documentId="13_ncr:1_{BBADB5AC-EE6C-4BD7-BBF2-29E8C92D0232}" xr6:coauthVersionLast="47" xr6:coauthVersionMax="47" xr10:uidLastSave="{B879FFD4-8300-4F2C-B573-C47F9979AF2E}"/>
  <bookViews>
    <workbookView xWindow="28680" yWindow="-900" windowWidth="24240" windowHeight="13020" tabRatio="841" xr2:uid="{1B2EF8B0-33B7-483C-BAA5-327DC2C56A29}"/>
  </bookViews>
  <sheets>
    <sheet name="表紙" sheetId="4" r:id="rId1"/>
    <sheet name="テナント・インスタンス容量の考え方" sheetId="6" r:id="rId2"/>
    <sheet name="現在の容量試算" sheetId="13" r:id="rId3"/>
    <sheet name="容量追加方法" sheetId="14" r:id="rId4"/>
    <sheet name="データバックアップ" sheetId="11" r:id="rId5"/>
    <sheet name="データ長期保存" sheetId="12" r:id="rId6"/>
  </sheets>
  <definedNames>
    <definedName name="_xlnm._FilterDatabase" localSheetId="5" hidden="1">データ長期保存!$BK$2:$BK$44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40" i="13" l="1"/>
  <c r="BA40" i="13" s="1"/>
  <c r="AI40" i="13"/>
  <c r="AO40" i="13" s="1"/>
  <c r="AM11" i="14"/>
  <c r="AN11" i="14" s="1"/>
  <c r="AO11" i="14" s="1"/>
  <c r="AP11" i="14" s="1"/>
  <c r="AQ11" i="14" s="1"/>
  <c r="AR11" i="14" s="1"/>
  <c r="AS11" i="14" s="1"/>
  <c r="AM10" i="14"/>
  <c r="AN10" i="14" s="1"/>
  <c r="AO10" i="14" s="1"/>
  <c r="AP10" i="14" s="1"/>
  <c r="AQ10" i="14" s="1"/>
  <c r="AR10" i="14" s="1"/>
  <c r="AS10" i="14" s="1"/>
  <c r="AU42" i="13"/>
  <c r="BA42" i="13" s="1"/>
  <c r="AI42" i="13"/>
  <c r="AO42" i="13" s="1"/>
  <c r="CE41" i="13"/>
  <c r="CD41" i="13"/>
  <c r="CC41" i="13"/>
  <c r="CB41" i="13"/>
  <c r="CA41" i="13"/>
  <c r="BZ41" i="13"/>
  <c r="AU41" i="13" s="1"/>
  <c r="BA41" i="13" s="1"/>
  <c r="BY41" i="13"/>
  <c r="BX41" i="13"/>
  <c r="BW41" i="13"/>
  <c r="BV41" i="13"/>
  <c r="BU41" i="13"/>
  <c r="BT41" i="13"/>
  <c r="AI41" i="13" s="1"/>
  <c r="AO41" i="13" s="1"/>
  <c r="AU39" i="13"/>
  <c r="BA39" i="13" s="1"/>
  <c r="AI39" i="13"/>
  <c r="AO39" i="13" s="1"/>
  <c r="AU38" i="13"/>
  <c r="BA38" i="13" s="1"/>
  <c r="AI38" i="13"/>
  <c r="AO38" i="13" s="1"/>
  <c r="AU37" i="13"/>
  <c r="BA37" i="13" s="1"/>
  <c r="AI37" i="13"/>
  <c r="AO37" i="13" s="1"/>
  <c r="AU36" i="13"/>
  <c r="BA36" i="13" s="1"/>
  <c r="AI36" i="13"/>
  <c r="AO36" i="13" s="1"/>
  <c r="AU35" i="13"/>
  <c r="BA35" i="13" s="1"/>
  <c r="S47" i="13" s="1"/>
  <c r="AI35" i="13"/>
  <c r="AO35" i="13" s="1"/>
  <c r="H47" i="13" l="1"/>
  <c r="H48" i="13" s="1"/>
  <c r="S48" i="13"/>
  <c r="G3" i="14"/>
  <c r="G2" i="14"/>
  <c r="G3" i="13"/>
  <c r="G2" i="13"/>
  <c r="G3" i="12"/>
  <c r="G2" i="12"/>
  <c r="G3" i="11"/>
  <c r="G2" i="11"/>
  <c r="G3" i="6"/>
  <c r="G2" i="6"/>
  <c r="H52" i="13" l="1"/>
  <c r="AI52" i="13"/>
  <c r="S52" i="13"/>
</calcChain>
</file>

<file path=xl/sharedStrings.xml><?xml version="1.0" encoding="utf-8"?>
<sst xmlns="http://schemas.openxmlformats.org/spreadsheetml/2006/main" count="597" uniqueCount="215">
  <si>
    <t>非機能要件定義書_データ容量・パフォーマンス</t>
    <rPh sb="0" eb="3">
      <t>ヒキノウ</t>
    </rPh>
    <rPh sb="3" eb="5">
      <t>ヨウケン</t>
    </rPh>
    <rPh sb="5" eb="8">
      <t>テイギショ</t>
    </rPh>
    <rPh sb="12" eb="14">
      <t>ヨウリョウ</t>
    </rPh>
    <phoneticPr fontId="5"/>
  </si>
  <si>
    <t>日本ビジネスシステムズ株式会社</t>
    <rPh sb="0" eb="2">
      <t>ニホン</t>
    </rPh>
    <phoneticPr fontId="4"/>
  </si>
  <si>
    <t>システム名</t>
    <rPh sb="4" eb="5">
      <t>メイ</t>
    </rPh>
    <phoneticPr fontId="4"/>
  </si>
  <si>
    <t>章</t>
  </si>
  <si>
    <t>日付</t>
    <rPh sb="0" eb="2">
      <t>ヒヅケ</t>
    </rPh>
    <phoneticPr fontId="5"/>
  </si>
  <si>
    <t>更新者</t>
    <rPh sb="0" eb="2">
      <t>コウシン</t>
    </rPh>
    <rPh sb="2" eb="3">
      <t>シャ</t>
    </rPh>
    <phoneticPr fontId="4"/>
  </si>
  <si>
    <t>文書名</t>
    <rPh sb="0" eb="2">
      <t>ブンショ</t>
    </rPh>
    <rPh sb="2" eb="3">
      <t>メイ</t>
    </rPh>
    <phoneticPr fontId="4"/>
  </si>
  <si>
    <t>データ容量</t>
    <rPh sb="3" eb="5">
      <t>ヨウリョウ</t>
    </rPh>
    <phoneticPr fontId="5"/>
  </si>
  <si>
    <t>作成</t>
    <rPh sb="0" eb="2">
      <t>サクセイ</t>
    </rPh>
    <phoneticPr fontId="4"/>
  </si>
  <si>
    <t>更新</t>
    <rPh sb="0" eb="2">
      <t>コウシン</t>
    </rPh>
    <phoneticPr fontId="4"/>
  </si>
  <si>
    <t>■</t>
    <phoneticPr fontId="1"/>
  </si>
  <si>
    <t>Dynamicsのストレージ容量はインスタンスごとではなく、テナント全体に付与されたストレージ容量を</t>
    <rPh sb="14" eb="16">
      <t>ヨウリョウ</t>
    </rPh>
    <rPh sb="34" eb="36">
      <t>ゼンタイ</t>
    </rPh>
    <rPh sb="37" eb="39">
      <t>フヨ</t>
    </rPh>
    <rPh sb="47" eb="49">
      <t>ヨウリョウ</t>
    </rPh>
    <phoneticPr fontId="1"/>
  </si>
  <si>
    <t>テナント内の全インスタンスで共用する形となる。</t>
    <rPh sb="4" eb="5">
      <t>ナイ</t>
    </rPh>
    <rPh sb="6" eb="7">
      <t>ゼン</t>
    </rPh>
    <rPh sb="14" eb="16">
      <t>キョウヨウ</t>
    </rPh>
    <rPh sb="18" eb="19">
      <t>カタチ</t>
    </rPh>
    <phoneticPr fontId="1"/>
  </si>
  <si>
    <t>テナント・インスタンス容量の考え方については以下のファイルを参照</t>
    <rPh sb="11" eb="13">
      <t>ヨウリョウ</t>
    </rPh>
    <rPh sb="14" eb="15">
      <t>カンガ</t>
    </rPh>
    <rPh sb="16" eb="17">
      <t>カタ</t>
    </rPh>
    <rPh sb="22" eb="24">
      <t>イカ</t>
    </rPh>
    <rPh sb="30" eb="32">
      <t>サンショウ</t>
    </rPh>
    <phoneticPr fontId="1"/>
  </si>
  <si>
    <t>1）全体的な進め方</t>
    <rPh sb="2" eb="5">
      <t>ゼンタイテキ</t>
    </rPh>
    <rPh sb="6" eb="7">
      <t>スス</t>
    </rPh>
    <rPh sb="8" eb="9">
      <t>カタ</t>
    </rPh>
    <phoneticPr fontId="1"/>
  </si>
  <si>
    <t>・D365は定期的に機能が追加されていくSaaSである(半年に１回機能が追加され、テーブルカラムが増えていく)</t>
    <rPh sb="6" eb="9">
      <t>テイキテキ</t>
    </rPh>
    <rPh sb="10" eb="12">
      <t>キノウ</t>
    </rPh>
    <rPh sb="13" eb="15">
      <t>ツイカ</t>
    </rPh>
    <rPh sb="28" eb="30">
      <t>ハントシ</t>
    </rPh>
    <rPh sb="32" eb="33">
      <t>カイ</t>
    </rPh>
    <rPh sb="33" eb="35">
      <t>キノウ</t>
    </rPh>
    <rPh sb="36" eb="38">
      <t>ツイカ</t>
    </rPh>
    <rPh sb="49" eb="50">
      <t>フ</t>
    </rPh>
    <phoneticPr fontId="20"/>
  </si>
  <si>
    <t>・単純な項目ではなく、可変長やblobなど実容量が読めない項目がある</t>
    <rPh sb="1" eb="3">
      <t>タンジュン</t>
    </rPh>
    <rPh sb="4" eb="6">
      <t>コウモク</t>
    </rPh>
    <rPh sb="11" eb="14">
      <t>カヘンチョウ</t>
    </rPh>
    <rPh sb="21" eb="22">
      <t>ジツ</t>
    </rPh>
    <rPh sb="22" eb="24">
      <t>ヨウリョウ</t>
    </rPh>
    <rPh sb="25" eb="26">
      <t>ヨ</t>
    </rPh>
    <rPh sb="29" eb="31">
      <t>コウモク</t>
    </rPh>
    <phoneticPr fontId="20"/>
  </si>
  <si>
    <t>上記の理由により、現時点で「稼働時点のデータ消費量はどれくらいか」「１年間の増加データ量はどれくらいか」を正確に見積もることはできない。</t>
    <rPh sb="0" eb="2">
      <t>ジョウキ</t>
    </rPh>
    <rPh sb="3" eb="5">
      <t>リユウ</t>
    </rPh>
    <rPh sb="53" eb="55">
      <t>セイカク</t>
    </rPh>
    <rPh sb="56" eb="58">
      <t>ミツ</t>
    </rPh>
    <phoneticPr fontId="20"/>
  </si>
  <si>
    <t>そのため、複数回データ容量の試算を実施し、想定容量の精度を上げていく必要がある。</t>
    <rPh sb="21" eb="23">
      <t>ソウテイ</t>
    </rPh>
    <rPh sb="23" eb="25">
      <t>ヨウリョウ</t>
    </rPh>
    <rPh sb="26" eb="28">
      <t>セイド</t>
    </rPh>
    <rPh sb="29" eb="30">
      <t>ア</t>
    </rPh>
    <rPh sb="34" eb="36">
      <t>ヒツヨウ</t>
    </rPh>
    <phoneticPr fontId="20"/>
  </si>
  <si>
    <t>試算タイミング</t>
    <rPh sb="0" eb="2">
      <t>シサン</t>
    </rPh>
    <phoneticPr fontId="1"/>
  </si>
  <si>
    <t>備考</t>
    <rPh sb="0" eb="2">
      <t>ビコウ</t>
    </rPh>
    <phoneticPr fontId="1"/>
  </si>
  <si>
    <t>試算①</t>
    <rPh sb="0" eb="2">
      <t>シサン</t>
    </rPh>
    <phoneticPr fontId="1"/>
  </si>
  <si>
    <t>要件定義 完了時点</t>
  </si>
  <si>
    <t>試算③</t>
    <rPh sb="0" eb="2">
      <t>シサン</t>
    </rPh>
    <phoneticPr fontId="1"/>
  </si>
  <si>
    <t>基本設計 完了時点</t>
  </si>
  <si>
    <t>テーブルの物理設計が完了し、ある程度精度が上がってくる</t>
    <phoneticPr fontId="1"/>
  </si>
  <si>
    <t>←テーブルの物理設計が完了し、ある程度精度が上がってくる</t>
  </si>
  <si>
    <t>試算④</t>
    <rPh sb="0" eb="2">
      <t>シサン</t>
    </rPh>
    <phoneticPr fontId="1"/>
  </si>
  <si>
    <t>移行リハーサル①完了時点</t>
  </si>
  <si>
    <t>実際に環境に投入されたデータとの差分を確認し、考慮漏れ等がないか確認していく</t>
    <phoneticPr fontId="1"/>
  </si>
  <si>
    <t>←実際に環境に投入されたデータとの差分を確認し、考慮漏れ等がないか確認していく</t>
  </si>
  <si>
    <t>試算⑤</t>
    <rPh sb="0" eb="2">
      <t>シサン</t>
    </rPh>
    <phoneticPr fontId="1"/>
  </si>
  <si>
    <t>移行リハーサル②完了時点</t>
  </si>
  <si>
    <t>試算⑥</t>
    <rPh sb="0" eb="2">
      <t>シサン</t>
    </rPh>
    <phoneticPr fontId="1"/>
  </si>
  <si>
    <t>移行リハーサル③完了時点</t>
  </si>
  <si>
    <t>各試算タイミングにて、容量超過が明らかである場合は、</t>
    <rPh sb="0" eb="1">
      <t>カク</t>
    </rPh>
    <rPh sb="1" eb="3">
      <t>シサン</t>
    </rPh>
    <rPh sb="11" eb="13">
      <t>ヨウリョウ</t>
    </rPh>
    <rPh sb="13" eb="15">
      <t>チョウカ</t>
    </rPh>
    <rPh sb="16" eb="17">
      <t>アキ</t>
    </rPh>
    <rPh sb="22" eb="24">
      <t>バアイ</t>
    </rPh>
    <phoneticPr fontId="20"/>
  </si>
  <si>
    <t>　・データアーカイブ、削除可能なデータの削除の検討</t>
    <rPh sb="23" eb="25">
      <t>ケントウ</t>
    </rPh>
    <phoneticPr fontId="20"/>
  </si>
  <si>
    <t>　・ライセンス追加</t>
    <rPh sb="7" eb="9">
      <t>ツイカ</t>
    </rPh>
    <phoneticPr fontId="20"/>
  </si>
  <si>
    <t>といった手段を事前に検討し、採用要否を判断していく形となる。（削除可能データ、ライセンス追加については「容量追加方法」シートを参照）</t>
    <rPh sb="7" eb="9">
      <t>ジゼン</t>
    </rPh>
    <rPh sb="10" eb="12">
      <t>ケントウ</t>
    </rPh>
    <rPh sb="14" eb="16">
      <t>サイヨウ</t>
    </rPh>
    <rPh sb="16" eb="18">
      <t>ヨウヒ</t>
    </rPh>
    <rPh sb="19" eb="21">
      <t>ハンダン</t>
    </rPh>
    <rPh sb="25" eb="26">
      <t>カタチ</t>
    </rPh>
    <rPh sb="31" eb="35">
      <t>サクジョカノウ</t>
    </rPh>
    <rPh sb="44" eb="46">
      <t>ツイカ</t>
    </rPh>
    <rPh sb="52" eb="58">
      <t>ヨウリョウツイカホウホウ</t>
    </rPh>
    <rPh sb="63" eb="65">
      <t>サンショウ</t>
    </rPh>
    <phoneticPr fontId="20"/>
  </si>
  <si>
    <t>　・環境のランドスケープについては、本番同等、本番の1/2のデータ量などの基準を設けて算出する</t>
    <rPh sb="2" eb="4">
      <t>カンキョウ</t>
    </rPh>
    <rPh sb="18" eb="20">
      <t>ホンバン</t>
    </rPh>
    <rPh sb="20" eb="22">
      <t>ドウトウ</t>
    </rPh>
    <rPh sb="23" eb="25">
      <t>ホンバン</t>
    </rPh>
    <rPh sb="33" eb="34">
      <t>リョウ</t>
    </rPh>
    <rPh sb="37" eb="39">
      <t>キジュン</t>
    </rPh>
    <rPh sb="40" eb="41">
      <t>モウ</t>
    </rPh>
    <rPh sb="43" eb="45">
      <t>サンシュツ</t>
    </rPh>
    <phoneticPr fontId="20"/>
  </si>
  <si>
    <t>2）各試算の進め方</t>
    <rPh sb="2" eb="3">
      <t>カク</t>
    </rPh>
    <rPh sb="3" eb="5">
      <t>シサン</t>
    </rPh>
    <rPh sb="6" eb="7">
      <t>スス</t>
    </rPh>
    <rPh sb="8" eb="9">
      <t>カタ</t>
    </rPh>
    <phoneticPr fontId="20"/>
  </si>
  <si>
    <t>①テーブル一覧の作成(JBS)</t>
    <rPh sb="5" eb="7">
      <t>イチラン</t>
    </rPh>
    <rPh sb="8" eb="10">
      <t>サクセイ</t>
    </rPh>
    <phoneticPr fontId="1"/>
  </si>
  <si>
    <t>①と②の情報を元に算出</t>
    <rPh sb="4" eb="6">
      <t>ジョウホウ</t>
    </rPh>
    <rPh sb="7" eb="8">
      <t>モト</t>
    </rPh>
    <rPh sb="9" eb="11">
      <t>サンシュツ</t>
    </rPh>
    <phoneticPr fontId="1"/>
  </si>
  <si>
    <t>System</t>
    <phoneticPr fontId="1"/>
  </si>
  <si>
    <t>table ID</t>
    <phoneticPr fontId="1"/>
  </si>
  <si>
    <t>データ区分</t>
    <rPh sb="3" eb="5">
      <t>クブン</t>
    </rPh>
    <phoneticPr fontId="1"/>
  </si>
  <si>
    <t>移行件数</t>
    <rPh sb="0" eb="4">
      <t>イコウケンスウ</t>
    </rPh>
    <phoneticPr fontId="1"/>
  </si>
  <si>
    <t>移行想定容量</t>
    <rPh sb="0" eb="6">
      <t>イコウソウテイヨウリョウ</t>
    </rPh>
    <phoneticPr fontId="1"/>
  </si>
  <si>
    <t>増加件数</t>
    <rPh sb="0" eb="4">
      <t>ゾウカケンスウ</t>
    </rPh>
    <phoneticPr fontId="1"/>
  </si>
  <si>
    <t>増加想定容量</t>
    <rPh sb="0" eb="6">
      <t>ゾウカソウテイヨウリョウ</t>
    </rPh>
    <phoneticPr fontId="1"/>
  </si>
  <si>
    <t>FO</t>
  </si>
  <si>
    <t>salestable</t>
  </si>
  <si>
    <t>受注</t>
  </si>
  <si>
    <t>営業案件</t>
  </si>
  <si>
    <t>logisticspostaladdress</t>
  </si>
  <si>
    <t>営業案件明細</t>
  </si>
  <si>
    <t>salesline</t>
  </si>
  <si>
    <t>受注明細</t>
  </si>
  <si>
    <t>見積</t>
  </si>
  <si>
    <t>salesline2</t>
  </si>
  <si>
    <t>見積明細</t>
  </si>
  <si>
    <t>project</t>
  </si>
  <si>
    <t>プロジェクト</t>
  </si>
  <si>
    <t>projectContract</t>
  </si>
  <si>
    <t>projectDetail</t>
  </si>
  <si>
    <t>③システム別の想定容量の算出</t>
    <phoneticPr fontId="1"/>
  </si>
  <si>
    <t>行ラベル</t>
    <rPh sb="0" eb="1">
      <t>ギョウ</t>
    </rPh>
    <phoneticPr fontId="1"/>
  </si>
  <si>
    <t>合計 / 移行想定容量</t>
    <rPh sb="0" eb="2">
      <t>ゴウケイ</t>
    </rPh>
    <rPh sb="5" eb="11">
      <t>イコウソウテイヨウリョウ</t>
    </rPh>
    <phoneticPr fontId="1"/>
  </si>
  <si>
    <t>合計 / 増加想定容量</t>
    <rPh sb="0" eb="2">
      <t>ゴウケイ</t>
    </rPh>
    <rPh sb="5" eb="11">
      <t>ゾウカソウテイヨウリョウ</t>
    </rPh>
    <phoneticPr fontId="1"/>
  </si>
  <si>
    <t>CE</t>
    <phoneticPr fontId="1"/>
  </si>
  <si>
    <t>FO</t>
    <phoneticPr fontId="1"/>
  </si>
  <si>
    <t>総計</t>
    <rPh sb="0" eb="2">
      <t>ソウケイ</t>
    </rPh>
    <phoneticPr fontId="1"/>
  </si>
  <si>
    <t>④稼働時、１年後、５年後の消費容量想定を試算</t>
    <phoneticPr fontId="1"/>
  </si>
  <si>
    <t>稼働時</t>
    <rPh sb="0" eb="3">
      <t>カドウジ</t>
    </rPh>
    <phoneticPr fontId="1"/>
  </si>
  <si>
    <t>1年後</t>
    <rPh sb="1" eb="3">
      <t>ネンゴ</t>
    </rPh>
    <phoneticPr fontId="1"/>
  </si>
  <si>
    <t>5年後</t>
    <rPh sb="1" eb="3">
      <t>ネンゴ</t>
    </rPh>
    <phoneticPr fontId="1"/>
  </si>
  <si>
    <t>追加ライセンスと価格について</t>
    <rPh sb="0" eb="2">
      <t>ツイカ</t>
    </rPh>
    <rPh sb="8" eb="10">
      <t>カカク</t>
    </rPh>
    <phoneticPr fontId="1"/>
  </si>
  <si>
    <t>追加ライセンスのSKUと参考価格は下記の通り</t>
    <rPh sb="0" eb="2">
      <t>ツイカ</t>
    </rPh>
    <rPh sb="12" eb="14">
      <t>サンコウ</t>
    </rPh>
    <rPh sb="14" eb="16">
      <t>カカク</t>
    </rPh>
    <rPh sb="17" eb="19">
      <t>カキ</t>
    </rPh>
    <rPh sb="20" eb="21">
      <t>トオ</t>
    </rPh>
    <phoneticPr fontId="20"/>
  </si>
  <si>
    <t>製品名(各ライセンスにつき、追加単位は1SKU = 1GB)</t>
  </si>
  <si>
    <t>ご参考価格/月</t>
  </si>
  <si>
    <t>100GB追加/月</t>
  </si>
  <si>
    <t>FO-DB</t>
  </si>
  <si>
    <t>D365 Operations Additional Database Capacity Sub Add-on</t>
  </si>
  <si>
    <t>FO-ファイル</t>
  </si>
  <si>
    <t>D365 Operations Additional File Capacity Sub Add-on</t>
  </si>
  <si>
    <t>データ削除について</t>
    <rPh sb="3" eb="5">
      <t>サクジョ</t>
    </rPh>
    <phoneticPr fontId="1"/>
  </si>
  <si>
    <t>1）データクリーンアップ</t>
    <phoneticPr fontId="20"/>
  </si>
  <si>
    <t>不要なレコード、添付ファイル、ログ情報などを削除することでその分のストレージ容量を確保することが可能。</t>
    <phoneticPr fontId="20"/>
  </si>
  <si>
    <t>システム</t>
    <phoneticPr fontId="20"/>
  </si>
  <si>
    <t>データ種別</t>
    <rPh sb="3" eb="5">
      <t>シュベツ</t>
    </rPh>
    <phoneticPr fontId="20"/>
  </si>
  <si>
    <t>クリーンアップ処理(標準)</t>
    <rPh sb="7" eb="9">
      <t>ショリ</t>
    </rPh>
    <rPh sb="10" eb="12">
      <t>ヒョウジュン</t>
    </rPh>
    <phoneticPr fontId="20"/>
  </si>
  <si>
    <t>本PJでの方針</t>
    <rPh sb="0" eb="1">
      <t>ホン</t>
    </rPh>
    <rPh sb="5" eb="7">
      <t>ホウシン</t>
    </rPh>
    <phoneticPr fontId="20"/>
  </si>
  <si>
    <t>マスタ/トランザクション</t>
    <phoneticPr fontId="20"/>
  </si>
  <si>
    <t>削除可</t>
  </si>
  <si>
    <t>削除しない</t>
    <phoneticPr fontId="20"/>
  </si>
  <si>
    <t xml:space="preserve">FO
</t>
    <phoneticPr fontId="20"/>
  </si>
  <si>
    <t>削除可
(★1)</t>
  </si>
  <si>
    <t>削除しない
（★2）</t>
    <phoneticPr fontId="20"/>
  </si>
  <si>
    <t>会計データ</t>
    <rPh sb="0" eb="2">
      <t>カイケイ</t>
    </rPh>
    <phoneticPr fontId="20"/>
  </si>
  <si>
    <t>削除不可</t>
    <rPh sb="0" eb="4">
      <t>サクジョフカ</t>
    </rPh>
    <phoneticPr fontId="20"/>
  </si>
  <si>
    <t>システム系ログ</t>
    <rPh sb="4" eb="5">
      <t>ケイ</t>
    </rPh>
    <phoneticPr fontId="20"/>
  </si>
  <si>
    <t>★1：</t>
    <phoneticPr fontId="20"/>
  </si>
  <si>
    <t>標準のクリーンアップ処理で削除可能なデータについては以下の公開ドキュメントを参照</t>
    <phoneticPr fontId="20"/>
  </si>
  <si>
    <t>https://learn.microsoft.com/ja-jp/dynamics365/fin-ops-core/dev-itpro/sysadmin/cleanuproutines</t>
    <phoneticPr fontId="20"/>
  </si>
  <si>
    <t>★2：</t>
    <phoneticPr fontId="20"/>
  </si>
  <si>
    <t>基本的にマスタ/トランザクションのデータは削除しない方針とするが、データ容量試算によりデータ容量が多いマスタ/トランザクション（製品マスタ等）についてはデータ削除機能を検討する。</t>
    <rPh sb="64" eb="66">
      <t>セイヒン</t>
    </rPh>
    <rPh sb="69" eb="70">
      <t>トウ</t>
    </rPh>
    <phoneticPr fontId="20"/>
  </si>
  <si>
    <t>検討の場は各業務領域とする。</t>
    <rPh sb="0" eb="2">
      <t>ケントウ</t>
    </rPh>
    <rPh sb="3" eb="4">
      <t>バ</t>
    </rPh>
    <rPh sb="5" eb="10">
      <t>カクギョウムリョウイキ</t>
    </rPh>
    <phoneticPr fontId="20"/>
  </si>
  <si>
    <t>No.</t>
    <phoneticPr fontId="1"/>
  </si>
  <si>
    <t>データバックアップ</t>
    <phoneticPr fontId="1"/>
  </si>
  <si>
    <t>環境を構築すると自動的にシステムバックアップが実行される。</t>
    <rPh sb="0" eb="2">
      <t>カンキョウ</t>
    </rPh>
    <rPh sb="3" eb="5">
      <t>コウチク</t>
    </rPh>
    <rPh sb="8" eb="11">
      <t>ジドウテキ</t>
    </rPh>
    <rPh sb="23" eb="25">
      <t>ジッコウ</t>
    </rPh>
    <phoneticPr fontId="1"/>
  </si>
  <si>
    <t>本資料ではデータバックアップでのデータ容量にまつわる部分のみ記載し、データバックアップの仕様については以下を参照する。</t>
    <rPh sb="0" eb="3">
      <t>ホンシリョウ</t>
    </rPh>
    <rPh sb="19" eb="21">
      <t>ヨウリョウ</t>
    </rPh>
    <rPh sb="26" eb="28">
      <t>ブブン</t>
    </rPh>
    <rPh sb="30" eb="32">
      <t>キサイ</t>
    </rPh>
    <phoneticPr fontId="1"/>
  </si>
  <si>
    <t>自動バックアップ</t>
    <rPh sb="0" eb="2">
      <t>ジドウ</t>
    </rPh>
    <phoneticPr fontId="1"/>
  </si>
  <si>
    <t>FOの自動バックアップは15分に1回の頻度で自動取得されているが、ストレージ容量にはカウントされない。</t>
    <rPh sb="3" eb="5">
      <t>ジドウ</t>
    </rPh>
    <rPh sb="14" eb="15">
      <t>フン</t>
    </rPh>
    <rPh sb="17" eb="18">
      <t>カイ</t>
    </rPh>
    <rPh sb="19" eb="21">
      <t>ヒンド</t>
    </rPh>
    <rPh sb="22" eb="26">
      <t>ジドウシュトク</t>
    </rPh>
    <rPh sb="38" eb="40">
      <t>ヨウリョウ</t>
    </rPh>
    <phoneticPr fontId="1"/>
  </si>
  <si>
    <t>手動バックアップ</t>
    <rPh sb="0" eb="2">
      <t>シュドウ</t>
    </rPh>
    <phoneticPr fontId="1"/>
  </si>
  <si>
    <t>手動バックアップはLCSのAsset libraryに保存される。LCS自体に容量制限はなく、消費されるリソースもMicrosoftのシステムとなるため、</t>
    <rPh sb="0" eb="2">
      <t>シュドウ</t>
    </rPh>
    <rPh sb="27" eb="29">
      <t>ホゾン</t>
    </rPh>
    <rPh sb="36" eb="38">
      <t>ジタイ</t>
    </rPh>
    <rPh sb="39" eb="43">
      <t>ヨウリョウセイゲン</t>
    </rPh>
    <rPh sb="47" eb="49">
      <t>ショウヒ</t>
    </rPh>
    <phoneticPr fontId="1"/>
  </si>
  <si>
    <t>手動バックアップを取得したことによる容量消費やキャパシティアドオンの追加購入等は必要ない（2023/10/31時点）。</t>
    <rPh sb="0" eb="2">
      <t>シュドウ</t>
    </rPh>
    <rPh sb="9" eb="11">
      <t>シュトク</t>
    </rPh>
    <rPh sb="18" eb="22">
      <t>ヨウリョウショウヒ</t>
    </rPh>
    <rPh sb="34" eb="38">
      <t>ツイカコウニュウ</t>
    </rPh>
    <rPh sb="38" eb="39">
      <t>トウ</t>
    </rPh>
    <rPh sb="40" eb="42">
      <t>ヒツヨウ</t>
    </rPh>
    <rPh sb="55" eb="57">
      <t>ジテン</t>
    </rPh>
    <phoneticPr fontId="1"/>
  </si>
  <si>
    <t>ただしLCSの仕様として、Sandbox環境で手動バックアップを取得する際、バックアップファイル（bacpac）のサイズが50GBを超過するとバックアップできない。</t>
    <rPh sb="7" eb="9">
      <t>シヨウ</t>
    </rPh>
    <rPh sb="20" eb="22">
      <t>カンキョウ</t>
    </rPh>
    <rPh sb="23" eb="25">
      <t>シュドウ</t>
    </rPh>
    <rPh sb="32" eb="34">
      <t>シュトク</t>
    </rPh>
    <rPh sb="36" eb="37">
      <t>サイ</t>
    </rPh>
    <rPh sb="66" eb="68">
      <t>チョウカ</t>
    </rPh>
    <phoneticPr fontId="1"/>
  </si>
  <si>
    <t>超過していた場合は、手動バックアップを取得する前にクリーンアップ機能を使用し、Sandbox環境で削除できるデータを事前に削除する必要がある。</t>
    <rPh sb="0" eb="2">
      <t>チョウカ</t>
    </rPh>
    <rPh sb="6" eb="8">
      <t>バアイ</t>
    </rPh>
    <rPh sb="10" eb="12">
      <t>シュドウ</t>
    </rPh>
    <rPh sb="19" eb="21">
      <t>シュトク</t>
    </rPh>
    <rPh sb="23" eb="24">
      <t>マエ</t>
    </rPh>
    <rPh sb="46" eb="48">
      <t>カンキョウ</t>
    </rPh>
    <rPh sb="49" eb="51">
      <t>サクジョ</t>
    </rPh>
    <rPh sb="58" eb="60">
      <t>ジゼン</t>
    </rPh>
    <rPh sb="61" eb="63">
      <t>サクジョ</t>
    </rPh>
    <rPh sb="65" eb="67">
      <t>ヒツヨウ</t>
    </rPh>
    <phoneticPr fontId="1"/>
  </si>
  <si>
    <t>※参考：</t>
    <rPh sb="1" eb="3">
      <t>サンコウ</t>
    </rPh>
    <phoneticPr fontId="1"/>
  </si>
  <si>
    <t>https://learn.microsoft.com/ja-jp/dynamics365/fin-ops-core/dev-itpro/database/export-database#maximum-limit-50-gb-on-exported-bacpacs</t>
    <phoneticPr fontId="1"/>
  </si>
  <si>
    <t>データ長期保存の目的</t>
    <rPh sb="3" eb="7">
      <t>チョウキホゾン</t>
    </rPh>
    <rPh sb="8" eb="10">
      <t>モクテキ</t>
    </rPh>
    <phoneticPr fontId="1"/>
  </si>
  <si>
    <t>データ長期保存の目的は以下の通り。</t>
    <rPh sb="3" eb="7">
      <t>チョウキホゾン</t>
    </rPh>
    <rPh sb="8" eb="10">
      <t>モクテキ</t>
    </rPh>
    <rPh sb="11" eb="13">
      <t>イカ</t>
    </rPh>
    <rPh sb="14" eb="15">
      <t>トオ</t>
    </rPh>
    <phoneticPr fontId="1"/>
  </si>
  <si>
    <t>→ユーザーからどのような過去データを参照したいかというリクエストが来るか想定できないため、対象テーブルやデータは絞らずその時点での環境すべてを参照できるようにしておく方針とする。</t>
    <rPh sb="12" eb="14">
      <t>カコ</t>
    </rPh>
    <rPh sb="18" eb="20">
      <t>サンショウ</t>
    </rPh>
    <rPh sb="33" eb="34">
      <t>ク</t>
    </rPh>
    <rPh sb="36" eb="38">
      <t>ソウテイ</t>
    </rPh>
    <rPh sb="45" eb="47">
      <t>タイショウ</t>
    </rPh>
    <rPh sb="56" eb="57">
      <t>シボ</t>
    </rPh>
    <rPh sb="61" eb="63">
      <t>ジテン</t>
    </rPh>
    <rPh sb="65" eb="67">
      <t>カンキョウ</t>
    </rPh>
    <rPh sb="71" eb="73">
      <t>サンショウ</t>
    </rPh>
    <rPh sb="83" eb="85">
      <t>ホウシン</t>
    </rPh>
    <phoneticPr fontId="1"/>
  </si>
  <si>
    <t>データ長期保存の実施概要</t>
    <rPh sb="3" eb="7">
      <t>チョウキホゾン</t>
    </rPh>
    <rPh sb="8" eb="10">
      <t>ジッシ</t>
    </rPh>
    <rPh sb="10" eb="12">
      <t>ガイヨウ</t>
    </rPh>
    <phoneticPr fontId="1"/>
  </si>
  <si>
    <t>1）データ長期保存を実施する頻度</t>
    <phoneticPr fontId="1"/>
  </si>
  <si>
    <t>データ長期保存の処置を実施するタイミングは以下の通り。</t>
    <rPh sb="3" eb="7">
      <t>チョウキホゾン</t>
    </rPh>
    <rPh sb="8" eb="10">
      <t>ショチ</t>
    </rPh>
    <rPh sb="11" eb="13">
      <t>ジッシ</t>
    </rPh>
    <rPh sb="21" eb="23">
      <t>イカ</t>
    </rPh>
    <rPh sb="24" eb="25">
      <t>トオ</t>
    </rPh>
    <phoneticPr fontId="1"/>
  </si>
  <si>
    <t>なお、実際のDB消費量やパフォーマンスの観点から間隔は増減する可能性がある。</t>
    <rPh sb="3" eb="5">
      <t>ジッサイ</t>
    </rPh>
    <rPh sb="8" eb="11">
      <t>ショウヒリョウ</t>
    </rPh>
    <rPh sb="20" eb="22">
      <t>カンテン</t>
    </rPh>
    <rPh sb="24" eb="26">
      <t>カンカク</t>
    </rPh>
    <rPh sb="27" eb="29">
      <t>ゾウゲン</t>
    </rPh>
    <rPh sb="31" eb="34">
      <t>カノウセイ</t>
    </rPh>
    <phoneticPr fontId="1"/>
  </si>
  <si>
    <t>データ長期保存実施頻度</t>
    <rPh sb="3" eb="7">
      <t>チョウキホゾン</t>
    </rPh>
    <rPh sb="7" eb="9">
      <t>ジッシ</t>
    </rPh>
    <rPh sb="9" eb="11">
      <t>ヒンド</t>
    </rPh>
    <phoneticPr fontId="20"/>
  </si>
  <si>
    <t>5年</t>
    <rPh sb="1" eb="2">
      <t>ネン</t>
    </rPh>
    <phoneticPr fontId="1"/>
  </si>
  <si>
    <t>1）長期保存の手法</t>
    <rPh sb="2" eb="6">
      <t>チョウキホゾン</t>
    </rPh>
    <rPh sb="7" eb="9">
      <t>シュホウ</t>
    </rPh>
    <phoneticPr fontId="1"/>
  </si>
  <si>
    <t>2）長期保存に用いる環境</t>
    <rPh sb="2" eb="6">
      <t>チョウキホゾン</t>
    </rPh>
    <rPh sb="7" eb="8">
      <t>モチ</t>
    </rPh>
    <rPh sb="10" eb="12">
      <t>カンキョウ</t>
    </rPh>
    <phoneticPr fontId="1"/>
  </si>
  <si>
    <t>長期保存には以下2つの環境を用いる。</t>
    <rPh sb="0" eb="4">
      <t>チョウキホゾン</t>
    </rPh>
    <rPh sb="6" eb="8">
      <t>イカ</t>
    </rPh>
    <rPh sb="11" eb="13">
      <t>カンキョウ</t>
    </rPh>
    <rPh sb="14" eb="15">
      <t>モチ</t>
    </rPh>
    <phoneticPr fontId="1"/>
  </si>
  <si>
    <t>ランニングコストを下げる観点から、データを参照するための環境（データ長期保存用環境）はクラウドホスト環境を用いる。</t>
    <rPh sb="9" eb="10">
      <t>サ</t>
    </rPh>
    <rPh sb="12" eb="14">
      <t>カンテン</t>
    </rPh>
    <rPh sb="21" eb="23">
      <t>サンショウ</t>
    </rPh>
    <rPh sb="28" eb="30">
      <t>カンキョウ</t>
    </rPh>
    <rPh sb="50" eb="52">
      <t>カンキョウ</t>
    </rPh>
    <rPh sb="53" eb="54">
      <t>モチ</t>
    </rPh>
    <phoneticPr fontId="1"/>
  </si>
  <si>
    <t>環境の種類</t>
    <rPh sb="0" eb="2">
      <t>カンキョウ</t>
    </rPh>
    <rPh sb="3" eb="5">
      <t>シュルイ</t>
    </rPh>
    <phoneticPr fontId="1"/>
  </si>
  <si>
    <t>使用用途</t>
    <rPh sb="0" eb="4">
      <t>シヨウヨウト</t>
    </rPh>
    <phoneticPr fontId="1"/>
  </si>
  <si>
    <t>Sandbox環境
（Tier2）</t>
    <rPh sb="7" eb="9">
      <t>カンキョウ</t>
    </rPh>
    <phoneticPr fontId="1"/>
  </si>
  <si>
    <t>本番環境のDBを取得するために使用。
また本番環境DB取得後、DBのbacpacファイルを作成するためにも使用する。</t>
    <rPh sb="0" eb="4">
      <t>ホンバンカンキョウ</t>
    </rPh>
    <rPh sb="8" eb="10">
      <t>シュトク</t>
    </rPh>
    <rPh sb="15" eb="17">
      <t>シヨウ</t>
    </rPh>
    <rPh sb="21" eb="23">
      <t>ホンバン</t>
    </rPh>
    <rPh sb="23" eb="25">
      <t>カンキョウ</t>
    </rPh>
    <rPh sb="27" eb="30">
      <t>シュトクゴ</t>
    </rPh>
    <rPh sb="45" eb="47">
      <t>サクセイ</t>
    </rPh>
    <rPh sb="53" eb="55">
      <t>シヨウ</t>
    </rPh>
    <phoneticPr fontId="1"/>
  </si>
  <si>
    <t>データ長期保存用環境
（クラウドホスト環境）</t>
    <rPh sb="3" eb="7">
      <t>チョウキホゾン</t>
    </rPh>
    <rPh sb="7" eb="10">
      <t>ヨウカンキョウ</t>
    </rPh>
    <rPh sb="19" eb="21">
      <t>カンキョウ</t>
    </rPh>
    <phoneticPr fontId="1"/>
  </si>
  <si>
    <t>データを参照するための参照専用環境。
Sandbox環境で取得した本番環境DBのbacpacファイルをリストアする。
クラウドホスト環境のため、データを参照する時のみ起動することでランニングコストを抑えることが可能。</t>
    <rPh sb="4" eb="6">
      <t>サンショウ</t>
    </rPh>
    <rPh sb="11" eb="17">
      <t>サンショウセンヨウカンキョウ</t>
    </rPh>
    <rPh sb="26" eb="28">
      <t>カンキョウ</t>
    </rPh>
    <rPh sb="29" eb="31">
      <t>シュトク</t>
    </rPh>
    <rPh sb="33" eb="35">
      <t>ホンバン</t>
    </rPh>
    <rPh sb="35" eb="37">
      <t>カンキョウ</t>
    </rPh>
    <rPh sb="66" eb="68">
      <t>カンキョウ</t>
    </rPh>
    <rPh sb="76" eb="78">
      <t>サンショウ</t>
    </rPh>
    <rPh sb="80" eb="81">
      <t>トキ</t>
    </rPh>
    <rPh sb="83" eb="85">
      <t>キドウ</t>
    </rPh>
    <rPh sb="99" eb="100">
      <t>オサ</t>
    </rPh>
    <rPh sb="105" eb="107">
      <t>カノウ</t>
    </rPh>
    <phoneticPr fontId="1"/>
  </si>
  <si>
    <t>3）留意点</t>
    <rPh sb="2" eb="5">
      <t>リュウイテン</t>
    </rPh>
    <phoneticPr fontId="1"/>
  </si>
  <si>
    <t>「データ長期保存用環境の構築の流れ」のNo.5にて行うSandbox環境の手動バックアップの際、DBの容量が50GBを超過しているとバックアップ不可となる。</t>
    <rPh sb="25" eb="26">
      <t>オコナ</t>
    </rPh>
    <rPh sb="34" eb="36">
      <t>カンキョウ</t>
    </rPh>
    <rPh sb="37" eb="39">
      <t>シュドウ</t>
    </rPh>
    <rPh sb="46" eb="47">
      <t>サイ</t>
    </rPh>
    <rPh sb="51" eb="53">
      <t>ヨウリョウ</t>
    </rPh>
    <rPh sb="59" eb="61">
      <t>チョウカ</t>
    </rPh>
    <rPh sb="72" eb="74">
      <t>フカ</t>
    </rPh>
    <phoneticPr fontId="1"/>
  </si>
  <si>
    <t>そのため、データベースログやバッチログなと削除可能なデータを削除した上で手動バックアップを実施する。</t>
    <rPh sb="21" eb="25">
      <t>サクジョカノウ</t>
    </rPh>
    <rPh sb="30" eb="32">
      <t>サクジョ</t>
    </rPh>
    <rPh sb="34" eb="35">
      <t>ウエ</t>
    </rPh>
    <rPh sb="36" eb="38">
      <t>シュドウ</t>
    </rPh>
    <rPh sb="45" eb="47">
      <t>ジッシ</t>
    </rPh>
    <phoneticPr fontId="1"/>
  </si>
  <si>
    <t>データ長期保存用環境の構築の流れ</t>
    <phoneticPr fontId="1"/>
  </si>
  <si>
    <t>以下の流れでデータ長期保存用環境を構築する。</t>
    <phoneticPr fontId="1"/>
  </si>
  <si>
    <t>作業内容</t>
    <rPh sb="0" eb="4">
      <t>サギョウナイヨウ</t>
    </rPh>
    <phoneticPr fontId="1"/>
  </si>
  <si>
    <t>環境</t>
    <rPh sb="0" eb="2">
      <t>カンキョウ</t>
    </rPh>
    <phoneticPr fontId="1"/>
  </si>
  <si>
    <t>データ断面の決定</t>
    <rPh sb="3" eb="5">
      <t>ダンメン</t>
    </rPh>
    <rPh sb="6" eb="8">
      <t>ケッテイ</t>
    </rPh>
    <phoneticPr fontId="1"/>
  </si>
  <si>
    <t>本番環境のどの時刻の自動バックアップからDBを取得するか決定する。
※FOは15分間隔（毎時00分/15分/30分/45分）で時間を指定して復元できるのに対し、CEは時間を指定することができない。よって、CEで環境コピーを開始する時間を指定する必要がある。
※データ不整合を防ぐため、復元時間を指定する際はCE・FOともに同じ時間を指定する必要がある。</t>
    <phoneticPr fontId="1"/>
  </si>
  <si>
    <t>-</t>
    <phoneticPr fontId="1"/>
  </si>
  <si>
    <t>作業日程の調整</t>
    <rPh sb="0" eb="4">
      <t>サギョウニッテイ</t>
    </rPh>
    <rPh sb="5" eb="7">
      <t>チョウセイ</t>
    </rPh>
    <phoneticPr fontId="1"/>
  </si>
  <si>
    <t>環境の準備</t>
    <phoneticPr fontId="1"/>
  </si>
  <si>
    <t>コピー先となるサンドボックス環境を作成する。</t>
    <phoneticPr fontId="1"/>
  </si>
  <si>
    <t>"長期保存に用いる環境" に記載の環境を構築する。
Sandbox環境については使用できる環境がない場合、新たに環境ライセンス（Tier2）が必要となる。
データ長期保存用環境はクラウドホスト環境となるため、LCSから構築する。</t>
    <phoneticPr fontId="1"/>
  </si>
  <si>
    <t>Sandbox環境リストア実施</t>
    <phoneticPr fontId="1"/>
  </si>
  <si>
    <t>LCSでSandbox環境の詳細ページを開き、No.1で決定した時刻を指定して本番環境のDBをリストアする。
Sandbox環境ではダウンタイムが発生する（本番環境には影響なし）。</t>
    <phoneticPr fontId="1"/>
  </si>
  <si>
    <t>本番環境
Sandbox環境</t>
    <rPh sb="0" eb="4">
      <t>ホンバンカンキョウ</t>
    </rPh>
    <rPh sb="12" eb="14">
      <t>カンキョウ</t>
    </rPh>
    <phoneticPr fontId="1"/>
  </si>
  <si>
    <t>環境コピー実施</t>
    <rPh sb="0" eb="2">
      <t>カンキョウ</t>
    </rPh>
    <rPh sb="5" eb="7">
      <t>ジッシ</t>
    </rPh>
    <phoneticPr fontId="1"/>
  </si>
  <si>
    <t>本番環境
データ長期保存用環境</t>
    <phoneticPr fontId="1"/>
  </si>
  <si>
    <t>不要データの削除</t>
    <phoneticPr fontId="1"/>
  </si>
  <si>
    <t>DBの容量が50GBを超過している場合、データ長期保存用環境にリストアするためのバックアップの取得が不可となる。
そのため、データベースログやバッチログなと削除可能なデータをクリーンアップする。</t>
    <rPh sb="23" eb="25">
      <t>チョウキ</t>
    </rPh>
    <rPh sb="25" eb="30">
      <t>ホゾンヨウカンキョウ</t>
    </rPh>
    <rPh sb="47" eb="49">
      <t>シュトク</t>
    </rPh>
    <phoneticPr fontId="1"/>
  </si>
  <si>
    <t>Sandbox環境</t>
    <phoneticPr fontId="1"/>
  </si>
  <si>
    <t>Sandbox環境の
手動バックアップ</t>
    <phoneticPr fontId="1"/>
  </si>
  <si>
    <t>Sandbox環境を手動バックアップし、DBをbacpacファイルにエクスポートする。
エクスポートされたbacpacはLCSに保存される。</t>
    <phoneticPr fontId="1"/>
  </si>
  <si>
    <t>データ長期保存用環境
のリストア</t>
    <phoneticPr fontId="1"/>
  </si>
  <si>
    <t>No.7で取得したbacpacをデータ長期保存用環境にリストアする。</t>
    <phoneticPr fontId="1"/>
  </si>
  <si>
    <t>データ長期保存用環境</t>
    <phoneticPr fontId="1"/>
  </si>
  <si>
    <t>データ長期保存用環境
のユーザー設定</t>
    <phoneticPr fontId="1"/>
  </si>
  <si>
    <t>No.5作業後、データ長期保存用環境では自動的に管理者モードとなりシステム管理者以外ログインできない状態となっているため、管理者モードを無効化し、データを参照するユーザーのみを含んだセキュリティグループを設定する。</t>
    <phoneticPr fontId="1"/>
  </si>
  <si>
    <t>No.7作業後、データ長期保存用環境ではAdmin以外のユーザーは全て無効化されているため、データ長期保存用環境でデータを参照するユーザーのみ有効化する。
有効化したユーザーには参照専用のセキュリティロールを付与し、システム管理者ロールは剥奪する。</t>
    <phoneticPr fontId="1"/>
  </si>
  <si>
    <t>会計システム刷新プロジェクト</t>
    <phoneticPr fontId="4"/>
  </si>
  <si>
    <t>サンスター株式会社　御中</t>
    <rPh sb="5" eb="9">
      <t>カブシキカイシャ</t>
    </rPh>
    <rPh sb="10" eb="12">
      <t>オンチュウ</t>
    </rPh>
    <phoneticPr fontId="5"/>
  </si>
  <si>
    <t>　・グループ会社については、「サンスター株式会社」を "割合1" とした場合、グループ会社5社合計"0.3"として算出する</t>
    <rPh sb="6" eb="8">
      <t>ガイシャ</t>
    </rPh>
    <rPh sb="43" eb="45">
      <t>カイシャ</t>
    </rPh>
    <rPh sb="46" eb="47">
      <t>シャ</t>
    </rPh>
    <rPh sb="47" eb="49">
      <t>ゴウケイ</t>
    </rPh>
    <rPh sb="57" eb="59">
      <t>サンシュツ</t>
    </rPh>
    <phoneticPr fontId="1"/>
  </si>
  <si>
    <t>②データ区分別の想定レコード数を設定(サンスター様)</t>
    <rPh sb="24" eb="25">
      <t>サマ</t>
    </rPh>
    <phoneticPr fontId="1"/>
  </si>
  <si>
    <t>「【サンスター】非機能要件定義書_システム運用 .xlsx」参照</t>
  </si>
  <si>
    <t>作業実施日程を決定する。
データの不整合を避けるため、作業タイミングはFO同時に実施する。
※CEの環境コピーは時間を指定することができず、コピー作業開始時点の環境がコピーされるため、どのタイミングで作業を開始する必要があるか決定する。
※実際に作業を実施するタイミングは業務時間外とする。</t>
    <rPh sb="120" eb="122">
      <t>ジッサイ</t>
    </rPh>
    <rPh sb="123" eb="125">
      <t>サギョウ</t>
    </rPh>
    <rPh sb="126" eb="128">
      <t>ジッシ</t>
    </rPh>
    <rPh sb="136" eb="141">
      <t>ギョウムジカンガイ</t>
    </rPh>
    <phoneticPr fontId="1"/>
  </si>
  <si>
    <t>債権</t>
    <rPh sb="0" eb="2">
      <t>サイケン</t>
    </rPh>
    <phoneticPr fontId="1"/>
  </si>
  <si>
    <t>債務</t>
    <rPh sb="0" eb="2">
      <t>サイム</t>
    </rPh>
    <phoneticPr fontId="1"/>
  </si>
  <si>
    <t>経費等(楽々精算より）</t>
    <rPh sb="0" eb="2">
      <t>ケイヒ</t>
    </rPh>
    <rPh sb="2" eb="3">
      <t>トウ</t>
    </rPh>
    <rPh sb="4" eb="8">
      <t>ラクラクセイサン</t>
    </rPh>
    <phoneticPr fontId="1"/>
  </si>
  <si>
    <t>一般仕訳(手入力)</t>
    <rPh sb="0" eb="4">
      <t>イッパンシワケ</t>
    </rPh>
    <rPh sb="5" eb="8">
      <t>テニュウリョク</t>
    </rPh>
    <phoneticPr fontId="1"/>
  </si>
  <si>
    <t>顧客</t>
    <phoneticPr fontId="1"/>
  </si>
  <si>
    <t>仕入先</t>
    <rPh sb="0" eb="3">
      <t>シイレサキ</t>
    </rPh>
    <phoneticPr fontId="1"/>
  </si>
  <si>
    <t>固定資産</t>
    <rPh sb="0" eb="4">
      <t>コテイシサン</t>
    </rPh>
    <phoneticPr fontId="1"/>
  </si>
  <si>
    <t>リース</t>
    <phoneticPr fontId="1"/>
  </si>
  <si>
    <t>LedgerJournalLineEntry</t>
    <phoneticPr fontId="1"/>
  </si>
  <si>
    <t>AssetJournalLineEntity</t>
    <phoneticPr fontId="1"/>
  </si>
  <si>
    <t>AssetLeaseLedgerJournalLineEntry</t>
    <phoneticPr fontId="1"/>
  </si>
  <si>
    <t>Customer</t>
    <phoneticPr fontId="1"/>
  </si>
  <si>
    <t>Vendor</t>
    <phoneticPr fontId="1"/>
  </si>
  <si>
    <t>VendInvoiceJournalT</t>
    <phoneticPr fontId="1"/>
  </si>
  <si>
    <t>Free Text Invoice</t>
    <phoneticPr fontId="1"/>
  </si>
  <si>
    <t>想定レコード長(byte)※</t>
    <rPh sb="0" eb="2">
      <t>ソウテイ</t>
    </rPh>
    <rPh sb="6" eb="7">
      <t>チョウ</t>
    </rPh>
    <phoneticPr fontId="1"/>
  </si>
  <si>
    <t>※各テーブルは、ヘッダと明細に分かれており、かつ、関連テーブルも存在するテーブルもあるが、おおよそのレコード長とおおよそのデータ量にての概算見積としている</t>
    <rPh sb="1" eb="2">
      <t>カク</t>
    </rPh>
    <rPh sb="12" eb="14">
      <t>メイサイ</t>
    </rPh>
    <rPh sb="15" eb="16">
      <t>ワ</t>
    </rPh>
    <rPh sb="25" eb="27">
      <t>カンレン</t>
    </rPh>
    <rPh sb="32" eb="34">
      <t>ソンザイ</t>
    </rPh>
    <rPh sb="54" eb="55">
      <t>チョウ</t>
    </rPh>
    <rPh sb="64" eb="65">
      <t>リョウ</t>
    </rPh>
    <rPh sb="68" eb="70">
      <t>ガイサン</t>
    </rPh>
    <rPh sb="70" eb="72">
      <t>ミツモリ</t>
    </rPh>
    <phoneticPr fontId="1"/>
  </si>
  <si>
    <t>※近日中に環境の考え方が変わるとMicrosoft社より発表があったが、現状は上記の通り</t>
    <phoneticPr fontId="1"/>
  </si>
  <si>
    <t>容量やパフォーマンスの観点からFOのデータをクリーンアップしたり他のストレージ領域（BI等）に移動させる際、その時点のデータを後々参照できるように退避しておく。</t>
    <rPh sb="0" eb="2">
      <t>ヨウリョウ</t>
    </rPh>
    <rPh sb="11" eb="13">
      <t>カンテン</t>
    </rPh>
    <rPh sb="32" eb="33">
      <t>ホカ</t>
    </rPh>
    <rPh sb="39" eb="41">
      <t>リョウイキ</t>
    </rPh>
    <rPh sb="44" eb="45">
      <t>トウ</t>
    </rPh>
    <rPh sb="47" eb="49">
      <t>イドウ</t>
    </rPh>
    <rPh sb="52" eb="53">
      <t>サイ</t>
    </rPh>
    <rPh sb="56" eb="58">
      <t>ジテン</t>
    </rPh>
    <rPh sb="63" eb="65">
      <t>ノチノチ</t>
    </rPh>
    <rPh sb="65" eb="67">
      <t>サンショウ</t>
    </rPh>
    <rPh sb="73" eb="75">
      <t>タイヒ</t>
    </rPh>
    <phoneticPr fontId="1"/>
  </si>
  <si>
    <t>→以下に記載の通り、Sandbox環境でのバックアップを用いて長期保存に対応する想定のため、JBSの保守の範囲で対応する。</t>
    <rPh sb="1" eb="3">
      <t>イカ</t>
    </rPh>
    <rPh sb="4" eb="6">
      <t>キサイ</t>
    </rPh>
    <rPh sb="7" eb="8">
      <t>トオ</t>
    </rPh>
    <rPh sb="17" eb="19">
      <t>カンキョウ</t>
    </rPh>
    <rPh sb="28" eb="29">
      <t>モチ</t>
    </rPh>
    <rPh sb="31" eb="35">
      <t>チョウキホゾン</t>
    </rPh>
    <rPh sb="36" eb="38">
      <t>タイオウ</t>
    </rPh>
    <rPh sb="40" eb="42">
      <t>ソウテイ</t>
    </rPh>
    <rPh sb="50" eb="52">
      <t>ホシュ</t>
    </rPh>
    <rPh sb="53" eb="55">
      <t>ハンイ</t>
    </rPh>
    <rPh sb="56" eb="58">
      <t>タイオウ</t>
    </rPh>
    <phoneticPr fontId="1"/>
  </si>
  <si>
    <t>Sandbox環境
データ長期保存用環境</t>
    <rPh sb="7" eb="9">
      <t>カンキョウ</t>
    </rPh>
    <phoneticPr fontId="1"/>
  </si>
  <si>
    <t>本番環境をNo.3で作成した環境にコピーする。
データの不整合を避けるため、作業タイミングはLCSで指定した時刻と同時に実施する。また、作業時間は業務時間外とする。</t>
    <rPh sb="50" eb="52">
      <t>シテイ</t>
    </rPh>
    <rPh sb="54" eb="56">
      <t>ジコク</t>
    </rPh>
    <phoneticPr fontId="1"/>
  </si>
  <si>
    <t>【サンスター様】テナントで使用可能な容量とインスタンスの関係図.pptx</t>
    <phoneticPr fontId="1"/>
  </si>
  <si>
    <t>・アドオンとして追加するテーブルの項目長などは要件定義では決定されない</t>
    <rPh sb="8" eb="10">
      <t>ツイカ</t>
    </rPh>
    <rPh sb="17" eb="19">
      <t>コウモク</t>
    </rPh>
    <rPh sb="19" eb="20">
      <t>ナガ</t>
    </rPh>
    <rPh sb="23" eb="27">
      <t>ヨウケンテイギ</t>
    </rPh>
    <rPh sb="29" eb="31">
      <t>ケッテイ</t>
    </rPh>
    <phoneticPr fontId="20"/>
  </si>
  <si>
    <t>モックアップ＋標準テーブルでの算出となるため、アドオンで追加される分の容量は算出できない</t>
  </si>
  <si>
    <t>クリーンアップ処理(アドオン)</t>
    <rPh sb="7" eb="9">
      <t>ショリ</t>
    </rPh>
    <phoneticPr fontId="20"/>
  </si>
  <si>
    <t>データ長期保存用環境ではAdminユーザー以外は全て参照専用のセキュリティロール（アドオンで作成）を付与し、システム管理者ロールを持つのはAdminユーザーのみとする。</t>
    <rPh sb="46" eb="48">
      <t>サクセイ</t>
    </rPh>
    <phoneticPr fontId="1"/>
  </si>
  <si>
    <t>JBS</t>
  </si>
  <si>
    <t>【サンスター様】バックアップについて.pptx</t>
    <phoneticPr fontId="1"/>
  </si>
  <si>
    <t>長期保存</t>
    <phoneticPr fontId="1"/>
  </si>
  <si>
    <t>バックアップの使用容量について</t>
    <phoneticPr fontId="1"/>
  </si>
  <si>
    <t>データ容量試算の進め方</t>
    <rPh sb="3" eb="5">
      <t>ヨウリョウ</t>
    </rPh>
    <rPh sb="5" eb="7">
      <t>シサン</t>
    </rPh>
    <rPh sb="8" eb="9">
      <t>スス</t>
    </rPh>
    <rPh sb="10" eb="11">
      <t>カタ</t>
    </rPh>
    <phoneticPr fontId="1"/>
  </si>
  <si>
    <t>テナント・インスタンス容量の考え方</t>
    <phoneticPr fontId="1"/>
  </si>
  <si>
    <t>→改正電子帳簿保存法への対応については非機能要件定義書では扱わない。</t>
    <rPh sb="1" eb="3">
      <t>カイセイ</t>
    </rPh>
    <rPh sb="3" eb="5">
      <t>デンシ</t>
    </rPh>
    <rPh sb="5" eb="7">
      <t>チョウボ</t>
    </rPh>
    <rPh sb="7" eb="9">
      <t>ホゾン</t>
    </rPh>
    <rPh sb="9" eb="10">
      <t>ホウ</t>
    </rPh>
    <rPh sb="12" eb="14">
      <t>タイオウ</t>
    </rPh>
    <rPh sb="19" eb="20">
      <t>ヒ</t>
    </rPh>
    <rPh sb="20" eb="22">
      <t>キノウ</t>
    </rPh>
    <rPh sb="22" eb="24">
      <t>ヨウケン</t>
    </rPh>
    <rPh sb="24" eb="27">
      <t>テイギショ</t>
    </rPh>
    <rPh sb="29" eb="30">
      <t>アツカ</t>
    </rPh>
    <phoneticPr fontId="1"/>
  </si>
  <si>
    <t>販売はmcframe、購買側は楽楽精算のため、FOでは対応しない想定。BOXでの保管を検討中</t>
    <rPh sb="0" eb="2">
      <t>ハンバイ</t>
    </rPh>
    <rPh sb="11" eb="13">
      <t>コウバイ</t>
    </rPh>
    <rPh sb="13" eb="14">
      <t>ガワ</t>
    </rPh>
    <rPh sb="15" eb="17">
      <t>ラクラク</t>
    </rPh>
    <rPh sb="17" eb="19">
      <t>セイサン</t>
    </rPh>
    <rPh sb="27" eb="29">
      <t>タイオウ</t>
    </rPh>
    <rPh sb="32" eb="34">
      <t>ソウテイ</t>
    </rPh>
    <rPh sb="40" eb="42">
      <t>ホカン</t>
    </rPh>
    <rPh sb="43" eb="46">
      <t>ケントウチュウ</t>
    </rPh>
    <phoneticPr fontId="1"/>
  </si>
  <si>
    <t>FOでは添付ファイル保存はしない想定だが、「Azure Storage」を保存先としてパラメータを設定しておく</t>
    <rPh sb="4" eb="6">
      <t>テンプ</t>
    </rPh>
    <rPh sb="10" eb="12">
      <t>ホゾン</t>
    </rPh>
    <rPh sb="16" eb="18">
      <t>ソウテイ</t>
    </rPh>
    <rPh sb="39" eb="40">
      <t>サキ</t>
    </rPh>
    <rPh sb="50" eb="52">
      <t>セッテイ</t>
    </rPh>
    <phoneticPr fontId="1"/>
  </si>
  <si>
    <t>(FOとしては、保存先にSharepointサーバーも指定可能だが、FO管理者ユーザーにM365ライセンスが紐づかない想定のため、「Azure Storage」としている。)</t>
    <rPh sb="8" eb="11">
      <t>ホゾンサキ</t>
    </rPh>
    <rPh sb="27" eb="29">
      <t>シテイ</t>
    </rPh>
    <rPh sb="29" eb="31">
      <t>カノウ</t>
    </rPh>
    <rPh sb="36" eb="39">
      <t>カンリシャ</t>
    </rPh>
    <rPh sb="54" eb="55">
      <t>ヒモ</t>
    </rPh>
    <rPh sb="59" eb="61">
      <t>ソウテイ</t>
    </rPh>
    <phoneticPr fontId="1"/>
  </si>
  <si>
    <r>
      <t>データそのものを長期保存するという観点から</t>
    </r>
    <r>
      <rPr>
        <b/>
        <sz val="11"/>
        <color theme="1"/>
        <rFont val="Meiryo UI"/>
        <family val="3"/>
        <charset val="128"/>
      </rPr>
      <t>"Sandbox環境でのバックアップ"</t>
    </r>
    <r>
      <rPr>
        <sz val="11"/>
        <color theme="1"/>
        <rFont val="Meiryo UI"/>
        <family val="3"/>
        <charset val="128"/>
      </rPr>
      <t>で対応する。</t>
    </r>
    <rPh sb="8" eb="12">
      <t>チョウキホゾン</t>
    </rPh>
    <rPh sb="17" eb="19">
      <t>カンテン</t>
    </rPh>
    <rPh sb="29" eb="31">
      <t>カンキョウ</t>
    </rPh>
    <rPh sb="41" eb="43">
      <t>タイオウ</t>
    </rPh>
    <phoneticPr fontId="1"/>
  </si>
  <si>
    <t>増加件数</t>
    <rPh sb="0" eb="2">
      <t>ゾウカ</t>
    </rPh>
    <rPh sb="2" eb="4">
      <t>ケンスウ</t>
    </rPh>
    <phoneticPr fontId="1"/>
  </si>
  <si>
    <t>第1.0版</t>
    <rPh sb="0" eb="1">
      <t>ダイ</t>
    </rPh>
    <rPh sb="4" eb="5">
      <t>ハン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</si>
</sst>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0" x14ac:knownFonts="1">
    <font>
      <sz val="11"/>
      <color theme="1"/>
      <name val="Meiryo UI"/>
      <family val="2"/>
      <charset val="128"/>
      <scheme val="minor"/>
    </font>
    <font>
      <sz val="6"/>
      <name val="Meiryo UI"/>
      <family val="2"/>
      <charset val="128"/>
      <scheme val="minor"/>
    </font>
    <font>
      <sz val="11"/>
      <color theme="1"/>
      <name val="Meiryo UI"/>
      <family val="2"/>
      <charset val="128"/>
      <scheme val="minor"/>
    </font>
    <font>
      <sz val="9"/>
      <color theme="1"/>
      <name val="メイリオ"/>
      <family val="2"/>
      <charset val="128"/>
    </font>
    <font>
      <sz val="6"/>
      <name val="ＭＳ Ｐゴシック"/>
      <family val="3"/>
      <charset val="128"/>
    </font>
    <font>
      <sz val="6"/>
      <name val="メイリオ"/>
      <family val="2"/>
      <charset val="128"/>
    </font>
    <font>
      <sz val="11"/>
      <color theme="1"/>
      <name val="メイリオ"/>
      <family val="3"/>
      <charset val="128"/>
    </font>
    <font>
      <sz val="11"/>
      <name val="メイリオ"/>
      <family val="3"/>
      <charset val="128"/>
    </font>
    <font>
      <sz val="11"/>
      <color theme="1"/>
      <name val="Meiryo UI"/>
      <family val="3"/>
      <charset val="128"/>
    </font>
    <font>
      <sz val="9"/>
      <color theme="1"/>
      <name val="Meiryo UI"/>
      <family val="3"/>
      <charset val="128"/>
    </font>
    <font>
      <sz val="10"/>
      <name val="Meiryo UI"/>
      <family val="3"/>
      <charset val="128"/>
    </font>
    <font>
      <sz val="14"/>
      <name val="Meiryo UI"/>
      <family val="3"/>
      <charset val="128"/>
    </font>
    <font>
      <b/>
      <sz val="20"/>
      <name val="Meiryo UI"/>
      <family val="3"/>
      <charset val="128"/>
    </font>
    <font>
      <b/>
      <sz val="18"/>
      <name val="Meiryo UI"/>
      <family val="3"/>
      <charset val="128"/>
    </font>
    <font>
      <b/>
      <sz val="16"/>
      <name val="Meiryo UI"/>
      <family val="3"/>
      <charset val="128"/>
    </font>
    <font>
      <sz val="11"/>
      <name val="Meiryo UI"/>
      <family val="3"/>
      <charset val="128"/>
    </font>
    <font>
      <sz val="11"/>
      <color indexed="8"/>
      <name val="メイリオ"/>
      <family val="3"/>
      <charset val="128"/>
    </font>
    <font>
      <sz val="11"/>
      <color indexed="8"/>
      <name val="Meiryo UI"/>
      <family val="3"/>
      <charset val="128"/>
    </font>
    <font>
      <u/>
      <sz val="11"/>
      <color theme="10"/>
      <name val="Meiryo UI"/>
      <family val="2"/>
      <charset val="128"/>
      <scheme val="minor"/>
    </font>
    <font>
      <sz val="11"/>
      <color theme="0"/>
      <name val="Meiryo UI"/>
      <family val="3"/>
      <charset val="128"/>
    </font>
    <font>
      <sz val="6"/>
      <name val="Meiryo UI"/>
      <family val="2"/>
      <charset val="128"/>
    </font>
    <font>
      <sz val="11"/>
      <color theme="1"/>
      <name val="Meiryo UI"/>
      <family val="3"/>
    </font>
    <font>
      <u/>
      <sz val="11"/>
      <color theme="10"/>
      <name val="Meiryo UI"/>
      <family val="3"/>
      <charset val="128"/>
      <scheme val="minor"/>
    </font>
    <font>
      <sz val="11"/>
      <color theme="0"/>
      <name val="Meiryo UI"/>
      <family val="3"/>
    </font>
    <font>
      <sz val="11"/>
      <name val="Meiryo UI"/>
      <family val="3"/>
      <charset val="128"/>
      <scheme val="minor"/>
    </font>
    <font>
      <sz val="11"/>
      <color theme="0"/>
      <name val="Meiryo UI"/>
      <family val="2"/>
      <charset val="128"/>
      <scheme val="minor"/>
    </font>
    <font>
      <sz val="11"/>
      <color theme="0"/>
      <name val="Meiryo UI"/>
      <family val="3"/>
      <charset val="128"/>
      <scheme val="minor"/>
    </font>
    <font>
      <sz val="11"/>
      <name val="Meiryo UI"/>
      <family val="2"/>
      <charset val="128"/>
      <scheme val="minor"/>
    </font>
    <font>
      <b/>
      <sz val="11"/>
      <color theme="1"/>
      <name val="Meiryo UI"/>
      <family val="3"/>
      <charset val="128"/>
    </font>
    <font>
      <sz val="11"/>
      <name val="Meiryo UI"/>
      <family val="3"/>
    </font>
  </fonts>
  <fills count="9">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E2EFDA"/>
        <bgColor indexed="64"/>
      </patternFill>
    </fill>
    <fill>
      <patternFill patternType="solid">
        <fgColor rgb="FFFFF2CC"/>
        <bgColor indexed="64"/>
      </patternFill>
    </fill>
    <fill>
      <patternFill patternType="solid">
        <fgColor theme="4" tint="0.59999389629810485"/>
        <bgColor indexed="64"/>
      </patternFill>
    </fill>
  </fills>
  <borders count="3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lignment vertical="center"/>
    </xf>
    <xf numFmtId="0" fontId="2" fillId="0" borderId="0">
      <alignment vertical="center"/>
    </xf>
    <xf numFmtId="0" fontId="18" fillId="0" borderId="0" applyNumberFormat="0" applyFill="0" applyBorder="0" applyAlignment="0" applyProtection="0">
      <alignment vertical="center"/>
    </xf>
    <xf numFmtId="38" fontId="2" fillId="0" borderId="0" applyFont="0" applyFill="0" applyBorder="0" applyAlignment="0" applyProtection="0">
      <alignment vertical="center"/>
    </xf>
  </cellStyleXfs>
  <cellXfs count="190">
    <xf numFmtId="0" fontId="0" fillId="0" borderId="0" xfId="0">
      <alignment vertical="center"/>
    </xf>
    <xf numFmtId="0" fontId="8" fillId="4" borderId="0" xfId="2" applyFont="1" applyFill="1">
      <alignment vertical="center"/>
    </xf>
    <xf numFmtId="0" fontId="9" fillId="4" borderId="0" xfId="1" applyFont="1" applyFill="1">
      <alignment vertical="center"/>
    </xf>
    <xf numFmtId="0" fontId="10" fillId="4" borderId="11" xfId="1" applyFont="1" applyFill="1" applyBorder="1">
      <alignment vertical="center"/>
    </xf>
    <xf numFmtId="0" fontId="10" fillId="4" borderId="12" xfId="1" applyFont="1" applyFill="1" applyBorder="1">
      <alignment vertical="center"/>
    </xf>
    <xf numFmtId="0" fontId="10" fillId="4" borderId="13" xfId="1" applyFont="1" applyFill="1" applyBorder="1">
      <alignment vertical="center"/>
    </xf>
    <xf numFmtId="0" fontId="10" fillId="4" borderId="14" xfId="1" applyFont="1" applyFill="1" applyBorder="1">
      <alignment vertical="center"/>
    </xf>
    <xf numFmtId="0" fontId="10" fillId="4" borderId="0" xfId="1" applyFont="1" applyFill="1">
      <alignment vertical="center"/>
    </xf>
    <xf numFmtId="0" fontId="11" fillId="4" borderId="0" xfId="1" applyFont="1" applyFill="1">
      <alignment vertical="center"/>
    </xf>
    <xf numFmtId="0" fontId="10" fillId="4" borderId="15" xfId="1" applyFont="1" applyFill="1" applyBorder="1">
      <alignment vertical="center"/>
    </xf>
    <xf numFmtId="0" fontId="13" fillId="4" borderId="0" xfId="1" applyFont="1" applyFill="1">
      <alignment vertical="center"/>
    </xf>
    <xf numFmtId="0" fontId="15" fillId="4" borderId="0" xfId="1" applyFont="1" applyFill="1" applyAlignment="1"/>
    <xf numFmtId="0" fontId="15" fillId="4" borderId="14" xfId="1" applyFont="1" applyFill="1" applyBorder="1" applyAlignment="1"/>
    <xf numFmtId="0" fontId="10" fillId="4" borderId="0" xfId="1" applyFont="1" applyFill="1" applyAlignment="1">
      <alignment horizontal="center" vertical="center"/>
    </xf>
    <xf numFmtId="0" fontId="10" fillId="4" borderId="0" xfId="1" applyFont="1" applyFill="1" applyAlignment="1">
      <alignment horizontal="center" vertical="center" wrapText="1"/>
    </xf>
    <xf numFmtId="0" fontId="10" fillId="4" borderId="16" xfId="1" applyFont="1" applyFill="1" applyBorder="1">
      <alignment vertical="center"/>
    </xf>
    <xf numFmtId="0" fontId="10" fillId="4" borderId="17" xfId="1" applyFont="1" applyFill="1" applyBorder="1">
      <alignment vertical="center"/>
    </xf>
    <xf numFmtId="0" fontId="10" fillId="4" borderId="17" xfId="1" applyFont="1" applyFill="1" applyBorder="1" applyAlignment="1">
      <alignment horizontal="center" vertical="center"/>
    </xf>
    <xf numFmtId="0" fontId="10" fillId="4" borderId="17" xfId="1" applyFont="1" applyFill="1" applyBorder="1" applyAlignment="1">
      <alignment vertical="center" wrapText="1"/>
    </xf>
    <xf numFmtId="0" fontId="15" fillId="4" borderId="17" xfId="1" applyFont="1" applyFill="1" applyBorder="1">
      <alignment vertical="center"/>
    </xf>
    <xf numFmtId="0" fontId="10" fillId="4" borderId="18" xfId="1" applyFont="1" applyFill="1" applyBorder="1">
      <alignment vertical="center"/>
    </xf>
    <xf numFmtId="0" fontId="8" fillId="0" borderId="0" xfId="0" applyFont="1">
      <alignment vertical="center"/>
    </xf>
    <xf numFmtId="0" fontId="18" fillId="0" borderId="0" xfId="3">
      <alignment vertical="center"/>
    </xf>
    <xf numFmtId="0" fontId="21" fillId="0" borderId="0" xfId="0" applyFont="1">
      <alignment vertical="center"/>
    </xf>
    <xf numFmtId="0" fontId="22" fillId="0" borderId="0" xfId="3" applyFont="1">
      <alignment vertical="center"/>
    </xf>
    <xf numFmtId="0" fontId="8" fillId="0" borderId="19" xfId="0" applyFont="1" applyBorder="1">
      <alignment vertical="center"/>
    </xf>
    <xf numFmtId="0" fontId="21" fillId="0" borderId="19" xfId="0" applyFont="1" applyBorder="1">
      <alignment vertical="center"/>
    </xf>
    <xf numFmtId="0" fontId="8" fillId="0" borderId="0" xfId="0" applyFont="1" applyAlignment="1">
      <alignment horizontal="center" vertical="center"/>
    </xf>
    <xf numFmtId="0" fontId="21" fillId="0" borderId="0" xfId="0" applyFont="1" applyAlignment="1">
      <alignment horizontal="center" vertical="center"/>
    </xf>
    <xf numFmtId="0" fontId="27" fillId="0" borderId="0" xfId="3" applyFont="1">
      <alignment vertical="center"/>
    </xf>
    <xf numFmtId="0" fontId="22" fillId="0" borderId="0" xfId="3" applyFont="1" applyFill="1">
      <alignment vertical="center"/>
    </xf>
    <xf numFmtId="0" fontId="14" fillId="4" borderId="14" xfId="1" applyFont="1" applyFill="1" applyBorder="1" applyAlignment="1">
      <alignment horizontal="center" vertical="center"/>
    </xf>
    <xf numFmtId="0" fontId="14" fillId="4" borderId="0" xfId="1" applyFont="1" applyFill="1" applyAlignment="1">
      <alignment horizontal="center" vertical="center"/>
    </xf>
    <xf numFmtId="0" fontId="14" fillId="4" borderId="15" xfId="1" applyFont="1" applyFill="1" applyBorder="1" applyAlignment="1">
      <alignment horizontal="center" vertical="center"/>
    </xf>
    <xf numFmtId="0" fontId="12" fillId="4" borderId="11" xfId="1" applyFont="1" applyFill="1" applyBorder="1" applyAlignment="1">
      <alignment horizontal="center" vertical="center" wrapText="1"/>
    </xf>
    <xf numFmtId="0" fontId="12" fillId="4" borderId="12" xfId="1" applyFont="1" applyFill="1" applyBorder="1" applyAlignment="1">
      <alignment horizontal="center" vertical="center" wrapText="1"/>
    </xf>
    <xf numFmtId="0" fontId="12" fillId="4" borderId="13" xfId="1" applyFont="1" applyFill="1" applyBorder="1" applyAlignment="1">
      <alignment horizontal="center" vertical="center" wrapText="1"/>
    </xf>
    <xf numFmtId="0" fontId="12" fillId="4" borderId="14" xfId="1" applyFont="1" applyFill="1" applyBorder="1" applyAlignment="1">
      <alignment horizontal="center" vertical="center" wrapText="1"/>
    </xf>
    <xf numFmtId="0" fontId="12" fillId="4" borderId="0" xfId="1" applyFont="1" applyFill="1" applyAlignment="1">
      <alignment horizontal="center" vertical="center" wrapText="1"/>
    </xf>
    <xf numFmtId="0" fontId="12" fillId="4" borderId="15" xfId="1" applyFont="1" applyFill="1" applyBorder="1" applyAlignment="1">
      <alignment horizontal="center" vertical="center" wrapText="1"/>
    </xf>
    <xf numFmtId="0" fontId="12" fillId="4" borderId="14" xfId="1" applyFont="1" applyFill="1" applyBorder="1" applyAlignment="1">
      <alignment horizontal="center" vertical="center"/>
    </xf>
    <xf numFmtId="0" fontId="12" fillId="4" borderId="0" xfId="1" applyFont="1" applyFill="1" applyAlignment="1">
      <alignment horizontal="center" vertical="center"/>
    </xf>
    <xf numFmtId="0" fontId="12" fillId="4" borderId="15" xfId="1" applyFont="1" applyFill="1" applyBorder="1" applyAlignment="1">
      <alignment horizontal="center" vertical="center"/>
    </xf>
    <xf numFmtId="0" fontId="12" fillId="4" borderId="16" xfId="1" applyFont="1" applyFill="1" applyBorder="1" applyAlignment="1">
      <alignment horizontal="center" vertical="center"/>
    </xf>
    <xf numFmtId="0" fontId="12" fillId="4" borderId="17" xfId="1" applyFont="1" applyFill="1" applyBorder="1" applyAlignment="1">
      <alignment horizontal="center" vertical="center"/>
    </xf>
    <xf numFmtId="0" fontId="12" fillId="4" borderId="18" xfId="1" applyFont="1" applyFill="1" applyBorder="1" applyAlignment="1">
      <alignment horizontal="center" vertical="center"/>
    </xf>
    <xf numFmtId="31" fontId="14" fillId="4" borderId="14" xfId="1" applyNumberFormat="1" applyFont="1" applyFill="1" applyBorder="1" applyAlignment="1">
      <alignment horizontal="center" vertical="center"/>
    </xf>
    <xf numFmtId="0" fontId="7" fillId="4" borderId="1" xfId="1" applyFont="1" applyFill="1" applyBorder="1" applyAlignment="1">
      <alignment horizontal="left" vertical="center"/>
    </xf>
    <xf numFmtId="0" fontId="16" fillId="2" borderId="1" xfId="1" applyFont="1" applyFill="1" applyBorder="1" applyAlignment="1">
      <alignment horizontal="center" vertical="center"/>
    </xf>
    <xf numFmtId="176" fontId="7" fillId="4" borderId="1" xfId="1" applyNumberFormat="1" applyFont="1" applyFill="1" applyBorder="1" applyAlignment="1">
      <alignment horizontal="center" vertical="center"/>
    </xf>
    <xf numFmtId="0" fontId="16" fillId="3" borderId="1" xfId="1" applyFont="1" applyFill="1" applyBorder="1" applyAlignment="1">
      <alignment horizontal="left" vertical="center"/>
    </xf>
    <xf numFmtId="0" fontId="16" fillId="2" borderId="2" xfId="1" applyFont="1" applyFill="1" applyBorder="1" applyAlignment="1">
      <alignment horizontal="center" vertical="center"/>
    </xf>
    <xf numFmtId="0" fontId="16" fillId="2" borderId="3" xfId="1" applyFont="1" applyFill="1" applyBorder="1" applyAlignment="1">
      <alignment horizontal="center" vertical="center"/>
    </xf>
    <xf numFmtId="0" fontId="16" fillId="2" borderId="4" xfId="1" applyFont="1" applyFill="1" applyBorder="1" applyAlignment="1">
      <alignment horizontal="center" vertical="center"/>
    </xf>
    <xf numFmtId="0" fontId="7" fillId="2" borderId="1" xfId="1" applyFont="1" applyFill="1" applyBorder="1" applyAlignment="1">
      <alignment horizontal="center" vertical="center"/>
    </xf>
    <xf numFmtId="0" fontId="6" fillId="3" borderId="1" xfId="1" applyFont="1" applyFill="1" applyBorder="1" applyAlignment="1">
      <alignment horizontal="left" vertical="center"/>
    </xf>
    <xf numFmtId="0" fontId="16" fillId="3" borderId="5"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6" fillId="3" borderId="10" xfId="1" applyFont="1" applyFill="1" applyBorder="1" applyAlignment="1">
      <alignment horizontal="center" vertical="center"/>
    </xf>
    <xf numFmtId="0" fontId="25" fillId="5" borderId="20" xfId="0" applyFont="1" applyFill="1" applyBorder="1" applyAlignment="1">
      <alignment horizontal="center" vertical="center"/>
    </xf>
    <xf numFmtId="0" fontId="25" fillId="5" borderId="21" xfId="0" applyFont="1" applyFill="1" applyBorder="1" applyAlignment="1">
      <alignment horizontal="center" vertical="center"/>
    </xf>
    <xf numFmtId="0" fontId="26" fillId="5" borderId="22" xfId="0" applyFont="1" applyFill="1" applyBorder="1" applyAlignment="1">
      <alignment horizontal="center" vertical="center"/>
    </xf>
    <xf numFmtId="0" fontId="26" fillId="5" borderId="23" xfId="0" applyFont="1" applyFill="1" applyBorder="1" applyAlignment="1">
      <alignment horizontal="center" vertical="center"/>
    </xf>
    <xf numFmtId="0" fontId="15" fillId="4" borderId="1" xfId="1" applyFont="1" applyFill="1" applyBorder="1" applyAlignment="1">
      <alignment horizontal="left" vertical="center"/>
    </xf>
    <xf numFmtId="0" fontId="17" fillId="2" borderId="1" xfId="1" applyFont="1" applyFill="1" applyBorder="1" applyAlignment="1">
      <alignment horizontal="center" vertical="center"/>
    </xf>
    <xf numFmtId="176" fontId="15" fillId="4" borderId="1" xfId="1" applyNumberFormat="1" applyFont="1"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20" xfId="0" applyBorder="1" applyAlignment="1">
      <alignment horizontal="left" vertical="center"/>
    </xf>
    <xf numFmtId="0" fontId="17" fillId="3" borderId="1" xfId="1" applyFont="1" applyFill="1" applyBorder="1" applyAlignment="1">
      <alignment horizontal="left" vertical="center"/>
    </xf>
    <xf numFmtId="0" fontId="17" fillId="2" borderId="2" xfId="1" applyFont="1" applyFill="1" applyBorder="1" applyAlignment="1">
      <alignment horizontal="center" vertical="center"/>
    </xf>
    <xf numFmtId="0" fontId="17" fillId="2" borderId="3" xfId="1" applyFont="1" applyFill="1" applyBorder="1" applyAlignment="1">
      <alignment horizontal="center" vertical="center"/>
    </xf>
    <xf numFmtId="0" fontId="17" fillId="2" borderId="4" xfId="1" applyFont="1" applyFill="1" applyBorder="1" applyAlignment="1">
      <alignment horizontal="center" vertical="center"/>
    </xf>
    <xf numFmtId="0" fontId="15" fillId="2" borderId="1" xfId="1" applyFont="1" applyFill="1" applyBorder="1" applyAlignment="1">
      <alignment horizontal="center" vertical="center"/>
    </xf>
    <xf numFmtId="0" fontId="8" fillId="3" borderId="1" xfId="1" applyFont="1" applyFill="1" applyBorder="1" applyAlignment="1">
      <alignment horizontal="left" vertical="center"/>
    </xf>
    <xf numFmtId="0" fontId="17" fillId="3" borderId="5"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7" fillId="3" borderId="10" xfId="1"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6" borderId="21" xfId="0" applyFill="1" applyBorder="1" applyAlignment="1">
      <alignment horizontal="center" vertical="center"/>
    </xf>
    <xf numFmtId="0" fontId="0" fillId="6" borderId="22" xfId="0" applyFill="1" applyBorder="1" applyAlignment="1">
      <alignment horizontal="center" vertical="center"/>
    </xf>
    <xf numFmtId="0" fontId="0" fillId="6" borderId="23" xfId="0" applyFill="1" applyBorder="1" applyAlignment="1">
      <alignment horizontal="center" vertical="center"/>
    </xf>
    <xf numFmtId="0" fontId="0" fillId="6" borderId="20" xfId="0" applyFill="1" applyBorder="1" applyAlignment="1">
      <alignment horizontal="center" vertical="center"/>
    </xf>
    <xf numFmtId="0" fontId="27" fillId="7" borderId="20" xfId="0" applyFont="1" applyFill="1" applyBorder="1" applyAlignment="1">
      <alignment horizontal="center" vertical="center" wrapText="1"/>
    </xf>
    <xf numFmtId="0" fontId="24" fillId="7" borderId="20" xfId="0" applyFont="1" applyFill="1" applyBorder="1" applyAlignment="1">
      <alignment horizontal="center" vertical="center"/>
    </xf>
    <xf numFmtId="0" fontId="0" fillId="7" borderId="21" xfId="0" applyFill="1" applyBorder="1" applyAlignment="1">
      <alignment horizontal="left" vertical="center"/>
    </xf>
    <xf numFmtId="0" fontId="0" fillId="7" borderId="22" xfId="0" applyFill="1" applyBorder="1" applyAlignment="1">
      <alignment horizontal="left" vertical="center"/>
    </xf>
    <xf numFmtId="0" fontId="0" fillId="7" borderId="23" xfId="0" applyFill="1" applyBorder="1" applyAlignment="1">
      <alignment horizontal="left" vertical="center"/>
    </xf>
    <xf numFmtId="0" fontId="0" fillId="7" borderId="20" xfId="0" applyFill="1"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0" xfId="0" applyBorder="1">
      <alignment vertical="center"/>
    </xf>
    <xf numFmtId="0" fontId="0" fillId="7" borderId="20" xfId="0" applyFill="1" applyBorder="1" applyAlignment="1">
      <alignment horizontal="left" vertical="center"/>
    </xf>
    <xf numFmtId="0" fontId="0" fillId="7" borderId="20" xfId="0" applyFill="1" applyBorder="1" applyAlignment="1">
      <alignment horizontal="center" vertical="center"/>
    </xf>
    <xf numFmtId="38" fontId="0" fillId="0" borderId="20" xfId="4" applyFont="1" applyFill="1" applyBorder="1" applyAlignment="1">
      <alignment horizontal="right" vertical="center"/>
    </xf>
    <xf numFmtId="0" fontId="0" fillId="8" borderId="21" xfId="0" applyFill="1" applyBorder="1" applyAlignment="1">
      <alignment horizontal="left" vertical="center"/>
    </xf>
    <xf numFmtId="0" fontId="0" fillId="8" borderId="22" xfId="0" applyFill="1" applyBorder="1" applyAlignment="1">
      <alignment horizontal="left" vertical="center"/>
    </xf>
    <xf numFmtId="0" fontId="0" fillId="8" borderId="23" xfId="0" applyFill="1" applyBorder="1" applyAlignment="1">
      <alignment horizontal="left" vertical="center"/>
    </xf>
    <xf numFmtId="38" fontId="0" fillId="8" borderId="21" xfId="4" applyFont="1" applyFill="1" applyBorder="1" applyAlignment="1">
      <alignment vertical="center"/>
    </xf>
    <xf numFmtId="38" fontId="0" fillId="8" borderId="22" xfId="4" applyFont="1" applyFill="1" applyBorder="1" applyAlignment="1">
      <alignment vertical="center"/>
    </xf>
    <xf numFmtId="38" fontId="0" fillId="8" borderId="23" xfId="4" applyFont="1" applyFill="1" applyBorder="1" applyAlignment="1">
      <alignment vertical="center"/>
    </xf>
    <xf numFmtId="38" fontId="0" fillId="0" borderId="21" xfId="4" applyFont="1" applyBorder="1" applyAlignment="1">
      <alignment horizontal="right" vertical="center"/>
    </xf>
    <xf numFmtId="38" fontId="0" fillId="0" borderId="22" xfId="4" applyFont="1" applyBorder="1" applyAlignment="1">
      <alignment horizontal="right" vertical="center"/>
    </xf>
    <xf numFmtId="38" fontId="0" fillId="0" borderId="23" xfId="4" applyFont="1" applyBorder="1" applyAlignment="1">
      <alignment horizontal="right" vertical="center"/>
    </xf>
    <xf numFmtId="0" fontId="0" fillId="8" borderId="21" xfId="0"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xf>
    <xf numFmtId="0" fontId="8" fillId="0" borderId="24" xfId="0" applyFont="1" applyBorder="1" applyAlignment="1">
      <alignment horizontal="center" vertical="center"/>
    </xf>
    <xf numFmtId="0" fontId="8" fillId="0" borderId="19"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4"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19" fillId="5" borderId="20" xfId="0" applyFont="1" applyFill="1" applyBorder="1" applyAlignment="1">
      <alignment horizontal="center" vertical="center"/>
    </xf>
    <xf numFmtId="0" fontId="8" fillId="0" borderId="20" xfId="0" applyFont="1" applyBorder="1" applyAlignment="1">
      <alignment horizontal="center" vertical="center" wrapText="1"/>
    </xf>
    <xf numFmtId="0" fontId="8" fillId="0" borderId="20" xfId="0" applyFont="1" applyBorder="1" applyAlignment="1">
      <alignment horizontal="center" vertical="center"/>
    </xf>
    <xf numFmtId="38" fontId="0" fillId="0" borderId="20" xfId="4" applyFont="1" applyBorder="1" applyAlignment="1">
      <alignment horizontal="center" vertical="center"/>
    </xf>
    <xf numFmtId="0" fontId="8" fillId="0" borderId="29"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29" xfId="0" applyFont="1" applyBorder="1" applyAlignment="1">
      <alignment vertical="center" wrapText="1"/>
    </xf>
    <xf numFmtId="0" fontId="8" fillId="0" borderId="29" xfId="0" applyFont="1" applyBorder="1">
      <alignment vertical="center"/>
    </xf>
    <xf numFmtId="0" fontId="8" fillId="0" borderId="31" xfId="0" applyFont="1" applyBorder="1" applyAlignment="1">
      <alignment vertical="center" wrapText="1"/>
    </xf>
    <xf numFmtId="0" fontId="8" fillId="0" borderId="31" xfId="0" applyFont="1" applyBorder="1">
      <alignment vertical="center"/>
    </xf>
    <xf numFmtId="0" fontId="8" fillId="0" borderId="30" xfId="0" applyFont="1" applyBorder="1">
      <alignment vertical="center"/>
    </xf>
    <xf numFmtId="0" fontId="8" fillId="0" borderId="29" xfId="0" applyFont="1" applyBorder="1" applyAlignment="1">
      <alignment horizontal="left" vertical="center" wrapText="1"/>
    </xf>
    <xf numFmtId="0" fontId="8" fillId="0" borderId="29" xfId="0" applyFont="1" applyBorder="1" applyAlignment="1">
      <alignment horizontal="left" vertical="center"/>
    </xf>
    <xf numFmtId="0" fontId="8" fillId="0" borderId="31" xfId="0" applyFont="1" applyBorder="1" applyAlignment="1">
      <alignment horizontal="left" vertical="center" wrapText="1"/>
    </xf>
    <xf numFmtId="0" fontId="8" fillId="0" borderId="31" xfId="0" applyFont="1" applyBorder="1" applyAlignment="1">
      <alignment horizontal="left" vertical="center"/>
    </xf>
    <xf numFmtId="0" fontId="8" fillId="0" borderId="30" xfId="0" applyFont="1" applyBorder="1" applyAlignment="1">
      <alignment horizontal="left"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24" xfId="0" applyFont="1" applyBorder="1" applyAlignment="1">
      <alignment vertical="center" wrapText="1"/>
    </xf>
    <xf numFmtId="0" fontId="8" fillId="0" borderId="19" xfId="0" applyFont="1" applyBorder="1">
      <alignment vertical="center"/>
    </xf>
    <xf numFmtId="0" fontId="8" fillId="0" borderId="25" xfId="0" applyFont="1" applyBorder="1">
      <alignment vertical="center"/>
    </xf>
    <xf numFmtId="0" fontId="8" fillId="0" borderId="32" xfId="0" applyFont="1" applyBorder="1" applyAlignment="1">
      <alignment vertical="center" wrapText="1"/>
    </xf>
    <xf numFmtId="0" fontId="8" fillId="0" borderId="0" xfId="0" applyFont="1">
      <alignment vertical="center"/>
    </xf>
    <xf numFmtId="0" fontId="8" fillId="0" borderId="33" xfId="0" applyFont="1" applyBorder="1">
      <alignment vertical="center"/>
    </xf>
    <xf numFmtId="0" fontId="8" fillId="0" borderId="32" xfId="0" applyFont="1" applyBorder="1">
      <alignment vertical="center"/>
    </xf>
    <xf numFmtId="0" fontId="8" fillId="0" borderId="26" xfId="0" applyFont="1" applyBorder="1">
      <alignment vertical="center"/>
    </xf>
    <xf numFmtId="0" fontId="8" fillId="0" borderId="27" xfId="0" applyFont="1" applyBorder="1">
      <alignment vertical="center"/>
    </xf>
    <xf numFmtId="0" fontId="8" fillId="0" borderId="28" xfId="0" applyFont="1" applyBorder="1">
      <alignment vertical="center"/>
    </xf>
    <xf numFmtId="0" fontId="8" fillId="0" borderId="32" xfId="0" applyFont="1" applyBorder="1" applyAlignment="1">
      <alignment horizontal="center" vertical="center"/>
    </xf>
    <xf numFmtId="0" fontId="8" fillId="0" borderId="0" xfId="0" applyFont="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0" xfId="0" applyFont="1" applyAlignment="1">
      <alignment horizontal="center" vertical="center" wrapText="1"/>
    </xf>
    <xf numFmtId="0" fontId="8" fillId="0" borderId="20" xfId="0" applyFont="1" applyBorder="1" applyAlignment="1">
      <alignment vertical="center" wrapText="1"/>
    </xf>
    <xf numFmtId="0" fontId="23" fillId="5" borderId="20" xfId="0" applyFont="1" applyFill="1" applyBorder="1" applyAlignment="1">
      <alignment horizontal="center" vertical="center"/>
    </xf>
    <xf numFmtId="0" fontId="21" fillId="0" borderId="29" xfId="0" applyFont="1" applyBorder="1" applyAlignment="1">
      <alignment horizontal="left" vertical="center" wrapText="1"/>
    </xf>
    <xf numFmtId="0" fontId="21" fillId="0" borderId="29" xfId="0" applyFont="1" applyBorder="1" applyAlignment="1">
      <alignment horizontal="left" vertical="center"/>
    </xf>
    <xf numFmtId="0" fontId="21" fillId="0" borderId="31" xfId="0" applyFont="1" applyBorder="1" applyAlignment="1">
      <alignment horizontal="left" vertical="center" wrapText="1"/>
    </xf>
    <xf numFmtId="0" fontId="21" fillId="0" borderId="31" xfId="0" applyFont="1" applyBorder="1" applyAlignment="1">
      <alignment horizontal="left" vertical="center"/>
    </xf>
    <xf numFmtId="0" fontId="21" fillId="0" borderId="30" xfId="0" applyFont="1" applyBorder="1" applyAlignment="1">
      <alignment horizontal="left" vertical="center"/>
    </xf>
    <xf numFmtId="0" fontId="19" fillId="5" borderId="21" xfId="0" applyFont="1" applyFill="1" applyBorder="1" applyAlignment="1">
      <alignment horizontal="center" vertical="center"/>
    </xf>
    <xf numFmtId="0" fontId="19" fillId="5" borderId="22" xfId="0" applyFont="1" applyFill="1" applyBorder="1" applyAlignment="1">
      <alignment horizontal="center" vertical="center"/>
    </xf>
    <xf numFmtId="0" fontId="19" fillId="5" borderId="23" xfId="0" applyFont="1" applyFill="1" applyBorder="1" applyAlignment="1">
      <alignment horizontal="center" vertical="center"/>
    </xf>
    <xf numFmtId="0" fontId="21" fillId="0" borderId="24" xfId="0" applyFont="1" applyBorder="1" applyAlignment="1">
      <alignment horizontal="left" vertical="center" wrapText="1"/>
    </xf>
    <xf numFmtId="0" fontId="21" fillId="0" borderId="19" xfId="0" applyFont="1" applyBorder="1" applyAlignment="1">
      <alignment horizontal="left" vertical="center" wrapText="1"/>
    </xf>
    <xf numFmtId="0" fontId="21" fillId="0" borderId="25" xfId="0" applyFont="1" applyBorder="1" applyAlignment="1">
      <alignment horizontal="left" vertical="center" wrapText="1"/>
    </xf>
    <xf numFmtId="0" fontId="21" fillId="0" borderId="26" xfId="0" applyFont="1" applyBorder="1" applyAlignment="1">
      <alignment horizontal="left" vertical="center" wrapText="1"/>
    </xf>
    <xf numFmtId="0" fontId="21" fillId="0" borderId="27" xfId="0" applyFont="1" applyBorder="1" applyAlignment="1">
      <alignment horizontal="left" vertical="center" wrapText="1"/>
    </xf>
    <xf numFmtId="0" fontId="21" fillId="0" borderId="28" xfId="0" applyFont="1" applyBorder="1" applyAlignment="1">
      <alignment horizontal="left" vertical="center" wrapText="1"/>
    </xf>
    <xf numFmtId="0" fontId="29"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8" fillId="0" borderId="20" xfId="0" applyFont="1" applyFill="1" applyBorder="1" applyAlignment="1">
      <alignment horizontal="center" vertical="center" wrapText="1"/>
    </xf>
    <xf numFmtId="0" fontId="8" fillId="0" borderId="20" xfId="0" applyFont="1" applyFill="1" applyBorder="1" applyAlignment="1">
      <alignment horizontal="center" vertical="center"/>
    </xf>
  </cellXfs>
  <cellStyles count="5">
    <cellStyle name="ハイパーリンク" xfId="3" builtinId="8"/>
    <cellStyle name="桁区切り" xfId="4" builtinId="6"/>
    <cellStyle name="標準" xfId="0" builtinId="0"/>
    <cellStyle name="標準 2" xfId="1" xr:uid="{F29E9F88-122F-43CC-B810-1C5395248D63}"/>
    <cellStyle name="標準 3" xfId="2" xr:uid="{AD6AB97D-814B-4704-B324-70FD0E76C8C9}"/>
  </cellStyles>
  <dxfs count="0"/>
  <tableStyles count="0" defaultTableStyle="TableStyleMedium2" defaultPivotStyle="PivotStyleLight16"/>
  <colors>
    <mruColors>
      <color rgb="FF522866"/>
      <color rgb="FF007FA3"/>
      <color rgb="FF002060"/>
      <color rgb="FF1B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27</xdr:col>
      <xdr:colOff>171450</xdr:colOff>
      <xdr:row>34</xdr:row>
      <xdr:rowOff>133350</xdr:rowOff>
    </xdr:from>
    <xdr:to>
      <xdr:col>32</xdr:col>
      <xdr:colOff>142875</xdr:colOff>
      <xdr:row>41</xdr:row>
      <xdr:rowOff>28575</xdr:rowOff>
    </xdr:to>
    <xdr:sp macro="" textlink="">
      <xdr:nvSpPr>
        <xdr:cNvPr id="2" name="正方形/長方形 1">
          <a:extLst>
            <a:ext uri="{FF2B5EF4-FFF2-40B4-BE49-F238E27FC236}">
              <a16:creationId xmlns:a16="http://schemas.microsoft.com/office/drawing/2014/main" id="{B8608CC9-DED8-197F-D5B2-4435141AE3E1}"/>
            </a:ext>
          </a:extLst>
        </xdr:cNvPr>
        <xdr:cNvSpPr/>
      </xdr:nvSpPr>
      <xdr:spPr>
        <a:xfrm>
          <a:off x="5572125" y="6610350"/>
          <a:ext cx="971550" cy="1228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以降フェーズで調査する</a:t>
          </a:r>
        </a:p>
      </xdr:txBody>
    </xdr:sp>
    <xdr:clientData/>
  </xdr:twoCellAnchor>
  <xdr:twoCellAnchor>
    <xdr:from>
      <xdr:col>72</xdr:col>
      <xdr:colOff>177800</xdr:colOff>
      <xdr:row>39</xdr:row>
      <xdr:rowOff>104775</xdr:rowOff>
    </xdr:from>
    <xdr:to>
      <xdr:col>80</xdr:col>
      <xdr:colOff>187325</xdr:colOff>
      <xdr:row>46</xdr:row>
      <xdr:rowOff>0</xdr:rowOff>
    </xdr:to>
    <xdr:sp macro="" textlink="">
      <xdr:nvSpPr>
        <xdr:cNvPr id="3" name="正方形/長方形 2">
          <a:extLst>
            <a:ext uri="{FF2B5EF4-FFF2-40B4-BE49-F238E27FC236}">
              <a16:creationId xmlns:a16="http://schemas.microsoft.com/office/drawing/2014/main" id="{7AC2907F-0C67-4F48-9F7A-F79926B7409E}"/>
            </a:ext>
          </a:extLst>
        </xdr:cNvPr>
        <xdr:cNvSpPr/>
      </xdr:nvSpPr>
      <xdr:spPr>
        <a:xfrm>
          <a:off x="14579600" y="7534275"/>
          <a:ext cx="1609725" cy="1228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要ヒアリング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Meiryo UI"/>
        <a:ea typeface="Meiryo UI"/>
        <a:cs typeface=""/>
      </a:majorFont>
      <a:minorFont>
        <a:latin typeface="Calibr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learn.microsoft.com/ja-jp/dynamics365/fin-ops-core/dev-itpro/sysadmin/cleanuproutine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learn.microsoft.com/ja-jp/dynamics365/fin-ops-core/dev-itpro/database/export-databas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41C-74F9-4834-A618-9933C7EE4F0C}">
  <dimension ref="B1:CC36"/>
  <sheetViews>
    <sheetView tabSelected="1" workbookViewId="0"/>
  </sheetViews>
  <sheetFormatPr defaultColWidth="2.2109375" defaultRowHeight="15" customHeight="1" x14ac:dyDescent="0.35"/>
  <cols>
    <col min="1" max="16384" width="2.2109375" style="2"/>
  </cols>
  <sheetData>
    <row r="1" spans="2:81" ht="15" customHeight="1" thickBot="1" x14ac:dyDescent="0.4">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2:81" ht="15" customHeight="1" x14ac:dyDescent="0.35">
      <c r="B2" s="3"/>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5"/>
    </row>
    <row r="3" spans="2:81" ht="15" customHeight="1" x14ac:dyDescent="0.35">
      <c r="B3" s="6"/>
      <c r="C3" s="7"/>
      <c r="D3" s="8" t="s">
        <v>170</v>
      </c>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9"/>
    </row>
    <row r="4" spans="2:81" ht="15" customHeight="1" x14ac:dyDescent="0.35">
      <c r="B4" s="6"/>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9"/>
    </row>
    <row r="5" spans="2:81" ht="15" customHeight="1" thickBot="1" x14ac:dyDescent="0.4">
      <c r="B5" s="6"/>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9"/>
    </row>
    <row r="6" spans="2:81" ht="15" customHeight="1" x14ac:dyDescent="0.35">
      <c r="B6" s="6"/>
      <c r="C6" s="7"/>
      <c r="D6" s="7"/>
      <c r="E6" s="7"/>
      <c r="F6" s="7"/>
      <c r="G6" s="7"/>
      <c r="H6" s="7"/>
      <c r="I6" s="7"/>
      <c r="J6" s="7"/>
      <c r="K6" s="7"/>
      <c r="L6" s="7"/>
      <c r="M6" s="7"/>
      <c r="N6" s="7"/>
      <c r="O6" s="7"/>
      <c r="P6" s="7"/>
      <c r="Q6" s="7"/>
      <c r="R6" s="7"/>
      <c r="S6" s="7"/>
      <c r="T6" s="7"/>
      <c r="U6" s="7"/>
      <c r="V6" s="34" t="s">
        <v>169</v>
      </c>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6"/>
      <c r="BL6" s="7"/>
      <c r="BM6" s="7"/>
      <c r="BN6" s="7"/>
      <c r="BO6" s="7"/>
      <c r="BP6" s="7"/>
      <c r="BQ6" s="7"/>
      <c r="BR6" s="7"/>
      <c r="BS6" s="7"/>
      <c r="BT6" s="7"/>
      <c r="BU6" s="7"/>
      <c r="BV6" s="7"/>
      <c r="BW6" s="7"/>
      <c r="BX6" s="7"/>
      <c r="BY6" s="7"/>
      <c r="BZ6" s="7"/>
      <c r="CA6" s="7"/>
      <c r="CB6" s="7"/>
      <c r="CC6" s="9"/>
    </row>
    <row r="7" spans="2:81" ht="15" customHeight="1" x14ac:dyDescent="0.35">
      <c r="B7" s="6"/>
      <c r="C7" s="7"/>
      <c r="D7" s="7"/>
      <c r="E7" s="7"/>
      <c r="F7" s="7"/>
      <c r="G7" s="7"/>
      <c r="H7" s="7"/>
      <c r="I7" s="7"/>
      <c r="J7" s="7"/>
      <c r="K7" s="7"/>
      <c r="L7" s="7"/>
      <c r="M7" s="7"/>
      <c r="N7" s="7"/>
      <c r="O7" s="7"/>
      <c r="P7" s="7"/>
      <c r="Q7" s="7"/>
      <c r="R7" s="7"/>
      <c r="S7" s="7"/>
      <c r="T7" s="7"/>
      <c r="U7" s="7"/>
      <c r="V7" s="37"/>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9"/>
      <c r="BL7" s="7"/>
      <c r="BM7" s="7"/>
      <c r="BN7" s="7"/>
      <c r="BO7" s="7"/>
      <c r="BP7" s="7"/>
      <c r="BQ7" s="7"/>
      <c r="BR7" s="7"/>
      <c r="BS7" s="7"/>
      <c r="BT7" s="7"/>
      <c r="BU7" s="7"/>
      <c r="BV7" s="7"/>
      <c r="BW7" s="7"/>
      <c r="BX7" s="7"/>
      <c r="BY7" s="7"/>
      <c r="BZ7" s="7"/>
      <c r="CA7" s="7"/>
      <c r="CB7" s="7"/>
      <c r="CC7" s="9"/>
    </row>
    <row r="8" spans="2:81" ht="15" customHeight="1" x14ac:dyDescent="0.35">
      <c r="B8" s="6"/>
      <c r="C8" s="7"/>
      <c r="D8" s="7"/>
      <c r="E8" s="7"/>
      <c r="F8" s="7"/>
      <c r="G8" s="7"/>
      <c r="H8" s="7"/>
      <c r="I8" s="7"/>
      <c r="J8" s="7"/>
      <c r="K8" s="7"/>
      <c r="L8" s="7"/>
      <c r="M8" s="7"/>
      <c r="N8" s="7"/>
      <c r="O8" s="7"/>
      <c r="P8" s="7"/>
      <c r="Q8" s="7"/>
      <c r="R8" s="7"/>
      <c r="S8" s="7"/>
      <c r="T8" s="7"/>
      <c r="U8" s="7"/>
      <c r="V8" s="37"/>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9"/>
      <c r="BL8" s="7"/>
      <c r="BM8" s="7"/>
      <c r="BN8" s="7"/>
      <c r="BO8" s="7"/>
      <c r="BP8" s="7"/>
      <c r="BQ8" s="7"/>
      <c r="BR8" s="7"/>
      <c r="BS8" s="7"/>
      <c r="BT8" s="7"/>
      <c r="BU8" s="7"/>
      <c r="BV8" s="7"/>
      <c r="BW8" s="7"/>
      <c r="BX8" s="7"/>
      <c r="BY8" s="7"/>
      <c r="BZ8" s="7"/>
      <c r="CA8" s="7"/>
      <c r="CB8" s="7"/>
      <c r="CC8" s="9"/>
    </row>
    <row r="9" spans="2:81" ht="15" customHeight="1" x14ac:dyDescent="0.35">
      <c r="B9" s="6"/>
      <c r="C9" s="7"/>
      <c r="D9" s="7"/>
      <c r="E9" s="7"/>
      <c r="F9" s="7"/>
      <c r="G9" s="7"/>
      <c r="H9" s="7"/>
      <c r="I9" s="7"/>
      <c r="J9" s="7"/>
      <c r="K9" s="7"/>
      <c r="L9" s="7"/>
      <c r="M9" s="7"/>
      <c r="N9" s="7"/>
      <c r="O9" s="7"/>
      <c r="P9" s="7"/>
      <c r="Q9" s="7"/>
      <c r="R9" s="7"/>
      <c r="S9" s="7"/>
      <c r="T9" s="7"/>
      <c r="U9" s="7"/>
      <c r="V9" s="37"/>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9"/>
      <c r="BL9" s="7"/>
      <c r="BM9" s="7"/>
      <c r="BN9" s="7"/>
      <c r="BO9" s="7"/>
      <c r="BP9" s="7"/>
      <c r="BQ9" s="7"/>
      <c r="BR9" s="7"/>
      <c r="BS9" s="7"/>
      <c r="BT9" s="7"/>
      <c r="BU9" s="7"/>
      <c r="BV9" s="7"/>
      <c r="BW9" s="7"/>
      <c r="BX9" s="7"/>
      <c r="BY9" s="7"/>
      <c r="BZ9" s="7"/>
      <c r="CA9" s="7"/>
      <c r="CB9" s="7"/>
      <c r="CC9" s="9"/>
    </row>
    <row r="10" spans="2:81" ht="15" customHeight="1" x14ac:dyDescent="0.35">
      <c r="B10" s="6"/>
      <c r="C10" s="7"/>
      <c r="D10" s="7"/>
      <c r="E10" s="7"/>
      <c r="F10" s="7"/>
      <c r="G10" s="7"/>
      <c r="H10" s="7"/>
      <c r="I10" s="7"/>
      <c r="J10" s="7"/>
      <c r="K10" s="7"/>
      <c r="L10" s="7"/>
      <c r="M10" s="7"/>
      <c r="N10" s="7"/>
      <c r="O10" s="7"/>
      <c r="P10" s="7"/>
      <c r="Q10" s="7"/>
      <c r="R10" s="7"/>
      <c r="S10" s="7"/>
      <c r="T10" s="7"/>
      <c r="U10" s="7"/>
      <c r="V10" s="40" t="s">
        <v>0</v>
      </c>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2"/>
      <c r="BL10" s="7"/>
      <c r="BM10" s="7"/>
      <c r="BN10" s="7"/>
      <c r="BO10" s="7"/>
      <c r="BP10" s="7"/>
      <c r="BQ10" s="7"/>
      <c r="BR10" s="7"/>
      <c r="BS10" s="7"/>
      <c r="BT10" s="7"/>
      <c r="BU10" s="7"/>
      <c r="BV10" s="7"/>
      <c r="BW10" s="7"/>
      <c r="BX10" s="7"/>
      <c r="BY10" s="7"/>
      <c r="BZ10" s="7"/>
      <c r="CA10" s="7"/>
      <c r="CB10" s="7"/>
      <c r="CC10" s="9"/>
    </row>
    <row r="11" spans="2:81" ht="15" customHeight="1" x14ac:dyDescent="0.35">
      <c r="B11" s="6"/>
      <c r="C11" s="7"/>
      <c r="D11" s="7"/>
      <c r="E11" s="7"/>
      <c r="F11" s="7"/>
      <c r="G11" s="7"/>
      <c r="H11" s="7"/>
      <c r="I11" s="7"/>
      <c r="J11" s="7"/>
      <c r="K11" s="7"/>
      <c r="L11" s="7"/>
      <c r="M11" s="7"/>
      <c r="N11" s="7"/>
      <c r="O11" s="7"/>
      <c r="P11" s="7"/>
      <c r="Q11" s="7"/>
      <c r="R11" s="7"/>
      <c r="S11" s="7"/>
      <c r="T11" s="7"/>
      <c r="U11" s="7"/>
      <c r="V11" s="40"/>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2"/>
      <c r="BL11" s="7"/>
      <c r="BM11" s="7"/>
      <c r="BN11" s="7"/>
      <c r="BO11" s="7"/>
      <c r="BP11" s="7"/>
      <c r="BQ11" s="7"/>
      <c r="BR11" s="7"/>
      <c r="BS11" s="7"/>
      <c r="BT11" s="7"/>
      <c r="BU11" s="7"/>
      <c r="BV11" s="7"/>
      <c r="BW11" s="7"/>
      <c r="BX11" s="7"/>
      <c r="BY11" s="7"/>
      <c r="BZ11" s="7"/>
      <c r="CA11" s="7"/>
      <c r="CB11" s="7"/>
      <c r="CC11" s="9"/>
    </row>
    <row r="12" spans="2:81" ht="15" customHeight="1" thickBot="1" x14ac:dyDescent="0.4">
      <c r="B12" s="6"/>
      <c r="C12" s="7"/>
      <c r="D12" s="7"/>
      <c r="E12" s="7"/>
      <c r="F12" s="7"/>
      <c r="G12" s="7"/>
      <c r="H12" s="7"/>
      <c r="I12" s="7"/>
      <c r="J12" s="7"/>
      <c r="K12" s="7"/>
      <c r="L12" s="7"/>
      <c r="M12" s="7"/>
      <c r="N12" s="7"/>
      <c r="O12" s="7"/>
      <c r="P12" s="7"/>
      <c r="Q12" s="7"/>
      <c r="R12" s="7"/>
      <c r="S12" s="7"/>
      <c r="T12" s="7"/>
      <c r="U12" s="7"/>
      <c r="V12" s="43"/>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5"/>
      <c r="BL12" s="7"/>
      <c r="BM12" s="7"/>
      <c r="BN12" s="7"/>
      <c r="BO12" s="7"/>
      <c r="BP12" s="7"/>
      <c r="BQ12" s="7"/>
      <c r="BR12" s="7"/>
      <c r="BS12" s="7"/>
      <c r="BT12" s="7"/>
      <c r="BU12" s="7"/>
      <c r="BV12" s="7"/>
      <c r="BW12" s="7"/>
      <c r="BX12" s="7"/>
      <c r="BY12" s="7"/>
      <c r="BZ12" s="7"/>
      <c r="CA12" s="7"/>
      <c r="CB12" s="7"/>
      <c r="CC12" s="9"/>
    </row>
    <row r="13" spans="2:81" ht="15" customHeight="1" x14ac:dyDescent="0.35">
      <c r="B13" s="6"/>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9"/>
    </row>
    <row r="14" spans="2:81" ht="15" customHeight="1" x14ac:dyDescent="0.35">
      <c r="B14" s="6"/>
      <c r="C14" s="7"/>
      <c r="D14" s="7"/>
      <c r="E14" s="7"/>
      <c r="F14" s="7"/>
      <c r="G14" s="7"/>
      <c r="H14" s="7"/>
      <c r="I14" s="7"/>
      <c r="J14" s="7"/>
      <c r="K14" s="7"/>
      <c r="L14" s="7"/>
      <c r="M14" s="7"/>
      <c r="N14" s="7"/>
      <c r="O14" s="7"/>
      <c r="P14" s="7"/>
      <c r="Q14" s="7"/>
      <c r="R14" s="7"/>
      <c r="S14" s="7"/>
      <c r="T14" s="7"/>
      <c r="U14" s="7"/>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7"/>
      <c r="BM14" s="7"/>
      <c r="BN14" s="7"/>
      <c r="BO14" s="7"/>
      <c r="BP14" s="7"/>
      <c r="BQ14" s="7"/>
      <c r="BR14" s="7"/>
      <c r="BS14" s="7"/>
      <c r="BT14" s="7"/>
      <c r="BU14" s="7"/>
      <c r="BV14" s="7"/>
      <c r="BW14" s="7"/>
      <c r="BX14" s="7"/>
      <c r="BY14" s="7"/>
      <c r="BZ14" s="7"/>
      <c r="CA14" s="7"/>
      <c r="CB14" s="7"/>
      <c r="CC14" s="9"/>
    </row>
    <row r="15" spans="2:81" ht="15" customHeight="1" x14ac:dyDescent="0.35">
      <c r="B15" s="6"/>
      <c r="C15" s="7"/>
      <c r="D15" s="7"/>
      <c r="E15" s="7"/>
      <c r="F15" s="7"/>
      <c r="G15" s="7"/>
      <c r="H15" s="7"/>
      <c r="I15" s="7"/>
      <c r="J15" s="7"/>
      <c r="K15" s="7"/>
      <c r="L15" s="7"/>
      <c r="M15" s="7"/>
      <c r="N15" s="7"/>
      <c r="O15" s="7"/>
      <c r="P15" s="7"/>
      <c r="Q15" s="7"/>
      <c r="R15" s="7"/>
      <c r="S15" s="7"/>
      <c r="T15" s="7"/>
      <c r="U15" s="7"/>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7"/>
      <c r="BM15" s="7"/>
      <c r="BN15" s="7"/>
      <c r="BO15" s="7"/>
      <c r="BP15" s="7"/>
      <c r="BQ15" s="7"/>
      <c r="BR15" s="7"/>
      <c r="BS15" s="7"/>
      <c r="BT15" s="7"/>
      <c r="BU15" s="7"/>
      <c r="BV15" s="7"/>
      <c r="BW15" s="7"/>
      <c r="BX15" s="7"/>
      <c r="BY15" s="7"/>
      <c r="BZ15" s="7"/>
      <c r="CA15" s="7"/>
      <c r="CB15" s="7"/>
      <c r="CC15" s="9"/>
    </row>
    <row r="16" spans="2:81" ht="15" customHeight="1" x14ac:dyDescent="0.35">
      <c r="B16" s="6"/>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9"/>
    </row>
    <row r="17" spans="2:81" ht="15" customHeight="1" x14ac:dyDescent="0.35">
      <c r="B17" s="31" t="s">
        <v>214</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3"/>
    </row>
    <row r="18" spans="2:81" ht="15" customHeight="1" x14ac:dyDescent="0.35">
      <c r="B18" s="6"/>
      <c r="C18" s="7"/>
      <c r="D18" s="7"/>
      <c r="E18" s="7"/>
      <c r="F18" s="11"/>
      <c r="G18" s="11"/>
      <c r="H18" s="11"/>
      <c r="I18" s="11"/>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9"/>
    </row>
    <row r="19" spans="2:81" ht="15" customHeight="1" x14ac:dyDescent="0.35">
      <c r="B19" s="46">
        <v>45435</v>
      </c>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3"/>
    </row>
    <row r="20" spans="2:81" ht="15" customHeight="1" x14ac:dyDescent="0.35">
      <c r="B20" s="6"/>
      <c r="C20" s="7"/>
      <c r="D20" s="7"/>
      <c r="E20" s="7"/>
      <c r="F20" s="11"/>
      <c r="G20" s="11"/>
      <c r="H20" s="11"/>
      <c r="I20" s="11"/>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9"/>
    </row>
    <row r="21" spans="2:81" ht="15" customHeight="1" x14ac:dyDescent="0.35">
      <c r="B21" s="31" t="s">
        <v>1</v>
      </c>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3"/>
    </row>
    <row r="22" spans="2:81" ht="15" customHeight="1" x14ac:dyDescent="0.35">
      <c r="B22" s="6"/>
      <c r="C22" s="7"/>
      <c r="D22" s="7"/>
      <c r="E22" s="7"/>
      <c r="F22" s="11"/>
      <c r="G22" s="11"/>
      <c r="H22" s="11"/>
      <c r="I22" s="11"/>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9"/>
    </row>
    <row r="23" spans="2:81" ht="15" customHeight="1" x14ac:dyDescent="0.35">
      <c r="B23" s="31"/>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3"/>
    </row>
    <row r="24" spans="2:81" ht="15" customHeight="1" x14ac:dyDescent="0.35">
      <c r="B24" s="6"/>
      <c r="C24" s="7"/>
      <c r="D24" s="7"/>
      <c r="E24" s="7"/>
      <c r="F24" s="11"/>
      <c r="G24" s="11"/>
      <c r="H24" s="11"/>
      <c r="I24" s="11"/>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9"/>
    </row>
    <row r="25" spans="2:81" ht="15" customHeight="1" x14ac:dyDescent="0.35">
      <c r="B25" s="12"/>
      <c r="C25" s="11"/>
      <c r="D25" s="11"/>
      <c r="E25" s="11"/>
      <c r="F25" s="11"/>
      <c r="G25" s="11"/>
      <c r="H25" s="11"/>
      <c r="I25" s="11"/>
      <c r="J25" s="11"/>
      <c r="K25" s="11"/>
      <c r="L25" s="11"/>
      <c r="M25" s="11"/>
      <c r="N25" s="11"/>
      <c r="O25" s="11"/>
      <c r="P25" s="11"/>
      <c r="Q25" s="11"/>
      <c r="R25" s="11"/>
      <c r="S25" s="11"/>
      <c r="T25" s="11"/>
      <c r="U25" s="11"/>
      <c r="V25" s="11"/>
      <c r="W25" s="11"/>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9"/>
    </row>
    <row r="26" spans="2:81" ht="15" customHeight="1" x14ac:dyDescent="0.35">
      <c r="B26" s="12"/>
      <c r="C26" s="11"/>
      <c r="D26" s="11"/>
      <c r="E26" s="11"/>
      <c r="F26" s="11"/>
      <c r="G26" s="11"/>
      <c r="H26" s="11"/>
      <c r="I26" s="11"/>
      <c r="J26" s="11"/>
      <c r="K26" s="11"/>
      <c r="L26" s="11"/>
      <c r="M26" s="11"/>
      <c r="N26" s="11"/>
      <c r="O26" s="11"/>
      <c r="P26" s="11"/>
      <c r="Q26" s="11"/>
      <c r="R26" s="11"/>
      <c r="S26" s="11"/>
      <c r="T26" s="11"/>
      <c r="U26" s="11"/>
      <c r="V26" s="11"/>
      <c r="W26" s="11"/>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9"/>
    </row>
    <row r="27" spans="2:81" ht="15" customHeight="1" x14ac:dyDescent="0.35">
      <c r="B27" s="12"/>
      <c r="C27" s="11"/>
      <c r="D27" s="11"/>
      <c r="E27" s="11"/>
      <c r="F27" s="11"/>
      <c r="G27" s="11"/>
      <c r="H27" s="11"/>
      <c r="I27" s="11"/>
      <c r="J27" s="11"/>
      <c r="K27" s="11"/>
      <c r="L27" s="11"/>
      <c r="M27" s="11"/>
      <c r="N27" s="11"/>
      <c r="O27" s="11"/>
      <c r="P27" s="11"/>
      <c r="Q27" s="11"/>
      <c r="R27" s="11"/>
      <c r="S27" s="11"/>
      <c r="T27" s="11"/>
      <c r="U27" s="11"/>
      <c r="V27" s="11"/>
      <c r="W27" s="11"/>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9"/>
    </row>
    <row r="28" spans="2:81" ht="15" customHeight="1" x14ac:dyDescent="0.35">
      <c r="B28" s="12"/>
      <c r="C28" s="11"/>
      <c r="D28" s="11"/>
      <c r="E28" s="11"/>
      <c r="F28" s="11"/>
      <c r="G28" s="11"/>
      <c r="H28" s="11"/>
      <c r="I28" s="11"/>
      <c r="J28" s="11"/>
      <c r="K28" s="11"/>
      <c r="L28" s="11"/>
      <c r="M28" s="11"/>
      <c r="N28" s="11"/>
      <c r="O28" s="11"/>
      <c r="P28" s="11"/>
      <c r="Q28" s="11"/>
      <c r="R28" s="11"/>
      <c r="S28" s="11"/>
      <c r="T28" s="11"/>
      <c r="U28" s="11"/>
      <c r="V28" s="11"/>
      <c r="W28" s="11"/>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9"/>
    </row>
    <row r="29" spans="2:81" ht="15" customHeight="1" x14ac:dyDescent="0.35">
      <c r="B29" s="12"/>
      <c r="C29" s="11"/>
      <c r="D29" s="11"/>
      <c r="E29" s="11"/>
      <c r="F29" s="11"/>
      <c r="G29" s="11"/>
      <c r="H29" s="11"/>
      <c r="I29" s="11"/>
      <c r="J29" s="11"/>
      <c r="K29" s="11"/>
      <c r="L29" s="11"/>
      <c r="M29" s="11"/>
      <c r="N29" s="11"/>
      <c r="O29" s="11"/>
      <c r="P29" s="11"/>
      <c r="Q29" s="11"/>
      <c r="R29" s="11"/>
      <c r="S29" s="11"/>
      <c r="T29" s="11"/>
      <c r="U29" s="11"/>
      <c r="V29" s="11"/>
      <c r="W29" s="11"/>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9"/>
    </row>
    <row r="30" spans="2:81" ht="15" customHeight="1" x14ac:dyDescent="0.35">
      <c r="B30" s="12"/>
      <c r="C30" s="11"/>
      <c r="D30" s="11"/>
      <c r="E30" s="11"/>
      <c r="F30" s="11"/>
      <c r="G30" s="11"/>
      <c r="H30" s="11"/>
      <c r="I30" s="11"/>
      <c r="J30" s="11"/>
      <c r="K30" s="11"/>
      <c r="L30" s="11"/>
      <c r="M30" s="11"/>
      <c r="N30" s="11"/>
      <c r="O30" s="11"/>
      <c r="P30" s="11"/>
      <c r="Q30" s="11"/>
      <c r="R30" s="11"/>
      <c r="S30" s="11"/>
      <c r="T30" s="11"/>
      <c r="U30" s="11"/>
      <c r="V30" s="11"/>
      <c r="W30" s="11"/>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9"/>
    </row>
    <row r="31" spans="2:81" ht="15" customHeight="1" x14ac:dyDescent="0.35">
      <c r="B31" s="12"/>
      <c r="C31" s="11"/>
      <c r="D31" s="11"/>
      <c r="E31" s="11"/>
      <c r="F31" s="11"/>
      <c r="G31" s="11"/>
      <c r="H31" s="11"/>
      <c r="I31" s="11"/>
      <c r="J31" s="11"/>
      <c r="K31" s="11"/>
      <c r="L31" s="11"/>
      <c r="M31" s="11"/>
      <c r="N31" s="11"/>
      <c r="O31" s="11"/>
      <c r="P31" s="11"/>
      <c r="Q31" s="11"/>
      <c r="R31" s="11"/>
      <c r="S31" s="11"/>
      <c r="T31" s="11"/>
      <c r="U31" s="11"/>
      <c r="V31" s="11"/>
      <c r="W31" s="11"/>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9"/>
    </row>
    <row r="32" spans="2:81" ht="15" customHeight="1" x14ac:dyDescent="0.35">
      <c r="B32" s="12"/>
      <c r="C32" s="11"/>
      <c r="D32" s="11"/>
      <c r="E32" s="11"/>
      <c r="F32" s="11"/>
      <c r="G32" s="11"/>
      <c r="H32" s="11"/>
      <c r="I32" s="11"/>
      <c r="J32" s="11"/>
      <c r="K32" s="11"/>
      <c r="L32" s="11"/>
      <c r="M32" s="11"/>
      <c r="N32" s="11"/>
      <c r="O32" s="11"/>
      <c r="P32" s="11"/>
      <c r="Q32" s="11"/>
      <c r="R32" s="11"/>
      <c r="S32" s="11"/>
      <c r="T32" s="11"/>
      <c r="U32" s="11"/>
      <c r="V32" s="11"/>
      <c r="W32" s="11"/>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9"/>
    </row>
    <row r="33" spans="2:81" ht="15" customHeight="1" x14ac:dyDescent="0.35">
      <c r="B33" s="12"/>
      <c r="C33" s="11"/>
      <c r="D33" s="11"/>
      <c r="E33" s="11"/>
      <c r="F33" s="11"/>
      <c r="G33" s="11"/>
      <c r="H33" s="11"/>
      <c r="I33" s="11"/>
      <c r="J33" s="11"/>
      <c r="K33" s="11"/>
      <c r="L33" s="11"/>
      <c r="M33" s="11"/>
      <c r="N33" s="11"/>
      <c r="O33" s="11"/>
      <c r="P33" s="11"/>
      <c r="Q33" s="11"/>
      <c r="R33" s="11"/>
      <c r="S33" s="11"/>
      <c r="T33" s="11"/>
      <c r="U33" s="11"/>
      <c r="V33" s="11"/>
      <c r="W33" s="11"/>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9"/>
    </row>
    <row r="34" spans="2:81" ht="15" customHeight="1" x14ac:dyDescent="0.35">
      <c r="B34" s="12"/>
      <c r="C34" s="11"/>
      <c r="D34" s="11"/>
      <c r="E34" s="11"/>
      <c r="F34" s="11"/>
      <c r="G34" s="11"/>
      <c r="H34" s="11"/>
      <c r="I34" s="11"/>
      <c r="J34" s="11"/>
      <c r="K34" s="11"/>
      <c r="L34" s="11"/>
      <c r="M34" s="11"/>
      <c r="N34" s="11"/>
      <c r="O34" s="11"/>
      <c r="P34" s="11"/>
      <c r="Q34" s="11"/>
      <c r="R34" s="11"/>
      <c r="S34" s="11"/>
      <c r="T34" s="11"/>
      <c r="U34" s="11"/>
      <c r="V34" s="11"/>
      <c r="W34" s="11"/>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9"/>
    </row>
    <row r="35" spans="2:81" ht="15" customHeight="1" x14ac:dyDescent="0.35">
      <c r="B35" s="6"/>
      <c r="C35" s="7"/>
      <c r="D35" s="7"/>
      <c r="E35" s="7"/>
      <c r="F35" s="13"/>
      <c r="G35" s="13"/>
      <c r="H35" s="13"/>
      <c r="I35" s="13"/>
      <c r="J35" s="13"/>
      <c r="K35" s="13"/>
      <c r="L35" s="13"/>
      <c r="M35" s="13"/>
      <c r="N35" s="13"/>
      <c r="O35" s="13"/>
      <c r="P35" s="13"/>
      <c r="Q35" s="13"/>
      <c r="R35" s="13"/>
      <c r="S35" s="13"/>
      <c r="T35" s="13"/>
      <c r="U35" s="13"/>
      <c r="V35" s="13"/>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7"/>
      <c r="BL35" s="7"/>
      <c r="BM35" s="7"/>
      <c r="BN35" s="7"/>
      <c r="BO35" s="7"/>
      <c r="BP35" s="7"/>
      <c r="BQ35" s="7"/>
      <c r="BR35" s="7"/>
      <c r="BS35" s="7"/>
      <c r="BT35" s="7"/>
      <c r="BU35" s="7"/>
      <c r="BV35" s="7"/>
      <c r="BW35" s="7"/>
      <c r="BX35" s="7"/>
      <c r="BY35" s="7"/>
      <c r="BZ35" s="7"/>
      <c r="CA35" s="7"/>
      <c r="CB35" s="7"/>
      <c r="CC35" s="9"/>
    </row>
    <row r="36" spans="2:81" ht="15" customHeight="1" thickBot="1" x14ac:dyDescent="0.4">
      <c r="B36" s="15"/>
      <c r="C36" s="16"/>
      <c r="D36" s="16"/>
      <c r="E36" s="16"/>
      <c r="F36" s="17"/>
      <c r="G36" s="17"/>
      <c r="H36" s="17"/>
      <c r="I36" s="17"/>
      <c r="J36" s="17"/>
      <c r="K36" s="17"/>
      <c r="L36" s="17"/>
      <c r="M36" s="17"/>
      <c r="N36" s="17"/>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9"/>
      <c r="AR36" s="19"/>
      <c r="AS36" s="19"/>
      <c r="AT36" s="19"/>
      <c r="AU36" s="19"/>
      <c r="AV36" s="19"/>
      <c r="AW36" s="19"/>
      <c r="AX36" s="19"/>
      <c r="AY36" s="19"/>
      <c r="AZ36" s="19"/>
      <c r="BA36" s="19"/>
      <c r="BB36" s="19"/>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20"/>
    </row>
  </sheetData>
  <mergeCells count="6">
    <mergeCell ref="B23:CC23"/>
    <mergeCell ref="V6:BK9"/>
    <mergeCell ref="V10:BK12"/>
    <mergeCell ref="B17:CC17"/>
    <mergeCell ref="B19:CC19"/>
    <mergeCell ref="B21:CC2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2DDC-30B7-41FE-8400-75AC68183F70}">
  <dimension ref="B2:BG12"/>
  <sheetViews>
    <sheetView showGridLines="0" zoomScaleNormal="100" workbookViewId="0"/>
  </sheetViews>
  <sheetFormatPr defaultColWidth="2.2109375" defaultRowHeight="15" customHeight="1" x14ac:dyDescent="0.35"/>
  <sheetData>
    <row r="2" spans="2:59" ht="15" customHeight="1" x14ac:dyDescent="0.35">
      <c r="B2" s="48" t="s">
        <v>2</v>
      </c>
      <c r="C2" s="48"/>
      <c r="D2" s="48"/>
      <c r="E2" s="48"/>
      <c r="F2" s="48"/>
      <c r="G2" s="50" t="str">
        <f>表紙!V6</f>
        <v>会計システム刷新プロジェクト</v>
      </c>
      <c r="H2" s="50"/>
      <c r="I2" s="50"/>
      <c r="J2" s="50"/>
      <c r="K2" s="50"/>
      <c r="L2" s="50"/>
      <c r="M2" s="50"/>
      <c r="N2" s="50"/>
      <c r="O2" s="50"/>
      <c r="P2" s="50"/>
      <c r="Q2" s="50"/>
      <c r="R2" s="50"/>
      <c r="S2" s="50"/>
      <c r="T2" s="50"/>
      <c r="U2" s="51" t="s">
        <v>3</v>
      </c>
      <c r="V2" s="52"/>
      <c r="W2" s="52"/>
      <c r="X2" s="52"/>
      <c r="Y2" s="52"/>
      <c r="Z2" s="52"/>
      <c r="AA2" s="52"/>
      <c r="AB2" s="52"/>
      <c r="AC2" s="52"/>
      <c r="AD2" s="52"/>
      <c r="AE2" s="52"/>
      <c r="AF2" s="52"/>
      <c r="AG2" s="52"/>
      <c r="AH2" s="52"/>
      <c r="AI2" s="52"/>
      <c r="AJ2" s="52"/>
      <c r="AK2" s="52"/>
      <c r="AL2" s="52"/>
      <c r="AM2" s="52"/>
      <c r="AN2" s="52"/>
      <c r="AO2" s="52"/>
      <c r="AP2" s="52"/>
      <c r="AQ2" s="52"/>
      <c r="AR2" s="53"/>
      <c r="AS2" s="54" t="s">
        <v>4</v>
      </c>
      <c r="AT2" s="54"/>
      <c r="AU2" s="54"/>
      <c r="AV2" s="54"/>
      <c r="AW2" s="54"/>
      <c r="AX2" s="54"/>
      <c r="AY2" s="54"/>
      <c r="AZ2" s="54"/>
      <c r="BA2" s="54" t="s">
        <v>5</v>
      </c>
      <c r="BB2" s="54"/>
      <c r="BC2" s="54"/>
      <c r="BD2" s="54"/>
      <c r="BE2" s="54"/>
      <c r="BF2" s="54"/>
      <c r="BG2" s="54"/>
    </row>
    <row r="3" spans="2:59" ht="15" customHeight="1" x14ac:dyDescent="0.35">
      <c r="B3" s="48" t="s">
        <v>6</v>
      </c>
      <c r="C3" s="48"/>
      <c r="D3" s="48"/>
      <c r="E3" s="48"/>
      <c r="F3" s="48"/>
      <c r="G3" s="50" t="str">
        <f>表紙!V10</f>
        <v>非機能要件定義書_データ容量・パフォーマンス</v>
      </c>
      <c r="H3" s="50"/>
      <c r="I3" s="50"/>
      <c r="J3" s="50"/>
      <c r="K3" s="50"/>
      <c r="L3" s="50"/>
      <c r="M3" s="50"/>
      <c r="N3" s="50"/>
      <c r="O3" s="50"/>
      <c r="P3" s="50"/>
      <c r="Q3" s="50"/>
      <c r="R3" s="50"/>
      <c r="S3" s="50"/>
      <c r="T3" s="50"/>
      <c r="U3" s="56" t="s">
        <v>7</v>
      </c>
      <c r="V3" s="57"/>
      <c r="W3" s="57"/>
      <c r="X3" s="57"/>
      <c r="Y3" s="57"/>
      <c r="Z3" s="57"/>
      <c r="AA3" s="57"/>
      <c r="AB3" s="57"/>
      <c r="AC3" s="57"/>
      <c r="AD3" s="57"/>
      <c r="AE3" s="57"/>
      <c r="AF3" s="57"/>
      <c r="AG3" s="57"/>
      <c r="AH3" s="57"/>
      <c r="AI3" s="57"/>
      <c r="AJ3" s="57"/>
      <c r="AK3" s="57"/>
      <c r="AL3" s="57"/>
      <c r="AM3" s="57"/>
      <c r="AN3" s="57"/>
      <c r="AO3" s="57"/>
      <c r="AP3" s="57"/>
      <c r="AQ3" s="57"/>
      <c r="AR3" s="58"/>
      <c r="AS3" s="48" t="s">
        <v>8</v>
      </c>
      <c r="AT3" s="48"/>
      <c r="AU3" s="49">
        <v>45369</v>
      </c>
      <c r="AV3" s="49"/>
      <c r="AW3" s="49"/>
      <c r="AX3" s="49"/>
      <c r="AY3" s="49"/>
      <c r="AZ3" s="49"/>
      <c r="BA3" s="47" t="s">
        <v>202</v>
      </c>
      <c r="BB3" s="47"/>
      <c r="BC3" s="47"/>
      <c r="BD3" s="47"/>
      <c r="BE3" s="47"/>
      <c r="BF3" s="47"/>
      <c r="BG3" s="47"/>
    </row>
    <row r="4" spans="2:59" ht="15" customHeight="1" x14ac:dyDescent="0.35">
      <c r="B4" s="48"/>
      <c r="C4" s="48"/>
      <c r="D4" s="48"/>
      <c r="E4" s="48"/>
      <c r="F4" s="48"/>
      <c r="G4" s="55"/>
      <c r="H4" s="55"/>
      <c r="I4" s="55"/>
      <c r="J4" s="55"/>
      <c r="K4" s="55"/>
      <c r="L4" s="55"/>
      <c r="M4" s="55"/>
      <c r="N4" s="55"/>
      <c r="O4" s="55"/>
      <c r="P4" s="55"/>
      <c r="Q4" s="55"/>
      <c r="R4" s="55"/>
      <c r="S4" s="55"/>
      <c r="T4" s="55"/>
      <c r="U4" s="59"/>
      <c r="V4" s="60"/>
      <c r="W4" s="60"/>
      <c r="X4" s="60"/>
      <c r="Y4" s="60"/>
      <c r="Z4" s="60"/>
      <c r="AA4" s="60"/>
      <c r="AB4" s="60"/>
      <c r="AC4" s="60"/>
      <c r="AD4" s="60"/>
      <c r="AE4" s="60"/>
      <c r="AF4" s="60"/>
      <c r="AG4" s="60"/>
      <c r="AH4" s="60"/>
      <c r="AI4" s="60"/>
      <c r="AJ4" s="60"/>
      <c r="AK4" s="60"/>
      <c r="AL4" s="60"/>
      <c r="AM4" s="60"/>
      <c r="AN4" s="60"/>
      <c r="AO4" s="60"/>
      <c r="AP4" s="60"/>
      <c r="AQ4" s="60"/>
      <c r="AR4" s="61"/>
      <c r="AS4" s="48" t="s">
        <v>9</v>
      </c>
      <c r="AT4" s="48"/>
      <c r="AU4" s="49"/>
      <c r="AV4" s="49"/>
      <c r="AW4" s="49"/>
      <c r="AX4" s="49"/>
      <c r="AY4" s="49"/>
      <c r="AZ4" s="49"/>
      <c r="BA4" s="47"/>
      <c r="BB4" s="47"/>
      <c r="BC4" s="47"/>
      <c r="BD4" s="47"/>
      <c r="BE4" s="47"/>
      <c r="BF4" s="47"/>
      <c r="BG4" s="47"/>
    </row>
    <row r="6" spans="2:59" ht="15" customHeight="1" x14ac:dyDescent="0.35">
      <c r="B6" s="21" t="s">
        <v>10</v>
      </c>
      <c r="C6" s="21" t="s">
        <v>207</v>
      </c>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row>
    <row r="7" spans="2:59" ht="15" customHeight="1" x14ac:dyDescent="0.3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ht="15" customHeight="1" x14ac:dyDescent="0.35">
      <c r="C8" t="s">
        <v>11</v>
      </c>
    </row>
    <row r="9" spans="2:59" ht="15" customHeight="1" x14ac:dyDescent="0.35">
      <c r="C9" t="s">
        <v>12</v>
      </c>
    </row>
    <row r="11" spans="2:59" ht="15" customHeight="1" x14ac:dyDescent="0.35">
      <c r="C11" t="s">
        <v>13</v>
      </c>
    </row>
    <row r="12" spans="2:59" ht="15" customHeight="1" x14ac:dyDescent="0.35">
      <c r="C12" s="29"/>
      <c r="D12" s="29" t="s">
        <v>197</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2440-C087-4F02-B98B-BFFFF876E57A}">
  <dimension ref="A2:CE56"/>
  <sheetViews>
    <sheetView showGridLines="0" zoomScaleNormal="100" workbookViewId="0"/>
  </sheetViews>
  <sheetFormatPr defaultColWidth="2.2109375" defaultRowHeight="15" customHeight="1" x14ac:dyDescent="0.35"/>
  <cols>
    <col min="1" max="16384" width="2.2109375" style="21"/>
  </cols>
  <sheetData>
    <row r="2" spans="2:59" ht="15" customHeight="1" x14ac:dyDescent="0.35">
      <c r="B2" s="67" t="s">
        <v>2</v>
      </c>
      <c r="C2" s="67"/>
      <c r="D2" s="67"/>
      <c r="E2" s="67"/>
      <c r="F2" s="67"/>
      <c r="G2" s="74" t="str">
        <f>表紙!V6</f>
        <v>会計システム刷新プロジェクト</v>
      </c>
      <c r="H2" s="74"/>
      <c r="I2" s="74"/>
      <c r="J2" s="74"/>
      <c r="K2" s="74"/>
      <c r="L2" s="74"/>
      <c r="M2" s="74"/>
      <c r="N2" s="74"/>
      <c r="O2" s="74"/>
      <c r="P2" s="74"/>
      <c r="Q2" s="74"/>
      <c r="R2" s="74"/>
      <c r="S2" s="74"/>
      <c r="T2" s="74"/>
      <c r="U2" s="75" t="s">
        <v>3</v>
      </c>
      <c r="V2" s="76"/>
      <c r="W2" s="76"/>
      <c r="X2" s="76"/>
      <c r="Y2" s="76"/>
      <c r="Z2" s="76"/>
      <c r="AA2" s="76"/>
      <c r="AB2" s="76"/>
      <c r="AC2" s="76"/>
      <c r="AD2" s="76"/>
      <c r="AE2" s="76"/>
      <c r="AF2" s="76"/>
      <c r="AG2" s="76"/>
      <c r="AH2" s="76"/>
      <c r="AI2" s="76"/>
      <c r="AJ2" s="76"/>
      <c r="AK2" s="76"/>
      <c r="AL2" s="76"/>
      <c r="AM2" s="76"/>
      <c r="AN2" s="76"/>
      <c r="AO2" s="76"/>
      <c r="AP2" s="76"/>
      <c r="AQ2" s="76"/>
      <c r="AR2" s="77"/>
      <c r="AS2" s="78" t="s">
        <v>4</v>
      </c>
      <c r="AT2" s="78"/>
      <c r="AU2" s="78"/>
      <c r="AV2" s="78"/>
      <c r="AW2" s="78"/>
      <c r="AX2" s="78"/>
      <c r="AY2" s="78"/>
      <c r="AZ2" s="78"/>
      <c r="BA2" s="78" t="s">
        <v>5</v>
      </c>
      <c r="BB2" s="78"/>
      <c r="BC2" s="78"/>
      <c r="BD2" s="78"/>
      <c r="BE2" s="78"/>
      <c r="BF2" s="78"/>
      <c r="BG2" s="78"/>
    </row>
    <row r="3" spans="2:59" ht="15" customHeight="1" x14ac:dyDescent="0.35">
      <c r="B3" s="67" t="s">
        <v>6</v>
      </c>
      <c r="C3" s="67"/>
      <c r="D3" s="67"/>
      <c r="E3" s="67"/>
      <c r="F3" s="67"/>
      <c r="G3" s="74" t="str">
        <f>表紙!V10</f>
        <v>非機能要件定義書_データ容量・パフォーマンス</v>
      </c>
      <c r="H3" s="74"/>
      <c r="I3" s="74"/>
      <c r="J3" s="74"/>
      <c r="K3" s="74"/>
      <c r="L3" s="74"/>
      <c r="M3" s="74"/>
      <c r="N3" s="74"/>
      <c r="O3" s="74"/>
      <c r="P3" s="74"/>
      <c r="Q3" s="74"/>
      <c r="R3" s="74"/>
      <c r="S3" s="74"/>
      <c r="T3" s="74"/>
      <c r="U3" s="80" t="s">
        <v>7</v>
      </c>
      <c r="V3" s="81"/>
      <c r="W3" s="81"/>
      <c r="X3" s="81"/>
      <c r="Y3" s="81"/>
      <c r="Z3" s="81"/>
      <c r="AA3" s="81"/>
      <c r="AB3" s="81"/>
      <c r="AC3" s="81"/>
      <c r="AD3" s="81"/>
      <c r="AE3" s="81"/>
      <c r="AF3" s="81"/>
      <c r="AG3" s="81"/>
      <c r="AH3" s="81"/>
      <c r="AI3" s="81"/>
      <c r="AJ3" s="81"/>
      <c r="AK3" s="81"/>
      <c r="AL3" s="81"/>
      <c r="AM3" s="81"/>
      <c r="AN3" s="81"/>
      <c r="AO3" s="81"/>
      <c r="AP3" s="81"/>
      <c r="AQ3" s="81"/>
      <c r="AR3" s="82"/>
      <c r="AS3" s="67" t="s">
        <v>8</v>
      </c>
      <c r="AT3" s="67"/>
      <c r="AU3" s="68">
        <v>45379</v>
      </c>
      <c r="AV3" s="68"/>
      <c r="AW3" s="68"/>
      <c r="AX3" s="68"/>
      <c r="AY3" s="68"/>
      <c r="AZ3" s="68"/>
      <c r="BA3" s="66" t="s">
        <v>202</v>
      </c>
      <c r="BB3" s="66"/>
      <c r="BC3" s="66"/>
      <c r="BD3" s="66"/>
      <c r="BE3" s="66"/>
      <c r="BF3" s="66"/>
      <c r="BG3" s="66"/>
    </row>
    <row r="4" spans="2:59" ht="15" customHeight="1" x14ac:dyDescent="0.35">
      <c r="B4" s="67"/>
      <c r="C4" s="67"/>
      <c r="D4" s="67"/>
      <c r="E4" s="67"/>
      <c r="F4" s="67"/>
      <c r="G4" s="79"/>
      <c r="H4" s="79"/>
      <c r="I4" s="79"/>
      <c r="J4" s="79"/>
      <c r="K4" s="79"/>
      <c r="L4" s="79"/>
      <c r="M4" s="79"/>
      <c r="N4" s="79"/>
      <c r="O4" s="79"/>
      <c r="P4" s="79"/>
      <c r="Q4" s="79"/>
      <c r="R4" s="79"/>
      <c r="S4" s="79"/>
      <c r="T4" s="79"/>
      <c r="U4" s="83"/>
      <c r="V4" s="84"/>
      <c r="W4" s="84"/>
      <c r="X4" s="84"/>
      <c r="Y4" s="84"/>
      <c r="Z4" s="84"/>
      <c r="AA4" s="84"/>
      <c r="AB4" s="84"/>
      <c r="AC4" s="84"/>
      <c r="AD4" s="84"/>
      <c r="AE4" s="84"/>
      <c r="AF4" s="84"/>
      <c r="AG4" s="84"/>
      <c r="AH4" s="84"/>
      <c r="AI4" s="84"/>
      <c r="AJ4" s="84"/>
      <c r="AK4" s="84"/>
      <c r="AL4" s="84"/>
      <c r="AM4" s="84"/>
      <c r="AN4" s="84"/>
      <c r="AO4" s="84"/>
      <c r="AP4" s="84"/>
      <c r="AQ4" s="84"/>
      <c r="AR4" s="85"/>
      <c r="AS4" s="67" t="s">
        <v>9</v>
      </c>
      <c r="AT4" s="67"/>
      <c r="AU4" s="68">
        <v>45435</v>
      </c>
      <c r="AV4" s="68"/>
      <c r="AW4" s="68"/>
      <c r="AX4" s="68"/>
      <c r="AY4" s="68"/>
      <c r="AZ4" s="68"/>
      <c r="BA4" s="66" t="s">
        <v>202</v>
      </c>
      <c r="BB4" s="66"/>
      <c r="BC4" s="66"/>
      <c r="BD4" s="66"/>
      <c r="BE4" s="66"/>
      <c r="BF4" s="66"/>
      <c r="BG4" s="66"/>
    </row>
    <row r="6" spans="2:59" ht="15" customHeight="1" x14ac:dyDescent="0.35">
      <c r="B6" s="21" t="s">
        <v>10</v>
      </c>
      <c r="C6" s="21" t="s">
        <v>206</v>
      </c>
    </row>
    <row r="7" spans="2:59" ht="15" customHeight="1" x14ac:dyDescent="0.3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customFormat="1" x14ac:dyDescent="0.35">
      <c r="B8" t="s">
        <v>14</v>
      </c>
    </row>
    <row r="9" spans="2:59" customFormat="1" x14ac:dyDescent="0.35"/>
    <row r="10" spans="2:59" customFormat="1" x14ac:dyDescent="0.35">
      <c r="C10" t="s">
        <v>15</v>
      </c>
    </row>
    <row r="11" spans="2:59" customFormat="1" x14ac:dyDescent="0.35">
      <c r="C11" t="s">
        <v>198</v>
      </c>
    </row>
    <row r="12" spans="2:59" customFormat="1" x14ac:dyDescent="0.35">
      <c r="C12" t="s">
        <v>16</v>
      </c>
    </row>
    <row r="13" spans="2:59" customFormat="1" x14ac:dyDescent="0.35"/>
    <row r="14" spans="2:59" customFormat="1" x14ac:dyDescent="0.35">
      <c r="C14" t="s">
        <v>17</v>
      </c>
    </row>
    <row r="15" spans="2:59" customFormat="1" x14ac:dyDescent="0.35">
      <c r="C15" t="s">
        <v>18</v>
      </c>
    </row>
    <row r="16" spans="2:59" customFormat="1" x14ac:dyDescent="0.35"/>
    <row r="17" spans="1:47" customFormat="1" x14ac:dyDescent="0.35">
      <c r="D17" s="62"/>
      <c r="E17" s="62"/>
      <c r="F17" s="62"/>
      <c r="G17" s="63" t="s">
        <v>19</v>
      </c>
      <c r="H17" s="64"/>
      <c r="I17" s="64"/>
      <c r="J17" s="64"/>
      <c r="K17" s="64"/>
      <c r="L17" s="64"/>
      <c r="M17" s="64"/>
      <c r="N17" s="64"/>
      <c r="O17" s="64"/>
      <c r="P17" s="65"/>
      <c r="Q17" s="63" t="s">
        <v>20</v>
      </c>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5"/>
    </row>
    <row r="18" spans="1:47" customFormat="1" x14ac:dyDescent="0.35">
      <c r="D18" s="69" t="s">
        <v>21</v>
      </c>
      <c r="E18" s="69"/>
      <c r="F18" s="69"/>
      <c r="G18" s="70" t="s">
        <v>22</v>
      </c>
      <c r="H18" s="71" t="s">
        <v>22</v>
      </c>
      <c r="I18" s="71" t="s">
        <v>22</v>
      </c>
      <c r="J18" s="71" t="s">
        <v>22</v>
      </c>
      <c r="K18" s="71" t="s">
        <v>22</v>
      </c>
      <c r="L18" s="71" t="s">
        <v>22</v>
      </c>
      <c r="M18" s="71" t="s">
        <v>22</v>
      </c>
      <c r="N18" s="71" t="s">
        <v>22</v>
      </c>
      <c r="O18" s="71" t="s">
        <v>22</v>
      </c>
      <c r="P18" s="72" t="s">
        <v>22</v>
      </c>
      <c r="Q18" s="73" t="s">
        <v>199</v>
      </c>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row>
    <row r="19" spans="1:47" customFormat="1" x14ac:dyDescent="0.35">
      <c r="D19" s="86" t="s">
        <v>23</v>
      </c>
      <c r="E19" s="87"/>
      <c r="F19" s="88"/>
      <c r="G19" s="70" t="s">
        <v>24</v>
      </c>
      <c r="H19" s="71" t="s">
        <v>24</v>
      </c>
      <c r="I19" s="71" t="s">
        <v>24</v>
      </c>
      <c r="J19" s="71" t="s">
        <v>24</v>
      </c>
      <c r="K19" s="71" t="s">
        <v>24</v>
      </c>
      <c r="L19" s="71" t="s">
        <v>24</v>
      </c>
      <c r="M19" s="71" t="s">
        <v>24</v>
      </c>
      <c r="N19" s="71" t="s">
        <v>24</v>
      </c>
      <c r="O19" s="71" t="s">
        <v>24</v>
      </c>
      <c r="P19" s="72" t="s">
        <v>24</v>
      </c>
      <c r="Q19" s="73" t="s">
        <v>25</v>
      </c>
      <c r="R19" s="73" t="s">
        <v>26</v>
      </c>
      <c r="S19" s="73" t="s">
        <v>26</v>
      </c>
      <c r="T19" s="73" t="s">
        <v>26</v>
      </c>
      <c r="U19" s="73" t="s">
        <v>26</v>
      </c>
      <c r="V19" s="73" t="s">
        <v>26</v>
      </c>
      <c r="W19" s="73" t="s">
        <v>26</v>
      </c>
      <c r="X19" s="73" t="s">
        <v>26</v>
      </c>
      <c r="Y19" s="73" t="s">
        <v>26</v>
      </c>
      <c r="Z19" s="73" t="s">
        <v>26</v>
      </c>
      <c r="AA19" s="73" t="s">
        <v>26</v>
      </c>
      <c r="AB19" s="73" t="s">
        <v>26</v>
      </c>
      <c r="AC19" s="73" t="s">
        <v>26</v>
      </c>
      <c r="AD19" s="73" t="s">
        <v>26</v>
      </c>
      <c r="AE19" s="73" t="s">
        <v>26</v>
      </c>
      <c r="AF19" s="73" t="s">
        <v>26</v>
      </c>
      <c r="AG19" s="73" t="s">
        <v>26</v>
      </c>
      <c r="AH19" s="73" t="s">
        <v>26</v>
      </c>
      <c r="AI19" s="73" t="s">
        <v>26</v>
      </c>
      <c r="AJ19" s="73" t="s">
        <v>26</v>
      </c>
      <c r="AK19" s="73" t="s">
        <v>26</v>
      </c>
      <c r="AL19" s="73" t="s">
        <v>26</v>
      </c>
      <c r="AM19" s="73" t="s">
        <v>26</v>
      </c>
      <c r="AN19" s="73" t="s">
        <v>26</v>
      </c>
      <c r="AO19" s="73" t="s">
        <v>26</v>
      </c>
      <c r="AP19" s="73" t="s">
        <v>26</v>
      </c>
      <c r="AQ19" s="73" t="s">
        <v>26</v>
      </c>
      <c r="AR19" s="73" t="s">
        <v>26</v>
      </c>
      <c r="AS19" s="73" t="s">
        <v>26</v>
      </c>
      <c r="AT19" s="73" t="s">
        <v>26</v>
      </c>
      <c r="AU19" s="73" t="s">
        <v>26</v>
      </c>
    </row>
    <row r="20" spans="1:47" customFormat="1" x14ac:dyDescent="0.35">
      <c r="D20" s="69" t="s">
        <v>27</v>
      </c>
      <c r="E20" s="69"/>
      <c r="F20" s="69"/>
      <c r="G20" s="70" t="s">
        <v>28</v>
      </c>
      <c r="H20" s="71" t="s">
        <v>28</v>
      </c>
      <c r="I20" s="71" t="s">
        <v>28</v>
      </c>
      <c r="J20" s="71" t="s">
        <v>28</v>
      </c>
      <c r="K20" s="71" t="s">
        <v>28</v>
      </c>
      <c r="L20" s="71" t="s">
        <v>28</v>
      </c>
      <c r="M20" s="71" t="s">
        <v>28</v>
      </c>
      <c r="N20" s="71" t="s">
        <v>28</v>
      </c>
      <c r="O20" s="71" t="s">
        <v>28</v>
      </c>
      <c r="P20" s="72" t="s">
        <v>28</v>
      </c>
      <c r="Q20" s="73" t="s">
        <v>29</v>
      </c>
      <c r="R20" s="73" t="s">
        <v>30</v>
      </c>
      <c r="S20" s="73" t="s">
        <v>30</v>
      </c>
      <c r="T20" s="73" t="s">
        <v>30</v>
      </c>
      <c r="U20" s="73" t="s">
        <v>30</v>
      </c>
      <c r="V20" s="73" t="s">
        <v>30</v>
      </c>
      <c r="W20" s="73" t="s">
        <v>30</v>
      </c>
      <c r="X20" s="73" t="s">
        <v>30</v>
      </c>
      <c r="Y20" s="73" t="s">
        <v>30</v>
      </c>
      <c r="Z20" s="73" t="s">
        <v>30</v>
      </c>
      <c r="AA20" s="73" t="s">
        <v>30</v>
      </c>
      <c r="AB20" s="73" t="s">
        <v>30</v>
      </c>
      <c r="AC20" s="73" t="s">
        <v>30</v>
      </c>
      <c r="AD20" s="73" t="s">
        <v>30</v>
      </c>
      <c r="AE20" s="73" t="s">
        <v>30</v>
      </c>
      <c r="AF20" s="73" t="s">
        <v>30</v>
      </c>
      <c r="AG20" s="73" t="s">
        <v>30</v>
      </c>
      <c r="AH20" s="73" t="s">
        <v>30</v>
      </c>
      <c r="AI20" s="73" t="s">
        <v>30</v>
      </c>
      <c r="AJ20" s="73" t="s">
        <v>30</v>
      </c>
      <c r="AK20" s="73" t="s">
        <v>30</v>
      </c>
      <c r="AL20" s="73" t="s">
        <v>30</v>
      </c>
      <c r="AM20" s="73" t="s">
        <v>30</v>
      </c>
      <c r="AN20" s="73" t="s">
        <v>30</v>
      </c>
      <c r="AO20" s="73" t="s">
        <v>30</v>
      </c>
      <c r="AP20" s="73" t="s">
        <v>30</v>
      </c>
      <c r="AQ20" s="73" t="s">
        <v>30</v>
      </c>
      <c r="AR20" s="73" t="s">
        <v>30</v>
      </c>
      <c r="AS20" s="73" t="s">
        <v>30</v>
      </c>
      <c r="AT20" s="73" t="s">
        <v>30</v>
      </c>
      <c r="AU20" s="73" t="s">
        <v>30</v>
      </c>
    </row>
    <row r="21" spans="1:47" customFormat="1" x14ac:dyDescent="0.35">
      <c r="D21" s="69" t="s">
        <v>31</v>
      </c>
      <c r="E21" s="69"/>
      <c r="F21" s="69"/>
      <c r="G21" s="70" t="s">
        <v>32</v>
      </c>
      <c r="H21" s="71" t="s">
        <v>32</v>
      </c>
      <c r="I21" s="71" t="s">
        <v>32</v>
      </c>
      <c r="J21" s="71" t="s">
        <v>32</v>
      </c>
      <c r="K21" s="71" t="s">
        <v>32</v>
      </c>
      <c r="L21" s="71" t="s">
        <v>32</v>
      </c>
      <c r="M21" s="71" t="s">
        <v>32</v>
      </c>
      <c r="N21" s="71" t="s">
        <v>32</v>
      </c>
      <c r="O21" s="71" t="s">
        <v>32</v>
      </c>
      <c r="P21" s="72" t="s">
        <v>32</v>
      </c>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row>
    <row r="22" spans="1:47" customFormat="1" x14ac:dyDescent="0.35">
      <c r="D22" s="69" t="s">
        <v>33</v>
      </c>
      <c r="E22" s="69"/>
      <c r="F22" s="69"/>
      <c r="G22" s="70" t="s">
        <v>34</v>
      </c>
      <c r="H22" s="71" t="s">
        <v>34</v>
      </c>
      <c r="I22" s="71" t="s">
        <v>34</v>
      </c>
      <c r="J22" s="71" t="s">
        <v>34</v>
      </c>
      <c r="K22" s="71" t="s">
        <v>34</v>
      </c>
      <c r="L22" s="71" t="s">
        <v>34</v>
      </c>
      <c r="M22" s="71" t="s">
        <v>34</v>
      </c>
      <c r="N22" s="71" t="s">
        <v>34</v>
      </c>
      <c r="O22" s="71" t="s">
        <v>34</v>
      </c>
      <c r="P22" s="72" t="s">
        <v>34</v>
      </c>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row>
    <row r="23" spans="1:47" customFormat="1" x14ac:dyDescent="0.35"/>
    <row r="24" spans="1:47" customFormat="1" x14ac:dyDescent="0.35">
      <c r="C24" t="s">
        <v>35</v>
      </c>
    </row>
    <row r="25" spans="1:47" customFormat="1" x14ac:dyDescent="0.35">
      <c r="C25" t="s">
        <v>36</v>
      </c>
    </row>
    <row r="26" spans="1:47" customFormat="1" x14ac:dyDescent="0.35">
      <c r="C26" t="s">
        <v>37</v>
      </c>
    </row>
    <row r="27" spans="1:47" customFormat="1" x14ac:dyDescent="0.35">
      <c r="C27" t="s">
        <v>38</v>
      </c>
    </row>
    <row r="28" spans="1:47" customFormat="1" x14ac:dyDescent="0.35">
      <c r="C28" t="s">
        <v>39</v>
      </c>
    </row>
    <row r="29" spans="1:47" customFormat="1" x14ac:dyDescent="0.35">
      <c r="C29" t="s">
        <v>171</v>
      </c>
    </row>
    <row r="30" spans="1:47" customFormat="1" x14ac:dyDescent="0.35"/>
    <row r="31" spans="1:47" customFormat="1" x14ac:dyDescent="0.35">
      <c r="A31" s="21"/>
      <c r="B31" t="s">
        <v>40</v>
      </c>
    </row>
    <row r="32" spans="1:47" customFormat="1" x14ac:dyDescent="0.35"/>
    <row r="33" spans="3:83" customFormat="1" x14ac:dyDescent="0.35">
      <c r="C33" t="s">
        <v>41</v>
      </c>
      <c r="AI33" s="73" t="s">
        <v>42</v>
      </c>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J33" t="s">
        <v>172</v>
      </c>
    </row>
    <row r="34" spans="3:83" customFormat="1" x14ac:dyDescent="0.35">
      <c r="D34" s="89" t="s">
        <v>43</v>
      </c>
      <c r="E34" s="90"/>
      <c r="F34" s="90"/>
      <c r="G34" s="91"/>
      <c r="H34" s="92" t="s">
        <v>44</v>
      </c>
      <c r="I34" s="92"/>
      <c r="J34" s="92"/>
      <c r="K34" s="92"/>
      <c r="L34" s="92"/>
      <c r="M34" s="92"/>
      <c r="N34" s="92"/>
      <c r="O34" s="92"/>
      <c r="P34" s="92"/>
      <c r="Q34" s="92" t="s">
        <v>45</v>
      </c>
      <c r="R34" s="92"/>
      <c r="S34" s="92"/>
      <c r="T34" s="92"/>
      <c r="U34" s="92"/>
      <c r="V34" s="92"/>
      <c r="W34" s="92"/>
      <c r="X34" s="92"/>
      <c r="Y34" s="92"/>
      <c r="Z34" s="92"/>
      <c r="AA34" s="92" t="s">
        <v>190</v>
      </c>
      <c r="AB34" s="92"/>
      <c r="AC34" s="92"/>
      <c r="AD34" s="92"/>
      <c r="AE34" s="92"/>
      <c r="AF34" s="92"/>
      <c r="AG34" s="92"/>
      <c r="AH34" s="92"/>
      <c r="AI34" s="92" t="s">
        <v>46</v>
      </c>
      <c r="AJ34" s="92"/>
      <c r="AK34" s="92"/>
      <c r="AL34" s="92"/>
      <c r="AM34" s="92"/>
      <c r="AN34" s="92"/>
      <c r="AO34" s="92" t="s">
        <v>47</v>
      </c>
      <c r="AP34" s="92"/>
      <c r="AQ34" s="92"/>
      <c r="AR34" s="92"/>
      <c r="AS34" s="92"/>
      <c r="AT34" s="92"/>
      <c r="AU34" s="92" t="s">
        <v>48</v>
      </c>
      <c r="AV34" s="92"/>
      <c r="AW34" s="92"/>
      <c r="AX34" s="92"/>
      <c r="AY34" s="92"/>
      <c r="AZ34" s="92"/>
      <c r="BA34" s="92" t="s">
        <v>49</v>
      </c>
      <c r="BB34" s="92"/>
      <c r="BC34" s="92"/>
      <c r="BD34" s="92"/>
      <c r="BE34" s="92"/>
      <c r="BF34" s="92"/>
      <c r="BJ34" s="92" t="s">
        <v>45</v>
      </c>
      <c r="BK34" s="92"/>
      <c r="BL34" s="92"/>
      <c r="BM34" s="92"/>
      <c r="BN34" s="92"/>
      <c r="BO34" s="92"/>
      <c r="BP34" s="92"/>
      <c r="BQ34" s="92"/>
      <c r="BR34" s="92"/>
      <c r="BS34" s="92"/>
      <c r="BT34" s="92" t="s">
        <v>46</v>
      </c>
      <c r="BU34" s="92"/>
      <c r="BV34" s="92"/>
      <c r="BW34" s="92"/>
      <c r="BX34" s="92"/>
      <c r="BY34" s="92"/>
      <c r="BZ34" s="92" t="s">
        <v>213</v>
      </c>
      <c r="CA34" s="92"/>
      <c r="CB34" s="92"/>
      <c r="CC34" s="92"/>
      <c r="CD34" s="92"/>
      <c r="CE34" s="92"/>
    </row>
    <row r="35" spans="3:83" customFormat="1" x14ac:dyDescent="0.35">
      <c r="D35" s="118" t="s">
        <v>50</v>
      </c>
      <c r="E35" s="119" t="s">
        <v>51</v>
      </c>
      <c r="F35" s="119" t="s">
        <v>52</v>
      </c>
      <c r="G35" s="120">
        <v>1000</v>
      </c>
      <c r="H35" s="93" t="s">
        <v>189</v>
      </c>
      <c r="I35" s="94"/>
      <c r="J35" s="94"/>
      <c r="K35" s="94"/>
      <c r="L35" s="94"/>
      <c r="M35" s="94"/>
      <c r="N35" s="94"/>
      <c r="O35" s="94"/>
      <c r="P35" s="94"/>
      <c r="Q35" s="95" t="s">
        <v>175</v>
      </c>
      <c r="R35" s="96"/>
      <c r="S35" s="96"/>
      <c r="T35" s="96"/>
      <c r="U35" s="96"/>
      <c r="V35" s="96"/>
      <c r="W35" s="96"/>
      <c r="X35" s="96"/>
      <c r="Y35" s="96"/>
      <c r="Z35" s="97"/>
      <c r="AA35" s="98"/>
      <c r="AB35" s="98"/>
      <c r="AC35" s="98"/>
      <c r="AD35" s="98"/>
      <c r="AE35" s="98"/>
      <c r="AF35" s="98"/>
      <c r="AG35" s="98"/>
      <c r="AH35" s="98"/>
      <c r="AI35" s="99">
        <f t="shared" ref="AI35:AI42" si="0">VLOOKUP(Q35,BJ:CE,11,FALSE)</f>
        <v>4000</v>
      </c>
      <c r="AJ35" s="100"/>
      <c r="AK35" s="100"/>
      <c r="AL35" s="100"/>
      <c r="AM35" s="100"/>
      <c r="AN35" s="101"/>
      <c r="AO35" s="102">
        <f>AA35*AI35</f>
        <v>0</v>
      </c>
      <c r="AP35" s="102"/>
      <c r="AQ35" s="102"/>
      <c r="AR35" s="102"/>
      <c r="AS35" s="102"/>
      <c r="AT35" s="102"/>
      <c r="AU35" s="102">
        <f t="shared" ref="AU35:AU42" si="1">VLOOKUP(Q35,BJ:CE,17,FALSE)</f>
        <v>20000</v>
      </c>
      <c r="AV35" s="102"/>
      <c r="AW35" s="102"/>
      <c r="AX35" s="102"/>
      <c r="AY35" s="102"/>
      <c r="AZ35" s="102"/>
      <c r="BA35" s="102">
        <f>AA35*AU35</f>
        <v>0</v>
      </c>
      <c r="BB35" s="102"/>
      <c r="BC35" s="102"/>
      <c r="BD35" s="102"/>
      <c r="BE35" s="102"/>
      <c r="BF35" s="102"/>
      <c r="BJ35" s="103" t="s">
        <v>175</v>
      </c>
      <c r="BK35" s="103" t="s">
        <v>53</v>
      </c>
      <c r="BL35" s="103" t="s">
        <v>53</v>
      </c>
      <c r="BM35" s="103" t="s">
        <v>53</v>
      </c>
      <c r="BN35" s="103" t="s">
        <v>53</v>
      </c>
      <c r="BO35" s="103" t="s">
        <v>53</v>
      </c>
      <c r="BP35" s="103" t="s">
        <v>53</v>
      </c>
      <c r="BQ35" s="103" t="s">
        <v>53</v>
      </c>
      <c r="BR35" s="103" t="s">
        <v>53</v>
      </c>
      <c r="BS35" s="103" t="s">
        <v>53</v>
      </c>
      <c r="BT35" s="98">
        <v>4000</v>
      </c>
      <c r="BU35" s="98">
        <v>4000</v>
      </c>
      <c r="BV35" s="98">
        <v>4000</v>
      </c>
      <c r="BW35" s="98">
        <v>4000</v>
      </c>
      <c r="BX35" s="98">
        <v>4000</v>
      </c>
      <c r="BY35" s="98">
        <v>4000</v>
      </c>
      <c r="BZ35" s="98">
        <v>20000</v>
      </c>
      <c r="CA35" s="98">
        <v>20000</v>
      </c>
      <c r="CB35" s="98">
        <v>20000</v>
      </c>
      <c r="CC35" s="98">
        <v>20000</v>
      </c>
      <c r="CD35" s="98">
        <v>20000</v>
      </c>
      <c r="CE35" s="98">
        <v>20000</v>
      </c>
    </row>
    <row r="36" spans="3:83" customFormat="1" x14ac:dyDescent="0.35">
      <c r="D36" s="118" t="s">
        <v>50</v>
      </c>
      <c r="E36" s="119" t="s">
        <v>54</v>
      </c>
      <c r="F36" s="119" t="s">
        <v>52</v>
      </c>
      <c r="G36" s="120">
        <v>1000</v>
      </c>
      <c r="H36" s="104" t="s">
        <v>188</v>
      </c>
      <c r="I36" s="104"/>
      <c r="J36" s="104"/>
      <c r="K36" s="104"/>
      <c r="L36" s="104"/>
      <c r="M36" s="104"/>
      <c r="N36" s="104"/>
      <c r="O36" s="104"/>
      <c r="P36" s="104"/>
      <c r="Q36" s="95" t="s">
        <v>176</v>
      </c>
      <c r="R36" s="96"/>
      <c r="S36" s="96"/>
      <c r="T36" s="96"/>
      <c r="U36" s="96"/>
      <c r="V36" s="96"/>
      <c r="W36" s="96"/>
      <c r="X36" s="96"/>
      <c r="Y36" s="96"/>
      <c r="Z36" s="97"/>
      <c r="AA36" s="98"/>
      <c r="AB36" s="98"/>
      <c r="AC36" s="98"/>
      <c r="AD36" s="98"/>
      <c r="AE36" s="98"/>
      <c r="AF36" s="98"/>
      <c r="AG36" s="98"/>
      <c r="AH36" s="98"/>
      <c r="AI36" s="102">
        <f t="shared" si="0"/>
        <v>4000</v>
      </c>
      <c r="AJ36" s="102"/>
      <c r="AK36" s="102"/>
      <c r="AL36" s="102"/>
      <c r="AM36" s="102"/>
      <c r="AN36" s="102"/>
      <c r="AO36" s="102">
        <f t="shared" ref="AO36:AO42" si="2">AA36*AI36</f>
        <v>0</v>
      </c>
      <c r="AP36" s="102"/>
      <c r="AQ36" s="102"/>
      <c r="AR36" s="102"/>
      <c r="AS36" s="102"/>
      <c r="AT36" s="102"/>
      <c r="AU36" s="102">
        <f t="shared" si="1"/>
        <v>20000</v>
      </c>
      <c r="AV36" s="102"/>
      <c r="AW36" s="102"/>
      <c r="AX36" s="102"/>
      <c r="AY36" s="102"/>
      <c r="AZ36" s="102"/>
      <c r="BA36" s="102">
        <f t="shared" ref="BA36:BA42" si="3">AA36*AU36</f>
        <v>0</v>
      </c>
      <c r="BB36" s="102"/>
      <c r="BC36" s="102"/>
      <c r="BD36" s="102"/>
      <c r="BE36" s="102"/>
      <c r="BF36" s="102"/>
      <c r="BJ36" s="103" t="s">
        <v>176</v>
      </c>
      <c r="BK36" s="103" t="s">
        <v>55</v>
      </c>
      <c r="BL36" s="103" t="s">
        <v>55</v>
      </c>
      <c r="BM36" s="103" t="s">
        <v>55</v>
      </c>
      <c r="BN36" s="103" t="s">
        <v>55</v>
      </c>
      <c r="BO36" s="103" t="s">
        <v>55</v>
      </c>
      <c r="BP36" s="103" t="s">
        <v>55</v>
      </c>
      <c r="BQ36" s="103" t="s">
        <v>55</v>
      </c>
      <c r="BR36" s="103" t="s">
        <v>55</v>
      </c>
      <c r="BS36" s="103" t="s">
        <v>55</v>
      </c>
      <c r="BT36" s="98">
        <v>4000</v>
      </c>
      <c r="BU36" s="98">
        <v>4000</v>
      </c>
      <c r="BV36" s="98">
        <v>4000</v>
      </c>
      <c r="BW36" s="98">
        <v>4000</v>
      </c>
      <c r="BX36" s="98">
        <v>4000</v>
      </c>
      <c r="BY36" s="98">
        <v>4000</v>
      </c>
      <c r="BZ36" s="98">
        <v>20000</v>
      </c>
      <c r="CA36" s="98">
        <v>20000</v>
      </c>
      <c r="CB36" s="98">
        <v>20000</v>
      </c>
      <c r="CC36" s="98">
        <v>20000</v>
      </c>
      <c r="CD36" s="98">
        <v>20000</v>
      </c>
      <c r="CE36" s="98">
        <v>20000</v>
      </c>
    </row>
    <row r="37" spans="3:83" customFormat="1" x14ac:dyDescent="0.35">
      <c r="D37" s="118" t="s">
        <v>50</v>
      </c>
      <c r="E37" s="119" t="s">
        <v>56</v>
      </c>
      <c r="F37" s="119" t="s">
        <v>57</v>
      </c>
      <c r="G37" s="120">
        <v>3000</v>
      </c>
      <c r="H37" s="104" t="s">
        <v>183</v>
      </c>
      <c r="I37" s="104" t="s">
        <v>59</v>
      </c>
      <c r="J37" s="104" t="s">
        <v>59</v>
      </c>
      <c r="K37" s="104" t="s">
        <v>59</v>
      </c>
      <c r="L37" s="104" t="s">
        <v>59</v>
      </c>
      <c r="M37" s="104" t="s">
        <v>59</v>
      </c>
      <c r="N37" s="104" t="s">
        <v>59</v>
      </c>
      <c r="O37" s="104" t="s">
        <v>59</v>
      </c>
      <c r="P37" s="104" t="s">
        <v>59</v>
      </c>
      <c r="Q37" s="95" t="s">
        <v>177</v>
      </c>
      <c r="R37" s="96"/>
      <c r="S37" s="96"/>
      <c r="T37" s="96"/>
      <c r="U37" s="96"/>
      <c r="V37" s="96"/>
      <c r="W37" s="96"/>
      <c r="X37" s="96"/>
      <c r="Y37" s="96"/>
      <c r="Z37" s="97"/>
      <c r="AA37" s="98"/>
      <c r="AB37" s="98"/>
      <c r="AC37" s="98"/>
      <c r="AD37" s="98"/>
      <c r="AE37" s="98"/>
      <c r="AF37" s="98"/>
      <c r="AG37" s="98"/>
      <c r="AH37" s="98"/>
      <c r="AI37" s="102">
        <f t="shared" si="0"/>
        <v>8000</v>
      </c>
      <c r="AJ37" s="102"/>
      <c r="AK37" s="102"/>
      <c r="AL37" s="102"/>
      <c r="AM37" s="102"/>
      <c r="AN37" s="102"/>
      <c r="AO37" s="102">
        <f t="shared" si="2"/>
        <v>0</v>
      </c>
      <c r="AP37" s="102"/>
      <c r="AQ37" s="102"/>
      <c r="AR37" s="102"/>
      <c r="AS37" s="102"/>
      <c r="AT37" s="102"/>
      <c r="AU37" s="102">
        <f t="shared" si="1"/>
        <v>40000</v>
      </c>
      <c r="AV37" s="102"/>
      <c r="AW37" s="102"/>
      <c r="AX37" s="102"/>
      <c r="AY37" s="102"/>
      <c r="AZ37" s="102"/>
      <c r="BA37" s="102">
        <f t="shared" si="3"/>
        <v>0</v>
      </c>
      <c r="BB37" s="102"/>
      <c r="BC37" s="102"/>
      <c r="BD37" s="102"/>
      <c r="BE37" s="102"/>
      <c r="BF37" s="102"/>
      <c r="BJ37" s="103" t="s">
        <v>177</v>
      </c>
      <c r="BK37" s="103" t="s">
        <v>58</v>
      </c>
      <c r="BL37" s="103" t="s">
        <v>58</v>
      </c>
      <c r="BM37" s="103" t="s">
        <v>58</v>
      </c>
      <c r="BN37" s="103" t="s">
        <v>58</v>
      </c>
      <c r="BO37" s="103" t="s">
        <v>58</v>
      </c>
      <c r="BP37" s="103" t="s">
        <v>58</v>
      </c>
      <c r="BQ37" s="103" t="s">
        <v>58</v>
      </c>
      <c r="BR37" s="103" t="s">
        <v>58</v>
      </c>
      <c r="BS37" s="103" t="s">
        <v>58</v>
      </c>
      <c r="BT37" s="98">
        <v>8000</v>
      </c>
      <c r="BU37" s="98">
        <v>8000</v>
      </c>
      <c r="BV37" s="98">
        <v>8000</v>
      </c>
      <c r="BW37" s="98">
        <v>8000</v>
      </c>
      <c r="BX37" s="98">
        <v>8000</v>
      </c>
      <c r="BY37" s="98">
        <v>8000</v>
      </c>
      <c r="BZ37" s="98">
        <v>40000</v>
      </c>
      <c r="CA37" s="98">
        <v>40000</v>
      </c>
      <c r="CB37" s="98">
        <v>40000</v>
      </c>
      <c r="CC37" s="98">
        <v>40000</v>
      </c>
      <c r="CD37" s="98">
        <v>40000</v>
      </c>
      <c r="CE37" s="98">
        <v>40000</v>
      </c>
    </row>
    <row r="38" spans="3:83" customFormat="1" x14ac:dyDescent="0.35">
      <c r="D38" s="118" t="s">
        <v>50</v>
      </c>
      <c r="E38" s="119" t="s">
        <v>59</v>
      </c>
      <c r="F38" s="119" t="s">
        <v>57</v>
      </c>
      <c r="G38" s="120">
        <v>3000</v>
      </c>
      <c r="H38" s="104" t="s">
        <v>183</v>
      </c>
      <c r="I38" s="104" t="s">
        <v>59</v>
      </c>
      <c r="J38" s="104" t="s">
        <v>59</v>
      </c>
      <c r="K38" s="104" t="s">
        <v>59</v>
      </c>
      <c r="L38" s="104" t="s">
        <v>59</v>
      </c>
      <c r="M38" s="104" t="s">
        <v>59</v>
      </c>
      <c r="N38" s="104" t="s">
        <v>59</v>
      </c>
      <c r="O38" s="104" t="s">
        <v>59</v>
      </c>
      <c r="P38" s="104" t="s">
        <v>59</v>
      </c>
      <c r="Q38" s="95" t="s">
        <v>178</v>
      </c>
      <c r="R38" s="96"/>
      <c r="S38" s="96"/>
      <c r="T38" s="96"/>
      <c r="U38" s="96"/>
      <c r="V38" s="96"/>
      <c r="W38" s="96"/>
      <c r="X38" s="96"/>
      <c r="Y38" s="96"/>
      <c r="Z38" s="97"/>
      <c r="AA38" s="98"/>
      <c r="AB38" s="98"/>
      <c r="AC38" s="98"/>
      <c r="AD38" s="98"/>
      <c r="AE38" s="98"/>
      <c r="AF38" s="98"/>
      <c r="AG38" s="98"/>
      <c r="AH38" s="98"/>
      <c r="AI38" s="102">
        <f t="shared" si="0"/>
        <v>8000</v>
      </c>
      <c r="AJ38" s="102"/>
      <c r="AK38" s="102"/>
      <c r="AL38" s="102"/>
      <c r="AM38" s="102"/>
      <c r="AN38" s="102"/>
      <c r="AO38" s="102">
        <f t="shared" si="2"/>
        <v>0</v>
      </c>
      <c r="AP38" s="102"/>
      <c r="AQ38" s="102"/>
      <c r="AR38" s="102"/>
      <c r="AS38" s="102"/>
      <c r="AT38" s="102"/>
      <c r="AU38" s="102">
        <f t="shared" si="1"/>
        <v>40000</v>
      </c>
      <c r="AV38" s="102"/>
      <c r="AW38" s="102"/>
      <c r="AX38" s="102"/>
      <c r="AY38" s="102"/>
      <c r="AZ38" s="102"/>
      <c r="BA38" s="102">
        <f t="shared" si="3"/>
        <v>0</v>
      </c>
      <c r="BB38" s="102"/>
      <c r="BC38" s="102"/>
      <c r="BD38" s="102"/>
      <c r="BE38" s="102"/>
      <c r="BF38" s="102"/>
      <c r="BJ38" s="103" t="s">
        <v>178</v>
      </c>
      <c r="BK38" s="103" t="s">
        <v>60</v>
      </c>
      <c r="BL38" s="103" t="s">
        <v>60</v>
      </c>
      <c r="BM38" s="103" t="s">
        <v>60</v>
      </c>
      <c r="BN38" s="103" t="s">
        <v>60</v>
      </c>
      <c r="BO38" s="103" t="s">
        <v>60</v>
      </c>
      <c r="BP38" s="103" t="s">
        <v>60</v>
      </c>
      <c r="BQ38" s="103" t="s">
        <v>60</v>
      </c>
      <c r="BR38" s="103" t="s">
        <v>60</v>
      </c>
      <c r="BS38" s="103" t="s">
        <v>60</v>
      </c>
      <c r="BT38" s="98">
        <v>8000</v>
      </c>
      <c r="BU38" s="98">
        <v>8000</v>
      </c>
      <c r="BV38" s="98">
        <v>8000</v>
      </c>
      <c r="BW38" s="98">
        <v>8000</v>
      </c>
      <c r="BX38" s="98">
        <v>8000</v>
      </c>
      <c r="BY38" s="98">
        <v>8000</v>
      </c>
      <c r="BZ38" s="98">
        <v>40000</v>
      </c>
      <c r="CA38" s="98">
        <v>40000</v>
      </c>
      <c r="CB38" s="98">
        <v>40000</v>
      </c>
      <c r="CC38" s="98">
        <v>40000</v>
      </c>
      <c r="CD38" s="98">
        <v>40000</v>
      </c>
      <c r="CE38" s="98">
        <v>40000</v>
      </c>
    </row>
    <row r="39" spans="3:83" customFormat="1" x14ac:dyDescent="0.35">
      <c r="D39" s="118" t="s">
        <v>50</v>
      </c>
      <c r="E39" s="119" t="s">
        <v>61</v>
      </c>
      <c r="F39" s="119" t="s">
        <v>62</v>
      </c>
      <c r="G39" s="120">
        <v>4000</v>
      </c>
      <c r="H39" s="104" t="s">
        <v>184</v>
      </c>
      <c r="I39" s="104" t="s">
        <v>61</v>
      </c>
      <c r="J39" s="104" t="s">
        <v>61</v>
      </c>
      <c r="K39" s="104" t="s">
        <v>61</v>
      </c>
      <c r="L39" s="104" t="s">
        <v>61</v>
      </c>
      <c r="M39" s="104" t="s">
        <v>61</v>
      </c>
      <c r="N39" s="104" t="s">
        <v>61</v>
      </c>
      <c r="O39" s="104" t="s">
        <v>61</v>
      </c>
      <c r="P39" s="104" t="s">
        <v>61</v>
      </c>
      <c r="Q39" s="95" t="s">
        <v>181</v>
      </c>
      <c r="R39" s="96"/>
      <c r="S39" s="96"/>
      <c r="T39" s="96"/>
      <c r="U39" s="96"/>
      <c r="V39" s="96"/>
      <c r="W39" s="96"/>
      <c r="X39" s="96"/>
      <c r="Y39" s="96"/>
      <c r="Z39" s="97"/>
      <c r="AA39" s="98"/>
      <c r="AB39" s="98"/>
      <c r="AC39" s="98"/>
      <c r="AD39" s="98"/>
      <c r="AE39" s="98"/>
      <c r="AF39" s="98"/>
      <c r="AG39" s="98"/>
      <c r="AH39" s="98"/>
      <c r="AI39" s="102">
        <f t="shared" si="0"/>
        <v>10000</v>
      </c>
      <c r="AJ39" s="102"/>
      <c r="AK39" s="102"/>
      <c r="AL39" s="102"/>
      <c r="AM39" s="102"/>
      <c r="AN39" s="102"/>
      <c r="AO39" s="102">
        <f t="shared" si="2"/>
        <v>0</v>
      </c>
      <c r="AP39" s="102"/>
      <c r="AQ39" s="102"/>
      <c r="AR39" s="102"/>
      <c r="AS39" s="102"/>
      <c r="AT39" s="102"/>
      <c r="AU39" s="102">
        <f t="shared" si="1"/>
        <v>20000</v>
      </c>
      <c r="AV39" s="102"/>
      <c r="AW39" s="102"/>
      <c r="AX39" s="102"/>
      <c r="AY39" s="102"/>
      <c r="AZ39" s="102"/>
      <c r="BA39" s="102">
        <f t="shared" si="3"/>
        <v>0</v>
      </c>
      <c r="BB39" s="102"/>
      <c r="BC39" s="102"/>
      <c r="BD39" s="102"/>
      <c r="BE39" s="102"/>
      <c r="BF39" s="102"/>
      <c r="BJ39" s="103" t="s">
        <v>181</v>
      </c>
      <c r="BK39" s="103" t="s">
        <v>52</v>
      </c>
      <c r="BL39" s="103" t="s">
        <v>52</v>
      </c>
      <c r="BM39" s="103" t="s">
        <v>52</v>
      </c>
      <c r="BN39" s="103" t="s">
        <v>52</v>
      </c>
      <c r="BO39" s="103" t="s">
        <v>52</v>
      </c>
      <c r="BP39" s="103" t="s">
        <v>52</v>
      </c>
      <c r="BQ39" s="103" t="s">
        <v>52</v>
      </c>
      <c r="BR39" s="103" t="s">
        <v>52</v>
      </c>
      <c r="BS39" s="103" t="s">
        <v>52</v>
      </c>
      <c r="BT39" s="98">
        <v>10000</v>
      </c>
      <c r="BU39" s="98">
        <v>10000</v>
      </c>
      <c r="BV39" s="98">
        <v>10000</v>
      </c>
      <c r="BW39" s="98">
        <v>10000</v>
      </c>
      <c r="BX39" s="98">
        <v>10000</v>
      </c>
      <c r="BY39" s="98">
        <v>10000</v>
      </c>
      <c r="BZ39" s="98">
        <v>20000</v>
      </c>
      <c r="CA39" s="98">
        <v>20000</v>
      </c>
      <c r="CB39" s="98">
        <v>20000</v>
      </c>
      <c r="CC39" s="98">
        <v>20000</v>
      </c>
      <c r="CD39" s="98">
        <v>20000</v>
      </c>
      <c r="CE39" s="98">
        <v>20000</v>
      </c>
    </row>
    <row r="40" spans="3:83" customFormat="1" x14ac:dyDescent="0.35">
      <c r="D40" s="118" t="s">
        <v>50</v>
      </c>
      <c r="E40" s="119" t="s">
        <v>61</v>
      </c>
      <c r="F40" s="119" t="s">
        <v>62</v>
      </c>
      <c r="G40" s="120">
        <v>4000</v>
      </c>
      <c r="H40" s="103" t="s">
        <v>185</v>
      </c>
      <c r="I40" s="103" t="s">
        <v>61</v>
      </c>
      <c r="J40" s="103" t="s">
        <v>61</v>
      </c>
      <c r="K40" s="103" t="s">
        <v>61</v>
      </c>
      <c r="L40" s="103" t="s">
        <v>61</v>
      </c>
      <c r="M40" s="103" t="s">
        <v>61</v>
      </c>
      <c r="N40" s="103" t="s">
        <v>61</v>
      </c>
      <c r="O40" s="103" t="s">
        <v>61</v>
      </c>
      <c r="P40" s="103" t="s">
        <v>61</v>
      </c>
      <c r="Q40" s="95" t="s">
        <v>182</v>
      </c>
      <c r="R40" s="96"/>
      <c r="S40" s="96"/>
      <c r="T40" s="96"/>
      <c r="U40" s="96"/>
      <c r="V40" s="96"/>
      <c r="W40" s="96"/>
      <c r="X40" s="96"/>
      <c r="Y40" s="96"/>
      <c r="Z40" s="97"/>
      <c r="AA40" s="98"/>
      <c r="AB40" s="98"/>
      <c r="AC40" s="98"/>
      <c r="AD40" s="98"/>
      <c r="AE40" s="98"/>
      <c r="AF40" s="98"/>
      <c r="AG40" s="98"/>
      <c r="AH40" s="98"/>
      <c r="AI40" s="102">
        <f t="shared" si="0"/>
        <v>10000</v>
      </c>
      <c r="AJ40" s="102"/>
      <c r="AK40" s="102"/>
      <c r="AL40" s="102"/>
      <c r="AM40" s="102"/>
      <c r="AN40" s="102"/>
      <c r="AO40" s="102">
        <f t="shared" ref="AO40" si="4">AA40*AI40</f>
        <v>0</v>
      </c>
      <c r="AP40" s="102"/>
      <c r="AQ40" s="102"/>
      <c r="AR40" s="102"/>
      <c r="AS40" s="102"/>
      <c r="AT40" s="102"/>
      <c r="AU40" s="102">
        <f t="shared" si="1"/>
        <v>20000</v>
      </c>
      <c r="AV40" s="102"/>
      <c r="AW40" s="102"/>
      <c r="AX40" s="102"/>
      <c r="AY40" s="102"/>
      <c r="AZ40" s="102"/>
      <c r="BA40" s="102">
        <f t="shared" ref="BA40" si="5">AA40*AU40</f>
        <v>0</v>
      </c>
      <c r="BB40" s="102"/>
      <c r="BC40" s="102"/>
      <c r="BD40" s="102"/>
      <c r="BE40" s="102"/>
      <c r="BF40" s="102"/>
      <c r="BJ40" s="103" t="s">
        <v>182</v>
      </c>
      <c r="BK40" s="103" t="s">
        <v>52</v>
      </c>
      <c r="BL40" s="103" t="s">
        <v>52</v>
      </c>
      <c r="BM40" s="103" t="s">
        <v>52</v>
      </c>
      <c r="BN40" s="103" t="s">
        <v>52</v>
      </c>
      <c r="BO40" s="103" t="s">
        <v>52</v>
      </c>
      <c r="BP40" s="103" t="s">
        <v>52</v>
      </c>
      <c r="BQ40" s="103" t="s">
        <v>52</v>
      </c>
      <c r="BR40" s="103" t="s">
        <v>52</v>
      </c>
      <c r="BS40" s="103" t="s">
        <v>52</v>
      </c>
      <c r="BT40" s="98">
        <v>10000</v>
      </c>
      <c r="BU40" s="98">
        <v>10000</v>
      </c>
      <c r="BV40" s="98">
        <v>10000</v>
      </c>
      <c r="BW40" s="98">
        <v>10000</v>
      </c>
      <c r="BX40" s="98">
        <v>10000</v>
      </c>
      <c r="BY40" s="98">
        <v>10000</v>
      </c>
      <c r="BZ40" s="98">
        <v>20000</v>
      </c>
      <c r="CA40" s="98">
        <v>20000</v>
      </c>
      <c r="CB40" s="98">
        <v>20000</v>
      </c>
      <c r="CC40" s="98">
        <v>20000</v>
      </c>
      <c r="CD40" s="98">
        <v>20000</v>
      </c>
      <c r="CE40" s="98">
        <v>20000</v>
      </c>
    </row>
    <row r="41" spans="3:83" customFormat="1" x14ac:dyDescent="0.35">
      <c r="D41" s="118" t="s">
        <v>50</v>
      </c>
      <c r="E41" s="119" t="s">
        <v>63</v>
      </c>
      <c r="F41" s="119" t="s">
        <v>62</v>
      </c>
      <c r="G41" s="120">
        <v>5000</v>
      </c>
      <c r="H41" s="104" t="s">
        <v>186</v>
      </c>
      <c r="I41" s="104" t="s">
        <v>63</v>
      </c>
      <c r="J41" s="104" t="s">
        <v>63</v>
      </c>
      <c r="K41" s="104" t="s">
        <v>63</v>
      </c>
      <c r="L41" s="104" t="s">
        <v>63</v>
      </c>
      <c r="M41" s="104" t="s">
        <v>63</v>
      </c>
      <c r="N41" s="104" t="s">
        <v>63</v>
      </c>
      <c r="O41" s="104" t="s">
        <v>63</v>
      </c>
      <c r="P41" s="104" t="s">
        <v>63</v>
      </c>
      <c r="Q41" s="95" t="s">
        <v>179</v>
      </c>
      <c r="R41" s="96"/>
      <c r="S41" s="96"/>
      <c r="T41" s="96"/>
      <c r="U41" s="96"/>
      <c r="V41" s="96"/>
      <c r="W41" s="96"/>
      <c r="X41" s="96"/>
      <c r="Y41" s="96"/>
      <c r="Z41" s="97"/>
      <c r="AA41" s="98"/>
      <c r="AB41" s="98"/>
      <c r="AC41" s="98"/>
      <c r="AD41" s="98"/>
      <c r="AE41" s="98"/>
      <c r="AF41" s="98"/>
      <c r="AG41" s="98"/>
      <c r="AH41" s="98"/>
      <c r="AI41" s="102">
        <f t="shared" si="0"/>
        <v>500000</v>
      </c>
      <c r="AJ41" s="102"/>
      <c r="AK41" s="102"/>
      <c r="AL41" s="102"/>
      <c r="AM41" s="102"/>
      <c r="AN41" s="102"/>
      <c r="AO41" s="102">
        <f t="shared" si="2"/>
        <v>0</v>
      </c>
      <c r="AP41" s="102"/>
      <c r="AQ41" s="102"/>
      <c r="AR41" s="102"/>
      <c r="AS41" s="102"/>
      <c r="AT41" s="102"/>
      <c r="AU41" s="102">
        <f t="shared" si="1"/>
        <v>1000000</v>
      </c>
      <c r="AV41" s="102"/>
      <c r="AW41" s="102"/>
      <c r="AX41" s="102"/>
      <c r="AY41" s="102"/>
      <c r="AZ41" s="102"/>
      <c r="BA41" s="102">
        <f t="shared" si="3"/>
        <v>0</v>
      </c>
      <c r="BB41" s="102"/>
      <c r="BC41" s="102"/>
      <c r="BD41" s="102"/>
      <c r="BE41" s="102"/>
      <c r="BF41" s="102"/>
      <c r="BJ41" s="103" t="s">
        <v>179</v>
      </c>
      <c r="BK41" s="103" t="s">
        <v>57</v>
      </c>
      <c r="BL41" s="103" t="s">
        <v>57</v>
      </c>
      <c r="BM41" s="103" t="s">
        <v>57</v>
      </c>
      <c r="BN41" s="103" t="s">
        <v>57</v>
      </c>
      <c r="BO41" s="103" t="s">
        <v>57</v>
      </c>
      <c r="BP41" s="103" t="s">
        <v>57</v>
      </c>
      <c r="BQ41" s="103" t="s">
        <v>57</v>
      </c>
      <c r="BR41" s="103" t="s">
        <v>57</v>
      </c>
      <c r="BS41" s="103" t="s">
        <v>57</v>
      </c>
      <c r="BT41" s="98">
        <f t="shared" ref="BT41:CE41" si="6">BT39*50</f>
        <v>500000</v>
      </c>
      <c r="BU41" s="98">
        <f t="shared" si="6"/>
        <v>500000</v>
      </c>
      <c r="BV41" s="98">
        <f t="shared" si="6"/>
        <v>500000</v>
      </c>
      <c r="BW41" s="98">
        <f t="shared" si="6"/>
        <v>500000</v>
      </c>
      <c r="BX41" s="98">
        <f t="shared" si="6"/>
        <v>500000</v>
      </c>
      <c r="BY41" s="98">
        <f t="shared" si="6"/>
        <v>500000</v>
      </c>
      <c r="BZ41" s="98">
        <f t="shared" si="6"/>
        <v>1000000</v>
      </c>
      <c r="CA41" s="98">
        <f t="shared" si="6"/>
        <v>1000000</v>
      </c>
      <c r="CB41" s="98">
        <f t="shared" si="6"/>
        <v>1000000</v>
      </c>
      <c r="CC41" s="98">
        <f t="shared" si="6"/>
        <v>1000000</v>
      </c>
      <c r="CD41" s="98">
        <f t="shared" si="6"/>
        <v>1000000</v>
      </c>
      <c r="CE41" s="98">
        <f t="shared" si="6"/>
        <v>1000000</v>
      </c>
    </row>
    <row r="42" spans="3:83" customFormat="1" x14ac:dyDescent="0.35">
      <c r="D42" s="118" t="s">
        <v>50</v>
      </c>
      <c r="E42" s="119" t="s">
        <v>64</v>
      </c>
      <c r="F42" s="119" t="s">
        <v>62</v>
      </c>
      <c r="G42" s="120">
        <v>6000</v>
      </c>
      <c r="H42" s="104" t="s">
        <v>187</v>
      </c>
      <c r="I42" s="104" t="s">
        <v>64</v>
      </c>
      <c r="J42" s="104" t="s">
        <v>64</v>
      </c>
      <c r="K42" s="104" t="s">
        <v>64</v>
      </c>
      <c r="L42" s="104" t="s">
        <v>64</v>
      </c>
      <c r="M42" s="104" t="s">
        <v>64</v>
      </c>
      <c r="N42" s="104" t="s">
        <v>64</v>
      </c>
      <c r="O42" s="104" t="s">
        <v>64</v>
      </c>
      <c r="P42" s="104" t="s">
        <v>64</v>
      </c>
      <c r="Q42" s="95" t="s">
        <v>180</v>
      </c>
      <c r="R42" s="96"/>
      <c r="S42" s="96"/>
      <c r="T42" s="96"/>
      <c r="U42" s="96"/>
      <c r="V42" s="96"/>
      <c r="W42" s="96"/>
      <c r="X42" s="96"/>
      <c r="Y42" s="96"/>
      <c r="Z42" s="97"/>
      <c r="AA42" s="98"/>
      <c r="AB42" s="98"/>
      <c r="AC42" s="98"/>
      <c r="AD42" s="98"/>
      <c r="AE42" s="98"/>
      <c r="AF42" s="98"/>
      <c r="AG42" s="98"/>
      <c r="AH42" s="98"/>
      <c r="AI42" s="102">
        <f t="shared" si="0"/>
        <v>500</v>
      </c>
      <c r="AJ42" s="102"/>
      <c r="AK42" s="102"/>
      <c r="AL42" s="102"/>
      <c r="AM42" s="102"/>
      <c r="AN42" s="102"/>
      <c r="AO42" s="102">
        <f t="shared" si="2"/>
        <v>0</v>
      </c>
      <c r="AP42" s="102"/>
      <c r="AQ42" s="102"/>
      <c r="AR42" s="102"/>
      <c r="AS42" s="102"/>
      <c r="AT42" s="102"/>
      <c r="AU42" s="102">
        <f t="shared" si="1"/>
        <v>5000</v>
      </c>
      <c r="AV42" s="102"/>
      <c r="AW42" s="102"/>
      <c r="AX42" s="102"/>
      <c r="AY42" s="102"/>
      <c r="AZ42" s="102"/>
      <c r="BA42" s="102">
        <f t="shared" si="3"/>
        <v>0</v>
      </c>
      <c r="BB42" s="102"/>
      <c r="BC42" s="102"/>
      <c r="BD42" s="102"/>
      <c r="BE42" s="102"/>
      <c r="BF42" s="102"/>
      <c r="BJ42" s="103" t="s">
        <v>180</v>
      </c>
      <c r="BK42" s="103" t="s">
        <v>62</v>
      </c>
      <c r="BL42" s="103" t="s">
        <v>62</v>
      </c>
      <c r="BM42" s="103" t="s">
        <v>62</v>
      </c>
      <c r="BN42" s="103" t="s">
        <v>62</v>
      </c>
      <c r="BO42" s="103" t="s">
        <v>62</v>
      </c>
      <c r="BP42" s="103" t="s">
        <v>62</v>
      </c>
      <c r="BQ42" s="103" t="s">
        <v>62</v>
      </c>
      <c r="BR42" s="103" t="s">
        <v>62</v>
      </c>
      <c r="BS42" s="103" t="s">
        <v>62</v>
      </c>
      <c r="BT42" s="98">
        <v>500</v>
      </c>
      <c r="BU42" s="98">
        <v>500</v>
      </c>
      <c r="BV42" s="98">
        <v>500</v>
      </c>
      <c r="BW42" s="98">
        <v>500</v>
      </c>
      <c r="BX42" s="98">
        <v>500</v>
      </c>
      <c r="BY42" s="98">
        <v>500</v>
      </c>
      <c r="BZ42" s="98">
        <v>5000</v>
      </c>
      <c r="CA42" s="98">
        <v>5000</v>
      </c>
      <c r="CB42" s="98">
        <v>5000</v>
      </c>
      <c r="CC42" s="98">
        <v>5000</v>
      </c>
      <c r="CD42" s="98">
        <v>5000</v>
      </c>
      <c r="CE42" s="98">
        <v>5000</v>
      </c>
    </row>
    <row r="43" spans="3:83" customFormat="1" x14ac:dyDescent="0.35">
      <c r="D43" t="s">
        <v>191</v>
      </c>
    </row>
    <row r="44" spans="3:83" customFormat="1" x14ac:dyDescent="0.35"/>
    <row r="45" spans="3:83" customFormat="1" x14ac:dyDescent="0.35">
      <c r="C45" t="s">
        <v>65</v>
      </c>
    </row>
    <row r="46" spans="3:83" customFormat="1" x14ac:dyDescent="0.35">
      <c r="D46" s="115" t="s">
        <v>66</v>
      </c>
      <c r="E46" s="116"/>
      <c r="F46" s="116"/>
      <c r="G46" s="117"/>
      <c r="H46" s="115" t="s">
        <v>67</v>
      </c>
      <c r="I46" s="116"/>
      <c r="J46" s="116"/>
      <c r="K46" s="116"/>
      <c r="L46" s="116"/>
      <c r="M46" s="116"/>
      <c r="N46" s="116"/>
      <c r="O46" s="116"/>
      <c r="P46" s="116"/>
      <c r="Q46" s="116"/>
      <c r="R46" s="117"/>
      <c r="S46" s="115" t="s">
        <v>68</v>
      </c>
      <c r="T46" s="116"/>
      <c r="U46" s="116"/>
      <c r="V46" s="116"/>
      <c r="W46" s="116"/>
      <c r="X46" s="116"/>
      <c r="Y46" s="116"/>
      <c r="Z46" s="116"/>
      <c r="AA46" s="116"/>
      <c r="AB46" s="116"/>
      <c r="AC46" s="116"/>
      <c r="AD46" s="116"/>
      <c r="AE46" s="116"/>
      <c r="AF46" s="116"/>
      <c r="AG46" s="116"/>
      <c r="AH46" s="117"/>
    </row>
    <row r="47" spans="3:83" customFormat="1" x14ac:dyDescent="0.35">
      <c r="D47" s="70" t="s">
        <v>70</v>
      </c>
      <c r="E47" s="71"/>
      <c r="F47" s="71"/>
      <c r="G47" s="72"/>
      <c r="H47" s="112">
        <f>SUMIF(D35:G42,"FO",AO35:AT42)</f>
        <v>0</v>
      </c>
      <c r="I47" s="113"/>
      <c r="J47" s="113"/>
      <c r="K47" s="113"/>
      <c r="L47" s="113"/>
      <c r="M47" s="113"/>
      <c r="N47" s="113"/>
      <c r="O47" s="113"/>
      <c r="P47" s="113"/>
      <c r="Q47" s="113"/>
      <c r="R47" s="114"/>
      <c r="S47" s="112">
        <f>SUMIF(D35:G42,"FO",BA35:BF42)</f>
        <v>0</v>
      </c>
      <c r="T47" s="113"/>
      <c r="U47" s="113"/>
      <c r="V47" s="113"/>
      <c r="W47" s="113"/>
      <c r="X47" s="113"/>
      <c r="Y47" s="113"/>
      <c r="Z47" s="113"/>
      <c r="AA47" s="113"/>
      <c r="AB47" s="113"/>
      <c r="AC47" s="113"/>
      <c r="AD47" s="113"/>
      <c r="AE47" s="113"/>
      <c r="AF47" s="113"/>
      <c r="AG47" s="113"/>
      <c r="AH47" s="114"/>
    </row>
    <row r="48" spans="3:83" customFormat="1" x14ac:dyDescent="0.35">
      <c r="D48" s="106" t="s">
        <v>71</v>
      </c>
      <c r="E48" s="107"/>
      <c r="F48" s="107"/>
      <c r="G48" s="108"/>
      <c r="H48" s="109">
        <f>SUM(H47:R47)</f>
        <v>0</v>
      </c>
      <c r="I48" s="110"/>
      <c r="J48" s="110"/>
      <c r="K48" s="110"/>
      <c r="L48" s="110"/>
      <c r="M48" s="110"/>
      <c r="N48" s="110"/>
      <c r="O48" s="110"/>
      <c r="P48" s="110"/>
      <c r="Q48" s="110"/>
      <c r="R48" s="111"/>
      <c r="S48" s="109">
        <f>SUM(S47:AH47)</f>
        <v>0</v>
      </c>
      <c r="T48" s="110"/>
      <c r="U48" s="110"/>
      <c r="V48" s="110"/>
      <c r="W48" s="110"/>
      <c r="X48" s="110"/>
      <c r="Y48" s="110"/>
      <c r="Z48" s="110"/>
      <c r="AA48" s="110"/>
      <c r="AB48" s="110"/>
      <c r="AC48" s="110"/>
      <c r="AD48" s="110"/>
      <c r="AE48" s="110"/>
      <c r="AF48" s="110"/>
      <c r="AG48" s="110"/>
      <c r="AH48" s="111"/>
    </row>
    <row r="49" spans="3:50" customFormat="1" x14ac:dyDescent="0.35"/>
    <row r="50" spans="3:50" customFormat="1" x14ac:dyDescent="0.35">
      <c r="C50" t="s">
        <v>72</v>
      </c>
    </row>
    <row r="51" spans="3:50" customFormat="1" x14ac:dyDescent="0.35">
      <c r="D51" s="92"/>
      <c r="E51" s="92"/>
      <c r="F51" s="92"/>
      <c r="G51" s="92"/>
      <c r="H51" s="92" t="s">
        <v>73</v>
      </c>
      <c r="I51" s="92"/>
      <c r="J51" s="92"/>
      <c r="K51" s="92"/>
      <c r="L51" s="92"/>
      <c r="M51" s="92"/>
      <c r="N51" s="92"/>
      <c r="O51" s="92"/>
      <c r="P51" s="92"/>
      <c r="Q51" s="92"/>
      <c r="R51" s="92"/>
      <c r="S51" s="92" t="s">
        <v>74</v>
      </c>
      <c r="T51" s="92"/>
      <c r="U51" s="92"/>
      <c r="V51" s="92"/>
      <c r="W51" s="92"/>
      <c r="X51" s="92"/>
      <c r="Y51" s="92"/>
      <c r="Z51" s="92"/>
      <c r="AA51" s="92"/>
      <c r="AB51" s="92"/>
      <c r="AC51" s="92"/>
      <c r="AD51" s="92"/>
      <c r="AE51" s="92"/>
      <c r="AF51" s="92"/>
      <c r="AG51" s="92"/>
      <c r="AH51" s="92"/>
      <c r="AI51" s="92" t="s">
        <v>75</v>
      </c>
      <c r="AJ51" s="92"/>
      <c r="AK51" s="92"/>
      <c r="AL51" s="92"/>
      <c r="AM51" s="92"/>
      <c r="AN51" s="92"/>
      <c r="AO51" s="92"/>
      <c r="AP51" s="92"/>
      <c r="AQ51" s="92"/>
      <c r="AR51" s="92"/>
      <c r="AS51" s="92"/>
      <c r="AT51" s="92"/>
      <c r="AU51" s="92"/>
      <c r="AV51" s="92"/>
      <c r="AW51" s="92"/>
      <c r="AX51" s="92"/>
    </row>
    <row r="52" spans="3:50" customFormat="1" x14ac:dyDescent="0.35">
      <c r="D52" s="69" t="s">
        <v>70</v>
      </c>
      <c r="E52" s="69"/>
      <c r="F52" s="69"/>
      <c r="G52" s="69"/>
      <c r="H52" s="105">
        <f>H47</f>
        <v>0</v>
      </c>
      <c r="I52" s="105"/>
      <c r="J52" s="105"/>
      <c r="K52" s="105"/>
      <c r="L52" s="105"/>
      <c r="M52" s="105"/>
      <c r="N52" s="105"/>
      <c r="O52" s="105"/>
      <c r="P52" s="105"/>
      <c r="Q52" s="105"/>
      <c r="R52" s="105"/>
      <c r="S52" s="105">
        <f>H47+S47</f>
        <v>0</v>
      </c>
      <c r="T52" s="105"/>
      <c r="U52" s="105"/>
      <c r="V52" s="105"/>
      <c r="W52" s="105"/>
      <c r="X52" s="105"/>
      <c r="Y52" s="105"/>
      <c r="Z52" s="105"/>
      <c r="AA52" s="105"/>
      <c r="AB52" s="105"/>
      <c r="AC52" s="105"/>
      <c r="AD52" s="105"/>
      <c r="AE52" s="105"/>
      <c r="AF52" s="105"/>
      <c r="AG52" s="105"/>
      <c r="AH52" s="105"/>
      <c r="AI52" s="105">
        <f>H47+S47*5</f>
        <v>0</v>
      </c>
      <c r="AJ52" s="105"/>
      <c r="AK52" s="105"/>
      <c r="AL52" s="105"/>
      <c r="AM52" s="105"/>
      <c r="AN52" s="105"/>
      <c r="AO52" s="105"/>
      <c r="AP52" s="105"/>
      <c r="AQ52" s="105"/>
      <c r="AR52" s="105"/>
      <c r="AS52" s="105"/>
      <c r="AT52" s="105"/>
      <c r="AU52" s="105"/>
      <c r="AV52" s="105"/>
      <c r="AW52" s="105"/>
      <c r="AX52" s="105"/>
    </row>
    <row r="53" spans="3:50" customFormat="1" x14ac:dyDescent="0.35"/>
    <row r="54" spans="3:50" customFormat="1" x14ac:dyDescent="0.35"/>
    <row r="55" spans="3:50" customFormat="1" x14ac:dyDescent="0.35"/>
    <row r="56" spans="3:50" customFormat="1" x14ac:dyDescent="0.35"/>
  </sheetData>
  <mergeCells count="149">
    <mergeCell ref="D35:G35"/>
    <mergeCell ref="D37:G37"/>
    <mergeCell ref="D38:G38"/>
    <mergeCell ref="D40:G40"/>
    <mergeCell ref="D39:G39"/>
    <mergeCell ref="D41:G41"/>
    <mergeCell ref="D42:G42"/>
    <mergeCell ref="Q40:Z40"/>
    <mergeCell ref="AA40:AH40"/>
    <mergeCell ref="D36:G36"/>
    <mergeCell ref="Q39:Z39"/>
    <mergeCell ref="AA39:AH39"/>
    <mergeCell ref="BA40:BF40"/>
    <mergeCell ref="BJ40:BS40"/>
    <mergeCell ref="BT40:BY40"/>
    <mergeCell ref="BZ40:CE40"/>
    <mergeCell ref="D52:G52"/>
    <mergeCell ref="H52:R52"/>
    <mergeCell ref="S52:AH52"/>
    <mergeCell ref="AI52:AX52"/>
    <mergeCell ref="AI51:AX51"/>
    <mergeCell ref="D48:G48"/>
    <mergeCell ref="H48:R48"/>
    <mergeCell ref="S48:AH48"/>
    <mergeCell ref="D51:G51"/>
    <mergeCell ref="H51:R51"/>
    <mergeCell ref="S51:AH51"/>
    <mergeCell ref="D47:G47"/>
    <mergeCell ref="H47:R47"/>
    <mergeCell ref="S47:AH47"/>
    <mergeCell ref="D46:G46"/>
    <mergeCell ref="H46:R46"/>
    <mergeCell ref="S46:AH46"/>
    <mergeCell ref="BZ42:CE42"/>
    <mergeCell ref="AO42:AT42"/>
    <mergeCell ref="AU42:AZ42"/>
    <mergeCell ref="BA42:BF42"/>
    <mergeCell ref="BJ42:BS42"/>
    <mergeCell ref="BT42:BY42"/>
    <mergeCell ref="H42:P42"/>
    <mergeCell ref="Q42:Z42"/>
    <mergeCell ref="AA42:AH42"/>
    <mergeCell ref="AI42:AN42"/>
    <mergeCell ref="BZ39:CE39"/>
    <mergeCell ref="H41:P41"/>
    <mergeCell ref="Q41:Z41"/>
    <mergeCell ref="AA41:AH41"/>
    <mergeCell ref="AI41:AN41"/>
    <mergeCell ref="AO41:AT41"/>
    <mergeCell ref="AU41:AZ41"/>
    <mergeCell ref="BA41:BF41"/>
    <mergeCell ref="BJ41:BS41"/>
    <mergeCell ref="BT41:BY41"/>
    <mergeCell ref="BZ41:CE41"/>
    <mergeCell ref="AO39:AT39"/>
    <mergeCell ref="AU39:AZ39"/>
    <mergeCell ref="BA39:BF39"/>
    <mergeCell ref="BJ39:BS39"/>
    <mergeCell ref="BT39:BY39"/>
    <mergeCell ref="H39:P39"/>
    <mergeCell ref="AI39:AN39"/>
    <mergeCell ref="H40:P40"/>
    <mergeCell ref="AI40:AN40"/>
    <mergeCell ref="AO40:AT40"/>
    <mergeCell ref="AU40:AZ40"/>
    <mergeCell ref="BZ37:CE37"/>
    <mergeCell ref="H38:P38"/>
    <mergeCell ref="Q38:Z38"/>
    <mergeCell ref="AA38:AH38"/>
    <mergeCell ref="AI38:AN38"/>
    <mergeCell ref="AO38:AT38"/>
    <mergeCell ref="AU38:AZ38"/>
    <mergeCell ref="BA38:BF38"/>
    <mergeCell ref="BJ38:BS38"/>
    <mergeCell ref="BT38:BY38"/>
    <mergeCell ref="BZ38:CE38"/>
    <mergeCell ref="AO37:AT37"/>
    <mergeCell ref="AU37:AZ37"/>
    <mergeCell ref="BA37:BF37"/>
    <mergeCell ref="BJ37:BS37"/>
    <mergeCell ref="BT37:BY37"/>
    <mergeCell ref="H37:P37"/>
    <mergeCell ref="Q37:Z37"/>
    <mergeCell ref="AA37:AH37"/>
    <mergeCell ref="AI37:AN37"/>
    <mergeCell ref="AU36:AZ36"/>
    <mergeCell ref="BA36:BF36"/>
    <mergeCell ref="BJ36:BS36"/>
    <mergeCell ref="BT36:BY36"/>
    <mergeCell ref="BZ36:CE36"/>
    <mergeCell ref="H36:P36"/>
    <mergeCell ref="Q36:Z36"/>
    <mergeCell ref="AA36:AH36"/>
    <mergeCell ref="AI36:AN36"/>
    <mergeCell ref="AO36:AT36"/>
    <mergeCell ref="BJ34:BS34"/>
    <mergeCell ref="BT34:BY34"/>
    <mergeCell ref="BZ34:CE34"/>
    <mergeCell ref="H35:P35"/>
    <mergeCell ref="Q35:Z35"/>
    <mergeCell ref="AA35:AH35"/>
    <mergeCell ref="AI35:AN35"/>
    <mergeCell ref="AO35:AT35"/>
    <mergeCell ref="AU35:AZ35"/>
    <mergeCell ref="BA35:BF35"/>
    <mergeCell ref="BJ35:BS35"/>
    <mergeCell ref="BT35:BY35"/>
    <mergeCell ref="BZ35:CE35"/>
    <mergeCell ref="D22:F22"/>
    <mergeCell ref="G22:P22"/>
    <mergeCell ref="Q22:AU22"/>
    <mergeCell ref="AI33:BF33"/>
    <mergeCell ref="D34:G34"/>
    <mergeCell ref="H34:P34"/>
    <mergeCell ref="Q34:Z34"/>
    <mergeCell ref="AA34:AH34"/>
    <mergeCell ref="AI34:AN34"/>
    <mergeCell ref="AO34:AT34"/>
    <mergeCell ref="AU34:AZ34"/>
    <mergeCell ref="BA34:BF34"/>
    <mergeCell ref="D21:F21"/>
    <mergeCell ref="G21:P21"/>
    <mergeCell ref="Q21:AU21"/>
    <mergeCell ref="D18:F18"/>
    <mergeCell ref="G18:P18"/>
    <mergeCell ref="Q18:AU18"/>
    <mergeCell ref="D19:F19"/>
    <mergeCell ref="G19:P19"/>
    <mergeCell ref="Q19:AU19"/>
    <mergeCell ref="B2:F2"/>
    <mergeCell ref="G2:T2"/>
    <mergeCell ref="U2:AR2"/>
    <mergeCell ref="AS2:AZ2"/>
    <mergeCell ref="BA2:BG2"/>
    <mergeCell ref="B3:F4"/>
    <mergeCell ref="G3:T4"/>
    <mergeCell ref="U3:AR4"/>
    <mergeCell ref="AS3:AT3"/>
    <mergeCell ref="AU3:AZ3"/>
    <mergeCell ref="D17:F17"/>
    <mergeCell ref="G17:P17"/>
    <mergeCell ref="Q17:AU17"/>
    <mergeCell ref="BA3:BG3"/>
    <mergeCell ref="AS4:AT4"/>
    <mergeCell ref="AU4:AZ4"/>
    <mergeCell ref="BA4:BG4"/>
    <mergeCell ref="D20:F20"/>
    <mergeCell ref="G20:P20"/>
    <mergeCell ref="Q20:AU20"/>
  </mergeCells>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55DEC-E32E-4545-8B7D-7F59B134A35B}">
  <dimension ref="B2:BG33"/>
  <sheetViews>
    <sheetView showGridLines="0" zoomScaleNormal="100" workbookViewId="0"/>
  </sheetViews>
  <sheetFormatPr defaultColWidth="2.2109375" defaultRowHeight="15" customHeight="1" x14ac:dyDescent="0.35"/>
  <cols>
    <col min="1" max="16384" width="2.2109375" style="21"/>
  </cols>
  <sheetData>
    <row r="2" spans="2:59" ht="15" customHeight="1" x14ac:dyDescent="0.35">
      <c r="B2" s="67" t="s">
        <v>2</v>
      </c>
      <c r="C2" s="67"/>
      <c r="D2" s="67"/>
      <c r="E2" s="67"/>
      <c r="F2" s="67"/>
      <c r="G2" s="74" t="str">
        <f>表紙!V6</f>
        <v>会計システム刷新プロジェクト</v>
      </c>
      <c r="H2" s="74"/>
      <c r="I2" s="74"/>
      <c r="J2" s="74"/>
      <c r="K2" s="74"/>
      <c r="L2" s="74"/>
      <c r="M2" s="74"/>
      <c r="N2" s="74"/>
      <c r="O2" s="74"/>
      <c r="P2" s="74"/>
      <c r="Q2" s="74"/>
      <c r="R2" s="74"/>
      <c r="S2" s="74"/>
      <c r="T2" s="74"/>
      <c r="U2" s="75" t="s">
        <v>3</v>
      </c>
      <c r="V2" s="76"/>
      <c r="W2" s="76"/>
      <c r="X2" s="76"/>
      <c r="Y2" s="76"/>
      <c r="Z2" s="76"/>
      <c r="AA2" s="76"/>
      <c r="AB2" s="76"/>
      <c r="AC2" s="76"/>
      <c r="AD2" s="76"/>
      <c r="AE2" s="76"/>
      <c r="AF2" s="76"/>
      <c r="AG2" s="76"/>
      <c r="AH2" s="76"/>
      <c r="AI2" s="76"/>
      <c r="AJ2" s="76"/>
      <c r="AK2" s="76"/>
      <c r="AL2" s="76"/>
      <c r="AM2" s="76"/>
      <c r="AN2" s="76"/>
      <c r="AO2" s="76"/>
      <c r="AP2" s="76"/>
      <c r="AQ2" s="76"/>
      <c r="AR2" s="77"/>
      <c r="AS2" s="78" t="s">
        <v>4</v>
      </c>
      <c r="AT2" s="78"/>
      <c r="AU2" s="78"/>
      <c r="AV2" s="78"/>
      <c r="AW2" s="78"/>
      <c r="AX2" s="78"/>
      <c r="AY2" s="78"/>
      <c r="AZ2" s="78"/>
      <c r="BA2" s="78" t="s">
        <v>5</v>
      </c>
      <c r="BB2" s="78"/>
      <c r="BC2" s="78"/>
      <c r="BD2" s="78"/>
      <c r="BE2" s="78"/>
      <c r="BF2" s="78"/>
      <c r="BG2" s="78"/>
    </row>
    <row r="3" spans="2:59" ht="15" customHeight="1" x14ac:dyDescent="0.35">
      <c r="B3" s="67" t="s">
        <v>6</v>
      </c>
      <c r="C3" s="67"/>
      <c r="D3" s="67"/>
      <c r="E3" s="67"/>
      <c r="F3" s="67"/>
      <c r="G3" s="74" t="str">
        <f>表紙!V10</f>
        <v>非機能要件定義書_データ容量・パフォーマンス</v>
      </c>
      <c r="H3" s="74"/>
      <c r="I3" s="74"/>
      <c r="J3" s="74"/>
      <c r="K3" s="74"/>
      <c r="L3" s="74"/>
      <c r="M3" s="74"/>
      <c r="N3" s="74"/>
      <c r="O3" s="74"/>
      <c r="P3" s="74"/>
      <c r="Q3" s="74"/>
      <c r="R3" s="74"/>
      <c r="S3" s="74"/>
      <c r="T3" s="74"/>
      <c r="U3" s="80" t="s">
        <v>7</v>
      </c>
      <c r="V3" s="81"/>
      <c r="W3" s="81"/>
      <c r="X3" s="81"/>
      <c r="Y3" s="81"/>
      <c r="Z3" s="81"/>
      <c r="AA3" s="81"/>
      <c r="AB3" s="81"/>
      <c r="AC3" s="81"/>
      <c r="AD3" s="81"/>
      <c r="AE3" s="81"/>
      <c r="AF3" s="81"/>
      <c r="AG3" s="81"/>
      <c r="AH3" s="81"/>
      <c r="AI3" s="81"/>
      <c r="AJ3" s="81"/>
      <c r="AK3" s="81"/>
      <c r="AL3" s="81"/>
      <c r="AM3" s="81"/>
      <c r="AN3" s="81"/>
      <c r="AO3" s="81"/>
      <c r="AP3" s="81"/>
      <c r="AQ3" s="81"/>
      <c r="AR3" s="82"/>
      <c r="AS3" s="67" t="s">
        <v>8</v>
      </c>
      <c r="AT3" s="67"/>
      <c r="AU3" s="68">
        <v>45379</v>
      </c>
      <c r="AV3" s="68"/>
      <c r="AW3" s="68"/>
      <c r="AX3" s="68"/>
      <c r="AY3" s="68"/>
      <c r="AZ3" s="68"/>
      <c r="BA3" s="66" t="s">
        <v>202</v>
      </c>
      <c r="BB3" s="66"/>
      <c r="BC3" s="66"/>
      <c r="BD3" s="66"/>
      <c r="BE3" s="66"/>
      <c r="BF3" s="66"/>
      <c r="BG3" s="66"/>
    </row>
    <row r="4" spans="2:59" ht="15" customHeight="1" x14ac:dyDescent="0.35">
      <c r="B4" s="67"/>
      <c r="C4" s="67"/>
      <c r="D4" s="67"/>
      <c r="E4" s="67"/>
      <c r="F4" s="67"/>
      <c r="G4" s="79"/>
      <c r="H4" s="79"/>
      <c r="I4" s="79"/>
      <c r="J4" s="79"/>
      <c r="K4" s="79"/>
      <c r="L4" s="79"/>
      <c r="M4" s="79"/>
      <c r="N4" s="79"/>
      <c r="O4" s="79"/>
      <c r="P4" s="79"/>
      <c r="Q4" s="79"/>
      <c r="R4" s="79"/>
      <c r="S4" s="79"/>
      <c r="T4" s="79"/>
      <c r="U4" s="83"/>
      <c r="V4" s="84"/>
      <c r="W4" s="84"/>
      <c r="X4" s="84"/>
      <c r="Y4" s="84"/>
      <c r="Z4" s="84"/>
      <c r="AA4" s="84"/>
      <c r="AB4" s="84"/>
      <c r="AC4" s="84"/>
      <c r="AD4" s="84"/>
      <c r="AE4" s="84"/>
      <c r="AF4" s="84"/>
      <c r="AG4" s="84"/>
      <c r="AH4" s="84"/>
      <c r="AI4" s="84"/>
      <c r="AJ4" s="84"/>
      <c r="AK4" s="84"/>
      <c r="AL4" s="84"/>
      <c r="AM4" s="84"/>
      <c r="AN4" s="84"/>
      <c r="AO4" s="84"/>
      <c r="AP4" s="84"/>
      <c r="AQ4" s="84"/>
      <c r="AR4" s="85"/>
      <c r="AS4" s="67" t="s">
        <v>9</v>
      </c>
      <c r="AT4" s="67"/>
      <c r="AU4" s="68"/>
      <c r="AV4" s="68"/>
      <c r="AW4" s="68"/>
      <c r="AX4" s="68"/>
      <c r="AY4" s="68"/>
      <c r="AZ4" s="68"/>
      <c r="BA4" s="66"/>
      <c r="BB4" s="66"/>
      <c r="BC4" s="66"/>
      <c r="BD4" s="66"/>
      <c r="BE4" s="66"/>
      <c r="BF4" s="66"/>
      <c r="BG4" s="66"/>
    </row>
    <row r="6" spans="2:59" ht="15" customHeight="1" x14ac:dyDescent="0.35">
      <c r="B6" s="21" t="s">
        <v>10</v>
      </c>
      <c r="C6" s="21" t="s">
        <v>76</v>
      </c>
    </row>
    <row r="7" spans="2:59" ht="15" customHeight="1" x14ac:dyDescent="0.3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ht="15" customHeight="1" x14ac:dyDescent="0.35">
      <c r="C8" s="21" t="s">
        <v>77</v>
      </c>
    </row>
    <row r="9" spans="2:59" ht="15" customHeight="1" x14ac:dyDescent="0.35">
      <c r="C9" s="22"/>
      <c r="D9" s="62"/>
      <c r="E9" s="62"/>
      <c r="F9" s="62"/>
      <c r="G9" s="62"/>
      <c r="H9" s="62" t="s">
        <v>78</v>
      </c>
      <c r="I9" s="62"/>
      <c r="J9" s="62" t="s">
        <v>78</v>
      </c>
      <c r="K9" s="62"/>
      <c r="L9" s="62" t="s">
        <v>78</v>
      </c>
      <c r="M9" s="62"/>
      <c r="N9" s="62" t="s">
        <v>78</v>
      </c>
      <c r="O9" s="62"/>
      <c r="P9" s="62" t="s">
        <v>78</v>
      </c>
      <c r="Q9" s="62"/>
      <c r="R9" s="62" t="s">
        <v>78</v>
      </c>
      <c r="S9" s="62"/>
      <c r="T9" s="62" t="s">
        <v>78</v>
      </c>
      <c r="U9" s="62"/>
      <c r="V9" s="62" t="s">
        <v>78</v>
      </c>
      <c r="W9" s="62"/>
      <c r="X9" s="62" t="s">
        <v>78</v>
      </c>
      <c r="Y9" s="62"/>
      <c r="Z9" s="62" t="s">
        <v>78</v>
      </c>
      <c r="AA9" s="62"/>
      <c r="AB9" s="62" t="s">
        <v>78</v>
      </c>
      <c r="AC9" s="62"/>
      <c r="AD9" s="62" t="s">
        <v>78</v>
      </c>
      <c r="AE9" s="62"/>
      <c r="AF9" s="62" t="s">
        <v>79</v>
      </c>
      <c r="AG9" s="62" t="s">
        <v>79</v>
      </c>
      <c r="AH9" s="62" t="s">
        <v>79</v>
      </c>
      <c r="AI9" s="62" t="s">
        <v>79</v>
      </c>
      <c r="AJ9" s="62" t="s">
        <v>79</v>
      </c>
      <c r="AK9" s="62" t="s">
        <v>79</v>
      </c>
      <c r="AL9" s="62" t="s">
        <v>79</v>
      </c>
      <c r="AM9" s="62" t="s">
        <v>80</v>
      </c>
      <c r="AN9" s="62" t="s">
        <v>80</v>
      </c>
      <c r="AO9" s="62" t="s">
        <v>80</v>
      </c>
      <c r="AP9" s="62" t="s">
        <v>80</v>
      </c>
      <c r="AQ9" s="62" t="s">
        <v>80</v>
      </c>
      <c r="AR9" s="62" t="s">
        <v>80</v>
      </c>
      <c r="AS9" s="62" t="s">
        <v>80</v>
      </c>
    </row>
    <row r="10" spans="2:59" ht="15" customHeight="1" x14ac:dyDescent="0.35">
      <c r="C10" s="22"/>
      <c r="D10" s="86" t="s">
        <v>81</v>
      </c>
      <c r="E10" s="87" t="s">
        <v>81</v>
      </c>
      <c r="F10" s="87" t="s">
        <v>81</v>
      </c>
      <c r="G10" s="88" t="s">
        <v>81</v>
      </c>
      <c r="H10" s="69" t="s">
        <v>82</v>
      </c>
      <c r="I10" s="69" t="s">
        <v>82</v>
      </c>
      <c r="J10" s="69" t="s">
        <v>82</v>
      </c>
      <c r="K10" s="69" t="s">
        <v>82</v>
      </c>
      <c r="L10" s="69" t="s">
        <v>82</v>
      </c>
      <c r="M10" s="69" t="s">
        <v>82</v>
      </c>
      <c r="N10" s="69" t="s">
        <v>82</v>
      </c>
      <c r="O10" s="69" t="s">
        <v>82</v>
      </c>
      <c r="P10" s="69" t="s">
        <v>82</v>
      </c>
      <c r="Q10" s="69" t="s">
        <v>82</v>
      </c>
      <c r="R10" s="69" t="s">
        <v>82</v>
      </c>
      <c r="S10" s="69" t="s">
        <v>82</v>
      </c>
      <c r="T10" s="69" t="s">
        <v>82</v>
      </c>
      <c r="U10" s="69" t="s">
        <v>82</v>
      </c>
      <c r="V10" s="69" t="s">
        <v>82</v>
      </c>
      <c r="W10" s="69" t="s">
        <v>82</v>
      </c>
      <c r="X10" s="69" t="s">
        <v>82</v>
      </c>
      <c r="Y10" s="69" t="s">
        <v>82</v>
      </c>
      <c r="Z10" s="69" t="s">
        <v>82</v>
      </c>
      <c r="AA10" s="69" t="s">
        <v>82</v>
      </c>
      <c r="AB10" s="69" t="s">
        <v>82</v>
      </c>
      <c r="AC10" s="69" t="s">
        <v>82</v>
      </c>
      <c r="AD10" s="69" t="s">
        <v>82</v>
      </c>
      <c r="AE10" s="69" t="s">
        <v>82</v>
      </c>
      <c r="AF10" s="136">
        <v>5000</v>
      </c>
      <c r="AG10" s="136">
        <v>5000</v>
      </c>
      <c r="AH10" s="136">
        <v>5000</v>
      </c>
      <c r="AI10" s="136">
        <v>5000</v>
      </c>
      <c r="AJ10" s="136">
        <v>5000</v>
      </c>
      <c r="AK10" s="136">
        <v>5000</v>
      </c>
      <c r="AL10" s="136">
        <v>5000</v>
      </c>
      <c r="AM10" s="136">
        <f t="shared" ref="AM10:AS11" si="0">AL10*100</f>
        <v>500000</v>
      </c>
      <c r="AN10" s="136">
        <f t="shared" si="0"/>
        <v>50000000</v>
      </c>
      <c r="AO10" s="136">
        <f t="shared" si="0"/>
        <v>5000000000</v>
      </c>
      <c r="AP10" s="136">
        <f t="shared" si="0"/>
        <v>500000000000</v>
      </c>
      <c r="AQ10" s="136">
        <f t="shared" si="0"/>
        <v>50000000000000</v>
      </c>
      <c r="AR10" s="136">
        <f t="shared" si="0"/>
        <v>5000000000000000</v>
      </c>
      <c r="AS10" s="136">
        <f t="shared" si="0"/>
        <v>5E+17</v>
      </c>
    </row>
    <row r="11" spans="2:59" ht="15" customHeight="1" x14ac:dyDescent="0.35">
      <c r="C11" s="22"/>
      <c r="D11" s="86" t="s">
        <v>83</v>
      </c>
      <c r="E11" s="87" t="s">
        <v>83</v>
      </c>
      <c r="F11" s="87" t="s">
        <v>83</v>
      </c>
      <c r="G11" s="88" t="s">
        <v>83</v>
      </c>
      <c r="H11" s="69" t="s">
        <v>84</v>
      </c>
      <c r="I11" s="69" t="s">
        <v>84</v>
      </c>
      <c r="J11" s="69" t="s">
        <v>84</v>
      </c>
      <c r="K11" s="69" t="s">
        <v>84</v>
      </c>
      <c r="L11" s="69" t="s">
        <v>84</v>
      </c>
      <c r="M11" s="69" t="s">
        <v>84</v>
      </c>
      <c r="N11" s="69" t="s">
        <v>84</v>
      </c>
      <c r="O11" s="69" t="s">
        <v>84</v>
      </c>
      <c r="P11" s="69" t="s">
        <v>84</v>
      </c>
      <c r="Q11" s="69" t="s">
        <v>84</v>
      </c>
      <c r="R11" s="69" t="s">
        <v>84</v>
      </c>
      <c r="S11" s="69" t="s">
        <v>84</v>
      </c>
      <c r="T11" s="69" t="s">
        <v>84</v>
      </c>
      <c r="U11" s="69" t="s">
        <v>84</v>
      </c>
      <c r="V11" s="69" t="s">
        <v>84</v>
      </c>
      <c r="W11" s="69" t="s">
        <v>84</v>
      </c>
      <c r="X11" s="69" t="s">
        <v>84</v>
      </c>
      <c r="Y11" s="69" t="s">
        <v>84</v>
      </c>
      <c r="Z11" s="69" t="s">
        <v>84</v>
      </c>
      <c r="AA11" s="69" t="s">
        <v>84</v>
      </c>
      <c r="AB11" s="69" t="s">
        <v>84</v>
      </c>
      <c r="AC11" s="69" t="s">
        <v>84</v>
      </c>
      <c r="AD11" s="69" t="s">
        <v>84</v>
      </c>
      <c r="AE11" s="69" t="s">
        <v>84</v>
      </c>
      <c r="AF11" s="136">
        <v>300</v>
      </c>
      <c r="AG11" s="136">
        <v>300</v>
      </c>
      <c r="AH11" s="136">
        <v>300</v>
      </c>
      <c r="AI11" s="136">
        <v>300</v>
      </c>
      <c r="AJ11" s="136">
        <v>300</v>
      </c>
      <c r="AK11" s="136">
        <v>300</v>
      </c>
      <c r="AL11" s="136">
        <v>300</v>
      </c>
      <c r="AM11" s="136">
        <f t="shared" si="0"/>
        <v>30000</v>
      </c>
      <c r="AN11" s="136">
        <f t="shared" si="0"/>
        <v>3000000</v>
      </c>
      <c r="AO11" s="136">
        <f t="shared" si="0"/>
        <v>300000000</v>
      </c>
      <c r="AP11" s="136">
        <f t="shared" si="0"/>
        <v>30000000000</v>
      </c>
      <c r="AQ11" s="136">
        <f t="shared" si="0"/>
        <v>3000000000000</v>
      </c>
      <c r="AR11" s="136">
        <f t="shared" si="0"/>
        <v>300000000000000</v>
      </c>
      <c r="AS11" s="136">
        <f t="shared" si="0"/>
        <v>3E+16</v>
      </c>
    </row>
    <row r="12" spans="2:59" ht="15" customHeight="1" x14ac:dyDescent="0.35">
      <c r="C12" s="22"/>
      <c r="D12" s="21" t="s">
        <v>192</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row>
    <row r="13" spans="2:59" ht="15" customHeight="1" x14ac:dyDescent="0.35">
      <c r="C13" s="22"/>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row>
    <row r="15" spans="2:59" ht="15" customHeight="1" x14ac:dyDescent="0.35">
      <c r="B15" s="21" t="s">
        <v>10</v>
      </c>
      <c r="C15" s="21" t="s">
        <v>85</v>
      </c>
    </row>
    <row r="16" spans="2:59" ht="15" customHeight="1" x14ac:dyDescent="0.3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row>
    <row r="17" spans="3:52" ht="15" customHeight="1" x14ac:dyDescent="0.35">
      <c r="C17" s="21" t="s">
        <v>86</v>
      </c>
    </row>
    <row r="18" spans="3:52" ht="15" customHeight="1" x14ac:dyDescent="0.35">
      <c r="D18" s="21" t="s">
        <v>87</v>
      </c>
    </row>
    <row r="19" spans="3:52" ht="15" customHeight="1" x14ac:dyDescent="0.35">
      <c r="D19" s="133" t="s">
        <v>88</v>
      </c>
      <c r="E19" s="133"/>
      <c r="F19" s="133"/>
      <c r="G19" s="133"/>
      <c r="H19" s="133"/>
      <c r="I19" s="133" t="s">
        <v>89</v>
      </c>
      <c r="J19" s="133"/>
      <c r="K19" s="133"/>
      <c r="L19" s="133"/>
      <c r="M19" s="133"/>
      <c r="N19" s="133"/>
      <c r="O19" s="133"/>
      <c r="P19" s="133"/>
      <c r="Q19" s="133"/>
      <c r="R19" s="133"/>
      <c r="S19" s="133"/>
      <c r="T19" s="133" t="s">
        <v>90</v>
      </c>
      <c r="U19" s="133"/>
      <c r="V19" s="133"/>
      <c r="W19" s="133"/>
      <c r="X19" s="133"/>
      <c r="Y19" s="133"/>
      <c r="Z19" s="133"/>
      <c r="AA19" s="133"/>
      <c r="AB19" s="133"/>
      <c r="AC19" s="133"/>
      <c r="AD19" s="133"/>
      <c r="AE19" s="133" t="s">
        <v>200</v>
      </c>
      <c r="AF19" s="133"/>
      <c r="AG19" s="133"/>
      <c r="AH19" s="133"/>
      <c r="AI19" s="133"/>
      <c r="AJ19" s="133"/>
      <c r="AK19" s="133"/>
      <c r="AL19" s="133"/>
      <c r="AM19" s="133"/>
      <c r="AN19" s="133"/>
      <c r="AO19" s="133"/>
      <c r="AP19" s="133" t="s">
        <v>91</v>
      </c>
      <c r="AQ19" s="133"/>
      <c r="AR19" s="133"/>
      <c r="AS19" s="133"/>
      <c r="AT19" s="133"/>
      <c r="AU19" s="133"/>
      <c r="AV19" s="133"/>
      <c r="AW19" s="133"/>
      <c r="AX19" s="133"/>
      <c r="AY19" s="133"/>
      <c r="AZ19" s="133"/>
    </row>
    <row r="20" spans="3:52" ht="15" customHeight="1" x14ac:dyDescent="0.35">
      <c r="D20" s="134" t="s">
        <v>95</v>
      </c>
      <c r="E20" s="134"/>
      <c r="F20" s="134"/>
      <c r="G20" s="134"/>
      <c r="H20" s="134"/>
      <c r="I20" s="135" t="s">
        <v>92</v>
      </c>
      <c r="J20" s="135"/>
      <c r="K20" s="135"/>
      <c r="L20" s="135"/>
      <c r="M20" s="135"/>
      <c r="N20" s="135"/>
      <c r="O20" s="135"/>
      <c r="P20" s="135"/>
      <c r="Q20" s="135"/>
      <c r="R20" s="135"/>
      <c r="S20" s="135"/>
      <c r="T20" s="134" t="s">
        <v>96</v>
      </c>
      <c r="U20" s="134"/>
      <c r="V20" s="134"/>
      <c r="W20" s="134"/>
      <c r="X20" s="134"/>
      <c r="Y20" s="134"/>
      <c r="Z20" s="134"/>
      <c r="AA20" s="134"/>
      <c r="AB20" s="134"/>
      <c r="AC20" s="134"/>
      <c r="AD20" s="134"/>
      <c r="AE20" s="135" t="s">
        <v>93</v>
      </c>
      <c r="AF20" s="135"/>
      <c r="AG20" s="135"/>
      <c r="AH20" s="135"/>
      <c r="AI20" s="135"/>
      <c r="AJ20" s="135"/>
      <c r="AK20" s="135"/>
      <c r="AL20" s="135"/>
      <c r="AM20" s="135"/>
      <c r="AN20" s="135"/>
      <c r="AO20" s="135"/>
      <c r="AP20" s="188" t="s">
        <v>97</v>
      </c>
      <c r="AQ20" s="189"/>
      <c r="AR20" s="189"/>
      <c r="AS20" s="189"/>
      <c r="AT20" s="189"/>
      <c r="AU20" s="189"/>
      <c r="AV20" s="189"/>
      <c r="AW20" s="189"/>
      <c r="AX20" s="189"/>
      <c r="AY20" s="189"/>
      <c r="AZ20" s="189"/>
    </row>
    <row r="21" spans="3:52" ht="15" customHeight="1" x14ac:dyDescent="0.35">
      <c r="D21" s="134"/>
      <c r="E21" s="134"/>
      <c r="F21" s="134"/>
      <c r="G21" s="134"/>
      <c r="H21" s="134"/>
      <c r="I21" s="135"/>
      <c r="J21" s="135"/>
      <c r="K21" s="135"/>
      <c r="L21" s="135"/>
      <c r="M21" s="135"/>
      <c r="N21" s="135"/>
      <c r="O21" s="135"/>
      <c r="P21" s="135"/>
      <c r="Q21" s="135"/>
      <c r="R21" s="135"/>
      <c r="S21" s="135"/>
      <c r="T21" s="134"/>
      <c r="U21" s="134"/>
      <c r="V21" s="134"/>
      <c r="W21" s="134"/>
      <c r="X21" s="134"/>
      <c r="Y21" s="134"/>
      <c r="Z21" s="134"/>
      <c r="AA21" s="134"/>
      <c r="AB21" s="134"/>
      <c r="AC21" s="134"/>
      <c r="AD21" s="134"/>
      <c r="AE21" s="135"/>
      <c r="AF21" s="135"/>
      <c r="AG21" s="135"/>
      <c r="AH21" s="135"/>
      <c r="AI21" s="135"/>
      <c r="AJ21" s="135"/>
      <c r="AK21" s="135"/>
      <c r="AL21" s="135"/>
      <c r="AM21" s="135"/>
      <c r="AN21" s="135"/>
      <c r="AO21" s="135"/>
      <c r="AP21" s="189"/>
      <c r="AQ21" s="189"/>
      <c r="AR21" s="189"/>
      <c r="AS21" s="189"/>
      <c r="AT21" s="189"/>
      <c r="AU21" s="189"/>
      <c r="AV21" s="189"/>
      <c r="AW21" s="189"/>
      <c r="AX21" s="189"/>
      <c r="AY21" s="189"/>
      <c r="AZ21" s="189"/>
    </row>
    <row r="22" spans="3:52" ht="15" customHeight="1" x14ac:dyDescent="0.35">
      <c r="D22" s="134"/>
      <c r="E22" s="134"/>
      <c r="F22" s="134"/>
      <c r="G22" s="134"/>
      <c r="H22" s="134"/>
      <c r="I22" s="135" t="s">
        <v>98</v>
      </c>
      <c r="J22" s="135"/>
      <c r="K22" s="135"/>
      <c r="L22" s="135"/>
      <c r="M22" s="135"/>
      <c r="N22" s="135"/>
      <c r="O22" s="135"/>
      <c r="P22" s="135"/>
      <c r="Q22" s="135"/>
      <c r="R22" s="135"/>
      <c r="S22" s="135"/>
      <c r="T22" s="134" t="s">
        <v>96</v>
      </c>
      <c r="U22" s="134"/>
      <c r="V22" s="134"/>
      <c r="W22" s="134"/>
      <c r="X22" s="134"/>
      <c r="Y22" s="134"/>
      <c r="Z22" s="134"/>
      <c r="AA22" s="134"/>
      <c r="AB22" s="134"/>
      <c r="AC22" s="134"/>
      <c r="AD22" s="134"/>
      <c r="AE22" s="135" t="s">
        <v>99</v>
      </c>
      <c r="AF22" s="135"/>
      <c r="AG22" s="135"/>
      <c r="AH22" s="135"/>
      <c r="AI22" s="135"/>
      <c r="AJ22" s="135"/>
      <c r="AK22" s="135"/>
      <c r="AL22" s="135"/>
      <c r="AM22" s="135"/>
      <c r="AN22" s="135"/>
      <c r="AO22" s="135"/>
      <c r="AP22" s="121" t="s">
        <v>94</v>
      </c>
      <c r="AQ22" s="122"/>
      <c r="AR22" s="122"/>
      <c r="AS22" s="122"/>
      <c r="AT22" s="122"/>
      <c r="AU22" s="122"/>
      <c r="AV22" s="122"/>
      <c r="AW22" s="122"/>
      <c r="AX22" s="122"/>
      <c r="AY22" s="122"/>
      <c r="AZ22" s="123"/>
    </row>
    <row r="23" spans="3:52" ht="15" customHeight="1" x14ac:dyDescent="0.35">
      <c r="D23" s="134"/>
      <c r="E23" s="134"/>
      <c r="F23" s="134"/>
      <c r="G23" s="134"/>
      <c r="H23" s="134"/>
      <c r="I23" s="135"/>
      <c r="J23" s="135"/>
      <c r="K23" s="135"/>
      <c r="L23" s="135"/>
      <c r="M23" s="135"/>
      <c r="N23" s="135"/>
      <c r="O23" s="135"/>
      <c r="P23" s="135"/>
      <c r="Q23" s="135"/>
      <c r="R23" s="135"/>
      <c r="S23" s="135"/>
      <c r="T23" s="134"/>
      <c r="U23" s="134"/>
      <c r="V23" s="134"/>
      <c r="W23" s="134"/>
      <c r="X23" s="134"/>
      <c r="Y23" s="134"/>
      <c r="Z23" s="134"/>
      <c r="AA23" s="134"/>
      <c r="AB23" s="134"/>
      <c r="AC23" s="134"/>
      <c r="AD23" s="134"/>
      <c r="AE23" s="135"/>
      <c r="AF23" s="135"/>
      <c r="AG23" s="135"/>
      <c r="AH23" s="135"/>
      <c r="AI23" s="135"/>
      <c r="AJ23" s="135"/>
      <c r="AK23" s="135"/>
      <c r="AL23" s="135"/>
      <c r="AM23" s="135"/>
      <c r="AN23" s="135"/>
      <c r="AO23" s="135"/>
      <c r="AP23" s="124"/>
      <c r="AQ23" s="125"/>
      <c r="AR23" s="125"/>
      <c r="AS23" s="125"/>
      <c r="AT23" s="125"/>
      <c r="AU23" s="125"/>
      <c r="AV23" s="125"/>
      <c r="AW23" s="125"/>
      <c r="AX23" s="125"/>
      <c r="AY23" s="125"/>
      <c r="AZ23" s="126"/>
    </row>
    <row r="24" spans="3:52" ht="15" customHeight="1" x14ac:dyDescent="0.35">
      <c r="D24" s="134"/>
      <c r="E24" s="134"/>
      <c r="F24" s="134"/>
      <c r="G24" s="134"/>
      <c r="H24" s="134"/>
      <c r="I24" s="135" t="s">
        <v>100</v>
      </c>
      <c r="J24" s="135"/>
      <c r="K24" s="135"/>
      <c r="L24" s="135"/>
      <c r="M24" s="135"/>
      <c r="N24" s="135"/>
      <c r="O24" s="135"/>
      <c r="P24" s="135"/>
      <c r="Q24" s="135"/>
      <c r="R24" s="135"/>
      <c r="S24" s="135"/>
      <c r="T24" s="134" t="s">
        <v>96</v>
      </c>
      <c r="U24" s="134"/>
      <c r="V24" s="134"/>
      <c r="W24" s="134"/>
      <c r="X24" s="134"/>
      <c r="Y24" s="134"/>
      <c r="Z24" s="134"/>
      <c r="AA24" s="134"/>
      <c r="AB24" s="134"/>
      <c r="AC24" s="134"/>
      <c r="AD24" s="134"/>
      <c r="AE24" s="135" t="s">
        <v>93</v>
      </c>
      <c r="AF24" s="135"/>
      <c r="AG24" s="135"/>
      <c r="AH24" s="135"/>
      <c r="AI24" s="135"/>
      <c r="AJ24" s="135"/>
      <c r="AK24" s="135"/>
      <c r="AL24" s="135"/>
      <c r="AM24" s="135"/>
      <c r="AN24" s="135"/>
      <c r="AO24" s="135"/>
      <c r="AP24" s="127" t="s">
        <v>173</v>
      </c>
      <c r="AQ24" s="128"/>
      <c r="AR24" s="128"/>
      <c r="AS24" s="128"/>
      <c r="AT24" s="128"/>
      <c r="AU24" s="128"/>
      <c r="AV24" s="128"/>
      <c r="AW24" s="128"/>
      <c r="AX24" s="128"/>
      <c r="AY24" s="128"/>
      <c r="AZ24" s="129"/>
    </row>
    <row r="25" spans="3:52" ht="15" customHeight="1" x14ac:dyDescent="0.35">
      <c r="D25" s="134"/>
      <c r="E25" s="134"/>
      <c r="F25" s="134"/>
      <c r="G25" s="134"/>
      <c r="H25" s="134"/>
      <c r="I25" s="135"/>
      <c r="J25" s="135"/>
      <c r="K25" s="135"/>
      <c r="L25" s="135"/>
      <c r="M25" s="135"/>
      <c r="N25" s="135"/>
      <c r="O25" s="135"/>
      <c r="P25" s="135"/>
      <c r="Q25" s="135"/>
      <c r="R25" s="135"/>
      <c r="S25" s="135"/>
      <c r="T25" s="134"/>
      <c r="U25" s="134"/>
      <c r="V25" s="134"/>
      <c r="W25" s="134"/>
      <c r="X25" s="134"/>
      <c r="Y25" s="134"/>
      <c r="Z25" s="134"/>
      <c r="AA25" s="134"/>
      <c r="AB25" s="134"/>
      <c r="AC25" s="134"/>
      <c r="AD25" s="134"/>
      <c r="AE25" s="135"/>
      <c r="AF25" s="135"/>
      <c r="AG25" s="135"/>
      <c r="AH25" s="135"/>
      <c r="AI25" s="135"/>
      <c r="AJ25" s="135"/>
      <c r="AK25" s="135"/>
      <c r="AL25" s="135"/>
      <c r="AM25" s="135"/>
      <c r="AN25" s="135"/>
      <c r="AO25" s="135"/>
      <c r="AP25" s="130"/>
      <c r="AQ25" s="131"/>
      <c r="AR25" s="131"/>
      <c r="AS25" s="131"/>
      <c r="AT25" s="131"/>
      <c r="AU25" s="131"/>
      <c r="AV25" s="131"/>
      <c r="AW25" s="131"/>
      <c r="AX25" s="131"/>
      <c r="AY25" s="131"/>
      <c r="AZ25" s="132"/>
    </row>
    <row r="26" spans="3:52" ht="15" customHeight="1" x14ac:dyDescent="0.35">
      <c r="D26" s="21" t="s">
        <v>101</v>
      </c>
      <c r="F26" s="21" t="s">
        <v>102</v>
      </c>
    </row>
    <row r="27" spans="3:52" ht="15" customHeight="1" x14ac:dyDescent="0.35">
      <c r="E27" s="22" t="s">
        <v>103</v>
      </c>
    </row>
    <row r="28" spans="3:52" ht="15" customHeight="1" x14ac:dyDescent="0.35">
      <c r="E28" s="22"/>
    </row>
    <row r="29" spans="3:52" ht="15" customHeight="1" x14ac:dyDescent="0.35">
      <c r="D29" s="21" t="s">
        <v>104</v>
      </c>
      <c r="F29" s="21" t="s">
        <v>105</v>
      </c>
    </row>
    <row r="30" spans="3:52" ht="15" customHeight="1" x14ac:dyDescent="0.35">
      <c r="F30" s="21" t="s">
        <v>106</v>
      </c>
    </row>
    <row r="32" spans="3:52" ht="15" customHeight="1" x14ac:dyDescent="0.35">
      <c r="F32" s="22"/>
    </row>
    <row r="33" spans="6:6" ht="15" customHeight="1" x14ac:dyDescent="0.35">
      <c r="F33" s="22"/>
    </row>
  </sheetData>
  <mergeCells count="44">
    <mergeCell ref="AM10:AS10"/>
    <mergeCell ref="D11:G11"/>
    <mergeCell ref="H11:AE11"/>
    <mergeCell ref="AF11:AL11"/>
    <mergeCell ref="AM11:AS11"/>
    <mergeCell ref="D19:H19"/>
    <mergeCell ref="I19:S19"/>
    <mergeCell ref="D10:G10"/>
    <mergeCell ref="H10:AE10"/>
    <mergeCell ref="AF10:AL10"/>
    <mergeCell ref="T20:AD21"/>
    <mergeCell ref="AE20:AO21"/>
    <mergeCell ref="I22:S23"/>
    <mergeCell ref="T22:AD23"/>
    <mergeCell ref="AE22:AO23"/>
    <mergeCell ref="BA3:BG3"/>
    <mergeCell ref="AS4:AT4"/>
    <mergeCell ref="AU4:AZ4"/>
    <mergeCell ref="BA4:BG4"/>
    <mergeCell ref="D9:G9"/>
    <mergeCell ref="H9:AE9"/>
    <mergeCell ref="AF9:AL9"/>
    <mergeCell ref="AM9:AS9"/>
    <mergeCell ref="B2:F2"/>
    <mergeCell ref="G2:T2"/>
    <mergeCell ref="U2:AR2"/>
    <mergeCell ref="AS2:AZ2"/>
    <mergeCell ref="BA2:BG2"/>
    <mergeCell ref="AP20:AZ21"/>
    <mergeCell ref="AP22:AZ23"/>
    <mergeCell ref="AP24:AZ25"/>
    <mergeCell ref="AP19:AZ19"/>
    <mergeCell ref="B3:F4"/>
    <mergeCell ref="G3:T4"/>
    <mergeCell ref="U3:AR4"/>
    <mergeCell ref="AS3:AT3"/>
    <mergeCell ref="AU3:AZ3"/>
    <mergeCell ref="T19:AD19"/>
    <mergeCell ref="AE19:AO19"/>
    <mergeCell ref="D20:H25"/>
    <mergeCell ref="I24:S25"/>
    <mergeCell ref="T24:AD25"/>
    <mergeCell ref="AE24:AO25"/>
    <mergeCell ref="I20:S21"/>
  </mergeCells>
  <phoneticPr fontId="20"/>
  <hyperlinks>
    <hyperlink ref="E27" r:id="rId1" xr:uid="{E9BE4360-A6D1-4DEE-8A8F-773980A001A3}"/>
  </hyperlinks>
  <pageMargins left="0.7" right="0.7" top="0.75" bottom="0.75" header="0.3" footer="0.3"/>
  <pageSetup paperSize="9" orientation="portrait"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B4D9-2558-4C30-856D-E04BDDB6F1A7}">
  <dimension ref="B2:BG24"/>
  <sheetViews>
    <sheetView showGridLines="0" zoomScaleNormal="100" workbookViewId="0"/>
  </sheetViews>
  <sheetFormatPr defaultColWidth="2.2109375" defaultRowHeight="15" customHeight="1" x14ac:dyDescent="0.35"/>
  <cols>
    <col min="1" max="16384" width="2.2109375" style="21"/>
  </cols>
  <sheetData>
    <row r="2" spans="2:59" ht="15" customHeight="1" x14ac:dyDescent="0.35">
      <c r="B2" s="67" t="s">
        <v>2</v>
      </c>
      <c r="C2" s="67"/>
      <c r="D2" s="67"/>
      <c r="E2" s="67"/>
      <c r="F2" s="67"/>
      <c r="G2" s="74" t="str">
        <f>表紙!V6</f>
        <v>会計システム刷新プロジェクト</v>
      </c>
      <c r="H2" s="74"/>
      <c r="I2" s="74"/>
      <c r="J2" s="74"/>
      <c r="K2" s="74"/>
      <c r="L2" s="74"/>
      <c r="M2" s="74"/>
      <c r="N2" s="74"/>
      <c r="O2" s="74"/>
      <c r="P2" s="74"/>
      <c r="Q2" s="74"/>
      <c r="R2" s="74"/>
      <c r="S2" s="74"/>
      <c r="T2" s="74"/>
      <c r="U2" s="75" t="s">
        <v>3</v>
      </c>
      <c r="V2" s="76"/>
      <c r="W2" s="76"/>
      <c r="X2" s="76"/>
      <c r="Y2" s="76"/>
      <c r="Z2" s="76"/>
      <c r="AA2" s="76"/>
      <c r="AB2" s="76"/>
      <c r="AC2" s="76"/>
      <c r="AD2" s="76"/>
      <c r="AE2" s="76"/>
      <c r="AF2" s="76"/>
      <c r="AG2" s="76"/>
      <c r="AH2" s="76"/>
      <c r="AI2" s="76"/>
      <c r="AJ2" s="76"/>
      <c r="AK2" s="76"/>
      <c r="AL2" s="76"/>
      <c r="AM2" s="76"/>
      <c r="AN2" s="76"/>
      <c r="AO2" s="76"/>
      <c r="AP2" s="76"/>
      <c r="AQ2" s="76"/>
      <c r="AR2" s="77"/>
      <c r="AS2" s="78" t="s">
        <v>4</v>
      </c>
      <c r="AT2" s="78"/>
      <c r="AU2" s="78"/>
      <c r="AV2" s="78"/>
      <c r="AW2" s="78"/>
      <c r="AX2" s="78"/>
      <c r="AY2" s="78"/>
      <c r="AZ2" s="78"/>
      <c r="BA2" s="78" t="s">
        <v>5</v>
      </c>
      <c r="BB2" s="78"/>
      <c r="BC2" s="78"/>
      <c r="BD2" s="78"/>
      <c r="BE2" s="78"/>
      <c r="BF2" s="78"/>
      <c r="BG2" s="78"/>
    </row>
    <row r="3" spans="2:59" ht="15" customHeight="1" x14ac:dyDescent="0.35">
      <c r="B3" s="67" t="s">
        <v>6</v>
      </c>
      <c r="C3" s="67"/>
      <c r="D3" s="67"/>
      <c r="E3" s="67"/>
      <c r="F3" s="67"/>
      <c r="G3" s="74" t="str">
        <f>表紙!V10</f>
        <v>非機能要件定義書_データ容量・パフォーマンス</v>
      </c>
      <c r="H3" s="74"/>
      <c r="I3" s="74"/>
      <c r="J3" s="74"/>
      <c r="K3" s="74"/>
      <c r="L3" s="74"/>
      <c r="M3" s="74"/>
      <c r="N3" s="74"/>
      <c r="O3" s="74"/>
      <c r="P3" s="74"/>
      <c r="Q3" s="74"/>
      <c r="R3" s="74"/>
      <c r="S3" s="74"/>
      <c r="T3" s="74"/>
      <c r="U3" s="80" t="s">
        <v>7</v>
      </c>
      <c r="V3" s="81"/>
      <c r="W3" s="81"/>
      <c r="X3" s="81"/>
      <c r="Y3" s="81"/>
      <c r="Z3" s="81"/>
      <c r="AA3" s="81"/>
      <c r="AB3" s="81"/>
      <c r="AC3" s="81"/>
      <c r="AD3" s="81"/>
      <c r="AE3" s="81"/>
      <c r="AF3" s="81"/>
      <c r="AG3" s="81"/>
      <c r="AH3" s="81"/>
      <c r="AI3" s="81"/>
      <c r="AJ3" s="81"/>
      <c r="AK3" s="81"/>
      <c r="AL3" s="81"/>
      <c r="AM3" s="81"/>
      <c r="AN3" s="81"/>
      <c r="AO3" s="81"/>
      <c r="AP3" s="81"/>
      <c r="AQ3" s="81"/>
      <c r="AR3" s="82"/>
      <c r="AS3" s="67" t="s">
        <v>8</v>
      </c>
      <c r="AT3" s="67"/>
      <c r="AU3" s="68">
        <v>45379</v>
      </c>
      <c r="AV3" s="68"/>
      <c r="AW3" s="68"/>
      <c r="AX3" s="68"/>
      <c r="AY3" s="68"/>
      <c r="AZ3" s="68"/>
      <c r="BA3" s="66" t="s">
        <v>202</v>
      </c>
      <c r="BB3" s="66"/>
      <c r="BC3" s="66"/>
      <c r="BD3" s="66"/>
      <c r="BE3" s="66"/>
      <c r="BF3" s="66"/>
      <c r="BG3" s="66"/>
    </row>
    <row r="4" spans="2:59" ht="15" customHeight="1" x14ac:dyDescent="0.35">
      <c r="B4" s="67"/>
      <c r="C4" s="67"/>
      <c r="D4" s="67"/>
      <c r="E4" s="67"/>
      <c r="F4" s="67"/>
      <c r="G4" s="79"/>
      <c r="H4" s="79"/>
      <c r="I4" s="79"/>
      <c r="J4" s="79"/>
      <c r="K4" s="79"/>
      <c r="L4" s="79"/>
      <c r="M4" s="79"/>
      <c r="N4" s="79"/>
      <c r="O4" s="79"/>
      <c r="P4" s="79"/>
      <c r="Q4" s="79"/>
      <c r="R4" s="79"/>
      <c r="S4" s="79"/>
      <c r="T4" s="79"/>
      <c r="U4" s="83"/>
      <c r="V4" s="84"/>
      <c r="W4" s="84"/>
      <c r="X4" s="84"/>
      <c r="Y4" s="84"/>
      <c r="Z4" s="84"/>
      <c r="AA4" s="84"/>
      <c r="AB4" s="84"/>
      <c r="AC4" s="84"/>
      <c r="AD4" s="84"/>
      <c r="AE4" s="84"/>
      <c r="AF4" s="84"/>
      <c r="AG4" s="84"/>
      <c r="AH4" s="84"/>
      <c r="AI4" s="84"/>
      <c r="AJ4" s="84"/>
      <c r="AK4" s="84"/>
      <c r="AL4" s="84"/>
      <c r="AM4" s="84"/>
      <c r="AN4" s="84"/>
      <c r="AO4" s="84"/>
      <c r="AP4" s="84"/>
      <c r="AQ4" s="84"/>
      <c r="AR4" s="85"/>
      <c r="AS4" s="67" t="s">
        <v>9</v>
      </c>
      <c r="AT4" s="67"/>
      <c r="AU4" s="68"/>
      <c r="AV4" s="68"/>
      <c r="AW4" s="68"/>
      <c r="AX4" s="68"/>
      <c r="AY4" s="68"/>
      <c r="AZ4" s="68"/>
      <c r="BA4" s="66"/>
      <c r="BB4" s="66"/>
      <c r="BC4" s="66"/>
      <c r="BD4" s="66"/>
      <c r="BE4" s="66"/>
      <c r="BF4" s="66"/>
      <c r="BG4" s="66"/>
    </row>
    <row r="6" spans="2:59" ht="15" customHeight="1" x14ac:dyDescent="0.35">
      <c r="B6" s="21" t="s">
        <v>10</v>
      </c>
      <c r="C6" s="21" t="s">
        <v>108</v>
      </c>
    </row>
    <row r="7" spans="2:59" ht="15" customHeight="1" x14ac:dyDescent="0.3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ht="15" customHeight="1" x14ac:dyDescent="0.35">
      <c r="C8" s="21" t="s">
        <v>109</v>
      </c>
    </row>
    <row r="9" spans="2:59" ht="15" customHeight="1" x14ac:dyDescent="0.35">
      <c r="C9" s="21" t="s">
        <v>110</v>
      </c>
    </row>
    <row r="10" spans="2:59" ht="15" customHeight="1" x14ac:dyDescent="0.35">
      <c r="D10" s="21" t="s">
        <v>203</v>
      </c>
    </row>
    <row r="12" spans="2:59" ht="15" customHeight="1" x14ac:dyDescent="0.35">
      <c r="B12" s="21" t="s">
        <v>10</v>
      </c>
      <c r="C12" s="21" t="s">
        <v>205</v>
      </c>
    </row>
    <row r="13" spans="2:59" ht="15" customHeight="1" x14ac:dyDescent="0.3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row>
    <row r="14" spans="2:59" ht="15" customHeight="1" x14ac:dyDescent="0.35">
      <c r="C14" s="27" t="s">
        <v>10</v>
      </c>
      <c r="D14" s="21" t="s">
        <v>111</v>
      </c>
    </row>
    <row r="15" spans="2:59" ht="15" customHeight="1" x14ac:dyDescent="0.35">
      <c r="E15" s="21" t="s">
        <v>112</v>
      </c>
    </row>
    <row r="17" spans="3:8" ht="15" customHeight="1" x14ac:dyDescent="0.35">
      <c r="C17" s="27" t="s">
        <v>10</v>
      </c>
      <c r="D17" s="21" t="s">
        <v>113</v>
      </c>
    </row>
    <row r="18" spans="3:8" ht="15" customHeight="1" x14ac:dyDescent="0.35">
      <c r="E18" s="21" t="s">
        <v>114</v>
      </c>
    </row>
    <row r="19" spans="3:8" ht="15" customHeight="1" x14ac:dyDescent="0.35">
      <c r="E19" s="21" t="s">
        <v>115</v>
      </c>
    </row>
    <row r="21" spans="3:8" ht="15" customHeight="1" x14ac:dyDescent="0.35">
      <c r="E21" s="21" t="s">
        <v>116</v>
      </c>
    </row>
    <row r="22" spans="3:8" ht="15" customHeight="1" x14ac:dyDescent="0.35">
      <c r="E22" s="21" t="s">
        <v>117</v>
      </c>
    </row>
    <row r="24" spans="3:8" ht="15" customHeight="1" x14ac:dyDescent="0.35">
      <c r="C24" s="22"/>
      <c r="E24" s="21" t="s">
        <v>118</v>
      </c>
      <c r="H24" s="22" t="s">
        <v>119</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hyperlinks>
    <hyperlink ref="H24" r:id="rId1" location="maximum-limit-50-gb-on-exported-bacpacs" xr:uid="{248D9EDE-A19E-4260-A23B-6F5E568A7C19}"/>
  </hyperlinks>
  <pageMargins left="0.7" right="0.7" top="0.75" bottom="0.75" header="0.3" footer="0.3"/>
  <pageSetup paperSize="9" orientation="portrait"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02A7-147E-4C21-8440-E4A732C6F014}">
  <dimension ref="B2:BM84"/>
  <sheetViews>
    <sheetView showGridLines="0" zoomScaleNormal="100" workbookViewId="0"/>
  </sheetViews>
  <sheetFormatPr defaultColWidth="2.2109375" defaultRowHeight="15" customHeight="1" x14ac:dyDescent="0.35"/>
  <cols>
    <col min="1" max="16384" width="2.2109375" style="21"/>
  </cols>
  <sheetData>
    <row r="2" spans="2:59" ht="15" customHeight="1" x14ac:dyDescent="0.35">
      <c r="B2" s="67" t="s">
        <v>2</v>
      </c>
      <c r="C2" s="67"/>
      <c r="D2" s="67"/>
      <c r="E2" s="67"/>
      <c r="F2" s="67"/>
      <c r="G2" s="74" t="str">
        <f>表紙!V6</f>
        <v>会計システム刷新プロジェクト</v>
      </c>
      <c r="H2" s="74"/>
      <c r="I2" s="74"/>
      <c r="J2" s="74"/>
      <c r="K2" s="74"/>
      <c r="L2" s="74"/>
      <c r="M2" s="74"/>
      <c r="N2" s="74"/>
      <c r="O2" s="74"/>
      <c r="P2" s="74"/>
      <c r="Q2" s="74"/>
      <c r="R2" s="74"/>
      <c r="S2" s="74"/>
      <c r="T2" s="74"/>
      <c r="U2" s="75" t="s">
        <v>3</v>
      </c>
      <c r="V2" s="76"/>
      <c r="W2" s="76"/>
      <c r="X2" s="76"/>
      <c r="Y2" s="76"/>
      <c r="Z2" s="76"/>
      <c r="AA2" s="76"/>
      <c r="AB2" s="76"/>
      <c r="AC2" s="76"/>
      <c r="AD2" s="76"/>
      <c r="AE2" s="76"/>
      <c r="AF2" s="76"/>
      <c r="AG2" s="76"/>
      <c r="AH2" s="76"/>
      <c r="AI2" s="76"/>
      <c r="AJ2" s="76"/>
      <c r="AK2" s="76"/>
      <c r="AL2" s="76"/>
      <c r="AM2" s="76"/>
      <c r="AN2" s="76"/>
      <c r="AO2" s="76"/>
      <c r="AP2" s="76"/>
      <c r="AQ2" s="76"/>
      <c r="AR2" s="77"/>
      <c r="AS2" s="78" t="s">
        <v>4</v>
      </c>
      <c r="AT2" s="78"/>
      <c r="AU2" s="78"/>
      <c r="AV2" s="78"/>
      <c r="AW2" s="78"/>
      <c r="AX2" s="78"/>
      <c r="AY2" s="78"/>
      <c r="AZ2" s="78"/>
      <c r="BA2" s="78" t="s">
        <v>5</v>
      </c>
      <c r="BB2" s="78"/>
      <c r="BC2" s="78"/>
      <c r="BD2" s="78"/>
      <c r="BE2" s="78"/>
      <c r="BF2" s="78"/>
      <c r="BG2" s="78"/>
    </row>
    <row r="3" spans="2:59" ht="15" customHeight="1" x14ac:dyDescent="0.35">
      <c r="B3" s="67" t="s">
        <v>6</v>
      </c>
      <c r="C3" s="67"/>
      <c r="D3" s="67"/>
      <c r="E3" s="67"/>
      <c r="F3" s="67"/>
      <c r="G3" s="74" t="str">
        <f>表紙!V10</f>
        <v>非機能要件定義書_データ容量・パフォーマンス</v>
      </c>
      <c r="H3" s="74"/>
      <c r="I3" s="74"/>
      <c r="J3" s="74"/>
      <c r="K3" s="74"/>
      <c r="L3" s="74"/>
      <c r="M3" s="74"/>
      <c r="N3" s="74"/>
      <c r="O3" s="74"/>
      <c r="P3" s="74"/>
      <c r="Q3" s="74"/>
      <c r="R3" s="74"/>
      <c r="S3" s="74"/>
      <c r="T3" s="74"/>
      <c r="U3" s="80" t="s">
        <v>7</v>
      </c>
      <c r="V3" s="81"/>
      <c r="W3" s="81"/>
      <c r="X3" s="81"/>
      <c r="Y3" s="81"/>
      <c r="Z3" s="81"/>
      <c r="AA3" s="81"/>
      <c r="AB3" s="81"/>
      <c r="AC3" s="81"/>
      <c r="AD3" s="81"/>
      <c r="AE3" s="81"/>
      <c r="AF3" s="81"/>
      <c r="AG3" s="81"/>
      <c r="AH3" s="81"/>
      <c r="AI3" s="81"/>
      <c r="AJ3" s="81"/>
      <c r="AK3" s="81"/>
      <c r="AL3" s="81"/>
      <c r="AM3" s="81"/>
      <c r="AN3" s="81"/>
      <c r="AO3" s="81"/>
      <c r="AP3" s="81"/>
      <c r="AQ3" s="81"/>
      <c r="AR3" s="82"/>
      <c r="AS3" s="67" t="s">
        <v>8</v>
      </c>
      <c r="AT3" s="67"/>
      <c r="AU3" s="68">
        <v>45379</v>
      </c>
      <c r="AV3" s="68"/>
      <c r="AW3" s="68"/>
      <c r="AX3" s="68"/>
      <c r="AY3" s="68"/>
      <c r="AZ3" s="68"/>
      <c r="BA3" s="66" t="s">
        <v>202</v>
      </c>
      <c r="BB3" s="66"/>
      <c r="BC3" s="66"/>
      <c r="BD3" s="66"/>
      <c r="BE3" s="66"/>
      <c r="BF3" s="66"/>
      <c r="BG3" s="66"/>
    </row>
    <row r="4" spans="2:59" ht="15" customHeight="1" x14ac:dyDescent="0.35">
      <c r="B4" s="67"/>
      <c r="C4" s="67"/>
      <c r="D4" s="67"/>
      <c r="E4" s="67"/>
      <c r="F4" s="67"/>
      <c r="G4" s="79"/>
      <c r="H4" s="79"/>
      <c r="I4" s="79"/>
      <c r="J4" s="79"/>
      <c r="K4" s="79"/>
      <c r="L4" s="79"/>
      <c r="M4" s="79"/>
      <c r="N4" s="79"/>
      <c r="O4" s="79"/>
      <c r="P4" s="79"/>
      <c r="Q4" s="79"/>
      <c r="R4" s="79"/>
      <c r="S4" s="79"/>
      <c r="T4" s="79"/>
      <c r="U4" s="83"/>
      <c r="V4" s="84"/>
      <c r="W4" s="84"/>
      <c r="X4" s="84"/>
      <c r="Y4" s="84"/>
      <c r="Z4" s="84"/>
      <c r="AA4" s="84"/>
      <c r="AB4" s="84"/>
      <c r="AC4" s="84"/>
      <c r="AD4" s="84"/>
      <c r="AE4" s="84"/>
      <c r="AF4" s="84"/>
      <c r="AG4" s="84"/>
      <c r="AH4" s="84"/>
      <c r="AI4" s="84"/>
      <c r="AJ4" s="84"/>
      <c r="AK4" s="84"/>
      <c r="AL4" s="84"/>
      <c r="AM4" s="84"/>
      <c r="AN4" s="84"/>
      <c r="AO4" s="84"/>
      <c r="AP4" s="84"/>
      <c r="AQ4" s="84"/>
      <c r="AR4" s="85"/>
      <c r="AS4" s="67" t="s">
        <v>9</v>
      </c>
      <c r="AT4" s="67"/>
      <c r="AU4" s="68"/>
      <c r="AV4" s="68"/>
      <c r="AW4" s="68"/>
      <c r="AX4" s="68"/>
      <c r="AY4" s="68"/>
      <c r="AZ4" s="68"/>
      <c r="BA4" s="66"/>
      <c r="BB4" s="66"/>
      <c r="BC4" s="66"/>
      <c r="BD4" s="66"/>
      <c r="BE4" s="66"/>
      <c r="BF4" s="66"/>
      <c r="BG4" s="66"/>
    </row>
    <row r="6" spans="2:59" ht="15" customHeight="1" x14ac:dyDescent="0.35">
      <c r="B6" s="23" t="s">
        <v>10</v>
      </c>
      <c r="C6" s="23" t="s">
        <v>120</v>
      </c>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row>
    <row r="7" spans="2:59" ht="15" customHeight="1" x14ac:dyDescent="0.35">
      <c r="B7" s="26"/>
      <c r="C7" s="26" t="s">
        <v>121</v>
      </c>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row>
    <row r="8" spans="2:59" ht="15" customHeight="1" x14ac:dyDescent="0.35">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row>
    <row r="9" spans="2:59" ht="15" customHeight="1" x14ac:dyDescent="0.35">
      <c r="B9" s="23"/>
      <c r="C9" s="28" t="s">
        <v>10</v>
      </c>
      <c r="D9" s="23" t="s">
        <v>193</v>
      </c>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row>
    <row r="10" spans="2:59" ht="15" customHeight="1" x14ac:dyDescent="0.35">
      <c r="B10" s="23"/>
      <c r="C10" s="23"/>
      <c r="D10" s="23" t="s">
        <v>122</v>
      </c>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row>
    <row r="11" spans="2:59" ht="15" customHeight="1" x14ac:dyDescent="0.35">
      <c r="B11" s="23"/>
      <c r="C11" s="23"/>
      <c r="D11" s="23" t="s">
        <v>194</v>
      </c>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row>
    <row r="12" spans="2:59" ht="15" customHeight="1" x14ac:dyDescent="0.35">
      <c r="B12" s="23"/>
      <c r="C12" s="23"/>
      <c r="D12" s="23" t="s">
        <v>208</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row>
    <row r="13" spans="2:59" ht="15" customHeight="1" x14ac:dyDescent="0.35">
      <c r="D13" s="23" t="s">
        <v>209</v>
      </c>
      <c r="F13" s="30"/>
    </row>
    <row r="14" spans="2:59" ht="15" customHeight="1" x14ac:dyDescent="0.35">
      <c r="D14" s="23" t="s">
        <v>210</v>
      </c>
      <c r="F14" s="30"/>
    </row>
    <row r="15" spans="2:59" ht="15" customHeight="1" x14ac:dyDescent="0.35">
      <c r="D15" s="23" t="s">
        <v>211</v>
      </c>
      <c r="F15" s="30"/>
    </row>
    <row r="16" spans="2:59" ht="15" customHeight="1" x14ac:dyDescent="0.35">
      <c r="F16" s="24"/>
    </row>
    <row r="17" spans="2:55" ht="15" customHeight="1" x14ac:dyDescent="0.35">
      <c r="B17" s="23" t="s">
        <v>10</v>
      </c>
      <c r="C17" s="23" t="s">
        <v>123</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row>
    <row r="18" spans="2:55" ht="15" customHeight="1" x14ac:dyDescent="0.35">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row>
    <row r="19" spans="2:55" ht="15" customHeight="1" x14ac:dyDescent="0.35">
      <c r="B19" s="23"/>
      <c r="C19" s="21" t="s">
        <v>124</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row>
    <row r="20" spans="2:55" ht="15" customHeight="1" x14ac:dyDescent="0.35">
      <c r="C20" s="23"/>
      <c r="D20" s="23" t="s">
        <v>125</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row>
    <row r="21" spans="2:55" ht="15" customHeight="1" x14ac:dyDescent="0.35">
      <c r="D21" s="21" t="s">
        <v>126</v>
      </c>
      <c r="G21" s="24"/>
    </row>
    <row r="22" spans="2:55" ht="15" customHeight="1" x14ac:dyDescent="0.35">
      <c r="G22" s="24"/>
    </row>
    <row r="23" spans="2:55" ht="15" customHeight="1" x14ac:dyDescent="0.35">
      <c r="D23" s="176" t="s">
        <v>127</v>
      </c>
      <c r="E23" s="177"/>
      <c r="F23" s="177"/>
      <c r="G23" s="177"/>
      <c r="H23" s="177"/>
      <c r="I23" s="177"/>
      <c r="J23" s="177"/>
      <c r="K23" s="177"/>
      <c r="L23" s="177"/>
      <c r="M23" s="177"/>
      <c r="N23" s="178"/>
    </row>
    <row r="24" spans="2:55" ht="15" customHeight="1" x14ac:dyDescent="0.35">
      <c r="D24" s="185" t="s">
        <v>128</v>
      </c>
      <c r="E24" s="186"/>
      <c r="F24" s="186"/>
      <c r="G24" s="186"/>
      <c r="H24" s="186"/>
      <c r="I24" s="186"/>
      <c r="J24" s="186"/>
      <c r="K24" s="186"/>
      <c r="L24" s="186"/>
      <c r="M24" s="186"/>
      <c r="N24" s="187"/>
    </row>
    <row r="25" spans="2:55" ht="15" customHeight="1" x14ac:dyDescent="0.35">
      <c r="C25" s="23"/>
      <c r="D25" s="23"/>
      <c r="E25" s="23"/>
      <c r="F25" s="23"/>
      <c r="G25" s="23"/>
      <c r="H25" s="23"/>
      <c r="I25" s="23"/>
      <c r="J25" s="23"/>
      <c r="K25" s="23"/>
      <c r="L25" s="23"/>
      <c r="M25" s="23"/>
    </row>
    <row r="27" spans="2:55" ht="15" customHeight="1" x14ac:dyDescent="0.35">
      <c r="B27" s="21" t="s">
        <v>10</v>
      </c>
      <c r="C27" s="21" t="s">
        <v>204</v>
      </c>
    </row>
    <row r="28" spans="2:55" ht="15" customHeight="1" x14ac:dyDescent="0.3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row>
    <row r="29" spans="2:55" ht="15" customHeight="1" x14ac:dyDescent="0.35">
      <c r="B29" s="23"/>
      <c r="C29" s="23" t="s">
        <v>129</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row>
    <row r="30" spans="2:55" ht="15" customHeight="1" x14ac:dyDescent="0.35">
      <c r="D30" s="21" t="s">
        <v>212</v>
      </c>
    </row>
    <row r="33" spans="3:33" ht="15" customHeight="1" x14ac:dyDescent="0.35">
      <c r="C33" s="23" t="s">
        <v>130</v>
      </c>
    </row>
    <row r="34" spans="3:33" ht="15" customHeight="1" x14ac:dyDescent="0.35">
      <c r="D34" s="21" t="s">
        <v>131</v>
      </c>
    </row>
    <row r="35" spans="3:33" ht="15" customHeight="1" x14ac:dyDescent="0.35">
      <c r="D35" s="21" t="s">
        <v>132</v>
      </c>
    </row>
    <row r="37" spans="3:33" ht="15" customHeight="1" x14ac:dyDescent="0.35">
      <c r="D37" s="133" t="s">
        <v>133</v>
      </c>
      <c r="E37" s="133"/>
      <c r="F37" s="133"/>
      <c r="G37" s="133"/>
      <c r="H37" s="133"/>
      <c r="I37" s="133"/>
      <c r="J37" s="133"/>
      <c r="K37" s="133" t="s">
        <v>134</v>
      </c>
      <c r="L37" s="133"/>
      <c r="M37" s="133"/>
      <c r="N37" s="133"/>
      <c r="O37" s="133"/>
      <c r="P37" s="133"/>
      <c r="Q37" s="133"/>
      <c r="R37" s="133"/>
      <c r="S37" s="133"/>
      <c r="T37" s="133"/>
      <c r="U37" s="133"/>
      <c r="V37" s="133"/>
      <c r="W37" s="133"/>
      <c r="X37" s="133"/>
      <c r="Y37" s="133"/>
      <c r="Z37" s="133"/>
      <c r="AA37" s="133"/>
      <c r="AB37" s="133"/>
      <c r="AC37" s="133"/>
      <c r="AD37" s="133"/>
      <c r="AE37" s="133"/>
      <c r="AF37" s="133"/>
      <c r="AG37" s="133"/>
    </row>
    <row r="38" spans="3:33" ht="15" customHeight="1" x14ac:dyDescent="0.35">
      <c r="D38" s="127" t="s">
        <v>135</v>
      </c>
      <c r="E38" s="128"/>
      <c r="F38" s="128"/>
      <c r="G38" s="128"/>
      <c r="H38" s="128"/>
      <c r="I38" s="128"/>
      <c r="J38" s="129"/>
      <c r="K38" s="179" t="s">
        <v>136</v>
      </c>
      <c r="L38" s="180"/>
      <c r="M38" s="180"/>
      <c r="N38" s="180"/>
      <c r="O38" s="180"/>
      <c r="P38" s="180"/>
      <c r="Q38" s="180"/>
      <c r="R38" s="180"/>
      <c r="S38" s="180"/>
      <c r="T38" s="180"/>
      <c r="U38" s="180"/>
      <c r="V38" s="180"/>
      <c r="W38" s="180"/>
      <c r="X38" s="180"/>
      <c r="Y38" s="180"/>
      <c r="Z38" s="180"/>
      <c r="AA38" s="180"/>
      <c r="AB38" s="180"/>
      <c r="AC38" s="180"/>
      <c r="AD38" s="180"/>
      <c r="AE38" s="180"/>
      <c r="AF38" s="180"/>
      <c r="AG38" s="181"/>
    </row>
    <row r="39" spans="3:33" ht="15" customHeight="1" x14ac:dyDescent="0.35">
      <c r="D39" s="130"/>
      <c r="E39" s="131"/>
      <c r="F39" s="131"/>
      <c r="G39" s="131"/>
      <c r="H39" s="131"/>
      <c r="I39" s="131"/>
      <c r="J39" s="132"/>
      <c r="K39" s="182"/>
      <c r="L39" s="183"/>
      <c r="M39" s="183"/>
      <c r="N39" s="183"/>
      <c r="O39" s="183"/>
      <c r="P39" s="183"/>
      <c r="Q39" s="183"/>
      <c r="R39" s="183"/>
      <c r="S39" s="183"/>
      <c r="T39" s="183"/>
      <c r="U39" s="183"/>
      <c r="V39" s="183"/>
      <c r="W39" s="183"/>
      <c r="X39" s="183"/>
      <c r="Y39" s="183"/>
      <c r="Z39" s="183"/>
      <c r="AA39" s="183"/>
      <c r="AB39" s="183"/>
      <c r="AC39" s="183"/>
      <c r="AD39" s="183"/>
      <c r="AE39" s="183"/>
      <c r="AF39" s="183"/>
      <c r="AG39" s="184"/>
    </row>
    <row r="40" spans="3:33" ht="15" customHeight="1" x14ac:dyDescent="0.35">
      <c r="D40" s="137" t="s">
        <v>137</v>
      </c>
      <c r="E40" s="137"/>
      <c r="F40" s="137"/>
      <c r="G40" s="137"/>
      <c r="H40" s="137"/>
      <c r="I40" s="137"/>
      <c r="J40" s="137"/>
      <c r="K40" s="171" t="s">
        <v>138</v>
      </c>
      <c r="L40" s="172"/>
      <c r="M40" s="172"/>
      <c r="N40" s="172"/>
      <c r="O40" s="172"/>
      <c r="P40" s="172"/>
      <c r="Q40" s="172"/>
      <c r="R40" s="172"/>
      <c r="S40" s="172"/>
      <c r="T40" s="172"/>
      <c r="U40" s="172"/>
      <c r="V40" s="172"/>
      <c r="W40" s="172"/>
      <c r="X40" s="172"/>
      <c r="Y40" s="172"/>
      <c r="Z40" s="172"/>
      <c r="AA40" s="172"/>
      <c r="AB40" s="172"/>
      <c r="AC40" s="172"/>
      <c r="AD40" s="172"/>
      <c r="AE40" s="172"/>
      <c r="AF40" s="172"/>
      <c r="AG40" s="172"/>
    </row>
    <row r="41" spans="3:33" ht="15" customHeight="1" x14ac:dyDescent="0.35">
      <c r="D41" s="138"/>
      <c r="E41" s="138"/>
      <c r="F41" s="138"/>
      <c r="G41" s="138"/>
      <c r="H41" s="138"/>
      <c r="I41" s="138"/>
      <c r="J41" s="138"/>
      <c r="K41" s="173"/>
      <c r="L41" s="174"/>
      <c r="M41" s="174"/>
      <c r="N41" s="174"/>
      <c r="O41" s="174"/>
      <c r="P41" s="174"/>
      <c r="Q41" s="174"/>
      <c r="R41" s="174"/>
      <c r="S41" s="174"/>
      <c r="T41" s="174"/>
      <c r="U41" s="174"/>
      <c r="V41" s="174"/>
      <c r="W41" s="174"/>
      <c r="X41" s="174"/>
      <c r="Y41" s="174"/>
      <c r="Z41" s="174"/>
      <c r="AA41" s="174"/>
      <c r="AB41" s="174"/>
      <c r="AC41" s="174"/>
      <c r="AD41" s="174"/>
      <c r="AE41" s="174"/>
      <c r="AF41" s="174"/>
      <c r="AG41" s="174"/>
    </row>
    <row r="42" spans="3:33" ht="15" customHeight="1" x14ac:dyDescent="0.35">
      <c r="D42" s="138"/>
      <c r="E42" s="138"/>
      <c r="F42" s="138"/>
      <c r="G42" s="138"/>
      <c r="H42" s="138"/>
      <c r="I42" s="138"/>
      <c r="J42" s="138"/>
      <c r="K42" s="173"/>
      <c r="L42" s="174"/>
      <c r="M42" s="174"/>
      <c r="N42" s="174"/>
      <c r="O42" s="174"/>
      <c r="P42" s="174"/>
      <c r="Q42" s="174"/>
      <c r="R42" s="174"/>
      <c r="S42" s="174"/>
      <c r="T42" s="174"/>
      <c r="U42" s="174"/>
      <c r="V42" s="174"/>
      <c r="W42" s="174"/>
      <c r="X42" s="174"/>
      <c r="Y42" s="174"/>
      <c r="Z42" s="174"/>
      <c r="AA42" s="174"/>
      <c r="AB42" s="174"/>
      <c r="AC42" s="174"/>
      <c r="AD42" s="174"/>
      <c r="AE42" s="174"/>
      <c r="AF42" s="174"/>
      <c r="AG42" s="174"/>
    </row>
    <row r="43" spans="3:33" ht="15" customHeight="1" x14ac:dyDescent="0.35">
      <c r="D43" s="139"/>
      <c r="E43" s="139"/>
      <c r="F43" s="139"/>
      <c r="G43" s="139"/>
      <c r="H43" s="139"/>
      <c r="I43" s="139"/>
      <c r="J43" s="139"/>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row>
    <row r="46" spans="3:33" ht="15" customHeight="1" x14ac:dyDescent="0.35">
      <c r="C46" s="23" t="s">
        <v>139</v>
      </c>
    </row>
    <row r="47" spans="3:33" ht="15" customHeight="1" x14ac:dyDescent="0.35">
      <c r="D47" s="27" t="s">
        <v>10</v>
      </c>
      <c r="E47" s="21" t="s">
        <v>201</v>
      </c>
    </row>
    <row r="48" spans="3:33" ht="15" customHeight="1" x14ac:dyDescent="0.35">
      <c r="D48" s="27" t="s">
        <v>10</v>
      </c>
      <c r="E48" s="21" t="s">
        <v>140</v>
      </c>
    </row>
    <row r="49" spans="2:65" ht="15" customHeight="1" x14ac:dyDescent="0.35">
      <c r="E49" s="21" t="s">
        <v>141</v>
      </c>
    </row>
    <row r="53" spans="2:65" ht="15" customHeight="1" x14ac:dyDescent="0.35">
      <c r="B53" s="21" t="s">
        <v>10</v>
      </c>
      <c r="C53" s="21" t="s">
        <v>142</v>
      </c>
    </row>
    <row r="54" spans="2:65" ht="15" customHeight="1" x14ac:dyDescent="0.35">
      <c r="B54" s="25"/>
      <c r="C54" s="25"/>
      <c r="D54" s="25" t="s">
        <v>143</v>
      </c>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row>
    <row r="56" spans="2:65" ht="15" customHeight="1" x14ac:dyDescent="0.35">
      <c r="D56" s="170" t="s">
        <v>107</v>
      </c>
      <c r="E56" s="170"/>
      <c r="F56" s="170" t="s">
        <v>144</v>
      </c>
      <c r="G56" s="170"/>
      <c r="H56" s="170"/>
      <c r="I56" s="170"/>
      <c r="J56" s="170"/>
      <c r="K56" s="170"/>
      <c r="L56" s="170"/>
      <c r="M56" s="170" t="s">
        <v>69</v>
      </c>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t="s">
        <v>70</v>
      </c>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t="s">
        <v>145</v>
      </c>
      <c r="BH56" s="170"/>
      <c r="BI56" s="170"/>
      <c r="BJ56" s="170"/>
      <c r="BK56" s="170"/>
      <c r="BL56" s="170"/>
      <c r="BM56" s="170"/>
    </row>
    <row r="57" spans="2:65" ht="15" customHeight="1" x14ac:dyDescent="0.35">
      <c r="D57" s="134">
        <v>1</v>
      </c>
      <c r="E57" s="134"/>
      <c r="F57" s="134" t="s">
        <v>146</v>
      </c>
      <c r="G57" s="134"/>
      <c r="H57" s="134"/>
      <c r="I57" s="134"/>
      <c r="J57" s="134"/>
      <c r="K57" s="134"/>
      <c r="L57" s="134"/>
      <c r="M57" s="169" t="s">
        <v>147</v>
      </c>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c r="AQ57" s="169"/>
      <c r="AR57" s="169"/>
      <c r="AS57" s="169"/>
      <c r="AT57" s="169"/>
      <c r="AU57" s="169"/>
      <c r="AV57" s="169"/>
      <c r="AW57" s="169"/>
      <c r="AX57" s="169"/>
      <c r="AY57" s="169"/>
      <c r="AZ57" s="169"/>
      <c r="BA57" s="169"/>
      <c r="BB57" s="169"/>
      <c r="BC57" s="169"/>
      <c r="BD57" s="169"/>
      <c r="BE57" s="169"/>
      <c r="BF57" s="169"/>
      <c r="BG57" s="135" t="s">
        <v>148</v>
      </c>
      <c r="BH57" s="135"/>
      <c r="BI57" s="135"/>
      <c r="BJ57" s="135"/>
      <c r="BK57" s="135"/>
      <c r="BL57" s="135"/>
      <c r="BM57" s="135"/>
    </row>
    <row r="58" spans="2:65" ht="15" customHeight="1" x14ac:dyDescent="0.35">
      <c r="D58" s="166">
        <v>2</v>
      </c>
      <c r="E58" s="167"/>
      <c r="F58" s="166" t="s">
        <v>149</v>
      </c>
      <c r="G58" s="168"/>
      <c r="H58" s="168"/>
      <c r="I58" s="168"/>
      <c r="J58" s="168"/>
      <c r="K58" s="168"/>
      <c r="L58" s="167"/>
      <c r="M58" s="153" t="s">
        <v>174</v>
      </c>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54"/>
      <c r="BA58" s="154"/>
      <c r="BB58" s="154"/>
      <c r="BC58" s="154"/>
      <c r="BD58" s="154"/>
      <c r="BE58" s="154"/>
      <c r="BF58" s="155"/>
      <c r="BG58" s="121" t="s">
        <v>148</v>
      </c>
      <c r="BH58" s="122"/>
      <c r="BI58" s="122"/>
      <c r="BJ58" s="122"/>
      <c r="BK58" s="122"/>
      <c r="BL58" s="122"/>
      <c r="BM58" s="123"/>
    </row>
    <row r="59" spans="2:65" ht="15" customHeight="1" x14ac:dyDescent="0.35">
      <c r="D59" s="166"/>
      <c r="E59" s="167"/>
      <c r="F59" s="166"/>
      <c r="G59" s="168"/>
      <c r="H59" s="168"/>
      <c r="I59" s="168"/>
      <c r="J59" s="168"/>
      <c r="K59" s="168"/>
      <c r="L59" s="167"/>
      <c r="M59" s="156"/>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8"/>
      <c r="BG59" s="163"/>
      <c r="BH59" s="164"/>
      <c r="BI59" s="164"/>
      <c r="BJ59" s="164"/>
      <c r="BK59" s="164"/>
      <c r="BL59" s="164"/>
      <c r="BM59" s="165"/>
    </row>
    <row r="60" spans="2:65" ht="15" customHeight="1" x14ac:dyDescent="0.35">
      <c r="D60" s="166"/>
      <c r="E60" s="167"/>
      <c r="F60" s="166"/>
      <c r="G60" s="168"/>
      <c r="H60" s="168"/>
      <c r="I60" s="168"/>
      <c r="J60" s="168"/>
      <c r="K60" s="168"/>
      <c r="L60" s="167"/>
      <c r="M60" s="159"/>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c r="AX60" s="157"/>
      <c r="AY60" s="157"/>
      <c r="AZ60" s="157"/>
      <c r="BA60" s="157"/>
      <c r="BB60" s="157"/>
      <c r="BC60" s="157"/>
      <c r="BD60" s="157"/>
      <c r="BE60" s="157"/>
      <c r="BF60" s="158"/>
      <c r="BG60" s="163"/>
      <c r="BH60" s="164"/>
      <c r="BI60" s="164"/>
      <c r="BJ60" s="164"/>
      <c r="BK60" s="164"/>
      <c r="BL60" s="164"/>
      <c r="BM60" s="165"/>
    </row>
    <row r="61" spans="2:65" ht="15" customHeight="1" x14ac:dyDescent="0.35">
      <c r="D61" s="130"/>
      <c r="E61" s="132"/>
      <c r="F61" s="130"/>
      <c r="G61" s="131"/>
      <c r="H61" s="131"/>
      <c r="I61" s="131"/>
      <c r="J61" s="131"/>
      <c r="K61" s="131"/>
      <c r="L61" s="132"/>
      <c r="M61" s="160"/>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2"/>
      <c r="BG61" s="124"/>
      <c r="BH61" s="125"/>
      <c r="BI61" s="125"/>
      <c r="BJ61" s="125"/>
      <c r="BK61" s="125"/>
      <c r="BL61" s="125"/>
      <c r="BM61" s="126"/>
    </row>
    <row r="62" spans="2:65" x14ac:dyDescent="0.35">
      <c r="D62" s="137">
        <v>3</v>
      </c>
      <c r="E62" s="137"/>
      <c r="F62" s="137" t="s">
        <v>150</v>
      </c>
      <c r="G62" s="137"/>
      <c r="H62" s="137"/>
      <c r="I62" s="137"/>
      <c r="J62" s="137"/>
      <c r="K62" s="137"/>
      <c r="L62" s="137"/>
      <c r="M62" s="141" t="s">
        <v>151</v>
      </c>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0" t="s">
        <v>152</v>
      </c>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0" t="s">
        <v>195</v>
      </c>
      <c r="BH62" s="141"/>
      <c r="BI62" s="141"/>
      <c r="BJ62" s="141"/>
      <c r="BK62" s="141"/>
      <c r="BL62" s="141"/>
      <c r="BM62" s="141"/>
    </row>
    <row r="63" spans="2:65" x14ac:dyDescent="0.35">
      <c r="D63" s="138"/>
      <c r="E63" s="138"/>
      <c r="F63" s="138"/>
      <c r="G63" s="138"/>
      <c r="H63" s="138"/>
      <c r="I63" s="138"/>
      <c r="J63" s="138"/>
      <c r="K63" s="138"/>
      <c r="L63" s="138"/>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c r="BB63" s="143"/>
      <c r="BC63" s="143"/>
      <c r="BD63" s="143"/>
      <c r="BE63" s="143"/>
      <c r="BF63" s="143"/>
      <c r="BG63" s="143"/>
      <c r="BH63" s="143"/>
      <c r="BI63" s="143"/>
      <c r="BJ63" s="143"/>
      <c r="BK63" s="143"/>
      <c r="BL63" s="143"/>
      <c r="BM63" s="143"/>
    </row>
    <row r="64" spans="2:65" x14ac:dyDescent="0.35">
      <c r="D64" s="138"/>
      <c r="E64" s="138"/>
      <c r="F64" s="138"/>
      <c r="G64" s="138"/>
      <c r="H64" s="138"/>
      <c r="I64" s="138"/>
      <c r="J64" s="138"/>
      <c r="K64" s="138"/>
      <c r="L64" s="138"/>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c r="BB64" s="143"/>
      <c r="BC64" s="143"/>
      <c r="BD64" s="143"/>
      <c r="BE64" s="143"/>
      <c r="BF64" s="143"/>
      <c r="BG64" s="143"/>
      <c r="BH64" s="143"/>
      <c r="BI64" s="143"/>
      <c r="BJ64" s="143"/>
      <c r="BK64" s="143"/>
      <c r="BL64" s="143"/>
      <c r="BM64" s="143"/>
    </row>
    <row r="65" spans="4:65" x14ac:dyDescent="0.35">
      <c r="D65" s="138"/>
      <c r="E65" s="138"/>
      <c r="F65" s="138"/>
      <c r="G65" s="138"/>
      <c r="H65" s="138"/>
      <c r="I65" s="138"/>
      <c r="J65" s="138"/>
      <c r="K65" s="138"/>
      <c r="L65" s="138"/>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A65" s="143"/>
      <c r="BB65" s="143"/>
      <c r="BC65" s="143"/>
      <c r="BD65" s="143"/>
      <c r="BE65" s="143"/>
      <c r="BF65" s="143"/>
      <c r="BG65" s="143"/>
      <c r="BH65" s="143"/>
      <c r="BI65" s="143"/>
      <c r="BJ65" s="143"/>
      <c r="BK65" s="143"/>
      <c r="BL65" s="143"/>
      <c r="BM65" s="143"/>
    </row>
    <row r="66" spans="4:65" x14ac:dyDescent="0.35">
      <c r="D66" s="139"/>
      <c r="E66" s="139"/>
      <c r="F66" s="139"/>
      <c r="G66" s="139"/>
      <c r="H66" s="139"/>
      <c r="I66" s="139"/>
      <c r="J66" s="139"/>
      <c r="K66" s="139"/>
      <c r="L66" s="139"/>
      <c r="M66" s="144"/>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W66" s="144"/>
      <c r="AX66" s="144"/>
      <c r="AY66" s="144"/>
      <c r="AZ66" s="144"/>
      <c r="BA66" s="144"/>
      <c r="BB66" s="144"/>
      <c r="BC66" s="144"/>
      <c r="BD66" s="144"/>
      <c r="BE66" s="144"/>
      <c r="BF66" s="144"/>
      <c r="BG66" s="144"/>
      <c r="BH66" s="144"/>
      <c r="BI66" s="144"/>
      <c r="BJ66" s="144"/>
      <c r="BK66" s="144"/>
      <c r="BL66" s="144"/>
      <c r="BM66" s="144"/>
    </row>
    <row r="67" spans="4:65" ht="15" customHeight="1" x14ac:dyDescent="0.35">
      <c r="D67" s="137">
        <v>4</v>
      </c>
      <c r="E67" s="137"/>
      <c r="F67" s="137" t="s">
        <v>153</v>
      </c>
      <c r="G67" s="137"/>
      <c r="H67" s="137"/>
      <c r="I67" s="137"/>
      <c r="J67" s="137"/>
      <c r="K67" s="137"/>
      <c r="L67" s="137"/>
      <c r="M67" s="137" t="s">
        <v>148</v>
      </c>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40" t="s">
        <v>154</v>
      </c>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0" t="s">
        <v>155</v>
      </c>
      <c r="BH67" s="141"/>
      <c r="BI67" s="141"/>
      <c r="BJ67" s="141"/>
      <c r="BK67" s="141"/>
      <c r="BL67" s="141"/>
      <c r="BM67" s="141"/>
    </row>
    <row r="68" spans="4:65" ht="15" customHeight="1" x14ac:dyDescent="0.35">
      <c r="D68" s="138"/>
      <c r="E68" s="138"/>
      <c r="F68" s="138"/>
      <c r="G68" s="138"/>
      <c r="H68" s="138"/>
      <c r="I68" s="138"/>
      <c r="J68" s="138"/>
      <c r="K68" s="138"/>
      <c r="L68" s="138"/>
      <c r="M68" s="152"/>
      <c r="N68" s="152"/>
      <c r="O68" s="152"/>
      <c r="P68" s="152"/>
      <c r="Q68" s="152"/>
      <c r="R68" s="152"/>
      <c r="S68" s="152"/>
      <c r="T68" s="152"/>
      <c r="U68" s="152"/>
      <c r="V68" s="152"/>
      <c r="W68" s="152"/>
      <c r="X68" s="152"/>
      <c r="Y68" s="152"/>
      <c r="Z68" s="152"/>
      <c r="AA68" s="152"/>
      <c r="AB68" s="152"/>
      <c r="AC68" s="152"/>
      <c r="AD68" s="152"/>
      <c r="AE68" s="152"/>
      <c r="AF68" s="152"/>
      <c r="AG68" s="152"/>
      <c r="AH68" s="152"/>
      <c r="AI68" s="152"/>
      <c r="AJ68" s="143"/>
      <c r="AK68" s="143"/>
      <c r="AL68" s="143"/>
      <c r="AM68" s="143"/>
      <c r="AN68" s="143"/>
      <c r="AO68" s="143"/>
      <c r="AP68" s="143"/>
      <c r="AQ68" s="143"/>
      <c r="AR68" s="143"/>
      <c r="AS68" s="143"/>
      <c r="AT68" s="143"/>
      <c r="AU68" s="143"/>
      <c r="AV68" s="143"/>
      <c r="AW68" s="143"/>
      <c r="AX68" s="143"/>
      <c r="AY68" s="143"/>
      <c r="AZ68" s="143"/>
      <c r="BA68" s="143"/>
      <c r="BB68" s="143"/>
      <c r="BC68" s="143"/>
      <c r="BD68" s="143"/>
      <c r="BE68" s="143"/>
      <c r="BF68" s="143"/>
      <c r="BG68" s="143"/>
      <c r="BH68" s="143"/>
      <c r="BI68" s="143"/>
      <c r="BJ68" s="143"/>
      <c r="BK68" s="143"/>
      <c r="BL68" s="143"/>
      <c r="BM68" s="143"/>
    </row>
    <row r="69" spans="4:65" ht="15" customHeight="1" x14ac:dyDescent="0.35">
      <c r="D69" s="139"/>
      <c r="E69" s="139"/>
      <c r="F69" s="139"/>
      <c r="G69" s="139"/>
      <c r="H69" s="139"/>
      <c r="I69" s="139"/>
      <c r="J69" s="139"/>
      <c r="K69" s="139"/>
      <c r="L69" s="139"/>
      <c r="M69" s="151"/>
      <c r="N69" s="151"/>
      <c r="O69" s="151"/>
      <c r="P69" s="151"/>
      <c r="Q69" s="151"/>
      <c r="R69" s="151"/>
      <c r="S69" s="151"/>
      <c r="T69" s="151"/>
      <c r="U69" s="151"/>
      <c r="V69" s="151"/>
      <c r="W69" s="151"/>
      <c r="X69" s="151"/>
      <c r="Y69" s="151"/>
      <c r="Z69" s="151"/>
      <c r="AA69" s="151"/>
      <c r="AB69" s="151"/>
      <c r="AC69" s="151"/>
      <c r="AD69" s="151"/>
      <c r="AE69" s="151"/>
      <c r="AF69" s="151"/>
      <c r="AG69" s="151"/>
      <c r="AH69" s="151"/>
      <c r="AI69" s="151"/>
      <c r="AJ69" s="144"/>
      <c r="AK69" s="144"/>
      <c r="AL69" s="144"/>
      <c r="AM69" s="144"/>
      <c r="AN69" s="144"/>
      <c r="AO69" s="144"/>
      <c r="AP69" s="144"/>
      <c r="AQ69" s="144"/>
      <c r="AR69" s="144"/>
      <c r="AS69" s="144"/>
      <c r="AT69" s="144"/>
      <c r="AU69" s="144"/>
      <c r="AV69" s="144"/>
      <c r="AW69" s="144"/>
      <c r="AX69" s="144"/>
      <c r="AY69" s="144"/>
      <c r="AZ69" s="144"/>
      <c r="BA69" s="144"/>
      <c r="BB69" s="144"/>
      <c r="BC69" s="144"/>
      <c r="BD69" s="144"/>
      <c r="BE69" s="144"/>
      <c r="BF69" s="144"/>
      <c r="BG69" s="144"/>
      <c r="BH69" s="144"/>
      <c r="BI69" s="144"/>
      <c r="BJ69" s="144"/>
      <c r="BK69" s="144"/>
      <c r="BL69" s="144"/>
      <c r="BM69" s="144"/>
    </row>
    <row r="70" spans="4:65" ht="15" customHeight="1" x14ac:dyDescent="0.35">
      <c r="D70" s="137">
        <v>5</v>
      </c>
      <c r="E70" s="137"/>
      <c r="F70" s="137" t="s">
        <v>156</v>
      </c>
      <c r="G70" s="137"/>
      <c r="H70" s="137"/>
      <c r="I70" s="137"/>
      <c r="J70" s="137"/>
      <c r="K70" s="137"/>
      <c r="L70" s="137"/>
      <c r="M70" s="140" t="s">
        <v>196</v>
      </c>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37" t="s">
        <v>148</v>
      </c>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40" t="s">
        <v>157</v>
      </c>
      <c r="BH70" s="141"/>
      <c r="BI70" s="141"/>
      <c r="BJ70" s="141"/>
      <c r="BK70" s="141"/>
      <c r="BL70" s="141"/>
      <c r="BM70" s="141"/>
    </row>
    <row r="71" spans="4:65" ht="15" customHeight="1" x14ac:dyDescent="0.35">
      <c r="D71" s="138"/>
      <c r="E71" s="138"/>
      <c r="F71" s="138"/>
      <c r="G71" s="138"/>
      <c r="H71" s="138"/>
      <c r="I71" s="138"/>
      <c r="J71" s="138"/>
      <c r="K71" s="138"/>
      <c r="L71" s="138"/>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52"/>
      <c r="AK71" s="152"/>
      <c r="AL71" s="152"/>
      <c r="AM71" s="152"/>
      <c r="AN71" s="152"/>
      <c r="AO71" s="152"/>
      <c r="AP71" s="152"/>
      <c r="AQ71" s="152"/>
      <c r="AR71" s="152"/>
      <c r="AS71" s="152"/>
      <c r="AT71" s="152"/>
      <c r="AU71" s="152"/>
      <c r="AV71" s="152"/>
      <c r="AW71" s="152"/>
      <c r="AX71" s="152"/>
      <c r="AY71" s="152"/>
      <c r="AZ71" s="152"/>
      <c r="BA71" s="152"/>
      <c r="BB71" s="152"/>
      <c r="BC71" s="152"/>
      <c r="BD71" s="152"/>
      <c r="BE71" s="152"/>
      <c r="BF71" s="152"/>
      <c r="BG71" s="143"/>
      <c r="BH71" s="143"/>
      <c r="BI71" s="143"/>
      <c r="BJ71" s="143"/>
      <c r="BK71" s="143"/>
      <c r="BL71" s="143"/>
      <c r="BM71" s="143"/>
    </row>
    <row r="72" spans="4:65" ht="15" customHeight="1" x14ac:dyDescent="0.35">
      <c r="D72" s="139"/>
      <c r="E72" s="139"/>
      <c r="F72" s="139"/>
      <c r="G72" s="139"/>
      <c r="H72" s="139"/>
      <c r="I72" s="139"/>
      <c r="J72" s="139"/>
      <c r="K72" s="139"/>
      <c r="L72" s="139"/>
      <c r="M72" s="144"/>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51"/>
      <c r="AK72" s="151"/>
      <c r="AL72" s="151"/>
      <c r="AM72" s="151"/>
      <c r="AN72" s="151"/>
      <c r="AO72" s="151"/>
      <c r="AP72" s="151"/>
      <c r="AQ72" s="151"/>
      <c r="AR72" s="151"/>
      <c r="AS72" s="151"/>
      <c r="AT72" s="151"/>
      <c r="AU72" s="151"/>
      <c r="AV72" s="151"/>
      <c r="AW72" s="151"/>
      <c r="AX72" s="151"/>
      <c r="AY72" s="151"/>
      <c r="AZ72" s="151"/>
      <c r="BA72" s="151"/>
      <c r="BB72" s="151"/>
      <c r="BC72" s="151"/>
      <c r="BD72" s="151"/>
      <c r="BE72" s="151"/>
      <c r="BF72" s="151"/>
      <c r="BG72" s="144"/>
      <c r="BH72" s="144"/>
      <c r="BI72" s="144"/>
      <c r="BJ72" s="144"/>
      <c r="BK72" s="144"/>
      <c r="BL72" s="144"/>
      <c r="BM72" s="144"/>
    </row>
    <row r="73" spans="4:65" ht="15" customHeight="1" x14ac:dyDescent="0.35">
      <c r="D73" s="137">
        <v>6</v>
      </c>
      <c r="E73" s="137"/>
      <c r="F73" s="137" t="s">
        <v>158</v>
      </c>
      <c r="G73" s="137"/>
      <c r="H73" s="137"/>
      <c r="I73" s="137"/>
      <c r="J73" s="137"/>
      <c r="K73" s="137"/>
      <c r="L73" s="137"/>
      <c r="M73" s="137" t="s">
        <v>148</v>
      </c>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45" t="s">
        <v>159</v>
      </c>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0" t="s">
        <v>160</v>
      </c>
      <c r="BH73" s="141"/>
      <c r="BI73" s="141"/>
      <c r="BJ73" s="141"/>
      <c r="BK73" s="141"/>
      <c r="BL73" s="141"/>
      <c r="BM73" s="141"/>
    </row>
    <row r="74" spans="4:65" ht="15" customHeight="1" x14ac:dyDescent="0.35">
      <c r="D74" s="138"/>
      <c r="E74" s="138"/>
      <c r="F74" s="138"/>
      <c r="G74" s="138"/>
      <c r="H74" s="138"/>
      <c r="I74" s="138"/>
      <c r="J74" s="138"/>
      <c r="K74" s="138"/>
      <c r="L74" s="138"/>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48"/>
      <c r="AK74" s="148"/>
      <c r="AL74" s="148"/>
      <c r="AM74" s="148"/>
      <c r="AN74" s="148"/>
      <c r="AO74" s="148"/>
      <c r="AP74" s="148"/>
      <c r="AQ74" s="148"/>
      <c r="AR74" s="148"/>
      <c r="AS74" s="148"/>
      <c r="AT74" s="148"/>
      <c r="AU74" s="148"/>
      <c r="AV74" s="148"/>
      <c r="AW74" s="148"/>
      <c r="AX74" s="148"/>
      <c r="AY74" s="148"/>
      <c r="AZ74" s="148"/>
      <c r="BA74" s="148"/>
      <c r="BB74" s="148"/>
      <c r="BC74" s="148"/>
      <c r="BD74" s="148"/>
      <c r="BE74" s="148"/>
      <c r="BF74" s="148"/>
      <c r="BG74" s="143"/>
      <c r="BH74" s="143"/>
      <c r="BI74" s="143"/>
      <c r="BJ74" s="143"/>
      <c r="BK74" s="143"/>
      <c r="BL74" s="143"/>
      <c r="BM74" s="143"/>
    </row>
    <row r="75" spans="4:65" ht="15" customHeight="1" x14ac:dyDescent="0.35">
      <c r="D75" s="139"/>
      <c r="E75" s="139"/>
      <c r="F75" s="139"/>
      <c r="G75" s="139"/>
      <c r="H75" s="139"/>
      <c r="I75" s="139"/>
      <c r="J75" s="139"/>
      <c r="K75" s="139"/>
      <c r="L75" s="139"/>
      <c r="M75" s="151"/>
      <c r="N75" s="151"/>
      <c r="O75" s="151"/>
      <c r="P75" s="151"/>
      <c r="Q75" s="151"/>
      <c r="R75" s="151"/>
      <c r="S75" s="151"/>
      <c r="T75" s="151"/>
      <c r="U75" s="151"/>
      <c r="V75" s="151"/>
      <c r="W75" s="151"/>
      <c r="X75" s="151"/>
      <c r="Y75" s="151"/>
      <c r="Z75" s="151"/>
      <c r="AA75" s="151"/>
      <c r="AB75" s="151"/>
      <c r="AC75" s="151"/>
      <c r="AD75" s="151"/>
      <c r="AE75" s="151"/>
      <c r="AF75" s="151"/>
      <c r="AG75" s="151"/>
      <c r="AH75" s="151"/>
      <c r="AI75" s="151"/>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4"/>
      <c r="BH75" s="144"/>
      <c r="BI75" s="144"/>
      <c r="BJ75" s="144"/>
      <c r="BK75" s="144"/>
      <c r="BL75" s="144"/>
      <c r="BM75" s="144"/>
    </row>
    <row r="76" spans="4:65" ht="15" customHeight="1" x14ac:dyDescent="0.35">
      <c r="D76" s="137">
        <v>7</v>
      </c>
      <c r="E76" s="137"/>
      <c r="F76" s="137" t="s">
        <v>161</v>
      </c>
      <c r="G76" s="137"/>
      <c r="H76" s="137"/>
      <c r="I76" s="137"/>
      <c r="J76" s="137"/>
      <c r="K76" s="137"/>
      <c r="L76" s="137"/>
      <c r="M76" s="137" t="s">
        <v>148</v>
      </c>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45" t="s">
        <v>162</v>
      </c>
      <c r="AK76" s="146"/>
      <c r="AL76" s="146"/>
      <c r="AM76" s="146"/>
      <c r="AN76" s="146"/>
      <c r="AO76" s="146"/>
      <c r="AP76" s="146"/>
      <c r="AQ76" s="146"/>
      <c r="AR76" s="146"/>
      <c r="AS76" s="146"/>
      <c r="AT76" s="146"/>
      <c r="AU76" s="146"/>
      <c r="AV76" s="146"/>
      <c r="AW76" s="146"/>
      <c r="AX76" s="146"/>
      <c r="AY76" s="146"/>
      <c r="AZ76" s="146"/>
      <c r="BA76" s="146"/>
      <c r="BB76" s="146"/>
      <c r="BC76" s="146"/>
      <c r="BD76" s="146"/>
      <c r="BE76" s="146"/>
      <c r="BF76" s="146"/>
      <c r="BG76" s="140" t="s">
        <v>160</v>
      </c>
      <c r="BH76" s="141"/>
      <c r="BI76" s="141"/>
      <c r="BJ76" s="141"/>
      <c r="BK76" s="141"/>
      <c r="BL76" s="141"/>
      <c r="BM76" s="141"/>
    </row>
    <row r="77" spans="4:65" ht="15" customHeight="1" x14ac:dyDescent="0.35">
      <c r="D77" s="139"/>
      <c r="E77" s="139"/>
      <c r="F77" s="139"/>
      <c r="G77" s="139"/>
      <c r="H77" s="139"/>
      <c r="I77" s="139"/>
      <c r="J77" s="139"/>
      <c r="K77" s="139"/>
      <c r="L77" s="139"/>
      <c r="M77" s="151"/>
      <c r="N77" s="151"/>
      <c r="O77" s="151"/>
      <c r="P77" s="151"/>
      <c r="Q77" s="151"/>
      <c r="R77" s="151"/>
      <c r="S77" s="151"/>
      <c r="T77" s="151"/>
      <c r="U77" s="151"/>
      <c r="V77" s="151"/>
      <c r="W77" s="151"/>
      <c r="X77" s="151"/>
      <c r="Y77" s="151"/>
      <c r="Z77" s="151"/>
      <c r="AA77" s="151"/>
      <c r="AB77" s="151"/>
      <c r="AC77" s="151"/>
      <c r="AD77" s="151"/>
      <c r="AE77" s="151"/>
      <c r="AF77" s="151"/>
      <c r="AG77" s="151"/>
      <c r="AH77" s="151"/>
      <c r="AI77" s="151"/>
      <c r="AJ77" s="149"/>
      <c r="AK77" s="149"/>
      <c r="AL77" s="149"/>
      <c r="AM77" s="149"/>
      <c r="AN77" s="149"/>
      <c r="AO77" s="149"/>
      <c r="AP77" s="149"/>
      <c r="AQ77" s="149"/>
      <c r="AR77" s="149"/>
      <c r="AS77" s="149"/>
      <c r="AT77" s="149"/>
      <c r="AU77" s="149"/>
      <c r="AV77" s="149"/>
      <c r="AW77" s="149"/>
      <c r="AX77" s="149"/>
      <c r="AY77" s="149"/>
      <c r="AZ77" s="149"/>
      <c r="BA77" s="149"/>
      <c r="BB77" s="149"/>
      <c r="BC77" s="149"/>
      <c r="BD77" s="149"/>
      <c r="BE77" s="149"/>
      <c r="BF77" s="149"/>
      <c r="BG77" s="144"/>
      <c r="BH77" s="144"/>
      <c r="BI77" s="144"/>
      <c r="BJ77" s="144"/>
      <c r="BK77" s="144"/>
      <c r="BL77" s="144"/>
      <c r="BM77" s="144"/>
    </row>
    <row r="78" spans="4:65" ht="15" customHeight="1" x14ac:dyDescent="0.35">
      <c r="D78" s="137">
        <v>8</v>
      </c>
      <c r="E78" s="137"/>
      <c r="F78" s="137" t="s">
        <v>163</v>
      </c>
      <c r="G78" s="137"/>
      <c r="H78" s="137"/>
      <c r="I78" s="137"/>
      <c r="J78" s="137"/>
      <c r="K78" s="137"/>
      <c r="L78" s="137"/>
      <c r="M78" s="137" t="s">
        <v>148</v>
      </c>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45" t="s">
        <v>164</v>
      </c>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0" t="s">
        <v>165</v>
      </c>
      <c r="BH78" s="141"/>
      <c r="BI78" s="141"/>
      <c r="BJ78" s="141"/>
      <c r="BK78" s="141"/>
      <c r="BL78" s="141"/>
      <c r="BM78" s="141"/>
    </row>
    <row r="79" spans="4:65" ht="15" customHeight="1" x14ac:dyDescent="0.35">
      <c r="D79" s="139"/>
      <c r="E79" s="139"/>
      <c r="F79" s="139"/>
      <c r="G79" s="139"/>
      <c r="H79" s="139"/>
      <c r="I79" s="139"/>
      <c r="J79" s="139"/>
      <c r="K79" s="139"/>
      <c r="L79" s="139"/>
      <c r="M79" s="151"/>
      <c r="N79" s="151"/>
      <c r="O79" s="151"/>
      <c r="P79" s="151"/>
      <c r="Q79" s="151"/>
      <c r="R79" s="151"/>
      <c r="S79" s="151"/>
      <c r="T79" s="151"/>
      <c r="U79" s="151"/>
      <c r="V79" s="151"/>
      <c r="W79" s="151"/>
      <c r="X79" s="151"/>
      <c r="Y79" s="151"/>
      <c r="Z79" s="151"/>
      <c r="AA79" s="151"/>
      <c r="AB79" s="151"/>
      <c r="AC79" s="151"/>
      <c r="AD79" s="151"/>
      <c r="AE79" s="151"/>
      <c r="AF79" s="151"/>
      <c r="AG79" s="151"/>
      <c r="AH79" s="151"/>
      <c r="AI79" s="151"/>
      <c r="AJ79" s="149"/>
      <c r="AK79" s="149"/>
      <c r="AL79" s="149"/>
      <c r="AM79" s="149"/>
      <c r="AN79" s="149"/>
      <c r="AO79" s="149"/>
      <c r="AP79" s="149"/>
      <c r="AQ79" s="149"/>
      <c r="AR79" s="149"/>
      <c r="AS79" s="149"/>
      <c r="AT79" s="149"/>
      <c r="AU79" s="149"/>
      <c r="AV79" s="149"/>
      <c r="AW79" s="149"/>
      <c r="AX79" s="149"/>
      <c r="AY79" s="149"/>
      <c r="AZ79" s="149"/>
      <c r="BA79" s="149"/>
      <c r="BB79" s="149"/>
      <c r="BC79" s="149"/>
      <c r="BD79" s="149"/>
      <c r="BE79" s="149"/>
      <c r="BF79" s="149"/>
      <c r="BG79" s="144"/>
      <c r="BH79" s="144"/>
      <c r="BI79" s="144"/>
      <c r="BJ79" s="144"/>
      <c r="BK79" s="144"/>
      <c r="BL79" s="144"/>
      <c r="BM79" s="144"/>
    </row>
    <row r="80" spans="4:65" ht="15" customHeight="1" x14ac:dyDescent="0.35">
      <c r="D80" s="137">
        <v>9</v>
      </c>
      <c r="E80" s="137"/>
      <c r="F80" s="137" t="s">
        <v>166</v>
      </c>
      <c r="G80" s="137"/>
      <c r="H80" s="137"/>
      <c r="I80" s="137"/>
      <c r="J80" s="137"/>
      <c r="K80" s="137"/>
      <c r="L80" s="137"/>
      <c r="M80" s="140" t="s">
        <v>167</v>
      </c>
      <c r="N80" s="141"/>
      <c r="O80" s="141"/>
      <c r="P80" s="141"/>
      <c r="Q80" s="141"/>
      <c r="R80" s="141"/>
      <c r="S80" s="141"/>
      <c r="T80" s="141"/>
      <c r="U80" s="141"/>
      <c r="V80" s="141"/>
      <c r="W80" s="141"/>
      <c r="X80" s="141"/>
      <c r="Y80" s="141"/>
      <c r="Z80" s="141"/>
      <c r="AA80" s="141"/>
      <c r="AB80" s="141"/>
      <c r="AC80" s="141"/>
      <c r="AD80" s="141"/>
      <c r="AE80" s="141"/>
      <c r="AF80" s="141"/>
      <c r="AG80" s="141"/>
      <c r="AH80" s="141"/>
      <c r="AI80" s="141"/>
      <c r="AJ80" s="145" t="s">
        <v>168</v>
      </c>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0" t="s">
        <v>165</v>
      </c>
      <c r="BH80" s="141"/>
      <c r="BI80" s="141"/>
      <c r="BJ80" s="141"/>
      <c r="BK80" s="141"/>
      <c r="BL80" s="141"/>
      <c r="BM80" s="141"/>
    </row>
    <row r="81" spans="4:65" ht="15" customHeight="1" x14ac:dyDescent="0.35">
      <c r="D81" s="138"/>
      <c r="E81" s="138"/>
      <c r="F81" s="138"/>
      <c r="G81" s="138"/>
      <c r="H81" s="138"/>
      <c r="I81" s="138"/>
      <c r="J81" s="138"/>
      <c r="K81" s="138"/>
      <c r="L81" s="138"/>
      <c r="M81" s="142"/>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7"/>
      <c r="AK81" s="148"/>
      <c r="AL81" s="148"/>
      <c r="AM81" s="148"/>
      <c r="AN81" s="148"/>
      <c r="AO81" s="148"/>
      <c r="AP81" s="148"/>
      <c r="AQ81" s="148"/>
      <c r="AR81" s="148"/>
      <c r="AS81" s="148"/>
      <c r="AT81" s="148"/>
      <c r="AU81" s="148"/>
      <c r="AV81" s="148"/>
      <c r="AW81" s="148"/>
      <c r="AX81" s="148"/>
      <c r="AY81" s="148"/>
      <c r="AZ81" s="148"/>
      <c r="BA81" s="148"/>
      <c r="BB81" s="148"/>
      <c r="BC81" s="148"/>
      <c r="BD81" s="148"/>
      <c r="BE81" s="148"/>
      <c r="BF81" s="148"/>
      <c r="BG81" s="142"/>
      <c r="BH81" s="143"/>
      <c r="BI81" s="143"/>
      <c r="BJ81" s="143"/>
      <c r="BK81" s="143"/>
      <c r="BL81" s="143"/>
      <c r="BM81" s="143"/>
    </row>
    <row r="82" spans="4:65" ht="15" customHeight="1" x14ac:dyDescent="0.35">
      <c r="D82" s="138"/>
      <c r="E82" s="138"/>
      <c r="F82" s="138"/>
      <c r="G82" s="138"/>
      <c r="H82" s="138"/>
      <c r="I82" s="138"/>
      <c r="J82" s="138"/>
      <c r="K82" s="138"/>
      <c r="L82" s="138"/>
      <c r="M82" s="142"/>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7"/>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2"/>
      <c r="BH82" s="143"/>
      <c r="BI82" s="143"/>
      <c r="BJ82" s="143"/>
      <c r="BK82" s="143"/>
      <c r="BL82" s="143"/>
      <c r="BM82" s="143"/>
    </row>
    <row r="83" spans="4:65" ht="15" customHeight="1" x14ac:dyDescent="0.35">
      <c r="D83" s="138"/>
      <c r="E83" s="138"/>
      <c r="F83" s="138"/>
      <c r="G83" s="138"/>
      <c r="H83" s="138"/>
      <c r="I83" s="138"/>
      <c r="J83" s="138"/>
      <c r="K83" s="138"/>
      <c r="L83" s="138"/>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3"/>
      <c r="BH83" s="143"/>
      <c r="BI83" s="143"/>
      <c r="BJ83" s="143"/>
      <c r="BK83" s="143"/>
      <c r="BL83" s="143"/>
      <c r="BM83" s="143"/>
    </row>
    <row r="84" spans="4:65" ht="15" customHeight="1" x14ac:dyDescent="0.35">
      <c r="D84" s="139"/>
      <c r="E84" s="139"/>
      <c r="F84" s="139"/>
      <c r="G84" s="139"/>
      <c r="H84" s="139"/>
      <c r="I84" s="139"/>
      <c r="J84" s="139"/>
      <c r="K84" s="139"/>
      <c r="L84" s="139"/>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9"/>
      <c r="AK84" s="149"/>
      <c r="AL84" s="149"/>
      <c r="AM84" s="149"/>
      <c r="AN84" s="149"/>
      <c r="AO84" s="149"/>
      <c r="AP84" s="149"/>
      <c r="AQ84" s="149"/>
      <c r="AR84" s="149"/>
      <c r="AS84" s="149"/>
      <c r="AT84" s="149"/>
      <c r="AU84" s="149"/>
      <c r="AV84" s="149"/>
      <c r="AW84" s="149"/>
      <c r="AX84" s="149"/>
      <c r="AY84" s="149"/>
      <c r="AZ84" s="149"/>
      <c r="BA84" s="149"/>
      <c r="BB84" s="149"/>
      <c r="BC84" s="149"/>
      <c r="BD84" s="149"/>
      <c r="BE84" s="149"/>
      <c r="BF84" s="149"/>
      <c r="BG84" s="144"/>
      <c r="BH84" s="144"/>
      <c r="BI84" s="144"/>
      <c r="BJ84" s="144"/>
      <c r="BK84" s="144"/>
      <c r="BL84" s="144"/>
      <c r="BM84" s="144"/>
    </row>
  </sheetData>
  <mergeCells count="70">
    <mergeCell ref="BA2:BG2"/>
    <mergeCell ref="BA3:BG3"/>
    <mergeCell ref="AS4:AT4"/>
    <mergeCell ref="AU4:AZ4"/>
    <mergeCell ref="B2:F2"/>
    <mergeCell ref="G2:T2"/>
    <mergeCell ref="U2:AR2"/>
    <mergeCell ref="AS2:AZ2"/>
    <mergeCell ref="B3:F4"/>
    <mergeCell ref="G3:T4"/>
    <mergeCell ref="U3:AR4"/>
    <mergeCell ref="AS3:AT3"/>
    <mergeCell ref="AU3:AZ3"/>
    <mergeCell ref="BA4:BG4"/>
    <mergeCell ref="D23:N23"/>
    <mergeCell ref="D24:N24"/>
    <mergeCell ref="D37:J37"/>
    <mergeCell ref="K37:AG37"/>
    <mergeCell ref="D38:J39"/>
    <mergeCell ref="K38:AG39"/>
    <mergeCell ref="D56:E56"/>
    <mergeCell ref="F56:L56"/>
    <mergeCell ref="BG56:BM56"/>
    <mergeCell ref="D40:J43"/>
    <mergeCell ref="K40:AG43"/>
    <mergeCell ref="M56:AI56"/>
    <mergeCell ref="AJ56:BF56"/>
    <mergeCell ref="BG57:BM57"/>
    <mergeCell ref="M58:BF61"/>
    <mergeCell ref="BG58:BM61"/>
    <mergeCell ref="D62:E66"/>
    <mergeCell ref="F62:L66"/>
    <mergeCell ref="BG62:BM66"/>
    <mergeCell ref="M62:AI66"/>
    <mergeCell ref="AJ62:BF66"/>
    <mergeCell ref="D58:E61"/>
    <mergeCell ref="F58:L61"/>
    <mergeCell ref="M57:BF57"/>
    <mergeCell ref="D57:E57"/>
    <mergeCell ref="F57:L57"/>
    <mergeCell ref="M67:AI69"/>
    <mergeCell ref="AJ67:BF69"/>
    <mergeCell ref="BG67:BM69"/>
    <mergeCell ref="D70:E72"/>
    <mergeCell ref="F70:L72"/>
    <mergeCell ref="M70:AI72"/>
    <mergeCell ref="AJ70:BF72"/>
    <mergeCell ref="BG70:BM72"/>
    <mergeCell ref="D67:E69"/>
    <mergeCell ref="F67:L69"/>
    <mergeCell ref="D73:E75"/>
    <mergeCell ref="F73:L75"/>
    <mergeCell ref="M73:AI75"/>
    <mergeCell ref="AJ73:BF75"/>
    <mergeCell ref="BG73:BM75"/>
    <mergeCell ref="D76:E77"/>
    <mergeCell ref="F76:L77"/>
    <mergeCell ref="M76:AI77"/>
    <mergeCell ref="AJ76:BF77"/>
    <mergeCell ref="BG76:BM77"/>
    <mergeCell ref="D78:E79"/>
    <mergeCell ref="F78:L79"/>
    <mergeCell ref="M78:AI79"/>
    <mergeCell ref="AJ78:BF79"/>
    <mergeCell ref="BG78:BM79"/>
    <mergeCell ref="D80:E84"/>
    <mergeCell ref="F80:L84"/>
    <mergeCell ref="M80:AI84"/>
    <mergeCell ref="AJ80:BF84"/>
    <mergeCell ref="BG80:BM84"/>
  </mergeCells>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F33C8B1-DAF8-4BAF-A17F-43D129C9E293}"/>
</file>

<file path=customXml/itemProps2.xml><?xml version="1.0" encoding="utf-8"?>
<ds:datastoreItem xmlns:ds="http://schemas.openxmlformats.org/officeDocument/2006/customXml" ds:itemID="{B41BAC70-FF9E-4194-B8D9-EBFB3D5AF198}">
  <ds:schemaRefs>
    <ds:schemaRef ds:uri="http://schemas.microsoft.com/sharepoint/v3/contenttype/forms"/>
  </ds:schemaRefs>
</ds:datastoreItem>
</file>

<file path=customXml/itemProps3.xml><?xml version="1.0" encoding="utf-8"?>
<ds:datastoreItem xmlns:ds="http://schemas.openxmlformats.org/officeDocument/2006/customXml" ds:itemID="{045B6F1D-D84D-478F-A9F4-7034B354478B}">
  <ds:schemaRefs>
    <ds:schemaRef ds:uri="0e104af9-8863-48b3-a0f9-b99702920d19"/>
    <ds:schemaRef ds:uri="http://purl.org/dc/terms/"/>
    <ds:schemaRef ds:uri="http://purl.org/dc/dcmitype/"/>
    <ds:schemaRef ds:uri="5bd2875c-1d77-4e59-90f4-883ca6a86c01"/>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テナント・インスタンス容量の考え方</vt:lpstr>
      <vt:lpstr>現在の容量試算</vt:lpstr>
      <vt:lpstr>容量追加方法</vt:lpstr>
      <vt:lpstr>データバックアップ</vt:lpstr>
      <vt:lpstr>データ長期保存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Yamaguchi, Takuya</dc:creator>
  <cp:keywords/>
  <dc:description/>
  <cp:lastModifiedBy>Irii, Akihiko</cp:lastModifiedBy>
  <cp:revision/>
  <dcterms:created xsi:type="dcterms:W3CDTF">2023-08-15T05:52:02Z</dcterms:created>
  <dcterms:modified xsi:type="dcterms:W3CDTF">2024-05-23T00:26:48Z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