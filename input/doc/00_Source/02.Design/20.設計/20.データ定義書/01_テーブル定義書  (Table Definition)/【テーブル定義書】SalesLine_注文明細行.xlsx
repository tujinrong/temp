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3" documentId="13_ncr:1_{3AB85139-E2CA-42F8-BACF-26F9C43681F3}" xr6:coauthVersionLast="47" xr6:coauthVersionMax="47" xr10:uidLastSave="{6FB71737-959F-40F2-989B-65C0BC88D880}"/>
  <bookViews>
    <workbookView xWindow="-30" yWindow="-16320" windowWidth="29040" windowHeight="15720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テーブル定義!$A$1:$M$48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 a="1"/>
  <c r="F2" i="9" s="1"/>
  <c r="B19" i="5"/>
  <c r="B18" i="5"/>
  <c r="B17" i="5"/>
  <c r="B16" i="5"/>
  <c r="B15" i="5"/>
  <c r="B8" i="5"/>
  <c r="B9" i="5"/>
  <c r="B10" i="5"/>
  <c r="B11" i="5"/>
  <c r="B12" i="5"/>
  <c r="B13" i="5"/>
  <c r="B14" i="5"/>
  <c r="B20" i="5"/>
  <c r="BA2" i="9" l="1"/>
  <c r="H3" i="5" s="1"/>
  <c r="AT2" i="9"/>
  <c r="H2" i="5" s="1"/>
  <c r="AT3" i="9" a="1"/>
  <c r="BA3" i="9"/>
  <c r="M3" i="5" l="1"/>
  <c r="AT3" i="9"/>
  <c r="M2" i="5" s="1"/>
  <c r="B47" i="5" l="1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<sst xmlns="http://schemas.openxmlformats.org/spreadsheetml/2006/main" count="147" uniqueCount="123">
  <si>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</si>
  <si>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</si>
  <si>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</si>
  <si>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</si>
  <si>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</si>
  <si>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</si>
  <si>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</si>
  <si>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</si>
  <si>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</si>
  <si>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</si>
  <si>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</si>
  <si>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</si>
  <si>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</si>
  <si>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</si>
  <si>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</si>
  <si>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</si>
  <si>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</si>
  <si>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</si>
  <si>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</si>
  <si>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</si>
  <si>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</si>
  <si>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</si>
  <si>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</si>
  <si>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</si>
  <si>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</si>
  <si>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</si>
  <si>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</si>
  <si>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</si>
  <si>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</si>
  <si>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</si>
  <si>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Regular</t>
  </si>
  <si>
    <t>WorksheetLine</t>
  </si>
  <si>
    <t>標準(Extension)</t>
    <rPh sb="0" eb="2">
      <t>ヒョウジュン</t>
    </rPh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</si>
  <si>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</si>
  <si>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</si>
  <si>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</si>
  <si>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</si>
  <si>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</si>
  <si>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</si>
  <si>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</si>
  <si>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</si>
  <si>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-</t>
    <phoneticPr fontId="2"/>
  </si>
  <si>
    <t>NO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</si>
  <si>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</si>
  <si>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</si>
  <si>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</si>
  <si>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</si>
  <si>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</si>
  <si>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</si>
  <si>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</si>
  <si>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</si>
  <si>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</si>
  <si>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</si>
  <si>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</si>
  <si>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</si>
  <si>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</si>
  <si>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</si>
  <si>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</si>
  <si>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</si>
  <si>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</si>
  <si>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</si>
  <si>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</si>
  <si>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</si>
  <si>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</si>
  <si>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</si>
  <si>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</si>
  <si>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</si>
  <si>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</si>
  <si>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</si>
  <si>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</si>
  <si>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</si>
  <si>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</si>
  <si>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</si>
  <si>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</si>
  <si>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</si>
  <si>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</si>
  <si>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</si>
  <si>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</si>
  <si>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</si>
  <si>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</si>
  <si>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</si>
  <si>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</si>
  <si>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</si>
  <si>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</si>
  <si>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</si>
  <si>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</si>
  <si>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</si>
  <si>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</si>
  <si>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</si>
  <si>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</si>
  <si>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</si>
  <si>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</si>
  <si>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</si>
  <si>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</si>
  <si>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</si>
  <si>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</si>
  <si>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</si>
  <si>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</si>
  <si>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JBS孫</t>
    <rPh sb="3" eb="4">
      <t>ソン</t>
    </rPh>
    <phoneticPr fontId="2"/>
  </si>
  <si>
    <t>SalesLine</t>
    <phoneticPr fontId="2"/>
  </si>
  <si>
    <t>連携元システム伝票番号</t>
  </si>
  <si>
    <t>連携元システム明細行番号</t>
  </si>
  <si>
    <t>販売対象元品目番号</t>
  </si>
  <si>
    <t>ドキュメントタイプ</t>
  </si>
  <si>
    <t>取引区分</t>
  </si>
  <si>
    <t>SJ_DocumentType</t>
  </si>
  <si>
    <t>SJ_TransactionType</t>
  </si>
  <si>
    <t>String</t>
  </si>
  <si>
    <t>SalesId</t>
    <phoneticPr fontId="2"/>
  </si>
  <si>
    <t>ItemId</t>
    <phoneticPr fontId="2"/>
  </si>
  <si>
    <t>Integer</t>
  </si>
  <si>
    <t>SJ00683</t>
    <phoneticPr fontId="2"/>
  </si>
  <si>
    <t>SJ00684</t>
    <phoneticPr fontId="2"/>
  </si>
  <si>
    <t>SJ00685</t>
    <phoneticPr fontId="2"/>
  </si>
  <si>
    <t>SJ00686</t>
  </si>
  <si>
    <t>SYS107740</t>
  </si>
  <si>
    <t>SJ_OriginalSalesId</t>
    <phoneticPr fontId="2"/>
  </si>
  <si>
    <t>SJ_OriginalLineNum</t>
    <phoneticPr fontId="2"/>
  </si>
  <si>
    <t>SJ_LineNum</t>
  </si>
  <si>
    <t>SJ_OriginalItemId</t>
    <phoneticPr fontId="2"/>
  </si>
  <si>
    <t>SJ_DocumentType</t>
    <phoneticPr fontId="2"/>
  </si>
  <si>
    <t>SJ_TransactionType</t>
    <phoneticPr fontId="2"/>
  </si>
  <si>
    <t>注文明細行</t>
    <rPh sb="0" eb="2">
      <t>チュウモン</t>
    </rPh>
    <rPh sb="2" eb="4">
      <t>メイサイ</t>
    </rPh>
    <rPh sb="4" eb="5">
      <t>ギョウ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</si>
</sst>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3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sqref="A1:E1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33" t="s">
        <v>0</v>
      </c>
      <c r="B1" s="34"/>
      <c r="C1" s="34"/>
      <c r="D1" s="34"/>
      <c r="E1" s="35"/>
      <c r="F1" s="36" t="s">
        <v>1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8"/>
      <c r="W1" s="39" t="s">
        <v>2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/>
      <c r="AR1" s="39" t="s">
        <v>3</v>
      </c>
      <c r="AS1" s="40"/>
      <c r="AT1" s="40"/>
      <c r="AU1" s="40"/>
      <c r="AV1" s="40"/>
      <c r="AW1" s="40"/>
      <c r="AX1" s="40"/>
      <c r="AY1" s="40"/>
      <c r="AZ1" s="41"/>
      <c r="BA1" s="39" t="s">
        <v>4</v>
      </c>
      <c r="BB1" s="40"/>
      <c r="BC1" s="40"/>
      <c r="BD1" s="40"/>
      <c r="BE1" s="40"/>
      <c r="BF1" s="40"/>
      <c r="BG1" s="40"/>
      <c r="BH1" s="40"/>
      <c r="BI1" s="41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42" t="s">
        <v>5</v>
      </c>
      <c r="B2" s="43"/>
      <c r="C2" s="43"/>
      <c r="D2" s="43"/>
      <c r="E2" s="44"/>
      <c r="F2" s="48" t="str" cm="1">
        <f t="array" aca="1" ref="F2" ca="1">SUBSTITUTE(MID(CELL("filename"),FIND("[",CELL("filename"))+1,FIND("]",CELL("filename"))-FIND("[",CELL("filename"))-1),".xlsx","")</f>
        <v>【テーブル定義書】SalesLine_注文明細行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50"/>
      <c r="W2" s="54" t="s">
        <v>6</v>
      </c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/>
      <c r="AR2" s="60" t="s">
        <v>7</v>
      </c>
      <c r="AS2" s="61"/>
      <c r="AT2" s="62">
        <f>A6</f>
        <v>45692</v>
      </c>
      <c r="AU2" s="63"/>
      <c r="AV2" s="63"/>
      <c r="AW2" s="63"/>
      <c r="AX2" s="63"/>
      <c r="AY2" s="63"/>
      <c r="AZ2" s="64"/>
      <c r="BA2" s="65" t="str">
        <f>AZ6</f>
        <v>JBS孫</v>
      </c>
      <c r="BB2" s="66"/>
      <c r="BC2" s="66"/>
      <c r="BD2" s="66"/>
      <c r="BE2" s="66"/>
      <c r="BF2" s="66"/>
      <c r="BG2" s="66"/>
      <c r="BH2" s="66"/>
      <c r="BI2" s="67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45"/>
      <c r="B3" s="46"/>
      <c r="C3" s="46"/>
      <c r="D3" s="46"/>
      <c r="E3" s="47"/>
      <c r="F3" s="51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3"/>
      <c r="W3" s="57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9"/>
      <c r="AR3" s="68" t="s">
        <v>8</v>
      </c>
      <c r="AS3" s="69"/>
      <c r="AT3" s="70" cm="1">
        <f t="array" aca="1" ref="AT3" ca="1">IF(OR(COUNTA(A:E)=3),"",INDIRECT("A"&amp;COUNTA(A:E)+2))</f>
        <v>45692</v>
      </c>
      <c r="AU3" s="71"/>
      <c r="AV3" s="71"/>
      <c r="AW3" s="71"/>
      <c r="AX3" s="71"/>
      <c r="AY3" s="71"/>
      <c r="AZ3" s="72"/>
      <c r="BA3" s="73" t="str">
        <f ca="1">IF(COUNTA(AZ5:BD100000)=1,"",INDIRECT("変更履歴!AZ"&amp;COUNTA(AZ5:BD100000)+4))</f>
        <v>JBS孫</v>
      </c>
      <c r="BB3" s="74"/>
      <c r="BC3" s="74"/>
      <c r="BD3" s="74"/>
      <c r="BE3" s="74"/>
      <c r="BF3" s="74"/>
      <c r="BG3" s="74"/>
      <c r="BH3" s="74"/>
      <c r="BI3" s="75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76" t="s">
        <v>9</v>
      </c>
      <c r="B5" s="76"/>
      <c r="C5" s="76"/>
      <c r="D5" s="76"/>
      <c r="E5" s="76"/>
      <c r="F5" s="76" t="s">
        <v>10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 t="s">
        <v>11</v>
      </c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 t="s">
        <v>12</v>
      </c>
      <c r="BA5" s="76"/>
      <c r="BB5" s="76"/>
      <c r="BC5" s="76"/>
      <c r="BD5" s="76"/>
      <c r="BE5" s="76" t="s">
        <v>13</v>
      </c>
      <c r="BF5" s="76"/>
      <c r="BG5" s="76"/>
      <c r="BH5" s="76"/>
      <c r="BI5" s="76"/>
    </row>
    <row r="6" spans="1:68" ht="14.4">
      <c r="A6" s="77">
        <v>45692</v>
      </c>
      <c r="B6" s="77"/>
      <c r="C6" s="77"/>
      <c r="D6" s="77"/>
      <c r="E6" s="77"/>
      <c r="F6" s="78" t="s">
        <v>14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9" t="s">
        <v>14</v>
      </c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80" t="s">
        <v>98</v>
      </c>
      <c r="BA6" s="80"/>
      <c r="BB6" s="80"/>
      <c r="BC6" s="80"/>
      <c r="BD6" s="80"/>
      <c r="BE6" s="81" t="s">
        <v>15</v>
      </c>
      <c r="BF6" s="82"/>
      <c r="BG6" s="82"/>
      <c r="BH6" s="82"/>
      <c r="BI6" s="82"/>
    </row>
    <row r="7" spans="1:68" ht="14.4">
      <c r="A7" s="83"/>
      <c r="B7" s="83"/>
      <c r="C7" s="83"/>
      <c r="D7" s="83"/>
      <c r="E7" s="83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5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7"/>
      <c r="BA7" s="87"/>
      <c r="BB7" s="87"/>
      <c r="BC7" s="87"/>
      <c r="BD7" s="87"/>
      <c r="BE7" s="88"/>
      <c r="BF7" s="88"/>
      <c r="BG7" s="88"/>
      <c r="BH7" s="88"/>
      <c r="BI7" s="88"/>
    </row>
    <row r="8" spans="1:68" ht="14.4">
      <c r="A8" s="83"/>
      <c r="B8" s="83"/>
      <c r="C8" s="83"/>
      <c r="D8" s="83"/>
      <c r="E8" s="83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7"/>
      <c r="BA8" s="87"/>
      <c r="BB8" s="87"/>
      <c r="BC8" s="87"/>
      <c r="BD8" s="87"/>
      <c r="BE8" s="88"/>
      <c r="BF8" s="88"/>
      <c r="BG8" s="88"/>
      <c r="BH8" s="88"/>
      <c r="BI8" s="88"/>
    </row>
    <row r="9" spans="1:68" ht="14.4">
      <c r="A9" s="83"/>
      <c r="B9" s="83"/>
      <c r="C9" s="83"/>
      <c r="D9" s="83"/>
      <c r="E9" s="83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5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7"/>
      <c r="BA9" s="87"/>
      <c r="BB9" s="87"/>
      <c r="BC9" s="87"/>
      <c r="BD9" s="87"/>
      <c r="BE9" s="88"/>
      <c r="BF9" s="88"/>
      <c r="BG9" s="88"/>
      <c r="BH9" s="88"/>
      <c r="BI9" s="88"/>
    </row>
    <row r="10" spans="1:68" ht="15" customHeight="1">
      <c r="A10" s="83"/>
      <c r="B10" s="83"/>
      <c r="C10" s="83"/>
      <c r="D10" s="83"/>
      <c r="E10" s="83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7"/>
      <c r="BA10" s="87"/>
      <c r="BB10" s="87"/>
      <c r="BC10" s="87"/>
      <c r="BD10" s="87"/>
      <c r="BE10" s="88"/>
      <c r="BF10" s="88"/>
      <c r="BG10" s="88"/>
      <c r="BH10" s="88"/>
      <c r="BI10" s="88"/>
    </row>
    <row r="11" spans="1:68" ht="15" customHeight="1">
      <c r="A11" s="83"/>
      <c r="B11" s="83"/>
      <c r="C11" s="83"/>
      <c r="D11" s="83"/>
      <c r="E11" s="83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7"/>
      <c r="BA11" s="87"/>
      <c r="BB11" s="87"/>
      <c r="BC11" s="87"/>
      <c r="BD11" s="87"/>
      <c r="BE11" s="88"/>
      <c r="BF11" s="88"/>
      <c r="BG11" s="88"/>
      <c r="BH11" s="88"/>
      <c r="BI11" s="88"/>
    </row>
    <row r="12" spans="1:68" ht="15" customHeight="1">
      <c r="A12" s="83"/>
      <c r="B12" s="83"/>
      <c r="C12" s="83"/>
      <c r="D12" s="83"/>
      <c r="E12" s="83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7"/>
      <c r="BA12" s="87"/>
      <c r="BB12" s="87"/>
      <c r="BC12" s="87"/>
      <c r="BD12" s="87"/>
      <c r="BE12" s="88"/>
      <c r="BF12" s="88"/>
      <c r="BG12" s="88"/>
      <c r="BH12" s="88"/>
      <c r="BI12" s="88"/>
    </row>
    <row r="13" spans="1:68" ht="15" customHeight="1">
      <c r="A13" s="83"/>
      <c r="B13" s="83"/>
      <c r="C13" s="83"/>
      <c r="D13" s="83"/>
      <c r="E13" s="83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7"/>
      <c r="BA13" s="87"/>
      <c r="BB13" s="87"/>
      <c r="BC13" s="87"/>
      <c r="BD13" s="87"/>
      <c r="BE13" s="88"/>
      <c r="BF13" s="88"/>
      <c r="BG13" s="88"/>
      <c r="BH13" s="88"/>
      <c r="BI13" s="88"/>
    </row>
    <row r="14" spans="1:68" ht="15" customHeight="1">
      <c r="A14" s="83"/>
      <c r="B14" s="83"/>
      <c r="C14" s="83"/>
      <c r="D14" s="83"/>
      <c r="E14" s="83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7"/>
      <c r="BA14" s="87"/>
      <c r="BB14" s="87"/>
      <c r="BC14" s="87"/>
      <c r="BD14" s="87"/>
      <c r="BE14" s="88"/>
      <c r="BF14" s="88"/>
      <c r="BG14" s="88"/>
      <c r="BH14" s="88"/>
      <c r="BI14" s="88"/>
    </row>
    <row r="15" spans="1:68" ht="15" customHeight="1">
      <c r="A15" s="83"/>
      <c r="B15" s="83"/>
      <c r="C15" s="83"/>
      <c r="D15" s="83"/>
      <c r="E15" s="83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7"/>
      <c r="BA15" s="87"/>
      <c r="BB15" s="87"/>
      <c r="BC15" s="87"/>
      <c r="BD15" s="87"/>
      <c r="BE15" s="88"/>
      <c r="BF15" s="88"/>
      <c r="BG15" s="88"/>
      <c r="BH15" s="88"/>
      <c r="BI15" s="88"/>
    </row>
    <row r="16" spans="1:68" ht="15" customHeight="1">
      <c r="A16" s="83"/>
      <c r="B16" s="83"/>
      <c r="C16" s="83"/>
      <c r="D16" s="83"/>
      <c r="E16" s="83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7"/>
      <c r="BA16" s="87"/>
      <c r="BB16" s="87"/>
      <c r="BC16" s="87"/>
      <c r="BD16" s="87"/>
      <c r="BE16" s="88"/>
      <c r="BF16" s="88"/>
      <c r="BG16" s="88"/>
      <c r="BH16" s="88"/>
      <c r="BI16" s="88"/>
    </row>
    <row r="17" spans="1:61" ht="15" customHeight="1">
      <c r="A17" s="83"/>
      <c r="B17" s="83"/>
      <c r="C17" s="83"/>
      <c r="D17" s="83"/>
      <c r="E17" s="83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7"/>
      <c r="BA17" s="87"/>
      <c r="BB17" s="87"/>
      <c r="BC17" s="87"/>
      <c r="BD17" s="87"/>
      <c r="BE17" s="88"/>
      <c r="BF17" s="88"/>
      <c r="BG17" s="88"/>
      <c r="BH17" s="88"/>
      <c r="BI17" s="88"/>
    </row>
    <row r="18" spans="1:61" ht="15" customHeight="1">
      <c r="A18" s="83"/>
      <c r="B18" s="83"/>
      <c r="C18" s="83"/>
      <c r="D18" s="83"/>
      <c r="E18" s="83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7"/>
      <c r="BA18" s="87"/>
      <c r="BB18" s="87"/>
      <c r="BC18" s="87"/>
      <c r="BD18" s="87"/>
      <c r="BE18" s="88"/>
      <c r="BF18" s="88"/>
      <c r="BG18" s="88"/>
      <c r="BH18" s="88"/>
      <c r="BI18" s="88"/>
    </row>
    <row r="19" spans="1:61" ht="15" customHeight="1">
      <c r="A19" s="83"/>
      <c r="B19" s="83"/>
      <c r="C19" s="83"/>
      <c r="D19" s="83"/>
      <c r="E19" s="83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7"/>
      <c r="BA19" s="87"/>
      <c r="BB19" s="87"/>
      <c r="BC19" s="87"/>
      <c r="BD19" s="87"/>
      <c r="BE19" s="88"/>
      <c r="BF19" s="88"/>
      <c r="BG19" s="88"/>
      <c r="BH19" s="88"/>
      <c r="BI19" s="88"/>
    </row>
    <row r="20" spans="1:61" ht="15" customHeight="1">
      <c r="A20" s="83"/>
      <c r="B20" s="83"/>
      <c r="C20" s="83"/>
      <c r="D20" s="83"/>
      <c r="E20" s="83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7"/>
      <c r="BA20" s="87"/>
      <c r="BB20" s="87"/>
      <c r="BC20" s="87"/>
      <c r="BD20" s="87"/>
      <c r="BE20" s="88"/>
      <c r="BF20" s="88"/>
      <c r="BG20" s="88"/>
      <c r="BH20" s="88"/>
      <c r="BI20" s="88"/>
    </row>
    <row r="21" spans="1:61" ht="15" customHeight="1">
      <c r="A21" s="83"/>
      <c r="B21" s="83"/>
      <c r="C21" s="83"/>
      <c r="D21" s="83"/>
      <c r="E21" s="83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7"/>
      <c r="BA21" s="87"/>
      <c r="BB21" s="87"/>
      <c r="BC21" s="87"/>
      <c r="BD21" s="87"/>
      <c r="BE21" s="88"/>
      <c r="BF21" s="88"/>
      <c r="BG21" s="88"/>
      <c r="BH21" s="88"/>
      <c r="BI21" s="88"/>
    </row>
    <row r="22" spans="1:61" ht="15" customHeight="1" thickBot="1">
      <c r="A22" s="89"/>
      <c r="B22" s="89"/>
      <c r="C22" s="89"/>
      <c r="D22" s="89"/>
      <c r="E22" s="89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2"/>
      <c r="BA22" s="92"/>
      <c r="BB22" s="92"/>
      <c r="BC22" s="92"/>
      <c r="BD22" s="92"/>
      <c r="BE22" s="93"/>
      <c r="BF22" s="93"/>
      <c r="BG22" s="93"/>
      <c r="BH22" s="93"/>
      <c r="BI22" s="93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7"/>
  <sheetViews>
    <sheetView showGridLines="0" zoomScaleNormal="100" zoomScaleSheetLayoutView="89" workbookViewId="0"/>
  </sheetViews>
  <sheetFormatPr defaultColWidth="9" defaultRowHeight="12.6"/>
  <cols>
    <col min="1" max="1" width="0.69921875" style="19" customWidth="1"/>
    <col min="2" max="2" width="3.69921875" style="19" bestFit="1" customWidth="1"/>
    <col min="3" max="3" width="18.59765625" style="19" customWidth="1"/>
    <col min="4" max="4" width="14.09765625" style="19" bestFit="1" customWidth="1"/>
    <col min="5" max="5" width="28.19921875" style="19" customWidth="1"/>
    <col min="6" max="6" width="9.69921875" style="19" customWidth="1"/>
    <col min="7" max="7" width="22.19921875" style="19" customWidth="1"/>
    <col min="8" max="8" width="8.69921875" style="19" customWidth="1"/>
    <col min="9" max="10" width="5.5" style="19" customWidth="1"/>
    <col min="11" max="11" width="2.59765625" style="19" customWidth="1"/>
    <col min="12" max="12" width="17" style="19" customWidth="1"/>
    <col min="13" max="13" width="23.19921875" style="19" customWidth="1"/>
    <col min="14" max="14" width="0.69921875" style="19" customWidth="1"/>
    <col min="15" max="16384" width="9" style="19"/>
  </cols>
  <sheetData>
    <row r="1" spans="2:13" ht="5.0999999999999996" customHeight="1"/>
    <row r="2" spans="2:13">
      <c r="B2" s="97" t="s">
        <v>16</v>
      </c>
      <c r="C2" s="97"/>
      <c r="D2" s="97"/>
      <c r="E2" s="97" t="s">
        <v>17</v>
      </c>
      <c r="F2" s="97"/>
      <c r="G2" s="20" t="s">
        <v>18</v>
      </c>
      <c r="H2" s="109">
        <f>変更履歴!AT2</f>
        <v>45692</v>
      </c>
      <c r="I2" s="110"/>
      <c r="J2" s="110"/>
      <c r="K2" s="111"/>
      <c r="L2" s="10" t="s">
        <v>19</v>
      </c>
      <c r="M2" s="6">
        <f ca="1">変更履歴!AT3</f>
        <v>45692</v>
      </c>
    </row>
    <row r="3" spans="2:13">
      <c r="B3" s="103" t="s">
        <v>20</v>
      </c>
      <c r="C3" s="103"/>
      <c r="D3" s="103"/>
      <c r="E3" s="103" t="s">
        <v>21</v>
      </c>
      <c r="F3" s="103"/>
      <c r="G3" s="20" t="s">
        <v>22</v>
      </c>
      <c r="H3" s="112" t="str">
        <f>変更履歴!BA2</f>
        <v>JBS孫</v>
      </c>
      <c r="I3" s="113"/>
      <c r="J3" s="113"/>
      <c r="K3" s="114"/>
      <c r="L3" s="10" t="s">
        <v>23</v>
      </c>
      <c r="M3" s="2" t="str">
        <f ca="1">変更履歴!BA3</f>
        <v>JBS孫</v>
      </c>
    </row>
    <row r="4" spans="2:13">
      <c r="B4" s="97" t="s">
        <v>24</v>
      </c>
      <c r="C4" s="97"/>
      <c r="D4" s="9" t="s">
        <v>25</v>
      </c>
      <c r="E4" s="98" t="s">
        <v>26</v>
      </c>
      <c r="F4" s="99"/>
      <c r="G4" s="20" t="s">
        <v>27</v>
      </c>
      <c r="H4" s="100" t="s">
        <v>28</v>
      </c>
      <c r="I4" s="101"/>
      <c r="J4" s="101"/>
      <c r="K4" s="102"/>
      <c r="L4" s="20" t="s">
        <v>29</v>
      </c>
      <c r="M4" s="11"/>
    </row>
    <row r="5" spans="2:13">
      <c r="B5" s="103" t="s">
        <v>122</v>
      </c>
      <c r="C5" s="103"/>
      <c r="D5" s="1"/>
      <c r="E5" s="94" t="s">
        <v>99</v>
      </c>
      <c r="F5" s="96"/>
      <c r="G5" s="21" t="s">
        <v>30</v>
      </c>
      <c r="H5" s="104" t="s">
        <v>31</v>
      </c>
      <c r="I5" s="105"/>
      <c r="J5" s="105"/>
      <c r="K5" s="106"/>
      <c r="L5" s="21" t="s">
        <v>32</v>
      </c>
      <c r="M5" s="22"/>
    </row>
    <row r="6" spans="2:13" ht="5.0999999999999996" customHeight="1"/>
    <row r="7" spans="2:13">
      <c r="B7" s="8" t="s">
        <v>33</v>
      </c>
      <c r="C7" s="8" t="s">
        <v>34</v>
      </c>
      <c r="D7" s="8" t="s">
        <v>25</v>
      </c>
      <c r="E7" s="8" t="s">
        <v>35</v>
      </c>
      <c r="F7" s="8" t="s">
        <v>36</v>
      </c>
      <c r="G7" s="8" t="s">
        <v>37</v>
      </c>
      <c r="H7" s="8" t="s">
        <v>38</v>
      </c>
      <c r="I7" s="8" t="s">
        <v>39</v>
      </c>
      <c r="J7" s="8" t="s">
        <v>40</v>
      </c>
      <c r="K7" s="107"/>
      <c r="L7" s="107"/>
      <c r="M7" s="108"/>
    </row>
    <row r="8" spans="2:13">
      <c r="B8" s="2">
        <f t="shared" ref="B8:B47" si="0">ROW()-7</f>
        <v>1</v>
      </c>
      <c r="C8" s="1" t="s">
        <v>100</v>
      </c>
      <c r="D8" s="1" t="s">
        <v>111</v>
      </c>
      <c r="E8" s="23" t="s">
        <v>116</v>
      </c>
      <c r="F8" s="24" t="s">
        <v>107</v>
      </c>
      <c r="G8" s="23" t="s">
        <v>108</v>
      </c>
      <c r="H8" s="3">
        <v>20</v>
      </c>
      <c r="I8" s="2" t="s">
        <v>42</v>
      </c>
      <c r="J8" s="2" t="s">
        <v>42</v>
      </c>
      <c r="K8" s="94"/>
      <c r="L8" s="95"/>
      <c r="M8" s="96"/>
    </row>
    <row r="9" spans="2:13">
      <c r="B9" s="2">
        <f t="shared" si="0"/>
        <v>2</v>
      </c>
      <c r="C9" s="1" t="s">
        <v>101</v>
      </c>
      <c r="D9" s="1" t="s">
        <v>112</v>
      </c>
      <c r="E9" s="23" t="s">
        <v>117</v>
      </c>
      <c r="F9" s="24" t="s">
        <v>110</v>
      </c>
      <c r="G9" s="23" t="s">
        <v>118</v>
      </c>
      <c r="H9" s="3" t="s">
        <v>41</v>
      </c>
      <c r="I9" s="2" t="s">
        <v>42</v>
      </c>
      <c r="J9" s="2" t="s">
        <v>42</v>
      </c>
      <c r="K9" s="94"/>
      <c r="L9" s="95"/>
      <c r="M9" s="96"/>
    </row>
    <row r="10" spans="2:13">
      <c r="B10" s="2">
        <f t="shared" si="0"/>
        <v>3</v>
      </c>
      <c r="C10" s="1" t="s">
        <v>102</v>
      </c>
      <c r="D10" s="1" t="s">
        <v>113</v>
      </c>
      <c r="E10" s="19" t="s">
        <v>119</v>
      </c>
      <c r="F10" s="24" t="s">
        <v>107</v>
      </c>
      <c r="G10" s="1" t="s">
        <v>109</v>
      </c>
      <c r="H10" s="3">
        <v>20</v>
      </c>
      <c r="I10" s="2" t="s">
        <v>42</v>
      </c>
      <c r="J10" s="2" t="s">
        <v>42</v>
      </c>
      <c r="K10" s="94"/>
      <c r="L10" s="95"/>
      <c r="M10" s="96"/>
    </row>
    <row r="11" spans="2:13">
      <c r="B11" s="2">
        <f t="shared" si="0"/>
        <v>4</v>
      </c>
      <c r="C11" s="1" t="s">
        <v>103</v>
      </c>
      <c r="D11" s="1" t="s">
        <v>115</v>
      </c>
      <c r="E11" s="23" t="s">
        <v>120</v>
      </c>
      <c r="F11" s="24" t="s">
        <v>107</v>
      </c>
      <c r="G11" s="23" t="s">
        <v>105</v>
      </c>
      <c r="H11" s="3">
        <v>1</v>
      </c>
      <c r="I11" s="2" t="s">
        <v>42</v>
      </c>
      <c r="J11" s="2" t="s">
        <v>42</v>
      </c>
      <c r="K11" s="94"/>
      <c r="L11" s="95"/>
      <c r="M11" s="96"/>
    </row>
    <row r="12" spans="2:13">
      <c r="B12" s="2">
        <f t="shared" si="0"/>
        <v>5</v>
      </c>
      <c r="C12" s="1" t="s">
        <v>104</v>
      </c>
      <c r="D12" s="1" t="s">
        <v>114</v>
      </c>
      <c r="E12" s="23" t="s">
        <v>121</v>
      </c>
      <c r="F12" s="24" t="s">
        <v>107</v>
      </c>
      <c r="G12" s="23" t="s">
        <v>106</v>
      </c>
      <c r="H12" s="3">
        <v>20</v>
      </c>
      <c r="I12" s="2" t="s">
        <v>42</v>
      </c>
      <c r="J12" s="2" t="s">
        <v>42</v>
      </c>
      <c r="K12" s="94"/>
      <c r="L12" s="95"/>
      <c r="M12" s="96"/>
    </row>
    <row r="13" spans="2:13">
      <c r="B13" s="2">
        <f t="shared" si="0"/>
        <v>6</v>
      </c>
      <c r="C13" s="23"/>
      <c r="D13" s="1"/>
      <c r="E13" s="1"/>
      <c r="F13" s="24"/>
      <c r="G13" s="1"/>
      <c r="H13" s="4"/>
      <c r="I13" s="2"/>
      <c r="J13" s="2"/>
      <c r="K13" s="94"/>
      <c r="L13" s="95"/>
      <c r="M13" s="96"/>
    </row>
    <row r="14" spans="2:13">
      <c r="B14" s="2">
        <f t="shared" si="0"/>
        <v>7</v>
      </c>
      <c r="C14" s="23"/>
      <c r="D14" s="1"/>
      <c r="E14" s="1"/>
      <c r="F14" s="24"/>
      <c r="G14" s="1"/>
      <c r="H14" s="4"/>
      <c r="I14" s="2"/>
      <c r="J14" s="2"/>
      <c r="K14" s="94"/>
      <c r="L14" s="95"/>
      <c r="M14" s="96"/>
    </row>
    <row r="15" spans="2:13">
      <c r="B15" s="2">
        <f t="shared" si="0"/>
        <v>8</v>
      </c>
      <c r="C15" s="23"/>
      <c r="D15" s="1"/>
      <c r="E15" s="1"/>
      <c r="F15" s="24"/>
      <c r="G15" s="1"/>
      <c r="H15" s="4"/>
      <c r="I15" s="2"/>
      <c r="J15" s="2"/>
      <c r="K15" s="94"/>
      <c r="L15" s="95"/>
      <c r="M15" s="96"/>
    </row>
    <row r="16" spans="2:13">
      <c r="B16" s="2">
        <f t="shared" si="0"/>
        <v>9</v>
      </c>
      <c r="C16" s="23"/>
      <c r="D16" s="1"/>
      <c r="E16" s="1"/>
      <c r="F16" s="24"/>
      <c r="G16" s="1"/>
      <c r="H16" s="4"/>
      <c r="I16" s="2"/>
      <c r="J16" s="2"/>
      <c r="K16" s="94"/>
      <c r="L16" s="95"/>
      <c r="M16" s="96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94"/>
      <c r="L17" s="95"/>
      <c r="M17" s="96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94"/>
      <c r="L18" s="95"/>
      <c r="M18" s="96"/>
    </row>
    <row r="19" spans="2:13">
      <c r="B19" s="2">
        <f t="shared" si="0"/>
        <v>12</v>
      </c>
      <c r="C19" s="23"/>
      <c r="D19" s="1"/>
      <c r="E19" s="1"/>
      <c r="F19" s="24"/>
      <c r="G19" s="1"/>
      <c r="H19" s="4"/>
      <c r="I19" s="2"/>
      <c r="J19" s="2"/>
      <c r="K19" s="94"/>
      <c r="L19" s="95"/>
      <c r="M19" s="96"/>
    </row>
    <row r="20" spans="2:13">
      <c r="B20" s="2">
        <f t="shared" si="0"/>
        <v>13</v>
      </c>
      <c r="C20" s="1"/>
      <c r="D20" s="1"/>
      <c r="E20" s="1"/>
      <c r="F20" s="24"/>
      <c r="G20" s="1"/>
      <c r="H20" s="4"/>
      <c r="I20" s="2"/>
      <c r="J20" s="2"/>
      <c r="K20" s="94"/>
      <c r="L20" s="95"/>
      <c r="M20" s="96"/>
    </row>
    <row r="21" spans="2:13">
      <c r="B21" s="2">
        <f t="shared" si="0"/>
        <v>14</v>
      </c>
      <c r="C21" s="1"/>
      <c r="D21" s="1"/>
      <c r="E21" s="1"/>
      <c r="F21" s="24"/>
      <c r="G21" s="1"/>
      <c r="H21" s="4"/>
      <c r="I21" s="2"/>
      <c r="J21" s="2"/>
      <c r="K21" s="94"/>
      <c r="L21" s="95"/>
      <c r="M21" s="96"/>
    </row>
    <row r="22" spans="2:13">
      <c r="B22" s="2">
        <f t="shared" si="0"/>
        <v>15</v>
      </c>
      <c r="C22" s="1"/>
      <c r="D22" s="1"/>
      <c r="E22" s="1"/>
      <c r="F22" s="24"/>
      <c r="G22" s="1"/>
      <c r="H22" s="4"/>
      <c r="I22" s="2"/>
      <c r="J22" s="2"/>
      <c r="K22" s="94"/>
      <c r="L22" s="95"/>
      <c r="M22" s="96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94"/>
      <c r="L23" s="95"/>
      <c r="M23" s="96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94"/>
      <c r="L24" s="95"/>
      <c r="M24" s="96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94"/>
      <c r="L25" s="95"/>
      <c r="M25" s="96"/>
    </row>
    <row r="26" spans="2:13">
      <c r="B26" s="2">
        <f t="shared" si="0"/>
        <v>19</v>
      </c>
      <c r="C26" s="23"/>
      <c r="D26" s="1"/>
      <c r="E26" s="1"/>
      <c r="F26" s="24"/>
      <c r="G26" s="1"/>
      <c r="H26" s="4"/>
      <c r="I26" s="2"/>
      <c r="J26" s="2"/>
      <c r="K26" s="94"/>
      <c r="L26" s="95"/>
      <c r="M26" s="96"/>
    </row>
    <row r="27" spans="2:13">
      <c r="B27" s="2">
        <f t="shared" si="0"/>
        <v>20</v>
      </c>
      <c r="C27" s="23"/>
      <c r="D27" s="1"/>
      <c r="E27" s="1"/>
      <c r="F27" s="24"/>
      <c r="G27" s="1"/>
      <c r="H27" s="4"/>
      <c r="I27" s="2"/>
      <c r="J27" s="2"/>
      <c r="K27" s="94"/>
      <c r="L27" s="95"/>
      <c r="M27" s="96"/>
    </row>
    <row r="28" spans="2:13">
      <c r="B28" s="2">
        <f t="shared" si="0"/>
        <v>21</v>
      </c>
      <c r="C28" s="23"/>
      <c r="D28" s="1"/>
      <c r="E28" s="1"/>
      <c r="F28" s="24"/>
      <c r="G28" s="1"/>
      <c r="H28" s="4"/>
      <c r="I28" s="2"/>
      <c r="J28" s="2"/>
      <c r="K28" s="94"/>
      <c r="L28" s="95"/>
      <c r="M28" s="96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94"/>
      <c r="L29" s="95"/>
      <c r="M29" s="96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94"/>
      <c r="L30" s="95"/>
      <c r="M30" s="96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94"/>
      <c r="L31" s="95"/>
      <c r="M31" s="96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94"/>
      <c r="L32" s="95"/>
      <c r="M32" s="96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94"/>
      <c r="L33" s="95"/>
      <c r="M33" s="96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94"/>
      <c r="L34" s="95"/>
      <c r="M34" s="96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94"/>
      <c r="L35" s="95"/>
      <c r="M35" s="96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94"/>
      <c r="L36" s="95"/>
      <c r="M36" s="96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94"/>
      <c r="L37" s="95"/>
      <c r="M37" s="96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94"/>
      <c r="L38" s="95"/>
      <c r="M38" s="96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94"/>
      <c r="L39" s="95"/>
      <c r="M39" s="96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94"/>
      <c r="L40" s="95"/>
      <c r="M40" s="96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94"/>
      <c r="L41" s="95"/>
      <c r="M41" s="96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94"/>
      <c r="L42" s="95"/>
      <c r="M42" s="96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94"/>
      <c r="L43" s="95"/>
      <c r="M43" s="96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94"/>
      <c r="L44" s="95"/>
      <c r="M44" s="96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94"/>
      <c r="L45" s="95"/>
      <c r="M45" s="96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94"/>
      <c r="L46" s="95"/>
      <c r="M46" s="96"/>
    </row>
    <row r="47" spans="2:13">
      <c r="B47" s="2">
        <f t="shared" si="0"/>
        <v>40</v>
      </c>
      <c r="C47" s="23"/>
      <c r="D47" s="23"/>
      <c r="E47" s="23"/>
      <c r="F47" s="23"/>
      <c r="G47" s="5"/>
      <c r="H47" s="23"/>
      <c r="I47" s="23"/>
      <c r="J47" s="2"/>
      <c r="K47" s="95"/>
      <c r="L47" s="95"/>
      <c r="M47" s="96"/>
    </row>
  </sheetData>
  <mergeCells count="53">
    <mergeCell ref="B2:D2"/>
    <mergeCell ref="E2:F2"/>
    <mergeCell ref="H2:K2"/>
    <mergeCell ref="B3:D3"/>
    <mergeCell ref="E3:F3"/>
    <mergeCell ref="H3:K3"/>
    <mergeCell ref="K9:M9"/>
    <mergeCell ref="B4:C4"/>
    <mergeCell ref="E4:F4"/>
    <mergeCell ref="H4:K4"/>
    <mergeCell ref="B5:C5"/>
    <mergeCell ref="E5:F5"/>
    <mergeCell ref="H5:K5"/>
    <mergeCell ref="K7:M7"/>
    <mergeCell ref="K8:M8"/>
    <mergeCell ref="K20:M2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32:M32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45:M45"/>
    <mergeCell ref="K46:M46"/>
    <mergeCell ref="K47:M47"/>
    <mergeCell ref="K44:M44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</mergeCells>
  <phoneticPr fontId="2"/>
  <dataValidations count="1">
    <dataValidation type="list" allowBlank="1" showInputMessage="1" showErrorMessage="1" sqref="I8:J46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9765625" defaultRowHeight="16.5" customHeight="1"/>
  <cols>
    <col min="1" max="12" width="2.59765625" style="7"/>
    <col min="13" max="17" width="3.19921875" style="7" customWidth="1"/>
    <col min="18" max="22" width="2.59765625" style="7"/>
    <col min="23" max="27" width="3.59765625" style="7" customWidth="1"/>
    <col min="28" max="16384" width="2.59765625" style="7"/>
  </cols>
  <sheetData>
    <row r="1" spans="1:59" ht="11.25" customHeight="1">
      <c r="A1" s="132" t="s">
        <v>43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42"/>
    </row>
    <row r="2" spans="1:59" ht="11.25" customHeight="1">
      <c r="A2" s="134" t="s">
        <v>33</v>
      </c>
      <c r="B2" s="135"/>
      <c r="C2" s="134" t="s">
        <v>44</v>
      </c>
      <c r="D2" s="136"/>
      <c r="E2" s="136"/>
      <c r="F2" s="136"/>
      <c r="G2" s="136"/>
      <c r="H2" s="136"/>
      <c r="I2" s="136"/>
      <c r="J2" s="136"/>
      <c r="K2" s="136"/>
      <c r="L2" s="135"/>
      <c r="M2" s="134" t="s">
        <v>45</v>
      </c>
      <c r="N2" s="136"/>
      <c r="O2" s="136"/>
      <c r="P2" s="135"/>
      <c r="Q2" s="134" t="s">
        <v>46</v>
      </c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5"/>
      <c r="BB2" s="134" t="s">
        <v>47</v>
      </c>
      <c r="BC2" s="136"/>
      <c r="BD2" s="136"/>
      <c r="BE2" s="136"/>
      <c r="BF2" s="136"/>
      <c r="BG2" s="135"/>
    </row>
    <row r="3" spans="1:59" ht="11.25" customHeight="1">
      <c r="A3" s="123">
        <v>1</v>
      </c>
      <c r="B3" s="124"/>
      <c r="C3" s="125"/>
      <c r="D3" s="126"/>
      <c r="E3" s="126"/>
      <c r="F3" s="126"/>
      <c r="G3" s="126"/>
      <c r="H3" s="126"/>
      <c r="I3" s="126"/>
      <c r="J3" s="126"/>
      <c r="K3" s="126"/>
      <c r="L3" s="127"/>
      <c r="M3" s="139"/>
      <c r="N3" s="140"/>
      <c r="O3" s="140"/>
      <c r="P3" s="141"/>
      <c r="Q3" s="125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7"/>
      <c r="BB3" s="125"/>
      <c r="BC3" s="126"/>
      <c r="BD3" s="126"/>
      <c r="BE3" s="126"/>
      <c r="BF3" s="126"/>
      <c r="BG3" s="127"/>
    </row>
    <row r="4" spans="1:59" ht="11.25" customHeight="1">
      <c r="A4" s="123">
        <v>2</v>
      </c>
      <c r="B4" s="124"/>
      <c r="C4" s="125"/>
      <c r="D4" s="126"/>
      <c r="E4" s="126"/>
      <c r="F4" s="126"/>
      <c r="G4" s="126"/>
      <c r="H4" s="126"/>
      <c r="I4" s="126"/>
      <c r="J4" s="126"/>
      <c r="K4" s="126"/>
      <c r="L4" s="127"/>
      <c r="M4" s="139"/>
      <c r="N4" s="140"/>
      <c r="O4" s="140"/>
      <c r="P4" s="141"/>
      <c r="Q4" s="125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7"/>
      <c r="BB4" s="125"/>
      <c r="BC4" s="126"/>
      <c r="BD4" s="126"/>
      <c r="BE4" s="126"/>
      <c r="BF4" s="126"/>
      <c r="BG4" s="127"/>
    </row>
    <row r="5" spans="1:59" ht="11.25" customHeight="1">
      <c r="A5" s="123">
        <v>3</v>
      </c>
      <c r="B5" s="124"/>
      <c r="C5" s="125"/>
      <c r="D5" s="126"/>
      <c r="E5" s="126"/>
      <c r="F5" s="126"/>
      <c r="G5" s="126"/>
      <c r="H5" s="126"/>
      <c r="I5" s="126"/>
      <c r="J5" s="126"/>
      <c r="K5" s="126"/>
      <c r="L5" s="127"/>
      <c r="M5" s="139"/>
      <c r="N5" s="140"/>
      <c r="O5" s="140"/>
      <c r="P5" s="141"/>
      <c r="Q5" s="125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7"/>
      <c r="BB5" s="125"/>
      <c r="BC5" s="126"/>
      <c r="BD5" s="126"/>
      <c r="BE5" s="126"/>
      <c r="BF5" s="126"/>
      <c r="BG5" s="127"/>
    </row>
    <row r="6" spans="1:59" ht="11.25" customHeight="1">
      <c r="A6" s="123">
        <v>4</v>
      </c>
      <c r="B6" s="124"/>
      <c r="C6" s="125"/>
      <c r="D6" s="126"/>
      <c r="E6" s="126"/>
      <c r="F6" s="126"/>
      <c r="G6" s="126"/>
      <c r="H6" s="126"/>
      <c r="I6" s="126"/>
      <c r="J6" s="126"/>
      <c r="K6" s="126"/>
      <c r="L6" s="127"/>
      <c r="M6" s="139"/>
      <c r="N6" s="140"/>
      <c r="O6" s="140"/>
      <c r="P6" s="141"/>
      <c r="Q6" s="125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7"/>
      <c r="BB6" s="125"/>
      <c r="BC6" s="126"/>
      <c r="BD6" s="126"/>
      <c r="BE6" s="126"/>
      <c r="BF6" s="126"/>
      <c r="BG6" s="127"/>
    </row>
    <row r="7" spans="1:59" ht="11.25" customHeight="1">
      <c r="A7" s="123">
        <v>5</v>
      </c>
      <c r="B7" s="124"/>
      <c r="C7" s="125"/>
      <c r="D7" s="126"/>
      <c r="E7" s="126"/>
      <c r="F7" s="126"/>
      <c r="G7" s="126"/>
      <c r="H7" s="126"/>
      <c r="I7" s="126"/>
      <c r="J7" s="126"/>
      <c r="K7" s="126"/>
      <c r="L7" s="127"/>
      <c r="M7" s="139"/>
      <c r="N7" s="140"/>
      <c r="O7" s="140"/>
      <c r="P7" s="141"/>
      <c r="Q7" s="125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7"/>
      <c r="BB7" s="125"/>
      <c r="BC7" s="126"/>
      <c r="BD7" s="126"/>
      <c r="BE7" s="126"/>
      <c r="BF7" s="126"/>
      <c r="BG7" s="127"/>
    </row>
    <row r="8" spans="1:59" ht="11.25" customHeight="1">
      <c r="A8" s="132" t="s">
        <v>48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</row>
    <row r="9" spans="1:59" ht="11.25" customHeight="1">
      <c r="A9" s="134" t="s">
        <v>33</v>
      </c>
      <c r="B9" s="135"/>
      <c r="C9" s="134" t="s">
        <v>49</v>
      </c>
      <c r="D9" s="136"/>
      <c r="E9" s="136"/>
      <c r="F9" s="136"/>
      <c r="G9" s="136"/>
      <c r="H9" s="136"/>
      <c r="I9" s="136"/>
      <c r="J9" s="136"/>
      <c r="K9" s="136"/>
      <c r="L9" s="135"/>
      <c r="M9" s="134" t="s">
        <v>50</v>
      </c>
      <c r="N9" s="136"/>
      <c r="O9" s="135"/>
      <c r="P9" s="134" t="s">
        <v>46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5"/>
      <c r="AQ9" s="134" t="s">
        <v>47</v>
      </c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5"/>
    </row>
    <row r="10" spans="1:59" ht="11.25" customHeight="1">
      <c r="A10" s="123">
        <v>1</v>
      </c>
      <c r="B10" s="124"/>
      <c r="C10" s="125"/>
      <c r="D10" s="126"/>
      <c r="E10" s="126"/>
      <c r="F10" s="126"/>
      <c r="G10" s="126"/>
      <c r="H10" s="126"/>
      <c r="I10" s="126"/>
      <c r="J10" s="126"/>
      <c r="K10" s="126"/>
      <c r="L10" s="127"/>
      <c r="M10" s="138"/>
      <c r="N10" s="138"/>
      <c r="O10" s="138"/>
      <c r="P10" s="125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7"/>
      <c r="AQ10" s="125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7"/>
    </row>
    <row r="11" spans="1:59" ht="11.25" customHeight="1">
      <c r="A11" s="123">
        <v>2</v>
      </c>
      <c r="B11" s="124"/>
      <c r="C11" s="125"/>
      <c r="D11" s="126"/>
      <c r="E11" s="126"/>
      <c r="F11" s="126"/>
      <c r="G11" s="126"/>
      <c r="H11" s="126"/>
      <c r="I11" s="126"/>
      <c r="J11" s="126"/>
      <c r="K11" s="126"/>
      <c r="L11" s="127"/>
      <c r="M11" s="138"/>
      <c r="N11" s="138"/>
      <c r="O11" s="138"/>
      <c r="P11" s="125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7"/>
      <c r="AQ11" s="125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7"/>
    </row>
    <row r="12" spans="1:59" ht="11.25" customHeight="1">
      <c r="A12" s="123">
        <v>3</v>
      </c>
      <c r="B12" s="124"/>
      <c r="C12" s="125"/>
      <c r="D12" s="126"/>
      <c r="E12" s="126"/>
      <c r="F12" s="126"/>
      <c r="G12" s="126"/>
      <c r="H12" s="126"/>
      <c r="I12" s="126"/>
      <c r="J12" s="126"/>
      <c r="K12" s="126"/>
      <c r="L12" s="127"/>
      <c r="M12" s="138"/>
      <c r="N12" s="138"/>
      <c r="O12" s="138"/>
      <c r="P12" s="125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7"/>
      <c r="AQ12" s="125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7"/>
    </row>
    <row r="13" spans="1:59" ht="11.25" customHeight="1">
      <c r="A13" s="123">
        <v>4</v>
      </c>
      <c r="B13" s="124"/>
      <c r="C13" s="125"/>
      <c r="D13" s="126"/>
      <c r="E13" s="126"/>
      <c r="F13" s="126"/>
      <c r="G13" s="126"/>
      <c r="H13" s="126"/>
      <c r="I13" s="126"/>
      <c r="J13" s="126"/>
      <c r="K13" s="126"/>
      <c r="L13" s="127"/>
      <c r="M13" s="138"/>
      <c r="N13" s="138"/>
      <c r="O13" s="138"/>
      <c r="P13" s="125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7"/>
      <c r="AQ13" s="125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7"/>
    </row>
    <row r="14" spans="1:59" ht="11.25" customHeight="1">
      <c r="A14" s="123">
        <v>5</v>
      </c>
      <c r="B14" s="124"/>
      <c r="C14" s="125"/>
      <c r="D14" s="126"/>
      <c r="E14" s="126"/>
      <c r="F14" s="126"/>
      <c r="G14" s="126"/>
      <c r="H14" s="126"/>
      <c r="I14" s="126"/>
      <c r="J14" s="126"/>
      <c r="K14" s="126"/>
      <c r="L14" s="127"/>
      <c r="M14" s="138"/>
      <c r="N14" s="138"/>
      <c r="O14" s="138"/>
      <c r="P14" s="125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7"/>
      <c r="AQ14" s="125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7"/>
    </row>
    <row r="15" spans="1:59" ht="11.25" customHeight="1">
      <c r="A15" s="132" t="s">
        <v>51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</row>
    <row r="16" spans="1:59" ht="11.25" customHeight="1">
      <c r="A16" s="134" t="s">
        <v>33</v>
      </c>
      <c r="B16" s="135"/>
      <c r="C16" s="134" t="s">
        <v>52</v>
      </c>
      <c r="D16" s="136"/>
      <c r="E16" s="136"/>
      <c r="F16" s="136"/>
      <c r="G16" s="136"/>
      <c r="H16" s="136"/>
      <c r="I16" s="136"/>
      <c r="J16" s="136"/>
      <c r="K16" s="136"/>
      <c r="L16" s="135"/>
      <c r="M16" s="134" t="s">
        <v>53</v>
      </c>
      <c r="N16" s="136"/>
      <c r="O16" s="136"/>
      <c r="P16" s="136"/>
      <c r="Q16" s="135"/>
      <c r="R16" s="134" t="s">
        <v>54</v>
      </c>
      <c r="S16" s="136"/>
      <c r="T16" s="136"/>
      <c r="U16" s="136"/>
      <c r="V16" s="135"/>
      <c r="W16" s="134" t="s">
        <v>55</v>
      </c>
      <c r="X16" s="136"/>
      <c r="Y16" s="136"/>
      <c r="Z16" s="136"/>
      <c r="AA16" s="135"/>
      <c r="AB16" s="134" t="s">
        <v>56</v>
      </c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5"/>
    </row>
    <row r="17" spans="1:59" ht="11.25" customHeight="1">
      <c r="A17" s="123">
        <v>1</v>
      </c>
      <c r="B17" s="124"/>
      <c r="C17" s="125"/>
      <c r="D17" s="126"/>
      <c r="E17" s="126"/>
      <c r="F17" s="126"/>
      <c r="G17" s="126"/>
      <c r="H17" s="126"/>
      <c r="I17" s="126"/>
      <c r="J17" s="126"/>
      <c r="K17" s="126"/>
      <c r="L17" s="127"/>
      <c r="M17" s="123"/>
      <c r="N17" s="128"/>
      <c r="O17" s="128"/>
      <c r="P17" s="128"/>
      <c r="Q17" s="124"/>
      <c r="R17" s="123"/>
      <c r="S17" s="128"/>
      <c r="T17" s="128"/>
      <c r="U17" s="128"/>
      <c r="V17" s="124"/>
      <c r="W17" s="123"/>
      <c r="X17" s="128"/>
      <c r="Y17" s="128"/>
      <c r="Z17" s="128"/>
      <c r="AA17" s="124"/>
      <c r="AB17" s="125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7"/>
    </row>
    <row r="18" spans="1:59" ht="11.25" customHeight="1">
      <c r="A18" s="123">
        <v>2</v>
      </c>
      <c r="B18" s="124"/>
      <c r="C18" s="125"/>
      <c r="D18" s="126"/>
      <c r="E18" s="126"/>
      <c r="F18" s="126"/>
      <c r="G18" s="126"/>
      <c r="H18" s="126"/>
      <c r="I18" s="126"/>
      <c r="J18" s="126"/>
      <c r="K18" s="126"/>
      <c r="L18" s="127"/>
      <c r="M18" s="123"/>
      <c r="N18" s="128"/>
      <c r="O18" s="128"/>
      <c r="P18" s="128"/>
      <c r="Q18" s="124"/>
      <c r="R18" s="123"/>
      <c r="S18" s="128"/>
      <c r="T18" s="128"/>
      <c r="U18" s="128"/>
      <c r="V18" s="124"/>
      <c r="W18" s="123"/>
      <c r="X18" s="128"/>
      <c r="Y18" s="128"/>
      <c r="Z18" s="128"/>
      <c r="AA18" s="124"/>
      <c r="AB18" s="125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7"/>
    </row>
    <row r="19" spans="1:59" ht="11.25" customHeight="1">
      <c r="A19" s="123">
        <v>3</v>
      </c>
      <c r="B19" s="124"/>
      <c r="C19" s="125"/>
      <c r="D19" s="126"/>
      <c r="E19" s="126"/>
      <c r="F19" s="126"/>
      <c r="G19" s="126"/>
      <c r="H19" s="126"/>
      <c r="I19" s="126"/>
      <c r="J19" s="126"/>
      <c r="K19" s="126"/>
      <c r="L19" s="127"/>
      <c r="M19" s="123"/>
      <c r="N19" s="128"/>
      <c r="O19" s="128"/>
      <c r="P19" s="128"/>
      <c r="Q19" s="124"/>
      <c r="R19" s="123"/>
      <c r="S19" s="128"/>
      <c r="T19" s="128"/>
      <c r="U19" s="128"/>
      <c r="V19" s="124"/>
      <c r="W19" s="123"/>
      <c r="X19" s="128"/>
      <c r="Y19" s="128"/>
      <c r="Z19" s="128"/>
      <c r="AA19" s="124"/>
      <c r="AB19" s="137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7"/>
    </row>
    <row r="20" spans="1:59" ht="11.25" customHeight="1">
      <c r="A20" s="132" t="s">
        <v>57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</row>
    <row r="21" spans="1:59" ht="11.25" customHeight="1">
      <c r="A21" s="134" t="s">
        <v>33</v>
      </c>
      <c r="B21" s="135"/>
      <c r="C21" s="134" t="s">
        <v>58</v>
      </c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5"/>
      <c r="R21" s="134" t="s">
        <v>59</v>
      </c>
      <c r="S21" s="136"/>
      <c r="T21" s="136"/>
      <c r="U21" s="136"/>
      <c r="V21" s="136"/>
      <c r="W21" s="136"/>
      <c r="X21" s="136"/>
      <c r="Y21" s="136"/>
      <c r="Z21" s="136"/>
      <c r="AA21" s="135"/>
      <c r="AB21" s="134" t="s">
        <v>60</v>
      </c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5"/>
      <c r="BB21" s="134" t="s">
        <v>47</v>
      </c>
      <c r="BC21" s="136"/>
      <c r="BD21" s="136"/>
      <c r="BE21" s="136"/>
      <c r="BF21" s="136"/>
      <c r="BG21" s="135"/>
    </row>
    <row r="22" spans="1:59" ht="11.25" customHeight="1">
      <c r="A22" s="123">
        <v>1</v>
      </c>
      <c r="B22" s="124"/>
      <c r="C22" s="125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7"/>
      <c r="R22" s="123"/>
      <c r="S22" s="128"/>
      <c r="T22" s="128"/>
      <c r="U22" s="128"/>
      <c r="V22" s="128"/>
      <c r="W22" s="128"/>
      <c r="X22" s="128"/>
      <c r="Y22" s="128"/>
      <c r="Z22" s="128"/>
      <c r="AA22" s="124"/>
      <c r="AB22" s="125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7"/>
      <c r="BB22" s="125"/>
      <c r="BC22" s="126"/>
      <c r="BD22" s="126"/>
      <c r="BE22" s="126"/>
      <c r="BF22" s="126"/>
      <c r="BG22" s="127"/>
    </row>
    <row r="23" spans="1:59" ht="11.25" customHeight="1">
      <c r="A23" s="123">
        <v>2</v>
      </c>
      <c r="B23" s="124"/>
      <c r="C23" s="125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  <c r="R23" s="123"/>
      <c r="S23" s="128"/>
      <c r="T23" s="128"/>
      <c r="U23" s="128"/>
      <c r="V23" s="128"/>
      <c r="W23" s="128"/>
      <c r="X23" s="128"/>
      <c r="Y23" s="128"/>
      <c r="Z23" s="128"/>
      <c r="AA23" s="124"/>
      <c r="AB23" s="125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7"/>
      <c r="BB23" s="125"/>
      <c r="BC23" s="126"/>
      <c r="BD23" s="126"/>
      <c r="BE23" s="126"/>
      <c r="BF23" s="126"/>
      <c r="BG23" s="127"/>
    </row>
    <row r="24" spans="1:59" ht="11.25" customHeight="1">
      <c r="A24" s="123">
        <v>3</v>
      </c>
      <c r="B24" s="124"/>
      <c r="C24" s="125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7"/>
      <c r="R24" s="123"/>
      <c r="S24" s="128"/>
      <c r="T24" s="128"/>
      <c r="U24" s="128"/>
      <c r="V24" s="128"/>
      <c r="W24" s="128"/>
      <c r="X24" s="128"/>
      <c r="Y24" s="128"/>
      <c r="Z24" s="128"/>
      <c r="AA24" s="124"/>
      <c r="AB24" s="125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7"/>
      <c r="BB24" s="125"/>
      <c r="BC24" s="126"/>
      <c r="BD24" s="126"/>
      <c r="BE24" s="126"/>
      <c r="BF24" s="126"/>
      <c r="BG24" s="127"/>
    </row>
    <row r="25" spans="1:59" ht="11.25" customHeight="1">
      <c r="A25" s="129" t="s">
        <v>61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1"/>
    </row>
    <row r="26" spans="1:59" ht="11.25" customHeight="1">
      <c r="A26" s="120" t="s">
        <v>62</v>
      </c>
      <c r="B26" s="121"/>
      <c r="C26" s="120" t="s">
        <v>63</v>
      </c>
      <c r="D26" s="122"/>
      <c r="E26" s="122"/>
      <c r="F26" s="122"/>
      <c r="G26" s="122"/>
      <c r="H26" s="122"/>
      <c r="I26" s="122"/>
      <c r="J26" s="122"/>
      <c r="K26" s="122"/>
      <c r="L26" s="121"/>
      <c r="M26" s="120" t="s">
        <v>64</v>
      </c>
      <c r="N26" s="122"/>
      <c r="O26" s="122"/>
      <c r="P26" s="122"/>
      <c r="Q26" s="122"/>
      <c r="R26" s="122"/>
      <c r="S26" s="122"/>
      <c r="T26" s="121"/>
      <c r="U26" s="120" t="s">
        <v>65</v>
      </c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1"/>
      <c r="AK26" s="120" t="s">
        <v>66</v>
      </c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</row>
    <row r="27" spans="1:59" ht="11.25" customHeight="1">
      <c r="A27" s="115">
        <v>1</v>
      </c>
      <c r="B27" s="116"/>
      <c r="C27" s="117"/>
      <c r="D27" s="118"/>
      <c r="E27" s="118"/>
      <c r="F27" s="118"/>
      <c r="G27" s="118"/>
      <c r="H27" s="118"/>
      <c r="I27" s="118"/>
      <c r="J27" s="118"/>
      <c r="K27" s="118"/>
      <c r="L27" s="119"/>
      <c r="M27" s="117"/>
      <c r="N27" s="118"/>
      <c r="O27" s="118"/>
      <c r="P27" s="118"/>
      <c r="Q27" s="118"/>
      <c r="R27" s="118"/>
      <c r="S27" s="118"/>
      <c r="T27" s="119"/>
      <c r="U27" s="117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9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15">
        <v>2</v>
      </c>
      <c r="B28" s="116"/>
      <c r="C28" s="117"/>
      <c r="D28" s="118"/>
      <c r="E28" s="118"/>
      <c r="F28" s="118"/>
      <c r="G28" s="118"/>
      <c r="H28" s="118"/>
      <c r="I28" s="118"/>
      <c r="J28" s="118"/>
      <c r="K28" s="118"/>
      <c r="L28" s="119"/>
      <c r="M28" s="117"/>
      <c r="N28" s="118"/>
      <c r="O28" s="118"/>
      <c r="P28" s="118"/>
      <c r="Q28" s="118"/>
      <c r="R28" s="118"/>
      <c r="S28" s="118"/>
      <c r="T28" s="119"/>
      <c r="U28" s="117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9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15">
        <v>3</v>
      </c>
      <c r="B29" s="116"/>
      <c r="C29" s="117"/>
      <c r="D29" s="118"/>
      <c r="E29" s="118"/>
      <c r="F29" s="118"/>
      <c r="G29" s="118"/>
      <c r="H29" s="118"/>
      <c r="I29" s="118"/>
      <c r="J29" s="118"/>
      <c r="K29" s="118"/>
      <c r="L29" s="119"/>
      <c r="M29" s="117"/>
      <c r="N29" s="118"/>
      <c r="O29" s="118"/>
      <c r="P29" s="118"/>
      <c r="Q29" s="118"/>
      <c r="R29" s="118"/>
      <c r="S29" s="118"/>
      <c r="T29" s="119"/>
      <c r="U29" s="117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9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9765625" bestFit="1" customWidth="1"/>
    <col min="3" max="3" width="18.59765625" bestFit="1" customWidth="1"/>
    <col min="4" max="4" width="15.59765625" bestFit="1" customWidth="1"/>
    <col min="5" max="5" width="13" bestFit="1" customWidth="1"/>
  </cols>
  <sheetData>
    <row r="1" spans="1:5" ht="18.600000000000001" thickBot="1">
      <c r="A1" s="25" t="s">
        <v>67</v>
      </c>
      <c r="B1" s="25" t="s">
        <v>68</v>
      </c>
      <c r="C1" s="26" t="s">
        <v>69</v>
      </c>
      <c r="D1" s="27" t="s">
        <v>70</v>
      </c>
      <c r="E1" s="28" t="s">
        <v>71</v>
      </c>
    </row>
    <row r="2" spans="1:5">
      <c r="A2" s="29" t="s">
        <v>21</v>
      </c>
      <c r="B2" s="29" t="s">
        <v>72</v>
      </c>
      <c r="C2" s="30" t="s">
        <v>73</v>
      </c>
      <c r="D2" s="30" t="s">
        <v>32</v>
      </c>
      <c r="E2" s="29" t="s">
        <v>74</v>
      </c>
    </row>
    <row r="3" spans="1:5" ht="18.600000000000001" thickBot="1">
      <c r="A3" s="31" t="s">
        <v>75</v>
      </c>
      <c r="B3" s="29" t="s">
        <v>76</v>
      </c>
      <c r="C3" s="30" t="s">
        <v>77</v>
      </c>
      <c r="D3" s="32" t="s">
        <v>78</v>
      </c>
      <c r="E3" s="29" t="s">
        <v>79</v>
      </c>
    </row>
    <row r="4" spans="1:5" ht="18.600000000000001" thickBot="1">
      <c r="B4" s="31" t="s">
        <v>80</v>
      </c>
      <c r="C4" s="30" t="s">
        <v>81</v>
      </c>
      <c r="E4" s="29" t="s">
        <v>82</v>
      </c>
    </row>
    <row r="5" spans="1:5">
      <c r="C5" s="29" t="s">
        <v>83</v>
      </c>
      <c r="E5" s="29" t="s">
        <v>84</v>
      </c>
    </row>
    <row r="6" spans="1:5">
      <c r="C6" s="29" t="s">
        <v>85</v>
      </c>
      <c r="E6" s="29" t="s">
        <v>86</v>
      </c>
    </row>
    <row r="7" spans="1:5">
      <c r="C7" s="29" t="s">
        <v>87</v>
      </c>
      <c r="E7" s="29" t="s">
        <v>88</v>
      </c>
    </row>
    <row r="8" spans="1:5">
      <c r="C8" s="29" t="s">
        <v>31</v>
      </c>
      <c r="E8" s="29" t="s">
        <v>89</v>
      </c>
    </row>
    <row r="9" spans="1:5">
      <c r="C9" s="29" t="s">
        <v>90</v>
      </c>
      <c r="E9" s="29" t="s">
        <v>91</v>
      </c>
    </row>
    <row r="10" spans="1:5">
      <c r="C10" s="29" t="s">
        <v>92</v>
      </c>
      <c r="E10" s="29" t="s">
        <v>93</v>
      </c>
    </row>
    <row r="11" spans="1:5" ht="18.600000000000001" thickBot="1">
      <c r="C11" s="29" t="s">
        <v>94</v>
      </c>
      <c r="E11" s="31" t="s">
        <v>95</v>
      </c>
    </row>
    <row r="12" spans="1:5">
      <c r="C12" s="29" t="s">
        <v>96</v>
      </c>
    </row>
    <row r="13" spans="1:5" ht="18.600000000000001" thickBot="1">
      <c r="C13" s="31" t="s">
        <v>97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D90A09-F9C1-4822-8BFB-245A099C4C80}">
  <ds:schemaRefs>
    <ds:schemaRef ds:uri="http://purl.org/dc/elements/1.1/"/>
    <ds:schemaRef ds:uri="http://purl.org/dc/terms/"/>
    <ds:schemaRef ds:uri="11a06735-eb40-4925-8cde-3ab8c03b2281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37c9669-7545-402d-a50a-1c173d0fc4c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89EE82B-8129-4084-905F-C9D75D9189F0}"/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Takeda, Kei</cp:lastModifiedBy>
  <cp:revision/>
  <dcterms:created xsi:type="dcterms:W3CDTF">2015-06-05T18:19:34Z</dcterms:created>
  <dcterms:modified xsi:type="dcterms:W3CDTF">2025-02-10T04:49:38Z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