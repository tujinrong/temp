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525" documentId="13_ncr:1_{4A296147-C0F9-4DA7-978E-0CD65D48BC00}" xr6:coauthVersionLast="47" xr6:coauthVersionMax="47" xr10:uidLastSave="{39D9601D-0741-435C-BC93-AF51121A5915}"/>
  <bookViews>
    <workbookView xWindow="12690" yWindow="-110" windowWidth="38620" windowHeight="2110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テーブル定義!$A$1:$M$38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B28" i="5" l="1"/>
  <c r="B25" i="5"/>
  <c r="B24" i="5"/>
  <c r="B21" i="5" l="1"/>
  <c r="B12" i="5"/>
  <c r="B31" i="5"/>
  <c r="B23" i="5" l="1"/>
  <c r="B27" i="5"/>
  <c r="B18" i="5"/>
  <c r="B19" i="5"/>
  <c r="BA2" i="9"/>
  <c r="B8" i="5"/>
  <c r="B9" i="5"/>
  <c r="B10" i="5"/>
  <c r="B11" i="5"/>
  <c r="H3" i="5" l="1"/>
  <c r="AT2" i="9"/>
  <c r="H2" i="5" s="1"/>
  <c r="BA3" i="9"/>
  <c r="AT3" i="9" a="1"/>
  <c r="M3" i="5" l="1"/>
  <c r="AT3" i="9"/>
  <c r="M2" i="5" s="1"/>
  <c r="B37" i="5" l="1"/>
  <c r="B36" i="5"/>
  <c r="B35" i="5"/>
  <c r="B34" i="5"/>
  <c r="B33" i="5"/>
  <c r="B32" i="5"/>
  <c r="B15" i="5"/>
  <c r="B16" i="5"/>
  <c r="B13" i="5"/>
  <c r="B14" i="5"/>
  <c r="B17" i="5"/>
  <c r="B30" i="5"/>
  <c r="B29" i="5"/>
  <c r="B22" i="5"/>
  <c r="B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<sst xmlns="http://schemas.openxmlformats.org/spreadsheetml/2006/main" count="271" uniqueCount="173">
  <si>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</si>
  <si>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</si>
  <si>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</si>
  <si>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</si>
  <si>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</si>
  <si>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</si>
  <si>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固定資産台帳</t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</si>
  <si>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</si>
  <si>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</si>
  <si>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</si>
  <si>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</si>
  <si>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</si>
  <si>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</si>
  <si>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</si>
  <si>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</si>
  <si>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</si>
  <si>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JBS大河原</t>
    <rPh sb="3" eb="6">
      <t>オオカワラ</t>
    </rPh>
    <phoneticPr fontId="2"/>
  </si>
  <si>
    <t>1.0</t>
    <phoneticPr fontId="2"/>
  </si>
  <si>
    <t>「テーブル定義」シート</t>
  </si>
  <si>
    <t>以下のフィールドの物理名を修正（誤字修正）
■BeginningOfAcquisitionPrice（期首取得価額）
■CumulativeImpairmentLoss（除却減損損失累計額）</t>
  </si>
  <si>
    <t>JBS山田</t>
    <rPh sb="3" eb="5">
      <t>ヤマダ</t>
    </rPh>
    <phoneticPr fontId="2"/>
  </si>
  <si>
    <t>1.1</t>
    <phoneticPr fontId="2"/>
  </si>
  <si>
    <t>「テーブル定義」シート</t>
    <rPh sb="5" eb="7">
      <t>テイギ</t>
    </rPh>
    <phoneticPr fontId="2"/>
  </si>
  <si>
    <t>以下のフィールドを削除
■System項目　CreatedBy
■System項目　CreatedDateTime
■System項目　ModifiedBy
■System項目　ModifiedDateTime</t>
    <rPh sb="0" eb="2">
      <t>イカ</t>
    </rPh>
    <rPh sb="9" eb="11">
      <t>サクジョ</t>
    </rPh>
    <phoneticPr fontId="2"/>
  </si>
  <si>
    <t>1.2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</si>
  <si>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</si>
  <si>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</si>
  <si>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</si>
  <si>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</si>
  <si>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</si>
  <si>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</si>
  <si>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</si>
  <si>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</si>
  <si>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</si>
  <si>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</si>
  <si>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</si>
  <si>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</si>
  <si>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</si>
  <si>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</si>
  <si>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固定資産台帳Tmp</t>
    <rPh sb="0" eb="2">
      <t>コテイ</t>
    </rPh>
    <rPh sb="2" eb="4">
      <t>シサン</t>
    </rPh>
    <rPh sb="4" eb="6">
      <t>ダイチョウ</t>
    </rPh>
    <phoneticPr fontId="2"/>
  </si>
  <si>
    <t>-</t>
    <phoneticPr fontId="2"/>
  </si>
  <si>
    <t>SJ_AssetLedgerTmp</t>
  </si>
  <si>
    <t>TempDB</t>
    <phoneticPr fontId="2"/>
  </si>
  <si>
    <t>Transaction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</si>
  <si>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</si>
  <si>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</si>
  <si>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</si>
  <si>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</si>
  <si>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</si>
  <si>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</si>
  <si>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</si>
  <si>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</si>
  <si>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</si>
  <si>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固定資産グループ</t>
    <phoneticPr fontId="2"/>
  </si>
  <si>
    <t>GroupId</t>
    <phoneticPr fontId="2"/>
  </si>
  <si>
    <t>String</t>
  </si>
  <si>
    <t>AssetGroupId</t>
    <phoneticPr fontId="2"/>
  </si>
  <si>
    <t>YES</t>
  </si>
  <si>
    <t>NO</t>
  </si>
  <si>
    <t>固定資産番号</t>
    <rPh sb="4" eb="6">
      <t>バンゴウ</t>
    </rPh>
    <phoneticPr fontId="2"/>
  </si>
  <si>
    <t>AssetId</t>
    <phoneticPr fontId="2"/>
  </si>
  <si>
    <t>AssetId</t>
  </si>
  <si>
    <t>固定資産名前</t>
    <rPh sb="0" eb="2">
      <t>コテイ</t>
    </rPh>
    <rPh sb="2" eb="4">
      <t>シサン</t>
    </rPh>
    <rPh sb="4" eb="6">
      <t>ナマエ</t>
    </rPh>
    <phoneticPr fontId="2"/>
  </si>
  <si>
    <t>Name</t>
  </si>
  <si>
    <t>AssetName</t>
  </si>
  <si>
    <t>保管場所</t>
    <rPh sb="0" eb="4">
      <t>ホカンバショ</t>
    </rPh>
    <phoneticPr fontId="2"/>
  </si>
  <si>
    <t>Location</t>
    <phoneticPr fontId="2"/>
  </si>
  <si>
    <t>AssetLocationId</t>
    <phoneticPr fontId="2"/>
  </si>
  <si>
    <t>固定資産帳簿</t>
    <rPh sb="0" eb="4">
      <t>コテイシサン</t>
    </rPh>
    <rPh sb="4" eb="6">
      <t>チョウボ</t>
    </rPh>
    <phoneticPr fontId="2"/>
  </si>
  <si>
    <t>BookId</t>
  </si>
  <si>
    <t>AssetBookId</t>
  </si>
  <si>
    <t>ステータス（帳簿）</t>
    <phoneticPr fontId="2"/>
  </si>
  <si>
    <t>Status</t>
    <phoneticPr fontId="2"/>
  </si>
  <si>
    <t>Enum</t>
    <phoneticPr fontId="2"/>
  </si>
  <si>
    <t>AssetStatus</t>
    <phoneticPr fontId="2"/>
  </si>
  <si>
    <t>取得日付</t>
    <rPh sb="0" eb="4">
      <t>シュトクヒヅケ</t>
    </rPh>
    <phoneticPr fontId="2"/>
  </si>
  <si>
    <t>AcquisitionDate</t>
  </si>
  <si>
    <t>Date</t>
  </si>
  <si>
    <t>AssetAcquisitionDate</t>
  </si>
  <si>
    <t>Real</t>
  </si>
  <si>
    <t>DepartmentInCharge</t>
  </si>
  <si>
    <t>SJ_DepartmentInCharge</t>
    <phoneticPr fontId="2"/>
  </si>
  <si>
    <t>耐用年数</t>
  </si>
  <si>
    <t>ServiceLife</t>
  </si>
  <si>
    <t>AssetServiceLife</t>
  </si>
  <si>
    <t>指図コード</t>
    <phoneticPr fontId="2"/>
  </si>
  <si>
    <t>OrderCode</t>
  </si>
  <si>
    <t>String</t>
    <phoneticPr fontId="2"/>
  </si>
  <si>
    <t>SJ_OrderCode</t>
    <phoneticPr fontId="18"/>
  </si>
  <si>
    <t>指図テキスト</t>
    <phoneticPr fontId="2"/>
  </si>
  <si>
    <t>OrderText</t>
  </si>
  <si>
    <t>SJ_OrderText</t>
    <phoneticPr fontId="18"/>
  </si>
  <si>
    <t>事業領域</t>
    <rPh sb="0" eb="4">
      <t>ジギョウリョウイキ</t>
    </rPh>
    <phoneticPr fontId="2"/>
  </si>
  <si>
    <t>BusinessArea</t>
    <phoneticPr fontId="2"/>
  </si>
  <si>
    <t>SJ_BusinessArea</t>
    <phoneticPr fontId="2"/>
  </si>
  <si>
    <t>正味帳簿価額</t>
    <rPh sb="0" eb="2">
      <t>ショウミ</t>
    </rPh>
    <rPh sb="2" eb="4">
      <t>チョウボ</t>
    </rPh>
    <rPh sb="4" eb="6">
      <t>カガク</t>
    </rPh>
    <phoneticPr fontId="2"/>
  </si>
  <si>
    <t>TmpNumerals02</t>
    <phoneticPr fontId="2"/>
  </si>
  <si>
    <t>Amount</t>
  </si>
  <si>
    <t>期首正味帳簿価額</t>
    <rPh sb="2" eb="4">
      <t>ショウミ</t>
    </rPh>
    <rPh sb="6" eb="8">
      <t>カガク</t>
    </rPh>
    <phoneticPr fontId="2"/>
  </si>
  <si>
    <t>BeginningBalOfTmpNumerals02</t>
  </si>
  <si>
    <t>SJ_BeginningBalOfTmpNumerals02</t>
    <phoneticPr fontId="2"/>
  </si>
  <si>
    <t>期首償却累計額</t>
    <rPh sb="0" eb="7">
      <t>キシュショウキャクルイケイガク</t>
    </rPh>
    <phoneticPr fontId="2"/>
  </si>
  <si>
    <t>BeginningBalOfAccumulatedDep_JP</t>
  </si>
  <si>
    <t>SJ_BeginningBalOfAccumulatedDep_JP</t>
    <phoneticPr fontId="2"/>
  </si>
  <si>
    <t>償却累計額</t>
    <rPh sb="0" eb="2">
      <t>ショウキャク</t>
    </rPh>
    <rPh sb="2" eb="5">
      <t>ルイケイガク</t>
    </rPh>
    <phoneticPr fontId="2"/>
  </si>
  <si>
    <t>AccumulatingDepreciation</t>
  </si>
  <si>
    <t>SJ_AccumulatingDepreciation</t>
    <phoneticPr fontId="2"/>
  </si>
  <si>
    <t>年度償却</t>
    <rPh sb="0" eb="2">
      <t>ネンド</t>
    </rPh>
    <rPh sb="2" eb="4">
      <t>ショウキャク</t>
    </rPh>
    <phoneticPr fontId="2"/>
  </si>
  <si>
    <t>AnnualRepayment</t>
  </si>
  <si>
    <t>SJ_AnnualRepayment</t>
    <phoneticPr fontId="2"/>
  </si>
  <si>
    <t>RoomNumber</t>
    <phoneticPr fontId="2"/>
  </si>
  <si>
    <t>AssetRoomNumber</t>
  </si>
  <si>
    <t>AcquisitionPrice_W</t>
    <phoneticPr fontId="2"/>
  </si>
  <si>
    <t>AssetAcquisitionPrice</t>
  </si>
  <si>
    <t>DepreciationConvention</t>
    <phoneticPr fontId="2"/>
  </si>
  <si>
    <t>Enum</t>
  </si>
  <si>
    <t>AssetDepreciationConvention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</si>
  <si>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</si>
  <si>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</si>
  <si>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</si>
  <si>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</si>
  <si>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</si>
  <si>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</si>
  <si>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</si>
  <si>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</si>
  <si>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SJ_AssetLedgerTmpeIdx</t>
    <phoneticPr fontId="2"/>
  </si>
  <si>
    <t>No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</si>
  <si>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</si>
  <si>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</si>
  <si>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</si>
  <si>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</si>
  <si>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</si>
  <si>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</si>
  <si>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</si>
  <si>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</si>
  <si>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</si>
  <si>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</si>
  <si>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</si>
  <si>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</si>
  <si>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</si>
  <si>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</si>
  <si>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</si>
  <si>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</si>
  <si>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1.3</t>
  </si>
  <si>
    <t>JBS石岡</t>
    <rPh sb="3" eb="5">
      <t>イシオカ</t>
    </rPh>
    <phoneticPr fontId="3"/>
  </si>
  <si>
    <t>償却方法</t>
    <phoneticPr fontId="2"/>
  </si>
  <si>
    <t>登録時取得価額</t>
    <rPh sb="0" eb="2">
      <t>トウロク</t>
    </rPh>
    <rPh sb="2" eb="3">
      <t>ジ</t>
    </rPh>
    <phoneticPr fontId="2"/>
  </si>
  <si>
    <t>部屋番号</t>
    <rPh sb="0" eb="2">
      <t>ヘヤ</t>
    </rPh>
    <rPh sb="2" eb="4">
      <t>バンゴウ</t>
    </rPh>
    <phoneticPr fontId="2"/>
  </si>
  <si>
    <t>以下のフィールドを削除
・期首取得価額（BeginningOfAcquisitionPrice）
・当期取得価額（CurrentPeriodAcquisitionPrice）
・期末取得価額（TermEndAcquisitionPrice）
・償却期間（LifeTime）
・残余償却期間（LifeTimeRest）
・タイプ（AssetType）
・主要タイプ（資産クラス）（MajorType）
・廃棄日（DisposalDate）
・期末償却累計額（TermEndAccumulatedDepreciation）
・圧縮記帳額（CompensationReductionEntryAmount）
・除却（ToRetireAnAsset）
・当期除却償却累計額（accumulatedDepreciation）
・期首減損損失累計額（BeginningBalOCumulativeImpairmentLoss）
・当期減損損失累計額（CurrentPeriodBalOCumulativeImpairmentLoss）
・期末減損損失累計額（TermEndBalOCumulativeImpairmentLoss）
・除却減損損失累計額（CumulativeImpairmentLoss）</t>
    <rPh sb="0" eb="2">
      <t>イカ</t>
    </rPh>
    <rPh sb="9" eb="11">
      <t>サクジョ</t>
    </rPh>
    <phoneticPr fontId="2"/>
  </si>
  <si>
    <t>原価センタ</t>
    <rPh sb="0" eb="2">
      <t>ゲンカ</t>
    </rPh>
    <phoneticPr fontId="2"/>
  </si>
  <si>
    <t>事業領域名称</t>
    <rPh sb="0" eb="4">
      <t>ジギョウリョウイキ</t>
    </rPh>
    <rPh sb="4" eb="6">
      <t>メイショウ</t>
    </rPh>
    <phoneticPr fontId="2"/>
  </si>
  <si>
    <t>原価センタ名称</t>
    <rPh sb="0" eb="2">
      <t>ゲンカ</t>
    </rPh>
    <rPh sb="5" eb="7">
      <t>メイショウ</t>
    </rPh>
    <phoneticPr fontId="2"/>
  </si>
  <si>
    <t>保管場所(設置場所コード)</t>
    <rPh sb="0" eb="2">
      <t>ホカン</t>
    </rPh>
    <rPh sb="2" eb="4">
      <t>バショ</t>
    </rPh>
    <rPh sb="5" eb="7">
      <t>セッチ</t>
    </rPh>
    <rPh sb="7" eb="9">
      <t>バショ</t>
    </rPh>
    <phoneticPr fontId="2"/>
  </si>
  <si>
    <t xml:space="preserve">StorageSite									</t>
    <phoneticPr fontId="2"/>
  </si>
  <si>
    <t>DepartmentInChargeName</t>
    <phoneticPr fontId="2"/>
  </si>
  <si>
    <t>BusinessAreaName</t>
    <phoneticPr fontId="2"/>
  </si>
  <si>
    <t>SJ_BusinessAreaName</t>
    <phoneticPr fontId="2"/>
  </si>
  <si>
    <t>SJ_DepartmentInChargeName</t>
    <phoneticPr fontId="2"/>
  </si>
  <si>
    <t xml:space="preserve">SJ_StorageSite									</t>
    <phoneticPr fontId="2"/>
  </si>
  <si>
    <t>以下項目の追加
・事業領域名称（SJ_BusinessAreaName）
・原価センタ名称	（SJ_DepartmentInChargeName）
・保管場所(設置場所コード)	（SJ_StorageSite）</t>
    <phoneticPr fontId="2"/>
  </si>
  <si>
    <t>JBS井田</t>
    <rPh sb="0" eb="5">
      <t>j</t>
    </rPh>
    <phoneticPr fontId="2"/>
  </si>
  <si>
    <t>1.4</t>
    <phoneticPr fontId="2"/>
  </si>
  <si>
    <t>SJ05090</t>
  </si>
  <si>
    <t>SJ05088</t>
    <phoneticPr fontId="2"/>
  </si>
  <si>
    <t>SJ05089</t>
    <phoneticPr fontId="2"/>
  </si>
  <si>
    <t>除却日及び売却日</t>
    <rPh sb="0" eb="2">
      <t>ジョキャク</t>
    </rPh>
    <rPh sb="2" eb="3">
      <t>ビ</t>
    </rPh>
    <rPh sb="3" eb="4">
      <t>オヨ</t>
    </rPh>
    <rPh sb="5" eb="8">
      <t>バイキャクビ</t>
    </rPh>
    <phoneticPr fontId="2"/>
  </si>
  <si>
    <t>SJ05652</t>
    <phoneticPr fontId="2"/>
  </si>
  <si>
    <t>DisposalDate</t>
    <phoneticPr fontId="2"/>
  </si>
  <si>
    <t>Date</t>
    <phoneticPr fontId="2"/>
  </si>
  <si>
    <t>SJ_AssetDisposalDate</t>
    <phoneticPr fontId="2"/>
  </si>
  <si>
    <t>JBS吉井</t>
    <rPh sb="3" eb="5">
      <t>ヨシイ</t>
    </rPh>
    <phoneticPr fontId="2"/>
  </si>
  <si>
    <t>1.5</t>
  </si>
  <si>
    <t>変更管理052対応
・除却日及び売却日（SJ_AssetDisposalDate）を追加</t>
    <rPh sb="0" eb="4">
      <t>ヘンコウカンリ</t>
    </rPh>
    <rPh sb="7" eb="9">
      <t>タイオウ</t>
    </rPh>
    <rPh sb="11" eb="13">
      <t>ジョキャク</t>
    </rPh>
    <rPh sb="13" eb="14">
      <t>ビ</t>
    </rPh>
    <rPh sb="14" eb="15">
      <t>オヨ</t>
    </rPh>
    <rPh sb="16" eb="19">
      <t>バイキャクビ</t>
    </rPh>
    <rPh sb="42" eb="44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</si>
</sst>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78" formatCode="0_);[Red]\(0\)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60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10" fillId="0" borderId="37" xfId="0" applyFont="1" applyBorder="1"/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3" fillId="0" borderId="37" xfId="0" applyFont="1" applyBorder="1"/>
    <xf numFmtId="178" fontId="23" fillId="0" borderId="37" xfId="0" applyNumberFormat="1" applyFont="1" applyBorder="1"/>
    <xf numFmtId="178" fontId="23" fillId="0" borderId="37" xfId="0" quotePrefix="1" applyNumberFormat="1" applyFont="1" applyBorder="1"/>
    <xf numFmtId="178" fontId="10" fillId="0" borderId="37" xfId="0" applyNumberFormat="1" applyFont="1" applyBorder="1"/>
    <xf numFmtId="0" fontId="24" fillId="0" borderId="3" xfId="7" applyFont="1" applyBorder="1" applyAlignment="1">
      <alignment vertical="top"/>
    </xf>
    <xf numFmtId="0" fontId="10" fillId="0" borderId="3" xfId="7" applyFont="1" applyBorder="1" applyAlignment="1">
      <alignment vertical="top"/>
    </xf>
    <xf numFmtId="0" fontId="23" fillId="0" borderId="3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/>
    </xf>
    <xf numFmtId="0" fontId="25" fillId="0" borderId="37" xfId="0" applyFont="1" applyBorder="1"/>
    <xf numFmtId="49" fontId="25" fillId="0" borderId="3" xfId="2" applyNumberFormat="1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3" xfId="0" applyFont="1" applyBorder="1" applyAlignment="1">
      <alignment vertical="top"/>
    </xf>
    <xf numFmtId="0" fontId="25" fillId="0" borderId="0" xfId="0" applyFont="1" applyBorder="1" applyAlignment="1">
      <alignment horizontal="left" vertical="center"/>
    </xf>
    <xf numFmtId="178" fontId="25" fillId="0" borderId="37" xfId="0" applyNumberFormat="1" applyFont="1" applyBorder="1"/>
    <xf numFmtId="0" fontId="25" fillId="0" borderId="3" xfId="2" applyFont="1" applyBorder="1" applyAlignment="1">
      <alignment horizontal="center" vertical="center"/>
    </xf>
    <xf numFmtId="49" fontId="8" fillId="2" borderId="40" xfId="4" applyNumberFormat="1" applyFont="1" applyFill="1" applyBorder="1" applyAlignment="1">
      <alignment horizontal="center" vertical="center"/>
    </xf>
    <xf numFmtId="49" fontId="8" fillId="2" borderId="41" xfId="4" applyNumberFormat="1" applyFont="1" applyFill="1" applyBorder="1" applyAlignment="1">
      <alignment horizontal="center" vertical="center"/>
    </xf>
    <xf numFmtId="49" fontId="8" fillId="2" borderId="42" xfId="4" applyNumberFormat="1" applyFont="1" applyFill="1" applyBorder="1" applyAlignment="1">
      <alignment horizontal="center" vertical="center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80" t="s">
        <v>0</v>
      </c>
      <c r="B1" s="81"/>
      <c r="C1" s="81"/>
      <c r="D1" s="81"/>
      <c r="E1" s="82"/>
      <c r="F1" s="83" t="s">
        <v>1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">
        <v>2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8"/>
      <c r="AR1" s="86" t="s">
        <v>3</v>
      </c>
      <c r="AS1" s="87"/>
      <c r="AT1" s="87"/>
      <c r="AU1" s="87"/>
      <c r="AV1" s="87"/>
      <c r="AW1" s="87"/>
      <c r="AX1" s="87"/>
      <c r="AY1" s="87"/>
      <c r="AZ1" s="88"/>
      <c r="BA1" s="86" t="s">
        <v>4</v>
      </c>
      <c r="BB1" s="87"/>
      <c r="BC1" s="87"/>
      <c r="BD1" s="87"/>
      <c r="BE1" s="87"/>
      <c r="BF1" s="87"/>
      <c r="BG1" s="87"/>
      <c r="BH1" s="87"/>
      <c r="BI1" s="88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89" t="s">
        <v>5</v>
      </c>
      <c r="B2" s="90"/>
      <c r="C2" s="90"/>
      <c r="D2" s="90"/>
      <c r="E2" s="91"/>
      <c r="F2" s="95" t="s">
        <v>6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101" t="s">
        <v>7</v>
      </c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3"/>
      <c r="AR2" s="107" t="s">
        <v>8</v>
      </c>
      <c r="AS2" s="108"/>
      <c r="AT2" s="109">
        <f>A6</f>
        <v>45530</v>
      </c>
      <c r="AU2" s="110"/>
      <c r="AV2" s="110"/>
      <c r="AW2" s="110"/>
      <c r="AX2" s="110"/>
      <c r="AY2" s="110"/>
      <c r="AZ2" s="111"/>
      <c r="BA2" s="112" t="str">
        <f>AZ6</f>
        <v>JBS大河原</v>
      </c>
      <c r="BB2" s="113"/>
      <c r="BC2" s="113"/>
      <c r="BD2" s="113"/>
      <c r="BE2" s="113"/>
      <c r="BF2" s="113"/>
      <c r="BG2" s="113"/>
      <c r="BH2" s="113"/>
      <c r="BI2" s="114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92"/>
      <c r="B3" s="93"/>
      <c r="C3" s="93"/>
      <c r="D3" s="93"/>
      <c r="E3" s="94"/>
      <c r="F3" s="98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6"/>
      <c r="AR3" s="115" t="s">
        <v>9</v>
      </c>
      <c r="AS3" s="116"/>
      <c r="AT3" s="117" cm="1">
        <f t="array" aca="1" ref="AT3" ca="1">IF(OR(COUNTA(A:E)=3),"",INDIRECT("A"&amp;COUNTA(A:E)+2))</f>
        <v>46220</v>
      </c>
      <c r="AU3" s="118"/>
      <c r="AV3" s="118"/>
      <c r="AW3" s="118"/>
      <c r="AX3" s="118"/>
      <c r="AY3" s="118"/>
      <c r="AZ3" s="119"/>
      <c r="BA3" s="120" t="str">
        <f ca="1">IF(COUNTA(AZ5:BD100000)=1,"",INDIRECT("変更履歴!AZ"&amp;COUNTA(AZ5:BD100000)+4))</f>
        <v>JBS吉井</v>
      </c>
      <c r="BB3" s="121"/>
      <c r="BC3" s="121"/>
      <c r="BD3" s="121"/>
      <c r="BE3" s="121"/>
      <c r="BF3" s="121"/>
      <c r="BG3" s="121"/>
      <c r="BH3" s="121"/>
      <c r="BI3" s="122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73" t="s">
        <v>10</v>
      </c>
      <c r="B5" s="73"/>
      <c r="C5" s="73"/>
      <c r="D5" s="73"/>
      <c r="E5" s="73"/>
      <c r="F5" s="73" t="s">
        <v>11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 t="s">
        <v>12</v>
      </c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 t="s">
        <v>13</v>
      </c>
      <c r="BA5" s="73"/>
      <c r="BB5" s="73"/>
      <c r="BC5" s="73"/>
      <c r="BD5" s="73"/>
      <c r="BE5" s="73" t="s">
        <v>14</v>
      </c>
      <c r="BF5" s="73"/>
      <c r="BG5" s="73"/>
      <c r="BH5" s="73"/>
      <c r="BI5" s="73"/>
    </row>
    <row r="6" spans="1:68" ht="14.25">
      <c r="A6" s="74">
        <v>45530</v>
      </c>
      <c r="B6" s="74"/>
      <c r="C6" s="74"/>
      <c r="D6" s="74"/>
      <c r="E6" s="74"/>
      <c r="F6" s="75" t="s">
        <v>15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6" t="s">
        <v>15</v>
      </c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7" t="s">
        <v>16</v>
      </c>
      <c r="BA6" s="77"/>
      <c r="BB6" s="77"/>
      <c r="BC6" s="77"/>
      <c r="BD6" s="77"/>
      <c r="BE6" s="78" t="s">
        <v>17</v>
      </c>
      <c r="BF6" s="79"/>
      <c r="BG6" s="79"/>
      <c r="BH6" s="79"/>
      <c r="BI6" s="79"/>
    </row>
    <row r="7" spans="1:68" ht="41.1" customHeight="1">
      <c r="A7" s="62">
        <v>45623</v>
      </c>
      <c r="B7" s="62"/>
      <c r="C7" s="62"/>
      <c r="D7" s="62"/>
      <c r="E7" s="62"/>
      <c r="F7" s="63" t="s">
        <v>18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72" t="s">
        <v>19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5" t="s">
        <v>20</v>
      </c>
      <c r="BA7" s="65"/>
      <c r="BB7" s="65"/>
      <c r="BC7" s="65"/>
      <c r="BD7" s="65"/>
      <c r="BE7" s="66" t="s">
        <v>21</v>
      </c>
      <c r="BF7" s="66"/>
      <c r="BG7" s="66"/>
      <c r="BH7" s="66"/>
      <c r="BI7" s="66"/>
    </row>
    <row r="8" spans="1:68" ht="64.5" customHeight="1">
      <c r="A8" s="62">
        <v>45624</v>
      </c>
      <c r="B8" s="62"/>
      <c r="C8" s="62"/>
      <c r="D8" s="62"/>
      <c r="E8" s="62"/>
      <c r="F8" s="63" t="s">
        <v>22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72" t="s">
        <v>23</v>
      </c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5" t="s">
        <v>20</v>
      </c>
      <c r="BA8" s="65"/>
      <c r="BB8" s="65"/>
      <c r="BC8" s="65"/>
      <c r="BD8" s="65"/>
      <c r="BE8" s="66" t="s">
        <v>24</v>
      </c>
      <c r="BF8" s="66"/>
      <c r="BG8" s="66"/>
      <c r="BH8" s="66"/>
      <c r="BI8" s="66"/>
    </row>
    <row r="9" spans="1:68" ht="219" customHeight="1">
      <c r="A9" s="62">
        <v>45786</v>
      </c>
      <c r="B9" s="62"/>
      <c r="C9" s="62"/>
      <c r="D9" s="62"/>
      <c r="E9" s="62"/>
      <c r="F9" s="63" t="s">
        <v>22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72" t="s">
        <v>148</v>
      </c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5" t="s">
        <v>144</v>
      </c>
      <c r="BA9" s="65"/>
      <c r="BB9" s="65"/>
      <c r="BC9" s="65"/>
      <c r="BD9" s="65"/>
      <c r="BE9" s="66" t="s">
        <v>143</v>
      </c>
      <c r="BF9" s="66"/>
      <c r="BG9" s="66"/>
      <c r="BH9" s="66"/>
      <c r="BI9" s="66"/>
    </row>
    <row r="10" spans="1:68" ht="71.45" customHeight="1">
      <c r="A10" s="62">
        <v>45896</v>
      </c>
      <c r="B10" s="62"/>
      <c r="C10" s="62"/>
      <c r="D10" s="62"/>
      <c r="E10" s="62"/>
      <c r="F10" s="63" t="s">
        <v>22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72" t="s">
        <v>159</v>
      </c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5" t="s">
        <v>160</v>
      </c>
      <c r="BA10" s="65"/>
      <c r="BB10" s="65"/>
      <c r="BC10" s="65"/>
      <c r="BD10" s="65"/>
      <c r="BE10" s="66" t="s">
        <v>161</v>
      </c>
      <c r="BF10" s="66"/>
      <c r="BG10" s="66"/>
      <c r="BH10" s="66"/>
      <c r="BI10" s="66"/>
    </row>
    <row r="11" spans="1:68" ht="31.5" customHeight="1">
      <c r="A11" s="62">
        <v>46220</v>
      </c>
      <c r="B11" s="62"/>
      <c r="C11" s="62"/>
      <c r="D11" s="62"/>
      <c r="E11" s="62"/>
      <c r="F11" s="63" t="s">
        <v>22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72" t="s">
        <v>172</v>
      </c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5" t="s">
        <v>170</v>
      </c>
      <c r="BA11" s="65"/>
      <c r="BB11" s="65"/>
      <c r="BC11" s="65"/>
      <c r="BD11" s="65"/>
      <c r="BE11" s="66" t="s">
        <v>171</v>
      </c>
      <c r="BF11" s="66"/>
      <c r="BG11" s="66"/>
      <c r="BH11" s="66"/>
      <c r="BI11" s="66"/>
    </row>
    <row r="12" spans="1:68" ht="15" customHeight="1">
      <c r="A12" s="62"/>
      <c r="B12" s="62"/>
      <c r="C12" s="62"/>
      <c r="D12" s="62"/>
      <c r="E12" s="62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5"/>
      <c r="BA12" s="65"/>
      <c r="BB12" s="65"/>
      <c r="BC12" s="65"/>
      <c r="BD12" s="65"/>
      <c r="BE12" s="157"/>
      <c r="BF12" s="158"/>
      <c r="BG12" s="158"/>
      <c r="BH12" s="158"/>
      <c r="BI12" s="159"/>
    </row>
    <row r="13" spans="1:68" ht="15" customHeight="1">
      <c r="A13" s="62"/>
      <c r="B13" s="62"/>
      <c r="C13" s="62"/>
      <c r="D13" s="62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5"/>
      <c r="BA13" s="65"/>
      <c r="BB13" s="65"/>
      <c r="BC13" s="65"/>
      <c r="BD13" s="65"/>
      <c r="BE13" s="66"/>
      <c r="BF13" s="66"/>
      <c r="BG13" s="66"/>
      <c r="BH13" s="66"/>
      <c r="BI13" s="66"/>
    </row>
    <row r="14" spans="1:68" ht="15" customHeight="1">
      <c r="A14" s="62"/>
      <c r="B14" s="62"/>
      <c r="C14" s="62"/>
      <c r="D14" s="62"/>
      <c r="E14" s="62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5"/>
      <c r="BA14" s="65"/>
      <c r="BB14" s="65"/>
      <c r="BC14" s="65"/>
      <c r="BD14" s="65"/>
      <c r="BE14" s="66"/>
      <c r="BF14" s="66"/>
      <c r="BG14" s="66"/>
      <c r="BH14" s="66"/>
      <c r="BI14" s="66"/>
    </row>
    <row r="15" spans="1:68" ht="15" customHeight="1">
      <c r="A15" s="62"/>
      <c r="B15" s="62"/>
      <c r="C15" s="62"/>
      <c r="D15" s="62"/>
      <c r="E15" s="62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5"/>
      <c r="BA15" s="65"/>
      <c r="BB15" s="65"/>
      <c r="BC15" s="65"/>
      <c r="BD15" s="65"/>
      <c r="BE15" s="66"/>
      <c r="BF15" s="66"/>
      <c r="BG15" s="66"/>
      <c r="BH15" s="66"/>
      <c r="BI15" s="66"/>
    </row>
    <row r="16" spans="1:68" ht="15" customHeight="1">
      <c r="A16" s="62"/>
      <c r="B16" s="62"/>
      <c r="C16" s="62"/>
      <c r="D16" s="62"/>
      <c r="E16" s="62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5"/>
      <c r="BA16" s="65"/>
      <c r="BB16" s="65"/>
      <c r="BC16" s="65"/>
      <c r="BD16" s="65"/>
      <c r="BE16" s="66"/>
      <c r="BF16" s="66"/>
      <c r="BG16" s="66"/>
      <c r="BH16" s="66"/>
      <c r="BI16" s="66"/>
    </row>
    <row r="17" spans="1:61" ht="15" customHeight="1">
      <c r="A17" s="62"/>
      <c r="B17" s="62"/>
      <c r="C17" s="62"/>
      <c r="D17" s="62"/>
      <c r="E17" s="62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5"/>
      <c r="BA17" s="65"/>
      <c r="BB17" s="65"/>
      <c r="BC17" s="65"/>
      <c r="BD17" s="65"/>
      <c r="BE17" s="66"/>
      <c r="BF17" s="66"/>
      <c r="BG17" s="66"/>
      <c r="BH17" s="66"/>
      <c r="BI17" s="66"/>
    </row>
    <row r="18" spans="1:61" ht="15" customHeight="1">
      <c r="A18" s="62"/>
      <c r="B18" s="62"/>
      <c r="C18" s="62"/>
      <c r="D18" s="62"/>
      <c r="E18" s="62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5"/>
      <c r="BA18" s="65"/>
      <c r="BB18" s="65"/>
      <c r="BC18" s="65"/>
      <c r="BD18" s="65"/>
      <c r="BE18" s="66"/>
      <c r="BF18" s="66"/>
      <c r="BG18" s="66"/>
      <c r="BH18" s="66"/>
      <c r="BI18" s="66"/>
    </row>
    <row r="19" spans="1:61" ht="15" customHeight="1">
      <c r="A19" s="62"/>
      <c r="B19" s="62"/>
      <c r="C19" s="62"/>
      <c r="D19" s="62"/>
      <c r="E19" s="62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5"/>
      <c r="BA19" s="65"/>
      <c r="BB19" s="65"/>
      <c r="BC19" s="65"/>
      <c r="BD19" s="65"/>
      <c r="BE19" s="66"/>
      <c r="BF19" s="66"/>
      <c r="BG19" s="66"/>
      <c r="BH19" s="66"/>
      <c r="BI19" s="66"/>
    </row>
    <row r="20" spans="1:61" ht="15" customHeight="1">
      <c r="A20" s="62"/>
      <c r="B20" s="62"/>
      <c r="C20" s="62"/>
      <c r="D20" s="62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5"/>
      <c r="BA20" s="65"/>
      <c r="BB20" s="65"/>
      <c r="BC20" s="65"/>
      <c r="BD20" s="65"/>
      <c r="BE20" s="66"/>
      <c r="BF20" s="66"/>
      <c r="BG20" s="66"/>
      <c r="BH20" s="66"/>
      <c r="BI20" s="66"/>
    </row>
    <row r="21" spans="1:61" ht="15" customHeight="1">
      <c r="A21" s="62"/>
      <c r="B21" s="62"/>
      <c r="C21" s="62"/>
      <c r="D21" s="62"/>
      <c r="E21" s="62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5"/>
      <c r="BA21" s="65"/>
      <c r="BB21" s="65"/>
      <c r="BC21" s="65"/>
      <c r="BD21" s="65"/>
      <c r="BE21" s="66"/>
      <c r="BF21" s="66"/>
      <c r="BG21" s="66"/>
      <c r="BH21" s="66"/>
      <c r="BI21" s="66"/>
    </row>
    <row r="22" spans="1:61" ht="15" customHeight="1" thickBot="1">
      <c r="A22" s="67"/>
      <c r="B22" s="67"/>
      <c r="C22" s="67"/>
      <c r="D22" s="67"/>
      <c r="E22" s="67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70"/>
      <c r="BA22" s="70"/>
      <c r="BB22" s="70"/>
      <c r="BC22" s="70"/>
      <c r="BD22" s="70"/>
      <c r="BE22" s="71"/>
      <c r="BF22" s="71"/>
      <c r="BG22" s="71"/>
      <c r="BH22" s="71"/>
      <c r="BI22" s="71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37"/>
  <sheetViews>
    <sheetView showGridLines="0" tabSelected="1" zoomScaleNormal="100" zoomScaleSheetLayoutView="89" workbookViewId="0"/>
  </sheetViews>
  <sheetFormatPr defaultColWidth="9" defaultRowHeight="12"/>
  <cols>
    <col min="1" max="1" width="0.875" style="18" customWidth="1"/>
    <col min="2" max="2" width="3.75" style="18" bestFit="1" customWidth="1"/>
    <col min="3" max="3" width="18.625" style="18" customWidth="1"/>
    <col min="4" max="4" width="14.125" style="18" bestFit="1" customWidth="1"/>
    <col min="5" max="5" width="28.25" style="18" customWidth="1"/>
    <col min="6" max="6" width="9.75" style="18" customWidth="1"/>
    <col min="7" max="7" width="24.75" style="18" customWidth="1"/>
    <col min="8" max="8" width="8.75" style="18" customWidth="1"/>
    <col min="9" max="10" width="5.5" style="18" customWidth="1"/>
    <col min="11" max="11" width="2.625" style="18" customWidth="1"/>
    <col min="12" max="12" width="17" style="18" customWidth="1"/>
    <col min="13" max="13" width="23.25" style="18" customWidth="1"/>
    <col min="14" max="14" width="0.875" style="18" customWidth="1"/>
    <col min="15" max="16384" width="9" style="18"/>
  </cols>
  <sheetData>
    <row r="1" spans="2:13" ht="5.0999999999999996" customHeight="1"/>
    <row r="2" spans="2:13">
      <c r="B2" s="46" t="s">
        <v>25</v>
      </c>
      <c r="C2" s="46"/>
      <c r="D2" s="46"/>
      <c r="E2" s="46" t="s">
        <v>26</v>
      </c>
      <c r="F2" s="46"/>
      <c r="G2" s="19" t="s">
        <v>27</v>
      </c>
      <c r="H2" s="56">
        <f>変更履歴!AT2</f>
        <v>45530</v>
      </c>
      <c r="I2" s="57"/>
      <c r="J2" s="57"/>
      <c r="K2" s="58"/>
      <c r="L2" s="9" t="s">
        <v>28</v>
      </c>
      <c r="M2" s="5">
        <f ca="1">変更履歴!AT3</f>
        <v>46220</v>
      </c>
    </row>
    <row r="3" spans="2:13">
      <c r="B3" s="52" t="s">
        <v>29</v>
      </c>
      <c r="C3" s="52"/>
      <c r="D3" s="52"/>
      <c r="E3" s="52" t="s">
        <v>30</v>
      </c>
      <c r="F3" s="52"/>
      <c r="G3" s="19" t="s">
        <v>31</v>
      </c>
      <c r="H3" s="59" t="str">
        <f>変更履歴!BA2</f>
        <v>JBS大河原</v>
      </c>
      <c r="I3" s="60"/>
      <c r="J3" s="60"/>
      <c r="K3" s="61"/>
      <c r="L3" s="9" t="s">
        <v>32</v>
      </c>
      <c r="M3" s="2" t="str">
        <f ca="1">変更履歴!BA3</f>
        <v>JBS吉井</v>
      </c>
    </row>
    <row r="4" spans="2:13">
      <c r="B4" s="46" t="s">
        <v>33</v>
      </c>
      <c r="C4" s="46"/>
      <c r="D4" s="8" t="s">
        <v>34</v>
      </c>
      <c r="E4" s="47" t="s">
        <v>35</v>
      </c>
      <c r="F4" s="48"/>
      <c r="G4" s="19" t="s">
        <v>36</v>
      </c>
      <c r="H4" s="49" t="s">
        <v>37</v>
      </c>
      <c r="I4" s="50"/>
      <c r="J4" s="50"/>
      <c r="K4" s="51"/>
      <c r="L4" s="19" t="s">
        <v>38</v>
      </c>
      <c r="M4" s="10"/>
    </row>
    <row r="5" spans="2:13">
      <c r="B5" s="52" t="s">
        <v>39</v>
      </c>
      <c r="C5" s="52"/>
      <c r="D5" s="24" t="s">
        <v>40</v>
      </c>
      <c r="E5" s="43" t="s">
        <v>41</v>
      </c>
      <c r="F5" s="45"/>
      <c r="G5" s="20" t="s">
        <v>42</v>
      </c>
      <c r="H5" s="53" t="s">
        <v>43</v>
      </c>
      <c r="I5" s="54"/>
      <c r="J5" s="54"/>
      <c r="K5" s="55"/>
      <c r="L5" s="20" t="s">
        <v>44</v>
      </c>
      <c r="M5" s="21"/>
    </row>
    <row r="6" spans="2:13" ht="5.0999999999999996" customHeight="1"/>
    <row r="7" spans="2:13" ht="12.75" thickBot="1">
      <c r="B7" s="7" t="s">
        <v>45</v>
      </c>
      <c r="C7" s="7" t="s">
        <v>46</v>
      </c>
      <c r="D7" s="7" t="s">
        <v>34</v>
      </c>
      <c r="E7" s="7" t="s">
        <v>47</v>
      </c>
      <c r="F7" s="7" t="s">
        <v>48</v>
      </c>
      <c r="G7" s="7" t="s">
        <v>49</v>
      </c>
      <c r="H7" s="7" t="s">
        <v>50</v>
      </c>
      <c r="I7" s="7" t="s">
        <v>51</v>
      </c>
      <c r="J7" s="7" t="s">
        <v>52</v>
      </c>
      <c r="K7" s="41"/>
      <c r="L7" s="41"/>
      <c r="M7" s="42"/>
    </row>
    <row r="8" spans="2:13">
      <c r="B8" s="2">
        <f t="shared" ref="B8:B37" si="0">ROW()-7</f>
        <v>1</v>
      </c>
      <c r="C8" s="26" t="s">
        <v>53</v>
      </c>
      <c r="D8" s="1" t="s">
        <v>40</v>
      </c>
      <c r="E8" s="31" t="s">
        <v>54</v>
      </c>
      <c r="F8" s="31" t="s">
        <v>55</v>
      </c>
      <c r="G8" s="31" t="s">
        <v>56</v>
      </c>
      <c r="H8" s="32">
        <v>10</v>
      </c>
      <c r="I8" s="2" t="s">
        <v>57</v>
      </c>
      <c r="J8" s="2" t="s">
        <v>58</v>
      </c>
      <c r="K8" s="43"/>
      <c r="L8" s="44"/>
      <c r="M8" s="45"/>
    </row>
    <row r="9" spans="2:13">
      <c r="B9" s="2">
        <f t="shared" si="0"/>
        <v>2</v>
      </c>
      <c r="C9" s="27" t="s">
        <v>59</v>
      </c>
      <c r="D9" s="1" t="s">
        <v>40</v>
      </c>
      <c r="E9" s="31" t="s">
        <v>60</v>
      </c>
      <c r="F9" s="31" t="s">
        <v>55</v>
      </c>
      <c r="G9" s="31" t="s">
        <v>61</v>
      </c>
      <c r="H9" s="32">
        <v>20</v>
      </c>
      <c r="I9" s="2" t="s">
        <v>57</v>
      </c>
      <c r="J9" s="2" t="s">
        <v>58</v>
      </c>
      <c r="K9" s="43"/>
      <c r="L9" s="44"/>
      <c r="M9" s="45"/>
    </row>
    <row r="10" spans="2:13">
      <c r="B10" s="2">
        <f t="shared" si="0"/>
        <v>3</v>
      </c>
      <c r="C10" s="27" t="s">
        <v>62</v>
      </c>
      <c r="D10" s="1" t="s">
        <v>40</v>
      </c>
      <c r="E10" s="31" t="s">
        <v>63</v>
      </c>
      <c r="F10" s="31" t="s">
        <v>55</v>
      </c>
      <c r="G10" s="31" t="s">
        <v>64</v>
      </c>
      <c r="H10" s="32">
        <v>150</v>
      </c>
      <c r="I10" s="2" t="s">
        <v>58</v>
      </c>
      <c r="J10" s="2" t="s">
        <v>58</v>
      </c>
      <c r="K10" s="43"/>
      <c r="L10" s="44"/>
      <c r="M10" s="45"/>
    </row>
    <row r="11" spans="2:13" ht="12.6" customHeight="1">
      <c r="B11" s="2">
        <f t="shared" si="0"/>
        <v>4</v>
      </c>
      <c r="C11" s="27" t="s">
        <v>75</v>
      </c>
      <c r="D11" s="1" t="s">
        <v>40</v>
      </c>
      <c r="E11" s="38" t="s">
        <v>76</v>
      </c>
      <c r="F11" s="31" t="s">
        <v>77</v>
      </c>
      <c r="G11" s="31" t="s">
        <v>78</v>
      </c>
      <c r="H11" s="32">
        <v>0</v>
      </c>
      <c r="I11" s="2" t="s">
        <v>58</v>
      </c>
      <c r="J11" s="2" t="s">
        <v>58</v>
      </c>
      <c r="K11" s="43"/>
      <c r="L11" s="44"/>
      <c r="M11" s="45"/>
    </row>
    <row r="12" spans="2:13">
      <c r="B12" s="2">
        <f t="shared" si="0"/>
        <v>5</v>
      </c>
      <c r="C12" s="31" t="s">
        <v>146</v>
      </c>
      <c r="D12" s="1" t="s">
        <v>40</v>
      </c>
      <c r="E12" s="31" t="s">
        <v>112</v>
      </c>
      <c r="F12" s="31" t="s">
        <v>79</v>
      </c>
      <c r="G12" s="31" t="s">
        <v>113</v>
      </c>
      <c r="H12" s="34">
        <v>0</v>
      </c>
      <c r="I12" s="2" t="s">
        <v>58</v>
      </c>
      <c r="J12" s="2" t="s">
        <v>58</v>
      </c>
      <c r="K12" s="43"/>
      <c r="L12" s="44"/>
      <c r="M12" s="45"/>
    </row>
    <row r="13" spans="2:13" ht="26.45" customHeight="1">
      <c r="B13" s="2">
        <f t="shared" si="0"/>
        <v>6</v>
      </c>
      <c r="C13" s="35" t="s">
        <v>101</v>
      </c>
      <c r="D13" s="1" t="s">
        <v>40</v>
      </c>
      <c r="E13" s="37" t="s">
        <v>102</v>
      </c>
      <c r="F13" s="31" t="s">
        <v>79</v>
      </c>
      <c r="G13" s="37" t="s">
        <v>103</v>
      </c>
      <c r="H13" s="32">
        <v>0</v>
      </c>
      <c r="I13" s="2" t="s">
        <v>58</v>
      </c>
      <c r="J13" s="2" t="s">
        <v>58</v>
      </c>
      <c r="K13" s="43"/>
      <c r="L13" s="44"/>
      <c r="M13" s="45"/>
    </row>
    <row r="14" spans="2:13">
      <c r="B14" s="2">
        <f t="shared" si="0"/>
        <v>7</v>
      </c>
      <c r="C14" s="35" t="s">
        <v>98</v>
      </c>
      <c r="D14" s="1" t="s">
        <v>40</v>
      </c>
      <c r="E14" s="27" t="s">
        <v>99</v>
      </c>
      <c r="F14" s="31" t="s">
        <v>79</v>
      </c>
      <c r="G14" s="27" t="s">
        <v>100</v>
      </c>
      <c r="H14" s="32">
        <v>0</v>
      </c>
      <c r="I14" s="2" t="s">
        <v>58</v>
      </c>
      <c r="J14" s="2" t="s">
        <v>58</v>
      </c>
      <c r="K14" s="43"/>
      <c r="L14" s="44"/>
      <c r="M14" s="45"/>
    </row>
    <row r="15" spans="2:13">
      <c r="B15" s="2">
        <f t="shared" si="0"/>
        <v>8</v>
      </c>
      <c r="C15" s="35" t="s">
        <v>107</v>
      </c>
      <c r="D15" s="1" t="s">
        <v>40</v>
      </c>
      <c r="E15" s="27" t="s">
        <v>108</v>
      </c>
      <c r="F15" s="31" t="s">
        <v>79</v>
      </c>
      <c r="G15" s="27" t="s">
        <v>109</v>
      </c>
      <c r="H15" s="32">
        <v>0</v>
      </c>
      <c r="I15" s="2" t="s">
        <v>58</v>
      </c>
      <c r="J15" s="2" t="s">
        <v>58</v>
      </c>
      <c r="K15" s="43"/>
      <c r="L15" s="44"/>
      <c r="M15" s="45"/>
    </row>
    <row r="16" spans="2:13">
      <c r="B16" s="2">
        <f t="shared" si="0"/>
        <v>9</v>
      </c>
      <c r="C16" s="35" t="s">
        <v>104</v>
      </c>
      <c r="D16" s="1" t="s">
        <v>40</v>
      </c>
      <c r="E16" s="27" t="s">
        <v>105</v>
      </c>
      <c r="F16" s="31" t="s">
        <v>79</v>
      </c>
      <c r="G16" s="27" t="s">
        <v>106</v>
      </c>
      <c r="H16" s="32">
        <v>0</v>
      </c>
      <c r="I16" s="2" t="s">
        <v>58</v>
      </c>
      <c r="J16" s="2" t="s">
        <v>58</v>
      </c>
      <c r="K16" s="43"/>
      <c r="L16" s="44"/>
      <c r="M16" s="45"/>
    </row>
    <row r="17" spans="2:13">
      <c r="B17" s="2">
        <f t="shared" si="0"/>
        <v>10</v>
      </c>
      <c r="C17" s="35" t="s">
        <v>95</v>
      </c>
      <c r="D17" s="1" t="s">
        <v>40</v>
      </c>
      <c r="E17" s="27" t="s">
        <v>96</v>
      </c>
      <c r="F17" s="31" t="s">
        <v>79</v>
      </c>
      <c r="G17" s="22" t="s">
        <v>97</v>
      </c>
      <c r="H17" s="32">
        <v>0</v>
      </c>
      <c r="I17" s="2" t="s">
        <v>58</v>
      </c>
      <c r="J17" s="2" t="s">
        <v>58</v>
      </c>
      <c r="K17" s="43"/>
      <c r="L17" s="44"/>
      <c r="M17" s="45"/>
    </row>
    <row r="18" spans="2:13">
      <c r="B18" s="2">
        <f t="shared" si="0"/>
        <v>11</v>
      </c>
      <c r="C18" s="27" t="s">
        <v>68</v>
      </c>
      <c r="D18" s="1" t="s">
        <v>40</v>
      </c>
      <c r="E18" s="31" t="s">
        <v>69</v>
      </c>
      <c r="F18" s="31" t="s">
        <v>55</v>
      </c>
      <c r="G18" s="31" t="s">
        <v>70</v>
      </c>
      <c r="H18" s="32">
        <v>10</v>
      </c>
      <c r="I18" s="2" t="s">
        <v>58</v>
      </c>
      <c r="J18" s="2" t="s">
        <v>58</v>
      </c>
      <c r="K18" s="43"/>
      <c r="L18" s="44"/>
      <c r="M18" s="45"/>
    </row>
    <row r="19" spans="2:13">
      <c r="B19" s="2">
        <f t="shared" si="0"/>
        <v>12</v>
      </c>
      <c r="C19" s="27" t="s">
        <v>71</v>
      </c>
      <c r="D19" s="1" t="s">
        <v>40</v>
      </c>
      <c r="E19" s="31" t="s">
        <v>72</v>
      </c>
      <c r="F19" s="31" t="s">
        <v>73</v>
      </c>
      <c r="G19" s="31" t="s">
        <v>74</v>
      </c>
      <c r="H19" s="32">
        <v>0</v>
      </c>
      <c r="I19" s="2" t="s">
        <v>58</v>
      </c>
      <c r="J19" s="2" t="s">
        <v>58</v>
      </c>
      <c r="K19" s="28"/>
      <c r="L19" s="29"/>
      <c r="M19" s="30"/>
    </row>
    <row r="20" spans="2:13">
      <c r="B20" s="2">
        <f t="shared" si="0"/>
        <v>13</v>
      </c>
      <c r="C20" s="154" t="s">
        <v>165</v>
      </c>
      <c r="D20" s="40" t="s">
        <v>166</v>
      </c>
      <c r="E20" s="39" t="s">
        <v>167</v>
      </c>
      <c r="F20" s="39" t="s">
        <v>168</v>
      </c>
      <c r="G20" s="39" t="s">
        <v>169</v>
      </c>
      <c r="H20" s="155">
        <v>0</v>
      </c>
      <c r="I20" s="156" t="s">
        <v>58</v>
      </c>
      <c r="J20" s="156" t="s">
        <v>58</v>
      </c>
      <c r="K20" s="28"/>
      <c r="L20" s="29"/>
      <c r="M20" s="30"/>
    </row>
    <row r="21" spans="2:13">
      <c r="B21" s="2">
        <f t="shared" si="0"/>
        <v>14</v>
      </c>
      <c r="C21" s="31" t="s">
        <v>145</v>
      </c>
      <c r="D21" s="1" t="s">
        <v>40</v>
      </c>
      <c r="E21" s="31" t="s">
        <v>114</v>
      </c>
      <c r="F21" s="31" t="s">
        <v>115</v>
      </c>
      <c r="G21" s="31" t="s">
        <v>116</v>
      </c>
      <c r="H21" s="34">
        <v>0</v>
      </c>
      <c r="I21" s="2" t="s">
        <v>58</v>
      </c>
      <c r="J21" s="2" t="s">
        <v>58</v>
      </c>
      <c r="K21" s="43"/>
      <c r="L21" s="44"/>
      <c r="M21" s="45"/>
    </row>
    <row r="22" spans="2:13">
      <c r="B22" s="2">
        <f t="shared" si="0"/>
        <v>15</v>
      </c>
      <c r="C22" s="35" t="s">
        <v>82</v>
      </c>
      <c r="D22" s="151" t="s">
        <v>40</v>
      </c>
      <c r="E22" s="25" t="s">
        <v>83</v>
      </c>
      <c r="F22" s="25" t="s">
        <v>79</v>
      </c>
      <c r="G22" s="25" t="s">
        <v>84</v>
      </c>
      <c r="H22" s="32">
        <v>0</v>
      </c>
      <c r="I22" s="2" t="s">
        <v>58</v>
      </c>
      <c r="J22" s="2" t="s">
        <v>58</v>
      </c>
      <c r="K22" s="43"/>
      <c r="L22" s="44"/>
      <c r="M22" s="45"/>
    </row>
    <row r="23" spans="2:13">
      <c r="B23" s="2">
        <f t="shared" si="0"/>
        <v>16</v>
      </c>
      <c r="C23" s="35" t="s">
        <v>92</v>
      </c>
      <c r="D23" s="151" t="s">
        <v>40</v>
      </c>
      <c r="E23" s="152" t="s">
        <v>93</v>
      </c>
      <c r="F23" s="25" t="s">
        <v>55</v>
      </c>
      <c r="G23" s="151" t="s">
        <v>94</v>
      </c>
      <c r="H23" s="32">
        <v>150</v>
      </c>
      <c r="I23" s="2" t="s">
        <v>58</v>
      </c>
      <c r="J23" s="2" t="s">
        <v>58</v>
      </c>
      <c r="K23" s="43"/>
      <c r="L23" s="44"/>
      <c r="M23" s="45"/>
    </row>
    <row r="24" spans="2:13">
      <c r="B24" s="2">
        <f t="shared" si="0"/>
        <v>17</v>
      </c>
      <c r="C24" s="36" t="s">
        <v>150</v>
      </c>
      <c r="D24" s="151" t="s">
        <v>163</v>
      </c>
      <c r="E24" s="152" t="s">
        <v>155</v>
      </c>
      <c r="F24" s="25" t="s">
        <v>55</v>
      </c>
      <c r="G24" s="151" t="s">
        <v>156</v>
      </c>
      <c r="H24" s="32">
        <v>150</v>
      </c>
      <c r="I24" s="2" t="s">
        <v>58</v>
      </c>
      <c r="J24" s="2" t="s">
        <v>58</v>
      </c>
      <c r="K24" s="43"/>
      <c r="L24" s="44"/>
      <c r="M24" s="45"/>
    </row>
    <row r="25" spans="2:13">
      <c r="B25" s="2">
        <f t="shared" si="0"/>
        <v>18</v>
      </c>
      <c r="C25" s="35" t="s">
        <v>149</v>
      </c>
      <c r="D25" s="151" t="s">
        <v>40</v>
      </c>
      <c r="E25" s="152" t="s">
        <v>80</v>
      </c>
      <c r="F25" s="25" t="s">
        <v>55</v>
      </c>
      <c r="G25" s="151" t="s">
        <v>81</v>
      </c>
      <c r="H25" s="32">
        <v>150</v>
      </c>
      <c r="I25" s="2" t="s">
        <v>58</v>
      </c>
      <c r="J25" s="2" t="s">
        <v>58</v>
      </c>
      <c r="K25" s="28"/>
      <c r="L25" s="29"/>
      <c r="M25" s="30"/>
    </row>
    <row r="26" spans="2:13">
      <c r="B26" s="2">
        <f t="shared" si="0"/>
        <v>19</v>
      </c>
      <c r="C26" s="36" t="s">
        <v>151</v>
      </c>
      <c r="D26" s="151" t="s">
        <v>164</v>
      </c>
      <c r="E26" s="152" t="s">
        <v>154</v>
      </c>
      <c r="F26" s="25" t="s">
        <v>55</v>
      </c>
      <c r="G26" s="151" t="s">
        <v>157</v>
      </c>
      <c r="H26" s="32">
        <v>150</v>
      </c>
      <c r="I26" s="2" t="s">
        <v>58</v>
      </c>
      <c r="J26" s="2" t="s">
        <v>58</v>
      </c>
      <c r="K26" s="43"/>
      <c r="L26" s="44"/>
      <c r="M26" s="45"/>
    </row>
    <row r="27" spans="2:13">
      <c r="B27" s="2">
        <f t="shared" si="0"/>
        <v>20</v>
      </c>
      <c r="C27" s="36" t="s">
        <v>65</v>
      </c>
      <c r="D27" s="151" t="s">
        <v>40</v>
      </c>
      <c r="E27" s="25" t="s">
        <v>66</v>
      </c>
      <c r="F27" s="25" t="s">
        <v>55</v>
      </c>
      <c r="G27" s="25" t="s">
        <v>67</v>
      </c>
      <c r="H27" s="32">
        <v>10</v>
      </c>
      <c r="I27" s="2" t="s">
        <v>58</v>
      </c>
      <c r="J27" s="2" t="s">
        <v>58</v>
      </c>
      <c r="K27" s="28"/>
      <c r="L27" s="29"/>
      <c r="M27" s="30"/>
    </row>
    <row r="28" spans="2:13">
      <c r="B28" s="2">
        <f t="shared" si="0"/>
        <v>21</v>
      </c>
      <c r="C28" s="36" t="s">
        <v>152</v>
      </c>
      <c r="D28" s="151" t="s">
        <v>162</v>
      </c>
      <c r="E28" s="25" t="s">
        <v>153</v>
      </c>
      <c r="F28" s="25" t="s">
        <v>55</v>
      </c>
      <c r="G28" s="25" t="s">
        <v>158</v>
      </c>
      <c r="H28" s="32">
        <v>40</v>
      </c>
      <c r="I28" s="2" t="s">
        <v>58</v>
      </c>
      <c r="J28" s="2" t="s">
        <v>58</v>
      </c>
      <c r="K28" s="28"/>
      <c r="L28" s="29"/>
      <c r="M28" s="30"/>
    </row>
    <row r="29" spans="2:13">
      <c r="B29" s="2">
        <f t="shared" si="0"/>
        <v>22</v>
      </c>
      <c r="C29" s="36" t="s">
        <v>85</v>
      </c>
      <c r="D29" s="151" t="s">
        <v>40</v>
      </c>
      <c r="E29" s="23" t="s">
        <v>86</v>
      </c>
      <c r="F29" s="23" t="s">
        <v>87</v>
      </c>
      <c r="G29" s="153" t="s">
        <v>88</v>
      </c>
      <c r="H29" s="33">
        <v>12</v>
      </c>
      <c r="I29" s="2" t="s">
        <v>58</v>
      </c>
      <c r="J29" s="2" t="s">
        <v>58</v>
      </c>
      <c r="K29" s="43"/>
      <c r="L29" s="44"/>
      <c r="M29" s="45"/>
    </row>
    <row r="30" spans="2:13">
      <c r="B30" s="2">
        <f t="shared" si="0"/>
        <v>23</v>
      </c>
      <c r="C30" s="36" t="s">
        <v>89</v>
      </c>
      <c r="D30" s="151" t="s">
        <v>40</v>
      </c>
      <c r="E30" s="23" t="s">
        <v>90</v>
      </c>
      <c r="F30" s="23" t="s">
        <v>87</v>
      </c>
      <c r="G30" s="153" t="s">
        <v>91</v>
      </c>
      <c r="H30" s="32">
        <v>40</v>
      </c>
      <c r="I30" s="2" t="s">
        <v>58</v>
      </c>
      <c r="J30" s="2" t="s">
        <v>58</v>
      </c>
      <c r="K30" s="43"/>
      <c r="L30" s="44"/>
      <c r="M30" s="45"/>
    </row>
    <row r="31" spans="2:13">
      <c r="B31" s="2">
        <f t="shared" si="0"/>
        <v>24</v>
      </c>
      <c r="C31" s="25" t="s">
        <v>147</v>
      </c>
      <c r="D31" s="1" t="s">
        <v>40</v>
      </c>
      <c r="E31" s="31" t="s">
        <v>110</v>
      </c>
      <c r="F31" s="31" t="s">
        <v>55</v>
      </c>
      <c r="G31" s="31" t="s">
        <v>111</v>
      </c>
      <c r="H31" s="34">
        <v>20</v>
      </c>
      <c r="I31" s="2" t="s">
        <v>58</v>
      </c>
      <c r="J31" s="2" t="s">
        <v>58</v>
      </c>
      <c r="K31" s="43"/>
      <c r="L31" s="44"/>
      <c r="M31" s="45"/>
    </row>
    <row r="32" spans="2:13">
      <c r="B32" s="2">
        <f t="shared" si="0"/>
        <v>25</v>
      </c>
      <c r="C32" s="1"/>
      <c r="D32" s="1"/>
      <c r="E32" s="22"/>
      <c r="F32" s="23"/>
      <c r="G32" s="22"/>
      <c r="H32" s="34"/>
      <c r="I32" s="2"/>
      <c r="J32" s="2"/>
      <c r="K32" s="43"/>
      <c r="L32" s="44"/>
      <c r="M32" s="45"/>
    </row>
    <row r="33" spans="2:13">
      <c r="B33" s="2">
        <f t="shared" si="0"/>
        <v>26</v>
      </c>
      <c r="C33" s="1"/>
      <c r="D33" s="1"/>
      <c r="E33" s="22"/>
      <c r="F33" s="23"/>
      <c r="G33" s="22"/>
      <c r="H33" s="34"/>
      <c r="I33" s="2"/>
      <c r="J33" s="2"/>
      <c r="K33" s="43"/>
      <c r="L33" s="44"/>
      <c r="M33" s="45"/>
    </row>
    <row r="34" spans="2:13">
      <c r="B34" s="2">
        <f t="shared" si="0"/>
        <v>27</v>
      </c>
      <c r="C34" s="22"/>
      <c r="D34" s="1"/>
      <c r="E34" s="1"/>
      <c r="F34" s="23"/>
      <c r="G34" s="1"/>
      <c r="H34" s="34"/>
      <c r="I34" s="2"/>
      <c r="J34" s="2"/>
      <c r="K34" s="43"/>
      <c r="L34" s="44"/>
      <c r="M34" s="45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43"/>
      <c r="L35" s="44"/>
      <c r="M35" s="45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43"/>
      <c r="L36" s="44"/>
      <c r="M36" s="45"/>
    </row>
    <row r="37" spans="2:13">
      <c r="B37" s="2">
        <f t="shared" si="0"/>
        <v>30</v>
      </c>
      <c r="C37" s="22"/>
      <c r="D37" s="22"/>
      <c r="E37" s="22"/>
      <c r="F37" s="22"/>
      <c r="G37" s="4"/>
      <c r="H37" s="22"/>
      <c r="I37" s="22"/>
      <c r="J37" s="2"/>
      <c r="K37" s="44"/>
      <c r="L37" s="44"/>
      <c r="M37" s="45"/>
    </row>
  </sheetData>
  <mergeCells count="38">
    <mergeCell ref="K35:M35"/>
    <mergeCell ref="K36:M36"/>
    <mergeCell ref="K37:M37"/>
    <mergeCell ref="K34:M34"/>
    <mergeCell ref="K32:M32"/>
    <mergeCell ref="K33:M33"/>
    <mergeCell ref="K12:M12"/>
    <mergeCell ref="K21:M21"/>
    <mergeCell ref="K11:M11"/>
    <mergeCell ref="K31:M31"/>
    <mergeCell ref="K15:M15"/>
    <mergeCell ref="K26:M26"/>
    <mergeCell ref="K22:M22"/>
    <mergeCell ref="K29:M29"/>
    <mergeCell ref="K30:M30"/>
    <mergeCell ref="K17:M17"/>
    <mergeCell ref="B2:D2"/>
    <mergeCell ref="E2:F2"/>
    <mergeCell ref="H2:K2"/>
    <mergeCell ref="B3:D3"/>
    <mergeCell ref="E3:F3"/>
    <mergeCell ref="H3:K3"/>
    <mergeCell ref="K7:M7"/>
    <mergeCell ref="K24:M24"/>
    <mergeCell ref="B4:C4"/>
    <mergeCell ref="E4:F4"/>
    <mergeCell ref="H4:K4"/>
    <mergeCell ref="B5:C5"/>
    <mergeCell ref="E5:F5"/>
    <mergeCell ref="H5:K5"/>
    <mergeCell ref="K14:M14"/>
    <mergeCell ref="K13:M13"/>
    <mergeCell ref="K16:M16"/>
    <mergeCell ref="K23:M23"/>
    <mergeCell ref="K8:M8"/>
    <mergeCell ref="K9:M9"/>
    <mergeCell ref="K10:M10"/>
    <mergeCell ref="K18:M18"/>
  </mergeCells>
  <phoneticPr fontId="2"/>
  <conditionalFormatting sqref="G29:G30">
    <cfRule type="duplicateValues" dxfId="0" priority="1"/>
  </conditionalFormatting>
  <dataValidations count="1">
    <dataValidation type="list" allowBlank="1" showInputMessage="1" showErrorMessage="1" sqref="I8:J3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625" defaultRowHeight="16.5" customHeight="1"/>
  <cols>
    <col min="1" max="12" width="2.625" style="6"/>
    <col min="13" max="17" width="3.375" style="6" customWidth="1"/>
    <col min="18" max="22" width="2.625" style="6"/>
    <col min="23" max="27" width="3.625" style="6" customWidth="1"/>
    <col min="28" max="16384" width="2.625" style="6"/>
  </cols>
  <sheetData>
    <row r="1" spans="1:59" ht="11.25" customHeight="1">
      <c r="A1" s="123" t="s">
        <v>117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5"/>
    </row>
    <row r="2" spans="1:59" ht="11.25" customHeight="1">
      <c r="A2" s="126" t="s">
        <v>45</v>
      </c>
      <c r="B2" s="127"/>
      <c r="C2" s="126" t="s">
        <v>118</v>
      </c>
      <c r="D2" s="128"/>
      <c r="E2" s="128"/>
      <c r="F2" s="128"/>
      <c r="G2" s="128"/>
      <c r="H2" s="128"/>
      <c r="I2" s="128"/>
      <c r="J2" s="128"/>
      <c r="K2" s="128"/>
      <c r="L2" s="127"/>
      <c r="M2" s="126" t="s">
        <v>119</v>
      </c>
      <c r="N2" s="128"/>
      <c r="O2" s="128"/>
      <c r="P2" s="127"/>
      <c r="Q2" s="126" t="s">
        <v>120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7"/>
      <c r="BB2" s="126" t="s">
        <v>121</v>
      </c>
      <c r="BC2" s="128"/>
      <c r="BD2" s="128"/>
      <c r="BE2" s="128"/>
      <c r="BF2" s="128"/>
      <c r="BG2" s="127"/>
    </row>
    <row r="3" spans="1:59" ht="11.25" customHeight="1">
      <c r="A3" s="129">
        <v>1</v>
      </c>
      <c r="B3" s="130"/>
      <c r="C3" s="131"/>
      <c r="D3" s="132"/>
      <c r="E3" s="132"/>
      <c r="F3" s="132"/>
      <c r="G3" s="132"/>
      <c r="H3" s="132"/>
      <c r="I3" s="132"/>
      <c r="J3" s="132"/>
      <c r="K3" s="132"/>
      <c r="L3" s="133"/>
      <c r="M3" s="134"/>
      <c r="N3" s="135"/>
      <c r="O3" s="135"/>
      <c r="P3" s="136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3"/>
      <c r="BB3" s="131"/>
      <c r="BC3" s="132"/>
      <c r="BD3" s="132"/>
      <c r="BE3" s="132"/>
      <c r="BF3" s="132"/>
      <c r="BG3" s="133"/>
    </row>
    <row r="4" spans="1:59" ht="11.25" customHeight="1">
      <c r="A4" s="129">
        <v>2</v>
      </c>
      <c r="B4" s="130"/>
      <c r="C4" s="131"/>
      <c r="D4" s="132"/>
      <c r="E4" s="132"/>
      <c r="F4" s="132"/>
      <c r="G4" s="132"/>
      <c r="H4" s="132"/>
      <c r="I4" s="132"/>
      <c r="J4" s="132"/>
      <c r="K4" s="132"/>
      <c r="L4" s="133"/>
      <c r="M4" s="134"/>
      <c r="N4" s="135"/>
      <c r="O4" s="135"/>
      <c r="P4" s="136"/>
      <c r="Q4" s="131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3"/>
      <c r="BB4" s="131"/>
      <c r="BC4" s="132"/>
      <c r="BD4" s="132"/>
      <c r="BE4" s="132"/>
      <c r="BF4" s="132"/>
      <c r="BG4" s="133"/>
    </row>
    <row r="5" spans="1:59" ht="11.25" customHeight="1">
      <c r="A5" s="129">
        <v>3</v>
      </c>
      <c r="B5" s="130"/>
      <c r="C5" s="131"/>
      <c r="D5" s="132"/>
      <c r="E5" s="132"/>
      <c r="F5" s="132"/>
      <c r="G5" s="132"/>
      <c r="H5" s="132"/>
      <c r="I5" s="132"/>
      <c r="J5" s="132"/>
      <c r="K5" s="132"/>
      <c r="L5" s="133"/>
      <c r="M5" s="134"/>
      <c r="N5" s="135"/>
      <c r="O5" s="135"/>
      <c r="P5" s="136"/>
      <c r="Q5" s="131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31"/>
      <c r="BC5" s="132"/>
      <c r="BD5" s="132"/>
      <c r="BE5" s="132"/>
      <c r="BF5" s="132"/>
      <c r="BG5" s="133"/>
    </row>
    <row r="6" spans="1:59" ht="11.25" customHeight="1">
      <c r="A6" s="129">
        <v>4</v>
      </c>
      <c r="B6" s="130"/>
      <c r="C6" s="131"/>
      <c r="D6" s="132"/>
      <c r="E6" s="132"/>
      <c r="F6" s="132"/>
      <c r="G6" s="132"/>
      <c r="H6" s="132"/>
      <c r="I6" s="132"/>
      <c r="J6" s="132"/>
      <c r="K6" s="132"/>
      <c r="L6" s="133"/>
      <c r="M6" s="134"/>
      <c r="N6" s="135"/>
      <c r="O6" s="135"/>
      <c r="P6" s="136"/>
      <c r="Q6" s="131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3"/>
      <c r="BB6" s="131"/>
      <c r="BC6" s="132"/>
      <c r="BD6" s="132"/>
      <c r="BE6" s="132"/>
      <c r="BF6" s="132"/>
      <c r="BG6" s="133"/>
    </row>
    <row r="7" spans="1:59" ht="11.25" customHeight="1">
      <c r="A7" s="129">
        <v>5</v>
      </c>
      <c r="B7" s="130"/>
      <c r="C7" s="131"/>
      <c r="D7" s="132"/>
      <c r="E7" s="132"/>
      <c r="F7" s="132"/>
      <c r="G7" s="132"/>
      <c r="H7" s="132"/>
      <c r="I7" s="132"/>
      <c r="J7" s="132"/>
      <c r="K7" s="132"/>
      <c r="L7" s="133"/>
      <c r="M7" s="134"/>
      <c r="N7" s="135"/>
      <c r="O7" s="135"/>
      <c r="P7" s="136"/>
      <c r="Q7" s="131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3"/>
      <c r="BB7" s="131"/>
      <c r="BC7" s="132"/>
      <c r="BD7" s="132"/>
      <c r="BE7" s="132"/>
      <c r="BF7" s="132"/>
      <c r="BG7" s="133"/>
    </row>
    <row r="8" spans="1:59" ht="11.25" customHeight="1">
      <c r="A8" s="123" t="s">
        <v>122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</row>
    <row r="9" spans="1:59" ht="11.25" customHeight="1">
      <c r="A9" s="126" t="s">
        <v>45</v>
      </c>
      <c r="B9" s="127"/>
      <c r="C9" s="126" t="s">
        <v>123</v>
      </c>
      <c r="D9" s="128"/>
      <c r="E9" s="128"/>
      <c r="F9" s="128"/>
      <c r="G9" s="128"/>
      <c r="H9" s="128"/>
      <c r="I9" s="128"/>
      <c r="J9" s="128"/>
      <c r="K9" s="128"/>
      <c r="L9" s="127"/>
      <c r="M9" s="126" t="s">
        <v>124</v>
      </c>
      <c r="N9" s="128"/>
      <c r="O9" s="127"/>
      <c r="P9" s="126" t="s">
        <v>120</v>
      </c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7"/>
      <c r="AQ9" s="126" t="s">
        <v>121</v>
      </c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7"/>
    </row>
    <row r="10" spans="1:59" ht="11.25" customHeight="1">
      <c r="A10" s="129">
        <v>1</v>
      </c>
      <c r="B10" s="130"/>
      <c r="C10" s="131" t="s">
        <v>125</v>
      </c>
      <c r="D10" s="132"/>
      <c r="E10" s="132"/>
      <c r="F10" s="132"/>
      <c r="G10" s="132"/>
      <c r="H10" s="132"/>
      <c r="I10" s="132"/>
      <c r="J10" s="132"/>
      <c r="K10" s="132"/>
      <c r="L10" s="133"/>
      <c r="M10" s="137" t="s">
        <v>126</v>
      </c>
      <c r="N10" s="137"/>
      <c r="O10" s="137"/>
      <c r="P10" s="131" t="s">
        <v>54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3"/>
      <c r="AQ10" s="131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3"/>
    </row>
    <row r="11" spans="1:59" ht="11.25" customHeight="1">
      <c r="A11" s="129">
        <v>2</v>
      </c>
      <c r="B11" s="130"/>
      <c r="C11" s="131"/>
      <c r="D11" s="132"/>
      <c r="E11" s="132"/>
      <c r="F11" s="132"/>
      <c r="G11" s="132"/>
      <c r="H11" s="132"/>
      <c r="I11" s="132"/>
      <c r="J11" s="132"/>
      <c r="K11" s="132"/>
      <c r="L11" s="133"/>
      <c r="M11" s="137"/>
      <c r="N11" s="137"/>
      <c r="O11" s="137"/>
      <c r="P11" s="131" t="s">
        <v>60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1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3"/>
    </row>
    <row r="12" spans="1:59" ht="11.25" customHeight="1">
      <c r="A12" s="129">
        <v>3</v>
      </c>
      <c r="B12" s="130"/>
      <c r="C12" s="131"/>
      <c r="D12" s="132"/>
      <c r="E12" s="132"/>
      <c r="F12" s="132"/>
      <c r="G12" s="132"/>
      <c r="H12" s="132"/>
      <c r="I12" s="132"/>
      <c r="J12" s="132"/>
      <c r="K12" s="132"/>
      <c r="L12" s="133"/>
      <c r="M12" s="137"/>
      <c r="N12" s="137"/>
      <c r="O12" s="137"/>
      <c r="P12" s="131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3"/>
      <c r="AQ12" s="131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3"/>
    </row>
    <row r="13" spans="1:59" ht="11.25" customHeight="1">
      <c r="A13" s="129">
        <v>4</v>
      </c>
      <c r="B13" s="130"/>
      <c r="C13" s="131"/>
      <c r="D13" s="132"/>
      <c r="E13" s="132"/>
      <c r="F13" s="132"/>
      <c r="G13" s="132"/>
      <c r="H13" s="132"/>
      <c r="I13" s="132"/>
      <c r="J13" s="132"/>
      <c r="K13" s="132"/>
      <c r="L13" s="133"/>
      <c r="M13" s="137"/>
      <c r="N13" s="137"/>
      <c r="O13" s="137"/>
      <c r="P13" s="131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3"/>
      <c r="AQ13" s="131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3"/>
    </row>
    <row r="14" spans="1:59" ht="11.25" customHeight="1">
      <c r="A14" s="129">
        <v>5</v>
      </c>
      <c r="B14" s="130"/>
      <c r="C14" s="131"/>
      <c r="D14" s="132"/>
      <c r="E14" s="132"/>
      <c r="F14" s="132"/>
      <c r="G14" s="132"/>
      <c r="H14" s="132"/>
      <c r="I14" s="132"/>
      <c r="J14" s="132"/>
      <c r="K14" s="132"/>
      <c r="L14" s="133"/>
      <c r="M14" s="137"/>
      <c r="N14" s="137"/>
      <c r="O14" s="137"/>
      <c r="P14" s="131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3"/>
      <c r="AQ14" s="131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3"/>
    </row>
    <row r="15" spans="1:59" ht="11.25" customHeight="1">
      <c r="A15" s="123" t="s">
        <v>127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</row>
    <row r="16" spans="1:59" ht="11.25" customHeight="1">
      <c r="A16" s="126" t="s">
        <v>45</v>
      </c>
      <c r="B16" s="127"/>
      <c r="C16" s="126" t="s">
        <v>128</v>
      </c>
      <c r="D16" s="128"/>
      <c r="E16" s="128"/>
      <c r="F16" s="128"/>
      <c r="G16" s="128"/>
      <c r="H16" s="128"/>
      <c r="I16" s="128"/>
      <c r="J16" s="128"/>
      <c r="K16" s="128"/>
      <c r="L16" s="127"/>
      <c r="M16" s="126" t="s">
        <v>129</v>
      </c>
      <c r="N16" s="128"/>
      <c r="O16" s="128"/>
      <c r="P16" s="128"/>
      <c r="Q16" s="127"/>
      <c r="R16" s="126" t="s">
        <v>130</v>
      </c>
      <c r="S16" s="128"/>
      <c r="T16" s="128"/>
      <c r="U16" s="128"/>
      <c r="V16" s="127"/>
      <c r="W16" s="126" t="s">
        <v>131</v>
      </c>
      <c r="X16" s="128"/>
      <c r="Y16" s="128"/>
      <c r="Z16" s="128"/>
      <c r="AA16" s="127"/>
      <c r="AB16" s="126" t="s">
        <v>132</v>
      </c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7"/>
    </row>
    <row r="17" spans="1:59" ht="11.25" customHeight="1">
      <c r="A17" s="129">
        <v>1</v>
      </c>
      <c r="B17" s="130"/>
      <c r="C17" s="131"/>
      <c r="D17" s="132"/>
      <c r="E17" s="132"/>
      <c r="F17" s="132"/>
      <c r="G17" s="132"/>
      <c r="H17" s="132"/>
      <c r="I17" s="132"/>
      <c r="J17" s="132"/>
      <c r="K17" s="132"/>
      <c r="L17" s="133"/>
      <c r="M17" s="129"/>
      <c r="N17" s="138"/>
      <c r="O17" s="138"/>
      <c r="P17" s="138"/>
      <c r="Q17" s="130"/>
      <c r="R17" s="129"/>
      <c r="S17" s="138"/>
      <c r="T17" s="138"/>
      <c r="U17" s="138"/>
      <c r="V17" s="130"/>
      <c r="W17" s="129"/>
      <c r="X17" s="138"/>
      <c r="Y17" s="138"/>
      <c r="Z17" s="138"/>
      <c r="AA17" s="130"/>
      <c r="AB17" s="131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3"/>
    </row>
    <row r="18" spans="1:59" ht="11.25" customHeight="1">
      <c r="A18" s="129">
        <v>2</v>
      </c>
      <c r="B18" s="130"/>
      <c r="C18" s="131"/>
      <c r="D18" s="132"/>
      <c r="E18" s="132"/>
      <c r="F18" s="132"/>
      <c r="G18" s="132"/>
      <c r="H18" s="132"/>
      <c r="I18" s="132"/>
      <c r="J18" s="132"/>
      <c r="K18" s="132"/>
      <c r="L18" s="133"/>
      <c r="M18" s="129"/>
      <c r="N18" s="138"/>
      <c r="O18" s="138"/>
      <c r="P18" s="138"/>
      <c r="Q18" s="130"/>
      <c r="R18" s="129"/>
      <c r="S18" s="138"/>
      <c r="T18" s="138"/>
      <c r="U18" s="138"/>
      <c r="V18" s="130"/>
      <c r="W18" s="129"/>
      <c r="X18" s="138"/>
      <c r="Y18" s="138"/>
      <c r="Z18" s="138"/>
      <c r="AA18" s="130"/>
      <c r="AB18" s="131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3"/>
    </row>
    <row r="19" spans="1:59" ht="11.25" customHeight="1">
      <c r="A19" s="129">
        <v>3</v>
      </c>
      <c r="B19" s="130"/>
      <c r="C19" s="131"/>
      <c r="D19" s="132"/>
      <c r="E19" s="132"/>
      <c r="F19" s="132"/>
      <c r="G19" s="132"/>
      <c r="H19" s="132"/>
      <c r="I19" s="132"/>
      <c r="J19" s="132"/>
      <c r="K19" s="132"/>
      <c r="L19" s="133"/>
      <c r="M19" s="129"/>
      <c r="N19" s="138"/>
      <c r="O19" s="138"/>
      <c r="P19" s="138"/>
      <c r="Q19" s="130"/>
      <c r="R19" s="129"/>
      <c r="S19" s="138"/>
      <c r="T19" s="138"/>
      <c r="U19" s="138"/>
      <c r="V19" s="130"/>
      <c r="W19" s="129"/>
      <c r="X19" s="138"/>
      <c r="Y19" s="138"/>
      <c r="Z19" s="138"/>
      <c r="AA19" s="130"/>
      <c r="AB19" s="139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3"/>
    </row>
    <row r="20" spans="1:59" ht="11.25" customHeight="1">
      <c r="A20" s="123" t="s">
        <v>133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</row>
    <row r="21" spans="1:59" ht="11.25" customHeight="1">
      <c r="A21" s="126" t="s">
        <v>45</v>
      </c>
      <c r="B21" s="127"/>
      <c r="C21" s="126" t="s">
        <v>134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7"/>
      <c r="R21" s="126" t="s">
        <v>135</v>
      </c>
      <c r="S21" s="128"/>
      <c r="T21" s="128"/>
      <c r="U21" s="128"/>
      <c r="V21" s="128"/>
      <c r="W21" s="128"/>
      <c r="X21" s="128"/>
      <c r="Y21" s="128"/>
      <c r="Z21" s="128"/>
      <c r="AA21" s="127"/>
      <c r="AB21" s="126" t="s">
        <v>136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7"/>
      <c r="BB21" s="126" t="s">
        <v>121</v>
      </c>
      <c r="BC21" s="128"/>
      <c r="BD21" s="128"/>
      <c r="BE21" s="128"/>
      <c r="BF21" s="128"/>
      <c r="BG21" s="127"/>
    </row>
    <row r="22" spans="1:59" ht="11.25" customHeight="1">
      <c r="A22" s="129">
        <v>1</v>
      </c>
      <c r="B22" s="130"/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29"/>
      <c r="S22" s="138"/>
      <c r="T22" s="138"/>
      <c r="U22" s="138"/>
      <c r="V22" s="138"/>
      <c r="W22" s="138"/>
      <c r="X22" s="138"/>
      <c r="Y22" s="138"/>
      <c r="Z22" s="138"/>
      <c r="AA22" s="130"/>
      <c r="AB22" s="131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3"/>
      <c r="BB22" s="131"/>
      <c r="BC22" s="132"/>
      <c r="BD22" s="132"/>
      <c r="BE22" s="132"/>
      <c r="BF22" s="132"/>
      <c r="BG22" s="133"/>
    </row>
    <row r="23" spans="1:59" ht="11.25" customHeight="1">
      <c r="A23" s="129">
        <v>2</v>
      </c>
      <c r="B23" s="130"/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9"/>
      <c r="S23" s="138"/>
      <c r="T23" s="138"/>
      <c r="U23" s="138"/>
      <c r="V23" s="138"/>
      <c r="W23" s="138"/>
      <c r="X23" s="138"/>
      <c r="Y23" s="138"/>
      <c r="Z23" s="138"/>
      <c r="AA23" s="130"/>
      <c r="AB23" s="131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3"/>
      <c r="BB23" s="131"/>
      <c r="BC23" s="132"/>
      <c r="BD23" s="132"/>
      <c r="BE23" s="132"/>
      <c r="BF23" s="132"/>
      <c r="BG23" s="133"/>
    </row>
    <row r="24" spans="1:59" ht="11.25" customHeight="1">
      <c r="A24" s="129">
        <v>3</v>
      </c>
      <c r="B24" s="130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29"/>
      <c r="S24" s="138"/>
      <c r="T24" s="138"/>
      <c r="U24" s="138"/>
      <c r="V24" s="138"/>
      <c r="W24" s="138"/>
      <c r="X24" s="138"/>
      <c r="Y24" s="138"/>
      <c r="Z24" s="138"/>
      <c r="AA24" s="130"/>
      <c r="AB24" s="131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3"/>
      <c r="BB24" s="131"/>
      <c r="BC24" s="132"/>
      <c r="BD24" s="132"/>
      <c r="BE24" s="132"/>
      <c r="BF24" s="132"/>
      <c r="BG24" s="133"/>
    </row>
    <row r="25" spans="1:59" ht="11.25" customHeight="1">
      <c r="A25" s="147" t="s">
        <v>137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9"/>
    </row>
    <row r="26" spans="1:59" ht="11.25" customHeight="1">
      <c r="A26" s="140" t="s">
        <v>138</v>
      </c>
      <c r="B26" s="150"/>
      <c r="C26" s="140" t="s">
        <v>139</v>
      </c>
      <c r="D26" s="141"/>
      <c r="E26" s="141"/>
      <c r="F26" s="141"/>
      <c r="G26" s="141"/>
      <c r="H26" s="141"/>
      <c r="I26" s="141"/>
      <c r="J26" s="141"/>
      <c r="K26" s="141"/>
      <c r="L26" s="150"/>
      <c r="M26" s="140" t="s">
        <v>140</v>
      </c>
      <c r="N26" s="141"/>
      <c r="O26" s="141"/>
      <c r="P26" s="141"/>
      <c r="Q26" s="141"/>
      <c r="R26" s="141"/>
      <c r="S26" s="141"/>
      <c r="T26" s="150"/>
      <c r="U26" s="140" t="s">
        <v>141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50"/>
      <c r="AK26" s="140" t="s">
        <v>142</v>
      </c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</row>
    <row r="27" spans="1:59" ht="11.25" customHeight="1">
      <c r="A27" s="142">
        <v>1</v>
      </c>
      <c r="B27" s="143"/>
      <c r="C27" s="144"/>
      <c r="D27" s="145"/>
      <c r="E27" s="145"/>
      <c r="F27" s="145"/>
      <c r="G27" s="145"/>
      <c r="H27" s="145"/>
      <c r="I27" s="145"/>
      <c r="J27" s="145"/>
      <c r="K27" s="145"/>
      <c r="L27" s="146"/>
      <c r="M27" s="144"/>
      <c r="N27" s="145"/>
      <c r="O27" s="145"/>
      <c r="P27" s="145"/>
      <c r="Q27" s="145"/>
      <c r="R27" s="145"/>
      <c r="S27" s="145"/>
      <c r="T27" s="146"/>
      <c r="U27" s="144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6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42">
        <v>2</v>
      </c>
      <c r="B28" s="143"/>
      <c r="C28" s="144"/>
      <c r="D28" s="145"/>
      <c r="E28" s="145"/>
      <c r="F28" s="145"/>
      <c r="G28" s="145"/>
      <c r="H28" s="145"/>
      <c r="I28" s="145"/>
      <c r="J28" s="145"/>
      <c r="K28" s="145"/>
      <c r="L28" s="146"/>
      <c r="M28" s="144"/>
      <c r="N28" s="145"/>
      <c r="O28" s="145"/>
      <c r="P28" s="145"/>
      <c r="Q28" s="145"/>
      <c r="R28" s="145"/>
      <c r="S28" s="145"/>
      <c r="T28" s="146"/>
      <c r="U28" s="144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6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42">
        <v>3</v>
      </c>
      <c r="B29" s="143"/>
      <c r="C29" s="144"/>
      <c r="D29" s="145"/>
      <c r="E29" s="145"/>
      <c r="F29" s="145"/>
      <c r="G29" s="145"/>
      <c r="H29" s="145"/>
      <c r="I29" s="145"/>
      <c r="J29" s="145"/>
      <c r="K29" s="145"/>
      <c r="L29" s="146"/>
      <c r="M29" s="144"/>
      <c r="N29" s="145"/>
      <c r="O29" s="145"/>
      <c r="P29" s="145"/>
      <c r="Q29" s="145"/>
      <c r="R29" s="145"/>
      <c r="S29" s="145"/>
      <c r="T29" s="146"/>
      <c r="U29" s="144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6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20EDD9-6BB0-4CBE-B320-8EFC51C88EE9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www.w3.org/XML/1998/namespace"/>
    <ds:schemaRef ds:uri="0e104af9-8863-48b3-a0f9-b99702920d19"/>
    <ds:schemaRef ds:uri="http://purl.org/dc/elements/1.1/"/>
    <ds:schemaRef ds:uri="5bd2875c-1d77-4e59-90f4-883ca6a86c01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Yoshii, Kanako</cp:lastModifiedBy>
  <cp:revision/>
  <dcterms:created xsi:type="dcterms:W3CDTF">2015-06-05T18:19:34Z</dcterms:created>
  <dcterms:modified xsi:type="dcterms:W3CDTF">2026-07-17T06:28:06Z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