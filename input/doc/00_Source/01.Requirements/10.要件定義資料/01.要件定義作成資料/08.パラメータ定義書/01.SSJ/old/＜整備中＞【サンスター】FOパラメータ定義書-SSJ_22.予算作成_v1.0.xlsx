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810" documentId="14_{6159E0D9-A63C-424B-B315-8A9C2E33BF6B}" xr6:coauthVersionLast="47" xr6:coauthVersionMax="47" xr10:uidLastSave="{7342502F-9EEF-43D1-A49E-1176ED35ED81}"/>
  <bookViews>
    <workbookView xWindow="28680" yWindow="-120" windowWidth="29040" windowHeight="15720" tabRatio="778" activeTab="1" xr2:uid="{FF37A431-138E-498D-9932-FE4CAD8F52B8}"/>
  </bookViews>
  <sheets>
    <sheet name="表紙" sheetId="373" r:id="rId1"/>
    <sheet name="パラメータ設定一覧" sheetId="4" r:id="rId2"/>
    <sheet name="予算作成パラメーター" sheetId="368" r:id="rId3"/>
    <sheet name="予算作成パラメーター 番号順序" sheetId="342" r:id="rId4"/>
    <sheet name="予算モデル" sheetId="375" r:id="rId5"/>
    <sheet name="予算モデル-設定値" sheetId="380" r:id="rId6"/>
    <sheet name="予算コード" sheetId="376" r:id="rId7"/>
    <sheet name="予算コード-設定値 " sheetId="381" r:id="rId8"/>
    <sheet name="予算サイクル" sheetId="377" r:id="rId9"/>
    <sheet name="予算サイクル期間-設定値 " sheetId="382" r:id="rId10"/>
    <sheet name="予算サイクル-設定値" sheetId="383" r:id="rId11"/>
    <sheet name="予算計画のコンフィギュレーション" sheetId="378" r:id="rId12"/>
    <sheet name="予算計画プロセス" sheetId="379" r:id="rId13"/>
    <sheet name="人事管理パラメーター 従業員セルフサービス" sheetId="369" r:id="rId14"/>
    <sheet name="人事管理パラメーター マネージャーセルフサービス" sheetId="370" r:id="rId15"/>
    <sheet name="人事管理の共有パラメーター" sheetId="343" r:id="rId16"/>
    <sheet name="人事管理の共有パラメーター 番号順序" sheetId="344" r:id="rId17"/>
    <sheet name="人事管理の共有パラメーター 既定の財務分析コード" sheetId="371" r:id="rId18"/>
    <sheet name="人事管理の共有パラメーター ビジネスイベント" sheetId="372" r:id="rId19"/>
    <sheet name="タイトル" sheetId="362" r:id="rId20"/>
    <sheet name="タイトル-設定値" sheetId="363" r:id="rId21"/>
    <sheet name="職位階層タイプ" sheetId="360" r:id="rId22"/>
    <sheet name="職位階層タイプ-設定値" sheetId="361" r:id="rId23"/>
  </sheets>
  <externalReferences>
    <externalReference r:id="rId24"/>
  </externalReferences>
  <definedNames>
    <definedName name="_Fill" hidden="1">[1]テーブル仕様!#REF!</definedName>
    <definedName name="_xlnm._FilterDatabase" localSheetId="18" hidden="1">'人事管理の共有パラメーター ビジネスイベント'!#REF!</definedName>
    <definedName name="_xlnm._FilterDatabase" localSheetId="17" hidden="1">'人事管理の共有パラメーター 既定の財務分析コード'!#REF!</definedName>
    <definedName name="_xlnm._FilterDatabase" localSheetId="16" hidden="1">'人事管理の共有パラメーター 番号順序'!#REF!</definedName>
    <definedName name="_xlnm._FilterDatabase" localSheetId="14" hidden="1">'人事管理パラメーター マネージャーセルフサービス'!#REF!</definedName>
    <definedName name="_xlnm._FilterDatabase" localSheetId="13" hidden="1">'人事管理パラメーター 従業員セルフサービス'!#REF!</definedName>
    <definedName name="_xlnm._FilterDatabase" localSheetId="7" hidden="1">'予算コード-設定値 '!#REF!</definedName>
    <definedName name="_xlnm._FilterDatabase" localSheetId="9" hidden="1">'予算サイクル期間-設定値 '!#REF!</definedName>
    <definedName name="_xlnm._FilterDatabase" localSheetId="10" hidden="1">'予算サイクル-設定値'!#REF!</definedName>
    <definedName name="_xlnm._FilterDatabase" localSheetId="5" hidden="1">'予算モデル-設定値'!#REF!</definedName>
    <definedName name="_xlnm._FilterDatabase" localSheetId="3" hidden="1">'予算作成パラメーター 番号順序'!#REF!</definedName>
    <definedName name="_Order1" hidden="1">255</definedName>
    <definedName name="_Order2" hidden="1">255</definedName>
    <definedName name="_Regression_X" localSheetId="2"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hidden="1">#REF!</definedName>
    <definedName name="AZ" localSheetId="2" hidden="1">#REF!</definedName>
    <definedName name="AZ" hidden="1">#REF!</definedName>
    <definedName name="bbb" localSheetId="2" hidden="1">[1]テーブル仕様!#REF!</definedName>
    <definedName name="bbb" hidden="1">[1]テーブル仕様!#REF!</definedName>
    <definedName name="ＧＷメッセージ一覧" localSheetId="2" hidden="1">#REF!</definedName>
    <definedName name="ＧＷメッセージ一覧" hidden="1">#REF!</definedName>
    <definedName name="H" localSheetId="2" hidden="1">{"'Sheet1'!$B$5:$H$34"}</definedName>
    <definedName name="H" hidden="1">{"'Sheet1'!$B$5:$H$34"}</definedName>
    <definedName name="HTML_CodePage" hidden="1">932</definedName>
    <definedName name="HTML_Control" localSheetId="0" hidden="1">{"'分担ﾙｰﾙ'!$A$1:$M$72","'分担ﾙｰﾙ'!$A$19:$M$71"}</definedName>
    <definedName name="HTML_Control" localSheetId="2" hidden="1">{"'分担ﾙｰﾙ'!$A$1:$M$72","'分担ﾙｰﾙ'!$A$19:$M$71"}</definedName>
    <definedName name="HTML_Control" hidden="1">{"'分担ﾙｰﾙ'!$A$1:$M$72","'分担ﾙｰﾙ'!$A$19:$M$71"}</definedName>
    <definedName name="HTML_Control_copy" localSheetId="2" hidden="1">{"'Sheet1'!$B$5:$H$34"}</definedName>
    <definedName name="HTML_Control_copy" hidden="1">{"'Sheet1'!$B$5:$H$34"}</definedName>
    <definedName name="HTML_Control_Copy2" localSheetId="2" hidden="1">{"'Sheet1'!$B$5:$H$34"}</definedName>
    <definedName name="HTML_Control_Copy2" hidden="1">{"'Sheet1'!$B$5:$H$34"}</definedName>
    <definedName name="HTML_Control1" localSheetId="0" hidden="1">{"'分担ﾙｰﾙ'!$A$1:$M$72","'分担ﾙｰﾙ'!$A$19:$M$71"}</definedName>
    <definedName name="HTML_Control1" localSheetId="2" hidden="1">{"'分担ﾙｰﾙ'!$A$1:$M$72","'分担ﾙｰﾙ'!$A$19:$M$71"}</definedName>
    <definedName name="HTML_Control1" hidden="1">{"'分担ﾙｰﾙ'!$A$1:$M$72","'分担ﾙｰﾙ'!$A$19:$M$71"}</definedName>
    <definedName name="HTML_Control2" localSheetId="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ｐ" localSheetId="2" hidden="1">#REF!</definedName>
    <definedName name="ｐ" hidden="1">#REF!</definedName>
    <definedName name="_xlnm.Print_Area" localSheetId="1">パラメータ設定一覧!$A$1:$J$25</definedName>
    <definedName name="s" localSheetId="2" hidden="1">{"'Sheet1'!$B$5:$H$34"}</definedName>
    <definedName name="s" hidden="1">{"'Sheet1'!$B$5:$H$34"}</definedName>
    <definedName name="t" localSheetId="2" hidden="1">{"'Sheet1'!$B$5:$H$34"}</definedName>
    <definedName name="t" hidden="1">{"'Sheet1'!$B$5:$H$34"}</definedName>
    <definedName name="TEST" localSheetId="2" hidden="1">{"'Sheet1'!$B$5:$H$34"}</definedName>
    <definedName name="TEST" hidden="1">{"'Sheet1'!$B$5:$H$34"}</definedName>
    <definedName name="VV" localSheetId="2" hidden="1">#REF!</definedName>
    <definedName name="VV" hidden="1">#REF!</definedName>
    <definedName name="ｗ" localSheetId="2" hidden="1">{"'Sheet1'!$B$5:$H$34"}</definedName>
    <definedName name="ｗ" hidden="1">{"'Sheet1'!$B$5:$H$34"}</definedName>
    <definedName name="work" localSheetId="2" hidden="1">#REF!</definedName>
    <definedName name="work" hidden="1">#REF!</definedName>
    <definedName name="Z_5FB70CD0_6C58_413B_B7A8_B2222A9FFAB3_.wvu.FilterData" localSheetId="2"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hidden="1">#REF!</definedName>
    <definedName name="あ" localSheetId="2" hidden="1">#REF!</definedName>
    <definedName name="あ" hidden="1">#REF!</definedName>
    <definedName name="あああ" localSheetId="0" hidden="1">[1]テーブル仕様!#REF!</definedName>
    <definedName name="あああ" localSheetId="2" hidden="1">[1]テーブル仕様!#REF!</definedName>
    <definedName name="あああ" hidden="1">[1]テーブル仕様!#REF!</definedName>
    <definedName name="い" localSheetId="2" hidden="1">#REF!</definedName>
    <definedName name="い" hidden="1">#REF!</definedName>
    <definedName name="う" localSheetId="2" hidden="1">#REF!</definedName>
    <definedName name="う" hidden="1">#REF!</definedName>
    <definedName name="ええ" localSheetId="2" hidden="1">{"'Sheet1'!$B$5:$H$34"}</definedName>
    <definedName name="ええ" hidden="1">{"'Sheet1'!$B$5:$H$34"}</definedName>
    <definedName name="えええ" localSheetId="0" hidden="1">{"'9.項目'!$B$5:$AW$60"}</definedName>
    <definedName name="えええ" localSheetId="2" hidden="1">{"'9.項目'!$B$5:$AW$60"}</definedName>
    <definedName name="えええ" hidden="1">{"'9.項目'!$B$5:$AW$60"}</definedName>
    <definedName name="お" localSheetId="2" hidden="1">{"'Sheet1'!$B$5:$H$34"}</definedName>
    <definedName name="お" hidden="1">{"'Sheet1'!$B$5:$H$34"}</definedName>
    <definedName name="サンプル" localSheetId="2" hidden="1">#REF!</definedName>
    <definedName name="サンプル" hidden="1">#REF!</definedName>
    <definedName name="タスクドキュメント１" localSheetId="2" hidden="1">#REF!</definedName>
    <definedName name="タスクドキュメント１" hidden="1">#REF!</definedName>
    <definedName name="安藤" localSheetId="2" hidden="1">#REF!</definedName>
    <definedName name="安藤" hidden="1">#REF!</definedName>
    <definedName name="関連" localSheetId="2" hidden="1">#REF!</definedName>
    <definedName name="関連" hidden="1">#REF!</definedName>
    <definedName name="関連表" localSheetId="2" hidden="1">#REF!</definedName>
    <definedName name="関連表" hidden="1">#REF!</definedName>
    <definedName name="仕様書" localSheetId="2" hidden="1">#REF!</definedName>
    <definedName name="仕様書" hidden="1">#REF!</definedName>
    <definedName name="束原" localSheetId="2" hidden="1">#REF!</definedName>
    <definedName name="束原" hidden="1">#REF!</definedName>
    <definedName name="導入時期う" localSheetId="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383" l="1"/>
  <c r="B16" i="382" l="1"/>
  <c r="B15" i="382"/>
  <c r="B14" i="382"/>
  <c r="B13" i="382"/>
  <c r="B12" i="382"/>
  <c r="B11" i="382"/>
  <c r="B10" i="382"/>
  <c r="B9" i="382"/>
  <c r="B8" i="382"/>
  <c r="B7" i="382"/>
  <c r="B14" i="377" l="1"/>
  <c r="B13" i="377"/>
  <c r="B12" i="377"/>
  <c r="B11" i="377"/>
  <c r="B10" i="377"/>
  <c r="B9" i="377"/>
  <c r="B8" i="377"/>
  <c r="B16" i="381"/>
  <c r="B15" i="381"/>
  <c r="B14" i="381"/>
  <c r="B13" i="381"/>
  <c r="B12" i="381"/>
  <c r="B11" i="381"/>
  <c r="B10" i="381"/>
  <c r="B9" i="381"/>
  <c r="B8" i="381"/>
  <c r="B7" i="381"/>
  <c r="B16" i="380"/>
  <c r="B15" i="380"/>
  <c r="B14" i="380"/>
  <c r="B13" i="380"/>
  <c r="B12" i="380"/>
  <c r="B11" i="380"/>
  <c r="B10" i="380"/>
  <c r="B8" i="380"/>
  <c r="B9" i="380"/>
  <c r="B7" i="380"/>
  <c r="B7" i="375"/>
  <c r="B8" i="375"/>
  <c r="B9" i="375"/>
  <c r="B10" i="375"/>
  <c r="B42" i="379"/>
  <c r="B41" i="379"/>
  <c r="B40" i="379"/>
  <c r="B39" i="379"/>
  <c r="B38" i="379"/>
  <c r="B37" i="379"/>
  <c r="B36" i="379"/>
  <c r="B35" i="379"/>
  <c r="B34" i="379"/>
  <c r="B33" i="379"/>
  <c r="B32" i="379"/>
  <c r="B31" i="379"/>
  <c r="B30" i="379"/>
  <c r="B29" i="379"/>
  <c r="B28" i="379"/>
  <c r="B27" i="379"/>
  <c r="B26" i="379"/>
  <c r="B25" i="379"/>
  <c r="B24" i="379"/>
  <c r="B23" i="379"/>
  <c r="B22" i="379"/>
  <c r="B21" i="379"/>
  <c r="B20" i="379"/>
  <c r="B19" i="379"/>
  <c r="B18" i="379"/>
  <c r="B17" i="379"/>
  <c r="B16" i="379"/>
  <c r="B15" i="379"/>
  <c r="B14" i="379"/>
  <c r="B13" i="379"/>
  <c r="B12" i="379"/>
  <c r="B11" i="379"/>
  <c r="B10" i="379"/>
  <c r="B9" i="379"/>
  <c r="B8" i="379"/>
  <c r="B7" i="379"/>
  <c r="B6" i="379"/>
  <c r="B42" i="378"/>
  <c r="B41" i="378"/>
  <c r="B40" i="378"/>
  <c r="B39" i="378"/>
  <c r="B38" i="378"/>
  <c r="B37" i="378"/>
  <c r="B36" i="378"/>
  <c r="B35" i="378"/>
  <c r="B34" i="378"/>
  <c r="B33" i="378"/>
  <c r="B32" i="378"/>
  <c r="B31" i="378"/>
  <c r="B30" i="378"/>
  <c r="B29" i="378"/>
  <c r="B28" i="378"/>
  <c r="B27" i="378"/>
  <c r="B26" i="378"/>
  <c r="B25" i="378"/>
  <c r="B24" i="378"/>
  <c r="B23" i="378"/>
  <c r="B22" i="378"/>
  <c r="B21" i="378"/>
  <c r="B20" i="378"/>
  <c r="B19" i="378"/>
  <c r="B18" i="378"/>
  <c r="B17" i="378"/>
  <c r="B16" i="378"/>
  <c r="B15" i="378"/>
  <c r="B14" i="378"/>
  <c r="B13" i="378"/>
  <c r="B12" i="378"/>
  <c r="B11" i="378"/>
  <c r="B10" i="378"/>
  <c r="B9" i="378"/>
  <c r="B8" i="378"/>
  <c r="B7" i="378"/>
  <c r="B6" i="378"/>
  <c r="B11" i="376"/>
  <c r="B10" i="376"/>
  <c r="B9" i="376"/>
  <c r="B8" i="376"/>
  <c r="B7" i="376"/>
  <c r="B6" i="376"/>
  <c r="B6" i="375"/>
  <c r="B7" i="4" l="1"/>
  <c r="B8" i="4"/>
  <c r="B9" i="4"/>
  <c r="B10" i="4"/>
  <c r="B11" i="4"/>
  <c r="B11" i="361"/>
  <c r="B10" i="361"/>
  <c r="B9" i="361"/>
  <c r="B8" i="361"/>
  <c r="B7" i="361"/>
  <c r="B11" i="363"/>
  <c r="B10" i="363"/>
  <c r="B9" i="363"/>
  <c r="B8" i="363"/>
  <c r="B7" i="363"/>
  <c r="B37" i="343"/>
  <c r="B24" i="372"/>
  <c r="B23" i="372"/>
  <c r="B22" i="372"/>
  <c r="B21" i="372"/>
  <c r="B20" i="372"/>
  <c r="B19" i="372"/>
  <c r="B18" i="372"/>
  <c r="B17" i="372"/>
  <c r="B16" i="372"/>
  <c r="B15" i="372"/>
  <c r="B14" i="372"/>
  <c r="B13" i="372"/>
  <c r="B12" i="372"/>
  <c r="B11" i="372"/>
  <c r="B10" i="372"/>
  <c r="B9" i="372"/>
  <c r="B8" i="372"/>
  <c r="B7" i="372"/>
  <c r="B6" i="372"/>
  <c r="B36" i="343"/>
  <c r="B35" i="343"/>
  <c r="B34" i="343"/>
  <c r="B17" i="371"/>
  <c r="B18" i="371"/>
  <c r="B19" i="371"/>
  <c r="B20" i="371"/>
  <c r="B21" i="371"/>
  <c r="B22" i="371"/>
  <c r="B23" i="371"/>
  <c r="B24" i="371"/>
  <c r="B25" i="371"/>
  <c r="B26" i="371"/>
  <c r="B27" i="371"/>
  <c r="B28" i="371"/>
  <c r="B29" i="371"/>
  <c r="B30" i="371"/>
  <c r="B31" i="371"/>
  <c r="B32" i="371"/>
  <c r="B33" i="371"/>
  <c r="B34" i="371"/>
  <c r="B35" i="371"/>
  <c r="B36" i="371"/>
  <c r="B37" i="371"/>
  <c r="B38" i="371"/>
  <c r="B39" i="371"/>
  <c r="B40" i="371"/>
  <c r="B41" i="371"/>
  <c r="B16" i="371"/>
  <c r="B15" i="371"/>
  <c r="B14" i="371"/>
  <c r="B13" i="371"/>
  <c r="B12" i="371"/>
  <c r="B11" i="371"/>
  <c r="B10" i="371"/>
  <c r="B9" i="371"/>
  <c r="B8" i="371"/>
  <c r="B7" i="371"/>
  <c r="B6" i="371"/>
  <c r="B32" i="343"/>
  <c r="B31" i="343"/>
  <c r="B30" i="343"/>
  <c r="B33" i="343"/>
  <c r="B26" i="343"/>
  <c r="B25" i="343"/>
  <c r="B24" i="343"/>
  <c r="B23" i="343"/>
  <c r="B17" i="343"/>
  <c r="B15" i="344"/>
  <c r="B16" i="344"/>
  <c r="B8" i="344"/>
  <c r="B9" i="344"/>
  <c r="B10" i="344"/>
  <c r="B11" i="344"/>
  <c r="B12" i="344"/>
  <c r="B13" i="344"/>
  <c r="B14" i="344"/>
  <c r="B6" i="343"/>
  <c r="B10" i="370" l="1"/>
  <c r="B9" i="370"/>
  <c r="B8" i="370"/>
  <c r="B7" i="370"/>
  <c r="B6" i="370"/>
  <c r="B10" i="369"/>
  <c r="B9" i="369"/>
  <c r="B8" i="369"/>
  <c r="B7" i="369"/>
  <c r="B6" i="369"/>
  <c r="B32" i="368"/>
  <c r="B31" i="368"/>
  <c r="B30" i="368"/>
  <c r="B29" i="368"/>
  <c r="B28" i="368"/>
  <c r="B27" i="368"/>
  <c r="B26" i="368"/>
  <c r="B25" i="368"/>
  <c r="B24" i="368"/>
  <c r="B23" i="368"/>
  <c r="B22" i="368"/>
  <c r="B21" i="368"/>
  <c r="B20" i="368"/>
  <c r="B19" i="368"/>
  <c r="B18" i="368"/>
  <c r="B17" i="368"/>
  <c r="B16" i="368"/>
  <c r="B15" i="368"/>
  <c r="B14" i="368"/>
  <c r="B13" i="368"/>
  <c r="B12" i="368"/>
  <c r="B11" i="368"/>
  <c r="B10" i="368"/>
  <c r="B9" i="368"/>
  <c r="B8" i="368"/>
  <c r="B7" i="368"/>
  <c r="B6" i="368"/>
  <c r="B6" i="362" l="1"/>
  <c r="B6" i="4"/>
  <c r="B10" i="360" l="1"/>
  <c r="B9" i="360"/>
  <c r="B8" i="360"/>
  <c r="B7" i="360"/>
  <c r="B6" i="360"/>
  <c r="B42" i="343" l="1"/>
  <c r="B41" i="343"/>
  <c r="B40" i="343"/>
  <c r="B39" i="343"/>
  <c r="B38" i="343"/>
  <c r="B29" i="343"/>
  <c r="B28" i="343"/>
  <c r="B27" i="343"/>
  <c r="B7" i="344"/>
  <c r="B6" i="344"/>
  <c r="B22" i="343"/>
  <c r="B21" i="343"/>
  <c r="B20" i="343"/>
  <c r="B19" i="343"/>
  <c r="B18" i="343"/>
  <c r="B16" i="343"/>
  <c r="B15" i="343"/>
  <c r="B14" i="343"/>
  <c r="B13" i="343"/>
  <c r="B12" i="343"/>
  <c r="B11" i="343"/>
  <c r="B10" i="343"/>
  <c r="B9" i="343"/>
  <c r="B8" i="343"/>
  <c r="B7" i="343"/>
  <c r="B10" i="342"/>
  <c r="B9" i="342"/>
  <c r="B8" i="342"/>
  <c r="B7" i="342"/>
  <c r="B6" i="342"/>
  <c r="B4" i="4" l="1"/>
  <c r="B5" i="4"/>
</calcChain>
</file>

<file path=xl/sharedStrings.xml><?xml version="1.0" encoding="utf-8"?>
<sst xmlns="http://schemas.openxmlformats.org/spreadsheetml/2006/main" count="1206" uniqueCount="417">
  <si>
    <t>日本ビジネスシステムズ株式会社</t>
    <rPh sb="0" eb="2">
      <t>ニホン</t>
    </rPh>
    <rPh sb="11" eb="15">
      <t>カブシキガイシャ</t>
    </rPh>
    <phoneticPr fontId="28"/>
  </si>
  <si>
    <t>No</t>
  </si>
  <si>
    <t>該当モジュール</t>
  </si>
  <si>
    <t>設定項目</t>
  </si>
  <si>
    <t>説明</t>
  </si>
  <si>
    <t>パス</t>
    <phoneticPr fontId="14"/>
  </si>
  <si>
    <t>タイトル</t>
    <phoneticPr fontId="14"/>
  </si>
  <si>
    <t>職位</t>
    <rPh sb="0" eb="2">
      <t>ショクイ</t>
    </rPh>
    <phoneticPr fontId="14"/>
  </si>
  <si>
    <t>#</t>
  </si>
  <si>
    <t>参照</t>
  </si>
  <si>
    <t>番号順序コード</t>
    <rPh sb="2" eb="4">
      <t>ジュンジョ</t>
    </rPh>
    <phoneticPr fontId="22"/>
  </si>
  <si>
    <t>説明</t>
    <rPh sb="0" eb="2">
      <t>セツメイ</t>
    </rPh>
    <phoneticPr fontId="22"/>
  </si>
  <si>
    <t>タブ</t>
  </si>
  <si>
    <t>タブ説明</t>
    <rPh sb="2" eb="4">
      <t>セツメイ</t>
    </rPh>
    <phoneticPr fontId="22"/>
  </si>
  <si>
    <t>項目分類</t>
    <rPh sb="0" eb="2">
      <t>コウモク</t>
    </rPh>
    <rPh sb="2" eb="4">
      <t>ブンルイ</t>
    </rPh>
    <phoneticPr fontId="17"/>
  </si>
  <si>
    <t>項目</t>
  </si>
  <si>
    <t>Description（標準）</t>
    <phoneticPr fontId="17"/>
  </si>
  <si>
    <t>設定可能値</t>
  </si>
  <si>
    <t>デフォルト値</t>
    <rPh sb="5" eb="6">
      <t>チ</t>
    </rPh>
    <phoneticPr fontId="22"/>
  </si>
  <si>
    <t>備考</t>
  </si>
  <si>
    <t>設定値</t>
  </si>
  <si>
    <t>設定基準</t>
  </si>
  <si>
    <t>一般</t>
    <rPh sb="0" eb="2">
      <t>イッパン</t>
    </rPh>
    <phoneticPr fontId="14"/>
  </si>
  <si>
    <t>システム入力</t>
    <rPh sb="4" eb="6">
      <t>ニュウリョク</t>
    </rPh>
    <phoneticPr fontId="14"/>
  </si>
  <si>
    <t>ー</t>
  </si>
  <si>
    <t>ー</t>
    <phoneticPr fontId="14"/>
  </si>
  <si>
    <t>はい/いいえ</t>
    <phoneticPr fontId="14"/>
  </si>
  <si>
    <t>いいえ</t>
    <phoneticPr fontId="14"/>
  </si>
  <si>
    <t>日数</t>
    <rPh sb="0" eb="2">
      <t>ニッスウ</t>
    </rPh>
    <phoneticPr fontId="14"/>
  </si>
  <si>
    <t>データベースのレコードの固有 ID</t>
    <phoneticPr fontId="14"/>
  </si>
  <si>
    <t>期間</t>
    <rPh sb="0" eb="2">
      <t>キカン</t>
    </rPh>
    <phoneticPr fontId="14"/>
  </si>
  <si>
    <t>数値</t>
    <rPh sb="0" eb="2">
      <t>スウチ</t>
    </rPh>
    <phoneticPr fontId="14"/>
  </si>
  <si>
    <t>はい</t>
    <phoneticPr fontId="14"/>
  </si>
  <si>
    <t>文字列</t>
    <rPh sb="0" eb="3">
      <t>モジレツ</t>
    </rPh>
    <phoneticPr fontId="14"/>
  </si>
  <si>
    <t>番号順序</t>
    <rPh sb="0" eb="2">
      <t>バンゴウ</t>
    </rPh>
    <rPh sb="2" eb="4">
      <t>ジュンジョ</t>
    </rPh>
    <phoneticPr fontId="14"/>
  </si>
  <si>
    <t>人事管理の順序番号を設定します</t>
    <rPh sb="0" eb="2">
      <t>ジンジ</t>
    </rPh>
    <rPh sb="2" eb="4">
      <t>カンリ</t>
    </rPh>
    <rPh sb="5" eb="7">
      <t>ジュンジョ</t>
    </rPh>
    <rPh sb="7" eb="9">
      <t>バンゴウ</t>
    </rPh>
    <rPh sb="10" eb="12">
      <t>セッテイ</t>
    </rPh>
    <phoneticPr fontId="14"/>
  </si>
  <si>
    <t>参照</t>
    <rPh sb="0" eb="2">
      <t>サンショウ</t>
    </rPh>
    <phoneticPr fontId="14"/>
  </si>
  <si>
    <t>番号順序コード</t>
    <rPh sb="0" eb="2">
      <t>バンゴウ</t>
    </rPh>
    <rPh sb="2" eb="4">
      <t>ジュンジョ</t>
    </rPh>
    <phoneticPr fontId="14"/>
  </si>
  <si>
    <t>データベースのレコードの固有 ID</t>
  </si>
  <si>
    <t>説明</t>
    <rPh sb="0" eb="2">
      <t>セツメイ</t>
    </rPh>
    <phoneticPr fontId="14"/>
  </si>
  <si>
    <t>人事管理の共有パラメーター</t>
  </si>
  <si>
    <t>Human resources &gt;  Setup&gt; Human resources shared parameters</t>
  </si>
  <si>
    <t>ID</t>
    <phoneticPr fontId="14"/>
  </si>
  <si>
    <t>各 ID 番号の ID タイプを選択します</t>
  </si>
  <si>
    <t>SSN</t>
    <phoneticPr fontId="14"/>
  </si>
  <si>
    <t>社会保証番号 (SSN) の ID タイプを選択します。このフィールドの情報は [ID タイプ] ページで管理されます。</t>
  </si>
  <si>
    <t>国民ID番号</t>
    <rPh sb="0" eb="2">
      <t>コクミン</t>
    </rPh>
    <rPh sb="4" eb="6">
      <t>バンゴウ</t>
    </rPh>
    <phoneticPr fontId="14"/>
  </si>
  <si>
    <t>国民 ID 番号の ID タイプを選択します。このフィールドの情報は [ID タイプ] ページで管理されます。</t>
  </si>
  <si>
    <t>外国人ID番号</t>
    <rPh sb="0" eb="3">
      <t>ガイコクジン</t>
    </rPh>
    <rPh sb="5" eb="7">
      <t>バンゴウ</t>
    </rPh>
    <phoneticPr fontId="14"/>
  </si>
  <si>
    <t>外国人 ID 番号の ID タイプを選択します。このフィールドの情報は [ID タイプ] ページで管理されます。</t>
  </si>
  <si>
    <t>個人のIDコード</t>
    <rPh sb="0" eb="2">
      <t>コジン</t>
    </rPh>
    <phoneticPr fontId="14"/>
  </si>
  <si>
    <t>コンプライアンス</t>
    <phoneticPr fontId="14"/>
  </si>
  <si>
    <t>コンプライアンス情報を追跡するには次のオプションを使用してください</t>
    <phoneticPr fontId="14"/>
  </si>
  <si>
    <t>米国</t>
    <rPh sb="0" eb="2">
      <t>ベイコク</t>
    </rPh>
    <phoneticPr fontId="14"/>
  </si>
  <si>
    <t>米国障碍者法 (Americans with Disabilities Act) の情報の追跡</t>
    <phoneticPr fontId="14"/>
  </si>
  <si>
    <t>フォーム I-9 で使用する雇用適格性の検証</t>
  </si>
  <si>
    <t>「人事管理の共有パラメーター 番号順序」を参照</t>
    <rPh sb="21" eb="23">
      <t>サンショウ</t>
    </rPh>
    <phoneticPr fontId="14"/>
  </si>
  <si>
    <t>組織全体に職位を割り当て</t>
  </si>
  <si>
    <t>新しい職位を作成すると、適切な作業者の割り当ての動作を選択します : [常時] (職位の作成時に新しい職位に作業者を割り当てることができます ; [割り当てに使用可能] な日時は、職位作成時に [職位] のページの [一般] タブの作成日時に設定されます) または [なし] (職位の作成時に新しい職位に作業者を割り当てることはできません ; このオプションを選択する場合、作業者の割り当てを有効にするため、新しい各職位が使用できるようになったとき、[職位] ページを開いて、[一般] タブに [割り当てに使用可能] な日付を入力します)。</t>
  </si>
  <si>
    <t>常に/なし</t>
    <rPh sb="0" eb="1">
      <t>ツネ</t>
    </rPh>
    <phoneticPr fontId="14"/>
  </si>
  <si>
    <t>常に</t>
    <rPh sb="0" eb="1">
      <t>ツネ</t>
    </rPh>
    <phoneticPr fontId="14"/>
  </si>
  <si>
    <t>職位の部門が必要です</t>
    <rPh sb="0" eb="2">
      <t>ショクイ</t>
    </rPh>
    <rPh sb="3" eb="5">
      <t>ブモン</t>
    </rPh>
    <rPh sb="6" eb="8">
      <t>ヒツヨウ</t>
    </rPh>
    <phoneticPr fontId="14"/>
  </si>
  <si>
    <t>個人アクション</t>
    <rPh sb="0" eb="2">
      <t>コジン</t>
    </rPh>
    <phoneticPr fontId="14"/>
  </si>
  <si>
    <t>作業者の状態または職位が変更されたときに情報を収集するアクションをオンにします</t>
  </si>
  <si>
    <t>作業者アクション</t>
    <rPh sb="0" eb="3">
      <t>サギョウシャ</t>
    </rPh>
    <phoneticPr fontId="14"/>
  </si>
  <si>
    <t>作業者アクションの有効化</t>
    <rPh sb="0" eb="3">
      <t>サギョウシャ</t>
    </rPh>
    <rPh sb="9" eb="12">
      <t>ユウコウカ</t>
    </rPh>
    <phoneticPr fontId="14"/>
  </si>
  <si>
    <t>完了した作業者アクションの削除を許可</t>
    <rPh sb="0" eb="2">
      <t>カンリョウ</t>
    </rPh>
    <rPh sb="4" eb="7">
      <t>サギョウシャ</t>
    </rPh>
    <rPh sb="13" eb="15">
      <t>サクジョ</t>
    </rPh>
    <rPh sb="16" eb="18">
      <t>キョカ</t>
    </rPh>
    <phoneticPr fontId="14"/>
  </si>
  <si>
    <t>いいえ（入力不可）</t>
    <rPh sb="4" eb="6">
      <t>ニュウリョク</t>
    </rPh>
    <rPh sb="6" eb="8">
      <t>フカ</t>
    </rPh>
    <phoneticPr fontId="14"/>
  </si>
  <si>
    <t>職位アクション</t>
    <rPh sb="0" eb="2">
      <t>ショクイ</t>
    </rPh>
    <phoneticPr fontId="14"/>
  </si>
  <si>
    <t>職位アクションの有効化</t>
    <rPh sb="0" eb="2">
      <t>ショクイ</t>
    </rPh>
    <rPh sb="8" eb="11">
      <t>ユウコウカ</t>
    </rPh>
    <phoneticPr fontId="14"/>
  </si>
  <si>
    <t>完了した職位アクションの削除を許可</t>
    <rPh sb="0" eb="2">
      <t>カンリョウ</t>
    </rPh>
    <rPh sb="4" eb="6">
      <t>ショクイ</t>
    </rPh>
    <rPh sb="12" eb="14">
      <t>サクジョ</t>
    </rPh>
    <rPh sb="15" eb="17">
      <t>キョカ</t>
    </rPh>
    <phoneticPr fontId="14"/>
  </si>
  <si>
    <t>業績</t>
    <rPh sb="0" eb="2">
      <t>ギョウセキ</t>
    </rPh>
    <phoneticPr fontId="14"/>
  </si>
  <si>
    <t>業務確認評価モデル</t>
    <rPh sb="0" eb="2">
      <t>ギョウム</t>
    </rPh>
    <rPh sb="2" eb="4">
      <t>カクニン</t>
    </rPh>
    <rPh sb="4" eb="6">
      <t>ヒョウカ</t>
    </rPh>
    <phoneticPr fontId="14"/>
  </si>
  <si>
    <t>従業員の評価を含める</t>
    <rPh sb="0" eb="3">
      <t>ジュウギョウイン</t>
    </rPh>
    <rPh sb="4" eb="6">
      <t>ヒョウカ</t>
    </rPh>
    <rPh sb="7" eb="8">
      <t>フク</t>
    </rPh>
    <phoneticPr fontId="14"/>
  </si>
  <si>
    <t>マネージャーの評価を含める</t>
    <rPh sb="7" eb="9">
      <t>ヒョウカ</t>
    </rPh>
    <rPh sb="10" eb="11">
      <t>フク</t>
    </rPh>
    <phoneticPr fontId="14"/>
  </si>
  <si>
    <t>加重目標の使用</t>
    <rPh sb="0" eb="2">
      <t>カジュウ</t>
    </rPh>
    <rPh sb="2" eb="4">
      <t>モクヒョウ</t>
    </rPh>
    <rPh sb="5" eb="7">
      <t>シヨウ</t>
    </rPh>
    <phoneticPr fontId="14"/>
  </si>
  <si>
    <t>給与</t>
    <rPh sb="0" eb="2">
      <t>キュウヨ</t>
    </rPh>
    <phoneticPr fontId="14"/>
  </si>
  <si>
    <t>給与税</t>
    <rPh sb="0" eb="2">
      <t>キュウヨ</t>
    </rPh>
    <rPh sb="2" eb="3">
      <t>ゼイ</t>
    </rPh>
    <phoneticPr fontId="14"/>
  </si>
  <si>
    <t>給与税データバージョン&gt;アプリケーション</t>
    <phoneticPr fontId="14"/>
  </si>
  <si>
    <t>基本コードバージョン</t>
    <rPh sb="0" eb="2">
      <t>キホン</t>
    </rPh>
    <phoneticPr fontId="14"/>
  </si>
  <si>
    <t>（自動反映）</t>
    <rPh sb="1" eb="3">
      <t>ジドウ</t>
    </rPh>
    <rPh sb="3" eb="5">
      <t>ハンエイ</t>
    </rPh>
    <phoneticPr fontId="14"/>
  </si>
  <si>
    <t>税データバージョン</t>
    <rPh sb="0" eb="1">
      <t>ゼイ</t>
    </rPh>
    <phoneticPr fontId="14"/>
  </si>
  <si>
    <t>プログラムに最新インポートされた税データ ファイルのバージョン番号。このファイルには、すべてのサポートされる給与税のための税コードとパラメータがあります。新しい税データ ファイルをインストールすると、データは、[税データの更新] をクリックするまではインポートされません。</t>
  </si>
  <si>
    <t>給与税データバージョン&gt;税エンジン</t>
    <rPh sb="12" eb="13">
      <t>ゼイ</t>
    </rPh>
    <phoneticPr fontId="14"/>
  </si>
  <si>
    <t>税のプション</t>
    <rPh sb="0" eb="1">
      <t>ゼイ</t>
    </rPh>
    <phoneticPr fontId="14"/>
  </si>
  <si>
    <t>鉄道税金を有効化</t>
    <rPh sb="0" eb="2">
      <t>テツドウ</t>
    </rPh>
    <rPh sb="2" eb="4">
      <t>ゼイキン</t>
    </rPh>
    <rPh sb="5" eb="8">
      <t>ユウコウカ</t>
    </rPh>
    <phoneticPr fontId="14"/>
  </si>
  <si>
    <t>このチェック ボックスがオンになっている場合、作業者に鉄道税コードが割り当てられます</t>
  </si>
  <si>
    <t>人事管理の共有パラメーター 番号順序</t>
  </si>
  <si>
    <t>ユーザー要求の ID</t>
  </si>
  <si>
    <t>I-9 document for verifying that persons are eligible to work in the United States.</t>
  </si>
  <si>
    <t>申請者の固有識別子</t>
  </si>
  <si>
    <t>ディスカッションの固有のキーです。このキーは新しいディスカッションを作成する際に使用します。</t>
  </si>
  <si>
    <t>個人のアクションの ID</t>
  </si>
  <si>
    <t>給付金の固有のキーです。このキーは新しい給付金を作成する際に使用します。</t>
  </si>
  <si>
    <t>目標の固有のキーです。このキーは新しい目標を作成する際に使用します。</t>
  </si>
  <si>
    <t>個人番号の固有キーです。このキーは新しい従業員番号を作成する際に使用します。</t>
  </si>
  <si>
    <t>職位の固有キーです。このキーは新しい職位を作成する際に使用されます。</t>
  </si>
  <si>
    <t>人事管理＞設定＞タイトル</t>
  </si>
  <si>
    <t>Human resources &gt;  Setup&gt; Titles</t>
  </si>
  <si>
    <t>タイトル</t>
    <phoneticPr fontId="22"/>
  </si>
  <si>
    <t>「タイトル-設定値」を参照</t>
    <rPh sb="6" eb="9">
      <t>セッテイチ</t>
    </rPh>
    <rPh sb="11" eb="13">
      <t>サンショウ</t>
    </rPh>
    <phoneticPr fontId="14"/>
  </si>
  <si>
    <t>タイトル-設定値</t>
    <phoneticPr fontId="14"/>
  </si>
  <si>
    <t>概要</t>
    <rPh sb="0" eb="2">
      <t>ガイヨウ</t>
    </rPh>
    <phoneticPr fontId="22"/>
  </si>
  <si>
    <t>階層名</t>
    <rPh sb="0" eb="2">
      <t>カイソウ</t>
    </rPh>
    <rPh sb="2" eb="3">
      <t>メイ</t>
    </rPh>
    <phoneticPr fontId="14"/>
  </si>
  <si>
    <t>「職位階層タイプ-設定値」を参照</t>
    <rPh sb="14" eb="16">
      <t>サンショウ</t>
    </rPh>
    <phoneticPr fontId="14"/>
  </si>
  <si>
    <t>階層タイプ</t>
    <rPh sb="0" eb="2">
      <t>カイソウ</t>
    </rPh>
    <phoneticPr fontId="14"/>
  </si>
  <si>
    <t>その他</t>
    <rPh sb="2" eb="3">
      <t>ホカ</t>
    </rPh>
    <phoneticPr fontId="14"/>
  </si>
  <si>
    <t>この階層タイプを使用するワークフロー</t>
    <rPh sb="2" eb="4">
      <t>カイソウ</t>
    </rPh>
    <rPh sb="8" eb="10">
      <t>シヨウ</t>
    </rPh>
    <phoneticPr fontId="14"/>
  </si>
  <si>
    <t>ワークフローID</t>
    <phoneticPr fontId="14"/>
  </si>
  <si>
    <t>名前</t>
    <rPh sb="0" eb="2">
      <t>ナマエ</t>
    </rPh>
    <phoneticPr fontId="14"/>
  </si>
  <si>
    <t>ワークフロータイプ</t>
    <phoneticPr fontId="14"/>
  </si>
  <si>
    <t>職位階層タイプ-設定値</t>
    <rPh sb="8" eb="11">
      <t>セッテイチ</t>
    </rPh>
    <phoneticPr fontId="14"/>
  </si>
  <si>
    <t>新しい住所</t>
    <rPh sb="0" eb="1">
      <t>アタラ</t>
    </rPh>
    <rPh sb="3" eb="5">
      <t>ジュウショ</t>
    </rPh>
    <phoneticPr fontId="14"/>
  </si>
  <si>
    <t>ワークフローID</t>
  </si>
  <si>
    <t>ワークフロータイプ</t>
  </si>
  <si>
    <t>目的</t>
    <rPh sb="0" eb="2">
      <t>モクテキ</t>
    </rPh>
    <phoneticPr fontId="14"/>
  </si>
  <si>
    <t>無効</t>
    <rPh sb="0" eb="2">
      <t>ムコウ</t>
    </rPh>
    <phoneticPr fontId="14"/>
  </si>
  <si>
    <t>いいえ</t>
  </si>
  <si>
    <t>第1.0版</t>
  </si>
  <si>
    <t>作成者</t>
    <rPh sb="0" eb="3">
      <t>サクセイシャ</t>
    </rPh>
    <phoneticPr fontId="28"/>
  </si>
  <si>
    <t>JBS承認者</t>
    <rPh sb="3" eb="6">
      <t>ショウニンシャ</t>
    </rPh>
    <phoneticPr fontId="28"/>
  </si>
  <si>
    <t>氏名</t>
    <rPh sb="0" eb="2">
      <t>シメイ</t>
    </rPh>
    <phoneticPr fontId="28"/>
  </si>
  <si>
    <t>法人共通/個別</t>
    <rPh sb="0" eb="4">
      <t>ホウジンキョウツウ</t>
    </rPh>
    <rPh sb="5" eb="7">
      <t>コベツ</t>
    </rPh>
    <phoneticPr fontId="14"/>
  </si>
  <si>
    <t>共通</t>
    <rPh sb="0" eb="2">
      <t>キョウツウ</t>
    </rPh>
    <phoneticPr fontId="14"/>
  </si>
  <si>
    <t>従業員番号</t>
  </si>
  <si>
    <t>職位</t>
  </si>
  <si>
    <t>I-9 document</t>
  </si>
  <si>
    <t>申請者</t>
  </si>
  <si>
    <t>ディスカッション</t>
  </si>
  <si>
    <t>個人のアクション</t>
  </si>
  <si>
    <t>給付金 ID</t>
  </si>
  <si>
    <t>目標</t>
  </si>
  <si>
    <t>ユーザー要求 ID</t>
  </si>
  <si>
    <t>雇用</t>
  </si>
  <si>
    <t>雇用を表す固有キー。このキーは新しい雇用を作成する際に使用します。</t>
  </si>
  <si>
    <t>プロセス ID</t>
  </si>
  <si>
    <t>給付金適格性プロセスの実行 ID</t>
  </si>
  <si>
    <t>高度なアクセス</t>
    <rPh sb="0" eb="2">
      <t>コウド</t>
    </rPh>
    <phoneticPr fontId="14"/>
  </si>
  <si>
    <t>インターネットアドレス</t>
    <phoneticPr fontId="14"/>
  </si>
  <si>
    <t>グループ</t>
    <phoneticPr fontId="14"/>
  </si>
  <si>
    <t>給与統合</t>
    <rPh sb="0" eb="4">
      <t>キュウヨトウゴウ</t>
    </rPh>
    <phoneticPr fontId="14"/>
  </si>
  <si>
    <t>人事管理パラメーター 従業員セルフサービス</t>
    <phoneticPr fontId="14"/>
  </si>
  <si>
    <t>人事管理パラメーター マネージャーセルフサービス</t>
    <phoneticPr fontId="14"/>
  </si>
  <si>
    <t>ID タイプ（ユーザー定義）</t>
    <rPh sb="11" eb="13">
      <t>テイギ</t>
    </rPh>
    <phoneticPr fontId="14"/>
  </si>
  <si>
    <t>番号順序（ユーザー定義）</t>
    <rPh sb="0" eb="2">
      <t>バンゴウ</t>
    </rPh>
    <rPh sb="2" eb="4">
      <t>ジュンジョ</t>
    </rPh>
    <rPh sb="9" eb="11">
      <t>テイギ</t>
    </rPh>
    <phoneticPr fontId="14"/>
  </si>
  <si>
    <t>文字列（ユーザー定義）</t>
    <rPh sb="0" eb="3">
      <t>モジレツ</t>
    </rPh>
    <phoneticPr fontId="14"/>
  </si>
  <si>
    <t>すべての法人の一般設定</t>
    <rPh sb="4" eb="6">
      <t>ホウジン</t>
    </rPh>
    <rPh sb="7" eb="9">
      <t>イッパン</t>
    </rPh>
    <rPh sb="9" eb="11">
      <t>セッテイ</t>
    </rPh>
    <phoneticPr fontId="14"/>
  </si>
  <si>
    <t>住所と連絡先情報の目的（ユーザー定義）</t>
    <rPh sb="0" eb="2">
      <t>ジュウショ</t>
    </rPh>
    <rPh sb="3" eb="6">
      <t>レンラクサキ</t>
    </rPh>
    <rPh sb="6" eb="8">
      <t>ジョウホウ</t>
    </rPh>
    <rPh sb="9" eb="11">
      <t>モクテキ</t>
    </rPh>
    <rPh sb="16" eb="18">
      <t>テイギ</t>
    </rPh>
    <phoneticPr fontId="14"/>
  </si>
  <si>
    <t>National ID</t>
    <phoneticPr fontId="14"/>
  </si>
  <si>
    <t>Alien/Admission</t>
    <phoneticPr fontId="14"/>
  </si>
  <si>
    <t>Drivers license</t>
    <phoneticPr fontId="14"/>
  </si>
  <si>
    <t>はい</t>
  </si>
  <si>
    <t>番号順序（ユーザー定義）</t>
    <phoneticPr fontId="14"/>
  </si>
  <si>
    <t>削除前に部門の使用状況を確認する</t>
    <phoneticPr fontId="14"/>
  </si>
  <si>
    <t>これが [いいえ] に設定されている場合、職位で使用されている部門は削除できません。これが [はい] に設定されている場合、職位に関連付けられている部門は削除できません。</t>
    <phoneticPr fontId="14"/>
  </si>
  <si>
    <t>評価モデル（ユーザー定義）</t>
    <rPh sb="10" eb="12">
      <t>テイギ</t>
    </rPh>
    <phoneticPr fontId="14"/>
  </si>
  <si>
    <t>Goals</t>
    <phoneticPr fontId="14"/>
  </si>
  <si>
    <t>情報およびリンクへのユーザー アクセスの構成</t>
    <phoneticPr fontId="14"/>
  </si>
  <si>
    <t>法人別に作業者情報へのアクセスを制限する</t>
    <phoneticPr fontId="14"/>
  </si>
  <si>
    <t>このオプションを有効にすると、アクセス権がある法人のみの従業員情報と、それらの法人で雇用されている従業員のみを表示できるようにユーザーを制限します。</t>
    <phoneticPr fontId="14"/>
  </si>
  <si>
    <t>会社間報酬ビューを有効化する</t>
    <phoneticPr fontId="14"/>
  </si>
  <si>
    <t>会社間休暇ビューを有効化する</t>
    <phoneticPr fontId="14"/>
  </si>
  <si>
    <t>この機能を有効にすると、マネージャーと休暇マネージャーは、休暇残日数と、直属する従業員がいるすべての会社の休暇カレンダーを表示できます。</t>
    <phoneticPr fontId="14"/>
  </si>
  <si>
    <t>はい/いいえ</t>
  </si>
  <si>
    <t>給与統合</t>
    <rPh sb="0" eb="2">
      <t>キュウヨ</t>
    </rPh>
    <rPh sb="2" eb="4">
      <t>トウゴウ</t>
    </rPh>
    <phoneticPr fontId="14"/>
  </si>
  <si>
    <t>給与住所の目的を使用する</t>
    <phoneticPr fontId="14"/>
  </si>
  <si>
    <t>財務分析コード</t>
    <rPh sb="0" eb="4">
      <t>ザイムブンセキ</t>
    </rPh>
    <phoneticPr fontId="14"/>
  </si>
  <si>
    <t>作業者の使用可能な分析コードを指定します。</t>
    <phoneticPr fontId="14"/>
  </si>
  <si>
    <t>簡易分析コード エントリの有効化</t>
    <phoneticPr fontId="14"/>
  </si>
  <si>
    <t>分析コード セグメントの区切り記号</t>
    <phoneticPr fontId="14"/>
  </si>
  <si>
    <t>既定の財務分析コード</t>
    <rPh sb="0" eb="2">
      <t>キテイ</t>
    </rPh>
    <rPh sb="3" eb="7">
      <t>ザイムブンセキ</t>
    </rPh>
    <phoneticPr fontId="14"/>
  </si>
  <si>
    <t>「簡易分析コード エントリの有効化」が「はい」の場合のみ設定可能</t>
    <rPh sb="24" eb="26">
      <t>バアイ</t>
    </rPh>
    <rPh sb="28" eb="30">
      <t>セッテイ</t>
    </rPh>
    <rPh sb="30" eb="32">
      <t>カノウ</t>
    </rPh>
    <phoneticPr fontId="14"/>
  </si>
  <si>
    <t>-
.
_
|
~
--
..
__
||
~~</t>
    <phoneticPr fontId="14"/>
  </si>
  <si>
    <t>-</t>
    <phoneticPr fontId="14"/>
  </si>
  <si>
    <t>人事管理の共有パラメータ既定の財務分析コード</t>
    <phoneticPr fontId="14"/>
  </si>
  <si>
    <t>無効/有効</t>
    <rPh sb="0" eb="2">
      <t>ムコウ</t>
    </rPh>
    <rPh sb="3" eb="5">
      <t>ユウコウ</t>
    </rPh>
    <phoneticPr fontId="14"/>
  </si>
  <si>
    <t>財務分析コード（ユーザー定義）</t>
    <rPh sb="0" eb="4">
      <t>ザイムブンセキ</t>
    </rPh>
    <rPh sb="12" eb="14">
      <t>テイギ</t>
    </rPh>
    <phoneticPr fontId="14"/>
  </si>
  <si>
    <t>「人事管理の共有パラメーター 既定の財務分析コード」を参照</t>
    <rPh sb="15" eb="17">
      <t>キテイ</t>
    </rPh>
    <rPh sb="18" eb="20">
      <t>ザイム</t>
    </rPh>
    <rPh sb="20" eb="22">
      <t>ブンセキ</t>
    </rPh>
    <rPh sb="27" eb="29">
      <t>サンショウ</t>
    </rPh>
    <phoneticPr fontId="14"/>
  </si>
  <si>
    <t>Agreement</t>
  </si>
  <si>
    <t>BankAccount</t>
  </si>
  <si>
    <t>BusinessUnit</t>
  </si>
  <si>
    <t>BusinessUnit_FR</t>
  </si>
  <si>
    <t>Campaign</t>
  </si>
  <si>
    <t>Cargo</t>
  </si>
  <si>
    <t>Cashflow_CN</t>
  </si>
  <si>
    <t>Center</t>
  </si>
  <si>
    <t>Condition</t>
  </si>
  <si>
    <t>Contract</t>
  </si>
  <si>
    <t>CostCenter</t>
  </si>
  <si>
    <t>CostCenter_CN</t>
  </si>
  <si>
    <t>Customer</t>
  </si>
  <si>
    <t>Department</t>
  </si>
  <si>
    <t>Department_CN</t>
  </si>
  <si>
    <t>ExpenseAndIncomeCode</t>
  </si>
  <si>
    <t>Filial</t>
  </si>
  <si>
    <t>FiscalEstablishment</t>
  </si>
  <si>
    <t>ItemGroup</t>
  </si>
  <si>
    <t>JobSkills</t>
  </si>
  <si>
    <t>LaborType</t>
  </si>
  <si>
    <t>LegalEntity</t>
  </si>
  <si>
    <t>Ownership_CN</t>
  </si>
  <si>
    <t>Primary_</t>
  </si>
  <si>
    <t>ProductGroup</t>
  </si>
  <si>
    <t>Project</t>
  </si>
  <si>
    <t>Purpose</t>
  </si>
  <si>
    <t>Purpose_CN</t>
  </si>
  <si>
    <t>Retailchannel</t>
  </si>
  <si>
    <t>ServiceLine</t>
  </si>
  <si>
    <t>Store</t>
  </si>
  <si>
    <t>Taxbranch</t>
  </si>
  <si>
    <t>Terminal</t>
  </si>
  <si>
    <t>Vehicle</t>
  </si>
  <si>
    <t>Vendor</t>
  </si>
  <si>
    <t>Worker</t>
  </si>
  <si>
    <t>ビジネスイベント</t>
    <phoneticPr fontId="14"/>
  </si>
  <si>
    <t>モジュール</t>
    <phoneticPr fontId="14"/>
  </si>
  <si>
    <t>「人事管理の共有パラメーター ビジネスイベント」を参照</t>
    <rPh sb="25" eb="27">
      <t>サンショウ</t>
    </rPh>
    <phoneticPr fontId="14"/>
  </si>
  <si>
    <t>人事管理</t>
  </si>
  <si>
    <t>ID の有効期限日が近づいています</t>
  </si>
  <si>
    <t>ID の有効期限が過ぎました</t>
  </si>
  <si>
    <t>求人の割り当て日が近づいています</t>
  </si>
  <si>
    <t>職位の移行日が近づいています</t>
  </si>
  <si>
    <t>作業者の勤続記念日</t>
  </si>
  <si>
    <t>終了日が近づいている従業員</t>
  </si>
  <si>
    <t>従業員の試用期間が終了しました</t>
  </si>
  <si>
    <t>従業員の試用期間の終了日が近づいています</t>
  </si>
  <si>
    <t>開始日が近づいている従業員</t>
  </si>
  <si>
    <t>給付金</t>
  </si>
  <si>
    <t>ライフ イベントの福利厚生プランの登録が終了しました</t>
  </si>
  <si>
    <t>ライフ イベントの福利厚生プランの登録が未完了です</t>
  </si>
  <si>
    <t>新規採用者の福利厚生の登録期間が終了しました</t>
  </si>
  <si>
    <t>新規採用者の福利厚生の登録が未完了です</t>
  </si>
  <si>
    <t>登録期間での福利厚生の登録が未完了です</t>
  </si>
  <si>
    <t>学習</t>
  </si>
  <si>
    <t>期限が近づいています (仮想)</t>
  </si>
  <si>
    <t>コースの期限が過ぎました (仮想)</t>
  </si>
  <si>
    <t>テストの受験期限日が近づいていて、状態が未完了です</t>
  </si>
  <si>
    <t>スキルのコンピテンシー</t>
  </si>
  <si>
    <t>資格の有効期限が近づいています</t>
  </si>
  <si>
    <t>資格の有効期限が過ぎました</t>
  </si>
  <si>
    <t>タスク管理</t>
    <rPh sb="3" eb="5">
      <t>カンリ</t>
    </rPh>
    <phoneticPr fontId="14"/>
  </si>
  <si>
    <t>タスク管理のアップグレードの有効化</t>
    <phoneticPr fontId="14"/>
  </si>
  <si>
    <t>ワークフロー（ユーザー定義）</t>
    <rPh sb="11" eb="13">
      <t>テイギ</t>
    </rPh>
    <phoneticPr fontId="14"/>
  </si>
  <si>
    <t>人事管理＞職位＞職位階層タイプ</t>
    <phoneticPr fontId="14"/>
  </si>
  <si>
    <t>Human resources &gt; Positions &gt; Position hierarchy type</t>
  </si>
  <si>
    <t>＜YYYY/MM/DD＞</t>
    <phoneticPr fontId="28"/>
  </si>
  <si>
    <t>人事管理＞設定＞人事管理の共有パラメーター</t>
    <phoneticPr fontId="14"/>
  </si>
  <si>
    <t>職位階層タイプ</t>
    <phoneticPr fontId="14"/>
  </si>
  <si>
    <t>パラメータ設定一覧</t>
  </si>
  <si>
    <t>パラメータ設定一覧へ</t>
  </si>
  <si>
    <t>GC設定担当者</t>
    <rPh sb="2" eb="4">
      <t>セッテイ</t>
    </rPh>
    <rPh sb="4" eb="7">
      <t>タントウシャ</t>
    </rPh>
    <phoneticPr fontId="14"/>
  </si>
  <si>
    <t>GC設定完了日</t>
    <rPh sb="2" eb="4">
      <t>セッテイ</t>
    </rPh>
    <rPh sb="4" eb="7">
      <t>カンリョウビ</t>
    </rPh>
    <phoneticPr fontId="14"/>
  </si>
  <si>
    <t>予算作成</t>
    <rPh sb="0" eb="4">
      <t>ヨサンサクセイ</t>
    </rPh>
    <phoneticPr fontId="14"/>
  </si>
  <si>
    <t>※要確認</t>
    <rPh sb="1" eb="4">
      <t>ヨウカクニン</t>
    </rPh>
    <phoneticPr fontId="14"/>
  </si>
  <si>
    <t>予算作成パラメーター</t>
    <rPh sb="0" eb="4">
      <t>ヨサンサクセイ</t>
    </rPh>
    <phoneticPr fontId="14"/>
  </si>
  <si>
    <t>予算作成ワークフロー</t>
    <rPh sb="0" eb="4">
      <t>ヨサンサクセイ</t>
    </rPh>
    <phoneticPr fontId="14"/>
  </si>
  <si>
    <t>予算作成用の分析コード</t>
    <rPh sb="0" eb="5">
      <t>ヨサンサクセイヨウ</t>
    </rPh>
    <rPh sb="6" eb="8">
      <t>ブンセキ</t>
    </rPh>
    <phoneticPr fontId="14"/>
  </si>
  <si>
    <t>予算モデル</t>
    <rPh sb="0" eb="2">
      <t>ヨサン</t>
    </rPh>
    <phoneticPr fontId="14"/>
  </si>
  <si>
    <t>予算コード</t>
    <rPh sb="0" eb="2">
      <t>ヨサン</t>
    </rPh>
    <phoneticPr fontId="14"/>
  </si>
  <si>
    <t>予算サイクル</t>
    <rPh sb="0" eb="2">
      <t>ヨサン</t>
    </rPh>
    <phoneticPr fontId="14"/>
  </si>
  <si>
    <t>予算計画のコンフィギュレーション</t>
    <rPh sb="0" eb="4">
      <t>ヨサンケイカク</t>
    </rPh>
    <phoneticPr fontId="14"/>
  </si>
  <si>
    <t>予算計画プロセス</t>
    <rPh sb="0" eb="4">
      <t>ヨサンケイカク</t>
    </rPh>
    <phoneticPr fontId="14"/>
  </si>
  <si>
    <t>予算</t>
    <rPh sb="0" eb="2">
      <t>ヨサン</t>
    </rPh>
    <phoneticPr fontId="14"/>
  </si>
  <si>
    <t>配賦キー</t>
    <rPh sb="0" eb="2">
      <t>ハイフ</t>
    </rPh>
    <phoneticPr fontId="14"/>
  </si>
  <si>
    <t>予算振替のルールを使用</t>
    <rPh sb="0" eb="4">
      <t>ヨサンフリカエ</t>
    </rPh>
    <rPh sb="9" eb="11">
      <t>シヨウ</t>
    </rPh>
    <phoneticPr fontId="14"/>
  </si>
  <si>
    <t>レガシ予算分析照会の表示</t>
    <rPh sb="3" eb="5">
      <t>ヨサン</t>
    </rPh>
    <rPh sb="5" eb="7">
      <t>ブンセキ</t>
    </rPh>
    <rPh sb="7" eb="9">
      <t>ショウカイ</t>
    </rPh>
    <rPh sb="10" eb="12">
      <t>ヒョウジ</t>
    </rPh>
    <phoneticPr fontId="14"/>
  </si>
  <si>
    <t>既定の勘定構造</t>
    <rPh sb="0" eb="2">
      <t>キテイ</t>
    </rPh>
    <rPh sb="3" eb="7">
      <t>カンジョウコウゾウ</t>
    </rPh>
    <phoneticPr fontId="14"/>
  </si>
  <si>
    <t>予算仕訳帳</t>
    <rPh sb="0" eb="5">
      <t>ヨサンシワケチョウ</t>
    </rPh>
    <phoneticPr fontId="14"/>
  </si>
  <si>
    <t>検証および予算に関する情報を設定します</t>
    <rPh sb="0" eb="2">
      <t>ケンショウ</t>
    </rPh>
    <rPh sb="5" eb="7">
      <t>ヨサン</t>
    </rPh>
    <rPh sb="8" eb="9">
      <t>カン</t>
    </rPh>
    <rPh sb="11" eb="13">
      <t>ジョウホウ</t>
    </rPh>
    <rPh sb="14" eb="16">
      <t>セッテイ</t>
    </rPh>
    <phoneticPr fontId="14"/>
  </si>
  <si>
    <t>予算作成パラメーター 番号順序</t>
    <rPh sb="0" eb="4">
      <t>ヨサンサクセイ</t>
    </rPh>
    <phoneticPr fontId="14"/>
  </si>
  <si>
    <t>予算資金の振替に使用する予算登録エントリを確認するために予算振替ルールを有効にするには、このオプションを選択します。</t>
    <phoneticPr fontId="14"/>
  </si>
  <si>
    <t>選択するとレガシ予算分析照会が表示されます</t>
    <phoneticPr fontId="14"/>
  </si>
  <si>
    <t>このオプションを選択すると、予算登録エントリで選択した主勘定と分析コードの値に基づいて、勘定構造を自動で入力します</t>
    <phoneticPr fontId="14"/>
  </si>
  <si>
    <t>総勘定元帳のパラメータのページで予算割り当ての有効化を選択する場合、予算割り当ての仕訳帳名を選択します。この予算仕訳は 仕訳帳名ページの中の予算の仕訳タイプである必要があります。予算割り当ての有効化を選択する前に、総勘定元帳のパラメータ ページで [転記の定義の使用] を選択し、転記の定義とトランザクションの転記の定義を作成します。その後、口座の予算登録エントリ、または転記の定義の照合基準に使用する財務分析コードの組み合わせを入力すると、転記の定義から生成されたエントリの総勘定元帳で伝票が作成されます。生成されたエントリは、選択した予算仕訳の仕訳番号を使用します。</t>
    <phoneticPr fontId="14"/>
  </si>
  <si>
    <t>売上予算オプション</t>
    <rPh sb="0" eb="2">
      <t>ウリアゲ</t>
    </rPh>
    <rPh sb="2" eb="4">
      <t>ヨサン</t>
    </rPh>
    <phoneticPr fontId="14"/>
  </si>
  <si>
    <t>予算残高がゼロかどうか売上予算を確認します</t>
    <phoneticPr fontId="14"/>
  </si>
  <si>
    <t>予算登録エントリによって収益の予算がゼロより低くなる場合、次のオプションの一つを選択します。売上予算がゼロより低くなることを許可するには、[なし] オプションを選択します。売上予算がゼロより低くなることを許可するが、警告を提示するようにする場合、[警告の提供] オプションを選択します。売上予算がゼロより低くなることを防ぐには、 [予算更新の防止] オプションを選択します。</t>
    <phoneticPr fontId="14"/>
  </si>
  <si>
    <t>予算残高の期間</t>
    <phoneticPr fontId="14"/>
  </si>
  <si>
    <t>予算確認を集計する売上予算残高の期間を選択します。予算残高ゼロ フィールドの売上予算の確認で [警告の提供] または [予算更新の防止] が選択されている場合のみ、予算チェックが実行されます。</t>
    <phoneticPr fontId="14"/>
  </si>
  <si>
    <t>振替に関する完了した予算登録エントリ</t>
    <rPh sb="0" eb="2">
      <t>フリカエ</t>
    </rPh>
    <rPh sb="3" eb="4">
      <t>カン</t>
    </rPh>
    <rPh sb="6" eb="8">
      <t>カンリョウ</t>
    </rPh>
    <rPh sb="10" eb="12">
      <t>ヨサン</t>
    </rPh>
    <rPh sb="12" eb="14">
      <t>トウロク</t>
    </rPh>
    <phoneticPr fontId="14"/>
  </si>
  <si>
    <t>規制</t>
    <rPh sb="0" eb="2">
      <t>キセイ</t>
    </rPh>
    <phoneticPr fontId="14"/>
  </si>
  <si>
    <t>フランスの公的機関会計ルールを使用</t>
    <phoneticPr fontId="14"/>
  </si>
  <si>
    <t>フランスの公的機関に必要な会計ドキュメントと会計ルールを使用する場合には、このオプションを選択します。また、[公的機関のコンフィギュレーション キー] および [フランス規制サブキー] を選択する必要があります。</t>
    <phoneticPr fontId="14"/>
  </si>
  <si>
    <t>一般予算引当</t>
    <phoneticPr fontId="14"/>
  </si>
  <si>
    <t>債務管理</t>
    <rPh sb="0" eb="4">
      <t>サイムカンリ</t>
    </rPh>
    <phoneticPr fontId="14"/>
  </si>
  <si>
    <t>繰越債務増加の防止</t>
    <phoneticPr fontId="14"/>
  </si>
  <si>
    <t>GBR 会計にセッション日付を使用する</t>
    <phoneticPr fontId="14"/>
  </si>
  <si>
    <t>新しい一般予算引当の勘定配布の作成、または更新を行う場合、元の日付の代わりにセッション日付を使用します。</t>
    <phoneticPr fontId="14"/>
  </si>
  <si>
    <t>前年度の一般予算引当の修正</t>
    <rPh sb="0" eb="3">
      <t>ゼンネンド</t>
    </rPh>
    <rPh sb="4" eb="6">
      <t>イッパン</t>
    </rPh>
    <rPh sb="6" eb="8">
      <t>ヨサン</t>
    </rPh>
    <rPh sb="8" eb="10">
      <t>ヒキアテ</t>
    </rPh>
    <rPh sb="11" eb="13">
      <t>シュウセイ</t>
    </rPh>
    <phoneticPr fontId="14"/>
  </si>
  <si>
    <t>前年度の修正を許可</t>
    <rPh sb="0" eb="3">
      <t>ゼンネンド</t>
    </rPh>
    <rPh sb="4" eb="6">
      <t>シュウセイ</t>
    </rPh>
    <rPh sb="7" eb="9">
      <t>キョカ</t>
    </rPh>
    <phoneticPr fontId="14"/>
  </si>
  <si>
    <t>一般予算引当修正機能を有効にするには、このオプションを選択します。</t>
    <phoneticPr fontId="14"/>
  </si>
  <si>
    <t>ワークスペースの設定</t>
    <phoneticPr fontId="14"/>
  </si>
  <si>
    <t>元帳予算および予測</t>
    <rPh sb="0" eb="4">
      <t>モトチョウヨサン</t>
    </rPh>
    <rPh sb="7" eb="9">
      <t>ヨソク</t>
    </rPh>
    <phoneticPr fontId="14"/>
  </si>
  <si>
    <t>使用するデータの選択</t>
    <rPh sb="0" eb="2">
      <t>シヨウ</t>
    </rPh>
    <rPh sb="8" eb="10">
      <t>センタク</t>
    </rPh>
    <phoneticPr fontId="14"/>
  </si>
  <si>
    <t>金額の表示</t>
    <rPh sb="0" eb="2">
      <t>キンガク</t>
    </rPh>
    <rPh sb="3" eb="5">
      <t>ヒョウジ</t>
    </rPh>
    <phoneticPr fontId="14"/>
  </si>
  <si>
    <t>組織階層</t>
    <rPh sb="0" eb="4">
      <t>ソシキカイソウ</t>
    </rPh>
    <phoneticPr fontId="14"/>
  </si>
  <si>
    <t>有効な予測プロセス</t>
    <rPh sb="0" eb="2">
      <t>ユウコウ</t>
    </rPh>
    <rPh sb="3" eb="5">
      <t>ヨソク</t>
    </rPh>
    <phoneticPr fontId="14"/>
  </si>
  <si>
    <t>会計年度期間</t>
    <rPh sb="0" eb="2">
      <t>カイケイ</t>
    </rPh>
    <rPh sb="2" eb="4">
      <t>ネンド</t>
    </rPh>
    <rPh sb="4" eb="6">
      <t>キカン</t>
    </rPh>
    <phoneticPr fontId="14"/>
  </si>
  <si>
    <t>詳細セクションに表示する情報の指定</t>
    <rPh sb="0" eb="2">
      <t>ショウサイ</t>
    </rPh>
    <rPh sb="8" eb="10">
      <t>ヒョウジ</t>
    </rPh>
    <rPh sb="12" eb="14">
      <t>ジョウホウ</t>
    </rPh>
    <rPh sb="15" eb="17">
      <t>シテイ</t>
    </rPh>
    <phoneticPr fontId="14"/>
  </si>
  <si>
    <t>経費分析コードセット</t>
    <rPh sb="0" eb="2">
      <t>ケイヒ</t>
    </rPh>
    <rPh sb="2" eb="4">
      <t>ブンセキ</t>
    </rPh>
    <phoneticPr fontId="14"/>
  </si>
  <si>
    <t>経費予算しきい値の割合</t>
    <rPh sb="0" eb="4">
      <t>ケイヒヨサン</t>
    </rPh>
    <rPh sb="7" eb="8">
      <t>チ</t>
    </rPh>
    <rPh sb="9" eb="11">
      <t>ワリアイ</t>
    </rPh>
    <phoneticPr fontId="14"/>
  </si>
  <si>
    <t>収益分析コードセット</t>
    <rPh sb="0" eb="2">
      <t>シュウエキ</t>
    </rPh>
    <rPh sb="2" eb="4">
      <t>ブンセキ</t>
    </rPh>
    <phoneticPr fontId="14"/>
  </si>
  <si>
    <t>収益予算しきい値の割合</t>
    <rPh sb="0" eb="2">
      <t>シュウエキ</t>
    </rPh>
    <rPh sb="2" eb="4">
      <t>ヨサン</t>
    </rPh>
    <rPh sb="7" eb="8">
      <t>チ</t>
    </rPh>
    <rPh sb="9" eb="11">
      <t>ワリアイ</t>
    </rPh>
    <phoneticPr fontId="14"/>
  </si>
  <si>
    <t>予算計画</t>
    <rPh sb="0" eb="4">
      <t>ヨサンケイカク</t>
    </rPh>
    <phoneticPr fontId="14"/>
  </si>
  <si>
    <t>予算作成用の番号順序を設定します</t>
    <rPh sb="0" eb="5">
      <t>ヨサンサクセイヨウ</t>
    </rPh>
    <rPh sb="6" eb="10">
      <t>バンゴウジュンジョ</t>
    </rPh>
    <rPh sb="11" eb="13">
      <t>セッテイ</t>
    </rPh>
    <phoneticPr fontId="14"/>
  </si>
  <si>
    <t>会計年度期間
会計年度
会計年度の累計</t>
    <rPh sb="0" eb="2">
      <t>カイケイ</t>
    </rPh>
    <rPh sb="2" eb="4">
      <t>ネンド</t>
    </rPh>
    <rPh sb="4" eb="6">
      <t>キカン</t>
    </rPh>
    <rPh sb="7" eb="11">
      <t>カイケイネンド</t>
    </rPh>
    <rPh sb="12" eb="16">
      <t>カイケイネンド</t>
    </rPh>
    <rPh sb="17" eb="19">
      <t>ルイケイ</t>
    </rPh>
    <phoneticPr fontId="14"/>
  </si>
  <si>
    <t>なし
警告を提供
予算の更新を防止</t>
    <rPh sb="3" eb="5">
      <t>ケイコク</t>
    </rPh>
    <rPh sb="6" eb="8">
      <t>テイキョウ</t>
    </rPh>
    <rPh sb="9" eb="11">
      <t>ヨサン</t>
    </rPh>
    <rPh sb="12" eb="14">
      <t>コウシン</t>
    </rPh>
    <rPh sb="15" eb="17">
      <t>ボウシ</t>
    </rPh>
    <phoneticPr fontId="14"/>
  </si>
  <si>
    <t>予算サイクル別
会計年度期間別</t>
    <phoneticPr fontId="14"/>
  </si>
  <si>
    <t>予算作成＞設定＞基本予算作成＞予算作成パラメーター</t>
    <rPh sb="0" eb="2">
      <t>ヨサン</t>
    </rPh>
    <rPh sb="2" eb="4">
      <t>サクセイ</t>
    </rPh>
    <rPh sb="5" eb="7">
      <t>セッテイ</t>
    </rPh>
    <rPh sb="8" eb="10">
      <t>キホン</t>
    </rPh>
    <rPh sb="10" eb="12">
      <t>ヨサン</t>
    </rPh>
    <rPh sb="12" eb="14">
      <t>サクセイ</t>
    </rPh>
    <rPh sb="15" eb="17">
      <t>ヨサン</t>
    </rPh>
    <rPh sb="17" eb="19">
      <t>サクセイ</t>
    </rPh>
    <phoneticPr fontId="14"/>
  </si>
  <si>
    <t>予算作成＞設定＞基本予算作成＞予算モデル</t>
    <rPh sb="0" eb="2">
      <t>ヨサン</t>
    </rPh>
    <rPh sb="2" eb="4">
      <t>サクセイ</t>
    </rPh>
    <rPh sb="5" eb="7">
      <t>セッテイ</t>
    </rPh>
    <rPh sb="8" eb="10">
      <t>キホン</t>
    </rPh>
    <rPh sb="10" eb="12">
      <t>ヨサン</t>
    </rPh>
    <rPh sb="12" eb="14">
      <t>サクセイ</t>
    </rPh>
    <rPh sb="15" eb="17">
      <t>ヨサン</t>
    </rPh>
    <phoneticPr fontId="14"/>
  </si>
  <si>
    <t>予算作成＞設定＞基本予算作成＞予算コード</t>
    <rPh sb="0" eb="2">
      <t>ヨサン</t>
    </rPh>
    <rPh sb="2" eb="4">
      <t>サクセイ</t>
    </rPh>
    <rPh sb="5" eb="7">
      <t>セッテイ</t>
    </rPh>
    <rPh sb="8" eb="10">
      <t>キホン</t>
    </rPh>
    <rPh sb="10" eb="12">
      <t>ヨサン</t>
    </rPh>
    <rPh sb="12" eb="14">
      <t>サクセイ</t>
    </rPh>
    <rPh sb="15" eb="17">
      <t>ヨサン</t>
    </rPh>
    <phoneticPr fontId="14"/>
  </si>
  <si>
    <t>予算作成＞設定＞予算計画＞予算計画のコンフィギュレーション</t>
    <rPh sb="0" eb="2">
      <t>ヨサン</t>
    </rPh>
    <rPh sb="2" eb="4">
      <t>サクセイ</t>
    </rPh>
    <rPh sb="5" eb="7">
      <t>セッテイ</t>
    </rPh>
    <rPh sb="8" eb="12">
      <t>ヨサンケイカク</t>
    </rPh>
    <rPh sb="13" eb="15">
      <t>ヨサン</t>
    </rPh>
    <rPh sb="15" eb="17">
      <t>ケイカク</t>
    </rPh>
    <phoneticPr fontId="14"/>
  </si>
  <si>
    <t>予算作成＞設定＞予算計画＞予算計画のプロセス</t>
    <rPh sb="0" eb="2">
      <t>ヨサン</t>
    </rPh>
    <rPh sb="2" eb="4">
      <t>サクセイ</t>
    </rPh>
    <rPh sb="5" eb="7">
      <t>セッテイ</t>
    </rPh>
    <rPh sb="8" eb="12">
      <t>ヨサンケイカク</t>
    </rPh>
    <rPh sb="13" eb="15">
      <t>ヨサン</t>
    </rPh>
    <rPh sb="15" eb="17">
      <t>ケイカク</t>
    </rPh>
    <phoneticPr fontId="14"/>
  </si>
  <si>
    <t>予算作成＞設定＞基本予算作成＞予算作成の分析コード</t>
    <rPh sb="0" eb="2">
      <t>ヨサン</t>
    </rPh>
    <rPh sb="2" eb="4">
      <t>サクセイ</t>
    </rPh>
    <rPh sb="5" eb="7">
      <t>セッテイ</t>
    </rPh>
    <rPh sb="8" eb="10">
      <t>キホン</t>
    </rPh>
    <rPh sb="10" eb="12">
      <t>ヨサン</t>
    </rPh>
    <rPh sb="12" eb="14">
      <t>サクセイ</t>
    </rPh>
    <rPh sb="15" eb="17">
      <t>ヨサン</t>
    </rPh>
    <rPh sb="17" eb="18">
      <t>サク</t>
    </rPh>
    <rPh sb="20" eb="22">
      <t>ブンセキ</t>
    </rPh>
    <phoneticPr fontId="14"/>
  </si>
  <si>
    <t>予算作成＞設定＞予算管理＞予算サイクル
予算作成＞設定＞予算計画＞予算サイクル</t>
    <rPh sb="0" eb="2">
      <t>ヨサン</t>
    </rPh>
    <rPh sb="2" eb="4">
      <t>サクセイ</t>
    </rPh>
    <rPh sb="5" eb="7">
      <t>セッテイ</t>
    </rPh>
    <rPh sb="8" eb="10">
      <t>ヨサン</t>
    </rPh>
    <rPh sb="10" eb="12">
      <t>カンリ</t>
    </rPh>
    <rPh sb="13" eb="15">
      <t>ヨサン</t>
    </rPh>
    <phoneticPr fontId="14"/>
  </si>
  <si>
    <t>（システム自動入力）</t>
  </si>
  <si>
    <t>期間キー（ユーザー定義）</t>
    <rPh sb="0" eb="2">
      <t>キカン</t>
    </rPh>
    <phoneticPr fontId="14"/>
  </si>
  <si>
    <t>仕訳帳タイプ（ユーザー定義）</t>
    <rPh sb="0" eb="3">
      <t>シワケチョウ</t>
    </rPh>
    <phoneticPr fontId="14"/>
  </si>
  <si>
    <t>予算モデル（ユーザー定義）</t>
    <rPh sb="0" eb="2">
      <t>ヨサン</t>
    </rPh>
    <phoneticPr fontId="14"/>
  </si>
  <si>
    <t>予算コード（ユーザー定義）</t>
    <rPh sb="0" eb="2">
      <t>ヨサン</t>
    </rPh>
    <phoneticPr fontId="14"/>
  </si>
  <si>
    <t>組織階層（ユーザー定義）</t>
    <rPh sb="0" eb="4">
      <t>ソシキカイソウ</t>
    </rPh>
    <phoneticPr fontId="14"/>
  </si>
  <si>
    <t>予算計画プロセス（ユーザー定義）</t>
    <rPh sb="0" eb="4">
      <t>ヨサンケイカク</t>
    </rPh>
    <phoneticPr fontId="14"/>
  </si>
  <si>
    <t>予算サイクル（ユーザー定義）</t>
    <phoneticPr fontId="14"/>
  </si>
  <si>
    <t>期間名（ユーザー定義）</t>
    <rPh sb="0" eb="3">
      <t>キカンメイ</t>
    </rPh>
    <phoneticPr fontId="14"/>
  </si>
  <si>
    <t>分析コードツリー名（ユーザー定義）</t>
    <rPh sb="0" eb="2">
      <t>ブンセキ</t>
    </rPh>
    <rPh sb="8" eb="9">
      <t>メイ</t>
    </rPh>
    <phoneticPr fontId="14"/>
  </si>
  <si>
    <t>番号順序（ユーザー定義）</t>
    <rPh sb="0" eb="4">
      <t>バンゴウジュンジョ</t>
    </rPh>
    <rPh sb="9" eb="11">
      <t>テイギ</t>
    </rPh>
    <phoneticPr fontId="14"/>
  </si>
  <si>
    <t>予算登録エントリ</t>
    <phoneticPr fontId="14"/>
  </si>
  <si>
    <t>予算計画</t>
    <phoneticPr fontId="14"/>
  </si>
  <si>
    <t>確約</t>
    <phoneticPr fontId="14"/>
  </si>
  <si>
    <t>予算引当</t>
    <phoneticPr fontId="14"/>
  </si>
  <si>
    <t>一般予算引当伝票</t>
    <phoneticPr fontId="14"/>
  </si>
  <si>
    <t>予算登録エントリの固有キー (予算登録エントリの処理時に使用)</t>
    <phoneticPr fontId="14"/>
  </si>
  <si>
    <t>予算計画の文書番号の固有キー (予算計画の作成時に使用されます)</t>
    <phoneticPr fontId="14"/>
  </si>
  <si>
    <t>確約番号</t>
    <phoneticPr fontId="14"/>
  </si>
  <si>
    <t>f this option is selected, an organization can use this document to set aside or earmark budgeted funds so that they aren't available for other purposes.</t>
    <phoneticPr fontId="14"/>
  </si>
  <si>
    <t>If this check box is selected, amounts in encumbering documents that are carried forward cannot be increased</t>
    <phoneticPr fontId="14"/>
  </si>
  <si>
    <t>The key used to generate unique ID numbers for general budget reservations</t>
    <phoneticPr fontId="14"/>
  </si>
  <si>
    <t>The key used to generate unique ID numbers for general budget reservation vouchers</t>
    <phoneticPr fontId="14"/>
  </si>
  <si>
    <t>「予算作成パラメーター 番号順序」シートを参照</t>
    <rPh sb="21" eb="23">
      <t>サンショウ</t>
    </rPh>
    <phoneticPr fontId="14"/>
  </si>
  <si>
    <t>概要</t>
    <rPh sb="0" eb="2">
      <t>ガイヨウ</t>
    </rPh>
    <phoneticPr fontId="14"/>
  </si>
  <si>
    <t>キャッシュフロー予測に含める</t>
    <rPh sb="8" eb="10">
      <t>ヨソク</t>
    </rPh>
    <rPh sb="11" eb="12">
      <t>フク</t>
    </rPh>
    <phoneticPr fontId="14"/>
  </si>
  <si>
    <t>下位モデル</t>
    <rPh sb="0" eb="2">
      <t>カイ</t>
    </rPh>
    <phoneticPr fontId="14"/>
  </si>
  <si>
    <t>停止済</t>
    <rPh sb="0" eb="2">
      <t>テイシ</t>
    </rPh>
    <rPh sb="2" eb="3">
      <t>ズ</t>
    </rPh>
    <phoneticPr fontId="14"/>
  </si>
  <si>
    <t>予算モデルの固有 ID</t>
    <phoneticPr fontId="14"/>
  </si>
  <si>
    <t>予算モデルおよび関連するすべての元帳予算を変更できないようにするには、このオプションを選択します。予算モデルに基づく予算が承認されたとき、その予算が変更できないようにこのオプションを選択できます。</t>
    <phoneticPr fontId="14"/>
  </si>
  <si>
    <t>キャッシュ フロー予測に予算モデルを含める場合、このオプションを選択します。</t>
    <phoneticPr fontId="14"/>
  </si>
  <si>
    <t>選択した予算モデルに関連付けられている下位モデルの ID。予算モデルに関連付ける各下位モデルを追加できます。別の予算モデルに下位モデルとして追加する前に、まずこのページで、予算モデルとして下位モデルを作成する必要があります。</t>
    <phoneticPr fontId="14"/>
  </si>
  <si>
    <t>予算モデル（ユーザー定義）</t>
    <rPh sb="0" eb="2">
      <t>ヨサン</t>
    </rPh>
    <rPh sb="10" eb="12">
      <t>テイギ</t>
    </rPh>
    <phoneticPr fontId="14"/>
  </si>
  <si>
    <t>予算モデル-設定値</t>
    <rPh sb="0" eb="2">
      <t>ヨサン</t>
    </rPh>
    <rPh sb="6" eb="9">
      <t>セッテイチ</t>
    </rPh>
    <phoneticPr fontId="14"/>
  </si>
  <si>
    <t>予算タイプ</t>
    <rPh sb="0" eb="2">
      <t>ヨサン</t>
    </rPh>
    <phoneticPr fontId="14"/>
  </si>
  <si>
    <t>規定コードとして設定</t>
    <rPh sb="0" eb="2">
      <t>キテイ</t>
    </rPh>
    <rPh sb="8" eb="10">
      <t>セッテイ</t>
    </rPh>
    <phoneticPr fontId="14"/>
  </si>
  <si>
    <t>既定コードとして設定</t>
    <rPh sb="0" eb="2">
      <t>キテイ</t>
    </rPh>
    <rPh sb="8" eb="10">
      <t>セッテイ</t>
    </rPh>
    <phoneticPr fontId="14"/>
  </si>
  <si>
    <t>理由コード</t>
    <rPh sb="0" eb="2">
      <t>リユウ</t>
    </rPh>
    <phoneticPr fontId="14"/>
  </si>
  <si>
    <t>ワークフロー</t>
    <phoneticPr fontId="14"/>
  </si>
  <si>
    <t>予算登録エントリでこの予算コードが選択されたときに使用する予算タイプを選択します。勘定の最初の予算金額を作成するときには、元の予算タイプを使用します。勘定間で予算金額を移動する場合、[移動タイプ] を使用します。勘定の予算金額を変更する場合、[リビジョン タイプ] を使用します。勘定の元の予算登録エントリを転記した後はこの予算タイプを使用します。仕入先に支払う義務がある債務を手動で作成する場合、[債務タイプ] を使用します。実際の経費が勘定の予算金額を超過しないように予算財源を確保する場合、この予算タイプを使用します。未来発生する可能性の高い、支払う義務のある購買の事前債務を手動で作成する場合、[事前債務タイプ] を使用します。実際の経費が勘定の予算金額を超過しないように予算財源を確保する場合、この予算タイプを使用します。1 会計年度から次の会計年度に予算金額を移動する場合、[繰越予算タイプ] を使用します。総勘定元帳にプロジェクト予算の予測を移動する場合、[プロジェクト タイプ] を使用します。総勘定元帳に固定資産の予算予測を移動する場合、[固定資産タイプ] を使用します。総勘定元帳に需要予算予測を移動する場合、[需要予測タイプ] を使用します。総勘定元帳に販売予算予測を移動する場合、[供給予測タイプ] を使用します。実際の予算が確認されて承認されるときに勘定の予算を作成する場合、[暫定予算タイプ] を使用します。予算金額と支払いが承認された金額との差額を示すために、[配賦タイプ] を使用します。たとえば、公的部門の組織の勘定に 10,000.00 の元予算があると、5000.00 の支出を承認するのにこの予算タイプを使用する場合があります。割り当てられた金額のみ使用できます。</t>
    <phoneticPr fontId="14"/>
  </si>
  <si>
    <t>選択された予算タイプの予算登録エントリが自動的に作成されるとき、このコードが既定の予算コードであることを示すには、このオプションを選択します。既定の予算コードは、予算登録エントリのページで手動で予算登録エントリを入力する時には使用されません。各予算タイプの既定の予算コードを選択する必要があります。</t>
    <phoneticPr fontId="14"/>
  </si>
  <si>
    <t>予算タイプ（ユーザー定義）</t>
    <rPh sb="0" eb="2">
      <t>ヨサン</t>
    </rPh>
    <rPh sb="10" eb="12">
      <t>テイギ</t>
    </rPh>
    <phoneticPr fontId="14"/>
  </si>
  <si>
    <t>チェック有/チェック無</t>
    <rPh sb="4" eb="5">
      <t>アリ</t>
    </rPh>
    <rPh sb="10" eb="11">
      <t>ナシ</t>
    </rPh>
    <phoneticPr fontId="14"/>
  </si>
  <si>
    <t>理由コード（ユーザー定義）</t>
    <rPh sb="0" eb="2">
      <t>リユウ</t>
    </rPh>
    <rPh sb="10" eb="12">
      <t>テイギ</t>
    </rPh>
    <phoneticPr fontId="14"/>
  </si>
  <si>
    <t>ワークフローID（ユーザー定義）</t>
    <rPh sb="13" eb="15">
      <t>テイギ</t>
    </rPh>
    <phoneticPr fontId="14"/>
  </si>
  <si>
    <t>予算コード-設定値</t>
    <rPh sb="0" eb="2">
      <t>ヨサン</t>
    </rPh>
    <rPh sb="6" eb="9">
      <t>セッテイチ</t>
    </rPh>
    <phoneticPr fontId="14"/>
  </si>
  <si>
    <t>予算期間</t>
    <rPh sb="0" eb="2">
      <t>ヨサン</t>
    </rPh>
    <rPh sb="2" eb="4">
      <t>キカン</t>
    </rPh>
    <phoneticPr fontId="14"/>
  </si>
  <si>
    <t>会計カレンダー</t>
    <rPh sb="0" eb="2">
      <t>カイケイ</t>
    </rPh>
    <phoneticPr fontId="14"/>
  </si>
  <si>
    <t>予算期間の長さ</t>
    <rPh sb="0" eb="4">
      <t>ヨサンキカン</t>
    </rPh>
    <rPh sb="5" eb="6">
      <t>ナガ</t>
    </rPh>
    <phoneticPr fontId="14"/>
  </si>
  <si>
    <t>会計年度期間数</t>
    <phoneticPr fontId="14"/>
  </si>
  <si>
    <t>開始期間</t>
    <rPh sb="0" eb="4">
      <t>カイシキカン</t>
    </rPh>
    <phoneticPr fontId="14"/>
  </si>
  <si>
    <t>終了期間</t>
    <rPh sb="0" eb="4">
      <t>シュウリョウキカン</t>
    </rPh>
    <phoneticPr fontId="14"/>
  </si>
  <si>
    <t>予算サイクルの長さの定義方法を選択します。6、24、36 期間など、予算サイクルの特定の期間を指定するのに、期間数の指定オプションを選択します。このオプションを選択してから、期間の数を入力します。予算サイクルの開始期間と終了期間で定義された会計年度を使用する会計年度オプションのマップを選択します。</t>
    <phoneticPr fontId="14"/>
  </si>
  <si>
    <t>[予算サイクルのフィールドの長さにおける期間数の指定] を選択する場合、期間数を入力します。</t>
    <phoneticPr fontId="14"/>
  </si>
  <si>
    <t>予算サイクル期間を使用する各予算サイクルの名前を入力します。たとえば、会計年度の予算サイクルの長さをマップした場合、各会計年度の予算サイクルを作成します。</t>
    <phoneticPr fontId="14"/>
  </si>
  <si>
    <t>カレンダー（ユーザー定義）</t>
    <rPh sb="10" eb="12">
      <t>テイギ</t>
    </rPh>
    <phoneticPr fontId="14"/>
  </si>
  <si>
    <t>会計カレンダーを設定後、選択が可能。</t>
    <rPh sb="0" eb="2">
      <t>カイケイ</t>
    </rPh>
    <rPh sb="8" eb="11">
      <t>セッテイゴ</t>
    </rPh>
    <rPh sb="12" eb="14">
      <t>センタク</t>
    </rPh>
    <rPh sb="15" eb="17">
      <t>カノウ</t>
    </rPh>
    <phoneticPr fontId="14"/>
  </si>
  <si>
    <t>期間数の指定
会計年度にマップ</t>
    <rPh sb="0" eb="3">
      <t>キカンスウ</t>
    </rPh>
    <rPh sb="4" eb="6">
      <t>シテイ</t>
    </rPh>
    <rPh sb="7" eb="9">
      <t>カイケイ</t>
    </rPh>
    <rPh sb="9" eb="11">
      <t>ネンド</t>
    </rPh>
    <phoneticPr fontId="14"/>
  </si>
  <si>
    <t>期間名（ユーザー定義）</t>
    <rPh sb="0" eb="3">
      <t>キカンメイ</t>
    </rPh>
    <rPh sb="8" eb="10">
      <t>テイギ</t>
    </rPh>
    <phoneticPr fontId="14"/>
  </si>
  <si>
    <t>サンスター株式会社　御中</t>
    <phoneticPr fontId="28"/>
  </si>
  <si>
    <t>会計システム刷新プロジェクト（LIBRA）</t>
    <phoneticPr fontId="28"/>
  </si>
  <si>
    <t>JBS石岡</t>
    <rPh sb="3" eb="5">
      <t>イシオカ</t>
    </rPh>
    <phoneticPr fontId="28"/>
  </si>
  <si>
    <t>Human resources &gt;  Setup&gt; Human resources parameters</t>
    <phoneticPr fontId="14"/>
  </si>
  <si>
    <t>FOパラメータ定義書-SSJ_22.予算作成</t>
    <rPh sb="7" eb="10">
      <t>テイギショ</t>
    </rPh>
    <rPh sb="18" eb="22">
      <t>ヨサンサクセイ</t>
    </rPh>
    <phoneticPr fontId="14"/>
  </si>
  <si>
    <t>予算作成＞設定＞基本予算作成＞予算作成パラメーター</t>
    <rPh sb="0" eb="4">
      <t>ヨサンサクセイ</t>
    </rPh>
    <rPh sb="8" eb="14">
      <t>キホンヨサンサクセイ</t>
    </rPh>
    <rPh sb="15" eb="19">
      <t>ヨサンサクセイ</t>
    </rPh>
    <phoneticPr fontId="14"/>
  </si>
  <si>
    <t>なし</t>
    <phoneticPr fontId="14"/>
  </si>
  <si>
    <t>会計年度期間</t>
    <rPh sb="0" eb="6">
      <t>カイケイネンドキカン</t>
    </rPh>
    <phoneticPr fontId="14"/>
  </si>
  <si>
    <t>会計年度期間</t>
    <rPh sb="0" eb="4">
      <t>カイケイネンド</t>
    </rPh>
    <rPh sb="4" eb="6">
      <t>キカン</t>
    </rPh>
    <phoneticPr fontId="14"/>
  </si>
  <si>
    <t>予算サイクル別</t>
    <rPh sb="0" eb="1">
      <t>ヨサン</t>
    </rPh>
    <rPh sb="5" eb="6">
      <t>ベツ</t>
    </rPh>
    <phoneticPr fontId="14"/>
  </si>
  <si>
    <t>予算サイクル別</t>
    <rPh sb="0" eb="2">
      <t>ヨサン</t>
    </rPh>
    <rPh sb="6" eb="7">
      <t>ベツ</t>
    </rPh>
    <phoneticPr fontId="14"/>
  </si>
  <si>
    <t>JBS秋信</t>
    <rPh sb="3" eb="5">
      <t>アキノブ</t>
    </rPh>
    <phoneticPr fontId="14"/>
  </si>
  <si>
    <t>FY2024</t>
  </si>
  <si>
    <t>2024年度　予算</t>
    <phoneticPr fontId="14"/>
  </si>
  <si>
    <t>シート「予算モデル-設定値」参照</t>
    <rPh sb="14" eb="16">
      <t>サンショウ</t>
    </rPh>
    <phoneticPr fontId="14"/>
  </si>
  <si>
    <t>当初予算</t>
    <rPh sb="0" eb="4">
      <t>トウショヨサン</t>
    </rPh>
    <phoneticPr fontId="14"/>
  </si>
  <si>
    <t>元の予算</t>
    <rPh sb="0" eb="1">
      <t>モト</t>
    </rPh>
    <rPh sb="2" eb="4">
      <t>ヨサン</t>
    </rPh>
    <phoneticPr fontId="14"/>
  </si>
  <si>
    <t>チェック有</t>
    <rPh sb="4" eb="5">
      <t>アリ</t>
    </rPh>
    <phoneticPr fontId="14"/>
  </si>
  <si>
    <t>予算作成＞設定＞基本予算作成＞予算コード</t>
    <rPh sb="0" eb="4">
      <t>ヨサンサクセイ</t>
    </rPh>
    <rPh sb="8" eb="14">
      <t>キホンヨサンサクセイ</t>
    </rPh>
    <rPh sb="15" eb="17">
      <t>ヨサン</t>
    </rPh>
    <phoneticPr fontId="14"/>
  </si>
  <si>
    <t>予算作成＞設定＞基本予算作成＞予算モデル</t>
    <rPh sb="0" eb="4">
      <t>ヨサンサクセイ</t>
    </rPh>
    <rPh sb="8" eb="14">
      <t>キホンヨサンサクセイ</t>
    </rPh>
    <rPh sb="15" eb="17">
      <t>ヨサン</t>
    </rPh>
    <phoneticPr fontId="14"/>
  </si>
  <si>
    <t>予算作成＞設定＞基本予算作成＞予算作成ワークフロー
予算作成＞設定＞予算計画＞予算作成ワークフロー</t>
    <rPh sb="0" eb="2">
      <t>ヨサン</t>
    </rPh>
    <rPh sb="2" eb="4">
      <t>サクセイ</t>
    </rPh>
    <rPh sb="5" eb="7">
      <t>セッテイ</t>
    </rPh>
    <rPh sb="8" eb="10">
      <t>キホン</t>
    </rPh>
    <rPh sb="10" eb="12">
      <t>ヨサン</t>
    </rPh>
    <rPh sb="12" eb="14">
      <t>サクセイ</t>
    </rPh>
    <rPh sb="15" eb="17">
      <t>ヨサン</t>
    </rPh>
    <rPh sb="17" eb="18">
      <t>サク</t>
    </rPh>
    <phoneticPr fontId="14"/>
  </si>
  <si>
    <t>期間数の指定</t>
    <rPh sb="0" eb="2">
      <t>キカン</t>
    </rPh>
    <rPh sb="2" eb="3">
      <t>スウ</t>
    </rPh>
    <rPh sb="4" eb="6">
      <t>シテイ</t>
    </rPh>
    <phoneticPr fontId="14"/>
  </si>
  <si>
    <t>シート「予算コード-設定値」参照</t>
    <rPh sb="14" eb="16">
      <t>サンショウ</t>
    </rPh>
    <phoneticPr fontId="14"/>
  </si>
  <si>
    <t>シート「予算サイクル-設定値」参照</t>
    <rPh sb="15" eb="17">
      <t>サンショウ</t>
    </rPh>
    <phoneticPr fontId="14"/>
  </si>
  <si>
    <t>予算作成＞設定＞基本計画＞予算サイクル</t>
    <rPh sb="0" eb="4">
      <t>ヨサンサクセイ</t>
    </rPh>
    <rPh sb="8" eb="10">
      <t>キホン</t>
    </rPh>
    <rPh sb="10" eb="12">
      <t>ケイカク</t>
    </rPh>
    <rPh sb="13" eb="15">
      <t>ヨサン</t>
    </rPh>
    <phoneticPr fontId="14"/>
  </si>
  <si>
    <t>予算作成＞設定＞基本管理＞予算サイクル</t>
    <rPh sb="0" eb="4">
      <t>ヨサンサクセイ</t>
    </rPh>
    <rPh sb="8" eb="10">
      <t>キホン</t>
    </rPh>
    <rPh sb="10" eb="12">
      <t>カンリ</t>
    </rPh>
    <rPh sb="13" eb="15">
      <t>ヨサン</t>
    </rPh>
    <phoneticPr fontId="14"/>
  </si>
  <si>
    <t>Fiscal</t>
  </si>
  <si>
    <t>会計年度にマップ</t>
  </si>
  <si>
    <t>シート「予算サイクル期間-設定値」参照</t>
    <rPh sb="10" eb="12">
      <t>キカン</t>
    </rPh>
    <rPh sb="17" eb="19">
      <t>サンショウ</t>
    </rPh>
    <phoneticPr fontId="14"/>
  </si>
  <si>
    <t>予算サイクル期間-設定値</t>
    <rPh sb="0" eb="2">
      <t>ヨサン</t>
    </rPh>
    <rPh sb="6" eb="8">
      <t>キカン</t>
    </rPh>
    <rPh sb="9" eb="12">
      <t>セッテイチ</t>
    </rPh>
    <phoneticPr fontId="14"/>
  </si>
  <si>
    <t>予算サイクル-設定値</t>
    <rPh sb="0" eb="2">
      <t>ヨサン</t>
    </rPh>
    <rPh sb="7" eb="10">
      <t>セッテイチ</t>
    </rPh>
    <phoneticPr fontId="14"/>
  </si>
  <si>
    <t>FY2023</t>
    <phoneticPr fontId="14"/>
  </si>
  <si>
    <t>1/1/2023</t>
    <phoneticPr fontId="14"/>
  </si>
  <si>
    <t>12/31/2023</t>
    <phoneticPr fontId="14"/>
  </si>
  <si>
    <t>FY2024</t>
    <phoneticPr fontId="14"/>
  </si>
  <si>
    <t>FY2025</t>
    <phoneticPr fontId="14"/>
  </si>
  <si>
    <t>FY2026</t>
    <phoneticPr fontId="14"/>
  </si>
  <si>
    <t>1/1/2024</t>
    <phoneticPr fontId="14"/>
  </si>
  <si>
    <t>1/1/2025</t>
    <phoneticPr fontId="14"/>
  </si>
  <si>
    <t>1/1/2026</t>
    <phoneticPr fontId="14"/>
  </si>
  <si>
    <t>12/31/2024</t>
    <phoneticPr fontId="14"/>
  </si>
  <si>
    <t>12/31/2025</t>
    <phoneticPr fontId="14"/>
  </si>
  <si>
    <t>12/31/2026</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</si>
</sst>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1"/>
      <color rgb="FFFF0000"/>
      <name val="Meiryo UI"/>
      <family val="3"/>
      <charset val="128"/>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0"/>
      </bottom>
      <diagonal/>
    </border>
    <border>
      <left/>
      <right/>
      <top style="thin">
        <color indexed="64"/>
      </top>
      <bottom style="thin">
        <color indexed="64"/>
      </bottom>
      <diagonal/>
    </border>
    <border>
      <left style="thin">
        <color indexed="64"/>
      </left>
      <right style="hair">
        <color indexed="64"/>
      </right>
      <top/>
      <bottom style="thin">
        <color indexed="64"/>
      </bottom>
      <diagonal/>
    </border>
  </borders>
  <cellStyleXfs count="35">
    <xf numFmtId="0" fontId="0" fillId="0" borderId="0">
      <alignment vertical="center"/>
    </xf>
    <xf numFmtId="0" fontId="15" fillId="0" borderId="0">
      <alignment vertical="center"/>
    </xf>
    <xf numFmtId="0" fontId="19" fillId="0" borderId="0"/>
    <xf numFmtId="0" fontId="24" fillId="0" borderId="0" applyNumberFormat="0" applyFill="0" applyBorder="0" applyAlignment="0" applyProtection="0">
      <alignment vertical="center"/>
    </xf>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25" fillId="0" borderId="0"/>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140">
    <xf numFmtId="0" fontId="0" fillId="0" borderId="0" xfId="0">
      <alignment vertical="center"/>
    </xf>
    <xf numFmtId="0" fontId="21" fillId="6" borderId="1" xfId="0" applyFont="1" applyFill="1" applyBorder="1" applyAlignment="1" applyProtection="1">
      <alignment horizontal="left" vertical="top" wrapText="1"/>
      <protection locked="0"/>
    </xf>
    <xf numFmtId="0" fontId="21" fillId="6" borderId="1" xfId="0" applyFont="1" applyFill="1" applyBorder="1" applyAlignment="1" applyProtection="1">
      <alignment vertical="top" wrapText="1"/>
      <protection locked="0"/>
    </xf>
    <xf numFmtId="0" fontId="20" fillId="6" borderId="13" xfId="0" applyFont="1" applyFill="1" applyBorder="1" applyAlignment="1">
      <alignment vertical="top" wrapText="1"/>
    </xf>
    <xf numFmtId="0" fontId="20" fillId="6" borderId="1" xfId="0" applyFont="1" applyFill="1" applyBorder="1" applyAlignment="1">
      <alignment vertical="top" wrapText="1"/>
    </xf>
    <xf numFmtId="0" fontId="16" fillId="0" borderId="0" xfId="4" applyFont="1">
      <alignment vertical="center"/>
    </xf>
    <xf numFmtId="0" fontId="24" fillId="0" borderId="0" xfId="3" applyProtection="1">
      <alignment vertical="center"/>
    </xf>
    <xf numFmtId="0" fontId="23" fillId="4" borderId="1" xfId="0" applyFont="1" applyFill="1" applyBorder="1" applyAlignment="1">
      <alignment horizontal="center" vertical="top" wrapText="1"/>
    </xf>
    <xf numFmtId="0" fontId="23" fillId="4" borderId="11" xfId="0" applyFont="1" applyFill="1" applyBorder="1" applyAlignment="1">
      <alignment horizontal="center" vertical="top" wrapText="1"/>
    </xf>
    <xf numFmtId="0" fontId="23" fillId="4" borderId="11" xfId="0" applyFont="1" applyFill="1" applyBorder="1" applyAlignment="1">
      <alignment horizontal="center" vertical="top"/>
    </xf>
    <xf numFmtId="0" fontId="23" fillId="5" borderId="1" xfId="0" applyFont="1" applyFill="1" applyBorder="1" applyAlignment="1">
      <alignment horizontal="center" vertical="top"/>
    </xf>
    <xf numFmtId="0" fontId="21" fillId="0" borderId="15" xfId="0" applyFont="1" applyBorder="1" applyAlignment="1">
      <alignment vertical="top"/>
    </xf>
    <xf numFmtId="0" fontId="21" fillId="0" borderId="1" xfId="0" applyFont="1" applyBorder="1" applyAlignment="1">
      <alignment vertical="top" wrapText="1"/>
    </xf>
    <xf numFmtId="0" fontId="21" fillId="0" borderId="1" xfId="0" applyFont="1" applyBorder="1" applyAlignment="1">
      <alignment horizontal="left" vertical="top" wrapText="1"/>
    </xf>
    <xf numFmtId="0" fontId="20" fillId="5" borderId="13" xfId="0" applyFont="1" applyFill="1" applyBorder="1" applyAlignment="1">
      <alignment vertical="top" wrapText="1"/>
    </xf>
    <xf numFmtId="0" fontId="0" fillId="0" borderId="1" xfId="0" applyBorder="1">
      <alignment vertical="center"/>
    </xf>
    <xf numFmtId="1" fontId="21" fillId="0" borderId="1" xfId="0" applyNumberFormat="1" applyFont="1" applyBorder="1" applyAlignment="1">
      <alignment horizontal="left" vertical="top" wrapText="1"/>
    </xf>
    <xf numFmtId="0" fontId="21" fillId="0" borderId="11" xfId="0" applyFont="1" applyBorder="1" applyAlignment="1">
      <alignment vertical="center" wrapText="1"/>
    </xf>
    <xf numFmtId="0" fontId="0" fillId="4" borderId="1" xfId="0" applyFill="1" applyBorder="1">
      <alignment vertical="center"/>
    </xf>
    <xf numFmtId="49" fontId="0" fillId="0" borderId="0" xfId="0" applyNumberFormat="1" applyAlignment="1">
      <alignment horizontal="left" vertical="center"/>
    </xf>
    <xf numFmtId="0" fontId="20" fillId="5" borderId="1" xfId="0" applyFont="1" applyFill="1" applyBorder="1" applyAlignment="1">
      <alignment vertical="top" wrapText="1"/>
    </xf>
    <xf numFmtId="0" fontId="16" fillId="0" borderId="0" xfId="14" applyFont="1">
      <alignment vertical="center"/>
    </xf>
    <xf numFmtId="0" fontId="0" fillId="0" borderId="0" xfId="0" quotePrefix="1">
      <alignment vertical="center"/>
    </xf>
    <xf numFmtId="0" fontId="0" fillId="0" borderId="1" xfId="0" applyBorder="1" applyAlignment="1">
      <alignment vertical="center" wrapText="1"/>
    </xf>
    <xf numFmtId="0" fontId="16" fillId="0" borderId="0" xfId="16" applyFont="1">
      <alignment vertical="center"/>
    </xf>
    <xf numFmtId="0" fontId="21" fillId="0" borderId="1" xfId="0" applyFont="1" applyBorder="1">
      <alignment vertical="center"/>
    </xf>
    <xf numFmtId="0" fontId="21" fillId="0" borderId="1" xfId="0" applyFont="1" applyBorder="1" applyAlignment="1">
      <alignment vertical="center" wrapText="1"/>
    </xf>
    <xf numFmtId="0" fontId="21" fillId="0" borderId="0" xfId="0" applyFont="1">
      <alignment vertical="center"/>
    </xf>
    <xf numFmtId="0" fontId="21" fillId="0" borderId="0" xfId="0" applyFont="1" applyAlignment="1">
      <alignment horizontal="left" vertical="center"/>
    </xf>
    <xf numFmtId="0" fontId="23" fillId="4" borderId="1" xfId="0" applyFont="1" applyFill="1" applyBorder="1" applyAlignment="1">
      <alignment horizontal="center" vertical="top"/>
    </xf>
    <xf numFmtId="0" fontId="23" fillId="4" borderId="1" xfId="0" applyFont="1" applyFill="1" applyBorder="1" applyAlignment="1">
      <alignment horizontal="center" vertical="center" wrapText="1"/>
    </xf>
    <xf numFmtId="0" fontId="20" fillId="0" borderId="1" xfId="0" applyFont="1" applyBorder="1" applyAlignment="1">
      <alignment horizontal="left" vertical="top" wrapText="1"/>
    </xf>
    <xf numFmtId="0" fontId="21" fillId="0" borderId="1" xfId="0" applyFont="1" applyBorder="1" applyAlignment="1">
      <alignment horizontal="left" vertical="center" wrapText="1"/>
    </xf>
    <xf numFmtId="0" fontId="20" fillId="5" borderId="1" xfId="0" applyFont="1" applyFill="1" applyBorder="1" applyAlignment="1">
      <alignment horizontal="left" vertical="top" wrapText="1"/>
    </xf>
    <xf numFmtId="0" fontId="21" fillId="6" borderId="1" xfId="0" quotePrefix="1" applyFont="1" applyFill="1" applyBorder="1" applyAlignment="1" applyProtection="1">
      <alignment horizontal="left" vertical="top" wrapText="1"/>
      <protection locked="0"/>
    </xf>
    <xf numFmtId="0" fontId="24" fillId="0" borderId="0" xfId="3" applyAlignment="1" applyProtection="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16" fillId="0" borderId="0" xfId="29" applyFont="1">
      <alignment vertical="center"/>
    </xf>
    <xf numFmtId="0" fontId="20" fillId="5" borderId="2" xfId="0" applyFont="1" applyFill="1" applyBorder="1" applyAlignment="1">
      <alignment vertical="center" wrapText="1"/>
    </xf>
    <xf numFmtId="0" fontId="20" fillId="5" borderId="3" xfId="0" applyFont="1" applyFill="1" applyBorder="1" applyAlignment="1">
      <alignment vertical="center" wrapText="1"/>
    </xf>
    <xf numFmtId="0" fontId="16" fillId="0" borderId="0" xfId="30" applyFont="1">
      <alignment vertical="center"/>
    </xf>
    <xf numFmtId="0" fontId="21" fillId="0" borderId="1" xfId="0" applyFont="1" applyBorder="1" applyAlignment="1">
      <alignment vertical="top"/>
    </xf>
    <xf numFmtId="0" fontId="21" fillId="0" borderId="15" xfId="0" applyFont="1" applyBorder="1" applyAlignment="1">
      <alignment vertical="top" wrapText="1"/>
    </xf>
    <xf numFmtId="0" fontId="18" fillId="0" borderId="0" xfId="0" applyFont="1" applyAlignment="1"/>
    <xf numFmtId="0" fontId="18" fillId="2" borderId="0" xfId="10" applyFont="1" applyFill="1"/>
    <xf numFmtId="0" fontId="27" fillId="0" borderId="0" xfId="0" applyFont="1" applyAlignment="1"/>
    <xf numFmtId="0" fontId="27" fillId="0" borderId="0" xfId="0" applyFont="1">
      <alignment vertical="center"/>
    </xf>
    <xf numFmtId="0" fontId="29" fillId="0" borderId="0" xfId="0" applyFont="1" applyAlignment="1"/>
    <xf numFmtId="0" fontId="29" fillId="0" borderId="16" xfId="0" applyFont="1" applyBorder="1" applyAlignment="1"/>
    <xf numFmtId="0" fontId="18" fillId="0" borderId="0" xfId="0" applyFont="1">
      <alignment vertical="center"/>
    </xf>
    <xf numFmtId="0" fontId="18" fillId="0" borderId="5" xfId="0" applyFont="1" applyBorder="1">
      <alignment vertical="center"/>
    </xf>
    <xf numFmtId="0" fontId="16" fillId="0" borderId="0" xfId="32" applyFont="1">
      <alignment vertical="center"/>
    </xf>
    <xf numFmtId="0" fontId="16" fillId="0" borderId="0" xfId="33" applyFont="1">
      <alignment vertical="center"/>
    </xf>
    <xf numFmtId="0" fontId="21" fillId="0" borderId="12" xfId="0" applyFont="1" applyBorder="1" applyAlignment="1">
      <alignment vertical="top" wrapText="1"/>
    </xf>
    <xf numFmtId="49" fontId="21" fillId="0" borderId="1" xfId="0" applyNumberFormat="1" applyFont="1" applyBorder="1" applyAlignment="1">
      <alignment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1" fillId="0" borderId="11" xfId="0" applyFont="1" applyBorder="1" applyAlignment="1">
      <alignment vertical="top" wrapText="1"/>
    </xf>
    <xf numFmtId="0" fontId="21" fillId="0" borderId="10" xfId="0" applyFont="1" applyBorder="1" applyAlignment="1">
      <alignment vertical="top" wrapText="1"/>
    </xf>
    <xf numFmtId="0" fontId="21" fillId="0" borderId="11" xfId="0" applyFont="1" applyBorder="1" applyAlignment="1">
      <alignment horizontal="left" vertical="top" wrapText="1"/>
    </xf>
    <xf numFmtId="0" fontId="21" fillId="0" borderId="0" xfId="0" applyFont="1" applyAlignment="1">
      <alignment vertical="top"/>
    </xf>
    <xf numFmtId="0" fontId="21" fillId="3" borderId="1" xfId="0" applyFont="1" applyFill="1" applyBorder="1" applyAlignment="1"/>
    <xf numFmtId="0" fontId="21" fillId="3" borderId="1" xfId="0" applyFont="1" applyFill="1" applyBorder="1" applyAlignment="1" applyProtection="1">
      <protection locked="0"/>
    </xf>
    <xf numFmtId="0" fontId="20" fillId="5" borderId="1" xfId="0" applyFont="1" applyFill="1" applyBorder="1" applyAlignment="1">
      <alignment vertical="center" wrapText="1"/>
    </xf>
    <xf numFmtId="0" fontId="20" fillId="6" borderId="18" xfId="0" applyFont="1" applyFill="1" applyBorder="1" applyAlignment="1">
      <alignment vertical="top" wrapText="1"/>
    </xf>
    <xf numFmtId="0" fontId="20" fillId="6" borderId="10" xfId="0" applyFont="1" applyFill="1" applyBorder="1" applyAlignment="1">
      <alignment vertical="top" wrapText="1"/>
    </xf>
    <xf numFmtId="0" fontId="20" fillId="5" borderId="15" xfId="0" applyFont="1" applyFill="1" applyBorder="1" applyAlignment="1">
      <alignment vertical="top" wrapText="1"/>
    </xf>
    <xf numFmtId="0" fontId="20" fillId="5" borderId="14" xfId="0" applyFont="1" applyFill="1" applyBorder="1" applyAlignment="1">
      <alignment vertical="top" wrapText="1"/>
    </xf>
    <xf numFmtId="3" fontId="21" fillId="3" borderId="1" xfId="0" applyNumberFormat="1" applyFont="1" applyFill="1" applyBorder="1" applyAlignment="1" applyProtection="1">
      <protection locked="0"/>
    </xf>
    <xf numFmtId="0" fontId="16" fillId="0" borderId="0" xfId="29" applyFont="1" applyAlignment="1">
      <alignment vertical="top"/>
    </xf>
    <xf numFmtId="0" fontId="0" fillId="0" borderId="0" xfId="0" applyAlignment="1">
      <alignment vertical="top"/>
    </xf>
    <xf numFmtId="0" fontId="21" fillId="0" borderId="0" xfId="0" applyFont="1" applyAlignment="1">
      <alignment horizontal="left" vertical="top"/>
    </xf>
    <xf numFmtId="0" fontId="24" fillId="0" borderId="0" xfId="3" applyAlignment="1" applyProtection="1">
      <alignment vertical="top"/>
    </xf>
    <xf numFmtId="0" fontId="21" fillId="0" borderId="11" xfId="0" applyFont="1" applyBorder="1" applyAlignment="1">
      <alignment vertical="top"/>
    </xf>
    <xf numFmtId="0" fontId="21" fillId="0" borderId="12" xfId="0" applyFont="1" applyBorder="1" applyAlignment="1">
      <alignment vertical="top"/>
    </xf>
    <xf numFmtId="0" fontId="21" fillId="0" borderId="10" xfId="0" applyFont="1" applyBorder="1" applyAlignment="1">
      <alignment vertical="top"/>
    </xf>
    <xf numFmtId="0" fontId="21" fillId="2" borderId="1" xfId="0" applyFont="1" applyFill="1" applyBorder="1" applyAlignment="1" applyProtection="1">
      <protection locked="0"/>
    </xf>
    <xf numFmtId="0" fontId="32" fillId="0" borderId="0" xfId="0" applyFont="1">
      <alignment vertical="center"/>
    </xf>
    <xf numFmtId="0" fontId="24" fillId="7" borderId="1" xfId="3" applyFill="1" applyBorder="1" applyAlignment="1">
      <alignment horizontal="center" vertical="center" wrapText="1"/>
    </xf>
    <xf numFmtId="0" fontId="20" fillId="0" borderId="15" xfId="0" applyFont="1" applyBorder="1" applyAlignment="1">
      <alignment horizontal="left" vertical="top" wrapText="1"/>
    </xf>
    <xf numFmtId="0" fontId="20" fillId="5" borderId="15" xfId="0" applyFont="1" applyFill="1" applyBorder="1" applyAlignment="1">
      <alignment horizontal="left" vertical="top" wrapText="1"/>
    </xf>
    <xf numFmtId="0" fontId="20" fillId="5" borderId="17" xfId="0" applyFont="1" applyFill="1" applyBorder="1" applyAlignment="1">
      <alignment horizontal="left" vertical="top"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8" xfId="0" applyFont="1" applyBorder="1" applyAlignment="1">
      <alignment horizontal="center" vertical="center" wrapText="1"/>
    </xf>
    <xf numFmtId="14" fontId="18" fillId="0" borderId="15" xfId="0" applyNumberFormat="1" applyFont="1" applyBorder="1" applyAlignment="1">
      <alignment horizontal="center" vertical="center"/>
    </xf>
    <xf numFmtId="14" fontId="18" fillId="0" borderId="17" xfId="0" applyNumberFormat="1" applyFont="1" applyBorder="1" applyAlignment="1">
      <alignment horizontal="center" vertical="center"/>
    </xf>
    <xf numFmtId="14" fontId="18" fillId="0" borderId="14" xfId="0" applyNumberFormat="1" applyFont="1" applyBorder="1" applyAlignment="1">
      <alignment horizontal="center" vertical="center"/>
    </xf>
    <xf numFmtId="0" fontId="31" fillId="0" borderId="0" xfId="0" applyFont="1" applyAlignment="1">
      <alignment horizontal="center" vertical="center"/>
    </xf>
    <xf numFmtId="0" fontId="26" fillId="0" borderId="0" xfId="0" applyFont="1" applyAlignment="1">
      <alignment horizontal="center"/>
    </xf>
    <xf numFmtId="0" fontId="26" fillId="0" borderId="16" xfId="0" applyFont="1" applyBorder="1" applyAlignment="1">
      <alignment horizont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26" fillId="0" borderId="5" xfId="0" applyFont="1" applyBorder="1" applyAlignment="1">
      <alignment horizontal="center" vertical="center"/>
    </xf>
    <xf numFmtId="0" fontId="26" fillId="0" borderId="0" xfId="0" applyFont="1" applyAlignment="1">
      <alignment horizontal="center" vertical="center"/>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14" fontId="31" fillId="0" borderId="0" xfId="0" applyNumberFormat="1" applyFont="1" applyAlignment="1">
      <alignment horizontal="center" vertical="center"/>
    </xf>
    <xf numFmtId="0" fontId="21" fillId="0" borderId="11" xfId="0" applyFont="1" applyBorder="1" applyAlignment="1">
      <alignment horizontal="left" vertical="top" wrapText="1"/>
    </xf>
    <xf numFmtId="0" fontId="21" fillId="0" borderId="12" xfId="0" applyFont="1" applyBorder="1" applyAlignment="1">
      <alignment horizontal="left" vertical="top" wrapText="1"/>
    </xf>
    <xf numFmtId="0" fontId="21" fillId="0" borderId="10" xfId="0" applyFont="1" applyBorder="1" applyAlignment="1">
      <alignment horizontal="left" vertical="top" wrapText="1"/>
    </xf>
    <xf numFmtId="0" fontId="21" fillId="0" borderId="1" xfId="0" applyFont="1" applyBorder="1" applyAlignment="1">
      <alignment horizontal="left" vertical="top" wrapText="1"/>
    </xf>
    <xf numFmtId="0" fontId="21" fillId="5" borderId="1" xfId="0" applyFont="1" applyFill="1" applyBorder="1">
      <alignment vertical="center"/>
    </xf>
    <xf numFmtId="0" fontId="20" fillId="5" borderId="11" xfId="0" applyFont="1" applyFill="1" applyBorder="1" applyAlignment="1">
      <alignment vertical="center" wrapText="1"/>
    </xf>
    <xf numFmtId="0" fontId="20" fillId="5" borderId="10" xfId="0" applyFont="1" applyFill="1" applyBorder="1" applyAlignment="1">
      <alignment vertical="center" wrapText="1"/>
    </xf>
    <xf numFmtId="0" fontId="21" fillId="0" borderId="11" xfId="0" applyFont="1" applyBorder="1" applyAlignment="1">
      <alignment horizontal="center" vertical="top" wrapText="1"/>
    </xf>
    <xf numFmtId="0" fontId="21" fillId="0" borderId="10" xfId="0" applyFont="1" applyBorder="1" applyAlignment="1">
      <alignment horizontal="center" vertical="top" wrapText="1"/>
    </xf>
    <xf numFmtId="0" fontId="20" fillId="5" borderId="15" xfId="0" applyFont="1" applyFill="1" applyBorder="1" applyAlignment="1">
      <alignment horizontal="left" vertical="top" wrapText="1"/>
    </xf>
    <xf numFmtId="0" fontId="20" fillId="5" borderId="14" xfId="0" applyFont="1" applyFill="1" applyBorder="1" applyAlignment="1">
      <alignment horizontal="left" vertical="top" wrapText="1"/>
    </xf>
    <xf numFmtId="0" fontId="21" fillId="0" borderId="12" xfId="0" applyFont="1" applyBorder="1" applyAlignment="1">
      <alignment horizontal="center" vertical="top" wrapText="1"/>
    </xf>
    <xf numFmtId="0" fontId="20" fillId="5" borderId="17" xfId="0" applyFont="1" applyFill="1" applyBorder="1" applyAlignment="1">
      <alignment horizontal="left" vertical="top" wrapText="1"/>
    </xf>
    <xf numFmtId="0" fontId="21" fillId="5" borderId="15" xfId="0" applyFont="1" applyFill="1" applyBorder="1">
      <alignment vertical="center"/>
    </xf>
    <xf numFmtId="0" fontId="0" fillId="7" borderId="0" xfId="0" applyFill="1">
      <alignment vertical="center"/>
    </xf>
    <xf numFmtId="0" fontId="33" fillId="7" borderId="0" xfId="0" applyFont="1" applyFill="1">
      <alignment vertical="center"/>
    </xf>
    <xf numFmtId="0" fontId="21" fillId="0" borderId="1" xfId="0" applyFont="1" applyFill="1" applyBorder="1" applyAlignment="1">
      <alignment vertical="top" wrapText="1"/>
    </xf>
    <xf numFmtId="0" fontId="24" fillId="0" borderId="1" xfId="3" applyFill="1" applyBorder="1" applyAlignment="1">
      <alignment horizontal="center" vertical="center" wrapText="1"/>
    </xf>
    <xf numFmtId="0" fontId="21" fillId="5" borderId="1" xfId="0" applyFont="1" applyFill="1" applyBorder="1" applyAlignment="1">
      <alignment vertical="top" wrapText="1"/>
    </xf>
    <xf numFmtId="0" fontId="21" fillId="5" borderId="12" xfId="0" applyFont="1" applyFill="1" applyBorder="1" applyAlignment="1">
      <alignment vertical="top" wrapText="1"/>
    </xf>
    <xf numFmtId="0" fontId="21" fillId="6" borderId="1" xfId="0" applyFont="1" applyFill="1" applyBorder="1" applyAlignment="1">
      <alignment vertical="top" wrapText="1"/>
    </xf>
    <xf numFmtId="0" fontId="21" fillId="3" borderId="11" xfId="0" applyFont="1" applyFill="1" applyBorder="1" applyAlignment="1"/>
    <xf numFmtId="0" fontId="21" fillId="0" borderId="11" xfId="0" applyFont="1" applyBorder="1">
      <alignment vertical="center"/>
    </xf>
    <xf numFmtId="0" fontId="21" fillId="3" borderId="12" xfId="0" applyFont="1" applyFill="1" applyBorder="1" applyAlignment="1"/>
    <xf numFmtId="0" fontId="21" fillId="0" borderId="12" xfId="0" applyFont="1" applyBorder="1">
      <alignment vertical="center"/>
    </xf>
    <xf numFmtId="0" fontId="21" fillId="3" borderId="10" xfId="0" applyFont="1" applyFill="1" applyBorder="1" applyAlignment="1"/>
    <xf numFmtId="0" fontId="21" fillId="0" borderId="10" xfId="0" applyFont="1" applyBorder="1">
      <alignment vertical="center"/>
    </xf>
  </cellXfs>
  <cellStyles count="35">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2" xr:uid="{0ACDA241-774B-4FFA-99FB-302704CC6F70}"/>
    <cellStyle name="標準 2 2 2 2 2 3" xfId="9" xr:uid="{F21DC37F-6F2E-4EF0-B13D-E8150630710F}"/>
    <cellStyle name="標準 2 2 2 2 2 3 2" xfId="23" xr:uid="{513FEB82-B4EF-4ECA-939F-62C528FF5CEA}"/>
    <cellStyle name="標準 2 2 2 2 2 4" xfId="21" xr:uid="{B5F626E7-1ED6-49C9-ABE3-A05CA2B2A514}"/>
    <cellStyle name="標準 2 2 2 2 3" xfId="14" xr:uid="{0BC89B50-B996-4F32-A12A-F6A89F010291}"/>
    <cellStyle name="標準 2 2 2 2 3 2" xfId="27" xr:uid="{0881E7AD-FBBE-48D7-93F5-5077C70D25BF}"/>
    <cellStyle name="標準 2 2 2 2 4" xfId="20" xr:uid="{6EB62251-479C-42A0-BBFD-79AD166F9CA0}"/>
    <cellStyle name="標準 2 2 2 3" xfId="19" xr:uid="{E37A30F4-C0A1-41AB-AD67-CB937DA5A980}"/>
    <cellStyle name="標準 2 2 3" xfId="11" xr:uid="{AB8DAD6B-6F07-4F84-AFF4-9001F04CD5BE}"/>
    <cellStyle name="標準 2 2 3 2" xfId="24" xr:uid="{A7D5AC7F-3287-4A49-89FC-161EE4308431}"/>
    <cellStyle name="標準 2 2 4" xfId="13" xr:uid="{FAA0CA57-CC80-47D6-86EC-D6EBE1EFFACE}"/>
    <cellStyle name="標準 2 2 4 2" xfId="26" xr:uid="{18F44126-4C2D-4358-9EEF-F65657E2371B}"/>
    <cellStyle name="標準 2 2 5" xfId="18" xr:uid="{88B5A4FC-CD68-4094-BD81-6DFA43A152DC}"/>
    <cellStyle name="標準 2 2 6" xfId="32" xr:uid="{632C49BF-EDAC-47A4-8BDF-99822020F1AE}"/>
    <cellStyle name="標準 2 3" xfId="12" xr:uid="{1C014ACD-DAA1-4DF1-9B40-427746B15741}"/>
    <cellStyle name="標準 2 3 2" xfId="25" xr:uid="{2571EF87-54FF-4249-BA69-09BDE6CA0668}"/>
    <cellStyle name="標準 2 4" xfId="15" xr:uid="{9F25C8E6-9714-4DB7-8282-F332EBEF3C83}"/>
    <cellStyle name="標準 2 4 2" xfId="28" xr:uid="{231AF7F3-7B68-494A-9F1A-0041DE24A2D7}"/>
    <cellStyle name="標準 2 5" xfId="16" xr:uid="{32231B12-71E4-4AC4-9B26-CD435D022884}"/>
    <cellStyle name="標準 2 5 2" xfId="29" xr:uid="{51AC8C4B-A513-4C1F-B0A9-821064D5765E}"/>
    <cellStyle name="標準 2 5 3" xfId="30" xr:uid="{301CD210-D260-46DE-971F-1DA4FBC4C8B5}"/>
    <cellStyle name="標準 2 5 4" xfId="33" xr:uid="{3B4D675C-BAC8-4A72-9338-83D583D40B51}"/>
    <cellStyle name="標準 2 6" xfId="17" xr:uid="{79EF40BF-07E4-40DC-9B3F-6D3E538888B5}"/>
    <cellStyle name="標準 2 6 2" xfId="31" xr:uid="{F35785CF-1EEB-4AEF-8A5E-E05AA3A18785}"/>
    <cellStyle name="標準 2 6 3" xfId="34" xr:uid="{D7B65913-7786-4557-B979-F31A764258CC}"/>
    <cellStyle name="標準 3" xfId="10" xr:uid="{942EA3AA-1AAC-488E-A27D-5DABE16255B0}"/>
  </cellStyles>
  <dxfs count="2">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9133-30AF-4AF6-A338-586AB62B6C8D}">
  <sheetPr>
    <pageSetUpPr autoPageBreaks="0"/>
  </sheetPr>
  <dimension ref="A1:AK37"/>
  <sheetViews>
    <sheetView showGridLines="0" zoomScaleNormal="100" zoomScaleSheetLayoutView="100" workbookViewId="0"/>
  </sheetViews>
  <sheetFormatPr defaultColWidth="2.2109375" defaultRowHeight="15" customHeight="1" x14ac:dyDescent="0.35"/>
  <cols>
    <col min="1" max="16384" width="2.2109375" style="46"/>
  </cols>
  <sheetData>
    <row r="1" spans="1:37" ht="15" customHeight="1" x14ac:dyDescent="0.3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row>
    <row r="2" spans="1:37" ht="15" customHeight="1" x14ac:dyDescent="0.35">
      <c r="A2" s="45"/>
      <c r="B2" s="45"/>
      <c r="C2" s="47"/>
      <c r="D2" s="47"/>
      <c r="E2" s="47"/>
      <c r="F2" s="47"/>
      <c r="G2" s="47"/>
      <c r="H2" s="47"/>
      <c r="I2" s="47"/>
      <c r="J2" s="47"/>
      <c r="K2" s="47"/>
      <c r="L2" s="47"/>
      <c r="M2" s="47"/>
      <c r="N2" s="47"/>
      <c r="O2" s="47"/>
      <c r="P2" s="47"/>
      <c r="Q2" s="47"/>
      <c r="R2" s="45"/>
      <c r="S2" s="45"/>
      <c r="T2" s="45"/>
      <c r="U2" s="45"/>
      <c r="V2" s="45"/>
      <c r="W2" s="45"/>
      <c r="X2" s="45"/>
      <c r="Y2" s="45"/>
      <c r="Z2" s="45"/>
      <c r="AA2" s="45"/>
      <c r="AB2" s="45"/>
      <c r="AC2" s="45"/>
      <c r="AD2" s="45"/>
      <c r="AE2" s="45"/>
      <c r="AF2" s="45"/>
      <c r="AG2" s="45"/>
      <c r="AH2" s="45"/>
      <c r="AI2" s="45"/>
      <c r="AJ2" s="45"/>
      <c r="AK2" s="45"/>
    </row>
    <row r="3" spans="1:37" ht="15" customHeight="1" x14ac:dyDescent="0.35">
      <c r="A3" s="45"/>
      <c r="B3" s="48" t="s">
        <v>374</v>
      </c>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row>
    <row r="4" spans="1:37" ht="15" customHeight="1" x14ac:dyDescent="0.55000000000000004">
      <c r="A4" s="49"/>
      <c r="B4" s="49"/>
      <c r="C4" s="49"/>
      <c r="D4" s="49"/>
      <c r="E4" s="49"/>
      <c r="F4" s="49"/>
      <c r="G4" s="49"/>
      <c r="H4" s="49"/>
      <c r="I4" s="49"/>
      <c r="J4" s="98"/>
      <c r="K4" s="98"/>
      <c r="L4" s="98"/>
      <c r="M4" s="45"/>
      <c r="N4" s="45"/>
      <c r="O4" s="45"/>
      <c r="P4" s="45"/>
      <c r="Q4" s="45"/>
      <c r="R4" s="45"/>
      <c r="S4" s="45"/>
      <c r="T4" s="45"/>
      <c r="U4" s="45"/>
      <c r="V4" s="45"/>
      <c r="W4" s="45"/>
      <c r="X4" s="45"/>
      <c r="Y4" s="45"/>
      <c r="Z4" s="45"/>
      <c r="AA4" s="45"/>
      <c r="AB4" s="45"/>
      <c r="AC4" s="45"/>
      <c r="AD4" s="45"/>
      <c r="AE4" s="45"/>
      <c r="AF4" s="45"/>
      <c r="AG4" s="45"/>
      <c r="AH4" s="45"/>
      <c r="AI4" s="45"/>
      <c r="AJ4" s="45"/>
      <c r="AK4" s="45"/>
    </row>
    <row r="5" spans="1:37" ht="15" customHeight="1" x14ac:dyDescent="0.55000000000000004">
      <c r="A5" s="50"/>
      <c r="B5" s="50"/>
      <c r="C5" s="50"/>
      <c r="D5" s="50"/>
      <c r="E5" s="50"/>
      <c r="F5" s="50"/>
      <c r="G5" s="50"/>
      <c r="H5" s="50"/>
      <c r="I5" s="50"/>
      <c r="J5" s="99"/>
      <c r="K5" s="99"/>
      <c r="L5" s="99"/>
      <c r="M5" s="45"/>
      <c r="N5" s="45"/>
      <c r="O5" s="45"/>
      <c r="P5" s="45"/>
      <c r="Q5" s="45"/>
      <c r="R5" s="45"/>
      <c r="S5" s="45"/>
      <c r="T5" s="45"/>
      <c r="U5" s="45"/>
      <c r="V5" s="45"/>
      <c r="W5" s="45"/>
      <c r="X5" s="45"/>
      <c r="Y5" s="45"/>
      <c r="Z5" s="45"/>
      <c r="AA5" s="45"/>
      <c r="AB5" s="45"/>
      <c r="AC5" s="45"/>
      <c r="AD5" s="45"/>
      <c r="AE5" s="45"/>
      <c r="AF5" s="45"/>
      <c r="AG5" s="45"/>
      <c r="AH5" s="45"/>
      <c r="AI5" s="45"/>
      <c r="AJ5" s="45"/>
      <c r="AK5" s="45"/>
    </row>
    <row r="6" spans="1:37" ht="15" customHeight="1" x14ac:dyDescent="0.35">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spans="1:37" ht="15" customHeight="1" x14ac:dyDescent="0.35">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row>
    <row r="8" spans="1:37" ht="15" customHeight="1" x14ac:dyDescent="0.35">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row>
    <row r="9" spans="1:37" ht="15" customHeight="1" x14ac:dyDescent="0.35">
      <c r="A9" s="45"/>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row>
    <row r="10" spans="1:37" ht="15" customHeight="1" x14ac:dyDescent="0.35">
      <c r="A10" s="45"/>
      <c r="B10" s="100" t="s">
        <v>375</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2"/>
      <c r="AF10" s="45"/>
      <c r="AG10" s="45"/>
      <c r="AH10" s="45"/>
      <c r="AI10" s="45"/>
      <c r="AJ10" s="45"/>
      <c r="AK10" s="45"/>
    </row>
    <row r="11" spans="1:37" ht="15" customHeight="1" x14ac:dyDescent="0.35">
      <c r="A11" s="45"/>
      <c r="B11" s="103"/>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5"/>
      <c r="AF11" s="45"/>
      <c r="AG11" s="45"/>
      <c r="AH11" s="45"/>
      <c r="AI11" s="45"/>
      <c r="AJ11" s="45"/>
      <c r="AK11" s="45"/>
    </row>
    <row r="12" spans="1:37" ht="15" customHeight="1" x14ac:dyDescent="0.35">
      <c r="A12" s="45"/>
      <c r="B12" s="103"/>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5"/>
      <c r="AF12" s="45"/>
      <c r="AG12" s="45"/>
      <c r="AH12" s="45"/>
      <c r="AI12" s="45"/>
      <c r="AJ12" s="45"/>
      <c r="AK12" s="45"/>
    </row>
    <row r="13" spans="1:37" ht="15" customHeight="1" x14ac:dyDescent="0.35">
      <c r="A13" s="45"/>
      <c r="B13" s="103"/>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5"/>
      <c r="AF13" s="45"/>
      <c r="AG13" s="45"/>
      <c r="AH13" s="45"/>
      <c r="AI13" s="45"/>
      <c r="AJ13" s="45"/>
      <c r="AK13" s="45"/>
    </row>
    <row r="14" spans="1:37" ht="15" customHeight="1" x14ac:dyDescent="0.35">
      <c r="A14" s="45"/>
      <c r="B14" s="106" t="s">
        <v>378</v>
      </c>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8"/>
      <c r="AF14" s="45"/>
      <c r="AG14" s="45"/>
      <c r="AH14" s="45"/>
      <c r="AI14" s="45"/>
      <c r="AJ14" s="45"/>
      <c r="AK14" s="45"/>
    </row>
    <row r="15" spans="1:37" ht="15" customHeight="1" x14ac:dyDescent="0.35">
      <c r="A15" s="45"/>
      <c r="B15" s="106"/>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8"/>
      <c r="AF15" s="45"/>
      <c r="AG15" s="45"/>
      <c r="AH15" s="45"/>
      <c r="AI15" s="45"/>
      <c r="AJ15" s="45"/>
      <c r="AK15" s="45"/>
    </row>
    <row r="16" spans="1:37" ht="15" customHeight="1" x14ac:dyDescent="0.35">
      <c r="A16" s="45"/>
      <c r="B16" s="109"/>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1"/>
      <c r="AF16" s="45"/>
      <c r="AG16" s="45"/>
      <c r="AH16" s="45"/>
      <c r="AI16" s="45"/>
      <c r="AJ16" s="45"/>
      <c r="AK16" s="45"/>
    </row>
    <row r="17" spans="1:37" ht="15" customHeight="1" x14ac:dyDescent="0.3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spans="1:37" ht="15" customHeight="1" x14ac:dyDescent="0.3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spans="1:37" ht="15" customHeight="1" x14ac:dyDescent="0.3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0" spans="1:37" ht="15" customHeight="1" x14ac:dyDescent="0.3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row>
    <row r="21" spans="1:37" ht="15" customHeight="1" x14ac:dyDescent="0.3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row>
    <row r="22" spans="1:37" ht="15" customHeight="1" x14ac:dyDescent="0.35">
      <c r="A22" s="45"/>
      <c r="B22" s="97" t="s">
        <v>118</v>
      </c>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45"/>
      <c r="AG22" s="45"/>
      <c r="AH22" s="45"/>
      <c r="AI22" s="45"/>
      <c r="AJ22" s="45"/>
      <c r="AK22" s="45"/>
    </row>
    <row r="23" spans="1:37" ht="15" customHeight="1" x14ac:dyDescent="0.35">
      <c r="A23" s="45"/>
      <c r="B23" s="97"/>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45"/>
      <c r="AG23" s="45"/>
      <c r="AH23" s="45"/>
      <c r="AI23" s="45"/>
      <c r="AJ23" s="45"/>
      <c r="AK23" s="45"/>
    </row>
    <row r="24" spans="1:37" ht="15" customHeight="1" x14ac:dyDescent="0.35">
      <c r="A24" s="45"/>
      <c r="B24" s="112">
        <v>45546</v>
      </c>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45"/>
      <c r="AG24" s="45"/>
      <c r="AH24" s="45"/>
      <c r="AI24" s="45"/>
      <c r="AJ24" s="45"/>
      <c r="AK24" s="45"/>
    </row>
    <row r="25" spans="1:37" ht="15" customHeight="1" x14ac:dyDescent="0.35">
      <c r="A25" s="45"/>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45"/>
      <c r="AG25" s="45"/>
      <c r="AH25" s="45"/>
      <c r="AI25" s="45"/>
      <c r="AJ25" s="45"/>
      <c r="AK25" s="45"/>
    </row>
    <row r="26" spans="1:37" ht="15" customHeight="1" x14ac:dyDescent="0.35">
      <c r="A26" s="45"/>
      <c r="B26" s="97" t="s">
        <v>0</v>
      </c>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45"/>
      <c r="AG26" s="45"/>
      <c r="AH26" s="45"/>
      <c r="AI26" s="45"/>
      <c r="AJ26" s="45"/>
      <c r="AK26" s="45"/>
    </row>
    <row r="27" spans="1:37" ht="15" customHeight="1" x14ac:dyDescent="0.35">
      <c r="A27" s="45"/>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45"/>
      <c r="AG27" s="45"/>
      <c r="AH27" s="45"/>
      <c r="AI27" s="45"/>
      <c r="AJ27" s="45"/>
      <c r="AK27" s="45"/>
    </row>
    <row r="28" spans="1:37" ht="15" customHeight="1" x14ac:dyDescent="0.3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spans="1:37" ht="15" customHeight="1" x14ac:dyDescent="0.35">
      <c r="A29" s="45"/>
      <c r="B29" s="45"/>
      <c r="C29" s="45"/>
      <c r="D29" s="45"/>
      <c r="E29" s="45"/>
      <c r="F29" s="91" t="s">
        <v>119</v>
      </c>
      <c r="G29" s="91"/>
      <c r="H29" s="91"/>
      <c r="I29" s="91"/>
      <c r="J29" s="91"/>
      <c r="K29" s="91"/>
      <c r="L29" s="51"/>
      <c r="M29" s="51"/>
      <c r="N29" s="51"/>
      <c r="O29" s="93" t="s">
        <v>120</v>
      </c>
      <c r="P29" s="91"/>
      <c r="Q29" s="91"/>
      <c r="R29" s="91"/>
      <c r="S29" s="51"/>
      <c r="T29" s="51"/>
      <c r="U29" s="51"/>
      <c r="V29" s="45"/>
      <c r="W29" s="45"/>
      <c r="X29" s="45"/>
      <c r="Y29" s="45"/>
      <c r="Z29" s="45"/>
      <c r="AA29" s="45"/>
      <c r="AB29" s="45"/>
      <c r="AC29" s="45"/>
      <c r="AD29" s="45"/>
      <c r="AE29" s="45"/>
      <c r="AF29" s="45"/>
      <c r="AG29" s="45"/>
      <c r="AH29" s="45"/>
      <c r="AI29" s="45"/>
      <c r="AJ29" s="45"/>
      <c r="AK29" s="45"/>
    </row>
    <row r="30" spans="1:37" x14ac:dyDescent="0.35">
      <c r="A30" s="45"/>
      <c r="B30" s="45"/>
      <c r="C30" s="45"/>
      <c r="D30" s="45"/>
      <c r="E30" s="45"/>
      <c r="F30" s="94">
        <v>45546</v>
      </c>
      <c r="G30" s="95"/>
      <c r="H30" s="95"/>
      <c r="I30" s="95"/>
      <c r="J30" s="95"/>
      <c r="K30" s="96"/>
      <c r="L30" s="52"/>
      <c r="M30" s="51"/>
      <c r="N30" s="94" t="s">
        <v>245</v>
      </c>
      <c r="O30" s="95"/>
      <c r="P30" s="95"/>
      <c r="Q30" s="95"/>
      <c r="R30" s="95"/>
      <c r="S30" s="96"/>
      <c r="T30" s="51"/>
      <c r="U30" s="51"/>
      <c r="V30" s="45"/>
      <c r="W30" s="45"/>
      <c r="X30" s="45"/>
      <c r="Y30" s="45"/>
      <c r="Z30" s="45"/>
      <c r="AA30" s="45"/>
      <c r="AB30" s="45"/>
      <c r="AC30" s="45"/>
      <c r="AD30" s="45"/>
      <c r="AE30" s="45"/>
      <c r="AF30" s="45"/>
      <c r="AG30" s="45"/>
      <c r="AH30" s="45"/>
      <c r="AI30" s="45"/>
      <c r="AJ30" s="45"/>
      <c r="AK30" s="45"/>
    </row>
    <row r="31" spans="1:37" ht="15" customHeight="1" x14ac:dyDescent="0.35">
      <c r="A31" s="45"/>
      <c r="B31" s="45"/>
      <c r="C31" s="45"/>
      <c r="D31" s="45"/>
      <c r="E31" s="45"/>
      <c r="F31" s="84" t="s">
        <v>376</v>
      </c>
      <c r="G31" s="85"/>
      <c r="H31" s="85"/>
      <c r="I31" s="85"/>
      <c r="J31" s="85"/>
      <c r="K31" s="86"/>
      <c r="L31" s="52"/>
      <c r="M31" s="51"/>
      <c r="N31" s="84" t="s">
        <v>121</v>
      </c>
      <c r="O31" s="85"/>
      <c r="P31" s="85"/>
      <c r="Q31" s="85"/>
      <c r="R31" s="85"/>
      <c r="S31" s="86"/>
      <c r="T31" s="51"/>
      <c r="U31" s="51"/>
      <c r="V31" s="45"/>
      <c r="W31" s="45"/>
      <c r="X31" s="45"/>
      <c r="Y31" s="45"/>
      <c r="Z31" s="45"/>
      <c r="AA31" s="45"/>
      <c r="AB31" s="45"/>
      <c r="AC31" s="45"/>
      <c r="AD31" s="45"/>
      <c r="AE31" s="45"/>
      <c r="AF31" s="45"/>
      <c r="AG31" s="45"/>
      <c r="AH31" s="45"/>
      <c r="AI31" s="45"/>
      <c r="AJ31" s="45"/>
      <c r="AK31" s="45"/>
    </row>
    <row r="32" spans="1:37" x14ac:dyDescent="0.35">
      <c r="A32" s="45"/>
      <c r="B32" s="45"/>
      <c r="C32" s="45"/>
      <c r="D32" s="45"/>
      <c r="E32" s="45"/>
      <c r="F32" s="87"/>
      <c r="G32" s="88"/>
      <c r="H32" s="88"/>
      <c r="I32" s="88"/>
      <c r="J32" s="88"/>
      <c r="K32" s="89"/>
      <c r="L32" s="52"/>
      <c r="M32" s="51"/>
      <c r="N32" s="87"/>
      <c r="O32" s="88"/>
      <c r="P32" s="88"/>
      <c r="Q32" s="88"/>
      <c r="R32" s="88"/>
      <c r="S32" s="89"/>
      <c r="T32" s="51"/>
      <c r="U32" s="51"/>
      <c r="V32" s="45"/>
      <c r="W32" s="45"/>
      <c r="X32" s="45"/>
      <c r="Y32" s="45"/>
      <c r="Z32" s="45"/>
      <c r="AA32" s="45"/>
      <c r="AB32" s="45"/>
      <c r="AC32" s="45"/>
      <c r="AD32" s="45"/>
      <c r="AE32" s="45"/>
      <c r="AF32" s="45"/>
      <c r="AG32" s="45"/>
      <c r="AH32" s="45"/>
      <c r="AI32" s="45"/>
      <c r="AJ32" s="45"/>
      <c r="AK32" s="45"/>
    </row>
    <row r="33" spans="1:37" x14ac:dyDescent="0.35">
      <c r="A33" s="45"/>
      <c r="B33" s="45"/>
      <c r="C33" s="45"/>
      <c r="D33" s="45"/>
      <c r="E33" s="45"/>
      <c r="F33" s="87"/>
      <c r="G33" s="88"/>
      <c r="H33" s="88"/>
      <c r="I33" s="88"/>
      <c r="J33" s="88"/>
      <c r="K33" s="89"/>
      <c r="L33" s="52"/>
      <c r="M33" s="51"/>
      <c r="N33" s="87"/>
      <c r="O33" s="88"/>
      <c r="P33" s="88"/>
      <c r="Q33" s="88"/>
      <c r="R33" s="88"/>
      <c r="S33" s="89"/>
      <c r="T33" s="51"/>
      <c r="U33" s="51"/>
      <c r="V33" s="45"/>
      <c r="W33" s="45"/>
      <c r="X33" s="45"/>
      <c r="Y33" s="45"/>
      <c r="Z33" s="45"/>
      <c r="AA33" s="45"/>
      <c r="AB33" s="45"/>
      <c r="AC33" s="45"/>
      <c r="AD33" s="45"/>
      <c r="AE33" s="45"/>
      <c r="AF33" s="45"/>
      <c r="AG33" s="45"/>
      <c r="AH33" s="45"/>
      <c r="AI33" s="45"/>
      <c r="AJ33" s="45"/>
      <c r="AK33" s="45"/>
    </row>
    <row r="34" spans="1:37" x14ac:dyDescent="0.35">
      <c r="A34" s="45"/>
      <c r="B34" s="45"/>
      <c r="C34" s="45"/>
      <c r="D34" s="45"/>
      <c r="E34" s="45"/>
      <c r="F34" s="87"/>
      <c r="G34" s="88"/>
      <c r="H34" s="88"/>
      <c r="I34" s="88"/>
      <c r="J34" s="88"/>
      <c r="K34" s="89"/>
      <c r="L34" s="52"/>
      <c r="M34" s="51"/>
      <c r="N34" s="87"/>
      <c r="O34" s="88"/>
      <c r="P34" s="88"/>
      <c r="Q34" s="88"/>
      <c r="R34" s="88"/>
      <c r="S34" s="89"/>
      <c r="T34" s="51"/>
      <c r="U34" s="51"/>
      <c r="V34" s="45"/>
      <c r="W34" s="45"/>
      <c r="X34" s="45"/>
      <c r="Y34" s="45"/>
      <c r="Z34" s="45"/>
      <c r="AA34" s="45"/>
      <c r="AB34" s="45"/>
      <c r="AC34" s="45"/>
      <c r="AD34" s="45"/>
      <c r="AE34" s="45"/>
      <c r="AF34" s="45"/>
      <c r="AG34" s="45"/>
      <c r="AH34" s="45"/>
      <c r="AI34" s="45"/>
      <c r="AJ34" s="45"/>
      <c r="AK34" s="45"/>
    </row>
    <row r="35" spans="1:37" x14ac:dyDescent="0.35">
      <c r="A35" s="45"/>
      <c r="B35" s="45"/>
      <c r="C35" s="45"/>
      <c r="D35" s="45"/>
      <c r="E35" s="45"/>
      <c r="F35" s="90"/>
      <c r="G35" s="91"/>
      <c r="H35" s="91"/>
      <c r="I35" s="91"/>
      <c r="J35" s="91"/>
      <c r="K35" s="92"/>
      <c r="L35" s="52"/>
      <c r="M35" s="51"/>
      <c r="N35" s="90"/>
      <c r="O35" s="91"/>
      <c r="P35" s="91"/>
      <c r="Q35" s="91"/>
      <c r="R35" s="91"/>
      <c r="S35" s="92"/>
      <c r="T35" s="51"/>
      <c r="U35" s="51"/>
      <c r="V35" s="45"/>
      <c r="W35" s="45"/>
      <c r="X35" s="45"/>
      <c r="Y35" s="45"/>
      <c r="Z35" s="45"/>
      <c r="AA35" s="45"/>
      <c r="AB35" s="45"/>
      <c r="AC35" s="45"/>
      <c r="AD35" s="45"/>
      <c r="AE35" s="45"/>
      <c r="AF35" s="45"/>
      <c r="AG35" s="45"/>
      <c r="AH35" s="45"/>
      <c r="AI35" s="45"/>
      <c r="AJ35" s="45"/>
      <c r="AK35" s="45"/>
    </row>
    <row r="36" spans="1:37" ht="15" customHeight="1" x14ac:dyDescent="0.3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spans="1:37" ht="15" customHeight="1" x14ac:dyDescent="0.3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4"/>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17"/>
  <sheetViews>
    <sheetView showGridLines="0" tabSelected="1" zoomScaleNormal="100" zoomScaleSheetLayoutView="8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0.42578125" bestFit="1" customWidth="1"/>
    <col min="4" max="4" width="11.35546875" style="36" bestFit="1" customWidth="1"/>
    <col min="5" max="5" width="19.5703125" bestFit="1" customWidth="1"/>
    <col min="6" max="6" width="12.2109375" style="36" customWidth="1"/>
    <col min="7" max="7" width="12.2109375" style="36" bestFit="1" customWidth="1"/>
    <col min="8" max="8" width="58.42578125" bestFit="1" customWidth="1"/>
    <col min="9" max="9" width="59.2109375" customWidth="1"/>
    <col min="10" max="10" width="9.2109375" customWidth="1"/>
  </cols>
  <sheetData>
    <row r="1" spans="1:10" ht="19.5" x14ac:dyDescent="0.35">
      <c r="A1" s="21" t="s">
        <v>248</v>
      </c>
      <c r="D1" s="35"/>
    </row>
    <row r="2" spans="1:10" x14ac:dyDescent="0.35">
      <c r="C2" s="19"/>
    </row>
    <row r="3" spans="1:10" x14ac:dyDescent="0.35">
      <c r="B3" s="18" t="s">
        <v>1</v>
      </c>
      <c r="C3" s="18" t="s">
        <v>2</v>
      </c>
      <c r="D3" s="37" t="s">
        <v>122</v>
      </c>
      <c r="E3" s="18" t="s">
        <v>3</v>
      </c>
      <c r="F3" s="37" t="s">
        <v>250</v>
      </c>
      <c r="G3" s="37" t="s">
        <v>251</v>
      </c>
      <c r="H3" s="18" t="s">
        <v>4</v>
      </c>
      <c r="I3" s="18" t="s">
        <v>5</v>
      </c>
    </row>
    <row r="4" spans="1:10" ht="45" customHeight="1" x14ac:dyDescent="0.35">
      <c r="B4" s="15">
        <f t="shared" ref="B4:B11" si="0">ROW()-3</f>
        <v>1</v>
      </c>
      <c r="C4" s="15" t="s">
        <v>252</v>
      </c>
      <c r="D4" s="38" t="s">
        <v>123</v>
      </c>
      <c r="E4" s="130" t="s">
        <v>254</v>
      </c>
      <c r="F4" s="57" t="s">
        <v>385</v>
      </c>
      <c r="G4" s="58">
        <v>45631</v>
      </c>
      <c r="H4" s="23"/>
      <c r="I4" s="23" t="s">
        <v>308</v>
      </c>
      <c r="J4" s="22"/>
    </row>
    <row r="5" spans="1:10" ht="45" customHeight="1" x14ac:dyDescent="0.35">
      <c r="B5" s="15">
        <f t="shared" si="0"/>
        <v>2</v>
      </c>
      <c r="C5" s="15" t="s">
        <v>252</v>
      </c>
      <c r="D5" s="38" t="s">
        <v>123</v>
      </c>
      <c r="E5" s="57" t="s">
        <v>255</v>
      </c>
      <c r="F5" s="57"/>
      <c r="G5" s="57"/>
      <c r="H5" s="23"/>
      <c r="I5" s="23" t="s">
        <v>394</v>
      </c>
    </row>
    <row r="6" spans="1:10" ht="45" customHeight="1" x14ac:dyDescent="0.35">
      <c r="B6" s="15">
        <f t="shared" si="0"/>
        <v>3</v>
      </c>
      <c r="C6" s="15" t="s">
        <v>252</v>
      </c>
      <c r="D6" s="38" t="s">
        <v>123</v>
      </c>
      <c r="E6" s="57" t="s">
        <v>256</v>
      </c>
      <c r="F6" s="57"/>
      <c r="G6" s="57"/>
      <c r="H6" s="23"/>
      <c r="I6" s="23" t="s">
        <v>313</v>
      </c>
    </row>
    <row r="7" spans="1:10" ht="45" customHeight="1" x14ac:dyDescent="0.35">
      <c r="B7" s="15">
        <f t="shared" si="0"/>
        <v>4</v>
      </c>
      <c r="C7" s="15" t="s">
        <v>252</v>
      </c>
      <c r="D7" s="38" t="s">
        <v>123</v>
      </c>
      <c r="E7" s="80" t="s">
        <v>257</v>
      </c>
      <c r="F7" s="57"/>
      <c r="G7" s="57"/>
      <c r="H7" s="23"/>
      <c r="I7" s="23" t="s">
        <v>309</v>
      </c>
    </row>
    <row r="8" spans="1:10" ht="45" customHeight="1" x14ac:dyDescent="0.35">
      <c r="B8" s="15">
        <f t="shared" si="0"/>
        <v>5</v>
      </c>
      <c r="C8" s="15" t="s">
        <v>252</v>
      </c>
      <c r="D8" s="38" t="s">
        <v>123</v>
      </c>
      <c r="E8" s="130" t="s">
        <v>258</v>
      </c>
      <c r="F8" s="57" t="s">
        <v>385</v>
      </c>
      <c r="G8" s="58">
        <v>45631</v>
      </c>
      <c r="H8" s="23"/>
      <c r="I8" s="23" t="s">
        <v>310</v>
      </c>
    </row>
    <row r="9" spans="1:10" ht="45" customHeight="1" x14ac:dyDescent="0.35">
      <c r="B9" s="15">
        <f t="shared" si="0"/>
        <v>6</v>
      </c>
      <c r="C9" s="15" t="s">
        <v>252</v>
      </c>
      <c r="D9" s="38" t="s">
        <v>123</v>
      </c>
      <c r="E9" s="80" t="s">
        <v>259</v>
      </c>
      <c r="F9" s="57" t="s">
        <v>385</v>
      </c>
      <c r="G9" s="58">
        <v>45631</v>
      </c>
      <c r="H9" s="23"/>
      <c r="I9" s="23" t="s">
        <v>314</v>
      </c>
    </row>
    <row r="10" spans="1:10" ht="45" customHeight="1" x14ac:dyDescent="0.35">
      <c r="B10" s="15">
        <f t="shared" si="0"/>
        <v>7</v>
      </c>
      <c r="C10" s="15" t="s">
        <v>252</v>
      </c>
      <c r="D10" s="38" t="s">
        <v>123</v>
      </c>
      <c r="E10" s="80" t="s">
        <v>260</v>
      </c>
      <c r="F10" s="57"/>
      <c r="G10" s="57"/>
      <c r="H10" s="23"/>
      <c r="I10" s="23" t="s">
        <v>311</v>
      </c>
    </row>
    <row r="11" spans="1:10" ht="45" customHeight="1" x14ac:dyDescent="0.35">
      <c r="B11" s="15">
        <f t="shared" si="0"/>
        <v>8</v>
      </c>
      <c r="C11" s="15" t="s">
        <v>252</v>
      </c>
      <c r="D11" s="38" t="s">
        <v>123</v>
      </c>
      <c r="E11" s="80" t="s">
        <v>261</v>
      </c>
      <c r="F11" s="57"/>
      <c r="G11" s="57"/>
      <c r="H11" s="23"/>
      <c r="I11" s="23" t="s">
        <v>312</v>
      </c>
    </row>
    <row r="12" spans="1:10" x14ac:dyDescent="0.35">
      <c r="D12" s="36" t="s">
        <v>253</v>
      </c>
      <c r="F12"/>
      <c r="G12"/>
    </row>
    <row r="13" spans="1:10" x14ac:dyDescent="0.35">
      <c r="F13"/>
      <c r="G13"/>
    </row>
    <row r="14" spans="1:10" x14ac:dyDescent="0.35">
      <c r="F14"/>
      <c r="G14"/>
    </row>
    <row r="15" spans="1:10" x14ac:dyDescent="0.35">
      <c r="F15"/>
      <c r="G15"/>
    </row>
    <row r="16" spans="1:10" x14ac:dyDescent="0.35">
      <c r="F16"/>
      <c r="G16"/>
    </row>
    <row r="17" spans="6:7" x14ac:dyDescent="0.35">
      <c r="F17"/>
      <c r="G17"/>
    </row>
  </sheetData>
  <phoneticPr fontId="14"/>
  <conditionalFormatting sqref="H6:H11">
    <cfRule type="expression" dxfId="1" priority="48">
      <formula>$D6="不要"</formula>
    </cfRule>
  </conditionalFormatting>
  <conditionalFormatting sqref="H4:I5 I6:I11 C4:G11">
    <cfRule type="expression" dxfId="0" priority="34">
      <formula>$E4="不要"</formula>
    </cfRule>
  </conditionalFormatting>
  <dataValidations count="1">
    <dataValidation type="list" allowBlank="1" showInputMessage="1" showErrorMessage="1" sqref="D4:D11" xr:uid="{9CD42255-CFBB-468E-8F7B-585497B90190}">
      <formula1>"共通,個別"</formula1>
    </dataValidation>
  </dataValidations>
  <hyperlinks>
    <hyperlink ref="E4" location="予算作成パラメーター!A1" display="予算作成パラメーター" xr:uid="{A0724BEF-98B7-4363-8E07-A32AB4CF3363}"/>
    <hyperlink ref="E7" location="'人事管理の共有パラメーター (2)'!A1" display="予算モデル" xr:uid="{577C24FC-3B14-4659-851D-F18F22709668}"/>
    <hyperlink ref="E8" location="予算コード!A1" display="予算コード" xr:uid="{72C33BC2-A8E2-499D-AA44-1606F3B09B04}"/>
    <hyperlink ref="E9" location="'予算コード (2)'!A1" display="予算サイクル" xr:uid="{7D0DE51E-509F-4EDD-97D5-B6A9480AE5C8}"/>
    <hyperlink ref="E10" location="'予算サイクル (2)'!A1" display="予算計画のコンフィギュレーション" xr:uid="{BE46C572-C8BB-4232-8A2C-DE992ABBBA68}"/>
    <hyperlink ref="E11" location="'予算サイクル (3)'!A1" display="予算計画プロセス" xr:uid="{6CEA897F-8732-43EF-B124-C4D513D5BF52}"/>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B61C-9DAE-4376-908A-6B4BC5700BD2}">
  <dimension ref="A1:L32"/>
  <sheetViews>
    <sheetView showGridLines="0" zoomScale="70" zoomScaleNormal="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3" t="s">
        <v>254</v>
      </c>
    </row>
    <row r="2" spans="1:12" customFormat="1" ht="19.5" x14ac:dyDescent="0.35">
      <c r="A2" s="53"/>
      <c r="B2" s="79" t="s">
        <v>379</v>
      </c>
    </row>
    <row r="3" spans="1:12" s="127" customFormat="1" ht="15" x14ac:dyDescent="0.35">
      <c r="B3" s="128" t="s">
        <v>377</v>
      </c>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x14ac:dyDescent="0.35">
      <c r="B6" s="11">
        <f>ROW() - 5</f>
        <v>1</v>
      </c>
      <c r="C6" s="59" t="s">
        <v>262</v>
      </c>
      <c r="D6" s="59" t="s">
        <v>268</v>
      </c>
      <c r="E6" s="113" t="s">
        <v>262</v>
      </c>
      <c r="F6" s="12" t="s">
        <v>263</v>
      </c>
      <c r="H6" s="12" t="s">
        <v>316</v>
      </c>
      <c r="I6" s="12"/>
      <c r="J6" s="13"/>
      <c r="K6" s="1"/>
      <c r="L6" s="2"/>
    </row>
    <row r="7" spans="1:12" ht="54" x14ac:dyDescent="0.35">
      <c r="B7" s="11">
        <f t="shared" ref="B7:B32" si="0">ROW() - 5</f>
        <v>2</v>
      </c>
      <c r="C7" s="55"/>
      <c r="D7" s="55"/>
      <c r="E7" s="114"/>
      <c r="F7" s="12" t="s">
        <v>264</v>
      </c>
      <c r="G7" s="12" t="s">
        <v>270</v>
      </c>
      <c r="H7" s="12" t="s">
        <v>26</v>
      </c>
      <c r="I7" s="12" t="s">
        <v>27</v>
      </c>
      <c r="J7" s="13"/>
      <c r="K7" s="1" t="s">
        <v>27</v>
      </c>
      <c r="L7" s="2"/>
    </row>
    <row r="8" spans="1:12" ht="27" x14ac:dyDescent="0.35">
      <c r="B8" s="11">
        <f t="shared" si="0"/>
        <v>3</v>
      </c>
      <c r="C8" s="55"/>
      <c r="D8" s="55"/>
      <c r="E8" s="114"/>
      <c r="F8" s="12" t="s">
        <v>265</v>
      </c>
      <c r="G8" s="13" t="s">
        <v>271</v>
      </c>
      <c r="H8" s="12" t="s">
        <v>26</v>
      </c>
      <c r="I8" s="12" t="s">
        <v>27</v>
      </c>
      <c r="J8" s="13"/>
      <c r="K8" s="1" t="s">
        <v>27</v>
      </c>
      <c r="L8" s="2"/>
    </row>
    <row r="9" spans="1:12" ht="54" x14ac:dyDescent="0.35">
      <c r="B9" s="11">
        <f t="shared" si="0"/>
        <v>4</v>
      </c>
      <c r="C9" s="55"/>
      <c r="D9" s="55"/>
      <c r="E9" s="114"/>
      <c r="F9" s="12" t="s">
        <v>266</v>
      </c>
      <c r="G9" s="13" t="s">
        <v>272</v>
      </c>
      <c r="H9" s="12" t="s">
        <v>26</v>
      </c>
      <c r="I9" s="12" t="s">
        <v>27</v>
      </c>
      <c r="J9" s="13"/>
      <c r="K9" s="1" t="s">
        <v>27</v>
      </c>
      <c r="L9" s="2"/>
    </row>
    <row r="10" spans="1:12" ht="229.5" x14ac:dyDescent="0.35">
      <c r="B10" s="11">
        <f t="shared" si="0"/>
        <v>5</v>
      </c>
      <c r="C10" s="55"/>
      <c r="D10" s="55"/>
      <c r="E10" s="115"/>
      <c r="F10" s="12" t="s">
        <v>267</v>
      </c>
      <c r="G10" s="13" t="s">
        <v>273</v>
      </c>
      <c r="H10" s="12" t="s">
        <v>317</v>
      </c>
      <c r="I10" s="16"/>
      <c r="J10" s="13"/>
      <c r="K10" s="1"/>
      <c r="L10" s="2"/>
    </row>
    <row r="11" spans="1:12" ht="135" x14ac:dyDescent="0.35">
      <c r="B11" s="11">
        <f t="shared" si="0"/>
        <v>6</v>
      </c>
      <c r="C11" s="55"/>
      <c r="D11" s="55"/>
      <c r="E11" s="113" t="s">
        <v>274</v>
      </c>
      <c r="F11" s="12" t="s">
        <v>275</v>
      </c>
      <c r="G11" s="61" t="s">
        <v>276</v>
      </c>
      <c r="H11" s="12" t="s">
        <v>306</v>
      </c>
      <c r="I11" s="12" t="s">
        <v>380</v>
      </c>
      <c r="J11" s="61"/>
      <c r="K11" s="1" t="s">
        <v>380</v>
      </c>
      <c r="L11" s="2"/>
    </row>
    <row r="12" spans="1:12" ht="81" x14ac:dyDescent="0.35">
      <c r="B12" s="11">
        <f t="shared" si="0"/>
        <v>7</v>
      </c>
      <c r="C12" s="55"/>
      <c r="D12" s="55"/>
      <c r="E12" s="114"/>
      <c r="F12" s="12" t="s">
        <v>277</v>
      </c>
      <c r="G12" s="61" t="s">
        <v>278</v>
      </c>
      <c r="H12" s="12" t="s">
        <v>305</v>
      </c>
      <c r="I12" s="12" t="s">
        <v>381</v>
      </c>
      <c r="J12" s="61"/>
      <c r="K12" s="1" t="s">
        <v>382</v>
      </c>
      <c r="L12" s="2"/>
    </row>
    <row r="13" spans="1:12" ht="81" x14ac:dyDescent="0.35">
      <c r="B13" s="11">
        <f t="shared" si="0"/>
        <v>8</v>
      </c>
      <c r="C13" s="55"/>
      <c r="D13" s="113" t="s">
        <v>279</v>
      </c>
      <c r="E13" s="59" t="s">
        <v>280</v>
      </c>
      <c r="F13" s="12" t="s">
        <v>281</v>
      </c>
      <c r="G13" s="61" t="s">
        <v>282</v>
      </c>
      <c r="H13" s="12" t="s">
        <v>26</v>
      </c>
      <c r="I13" s="12" t="s">
        <v>27</v>
      </c>
      <c r="J13" s="61"/>
      <c r="K13" s="1" t="s">
        <v>27</v>
      </c>
      <c r="L13" s="2"/>
    </row>
    <row r="14" spans="1:12" ht="81" x14ac:dyDescent="0.35">
      <c r="B14" s="11">
        <f t="shared" si="0"/>
        <v>9</v>
      </c>
      <c r="C14" s="55"/>
      <c r="D14" s="114"/>
      <c r="E14" s="60"/>
      <c r="F14" s="12" t="s">
        <v>283</v>
      </c>
      <c r="G14" s="61" t="s">
        <v>334</v>
      </c>
      <c r="H14" s="12" t="s">
        <v>26</v>
      </c>
      <c r="I14" s="12" t="s">
        <v>27</v>
      </c>
      <c r="J14" s="61"/>
      <c r="K14" s="1" t="s">
        <v>27</v>
      </c>
      <c r="L14" s="2"/>
    </row>
    <row r="15" spans="1:12" ht="54" x14ac:dyDescent="0.35">
      <c r="B15" s="11">
        <f t="shared" si="0"/>
        <v>10</v>
      </c>
      <c r="C15" s="55"/>
      <c r="D15" s="114"/>
      <c r="E15" s="113" t="s">
        <v>284</v>
      </c>
      <c r="F15" s="12" t="s">
        <v>285</v>
      </c>
      <c r="G15" s="26" t="s">
        <v>335</v>
      </c>
      <c r="H15" s="12" t="s">
        <v>26</v>
      </c>
      <c r="I15" s="12" t="s">
        <v>27</v>
      </c>
      <c r="J15" s="12"/>
      <c r="K15" s="34" t="s">
        <v>27</v>
      </c>
      <c r="L15" s="2"/>
    </row>
    <row r="16" spans="1:12" ht="40.5" x14ac:dyDescent="0.35">
      <c r="B16" s="11">
        <f t="shared" si="0"/>
        <v>11</v>
      </c>
      <c r="C16" s="55"/>
      <c r="D16" s="114"/>
      <c r="E16" s="115"/>
      <c r="F16" s="12" t="s">
        <v>286</v>
      </c>
      <c r="G16" s="12" t="s">
        <v>287</v>
      </c>
      <c r="H16" s="12" t="s">
        <v>26</v>
      </c>
      <c r="I16" s="12" t="s">
        <v>27</v>
      </c>
      <c r="J16" s="12"/>
      <c r="K16" s="1" t="s">
        <v>27</v>
      </c>
      <c r="L16" s="2"/>
    </row>
    <row r="17" spans="2:12" ht="27" x14ac:dyDescent="0.35">
      <c r="B17" s="11">
        <f t="shared" si="0"/>
        <v>12</v>
      </c>
      <c r="C17" s="55"/>
      <c r="D17" s="114"/>
      <c r="E17" s="59" t="s">
        <v>288</v>
      </c>
      <c r="F17" s="12" t="s">
        <v>289</v>
      </c>
      <c r="G17" s="12" t="s">
        <v>290</v>
      </c>
      <c r="H17" s="12" t="s">
        <v>26</v>
      </c>
      <c r="I17" s="12" t="s">
        <v>27</v>
      </c>
      <c r="J17" s="17"/>
      <c r="K17" s="34" t="s">
        <v>27</v>
      </c>
      <c r="L17" s="2"/>
    </row>
    <row r="18" spans="2:12" ht="28.5" customHeight="1" x14ac:dyDescent="0.35">
      <c r="B18" s="11">
        <f t="shared" si="0"/>
        <v>13</v>
      </c>
      <c r="C18" s="55"/>
      <c r="D18" s="114"/>
      <c r="E18" s="55"/>
      <c r="F18" s="12" t="s">
        <v>257</v>
      </c>
      <c r="G18" s="12"/>
      <c r="H18" s="12" t="s">
        <v>318</v>
      </c>
      <c r="I18" s="12"/>
      <c r="J18" s="17"/>
      <c r="K18" s="1"/>
      <c r="L18" s="2"/>
    </row>
    <row r="19" spans="2:12" ht="28.5" customHeight="1" x14ac:dyDescent="0.35">
      <c r="B19" s="11">
        <f t="shared" si="0"/>
        <v>14</v>
      </c>
      <c r="C19" s="55"/>
      <c r="D19" s="115"/>
      <c r="E19" s="60"/>
      <c r="F19" s="12" t="s">
        <v>258</v>
      </c>
      <c r="G19" s="17"/>
      <c r="H19" s="12" t="s">
        <v>319</v>
      </c>
      <c r="I19" s="12"/>
      <c r="J19" s="17"/>
      <c r="K19" s="1"/>
      <c r="L19" s="2"/>
    </row>
    <row r="20" spans="2:12" ht="27" x14ac:dyDescent="0.35">
      <c r="B20" s="11">
        <f t="shared" si="0"/>
        <v>15</v>
      </c>
      <c r="C20" s="113" t="s">
        <v>291</v>
      </c>
      <c r="D20" s="113" t="s">
        <v>292</v>
      </c>
      <c r="E20" s="113" t="s">
        <v>293</v>
      </c>
      <c r="F20" s="12" t="s">
        <v>294</v>
      </c>
      <c r="G20" s="12"/>
      <c r="H20" s="12" t="s">
        <v>307</v>
      </c>
      <c r="I20" s="12" t="s">
        <v>384</v>
      </c>
      <c r="J20" s="17"/>
      <c r="K20" s="34" t="s">
        <v>383</v>
      </c>
      <c r="L20" s="2"/>
    </row>
    <row r="21" spans="2:12" ht="28.5" customHeight="1" x14ac:dyDescent="0.35">
      <c r="B21" s="11">
        <f t="shared" si="0"/>
        <v>16</v>
      </c>
      <c r="C21" s="114"/>
      <c r="D21" s="114"/>
      <c r="E21" s="114"/>
      <c r="F21" s="12" t="s">
        <v>295</v>
      </c>
      <c r="G21" s="12" t="s">
        <v>29</v>
      </c>
      <c r="H21" s="12" t="s">
        <v>320</v>
      </c>
      <c r="I21" s="12"/>
      <c r="J21" s="17"/>
      <c r="K21" s="1"/>
      <c r="L21" s="2"/>
    </row>
    <row r="22" spans="2:12" x14ac:dyDescent="0.35">
      <c r="B22" s="11">
        <f t="shared" si="0"/>
        <v>17</v>
      </c>
      <c r="C22" s="114"/>
      <c r="D22" s="114"/>
      <c r="E22" s="115"/>
      <c r="F22" s="12" t="s">
        <v>257</v>
      </c>
      <c r="G22" s="12"/>
      <c r="H22" s="12" t="s">
        <v>318</v>
      </c>
      <c r="I22" s="12"/>
      <c r="J22" s="12"/>
      <c r="K22" s="1"/>
      <c r="L22" s="2"/>
    </row>
    <row r="23" spans="2:12" ht="15" customHeight="1" x14ac:dyDescent="0.35">
      <c r="B23" s="11">
        <f t="shared" si="0"/>
        <v>18</v>
      </c>
      <c r="C23" s="114"/>
      <c r="D23" s="114"/>
      <c r="E23" s="113" t="s">
        <v>30</v>
      </c>
      <c r="F23" s="12" t="s">
        <v>296</v>
      </c>
      <c r="G23" s="12" t="s">
        <v>29</v>
      </c>
      <c r="H23" s="12" t="s">
        <v>321</v>
      </c>
      <c r="I23" s="12"/>
      <c r="J23" s="12"/>
      <c r="K23" s="1"/>
      <c r="L23" s="2"/>
    </row>
    <row r="24" spans="2:12" x14ac:dyDescent="0.35">
      <c r="B24" s="11">
        <f t="shared" si="0"/>
        <v>19</v>
      </c>
      <c r="C24" s="114"/>
      <c r="D24" s="114"/>
      <c r="E24" s="114"/>
      <c r="F24" s="12" t="s">
        <v>259</v>
      </c>
      <c r="G24" s="12" t="s">
        <v>29</v>
      </c>
      <c r="H24" s="129" t="s">
        <v>322</v>
      </c>
      <c r="I24" s="12"/>
      <c r="J24" s="12"/>
      <c r="K24" s="1"/>
      <c r="L24" s="2"/>
    </row>
    <row r="25" spans="2:12" x14ac:dyDescent="0.35">
      <c r="B25" s="11">
        <f t="shared" si="0"/>
        <v>20</v>
      </c>
      <c r="C25" s="114"/>
      <c r="D25" s="114"/>
      <c r="E25" s="115"/>
      <c r="F25" s="12" t="s">
        <v>297</v>
      </c>
      <c r="G25" s="12" t="s">
        <v>29</v>
      </c>
      <c r="H25" s="129" t="s">
        <v>323</v>
      </c>
      <c r="I25" s="12"/>
      <c r="J25" s="17"/>
      <c r="K25" s="34"/>
      <c r="L25" s="2"/>
    </row>
    <row r="26" spans="2:12" ht="28.75" customHeight="1" x14ac:dyDescent="0.35">
      <c r="B26" s="11">
        <f t="shared" si="0"/>
        <v>21</v>
      </c>
      <c r="C26" s="114"/>
      <c r="D26" s="114"/>
      <c r="E26" s="113" t="s">
        <v>298</v>
      </c>
      <c r="F26" s="12" t="s">
        <v>299</v>
      </c>
      <c r="G26" s="12" t="s">
        <v>29</v>
      </c>
      <c r="H26" s="129" t="s">
        <v>324</v>
      </c>
      <c r="I26" s="12"/>
      <c r="J26" s="17"/>
      <c r="K26" s="34"/>
      <c r="L26" s="2"/>
    </row>
    <row r="27" spans="2:12" x14ac:dyDescent="0.35">
      <c r="B27" s="11">
        <f t="shared" si="0"/>
        <v>22</v>
      </c>
      <c r="C27" s="114"/>
      <c r="D27" s="114"/>
      <c r="E27" s="114"/>
      <c r="F27" s="12" t="s">
        <v>300</v>
      </c>
      <c r="G27" s="12"/>
      <c r="H27" s="12" t="s">
        <v>31</v>
      </c>
      <c r="I27" s="12">
        <v>0</v>
      </c>
      <c r="J27" s="17"/>
      <c r="K27" s="1">
        <v>0</v>
      </c>
      <c r="L27" s="2"/>
    </row>
    <row r="28" spans="2:12" x14ac:dyDescent="0.35">
      <c r="B28" s="11">
        <f t="shared" si="0"/>
        <v>23</v>
      </c>
      <c r="C28" s="114"/>
      <c r="D28" s="114"/>
      <c r="E28" s="114"/>
      <c r="F28" s="12" t="s">
        <v>301</v>
      </c>
      <c r="G28" s="12" t="s">
        <v>29</v>
      </c>
      <c r="H28" s="27" t="s">
        <v>324</v>
      </c>
      <c r="I28" s="12"/>
      <c r="J28" s="17"/>
      <c r="K28" s="34"/>
      <c r="L28" s="2"/>
    </row>
    <row r="29" spans="2:12" x14ac:dyDescent="0.35">
      <c r="B29" s="11">
        <f t="shared" si="0"/>
        <v>24</v>
      </c>
      <c r="C29" s="114"/>
      <c r="D29" s="115"/>
      <c r="E29" s="115"/>
      <c r="F29" s="12" t="s">
        <v>302</v>
      </c>
      <c r="G29" s="12"/>
      <c r="H29" s="12" t="s">
        <v>31</v>
      </c>
      <c r="I29" s="12">
        <v>100</v>
      </c>
      <c r="J29" s="12"/>
      <c r="K29" s="1">
        <v>100</v>
      </c>
      <c r="L29" s="2"/>
    </row>
    <row r="30" spans="2:12" x14ac:dyDescent="0.35">
      <c r="B30" s="11">
        <f t="shared" si="0"/>
        <v>25</v>
      </c>
      <c r="C30" s="115"/>
      <c r="D30" s="55" t="s">
        <v>303</v>
      </c>
      <c r="E30" s="55" t="s">
        <v>261</v>
      </c>
      <c r="F30" s="12"/>
      <c r="G30" s="12" t="s">
        <v>29</v>
      </c>
      <c r="H30" s="12" t="s">
        <v>321</v>
      </c>
      <c r="I30" s="12"/>
      <c r="J30" s="12"/>
      <c r="K30" s="1"/>
      <c r="L30" s="2"/>
    </row>
    <row r="31" spans="2:12" ht="27" x14ac:dyDescent="0.35">
      <c r="B31" s="43">
        <f t="shared" si="0"/>
        <v>26</v>
      </c>
      <c r="C31" s="113" t="s">
        <v>34</v>
      </c>
      <c r="D31" s="116" t="s">
        <v>304</v>
      </c>
      <c r="E31" s="12"/>
      <c r="F31" s="12" t="s">
        <v>36</v>
      </c>
      <c r="G31" s="12"/>
      <c r="H31" s="12" t="s">
        <v>315</v>
      </c>
      <c r="I31" s="12"/>
      <c r="J31" s="12"/>
      <c r="K31" s="1" t="s">
        <v>338</v>
      </c>
      <c r="L31" s="2"/>
    </row>
    <row r="32" spans="2:12" ht="27" x14ac:dyDescent="0.35">
      <c r="B32" s="43">
        <f t="shared" si="0"/>
        <v>27</v>
      </c>
      <c r="C32" s="115"/>
      <c r="D32" s="116"/>
      <c r="E32" s="12"/>
      <c r="F32" s="43" t="s">
        <v>37</v>
      </c>
      <c r="G32" s="12" t="s">
        <v>29</v>
      </c>
      <c r="H32" s="12" t="s">
        <v>325</v>
      </c>
      <c r="I32" s="12"/>
      <c r="J32" s="12"/>
      <c r="K32" s="1" t="s">
        <v>338</v>
      </c>
      <c r="L32" s="2"/>
    </row>
  </sheetData>
  <mergeCells count="11">
    <mergeCell ref="E11:E12"/>
    <mergeCell ref="E6:E10"/>
    <mergeCell ref="C20:C30"/>
    <mergeCell ref="D31:D32"/>
    <mergeCell ref="E15:E16"/>
    <mergeCell ref="C31:C32"/>
    <mergeCell ref="D13:D19"/>
    <mergeCell ref="E20:E22"/>
    <mergeCell ref="E26:E29"/>
    <mergeCell ref="E23:E25"/>
    <mergeCell ref="D20:D29"/>
  </mergeCells>
  <phoneticPr fontId="14"/>
  <hyperlinks>
    <hyperlink ref="A4" location="パラメータ設定一覧!A1" display="パラメータ設定一覧へ" xr:uid="{95E90874-2248-49C8-89A4-BDC1989DAFF1}"/>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2979-A68F-4CF6-B192-51762DB49407}">
  <dimension ref="A1:E10"/>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27" customWidth="1"/>
    <col min="2" max="2" width="3.5703125" style="27" bestFit="1" customWidth="1"/>
    <col min="3" max="3" width="26.2109375" style="27" bestFit="1" customWidth="1"/>
    <col min="4" max="4" width="17.78515625" style="27" customWidth="1"/>
    <col min="5" max="5" width="115.2109375" style="27" bestFit="1" customWidth="1"/>
    <col min="6" max="16384" width="8.78515625" style="27"/>
  </cols>
  <sheetData>
    <row r="1" spans="1:5" customFormat="1" ht="19.5" x14ac:dyDescent="0.35">
      <c r="A1" s="24" t="s">
        <v>269</v>
      </c>
    </row>
    <row r="2" spans="1:5" customFormat="1" ht="15" x14ac:dyDescent="0.35"/>
    <row r="3" spans="1:5" customFormat="1" ht="15" x14ac:dyDescent="0.35">
      <c r="A3" s="6" t="s">
        <v>249</v>
      </c>
    </row>
    <row r="4" spans="1:5" x14ac:dyDescent="0.35">
      <c r="B4" s="117" t="s">
        <v>8</v>
      </c>
      <c r="C4" s="14" t="s">
        <v>9</v>
      </c>
      <c r="D4" s="20" t="s">
        <v>10</v>
      </c>
      <c r="E4" s="118" t="s">
        <v>11</v>
      </c>
    </row>
    <row r="5" spans="1:5" x14ac:dyDescent="0.35">
      <c r="B5" s="117"/>
      <c r="C5" s="3" t="s">
        <v>23</v>
      </c>
      <c r="D5" s="4" t="s">
        <v>152</v>
      </c>
      <c r="E5" s="119"/>
    </row>
    <row r="6" spans="1:5" x14ac:dyDescent="0.3">
      <c r="B6" s="63">
        <f t="shared" ref="B6:B10" si="0">ROW() - 5</f>
        <v>1</v>
      </c>
      <c r="C6" s="25" t="s">
        <v>326</v>
      </c>
      <c r="D6" s="64"/>
      <c r="E6" s="26" t="s">
        <v>331</v>
      </c>
    </row>
    <row r="7" spans="1:5" x14ac:dyDescent="0.3">
      <c r="B7" s="63">
        <f t="shared" si="0"/>
        <v>2</v>
      </c>
      <c r="C7" s="25" t="s">
        <v>327</v>
      </c>
      <c r="D7" s="64"/>
      <c r="E7" s="26" t="s">
        <v>332</v>
      </c>
    </row>
    <row r="8" spans="1:5" x14ac:dyDescent="0.3">
      <c r="B8" s="63">
        <f t="shared" si="0"/>
        <v>3</v>
      </c>
      <c r="C8" s="25" t="s">
        <v>328</v>
      </c>
      <c r="D8" s="64"/>
      <c r="E8" s="26" t="s">
        <v>333</v>
      </c>
    </row>
    <row r="9" spans="1:5" x14ac:dyDescent="0.3">
      <c r="B9" s="63">
        <f t="shared" si="0"/>
        <v>4</v>
      </c>
      <c r="C9" s="12" t="s">
        <v>329</v>
      </c>
      <c r="D9" s="64"/>
      <c r="E9" s="26" t="s">
        <v>336</v>
      </c>
    </row>
    <row r="10" spans="1:5" x14ac:dyDescent="0.3">
      <c r="B10" s="63">
        <f t="shared" si="0"/>
        <v>5</v>
      </c>
      <c r="C10" s="25" t="s">
        <v>330</v>
      </c>
      <c r="D10" s="64"/>
      <c r="E10" s="26" t="s">
        <v>337</v>
      </c>
    </row>
  </sheetData>
  <sheetProtection insertRows="0" deleteRows="0" sort="0" autoFilter="0"/>
  <mergeCells count="2">
    <mergeCell ref="B4:B5"/>
    <mergeCell ref="E4:E5"/>
  </mergeCells>
  <phoneticPr fontId="14"/>
  <hyperlinks>
    <hyperlink ref="A3" location="パラメータ設定一覧!A1" display="パラメータ設定一覧へ" xr:uid="{50B59CC0-FC40-47F5-BC42-9EE39212F831}"/>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B9E-5A24-4434-B603-80E3E3B7EFDB}">
  <dimension ref="A1:L42"/>
  <sheetViews>
    <sheetView showGridLines="0" zoomScale="80" zoomScaleNormal="8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257</v>
      </c>
    </row>
    <row r="2" spans="1:12" customFormat="1" ht="19.5" x14ac:dyDescent="0.35">
      <c r="A2" s="5"/>
      <c r="B2" t="s">
        <v>393</v>
      </c>
    </row>
    <row r="3" spans="1:12" customFormat="1" ht="15" x14ac:dyDescent="0.35">
      <c r="A3" s="127"/>
      <c r="B3" s="127" t="s">
        <v>41</v>
      </c>
      <c r="C3" s="127"/>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ht="27" x14ac:dyDescent="0.35">
      <c r="B6" s="11">
        <f>ROW() - 5</f>
        <v>1</v>
      </c>
      <c r="C6" s="113" t="s">
        <v>339</v>
      </c>
      <c r="D6" s="120"/>
      <c r="E6" s="120"/>
      <c r="F6" s="12" t="s">
        <v>257</v>
      </c>
      <c r="G6" s="12" t="s">
        <v>29</v>
      </c>
      <c r="H6" s="12" t="s">
        <v>343</v>
      </c>
      <c r="I6" s="12" t="s">
        <v>33</v>
      </c>
      <c r="J6" s="13"/>
      <c r="K6" s="1" t="s">
        <v>388</v>
      </c>
      <c r="L6" s="2"/>
    </row>
    <row r="7" spans="1:12" ht="14.4" customHeight="1" x14ac:dyDescent="0.35">
      <c r="B7" s="11">
        <f t="shared" ref="B7:B10" si="0">ROW() - 5</f>
        <v>2</v>
      </c>
      <c r="C7" s="114"/>
      <c r="D7" s="121"/>
      <c r="E7" s="121"/>
      <c r="F7" s="12" t="s">
        <v>109</v>
      </c>
      <c r="G7" s="12" t="s">
        <v>45</v>
      </c>
      <c r="H7" s="12"/>
      <c r="I7" s="12" t="s">
        <v>33</v>
      </c>
      <c r="J7" s="13"/>
      <c r="K7" s="1" t="s">
        <v>388</v>
      </c>
      <c r="L7" s="2"/>
    </row>
    <row r="8" spans="1:12" ht="67.5" x14ac:dyDescent="0.35">
      <c r="B8" s="11">
        <f t="shared" si="0"/>
        <v>3</v>
      </c>
      <c r="C8" s="113" t="s">
        <v>22</v>
      </c>
      <c r="D8" s="55"/>
      <c r="E8" s="55"/>
      <c r="F8" s="12" t="s">
        <v>342</v>
      </c>
      <c r="G8" s="12"/>
      <c r="H8" s="12" t="s">
        <v>344</v>
      </c>
      <c r="I8" s="12" t="s">
        <v>26</v>
      </c>
      <c r="J8" s="13"/>
      <c r="K8" s="1" t="s">
        <v>388</v>
      </c>
      <c r="L8" s="2"/>
    </row>
    <row r="9" spans="1:12" ht="27" x14ac:dyDescent="0.35">
      <c r="B9" s="11">
        <f t="shared" si="0"/>
        <v>4</v>
      </c>
      <c r="C9" s="114"/>
      <c r="D9" s="55"/>
      <c r="E9" s="55"/>
      <c r="F9" s="55" t="s">
        <v>340</v>
      </c>
      <c r="G9" s="12"/>
      <c r="H9" s="12" t="s">
        <v>345</v>
      </c>
      <c r="I9" s="12" t="s">
        <v>26</v>
      </c>
      <c r="J9" s="13"/>
      <c r="K9" s="1" t="s">
        <v>388</v>
      </c>
      <c r="L9" s="2"/>
    </row>
    <row r="10" spans="1:12" ht="81" x14ac:dyDescent="0.35">
      <c r="B10" s="11">
        <f t="shared" si="0"/>
        <v>5</v>
      </c>
      <c r="C10" s="12" t="s">
        <v>341</v>
      </c>
      <c r="D10" s="12"/>
      <c r="E10" s="12"/>
      <c r="F10" s="12" t="s">
        <v>341</v>
      </c>
      <c r="G10" s="12"/>
      <c r="H10" s="12" t="s">
        <v>346</v>
      </c>
      <c r="I10" s="12" t="s">
        <v>347</v>
      </c>
      <c r="J10" s="13"/>
      <c r="K10" s="1" t="s">
        <v>388</v>
      </c>
      <c r="L10" s="2"/>
    </row>
    <row r="17" s="27" customFormat="1" x14ac:dyDescent="0.35"/>
    <row r="18" s="27" customFormat="1" x14ac:dyDescent="0.35"/>
    <row r="19" s="27" customFormat="1" x14ac:dyDescent="0.35"/>
    <row r="20" s="27" customFormat="1" x14ac:dyDescent="0.35"/>
    <row r="21" s="27" customFormat="1" x14ac:dyDescent="0.35"/>
    <row r="22" s="27" customFormat="1" x14ac:dyDescent="0.35"/>
    <row r="23" s="27" customFormat="1" x14ac:dyDescent="0.35"/>
    <row r="24" s="27" customFormat="1" x14ac:dyDescent="0.35"/>
    <row r="25" s="27" customFormat="1" x14ac:dyDescent="0.35"/>
    <row r="26" s="27" customFormat="1" x14ac:dyDescent="0.35"/>
    <row r="27" s="27" customFormat="1" x14ac:dyDescent="0.35"/>
    <row r="28" s="27" customFormat="1" x14ac:dyDescent="0.35"/>
    <row r="29" s="27" customFormat="1" x14ac:dyDescent="0.35"/>
    <row r="30" s="27" customFormat="1" x14ac:dyDescent="0.35"/>
    <row r="31" s="27" customFormat="1" x14ac:dyDescent="0.35"/>
    <row r="32" s="27" customFormat="1" x14ac:dyDescent="0.35"/>
    <row r="33" s="27" customFormat="1" x14ac:dyDescent="0.35"/>
    <row r="34" s="27" customFormat="1" x14ac:dyDescent="0.35"/>
    <row r="35" s="27" customFormat="1" x14ac:dyDescent="0.35"/>
    <row r="36" s="27" customFormat="1" x14ac:dyDescent="0.35"/>
    <row r="37" s="27" customFormat="1" x14ac:dyDescent="0.35"/>
    <row r="38" s="27" customFormat="1" x14ac:dyDescent="0.35"/>
    <row r="39" s="27" customFormat="1" x14ac:dyDescent="0.35"/>
    <row r="40" s="27" customFormat="1" x14ac:dyDescent="0.35"/>
    <row r="41" s="27" customFormat="1" x14ac:dyDescent="0.35"/>
    <row r="42" s="27" customFormat="1" x14ac:dyDescent="0.35"/>
  </sheetData>
  <mergeCells count="4">
    <mergeCell ref="C6:C7"/>
    <mergeCell ref="C8:C9"/>
    <mergeCell ref="D6:D7"/>
    <mergeCell ref="E6:E7"/>
  </mergeCells>
  <phoneticPr fontId="14"/>
  <hyperlinks>
    <hyperlink ref="A4" location="パラメータ設定一覧!A1" display="パラメータ設定一覧へ" xr:uid="{9AEE5F17-FA01-46BB-9EDB-C08A1DACF63E}"/>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2A91-F7C3-49D1-9EAF-03181C60CD3F}">
  <dimension ref="A1:G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7" customWidth="1"/>
    <col min="2" max="2" width="6.7109375" style="27" bestFit="1" customWidth="1"/>
    <col min="3" max="3" width="26.2109375" style="27" bestFit="1" customWidth="1"/>
    <col min="4" max="7" width="17.78515625" style="27" customWidth="1"/>
    <col min="8" max="16384" width="8.78515625" style="27"/>
  </cols>
  <sheetData>
    <row r="1" spans="1:7" customFormat="1" ht="19.5" x14ac:dyDescent="0.35">
      <c r="A1" s="24" t="s">
        <v>348</v>
      </c>
    </row>
    <row r="2" spans="1:7" customFormat="1" ht="15" x14ac:dyDescent="0.35"/>
    <row r="3" spans="1:7" customFormat="1" ht="15" x14ac:dyDescent="0.35">
      <c r="A3" s="6" t="s">
        <v>249</v>
      </c>
    </row>
    <row r="4" spans="1:7" x14ac:dyDescent="0.35">
      <c r="B4" s="117" t="s">
        <v>8</v>
      </c>
      <c r="C4" s="122" t="s">
        <v>339</v>
      </c>
      <c r="D4" s="123"/>
      <c r="E4" s="122" t="s">
        <v>22</v>
      </c>
      <c r="F4" s="123"/>
      <c r="G4" s="20" t="s">
        <v>341</v>
      </c>
    </row>
    <row r="5" spans="1:7" ht="28.75" customHeight="1" x14ac:dyDescent="0.35">
      <c r="B5" s="117"/>
      <c r="C5" s="14" t="s">
        <v>257</v>
      </c>
      <c r="D5" s="20" t="s">
        <v>109</v>
      </c>
      <c r="E5" s="20" t="s">
        <v>342</v>
      </c>
      <c r="F5" s="20" t="s">
        <v>340</v>
      </c>
      <c r="G5" s="20" t="s">
        <v>341</v>
      </c>
    </row>
    <row r="6" spans="1:7" ht="43.25" customHeight="1" x14ac:dyDescent="0.35">
      <c r="B6" s="117"/>
      <c r="C6" s="3" t="s">
        <v>33</v>
      </c>
      <c r="D6" s="4" t="s">
        <v>33</v>
      </c>
      <c r="E6" s="4" t="s">
        <v>26</v>
      </c>
      <c r="F6" s="4" t="s">
        <v>26</v>
      </c>
      <c r="G6" s="67" t="s">
        <v>347</v>
      </c>
    </row>
    <row r="7" spans="1:7" x14ac:dyDescent="0.3">
      <c r="B7" s="63">
        <f>ROW()-6</f>
        <v>1</v>
      </c>
      <c r="C7" s="25" t="s">
        <v>386</v>
      </c>
      <c r="D7" s="64" t="s">
        <v>387</v>
      </c>
      <c r="E7" s="64"/>
      <c r="F7" s="64"/>
      <c r="G7" s="64"/>
    </row>
    <row r="8" spans="1:7" x14ac:dyDescent="0.3">
      <c r="B8" s="63">
        <f t="shared" ref="B8:B16" si="0">ROW()-6</f>
        <v>2</v>
      </c>
      <c r="C8" s="25"/>
      <c r="D8" s="64"/>
      <c r="E8" s="64"/>
      <c r="F8" s="64"/>
      <c r="G8" s="64"/>
    </row>
    <row r="9" spans="1:7" x14ac:dyDescent="0.3">
      <c r="B9" s="63">
        <f t="shared" si="0"/>
        <v>3</v>
      </c>
      <c r="C9" s="25"/>
      <c r="D9" s="64"/>
      <c r="E9" s="64"/>
      <c r="F9" s="64"/>
      <c r="G9" s="64"/>
    </row>
    <row r="10" spans="1:7" x14ac:dyDescent="0.3">
      <c r="B10" s="63">
        <f t="shared" si="0"/>
        <v>4</v>
      </c>
      <c r="C10" s="25"/>
      <c r="D10" s="64"/>
      <c r="E10" s="64"/>
      <c r="F10" s="64"/>
      <c r="G10" s="64"/>
    </row>
    <row r="11" spans="1:7" x14ac:dyDescent="0.3">
      <c r="B11" s="63">
        <f t="shared" si="0"/>
        <v>5</v>
      </c>
      <c r="C11" s="25"/>
      <c r="D11" s="64"/>
      <c r="E11" s="64"/>
      <c r="F11" s="64"/>
      <c r="G11" s="64"/>
    </row>
    <row r="12" spans="1:7" x14ac:dyDescent="0.3">
      <c r="B12" s="63">
        <f t="shared" si="0"/>
        <v>6</v>
      </c>
      <c r="C12" s="25"/>
      <c r="D12" s="64"/>
      <c r="E12" s="64"/>
      <c r="F12" s="64"/>
      <c r="G12" s="64"/>
    </row>
    <row r="13" spans="1:7" x14ac:dyDescent="0.3">
      <c r="B13" s="63">
        <f t="shared" si="0"/>
        <v>7</v>
      </c>
      <c r="C13" s="25"/>
      <c r="D13" s="64"/>
      <c r="E13" s="64"/>
      <c r="F13" s="64"/>
      <c r="G13" s="64"/>
    </row>
    <row r="14" spans="1:7" x14ac:dyDescent="0.3">
      <c r="B14" s="63">
        <f t="shared" si="0"/>
        <v>8</v>
      </c>
      <c r="C14" s="25"/>
      <c r="D14" s="64"/>
      <c r="E14" s="64"/>
      <c r="F14" s="64"/>
      <c r="G14" s="64"/>
    </row>
    <row r="15" spans="1:7" x14ac:dyDescent="0.3">
      <c r="B15" s="63">
        <f t="shared" si="0"/>
        <v>9</v>
      </c>
      <c r="C15" s="25"/>
      <c r="D15" s="64"/>
      <c r="E15" s="64"/>
      <c r="F15" s="64"/>
      <c r="G15" s="64"/>
    </row>
    <row r="16" spans="1:7" x14ac:dyDescent="0.3">
      <c r="B16" s="63">
        <f t="shared" si="0"/>
        <v>10</v>
      </c>
      <c r="C16" s="25"/>
      <c r="D16" s="64"/>
      <c r="E16" s="64"/>
      <c r="F16" s="64"/>
      <c r="G16" s="64"/>
    </row>
  </sheetData>
  <sheetProtection insertRows="0" deleteRows="0" sort="0" autoFilter="0"/>
  <mergeCells count="3">
    <mergeCell ref="B4:B6"/>
    <mergeCell ref="C4:D4"/>
    <mergeCell ref="E4:F4"/>
  </mergeCells>
  <phoneticPr fontId="14"/>
  <hyperlinks>
    <hyperlink ref="A3" location="パラメータ設定一覧!A1" display="パラメータ設定一覧へ" xr:uid="{C57A9561-D118-4680-8811-9CAF45210564}"/>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77C2-DCCD-4068-9438-9E6072D0984B}">
  <dimension ref="A1:L11"/>
  <sheetViews>
    <sheetView showGridLines="0" zoomScale="80" zoomScaleNormal="80" workbookViewId="0">
      <pane xSplit="6" ySplit="5" topLeftCell="G6" activePane="bottomRight" state="frozen"/>
      <selection pane="topRight"/>
      <selection pane="bottomLeft"/>
      <selection pane="bottomRight" sqref="A1:C3"/>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258</v>
      </c>
    </row>
    <row r="2" spans="1:12" customFormat="1" ht="19.5" x14ac:dyDescent="0.35">
      <c r="A2" s="5"/>
      <c r="B2" t="s">
        <v>392</v>
      </c>
    </row>
    <row r="3" spans="1:12" s="127" customFormat="1" ht="15" x14ac:dyDescent="0.35">
      <c r="B3" s="127" t="s">
        <v>41</v>
      </c>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ht="27" x14ac:dyDescent="0.35">
      <c r="B6" s="11">
        <f>ROW() - 5</f>
        <v>1</v>
      </c>
      <c r="C6" s="113" t="s">
        <v>339</v>
      </c>
      <c r="D6" s="120"/>
      <c r="E6" s="12" t="s">
        <v>258</v>
      </c>
      <c r="F6" s="12"/>
      <c r="G6" s="12" t="s">
        <v>33</v>
      </c>
      <c r="H6" s="12"/>
      <c r="I6" s="12"/>
      <c r="J6" s="13"/>
      <c r="K6" s="1" t="s">
        <v>396</v>
      </c>
      <c r="L6" s="2"/>
    </row>
    <row r="7" spans="1:12" ht="27" x14ac:dyDescent="0.35">
      <c r="B7" s="11">
        <f>ROW() - 5</f>
        <v>2</v>
      </c>
      <c r="C7" s="114"/>
      <c r="D7" s="124"/>
      <c r="E7" s="12" t="s">
        <v>39</v>
      </c>
      <c r="F7" s="12"/>
      <c r="G7" s="12" t="s">
        <v>33</v>
      </c>
      <c r="H7" s="12"/>
      <c r="I7" s="12"/>
      <c r="J7" s="13"/>
      <c r="K7" s="1" t="s">
        <v>396</v>
      </c>
      <c r="L7" s="2"/>
    </row>
    <row r="8" spans="1:12" ht="409.5" x14ac:dyDescent="0.35">
      <c r="B8" s="11">
        <f t="shared" ref="B8:B11" si="0">ROW() - 5</f>
        <v>3</v>
      </c>
      <c r="C8" s="114"/>
      <c r="D8" s="124"/>
      <c r="E8" s="12" t="s">
        <v>349</v>
      </c>
      <c r="F8" s="12" t="s">
        <v>354</v>
      </c>
      <c r="G8" s="12" t="s">
        <v>356</v>
      </c>
      <c r="H8" s="12"/>
      <c r="I8" s="12"/>
      <c r="J8" s="13"/>
      <c r="K8" s="1" t="s">
        <v>396</v>
      </c>
      <c r="L8" s="2"/>
    </row>
    <row r="9" spans="1:12" ht="149.4" customHeight="1" x14ac:dyDescent="0.35">
      <c r="B9" s="11">
        <f t="shared" si="0"/>
        <v>4</v>
      </c>
      <c r="C9" s="114"/>
      <c r="D9" s="124"/>
      <c r="E9" s="12" t="s">
        <v>351</v>
      </c>
      <c r="F9" s="12" t="s">
        <v>355</v>
      </c>
      <c r="G9" s="81" t="s">
        <v>357</v>
      </c>
      <c r="H9" s="12"/>
      <c r="I9" s="12"/>
      <c r="J9" s="13"/>
      <c r="K9" s="1" t="s">
        <v>396</v>
      </c>
      <c r="L9" s="2"/>
    </row>
    <row r="10" spans="1:12" ht="27" x14ac:dyDescent="0.35">
      <c r="B10" s="11">
        <f t="shared" si="0"/>
        <v>5</v>
      </c>
      <c r="C10" s="114"/>
      <c r="D10" s="124"/>
      <c r="E10" s="12" t="s">
        <v>352</v>
      </c>
      <c r="F10" s="59"/>
      <c r="G10" s="12" t="s">
        <v>358</v>
      </c>
      <c r="H10" s="12"/>
      <c r="I10" s="12"/>
      <c r="J10" s="13"/>
      <c r="K10" s="1" t="s">
        <v>396</v>
      </c>
      <c r="L10" s="2"/>
    </row>
    <row r="11" spans="1:12" ht="27" x14ac:dyDescent="0.35">
      <c r="B11" s="11">
        <f t="shared" si="0"/>
        <v>6</v>
      </c>
      <c r="C11" s="115"/>
      <c r="D11" s="121"/>
      <c r="E11" s="12" t="s">
        <v>353</v>
      </c>
      <c r="F11" s="12"/>
      <c r="G11" s="12" t="s">
        <v>359</v>
      </c>
      <c r="H11" s="12"/>
      <c r="I11" s="12"/>
      <c r="J11" s="12"/>
      <c r="K11" s="1" t="s">
        <v>396</v>
      </c>
      <c r="L11" s="2"/>
    </row>
  </sheetData>
  <mergeCells count="2">
    <mergeCell ref="C6:C11"/>
    <mergeCell ref="D6:D11"/>
  </mergeCells>
  <phoneticPr fontId="14"/>
  <hyperlinks>
    <hyperlink ref="A4" location="パラメータ設定一覧!A1" display="パラメータ設定一覧へ" xr:uid="{16990A03-60D9-4FE9-86C2-1F49E69F2D7A}"/>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EC2A-4E75-441A-8A92-E89C4E1927FF}">
  <dimension ref="A1:H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7" customWidth="1"/>
    <col min="2" max="2" width="6.7109375" style="27" bestFit="1" customWidth="1"/>
    <col min="3" max="3" width="26.2109375" style="27" bestFit="1" customWidth="1"/>
    <col min="4" max="4" width="17.78515625" style="27" customWidth="1"/>
    <col min="5" max="5" width="20.0703125" style="27" customWidth="1"/>
    <col min="6" max="6" width="17.78515625" style="27" customWidth="1"/>
    <col min="7" max="7" width="20.42578125" style="27" customWidth="1"/>
    <col min="8" max="8" width="20.92578125" style="27" customWidth="1"/>
    <col min="9" max="16384" width="8.78515625" style="27"/>
  </cols>
  <sheetData>
    <row r="1" spans="1:8" customFormat="1" ht="19.5" x14ac:dyDescent="0.35">
      <c r="A1" s="24" t="s">
        <v>360</v>
      </c>
    </row>
    <row r="2" spans="1:8" customFormat="1" ht="15" x14ac:dyDescent="0.35"/>
    <row r="3" spans="1:8" customFormat="1" ht="15" x14ac:dyDescent="0.35">
      <c r="A3" s="6" t="s">
        <v>249</v>
      </c>
    </row>
    <row r="4" spans="1:8" x14ac:dyDescent="0.35">
      <c r="B4" s="117" t="s">
        <v>8</v>
      </c>
      <c r="C4" s="122" t="s">
        <v>339</v>
      </c>
      <c r="D4" s="125"/>
      <c r="E4" s="125"/>
      <c r="F4" s="125"/>
      <c r="G4" s="125"/>
      <c r="H4" s="123"/>
    </row>
    <row r="5" spans="1:8" ht="28.75" customHeight="1" x14ac:dyDescent="0.35">
      <c r="B5" s="117"/>
      <c r="C5" s="14" t="s">
        <v>258</v>
      </c>
      <c r="D5" s="20" t="s">
        <v>39</v>
      </c>
      <c r="E5" s="20" t="s">
        <v>349</v>
      </c>
      <c r="F5" s="20" t="s">
        <v>350</v>
      </c>
      <c r="G5" s="20" t="s">
        <v>352</v>
      </c>
      <c r="H5" s="20" t="s">
        <v>353</v>
      </c>
    </row>
    <row r="6" spans="1:8" ht="43.25" customHeight="1" x14ac:dyDescent="0.35">
      <c r="B6" s="117"/>
      <c r="C6" s="3" t="s">
        <v>33</v>
      </c>
      <c r="D6" s="4" t="s">
        <v>33</v>
      </c>
      <c r="E6" s="4" t="s">
        <v>356</v>
      </c>
      <c r="F6" s="4" t="s">
        <v>357</v>
      </c>
      <c r="G6" s="4" t="s">
        <v>358</v>
      </c>
      <c r="H6" s="67" t="s">
        <v>359</v>
      </c>
    </row>
    <row r="7" spans="1:8" x14ac:dyDescent="0.3">
      <c r="B7" s="63">
        <f>ROW()-6</f>
        <v>1</v>
      </c>
      <c r="C7" s="25" t="s">
        <v>389</v>
      </c>
      <c r="D7" s="64" t="s">
        <v>389</v>
      </c>
      <c r="E7" s="64" t="s">
        <v>390</v>
      </c>
      <c r="F7" s="64" t="s">
        <v>391</v>
      </c>
      <c r="G7" s="64"/>
      <c r="H7" s="64"/>
    </row>
    <row r="8" spans="1:8" x14ac:dyDescent="0.3">
      <c r="B8" s="63">
        <f t="shared" ref="B8:B16" si="0">ROW()-6</f>
        <v>2</v>
      </c>
      <c r="C8" s="25"/>
      <c r="D8" s="64"/>
      <c r="E8" s="64"/>
      <c r="F8" s="64"/>
      <c r="G8" s="64"/>
      <c r="H8" s="64"/>
    </row>
    <row r="9" spans="1:8" x14ac:dyDescent="0.3">
      <c r="B9" s="63">
        <f t="shared" si="0"/>
        <v>3</v>
      </c>
      <c r="C9" s="25"/>
      <c r="D9" s="64"/>
      <c r="E9" s="64"/>
      <c r="F9" s="64"/>
      <c r="G9" s="64"/>
      <c r="H9" s="64"/>
    </row>
    <row r="10" spans="1:8" x14ac:dyDescent="0.3">
      <c r="B10" s="63">
        <f t="shared" si="0"/>
        <v>4</v>
      </c>
      <c r="C10" s="25"/>
      <c r="D10" s="64"/>
      <c r="E10" s="64"/>
      <c r="F10" s="64"/>
      <c r="G10" s="64"/>
      <c r="H10" s="64"/>
    </row>
    <row r="11" spans="1:8" x14ac:dyDescent="0.3">
      <c r="B11" s="63">
        <f t="shared" si="0"/>
        <v>5</v>
      </c>
      <c r="C11" s="25"/>
      <c r="D11" s="64"/>
      <c r="E11" s="64"/>
      <c r="F11" s="64"/>
      <c r="G11" s="64"/>
      <c r="H11" s="64"/>
    </row>
    <row r="12" spans="1:8" x14ac:dyDescent="0.3">
      <c r="B12" s="63">
        <f t="shared" si="0"/>
        <v>6</v>
      </c>
      <c r="C12" s="25"/>
      <c r="D12" s="64"/>
      <c r="E12" s="64"/>
      <c r="F12" s="64"/>
      <c r="G12" s="64"/>
      <c r="H12" s="64"/>
    </row>
    <row r="13" spans="1:8" x14ac:dyDescent="0.3">
      <c r="B13" s="63">
        <f t="shared" si="0"/>
        <v>7</v>
      </c>
      <c r="C13" s="25"/>
      <c r="D13" s="64"/>
      <c r="E13" s="64"/>
      <c r="F13" s="64"/>
      <c r="G13" s="64"/>
      <c r="H13" s="64"/>
    </row>
    <row r="14" spans="1:8" x14ac:dyDescent="0.3">
      <c r="B14" s="63">
        <f t="shared" si="0"/>
        <v>8</v>
      </c>
      <c r="C14" s="25"/>
      <c r="D14" s="64"/>
      <c r="E14" s="64"/>
      <c r="F14" s="64"/>
      <c r="G14" s="64"/>
      <c r="H14" s="64"/>
    </row>
    <row r="15" spans="1:8" x14ac:dyDescent="0.3">
      <c r="B15" s="63">
        <f t="shared" si="0"/>
        <v>9</v>
      </c>
      <c r="C15" s="25"/>
      <c r="D15" s="64"/>
      <c r="E15" s="64"/>
      <c r="F15" s="64"/>
      <c r="G15" s="64"/>
      <c r="H15" s="64"/>
    </row>
    <row r="16" spans="1:8" x14ac:dyDescent="0.3">
      <c r="B16" s="63">
        <f t="shared" si="0"/>
        <v>10</v>
      </c>
      <c r="C16" s="25"/>
      <c r="D16" s="64"/>
      <c r="E16" s="64"/>
      <c r="F16" s="64"/>
      <c r="G16" s="64"/>
      <c r="H16" s="64"/>
    </row>
  </sheetData>
  <sheetProtection insertRows="0" deleteRows="0" sort="0" autoFilter="0"/>
  <mergeCells count="2">
    <mergeCell ref="B4:B6"/>
    <mergeCell ref="C4:H4"/>
  </mergeCells>
  <phoneticPr fontId="14"/>
  <hyperlinks>
    <hyperlink ref="A3" location="パラメータ設定一覧!A1" display="パラメータ設定一覧へ" xr:uid="{C7CFF2CC-2993-4962-830F-1555FC8462E1}"/>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F346-5285-4BC9-B98B-92E4DD8EE921}">
  <dimension ref="A1:L14"/>
  <sheetViews>
    <sheetView showGridLines="0" zoomScale="90" zoomScaleNormal="9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39.57031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259</v>
      </c>
    </row>
    <row r="2" spans="1:12" customFormat="1" ht="19.5" x14ac:dyDescent="0.35">
      <c r="A2" s="5"/>
      <c r="B2" t="s">
        <v>398</v>
      </c>
    </row>
    <row r="3" spans="1:12" customFormat="1" ht="19.5" x14ac:dyDescent="0.35">
      <c r="A3" s="5"/>
      <c r="B3" t="s">
        <v>399</v>
      </c>
    </row>
    <row r="4" spans="1:12" customFormat="1" ht="15" x14ac:dyDescent="0.35">
      <c r="A4" s="127"/>
      <c r="B4" s="127" t="s">
        <v>41</v>
      </c>
      <c r="C4" s="127"/>
    </row>
    <row r="5" spans="1:12" customFormat="1" ht="15" x14ac:dyDescent="0.35">
      <c r="A5" s="127"/>
      <c r="B5" s="127" t="s">
        <v>41</v>
      </c>
      <c r="C5" s="127"/>
    </row>
    <row r="6" spans="1:12" customFormat="1" ht="15" x14ac:dyDescent="0.35">
      <c r="A6" s="6" t="s">
        <v>249</v>
      </c>
    </row>
    <row r="7" spans="1:12" x14ac:dyDescent="0.35">
      <c r="B7" s="7" t="s">
        <v>8</v>
      </c>
      <c r="C7" s="8" t="s">
        <v>12</v>
      </c>
      <c r="D7" s="8" t="s">
        <v>13</v>
      </c>
      <c r="E7" s="8" t="s">
        <v>14</v>
      </c>
      <c r="F7" s="9" t="s">
        <v>15</v>
      </c>
      <c r="G7" s="9" t="s">
        <v>16</v>
      </c>
      <c r="H7" s="8" t="s">
        <v>17</v>
      </c>
      <c r="I7" s="8" t="s">
        <v>18</v>
      </c>
      <c r="J7" s="7" t="s">
        <v>19</v>
      </c>
      <c r="K7" s="10" t="s">
        <v>20</v>
      </c>
      <c r="L7" s="10" t="s">
        <v>21</v>
      </c>
    </row>
    <row r="8" spans="1:12" ht="27" x14ac:dyDescent="0.35">
      <c r="B8" s="11">
        <f>ROW() - 5</f>
        <v>3</v>
      </c>
      <c r="C8" s="113" t="s">
        <v>339</v>
      </c>
      <c r="D8" s="113"/>
      <c r="E8" s="113"/>
      <c r="F8" s="12" t="s">
        <v>361</v>
      </c>
      <c r="G8" s="12"/>
      <c r="H8" s="12" t="s">
        <v>33</v>
      </c>
      <c r="I8" s="12"/>
      <c r="J8" s="13"/>
      <c r="K8" s="1" t="s">
        <v>402</v>
      </c>
      <c r="L8" s="2"/>
    </row>
    <row r="9" spans="1:12" ht="14.4" customHeight="1" x14ac:dyDescent="0.35">
      <c r="B9" s="11">
        <f t="shared" ref="B9:B14" si="0">ROW() - 5</f>
        <v>4</v>
      </c>
      <c r="C9" s="114"/>
      <c r="D9" s="114"/>
      <c r="E9" s="114"/>
      <c r="F9" s="12" t="s">
        <v>362</v>
      </c>
      <c r="G9" s="12" t="s">
        <v>29</v>
      </c>
      <c r="H9" s="12" t="s">
        <v>370</v>
      </c>
      <c r="I9" s="12"/>
      <c r="J9" s="13"/>
      <c r="K9" s="1" t="s">
        <v>402</v>
      </c>
      <c r="L9" s="2"/>
    </row>
    <row r="10" spans="1:12" ht="67.5" x14ac:dyDescent="0.35">
      <c r="B10" s="11">
        <f t="shared" si="0"/>
        <v>5</v>
      </c>
      <c r="C10" s="114"/>
      <c r="D10" s="114"/>
      <c r="E10" s="114"/>
      <c r="F10" s="12" t="s">
        <v>363</v>
      </c>
      <c r="G10" s="12" t="s">
        <v>367</v>
      </c>
      <c r="H10" s="12" t="s">
        <v>372</v>
      </c>
      <c r="I10" s="12" t="s">
        <v>395</v>
      </c>
      <c r="J10" s="13" t="s">
        <v>371</v>
      </c>
      <c r="K10" s="1" t="s">
        <v>402</v>
      </c>
      <c r="L10" s="2"/>
    </row>
    <row r="11" spans="1:12" ht="27" x14ac:dyDescent="0.35">
      <c r="B11" s="11">
        <f t="shared" si="0"/>
        <v>6</v>
      </c>
      <c r="C11" s="115"/>
      <c r="D11" s="115"/>
      <c r="E11" s="115"/>
      <c r="F11" s="55" t="s">
        <v>364</v>
      </c>
      <c r="G11" s="12" t="s">
        <v>368</v>
      </c>
      <c r="H11" s="12" t="s">
        <v>31</v>
      </c>
      <c r="I11" s="12"/>
      <c r="J11" s="13"/>
      <c r="K11" s="1" t="s">
        <v>402</v>
      </c>
      <c r="L11" s="2"/>
    </row>
    <row r="12" spans="1:12" ht="67.5" x14ac:dyDescent="0.35">
      <c r="B12" s="11">
        <f t="shared" si="0"/>
        <v>7</v>
      </c>
      <c r="C12" s="113" t="s">
        <v>259</v>
      </c>
      <c r="D12" s="113"/>
      <c r="E12" s="113"/>
      <c r="F12" s="12" t="s">
        <v>109</v>
      </c>
      <c r="G12" s="12" t="s">
        <v>369</v>
      </c>
      <c r="H12" s="12" t="s">
        <v>33</v>
      </c>
      <c r="I12" s="12"/>
      <c r="J12" s="13"/>
      <c r="K12" s="1" t="s">
        <v>397</v>
      </c>
      <c r="L12" s="2"/>
    </row>
    <row r="13" spans="1:12" ht="27" x14ac:dyDescent="0.35">
      <c r="B13" s="11">
        <f t="shared" si="0"/>
        <v>8</v>
      </c>
      <c r="C13" s="114"/>
      <c r="D13" s="114"/>
      <c r="E13" s="114"/>
      <c r="F13" s="12" t="s">
        <v>365</v>
      </c>
      <c r="G13" s="12"/>
      <c r="H13" s="12" t="s">
        <v>373</v>
      </c>
      <c r="I13" s="12"/>
      <c r="J13" s="13"/>
      <c r="K13" s="1" t="s">
        <v>397</v>
      </c>
      <c r="L13" s="2"/>
    </row>
    <row r="14" spans="1:12" ht="27" x14ac:dyDescent="0.35">
      <c r="B14" s="11">
        <f t="shared" si="0"/>
        <v>9</v>
      </c>
      <c r="C14" s="115"/>
      <c r="D14" s="115"/>
      <c r="E14" s="115"/>
      <c r="F14" s="12" t="s">
        <v>366</v>
      </c>
      <c r="G14" s="12"/>
      <c r="H14" s="12" t="s">
        <v>373</v>
      </c>
      <c r="I14" s="12"/>
      <c r="J14" s="13"/>
      <c r="K14" s="1" t="s">
        <v>397</v>
      </c>
      <c r="L14" s="2"/>
    </row>
  </sheetData>
  <mergeCells count="6">
    <mergeCell ref="C12:C14"/>
    <mergeCell ref="D12:D14"/>
    <mergeCell ref="E12:E14"/>
    <mergeCell ref="C8:C11"/>
    <mergeCell ref="D8:D11"/>
    <mergeCell ref="E8:E11"/>
  </mergeCells>
  <phoneticPr fontId="14"/>
  <hyperlinks>
    <hyperlink ref="A6" location="パラメータ設定一覧!A1" display="パラメータ設定一覧へ" xr:uid="{71757DA4-DBA2-4C96-AFB8-6FC771F3B454}"/>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3A87-2E3E-488D-9637-59C0EABA13BC}">
  <dimension ref="A1:F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7" customWidth="1"/>
    <col min="2" max="2" width="6.7109375" style="27" bestFit="1" customWidth="1"/>
    <col min="3" max="3" width="26.2109375" style="27" bestFit="1" customWidth="1"/>
    <col min="4" max="4" width="17.78515625" style="27" customWidth="1"/>
    <col min="5" max="5" width="20.0703125" style="27" customWidth="1"/>
    <col min="6" max="6" width="17.78515625" style="27" customWidth="1"/>
    <col min="7" max="16384" width="8.78515625" style="27"/>
  </cols>
  <sheetData>
    <row r="1" spans="1:6" customFormat="1" ht="19.5" x14ac:dyDescent="0.35">
      <c r="A1" s="24" t="s">
        <v>403</v>
      </c>
    </row>
    <row r="2" spans="1:6" customFormat="1" ht="15" x14ac:dyDescent="0.35"/>
    <row r="3" spans="1:6" customFormat="1" ht="15" x14ac:dyDescent="0.35">
      <c r="A3" s="6" t="s">
        <v>249</v>
      </c>
    </row>
    <row r="4" spans="1:6" x14ac:dyDescent="0.35">
      <c r="B4" s="117" t="s">
        <v>8</v>
      </c>
      <c r="C4" s="122" t="s">
        <v>339</v>
      </c>
      <c r="D4" s="125"/>
      <c r="E4" s="125"/>
      <c r="F4" s="125"/>
    </row>
    <row r="5" spans="1:6" ht="28.75" customHeight="1" x14ac:dyDescent="0.35">
      <c r="B5" s="117"/>
      <c r="C5" s="131" t="s">
        <v>361</v>
      </c>
      <c r="D5" s="131" t="s">
        <v>362</v>
      </c>
      <c r="E5" s="131" t="s">
        <v>363</v>
      </c>
      <c r="F5" s="132" t="s">
        <v>364</v>
      </c>
    </row>
    <row r="6" spans="1:6" ht="43.25" customHeight="1" x14ac:dyDescent="0.35">
      <c r="B6" s="117"/>
      <c r="C6" s="133" t="s">
        <v>33</v>
      </c>
      <c r="D6" s="133" t="s">
        <v>370</v>
      </c>
      <c r="E6" s="133" t="s">
        <v>372</v>
      </c>
      <c r="F6" s="133" t="s">
        <v>31</v>
      </c>
    </row>
    <row r="7" spans="1:6" x14ac:dyDescent="0.3">
      <c r="B7" s="63">
        <f>ROW()-6</f>
        <v>1</v>
      </c>
      <c r="C7" s="25" t="s">
        <v>400</v>
      </c>
      <c r="D7" s="64" t="s">
        <v>400</v>
      </c>
      <c r="E7" s="64" t="s">
        <v>401</v>
      </c>
      <c r="F7" s="64">
        <v>0</v>
      </c>
    </row>
    <row r="8" spans="1:6" x14ac:dyDescent="0.3">
      <c r="B8" s="63">
        <f t="shared" ref="B8:B16" si="0">ROW()-6</f>
        <v>2</v>
      </c>
      <c r="C8" s="25"/>
      <c r="D8" s="64"/>
      <c r="E8" s="64"/>
      <c r="F8" s="64"/>
    </row>
    <row r="9" spans="1:6" x14ac:dyDescent="0.3">
      <c r="B9" s="63">
        <f t="shared" si="0"/>
        <v>3</v>
      </c>
      <c r="C9" s="25"/>
      <c r="D9" s="64"/>
      <c r="E9" s="64"/>
      <c r="F9" s="64"/>
    </row>
    <row r="10" spans="1:6" x14ac:dyDescent="0.3">
      <c r="B10" s="63">
        <f t="shared" si="0"/>
        <v>4</v>
      </c>
      <c r="C10" s="25"/>
      <c r="D10" s="64"/>
      <c r="E10" s="64"/>
      <c r="F10" s="64"/>
    </row>
    <row r="11" spans="1:6" x14ac:dyDescent="0.3">
      <c r="B11" s="63">
        <f t="shared" si="0"/>
        <v>5</v>
      </c>
      <c r="C11" s="25"/>
      <c r="D11" s="64"/>
      <c r="E11" s="64"/>
      <c r="F11" s="64"/>
    </row>
    <row r="12" spans="1:6" x14ac:dyDescent="0.3">
      <c r="B12" s="63">
        <f t="shared" si="0"/>
        <v>6</v>
      </c>
      <c r="C12" s="25"/>
      <c r="D12" s="64"/>
      <c r="E12" s="64"/>
      <c r="F12" s="64"/>
    </row>
    <row r="13" spans="1:6" x14ac:dyDescent="0.3">
      <c r="B13" s="63">
        <f t="shared" si="0"/>
        <v>7</v>
      </c>
      <c r="C13" s="25"/>
      <c r="D13" s="64"/>
      <c r="E13" s="64"/>
      <c r="F13" s="64"/>
    </row>
    <row r="14" spans="1:6" x14ac:dyDescent="0.3">
      <c r="B14" s="63">
        <f t="shared" si="0"/>
        <v>8</v>
      </c>
      <c r="C14" s="25"/>
      <c r="D14" s="64"/>
      <c r="E14" s="64"/>
      <c r="F14" s="64"/>
    </row>
    <row r="15" spans="1:6" x14ac:dyDescent="0.3">
      <c r="B15" s="63">
        <f t="shared" si="0"/>
        <v>9</v>
      </c>
      <c r="C15" s="25"/>
      <c r="D15" s="64"/>
      <c r="E15" s="64"/>
      <c r="F15" s="64"/>
    </row>
    <row r="16" spans="1:6" x14ac:dyDescent="0.3">
      <c r="B16" s="63">
        <f t="shared" si="0"/>
        <v>10</v>
      </c>
      <c r="C16" s="25"/>
      <c r="D16" s="64"/>
      <c r="E16" s="64"/>
      <c r="F16" s="64"/>
    </row>
  </sheetData>
  <sheetProtection insertRows="0" deleteRows="0" sort="0" autoFilter="0"/>
  <mergeCells count="2">
    <mergeCell ref="B4:B6"/>
    <mergeCell ref="C4:F4"/>
  </mergeCells>
  <phoneticPr fontId="14"/>
  <hyperlinks>
    <hyperlink ref="A3" location="パラメータ設定一覧!A1" display="パラメータ設定一覧へ" xr:uid="{186E428B-58C7-492A-9333-AF0D4B8AC86A}"/>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2F51-3F2D-4D00-9D24-79807A202D4F}">
  <dimension ref="A1:F10"/>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7" customWidth="1"/>
    <col min="2" max="2" width="6.7109375" style="27" bestFit="1" customWidth="1"/>
    <col min="3" max="3" width="26.2109375" style="27" bestFit="1" customWidth="1"/>
    <col min="4" max="4" width="17.78515625" style="27" customWidth="1"/>
    <col min="5" max="5" width="20.0703125" style="27" customWidth="1"/>
    <col min="6" max="6" width="17.78515625" style="27" customWidth="1"/>
    <col min="7" max="16384" width="8.78515625" style="27"/>
  </cols>
  <sheetData>
    <row r="1" spans="1:6" customFormat="1" ht="19.5" x14ac:dyDescent="0.35">
      <c r="A1" s="24" t="s">
        <v>404</v>
      </c>
    </row>
    <row r="2" spans="1:6" customFormat="1" ht="15" x14ac:dyDescent="0.35"/>
    <row r="3" spans="1:6" customFormat="1" ht="15" x14ac:dyDescent="0.35">
      <c r="A3" s="6" t="s">
        <v>249</v>
      </c>
    </row>
    <row r="4" spans="1:6" x14ac:dyDescent="0.35">
      <c r="B4" s="117" t="s">
        <v>8</v>
      </c>
      <c r="C4" s="82" t="s">
        <v>339</v>
      </c>
      <c r="D4" s="82" t="s">
        <v>259</v>
      </c>
      <c r="E4" s="83"/>
      <c r="F4" s="83"/>
    </row>
    <row r="5" spans="1:6" ht="28.75" customHeight="1" x14ac:dyDescent="0.35">
      <c r="B5" s="117"/>
      <c r="C5" s="131" t="s">
        <v>361</v>
      </c>
      <c r="D5" s="131" t="s">
        <v>109</v>
      </c>
      <c r="E5" s="131" t="s">
        <v>365</v>
      </c>
      <c r="F5" s="132" t="s">
        <v>366</v>
      </c>
    </row>
    <row r="6" spans="1:6" ht="43.25" customHeight="1" x14ac:dyDescent="0.35">
      <c r="B6" s="117"/>
      <c r="C6" s="133" t="s">
        <v>33</v>
      </c>
      <c r="D6" s="133" t="s">
        <v>33</v>
      </c>
      <c r="E6" s="133" t="s">
        <v>373</v>
      </c>
      <c r="F6" s="133" t="s">
        <v>373</v>
      </c>
    </row>
    <row r="7" spans="1:6" x14ac:dyDescent="0.3">
      <c r="B7" s="134">
        <f>ROW()-6</f>
        <v>1</v>
      </c>
      <c r="C7" s="135" t="s">
        <v>400</v>
      </c>
      <c r="D7" s="64" t="s">
        <v>405</v>
      </c>
      <c r="E7" s="64" t="s">
        <v>406</v>
      </c>
      <c r="F7" s="64" t="s">
        <v>407</v>
      </c>
    </row>
    <row r="8" spans="1:6" x14ac:dyDescent="0.3">
      <c r="B8" s="136"/>
      <c r="C8" s="137"/>
      <c r="D8" s="64" t="s">
        <v>408</v>
      </c>
      <c r="E8" s="64" t="s">
        <v>411</v>
      </c>
      <c r="F8" s="64" t="s">
        <v>414</v>
      </c>
    </row>
    <row r="9" spans="1:6" x14ac:dyDescent="0.3">
      <c r="B9" s="136"/>
      <c r="C9" s="137"/>
      <c r="D9" s="64" t="s">
        <v>409</v>
      </c>
      <c r="E9" s="64" t="s">
        <v>412</v>
      </c>
      <c r="F9" s="64" t="s">
        <v>415</v>
      </c>
    </row>
    <row r="10" spans="1:6" x14ac:dyDescent="0.3">
      <c r="B10" s="138"/>
      <c r="C10" s="139"/>
      <c r="D10" s="64" t="s">
        <v>410</v>
      </c>
      <c r="E10" s="64" t="s">
        <v>413</v>
      </c>
      <c r="F10" s="64" t="s">
        <v>416</v>
      </c>
    </row>
  </sheetData>
  <sheetProtection insertRows="0" deleteRows="0" sort="0" autoFilter="0"/>
  <mergeCells count="1">
    <mergeCell ref="B4:B6"/>
  </mergeCells>
  <phoneticPr fontId="14"/>
  <hyperlinks>
    <hyperlink ref="A3" location="パラメータ設定一覧!A1" display="パラメータ設定一覧へ" xr:uid="{3A828EE6-DFFA-4A0D-B6E5-37E061884599}"/>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B832-C0B1-4FEE-BF66-CA74DD8E9523}">
  <dimension ref="A1:L42"/>
  <sheetViews>
    <sheetView showGridLines="0" zoomScale="60" zoomScaleNormal="60" workbookViewId="0">
      <pane xSplit="6" ySplit="5" topLeftCell="G6" activePane="bottomRight" state="frozen"/>
      <selection pane="topRight"/>
      <selection pane="bottomLeft"/>
      <selection pane="bottomRight" activeCell="C6" sqref="C6"/>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40</v>
      </c>
    </row>
    <row r="2" spans="1:12" customFormat="1" ht="19.5" x14ac:dyDescent="0.35">
      <c r="A2" s="5"/>
      <c r="B2" t="s">
        <v>246</v>
      </c>
    </row>
    <row r="3" spans="1:12" customFormat="1" ht="15" x14ac:dyDescent="0.35">
      <c r="B3" t="s">
        <v>41</v>
      </c>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ht="27" x14ac:dyDescent="0.35">
      <c r="B6" s="11">
        <f>ROW() - 5</f>
        <v>1</v>
      </c>
      <c r="C6" s="59" t="s">
        <v>22</v>
      </c>
      <c r="D6" s="59" t="s">
        <v>146</v>
      </c>
      <c r="E6" s="59"/>
      <c r="F6" s="12" t="s">
        <v>115</v>
      </c>
      <c r="G6" s="12" t="s">
        <v>29</v>
      </c>
      <c r="H6" s="12" t="s">
        <v>147</v>
      </c>
      <c r="I6" s="12" t="s">
        <v>24</v>
      </c>
      <c r="J6" s="13"/>
      <c r="K6" s="1" t="s">
        <v>25</v>
      </c>
      <c r="L6" s="2"/>
    </row>
    <row r="7" spans="1:12" ht="40.5" x14ac:dyDescent="0.35">
      <c r="B7" s="11">
        <f>ROW() - 5</f>
        <v>2</v>
      </c>
      <c r="C7" s="59" t="s">
        <v>42</v>
      </c>
      <c r="D7" s="59" t="s">
        <v>43</v>
      </c>
      <c r="E7" s="59"/>
      <c r="F7" s="12" t="s">
        <v>44</v>
      </c>
      <c r="G7" s="12" t="s">
        <v>45</v>
      </c>
      <c r="H7" s="12" t="s">
        <v>143</v>
      </c>
      <c r="I7" s="12" t="s">
        <v>44</v>
      </c>
      <c r="J7" s="13"/>
      <c r="K7" s="1" t="s">
        <v>25</v>
      </c>
      <c r="L7" s="2"/>
    </row>
    <row r="8" spans="1:12" ht="40.5" x14ac:dyDescent="0.35">
      <c r="B8" s="11">
        <f t="shared" ref="B8:B42" si="0">ROW() - 5</f>
        <v>3</v>
      </c>
      <c r="C8" s="55"/>
      <c r="D8" s="55"/>
      <c r="E8" s="55"/>
      <c r="F8" s="12" t="s">
        <v>46</v>
      </c>
      <c r="G8" s="12" t="s">
        <v>47</v>
      </c>
      <c r="H8" s="12" t="s">
        <v>143</v>
      </c>
      <c r="I8" s="12" t="s">
        <v>148</v>
      </c>
      <c r="J8" s="13"/>
      <c r="K8" s="1" t="s">
        <v>25</v>
      </c>
      <c r="L8" s="2"/>
    </row>
    <row r="9" spans="1:12" ht="40.5" x14ac:dyDescent="0.35">
      <c r="B9" s="11">
        <f t="shared" si="0"/>
        <v>4</v>
      </c>
      <c r="C9" s="55"/>
      <c r="D9" s="55"/>
      <c r="E9" s="55"/>
      <c r="F9" s="55" t="s">
        <v>48</v>
      </c>
      <c r="G9" s="12" t="s">
        <v>49</v>
      </c>
      <c r="H9" s="12" t="s">
        <v>143</v>
      </c>
      <c r="I9" s="12" t="s">
        <v>149</v>
      </c>
      <c r="J9" s="13"/>
      <c r="K9" s="1" t="s">
        <v>25</v>
      </c>
      <c r="L9" s="2"/>
    </row>
    <row r="10" spans="1:12" x14ac:dyDescent="0.35">
      <c r="B10" s="11">
        <f t="shared" si="0"/>
        <v>5</v>
      </c>
      <c r="C10" s="55"/>
      <c r="D10" s="55"/>
      <c r="E10" s="55"/>
      <c r="F10" s="59" t="s">
        <v>50</v>
      </c>
      <c r="G10" s="12" t="s">
        <v>38</v>
      </c>
      <c r="H10" s="12" t="s">
        <v>143</v>
      </c>
      <c r="I10" s="12" t="s">
        <v>150</v>
      </c>
      <c r="J10" s="13"/>
      <c r="K10" s="1" t="s">
        <v>25</v>
      </c>
      <c r="L10" s="2"/>
    </row>
    <row r="11" spans="1:12" ht="27" x14ac:dyDescent="0.35">
      <c r="B11" s="11">
        <f t="shared" si="0"/>
        <v>6</v>
      </c>
      <c r="C11" s="59" t="s">
        <v>51</v>
      </c>
      <c r="D11" s="59" t="s">
        <v>52</v>
      </c>
      <c r="E11" s="59" t="s">
        <v>53</v>
      </c>
      <c r="F11" s="12" t="s">
        <v>54</v>
      </c>
      <c r="G11" s="12"/>
      <c r="H11" s="12" t="s">
        <v>26</v>
      </c>
      <c r="I11" s="12" t="s">
        <v>32</v>
      </c>
      <c r="J11" s="12"/>
      <c r="K11" s="1"/>
      <c r="L11" s="2"/>
    </row>
    <row r="12" spans="1:12" ht="27" x14ac:dyDescent="0.35">
      <c r="B12" s="11">
        <f t="shared" si="0"/>
        <v>7</v>
      </c>
      <c r="C12" s="55"/>
      <c r="D12" s="55"/>
      <c r="E12" s="55"/>
      <c r="F12" s="12" t="s">
        <v>55</v>
      </c>
      <c r="G12" s="12"/>
      <c r="H12" s="12" t="s">
        <v>26</v>
      </c>
      <c r="I12" s="12" t="s">
        <v>32</v>
      </c>
      <c r="J12" s="12"/>
      <c r="K12" s="1"/>
      <c r="L12" s="2"/>
    </row>
    <row r="13" spans="1:12" ht="27" x14ac:dyDescent="0.35">
      <c r="B13" s="11">
        <f t="shared" si="0"/>
        <v>8</v>
      </c>
      <c r="C13" s="59" t="s">
        <v>34</v>
      </c>
      <c r="D13" s="59" t="s">
        <v>35</v>
      </c>
      <c r="E13" s="59"/>
      <c r="F13" s="12" t="s">
        <v>36</v>
      </c>
      <c r="G13" s="12"/>
      <c r="H13" s="12" t="s">
        <v>23</v>
      </c>
      <c r="I13" s="12" t="s">
        <v>24</v>
      </c>
      <c r="J13" s="12"/>
      <c r="K13" s="1" t="s">
        <v>56</v>
      </c>
      <c r="L13" s="2"/>
    </row>
    <row r="14" spans="1:12" ht="27" x14ac:dyDescent="0.35">
      <c r="B14" s="11">
        <f t="shared" si="0"/>
        <v>9</v>
      </c>
      <c r="C14" s="55"/>
      <c r="D14" s="55"/>
      <c r="E14" s="55"/>
      <c r="F14" s="62" t="s">
        <v>37</v>
      </c>
      <c r="G14" s="12"/>
      <c r="H14" s="12" t="s">
        <v>144</v>
      </c>
      <c r="I14" s="12" t="s">
        <v>25</v>
      </c>
      <c r="J14" s="12"/>
      <c r="K14" s="1" t="s">
        <v>56</v>
      </c>
      <c r="L14" s="2"/>
    </row>
    <row r="15" spans="1:12" ht="27" x14ac:dyDescent="0.35">
      <c r="B15" s="11">
        <f t="shared" si="0"/>
        <v>10</v>
      </c>
      <c r="C15" s="55"/>
      <c r="D15" s="55"/>
      <c r="E15" s="55"/>
      <c r="F15" s="12" t="s">
        <v>39</v>
      </c>
      <c r="G15" s="12"/>
      <c r="H15" s="12" t="s">
        <v>23</v>
      </c>
      <c r="I15" s="12" t="s">
        <v>24</v>
      </c>
      <c r="J15" s="12"/>
      <c r="K15" s="1" t="s">
        <v>56</v>
      </c>
      <c r="L15" s="2"/>
    </row>
    <row r="16" spans="1:12" ht="202.5" x14ac:dyDescent="0.35">
      <c r="B16" s="11">
        <f t="shared" si="0"/>
        <v>11</v>
      </c>
      <c r="C16" s="59" t="s">
        <v>7</v>
      </c>
      <c r="D16" s="59" t="s">
        <v>7</v>
      </c>
      <c r="E16" s="59"/>
      <c r="F16" s="59" t="s">
        <v>57</v>
      </c>
      <c r="G16" s="12" t="s">
        <v>58</v>
      </c>
      <c r="H16" s="12" t="s">
        <v>59</v>
      </c>
      <c r="I16" s="12" t="s">
        <v>60</v>
      </c>
      <c r="J16" s="12"/>
      <c r="K16" s="1"/>
      <c r="L16" s="2"/>
    </row>
    <row r="17" spans="2:12" x14ac:dyDescent="0.35">
      <c r="B17" s="11">
        <f t="shared" si="0"/>
        <v>12</v>
      </c>
      <c r="C17" s="55"/>
      <c r="D17" s="55"/>
      <c r="E17" s="55"/>
      <c r="F17" s="12" t="s">
        <v>61</v>
      </c>
      <c r="G17" s="12"/>
      <c r="H17" s="12" t="s">
        <v>26</v>
      </c>
      <c r="I17" s="12" t="s">
        <v>27</v>
      </c>
      <c r="J17" s="12"/>
      <c r="K17" s="1"/>
      <c r="L17" s="2"/>
    </row>
    <row r="18" spans="2:12" ht="67.5" x14ac:dyDescent="0.35">
      <c r="B18" s="11">
        <f t="shared" si="0"/>
        <v>13</v>
      </c>
      <c r="C18" s="55"/>
      <c r="D18" s="55"/>
      <c r="E18" s="55"/>
      <c r="F18" s="12" t="s">
        <v>153</v>
      </c>
      <c r="G18" s="12" t="s">
        <v>154</v>
      </c>
      <c r="H18" s="12" t="s">
        <v>26</v>
      </c>
      <c r="I18" s="12" t="s">
        <v>27</v>
      </c>
      <c r="J18" s="12"/>
      <c r="K18" s="1"/>
      <c r="L18" s="2"/>
    </row>
    <row r="19" spans="2:12" ht="27" x14ac:dyDescent="0.35">
      <c r="B19" s="11">
        <f t="shared" si="0"/>
        <v>14</v>
      </c>
      <c r="C19" s="59" t="s">
        <v>62</v>
      </c>
      <c r="D19" s="59" t="s">
        <v>63</v>
      </c>
      <c r="E19" s="59" t="s">
        <v>64</v>
      </c>
      <c r="F19" s="12" t="s">
        <v>65</v>
      </c>
      <c r="G19" s="12"/>
      <c r="H19" s="12" t="s">
        <v>26</v>
      </c>
      <c r="I19" s="12" t="s">
        <v>27</v>
      </c>
      <c r="J19" s="12"/>
      <c r="K19" s="1"/>
      <c r="L19" s="2"/>
    </row>
    <row r="20" spans="2:12" ht="27" x14ac:dyDescent="0.35">
      <c r="B20" s="11">
        <f t="shared" si="0"/>
        <v>15</v>
      </c>
      <c r="C20" s="55"/>
      <c r="D20" s="55"/>
      <c r="E20" s="60"/>
      <c r="F20" s="12" t="s">
        <v>66</v>
      </c>
      <c r="G20" s="12"/>
      <c r="H20" s="12" t="s">
        <v>26</v>
      </c>
      <c r="I20" s="12" t="s">
        <v>67</v>
      </c>
      <c r="J20" s="12"/>
      <c r="K20" s="1"/>
      <c r="L20" s="2"/>
    </row>
    <row r="21" spans="2:12" x14ac:dyDescent="0.35">
      <c r="B21" s="11">
        <f t="shared" si="0"/>
        <v>16</v>
      </c>
      <c r="C21" s="55"/>
      <c r="D21" s="55"/>
      <c r="E21" s="59" t="s">
        <v>68</v>
      </c>
      <c r="F21" s="12" t="s">
        <v>69</v>
      </c>
      <c r="G21" s="12"/>
      <c r="H21" s="12" t="s">
        <v>26</v>
      </c>
      <c r="I21" s="12" t="s">
        <v>27</v>
      </c>
      <c r="J21" s="12"/>
      <c r="K21" s="1"/>
      <c r="L21" s="2"/>
    </row>
    <row r="22" spans="2:12" x14ac:dyDescent="0.35">
      <c r="B22" s="11">
        <f t="shared" si="0"/>
        <v>17</v>
      </c>
      <c r="C22" s="60"/>
      <c r="D22" s="60"/>
      <c r="E22" s="60"/>
      <c r="F22" s="12" t="s">
        <v>70</v>
      </c>
      <c r="G22" s="12"/>
      <c r="H22" s="12" t="s">
        <v>26</v>
      </c>
      <c r="I22" s="12" t="s">
        <v>67</v>
      </c>
      <c r="J22" s="12"/>
      <c r="K22" s="1"/>
      <c r="L22" s="2"/>
    </row>
    <row r="23" spans="2:12" x14ac:dyDescent="0.35">
      <c r="B23" s="11">
        <f t="shared" si="0"/>
        <v>18</v>
      </c>
      <c r="C23" s="59" t="s">
        <v>71</v>
      </c>
      <c r="D23" s="59" t="s">
        <v>71</v>
      </c>
      <c r="E23" s="59"/>
      <c r="F23" s="12" t="s">
        <v>72</v>
      </c>
      <c r="G23" s="12" t="s">
        <v>38</v>
      </c>
      <c r="H23" s="12" t="s">
        <v>155</v>
      </c>
      <c r="I23" s="12" t="s">
        <v>156</v>
      </c>
      <c r="J23" s="12"/>
      <c r="K23" s="1"/>
      <c r="L23" s="2"/>
    </row>
    <row r="24" spans="2:12" x14ac:dyDescent="0.35">
      <c r="B24" s="11">
        <f t="shared" si="0"/>
        <v>19</v>
      </c>
      <c r="C24" s="55"/>
      <c r="D24" s="55"/>
      <c r="E24" s="55"/>
      <c r="F24" s="60" t="s">
        <v>73</v>
      </c>
      <c r="G24" s="12"/>
      <c r="H24" s="12" t="s">
        <v>26</v>
      </c>
      <c r="I24" s="12" t="s">
        <v>32</v>
      </c>
      <c r="J24" s="12"/>
      <c r="K24" s="1"/>
      <c r="L24" s="2"/>
    </row>
    <row r="25" spans="2:12" x14ac:dyDescent="0.35">
      <c r="B25" s="11">
        <f t="shared" si="0"/>
        <v>20</v>
      </c>
      <c r="C25" s="55"/>
      <c r="D25" s="55"/>
      <c r="E25" s="55"/>
      <c r="F25" s="59" t="s">
        <v>74</v>
      </c>
      <c r="G25" s="12"/>
      <c r="H25" s="12" t="s">
        <v>26</v>
      </c>
      <c r="I25" s="12" t="s">
        <v>32</v>
      </c>
      <c r="J25" s="12"/>
      <c r="K25" s="1"/>
      <c r="L25" s="2"/>
    </row>
    <row r="26" spans="2:12" x14ac:dyDescent="0.35">
      <c r="B26" s="11">
        <f t="shared" si="0"/>
        <v>21</v>
      </c>
      <c r="C26" s="60"/>
      <c r="D26" s="60"/>
      <c r="E26" s="60"/>
      <c r="F26" s="12" t="s">
        <v>75</v>
      </c>
      <c r="G26" s="12"/>
      <c r="H26" s="12" t="s">
        <v>26</v>
      </c>
      <c r="I26" s="12" t="s">
        <v>151</v>
      </c>
      <c r="J26" s="12"/>
      <c r="K26" s="1"/>
      <c r="L26" s="2"/>
    </row>
    <row r="27" spans="2:12" ht="54" x14ac:dyDescent="0.35">
      <c r="B27" s="11">
        <f t="shared" si="0"/>
        <v>22</v>
      </c>
      <c r="C27" s="59" t="s">
        <v>137</v>
      </c>
      <c r="D27" s="59" t="s">
        <v>157</v>
      </c>
      <c r="E27" s="59"/>
      <c r="F27" s="12" t="s">
        <v>158</v>
      </c>
      <c r="G27" s="12" t="s">
        <v>159</v>
      </c>
      <c r="H27" s="12" t="s">
        <v>163</v>
      </c>
      <c r="I27" s="12" t="s">
        <v>117</v>
      </c>
      <c r="J27" s="12"/>
      <c r="K27" s="1"/>
      <c r="L27" s="2"/>
    </row>
    <row r="28" spans="2:12" x14ac:dyDescent="0.35">
      <c r="B28" s="11">
        <f t="shared" si="0"/>
        <v>23</v>
      </c>
      <c r="C28" s="55"/>
      <c r="D28" s="55"/>
      <c r="E28" s="55"/>
      <c r="F28" s="60" t="s">
        <v>160</v>
      </c>
      <c r="G28" s="12"/>
      <c r="H28" s="12" t="s">
        <v>163</v>
      </c>
      <c r="I28" s="12" t="s">
        <v>117</v>
      </c>
      <c r="J28" s="12"/>
      <c r="K28" s="1"/>
      <c r="L28" s="2"/>
    </row>
    <row r="29" spans="2:12" ht="54" x14ac:dyDescent="0.35">
      <c r="B29" s="11">
        <f t="shared" si="0"/>
        <v>24</v>
      </c>
      <c r="C29" s="55"/>
      <c r="D29" s="55"/>
      <c r="E29" s="55"/>
      <c r="F29" s="59" t="s">
        <v>161</v>
      </c>
      <c r="G29" s="12" t="s">
        <v>162</v>
      </c>
      <c r="H29" s="12" t="s">
        <v>163</v>
      </c>
      <c r="I29" s="12" t="s">
        <v>117</v>
      </c>
      <c r="J29" s="12"/>
      <c r="K29" s="1"/>
      <c r="L29" s="2"/>
    </row>
    <row r="30" spans="2:12" x14ac:dyDescent="0.35">
      <c r="B30" s="11">
        <f t="shared" si="0"/>
        <v>25</v>
      </c>
      <c r="C30" s="59" t="s">
        <v>140</v>
      </c>
      <c r="D30" s="59" t="s">
        <v>164</v>
      </c>
      <c r="E30" s="59"/>
      <c r="F30" s="12" t="s">
        <v>165</v>
      </c>
      <c r="G30" s="12"/>
      <c r="H30" s="12" t="s">
        <v>163</v>
      </c>
      <c r="I30" s="12" t="s">
        <v>117</v>
      </c>
      <c r="J30" s="12"/>
      <c r="K30" s="1"/>
      <c r="L30" s="2"/>
    </row>
    <row r="31" spans="2:12" ht="27" x14ac:dyDescent="0.35">
      <c r="B31" s="11">
        <f t="shared" si="0"/>
        <v>26</v>
      </c>
      <c r="C31" s="59" t="s">
        <v>166</v>
      </c>
      <c r="D31" s="59" t="s">
        <v>167</v>
      </c>
      <c r="E31" s="59"/>
      <c r="F31" s="12" t="s">
        <v>168</v>
      </c>
      <c r="G31" s="12"/>
      <c r="H31" s="12" t="s">
        <v>163</v>
      </c>
      <c r="I31" s="12" t="s">
        <v>117</v>
      </c>
      <c r="J31" s="12"/>
      <c r="K31" s="1"/>
      <c r="L31" s="2"/>
    </row>
    <row r="32" spans="2:12" ht="135" x14ac:dyDescent="0.35">
      <c r="B32" s="11">
        <f t="shared" si="0"/>
        <v>27</v>
      </c>
      <c r="C32" s="55"/>
      <c r="D32" s="55"/>
      <c r="E32" s="55"/>
      <c r="F32" s="12" t="s">
        <v>169</v>
      </c>
      <c r="G32" s="12"/>
      <c r="H32" s="56" t="s">
        <v>172</v>
      </c>
      <c r="I32" s="12" t="s">
        <v>173</v>
      </c>
      <c r="J32" s="12" t="s">
        <v>171</v>
      </c>
      <c r="K32" s="1"/>
      <c r="L32" s="2"/>
    </row>
    <row r="33" spans="2:12" ht="27" x14ac:dyDescent="0.35">
      <c r="B33" s="11">
        <f t="shared" si="0"/>
        <v>28</v>
      </c>
      <c r="C33" s="60"/>
      <c r="D33" s="60"/>
      <c r="E33" s="60"/>
      <c r="F33" s="12" t="s">
        <v>170</v>
      </c>
      <c r="G33" s="12"/>
      <c r="H33" s="12"/>
      <c r="I33" s="12"/>
      <c r="J33" s="12" t="s">
        <v>171</v>
      </c>
      <c r="K33" s="1" t="s">
        <v>177</v>
      </c>
      <c r="L33" s="2"/>
    </row>
    <row r="34" spans="2:12" ht="27" x14ac:dyDescent="0.35">
      <c r="B34" s="11">
        <f t="shared" si="0"/>
        <v>29</v>
      </c>
      <c r="C34" s="59" t="s">
        <v>214</v>
      </c>
      <c r="D34" s="59" t="s">
        <v>214</v>
      </c>
      <c r="E34" s="59"/>
      <c r="F34" s="12" t="s">
        <v>215</v>
      </c>
      <c r="G34" s="12"/>
      <c r="H34" s="12" t="s">
        <v>23</v>
      </c>
      <c r="I34" s="12"/>
      <c r="J34" s="12"/>
      <c r="K34" s="1" t="s">
        <v>216</v>
      </c>
      <c r="L34" s="2"/>
    </row>
    <row r="35" spans="2:12" ht="27" x14ac:dyDescent="0.35">
      <c r="B35" s="11">
        <f t="shared" si="0"/>
        <v>30</v>
      </c>
      <c r="C35" s="55"/>
      <c r="D35" s="55"/>
      <c r="E35" s="55"/>
      <c r="F35" s="12" t="s">
        <v>109</v>
      </c>
      <c r="G35" s="12"/>
      <c r="H35" s="12" t="s">
        <v>23</v>
      </c>
      <c r="I35" s="12"/>
      <c r="J35" s="12"/>
      <c r="K35" s="1" t="s">
        <v>216</v>
      </c>
      <c r="L35" s="2"/>
    </row>
    <row r="36" spans="2:12" ht="27" x14ac:dyDescent="0.35">
      <c r="B36" s="11">
        <f t="shared" si="0"/>
        <v>31</v>
      </c>
      <c r="C36" s="60"/>
      <c r="D36" s="60"/>
      <c r="E36" s="60"/>
      <c r="F36" s="12" t="s">
        <v>28</v>
      </c>
      <c r="G36" s="12"/>
      <c r="H36" s="12" t="s">
        <v>31</v>
      </c>
      <c r="I36" s="12"/>
      <c r="J36" s="12"/>
      <c r="K36" s="1" t="s">
        <v>216</v>
      </c>
      <c r="L36" s="2"/>
    </row>
    <row r="37" spans="2:12" x14ac:dyDescent="0.35">
      <c r="B37" s="11">
        <f t="shared" si="0"/>
        <v>32</v>
      </c>
      <c r="C37" s="59" t="s">
        <v>240</v>
      </c>
      <c r="D37" s="59" t="s">
        <v>241</v>
      </c>
      <c r="E37" s="59"/>
      <c r="F37" s="12" t="s">
        <v>241</v>
      </c>
      <c r="G37" s="12"/>
      <c r="H37" s="12" t="s">
        <v>163</v>
      </c>
      <c r="I37" s="12" t="s">
        <v>117</v>
      </c>
      <c r="J37" s="12"/>
      <c r="K37" s="1"/>
      <c r="L37" s="2"/>
    </row>
    <row r="38" spans="2:12" ht="27" x14ac:dyDescent="0.35">
      <c r="B38" s="11">
        <f t="shared" si="0"/>
        <v>33</v>
      </c>
      <c r="C38" s="59" t="s">
        <v>76</v>
      </c>
      <c r="D38" s="59" t="s">
        <v>77</v>
      </c>
      <c r="E38" s="59" t="s">
        <v>78</v>
      </c>
      <c r="F38" s="12" t="s">
        <v>79</v>
      </c>
      <c r="G38" s="12"/>
      <c r="H38" s="12" t="s">
        <v>23</v>
      </c>
      <c r="I38" s="12" t="s">
        <v>23</v>
      </c>
      <c r="J38" s="12"/>
      <c r="K38" s="1" t="s">
        <v>80</v>
      </c>
      <c r="L38" s="2"/>
    </row>
    <row r="39" spans="2:12" ht="94.5" x14ac:dyDescent="0.35">
      <c r="B39" s="11">
        <f t="shared" si="0"/>
        <v>34</v>
      </c>
      <c r="C39" s="55"/>
      <c r="D39" s="55"/>
      <c r="E39" s="60"/>
      <c r="F39" s="12" t="s">
        <v>81</v>
      </c>
      <c r="G39" s="12" t="s">
        <v>82</v>
      </c>
      <c r="H39" s="12" t="s">
        <v>23</v>
      </c>
      <c r="I39" s="12" t="s">
        <v>23</v>
      </c>
      <c r="J39" s="12"/>
      <c r="K39" s="1" t="s">
        <v>25</v>
      </c>
      <c r="L39" s="2"/>
    </row>
    <row r="40" spans="2:12" ht="27" x14ac:dyDescent="0.35">
      <c r="B40" s="11">
        <f t="shared" si="0"/>
        <v>35</v>
      </c>
      <c r="C40" s="55"/>
      <c r="D40" s="55"/>
      <c r="E40" s="59" t="s">
        <v>83</v>
      </c>
      <c r="F40" s="12" t="s">
        <v>79</v>
      </c>
      <c r="G40" s="12"/>
      <c r="H40" s="12" t="s">
        <v>23</v>
      </c>
      <c r="I40" s="12" t="s">
        <v>23</v>
      </c>
      <c r="J40" s="12"/>
      <c r="K40" s="1" t="s">
        <v>80</v>
      </c>
      <c r="L40" s="2"/>
    </row>
    <row r="41" spans="2:12" ht="94.5" x14ac:dyDescent="0.35">
      <c r="B41" s="11">
        <f t="shared" si="0"/>
        <v>36</v>
      </c>
      <c r="C41" s="55"/>
      <c r="D41" s="55"/>
      <c r="E41" s="60"/>
      <c r="F41" s="12" t="s">
        <v>81</v>
      </c>
      <c r="G41" s="12" t="s">
        <v>82</v>
      </c>
      <c r="H41" s="12" t="s">
        <v>23</v>
      </c>
      <c r="I41" s="12" t="s">
        <v>23</v>
      </c>
      <c r="J41" s="12"/>
      <c r="K41" s="1" t="s">
        <v>80</v>
      </c>
      <c r="L41" s="2"/>
    </row>
    <row r="42" spans="2:12" ht="40.5" x14ac:dyDescent="0.35">
      <c r="B42" s="11">
        <f t="shared" si="0"/>
        <v>37</v>
      </c>
      <c r="C42" s="60"/>
      <c r="D42" s="60"/>
      <c r="E42" s="60" t="s">
        <v>84</v>
      </c>
      <c r="F42" s="12" t="s">
        <v>85</v>
      </c>
      <c r="G42" s="12" t="s">
        <v>86</v>
      </c>
      <c r="H42" s="12" t="s">
        <v>26</v>
      </c>
      <c r="I42" s="12" t="s">
        <v>27</v>
      </c>
      <c r="J42" s="12"/>
      <c r="K42" s="1" t="s">
        <v>27</v>
      </c>
      <c r="L42" s="2"/>
    </row>
  </sheetData>
  <phoneticPr fontId="14"/>
  <hyperlinks>
    <hyperlink ref="A4" location="パラメータ設定一覧!A1" display="パラメータ設定一覧へ" xr:uid="{53843285-3058-42B4-8BDC-C1F71189718A}"/>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4EA0-C6E5-4775-84AB-CF188C6D7BFC}">
  <dimension ref="A1:L42"/>
  <sheetViews>
    <sheetView showGridLines="0" zoomScale="60" zoomScaleNormal="6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40</v>
      </c>
    </row>
    <row r="2" spans="1:12" customFormat="1" ht="19.5" x14ac:dyDescent="0.35">
      <c r="A2" s="5"/>
      <c r="B2" t="s">
        <v>246</v>
      </c>
    </row>
    <row r="3" spans="1:12" customFormat="1" ht="15" x14ac:dyDescent="0.35">
      <c r="B3" t="s">
        <v>41</v>
      </c>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ht="27" x14ac:dyDescent="0.35">
      <c r="B6" s="11">
        <f>ROW() - 5</f>
        <v>1</v>
      </c>
      <c r="C6" s="59" t="s">
        <v>22</v>
      </c>
      <c r="D6" s="59" t="s">
        <v>146</v>
      </c>
      <c r="E6" s="59"/>
      <c r="F6" s="12" t="s">
        <v>115</v>
      </c>
      <c r="G6" s="12" t="s">
        <v>29</v>
      </c>
      <c r="H6" s="12" t="s">
        <v>147</v>
      </c>
      <c r="I6" s="12" t="s">
        <v>24</v>
      </c>
      <c r="J6" s="13"/>
      <c r="K6" s="1" t="s">
        <v>25</v>
      </c>
      <c r="L6" s="2"/>
    </row>
    <row r="7" spans="1:12" ht="40.5" x14ac:dyDescent="0.35">
      <c r="B7" s="11">
        <f>ROW() - 5</f>
        <v>2</v>
      </c>
      <c r="C7" s="59" t="s">
        <v>42</v>
      </c>
      <c r="D7" s="59" t="s">
        <v>43</v>
      </c>
      <c r="E7" s="59"/>
      <c r="F7" s="12" t="s">
        <v>44</v>
      </c>
      <c r="G7" s="12" t="s">
        <v>45</v>
      </c>
      <c r="H7" s="12" t="s">
        <v>143</v>
      </c>
      <c r="I7" s="12" t="s">
        <v>44</v>
      </c>
      <c r="J7" s="13"/>
      <c r="K7" s="1" t="s">
        <v>25</v>
      </c>
      <c r="L7" s="2"/>
    </row>
    <row r="8" spans="1:12" ht="40.5" x14ac:dyDescent="0.35">
      <c r="B8" s="11">
        <f t="shared" ref="B8:B42" si="0">ROW() - 5</f>
        <v>3</v>
      </c>
      <c r="C8" s="55"/>
      <c r="D8" s="55"/>
      <c r="E8" s="55"/>
      <c r="F8" s="12" t="s">
        <v>46</v>
      </c>
      <c r="G8" s="12" t="s">
        <v>47</v>
      </c>
      <c r="H8" s="12" t="s">
        <v>143</v>
      </c>
      <c r="I8" s="12" t="s">
        <v>148</v>
      </c>
      <c r="J8" s="13"/>
      <c r="K8" s="1" t="s">
        <v>25</v>
      </c>
      <c r="L8" s="2"/>
    </row>
    <row r="9" spans="1:12" ht="40.5" x14ac:dyDescent="0.35">
      <c r="B9" s="11">
        <f t="shared" si="0"/>
        <v>4</v>
      </c>
      <c r="C9" s="55"/>
      <c r="D9" s="55"/>
      <c r="E9" s="55"/>
      <c r="F9" s="55" t="s">
        <v>48</v>
      </c>
      <c r="G9" s="12" t="s">
        <v>49</v>
      </c>
      <c r="H9" s="12" t="s">
        <v>143</v>
      </c>
      <c r="I9" s="12" t="s">
        <v>149</v>
      </c>
      <c r="J9" s="13"/>
      <c r="K9" s="1" t="s">
        <v>25</v>
      </c>
      <c r="L9" s="2"/>
    </row>
    <row r="10" spans="1:12" x14ac:dyDescent="0.35">
      <c r="B10" s="11">
        <f t="shared" si="0"/>
        <v>5</v>
      </c>
      <c r="C10" s="55"/>
      <c r="D10" s="55"/>
      <c r="E10" s="55"/>
      <c r="F10" s="59" t="s">
        <v>50</v>
      </c>
      <c r="G10" s="12" t="s">
        <v>38</v>
      </c>
      <c r="H10" s="12" t="s">
        <v>143</v>
      </c>
      <c r="I10" s="12" t="s">
        <v>150</v>
      </c>
      <c r="J10" s="13"/>
      <c r="K10" s="1" t="s">
        <v>25</v>
      </c>
      <c r="L10" s="2"/>
    </row>
    <row r="11" spans="1:12" ht="27" x14ac:dyDescent="0.35">
      <c r="B11" s="11">
        <f t="shared" si="0"/>
        <v>6</v>
      </c>
      <c r="C11" s="59" t="s">
        <v>51</v>
      </c>
      <c r="D11" s="59" t="s">
        <v>52</v>
      </c>
      <c r="E11" s="59" t="s">
        <v>53</v>
      </c>
      <c r="F11" s="12" t="s">
        <v>54</v>
      </c>
      <c r="G11" s="12"/>
      <c r="H11" s="12" t="s">
        <v>26</v>
      </c>
      <c r="I11" s="12" t="s">
        <v>32</v>
      </c>
      <c r="J11" s="12"/>
      <c r="K11" s="1"/>
      <c r="L11" s="2"/>
    </row>
    <row r="12" spans="1:12" ht="27" x14ac:dyDescent="0.35">
      <c r="B12" s="11">
        <f t="shared" si="0"/>
        <v>7</v>
      </c>
      <c r="C12" s="55"/>
      <c r="D12" s="55"/>
      <c r="E12" s="55"/>
      <c r="F12" s="12" t="s">
        <v>55</v>
      </c>
      <c r="G12" s="12"/>
      <c r="H12" s="12" t="s">
        <v>26</v>
      </c>
      <c r="I12" s="12" t="s">
        <v>32</v>
      </c>
      <c r="J12" s="12"/>
      <c r="K12" s="1"/>
      <c r="L12" s="2"/>
    </row>
    <row r="13" spans="1:12" ht="27" x14ac:dyDescent="0.35">
      <c r="B13" s="11">
        <f t="shared" si="0"/>
        <v>8</v>
      </c>
      <c r="C13" s="59" t="s">
        <v>34</v>
      </c>
      <c r="D13" s="59" t="s">
        <v>35</v>
      </c>
      <c r="E13" s="59"/>
      <c r="F13" s="12" t="s">
        <v>36</v>
      </c>
      <c r="G13" s="12"/>
      <c r="H13" s="12" t="s">
        <v>23</v>
      </c>
      <c r="I13" s="12" t="s">
        <v>24</v>
      </c>
      <c r="J13" s="12"/>
      <c r="K13" s="1" t="s">
        <v>56</v>
      </c>
      <c r="L13" s="2"/>
    </row>
    <row r="14" spans="1:12" ht="27" x14ac:dyDescent="0.35">
      <c r="B14" s="11">
        <f t="shared" si="0"/>
        <v>9</v>
      </c>
      <c r="C14" s="55"/>
      <c r="D14" s="55"/>
      <c r="E14" s="55"/>
      <c r="F14" s="62" t="s">
        <v>37</v>
      </c>
      <c r="G14" s="12"/>
      <c r="H14" s="12" t="s">
        <v>144</v>
      </c>
      <c r="I14" s="12" t="s">
        <v>25</v>
      </c>
      <c r="J14" s="12"/>
      <c r="K14" s="1" t="s">
        <v>56</v>
      </c>
      <c r="L14" s="2"/>
    </row>
    <row r="15" spans="1:12" ht="27" x14ac:dyDescent="0.35">
      <c r="B15" s="11">
        <f t="shared" si="0"/>
        <v>10</v>
      </c>
      <c r="C15" s="55"/>
      <c r="D15" s="55"/>
      <c r="E15" s="55"/>
      <c r="F15" s="12" t="s">
        <v>39</v>
      </c>
      <c r="G15" s="12"/>
      <c r="H15" s="12" t="s">
        <v>23</v>
      </c>
      <c r="I15" s="12" t="s">
        <v>24</v>
      </c>
      <c r="J15" s="12"/>
      <c r="K15" s="1" t="s">
        <v>56</v>
      </c>
      <c r="L15" s="2"/>
    </row>
    <row r="16" spans="1:12" ht="202.5" x14ac:dyDescent="0.35">
      <c r="B16" s="11">
        <f t="shared" si="0"/>
        <v>11</v>
      </c>
      <c r="C16" s="59" t="s">
        <v>7</v>
      </c>
      <c r="D16" s="59" t="s">
        <v>7</v>
      </c>
      <c r="E16" s="59"/>
      <c r="F16" s="59" t="s">
        <v>57</v>
      </c>
      <c r="G16" s="12" t="s">
        <v>58</v>
      </c>
      <c r="H16" s="12" t="s">
        <v>59</v>
      </c>
      <c r="I16" s="12" t="s">
        <v>60</v>
      </c>
      <c r="J16" s="12"/>
      <c r="K16" s="1"/>
      <c r="L16" s="2"/>
    </row>
    <row r="17" spans="2:12" x14ac:dyDescent="0.35">
      <c r="B17" s="11">
        <f t="shared" si="0"/>
        <v>12</v>
      </c>
      <c r="C17" s="55"/>
      <c r="D17" s="55"/>
      <c r="E17" s="55"/>
      <c r="F17" s="12" t="s">
        <v>61</v>
      </c>
      <c r="G17" s="12"/>
      <c r="H17" s="12" t="s">
        <v>26</v>
      </c>
      <c r="I17" s="12" t="s">
        <v>27</v>
      </c>
      <c r="J17" s="12"/>
      <c r="K17" s="1"/>
      <c r="L17" s="2"/>
    </row>
    <row r="18" spans="2:12" ht="67.5" x14ac:dyDescent="0.35">
      <c r="B18" s="11">
        <f t="shared" si="0"/>
        <v>13</v>
      </c>
      <c r="C18" s="55"/>
      <c r="D18" s="55"/>
      <c r="E18" s="55"/>
      <c r="F18" s="12" t="s">
        <v>153</v>
      </c>
      <c r="G18" s="12" t="s">
        <v>154</v>
      </c>
      <c r="H18" s="12" t="s">
        <v>26</v>
      </c>
      <c r="I18" s="12" t="s">
        <v>27</v>
      </c>
      <c r="J18" s="12"/>
      <c r="K18" s="1"/>
      <c r="L18" s="2"/>
    </row>
    <row r="19" spans="2:12" ht="27" x14ac:dyDescent="0.35">
      <c r="B19" s="11">
        <f t="shared" si="0"/>
        <v>14</v>
      </c>
      <c r="C19" s="59" t="s">
        <v>62</v>
      </c>
      <c r="D19" s="59" t="s">
        <v>63</v>
      </c>
      <c r="E19" s="59" t="s">
        <v>64</v>
      </c>
      <c r="F19" s="12" t="s">
        <v>65</v>
      </c>
      <c r="G19" s="12"/>
      <c r="H19" s="12" t="s">
        <v>26</v>
      </c>
      <c r="I19" s="12" t="s">
        <v>27</v>
      </c>
      <c r="J19" s="12"/>
      <c r="K19" s="1"/>
      <c r="L19" s="2"/>
    </row>
    <row r="20" spans="2:12" ht="27" x14ac:dyDescent="0.35">
      <c r="B20" s="11">
        <f t="shared" si="0"/>
        <v>15</v>
      </c>
      <c r="C20" s="55"/>
      <c r="D20" s="55"/>
      <c r="E20" s="60"/>
      <c r="F20" s="12" t="s">
        <v>66</v>
      </c>
      <c r="G20" s="12"/>
      <c r="H20" s="12" t="s">
        <v>26</v>
      </c>
      <c r="I20" s="12" t="s">
        <v>67</v>
      </c>
      <c r="J20" s="12"/>
      <c r="K20" s="1"/>
      <c r="L20" s="2"/>
    </row>
    <row r="21" spans="2:12" x14ac:dyDescent="0.35">
      <c r="B21" s="11">
        <f t="shared" si="0"/>
        <v>16</v>
      </c>
      <c r="C21" s="55"/>
      <c r="D21" s="55"/>
      <c r="E21" s="59" t="s">
        <v>68</v>
      </c>
      <c r="F21" s="12" t="s">
        <v>69</v>
      </c>
      <c r="G21" s="12"/>
      <c r="H21" s="12" t="s">
        <v>26</v>
      </c>
      <c r="I21" s="12" t="s">
        <v>27</v>
      </c>
      <c r="J21" s="12"/>
      <c r="K21" s="1"/>
      <c r="L21" s="2"/>
    </row>
    <row r="22" spans="2:12" x14ac:dyDescent="0.35">
      <c r="B22" s="11">
        <f t="shared" si="0"/>
        <v>17</v>
      </c>
      <c r="C22" s="60"/>
      <c r="D22" s="60"/>
      <c r="E22" s="60"/>
      <c r="F22" s="12" t="s">
        <v>70</v>
      </c>
      <c r="G22" s="12"/>
      <c r="H22" s="12" t="s">
        <v>26</v>
      </c>
      <c r="I22" s="12" t="s">
        <v>67</v>
      </c>
      <c r="J22" s="12"/>
      <c r="K22" s="1"/>
      <c r="L22" s="2"/>
    </row>
    <row r="23" spans="2:12" x14ac:dyDescent="0.35">
      <c r="B23" s="11">
        <f t="shared" si="0"/>
        <v>18</v>
      </c>
      <c r="C23" s="59" t="s">
        <v>71</v>
      </c>
      <c r="D23" s="59" t="s">
        <v>71</v>
      </c>
      <c r="E23" s="59"/>
      <c r="F23" s="12" t="s">
        <v>72</v>
      </c>
      <c r="G23" s="12" t="s">
        <v>38</v>
      </c>
      <c r="H23" s="12" t="s">
        <v>155</v>
      </c>
      <c r="I23" s="12" t="s">
        <v>156</v>
      </c>
      <c r="J23" s="12"/>
      <c r="K23" s="1"/>
      <c r="L23" s="2"/>
    </row>
    <row r="24" spans="2:12" x14ac:dyDescent="0.35">
      <c r="B24" s="11">
        <f t="shared" si="0"/>
        <v>19</v>
      </c>
      <c r="C24" s="55"/>
      <c r="D24" s="55"/>
      <c r="E24" s="55"/>
      <c r="F24" s="60" t="s">
        <v>73</v>
      </c>
      <c r="G24" s="12"/>
      <c r="H24" s="12" t="s">
        <v>26</v>
      </c>
      <c r="I24" s="12" t="s">
        <v>32</v>
      </c>
      <c r="J24" s="12"/>
      <c r="K24" s="1"/>
      <c r="L24" s="2"/>
    </row>
    <row r="25" spans="2:12" x14ac:dyDescent="0.35">
      <c r="B25" s="11">
        <f t="shared" si="0"/>
        <v>20</v>
      </c>
      <c r="C25" s="55"/>
      <c r="D25" s="55"/>
      <c r="E25" s="55"/>
      <c r="F25" s="59" t="s">
        <v>74</v>
      </c>
      <c r="G25" s="12"/>
      <c r="H25" s="12" t="s">
        <v>26</v>
      </c>
      <c r="I25" s="12" t="s">
        <v>32</v>
      </c>
      <c r="J25" s="12"/>
      <c r="K25" s="1"/>
      <c r="L25" s="2"/>
    </row>
    <row r="26" spans="2:12" x14ac:dyDescent="0.35">
      <c r="B26" s="11">
        <f t="shared" si="0"/>
        <v>21</v>
      </c>
      <c r="C26" s="60"/>
      <c r="D26" s="60"/>
      <c r="E26" s="60"/>
      <c r="F26" s="12" t="s">
        <v>75</v>
      </c>
      <c r="G26" s="12"/>
      <c r="H26" s="12" t="s">
        <v>26</v>
      </c>
      <c r="I26" s="12" t="s">
        <v>151</v>
      </c>
      <c r="J26" s="12"/>
      <c r="K26" s="1"/>
      <c r="L26" s="2"/>
    </row>
    <row r="27" spans="2:12" ht="54" x14ac:dyDescent="0.35">
      <c r="B27" s="11">
        <f t="shared" si="0"/>
        <v>22</v>
      </c>
      <c r="C27" s="59" t="s">
        <v>137</v>
      </c>
      <c r="D27" s="59" t="s">
        <v>157</v>
      </c>
      <c r="E27" s="59"/>
      <c r="F27" s="12" t="s">
        <v>158</v>
      </c>
      <c r="G27" s="12" t="s">
        <v>159</v>
      </c>
      <c r="H27" s="12" t="s">
        <v>163</v>
      </c>
      <c r="I27" s="12" t="s">
        <v>117</v>
      </c>
      <c r="J27" s="12"/>
      <c r="K27" s="1"/>
      <c r="L27" s="2"/>
    </row>
    <row r="28" spans="2:12" x14ac:dyDescent="0.35">
      <c r="B28" s="11">
        <f t="shared" si="0"/>
        <v>23</v>
      </c>
      <c r="C28" s="55"/>
      <c r="D28" s="55"/>
      <c r="E28" s="55"/>
      <c r="F28" s="60" t="s">
        <v>160</v>
      </c>
      <c r="G28" s="12"/>
      <c r="H28" s="12" t="s">
        <v>163</v>
      </c>
      <c r="I28" s="12" t="s">
        <v>117</v>
      </c>
      <c r="J28" s="12"/>
      <c r="K28" s="1"/>
      <c r="L28" s="2"/>
    </row>
    <row r="29" spans="2:12" ht="54" x14ac:dyDescent="0.35">
      <c r="B29" s="11">
        <f t="shared" si="0"/>
        <v>24</v>
      </c>
      <c r="C29" s="55"/>
      <c r="D29" s="55"/>
      <c r="E29" s="55"/>
      <c r="F29" s="59" t="s">
        <v>161</v>
      </c>
      <c r="G29" s="12" t="s">
        <v>162</v>
      </c>
      <c r="H29" s="12" t="s">
        <v>163</v>
      </c>
      <c r="I29" s="12" t="s">
        <v>117</v>
      </c>
      <c r="J29" s="12"/>
      <c r="K29" s="1"/>
      <c r="L29" s="2"/>
    </row>
    <row r="30" spans="2:12" x14ac:dyDescent="0.35">
      <c r="B30" s="11">
        <f t="shared" si="0"/>
        <v>25</v>
      </c>
      <c r="C30" s="59" t="s">
        <v>140</v>
      </c>
      <c r="D30" s="59" t="s">
        <v>164</v>
      </c>
      <c r="E30" s="59"/>
      <c r="F30" s="12" t="s">
        <v>165</v>
      </c>
      <c r="G30" s="12"/>
      <c r="H30" s="12" t="s">
        <v>163</v>
      </c>
      <c r="I30" s="12" t="s">
        <v>117</v>
      </c>
      <c r="J30" s="12"/>
      <c r="K30" s="1"/>
      <c r="L30" s="2"/>
    </row>
    <row r="31" spans="2:12" ht="27" x14ac:dyDescent="0.35">
      <c r="B31" s="11">
        <f t="shared" si="0"/>
        <v>26</v>
      </c>
      <c r="C31" s="59" t="s">
        <v>166</v>
      </c>
      <c r="D31" s="59" t="s">
        <v>167</v>
      </c>
      <c r="E31" s="59"/>
      <c r="F31" s="12" t="s">
        <v>168</v>
      </c>
      <c r="G31" s="12"/>
      <c r="H31" s="12" t="s">
        <v>163</v>
      </c>
      <c r="I31" s="12" t="s">
        <v>117</v>
      </c>
      <c r="J31" s="12"/>
      <c r="K31" s="1"/>
      <c r="L31" s="2"/>
    </row>
    <row r="32" spans="2:12" ht="135" x14ac:dyDescent="0.35">
      <c r="B32" s="11">
        <f t="shared" si="0"/>
        <v>27</v>
      </c>
      <c r="C32" s="55"/>
      <c r="D32" s="55"/>
      <c r="E32" s="55"/>
      <c r="F32" s="12" t="s">
        <v>169</v>
      </c>
      <c r="G32" s="12"/>
      <c r="H32" s="56" t="s">
        <v>172</v>
      </c>
      <c r="I32" s="12" t="s">
        <v>173</v>
      </c>
      <c r="J32" s="12" t="s">
        <v>171</v>
      </c>
      <c r="K32" s="1"/>
      <c r="L32" s="2"/>
    </row>
    <row r="33" spans="2:12" ht="27" x14ac:dyDescent="0.35">
      <c r="B33" s="11">
        <f t="shared" si="0"/>
        <v>28</v>
      </c>
      <c r="C33" s="60"/>
      <c r="D33" s="60"/>
      <c r="E33" s="60"/>
      <c r="F33" s="12" t="s">
        <v>170</v>
      </c>
      <c r="G33" s="12"/>
      <c r="H33" s="12"/>
      <c r="I33" s="12"/>
      <c r="J33" s="12" t="s">
        <v>171</v>
      </c>
      <c r="K33" s="1" t="s">
        <v>177</v>
      </c>
      <c r="L33" s="2"/>
    </row>
    <row r="34" spans="2:12" ht="27" x14ac:dyDescent="0.35">
      <c r="B34" s="11">
        <f t="shared" si="0"/>
        <v>29</v>
      </c>
      <c r="C34" s="59" t="s">
        <v>214</v>
      </c>
      <c r="D34" s="59" t="s">
        <v>214</v>
      </c>
      <c r="E34" s="59"/>
      <c r="F34" s="12" t="s">
        <v>215</v>
      </c>
      <c r="G34" s="12"/>
      <c r="H34" s="12" t="s">
        <v>23</v>
      </c>
      <c r="I34" s="12"/>
      <c r="J34" s="12"/>
      <c r="K34" s="1" t="s">
        <v>216</v>
      </c>
      <c r="L34" s="2"/>
    </row>
    <row r="35" spans="2:12" ht="27" x14ac:dyDescent="0.35">
      <c r="B35" s="11">
        <f t="shared" si="0"/>
        <v>30</v>
      </c>
      <c r="C35" s="55"/>
      <c r="D35" s="55"/>
      <c r="E35" s="55"/>
      <c r="F35" s="12" t="s">
        <v>109</v>
      </c>
      <c r="G35" s="12"/>
      <c r="H35" s="12" t="s">
        <v>23</v>
      </c>
      <c r="I35" s="12"/>
      <c r="J35" s="12"/>
      <c r="K35" s="1" t="s">
        <v>216</v>
      </c>
      <c r="L35" s="2"/>
    </row>
    <row r="36" spans="2:12" ht="27" x14ac:dyDescent="0.35">
      <c r="B36" s="11">
        <f t="shared" si="0"/>
        <v>31</v>
      </c>
      <c r="C36" s="60"/>
      <c r="D36" s="60"/>
      <c r="E36" s="60"/>
      <c r="F36" s="12" t="s">
        <v>28</v>
      </c>
      <c r="G36" s="12"/>
      <c r="H36" s="12" t="s">
        <v>31</v>
      </c>
      <c r="I36" s="12"/>
      <c r="J36" s="12"/>
      <c r="K36" s="1" t="s">
        <v>216</v>
      </c>
      <c r="L36" s="2"/>
    </row>
    <row r="37" spans="2:12" x14ac:dyDescent="0.35">
      <c r="B37" s="11">
        <f t="shared" si="0"/>
        <v>32</v>
      </c>
      <c r="C37" s="59" t="s">
        <v>240</v>
      </c>
      <c r="D37" s="59" t="s">
        <v>241</v>
      </c>
      <c r="E37" s="59"/>
      <c r="F37" s="12" t="s">
        <v>241</v>
      </c>
      <c r="G37" s="12"/>
      <c r="H37" s="12" t="s">
        <v>163</v>
      </c>
      <c r="I37" s="12" t="s">
        <v>117</v>
      </c>
      <c r="J37" s="12"/>
      <c r="K37" s="1"/>
      <c r="L37" s="2"/>
    </row>
    <row r="38" spans="2:12" ht="27" x14ac:dyDescent="0.35">
      <c r="B38" s="11">
        <f t="shared" si="0"/>
        <v>33</v>
      </c>
      <c r="C38" s="59" t="s">
        <v>76</v>
      </c>
      <c r="D38" s="59" t="s">
        <v>77</v>
      </c>
      <c r="E38" s="59" t="s">
        <v>78</v>
      </c>
      <c r="F38" s="12" t="s">
        <v>79</v>
      </c>
      <c r="G38" s="12"/>
      <c r="H38" s="12" t="s">
        <v>23</v>
      </c>
      <c r="I38" s="12" t="s">
        <v>23</v>
      </c>
      <c r="J38" s="12"/>
      <c r="K38" s="1" t="s">
        <v>80</v>
      </c>
      <c r="L38" s="2"/>
    </row>
    <row r="39" spans="2:12" ht="94.5" x14ac:dyDescent="0.35">
      <c r="B39" s="11">
        <f t="shared" si="0"/>
        <v>34</v>
      </c>
      <c r="C39" s="55"/>
      <c r="D39" s="55"/>
      <c r="E39" s="60"/>
      <c r="F39" s="12" t="s">
        <v>81</v>
      </c>
      <c r="G39" s="12" t="s">
        <v>82</v>
      </c>
      <c r="H39" s="12" t="s">
        <v>23</v>
      </c>
      <c r="I39" s="12" t="s">
        <v>23</v>
      </c>
      <c r="J39" s="12"/>
      <c r="K39" s="1" t="s">
        <v>25</v>
      </c>
      <c r="L39" s="2"/>
    </row>
    <row r="40" spans="2:12" ht="27" x14ac:dyDescent="0.35">
      <c r="B40" s="11">
        <f t="shared" si="0"/>
        <v>35</v>
      </c>
      <c r="C40" s="55"/>
      <c r="D40" s="55"/>
      <c r="E40" s="59" t="s">
        <v>83</v>
      </c>
      <c r="F40" s="12" t="s">
        <v>79</v>
      </c>
      <c r="G40" s="12"/>
      <c r="H40" s="12" t="s">
        <v>23</v>
      </c>
      <c r="I40" s="12" t="s">
        <v>23</v>
      </c>
      <c r="J40" s="12"/>
      <c r="K40" s="1" t="s">
        <v>80</v>
      </c>
      <c r="L40" s="2"/>
    </row>
    <row r="41" spans="2:12" ht="94.5" x14ac:dyDescent="0.35">
      <c r="B41" s="11">
        <f t="shared" si="0"/>
        <v>36</v>
      </c>
      <c r="C41" s="55"/>
      <c r="D41" s="55"/>
      <c r="E41" s="60"/>
      <c r="F41" s="12" t="s">
        <v>81</v>
      </c>
      <c r="G41" s="12" t="s">
        <v>82</v>
      </c>
      <c r="H41" s="12" t="s">
        <v>23</v>
      </c>
      <c r="I41" s="12" t="s">
        <v>23</v>
      </c>
      <c r="J41" s="12"/>
      <c r="K41" s="1" t="s">
        <v>80</v>
      </c>
      <c r="L41" s="2"/>
    </row>
    <row r="42" spans="2:12" ht="40.5" x14ac:dyDescent="0.35">
      <c r="B42" s="11">
        <f t="shared" si="0"/>
        <v>37</v>
      </c>
      <c r="C42" s="60"/>
      <c r="D42" s="60"/>
      <c r="E42" s="60" t="s">
        <v>84</v>
      </c>
      <c r="F42" s="12" t="s">
        <v>85</v>
      </c>
      <c r="G42" s="12" t="s">
        <v>86</v>
      </c>
      <c r="H42" s="12" t="s">
        <v>26</v>
      </c>
      <c r="I42" s="12" t="s">
        <v>27</v>
      </c>
      <c r="J42" s="12"/>
      <c r="K42" s="1" t="s">
        <v>27</v>
      </c>
      <c r="L42" s="2"/>
    </row>
  </sheetData>
  <phoneticPr fontId="14"/>
  <hyperlinks>
    <hyperlink ref="A4" location="パラメータ設定一覧!A1" display="パラメータ設定一覧へ" xr:uid="{B25A39E1-1DFB-4AC4-9C33-685C6A834002}"/>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24FD-C08D-487D-A808-95557A1C93A5}">
  <dimension ref="A1:E10"/>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27" customWidth="1"/>
    <col min="2" max="2" width="3.5703125" style="27" bestFit="1" customWidth="1"/>
    <col min="3" max="3" width="24.2109375" style="27" customWidth="1"/>
    <col min="4" max="4" width="26.2109375" style="27" bestFit="1" customWidth="1"/>
    <col min="5" max="5" width="17.78515625" style="27" customWidth="1"/>
    <col min="6" max="16384" width="8.78515625" style="27"/>
  </cols>
  <sheetData>
    <row r="1" spans="1:5" customFormat="1" ht="19.5" x14ac:dyDescent="0.35">
      <c r="A1" s="54" t="s">
        <v>141</v>
      </c>
    </row>
    <row r="2" spans="1:5" customFormat="1" ht="15" x14ac:dyDescent="0.35"/>
    <row r="3" spans="1:5" customFormat="1" ht="15" x14ac:dyDescent="0.35">
      <c r="A3" s="6" t="s">
        <v>249</v>
      </c>
    </row>
    <row r="4" spans="1:5" x14ac:dyDescent="0.35">
      <c r="B4" s="117" t="s">
        <v>8</v>
      </c>
      <c r="C4" s="65" t="s">
        <v>109</v>
      </c>
      <c r="D4" s="65" t="s">
        <v>138</v>
      </c>
      <c r="E4" s="65" t="s">
        <v>139</v>
      </c>
    </row>
    <row r="5" spans="1:5" ht="15" customHeight="1" x14ac:dyDescent="0.35">
      <c r="B5" s="117"/>
      <c r="C5" s="4" t="s">
        <v>33</v>
      </c>
      <c r="D5" s="4" t="s">
        <v>33</v>
      </c>
      <c r="E5" s="4" t="s">
        <v>145</v>
      </c>
    </row>
    <row r="6" spans="1:5" x14ac:dyDescent="0.3">
      <c r="B6" s="63">
        <f t="shared" ref="B6:B10" si="0">ROW() - 5</f>
        <v>1</v>
      </c>
      <c r="C6" s="25"/>
      <c r="D6" s="64"/>
      <c r="E6" s="26"/>
    </row>
    <row r="7" spans="1:5" x14ac:dyDescent="0.3">
      <c r="B7" s="63">
        <f t="shared" si="0"/>
        <v>2</v>
      </c>
      <c r="C7" s="25"/>
      <c r="D7" s="64"/>
      <c r="E7" s="26"/>
    </row>
    <row r="8" spans="1:5" x14ac:dyDescent="0.3">
      <c r="B8" s="63">
        <f t="shared" si="0"/>
        <v>3</v>
      </c>
      <c r="C8" s="12"/>
      <c r="D8" s="64"/>
      <c r="E8" s="26"/>
    </row>
    <row r="9" spans="1:5" x14ac:dyDescent="0.3">
      <c r="B9" s="63">
        <f t="shared" si="0"/>
        <v>4</v>
      </c>
      <c r="C9" s="25"/>
      <c r="D9" s="64"/>
      <c r="E9" s="26"/>
    </row>
    <row r="10" spans="1:5" x14ac:dyDescent="0.3">
      <c r="B10" s="63">
        <f t="shared" si="0"/>
        <v>5</v>
      </c>
      <c r="C10" s="25"/>
      <c r="D10" s="64"/>
      <c r="E10" s="26"/>
    </row>
  </sheetData>
  <sheetProtection insertRows="0" deleteRows="0" sort="0" autoFilter="0"/>
  <mergeCells count="1">
    <mergeCell ref="B4:B5"/>
  </mergeCells>
  <phoneticPr fontId="14"/>
  <hyperlinks>
    <hyperlink ref="A3" location="パラメータ設定一覧!A1" display="パラメータ設定一覧へ" xr:uid="{543258E4-EF3B-4C13-95EC-77D3D17FB70F}"/>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CCCF-A2CF-4AD0-A8CC-BD311BA51193}">
  <dimension ref="A1:E10"/>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27" customWidth="1"/>
    <col min="2" max="2" width="3.5703125" style="27" bestFit="1" customWidth="1"/>
    <col min="3" max="3" width="24.2109375" style="27" customWidth="1"/>
    <col min="4" max="4" width="26.2109375" style="27" bestFit="1" customWidth="1"/>
    <col min="5" max="5" width="17.78515625" style="27" customWidth="1"/>
    <col min="6" max="16384" width="8.78515625" style="27"/>
  </cols>
  <sheetData>
    <row r="1" spans="1:5" customFormat="1" ht="19.5" x14ac:dyDescent="0.35">
      <c r="A1" s="54" t="s">
        <v>142</v>
      </c>
    </row>
    <row r="2" spans="1:5" customFormat="1" ht="15" x14ac:dyDescent="0.35"/>
    <row r="3" spans="1:5" customFormat="1" ht="15" x14ac:dyDescent="0.35">
      <c r="A3" s="6" t="s">
        <v>249</v>
      </c>
    </row>
    <row r="4" spans="1:5" x14ac:dyDescent="0.35">
      <c r="B4" s="117" t="s">
        <v>8</v>
      </c>
      <c r="C4" s="65" t="s">
        <v>109</v>
      </c>
      <c r="D4" s="65" t="s">
        <v>138</v>
      </c>
      <c r="E4" s="65" t="s">
        <v>139</v>
      </c>
    </row>
    <row r="5" spans="1:5" ht="15" customHeight="1" x14ac:dyDescent="0.35">
      <c r="B5" s="117"/>
      <c r="C5" s="4" t="s">
        <v>33</v>
      </c>
      <c r="D5" s="4" t="s">
        <v>33</v>
      </c>
      <c r="E5" s="4" t="s">
        <v>145</v>
      </c>
    </row>
    <row r="6" spans="1:5" x14ac:dyDescent="0.3">
      <c r="B6" s="63">
        <f t="shared" ref="B6:B10" si="0">ROW() - 5</f>
        <v>1</v>
      </c>
      <c r="C6" s="25"/>
      <c r="D6" s="64"/>
      <c r="E6" s="26"/>
    </row>
    <row r="7" spans="1:5" x14ac:dyDescent="0.3">
      <c r="B7" s="63">
        <f t="shared" si="0"/>
        <v>2</v>
      </c>
      <c r="C7" s="25"/>
      <c r="D7" s="64"/>
      <c r="E7" s="26"/>
    </row>
    <row r="8" spans="1:5" x14ac:dyDescent="0.3">
      <c r="B8" s="63">
        <f t="shared" si="0"/>
        <v>3</v>
      </c>
      <c r="C8" s="12"/>
      <c r="D8" s="64"/>
      <c r="E8" s="26"/>
    </row>
    <row r="9" spans="1:5" x14ac:dyDescent="0.3">
      <c r="B9" s="63">
        <f t="shared" si="0"/>
        <v>4</v>
      </c>
      <c r="C9" s="25"/>
      <c r="D9" s="64"/>
      <c r="E9" s="26"/>
    </row>
    <row r="10" spans="1:5" x14ac:dyDescent="0.3">
      <c r="B10" s="63">
        <f t="shared" si="0"/>
        <v>5</v>
      </c>
      <c r="C10" s="25"/>
      <c r="D10" s="64"/>
      <c r="E10" s="26"/>
    </row>
  </sheetData>
  <sheetProtection insertRows="0" deleteRows="0" sort="0" autoFilter="0"/>
  <mergeCells count="1">
    <mergeCell ref="B4:B5"/>
  </mergeCells>
  <phoneticPr fontId="14"/>
  <hyperlinks>
    <hyperlink ref="A3" location="パラメータ設定一覧!A1" display="パラメータ設定一覧へ" xr:uid="{994A8976-ABEA-4FE4-B79F-90FFC382601E}"/>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302E-584F-4944-96DE-9559B630E91C}">
  <dimension ref="A1:L4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27" customWidth="1"/>
    <col min="2" max="2" width="3.35546875" style="27" bestFit="1" customWidth="1"/>
    <col min="3" max="3" width="17" style="27" customWidth="1"/>
    <col min="4" max="4" width="25.78515625" style="27" customWidth="1"/>
    <col min="5" max="5" width="17.2109375" style="27" customWidth="1"/>
    <col min="6" max="6" width="21.35546875" style="27" customWidth="1"/>
    <col min="7" max="7" width="22.640625" style="27" customWidth="1"/>
    <col min="8" max="8" width="24.42578125" style="27" customWidth="1"/>
    <col min="9" max="9" width="15.640625" style="27" customWidth="1"/>
    <col min="10" max="10" width="34.78515625" style="27" customWidth="1"/>
    <col min="11" max="11" width="18.2109375" style="27" customWidth="1"/>
    <col min="12" max="12" width="13.2109375" style="27" customWidth="1"/>
    <col min="13" max="16384" width="8.78515625" style="27"/>
  </cols>
  <sheetData>
    <row r="1" spans="1:12" customFormat="1" ht="19.5" x14ac:dyDescent="0.35">
      <c r="A1" s="5" t="s">
        <v>40</v>
      </c>
    </row>
    <row r="2" spans="1:12" customFormat="1" ht="19.5" x14ac:dyDescent="0.35">
      <c r="A2" s="5"/>
      <c r="B2" t="s">
        <v>246</v>
      </c>
    </row>
    <row r="3" spans="1:12" customFormat="1" ht="15" x14ac:dyDescent="0.35">
      <c r="B3" t="s">
        <v>41</v>
      </c>
    </row>
    <row r="4" spans="1:12" customFormat="1" ht="15" x14ac:dyDescent="0.35">
      <c r="A4" s="6" t="s">
        <v>249</v>
      </c>
    </row>
    <row r="5" spans="1:12" x14ac:dyDescent="0.35">
      <c r="B5" s="7" t="s">
        <v>8</v>
      </c>
      <c r="C5" s="8" t="s">
        <v>12</v>
      </c>
      <c r="D5" s="8" t="s">
        <v>13</v>
      </c>
      <c r="E5" s="8" t="s">
        <v>14</v>
      </c>
      <c r="F5" s="9" t="s">
        <v>15</v>
      </c>
      <c r="G5" s="9" t="s">
        <v>16</v>
      </c>
      <c r="H5" s="8" t="s">
        <v>17</v>
      </c>
      <c r="I5" s="8" t="s">
        <v>18</v>
      </c>
      <c r="J5" s="7" t="s">
        <v>19</v>
      </c>
      <c r="K5" s="10" t="s">
        <v>20</v>
      </c>
      <c r="L5" s="10" t="s">
        <v>21</v>
      </c>
    </row>
    <row r="6" spans="1:12" ht="27" x14ac:dyDescent="0.35">
      <c r="B6" s="11">
        <f>ROW() - 5</f>
        <v>1</v>
      </c>
      <c r="C6" s="59" t="s">
        <v>22</v>
      </c>
      <c r="D6" s="59" t="s">
        <v>146</v>
      </c>
      <c r="E6" s="59"/>
      <c r="F6" s="12" t="s">
        <v>115</v>
      </c>
      <c r="G6" s="12" t="s">
        <v>29</v>
      </c>
      <c r="H6" s="12" t="s">
        <v>147</v>
      </c>
      <c r="I6" s="12" t="s">
        <v>24</v>
      </c>
      <c r="J6" s="13"/>
      <c r="K6" s="1" t="s">
        <v>25</v>
      </c>
      <c r="L6" s="2"/>
    </row>
    <row r="7" spans="1:12" ht="40.5" x14ac:dyDescent="0.35">
      <c r="B7" s="11">
        <f>ROW() - 5</f>
        <v>2</v>
      </c>
      <c r="C7" s="59" t="s">
        <v>42</v>
      </c>
      <c r="D7" s="59" t="s">
        <v>43</v>
      </c>
      <c r="E7" s="59"/>
      <c r="F7" s="12" t="s">
        <v>44</v>
      </c>
      <c r="G7" s="12" t="s">
        <v>45</v>
      </c>
      <c r="H7" s="12" t="s">
        <v>143</v>
      </c>
      <c r="I7" s="12" t="s">
        <v>44</v>
      </c>
      <c r="J7" s="13"/>
      <c r="K7" s="1" t="s">
        <v>25</v>
      </c>
      <c r="L7" s="2"/>
    </row>
    <row r="8" spans="1:12" ht="40.5" x14ac:dyDescent="0.35">
      <c r="B8" s="11">
        <f t="shared" ref="B8:B42" si="0">ROW() - 5</f>
        <v>3</v>
      </c>
      <c r="C8" s="55"/>
      <c r="D8" s="55"/>
      <c r="E8" s="55"/>
      <c r="F8" s="12" t="s">
        <v>46</v>
      </c>
      <c r="G8" s="12" t="s">
        <v>47</v>
      </c>
      <c r="H8" s="12" t="s">
        <v>143</v>
      </c>
      <c r="I8" s="12" t="s">
        <v>148</v>
      </c>
      <c r="J8" s="13"/>
      <c r="K8" s="1" t="s">
        <v>25</v>
      </c>
      <c r="L8" s="2"/>
    </row>
    <row r="9" spans="1:12" ht="40.5" x14ac:dyDescent="0.35">
      <c r="B9" s="11">
        <f t="shared" si="0"/>
        <v>4</v>
      </c>
      <c r="C9" s="55"/>
      <c r="D9" s="55"/>
      <c r="E9" s="55"/>
      <c r="F9" s="55" t="s">
        <v>48</v>
      </c>
      <c r="G9" s="12" t="s">
        <v>49</v>
      </c>
      <c r="H9" s="12" t="s">
        <v>143</v>
      </c>
      <c r="I9" s="12" t="s">
        <v>149</v>
      </c>
      <c r="J9" s="13"/>
      <c r="K9" s="1" t="s">
        <v>25</v>
      </c>
      <c r="L9" s="2"/>
    </row>
    <row r="10" spans="1:12" x14ac:dyDescent="0.35">
      <c r="B10" s="11">
        <f t="shared" si="0"/>
        <v>5</v>
      </c>
      <c r="C10" s="55"/>
      <c r="D10" s="55"/>
      <c r="E10" s="55"/>
      <c r="F10" s="59" t="s">
        <v>50</v>
      </c>
      <c r="G10" s="12" t="s">
        <v>38</v>
      </c>
      <c r="H10" s="12" t="s">
        <v>143</v>
      </c>
      <c r="I10" s="12" t="s">
        <v>150</v>
      </c>
      <c r="J10" s="13"/>
      <c r="K10" s="1" t="s">
        <v>25</v>
      </c>
      <c r="L10" s="2"/>
    </row>
    <row r="11" spans="1:12" ht="27" x14ac:dyDescent="0.35">
      <c r="B11" s="11">
        <f t="shared" si="0"/>
        <v>6</v>
      </c>
      <c r="C11" s="59" t="s">
        <v>51</v>
      </c>
      <c r="D11" s="59" t="s">
        <v>52</v>
      </c>
      <c r="E11" s="59" t="s">
        <v>53</v>
      </c>
      <c r="F11" s="12" t="s">
        <v>54</v>
      </c>
      <c r="G11" s="12"/>
      <c r="H11" s="12" t="s">
        <v>26</v>
      </c>
      <c r="I11" s="12" t="s">
        <v>32</v>
      </c>
      <c r="J11" s="12"/>
      <c r="K11" s="1"/>
      <c r="L11" s="2"/>
    </row>
    <row r="12" spans="1:12" ht="27" x14ac:dyDescent="0.35">
      <c r="B12" s="11">
        <f t="shared" si="0"/>
        <v>7</v>
      </c>
      <c r="C12" s="55"/>
      <c r="D12" s="55"/>
      <c r="E12" s="55"/>
      <c r="F12" s="12" t="s">
        <v>55</v>
      </c>
      <c r="G12" s="12"/>
      <c r="H12" s="12" t="s">
        <v>26</v>
      </c>
      <c r="I12" s="12" t="s">
        <v>32</v>
      </c>
      <c r="J12" s="12"/>
      <c r="K12" s="1"/>
      <c r="L12" s="2"/>
    </row>
    <row r="13" spans="1:12" ht="27" x14ac:dyDescent="0.35">
      <c r="B13" s="11">
        <f t="shared" si="0"/>
        <v>8</v>
      </c>
      <c r="C13" s="59" t="s">
        <v>34</v>
      </c>
      <c r="D13" s="59" t="s">
        <v>35</v>
      </c>
      <c r="E13" s="59"/>
      <c r="F13" s="12" t="s">
        <v>36</v>
      </c>
      <c r="G13" s="12"/>
      <c r="H13" s="12" t="s">
        <v>23</v>
      </c>
      <c r="I13" s="12" t="s">
        <v>24</v>
      </c>
      <c r="J13" s="12"/>
      <c r="K13" s="1" t="s">
        <v>56</v>
      </c>
      <c r="L13" s="2"/>
    </row>
    <row r="14" spans="1:12" ht="27" x14ac:dyDescent="0.35">
      <c r="B14" s="11">
        <f t="shared" si="0"/>
        <v>9</v>
      </c>
      <c r="C14" s="55"/>
      <c r="D14" s="55"/>
      <c r="E14" s="55"/>
      <c r="F14" s="62" t="s">
        <v>37</v>
      </c>
      <c r="G14" s="12"/>
      <c r="H14" s="12" t="s">
        <v>144</v>
      </c>
      <c r="I14" s="12" t="s">
        <v>25</v>
      </c>
      <c r="J14" s="12"/>
      <c r="K14" s="1" t="s">
        <v>56</v>
      </c>
      <c r="L14" s="2"/>
    </row>
    <row r="15" spans="1:12" ht="27" x14ac:dyDescent="0.35">
      <c r="B15" s="11">
        <f t="shared" si="0"/>
        <v>10</v>
      </c>
      <c r="C15" s="55"/>
      <c r="D15" s="55"/>
      <c r="E15" s="55"/>
      <c r="F15" s="12" t="s">
        <v>39</v>
      </c>
      <c r="G15" s="12"/>
      <c r="H15" s="12" t="s">
        <v>23</v>
      </c>
      <c r="I15" s="12" t="s">
        <v>24</v>
      </c>
      <c r="J15" s="12"/>
      <c r="K15" s="1" t="s">
        <v>56</v>
      </c>
      <c r="L15" s="2"/>
    </row>
    <row r="16" spans="1:12" ht="202.5" x14ac:dyDescent="0.35">
      <c r="B16" s="11">
        <f t="shared" si="0"/>
        <v>11</v>
      </c>
      <c r="C16" s="59" t="s">
        <v>7</v>
      </c>
      <c r="D16" s="59" t="s">
        <v>7</v>
      </c>
      <c r="E16" s="59"/>
      <c r="F16" s="59" t="s">
        <v>57</v>
      </c>
      <c r="G16" s="12" t="s">
        <v>58</v>
      </c>
      <c r="H16" s="12" t="s">
        <v>59</v>
      </c>
      <c r="I16" s="12" t="s">
        <v>60</v>
      </c>
      <c r="J16" s="12"/>
      <c r="K16" s="1"/>
      <c r="L16" s="2"/>
    </row>
    <row r="17" spans="2:12" x14ac:dyDescent="0.35">
      <c r="B17" s="11">
        <f t="shared" si="0"/>
        <v>12</v>
      </c>
      <c r="C17" s="55"/>
      <c r="D17" s="55"/>
      <c r="E17" s="55"/>
      <c r="F17" s="12" t="s">
        <v>61</v>
      </c>
      <c r="G17" s="12"/>
      <c r="H17" s="12" t="s">
        <v>26</v>
      </c>
      <c r="I17" s="12" t="s">
        <v>27</v>
      </c>
      <c r="J17" s="12"/>
      <c r="K17" s="1"/>
      <c r="L17" s="2"/>
    </row>
    <row r="18" spans="2:12" ht="67.5" x14ac:dyDescent="0.35">
      <c r="B18" s="11">
        <f t="shared" si="0"/>
        <v>13</v>
      </c>
      <c r="C18" s="55"/>
      <c r="D18" s="55"/>
      <c r="E18" s="55"/>
      <c r="F18" s="12" t="s">
        <v>153</v>
      </c>
      <c r="G18" s="12" t="s">
        <v>154</v>
      </c>
      <c r="H18" s="12" t="s">
        <v>26</v>
      </c>
      <c r="I18" s="12" t="s">
        <v>27</v>
      </c>
      <c r="J18" s="12"/>
      <c r="K18" s="1"/>
      <c r="L18" s="2"/>
    </row>
    <row r="19" spans="2:12" ht="27" x14ac:dyDescent="0.35">
      <c r="B19" s="11">
        <f t="shared" si="0"/>
        <v>14</v>
      </c>
      <c r="C19" s="59" t="s">
        <v>62</v>
      </c>
      <c r="D19" s="59" t="s">
        <v>63</v>
      </c>
      <c r="E19" s="59" t="s">
        <v>64</v>
      </c>
      <c r="F19" s="12" t="s">
        <v>65</v>
      </c>
      <c r="G19" s="12"/>
      <c r="H19" s="12" t="s">
        <v>26</v>
      </c>
      <c r="I19" s="12" t="s">
        <v>27</v>
      </c>
      <c r="J19" s="12"/>
      <c r="K19" s="1"/>
      <c r="L19" s="2"/>
    </row>
    <row r="20" spans="2:12" ht="27" x14ac:dyDescent="0.35">
      <c r="B20" s="11">
        <f t="shared" si="0"/>
        <v>15</v>
      </c>
      <c r="C20" s="55"/>
      <c r="D20" s="55"/>
      <c r="E20" s="60"/>
      <c r="F20" s="12" t="s">
        <v>66</v>
      </c>
      <c r="G20" s="12"/>
      <c r="H20" s="12" t="s">
        <v>26</v>
      </c>
      <c r="I20" s="12" t="s">
        <v>67</v>
      </c>
      <c r="J20" s="12"/>
      <c r="K20" s="1"/>
      <c r="L20" s="2"/>
    </row>
    <row r="21" spans="2:12" x14ac:dyDescent="0.35">
      <c r="B21" s="11">
        <f t="shared" si="0"/>
        <v>16</v>
      </c>
      <c r="C21" s="55"/>
      <c r="D21" s="55"/>
      <c r="E21" s="59" t="s">
        <v>68</v>
      </c>
      <c r="F21" s="12" t="s">
        <v>69</v>
      </c>
      <c r="G21" s="12"/>
      <c r="H21" s="12" t="s">
        <v>26</v>
      </c>
      <c r="I21" s="12" t="s">
        <v>27</v>
      </c>
      <c r="J21" s="12"/>
      <c r="K21" s="1"/>
      <c r="L21" s="2"/>
    </row>
    <row r="22" spans="2:12" x14ac:dyDescent="0.35">
      <c r="B22" s="11">
        <f t="shared" si="0"/>
        <v>17</v>
      </c>
      <c r="C22" s="60"/>
      <c r="D22" s="60"/>
      <c r="E22" s="60"/>
      <c r="F22" s="12" t="s">
        <v>70</v>
      </c>
      <c r="G22" s="12"/>
      <c r="H22" s="12" t="s">
        <v>26</v>
      </c>
      <c r="I22" s="12" t="s">
        <v>67</v>
      </c>
      <c r="J22" s="12"/>
      <c r="K22" s="1"/>
      <c r="L22" s="2"/>
    </row>
    <row r="23" spans="2:12" x14ac:dyDescent="0.35">
      <c r="B23" s="11">
        <f t="shared" si="0"/>
        <v>18</v>
      </c>
      <c r="C23" s="59" t="s">
        <v>71</v>
      </c>
      <c r="D23" s="59" t="s">
        <v>71</v>
      </c>
      <c r="E23" s="59"/>
      <c r="F23" s="12" t="s">
        <v>72</v>
      </c>
      <c r="G23" s="12" t="s">
        <v>38</v>
      </c>
      <c r="H23" s="12" t="s">
        <v>155</v>
      </c>
      <c r="I23" s="12" t="s">
        <v>156</v>
      </c>
      <c r="J23" s="12"/>
      <c r="K23" s="1"/>
      <c r="L23" s="2"/>
    </row>
    <row r="24" spans="2:12" x14ac:dyDescent="0.35">
      <c r="B24" s="11">
        <f t="shared" si="0"/>
        <v>19</v>
      </c>
      <c r="C24" s="55"/>
      <c r="D24" s="55"/>
      <c r="E24" s="55"/>
      <c r="F24" s="60" t="s">
        <v>73</v>
      </c>
      <c r="G24" s="12"/>
      <c r="H24" s="12" t="s">
        <v>26</v>
      </c>
      <c r="I24" s="12" t="s">
        <v>32</v>
      </c>
      <c r="J24" s="12"/>
      <c r="K24" s="1"/>
      <c r="L24" s="2"/>
    </row>
    <row r="25" spans="2:12" x14ac:dyDescent="0.35">
      <c r="B25" s="11">
        <f t="shared" si="0"/>
        <v>20</v>
      </c>
      <c r="C25" s="55"/>
      <c r="D25" s="55"/>
      <c r="E25" s="55"/>
      <c r="F25" s="59" t="s">
        <v>74</v>
      </c>
      <c r="G25" s="12"/>
      <c r="H25" s="12" t="s">
        <v>26</v>
      </c>
      <c r="I25" s="12" t="s">
        <v>32</v>
      </c>
      <c r="J25" s="12"/>
      <c r="K25" s="1"/>
      <c r="L25" s="2"/>
    </row>
    <row r="26" spans="2:12" x14ac:dyDescent="0.35">
      <c r="B26" s="11">
        <f t="shared" si="0"/>
        <v>21</v>
      </c>
      <c r="C26" s="60"/>
      <c r="D26" s="60"/>
      <c r="E26" s="60"/>
      <c r="F26" s="12" t="s">
        <v>75</v>
      </c>
      <c r="G26" s="12"/>
      <c r="H26" s="12" t="s">
        <v>26</v>
      </c>
      <c r="I26" s="12" t="s">
        <v>151</v>
      </c>
      <c r="J26" s="12"/>
      <c r="K26" s="1"/>
      <c r="L26" s="2"/>
    </row>
    <row r="27" spans="2:12" ht="54" x14ac:dyDescent="0.35">
      <c r="B27" s="11">
        <f t="shared" si="0"/>
        <v>22</v>
      </c>
      <c r="C27" s="59" t="s">
        <v>137</v>
      </c>
      <c r="D27" s="59" t="s">
        <v>157</v>
      </c>
      <c r="E27" s="59"/>
      <c r="F27" s="12" t="s">
        <v>158</v>
      </c>
      <c r="G27" s="12" t="s">
        <v>159</v>
      </c>
      <c r="H27" s="12" t="s">
        <v>163</v>
      </c>
      <c r="I27" s="12" t="s">
        <v>117</v>
      </c>
      <c r="J27" s="12"/>
      <c r="K27" s="1"/>
      <c r="L27" s="2"/>
    </row>
    <row r="28" spans="2:12" x14ac:dyDescent="0.35">
      <c r="B28" s="11">
        <f t="shared" si="0"/>
        <v>23</v>
      </c>
      <c r="C28" s="55"/>
      <c r="D28" s="55"/>
      <c r="E28" s="55"/>
      <c r="F28" s="60" t="s">
        <v>160</v>
      </c>
      <c r="G28" s="12"/>
      <c r="H28" s="12" t="s">
        <v>163</v>
      </c>
      <c r="I28" s="12" t="s">
        <v>117</v>
      </c>
      <c r="J28" s="12"/>
      <c r="K28" s="1"/>
      <c r="L28" s="2"/>
    </row>
    <row r="29" spans="2:12" ht="54" x14ac:dyDescent="0.35">
      <c r="B29" s="11">
        <f t="shared" si="0"/>
        <v>24</v>
      </c>
      <c r="C29" s="55"/>
      <c r="D29" s="55"/>
      <c r="E29" s="55"/>
      <c r="F29" s="59" t="s">
        <v>161</v>
      </c>
      <c r="G29" s="12" t="s">
        <v>162</v>
      </c>
      <c r="H29" s="12" t="s">
        <v>163</v>
      </c>
      <c r="I29" s="12" t="s">
        <v>117</v>
      </c>
      <c r="J29" s="12"/>
      <c r="K29" s="1"/>
      <c r="L29" s="2"/>
    </row>
    <row r="30" spans="2:12" x14ac:dyDescent="0.35">
      <c r="B30" s="11">
        <f t="shared" si="0"/>
        <v>25</v>
      </c>
      <c r="C30" s="59" t="s">
        <v>140</v>
      </c>
      <c r="D30" s="59" t="s">
        <v>164</v>
      </c>
      <c r="E30" s="59"/>
      <c r="F30" s="12" t="s">
        <v>165</v>
      </c>
      <c r="G30" s="12"/>
      <c r="H30" s="12" t="s">
        <v>163</v>
      </c>
      <c r="I30" s="12" t="s">
        <v>117</v>
      </c>
      <c r="J30" s="12"/>
      <c r="K30" s="1"/>
      <c r="L30" s="2"/>
    </row>
    <row r="31" spans="2:12" ht="27" x14ac:dyDescent="0.35">
      <c r="B31" s="11">
        <f t="shared" si="0"/>
        <v>26</v>
      </c>
      <c r="C31" s="59" t="s">
        <v>166</v>
      </c>
      <c r="D31" s="59" t="s">
        <v>167</v>
      </c>
      <c r="E31" s="59"/>
      <c r="F31" s="12" t="s">
        <v>168</v>
      </c>
      <c r="G31" s="12"/>
      <c r="H31" s="12" t="s">
        <v>163</v>
      </c>
      <c r="I31" s="12" t="s">
        <v>117</v>
      </c>
      <c r="J31" s="12"/>
      <c r="K31" s="1"/>
      <c r="L31" s="2"/>
    </row>
    <row r="32" spans="2:12" ht="135" x14ac:dyDescent="0.35">
      <c r="B32" s="11">
        <f t="shared" si="0"/>
        <v>27</v>
      </c>
      <c r="C32" s="55"/>
      <c r="D32" s="55"/>
      <c r="E32" s="55"/>
      <c r="F32" s="12" t="s">
        <v>169</v>
      </c>
      <c r="G32" s="12"/>
      <c r="H32" s="56" t="s">
        <v>172</v>
      </c>
      <c r="I32" s="12" t="s">
        <v>173</v>
      </c>
      <c r="J32" s="12" t="s">
        <v>171</v>
      </c>
      <c r="K32" s="1"/>
      <c r="L32" s="2"/>
    </row>
    <row r="33" spans="2:12" ht="27" x14ac:dyDescent="0.35">
      <c r="B33" s="11">
        <f t="shared" si="0"/>
        <v>28</v>
      </c>
      <c r="C33" s="60"/>
      <c r="D33" s="60"/>
      <c r="E33" s="60"/>
      <c r="F33" s="12" t="s">
        <v>170</v>
      </c>
      <c r="G33" s="12"/>
      <c r="H33" s="12"/>
      <c r="I33" s="12"/>
      <c r="J33" s="12" t="s">
        <v>171</v>
      </c>
      <c r="K33" s="1" t="s">
        <v>177</v>
      </c>
      <c r="L33" s="2"/>
    </row>
    <row r="34" spans="2:12" ht="27" x14ac:dyDescent="0.35">
      <c r="B34" s="11">
        <f t="shared" si="0"/>
        <v>29</v>
      </c>
      <c r="C34" s="59" t="s">
        <v>214</v>
      </c>
      <c r="D34" s="59" t="s">
        <v>214</v>
      </c>
      <c r="E34" s="59"/>
      <c r="F34" s="12" t="s">
        <v>215</v>
      </c>
      <c r="G34" s="12"/>
      <c r="H34" s="12" t="s">
        <v>23</v>
      </c>
      <c r="I34" s="12"/>
      <c r="J34" s="12"/>
      <c r="K34" s="1" t="s">
        <v>216</v>
      </c>
      <c r="L34" s="2"/>
    </row>
    <row r="35" spans="2:12" ht="27" x14ac:dyDescent="0.35">
      <c r="B35" s="11">
        <f t="shared" si="0"/>
        <v>30</v>
      </c>
      <c r="C35" s="55"/>
      <c r="D35" s="55"/>
      <c r="E35" s="55"/>
      <c r="F35" s="12" t="s">
        <v>109</v>
      </c>
      <c r="G35" s="12"/>
      <c r="H35" s="12" t="s">
        <v>23</v>
      </c>
      <c r="I35" s="12"/>
      <c r="J35" s="12"/>
      <c r="K35" s="1" t="s">
        <v>216</v>
      </c>
      <c r="L35" s="2"/>
    </row>
    <row r="36" spans="2:12" ht="27" x14ac:dyDescent="0.35">
      <c r="B36" s="11">
        <f t="shared" si="0"/>
        <v>31</v>
      </c>
      <c r="C36" s="60"/>
      <c r="D36" s="60"/>
      <c r="E36" s="60"/>
      <c r="F36" s="12" t="s">
        <v>28</v>
      </c>
      <c r="G36" s="12"/>
      <c r="H36" s="12" t="s">
        <v>31</v>
      </c>
      <c r="I36" s="12"/>
      <c r="J36" s="12"/>
      <c r="K36" s="1" t="s">
        <v>216</v>
      </c>
      <c r="L36" s="2"/>
    </row>
    <row r="37" spans="2:12" x14ac:dyDescent="0.35">
      <c r="B37" s="11">
        <f t="shared" si="0"/>
        <v>32</v>
      </c>
      <c r="C37" s="59" t="s">
        <v>240</v>
      </c>
      <c r="D37" s="59" t="s">
        <v>241</v>
      </c>
      <c r="E37" s="59"/>
      <c r="F37" s="12" t="s">
        <v>241</v>
      </c>
      <c r="G37" s="12"/>
      <c r="H37" s="12" t="s">
        <v>163</v>
      </c>
      <c r="I37" s="12" t="s">
        <v>117</v>
      </c>
      <c r="J37" s="12"/>
      <c r="K37" s="1"/>
      <c r="L37" s="2"/>
    </row>
    <row r="38" spans="2:12" ht="27" x14ac:dyDescent="0.35">
      <c r="B38" s="11">
        <f t="shared" si="0"/>
        <v>33</v>
      </c>
      <c r="C38" s="59" t="s">
        <v>76</v>
      </c>
      <c r="D38" s="59" t="s">
        <v>77</v>
      </c>
      <c r="E38" s="59" t="s">
        <v>78</v>
      </c>
      <c r="F38" s="12" t="s">
        <v>79</v>
      </c>
      <c r="G38" s="12"/>
      <c r="H38" s="12" t="s">
        <v>23</v>
      </c>
      <c r="I38" s="12" t="s">
        <v>23</v>
      </c>
      <c r="J38" s="12"/>
      <c r="K38" s="1" t="s">
        <v>80</v>
      </c>
      <c r="L38" s="2"/>
    </row>
    <row r="39" spans="2:12" ht="94.5" x14ac:dyDescent="0.35">
      <c r="B39" s="11">
        <f t="shared" si="0"/>
        <v>34</v>
      </c>
      <c r="C39" s="55"/>
      <c r="D39" s="55"/>
      <c r="E39" s="60"/>
      <c r="F39" s="12" t="s">
        <v>81</v>
      </c>
      <c r="G39" s="12" t="s">
        <v>82</v>
      </c>
      <c r="H39" s="12" t="s">
        <v>23</v>
      </c>
      <c r="I39" s="12" t="s">
        <v>23</v>
      </c>
      <c r="J39" s="12"/>
      <c r="K39" s="1" t="s">
        <v>25</v>
      </c>
      <c r="L39" s="2"/>
    </row>
    <row r="40" spans="2:12" ht="27" x14ac:dyDescent="0.35">
      <c r="B40" s="11">
        <f t="shared" si="0"/>
        <v>35</v>
      </c>
      <c r="C40" s="55"/>
      <c r="D40" s="55"/>
      <c r="E40" s="59" t="s">
        <v>83</v>
      </c>
      <c r="F40" s="12" t="s">
        <v>79</v>
      </c>
      <c r="G40" s="12"/>
      <c r="H40" s="12" t="s">
        <v>23</v>
      </c>
      <c r="I40" s="12" t="s">
        <v>23</v>
      </c>
      <c r="J40" s="12"/>
      <c r="K40" s="1" t="s">
        <v>80</v>
      </c>
      <c r="L40" s="2"/>
    </row>
    <row r="41" spans="2:12" ht="94.5" x14ac:dyDescent="0.35">
      <c r="B41" s="11">
        <f t="shared" si="0"/>
        <v>36</v>
      </c>
      <c r="C41" s="55"/>
      <c r="D41" s="55"/>
      <c r="E41" s="60"/>
      <c r="F41" s="12" t="s">
        <v>81</v>
      </c>
      <c r="G41" s="12" t="s">
        <v>82</v>
      </c>
      <c r="H41" s="12" t="s">
        <v>23</v>
      </c>
      <c r="I41" s="12" t="s">
        <v>23</v>
      </c>
      <c r="J41" s="12"/>
      <c r="K41" s="1" t="s">
        <v>80</v>
      </c>
      <c r="L41" s="2"/>
    </row>
    <row r="42" spans="2:12" ht="40.5" x14ac:dyDescent="0.35">
      <c r="B42" s="11">
        <f t="shared" si="0"/>
        <v>37</v>
      </c>
      <c r="C42" s="60"/>
      <c r="D42" s="60"/>
      <c r="E42" s="60" t="s">
        <v>84</v>
      </c>
      <c r="F42" s="12" t="s">
        <v>85</v>
      </c>
      <c r="G42" s="12" t="s">
        <v>86</v>
      </c>
      <c r="H42" s="12" t="s">
        <v>26</v>
      </c>
      <c r="I42" s="12" t="s">
        <v>27</v>
      </c>
      <c r="J42" s="12"/>
      <c r="K42" s="1" t="s">
        <v>27</v>
      </c>
      <c r="L42" s="2"/>
    </row>
  </sheetData>
  <phoneticPr fontId="14"/>
  <hyperlinks>
    <hyperlink ref="A4" location="パラメータ設定一覧!A1" display="パラメータ設定一覧へ" xr:uid="{16E95415-E629-4DF0-BE63-E0BB0787D1FA}"/>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6D01-E31E-4DD6-8536-2DD5EA2171A2}">
  <dimension ref="A1:E16"/>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27" customWidth="1"/>
    <col min="2" max="2" width="3.5703125" style="27" bestFit="1" customWidth="1"/>
    <col min="3" max="3" width="26.2109375" style="27" bestFit="1" customWidth="1"/>
    <col min="4" max="4" width="17.78515625" style="27" customWidth="1"/>
    <col min="5" max="5" width="115.2109375" style="27" bestFit="1" customWidth="1"/>
    <col min="6" max="16384" width="8.78515625" style="27"/>
  </cols>
  <sheetData>
    <row r="1" spans="1:5" customFormat="1" ht="19.5" x14ac:dyDescent="0.35">
      <c r="A1" s="24" t="s">
        <v>87</v>
      </c>
    </row>
    <row r="2" spans="1:5" customFormat="1" ht="15" x14ac:dyDescent="0.35"/>
    <row r="3" spans="1:5" customFormat="1" ht="15" x14ac:dyDescent="0.35">
      <c r="A3" s="6" t="s">
        <v>249</v>
      </c>
    </row>
    <row r="4" spans="1:5" x14ac:dyDescent="0.35">
      <c r="B4" s="117" t="s">
        <v>8</v>
      </c>
      <c r="C4" s="14" t="s">
        <v>9</v>
      </c>
      <c r="D4" s="20" t="s">
        <v>10</v>
      </c>
      <c r="E4" s="118" t="s">
        <v>11</v>
      </c>
    </row>
    <row r="5" spans="1:5" x14ac:dyDescent="0.35">
      <c r="B5" s="117"/>
      <c r="C5" s="3" t="s">
        <v>23</v>
      </c>
      <c r="D5" s="4" t="s">
        <v>152</v>
      </c>
      <c r="E5" s="119"/>
    </row>
    <row r="6" spans="1:5" x14ac:dyDescent="0.3">
      <c r="B6" s="63">
        <f t="shared" ref="B6:B16" si="0">ROW() - 5</f>
        <v>1</v>
      </c>
      <c r="C6" s="25" t="s">
        <v>124</v>
      </c>
      <c r="D6" s="64"/>
      <c r="E6" s="26" t="s">
        <v>95</v>
      </c>
    </row>
    <row r="7" spans="1:5" x14ac:dyDescent="0.3">
      <c r="B7" s="63">
        <f t="shared" si="0"/>
        <v>2</v>
      </c>
      <c r="C7" s="25" t="s">
        <v>125</v>
      </c>
      <c r="D7" s="64"/>
      <c r="E7" s="26" t="s">
        <v>96</v>
      </c>
    </row>
    <row r="8" spans="1:5" x14ac:dyDescent="0.3">
      <c r="B8" s="63">
        <f t="shared" si="0"/>
        <v>3</v>
      </c>
      <c r="C8" s="25" t="s">
        <v>126</v>
      </c>
      <c r="D8" s="64"/>
      <c r="E8" s="26" t="s">
        <v>89</v>
      </c>
    </row>
    <row r="9" spans="1:5" x14ac:dyDescent="0.3">
      <c r="B9" s="63">
        <f t="shared" si="0"/>
        <v>4</v>
      </c>
      <c r="C9" s="12" t="s">
        <v>127</v>
      </c>
      <c r="D9" s="64"/>
      <c r="E9" s="26" t="s">
        <v>90</v>
      </c>
    </row>
    <row r="10" spans="1:5" x14ac:dyDescent="0.3">
      <c r="B10" s="63">
        <f t="shared" si="0"/>
        <v>5</v>
      </c>
      <c r="C10" s="25" t="s">
        <v>128</v>
      </c>
      <c r="D10" s="64"/>
      <c r="E10" s="26" t="s">
        <v>91</v>
      </c>
    </row>
    <row r="11" spans="1:5" x14ac:dyDescent="0.3">
      <c r="B11" s="63">
        <f t="shared" si="0"/>
        <v>6</v>
      </c>
      <c r="C11" s="25" t="s">
        <v>129</v>
      </c>
      <c r="D11" s="64"/>
      <c r="E11" s="26" t="s">
        <v>92</v>
      </c>
    </row>
    <row r="12" spans="1:5" x14ac:dyDescent="0.3">
      <c r="B12" s="63">
        <f t="shared" si="0"/>
        <v>7</v>
      </c>
      <c r="C12" s="25" t="s">
        <v>130</v>
      </c>
      <c r="D12" s="64"/>
      <c r="E12" s="26" t="s">
        <v>93</v>
      </c>
    </row>
    <row r="13" spans="1:5" x14ac:dyDescent="0.3">
      <c r="B13" s="63">
        <f t="shared" si="0"/>
        <v>8</v>
      </c>
      <c r="C13" s="25" t="s">
        <v>131</v>
      </c>
      <c r="D13" s="64"/>
      <c r="E13" s="26" t="s">
        <v>94</v>
      </c>
    </row>
    <row r="14" spans="1:5" x14ac:dyDescent="0.3">
      <c r="B14" s="63">
        <f t="shared" si="0"/>
        <v>9</v>
      </c>
      <c r="C14" s="25" t="s">
        <v>132</v>
      </c>
      <c r="D14" s="64"/>
      <c r="E14" s="26" t="s">
        <v>88</v>
      </c>
    </row>
    <row r="15" spans="1:5" x14ac:dyDescent="0.3">
      <c r="B15" s="63">
        <f t="shared" si="0"/>
        <v>10</v>
      </c>
      <c r="C15" s="25" t="s">
        <v>133</v>
      </c>
      <c r="D15" s="64"/>
      <c r="E15" s="26" t="s">
        <v>134</v>
      </c>
    </row>
    <row r="16" spans="1:5" x14ac:dyDescent="0.3">
      <c r="B16" s="63">
        <f t="shared" si="0"/>
        <v>11</v>
      </c>
      <c r="C16" s="25" t="s">
        <v>135</v>
      </c>
      <c r="D16" s="64"/>
      <c r="E16" s="26" t="s">
        <v>136</v>
      </c>
    </row>
  </sheetData>
  <sheetProtection insertRows="0" deleteRows="0" sort="0" autoFilter="0"/>
  <mergeCells count="2">
    <mergeCell ref="B4:B5"/>
    <mergeCell ref="E4:E5"/>
  </mergeCells>
  <phoneticPr fontId="14"/>
  <hyperlinks>
    <hyperlink ref="A3" location="パラメータ設定一覧!A1" display="パラメータ設定一覧へ" xr:uid="{98A01E37-CCFA-4D02-A22F-464C50F26193}"/>
  </hyperlink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14D2-DCB3-4A01-BAA7-0F33B3F19A28}">
  <dimension ref="A1:D41"/>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27" customWidth="1"/>
    <col min="2" max="2" width="3.5703125" style="27" bestFit="1" customWidth="1"/>
    <col min="3" max="3" width="26.2109375" style="27" bestFit="1" customWidth="1"/>
    <col min="4" max="4" width="17.78515625" style="27" customWidth="1"/>
    <col min="5" max="16384" width="8.78515625" style="27"/>
  </cols>
  <sheetData>
    <row r="1" spans="1:4" customFormat="1" ht="19.5" x14ac:dyDescent="0.35">
      <c r="A1" s="24" t="s">
        <v>174</v>
      </c>
    </row>
    <row r="2" spans="1:4" customFormat="1" ht="15" x14ac:dyDescent="0.35"/>
    <row r="3" spans="1:4" customFormat="1" ht="15" x14ac:dyDescent="0.35">
      <c r="A3" s="6" t="s">
        <v>249</v>
      </c>
    </row>
    <row r="4" spans="1:4" x14ac:dyDescent="0.35">
      <c r="B4" s="126" t="s">
        <v>8</v>
      </c>
      <c r="C4" s="68" t="s">
        <v>166</v>
      </c>
      <c r="D4" s="69"/>
    </row>
    <row r="5" spans="1:4" x14ac:dyDescent="0.35">
      <c r="B5" s="117"/>
      <c r="C5" s="66" t="s">
        <v>176</v>
      </c>
      <c r="D5" s="67" t="s">
        <v>175</v>
      </c>
    </row>
    <row r="6" spans="1:4" x14ac:dyDescent="0.3">
      <c r="B6" s="63">
        <f t="shared" ref="B6:B41" si="0">ROW() - 5</f>
        <v>1</v>
      </c>
      <c r="C6" s="25" t="s">
        <v>178</v>
      </c>
      <c r="D6" s="64" t="s">
        <v>116</v>
      </c>
    </row>
    <row r="7" spans="1:4" x14ac:dyDescent="0.3">
      <c r="B7" s="63">
        <f t="shared" si="0"/>
        <v>2</v>
      </c>
      <c r="C7" s="25" t="s">
        <v>179</v>
      </c>
      <c r="D7" s="64" t="s">
        <v>116</v>
      </c>
    </row>
    <row r="8" spans="1:4" x14ac:dyDescent="0.3">
      <c r="B8" s="63">
        <f t="shared" si="0"/>
        <v>3</v>
      </c>
      <c r="C8" s="25" t="s">
        <v>180</v>
      </c>
      <c r="D8" s="64" t="s">
        <v>116</v>
      </c>
    </row>
    <row r="9" spans="1:4" x14ac:dyDescent="0.3">
      <c r="B9" s="63">
        <f t="shared" si="0"/>
        <v>4</v>
      </c>
      <c r="C9" s="12" t="s">
        <v>181</v>
      </c>
      <c r="D9" s="64" t="s">
        <v>116</v>
      </c>
    </row>
    <row r="10" spans="1:4" x14ac:dyDescent="0.3">
      <c r="B10" s="63">
        <f t="shared" si="0"/>
        <v>5</v>
      </c>
      <c r="C10" s="25" t="s">
        <v>182</v>
      </c>
      <c r="D10" s="64" t="s">
        <v>116</v>
      </c>
    </row>
    <row r="11" spans="1:4" x14ac:dyDescent="0.3">
      <c r="B11" s="63">
        <f t="shared" si="0"/>
        <v>6</v>
      </c>
      <c r="C11" s="25" t="s">
        <v>183</v>
      </c>
      <c r="D11" s="64" t="s">
        <v>116</v>
      </c>
    </row>
    <row r="12" spans="1:4" x14ac:dyDescent="0.3">
      <c r="B12" s="63">
        <f t="shared" si="0"/>
        <v>7</v>
      </c>
      <c r="C12" s="25" t="s">
        <v>184</v>
      </c>
      <c r="D12" s="64" t="s">
        <v>116</v>
      </c>
    </row>
    <row r="13" spans="1:4" x14ac:dyDescent="0.3">
      <c r="B13" s="63">
        <f t="shared" si="0"/>
        <v>8</v>
      </c>
      <c r="C13" s="25" t="s">
        <v>185</v>
      </c>
      <c r="D13" s="64" t="s">
        <v>116</v>
      </c>
    </row>
    <row r="14" spans="1:4" x14ac:dyDescent="0.3">
      <c r="B14" s="63">
        <f t="shared" si="0"/>
        <v>9</v>
      </c>
      <c r="C14" s="25" t="s">
        <v>186</v>
      </c>
      <c r="D14" s="64" t="s">
        <v>116</v>
      </c>
    </row>
    <row r="15" spans="1:4" x14ac:dyDescent="0.3">
      <c r="B15" s="63">
        <f t="shared" si="0"/>
        <v>10</v>
      </c>
      <c r="C15" s="25" t="s">
        <v>187</v>
      </c>
      <c r="D15" s="64" t="s">
        <v>116</v>
      </c>
    </row>
    <row r="16" spans="1:4" x14ac:dyDescent="0.3">
      <c r="B16" s="63">
        <f t="shared" si="0"/>
        <v>11</v>
      </c>
      <c r="C16" s="25" t="s">
        <v>188</v>
      </c>
      <c r="D16" s="64" t="s">
        <v>116</v>
      </c>
    </row>
    <row r="17" spans="2:4" x14ac:dyDescent="0.3">
      <c r="B17" s="63">
        <f t="shared" si="0"/>
        <v>12</v>
      </c>
      <c r="C17" s="25" t="s">
        <v>189</v>
      </c>
      <c r="D17" s="64" t="s">
        <v>116</v>
      </c>
    </row>
    <row r="18" spans="2:4" x14ac:dyDescent="0.3">
      <c r="B18" s="63">
        <f t="shared" si="0"/>
        <v>13</v>
      </c>
      <c r="C18" s="25" t="s">
        <v>190</v>
      </c>
      <c r="D18" s="64" t="s">
        <v>116</v>
      </c>
    </row>
    <row r="19" spans="2:4" x14ac:dyDescent="0.3">
      <c r="B19" s="63">
        <f t="shared" si="0"/>
        <v>14</v>
      </c>
      <c r="C19" s="25" t="s">
        <v>191</v>
      </c>
      <c r="D19" s="64" t="s">
        <v>116</v>
      </c>
    </row>
    <row r="20" spans="2:4" x14ac:dyDescent="0.3">
      <c r="B20" s="63">
        <f t="shared" si="0"/>
        <v>15</v>
      </c>
      <c r="C20" s="25" t="s">
        <v>192</v>
      </c>
      <c r="D20" s="64" t="s">
        <v>116</v>
      </c>
    </row>
    <row r="21" spans="2:4" x14ac:dyDescent="0.3">
      <c r="B21" s="63">
        <f t="shared" si="0"/>
        <v>16</v>
      </c>
      <c r="C21" s="25" t="s">
        <v>193</v>
      </c>
      <c r="D21" s="64" t="s">
        <v>116</v>
      </c>
    </row>
    <row r="22" spans="2:4" x14ac:dyDescent="0.3">
      <c r="B22" s="63">
        <f t="shared" si="0"/>
        <v>17</v>
      </c>
      <c r="C22" s="25" t="s">
        <v>194</v>
      </c>
      <c r="D22" s="64" t="s">
        <v>116</v>
      </c>
    </row>
    <row r="23" spans="2:4" x14ac:dyDescent="0.3">
      <c r="B23" s="63">
        <f t="shared" si="0"/>
        <v>18</v>
      </c>
      <c r="C23" s="25" t="s">
        <v>195</v>
      </c>
      <c r="D23" s="64" t="s">
        <v>116</v>
      </c>
    </row>
    <row r="24" spans="2:4" x14ac:dyDescent="0.3">
      <c r="B24" s="63">
        <f t="shared" si="0"/>
        <v>19</v>
      </c>
      <c r="C24" s="25" t="s">
        <v>196</v>
      </c>
      <c r="D24" s="64" t="s">
        <v>116</v>
      </c>
    </row>
    <row r="25" spans="2:4" x14ac:dyDescent="0.3">
      <c r="B25" s="63">
        <f t="shared" si="0"/>
        <v>20</v>
      </c>
      <c r="C25" s="25" t="s">
        <v>197</v>
      </c>
      <c r="D25" s="64" t="s">
        <v>116</v>
      </c>
    </row>
    <row r="26" spans="2:4" x14ac:dyDescent="0.3">
      <c r="B26" s="63">
        <f t="shared" si="0"/>
        <v>21</v>
      </c>
      <c r="C26" s="25" t="s">
        <v>198</v>
      </c>
      <c r="D26" s="64" t="s">
        <v>116</v>
      </c>
    </row>
    <row r="27" spans="2:4" x14ac:dyDescent="0.3">
      <c r="B27" s="63">
        <f t="shared" si="0"/>
        <v>22</v>
      </c>
      <c r="C27" s="25" t="s">
        <v>199</v>
      </c>
      <c r="D27" s="64" t="s">
        <v>116</v>
      </c>
    </row>
    <row r="28" spans="2:4" x14ac:dyDescent="0.3">
      <c r="B28" s="63">
        <f t="shared" si="0"/>
        <v>23</v>
      </c>
      <c r="C28" s="25" t="s">
        <v>200</v>
      </c>
      <c r="D28" s="64" t="s">
        <v>116</v>
      </c>
    </row>
    <row r="29" spans="2:4" x14ac:dyDescent="0.3">
      <c r="B29" s="63">
        <f t="shared" si="0"/>
        <v>24</v>
      </c>
      <c r="C29" s="25" t="s">
        <v>201</v>
      </c>
      <c r="D29" s="64" t="s">
        <v>116</v>
      </c>
    </row>
    <row r="30" spans="2:4" x14ac:dyDescent="0.3">
      <c r="B30" s="63">
        <f t="shared" si="0"/>
        <v>25</v>
      </c>
      <c r="C30" s="25" t="s">
        <v>202</v>
      </c>
      <c r="D30" s="64" t="s">
        <v>116</v>
      </c>
    </row>
    <row r="31" spans="2:4" x14ac:dyDescent="0.3">
      <c r="B31" s="63">
        <f t="shared" si="0"/>
        <v>26</v>
      </c>
      <c r="C31" s="25" t="s">
        <v>203</v>
      </c>
      <c r="D31" s="64" t="s">
        <v>116</v>
      </c>
    </row>
    <row r="32" spans="2:4" x14ac:dyDescent="0.3">
      <c r="B32" s="63">
        <f t="shared" si="0"/>
        <v>27</v>
      </c>
      <c r="C32" s="25" t="s">
        <v>204</v>
      </c>
      <c r="D32" s="64" t="s">
        <v>116</v>
      </c>
    </row>
    <row r="33" spans="2:4" x14ac:dyDescent="0.3">
      <c r="B33" s="63">
        <f t="shared" si="0"/>
        <v>28</v>
      </c>
      <c r="C33" s="25" t="s">
        <v>205</v>
      </c>
      <c r="D33" s="64" t="s">
        <v>116</v>
      </c>
    </row>
    <row r="34" spans="2:4" x14ac:dyDescent="0.3">
      <c r="B34" s="63">
        <f t="shared" si="0"/>
        <v>29</v>
      </c>
      <c r="C34" s="25" t="s">
        <v>206</v>
      </c>
      <c r="D34" s="64" t="s">
        <v>116</v>
      </c>
    </row>
    <row r="35" spans="2:4" x14ac:dyDescent="0.3">
      <c r="B35" s="63">
        <f t="shared" si="0"/>
        <v>30</v>
      </c>
      <c r="C35" s="25" t="s">
        <v>207</v>
      </c>
      <c r="D35" s="64" t="s">
        <v>116</v>
      </c>
    </row>
    <row r="36" spans="2:4" x14ac:dyDescent="0.3">
      <c r="B36" s="63">
        <f t="shared" si="0"/>
        <v>31</v>
      </c>
      <c r="C36" s="25" t="s">
        <v>208</v>
      </c>
      <c r="D36" s="64" t="s">
        <v>116</v>
      </c>
    </row>
    <row r="37" spans="2:4" x14ac:dyDescent="0.3">
      <c r="B37" s="63">
        <f t="shared" si="0"/>
        <v>32</v>
      </c>
      <c r="C37" s="25" t="s">
        <v>209</v>
      </c>
      <c r="D37" s="64" t="s">
        <v>116</v>
      </c>
    </row>
    <row r="38" spans="2:4" x14ac:dyDescent="0.3">
      <c r="B38" s="63">
        <f t="shared" si="0"/>
        <v>33</v>
      </c>
      <c r="C38" s="25" t="s">
        <v>210</v>
      </c>
      <c r="D38" s="64" t="s">
        <v>116</v>
      </c>
    </row>
    <row r="39" spans="2:4" x14ac:dyDescent="0.3">
      <c r="B39" s="63">
        <f t="shared" si="0"/>
        <v>34</v>
      </c>
      <c r="C39" s="25" t="s">
        <v>211</v>
      </c>
      <c r="D39" s="64" t="s">
        <v>116</v>
      </c>
    </row>
    <row r="40" spans="2:4" x14ac:dyDescent="0.3">
      <c r="B40" s="63">
        <f t="shared" si="0"/>
        <v>35</v>
      </c>
      <c r="C40" s="25" t="s">
        <v>212</v>
      </c>
      <c r="D40" s="64" t="s">
        <v>116</v>
      </c>
    </row>
    <row r="41" spans="2:4" x14ac:dyDescent="0.3">
      <c r="B41" s="63">
        <f t="shared" si="0"/>
        <v>36</v>
      </c>
      <c r="C41" s="25" t="s">
        <v>213</v>
      </c>
      <c r="D41" s="64" t="s">
        <v>116</v>
      </c>
    </row>
  </sheetData>
  <sheetProtection insertRows="0" deleteRows="0" sort="0" autoFilter="0"/>
  <mergeCells count="1">
    <mergeCell ref="B4:B5"/>
  </mergeCells>
  <phoneticPr fontId="14"/>
  <hyperlinks>
    <hyperlink ref="A3" location="パラメータ設定一覧!A1" display="パラメータ設定一覧へ" xr:uid="{982B2147-D874-41EF-BF5D-18F15E53F46B}"/>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5A95-0495-45C0-93A2-40726D489AAB}">
  <dimension ref="A1:E24"/>
  <sheetViews>
    <sheetView showGridLines="0" zoomScaleNormal="100" workbookViewId="0">
      <pane ySplit="5" topLeftCell="A6" activePane="bottomLeft" state="frozen"/>
      <selection pane="bottomLeft" activeCell="E35" sqref="E35"/>
    </sheetView>
  </sheetViews>
  <sheetFormatPr defaultColWidth="8.78515625" defaultRowHeight="13.5" x14ac:dyDescent="0.35"/>
  <cols>
    <col min="1" max="1" width="2.78515625" style="27" customWidth="1"/>
    <col min="2" max="2" width="3.5703125" style="27" bestFit="1" customWidth="1"/>
    <col min="3" max="3" width="13.42578125" style="27" bestFit="1" customWidth="1"/>
    <col min="4" max="4" width="37.42578125" style="27" bestFit="1" customWidth="1"/>
    <col min="5" max="5" width="17.78515625" style="27" customWidth="1"/>
    <col min="6" max="16384" width="8.78515625" style="27"/>
  </cols>
  <sheetData>
    <row r="1" spans="1:5" customFormat="1" ht="19.5" x14ac:dyDescent="0.35">
      <c r="A1" s="24" t="s">
        <v>174</v>
      </c>
    </row>
    <row r="2" spans="1:5" customFormat="1" ht="15" x14ac:dyDescent="0.35"/>
    <row r="3" spans="1:5" customFormat="1" ht="15" x14ac:dyDescent="0.35">
      <c r="A3" s="6" t="s">
        <v>249</v>
      </c>
    </row>
    <row r="4" spans="1:5" x14ac:dyDescent="0.35">
      <c r="B4" s="117" t="s">
        <v>8</v>
      </c>
      <c r="C4" s="14" t="s">
        <v>215</v>
      </c>
      <c r="D4" s="20" t="s">
        <v>109</v>
      </c>
      <c r="E4" s="20" t="s">
        <v>28</v>
      </c>
    </row>
    <row r="5" spans="1:5" x14ac:dyDescent="0.35">
      <c r="B5" s="117"/>
      <c r="C5" s="3" t="s">
        <v>23</v>
      </c>
      <c r="D5" s="4" t="s">
        <v>23</v>
      </c>
      <c r="E5" s="4" t="s">
        <v>31</v>
      </c>
    </row>
    <row r="6" spans="1:5" x14ac:dyDescent="0.3">
      <c r="B6" s="63">
        <f t="shared" ref="B6:B24" si="0">ROW() - 5</f>
        <v>1</v>
      </c>
      <c r="C6" s="25" t="s">
        <v>217</v>
      </c>
      <c r="D6" s="64" t="s">
        <v>218</v>
      </c>
      <c r="E6" s="64">
        <v>5</v>
      </c>
    </row>
    <row r="7" spans="1:5" x14ac:dyDescent="0.3">
      <c r="B7" s="63">
        <f t="shared" si="0"/>
        <v>2</v>
      </c>
      <c r="C7" s="25" t="s">
        <v>217</v>
      </c>
      <c r="D7" s="64" t="s">
        <v>219</v>
      </c>
      <c r="E7" s="70">
        <v>9999</v>
      </c>
    </row>
    <row r="8" spans="1:5" x14ac:dyDescent="0.3">
      <c r="B8" s="63">
        <f t="shared" si="0"/>
        <v>3</v>
      </c>
      <c r="C8" s="25" t="s">
        <v>217</v>
      </c>
      <c r="D8" s="64" t="s">
        <v>220</v>
      </c>
      <c r="E8" s="64">
        <v>5</v>
      </c>
    </row>
    <row r="9" spans="1:5" x14ac:dyDescent="0.3">
      <c r="B9" s="63">
        <f t="shared" si="0"/>
        <v>4</v>
      </c>
      <c r="C9" s="12" t="s">
        <v>217</v>
      </c>
      <c r="D9" s="64" t="s">
        <v>221</v>
      </c>
      <c r="E9" s="64">
        <v>5</v>
      </c>
    </row>
    <row r="10" spans="1:5" x14ac:dyDescent="0.3">
      <c r="B10" s="63">
        <f t="shared" si="0"/>
        <v>5</v>
      </c>
      <c r="C10" s="25" t="s">
        <v>217</v>
      </c>
      <c r="D10" s="64" t="s">
        <v>222</v>
      </c>
      <c r="E10" s="64">
        <v>5</v>
      </c>
    </row>
    <row r="11" spans="1:5" x14ac:dyDescent="0.3">
      <c r="B11" s="63">
        <f t="shared" si="0"/>
        <v>6</v>
      </c>
      <c r="C11" s="25" t="s">
        <v>217</v>
      </c>
      <c r="D11" s="64" t="s">
        <v>223</v>
      </c>
      <c r="E11" s="64">
        <v>5</v>
      </c>
    </row>
    <row r="12" spans="1:5" x14ac:dyDescent="0.3">
      <c r="B12" s="63">
        <f t="shared" si="0"/>
        <v>7</v>
      </c>
      <c r="C12" s="25" t="s">
        <v>217</v>
      </c>
      <c r="D12" s="64" t="s">
        <v>224</v>
      </c>
      <c r="E12" s="64">
        <v>5</v>
      </c>
    </row>
    <row r="13" spans="1:5" x14ac:dyDescent="0.3">
      <c r="B13" s="63">
        <f t="shared" si="0"/>
        <v>8</v>
      </c>
      <c r="C13" s="25" t="s">
        <v>217</v>
      </c>
      <c r="D13" s="64" t="s">
        <v>225</v>
      </c>
      <c r="E13" s="64">
        <v>5</v>
      </c>
    </row>
    <row r="14" spans="1:5" x14ac:dyDescent="0.3">
      <c r="B14" s="63">
        <f t="shared" si="0"/>
        <v>9</v>
      </c>
      <c r="C14" s="25" t="s">
        <v>217</v>
      </c>
      <c r="D14" s="64" t="s">
        <v>226</v>
      </c>
      <c r="E14" s="64">
        <v>5</v>
      </c>
    </row>
    <row r="15" spans="1:5" x14ac:dyDescent="0.3">
      <c r="B15" s="63">
        <f t="shared" si="0"/>
        <v>10</v>
      </c>
      <c r="C15" s="25" t="s">
        <v>227</v>
      </c>
      <c r="D15" s="64" t="s">
        <v>228</v>
      </c>
      <c r="E15" s="64">
        <v>5</v>
      </c>
    </row>
    <row r="16" spans="1:5" x14ac:dyDescent="0.3">
      <c r="B16" s="63">
        <f t="shared" si="0"/>
        <v>11</v>
      </c>
      <c r="C16" s="25" t="s">
        <v>227</v>
      </c>
      <c r="D16" s="64" t="s">
        <v>229</v>
      </c>
      <c r="E16" s="64">
        <v>5</v>
      </c>
    </row>
    <row r="17" spans="2:5" x14ac:dyDescent="0.3">
      <c r="B17" s="63">
        <f t="shared" si="0"/>
        <v>12</v>
      </c>
      <c r="C17" s="25" t="s">
        <v>227</v>
      </c>
      <c r="D17" s="64" t="s">
        <v>230</v>
      </c>
      <c r="E17" s="64">
        <v>5</v>
      </c>
    </row>
    <row r="18" spans="2:5" x14ac:dyDescent="0.3">
      <c r="B18" s="63">
        <f t="shared" si="0"/>
        <v>13</v>
      </c>
      <c r="C18" s="25" t="s">
        <v>227</v>
      </c>
      <c r="D18" s="64" t="s">
        <v>231</v>
      </c>
      <c r="E18" s="64">
        <v>5</v>
      </c>
    </row>
    <row r="19" spans="2:5" x14ac:dyDescent="0.3">
      <c r="B19" s="63">
        <f t="shared" si="0"/>
        <v>14</v>
      </c>
      <c r="C19" s="25" t="s">
        <v>227</v>
      </c>
      <c r="D19" s="64" t="s">
        <v>232</v>
      </c>
      <c r="E19" s="64">
        <v>5</v>
      </c>
    </row>
    <row r="20" spans="2:5" x14ac:dyDescent="0.3">
      <c r="B20" s="63">
        <f t="shared" si="0"/>
        <v>15</v>
      </c>
      <c r="C20" s="25" t="s">
        <v>233</v>
      </c>
      <c r="D20" s="64" t="s">
        <v>234</v>
      </c>
      <c r="E20" s="64">
        <v>10</v>
      </c>
    </row>
    <row r="21" spans="2:5" x14ac:dyDescent="0.3">
      <c r="B21" s="63">
        <f t="shared" si="0"/>
        <v>16</v>
      </c>
      <c r="C21" s="25" t="s">
        <v>233</v>
      </c>
      <c r="D21" s="64" t="s">
        <v>235</v>
      </c>
      <c r="E21" s="70">
        <v>9999</v>
      </c>
    </row>
    <row r="22" spans="2:5" x14ac:dyDescent="0.3">
      <c r="B22" s="63">
        <f t="shared" si="0"/>
        <v>17</v>
      </c>
      <c r="C22" s="25" t="s">
        <v>233</v>
      </c>
      <c r="D22" s="64" t="s">
        <v>236</v>
      </c>
      <c r="E22" s="64">
        <v>5</v>
      </c>
    </row>
    <row r="23" spans="2:5" x14ac:dyDescent="0.3">
      <c r="B23" s="63">
        <f t="shared" si="0"/>
        <v>18</v>
      </c>
      <c r="C23" s="25" t="s">
        <v>237</v>
      </c>
      <c r="D23" s="64" t="s">
        <v>238</v>
      </c>
      <c r="E23" s="64">
        <v>5</v>
      </c>
    </row>
    <row r="24" spans="2:5" x14ac:dyDescent="0.3">
      <c r="B24" s="63">
        <f t="shared" si="0"/>
        <v>19</v>
      </c>
      <c r="C24" s="25" t="s">
        <v>237</v>
      </c>
      <c r="D24" s="64" t="s">
        <v>239</v>
      </c>
      <c r="E24" s="70">
        <v>9999</v>
      </c>
    </row>
  </sheetData>
  <sheetProtection insertRows="0" deleteRows="0" sort="0" autoFilter="0"/>
  <mergeCells count="1">
    <mergeCell ref="B4:B5"/>
  </mergeCells>
  <phoneticPr fontId="14"/>
  <hyperlinks>
    <hyperlink ref="A3" location="パラメータ設定一覧!A1" display="パラメータ設定一覧へ" xr:uid="{F4EDA22A-9A90-4A62-B82C-FC56E5189978}"/>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C8F1-E337-474E-8322-8D885E0EBE8C}">
  <dimension ref="A1:L27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27" customWidth="1"/>
    <col min="2" max="2" width="3.78515625" style="27" customWidth="1"/>
    <col min="3" max="3" width="16.78515625" style="27" customWidth="1"/>
    <col min="4" max="4" width="19.2109375" style="27" customWidth="1"/>
    <col min="5" max="5" width="16.5703125" style="27" customWidth="1"/>
    <col min="6" max="6" width="22.5703125" style="27" customWidth="1"/>
    <col min="7" max="7" width="44.640625" style="27" customWidth="1"/>
    <col min="8" max="8" width="27.5703125" style="27" customWidth="1"/>
    <col min="9" max="9" width="17.42578125" style="28" customWidth="1"/>
    <col min="10" max="10" width="22.42578125" style="27" customWidth="1"/>
    <col min="11" max="11" width="18.2109375" style="27" customWidth="1"/>
    <col min="12" max="12" width="13.2109375" style="27" customWidth="1"/>
    <col min="13" max="16384" width="8.78515625" style="27"/>
  </cols>
  <sheetData>
    <row r="1" spans="1:12" customFormat="1" ht="19.5" x14ac:dyDescent="0.35">
      <c r="A1" s="42" t="s">
        <v>6</v>
      </c>
      <c r="C1" s="27"/>
      <c r="D1" s="27"/>
      <c r="E1" s="27"/>
      <c r="F1" s="27"/>
      <c r="G1" s="27"/>
      <c r="H1" s="27"/>
      <c r="I1" s="28"/>
    </row>
    <row r="2" spans="1:12" customFormat="1" ht="15" x14ac:dyDescent="0.35">
      <c r="B2" t="s">
        <v>97</v>
      </c>
      <c r="C2" s="27"/>
      <c r="D2" s="27"/>
      <c r="E2" s="27"/>
      <c r="F2" s="27"/>
      <c r="G2" s="27"/>
      <c r="H2" s="27"/>
      <c r="I2" s="28"/>
    </row>
    <row r="3" spans="1:12" customFormat="1" ht="15" x14ac:dyDescent="0.35">
      <c r="B3" t="s">
        <v>98</v>
      </c>
      <c r="C3" s="27"/>
      <c r="D3" s="27"/>
      <c r="E3" s="27"/>
      <c r="F3" s="27"/>
      <c r="G3" s="27"/>
      <c r="H3" s="27"/>
      <c r="I3" s="28"/>
    </row>
    <row r="4" spans="1:12" customFormat="1" ht="15" x14ac:dyDescent="0.35">
      <c r="A4" s="6" t="s">
        <v>249</v>
      </c>
      <c r="C4" s="27"/>
      <c r="D4" s="27"/>
      <c r="E4" s="27"/>
      <c r="F4" s="27"/>
      <c r="G4" s="27"/>
      <c r="H4" s="27"/>
      <c r="I4" s="28"/>
    </row>
    <row r="5" spans="1:12" x14ac:dyDescent="0.35">
      <c r="B5" s="7" t="s">
        <v>8</v>
      </c>
      <c r="C5" s="7" t="s">
        <v>12</v>
      </c>
      <c r="D5" s="7" t="s">
        <v>13</v>
      </c>
      <c r="E5" s="7" t="s">
        <v>14</v>
      </c>
      <c r="F5" s="29" t="s">
        <v>15</v>
      </c>
      <c r="G5" s="7" t="s">
        <v>16</v>
      </c>
      <c r="H5" s="7" t="s">
        <v>17</v>
      </c>
      <c r="I5" s="30" t="s">
        <v>18</v>
      </c>
      <c r="J5" s="7" t="s">
        <v>19</v>
      </c>
      <c r="K5" s="10" t="s">
        <v>20</v>
      </c>
      <c r="L5" s="10" t="s">
        <v>21</v>
      </c>
    </row>
    <row r="6" spans="1:12" x14ac:dyDescent="0.35">
      <c r="B6" s="43">
        <f>ROW() - 5</f>
        <v>1</v>
      </c>
      <c r="C6" s="12" t="s">
        <v>99</v>
      </c>
      <c r="D6" s="44"/>
      <c r="E6" s="12"/>
      <c r="F6" s="31" t="s">
        <v>6</v>
      </c>
      <c r="G6" s="31"/>
      <c r="H6" s="31" t="s">
        <v>33</v>
      </c>
      <c r="I6" s="32" t="s">
        <v>25</v>
      </c>
      <c r="J6" s="13"/>
      <c r="K6" s="1" t="s">
        <v>100</v>
      </c>
      <c r="L6" s="2"/>
    </row>
    <row r="7" spans="1:12" x14ac:dyDescent="0.35">
      <c r="I7" s="27"/>
    </row>
    <row r="8" spans="1:12" x14ac:dyDescent="0.35">
      <c r="I8" s="27"/>
    </row>
    <row r="9" spans="1:12" x14ac:dyDescent="0.35">
      <c r="I9" s="27"/>
    </row>
    <row r="10" spans="1:12" x14ac:dyDescent="0.35">
      <c r="I10" s="27"/>
    </row>
    <row r="11" spans="1:12" x14ac:dyDescent="0.35">
      <c r="I11" s="27"/>
    </row>
    <row r="12" spans="1:12" x14ac:dyDescent="0.35">
      <c r="I12" s="27"/>
    </row>
    <row r="13" spans="1:12" x14ac:dyDescent="0.35">
      <c r="I13" s="27"/>
    </row>
    <row r="14" spans="1:12" x14ac:dyDescent="0.35">
      <c r="I14" s="27"/>
    </row>
    <row r="15" spans="1:12" x14ac:dyDescent="0.35">
      <c r="I15" s="27"/>
    </row>
    <row r="16" spans="1:12" x14ac:dyDescent="0.35">
      <c r="I16" s="27"/>
    </row>
    <row r="17" s="27" customFormat="1" x14ac:dyDescent="0.35"/>
    <row r="18" s="27" customFormat="1" x14ac:dyDescent="0.35"/>
    <row r="19" s="27" customFormat="1" x14ac:dyDescent="0.35"/>
    <row r="20" s="27" customFormat="1" x14ac:dyDescent="0.35"/>
    <row r="21" s="27" customFormat="1" x14ac:dyDescent="0.35"/>
    <row r="22" s="27" customFormat="1" x14ac:dyDescent="0.35"/>
    <row r="23" s="27" customFormat="1" x14ac:dyDescent="0.35"/>
    <row r="24" s="27" customFormat="1" x14ac:dyDescent="0.35"/>
    <row r="25" s="27" customFormat="1" x14ac:dyDescent="0.35"/>
    <row r="26" s="27" customFormat="1" x14ac:dyDescent="0.35"/>
    <row r="27" s="27" customFormat="1" x14ac:dyDescent="0.35"/>
    <row r="28" s="27" customFormat="1" x14ac:dyDescent="0.35"/>
    <row r="29" s="27" customFormat="1" ht="18.75" customHeight="1" x14ac:dyDescent="0.35"/>
    <row r="30" s="27" customFormat="1" x14ac:dyDescent="0.35"/>
    <row r="31" s="27" customFormat="1" x14ac:dyDescent="0.35"/>
    <row r="32" s="27" customFormat="1" x14ac:dyDescent="0.35"/>
    <row r="33" s="27" customFormat="1" x14ac:dyDescent="0.35"/>
    <row r="34" s="27" customFormat="1" ht="15.75" customHeight="1" x14ac:dyDescent="0.35"/>
    <row r="35" s="27" customFormat="1" x14ac:dyDescent="0.35"/>
    <row r="36" s="27" customFormat="1" x14ac:dyDescent="0.35"/>
    <row r="37" s="27" customFormat="1" x14ac:dyDescent="0.35"/>
    <row r="38" s="27" customFormat="1" x14ac:dyDescent="0.35"/>
    <row r="39" s="27" customFormat="1" x14ac:dyDescent="0.35"/>
    <row r="40" s="27" customFormat="1" x14ac:dyDescent="0.35"/>
    <row r="41" s="27" customFormat="1" x14ac:dyDescent="0.35"/>
    <row r="42" s="27" customFormat="1" x14ac:dyDescent="0.35"/>
    <row r="43" s="27" customFormat="1" x14ac:dyDescent="0.35"/>
    <row r="44" s="27" customFormat="1" x14ac:dyDescent="0.35"/>
    <row r="45" s="27" customFormat="1" x14ac:dyDescent="0.35"/>
    <row r="46" s="27" customFormat="1" x14ac:dyDescent="0.35"/>
    <row r="47" s="27" customFormat="1" x14ac:dyDescent="0.35"/>
    <row r="48" s="27" customFormat="1" x14ac:dyDescent="0.35"/>
    <row r="49" s="27" customFormat="1" x14ac:dyDescent="0.35"/>
    <row r="50" s="27" customFormat="1" x14ac:dyDescent="0.35"/>
    <row r="51" s="27" customFormat="1" x14ac:dyDescent="0.35"/>
    <row r="52" s="27" customFormat="1" x14ac:dyDescent="0.35"/>
    <row r="53" s="27" customFormat="1" x14ac:dyDescent="0.35"/>
    <row r="54" s="27" customFormat="1" x14ac:dyDescent="0.35"/>
    <row r="55" s="27" customFormat="1" x14ac:dyDescent="0.35"/>
    <row r="56" s="27" customFormat="1" x14ac:dyDescent="0.35"/>
    <row r="57" s="27" customFormat="1" x14ac:dyDescent="0.35"/>
    <row r="58" s="27" customFormat="1" x14ac:dyDescent="0.35"/>
    <row r="59" s="27" customFormat="1" x14ac:dyDescent="0.35"/>
    <row r="60" s="27" customFormat="1" x14ac:dyDescent="0.35"/>
    <row r="61" s="27" customFormat="1" x14ac:dyDescent="0.35"/>
    <row r="62" s="27" customFormat="1" x14ac:dyDescent="0.35"/>
    <row r="63" s="27" customFormat="1" x14ac:dyDescent="0.35"/>
    <row r="64" s="27" customFormat="1" x14ac:dyDescent="0.35"/>
    <row r="65" s="27" customFormat="1" x14ac:dyDescent="0.35"/>
    <row r="66" s="27" customFormat="1" x14ac:dyDescent="0.35"/>
    <row r="67" s="27" customFormat="1" x14ac:dyDescent="0.35"/>
    <row r="68" s="27" customFormat="1" x14ac:dyDescent="0.35"/>
    <row r="69" s="27" customFormat="1" x14ac:dyDescent="0.35"/>
    <row r="70" s="27" customFormat="1" x14ac:dyDescent="0.35"/>
    <row r="71" s="27" customFormat="1" x14ac:dyDescent="0.35"/>
    <row r="72" s="27" customFormat="1" x14ac:dyDescent="0.35"/>
    <row r="73" s="27" customFormat="1" x14ac:dyDescent="0.35"/>
    <row r="74" s="27" customFormat="1" x14ac:dyDescent="0.35"/>
    <row r="75" s="27" customFormat="1" x14ac:dyDescent="0.35"/>
    <row r="76" s="27" customFormat="1" x14ac:dyDescent="0.35"/>
    <row r="77" s="27" customFormat="1" x14ac:dyDescent="0.35"/>
    <row r="78" s="27" customFormat="1" x14ac:dyDescent="0.35"/>
    <row r="79" s="27" customFormat="1" x14ac:dyDescent="0.35"/>
    <row r="80" s="27" customFormat="1" x14ac:dyDescent="0.35"/>
    <row r="81" s="27" customFormat="1" x14ac:dyDescent="0.35"/>
    <row r="82" s="27" customFormat="1" x14ac:dyDescent="0.35"/>
    <row r="83" s="27" customFormat="1" x14ac:dyDescent="0.35"/>
    <row r="84" s="27" customFormat="1" x14ac:dyDescent="0.35"/>
    <row r="85" s="27" customFormat="1" x14ac:dyDescent="0.35"/>
    <row r="86" s="27" customFormat="1" x14ac:dyDescent="0.35"/>
    <row r="87" s="27" customFormat="1" x14ac:dyDescent="0.35"/>
    <row r="88" s="27" customFormat="1" x14ac:dyDescent="0.35"/>
    <row r="89" s="27" customFormat="1" x14ac:dyDescent="0.35"/>
    <row r="90" s="27" customFormat="1" x14ac:dyDescent="0.35"/>
    <row r="91" s="27" customFormat="1" x14ac:dyDescent="0.35"/>
    <row r="92" s="27" customFormat="1" x14ac:dyDescent="0.35"/>
    <row r="93" s="27" customFormat="1" x14ac:dyDescent="0.35"/>
    <row r="94" s="27" customFormat="1" x14ac:dyDescent="0.35"/>
    <row r="95" s="27" customFormat="1" x14ac:dyDescent="0.35"/>
    <row r="96" s="27" customFormat="1" x14ac:dyDescent="0.35"/>
    <row r="97" s="27" customFormat="1" x14ac:dyDescent="0.35"/>
    <row r="98" s="27" customFormat="1" x14ac:dyDescent="0.35"/>
    <row r="99" s="27" customFormat="1" x14ac:dyDescent="0.35"/>
    <row r="100" s="27" customFormat="1" x14ac:dyDescent="0.35"/>
    <row r="101" s="27" customFormat="1" x14ac:dyDescent="0.35"/>
    <row r="102" s="27" customFormat="1" x14ac:dyDescent="0.35"/>
    <row r="103" s="27" customFormat="1" x14ac:dyDescent="0.35"/>
    <row r="104" s="27" customFormat="1" x14ac:dyDescent="0.35"/>
    <row r="105" s="27" customFormat="1" x14ac:dyDescent="0.35"/>
    <row r="106" s="27" customFormat="1" x14ac:dyDescent="0.35"/>
    <row r="107" s="27" customFormat="1" x14ac:dyDescent="0.35"/>
    <row r="108" s="27" customFormat="1" x14ac:dyDescent="0.35"/>
    <row r="109" s="27" customFormat="1" x14ac:dyDescent="0.35"/>
    <row r="110" s="27" customFormat="1" x14ac:dyDescent="0.35"/>
    <row r="111" s="27" customFormat="1" x14ac:dyDescent="0.35"/>
    <row r="112" s="27" customFormat="1" x14ac:dyDescent="0.35"/>
    <row r="113" s="27" customFormat="1" x14ac:dyDescent="0.35"/>
    <row r="114" s="27" customFormat="1" x14ac:dyDescent="0.35"/>
    <row r="115" s="27" customFormat="1" x14ac:dyDescent="0.35"/>
    <row r="116" s="27" customFormat="1" x14ac:dyDescent="0.35"/>
    <row r="117" s="27" customFormat="1" x14ac:dyDescent="0.35"/>
    <row r="118" s="27" customFormat="1" x14ac:dyDescent="0.35"/>
    <row r="119" s="27" customFormat="1" x14ac:dyDescent="0.35"/>
    <row r="120" s="27" customFormat="1" ht="33" customHeight="1" x14ac:dyDescent="0.35"/>
    <row r="121" s="27" customFormat="1" x14ac:dyDescent="0.35"/>
    <row r="122" s="27" customFormat="1" x14ac:dyDescent="0.35"/>
    <row r="123" s="27" customFormat="1" x14ac:dyDescent="0.35"/>
    <row r="124" s="27" customFormat="1" x14ac:dyDescent="0.35"/>
    <row r="125" s="27" customFormat="1" ht="31.5" customHeight="1" x14ac:dyDescent="0.35"/>
    <row r="126" s="27" customFormat="1" x14ac:dyDescent="0.35"/>
    <row r="127" s="27" customFormat="1" x14ac:dyDescent="0.35"/>
    <row r="128" s="27" customFormat="1" x14ac:dyDescent="0.35"/>
    <row r="129" s="27" customFormat="1" x14ac:dyDescent="0.35"/>
    <row r="130" s="27" customFormat="1" x14ac:dyDescent="0.35"/>
    <row r="131" s="27" customFormat="1" x14ac:dyDescent="0.35"/>
    <row r="132" s="27" customFormat="1" x14ac:dyDescent="0.35"/>
    <row r="133" s="27" customFormat="1" x14ac:dyDescent="0.35"/>
    <row r="134" s="27" customFormat="1" x14ac:dyDescent="0.35"/>
    <row r="135" s="27" customFormat="1" ht="30.75" customHeight="1" x14ac:dyDescent="0.35"/>
    <row r="136" s="27" customFormat="1" ht="33" customHeight="1" x14ac:dyDescent="0.35"/>
    <row r="137" s="27" customFormat="1" x14ac:dyDescent="0.35"/>
    <row r="138" s="27" customFormat="1" x14ac:dyDescent="0.35"/>
    <row r="139" s="27" customFormat="1" x14ac:dyDescent="0.35"/>
    <row r="140" s="27" customFormat="1" x14ac:dyDescent="0.35"/>
    <row r="141" s="27" customFormat="1" ht="31.5" customHeight="1" x14ac:dyDescent="0.35"/>
    <row r="142" s="27" customFormat="1" x14ac:dyDescent="0.35"/>
    <row r="143" s="27" customFormat="1" ht="30.75" customHeight="1" x14ac:dyDescent="0.35"/>
    <row r="144" s="27" customFormat="1" x14ac:dyDescent="0.35"/>
    <row r="145" s="27" customFormat="1" ht="31.5" customHeight="1" x14ac:dyDescent="0.35"/>
    <row r="146" s="27" customFormat="1" x14ac:dyDescent="0.35"/>
    <row r="147" s="27" customFormat="1" x14ac:dyDescent="0.35"/>
    <row r="148" s="27" customFormat="1" x14ac:dyDescent="0.35"/>
    <row r="149" s="27" customFormat="1" ht="33" customHeight="1" x14ac:dyDescent="0.35"/>
    <row r="150" s="27" customFormat="1" x14ac:dyDescent="0.35"/>
    <row r="151" s="27" customFormat="1" ht="30.75" customHeight="1" x14ac:dyDescent="0.35"/>
    <row r="152" s="27" customFormat="1" ht="27" customHeight="1" x14ac:dyDescent="0.35"/>
    <row r="153" s="27" customFormat="1" x14ac:dyDescent="0.35"/>
    <row r="154" s="27" customFormat="1" x14ac:dyDescent="0.35"/>
    <row r="155" s="27" customFormat="1" x14ac:dyDescent="0.35"/>
    <row r="156" s="27" customFormat="1" x14ac:dyDescent="0.35"/>
    <row r="157" s="27" customFormat="1" x14ac:dyDescent="0.35"/>
    <row r="158" s="27" customFormat="1" x14ac:dyDescent="0.35"/>
    <row r="159" s="27" customFormat="1" x14ac:dyDescent="0.35"/>
    <row r="160" s="27" customFormat="1" x14ac:dyDescent="0.35"/>
    <row r="161" s="27" customFormat="1" x14ac:dyDescent="0.35"/>
    <row r="162" s="27" customFormat="1" x14ac:dyDescent="0.35"/>
    <row r="163" s="27" customFormat="1" x14ac:dyDescent="0.35"/>
    <row r="164" s="27" customFormat="1" x14ac:dyDescent="0.35"/>
    <row r="165" s="27" customFormat="1" x14ac:dyDescent="0.35"/>
    <row r="166" s="27" customFormat="1" x14ac:dyDescent="0.35"/>
    <row r="167" s="27" customFormat="1" x14ac:dyDescent="0.35"/>
    <row r="168" s="27" customFormat="1" x14ac:dyDescent="0.35"/>
    <row r="169" s="27" customFormat="1" x14ac:dyDescent="0.35"/>
    <row r="170" s="27" customFormat="1" x14ac:dyDescent="0.35"/>
    <row r="171" s="27" customFormat="1" x14ac:dyDescent="0.35"/>
    <row r="172" s="27" customFormat="1" x14ac:dyDescent="0.35"/>
    <row r="173" s="27" customFormat="1" x14ac:dyDescent="0.35"/>
    <row r="174" s="27" customFormat="1" x14ac:dyDescent="0.35"/>
    <row r="175" s="27" customFormat="1" x14ac:dyDescent="0.35"/>
    <row r="176" s="27" customFormat="1" x14ac:dyDescent="0.35"/>
    <row r="177" s="27" customFormat="1" x14ac:dyDescent="0.35"/>
    <row r="178" s="27" customFormat="1" x14ac:dyDescent="0.35"/>
    <row r="179" s="27" customFormat="1" x14ac:dyDescent="0.35"/>
    <row r="180" s="27" customFormat="1" x14ac:dyDescent="0.35"/>
    <row r="181" s="27" customFormat="1" x14ac:dyDescent="0.35"/>
    <row r="182" s="27" customFormat="1" x14ac:dyDescent="0.35"/>
    <row r="183" s="27" customFormat="1" ht="409" customHeight="1" x14ac:dyDescent="0.35"/>
    <row r="184" s="27" customFormat="1" x14ac:dyDescent="0.35"/>
    <row r="185" s="27" customFormat="1" x14ac:dyDescent="0.35"/>
    <row r="186" s="27" customFormat="1" x14ac:dyDescent="0.35"/>
    <row r="187" s="27" customFormat="1" x14ac:dyDescent="0.35"/>
    <row r="188" s="27" customFormat="1" x14ac:dyDescent="0.35"/>
    <row r="189" s="27" customFormat="1" x14ac:dyDescent="0.35"/>
    <row r="190" s="27" customFormat="1" x14ac:dyDescent="0.35"/>
    <row r="191" s="27" customFormat="1" x14ac:dyDescent="0.35"/>
    <row r="192" s="27" customFormat="1" x14ac:dyDescent="0.35"/>
    <row r="193" s="27" customFormat="1" x14ac:dyDescent="0.35"/>
    <row r="194" s="27" customFormat="1" x14ac:dyDescent="0.35"/>
    <row r="195" s="27" customFormat="1" x14ac:dyDescent="0.35"/>
    <row r="196" s="27" customFormat="1" x14ac:dyDescent="0.35"/>
    <row r="197" s="27" customFormat="1" x14ac:dyDescent="0.35"/>
    <row r="198" s="27" customFormat="1" x14ac:dyDescent="0.35"/>
    <row r="199" s="27" customFormat="1" x14ac:dyDescent="0.35"/>
    <row r="200" s="27" customFormat="1" x14ac:dyDescent="0.35"/>
    <row r="201" s="27" customFormat="1" x14ac:dyDescent="0.35"/>
    <row r="202" s="27" customFormat="1" x14ac:dyDescent="0.35"/>
    <row r="203" s="27" customFormat="1" x14ac:dyDescent="0.35"/>
    <row r="204" s="27" customFormat="1" x14ac:dyDescent="0.35"/>
    <row r="205" s="27" customFormat="1" x14ac:dyDescent="0.35"/>
    <row r="206" s="27" customFormat="1" x14ac:dyDescent="0.35"/>
    <row r="207" s="27" customFormat="1" x14ac:dyDescent="0.35"/>
    <row r="208" s="27" customFormat="1" x14ac:dyDescent="0.35"/>
    <row r="209" s="27" customFormat="1" x14ac:dyDescent="0.35"/>
    <row r="210" s="27" customFormat="1" x14ac:dyDescent="0.35"/>
    <row r="211" s="27" customFormat="1" x14ac:dyDescent="0.35"/>
    <row r="212" s="27" customFormat="1" x14ac:dyDescent="0.35"/>
    <row r="213" s="27" customFormat="1" x14ac:dyDescent="0.35"/>
    <row r="214" s="27" customFormat="1" x14ac:dyDescent="0.35"/>
    <row r="215" s="27" customFormat="1" x14ac:dyDescent="0.35"/>
    <row r="216" s="27" customFormat="1" x14ac:dyDescent="0.35"/>
    <row r="217" s="27" customFormat="1" x14ac:dyDescent="0.35"/>
    <row r="218" s="27" customFormat="1" x14ac:dyDescent="0.35"/>
    <row r="219" s="27" customFormat="1" x14ac:dyDescent="0.35"/>
    <row r="220" s="27" customFormat="1" x14ac:dyDescent="0.35"/>
    <row r="221" s="27" customFormat="1" x14ac:dyDescent="0.35"/>
    <row r="222" s="27" customFormat="1" x14ac:dyDescent="0.35"/>
    <row r="223" s="27" customFormat="1" x14ac:dyDescent="0.35"/>
    <row r="224" s="27" customFormat="1" x14ac:dyDescent="0.35"/>
    <row r="225" s="27" customFormat="1" x14ac:dyDescent="0.35"/>
    <row r="226" s="27" customFormat="1" x14ac:dyDescent="0.35"/>
    <row r="227" s="27" customFormat="1" x14ac:dyDescent="0.35"/>
    <row r="228" s="27" customFormat="1" x14ac:dyDescent="0.35"/>
    <row r="229" s="27" customFormat="1" x14ac:dyDescent="0.35"/>
    <row r="230" s="27" customFormat="1" x14ac:dyDescent="0.35"/>
    <row r="231" s="27" customFormat="1" x14ac:dyDescent="0.35"/>
    <row r="232" s="27" customFormat="1" x14ac:dyDescent="0.35"/>
    <row r="233" s="27" customFormat="1" x14ac:dyDescent="0.35"/>
    <row r="234" s="27" customFormat="1" x14ac:dyDescent="0.35"/>
    <row r="235" s="27" customFormat="1" x14ac:dyDescent="0.35"/>
    <row r="236" s="27" customFormat="1" x14ac:dyDescent="0.35"/>
    <row r="237" s="27" customFormat="1" x14ac:dyDescent="0.35"/>
    <row r="238" s="27" customFormat="1" x14ac:dyDescent="0.35"/>
    <row r="239" s="27" customFormat="1" x14ac:dyDescent="0.35"/>
    <row r="240" s="27" customFormat="1" x14ac:dyDescent="0.35"/>
    <row r="241" s="27" customFormat="1" x14ac:dyDescent="0.35"/>
    <row r="242" s="27" customFormat="1" x14ac:dyDescent="0.35"/>
    <row r="243" s="27" customFormat="1" x14ac:dyDescent="0.35"/>
    <row r="244" s="27" customFormat="1" x14ac:dyDescent="0.35"/>
    <row r="245" s="27" customFormat="1" x14ac:dyDescent="0.35"/>
    <row r="246" s="27" customFormat="1" x14ac:dyDescent="0.35"/>
    <row r="247" s="27" customFormat="1" x14ac:dyDescent="0.35"/>
    <row r="248" s="27" customFormat="1" x14ac:dyDescent="0.35"/>
    <row r="249" s="27" customFormat="1" x14ac:dyDescent="0.35"/>
    <row r="250" s="27" customFormat="1" x14ac:dyDescent="0.35"/>
    <row r="251" s="27" customFormat="1" x14ac:dyDescent="0.35"/>
    <row r="252" s="27" customFormat="1" x14ac:dyDescent="0.35"/>
    <row r="253" s="27" customFormat="1" x14ac:dyDescent="0.35"/>
    <row r="254" s="27" customFormat="1" x14ac:dyDescent="0.35"/>
    <row r="255" s="27" customFormat="1" x14ac:dyDescent="0.35"/>
    <row r="256" s="27" customFormat="1" x14ac:dyDescent="0.35"/>
    <row r="257" s="27" customFormat="1" x14ac:dyDescent="0.35"/>
    <row r="258" s="27" customFormat="1" x14ac:dyDescent="0.35"/>
    <row r="259" s="27" customFormat="1" x14ac:dyDescent="0.35"/>
    <row r="260" s="27" customFormat="1" ht="2.25" customHeight="1" x14ac:dyDescent="0.35"/>
    <row r="261" s="27" customFormat="1" ht="409.5" customHeight="1" x14ac:dyDescent="0.35"/>
    <row r="262" s="27" customFormat="1" x14ac:dyDescent="0.35"/>
    <row r="263" s="27" customFormat="1" x14ac:dyDescent="0.35"/>
    <row r="264" s="27" customFormat="1" x14ac:dyDescent="0.35"/>
    <row r="265" s="27" customFormat="1" x14ac:dyDescent="0.35"/>
    <row r="266" s="27" customFormat="1" x14ac:dyDescent="0.35"/>
    <row r="267" s="27" customFormat="1" x14ac:dyDescent="0.35"/>
    <row r="268" s="27" customFormat="1" x14ac:dyDescent="0.35"/>
    <row r="269" s="27" customFormat="1" x14ac:dyDescent="0.35"/>
    <row r="270" s="27" customFormat="1" x14ac:dyDescent="0.35"/>
    <row r="271" s="27" customFormat="1" x14ac:dyDescent="0.35"/>
    <row r="272" s="27" customFormat="1" x14ac:dyDescent="0.35"/>
  </sheetData>
  <phoneticPr fontId="14"/>
  <hyperlinks>
    <hyperlink ref="A4" location="パラメータ設定一覧!A1" display="パラメータ設定一覧へ" xr:uid="{E0012AD2-9FDA-46BC-A13A-91037D3134B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3FE0-4D69-4AA9-8B00-31515DE0C471}">
  <dimension ref="A1:C11"/>
  <sheetViews>
    <sheetView showGridLines="0" zoomScaleNormal="100" workbookViewId="0">
      <pane ySplit="6" topLeftCell="A7" activePane="bottomLeft" state="frozen"/>
      <selection pane="bottomLeft" activeCell="A7" sqref="A7"/>
    </sheetView>
  </sheetViews>
  <sheetFormatPr defaultColWidth="8.78515625" defaultRowHeight="13.5" x14ac:dyDescent="0.35"/>
  <cols>
    <col min="1" max="1" width="2.78515625" style="27" customWidth="1"/>
    <col min="2" max="2" width="3.5703125" style="27" bestFit="1" customWidth="1"/>
    <col min="3" max="3" width="17.2109375" style="27" customWidth="1"/>
    <col min="4" max="4" width="15.2109375" style="27" customWidth="1"/>
    <col min="5" max="5" width="20.640625" style="27" bestFit="1" customWidth="1"/>
    <col min="6" max="6" width="14.42578125" style="27" bestFit="1" customWidth="1"/>
    <col min="7" max="7" width="11.78515625" style="27" customWidth="1"/>
    <col min="8" max="8" width="8.2109375" style="27" bestFit="1" customWidth="1"/>
    <col min="9" max="16384" width="8.78515625" style="27"/>
  </cols>
  <sheetData>
    <row r="1" spans="1:3" customFormat="1" ht="19.5" x14ac:dyDescent="0.35">
      <c r="A1" s="42" t="s">
        <v>101</v>
      </c>
    </row>
    <row r="2" spans="1:3" customFormat="1" ht="15" x14ac:dyDescent="0.35"/>
    <row r="3" spans="1:3" customFormat="1" ht="15" x14ac:dyDescent="0.35">
      <c r="A3" s="6" t="s">
        <v>249</v>
      </c>
    </row>
    <row r="4" spans="1:3" ht="15.75" customHeight="1" x14ac:dyDescent="0.35">
      <c r="B4" s="117" t="s">
        <v>8</v>
      </c>
      <c r="C4" s="65" t="s">
        <v>6</v>
      </c>
    </row>
    <row r="5" spans="1:3" x14ac:dyDescent="0.35">
      <c r="B5" s="117"/>
      <c r="C5" s="33" t="s">
        <v>6</v>
      </c>
    </row>
    <row r="6" spans="1:3" x14ac:dyDescent="0.35">
      <c r="B6" s="117"/>
      <c r="C6" s="4" t="s">
        <v>33</v>
      </c>
    </row>
    <row r="7" spans="1:3" x14ac:dyDescent="0.3">
      <c r="B7" s="64">
        <f>ROW() - 6</f>
        <v>1</v>
      </c>
      <c r="C7" s="25"/>
    </row>
    <row r="8" spans="1:3" x14ac:dyDescent="0.3">
      <c r="B8" s="64">
        <f t="shared" ref="B8:B11" si="0">ROW() - 6</f>
        <v>2</v>
      </c>
      <c r="C8" s="25"/>
    </row>
    <row r="9" spans="1:3" x14ac:dyDescent="0.3">
      <c r="B9" s="64">
        <f t="shared" si="0"/>
        <v>3</v>
      </c>
      <c r="C9" s="25"/>
    </row>
    <row r="10" spans="1:3" x14ac:dyDescent="0.3">
      <c r="B10" s="64">
        <f t="shared" si="0"/>
        <v>4</v>
      </c>
      <c r="C10" s="25"/>
    </row>
    <row r="11" spans="1:3" x14ac:dyDescent="0.3">
      <c r="B11" s="64">
        <f t="shared" si="0"/>
        <v>5</v>
      </c>
      <c r="C11" s="25"/>
    </row>
  </sheetData>
  <sheetProtection insertRows="0" deleteRows="0" sort="0" autoFilter="0"/>
  <mergeCells count="1">
    <mergeCell ref="B4:B6"/>
  </mergeCells>
  <phoneticPr fontId="14"/>
  <hyperlinks>
    <hyperlink ref="A3" location="パラメータ設定一覧!A1" display="パラメータ設定一覧へ" xr:uid="{2EDD3045-F33B-419F-82AC-7D68962DC61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71C3-D8B4-4F64-BFF1-F8DA3818B537}">
  <dimension ref="A1:L26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62" customWidth="1"/>
    <col min="2" max="2" width="3.78515625" style="62" customWidth="1"/>
    <col min="3" max="3" width="16.78515625" style="62" customWidth="1"/>
    <col min="4" max="4" width="19.2109375" style="62" customWidth="1"/>
    <col min="5" max="5" width="16.5703125" style="62" customWidth="1"/>
    <col min="6" max="6" width="22.5703125" style="62" customWidth="1"/>
    <col min="7" max="7" width="15.78515625" style="62" bestFit="1" customWidth="1"/>
    <col min="8" max="8" width="27.5703125" style="62" customWidth="1"/>
    <col min="9" max="9" width="17.42578125" style="73" customWidth="1"/>
    <col min="10" max="10" width="22.42578125" style="62" customWidth="1"/>
    <col min="11" max="11" width="18.2109375" style="62" customWidth="1"/>
    <col min="12" max="12" width="13.2109375" style="62" customWidth="1"/>
    <col min="13" max="16384" width="8.78515625" style="62"/>
  </cols>
  <sheetData>
    <row r="1" spans="1:12" s="72" customFormat="1" ht="19.5" x14ac:dyDescent="0.35">
      <c r="A1" s="71" t="s">
        <v>247</v>
      </c>
      <c r="C1" s="62"/>
      <c r="D1" s="62"/>
      <c r="E1" s="62"/>
      <c r="F1" s="62"/>
      <c r="G1" s="62"/>
      <c r="H1" s="62"/>
      <c r="I1" s="73"/>
    </row>
    <row r="2" spans="1:12" s="72" customFormat="1" ht="15" x14ac:dyDescent="0.35">
      <c r="B2" s="72" t="s">
        <v>243</v>
      </c>
      <c r="C2" s="62"/>
      <c r="D2" s="62"/>
      <c r="E2" s="62"/>
      <c r="F2" s="62"/>
      <c r="G2" s="62"/>
      <c r="H2" s="62"/>
      <c r="I2" s="73"/>
    </row>
    <row r="3" spans="1:12" s="72" customFormat="1" ht="15" x14ac:dyDescent="0.35">
      <c r="B3" s="72" t="s">
        <v>244</v>
      </c>
      <c r="C3" s="62"/>
      <c r="D3" s="62"/>
      <c r="E3" s="62"/>
      <c r="F3" s="62"/>
      <c r="G3" s="62"/>
      <c r="H3" s="62"/>
      <c r="I3" s="73"/>
    </row>
    <row r="4" spans="1:12" s="72" customFormat="1" ht="15" x14ac:dyDescent="0.35">
      <c r="A4" s="74" t="s">
        <v>249</v>
      </c>
      <c r="C4" s="62"/>
      <c r="D4" s="62"/>
      <c r="E4" s="62"/>
      <c r="F4" s="62"/>
      <c r="G4" s="62"/>
      <c r="H4" s="62"/>
      <c r="I4" s="73"/>
    </row>
    <row r="5" spans="1:12" x14ac:dyDescent="0.35">
      <c r="B5" s="7" t="s">
        <v>8</v>
      </c>
      <c r="C5" s="7" t="s">
        <v>12</v>
      </c>
      <c r="D5" s="7" t="s">
        <v>13</v>
      </c>
      <c r="E5" s="7" t="s">
        <v>14</v>
      </c>
      <c r="F5" s="29" t="s">
        <v>15</v>
      </c>
      <c r="G5" s="7" t="s">
        <v>16</v>
      </c>
      <c r="H5" s="7" t="s">
        <v>17</v>
      </c>
      <c r="I5" s="7" t="s">
        <v>18</v>
      </c>
      <c r="J5" s="7" t="s">
        <v>19</v>
      </c>
      <c r="K5" s="10" t="s">
        <v>20</v>
      </c>
      <c r="L5" s="10" t="s">
        <v>21</v>
      </c>
    </row>
    <row r="6" spans="1:12" ht="31.5" customHeight="1" x14ac:dyDescent="0.35">
      <c r="B6" s="11">
        <f>ROW() - 5</f>
        <v>1</v>
      </c>
      <c r="C6" s="59" t="s">
        <v>102</v>
      </c>
      <c r="D6" s="59"/>
      <c r="E6" s="59"/>
      <c r="F6" s="31" t="s">
        <v>103</v>
      </c>
      <c r="G6" s="31"/>
      <c r="H6" s="31" t="s">
        <v>33</v>
      </c>
      <c r="I6" s="13" t="s">
        <v>25</v>
      </c>
      <c r="J6" s="13"/>
      <c r="K6" s="1" t="s">
        <v>104</v>
      </c>
      <c r="L6" s="2"/>
    </row>
    <row r="7" spans="1:12" ht="27" x14ac:dyDescent="0.35">
      <c r="B7" s="11">
        <f t="shared" ref="B7:B10" si="0">ROW() - 5</f>
        <v>2</v>
      </c>
      <c r="C7" s="55"/>
      <c r="D7" s="55"/>
      <c r="E7" s="55"/>
      <c r="F7" s="43" t="s">
        <v>105</v>
      </c>
      <c r="G7" s="43"/>
      <c r="H7" s="31" t="s">
        <v>23</v>
      </c>
      <c r="I7" s="13" t="s">
        <v>106</v>
      </c>
      <c r="J7" s="13"/>
      <c r="K7" s="1" t="s">
        <v>104</v>
      </c>
      <c r="L7" s="2"/>
    </row>
    <row r="8" spans="1:12" ht="27" x14ac:dyDescent="0.35">
      <c r="B8" s="11">
        <f t="shared" si="0"/>
        <v>3</v>
      </c>
      <c r="C8" s="59" t="s">
        <v>107</v>
      </c>
      <c r="D8" s="75"/>
      <c r="E8" s="75"/>
      <c r="F8" s="43" t="s">
        <v>108</v>
      </c>
      <c r="G8" s="43"/>
      <c r="H8" s="12" t="s">
        <v>242</v>
      </c>
      <c r="I8" s="13" t="s">
        <v>25</v>
      </c>
      <c r="J8" s="13"/>
      <c r="K8" s="1" t="s">
        <v>104</v>
      </c>
      <c r="L8" s="2"/>
    </row>
    <row r="9" spans="1:12" ht="27" x14ac:dyDescent="0.35">
      <c r="B9" s="11">
        <f t="shared" si="0"/>
        <v>4</v>
      </c>
      <c r="C9" s="76"/>
      <c r="D9" s="76"/>
      <c r="E9" s="76"/>
      <c r="F9" s="43" t="s">
        <v>109</v>
      </c>
      <c r="G9" s="43"/>
      <c r="H9" s="12" t="s">
        <v>23</v>
      </c>
      <c r="I9" s="13" t="s">
        <v>25</v>
      </c>
      <c r="J9" s="13"/>
      <c r="K9" s="1" t="s">
        <v>104</v>
      </c>
      <c r="L9" s="2"/>
    </row>
    <row r="10" spans="1:12" ht="27" x14ac:dyDescent="0.35">
      <c r="B10" s="11">
        <f t="shared" si="0"/>
        <v>5</v>
      </c>
      <c r="C10" s="77"/>
      <c r="D10" s="77"/>
      <c r="E10" s="77"/>
      <c r="F10" s="43" t="s">
        <v>110</v>
      </c>
      <c r="G10" s="43"/>
      <c r="H10" s="12" t="s">
        <v>23</v>
      </c>
      <c r="I10" s="13" t="s">
        <v>25</v>
      </c>
      <c r="J10" s="13"/>
      <c r="K10" s="1" t="s">
        <v>104</v>
      </c>
      <c r="L10" s="2"/>
    </row>
    <row r="11" spans="1:12" x14ac:dyDescent="0.35">
      <c r="I11" s="62"/>
    </row>
    <row r="12" spans="1:12" x14ac:dyDescent="0.35">
      <c r="I12" s="62"/>
    </row>
    <row r="13" spans="1:12" x14ac:dyDescent="0.35">
      <c r="I13" s="62"/>
    </row>
    <row r="14" spans="1:12" x14ac:dyDescent="0.35">
      <c r="I14" s="62"/>
    </row>
    <row r="15" spans="1:12" x14ac:dyDescent="0.35">
      <c r="I15" s="62"/>
    </row>
    <row r="16" spans="1:12" x14ac:dyDescent="0.35">
      <c r="I16" s="62"/>
    </row>
    <row r="17" s="62" customFormat="1" ht="18.75" customHeight="1" x14ac:dyDescent="0.35"/>
    <row r="18" s="62" customFormat="1" x14ac:dyDescent="0.35"/>
    <row r="19" s="62" customFormat="1" x14ac:dyDescent="0.35"/>
    <row r="20" s="62" customFormat="1" x14ac:dyDescent="0.35"/>
    <row r="21" s="62" customFormat="1" x14ac:dyDescent="0.35"/>
    <row r="22" s="62" customFormat="1" ht="15.75" customHeight="1" x14ac:dyDescent="0.35"/>
    <row r="23" s="62" customFormat="1" x14ac:dyDescent="0.35"/>
    <row r="24" s="62" customFormat="1" x14ac:dyDescent="0.35"/>
    <row r="25" s="62" customFormat="1" x14ac:dyDescent="0.35"/>
    <row r="26" s="62" customFormat="1" x14ac:dyDescent="0.35"/>
    <row r="27" s="62" customFormat="1" x14ac:dyDescent="0.35"/>
    <row r="28" s="62" customFormat="1" x14ac:dyDescent="0.35"/>
    <row r="29" s="62" customFormat="1" x14ac:dyDescent="0.35"/>
    <row r="30" s="62" customFormat="1" x14ac:dyDescent="0.35"/>
    <row r="31" s="62" customFormat="1" x14ac:dyDescent="0.35"/>
    <row r="32" s="62" customFormat="1" x14ac:dyDescent="0.35"/>
    <row r="33" s="62" customFormat="1" x14ac:dyDescent="0.35"/>
    <row r="34" s="62" customFormat="1" x14ac:dyDescent="0.35"/>
    <row r="35" s="62" customFormat="1" x14ac:dyDescent="0.35"/>
    <row r="36" s="62" customFormat="1" x14ac:dyDescent="0.35"/>
    <row r="37" s="62" customFormat="1" x14ac:dyDescent="0.35"/>
    <row r="38" s="62" customFormat="1" x14ac:dyDescent="0.35"/>
    <row r="39" s="62" customFormat="1" x14ac:dyDescent="0.35"/>
    <row r="40" s="62" customFormat="1" x14ac:dyDescent="0.35"/>
    <row r="41" s="62" customFormat="1" x14ac:dyDescent="0.35"/>
    <row r="42" s="62" customFormat="1" x14ac:dyDescent="0.35"/>
    <row r="43" s="62" customFormat="1" x14ac:dyDescent="0.35"/>
    <row r="44" s="62" customFormat="1" x14ac:dyDescent="0.35"/>
    <row r="45" s="62" customFormat="1" x14ac:dyDescent="0.35"/>
    <row r="46" s="62" customFormat="1" x14ac:dyDescent="0.35"/>
    <row r="47" s="62" customFormat="1" x14ac:dyDescent="0.35"/>
    <row r="48" s="62" customFormat="1" x14ac:dyDescent="0.35"/>
    <row r="49" s="62" customFormat="1" x14ac:dyDescent="0.35"/>
    <row r="50" s="62" customFormat="1" x14ac:dyDescent="0.35"/>
    <row r="51" s="62" customFormat="1" x14ac:dyDescent="0.35"/>
    <row r="52" s="62" customFormat="1" x14ac:dyDescent="0.35"/>
    <row r="53" s="62" customFormat="1" x14ac:dyDescent="0.35"/>
    <row r="54" s="62" customFormat="1" x14ac:dyDescent="0.35"/>
    <row r="55" s="62" customFormat="1" x14ac:dyDescent="0.35"/>
    <row r="56" s="62" customFormat="1" x14ac:dyDescent="0.35"/>
    <row r="57" s="62" customFormat="1" x14ac:dyDescent="0.35"/>
    <row r="58" s="62" customFormat="1" x14ac:dyDescent="0.35"/>
    <row r="59" s="62" customFormat="1" x14ac:dyDescent="0.35"/>
    <row r="60" s="62" customFormat="1" x14ac:dyDescent="0.35"/>
    <row r="61" s="62" customFormat="1" x14ac:dyDescent="0.35"/>
    <row r="62" s="62" customFormat="1" x14ac:dyDescent="0.35"/>
    <row r="63" s="62" customFormat="1" x14ac:dyDescent="0.35"/>
    <row r="64" s="62" customFormat="1" x14ac:dyDescent="0.35"/>
    <row r="65" s="62" customFormat="1" x14ac:dyDescent="0.35"/>
    <row r="66" s="62" customFormat="1" x14ac:dyDescent="0.35"/>
    <row r="67" s="62" customFormat="1" x14ac:dyDescent="0.35"/>
    <row r="68" s="62" customFormat="1" x14ac:dyDescent="0.35"/>
    <row r="69" s="62" customFormat="1" x14ac:dyDescent="0.35"/>
    <row r="70" s="62" customFormat="1" x14ac:dyDescent="0.35"/>
    <row r="71" s="62" customFormat="1" x14ac:dyDescent="0.35"/>
    <row r="72" s="62" customFormat="1" x14ac:dyDescent="0.35"/>
    <row r="73" s="62" customFormat="1" x14ac:dyDescent="0.35"/>
    <row r="74" s="62" customFormat="1" x14ac:dyDescent="0.35"/>
    <row r="75" s="62" customFormat="1" x14ac:dyDescent="0.35"/>
    <row r="76" s="62" customFormat="1" x14ac:dyDescent="0.35"/>
    <row r="77" s="62" customFormat="1" x14ac:dyDescent="0.35"/>
    <row r="78" s="62" customFormat="1" x14ac:dyDescent="0.35"/>
    <row r="79" s="62" customFormat="1" x14ac:dyDescent="0.35"/>
    <row r="80" s="62" customFormat="1" x14ac:dyDescent="0.35"/>
    <row r="81" s="62" customFormat="1" x14ac:dyDescent="0.35"/>
    <row r="82" s="62" customFormat="1" x14ac:dyDescent="0.35"/>
    <row r="83" s="62" customFormat="1" x14ac:dyDescent="0.35"/>
    <row r="84" s="62" customFormat="1" x14ac:dyDescent="0.35"/>
    <row r="85" s="62" customFormat="1" x14ac:dyDescent="0.35"/>
    <row r="86" s="62" customFormat="1" x14ac:dyDescent="0.35"/>
    <row r="87" s="62" customFormat="1" x14ac:dyDescent="0.35"/>
    <row r="88" s="62" customFormat="1" x14ac:dyDescent="0.35"/>
    <row r="89" s="62" customFormat="1" x14ac:dyDescent="0.35"/>
    <row r="90" s="62" customFormat="1" x14ac:dyDescent="0.35"/>
    <row r="91" s="62" customFormat="1" x14ac:dyDescent="0.35"/>
    <row r="92" s="62" customFormat="1" x14ac:dyDescent="0.35"/>
    <row r="93" s="62" customFormat="1" x14ac:dyDescent="0.35"/>
    <row r="94" s="62" customFormat="1" x14ac:dyDescent="0.35"/>
    <row r="95" s="62" customFormat="1" x14ac:dyDescent="0.35"/>
    <row r="96" s="62" customFormat="1" x14ac:dyDescent="0.35"/>
    <row r="97" s="62" customFormat="1" x14ac:dyDescent="0.35"/>
    <row r="98" s="62" customFormat="1" x14ac:dyDescent="0.35"/>
    <row r="99" s="62" customFormat="1" x14ac:dyDescent="0.35"/>
    <row r="100" s="62" customFormat="1" x14ac:dyDescent="0.35"/>
    <row r="101" s="62" customFormat="1" x14ac:dyDescent="0.35"/>
    <row r="102" s="62" customFormat="1" x14ac:dyDescent="0.35"/>
    <row r="103" s="62" customFormat="1" x14ac:dyDescent="0.35"/>
    <row r="104" s="62" customFormat="1" x14ac:dyDescent="0.35"/>
    <row r="105" s="62" customFormat="1" x14ac:dyDescent="0.35"/>
    <row r="106" s="62" customFormat="1" x14ac:dyDescent="0.35"/>
    <row r="107" s="62" customFormat="1" x14ac:dyDescent="0.35"/>
    <row r="108" s="62" customFormat="1" ht="33" customHeight="1" x14ac:dyDescent="0.35"/>
    <row r="109" s="62" customFormat="1" x14ac:dyDescent="0.35"/>
    <row r="110" s="62" customFormat="1" x14ac:dyDescent="0.35"/>
    <row r="111" s="62" customFormat="1" x14ac:dyDescent="0.35"/>
    <row r="112" s="62" customFormat="1" x14ac:dyDescent="0.35"/>
    <row r="113" s="62" customFormat="1" ht="31.5" customHeight="1" x14ac:dyDescent="0.35"/>
    <row r="114" s="62" customFormat="1" x14ac:dyDescent="0.35"/>
    <row r="115" s="62" customFormat="1" x14ac:dyDescent="0.35"/>
    <row r="116" s="62" customFormat="1" x14ac:dyDescent="0.35"/>
    <row r="117" s="62" customFormat="1" x14ac:dyDescent="0.35"/>
    <row r="118" s="62" customFormat="1" x14ac:dyDescent="0.35"/>
    <row r="119" s="62" customFormat="1" x14ac:dyDescent="0.35"/>
    <row r="120" s="62" customFormat="1" x14ac:dyDescent="0.35"/>
    <row r="121" s="62" customFormat="1" x14ac:dyDescent="0.35"/>
    <row r="122" s="62" customFormat="1" x14ac:dyDescent="0.35"/>
    <row r="123" s="62" customFormat="1" ht="30.75" customHeight="1" x14ac:dyDescent="0.35"/>
    <row r="124" s="62" customFormat="1" ht="33" customHeight="1" x14ac:dyDescent="0.35"/>
    <row r="125" s="62" customFormat="1" x14ac:dyDescent="0.35"/>
    <row r="126" s="62" customFormat="1" x14ac:dyDescent="0.35"/>
    <row r="127" s="62" customFormat="1" x14ac:dyDescent="0.35"/>
    <row r="128" s="62" customFormat="1" x14ac:dyDescent="0.35"/>
    <row r="129" s="62" customFormat="1" ht="31.5" customHeight="1" x14ac:dyDescent="0.35"/>
    <row r="130" s="62" customFormat="1" x14ac:dyDescent="0.35"/>
    <row r="131" s="62" customFormat="1" ht="30.75" customHeight="1" x14ac:dyDescent="0.35"/>
    <row r="132" s="62" customFormat="1" x14ac:dyDescent="0.35"/>
    <row r="133" s="62" customFormat="1" ht="31.5" customHeight="1" x14ac:dyDescent="0.35"/>
    <row r="134" s="62" customFormat="1" x14ac:dyDescent="0.35"/>
    <row r="135" s="62" customFormat="1" x14ac:dyDescent="0.35"/>
    <row r="136" s="62" customFormat="1" x14ac:dyDescent="0.35"/>
    <row r="137" s="62" customFormat="1" ht="33" customHeight="1" x14ac:dyDescent="0.35"/>
    <row r="138" s="62" customFormat="1" x14ac:dyDescent="0.35"/>
    <row r="139" s="62" customFormat="1" ht="30.75" customHeight="1" x14ac:dyDescent="0.35"/>
    <row r="140" s="62" customFormat="1" ht="27" customHeight="1" x14ac:dyDescent="0.35"/>
    <row r="141" s="62" customFormat="1" x14ac:dyDescent="0.35"/>
    <row r="142" s="62" customFormat="1" x14ac:dyDescent="0.35"/>
    <row r="143" s="62" customFormat="1" x14ac:dyDescent="0.35"/>
    <row r="144" s="62" customFormat="1" x14ac:dyDescent="0.35"/>
    <row r="145" s="62" customFormat="1" x14ac:dyDescent="0.35"/>
    <row r="146" s="62" customFormat="1" x14ac:dyDescent="0.35"/>
    <row r="147" s="62" customFormat="1" x14ac:dyDescent="0.35"/>
    <row r="148" s="62" customFormat="1" x14ac:dyDescent="0.35"/>
    <row r="149" s="62" customFormat="1" x14ac:dyDescent="0.35"/>
    <row r="150" s="62" customFormat="1" x14ac:dyDescent="0.35"/>
    <row r="151" s="62" customFormat="1" x14ac:dyDescent="0.35"/>
    <row r="152" s="62" customFormat="1" x14ac:dyDescent="0.35"/>
    <row r="153" s="62" customFormat="1" x14ac:dyDescent="0.35"/>
    <row r="154" s="62" customFormat="1" x14ac:dyDescent="0.35"/>
    <row r="155" s="62" customFormat="1" x14ac:dyDescent="0.35"/>
    <row r="156" s="62" customFormat="1" x14ac:dyDescent="0.35"/>
    <row r="157" s="62" customFormat="1" x14ac:dyDescent="0.35"/>
    <row r="158" s="62" customFormat="1" x14ac:dyDescent="0.35"/>
    <row r="159" s="62" customFormat="1" x14ac:dyDescent="0.35"/>
    <row r="160" s="62" customFormat="1" x14ac:dyDescent="0.35"/>
    <row r="161" s="62" customFormat="1" x14ac:dyDescent="0.35"/>
    <row r="162" s="62" customFormat="1" x14ac:dyDescent="0.35"/>
    <row r="163" s="62" customFormat="1" x14ac:dyDescent="0.35"/>
    <row r="164" s="62" customFormat="1" x14ac:dyDescent="0.35"/>
    <row r="165" s="62" customFormat="1" x14ac:dyDescent="0.35"/>
    <row r="166" s="62" customFormat="1" x14ac:dyDescent="0.35"/>
    <row r="167" s="62" customFormat="1" x14ac:dyDescent="0.35"/>
    <row r="168" s="62" customFormat="1" x14ac:dyDescent="0.35"/>
    <row r="169" s="62" customFormat="1" x14ac:dyDescent="0.35"/>
    <row r="170" s="62" customFormat="1" x14ac:dyDescent="0.35"/>
    <row r="171" s="62" customFormat="1" ht="409" customHeight="1" x14ac:dyDescent="0.35"/>
    <row r="172" s="62" customFormat="1" x14ac:dyDescent="0.35"/>
    <row r="173" s="62" customFormat="1" x14ac:dyDescent="0.35"/>
    <row r="174" s="62" customFormat="1" x14ac:dyDescent="0.35"/>
    <row r="175" s="62" customFormat="1" x14ac:dyDescent="0.35"/>
    <row r="176" s="62" customFormat="1" x14ac:dyDescent="0.35"/>
    <row r="177" s="62" customFormat="1" x14ac:dyDescent="0.35"/>
    <row r="178" s="62" customFormat="1" x14ac:dyDescent="0.35"/>
    <row r="179" s="62" customFormat="1" x14ac:dyDescent="0.35"/>
    <row r="180" s="62" customFormat="1" x14ac:dyDescent="0.35"/>
    <row r="181" s="62" customFormat="1" x14ac:dyDescent="0.35"/>
    <row r="182" s="62" customFormat="1" x14ac:dyDescent="0.35"/>
    <row r="183" s="62" customFormat="1" x14ac:dyDescent="0.35"/>
    <row r="184" s="62" customFormat="1" x14ac:dyDescent="0.35"/>
    <row r="185" s="62" customFormat="1" x14ac:dyDescent="0.35"/>
    <row r="186" s="62" customFormat="1" x14ac:dyDescent="0.35"/>
    <row r="187" s="62" customFormat="1" x14ac:dyDescent="0.35"/>
    <row r="188" s="62" customFormat="1" x14ac:dyDescent="0.35"/>
    <row r="189" s="62" customFormat="1" x14ac:dyDescent="0.35"/>
    <row r="190" s="62" customFormat="1" x14ac:dyDescent="0.35"/>
    <row r="191" s="62" customFormat="1" x14ac:dyDescent="0.35"/>
    <row r="192" s="62" customFormat="1" x14ac:dyDescent="0.35"/>
    <row r="193" s="62" customFormat="1" x14ac:dyDescent="0.35"/>
    <row r="194" s="62" customFormat="1" x14ac:dyDescent="0.35"/>
    <row r="195" s="62" customFormat="1" x14ac:dyDescent="0.35"/>
    <row r="196" s="62" customFormat="1" x14ac:dyDescent="0.35"/>
    <row r="197" s="62" customFormat="1" x14ac:dyDescent="0.35"/>
    <row r="198" s="62" customFormat="1" x14ac:dyDescent="0.35"/>
    <row r="199" s="62" customFormat="1" x14ac:dyDescent="0.35"/>
    <row r="200" s="62" customFormat="1" x14ac:dyDescent="0.35"/>
    <row r="201" s="62" customFormat="1" x14ac:dyDescent="0.35"/>
    <row r="202" s="62" customFormat="1" x14ac:dyDescent="0.35"/>
    <row r="203" s="62" customFormat="1" x14ac:dyDescent="0.35"/>
    <row r="204" s="62" customFormat="1" x14ac:dyDescent="0.35"/>
    <row r="205" s="62" customFormat="1" x14ac:dyDescent="0.35"/>
    <row r="206" s="62" customFormat="1" x14ac:dyDescent="0.35"/>
    <row r="207" s="62" customFormat="1" x14ac:dyDescent="0.35"/>
    <row r="208" s="62" customFormat="1" x14ac:dyDescent="0.35"/>
    <row r="209" s="62" customFormat="1" x14ac:dyDescent="0.35"/>
    <row r="210" s="62" customFormat="1" x14ac:dyDescent="0.35"/>
    <row r="211" s="62" customFormat="1" x14ac:dyDescent="0.35"/>
    <row r="212" s="62" customFormat="1" x14ac:dyDescent="0.35"/>
    <row r="213" s="62" customFormat="1" x14ac:dyDescent="0.35"/>
    <row r="214" s="62" customFormat="1" x14ac:dyDescent="0.35"/>
    <row r="215" s="62" customFormat="1" x14ac:dyDescent="0.35"/>
    <row r="216" s="62" customFormat="1" x14ac:dyDescent="0.35"/>
    <row r="217" s="62" customFormat="1" x14ac:dyDescent="0.35"/>
    <row r="218" s="62" customFormat="1" x14ac:dyDescent="0.35"/>
    <row r="219" s="62" customFormat="1" x14ac:dyDescent="0.35"/>
    <row r="220" s="62" customFormat="1" x14ac:dyDescent="0.35"/>
    <row r="221" s="62" customFormat="1" x14ac:dyDescent="0.35"/>
    <row r="222" s="62" customFormat="1" x14ac:dyDescent="0.35"/>
    <row r="223" s="62" customFormat="1" x14ac:dyDescent="0.35"/>
    <row r="224" s="62" customFormat="1" x14ac:dyDescent="0.35"/>
    <row r="225" s="62" customFormat="1" x14ac:dyDescent="0.35"/>
    <row r="226" s="62" customFormat="1" x14ac:dyDescent="0.35"/>
    <row r="227" s="62" customFormat="1" x14ac:dyDescent="0.35"/>
    <row r="228" s="62" customFormat="1" x14ac:dyDescent="0.35"/>
    <row r="229" s="62" customFormat="1" x14ac:dyDescent="0.35"/>
    <row r="230" s="62" customFormat="1" x14ac:dyDescent="0.35"/>
    <row r="231" s="62" customFormat="1" x14ac:dyDescent="0.35"/>
    <row r="232" s="62" customFormat="1" x14ac:dyDescent="0.35"/>
    <row r="233" s="62" customFormat="1" x14ac:dyDescent="0.35"/>
    <row r="234" s="62" customFormat="1" x14ac:dyDescent="0.35"/>
    <row r="235" s="62" customFormat="1" x14ac:dyDescent="0.35"/>
    <row r="236" s="62" customFormat="1" x14ac:dyDescent="0.35"/>
    <row r="237" s="62" customFormat="1" x14ac:dyDescent="0.35"/>
    <row r="238" s="62" customFormat="1" x14ac:dyDescent="0.35"/>
    <row r="239" s="62" customFormat="1" x14ac:dyDescent="0.35"/>
    <row r="240" s="62" customFormat="1" x14ac:dyDescent="0.35"/>
    <row r="241" s="62" customFormat="1" x14ac:dyDescent="0.35"/>
    <row r="242" s="62" customFormat="1" x14ac:dyDescent="0.35"/>
    <row r="243" s="62" customFormat="1" x14ac:dyDescent="0.35"/>
    <row r="244" s="62" customFormat="1" x14ac:dyDescent="0.35"/>
    <row r="245" s="62" customFormat="1" x14ac:dyDescent="0.35"/>
    <row r="246" s="62" customFormat="1" x14ac:dyDescent="0.35"/>
    <row r="247" s="62" customFormat="1" x14ac:dyDescent="0.35"/>
    <row r="248" s="62" customFormat="1" ht="2.25" customHeight="1" x14ac:dyDescent="0.35"/>
    <row r="249" s="62" customFormat="1" ht="409.5" customHeight="1" x14ac:dyDescent="0.35"/>
    <row r="250" s="62" customFormat="1" x14ac:dyDescent="0.35"/>
    <row r="251" s="62" customFormat="1" x14ac:dyDescent="0.35"/>
    <row r="252" s="62" customFormat="1" x14ac:dyDescent="0.35"/>
    <row r="253" s="62" customFormat="1" x14ac:dyDescent="0.35"/>
    <row r="254" s="62" customFormat="1" x14ac:dyDescent="0.35"/>
    <row r="255" s="62" customFormat="1" x14ac:dyDescent="0.35"/>
    <row r="256" s="62" customFormat="1" x14ac:dyDescent="0.35"/>
    <row r="257" s="62" customFormat="1" x14ac:dyDescent="0.35"/>
    <row r="258" s="62" customFormat="1" x14ac:dyDescent="0.35"/>
    <row r="259" s="62" customFormat="1" x14ac:dyDescent="0.35"/>
    <row r="260" s="62" customFormat="1" x14ac:dyDescent="0.35"/>
  </sheetData>
  <phoneticPr fontId="14"/>
  <hyperlinks>
    <hyperlink ref="A4" location="パラメータ設定一覧!A1" display="パラメータ設定一覧へ" xr:uid="{BAB27F2D-591A-450E-A4D0-EC01F01D710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2A4F-ECFC-473F-8E6E-A28537FF4DC0}">
  <dimension ref="A1:G11"/>
  <sheetViews>
    <sheetView showGridLines="0" zoomScaleNormal="100" workbookViewId="0">
      <pane ySplit="6" topLeftCell="A7" activePane="bottomLeft" state="frozen"/>
      <selection pane="bottomLeft" activeCell="A7" sqref="A7"/>
    </sheetView>
  </sheetViews>
  <sheetFormatPr defaultColWidth="8.78515625" defaultRowHeight="13.5" x14ac:dyDescent="0.35"/>
  <cols>
    <col min="1" max="1" width="2.78515625" style="27" customWidth="1"/>
    <col min="2" max="2" width="3.5703125" style="27" bestFit="1" customWidth="1"/>
    <col min="3" max="6" width="17.2109375" style="27" customWidth="1"/>
    <col min="7" max="7" width="19.2109375" style="27" bestFit="1" customWidth="1"/>
    <col min="8" max="16384" width="8.78515625" style="27"/>
  </cols>
  <sheetData>
    <row r="1" spans="1:7" customFormat="1" ht="19.5" x14ac:dyDescent="0.35">
      <c r="A1" s="39" t="s">
        <v>111</v>
      </c>
    </row>
    <row r="2" spans="1:7" customFormat="1" ht="15" x14ac:dyDescent="0.35"/>
    <row r="3" spans="1:7" customFormat="1" ht="15" x14ac:dyDescent="0.35">
      <c r="A3" s="6" t="s">
        <v>249</v>
      </c>
    </row>
    <row r="4" spans="1:7" ht="15.75" customHeight="1" x14ac:dyDescent="0.35">
      <c r="B4" s="117" t="s">
        <v>8</v>
      </c>
      <c r="C4" s="40" t="s">
        <v>112</v>
      </c>
      <c r="D4" s="41"/>
      <c r="E4" s="41"/>
      <c r="F4" s="41"/>
      <c r="G4" s="41"/>
    </row>
    <row r="5" spans="1:7" x14ac:dyDescent="0.35">
      <c r="B5" s="117"/>
      <c r="C5" s="33" t="s">
        <v>103</v>
      </c>
      <c r="D5" s="33" t="s">
        <v>105</v>
      </c>
      <c r="E5" s="33" t="s">
        <v>113</v>
      </c>
      <c r="F5" s="33" t="s">
        <v>109</v>
      </c>
      <c r="G5" s="33" t="s">
        <v>114</v>
      </c>
    </row>
    <row r="6" spans="1:7" x14ac:dyDescent="0.35">
      <c r="B6" s="117"/>
      <c r="C6" s="4" t="s">
        <v>33</v>
      </c>
      <c r="D6" s="4" t="s">
        <v>23</v>
      </c>
      <c r="E6" s="4" t="s">
        <v>242</v>
      </c>
      <c r="F6" s="4" t="s">
        <v>23</v>
      </c>
      <c r="G6" s="4" t="s">
        <v>23</v>
      </c>
    </row>
    <row r="7" spans="1:7" x14ac:dyDescent="0.3">
      <c r="B7" s="64">
        <f>ROW() - 6</f>
        <v>1</v>
      </c>
      <c r="C7" s="64"/>
      <c r="D7" s="64"/>
      <c r="E7" s="64"/>
      <c r="F7" s="64"/>
      <c r="G7" s="64"/>
    </row>
    <row r="8" spans="1:7" x14ac:dyDescent="0.3">
      <c r="B8" s="64">
        <f t="shared" ref="B8:B11" si="0">ROW() - 6</f>
        <v>2</v>
      </c>
      <c r="C8" s="64"/>
      <c r="D8" s="64"/>
      <c r="E8" s="64"/>
      <c r="F8" s="64"/>
      <c r="G8" s="64"/>
    </row>
    <row r="9" spans="1:7" x14ac:dyDescent="0.3">
      <c r="B9" s="64">
        <f t="shared" si="0"/>
        <v>3</v>
      </c>
      <c r="C9" s="64"/>
      <c r="D9" s="64"/>
      <c r="E9" s="64"/>
      <c r="F9" s="64"/>
      <c r="G9" s="64"/>
    </row>
    <row r="10" spans="1:7" x14ac:dyDescent="0.3">
      <c r="B10" s="64">
        <f t="shared" si="0"/>
        <v>4</v>
      </c>
      <c r="C10" s="64"/>
      <c r="D10" s="64"/>
      <c r="E10" s="64"/>
      <c r="F10" s="64"/>
      <c r="G10" s="64"/>
    </row>
    <row r="11" spans="1:7" x14ac:dyDescent="0.3">
      <c r="B11" s="64">
        <f t="shared" si="0"/>
        <v>5</v>
      </c>
      <c r="C11" s="78"/>
      <c r="D11" s="78"/>
      <c r="E11" s="78"/>
      <c r="F11" s="78"/>
      <c r="G11" s="78"/>
    </row>
  </sheetData>
  <sheetProtection insertRows="0" deleteRows="0" sort="0" autoFilter="0"/>
  <mergeCells count="1">
    <mergeCell ref="B4:B6"/>
  </mergeCells>
  <phoneticPr fontId="14"/>
  <hyperlinks>
    <hyperlink ref="A3" location="パラメータ設定一覧!A1" display="パラメータ設定一覧へ" xr:uid="{D648C22E-A848-40AA-9C3F-0807AC9C3BB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B1F5B1D9-8DB8-4196-B4D8-BAE33E76ABEC}"/>
</file>

<file path=customXml/itemProps3.xml><?xml version="1.0" encoding="utf-8"?>
<ds:datastoreItem xmlns:ds="http://schemas.openxmlformats.org/officeDocument/2006/customXml" ds:itemID="{391605AE-180C-4357-9531-2DC69F7FC83D}">
  <ds:schemaRefs>
    <ds:schemaRef ds:uri="http://schemas.openxmlformats.org/package/2006/metadata/core-properties"/>
    <ds:schemaRef ds:uri="http://purl.org/dc/dcmitype/"/>
    <ds:schemaRef ds:uri="http://schemas.microsoft.com/office/2006/documentManagement/types"/>
    <ds:schemaRef ds:uri="1f1f8a3f-673e-4aee-b429-7a8185133956"/>
    <ds:schemaRef ds:uri="http://schemas.microsoft.com/office/infopath/2007/PartnerControls"/>
    <ds:schemaRef ds:uri="1df7edc7-a6f5-4c90-ac32-5bbbd499fd6a"/>
    <ds:schemaRef ds:uri="http://schemas.microsoft.com/office/2006/metadata/properties"/>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23</vt:i4>
      </vt:variant>
      <vt:variant>
        <vt:lpstr>名前付き一覧</vt:lpstr>
      </vt:variant>
      <vt:variant>
        <vt:i4>1</vt:i4>
      </vt:variant>
    </vt:vector>
  </HeadingPairs>
  <TitlesOfParts>
    <vt:vector size="24" baseType="lpstr">
      <vt:lpstr>表紙</vt:lpstr>
      <vt:lpstr>パラメータ設定一覧</vt:lpstr>
      <vt:lpstr>予算作成パラメーター</vt:lpstr>
      <vt:lpstr>予算作成パラメーター 番号順序</vt:lpstr>
      <vt:lpstr>予算モデル</vt:lpstr>
      <vt:lpstr>予算モデル-設定値</vt:lpstr>
      <vt:lpstr>予算コード</vt:lpstr>
      <vt:lpstr>予算コード-設定値 </vt:lpstr>
      <vt:lpstr>予算サイクル</vt:lpstr>
      <vt:lpstr>予算サイクル期間-設定値 </vt:lpstr>
      <vt:lpstr>予算サイクル-設定値</vt:lpstr>
      <vt:lpstr>予算計画のコンフィギュレーション</vt:lpstr>
      <vt:lpstr>予算計画プロセス</vt:lpstr>
      <vt:lpstr>人事管理パラメーター 従業員セルフサービス</vt:lpstr>
      <vt:lpstr>人事管理パラメーター マネージャーセルフサービス</vt:lpstr>
      <vt:lpstr>人事管理の共有パラメーター</vt:lpstr>
      <vt:lpstr>人事管理の共有パラメーター 番号順序</vt:lpstr>
      <vt:lpstr>人事管理の共有パラメーター 既定の財務分析コード</vt:lpstr>
      <vt:lpstr>人事管理の共有パラメーター ビジネスイベント</vt:lpstr>
      <vt:lpstr>タイトル</vt:lpstr>
      <vt:lpstr>タイトル-設定値</vt:lpstr>
      <vt:lpstr>職位階層タイプ</vt:lpstr>
      <vt:lpstr>職位階層タイプ-設定値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2024-12-05T11:43:27Z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