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290" documentId="13_ncr:1_{7096C45C-F600-41D1-8CE4-4E3A3C5660FF}" xr6:coauthVersionLast="47" xr6:coauthVersionMax="47" xr10:uidLastSave="{73071AED-6314-4167-8239-20D926D218C8}"/>
  <bookViews>
    <workbookView xWindow="-110" yWindow="-110" windowWidth="19420" windowHeight="10300" tabRatio="778" activeTab="1" xr2:uid="{FF37A431-138E-498D-9932-FE4CAD8F52B8}"/>
  </bookViews>
  <sheets>
    <sheet name="表紙" sheetId="514" r:id="rId1"/>
    <sheet name="パラメータ設定一覧" sheetId="4" r:id="rId2"/>
    <sheet name="システムパラメーター" sheetId="510" state="hidden" r:id="rId3"/>
    <sheet name="電子メールパラメーター" sheetId="511" state="hidden" r:id="rId4"/>
    <sheet name="電子メールパラメーター-設定値" sheetId="512" state="hidden" r:id="rId5"/>
    <sheet name="システムの電子メールテンプレート" sheetId="487" state="hidden" r:id="rId6"/>
    <sheet name="システムの電子メールテンプレート-設定値" sheetId="488" state="hidden" r:id="rId7"/>
    <sheet name="電子メールディストリビュータバッチ" sheetId="489" r:id="rId8"/>
    <sheet name="電子メールディストリビュータバッチ-設定値" sheetId="491" r:id="rId9"/>
    <sheet name="AADアプリケーション" sheetId="490" state="hidden" r:id="rId10"/>
    <sheet name="AADアプリケーション-設定値" sheetId="492" state="hidden" r:id="rId11"/>
    <sheet name="機能管理" sheetId="504" state="hidden" r:id="rId12"/>
    <sheet name="ワークフロー IF コンフィグ" sheetId="495" state="hidden" r:id="rId13"/>
    <sheet name="B2B 招待状のコンフィギュレーション" sheetId="497" state="hidden" r:id="rId14"/>
    <sheet name="外部ロール" sheetId="499" state="hidden" r:id="rId15"/>
    <sheet name="外部ロール-設定値 " sheetId="500" state="hidden" r:id="rId16"/>
    <sheet name="ライセンスコンフィギュレーション" sheetId="513" state="hidden" r:id="rId17"/>
    <sheet name="ユーザーワークフロー" sheetId="501" state="hidden" r:id="rId18"/>
    <sheet name="ユーザーワークフロー-設定値 " sheetId="502" state="hidden" r:id="rId19"/>
    <sheet name="バッチジョブ" sheetId="505" state="hidden" r:id="rId20"/>
    <sheet name="バッチジョブ（ヘッダー）-設定値" sheetId="506" state="hidden" r:id="rId21"/>
    <sheet name="バッチジョブ（明細行）-設定値" sheetId="507" state="hidden" r:id="rId22"/>
  </sheets>
  <externalReferences>
    <externalReference r:id="rId23"/>
  </externalReferences>
  <definedNames>
    <definedName name="_Fill" localSheetId="16" hidden="1">[1]テーブル仕様!#REF!</definedName>
    <definedName name="_Fill" hidden="1">[1]テーブル仕様!#REF!</definedName>
    <definedName name="_Order1" hidden="1">255</definedName>
    <definedName name="_Order2" hidden="1">255</definedName>
    <definedName name="_Regression_X" localSheetId="2" hidden="1">#REF!</definedName>
    <definedName name="_Regression_X" localSheetId="16"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localSheetId="16" hidden="1">#REF!</definedName>
    <definedName name="AX" hidden="1">#REF!</definedName>
    <definedName name="AZ" localSheetId="2" hidden="1">#REF!</definedName>
    <definedName name="AZ" localSheetId="16" hidden="1">#REF!</definedName>
    <definedName name="AZ" hidden="1">#REF!</definedName>
    <definedName name="bbb" localSheetId="2" hidden="1">[1]テーブル仕様!#REF!</definedName>
    <definedName name="bbb" localSheetId="16" hidden="1">[1]テーブル仕様!#REF!</definedName>
    <definedName name="bbb" hidden="1">[1]テーブル仕様!#REF!</definedName>
    <definedName name="ＧＷメッセージ一覧" localSheetId="2" hidden="1">#REF!</definedName>
    <definedName name="ＧＷメッセージ一覧" localSheetId="16" hidden="1">#REF!</definedName>
    <definedName name="ＧＷメッセージ一覧" hidden="1">#REF!</definedName>
    <definedName name="H" localSheetId="2" hidden="1">{"'Sheet1'!$B$5:$H$34"}</definedName>
    <definedName name="H" localSheetId="16" hidden="1">{"'Sheet1'!$B$5:$H$34"}</definedName>
    <definedName name="H" hidden="1">{"'Sheet1'!$B$5:$H$34"}</definedName>
    <definedName name="HTML_CodePage" hidden="1">932</definedName>
    <definedName name="HTML_Control" localSheetId="2" hidden="1">{"'分担ﾙｰﾙ'!$A$1:$M$72","'分担ﾙｰﾙ'!$A$19:$M$71"}</definedName>
    <definedName name="HTML_Control" localSheetId="16"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2" hidden="1">{"'Sheet1'!$B$5:$H$34"}</definedName>
    <definedName name="HTML_Control_copy" localSheetId="16" hidden="1">{"'Sheet1'!$B$5:$H$34"}</definedName>
    <definedName name="HTML_Control_copy" hidden="1">{"'Sheet1'!$B$5:$H$34"}</definedName>
    <definedName name="HTML_Control_Copy2" localSheetId="2" hidden="1">{"'Sheet1'!$B$5:$H$34"}</definedName>
    <definedName name="HTML_Control_Copy2" localSheetId="16" hidden="1">{"'Sheet1'!$B$5:$H$34"}</definedName>
    <definedName name="HTML_Control_Copy2" hidden="1">{"'Sheet1'!$B$5:$H$34"}</definedName>
    <definedName name="HTML_Control1" localSheetId="2" hidden="1">{"'分担ﾙｰﾙ'!$A$1:$M$72","'分担ﾙｰﾙ'!$A$19:$M$71"}</definedName>
    <definedName name="HTML_Control1" localSheetId="16"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 hidden="1">{"'Sheet1'!$B$5:$H$34"}</definedName>
    <definedName name="HTML_Control2" localSheetId="16"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localSheetId="16" hidden="1">#REF!</definedName>
    <definedName name="ｐ" localSheetId="2" hidden="1">#REF!</definedName>
    <definedName name="ｐ" localSheetId="16" hidden="1">#REF!</definedName>
    <definedName name="ｐ" hidden="1">#REF!</definedName>
    <definedName name="_xlnm.Print_Area" localSheetId="1">パラメータ設定一覧!$A$1:$J$19</definedName>
    <definedName name="s" localSheetId="2" hidden="1">{"'Sheet1'!$B$5:$H$34"}</definedName>
    <definedName name="s" localSheetId="16" hidden="1">{"'Sheet1'!$B$5:$H$34"}</definedName>
    <definedName name="s" hidden="1">{"'Sheet1'!$B$5:$H$34"}</definedName>
    <definedName name="t" localSheetId="2" hidden="1">{"'Sheet1'!$B$5:$H$34"}</definedName>
    <definedName name="t" localSheetId="16" hidden="1">{"'Sheet1'!$B$5:$H$34"}</definedName>
    <definedName name="t" hidden="1">{"'Sheet1'!$B$5:$H$34"}</definedName>
    <definedName name="TEST" localSheetId="2" hidden="1">{"'Sheet1'!$B$5:$H$34"}</definedName>
    <definedName name="TEST" localSheetId="16" hidden="1">{"'Sheet1'!$B$5:$H$34"}</definedName>
    <definedName name="TEST" hidden="1">{"'Sheet1'!$B$5:$H$34"}</definedName>
    <definedName name="VV" localSheetId="2" hidden="1">#REF!</definedName>
    <definedName name="VV" localSheetId="16" hidden="1">#REF!</definedName>
    <definedName name="VV" hidden="1">#REF!</definedName>
    <definedName name="ｗ" localSheetId="2" hidden="1">{"'Sheet1'!$B$5:$H$34"}</definedName>
    <definedName name="ｗ" localSheetId="16" hidden="1">{"'Sheet1'!$B$5:$H$34"}</definedName>
    <definedName name="ｗ" hidden="1">{"'Sheet1'!$B$5:$H$34"}</definedName>
    <definedName name="work" localSheetId="2" hidden="1">#REF!</definedName>
    <definedName name="work" localSheetId="16" hidden="1">#REF!</definedName>
    <definedName name="work" hidden="1">#REF!</definedName>
    <definedName name="Z_5FB70CD0_6C58_413B_B7A8_B2222A9FFAB3_.wvu.FilterData" localSheetId="2" hidden="1">#REF!</definedName>
    <definedName name="Z_5FB70CD0_6C58_413B_B7A8_B2222A9FFAB3_.wvu.FilterData" localSheetId="16"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localSheetId="16"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localSheetId="16"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localSheetId="16"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localSheetId="16" hidden="1">#REF!</definedName>
    <definedName name="Z_CF1E67FB_0D25_4F96_A0AC_373637B05BD1_.wvu.PrintArea" hidden="1">#REF!</definedName>
    <definedName name="あ" localSheetId="2" hidden="1">#REF!</definedName>
    <definedName name="あ" localSheetId="16" hidden="1">#REF!</definedName>
    <definedName name="あ" hidden="1">#REF!</definedName>
    <definedName name="あああ" localSheetId="2" hidden="1">[1]テーブル仕様!#REF!</definedName>
    <definedName name="あああ" localSheetId="16" hidden="1">[1]テーブル仕様!#REF!</definedName>
    <definedName name="あああ" localSheetId="0" hidden="1">[1]テーブル仕様!#REF!</definedName>
    <definedName name="あああ" hidden="1">[1]テーブル仕様!#REF!</definedName>
    <definedName name="い" localSheetId="2" hidden="1">#REF!</definedName>
    <definedName name="い" localSheetId="16" hidden="1">#REF!</definedName>
    <definedName name="い" hidden="1">#REF!</definedName>
    <definedName name="う" localSheetId="2" hidden="1">#REF!</definedName>
    <definedName name="う" localSheetId="16" hidden="1">#REF!</definedName>
    <definedName name="う" hidden="1">#REF!</definedName>
    <definedName name="ええ" localSheetId="2" hidden="1">{"'Sheet1'!$B$5:$H$34"}</definedName>
    <definedName name="ええ" localSheetId="16" hidden="1">{"'Sheet1'!$B$5:$H$34"}</definedName>
    <definedName name="ええ" hidden="1">{"'Sheet1'!$B$5:$H$34"}</definedName>
    <definedName name="えええ" localSheetId="2" hidden="1">{"'9.項目'!$B$5:$AW$60"}</definedName>
    <definedName name="えええ" localSheetId="16" hidden="1">{"'9.項目'!$B$5:$AW$60"}</definedName>
    <definedName name="えええ" localSheetId="0" hidden="1">{"'9.項目'!$B$5:$AW$60"}</definedName>
    <definedName name="えええ" hidden="1">{"'9.項目'!$B$5:$AW$60"}</definedName>
    <definedName name="お" localSheetId="2" hidden="1">{"'Sheet1'!$B$5:$H$34"}</definedName>
    <definedName name="お" localSheetId="16" hidden="1">{"'Sheet1'!$B$5:$H$34"}</definedName>
    <definedName name="お" hidden="1">{"'Sheet1'!$B$5:$H$34"}</definedName>
    <definedName name="サンプル" localSheetId="2" hidden="1">#REF!</definedName>
    <definedName name="サンプル" localSheetId="16" hidden="1">#REF!</definedName>
    <definedName name="サンプル" hidden="1">#REF!</definedName>
    <definedName name="タスクドキュメント１" localSheetId="2" hidden="1">#REF!</definedName>
    <definedName name="タスクドキュメント１" localSheetId="16" hidden="1">#REF!</definedName>
    <definedName name="タスクドキュメント１" hidden="1">#REF!</definedName>
    <definedName name="安藤" localSheetId="2" hidden="1">#REF!</definedName>
    <definedName name="安藤" localSheetId="16" hidden="1">#REF!</definedName>
    <definedName name="安藤" hidden="1">#REF!</definedName>
    <definedName name="関連" localSheetId="2" hidden="1">#REF!</definedName>
    <definedName name="関連" localSheetId="16" hidden="1">#REF!</definedName>
    <definedName name="関連" hidden="1">#REF!</definedName>
    <definedName name="関連表" localSheetId="2" hidden="1">#REF!</definedName>
    <definedName name="関連表" localSheetId="16" hidden="1">#REF!</definedName>
    <definedName name="関連表" hidden="1">#REF!</definedName>
    <definedName name="仕様書" localSheetId="2" hidden="1">#REF!</definedName>
    <definedName name="仕様書" localSheetId="16" hidden="1">#REF!</definedName>
    <definedName name="仕様書" hidden="1">#REF!</definedName>
    <definedName name="束原" localSheetId="2" hidden="1">#REF!</definedName>
    <definedName name="束原" localSheetId="16" hidden="1">#REF!</definedName>
    <definedName name="束原" hidden="1">#REF!</definedName>
    <definedName name="導入時期う" localSheetId="2" hidden="1">#REF!</definedName>
    <definedName name="導入時期う" localSheetId="16" hidden="1">#REF!</definedName>
    <definedName name="導入時期う"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88" l="1"/>
  <c r="B34" i="510"/>
  <c r="B10" i="502" l="1"/>
  <c r="B9" i="502"/>
  <c r="B8" i="502"/>
  <c r="B7" i="502"/>
  <c r="B6" i="502"/>
  <c r="B11" i="500"/>
  <c r="B10" i="500"/>
  <c r="B9" i="500"/>
  <c r="B8" i="500"/>
  <c r="B7" i="500"/>
  <c r="B10" i="504"/>
  <c r="B9" i="504"/>
  <c r="B8" i="504"/>
  <c r="B7" i="504"/>
  <c r="B16" i="492"/>
  <c r="B15" i="492"/>
  <c r="B14" i="492"/>
  <c r="B13" i="492"/>
  <c r="B12" i="492"/>
  <c r="B11" i="492"/>
  <c r="B10" i="492"/>
  <c r="B9" i="492"/>
  <c r="B8" i="492"/>
  <c r="B7" i="492"/>
  <c r="B22" i="488"/>
  <c r="B21" i="488"/>
  <c r="B20" i="488"/>
  <c r="B19" i="488"/>
  <c r="B18" i="488"/>
  <c r="B17" i="488"/>
  <c r="B16" i="488"/>
  <c r="B15" i="488"/>
  <c r="B14" i="488"/>
  <c r="B13" i="488"/>
  <c r="B12" i="488"/>
  <c r="B11" i="488"/>
  <c r="B10" i="488"/>
  <c r="B9" i="488"/>
  <c r="B8" i="488"/>
  <c r="B6" i="501" l="1"/>
  <c r="B9" i="513"/>
  <c r="B8" i="513"/>
  <c r="B7" i="513"/>
  <c r="B6" i="513"/>
  <c r="B22" i="511"/>
  <c r="B21" i="511"/>
  <c r="B20" i="511"/>
  <c r="B19" i="511"/>
  <c r="B18" i="511"/>
  <c r="B17" i="511"/>
  <c r="B16" i="511"/>
  <c r="B15" i="511"/>
  <c r="B14" i="511"/>
  <c r="B11" i="511"/>
  <c r="B10" i="511"/>
  <c r="B9" i="511"/>
  <c r="B8" i="511"/>
  <c r="B7" i="511"/>
  <c r="B6" i="511"/>
  <c r="B37" i="510"/>
  <c r="B33" i="510"/>
  <c r="B32" i="510"/>
  <c r="B31" i="510"/>
  <c r="B30" i="510"/>
  <c r="B29" i="510"/>
  <c r="B28" i="510"/>
  <c r="B27" i="510"/>
  <c r="B26" i="510"/>
  <c r="B25" i="510"/>
  <c r="B24" i="510"/>
  <c r="B23" i="510"/>
  <c r="B22" i="510"/>
  <c r="B21" i="510"/>
  <c r="B20" i="510"/>
  <c r="B19" i="510"/>
  <c r="B18" i="510"/>
  <c r="B17" i="510"/>
  <c r="B16" i="510"/>
  <c r="B15" i="510"/>
  <c r="B14" i="510"/>
  <c r="B13" i="510"/>
  <c r="B12" i="510"/>
  <c r="B11" i="510"/>
  <c r="B10" i="510"/>
  <c r="B9" i="510"/>
  <c r="B8" i="510"/>
  <c r="B7" i="510"/>
  <c r="B6" i="510"/>
  <c r="B20" i="4" l="1"/>
  <c r="B17" i="4"/>
  <c r="B12" i="507" l="1"/>
  <c r="B11" i="507"/>
  <c r="B10" i="507"/>
  <c r="B9" i="507"/>
  <c r="B8" i="507"/>
  <c r="B12" i="506"/>
  <c r="B11" i="506"/>
  <c r="B10" i="506"/>
  <c r="B9" i="506"/>
  <c r="B8" i="506"/>
  <c r="B55" i="505"/>
  <c r="B54" i="505"/>
  <c r="B53" i="505"/>
  <c r="B52" i="505"/>
  <c r="B51" i="505"/>
  <c r="B50" i="505"/>
  <c r="B49" i="505"/>
  <c r="B48" i="505"/>
  <c r="B47" i="505"/>
  <c r="B46" i="505"/>
  <c r="B45" i="505"/>
  <c r="B44" i="505"/>
  <c r="B43" i="505"/>
  <c r="B42" i="505"/>
  <c r="B41" i="505"/>
  <c r="B40" i="505"/>
  <c r="B39" i="505"/>
  <c r="B38" i="505"/>
  <c r="B37" i="505"/>
  <c r="B36" i="505"/>
  <c r="B35" i="505"/>
  <c r="B34" i="505"/>
  <c r="B33" i="505"/>
  <c r="B32" i="505"/>
  <c r="B31" i="505"/>
  <c r="B30" i="505"/>
  <c r="B29" i="505"/>
  <c r="B28" i="505"/>
  <c r="B27" i="505"/>
  <c r="B26" i="505"/>
  <c r="B25" i="505"/>
  <c r="B24" i="505"/>
  <c r="B23" i="505"/>
  <c r="B22" i="505"/>
  <c r="B21" i="505"/>
  <c r="B20" i="505"/>
  <c r="B19" i="505"/>
  <c r="B18" i="505"/>
  <c r="B17" i="505"/>
  <c r="B16" i="505"/>
  <c r="B15" i="505"/>
  <c r="B14" i="505"/>
  <c r="B13" i="505"/>
  <c r="B12" i="505"/>
  <c r="B11" i="505"/>
  <c r="B10" i="505"/>
  <c r="B9" i="505"/>
  <c r="B8" i="505"/>
  <c r="B7" i="505"/>
  <c r="B6" i="505"/>
  <c r="B19" i="4"/>
  <c r="B10" i="491" l="1"/>
  <c r="B44" i="489" l="1"/>
  <c r="B43" i="489"/>
  <c r="B42" i="489"/>
  <c r="B41" i="489"/>
  <c r="B40" i="489"/>
  <c r="B39" i="489"/>
  <c r="B38" i="489"/>
  <c r="B37" i="489"/>
  <c r="B36" i="489"/>
  <c r="B35" i="489"/>
  <c r="B34" i="489"/>
  <c r="B33" i="489"/>
  <c r="B32" i="489"/>
  <c r="B31" i="489"/>
  <c r="B24" i="489"/>
  <c r="B23" i="489"/>
  <c r="B22" i="489"/>
  <c r="B19" i="489"/>
  <c r="B17" i="489"/>
  <c r="B30" i="489"/>
  <c r="B29" i="489"/>
  <c r="B28" i="489"/>
  <c r="B27" i="489"/>
  <c r="B26" i="489"/>
  <c r="B25" i="489"/>
  <c r="B21" i="489"/>
  <c r="B20" i="489"/>
  <c r="B18" i="489"/>
  <c r="B16" i="489"/>
  <c r="B15" i="489"/>
  <c r="B14" i="489"/>
  <c r="B13" i="489"/>
  <c r="B12" i="489"/>
  <c r="B9" i="501" l="1"/>
  <c r="B10" i="501"/>
  <c r="B11" i="501"/>
  <c r="B12" i="501"/>
  <c r="B13" i="501"/>
  <c r="B8" i="501" l="1"/>
  <c r="B7" i="501"/>
  <c r="B8" i="499"/>
  <c r="B7" i="499"/>
  <c r="B6" i="499"/>
  <c r="B13" i="497"/>
  <c r="B12" i="497"/>
  <c r="B11" i="497"/>
  <c r="B10" i="497"/>
  <c r="B9" i="497"/>
  <c r="B8" i="497"/>
  <c r="B7" i="497"/>
  <c r="B6" i="497"/>
  <c r="B11" i="495"/>
  <c r="B10" i="495"/>
  <c r="B9" i="495"/>
  <c r="B8" i="495"/>
  <c r="B7" i="495"/>
  <c r="B6" i="495"/>
  <c r="B8" i="490" l="1"/>
  <c r="B7" i="490"/>
  <c r="B6" i="490"/>
  <c r="B11" i="489"/>
  <c r="B10" i="489"/>
  <c r="B9" i="489"/>
  <c r="B8" i="489"/>
  <c r="B7" i="489"/>
  <c r="B6" i="489"/>
  <c r="B15" i="487"/>
  <c r="B14" i="487"/>
  <c r="B13" i="487"/>
  <c r="B12" i="487"/>
  <c r="B11" i="487"/>
  <c r="B10" i="487"/>
  <c r="B9" i="487"/>
  <c r="B8" i="487"/>
  <c r="B7" i="487"/>
  <c r="B6" i="487"/>
  <c r="B5" i="4" l="1"/>
  <c r="B8" i="4"/>
  <c r="B9" i="4"/>
  <c r="B10" i="4"/>
  <c r="B11" i="4"/>
  <c r="B12" i="4"/>
  <c r="B13" i="4"/>
  <c r="B14" i="4"/>
  <c r="B15" i="4"/>
  <c r="B16" i="4"/>
  <c r="B18" i="4" l="1"/>
  <c r="B7" i="4" l="1"/>
  <c r="B6" i="4"/>
  <c r="B4" i="4"/>
</calcChain>
</file>

<file path=xl/sharedStrings.xml><?xml version="1.0" encoding="utf-8"?>
<sst xmlns="http://schemas.openxmlformats.org/spreadsheetml/2006/main" count="1470" uniqueCount="526">
  <si>
    <t>日本ビジネスシステムズ株式会社</t>
    <rPh sb="0" eb="2">
      <t>ニホン</t>
    </rPh>
    <rPh sb="11" eb="15">
      <t>カブシキガイシャ</t>
    </rPh>
    <phoneticPr fontId="26"/>
  </si>
  <si>
    <t>No</t>
  </si>
  <si>
    <t>#</t>
  </si>
  <si>
    <t>該当モジュール</t>
  </si>
  <si>
    <t>設定項目</t>
  </si>
  <si>
    <t>説明</t>
  </si>
  <si>
    <t>パス</t>
    <phoneticPr fontId="12"/>
  </si>
  <si>
    <t>システム管理</t>
    <phoneticPr fontId="12"/>
  </si>
  <si>
    <t>システム管理＞設定＞システムパラメーター
System administration &gt; Setup &gt; System parameters</t>
    <phoneticPr fontId="12"/>
  </si>
  <si>
    <t>システム管理</t>
  </si>
  <si>
    <t>バッチグループ</t>
  </si>
  <si>
    <t>ユーザーグループ</t>
    <phoneticPr fontId="12"/>
  </si>
  <si>
    <t>ユーザーをロールに割り当てる</t>
  </si>
  <si>
    <t>セキュリティロール</t>
  </si>
  <si>
    <t>ユーザーIDへの作業者の割当</t>
  </si>
  <si>
    <t>電子メールパラメーター</t>
    <rPh sb="0" eb="2">
      <t>デンシ</t>
    </rPh>
    <phoneticPr fontId="12"/>
  </si>
  <si>
    <t>システム管理＞設定＞電子メール＞電子メールパラメーター
System administration &gt; Setup &gt; Email&gt;Email parameters</t>
    <rPh sb="10" eb="12">
      <t>デンシ</t>
    </rPh>
    <rPh sb="16" eb="18">
      <t>デンシ</t>
    </rPh>
    <phoneticPr fontId="12"/>
  </si>
  <si>
    <t>システム電子メールのテンプレート</t>
    <rPh sb="4" eb="6">
      <t>デンシ</t>
    </rPh>
    <phoneticPr fontId="12"/>
  </si>
  <si>
    <t>システム管理＞設定＞電子メール＞システムに電子メールテンプレート
System administration &gt; Setup &gt; Email&gt;System email templates</t>
    <rPh sb="10" eb="12">
      <t>デンシ</t>
    </rPh>
    <rPh sb="21" eb="23">
      <t>デンシ</t>
    </rPh>
    <phoneticPr fontId="12"/>
  </si>
  <si>
    <t>電子メールディストリビュータバッチ</t>
    <rPh sb="0" eb="2">
      <t>デンシ</t>
    </rPh>
    <phoneticPr fontId="12"/>
  </si>
  <si>
    <t>システム管理＞定期処理のタスク＞電子メールの処理＞電子メールディストリビューターバッチ
System administration &gt; Periodic tasks&gt; Email processing&gt; Email distributor batch</t>
    <phoneticPr fontId="12"/>
  </si>
  <si>
    <t>Azure Active Directoryアプリケーション</t>
    <phoneticPr fontId="12"/>
  </si>
  <si>
    <t>システム管理＞設定＞Azure Active Directory アプリケーション
System administration &gt; Setup &gt; Azure Active Directory Application</t>
    <phoneticPr fontId="12"/>
  </si>
  <si>
    <t>機能管理</t>
    <rPh sb="0" eb="2">
      <t>キノウ</t>
    </rPh>
    <rPh sb="2" eb="4">
      <t>カンリ</t>
    </rPh>
    <phoneticPr fontId="12"/>
  </si>
  <si>
    <t>システム管理＞ワークスペース＞機能管理
System administration &gt; Workspaces &gt; Feature management</t>
    <rPh sb="15" eb="17">
      <t>キノウ</t>
    </rPh>
    <rPh sb="17" eb="19">
      <t>カンリ</t>
    </rPh>
    <phoneticPr fontId="12"/>
  </si>
  <si>
    <t>ワークフロー インフラストラクチャ コンフィギュレーション</t>
    <phoneticPr fontId="12"/>
  </si>
  <si>
    <t>システム管理 ＞ ワークフロー ＞ ワークフローインフラストラクチャコンフィギュレーション
System administration &gt; Workflow &gt; Workflow infrastructure configuration</t>
    <rPh sb="4" eb="6">
      <t>カンリ</t>
    </rPh>
    <phoneticPr fontId="12"/>
  </si>
  <si>
    <t>B2B 招待状のコンフィギュレーション</t>
    <phoneticPr fontId="12"/>
  </si>
  <si>
    <t>システム管理 ＞ 設定 ＞ B2B 招待状のコンフィギュレーション
System administration &gt; Setup &gt; B2B Invitation Configuration</t>
    <rPh sb="4" eb="6">
      <t>カンリ</t>
    </rPh>
    <rPh sb="9" eb="11">
      <t>セッテイ</t>
    </rPh>
    <phoneticPr fontId="12"/>
  </si>
  <si>
    <t>外部ロール</t>
    <rPh sb="0" eb="2">
      <t>ガイブ</t>
    </rPh>
    <phoneticPr fontId="12"/>
  </si>
  <si>
    <t>システム管理 ＞ セキュリティ ＞ 外部ロール
System administration &gt; Security &gt; External roles</t>
    <rPh sb="4" eb="6">
      <t>カンリ</t>
    </rPh>
    <rPh sb="18" eb="20">
      <t>ガイブ</t>
    </rPh>
    <phoneticPr fontId="12"/>
  </si>
  <si>
    <t>ユーザーワークフロー</t>
    <phoneticPr fontId="12"/>
  </si>
  <si>
    <t>システム管理 ＞ ワークフロー ＞ ユーザーワークフロー
System administration &gt; Workflow &gt; User workflows</t>
    <rPh sb="4" eb="6">
      <t>カンリ</t>
    </rPh>
    <phoneticPr fontId="12"/>
  </si>
  <si>
    <t>タブ</t>
  </si>
  <si>
    <t>タブ説明</t>
    <rPh sb="2" eb="4">
      <t>セツメイ</t>
    </rPh>
    <phoneticPr fontId="20"/>
  </si>
  <si>
    <t>項目分類</t>
    <rPh sb="0" eb="2">
      <t>コウモク</t>
    </rPh>
    <rPh sb="2" eb="4">
      <t>ブンルイ</t>
    </rPh>
    <phoneticPr fontId="15"/>
  </si>
  <si>
    <t>項目</t>
  </si>
  <si>
    <t>Description（標準）</t>
    <rPh sb="12" eb="14">
      <t>ヒョウジュン</t>
    </rPh>
    <phoneticPr fontId="15"/>
  </si>
  <si>
    <t>設定可能値</t>
  </si>
  <si>
    <t>デフォルト値</t>
    <rPh sb="5" eb="6">
      <t>チ</t>
    </rPh>
    <phoneticPr fontId="20"/>
  </si>
  <si>
    <t>備考</t>
  </si>
  <si>
    <t>設定値</t>
  </si>
  <si>
    <t>設定基準</t>
  </si>
  <si>
    <t>一般</t>
    <rPh sb="0" eb="2">
      <t>イッパン</t>
    </rPh>
    <phoneticPr fontId="12"/>
  </si>
  <si>
    <t>一般的なシステムオプションを設定します。</t>
    <rPh sb="0" eb="3">
      <t>イッパンテキ</t>
    </rPh>
    <rPh sb="14" eb="16">
      <t>セッテイ</t>
    </rPh>
    <phoneticPr fontId="12"/>
  </si>
  <si>
    <t>システム言語</t>
    <rPh sb="4" eb="6">
      <t>ゲンゴ</t>
    </rPh>
    <phoneticPr fontId="12"/>
  </si>
  <si>
    <t>言語（システム定義）</t>
    <rPh sb="0" eb="2">
      <t>ゲンゴ</t>
    </rPh>
    <rPh sb="7" eb="9">
      <t>テイギ</t>
    </rPh>
    <phoneticPr fontId="12"/>
  </si>
  <si>
    <t>ー</t>
  </si>
  <si>
    <t>システム行番号</t>
    <rPh sb="4" eb="7">
      <t>ギョウバンゴウ</t>
    </rPh>
    <phoneticPr fontId="12"/>
  </si>
  <si>
    <t>増分</t>
    <rPh sb="0" eb="2">
      <t>ゾウブン</t>
    </rPh>
    <phoneticPr fontId="12"/>
  </si>
  <si>
    <t>新しい行番号が購買注文明細行に割り当てられるときに使用する増分を入力します。この増分は、販売および製造オーダー明細行など、すべての購買注文明細行とその他の注文明細行に対して既定で使用されます。</t>
  </si>
  <si>
    <t>数値</t>
    <rPh sb="0" eb="2">
      <t>スウチ</t>
    </rPh>
    <phoneticPr fontId="12"/>
  </si>
  <si>
    <t>＜0＞のままでは、 動かない</t>
    <phoneticPr fontId="12"/>
  </si>
  <si>
    <t>1</t>
    <phoneticPr fontId="12"/>
  </si>
  <si>
    <t>通貨</t>
    <rPh sb="0" eb="2">
      <t>ツウカ</t>
    </rPh>
    <phoneticPr fontId="12"/>
  </si>
  <si>
    <t>システム通貨</t>
    <rPh sb="4" eb="6">
      <t>ツウカ</t>
    </rPh>
    <phoneticPr fontId="12"/>
  </si>
  <si>
    <t>ー</t>
    <phoneticPr fontId="12"/>
  </si>
  <si>
    <t>システム為替レートタイプ</t>
    <rPh sb="4" eb="6">
      <t>カワセ</t>
    </rPh>
    <phoneticPr fontId="12"/>
  </si>
  <si>
    <t>データベースのレコードの固有 ID</t>
  </si>
  <si>
    <t>BLOBリンクの有効期限</t>
    <rPh sb="8" eb="10">
      <t>ユウコウ</t>
    </rPh>
    <rPh sb="10" eb="12">
      <t>キゲン</t>
    </rPh>
    <phoneticPr fontId="12"/>
  </si>
  <si>
    <t>ファイルリンクの有効期限</t>
    <rPh sb="8" eb="10">
      <t>ユウコウ</t>
    </rPh>
    <rPh sb="10" eb="12">
      <t>キゲン</t>
    </rPh>
    <phoneticPr fontId="12"/>
  </si>
  <si>
    <t>ダウンロードリンクをアクティブにしておく時間を分単位で入力します。10 分のデフォルトのタイムアウト時間は「0」を入力してください</t>
  </si>
  <si>
    <t>画像リンクの有効期限（分）</t>
    <rPh sb="0" eb="2">
      <t>ガゾウ</t>
    </rPh>
    <rPh sb="6" eb="10">
      <t>ユウコウキゲン</t>
    </rPh>
    <rPh sb="11" eb="12">
      <t>フン</t>
    </rPh>
    <phoneticPr fontId="12"/>
  </si>
  <si>
    <t>ダウンロードリンクをアクティブにしておく時間を分単位で入力します。5 分のデフォルトのタイムアウト時間は「0」を入力してください</t>
  </si>
  <si>
    <t>ビデオリンクの有効期限（分）</t>
    <rPh sb="7" eb="9">
      <t>ユウコウ</t>
    </rPh>
    <rPh sb="9" eb="11">
      <t>キゲン</t>
    </rPh>
    <rPh sb="12" eb="13">
      <t>フン</t>
    </rPh>
    <phoneticPr fontId="12"/>
  </si>
  <si>
    <t>クエリオプション</t>
    <phoneticPr fontId="12"/>
  </si>
  <si>
    <t>クエリリレーションにレガシーモードを使用する</t>
    <rPh sb="18" eb="20">
      <t>シヨウ</t>
    </rPh>
    <phoneticPr fontId="12"/>
  </si>
  <si>
    <t>はい/いいえ</t>
    <phoneticPr fontId="12"/>
  </si>
  <si>
    <t>いいえ</t>
    <phoneticPr fontId="12"/>
  </si>
  <si>
    <t>セッション管理</t>
    <rPh sb="5" eb="7">
      <t>カンリ</t>
    </rPh>
    <phoneticPr fontId="12"/>
  </si>
  <si>
    <t>非アクティブのタイムアウトを分単位で設定する</t>
    <phoneticPr fontId="12"/>
  </si>
  <si>
    <t>セッション アイドル タイムアウトは、セッション終了までにユーザーが非アクティブになれる時間の長さを表します。</t>
  </si>
  <si>
    <t>30</t>
    <phoneticPr fontId="12"/>
  </si>
  <si>
    <t>MICROSOFT GRAPH</t>
    <phoneticPr fontId="12"/>
  </si>
  <si>
    <t>ユーザー タイムアウトの一覧表示 (秒)</t>
    <phoneticPr fontId="12"/>
  </si>
  <si>
    <t>Microsoft Graph からユーザーの一覧を取得するための時間 (秒)</t>
    <phoneticPr fontId="12"/>
  </si>
  <si>
    <t>ODATA</t>
    <phoneticPr fontId="12"/>
  </si>
  <si>
    <t>列挙キー値に Null を許可</t>
  </si>
  <si>
    <t>列挙フィールドの Null 値を許可する OData クエリを許可します。既定では、Null 値は拒否されます。</t>
  </si>
  <si>
    <t>AOS の起動時にメタデータ キャッシュを構築する</t>
  </si>
  <si>
    <t>OData メタデータ キャッシュは、最初に OData 要求が発生したときとは対照的に、AOS の起動時に構築されます。</t>
  </si>
  <si>
    <t>証明書</t>
    <rPh sb="0" eb="3">
      <t>ショウメイショ</t>
    </rPh>
    <phoneticPr fontId="12"/>
  </si>
  <si>
    <t>高度な証明書ストアの使用</t>
    <rPh sb="0" eb="2">
      <t>コウド</t>
    </rPh>
    <rPh sb="3" eb="6">
      <t>ショウメイショ</t>
    </rPh>
    <rPh sb="10" eb="12">
      <t>シヨウ</t>
    </rPh>
    <phoneticPr fontId="12"/>
  </si>
  <si>
    <t>Microsoft Azure KeyVault 証明書ストアを使用して有効にします</t>
  </si>
  <si>
    <t>データ接続</t>
    <rPh sb="3" eb="5">
      <t>セツゾク</t>
    </rPh>
    <phoneticPr fontId="12"/>
  </si>
  <si>
    <t>このフォームを使用して、Dynamics 365 for Finance and Operations と Microsoft クラウド サービスの接続を管理します。この機能を有効にすると、ビジネス データが Dynamics 365 for Finance and Operations から以下の Azure Data Lake ストレージ アカウントにコピーされます。このデータは、管理者権限を持つユーザーが Azure ポータルでのアクセスを許可すると、Power BI など、他の Azure サービスで利用できるようになります。 この機能を有効にすると、Azure Storage の消費が増加する場合があります。</t>
  </si>
  <si>
    <t>Data Lake結合の有効化</t>
    <rPh sb="9" eb="11">
      <t>ケツゴウ</t>
    </rPh>
    <rPh sb="12" eb="15">
      <t>ユウコウカ</t>
    </rPh>
    <phoneticPr fontId="12"/>
  </si>
  <si>
    <t>Data Lakeのトリクル更新</t>
    <rPh sb="14" eb="16">
      <t>コウシン</t>
    </rPh>
    <phoneticPr fontId="12"/>
  </si>
  <si>
    <t>データをシステムで更新するように、Data Lake を頻繁な小規模バッチで更新します</t>
  </si>
  <si>
    <t>AZURE KEY VAULT</t>
    <phoneticPr fontId="12"/>
  </si>
  <si>
    <t>アプリケーションID</t>
  </si>
  <si>
    <t>入力不可</t>
    <rPh sb="0" eb="4">
      <t>ニュウリョクフカ</t>
    </rPh>
    <phoneticPr fontId="12"/>
  </si>
  <si>
    <t>アプリケーションシークレット</t>
  </si>
  <si>
    <t>DNS名</t>
    <rPh sb="3" eb="4">
      <t>メイ</t>
    </rPh>
    <phoneticPr fontId="12"/>
  </si>
  <si>
    <t>シークレット名</t>
    <rPh sb="6" eb="7">
      <t>メイ</t>
    </rPh>
    <phoneticPr fontId="12"/>
  </si>
  <si>
    <t>ヘルプ</t>
    <phoneticPr fontId="12"/>
  </si>
  <si>
    <t>システムのヘルプ設定のセットアップ</t>
    <rPh sb="8" eb="10">
      <t>セッテイ</t>
    </rPh>
    <phoneticPr fontId="12"/>
  </si>
  <si>
    <t>タスクガイドソース</t>
  </si>
  <si>
    <t>Lifecycle Services ヘルプのコンフィギュレーション</t>
  </si>
  <si>
    <t>ライブラリ</t>
    <phoneticPr fontId="12"/>
  </si>
  <si>
    <t>有効</t>
    <rPh sb="0" eb="2">
      <t>ユウコウ</t>
    </rPh>
    <phoneticPr fontId="12"/>
  </si>
  <si>
    <t>表示順序</t>
    <rPh sb="0" eb="2">
      <t>ヒョウジ</t>
    </rPh>
    <rPh sb="2" eb="4">
      <t>ジュンジョ</t>
    </rPh>
    <phoneticPr fontId="12"/>
  </si>
  <si>
    <t>ライブラリID</t>
    <phoneticPr fontId="12"/>
  </si>
  <si>
    <t>パブリッシャー</t>
  </si>
  <si>
    <t>サポートへの問い合わせ</t>
    <rPh sb="6" eb="7">
      <t>ト</t>
    </rPh>
    <rPh sb="8" eb="9">
      <t>ア</t>
    </rPh>
    <phoneticPr fontId="12"/>
  </si>
  <si>
    <t>LCSプロジェクト</t>
    <phoneticPr fontId="12"/>
  </si>
  <si>
    <t>既定では、ご使用の環境に関連付けられた LCS プロジェクトに関するサポートへの問い合わせは、クラウドを利用したサポートに接続され、登録したすべての問題がそこに格納されます。</t>
  </si>
  <si>
    <t>法的情報およびプライバシー</t>
    <rPh sb="0" eb="2">
      <t>ホウテキ</t>
    </rPh>
    <rPh sb="2" eb="4">
      <t>ジョウホウ</t>
    </rPh>
    <phoneticPr fontId="12"/>
  </si>
  <si>
    <t>お客様の組織の法律条項、およびプライバシーと Cookie を設定します</t>
  </si>
  <si>
    <t>法律条項のURL</t>
    <rPh sb="0" eb="2">
      <t>ホウリツ</t>
    </rPh>
    <rPh sb="2" eb="4">
      <t>ジョウコウ</t>
    </rPh>
    <phoneticPr fontId="12"/>
  </si>
  <si>
    <t>文字列</t>
    <rPh sb="0" eb="3">
      <t>モジレツ</t>
    </rPh>
    <phoneticPr fontId="12"/>
  </si>
  <si>
    <t>プライバシーとCookieのURL</t>
  </si>
  <si>
    <t>Power Apps ポータル</t>
    <phoneticPr fontId="12"/>
  </si>
  <si>
    <t>このフォームの設定は Common Data Service の Finance and Operations 仮想エンティティを使用して Power Apps ポータルに関連付けられています。このオプションは、Power Apps ポータルの仮想エンティティを使用した Finance and Operations データの匿名アクセスに使用されるユーザー アカウントを制御します。匿名 Power Apps ポータル ユーザーは、選択されたユーザーがアクセスできるすべての Finance and Operations エンティティへのアクセス権を持ちます</t>
    <phoneticPr fontId="12"/>
  </si>
  <si>
    <t>匿名ポータル ユーザー ID</t>
    <phoneticPr fontId="12"/>
  </si>
  <si>
    <t>ユーザー ID</t>
  </si>
  <si>
    <t>概要</t>
    <rPh sb="0" eb="2">
      <t>ガイヨウ</t>
    </rPh>
    <phoneticPr fontId="12"/>
  </si>
  <si>
    <t>-</t>
    <phoneticPr fontId="12"/>
  </si>
  <si>
    <t>説明</t>
    <rPh sb="0" eb="2">
      <t>セツメイ</t>
    </rPh>
    <phoneticPr fontId="12"/>
  </si>
  <si>
    <t>Description（標準）</t>
    <phoneticPr fontId="15"/>
  </si>
  <si>
    <t>ID</t>
    <phoneticPr fontId="12"/>
  </si>
  <si>
    <t>ユーザーID</t>
    <phoneticPr fontId="12"/>
  </si>
  <si>
    <t>ユーザー名</t>
    <rPh sb="4" eb="5">
      <t>メイ</t>
    </rPh>
    <phoneticPr fontId="12"/>
  </si>
  <si>
    <t>名前</t>
    <rPh sb="0" eb="2">
      <t>ナマエ</t>
    </rPh>
    <phoneticPr fontId="12"/>
  </si>
  <si>
    <t>はい</t>
    <phoneticPr fontId="12"/>
  </si>
  <si>
    <t>ユーザーID</t>
  </si>
  <si>
    <t>電子メール</t>
    <rPh sb="0" eb="2">
      <t>デンシ</t>
    </rPh>
    <phoneticPr fontId="12"/>
  </si>
  <si>
    <t>システム管理＞設定＞電子メール＞電子メールパラメーター</t>
  </si>
  <si>
    <t>System administration &gt; Setup &gt; Email&gt;Email parameters</t>
  </si>
  <si>
    <t>コンフィギュレーション</t>
    <phoneticPr fontId="12"/>
  </si>
  <si>
    <t>バッチ電子メールプロバイダー</t>
    <rPh sb="3" eb="5">
      <t>デンシ</t>
    </rPh>
    <phoneticPr fontId="12"/>
  </si>
  <si>
    <t>電子メールプロバイダーIDに登録された値</t>
    <rPh sb="0" eb="2">
      <t>デンシ</t>
    </rPh>
    <rPh sb="14" eb="16">
      <t>トウロク</t>
    </rPh>
    <rPh sb="19" eb="20">
      <t>アタイ</t>
    </rPh>
    <phoneticPr fontId="12"/>
  </si>
  <si>
    <t>添付ファイルサイズの上限（MB）</t>
    <rPh sb="0" eb="2">
      <t>テンプ</t>
    </rPh>
    <rPh sb="10" eb="12">
      <t>ジョウゲン</t>
    </rPh>
    <phoneticPr fontId="12"/>
  </si>
  <si>
    <t>電子メールの有効期限（日数）</t>
    <rPh sb="0" eb="2">
      <t>デンシ</t>
    </rPh>
    <rPh sb="6" eb="8">
      <t>ユウコウ</t>
    </rPh>
    <rPh sb="8" eb="10">
      <t>キゲン</t>
    </rPh>
    <rPh sb="11" eb="13">
      <t>ニッスウ</t>
    </rPh>
    <phoneticPr fontId="12"/>
  </si>
  <si>
    <t>未送信の電子メールの状態が "期限切れ" に設定されるまでの日数を指定します。
日数を 0 に設定すると、既定の期間である 30 日が使用されます。</t>
    <phoneticPr fontId="12"/>
  </si>
  <si>
    <t>有効な対話型電子メールプロバイダー</t>
    <rPh sb="0" eb="2">
      <t>ユウコウ</t>
    </rPh>
    <rPh sb="3" eb="5">
      <t>タイワ</t>
    </rPh>
    <rPh sb="5" eb="6">
      <t>ガタ</t>
    </rPh>
    <rPh sb="6" eb="8">
      <t>デンシ</t>
    </rPh>
    <phoneticPr fontId="12"/>
  </si>
  <si>
    <t>利用可</t>
    <rPh sb="0" eb="2">
      <t>リヨウ</t>
    </rPh>
    <phoneticPr fontId="12"/>
  </si>
  <si>
    <t>電子メール履歴</t>
    <rPh sb="0" eb="2">
      <t>デンシ</t>
    </rPh>
    <rPh sb="5" eb="7">
      <t>リレキ</t>
    </rPh>
    <phoneticPr fontId="12"/>
  </si>
  <si>
    <t>電子メールの履歴を保持する日数</t>
    <rPh sb="0" eb="2">
      <t>デンシ</t>
    </rPh>
    <rPh sb="6" eb="8">
      <t>リレキ</t>
    </rPh>
    <rPh sb="9" eb="11">
      <t>ホジ</t>
    </rPh>
    <rPh sb="13" eb="15">
      <t>ニッスウ</t>
    </rPh>
    <phoneticPr fontId="12"/>
  </si>
  <si>
    <t>電子メール履歴を保持する日数を指定します。
この日数を 0 に設定すると、既定の保持期間である 30 日を使用します。</t>
    <phoneticPr fontId="12"/>
  </si>
  <si>
    <t>SMTP設定</t>
    <rPh sb="4" eb="6">
      <t>セッテイ</t>
    </rPh>
    <phoneticPr fontId="12"/>
  </si>
  <si>
    <t>送信メールサーバー</t>
    <rPh sb="0" eb="2">
      <t>ソウシン</t>
    </rPh>
    <phoneticPr fontId="12"/>
  </si>
  <si>
    <t>送信 SMTP メール サーバーの名前を指定します。この情報については、システム管理者またはインターネット サービス プロバイダ (ISP) に確認してください。</t>
    <phoneticPr fontId="12"/>
  </si>
  <si>
    <t>SMTPポート番号</t>
    <rPh sb="7" eb="9">
      <t>バンゴウ</t>
    </rPh>
    <phoneticPr fontId="12"/>
  </si>
  <si>
    <t>SMTP サーバーで使用するポート番号を指定します (既定では 25 番)。別のポートを使用するようにシステムが特別に設定されている場合を除き、このポート番号は変更しないでください。</t>
    <phoneticPr fontId="12"/>
  </si>
  <si>
    <t>有効なユーザー名を入力します (SMTP サーバーが認証を必要とする場合)。</t>
    <phoneticPr fontId="12"/>
  </si>
  <si>
    <t>パスワード</t>
    <phoneticPr fontId="12"/>
  </si>
  <si>
    <t>有効なパスワードを入力します (SMTP サーバーが認証を必要とする場合)。複数のクライアントを使用して SMTP サーバーにアクセスする場合は、各クライアントからパスワードを入力する必要があります。</t>
    <phoneticPr fontId="12"/>
  </si>
  <si>
    <t>テスト電子メール</t>
    <rPh sb="3" eb="5">
      <t>デンシ</t>
    </rPh>
    <phoneticPr fontId="12"/>
  </si>
  <si>
    <t>電子メールプロバイダー</t>
    <rPh sb="0" eb="2">
      <t>デンシ</t>
    </rPh>
    <phoneticPr fontId="12"/>
  </si>
  <si>
    <t>電子メールプロバイダーIDに登録された値</t>
    <phoneticPr fontId="12"/>
  </si>
  <si>
    <t>宛先</t>
    <rPh sb="0" eb="2">
      <t>アテサキ</t>
    </rPh>
    <phoneticPr fontId="12"/>
  </si>
  <si>
    <t>として送信されます</t>
    <rPh sb="3" eb="5">
      <t>ソウシン</t>
    </rPh>
    <phoneticPr fontId="12"/>
  </si>
  <si>
    <t>ログインユーザーのメールアドレスの値</t>
    <phoneticPr fontId="12"/>
  </si>
  <si>
    <t>バッチ電子メールプロバイダー</t>
  </si>
  <si>
    <t>添付ファイルサイズの上限（MB）</t>
  </si>
  <si>
    <t>電子メールの有効期限（日数）</t>
  </si>
  <si>
    <t>数値</t>
  </si>
  <si>
    <t>電子メールプロバイダーIDに登録された値</t>
  </si>
  <si>
    <t>10</t>
    <phoneticPr fontId="12"/>
  </si>
  <si>
    <t>システム管理＞設定＞電子メール＞システムの電子メールテンプレート</t>
    <phoneticPr fontId="12"/>
  </si>
  <si>
    <t>System administration &gt; Setup &gt; Email&gt;System email templates</t>
  </si>
  <si>
    <t>電子メールID</t>
  </si>
  <si>
    <t>電子メールの説明</t>
    <rPh sb="0" eb="2">
      <t>デンシ</t>
    </rPh>
    <rPh sb="6" eb="8">
      <t>セツメイ</t>
    </rPh>
    <phoneticPr fontId="12"/>
  </si>
  <si>
    <t>送信者名</t>
    <rPh sb="0" eb="3">
      <t>ソウシンシャ</t>
    </rPh>
    <rPh sb="3" eb="4">
      <t>メイ</t>
    </rPh>
    <phoneticPr fontId="12"/>
  </si>
  <si>
    <t>送信者の電子メール</t>
    <rPh sb="0" eb="3">
      <t>ソウシンシャ</t>
    </rPh>
    <rPh sb="4" eb="6">
      <t>デンシ</t>
    </rPh>
    <phoneticPr fontId="12"/>
  </si>
  <si>
    <t>既定の言語コード</t>
    <rPh sb="0" eb="2">
      <t>キテイ</t>
    </rPh>
    <rPh sb="3" eb="5">
      <t>ゲンゴ</t>
    </rPh>
    <phoneticPr fontId="12"/>
  </si>
  <si>
    <t>優先順位</t>
    <rPh sb="0" eb="2">
      <t>ユウセン</t>
    </rPh>
    <rPh sb="2" eb="4">
      <t>ジュンイ</t>
    </rPh>
    <phoneticPr fontId="12"/>
  </si>
  <si>
    <t>低/標準/高</t>
    <rPh sb="0" eb="1">
      <t>ヒク</t>
    </rPh>
    <rPh sb="2" eb="4">
      <t>ヒョウジュン</t>
    </rPh>
    <rPh sb="5" eb="6">
      <t>タカ</t>
    </rPh>
    <phoneticPr fontId="12"/>
  </si>
  <si>
    <t>標準</t>
    <rPh sb="0" eb="2">
      <t>ヒョウジュン</t>
    </rPh>
    <phoneticPr fontId="12"/>
  </si>
  <si>
    <t>バッチグループ</t>
    <phoneticPr fontId="12"/>
  </si>
  <si>
    <t>電子メールのコンテンツ</t>
    <rPh sb="0" eb="2">
      <t>デンシ</t>
    </rPh>
    <phoneticPr fontId="12"/>
  </si>
  <si>
    <t>言語</t>
    <rPh sb="0" eb="2">
      <t>ゲンゴ</t>
    </rPh>
    <phoneticPr fontId="12"/>
  </si>
  <si>
    <t>件名</t>
    <rPh sb="0" eb="2">
      <t>ケンメイ</t>
    </rPh>
    <phoneticPr fontId="12"/>
  </si>
  <si>
    <t>本文</t>
    <rPh sb="0" eb="2">
      <t>ホンブン</t>
    </rPh>
    <phoneticPr fontId="12"/>
  </si>
  <si>
    <t>チェック有/チェック無</t>
    <phoneticPr fontId="12"/>
  </si>
  <si>
    <t>電子メールのコンテンツ</t>
    <rPh sb="0" eb="2">
      <t>デンシメ</t>
    </rPh>
    <phoneticPr fontId="12"/>
  </si>
  <si>
    <t>電子メールID</t>
    <rPh sb="0" eb="2">
      <t>デンシ</t>
    </rPh>
    <phoneticPr fontId="12"/>
  </si>
  <si>
    <t>低/標準/高</t>
  </si>
  <si>
    <t>文字列</t>
  </si>
  <si>
    <t>チェック有/チェック無</t>
    <rPh sb="4" eb="5">
      <t>アリ</t>
    </rPh>
    <rPh sb="10" eb="11">
      <t>ナ</t>
    </rPh>
    <phoneticPr fontId="12"/>
  </si>
  <si>
    <t>システム管理＞定期処理のタスク＞電子メールの処理＞電子メールディストリビューターバッチ</t>
  </si>
  <si>
    <t>System administration &gt; Periodic tasks&gt; Email processing&gt; Email distributor batch</t>
  </si>
  <si>
    <t>既定</t>
    <rPh sb="0" eb="2">
      <t>キテイ</t>
    </rPh>
    <phoneticPr fontId="12"/>
  </si>
  <si>
    <t>バックグラウンドで実行</t>
    <rPh sb="9" eb="11">
      <t>ジッコウ</t>
    </rPh>
    <phoneticPr fontId="12"/>
  </si>
  <si>
    <t>バッチ処理</t>
    <rPh sb="3" eb="5">
      <t>ショリ</t>
    </rPh>
    <phoneticPr fontId="12"/>
  </si>
  <si>
    <t>タスクの説明</t>
    <rPh sb="4" eb="6">
      <t>セツメイ</t>
    </rPh>
    <phoneticPr fontId="12"/>
  </si>
  <si>
    <t>電子メール ディストリビューター バッチ</t>
  </si>
  <si>
    <t>プライベート</t>
    <phoneticPr fontId="12"/>
  </si>
  <si>
    <t>重要なジョブ</t>
    <rPh sb="0" eb="2">
      <t>ジュウヨウ</t>
    </rPh>
    <phoneticPr fontId="12"/>
  </si>
  <si>
    <t>監視カテゴリ</t>
    <rPh sb="0" eb="2">
      <t>カンシ</t>
    </rPh>
    <phoneticPr fontId="12"/>
  </si>
  <si>
    <t>・統合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rPh sb="1" eb="3">
      <t>トウゴウ</t>
    </rPh>
    <rPh sb="13" eb="15">
      <t>テンポ</t>
    </rPh>
    <rPh sb="15" eb="17">
      <t>チュウモン</t>
    </rPh>
    <rPh sb="17" eb="19">
      <t>ドウキ</t>
    </rPh>
    <rPh sb="19" eb="21">
      <t>ショリ</t>
    </rPh>
    <rPh sb="26" eb="28">
      <t>シナゾロ</t>
    </rPh>
    <rPh sb="29" eb="31">
      <t>ショウサイ</t>
    </rPh>
    <rPh sb="36" eb="38">
      <t>シナゾロ</t>
    </rPh>
    <rPh sb="58" eb="60">
      <t>ハンバイ</t>
    </rPh>
    <rPh sb="79" eb="82">
      <t>メイサイショ</t>
    </rPh>
    <rPh sb="82" eb="84">
      <t>ケイサン</t>
    </rPh>
    <rPh sb="92" eb="94">
      <t>ドウキ</t>
    </rPh>
    <rPh sb="94" eb="96">
      <t>チュウモン</t>
    </rPh>
    <rPh sb="108" eb="110">
      <t>ナイブ</t>
    </rPh>
    <rPh sb="110" eb="112">
      <t>ソシキ</t>
    </rPh>
    <rPh sb="112" eb="114">
      <t>コウシン</t>
    </rPh>
    <rPh sb="123" eb="125">
      <t>ハンバイ</t>
    </rPh>
    <rPh sb="132" eb="135">
      <t>セイキュウショ</t>
    </rPh>
    <rPh sb="140" eb="142">
      <t>コウ</t>
    </rPh>
    <rPh sb="156" eb="158">
      <t>ショウニン</t>
    </rPh>
    <rPh sb="163" eb="165">
      <t>カイシャ</t>
    </rPh>
    <rPh sb="171" eb="173">
      <t>コウ</t>
    </rPh>
    <rPh sb="176" eb="178">
      <t>カカク</t>
    </rPh>
    <phoneticPr fontId="12"/>
  </si>
  <si>
    <t>反復</t>
    <rPh sb="0" eb="2">
      <t>ハンプク</t>
    </rPh>
    <phoneticPr fontId="12"/>
  </si>
  <si>
    <t>定期的なアイテムの定義</t>
    <rPh sb="0" eb="3">
      <t>テイキテキ</t>
    </rPh>
    <rPh sb="9" eb="11">
      <t>テイギ</t>
    </rPh>
    <phoneticPr fontId="12"/>
  </si>
  <si>
    <t>開始日</t>
    <rPh sb="0" eb="3">
      <t>カイシビ</t>
    </rPh>
    <phoneticPr fontId="12"/>
  </si>
  <si>
    <t>最初の発生の開始日。</t>
  </si>
  <si>
    <t>日付</t>
    <rPh sb="0" eb="2">
      <t>ヒヅケ</t>
    </rPh>
    <phoneticPr fontId="12"/>
  </si>
  <si>
    <t>現在の日付</t>
    <rPh sb="0" eb="2">
      <t>ゲンザイ</t>
    </rPh>
    <rPh sb="3" eb="5">
      <t>ヒヅケ</t>
    </rPh>
    <phoneticPr fontId="12"/>
  </si>
  <si>
    <t>開始時期</t>
    <rPh sb="0" eb="2">
      <t>カイシ</t>
    </rPh>
    <rPh sb="2" eb="4">
      <t>ジキ</t>
    </rPh>
    <phoneticPr fontId="12"/>
  </si>
  <si>
    <t>最初の発生の開始時刻。</t>
  </si>
  <si>
    <t>時刻</t>
    <rPh sb="0" eb="2">
      <t>ジコク</t>
    </rPh>
    <phoneticPr fontId="12"/>
  </si>
  <si>
    <t>現在時刻</t>
    <rPh sb="0" eb="2">
      <t>ゲンザイ</t>
    </rPh>
    <rPh sb="2" eb="4">
      <t>ジコク</t>
    </rPh>
    <phoneticPr fontId="12"/>
  </si>
  <si>
    <t>タイムゾーン</t>
    <phoneticPr fontId="12"/>
  </si>
  <si>
    <t>指定の日付の時間とに関連付けられたタイム ゾーン</t>
  </si>
  <si>
    <t>文字列（既定のタイムゾーンリスト）</t>
    <rPh sb="0" eb="3">
      <t>モジレツ</t>
    </rPh>
    <rPh sb="4" eb="6">
      <t>キテイ</t>
    </rPh>
    <phoneticPr fontId="12"/>
  </si>
  <si>
    <t>(GMT) Coordinated Universal Time</t>
  </si>
  <si>
    <t>終了日なし</t>
    <rPh sb="0" eb="3">
      <t>シュウリョウビ</t>
    </rPh>
    <phoneticPr fontId="12"/>
  </si>
  <si>
    <t>終了日なし/反復回数/終了日（その日を含む）の中から一つ選択する</t>
    <rPh sb="0" eb="3">
      <t>シュウリョウビ</t>
    </rPh>
    <rPh sb="6" eb="8">
      <t>ハンプク</t>
    </rPh>
    <rPh sb="8" eb="10">
      <t>カイスウ</t>
    </rPh>
    <rPh sb="11" eb="14">
      <t>シュウリョウビ</t>
    </rPh>
    <rPh sb="17" eb="18">
      <t>ヒ</t>
    </rPh>
    <rPh sb="19" eb="20">
      <t>フク</t>
    </rPh>
    <rPh sb="23" eb="24">
      <t>ナカ</t>
    </rPh>
    <rPh sb="26" eb="27">
      <t>ヒト</t>
    </rPh>
    <rPh sb="28" eb="30">
      <t>センタク</t>
    </rPh>
    <phoneticPr fontId="12"/>
  </si>
  <si>
    <t>反復回数：
※選択</t>
    <rPh sb="0" eb="2">
      <t>ハンプク</t>
    </rPh>
    <rPh sb="2" eb="4">
      <t>カイスウ</t>
    </rPh>
    <rPh sb="7" eb="9">
      <t>センタク</t>
    </rPh>
    <phoneticPr fontId="12"/>
  </si>
  <si>
    <t>反復回数：</t>
    <rPh sb="0" eb="2">
      <t>ハンプク</t>
    </rPh>
    <rPh sb="2" eb="4">
      <t>カイスウ</t>
    </rPh>
    <phoneticPr fontId="12"/>
  </si>
  <si>
    <t>数値</t>
    <rPh sb="0" eb="1">
      <t>スウチ</t>
    </rPh>
    <phoneticPr fontId="12"/>
  </si>
  <si>
    <t>反復回数が選択された場合に入力</t>
    <rPh sb="0" eb="2">
      <t>ハンプク</t>
    </rPh>
    <rPh sb="2" eb="4">
      <t>カイスウ</t>
    </rPh>
    <rPh sb="5" eb="7">
      <t>センタク</t>
    </rPh>
    <rPh sb="10" eb="12">
      <t>バアイ</t>
    </rPh>
    <rPh sb="13" eb="15">
      <t>ニュウリョク</t>
    </rPh>
    <phoneticPr fontId="12"/>
  </si>
  <si>
    <t>終了日（その日を含む）：
※選択</t>
    <rPh sb="0" eb="3">
      <t>シュウリョウビ</t>
    </rPh>
    <rPh sb="6" eb="7">
      <t>ヒ</t>
    </rPh>
    <rPh sb="8" eb="9">
      <t>フク</t>
    </rPh>
    <rPh sb="14" eb="16">
      <t>センタク</t>
    </rPh>
    <phoneticPr fontId="12"/>
  </si>
  <si>
    <t xml:space="preserve">終了日（その日を含む）：
</t>
    <rPh sb="0" eb="3">
      <t>シュウリョウビ</t>
    </rPh>
    <rPh sb="6" eb="7">
      <t>ヒ</t>
    </rPh>
    <rPh sb="8" eb="9">
      <t>フク</t>
    </rPh>
    <phoneticPr fontId="12"/>
  </si>
  <si>
    <t>終了日（その日を含む）が選択された場合に入力</t>
    <rPh sb="0" eb="3">
      <t>シュウリョウビ</t>
    </rPh>
    <rPh sb="6" eb="7">
      <t>ヒ</t>
    </rPh>
    <rPh sb="8" eb="9">
      <t>フク</t>
    </rPh>
    <rPh sb="12" eb="14">
      <t>センタク</t>
    </rPh>
    <rPh sb="17" eb="19">
      <t>バアイ</t>
    </rPh>
    <rPh sb="20" eb="22">
      <t>ニュウリョク</t>
    </rPh>
    <phoneticPr fontId="12"/>
  </si>
  <si>
    <t>定期的なアイテムのパターン</t>
    <rPh sb="0" eb="3">
      <t>テイキテキ</t>
    </rPh>
    <phoneticPr fontId="12"/>
  </si>
  <si>
    <t>分
時間
日数
週
月
年</t>
    <rPh sb="0" eb="1">
      <t>フン</t>
    </rPh>
    <rPh sb="2" eb="4">
      <t>ジカン</t>
    </rPh>
    <rPh sb="5" eb="7">
      <t>ニッスウ</t>
    </rPh>
    <rPh sb="8" eb="9">
      <t>シュウ</t>
    </rPh>
    <rPh sb="10" eb="11">
      <t>ツキ</t>
    </rPh>
    <rPh sb="12" eb="13">
      <t>ネンジカンニッスウシュウ</t>
    </rPh>
    <phoneticPr fontId="12"/>
  </si>
  <si>
    <t>分</t>
    <rPh sb="0" eb="1">
      <t>フン</t>
    </rPh>
    <phoneticPr fontId="12"/>
  </si>
  <si>
    <t>分＞カウント</t>
    <rPh sb="0" eb="1">
      <t>フン</t>
    </rPh>
    <phoneticPr fontId="12"/>
  </si>
  <si>
    <t>指定した分単位で繰り返し</t>
    <rPh sb="0" eb="2">
      <t>シテイ</t>
    </rPh>
    <rPh sb="4" eb="5">
      <t>フン</t>
    </rPh>
    <rPh sb="5" eb="7">
      <t>タンイ</t>
    </rPh>
    <rPh sb="8" eb="9">
      <t>ク</t>
    </rPh>
    <rPh sb="10" eb="11">
      <t>カエ</t>
    </rPh>
    <phoneticPr fontId="12"/>
  </si>
  <si>
    <t>数値</t>
    <rPh sb="0" eb="2">
      <t>スウチジカンニッスウシュウ</t>
    </rPh>
    <phoneticPr fontId="12"/>
  </si>
  <si>
    <t>定期的なアイテムのパターンが「分」の場合</t>
    <rPh sb="0" eb="3">
      <t>テイキテキ</t>
    </rPh>
    <rPh sb="15" eb="16">
      <t>フン</t>
    </rPh>
    <rPh sb="18" eb="20">
      <t>バアイ</t>
    </rPh>
    <phoneticPr fontId="12"/>
  </si>
  <si>
    <t>時間＞カウント</t>
    <rPh sb="0" eb="2">
      <t>ジカン</t>
    </rPh>
    <phoneticPr fontId="12"/>
  </si>
  <si>
    <t>指定した時間ごとに繰り返す</t>
    <rPh sb="0" eb="2">
      <t>シテイ</t>
    </rPh>
    <rPh sb="4" eb="6">
      <t>ジカン</t>
    </rPh>
    <rPh sb="9" eb="10">
      <t>ク</t>
    </rPh>
    <rPh sb="11" eb="12">
      <t>カエ</t>
    </rPh>
    <phoneticPr fontId="12"/>
  </si>
  <si>
    <t>2</t>
    <phoneticPr fontId="12"/>
  </si>
  <si>
    <t>定期的なアイテムのパターンが「時間」の場合</t>
    <rPh sb="0" eb="3">
      <t>テイキテキ</t>
    </rPh>
    <rPh sb="15" eb="17">
      <t>ジカン</t>
    </rPh>
    <rPh sb="19" eb="21">
      <t>バアイ</t>
    </rPh>
    <phoneticPr fontId="12"/>
  </si>
  <si>
    <t>日数＞指定した間隔で繰り返す</t>
    <rPh sb="0" eb="2">
      <t>ニッスウ</t>
    </rPh>
    <rPh sb="3" eb="5">
      <t>シテイ</t>
    </rPh>
    <rPh sb="7" eb="9">
      <t>カンカク</t>
    </rPh>
    <rPh sb="10" eb="11">
      <t>ク</t>
    </rPh>
    <rPh sb="12" eb="13">
      <t>カエ</t>
    </rPh>
    <phoneticPr fontId="12"/>
  </si>
  <si>
    <t>定期的なアイテムのパターンが「日数」の場合かつ、指定した間隔で繰り返す/平日の毎日の中から一つ選択する</t>
    <rPh sb="0" eb="3">
      <t>テイキテキ</t>
    </rPh>
    <rPh sb="15" eb="17">
      <t>ニッスウ</t>
    </rPh>
    <rPh sb="19" eb="21">
      <t>バアイ</t>
    </rPh>
    <rPh sb="24" eb="26">
      <t>シテイ</t>
    </rPh>
    <rPh sb="28" eb="30">
      <t>カンカク</t>
    </rPh>
    <rPh sb="31" eb="32">
      <t>ク</t>
    </rPh>
    <rPh sb="33" eb="34">
      <t>カエ</t>
    </rPh>
    <rPh sb="36" eb="38">
      <t>ヘイジツ</t>
    </rPh>
    <rPh sb="39" eb="41">
      <t>マイニチ</t>
    </rPh>
    <rPh sb="42" eb="43">
      <t>ナカ</t>
    </rPh>
    <rPh sb="45" eb="46">
      <t>ヒト</t>
    </rPh>
    <rPh sb="47" eb="49">
      <t>センタク</t>
    </rPh>
    <phoneticPr fontId="12"/>
  </si>
  <si>
    <t>日数＞間隔</t>
    <rPh sb="0" eb="2">
      <t>ニッスウ</t>
    </rPh>
    <rPh sb="3" eb="5">
      <t>カンカク</t>
    </rPh>
    <phoneticPr fontId="12"/>
  </si>
  <si>
    <t>指定した間隔で繰り返すが選択された場合に入力</t>
    <rPh sb="0" eb="2">
      <t>シテイ</t>
    </rPh>
    <rPh sb="4" eb="6">
      <t>カンカク</t>
    </rPh>
    <rPh sb="7" eb="8">
      <t>ク</t>
    </rPh>
    <rPh sb="9" eb="10">
      <t>カエ</t>
    </rPh>
    <rPh sb="12" eb="14">
      <t>センタク</t>
    </rPh>
    <rPh sb="17" eb="19">
      <t>バアイ</t>
    </rPh>
    <rPh sb="20" eb="22">
      <t>ニュウリョク</t>
    </rPh>
    <phoneticPr fontId="12"/>
  </si>
  <si>
    <t>日数＞平日の毎日</t>
    <rPh sb="0" eb="2">
      <t>ニッスウ</t>
    </rPh>
    <rPh sb="3" eb="5">
      <t>ヘイジツ</t>
    </rPh>
    <rPh sb="6" eb="8">
      <t>マイニチ</t>
    </rPh>
    <phoneticPr fontId="12"/>
  </si>
  <si>
    <t>週＞固定された週1回間隔</t>
    <rPh sb="0" eb="1">
      <t>シュウ</t>
    </rPh>
    <rPh sb="2" eb="4">
      <t>コテイ</t>
    </rPh>
    <rPh sb="7" eb="8">
      <t>シュウ</t>
    </rPh>
    <rPh sb="9" eb="10">
      <t>カイ</t>
    </rPh>
    <rPh sb="10" eb="12">
      <t>カンカク</t>
    </rPh>
    <phoneticPr fontId="12"/>
  </si>
  <si>
    <t>定期的なアイテムのパターンが「週」の場合</t>
    <rPh sb="0" eb="3">
      <t>テイキテキ</t>
    </rPh>
    <rPh sb="15" eb="16">
      <t>シュウ</t>
    </rPh>
    <rPh sb="18" eb="20">
      <t>バアイ</t>
    </rPh>
    <phoneticPr fontId="12"/>
  </si>
  <si>
    <t>週＞曜日</t>
    <rPh sb="0" eb="1">
      <t>シュウ</t>
    </rPh>
    <rPh sb="2" eb="4">
      <t>ヨウビ</t>
    </rPh>
    <phoneticPr fontId="12"/>
  </si>
  <si>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2"/>
  </si>
  <si>
    <t>金曜</t>
    <rPh sb="0" eb="2">
      <t>キンヨウ</t>
    </rPh>
    <phoneticPr fontId="12"/>
  </si>
  <si>
    <t>月＞固定された間隔で特定の日に繰り返す</t>
    <rPh sb="0" eb="1">
      <t>ツキ</t>
    </rPh>
    <rPh sb="2" eb="4">
      <t>コテイ</t>
    </rPh>
    <rPh sb="7" eb="9">
      <t>カンカク</t>
    </rPh>
    <rPh sb="10" eb="12">
      <t>トクテイ</t>
    </rPh>
    <rPh sb="13" eb="14">
      <t>ヒ</t>
    </rPh>
    <rPh sb="15" eb="16">
      <t>ク</t>
    </rPh>
    <rPh sb="17" eb="18">
      <t>カエ</t>
    </rPh>
    <phoneticPr fontId="12"/>
  </si>
  <si>
    <t>定期的なアイテムのパターンが「月」の場合かつ、固定された間隔で特定の日に繰り返す/固定された間隔で特定の曜日に繰り返すから一つ選択する</t>
    <rPh sb="0" eb="3">
      <t>テイキテキ</t>
    </rPh>
    <rPh sb="15" eb="16">
      <t>ツキ</t>
    </rPh>
    <rPh sb="18" eb="20">
      <t>バアイ</t>
    </rPh>
    <rPh sb="23" eb="25">
      <t>コテイ</t>
    </rPh>
    <rPh sb="28" eb="30">
      <t>カンカク</t>
    </rPh>
    <rPh sb="31" eb="33">
      <t>トクテイ</t>
    </rPh>
    <rPh sb="34" eb="35">
      <t>ヒ</t>
    </rPh>
    <rPh sb="36" eb="37">
      <t>ク</t>
    </rPh>
    <rPh sb="38" eb="39">
      <t>カエ</t>
    </rPh>
    <rPh sb="41" eb="43">
      <t>コテイ</t>
    </rPh>
    <rPh sb="46" eb="48">
      <t>カンカク</t>
    </rPh>
    <rPh sb="49" eb="51">
      <t>トクテイ</t>
    </rPh>
    <rPh sb="52" eb="54">
      <t>ヨウビ</t>
    </rPh>
    <rPh sb="55" eb="56">
      <t>ク</t>
    </rPh>
    <rPh sb="57" eb="58">
      <t>カエ</t>
    </rPh>
    <rPh sb="61" eb="62">
      <t>ヒト</t>
    </rPh>
    <rPh sb="63" eb="65">
      <t>センタク</t>
    </rPh>
    <phoneticPr fontId="12"/>
  </si>
  <si>
    <t>月＞日</t>
    <rPh sb="2" eb="3">
      <t>ヒ</t>
    </rPh>
    <phoneticPr fontId="12"/>
  </si>
  <si>
    <t>現在の日付</t>
    <rPh sb="0" eb="1">
      <t>ゲンザイ</t>
    </rPh>
    <rPh sb="3" eb="5">
      <t>ヒヅケ</t>
    </rPh>
    <phoneticPr fontId="12"/>
  </si>
  <si>
    <t>固定された間隔で特定の日に繰り返すが選択された場合に入力</t>
    <rPh sb="0" eb="2">
      <t>コテイ</t>
    </rPh>
    <rPh sb="5" eb="7">
      <t>カンカク</t>
    </rPh>
    <rPh sb="8" eb="10">
      <t>トクテイ</t>
    </rPh>
    <rPh sb="11" eb="12">
      <t>ヒ</t>
    </rPh>
    <rPh sb="13" eb="14">
      <t>ク</t>
    </rPh>
    <rPh sb="15" eb="16">
      <t>カエ</t>
    </rPh>
    <rPh sb="18" eb="20">
      <t>センタク</t>
    </rPh>
    <rPh sb="23" eb="25">
      <t>バアイ</t>
    </rPh>
    <rPh sb="26" eb="28">
      <t>ニュウリョク</t>
    </rPh>
    <phoneticPr fontId="12"/>
  </si>
  <si>
    <t>月＞間隔</t>
    <rPh sb="2" eb="4">
      <t>カンカク</t>
    </rPh>
    <phoneticPr fontId="12"/>
  </si>
  <si>
    <t>月＞固定された間隔で特定の曜日に繰り返す</t>
    <rPh sb="2" eb="4">
      <t>コテイ</t>
    </rPh>
    <rPh sb="7" eb="9">
      <t>カンカク</t>
    </rPh>
    <rPh sb="10" eb="12">
      <t>トクテイ</t>
    </rPh>
    <rPh sb="13" eb="15">
      <t>ヨウビ</t>
    </rPh>
    <rPh sb="16" eb="17">
      <t>ク</t>
    </rPh>
    <rPh sb="18" eb="19">
      <t>カエ</t>
    </rPh>
    <phoneticPr fontId="12"/>
  </si>
  <si>
    <t>月＞週</t>
    <rPh sb="2" eb="3">
      <t>シュウ</t>
    </rPh>
    <phoneticPr fontId="12"/>
  </si>
  <si>
    <t>最初
2番目
3番目
4番目
最後</t>
    <rPh sb="0" eb="2">
      <t>サイショ</t>
    </rPh>
    <rPh sb="4" eb="6">
      <t>バンメ</t>
    </rPh>
    <rPh sb="8" eb="10">
      <t>バンメ</t>
    </rPh>
    <rPh sb="12" eb="14">
      <t>バンメ</t>
    </rPh>
    <rPh sb="15" eb="17">
      <t>サイゴ</t>
    </rPh>
    <phoneticPr fontId="12"/>
  </si>
  <si>
    <t>現在の週</t>
    <rPh sb="0" eb="1">
      <t>ゲンザイ</t>
    </rPh>
    <rPh sb="2" eb="3">
      <t>シュウ</t>
    </rPh>
    <phoneticPr fontId="12"/>
  </si>
  <si>
    <t>固定された間隔で特定の曜日に繰り返すが選択された場合に入力</t>
    <rPh sb="0" eb="2">
      <t>コテイ</t>
    </rPh>
    <rPh sb="5" eb="7">
      <t>カンカク</t>
    </rPh>
    <rPh sb="8" eb="10">
      <t>トクテイ</t>
    </rPh>
    <rPh sb="11" eb="13">
      <t>ヨウビ</t>
    </rPh>
    <rPh sb="14" eb="15">
      <t>ク</t>
    </rPh>
    <rPh sb="16" eb="17">
      <t>カエ</t>
    </rPh>
    <rPh sb="19" eb="21">
      <t>センタク</t>
    </rPh>
    <rPh sb="24" eb="26">
      <t>バアイ</t>
    </rPh>
    <rPh sb="27" eb="29">
      <t>ニュウリョク</t>
    </rPh>
    <phoneticPr fontId="12"/>
  </si>
  <si>
    <t>月＞曜日</t>
    <rPh sb="2" eb="4">
      <t>ヨウビ</t>
    </rPh>
    <phoneticPr fontId="12"/>
  </si>
  <si>
    <t>現在の曜日</t>
    <rPh sb="0" eb="1">
      <t>ゲンザイ</t>
    </rPh>
    <rPh sb="2" eb="4">
      <t>ヨウビ</t>
    </rPh>
    <phoneticPr fontId="12"/>
  </si>
  <si>
    <t>年＞年1回繰り返す</t>
    <rPh sb="0" eb="1">
      <t>ネン</t>
    </rPh>
    <rPh sb="2" eb="3">
      <t>ネン</t>
    </rPh>
    <rPh sb="4" eb="5">
      <t>カイ</t>
    </rPh>
    <rPh sb="5" eb="6">
      <t>ク</t>
    </rPh>
    <rPh sb="7" eb="8">
      <t>カエ</t>
    </rPh>
    <phoneticPr fontId="12"/>
  </si>
  <si>
    <t>定期的なアイテムのパターンが「年」の場合かつ、年1回繰り返す/年1回特定の曜日に繰り返すから一つ選択する</t>
    <rPh sb="0" eb="3">
      <t>テイキテキ</t>
    </rPh>
    <rPh sb="15" eb="16">
      <t>ネン</t>
    </rPh>
    <rPh sb="18" eb="20">
      <t>バアイ</t>
    </rPh>
    <rPh sb="46" eb="47">
      <t>ヒト</t>
    </rPh>
    <rPh sb="48" eb="50">
      <t>センタク</t>
    </rPh>
    <phoneticPr fontId="12"/>
  </si>
  <si>
    <t>年＞年1回特定の曜日に繰り返す</t>
    <rPh sb="0" eb="1">
      <t>ネン</t>
    </rPh>
    <rPh sb="2" eb="3">
      <t>ネン</t>
    </rPh>
    <rPh sb="4" eb="5">
      <t>カイ</t>
    </rPh>
    <rPh sb="5" eb="7">
      <t>トクテイ</t>
    </rPh>
    <rPh sb="8" eb="10">
      <t>ヨウビ</t>
    </rPh>
    <rPh sb="11" eb="12">
      <t>ク</t>
    </rPh>
    <rPh sb="13" eb="14">
      <t>カエ</t>
    </rPh>
    <phoneticPr fontId="12"/>
  </si>
  <si>
    <t>年＞週</t>
    <rPh sb="0" eb="1">
      <t>ネン</t>
    </rPh>
    <rPh sb="2" eb="3">
      <t>シュウ</t>
    </rPh>
    <phoneticPr fontId="12"/>
  </si>
  <si>
    <t>年1回特定の曜日に繰り返すが選択された場合に入力</t>
    <rPh sb="0" eb="1">
      <t>ネン</t>
    </rPh>
    <rPh sb="2" eb="3">
      <t>カイ</t>
    </rPh>
    <rPh sb="3" eb="5">
      <t>トクテイ</t>
    </rPh>
    <rPh sb="6" eb="8">
      <t>ヨウビ</t>
    </rPh>
    <rPh sb="9" eb="10">
      <t>ク</t>
    </rPh>
    <rPh sb="11" eb="12">
      <t>カエ</t>
    </rPh>
    <rPh sb="14" eb="16">
      <t>センタク</t>
    </rPh>
    <rPh sb="19" eb="21">
      <t>バアイ</t>
    </rPh>
    <rPh sb="22" eb="24">
      <t>ニュウリョク</t>
    </rPh>
    <phoneticPr fontId="12"/>
  </si>
  <si>
    <t>年＞曜日</t>
    <rPh sb="0" eb="1">
      <t>ネン</t>
    </rPh>
    <rPh sb="2" eb="4">
      <t>ヨウビ</t>
    </rPh>
    <phoneticPr fontId="12"/>
  </si>
  <si>
    <t>年＞月</t>
    <rPh sb="0" eb="1">
      <t>ネン</t>
    </rPh>
    <rPh sb="2" eb="3">
      <t>ツキ</t>
    </rPh>
    <phoneticPr fontId="12"/>
  </si>
  <si>
    <t>1月
2月
3月
4月
5月
6月
7月
8月
9月
10月
11月
12月</t>
    <phoneticPr fontId="12"/>
  </si>
  <si>
    <t>現在の月</t>
    <rPh sb="0" eb="1">
      <t>ゲンザイ</t>
    </rPh>
    <rPh sb="2" eb="3">
      <t>ツキ</t>
    </rPh>
    <phoneticPr fontId="12"/>
  </si>
  <si>
    <t>警告</t>
    <rPh sb="0" eb="2">
      <t>ケイコク</t>
    </rPh>
    <phoneticPr fontId="12"/>
  </si>
  <si>
    <t>バッチジョブ警告</t>
    <rPh sb="6" eb="8">
      <t>ケイコク</t>
    </rPh>
    <phoneticPr fontId="12"/>
  </si>
  <si>
    <t>終了</t>
    <rPh sb="0" eb="2">
      <t>シュウリョウ</t>
    </rPh>
    <phoneticPr fontId="12"/>
  </si>
  <si>
    <t>エラー</t>
    <phoneticPr fontId="12"/>
  </si>
  <si>
    <t>キャンセル済</t>
    <rPh sb="5" eb="6">
      <t>ズ</t>
    </rPh>
    <phoneticPr fontId="12"/>
  </si>
  <si>
    <t>その他の警告</t>
    <rPh sb="2" eb="3">
      <t>ホカ</t>
    </rPh>
    <rPh sb="4" eb="6">
      <t>ケイコク</t>
    </rPh>
    <phoneticPr fontId="12"/>
  </si>
  <si>
    <t>ポップアップの表示</t>
    <rPh sb="7" eb="9">
      <t>ヒョウジ</t>
    </rPh>
    <phoneticPr fontId="12"/>
  </si>
  <si>
    <t>バックグラウンドで実行</t>
    <phoneticPr fontId="12"/>
  </si>
  <si>
    <t>定期的なアイテムの定義</t>
    <phoneticPr fontId="12"/>
  </si>
  <si>
    <t>既定</t>
    <phoneticPr fontId="12"/>
  </si>
  <si>
    <t>その他の警告</t>
    <phoneticPr fontId="12"/>
  </si>
  <si>
    <t>プライベート</t>
  </si>
  <si>
    <t>タイムゾーン</t>
  </si>
  <si>
    <t>エラー</t>
  </si>
  <si>
    <t>はい/いいえ</t>
  </si>
  <si>
    <t>(GMT+09:00) Osaka, Sapporo, Tokyo</t>
    <phoneticPr fontId="12"/>
  </si>
  <si>
    <t>分</t>
    <rPh sb="0" eb="1">
      <t>フンジカンニッスウシュウ</t>
    </rPh>
    <phoneticPr fontId="12"/>
  </si>
  <si>
    <t>システム管理＞設定＞Azure Active Directory アプリケーション</t>
  </si>
  <si>
    <t>System administration &gt; Setup &gt; Azure Active Directory Application</t>
  </si>
  <si>
    <t>クライアントID</t>
    <phoneticPr fontId="12"/>
  </si>
  <si>
    <t>クライアントID</t>
  </si>
  <si>
    <t>Admin</t>
    <phoneticPr fontId="12"/>
  </si>
  <si>
    <t>システム管理＞ワークスペース＞機能管理</t>
  </si>
  <si>
    <t>System administration &gt; Workspaces &gt; Feature management</t>
  </si>
  <si>
    <t>※手動で有効化するもののみ記載</t>
    <phoneticPr fontId="12"/>
  </si>
  <si>
    <t>機能名</t>
    <rPh sb="0" eb="2">
      <t>キノウ</t>
    </rPh>
    <rPh sb="2" eb="3">
      <t>メイ</t>
    </rPh>
    <phoneticPr fontId="12"/>
  </si>
  <si>
    <t>Description（標準）</t>
  </si>
  <si>
    <t>日付を有効にする</t>
    <rPh sb="0" eb="2">
      <t>ヒヅケ</t>
    </rPh>
    <rPh sb="3" eb="5">
      <t>ユウコウ</t>
    </rPh>
    <phoneticPr fontId="15"/>
  </si>
  <si>
    <t>システム管理 ＞ ワークフロー ＞ ワークフローインフラストラクチャコンフィギュレーション</t>
  </si>
  <si>
    <t>System administration &gt; Workflow &gt; Workflow infrastructure configuration</t>
  </si>
  <si>
    <t>実行アカウント</t>
    <rPh sb="0" eb="2">
      <t>ジッコウ</t>
    </rPh>
    <phoneticPr fontId="12"/>
  </si>
  <si>
    <t>ワークフロー実行アカウントとして動作する既存のユーザーを選択します。</t>
    <phoneticPr fontId="12"/>
  </si>
  <si>
    <t>ワークフローメッセージバッチジョブ</t>
    <phoneticPr fontId="12"/>
  </si>
  <si>
    <t>バッチ ジョブのバッチ グループを選択します (バッチ グループは必須ではありませんが、特定のアプリケーション オブジェクト サーバーでワークフロー処理バッチ ジョブを実行するために使用できます)。</t>
    <phoneticPr fontId="12"/>
  </si>
  <si>
    <t>システム入力</t>
    <rPh sb="4" eb="6">
      <t>ニュウリョク</t>
    </rPh>
    <phoneticPr fontId="12"/>
  </si>
  <si>
    <t>ワークフロー期日処理バッチジョブ</t>
    <rPh sb="6" eb="8">
      <t>キジツ</t>
    </rPh>
    <rPh sb="8" eb="10">
      <t>ショリ</t>
    </rPh>
    <phoneticPr fontId="12"/>
  </si>
  <si>
    <t>バッチ ジョブのバッチ グループとスケジュールを選択します (バッチ グループは必須ではありませんが、特定のアプリケーション オブジェクト サーバーでワークフロー期日バッチ ジョブを実行する目的に使用できます)。</t>
    <phoneticPr fontId="12"/>
  </si>
  <si>
    <t>指定した時間数単位でジョブの繰り返し</t>
    <rPh sb="0" eb="2">
      <t>シテイ</t>
    </rPh>
    <rPh sb="4" eb="7">
      <t>ジカンスウ</t>
    </rPh>
    <rPh sb="7" eb="9">
      <t>タンイ</t>
    </rPh>
    <rPh sb="14" eb="15">
      <t>ク</t>
    </rPh>
    <rPh sb="16" eb="17">
      <t>カエ</t>
    </rPh>
    <phoneticPr fontId="12"/>
  </si>
  <si>
    <t>行項目ワークフロー通知バッチジョブ</t>
    <rPh sb="0" eb="1">
      <t>ギョウ</t>
    </rPh>
    <rPh sb="1" eb="3">
      <t>コウモク</t>
    </rPh>
    <rPh sb="9" eb="11">
      <t>ツウチ</t>
    </rPh>
    <phoneticPr fontId="12"/>
  </si>
  <si>
    <t>バッチ ジョブのバッチ グループとスケジュールを選択します (バッチ グループは必須ではありませんが、特定のアプリケーション オブジェクト サーバーでワークフロー通知バッチ ジョブを実行する目的に使用できます)。</t>
    <phoneticPr fontId="12"/>
  </si>
  <si>
    <t>指定した分単位でジョブの繰り返し</t>
    <rPh sb="0" eb="2">
      <t>シテイ</t>
    </rPh>
    <rPh sb="4" eb="5">
      <t>フン</t>
    </rPh>
    <rPh sb="5" eb="7">
      <t>タンイ</t>
    </rPh>
    <rPh sb="12" eb="13">
      <t>ク</t>
    </rPh>
    <rPh sb="14" eb="15">
      <t>カエ</t>
    </rPh>
    <phoneticPr fontId="12"/>
  </si>
  <si>
    <t>システム管理 ＞ 設定 ＞ B2B 招待状のコンフィギュレーション</t>
  </si>
  <si>
    <t>System administration &gt; Setup &gt; B2B Invitation Configuration</t>
    <phoneticPr fontId="12"/>
  </si>
  <si>
    <t>B2B 招待状のコンフィギュレーション</t>
  </si>
  <si>
    <t>テナントID</t>
    <phoneticPr fontId="12"/>
  </si>
  <si>
    <t>環境に応じた値が自動で反映される</t>
    <rPh sb="0" eb="2">
      <t>カンキョウ</t>
    </rPh>
    <rPh sb="3" eb="4">
      <t>オウ</t>
    </rPh>
    <rPh sb="6" eb="7">
      <t>アタイ</t>
    </rPh>
    <rPh sb="8" eb="10">
      <t>ジドウ</t>
    </rPh>
    <rPh sb="11" eb="13">
      <t>ハンエイ</t>
    </rPh>
    <phoneticPr fontId="12"/>
  </si>
  <si>
    <t>アプリケーションキー</t>
    <phoneticPr fontId="12"/>
  </si>
  <si>
    <t>招待状のリダイレクトURL</t>
    <rPh sb="0" eb="3">
      <t>ショウタイジョウ</t>
    </rPh>
    <phoneticPr fontId="12"/>
  </si>
  <si>
    <t>URL</t>
    <phoneticPr fontId="12"/>
  </si>
  <si>
    <t>招待状のエンドポイント</t>
    <rPh sb="0" eb="3">
      <t>ショウタイジョウ</t>
    </rPh>
    <phoneticPr fontId="12"/>
  </si>
  <si>
    <t>Ests ログインエンドポイント</t>
    <phoneticPr fontId="12"/>
  </si>
  <si>
    <t>グラフリソース</t>
    <phoneticPr fontId="12"/>
  </si>
  <si>
    <t>システム管理 ＞ セキュリティ ＞ 外部ロール</t>
  </si>
  <si>
    <t>System administration &gt; Security &gt; External roles</t>
  </si>
  <si>
    <t>セキュリティロール</t>
    <phoneticPr fontId="12"/>
  </si>
  <si>
    <t>データベースのレコードの固有 ID</t>
    <phoneticPr fontId="12"/>
  </si>
  <si>
    <t>セキュリティ ロールの説明です。</t>
    <phoneticPr fontId="12"/>
  </si>
  <si>
    <t>関係者ロール</t>
    <rPh sb="0" eb="3">
      <t>カンケイシャ</t>
    </rPh>
    <phoneticPr fontId="12"/>
  </si>
  <si>
    <t>・顧客
・仕入先
・見込顧客
・見込み仕入先
・作業者</t>
    <rPh sb="1" eb="3">
      <t>コキャク</t>
    </rPh>
    <rPh sb="5" eb="7">
      <t>シイレ</t>
    </rPh>
    <rPh sb="7" eb="8">
      <t>サキ</t>
    </rPh>
    <rPh sb="10" eb="12">
      <t>ミコ</t>
    </rPh>
    <rPh sb="12" eb="14">
      <t>コキャク</t>
    </rPh>
    <rPh sb="16" eb="18">
      <t>ミコ</t>
    </rPh>
    <rPh sb="19" eb="21">
      <t>シイレ</t>
    </rPh>
    <rPh sb="21" eb="22">
      <t>サキ</t>
    </rPh>
    <rPh sb="24" eb="27">
      <t>サギョウシャ</t>
    </rPh>
    <phoneticPr fontId="12"/>
  </si>
  <si>
    <t>顧客</t>
    <rPh sb="0" eb="2">
      <t>コキャク</t>
    </rPh>
    <phoneticPr fontId="12"/>
  </si>
  <si>
    <t>ワークフロー期日処理バッチジョブ</t>
    <phoneticPr fontId="12"/>
  </si>
  <si>
    <t>関係者ロール</t>
  </si>
  <si>
    <t>顧客/仕入先/見込顧客/見込み仕入先/作業者</t>
    <phoneticPr fontId="12"/>
  </si>
  <si>
    <t>システム管理 ＞ ワークフロー ＞ ユーザーワークフロー</t>
  </si>
  <si>
    <t>System administration &gt; Workflow &gt; User workflows</t>
  </si>
  <si>
    <t>関連</t>
    <rPh sb="0" eb="2">
      <t>カンレン</t>
    </rPh>
    <phoneticPr fontId="12"/>
  </si>
  <si>
    <t>タイプ</t>
    <phoneticPr fontId="12"/>
  </si>
  <si>
    <t>AOT のワークフロー タイプの名前です。</t>
    <phoneticPr fontId="12"/>
  </si>
  <si>
    <t>インスタンス</t>
    <phoneticPr fontId="12"/>
  </si>
  <si>
    <t>有効なバージョン</t>
    <rPh sb="0" eb="2">
      <t>ユウコウ</t>
    </rPh>
    <phoneticPr fontId="12"/>
  </si>
  <si>
    <t>タイプ</t>
  </si>
  <si>
    <t>インスタンス</t>
  </si>
  <si>
    <t>すべて</t>
    <phoneticPr fontId="12"/>
  </si>
  <si>
    <t>ステータス</t>
    <phoneticPr fontId="12"/>
  </si>
  <si>
    <t>常時</t>
    <rPh sb="0" eb="2">
      <t>ジョウジ</t>
    </rPh>
    <phoneticPr fontId="12"/>
  </si>
  <si>
    <t>システム管理＞照会＞バッチジョブ</t>
    <rPh sb="7" eb="9">
      <t>ショウカイ</t>
    </rPh>
    <phoneticPr fontId="12"/>
  </si>
  <si>
    <t>System administration &gt;Inquiries&gt; Batch jobs</t>
    <phoneticPr fontId="12"/>
  </si>
  <si>
    <t>※設定後は以下のパスからバッチジョブ画面より設定した値を参照する。</t>
    <phoneticPr fontId="12"/>
  </si>
  <si>
    <t>自動採番</t>
    <rPh sb="0" eb="4">
      <t>ジドウサイバン</t>
    </rPh>
    <phoneticPr fontId="12"/>
  </si>
  <si>
    <t>電子メールパラメーター</t>
  </si>
  <si>
    <t>「電子メールパラメーター-設定値」を参照</t>
    <rPh sb="18" eb="20">
      <t>サンショウ</t>
    </rPh>
    <phoneticPr fontId="12"/>
  </si>
  <si>
    <t>電子メールパラメーター-設定値</t>
    <rPh sb="0" eb="2">
      <t>デンシ</t>
    </rPh>
    <rPh sb="12" eb="15">
      <t>セッテイチ</t>
    </rPh>
    <phoneticPr fontId="12"/>
  </si>
  <si>
    <t>システムの電子メールテンプレート</t>
  </si>
  <si>
    <t>「システム電子メールのテンプレート-設定値」を参照</t>
  </si>
  <si>
    <t>システムの電子メールテンプレート-設定値</t>
    <rPh sb="17" eb="19">
      <t>セッテイ</t>
    </rPh>
    <rPh sb="19" eb="20">
      <t>アタイ</t>
    </rPh>
    <phoneticPr fontId="12"/>
  </si>
  <si>
    <t>電子メールディストリビュータバッチ</t>
  </si>
  <si>
    <t>「電子メールディストリビュータバッチ-設定値」を参照</t>
  </si>
  <si>
    <t>電子メールディストリビュータバッチ-設定値</t>
    <rPh sb="0" eb="2">
      <t>デンシ</t>
    </rPh>
    <rPh sb="18" eb="21">
      <t>セッテイチ</t>
    </rPh>
    <phoneticPr fontId="12"/>
  </si>
  <si>
    <t>Azure Active Directoryアプリケーション</t>
  </si>
  <si>
    <t>「Azure Active Directoryアプリケーション-設定値」を参照</t>
  </si>
  <si>
    <t>Azure Active Directoryアプリケーション-設定値</t>
    <rPh sb="31" eb="34">
      <t>セッテイチ</t>
    </rPh>
    <phoneticPr fontId="12"/>
  </si>
  <si>
    <t>機能管理</t>
  </si>
  <si>
    <t>ワークフロー インフラストラクチャ コンフィギュレーション</t>
  </si>
  <si>
    <t>外部ロール</t>
  </si>
  <si>
    <t>「外部ロール-設定値」を参照</t>
  </si>
  <si>
    <t xml:space="preserve">外部ロール-設定値 </t>
  </si>
  <si>
    <t>ユーザーワークフロー</t>
  </si>
  <si>
    <t>「ユーザーワークフロー-設定値」を参照</t>
  </si>
  <si>
    <t>※設定した日から開始とする</t>
    <rPh sb="1" eb="3">
      <t>セッテイ</t>
    </rPh>
    <rPh sb="5" eb="6">
      <t>ヒ</t>
    </rPh>
    <rPh sb="8" eb="10">
      <t>カイシ</t>
    </rPh>
    <phoneticPr fontId="12"/>
  </si>
  <si>
    <t>※ワークフローの詳細設定は実機を確認</t>
    <rPh sb="8" eb="10">
      <t>ショウサイ</t>
    </rPh>
    <rPh sb="10" eb="12">
      <t>セッテイ</t>
    </rPh>
    <rPh sb="13" eb="15">
      <t>ジッキ</t>
    </rPh>
    <rPh sb="16" eb="18">
      <t>カクニン</t>
    </rPh>
    <phoneticPr fontId="12"/>
  </si>
  <si>
    <t>文字列（自動）</t>
    <rPh sb="0" eb="3">
      <t>モジレツ</t>
    </rPh>
    <rPh sb="4" eb="6">
      <t>ジドウ</t>
    </rPh>
    <phoneticPr fontId="12"/>
  </si>
  <si>
    <t>機能の追加日</t>
    <rPh sb="0" eb="2">
      <t>キノウ</t>
    </rPh>
    <rPh sb="3" eb="5">
      <t>ツイカ</t>
    </rPh>
    <rPh sb="5" eb="6">
      <t>ヒ</t>
    </rPh>
    <phoneticPr fontId="12"/>
  </si>
  <si>
    <t>機能状態</t>
    <rPh sb="0" eb="2">
      <t>キノウ</t>
    </rPh>
    <rPh sb="2" eb="4">
      <t>ジョウタイ</t>
    </rPh>
    <phoneticPr fontId="15"/>
  </si>
  <si>
    <t>状態</t>
    <rPh sb="0" eb="2">
      <t>ジョウタイ</t>
    </rPh>
    <phoneticPr fontId="12"/>
  </si>
  <si>
    <t>モジュール</t>
    <phoneticPr fontId="15"/>
  </si>
  <si>
    <t>バッチジョブ</t>
    <phoneticPr fontId="12"/>
  </si>
  <si>
    <t>システム管理 ＞ 照会＞ バッチジョブ
System administration &gt; Inquiries &gt; Batch Jobs</t>
    <rPh sb="4" eb="6">
      <t>カンリ</t>
    </rPh>
    <rPh sb="9" eb="11">
      <t>ショウカイ</t>
    </rPh>
    <phoneticPr fontId="12"/>
  </si>
  <si>
    <t>ユーザーワークフロー-設定値</t>
    <rPh sb="11" eb="14">
      <t>セッテイチ</t>
    </rPh>
    <phoneticPr fontId="12"/>
  </si>
  <si>
    <t>システム管理 ＞ 照会＞ バッチジョブ</t>
    <phoneticPr fontId="12"/>
  </si>
  <si>
    <t>System administration &gt; Inquiries &gt; Batch Jobs</t>
    <phoneticPr fontId="12"/>
  </si>
  <si>
    <t>ジョブの説明</t>
    <rPh sb="4" eb="6">
      <t>セツメイ</t>
    </rPh>
    <phoneticPr fontId="12"/>
  </si>
  <si>
    <t>ステータス</t>
  </si>
  <si>
    <t>実際の開始日時</t>
    <rPh sb="0" eb="2">
      <t>ジッサイ</t>
    </rPh>
    <rPh sb="3" eb="5">
      <t>カイシ</t>
    </rPh>
    <rPh sb="5" eb="7">
      <t>ニチジ</t>
    </rPh>
    <phoneticPr fontId="12"/>
  </si>
  <si>
    <t>終了日時</t>
    <rPh sb="0" eb="2">
      <t>シュウリョウ</t>
    </rPh>
    <rPh sb="2" eb="4">
      <t>ニチジ</t>
    </rPh>
    <phoneticPr fontId="12"/>
  </si>
  <si>
    <t>開始予定日時</t>
    <rPh sb="0" eb="2">
      <t>カイシ</t>
    </rPh>
    <rPh sb="2" eb="4">
      <t>ヨテイ</t>
    </rPh>
    <rPh sb="4" eb="6">
      <t>ニチジ</t>
    </rPh>
    <phoneticPr fontId="12"/>
  </si>
  <si>
    <t>作成者</t>
    <rPh sb="0" eb="3">
      <t>サクセイシャ</t>
    </rPh>
    <phoneticPr fontId="12"/>
  </si>
  <si>
    <t>管理</t>
    <rPh sb="0" eb="2">
      <t>カンリ</t>
    </rPh>
    <phoneticPr fontId="12"/>
  </si>
  <si>
    <t>実行者</t>
    <rPh sb="0" eb="2">
      <t>ジッコウ</t>
    </rPh>
    <rPh sb="2" eb="3">
      <t>シャ</t>
    </rPh>
    <phoneticPr fontId="12"/>
  </si>
  <si>
    <t>会社コード</t>
    <rPh sb="0" eb="2">
      <t>カイシャ</t>
    </rPh>
    <phoneticPr fontId="12"/>
  </si>
  <si>
    <t>警告があります</t>
    <rPh sb="0" eb="2">
      <t>ケイコク</t>
    </rPh>
    <phoneticPr fontId="12"/>
  </si>
  <si>
    <t>進捗状況</t>
    <rPh sb="0" eb="2">
      <t>シンチョク</t>
    </rPh>
    <rPh sb="2" eb="4">
      <t>ジョウキョウ</t>
    </rPh>
    <phoneticPr fontId="12"/>
  </si>
  <si>
    <t>ジョブを履歴に保存</t>
    <rPh sb="4" eb="6">
      <t>リレキ</t>
    </rPh>
    <rPh sb="7" eb="9">
      <t>ホゾン</t>
    </rPh>
    <phoneticPr fontId="12"/>
  </si>
  <si>
    <t>その他</t>
    <rPh sb="2" eb="3">
      <t>ホカ</t>
    </rPh>
    <phoneticPr fontId="12"/>
  </si>
  <si>
    <t>有効期間</t>
    <rPh sb="0" eb="2">
      <t>ユウコウ</t>
    </rPh>
    <rPh sb="2" eb="4">
      <t>キカン</t>
    </rPh>
    <phoneticPr fontId="12"/>
  </si>
  <si>
    <t>反復回数</t>
    <rPh sb="0" eb="2">
      <t>ハンプク</t>
    </rPh>
    <rPh sb="2" eb="4">
      <t>カイスウ</t>
    </rPh>
    <phoneticPr fontId="12"/>
  </si>
  <si>
    <t>反復テキスト</t>
    <rPh sb="0" eb="2">
      <t>ハンプク</t>
    </rPh>
    <phoneticPr fontId="12"/>
  </si>
  <si>
    <t>バッチタスク</t>
    <phoneticPr fontId="12"/>
  </si>
  <si>
    <t>タスクID</t>
  </si>
  <si>
    <t>タスクID</t>
    <phoneticPr fontId="12"/>
  </si>
  <si>
    <t>クラス名</t>
    <rPh sb="3" eb="4">
      <t>メイ</t>
    </rPh>
    <phoneticPr fontId="12"/>
  </si>
  <si>
    <t>クラスの説明</t>
    <rPh sb="4" eb="6">
      <t>セツメイ</t>
    </rPh>
    <phoneticPr fontId="12"/>
  </si>
  <si>
    <t>条件付き</t>
    <rPh sb="0" eb="3">
      <t>ジョウケンツ</t>
    </rPh>
    <phoneticPr fontId="12"/>
  </si>
  <si>
    <t>開始日時</t>
    <rPh sb="0" eb="2">
      <t>カイシ</t>
    </rPh>
    <rPh sb="2" eb="4">
      <t>ニチジ</t>
    </rPh>
    <phoneticPr fontId="12"/>
  </si>
  <si>
    <t>保留</t>
    <rPh sb="0" eb="2">
      <t>ホリュウ</t>
    </rPh>
    <phoneticPr fontId="12"/>
  </si>
  <si>
    <t>バッチタスクの詳細</t>
    <rPh sb="7" eb="9">
      <t>ショウサイ</t>
    </rPh>
    <phoneticPr fontId="12"/>
  </si>
  <si>
    <t>制約</t>
    <rPh sb="0" eb="2">
      <t>セイヤク</t>
    </rPh>
    <phoneticPr fontId="12"/>
  </si>
  <si>
    <t>条件タイプ</t>
    <rPh sb="0" eb="2">
      <t>ジョウケン</t>
    </rPh>
    <phoneticPr fontId="12"/>
  </si>
  <si>
    <t>必要なステータス</t>
    <rPh sb="0" eb="2">
      <t>ヒツヨウ</t>
    </rPh>
    <phoneticPr fontId="12"/>
  </si>
  <si>
    <t>実際のステータス</t>
    <rPh sb="0" eb="2">
      <t>ジッサイ</t>
    </rPh>
    <phoneticPr fontId="12"/>
  </si>
  <si>
    <t>一般＞ID</t>
    <rPh sb="0" eb="2">
      <t>イッパン</t>
    </rPh>
    <phoneticPr fontId="12"/>
  </si>
  <si>
    <t>トランザクションの自動開始</t>
    <rPh sb="9" eb="11">
      <t>ジドウ</t>
    </rPh>
    <rPh sb="11" eb="13">
      <t>カイシ</t>
    </rPh>
    <phoneticPr fontId="12"/>
  </si>
  <si>
    <t>ランタイムのタスク</t>
  </si>
  <si>
    <t>ランタイムのタスク</t>
    <phoneticPr fontId="12"/>
  </si>
  <si>
    <t>タスクエラーを無視</t>
    <rPh sb="7" eb="9">
      <t>ムシ</t>
    </rPh>
    <phoneticPr fontId="12"/>
  </si>
  <si>
    <t>実際の再試行</t>
    <rPh sb="0" eb="2">
      <t>ジッサイ</t>
    </rPh>
    <rPh sb="3" eb="6">
      <t>サイシコウ</t>
    </rPh>
    <phoneticPr fontId="12"/>
  </si>
  <si>
    <t>一般＞日付</t>
    <rPh sb="0" eb="2">
      <t>イッパン</t>
    </rPh>
    <rPh sb="3" eb="5">
      <t>ヒヅケ</t>
    </rPh>
    <phoneticPr fontId="12"/>
  </si>
  <si>
    <t>一般＞管理</t>
    <rPh sb="0" eb="2">
      <t>イッパン</t>
    </rPh>
    <rPh sb="3" eb="5">
      <t>カンリ</t>
    </rPh>
    <phoneticPr fontId="12"/>
  </si>
  <si>
    <t>最大再試行回数</t>
    <rPh sb="0" eb="2">
      <t>サイダイ</t>
    </rPh>
    <rPh sb="2" eb="5">
      <t>サイシコウ</t>
    </rPh>
    <rPh sb="5" eb="7">
      <t>カイスウ</t>
    </rPh>
    <phoneticPr fontId="12"/>
  </si>
  <si>
    <t>一般＞仕訳帳</t>
    <rPh sb="0" eb="2">
      <t>イッパン</t>
    </rPh>
    <rPh sb="3" eb="5">
      <t>シワケ</t>
    </rPh>
    <rPh sb="5" eb="6">
      <t>チョウ</t>
    </rPh>
    <phoneticPr fontId="12"/>
  </si>
  <si>
    <t>一般＞注文済</t>
    <rPh sb="0" eb="2">
      <t>イッパン</t>
    </rPh>
    <rPh sb="3" eb="5">
      <t>チュウモン</t>
    </rPh>
    <rPh sb="5" eb="6">
      <t>ズ</t>
    </rPh>
    <phoneticPr fontId="12"/>
  </si>
  <si>
    <t>作成日時</t>
    <rPh sb="0" eb="2">
      <t>サクセイ</t>
    </rPh>
    <rPh sb="2" eb="4">
      <t>ニチジ</t>
    </rPh>
    <phoneticPr fontId="12"/>
  </si>
  <si>
    <t>一般＞前回の実行</t>
    <phoneticPr fontId="12"/>
  </si>
  <si>
    <t>例外タイプ</t>
    <rPh sb="0" eb="2">
      <t>レイガイ</t>
    </rPh>
    <phoneticPr fontId="12"/>
  </si>
  <si>
    <t>ヘッダー</t>
    <phoneticPr fontId="12"/>
  </si>
  <si>
    <t>明細行</t>
    <rPh sb="0" eb="2">
      <t>メイサイ</t>
    </rPh>
    <rPh sb="2" eb="3">
      <t>ギョウ</t>
    </rPh>
    <phoneticPr fontId="12"/>
  </si>
  <si>
    <t>選択可能な会社のID</t>
    <rPh sb="0" eb="2">
      <t>センタク</t>
    </rPh>
    <rPh sb="2" eb="4">
      <t>カノウ</t>
    </rPh>
    <rPh sb="5" eb="7">
      <t>カイシャ</t>
    </rPh>
    <phoneticPr fontId="12"/>
  </si>
  <si>
    <t>保留/キャンセル/待機中</t>
    <rPh sb="0" eb="2">
      <t>ホリュウ</t>
    </rPh>
    <rPh sb="9" eb="12">
      <t>タイキチュウ</t>
    </rPh>
    <phoneticPr fontId="12"/>
  </si>
  <si>
    <t>作成者のユーザーID</t>
    <rPh sb="0" eb="3">
      <t>サクセイシャ</t>
    </rPh>
    <phoneticPr fontId="12"/>
  </si>
  <si>
    <t>統合/ワークフロー/店舗注文同期処理ジョブ/品揃え詳細ジョブ/トランザクション販売トランザクションマークマルチジョブ/明細書設計マルチジョブ/同期注文スケジューラータスク/内部組織更新チャネルジョブ/販売フォームレター請求書タスク/小売キットコンフィギュレーション承認ジョブ/会社ジョブごとの小売キット価格</t>
    <rPh sb="0" eb="2">
      <t>トウゴウ</t>
    </rPh>
    <rPh sb="10" eb="12">
      <t>テンポ</t>
    </rPh>
    <rPh sb="12" eb="14">
      <t>チュウモン</t>
    </rPh>
    <rPh sb="14" eb="16">
      <t>ドウキ</t>
    </rPh>
    <rPh sb="16" eb="18">
      <t>ショリ</t>
    </rPh>
    <rPh sb="22" eb="24">
      <t>シナゾロ</t>
    </rPh>
    <rPh sb="25" eb="27">
      <t>ショウサイ</t>
    </rPh>
    <rPh sb="39" eb="41">
      <t>ハンバイ</t>
    </rPh>
    <rPh sb="59" eb="61">
      <t>メイサイ</t>
    </rPh>
    <rPh sb="61" eb="62">
      <t>ショ</t>
    </rPh>
    <rPh sb="62" eb="64">
      <t>セッケイ</t>
    </rPh>
    <rPh sb="71" eb="73">
      <t>ドウキ</t>
    </rPh>
    <rPh sb="73" eb="75">
      <t>チュウモン</t>
    </rPh>
    <rPh sb="86" eb="88">
      <t>ナイブ</t>
    </rPh>
    <rPh sb="88" eb="90">
      <t>ソシキ</t>
    </rPh>
    <rPh sb="90" eb="92">
      <t>コウシン</t>
    </rPh>
    <rPh sb="100" eb="102">
      <t>ハンバイ</t>
    </rPh>
    <rPh sb="109" eb="112">
      <t>セイキュウショ</t>
    </rPh>
    <rPh sb="116" eb="118">
      <t>コウ</t>
    </rPh>
    <rPh sb="132" eb="134">
      <t>ショウニン</t>
    </rPh>
    <rPh sb="138" eb="140">
      <t>カイシャ</t>
    </rPh>
    <rPh sb="146" eb="148">
      <t>コウ</t>
    </rPh>
    <rPh sb="151" eb="153">
      <t>カカク</t>
    </rPh>
    <phoneticPr fontId="12"/>
  </si>
  <si>
    <t>0.00</t>
    <phoneticPr fontId="12"/>
  </si>
  <si>
    <t>常時/エラーのみ/なし</t>
    <rPh sb="0" eb="2">
      <t>ジョウジ</t>
    </rPh>
    <phoneticPr fontId="12"/>
  </si>
  <si>
    <t>ユーザ登録値</t>
    <rPh sb="3" eb="5">
      <t>トウロク</t>
    </rPh>
    <rPh sb="5" eb="6">
      <t>アタイ</t>
    </rPh>
    <phoneticPr fontId="12"/>
  </si>
  <si>
    <t>自動採番</t>
    <rPh sb="0" eb="2">
      <t>ジドウ</t>
    </rPh>
    <rPh sb="2" eb="4">
      <t>サイバン</t>
    </rPh>
    <phoneticPr fontId="12"/>
  </si>
  <si>
    <t>すべて/任意</t>
    <rPh sb="4" eb="6">
      <t>ニンイ</t>
    </rPh>
    <phoneticPr fontId="12"/>
  </si>
  <si>
    <t>エラー/終了/終了またはエラー</t>
    <rPh sb="4" eb="6">
      <t>シュウリョウ</t>
    </rPh>
    <rPh sb="7" eb="9">
      <t>シュウリョウ</t>
    </rPh>
    <phoneticPr fontId="12"/>
  </si>
  <si>
    <t>ActionPaneの警告ボタンにて設定</t>
    <rPh sb="11" eb="13">
      <t>ケイコク</t>
    </rPh>
    <rPh sb="18" eb="20">
      <t>セッテイ</t>
    </rPh>
    <phoneticPr fontId="12"/>
  </si>
  <si>
    <t>ActionPaneの反復ボタンにて設定</t>
    <rPh sb="11" eb="13">
      <t>ハンプク</t>
    </rPh>
    <rPh sb="18" eb="20">
      <t>セッテイ</t>
    </rPh>
    <phoneticPr fontId="12"/>
  </si>
  <si>
    <t>ActionPaneのステータスの変更ボタンにて設定</t>
    <rPh sb="17" eb="19">
      <t>ヘンコウ</t>
    </rPh>
    <rPh sb="24" eb="26">
      <t>セッテイ</t>
    </rPh>
    <phoneticPr fontId="12"/>
  </si>
  <si>
    <t>ヘッダーで登録された値が自動反映</t>
    <rPh sb="5" eb="7">
      <t>トウロク</t>
    </rPh>
    <rPh sb="10" eb="11">
      <t>アタイ</t>
    </rPh>
    <rPh sb="12" eb="14">
      <t>ジドウ</t>
    </rPh>
    <rPh sb="14" eb="16">
      <t>ハンエイ</t>
    </rPh>
    <phoneticPr fontId="12"/>
  </si>
  <si>
    <t>作成時に自動でユーザーIDが設定される</t>
    <rPh sb="0" eb="2">
      <t>サクセイ</t>
    </rPh>
    <rPh sb="2" eb="3">
      <t>トキ</t>
    </rPh>
    <rPh sb="4" eb="6">
      <t>ジドウ</t>
    </rPh>
    <rPh sb="14" eb="16">
      <t>セッテイ</t>
    </rPh>
    <phoneticPr fontId="12"/>
  </si>
  <si>
    <t>作成時に自動で作成日時が設定される</t>
    <rPh sb="0" eb="2">
      <t>サクセイ</t>
    </rPh>
    <rPh sb="2" eb="3">
      <t>トキ</t>
    </rPh>
    <rPh sb="4" eb="6">
      <t>ジドウ</t>
    </rPh>
    <rPh sb="7" eb="9">
      <t>サクセイ</t>
    </rPh>
    <rPh sb="9" eb="11">
      <t>ニチジ</t>
    </rPh>
    <rPh sb="12" eb="14">
      <t>セッテイ</t>
    </rPh>
    <phoneticPr fontId="12"/>
  </si>
  <si>
    <t>反復で設定した開始日時が自動的に反映される</t>
    <rPh sb="0" eb="2">
      <t>ハンプク</t>
    </rPh>
    <rPh sb="3" eb="5">
      <t>セッテイ</t>
    </rPh>
    <rPh sb="7" eb="9">
      <t>カイシ</t>
    </rPh>
    <rPh sb="9" eb="11">
      <t>ニチジ</t>
    </rPh>
    <rPh sb="12" eb="15">
      <t>ジドウテキ</t>
    </rPh>
    <rPh sb="16" eb="18">
      <t>ハンエイ</t>
    </rPh>
    <phoneticPr fontId="12"/>
  </si>
  <si>
    <t>「バッチジョブ（ヘッダー）-設定値」を参照</t>
    <phoneticPr fontId="12"/>
  </si>
  <si>
    <t>「バッチジョブ（明細行）-設定値」を参照</t>
    <rPh sb="8" eb="10">
      <t>メイサイ</t>
    </rPh>
    <rPh sb="10" eb="11">
      <t>ギョウ</t>
    </rPh>
    <phoneticPr fontId="12"/>
  </si>
  <si>
    <t>バッチジョブ(ヘッダー）-設定値</t>
    <rPh sb="13" eb="16">
      <t>セッテイチ</t>
    </rPh>
    <phoneticPr fontId="12"/>
  </si>
  <si>
    <t>バッチジョブ(明細行）-設定値</t>
    <rPh sb="7" eb="9">
      <t>メイサイ</t>
    </rPh>
    <rPh sb="9" eb="10">
      <t>ギョウ</t>
    </rPh>
    <rPh sb="12" eb="15">
      <t>セッテイチ</t>
    </rPh>
    <phoneticPr fontId="12"/>
  </si>
  <si>
    <t>一般＞エラー</t>
    <rPh sb="0" eb="2">
      <t>イッパン</t>
    </rPh>
    <phoneticPr fontId="12"/>
  </si>
  <si>
    <t>数値</t>
    <phoneticPr fontId="12"/>
  </si>
  <si>
    <t>法人共通/個別</t>
    <rPh sb="0" eb="4">
      <t>ホウジンキョウツウ</t>
    </rPh>
    <rPh sb="5" eb="7">
      <t>コベツ</t>
    </rPh>
    <phoneticPr fontId="14"/>
  </si>
  <si>
    <t>共通</t>
  </si>
  <si>
    <t>ライセンスコンフィギュレーション</t>
    <phoneticPr fontId="12"/>
  </si>
  <si>
    <t>個別</t>
  </si>
  <si>
    <t>ワークフローパラメーター</t>
    <phoneticPr fontId="12"/>
  </si>
  <si>
    <t xml:space="preserve">システム管理 ＞ ワークフロー ＞ ユーザーワークフロー
</t>
    <rPh sb="4" eb="6">
      <t>カンリ</t>
    </rPh>
    <phoneticPr fontId="12"/>
  </si>
  <si>
    <t>第1.0版</t>
  </si>
  <si>
    <t>作成者</t>
    <rPh sb="0" eb="3">
      <t>サクセイシャ</t>
    </rPh>
    <phoneticPr fontId="26"/>
  </si>
  <si>
    <t>JBS承認者</t>
    <rPh sb="3" eb="6">
      <t>ショウニンシャ</t>
    </rPh>
    <phoneticPr fontId="26"/>
  </si>
  <si>
    <t>氏名</t>
    <rPh sb="0" eb="2">
      <t>シメイ</t>
    </rPh>
    <phoneticPr fontId="26"/>
  </si>
  <si>
    <t>システム通知</t>
    <rPh sb="4" eb="6">
      <t>ツウチ</t>
    </rPh>
    <phoneticPr fontId="12"/>
  </si>
  <si>
    <t>このページには、システム通知の管理に関連する設定があります。特に、このページでは、大量通知ルール ページに表示するシステム通知ルールを決定する基準を設定して、より詳細な監視を行い、これらのルールに対するアクションを実行することができます。</t>
    <phoneticPr fontId="12"/>
  </si>
  <si>
    <t>評価時間</t>
    <rPh sb="0" eb="4">
      <t>ヒョウカジカン</t>
    </rPh>
    <phoneticPr fontId="12"/>
  </si>
  <si>
    <t>さまざまなルールによって生成された通知の数、および対応するバッチ ジョブの繰り返し頻度をカウントする期間を指定します。この設定は、ルールに大量としてフラグを設定するために大量既定しきい値と組み合わせて使用されます。</t>
    <rPh sb="12" eb="14">
      <t>セイセイ</t>
    </rPh>
    <rPh sb="17" eb="19">
      <t>ツウチ</t>
    </rPh>
    <rPh sb="20" eb="21">
      <t>カズ</t>
    </rPh>
    <rPh sb="25" eb="27">
      <t>タイオウ</t>
    </rPh>
    <rPh sb="37" eb="38">
      <t>ク</t>
    </rPh>
    <rPh sb="39" eb="40">
      <t>カエ</t>
    </rPh>
    <rPh sb="41" eb="43">
      <t>ヒンド</t>
    </rPh>
    <rPh sb="50" eb="52">
      <t>キカン</t>
    </rPh>
    <rPh sb="53" eb="55">
      <t>シテイ</t>
    </rPh>
    <rPh sb="61" eb="63">
      <t>セッテイ</t>
    </rPh>
    <rPh sb="69" eb="71">
      <t>タイリョウ</t>
    </rPh>
    <rPh sb="78" eb="80">
      <t>セッテイ</t>
    </rPh>
    <rPh sb="85" eb="87">
      <t>タイリョウ</t>
    </rPh>
    <rPh sb="87" eb="89">
      <t>キテイ</t>
    </rPh>
    <rPh sb="92" eb="93">
      <t>アタイ</t>
    </rPh>
    <rPh sb="94" eb="95">
      <t>ク</t>
    </rPh>
    <rPh sb="96" eb="97">
      <t>ア</t>
    </rPh>
    <rPh sb="100" eb="102">
      <t>シヨウ</t>
    </rPh>
    <phoneticPr fontId="12"/>
  </si>
  <si>
    <t>なし/1時間/6時間/12時間/日/週</t>
    <rPh sb="4" eb="6">
      <t>ジカン</t>
    </rPh>
    <rPh sb="8" eb="10">
      <t>ジカン</t>
    </rPh>
    <rPh sb="13" eb="15">
      <t>ジカン</t>
    </rPh>
    <rPh sb="16" eb="17">
      <t>ヒ</t>
    </rPh>
    <rPh sb="18" eb="19">
      <t>シュウ</t>
    </rPh>
    <phoneticPr fontId="12"/>
  </si>
  <si>
    <t>1時間</t>
    <rPh sb="0" eb="3">
      <t>イチジカン</t>
    </rPh>
    <phoneticPr fontId="12"/>
  </si>
  <si>
    <t>大量既定しきい値</t>
    <rPh sb="0" eb="2">
      <t>タイリョウ</t>
    </rPh>
    <rPh sb="2" eb="4">
      <t>キテイ</t>
    </rPh>
    <rPh sb="7" eb="8">
      <t>アタイ</t>
    </rPh>
    <phoneticPr fontId="12"/>
  </si>
  <si>
    <t>評価期間中に特定のルールによって生成される通知の最小数を指定して、そのルールに大量ルールとフラグを設定します。</t>
    <rPh sb="0" eb="5">
      <t>ヒョウカキカンチュウ</t>
    </rPh>
    <rPh sb="6" eb="8">
      <t>トクテイ</t>
    </rPh>
    <rPh sb="16" eb="18">
      <t>セイセイ</t>
    </rPh>
    <rPh sb="21" eb="23">
      <t>ツウチ</t>
    </rPh>
    <rPh sb="24" eb="27">
      <t>サイショウスウ</t>
    </rPh>
    <rPh sb="28" eb="30">
      <t>シテイ</t>
    </rPh>
    <rPh sb="39" eb="41">
      <t>タイリョウ</t>
    </rPh>
    <rPh sb="49" eb="51">
      <t>セッテイ</t>
    </rPh>
    <phoneticPr fontId="12"/>
  </si>
  <si>
    <t>電子メールの調整</t>
    <rPh sb="0" eb="2">
      <t>デンシ</t>
    </rPh>
    <rPh sb="6" eb="8">
      <t>チョウセイ</t>
    </rPh>
    <phoneticPr fontId="12"/>
  </si>
  <si>
    <t>電子メール プロバイダー ID</t>
    <rPh sb="0" eb="2">
      <t>デンシ</t>
    </rPh>
    <phoneticPr fontId="12"/>
  </si>
  <si>
    <t>1分あたりの電子メール送信回数の制限</t>
    <rPh sb="1" eb="2">
      <t>フン</t>
    </rPh>
    <rPh sb="6" eb="8">
      <t>デンシ</t>
    </rPh>
    <rPh sb="11" eb="15">
      <t>ソウシンカイスウ</t>
    </rPh>
    <rPh sb="16" eb="18">
      <t>セイゲン</t>
    </rPh>
    <phoneticPr fontId="12"/>
  </si>
  <si>
    <t>プロバイダーから1分間に送信可能な電子メールの数。数が0の場合、そのプロバイダーの調整は無効になります。</t>
    <rPh sb="9" eb="11">
      <t>フンカン</t>
    </rPh>
    <rPh sb="12" eb="16">
      <t>ソウシンカノウ</t>
    </rPh>
    <rPh sb="17" eb="19">
      <t>デンシ</t>
    </rPh>
    <rPh sb="23" eb="24">
      <t>カズ</t>
    </rPh>
    <rPh sb="25" eb="26">
      <t>カズ</t>
    </rPh>
    <rPh sb="29" eb="31">
      <t>バアイ</t>
    </rPh>
    <rPh sb="41" eb="43">
      <t>チョウセイ</t>
    </rPh>
    <rPh sb="44" eb="46">
      <t>ムコウ</t>
    </rPh>
    <phoneticPr fontId="12"/>
  </si>
  <si>
    <t>サーバー情報</t>
    <rPh sb="4" eb="6">
      <t>ジョウホウ</t>
    </rPh>
    <phoneticPr fontId="12"/>
  </si>
  <si>
    <t>送信メール サーバー</t>
    <rPh sb="0" eb="2">
      <t>ソウシン</t>
    </rPh>
    <phoneticPr fontId="12"/>
  </si>
  <si>
    <t>SMTP ポート番号</t>
    <rPh sb="8" eb="10">
      <t>バンゴウ</t>
    </rPh>
    <phoneticPr fontId="12"/>
  </si>
  <si>
    <t>SSL/TLS が必要です</t>
    <rPh sb="9" eb="11">
      <t>ヒツヨウ</t>
    </rPh>
    <phoneticPr fontId="12"/>
  </si>
  <si>
    <t>認証</t>
    <rPh sb="0" eb="2">
      <t>ニンショウ</t>
    </rPh>
    <phoneticPr fontId="12"/>
  </si>
  <si>
    <t>認証が必要です</t>
    <rPh sb="0" eb="2">
      <t>ニンショウ</t>
    </rPh>
    <rPh sb="3" eb="5">
      <t>ヒツヨウ</t>
    </rPh>
    <phoneticPr fontId="12"/>
  </si>
  <si>
    <t>電子メールプロバイダー ID</t>
    <rPh sb="0" eb="2">
      <t>デンシ</t>
    </rPh>
    <phoneticPr fontId="12"/>
  </si>
  <si>
    <t>SSL/TLSが必要です</t>
    <rPh sb="8" eb="10">
      <t>ヒツヨウ</t>
    </rPh>
    <phoneticPr fontId="12"/>
  </si>
  <si>
    <t>認証が必要です</t>
    <rPh sb="0" eb="2">
      <t>ニンショウ</t>
    </rPh>
    <phoneticPr fontId="12"/>
  </si>
  <si>
    <t>システム管理＞設定＞システムパラメーター</t>
  </si>
  <si>
    <t>System administration &gt; Setup &gt; System parameters</t>
  </si>
  <si>
    <t>システムパラメーター</t>
    <phoneticPr fontId="12"/>
  </si>
  <si>
    <t>設定時に決まる</t>
    <rPh sb="0" eb="2">
      <t>セッテイ</t>
    </rPh>
    <rPh sb="2" eb="3">
      <t>ジ</t>
    </rPh>
    <rPh sb="4" eb="5">
      <t>キ</t>
    </rPh>
    <phoneticPr fontId="12"/>
  </si>
  <si>
    <t>システム管理＞設定＞ライセンスコンフィギュレーション</t>
    <rPh sb="4" eb="6">
      <t>カンリ</t>
    </rPh>
    <rPh sb="7" eb="9">
      <t>セッテイ</t>
    </rPh>
    <phoneticPr fontId="12"/>
  </si>
  <si>
    <t>タブ</t>
    <phoneticPr fontId="12"/>
  </si>
  <si>
    <t>コンフィギュレーションキー</t>
    <phoneticPr fontId="20"/>
  </si>
  <si>
    <t>System administration &gt; Setup &gt; License configuration</t>
    <phoneticPr fontId="12"/>
  </si>
  <si>
    <t>システム管理 ＞ 設定 ＞ ライセンスコンフィギュレーション
System administration &gt; Setup &gt; License configuration</t>
    <rPh sb="4" eb="6">
      <t>カンリ</t>
    </rPh>
    <rPh sb="9" eb="11">
      <t>セッテイ</t>
    </rPh>
    <phoneticPr fontId="12"/>
  </si>
  <si>
    <t>LCSで登録しているプロジェクト</t>
    <rPh sb="4" eb="6">
      <t>トウロク</t>
    </rPh>
    <phoneticPr fontId="12"/>
  </si>
  <si>
    <t>通貨（ユーザー定義）</t>
    <rPh sb="0" eb="2">
      <t>ツウカ</t>
    </rPh>
    <phoneticPr fontId="12"/>
  </si>
  <si>
    <t>為替レートタイプ（ユーザー定義）</t>
    <rPh sb="0" eb="2">
      <t>カワセ</t>
    </rPh>
    <phoneticPr fontId="12"/>
  </si>
  <si>
    <t>ユーザー（ユーザー定義）</t>
    <phoneticPr fontId="12"/>
  </si>
  <si>
    <t>言語（ユーザー定義）</t>
    <rPh sb="0" eb="2">
      <t>ゲンゴ</t>
    </rPh>
    <phoneticPr fontId="12"/>
  </si>
  <si>
    <t>バッチ グループ（ユーザー定義）</t>
    <phoneticPr fontId="12"/>
  </si>
  <si>
    <t>ロール（ユーザー定義）</t>
    <phoneticPr fontId="12"/>
  </si>
  <si>
    <t>環境に応じた値が自動で反映される
本番環境のURLとなる</t>
    <rPh sb="0" eb="2">
      <t>カンキョウ</t>
    </rPh>
    <rPh sb="3" eb="4">
      <t>オウ</t>
    </rPh>
    <rPh sb="6" eb="7">
      <t>アタイ</t>
    </rPh>
    <rPh sb="8" eb="10">
      <t>ジドウ</t>
    </rPh>
    <rPh sb="11" eb="13">
      <t>ハンエイ</t>
    </rPh>
    <phoneticPr fontId="12"/>
  </si>
  <si>
    <t>1月
2月
3月
4月
5月
6月
7月
8月
9月
10月
11月
12月</t>
  </si>
  <si>
    <t>＜YYYY/MM/DD＞</t>
    <phoneticPr fontId="26"/>
  </si>
  <si>
    <t>パラメータ設定一覧</t>
  </si>
  <si>
    <t>パラメータ設定一覧へ</t>
  </si>
  <si>
    <t>GC設定担当者</t>
    <rPh sb="2" eb="4">
      <t>セッテイ</t>
    </rPh>
    <rPh sb="4" eb="7">
      <t>タントウシャ</t>
    </rPh>
    <phoneticPr fontId="12"/>
  </si>
  <si>
    <t>GC設定完了日</t>
    <rPh sb="2" eb="4">
      <t>セッテイ</t>
    </rPh>
    <rPh sb="4" eb="7">
      <t>カンリョウビ</t>
    </rPh>
    <phoneticPr fontId="12"/>
  </si>
  <si>
    <t>「FOパラメータ定義書-法人_99.マスタ」側に記載</t>
    <phoneticPr fontId="12"/>
  </si>
  <si>
    <t>システム言語の設定は必須</t>
    <rPh sb="4" eb="6">
      <t>ゲンゴ</t>
    </rPh>
    <rPh sb="7" eb="9">
      <t>セッテイ</t>
    </rPh>
    <rPh sb="10" eb="12">
      <t>ヒッス</t>
    </rPh>
    <phoneticPr fontId="12"/>
  </si>
  <si>
    <t>デフォルトの30分から変更可能だが、パフォーマンスに影響する可能性があるため注意（MSは60分までと過去に回答している）</t>
    <rPh sb="8" eb="9">
      <t>フン</t>
    </rPh>
    <rPh sb="11" eb="13">
      <t>ヘンコウ</t>
    </rPh>
    <rPh sb="13" eb="15">
      <t>カノウ</t>
    </rPh>
    <rPh sb="26" eb="28">
      <t>エイキョウ</t>
    </rPh>
    <rPh sb="30" eb="33">
      <t>カノウセイ</t>
    </rPh>
    <rPh sb="38" eb="40">
      <t>チュウイ</t>
    </rPh>
    <rPh sb="46" eb="47">
      <t>フン</t>
    </rPh>
    <rPh sb="50" eb="52">
      <t>カコ</t>
    </rPh>
    <rPh sb="53" eb="55">
      <t>カイトウ</t>
    </rPh>
    <phoneticPr fontId="12"/>
  </si>
  <si>
    <t>電子メールが生成された後、電子メールディストリビューターバッチジョブにより実際に送信が実行される。
ジョブの生成をこの画面から実施する。
何かしらで、電子メールを自動的に送付する場合はこのジョブの設定が必要</t>
    <rPh sb="0" eb="2">
      <t>デンシ</t>
    </rPh>
    <rPh sb="6" eb="8">
      <t>セイセイ</t>
    </rPh>
    <rPh sb="11" eb="12">
      <t>アト</t>
    </rPh>
    <rPh sb="13" eb="15">
      <t>デンシ</t>
    </rPh>
    <rPh sb="37" eb="39">
      <t>ジッサイ</t>
    </rPh>
    <rPh sb="40" eb="42">
      <t>ソウシン</t>
    </rPh>
    <rPh sb="43" eb="45">
      <t>ジッコウ</t>
    </rPh>
    <rPh sb="54" eb="56">
      <t>セイセイ</t>
    </rPh>
    <rPh sb="59" eb="61">
      <t>ガメン</t>
    </rPh>
    <rPh sb="63" eb="65">
      <t>ジッシ</t>
    </rPh>
    <rPh sb="69" eb="70">
      <t>ナニ</t>
    </rPh>
    <rPh sb="75" eb="77">
      <t>デンシ</t>
    </rPh>
    <rPh sb="81" eb="84">
      <t>ジドウテキ</t>
    </rPh>
    <rPh sb="85" eb="87">
      <t>ソウフ</t>
    </rPh>
    <rPh sb="89" eb="91">
      <t>バアイ</t>
    </rPh>
    <rPh sb="98" eb="100">
      <t>セッテイ</t>
    </rPh>
    <rPh sb="101" eb="103">
      <t>ヒツヨウ</t>
    </rPh>
    <phoneticPr fontId="12"/>
  </si>
  <si>
    <t>※追加分のバッチジョブのみ記載</t>
    <rPh sb="1" eb="3">
      <t>ツイカ</t>
    </rPh>
    <rPh sb="3" eb="4">
      <t>ブン</t>
    </rPh>
    <rPh sb="13" eb="15">
      <t>キサイ</t>
    </rPh>
    <phoneticPr fontId="12"/>
  </si>
  <si>
    <t>JBS石岡</t>
    <rPh sb="3" eb="5">
      <t>イシオカ</t>
    </rPh>
    <phoneticPr fontId="26"/>
  </si>
  <si>
    <t>サンスター株式会社　御中</t>
    <phoneticPr fontId="26"/>
  </si>
  <si>
    <t>会計システム刷新プロジェクト（LIBRA）</t>
    <phoneticPr fontId="26"/>
  </si>
  <si>
    <t>ja</t>
    <phoneticPr fontId="12"/>
  </si>
  <si>
    <t>SCM領域はスコープ外のためデフォルト値としている</t>
    <rPh sb="3" eb="5">
      <t>リョウイキ</t>
    </rPh>
    <rPh sb="10" eb="11">
      <t>ガイ</t>
    </rPh>
    <rPh sb="19" eb="20">
      <t>アタイ</t>
    </rPh>
    <phoneticPr fontId="12"/>
  </si>
  <si>
    <t>JPY</t>
    <phoneticPr fontId="12"/>
  </si>
  <si>
    <t>バッチ グローバル設定</t>
    <rPh sb="9" eb="11">
      <t>セッテイ</t>
    </rPh>
    <phoneticPr fontId="12"/>
  </si>
  <si>
    <t>〇</t>
    <phoneticPr fontId="12"/>
  </si>
  <si>
    <t>引当済み能力がありません/低い引当済み能力/中程度の引当済み能力/高い引当済み能力</t>
    <rPh sb="0" eb="3">
      <t>ヒキアテズ</t>
    </rPh>
    <rPh sb="4" eb="6">
      <t>ノウリョク</t>
    </rPh>
    <rPh sb="13" eb="14">
      <t>ヒク</t>
    </rPh>
    <rPh sb="15" eb="17">
      <t>ヒキアテ</t>
    </rPh>
    <rPh sb="17" eb="18">
      <t>ズ</t>
    </rPh>
    <rPh sb="19" eb="21">
      <t>ノウリョク</t>
    </rPh>
    <rPh sb="22" eb="25">
      <t>チュウテイド</t>
    </rPh>
    <rPh sb="26" eb="29">
      <t>ヒキアテズ</t>
    </rPh>
    <rPh sb="30" eb="32">
      <t>ノウリョク</t>
    </rPh>
    <rPh sb="33" eb="34">
      <t>タカ</t>
    </rPh>
    <rPh sb="35" eb="38">
      <t>ヒキアテズ</t>
    </rPh>
    <rPh sb="39" eb="41">
      <t>ノウリョク</t>
    </rPh>
    <phoneticPr fontId="12"/>
  </si>
  <si>
    <t>引当済み能力がありません</t>
  </si>
  <si>
    <t>引当済み能力がありません</t>
    <phoneticPr fontId="12"/>
  </si>
  <si>
    <t>△</t>
    <phoneticPr fontId="12"/>
  </si>
  <si>
    <t>Ifmail</t>
    <phoneticPr fontId="12"/>
  </si>
  <si>
    <t>IF受信エラー用メールテンプレート</t>
    <phoneticPr fontId="12"/>
  </si>
  <si>
    <t>FO-Ifmail</t>
    <phoneticPr fontId="12"/>
  </si>
  <si>
    <t>xxxx@jp.sustar.com</t>
    <phoneticPr fontId="12"/>
  </si>
  <si>
    <t>【%FeatureID%】%FeatureName%エラー</t>
  </si>
  <si>
    <t>チェック有</t>
    <rPh sb="4" eb="5">
      <t>アリ</t>
    </rPh>
    <phoneticPr fontId="12"/>
  </si>
  <si>
    <t>Dynamics FO システムのパラメータ定義となる。
Dynamics FO利用時に必須設定項目のため、パラメータ値を設定する。
※【サンスター】FOパラメータ定義書-SSJ_02.システム管理_v1.0.xlsx　で管理を行う。</t>
    <phoneticPr fontId="12"/>
  </si>
  <si>
    <t>電子メールの設定を実施する。
ワークフローを使用する際に、電子メールの送付が必要となる場合は、このパラメータの設定が必要。
※詳細は「D365FO_標準手順書_システム共通(承認ワークフロー)」参照
※【サンスター】FOパラメータ定義書-SSJ_02.システム管理_v1.0.xlsx　で管理を行う。</t>
    <rPh sb="0" eb="2">
      <t>デンシ</t>
    </rPh>
    <rPh sb="6" eb="8">
      <t>セッテイ</t>
    </rPh>
    <rPh sb="9" eb="11">
      <t>ジッシ</t>
    </rPh>
    <rPh sb="22" eb="24">
      <t>シヨウ</t>
    </rPh>
    <rPh sb="26" eb="27">
      <t>サイ</t>
    </rPh>
    <rPh sb="29" eb="31">
      <t>デンシ</t>
    </rPh>
    <rPh sb="35" eb="37">
      <t>ソウフ</t>
    </rPh>
    <rPh sb="38" eb="40">
      <t>ヒツヨウ</t>
    </rPh>
    <rPh sb="43" eb="45">
      <t>バアイ</t>
    </rPh>
    <rPh sb="55" eb="57">
      <t>セッテイ</t>
    </rPh>
    <rPh sb="58" eb="60">
      <t>ヒツヨウ</t>
    </rPh>
    <rPh sb="63" eb="65">
      <t>ショウサイ</t>
    </rPh>
    <rPh sb="74" eb="76">
      <t>ヒョウジュン</t>
    </rPh>
    <rPh sb="76" eb="78">
      <t>テジュン</t>
    </rPh>
    <rPh sb="78" eb="79">
      <t>ショ</t>
    </rPh>
    <rPh sb="84" eb="86">
      <t>キョウツウ</t>
    </rPh>
    <rPh sb="87" eb="89">
      <t>ショウニン</t>
    </rPh>
    <rPh sb="97" eb="99">
      <t>サンショウ</t>
    </rPh>
    <phoneticPr fontId="12"/>
  </si>
  <si>
    <t>電子メールのテンプレートを作成する。
ワークフローを使用する際に、電子メールの送付が必要となる場合は、このパラメータの設定が必要。
※詳細は「D365FO_標準手順書_システム共通(承認ワークフロー)」参照（会社固有の場合は組織管理＞設定＞組織の電子メールテンプレート側で設定）
※【サンスター】FOパラメータ定義書-SSJ_02.システム管理_v1.0.xlsx　で管理を行う。</t>
    <rPh sb="0" eb="2">
      <t>デンシ</t>
    </rPh>
    <rPh sb="13" eb="15">
      <t>サクセイ</t>
    </rPh>
    <rPh sb="104" eb="106">
      <t>カイシャ</t>
    </rPh>
    <rPh sb="106" eb="108">
      <t>コユウ</t>
    </rPh>
    <rPh sb="109" eb="111">
      <t>バアイ</t>
    </rPh>
    <rPh sb="112" eb="114">
      <t>ソシキ</t>
    </rPh>
    <rPh sb="114" eb="116">
      <t>カンリ</t>
    </rPh>
    <rPh sb="117" eb="119">
      <t>セッテイ</t>
    </rPh>
    <rPh sb="120" eb="122">
      <t>ソシキ</t>
    </rPh>
    <rPh sb="123" eb="125">
      <t>デンシ</t>
    </rPh>
    <rPh sb="134" eb="135">
      <t>ガワ</t>
    </rPh>
    <rPh sb="136" eb="138">
      <t>セッテイ</t>
    </rPh>
    <phoneticPr fontId="12"/>
  </si>
  <si>
    <r>
      <t xml:space="preserve">DualWriteの設定を実施する際に必要なもの。
</t>
    </r>
    <r>
      <rPr>
        <sz val="11"/>
        <color rgb="FFFF0000"/>
        <rFont val="Meiryo UI"/>
        <family val="3"/>
        <charset val="128"/>
      </rPr>
      <t xml:space="preserve">※DualWriteおよびB2Bアプリケーションについては、初回設定時に入力。
</t>
    </r>
    <r>
      <rPr>
        <sz val="11"/>
        <rFont val="Meiryo UI"/>
        <family val="3"/>
        <charset val="128"/>
      </rPr>
      <t>※【サンスター】FOパラメータ定義書-SSJ_02.システム管理_v1.0.xlsx　で管理を行う。</t>
    </r>
    <rPh sb="10" eb="12">
      <t>セッテイ</t>
    </rPh>
    <rPh sb="13" eb="15">
      <t>ジッシ</t>
    </rPh>
    <rPh sb="17" eb="18">
      <t>サイ</t>
    </rPh>
    <rPh sb="19" eb="21">
      <t>ヒツヨウ</t>
    </rPh>
    <rPh sb="56" eb="58">
      <t>ショカイ</t>
    </rPh>
    <rPh sb="58" eb="61">
      <t>セッテイジ</t>
    </rPh>
    <rPh sb="62" eb="64">
      <t>ニュウリョク</t>
    </rPh>
    <phoneticPr fontId="12"/>
  </si>
  <si>
    <t>必要な機能を適宜有効化する。
※【サンスター】FOパラメータ定義書-SSJ_02.システム管理_v1.0.xlsx　で管理を行う。</t>
    <rPh sb="0" eb="2">
      <t>ヒツヨウ</t>
    </rPh>
    <rPh sb="3" eb="5">
      <t>キノウ</t>
    </rPh>
    <rPh sb="6" eb="8">
      <t>テキギ</t>
    </rPh>
    <rPh sb="8" eb="11">
      <t>ユウコウカ</t>
    </rPh>
    <phoneticPr fontId="12"/>
  </si>
  <si>
    <t>ワークフローインフラストラクチャパラメータレーションを実行することでワークフロー関連のバッチジョブが生成される。
実行アカウントでは、ジョブを実行する際に使用するユーザーアカウントを指定
ワークフローを使用する際に、このパラメータの設定が必要。
※詳細は「D365FO_標準手順書_システム共通(承認ワークフロー)」参照
※【サンスター】FOパラメータ定義書-SSJ_02.システム管理_v1.0.xlsx　で管理を行う。</t>
    <rPh sb="27" eb="29">
      <t>ジッコウ</t>
    </rPh>
    <rPh sb="40" eb="42">
      <t>カンレン</t>
    </rPh>
    <rPh sb="50" eb="52">
      <t>セイセイ</t>
    </rPh>
    <phoneticPr fontId="12"/>
  </si>
  <si>
    <r>
      <t xml:space="preserve">仕入先コラボレーションを実施する場合に、B2BアプリケーションをAAD側で登録し、FOのこの画面でも設定をする形。
</t>
    </r>
    <r>
      <rPr>
        <sz val="11"/>
        <color rgb="FFFF0000"/>
        <rFont val="Meiryo UI"/>
        <family val="3"/>
        <charset val="128"/>
      </rPr>
      <t xml:space="preserve">※AADに関わるので初回設定時に入力。
</t>
    </r>
    <r>
      <rPr>
        <sz val="11"/>
        <rFont val="Meiryo UI"/>
        <family val="3"/>
        <charset val="128"/>
      </rPr>
      <t>※【サンスター】FOパラメータ定義書-SSJ_02.システム管理_v1.0.xlsx　で管理を行う。</t>
    </r>
    <rPh sb="0" eb="2">
      <t>シイレ</t>
    </rPh>
    <rPh sb="2" eb="3">
      <t>サキ</t>
    </rPh>
    <rPh sb="12" eb="14">
      <t>ジッシ</t>
    </rPh>
    <rPh sb="16" eb="18">
      <t>バアイ</t>
    </rPh>
    <rPh sb="35" eb="36">
      <t>ガワ</t>
    </rPh>
    <rPh sb="37" eb="39">
      <t>トウロク</t>
    </rPh>
    <rPh sb="46" eb="48">
      <t>ガメン</t>
    </rPh>
    <rPh sb="50" eb="52">
      <t>セッテイ</t>
    </rPh>
    <rPh sb="55" eb="56">
      <t>カタチ</t>
    </rPh>
    <rPh sb="63" eb="64">
      <t>カカ</t>
    </rPh>
    <rPh sb="68" eb="70">
      <t>ショカイ</t>
    </rPh>
    <rPh sb="70" eb="73">
      <t>セッテイジ</t>
    </rPh>
    <rPh sb="74" eb="76">
      <t>ニュウリョク</t>
    </rPh>
    <phoneticPr fontId="12"/>
  </si>
  <si>
    <t>仕入先コラボレーションを実施する場合に、外部ユーザへ割り当てを実施するロールを作成。
※【サンスター】FOパラメータ定義書-SSJ_02.システム管理_v1.0.xlsx　で管理を行う。</t>
    <rPh sb="0" eb="2">
      <t>シイレ</t>
    </rPh>
    <rPh sb="2" eb="3">
      <t>サキ</t>
    </rPh>
    <rPh sb="12" eb="14">
      <t>ジッシ</t>
    </rPh>
    <rPh sb="16" eb="18">
      <t>バアイ</t>
    </rPh>
    <rPh sb="20" eb="22">
      <t>ガイブ</t>
    </rPh>
    <rPh sb="26" eb="27">
      <t>ワ</t>
    </rPh>
    <rPh sb="28" eb="29">
      <t>ア</t>
    </rPh>
    <rPh sb="31" eb="33">
      <t>ジッシ</t>
    </rPh>
    <rPh sb="39" eb="41">
      <t>サクセイ</t>
    </rPh>
    <phoneticPr fontId="12"/>
  </si>
  <si>
    <t>一部の機能の有効化を行う。
※手動で明示的に有効化した対象コンフィギュレーションを記載する。
※【サンスター】FOパラメータ定義書-SSJ_02.システム管理_v1.0.xlsx　で管理を行う。</t>
    <rPh sb="0" eb="2">
      <t>イチブ</t>
    </rPh>
    <rPh sb="3" eb="5">
      <t>キノウ</t>
    </rPh>
    <rPh sb="6" eb="9">
      <t>ユウコウカ</t>
    </rPh>
    <rPh sb="10" eb="11">
      <t>オコナ</t>
    </rPh>
    <phoneticPr fontId="12"/>
  </si>
  <si>
    <t>ユーザー要求関連のワークフローを設定。
※仕入先コラボレーションを実施する場合に、ワークフローを実施するのが必須となるためここから設定する
※【サンスター】FOパラメータ定義書-SSJ_02.システム管理_v1.0.xlsx　で管理を行う。</t>
    <rPh sb="4" eb="6">
      <t>ヨウキュウ</t>
    </rPh>
    <rPh sb="6" eb="8">
      <t>カンレン</t>
    </rPh>
    <rPh sb="16" eb="18">
      <t>セッテイ</t>
    </rPh>
    <rPh sb="21" eb="23">
      <t>シイレ</t>
    </rPh>
    <rPh sb="23" eb="24">
      <t>サキ</t>
    </rPh>
    <rPh sb="33" eb="35">
      <t>ジッシ</t>
    </rPh>
    <rPh sb="37" eb="39">
      <t>バアイ</t>
    </rPh>
    <rPh sb="54" eb="56">
      <t>ヒッス</t>
    </rPh>
    <rPh sb="65" eb="67">
      <t>セッテイ</t>
    </rPh>
    <phoneticPr fontId="12"/>
  </si>
  <si>
    <t>アドオンで作成したバッチジョブを設定する。
※【サンスター】FOパラメータ定義書-SSJ_02.システム管理_v1.0.xlsx　で管理を行う。</t>
    <rPh sb="5" eb="7">
      <t>サクセイ</t>
    </rPh>
    <rPh sb="16" eb="18">
      <t>セッテイ</t>
    </rPh>
    <phoneticPr fontId="12"/>
  </si>
  <si>
    <t>ワークフローの設定を実施する。
※ワークフロー送信者を承認者として許可する場合に設定が必要
※【サンスター】FOパラメータ定義書-SSJ_02.システム管理_v1.0.xlsx　で管理を行う。</t>
    <rPh sb="7" eb="9">
      <t>セッテイ</t>
    </rPh>
    <rPh sb="10" eb="12">
      <t>ジッシ</t>
    </rPh>
    <rPh sb="23" eb="26">
      <t>ソウシンシャ</t>
    </rPh>
    <rPh sb="27" eb="30">
      <t>ショウニンシャ</t>
    </rPh>
    <rPh sb="33" eb="35">
      <t>キョカ</t>
    </rPh>
    <rPh sb="37" eb="39">
      <t>バアイ</t>
    </rPh>
    <rPh sb="40" eb="42">
      <t>セッテイ</t>
    </rPh>
    <rPh sb="43" eb="45">
      <t>ヒツヨウ</t>
    </rPh>
    <phoneticPr fontId="12"/>
  </si>
  <si>
    <t>FOパラメータ定義書-SEJ_02.システム管理</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</si>
</sst>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rgb="FFFF0000"/>
      <name val="Meiryo UI"/>
      <family val="3"/>
      <charset val="128"/>
    </font>
    <font>
      <b/>
      <sz val="11"/>
      <color theme="1"/>
      <name val="Meiryo UI"/>
      <family val="3"/>
      <charset val="128"/>
    </font>
    <font>
      <sz val="10"/>
      <color rgb="FFFF0000"/>
      <name val="Meiryo UI"/>
      <family val="3"/>
      <charset val="128"/>
    </font>
    <font>
      <u/>
      <sz val="10"/>
      <color theme="10"/>
      <name val="Meiryo UI"/>
      <family val="2"/>
      <charset val="128"/>
    </font>
    <font>
      <sz val="11"/>
      <name val="Meiryo UI"/>
      <family val="3"/>
      <charset val="128"/>
    </font>
  </fonts>
  <fills count="10">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194">
    <xf numFmtId="0" fontId="0" fillId="0" borderId="0" xfId="0">
      <alignment vertical="center"/>
    </xf>
    <xf numFmtId="0" fontId="19" fillId="5" borderId="1" xfId="0" applyFont="1" applyFill="1" applyBorder="1" applyAlignment="1" applyProtection="1">
      <alignment horizontal="left" vertical="top" wrapText="1"/>
      <protection locked="0"/>
    </xf>
    <xf numFmtId="0" fontId="19" fillId="5" borderId="1" xfId="0" applyFont="1" applyFill="1" applyBorder="1" applyAlignment="1" applyProtection="1">
      <alignment vertical="top" wrapText="1"/>
      <protection locked="0"/>
    </xf>
    <xf numFmtId="0" fontId="19" fillId="5" borderId="13" xfId="0" applyFont="1" applyFill="1" applyBorder="1" applyAlignment="1" applyProtection="1">
      <alignment horizontal="left" vertical="top" wrapText="1"/>
      <protection locked="0"/>
    </xf>
    <xf numFmtId="0" fontId="22" fillId="0" borderId="0" xfId="3" applyProtection="1">
      <alignment vertical="center"/>
    </xf>
    <xf numFmtId="0" fontId="0" fillId="0" borderId="0" xfId="0" applyAlignment="1">
      <alignment horizontal="center" vertical="center"/>
    </xf>
    <xf numFmtId="0" fontId="0" fillId="3" borderId="1" xfId="0" applyFill="1" applyBorder="1">
      <alignment vertical="center"/>
    </xf>
    <xf numFmtId="49" fontId="0" fillId="0" borderId="0" xfId="0" applyNumberFormat="1" applyAlignment="1">
      <alignment horizontal="left" vertical="center"/>
    </xf>
    <xf numFmtId="0" fontId="14" fillId="0" borderId="0" xfId="14" applyFont="1">
      <alignment vertical="center"/>
    </xf>
    <xf numFmtId="0" fontId="0" fillId="0" borderId="0" xfId="0" applyAlignment="1">
      <alignment horizontal="left" vertical="center"/>
    </xf>
    <xf numFmtId="0" fontId="0" fillId="0" borderId="1" xfId="0" applyBorder="1">
      <alignment vertical="center"/>
    </xf>
    <xf numFmtId="0" fontId="21" fillId="3" borderId="1" xfId="0" applyFont="1" applyFill="1" applyBorder="1" applyAlignment="1">
      <alignment horizontal="center" vertical="top" wrapText="1"/>
    </xf>
    <xf numFmtId="0" fontId="21" fillId="3" borderId="11" xfId="0" applyFont="1" applyFill="1" applyBorder="1" applyAlignment="1">
      <alignment horizontal="center" vertical="top" wrapText="1"/>
    </xf>
    <xf numFmtId="0" fontId="21" fillId="3" borderId="11" xfId="0" applyFont="1" applyFill="1" applyBorder="1" applyAlignment="1">
      <alignment horizontal="center" vertical="top"/>
    </xf>
    <xf numFmtId="0" fontId="21" fillId="4" borderId="1" xfId="0" applyFont="1" applyFill="1" applyBorder="1" applyAlignment="1">
      <alignment horizontal="center" vertical="top"/>
    </xf>
    <xf numFmtId="0" fontId="19" fillId="0" borderId="14" xfId="0" applyFont="1" applyBorder="1" applyAlignment="1">
      <alignment vertical="top"/>
    </xf>
    <xf numFmtId="0" fontId="19" fillId="0" borderId="11" xfId="0" applyFont="1" applyBorder="1" applyAlignment="1">
      <alignment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1" fontId="19" fillId="0" borderId="1" xfId="0" applyNumberFormat="1" applyFont="1" applyBorder="1" applyAlignment="1">
      <alignment horizontal="left" vertical="top" wrapText="1"/>
    </xf>
    <xf numFmtId="0" fontId="19" fillId="0" borderId="10" xfId="0" applyFont="1" applyBorder="1" applyAlignment="1">
      <alignment vertical="top" wrapText="1"/>
    </xf>
    <xf numFmtId="0" fontId="18" fillId="4" borderId="7" xfId="0" applyFont="1" applyFill="1" applyBorder="1" applyAlignment="1">
      <alignment vertical="center" wrapText="1"/>
    </xf>
    <xf numFmtId="0" fontId="18" fillId="4" borderId="8" xfId="0" applyFont="1" applyFill="1" applyBorder="1" applyAlignment="1">
      <alignment vertical="center" wrapText="1"/>
    </xf>
    <xf numFmtId="0" fontId="18" fillId="4" borderId="1" xfId="0" applyFont="1" applyFill="1" applyBorder="1" applyAlignment="1">
      <alignment vertical="top" wrapText="1"/>
    </xf>
    <xf numFmtId="0" fontId="18" fillId="4" borderId="14" xfId="0" applyFont="1" applyFill="1" applyBorder="1" applyAlignment="1">
      <alignment vertical="top" wrapText="1"/>
    </xf>
    <xf numFmtId="0" fontId="18" fillId="5" borderId="1" xfId="0" applyFont="1" applyFill="1" applyBorder="1" applyAlignment="1">
      <alignment vertical="top" wrapText="1"/>
    </xf>
    <xf numFmtId="0" fontId="18" fillId="5" borderId="14" xfId="0" applyFont="1" applyFill="1" applyBorder="1" applyAlignment="1">
      <alignment vertical="top" wrapText="1"/>
    </xf>
    <xf numFmtId="0" fontId="0" fillId="2" borderId="1" xfId="0" applyFill="1" applyBorder="1" applyAlignment="1" applyProtection="1">
      <protection locked="0"/>
    </xf>
    <xf numFmtId="0" fontId="18" fillId="4" borderId="10" xfId="0" applyFont="1" applyFill="1" applyBorder="1" applyAlignment="1">
      <alignment vertical="top" wrapText="1"/>
    </xf>
    <xf numFmtId="0" fontId="18" fillId="4" borderId="15" xfId="0" applyFont="1" applyFill="1" applyBorder="1" applyAlignment="1">
      <alignment vertical="center" wrapText="1"/>
    </xf>
    <xf numFmtId="0" fontId="14" fillId="0" borderId="0" xfId="17" applyFont="1">
      <alignment vertical="center"/>
    </xf>
    <xf numFmtId="0" fontId="21" fillId="3"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0" fillId="4" borderId="1" xfId="0" applyFill="1" applyBorder="1" applyAlignment="1">
      <alignment vertical="top"/>
    </xf>
    <xf numFmtId="0" fontId="19" fillId="5" borderId="1" xfId="0" applyFont="1" applyFill="1" applyBorder="1" applyAlignment="1">
      <alignment vertical="top" wrapText="1"/>
    </xf>
    <xf numFmtId="0" fontId="0" fillId="2" borderId="14" xfId="0" applyFill="1" applyBorder="1" applyAlignment="1" applyProtection="1">
      <protection locked="0"/>
    </xf>
    <xf numFmtId="0" fontId="0" fillId="2" borderId="0" xfId="0" applyFill="1" applyAlignment="1" applyProtection="1">
      <protection locked="0"/>
    </xf>
    <xf numFmtId="0" fontId="19" fillId="4" borderId="14" xfId="0" applyFont="1" applyFill="1" applyBorder="1" applyAlignment="1">
      <alignment vertical="top" wrapText="1"/>
    </xf>
    <xf numFmtId="0" fontId="19" fillId="4" borderId="15" xfId="0" applyFont="1" applyFill="1" applyBorder="1" applyAlignment="1">
      <alignment vertical="top" wrapText="1"/>
    </xf>
    <xf numFmtId="0" fontId="19" fillId="4" borderId="1" xfId="0" applyFont="1" applyFill="1" applyBorder="1" applyAlignment="1">
      <alignment vertical="top" wrapText="1"/>
    </xf>
    <xf numFmtId="0" fontId="19" fillId="4" borderId="1" xfId="0" applyFont="1" applyFill="1" applyBorder="1" applyAlignment="1">
      <alignment horizontal="left" vertical="top" wrapText="1"/>
    </xf>
    <xf numFmtId="0" fontId="19" fillId="5" borderId="13" xfId="0" quotePrefix="1" applyFont="1" applyFill="1" applyBorder="1" applyAlignment="1" applyProtection="1">
      <alignment horizontal="left" vertical="top" wrapText="1"/>
      <protection locked="0"/>
    </xf>
    <xf numFmtId="0" fontId="19" fillId="5" borderId="1" xfId="0" quotePrefix="1" applyFont="1" applyFill="1" applyBorder="1" applyAlignment="1" applyProtection="1">
      <alignment horizontal="left" vertical="top" wrapText="1"/>
      <protection locked="0"/>
    </xf>
    <xf numFmtId="14" fontId="19" fillId="0" borderId="1" xfId="0" applyNumberFormat="1" applyFont="1" applyBorder="1" applyAlignment="1">
      <alignment vertical="top" wrapText="1"/>
    </xf>
    <xf numFmtId="0" fontId="19" fillId="0" borderId="1" xfId="0" quotePrefix="1" applyFont="1" applyBorder="1" applyAlignment="1">
      <alignment vertical="top" wrapText="1"/>
    </xf>
    <xf numFmtId="0" fontId="19" fillId="0" borderId="1" xfId="0" quotePrefix="1" applyFont="1" applyBorder="1" applyAlignment="1">
      <alignment horizontal="left" vertical="center" wrapText="1"/>
    </xf>
    <xf numFmtId="0" fontId="19" fillId="0" borderId="11" xfId="0" applyFont="1" applyBorder="1" applyAlignment="1">
      <alignment vertical="top"/>
    </xf>
    <xf numFmtId="0" fontId="19" fillId="4" borderId="14" xfId="0" applyFont="1" applyFill="1" applyBorder="1" applyAlignment="1">
      <alignment vertical="top"/>
    </xf>
    <xf numFmtId="0" fontId="19" fillId="4" borderId="15" xfId="0" applyFont="1" applyFill="1" applyBorder="1" applyAlignment="1">
      <alignment vertical="top"/>
    </xf>
    <xf numFmtId="0" fontId="16" fillId="0" borderId="0" xfId="0" applyFont="1">
      <alignment vertical="center"/>
    </xf>
    <xf numFmtId="0" fontId="0" fillId="3"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pplyProtection="1">
      <protection locked="0"/>
    </xf>
    <xf numFmtId="0" fontId="0" fillId="0" borderId="1" xfId="0" quotePrefix="1" applyBorder="1" applyAlignment="1" applyProtection="1">
      <protection locked="0"/>
    </xf>
    <xf numFmtId="0" fontId="19" fillId="4" borderId="7" xfId="0" applyFont="1" applyFill="1" applyBorder="1" applyAlignment="1">
      <alignment vertical="top" wrapText="1"/>
    </xf>
    <xf numFmtId="0" fontId="19" fillId="4" borderId="8" xfId="0" applyFont="1" applyFill="1" applyBorder="1" applyAlignment="1">
      <alignment vertical="top" wrapText="1"/>
    </xf>
    <xf numFmtId="0" fontId="19" fillId="4" borderId="3" xfId="0" applyFont="1" applyFill="1" applyBorder="1" applyAlignment="1">
      <alignment vertical="top" wrapText="1"/>
    </xf>
    <xf numFmtId="0" fontId="0" fillId="4" borderId="10" xfId="0" applyFill="1" applyBorder="1" applyAlignment="1">
      <alignment vertical="top"/>
    </xf>
    <xf numFmtId="0" fontId="19" fillId="4" borderId="13" xfId="0" applyFont="1" applyFill="1" applyBorder="1" applyAlignment="1">
      <alignment vertical="top" wrapText="1"/>
    </xf>
    <xf numFmtId="0" fontId="0" fillId="6" borderId="1" xfId="0" applyFill="1" applyBorder="1">
      <alignment vertical="center"/>
    </xf>
    <xf numFmtId="0" fontId="0" fillId="6" borderId="1" xfId="0" applyFill="1" applyBorder="1" applyAlignment="1">
      <alignment vertical="center" wrapText="1"/>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6" fillId="0" borderId="0" xfId="0" applyFont="1" applyAlignment="1"/>
    <xf numFmtId="0" fontId="16" fillId="8"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6" xfId="0" applyFont="1" applyBorder="1" applyAlignment="1"/>
    <xf numFmtId="0" fontId="16" fillId="0" borderId="5" xfId="0" applyFont="1" applyBorder="1">
      <alignment vertical="center"/>
    </xf>
    <xf numFmtId="0" fontId="14" fillId="0" borderId="0" xfId="19" applyFont="1">
      <alignment vertical="center"/>
    </xf>
    <xf numFmtId="0" fontId="21" fillId="3" borderId="11" xfId="0" applyFont="1" applyFill="1" applyBorder="1" applyAlignment="1">
      <alignment horizontal="left" vertical="top" wrapText="1"/>
    </xf>
    <xf numFmtId="0" fontId="19" fillId="0" borderId="1" xfId="0" quotePrefix="1" applyFont="1" applyBorder="1" applyAlignment="1">
      <alignment horizontal="left" vertical="top" wrapText="1"/>
    </xf>
    <xf numFmtId="0" fontId="19" fillId="0" borderId="10" xfId="0" applyFont="1" applyBorder="1" applyAlignment="1">
      <alignment vertical="top"/>
    </xf>
    <xf numFmtId="0" fontId="14" fillId="0" borderId="0" xfId="20" applyFont="1">
      <alignment vertical="center"/>
    </xf>
    <xf numFmtId="0" fontId="19" fillId="0" borderId="2" xfId="0" applyFont="1" applyBorder="1" applyAlignment="1">
      <alignment vertical="top"/>
    </xf>
    <xf numFmtId="0" fontId="19" fillId="0" borderId="5" xfId="0" applyFont="1" applyBorder="1" applyAlignment="1">
      <alignment vertical="top"/>
    </xf>
    <xf numFmtId="0" fontId="19" fillId="0" borderId="7" xfId="0" applyFont="1" applyBorder="1" applyAlignment="1">
      <alignment vertical="top"/>
    </xf>
    <xf numFmtId="0" fontId="18" fillId="4" borderId="13" xfId="0" applyFont="1" applyFill="1" applyBorder="1" applyAlignment="1">
      <alignment vertical="center" wrapText="1"/>
    </xf>
    <xf numFmtId="0" fontId="18" fillId="4" borderId="14" xfId="0" applyFont="1" applyFill="1" applyBorder="1" applyAlignment="1">
      <alignment vertical="center" wrapText="1"/>
    </xf>
    <xf numFmtId="0" fontId="14" fillId="0" borderId="0" xfId="21" applyFont="1">
      <alignment vertical="center"/>
    </xf>
    <xf numFmtId="49" fontId="0" fillId="0" borderId="0" xfId="0" applyNumberFormat="1">
      <alignment vertical="center"/>
    </xf>
    <xf numFmtId="0" fontId="21" fillId="3" borderId="1" xfId="0" applyFont="1" applyFill="1" applyBorder="1" applyAlignment="1">
      <alignment horizontal="center" vertical="top"/>
    </xf>
    <xf numFmtId="49" fontId="21" fillId="4" borderId="1" xfId="0" applyNumberFormat="1" applyFont="1" applyFill="1" applyBorder="1" applyAlignment="1">
      <alignment horizontal="center" vertical="top"/>
    </xf>
    <xf numFmtId="0" fontId="19" fillId="0" borderId="1" xfId="0" applyFont="1" applyBorder="1" applyAlignment="1">
      <alignment vertical="top"/>
    </xf>
    <xf numFmtId="0" fontId="19" fillId="8" borderId="12" xfId="0" applyFont="1" applyFill="1" applyBorder="1" applyAlignment="1">
      <alignment vertical="top" wrapText="1"/>
    </xf>
    <xf numFmtId="0" fontId="19"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49" fontId="19" fillId="5" borderId="1" xfId="0" applyNumberFormat="1" applyFont="1" applyFill="1" applyBorder="1" applyAlignment="1" applyProtection="1">
      <alignment horizontal="left" vertical="top" wrapText="1"/>
      <protection locked="0"/>
    </xf>
    <xf numFmtId="0" fontId="19" fillId="8" borderId="10" xfId="0" applyFont="1" applyFill="1" applyBorder="1" applyAlignment="1">
      <alignment vertical="top" wrapText="1"/>
    </xf>
    <xf numFmtId="0" fontId="31" fillId="0" borderId="0" xfId="0" applyFont="1">
      <alignment vertical="center"/>
    </xf>
    <xf numFmtId="0" fontId="0" fillId="6" borderId="1" xfId="0" applyFill="1" applyBorder="1" applyAlignment="1">
      <alignment horizontal="center" vertical="center" wrapText="1"/>
    </xf>
    <xf numFmtId="0" fontId="22" fillId="0" borderId="0" xfId="3" applyAlignment="1" applyProtection="1">
      <alignment vertical="center" wrapText="1"/>
    </xf>
    <xf numFmtId="0" fontId="0" fillId="3" borderId="1" xfId="0" applyFill="1" applyBorder="1" applyAlignment="1">
      <alignment vertical="center" wrapText="1"/>
    </xf>
    <xf numFmtId="0" fontId="22" fillId="0" borderId="1" xfId="3" applyBorder="1" applyAlignment="1" applyProtection="1">
      <alignment vertical="center" wrapText="1"/>
    </xf>
    <xf numFmtId="0" fontId="0" fillId="0" borderId="0" xfId="0" applyAlignment="1">
      <alignmen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 xfId="0" applyFont="1" applyBorder="1" applyAlignment="1">
      <alignment horizontal="left" vertical="top" wrapText="1"/>
    </xf>
    <xf numFmtId="0" fontId="32" fillId="9" borderId="1" xfId="0" applyFont="1" applyFill="1" applyBorder="1" applyAlignment="1">
      <alignment horizontal="left" vertical="top" wrapText="1"/>
    </xf>
    <xf numFmtId="0" fontId="19" fillId="0" borderId="0" xfId="0" applyFont="1">
      <alignment vertical="center"/>
    </xf>
    <xf numFmtId="0" fontId="19" fillId="0" borderId="0" xfId="0" applyFont="1" applyAlignment="1">
      <alignment horizontal="left" vertical="center"/>
    </xf>
    <xf numFmtId="0" fontId="19" fillId="2" borderId="11" xfId="0" applyFont="1" applyFill="1" applyBorder="1" applyAlignment="1" applyProtection="1">
      <protection locked="0"/>
    </xf>
    <xf numFmtId="0" fontId="19" fillId="2" borderId="1" xfId="0" applyFont="1" applyFill="1" applyBorder="1" applyAlignment="1" applyProtection="1">
      <protection locked="0"/>
    </xf>
    <xf numFmtId="0" fontId="19" fillId="2" borderId="12" xfId="0" applyFont="1" applyFill="1" applyBorder="1" applyAlignment="1" applyProtection="1">
      <protection locked="0"/>
    </xf>
    <xf numFmtId="0" fontId="19" fillId="2" borderId="10" xfId="0" applyFont="1" applyFill="1" applyBorder="1" applyAlignment="1" applyProtection="1">
      <protection locked="0"/>
    </xf>
    <xf numFmtId="0" fontId="18" fillId="4" borderId="7" xfId="0" applyFont="1" applyFill="1" applyBorder="1" applyAlignment="1">
      <alignment vertical="top" wrapText="1"/>
    </xf>
    <xf numFmtId="0" fontId="18" fillId="4" borderId="9" xfId="0" applyFont="1" applyFill="1" applyBorder="1" applyAlignment="1">
      <alignment vertical="center" wrapText="1"/>
    </xf>
    <xf numFmtId="0" fontId="18" fillId="4" borderId="15" xfId="0" applyFont="1" applyFill="1" applyBorder="1" applyAlignment="1">
      <alignment vertical="top" wrapText="1"/>
    </xf>
    <xf numFmtId="0" fontId="19" fillId="4" borderId="1" xfId="0" applyFont="1" applyFill="1" applyBorder="1" applyAlignment="1">
      <alignment vertical="top"/>
    </xf>
    <xf numFmtId="0" fontId="19" fillId="2" borderId="14" xfId="0" applyFont="1" applyFill="1" applyBorder="1" applyAlignment="1" applyProtection="1">
      <protection locked="0"/>
    </xf>
    <xf numFmtId="0" fontId="19" fillId="2" borderId="0" xfId="0" applyFont="1" applyFill="1" applyAlignment="1" applyProtection="1">
      <protection locked="0"/>
    </xf>
    <xf numFmtId="0" fontId="19" fillId="4" borderId="10" xfId="0" applyFont="1" applyFill="1" applyBorder="1" applyAlignment="1">
      <alignment vertical="top"/>
    </xf>
    <xf numFmtId="0" fontId="19" fillId="4" borderId="13" xfId="0" applyFont="1" applyFill="1" applyBorder="1" applyAlignment="1">
      <alignment vertical="top"/>
    </xf>
    <xf numFmtId="0" fontId="19" fillId="0" borderId="11" xfId="0" applyFont="1" applyBorder="1">
      <alignment vertical="center"/>
    </xf>
    <xf numFmtId="0" fontId="19" fillId="0" borderId="12" xfId="0" applyFont="1" applyBorder="1" applyAlignment="1">
      <alignment vertical="top"/>
    </xf>
    <xf numFmtId="0" fontId="19" fillId="0" borderId="12" xfId="0" applyFont="1" applyBorder="1">
      <alignment vertical="center"/>
    </xf>
    <xf numFmtId="0" fontId="19" fillId="0" borderId="10" xfId="0" applyFont="1" applyBorder="1">
      <alignment vertical="center"/>
    </xf>
    <xf numFmtId="19" fontId="19" fillId="2" borderId="1" xfId="0" applyNumberFormat="1" applyFont="1" applyFill="1" applyBorder="1" applyAlignment="1" applyProtection="1">
      <protection locked="0"/>
    </xf>
    <xf numFmtId="0" fontId="19" fillId="0" borderId="1" xfId="0" applyFont="1" applyBorder="1" applyAlignment="1" applyProtection="1">
      <protection locked="0"/>
    </xf>
    <xf numFmtId="0" fontId="19" fillId="0" borderId="1" xfId="0" quotePrefix="1" applyFont="1" applyBorder="1" applyAlignment="1" applyProtection="1">
      <protection locked="0"/>
    </xf>
    <xf numFmtId="0" fontId="19" fillId="0" borderId="14" xfId="0" applyFont="1" applyBorder="1" applyAlignment="1" applyProtection="1">
      <protection locked="0"/>
    </xf>
    <xf numFmtId="0" fontId="19" fillId="2" borderId="1" xfId="0" applyFont="1" applyFill="1" applyBorder="1" applyAlignment="1" applyProtection="1">
      <alignment vertical="top" wrapText="1"/>
      <protection locked="0"/>
    </xf>
    <xf numFmtId="14" fontId="19" fillId="2" borderId="1" xfId="0" applyNumberFormat="1" applyFont="1" applyFill="1" applyBorder="1" applyAlignment="1" applyProtection="1">
      <alignment vertical="top"/>
      <protection locked="0"/>
    </xf>
    <xf numFmtId="49" fontId="19" fillId="0" borderId="0" xfId="0" applyNumberFormat="1" applyFont="1">
      <alignment vertical="center"/>
    </xf>
    <xf numFmtId="22" fontId="19" fillId="2" borderId="1" xfId="0" applyNumberFormat="1" applyFont="1" applyFill="1" applyBorder="1" applyAlignment="1" applyProtection="1">
      <protection locked="0"/>
    </xf>
    <xf numFmtId="0" fontId="19" fillId="2" borderId="14" xfId="0" quotePrefix="1" applyFont="1" applyFill="1" applyBorder="1" applyAlignment="1" applyProtection="1">
      <protection locked="0"/>
    </xf>
    <xf numFmtId="22" fontId="19" fillId="0" borderId="1" xfId="0" applyNumberFormat="1" applyFont="1" applyBorder="1" applyAlignment="1" applyProtection="1">
      <protection locked="0"/>
    </xf>
    <xf numFmtId="0" fontId="19" fillId="0" borderId="0" xfId="0" applyFont="1" applyAlignment="1">
      <alignment vertical="top"/>
    </xf>
    <xf numFmtId="0" fontId="19" fillId="2" borderId="1" xfId="0" applyFont="1" applyFill="1" applyBorder="1" applyAlignment="1" applyProtection="1">
      <alignment vertical="top"/>
      <protection locked="0"/>
    </xf>
    <xf numFmtId="0" fontId="19" fillId="2" borderId="14" xfId="0" applyFont="1" applyFill="1" applyBorder="1" applyAlignment="1" applyProtection="1">
      <alignment vertical="top" wrapText="1"/>
      <protection locked="0"/>
    </xf>
    <xf numFmtId="0" fontId="19" fillId="0" borderId="1" xfId="0" quotePrefix="1" applyFont="1" applyBorder="1" applyAlignment="1" applyProtection="1">
      <alignment vertical="top"/>
      <protection locked="0"/>
    </xf>
    <xf numFmtId="22" fontId="19" fillId="2" borderId="1" xfId="0" applyNumberFormat="1" applyFont="1" applyFill="1" applyBorder="1" applyAlignment="1" applyProtection="1">
      <alignment vertical="top"/>
      <protection locked="0"/>
    </xf>
    <xf numFmtId="0" fontId="19" fillId="0" borderId="1" xfId="0" applyFont="1" applyBorder="1" applyAlignment="1" applyProtection="1">
      <alignment vertical="top"/>
      <protection locked="0"/>
    </xf>
    <xf numFmtId="0" fontId="19" fillId="4" borderId="2" xfId="0" applyFont="1" applyFill="1" applyBorder="1" applyAlignment="1">
      <alignment vertical="top" wrapText="1"/>
    </xf>
    <xf numFmtId="0" fontId="19" fillId="4" borderId="4" xfId="0" applyFont="1" applyFill="1" applyBorder="1" applyAlignment="1">
      <alignment vertical="top" wrapText="1"/>
    </xf>
    <xf numFmtId="0" fontId="19" fillId="4" borderId="9" xfId="0" applyFont="1" applyFill="1" applyBorder="1" applyAlignment="1">
      <alignment vertical="top" wrapText="1"/>
    </xf>
    <xf numFmtId="0" fontId="33" fillId="9" borderId="14" xfId="3" applyFont="1" applyFill="1" applyBorder="1" applyAlignment="1" applyProtection="1">
      <protection locked="0"/>
    </xf>
    <xf numFmtId="0" fontId="22" fillId="6" borderId="1" xfId="3" applyFill="1" applyBorder="1" applyAlignment="1" applyProtection="1">
      <alignment vertical="center" wrapText="1"/>
    </xf>
    <xf numFmtId="14" fontId="0" fillId="6" borderId="1" xfId="0" applyNumberFormat="1" applyFill="1" applyBorder="1" applyAlignment="1">
      <alignment horizontal="center" vertical="center" wrapText="1"/>
    </xf>
    <xf numFmtId="0" fontId="22" fillId="6" borderId="1" xfId="3" applyFill="1" applyBorder="1" applyAlignment="1">
      <alignmen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4" xfId="0" applyNumberFormat="1" applyFont="1" applyBorder="1" applyAlignment="1">
      <alignment horizontal="center" vertical="center"/>
    </xf>
    <xf numFmtId="14" fontId="16" fillId="0" borderId="15" xfId="0" applyNumberFormat="1" applyFont="1" applyBorder="1" applyAlignment="1">
      <alignment horizontal="center" vertical="center"/>
    </xf>
    <xf numFmtId="14" fontId="16" fillId="0" borderId="13" xfId="0" applyNumberFormat="1" applyFont="1" applyBorder="1" applyAlignment="1">
      <alignment horizontal="center" vertical="center"/>
    </xf>
    <xf numFmtId="0" fontId="29" fillId="0" borderId="0" xfId="0" applyFont="1" applyAlignment="1">
      <alignment horizontal="center" vertical="center"/>
    </xf>
    <xf numFmtId="0" fontId="24" fillId="0" borderId="0" xfId="0" applyFont="1" applyAlignment="1">
      <alignment horizontal="center"/>
    </xf>
    <xf numFmtId="0" fontId="24" fillId="0" borderId="16" xfId="0"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0" fontId="28" fillId="0" borderId="0" xfId="0" applyFont="1" applyAlignment="1">
      <alignment horizontal="center" vertical="center"/>
    </xf>
    <xf numFmtId="0" fontId="28" fillId="0" borderId="6" xfId="0" applyFont="1" applyBorder="1" applyAlignment="1">
      <alignment horizontal="center" vertical="center"/>
    </xf>
    <xf numFmtId="0" fontId="24" fillId="0" borderId="5" xfId="0" applyFont="1" applyBorder="1" applyAlignment="1">
      <alignment horizontal="center" vertical="center"/>
    </xf>
    <xf numFmtId="0" fontId="24" fillId="0" borderId="0" xfId="0" applyFont="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4" fontId="29" fillId="0" borderId="0" xfId="0" applyNumberFormat="1" applyFont="1" applyAlignment="1">
      <alignment horizontal="center" vertical="center"/>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center" vertical="top" wrapText="1"/>
    </xf>
    <xf numFmtId="0" fontId="19" fillId="0" borderId="10" xfId="0" applyFont="1" applyBorder="1" applyAlignment="1">
      <alignment horizontal="center" vertical="top" wrapText="1"/>
    </xf>
    <xf numFmtId="0" fontId="19" fillId="0" borderId="12" xfId="0" applyFont="1" applyBorder="1" applyAlignment="1">
      <alignment horizontal="center" vertical="top" wrapText="1"/>
    </xf>
    <xf numFmtId="0" fontId="19" fillId="4" borderId="14" xfId="0" applyFont="1" applyFill="1" applyBorder="1">
      <alignment vertical="center"/>
    </xf>
    <xf numFmtId="0" fontId="19" fillId="4" borderId="1" xfId="0" applyFont="1" applyFill="1" applyBorder="1">
      <alignment vertical="center"/>
    </xf>
    <xf numFmtId="0" fontId="19" fillId="0" borderId="1" xfId="0" applyFont="1" applyBorder="1" applyAlignment="1">
      <alignment horizontal="left" vertical="top" wrapText="1"/>
    </xf>
    <xf numFmtId="0" fontId="0" fillId="4" borderId="14" xfId="0" applyFill="1" applyBorder="1">
      <alignment vertical="center"/>
    </xf>
    <xf numFmtId="0" fontId="0" fillId="4" borderId="1" xfId="0" applyFill="1" applyBorder="1">
      <alignment vertical="center"/>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3" xfId="11" xr:uid="{AB8DAD6B-6F07-4F84-AFF4-9001F04CD5BE}"/>
    <cellStyle name="標準 2 2 4" xfId="13" xr:uid="{FAA0CA57-CC80-47D6-86EC-D6EBE1EFFACE}"/>
    <cellStyle name="標準 2 2 5" xfId="16" xr:uid="{E5DF0B54-4131-4DE9-9DB1-750321913798}"/>
    <cellStyle name="標準 2 2 5 2" xfId="20" xr:uid="{15F69B9D-E7B5-4D35-95D5-3FA2F3E158B0}"/>
    <cellStyle name="標準 2 2 6" xfId="17" xr:uid="{1971A619-BC4E-45E2-8048-C5D213C8D061}"/>
    <cellStyle name="標準 2 2 7" xfId="19" xr:uid="{CAD43E89-5415-4D85-9BB2-226C5D13F0B7}"/>
    <cellStyle name="標準 2 3" xfId="12" xr:uid="{1C014ACD-DAA1-4DF1-9B40-427746B15741}"/>
    <cellStyle name="標準 2 4" xfId="15" xr:uid="{9F25C8E6-9714-4DB7-8282-F332EBEF3C83}"/>
    <cellStyle name="標準 2 5" xfId="21" xr:uid="{EBC0B96D-EB7B-40D8-A120-01F3AE571C35}"/>
    <cellStyle name="標準 2 6" xfId="18" xr:uid="{0F8CADF4-3B6D-43D7-984F-7268F7E2B72E}"/>
    <cellStyle name="標準 2 6 2" xfId="22" xr:uid="{08BD17F0-60D2-4AB8-9522-75A3A22FDEE6}"/>
    <cellStyle name="標準 3" xfId="10" xr:uid="{942EA3AA-1AAC-488E-A27D-5DABE16255B0}"/>
  </cellStyles>
  <dxfs count="8">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s>
  <tableStyles count="0" defaultTableStyle="TableStyleMedium2" defaultPivotStyle="PivotStyleLight16"/>
  <colors>
    <mruColors>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xxxx@jp.sustar.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D170-71E2-4B4D-95C2-9287883E6B8C}">
  <sheetPr>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68"/>
  </cols>
  <sheetData>
    <row r="1" spans="1:37" ht="15" customHeight="1" x14ac:dyDescent="0.35">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row>
    <row r="2" spans="1:37" ht="15" customHeight="1" x14ac:dyDescent="0.35">
      <c r="A2" s="67"/>
      <c r="B2" s="67"/>
      <c r="C2" s="69"/>
      <c r="D2" s="69"/>
      <c r="E2" s="69"/>
      <c r="F2" s="69"/>
      <c r="G2" s="69"/>
      <c r="H2" s="69"/>
      <c r="I2" s="69"/>
      <c r="J2" s="69"/>
      <c r="K2" s="69"/>
      <c r="L2" s="69"/>
      <c r="M2" s="69"/>
      <c r="N2" s="69"/>
      <c r="O2" s="69"/>
      <c r="P2" s="69"/>
      <c r="Q2" s="69"/>
      <c r="R2" s="67"/>
      <c r="S2" s="67"/>
      <c r="T2" s="67"/>
      <c r="U2" s="67"/>
      <c r="V2" s="67"/>
      <c r="W2" s="67"/>
      <c r="X2" s="67"/>
      <c r="Y2" s="67"/>
      <c r="Z2" s="67"/>
      <c r="AA2" s="67"/>
      <c r="AB2" s="67"/>
      <c r="AC2" s="67"/>
      <c r="AD2" s="67"/>
      <c r="AE2" s="67"/>
      <c r="AF2" s="67"/>
      <c r="AG2" s="67"/>
      <c r="AH2" s="67"/>
      <c r="AI2" s="67"/>
      <c r="AJ2" s="67"/>
      <c r="AK2" s="67"/>
    </row>
    <row r="3" spans="1:37" ht="15" customHeight="1" x14ac:dyDescent="0.35">
      <c r="A3" s="67"/>
      <c r="B3" s="70" t="s">
        <v>496</v>
      </c>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row>
    <row r="4" spans="1:37" ht="15" customHeight="1" x14ac:dyDescent="0.55000000000000004">
      <c r="A4" s="71"/>
      <c r="B4" s="71"/>
      <c r="C4" s="71"/>
      <c r="D4" s="71"/>
      <c r="E4" s="71"/>
      <c r="F4" s="71"/>
      <c r="G4" s="71"/>
      <c r="H4" s="71"/>
      <c r="I4" s="71"/>
      <c r="J4" s="166"/>
      <c r="K4" s="166"/>
      <c r="L4" s="166"/>
      <c r="M4" s="67"/>
      <c r="N4" s="67"/>
      <c r="O4" s="67"/>
      <c r="P4" s="67"/>
      <c r="Q4" s="67"/>
      <c r="R4" s="67"/>
      <c r="S4" s="67"/>
      <c r="T4" s="67"/>
      <c r="U4" s="67"/>
      <c r="V4" s="67"/>
      <c r="W4" s="67"/>
      <c r="X4" s="67"/>
      <c r="Y4" s="67"/>
      <c r="Z4" s="67"/>
      <c r="AA4" s="67"/>
      <c r="AB4" s="67"/>
      <c r="AC4" s="67"/>
      <c r="AD4" s="67"/>
      <c r="AE4" s="67"/>
      <c r="AF4" s="67"/>
      <c r="AG4" s="67"/>
      <c r="AH4" s="67"/>
      <c r="AI4" s="67"/>
      <c r="AJ4" s="67"/>
      <c r="AK4" s="67"/>
    </row>
    <row r="5" spans="1:37" ht="15" customHeight="1" x14ac:dyDescent="0.55000000000000004">
      <c r="A5" s="72"/>
      <c r="B5" s="72"/>
      <c r="C5" s="72"/>
      <c r="D5" s="72"/>
      <c r="E5" s="72"/>
      <c r="F5" s="72"/>
      <c r="G5" s="72"/>
      <c r="H5" s="72"/>
      <c r="I5" s="72"/>
      <c r="J5" s="167"/>
      <c r="K5" s="167"/>
      <c r="L5" s="167"/>
      <c r="M5" s="67"/>
      <c r="N5" s="67"/>
      <c r="O5" s="67"/>
      <c r="P5" s="67"/>
      <c r="Q5" s="67"/>
      <c r="R5" s="67"/>
      <c r="S5" s="67"/>
      <c r="T5" s="67"/>
      <c r="U5" s="67"/>
      <c r="V5" s="67"/>
      <c r="W5" s="67"/>
      <c r="X5" s="67"/>
      <c r="Y5" s="67"/>
      <c r="Z5" s="67"/>
      <c r="AA5" s="67"/>
      <c r="AB5" s="67"/>
      <c r="AC5" s="67"/>
      <c r="AD5" s="67"/>
      <c r="AE5" s="67"/>
      <c r="AF5" s="67"/>
      <c r="AG5" s="67"/>
      <c r="AH5" s="67"/>
      <c r="AI5" s="67"/>
      <c r="AJ5" s="67"/>
      <c r="AK5" s="67"/>
    </row>
    <row r="6" spans="1:37" ht="15" customHeight="1" x14ac:dyDescent="0.3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row>
    <row r="7" spans="1:37" ht="15" customHeight="1" x14ac:dyDescent="0.35">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row>
    <row r="8" spans="1:37" ht="15" customHeight="1" x14ac:dyDescent="0.35">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row>
    <row r="9" spans="1:37" ht="15" customHeight="1" x14ac:dyDescent="0.35">
      <c r="A9" s="67"/>
      <c r="B9" s="67"/>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row>
    <row r="10" spans="1:37" ht="15" customHeight="1" x14ac:dyDescent="0.35">
      <c r="A10" s="67"/>
      <c r="B10" s="168" t="s">
        <v>497</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70"/>
      <c r="AF10" s="67"/>
      <c r="AG10" s="67"/>
      <c r="AH10" s="67"/>
      <c r="AI10" s="67"/>
      <c r="AJ10" s="67"/>
      <c r="AK10" s="67"/>
    </row>
    <row r="11" spans="1:37" ht="15" customHeight="1" x14ac:dyDescent="0.35">
      <c r="A11" s="67"/>
      <c r="B11" s="171"/>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3"/>
      <c r="AF11" s="67"/>
      <c r="AG11" s="67"/>
      <c r="AH11" s="67"/>
      <c r="AI11" s="67"/>
      <c r="AJ11" s="67"/>
      <c r="AK11" s="67"/>
    </row>
    <row r="12" spans="1:37" ht="15" customHeight="1" x14ac:dyDescent="0.35">
      <c r="A12" s="67"/>
      <c r="B12" s="171"/>
      <c r="C12" s="172"/>
      <c r="D12" s="172"/>
      <c r="E12" s="172"/>
      <c r="F12" s="172"/>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3"/>
      <c r="AF12" s="67"/>
      <c r="AG12" s="67"/>
      <c r="AH12" s="67"/>
      <c r="AI12" s="67"/>
      <c r="AJ12" s="67"/>
      <c r="AK12" s="67"/>
    </row>
    <row r="13" spans="1:37" ht="15" customHeight="1" x14ac:dyDescent="0.35">
      <c r="A13" s="67"/>
      <c r="B13" s="171"/>
      <c r="C13" s="172"/>
      <c r="D13" s="172"/>
      <c r="E13" s="172"/>
      <c r="F13" s="172"/>
      <c r="G13" s="172"/>
      <c r="H13" s="172"/>
      <c r="I13" s="172"/>
      <c r="J13" s="172"/>
      <c r="K13" s="172"/>
      <c r="L13" s="172"/>
      <c r="M13" s="172"/>
      <c r="N13" s="172"/>
      <c r="O13" s="172"/>
      <c r="P13" s="172"/>
      <c r="Q13" s="172"/>
      <c r="R13" s="172"/>
      <c r="S13" s="172"/>
      <c r="T13" s="172"/>
      <c r="U13" s="172"/>
      <c r="V13" s="172"/>
      <c r="W13" s="172"/>
      <c r="X13" s="172"/>
      <c r="Y13" s="172"/>
      <c r="Z13" s="172"/>
      <c r="AA13" s="172"/>
      <c r="AB13" s="172"/>
      <c r="AC13" s="172"/>
      <c r="AD13" s="172"/>
      <c r="AE13" s="173"/>
      <c r="AF13" s="67"/>
      <c r="AG13" s="67"/>
      <c r="AH13" s="67"/>
      <c r="AI13" s="67"/>
      <c r="AJ13" s="67"/>
      <c r="AK13" s="67"/>
    </row>
    <row r="14" spans="1:37" ht="15" customHeight="1" x14ac:dyDescent="0.35">
      <c r="A14" s="67"/>
      <c r="B14" s="174" t="s">
        <v>525</v>
      </c>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6"/>
      <c r="AF14" s="67"/>
      <c r="AG14" s="67"/>
      <c r="AH14" s="67"/>
      <c r="AI14" s="67"/>
      <c r="AJ14" s="67"/>
      <c r="AK14" s="67"/>
    </row>
    <row r="15" spans="1:37" ht="15" customHeight="1" x14ac:dyDescent="0.35">
      <c r="A15" s="67"/>
      <c r="B15" s="174"/>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6"/>
      <c r="AF15" s="67"/>
      <c r="AG15" s="67"/>
      <c r="AH15" s="67"/>
      <c r="AI15" s="67"/>
      <c r="AJ15" s="67"/>
      <c r="AK15" s="67"/>
    </row>
    <row r="16" spans="1:37" ht="15" customHeight="1" x14ac:dyDescent="0.35">
      <c r="A16" s="67"/>
      <c r="B16" s="177"/>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9"/>
      <c r="AF16" s="67"/>
      <c r="AG16" s="67"/>
      <c r="AH16" s="67"/>
      <c r="AI16" s="67"/>
      <c r="AJ16" s="67"/>
      <c r="AK16" s="67"/>
    </row>
    <row r="17" spans="1:37" ht="15" customHeight="1" x14ac:dyDescent="0.35">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row>
    <row r="18" spans="1:37" ht="15" customHeight="1" x14ac:dyDescent="0.35">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row>
    <row r="19" spans="1:37" ht="15" customHeight="1" x14ac:dyDescent="0.35">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row>
    <row r="20" spans="1:37" ht="15" customHeight="1" x14ac:dyDescent="0.35">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row>
    <row r="21" spans="1:37" ht="15" customHeight="1" x14ac:dyDescent="0.35">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row>
    <row r="22" spans="1:37" ht="15" customHeight="1" x14ac:dyDescent="0.35">
      <c r="A22" s="67"/>
      <c r="B22" s="165" t="s">
        <v>442</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67"/>
      <c r="AG22" s="67"/>
      <c r="AH22" s="67"/>
      <c r="AI22" s="67"/>
      <c r="AJ22" s="67"/>
      <c r="AK22" s="67"/>
    </row>
    <row r="23" spans="1:37" ht="15" customHeight="1" x14ac:dyDescent="0.35">
      <c r="A23" s="67"/>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67"/>
      <c r="AG23" s="67"/>
      <c r="AH23" s="67"/>
      <c r="AI23" s="67"/>
      <c r="AJ23" s="67"/>
      <c r="AK23" s="67"/>
    </row>
    <row r="24" spans="1:37" ht="15" customHeight="1" x14ac:dyDescent="0.35">
      <c r="A24" s="67"/>
      <c r="B24" s="180">
        <v>45546</v>
      </c>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67"/>
      <c r="AG24" s="67"/>
      <c r="AH24" s="67"/>
      <c r="AI24" s="67"/>
      <c r="AJ24" s="67"/>
      <c r="AK24" s="67"/>
    </row>
    <row r="25" spans="1:37" ht="15" customHeight="1" x14ac:dyDescent="0.35">
      <c r="A25" s="67"/>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67"/>
      <c r="AG25" s="67"/>
      <c r="AH25" s="67"/>
      <c r="AI25" s="67"/>
      <c r="AJ25" s="67"/>
      <c r="AK25" s="67"/>
    </row>
    <row r="26" spans="1:37" ht="15" customHeight="1" x14ac:dyDescent="0.35">
      <c r="A26" s="67"/>
      <c r="B26" s="165" t="s">
        <v>0</v>
      </c>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67"/>
      <c r="AG26" s="67"/>
      <c r="AH26" s="67"/>
      <c r="AI26" s="67"/>
      <c r="AJ26" s="67"/>
      <c r="AK26" s="67"/>
    </row>
    <row r="27" spans="1:37" ht="15" customHeight="1" x14ac:dyDescent="0.35">
      <c r="A27" s="67"/>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67"/>
      <c r="AG27" s="67"/>
      <c r="AH27" s="67"/>
      <c r="AI27" s="67"/>
      <c r="AJ27" s="67"/>
      <c r="AK27" s="67"/>
    </row>
    <row r="28" spans="1:37" ht="15" customHeight="1" x14ac:dyDescent="0.35">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row>
    <row r="29" spans="1:37" ht="15" customHeight="1" x14ac:dyDescent="0.35">
      <c r="A29" s="67"/>
      <c r="B29" s="67"/>
      <c r="C29" s="67"/>
      <c r="D29" s="67"/>
      <c r="E29" s="67"/>
      <c r="F29" s="160" t="s">
        <v>443</v>
      </c>
      <c r="G29" s="160"/>
      <c r="H29" s="160"/>
      <c r="I29" s="160"/>
      <c r="J29" s="160"/>
      <c r="K29" s="160"/>
      <c r="L29" s="50"/>
      <c r="M29" s="50"/>
      <c r="N29" s="50"/>
      <c r="O29" s="152" t="s">
        <v>444</v>
      </c>
      <c r="P29" s="160"/>
      <c r="Q29" s="160"/>
      <c r="R29" s="160"/>
      <c r="S29" s="50"/>
      <c r="T29" s="50"/>
      <c r="U29" s="50"/>
      <c r="V29" s="67"/>
      <c r="W29" s="67"/>
      <c r="X29" s="67"/>
      <c r="Y29" s="67"/>
      <c r="Z29" s="67"/>
      <c r="AA29" s="67"/>
      <c r="AB29" s="67"/>
      <c r="AC29" s="67"/>
      <c r="AD29" s="67"/>
      <c r="AE29" s="67"/>
      <c r="AF29" s="67"/>
      <c r="AG29" s="67"/>
      <c r="AH29" s="67"/>
      <c r="AI29" s="67"/>
      <c r="AJ29" s="67"/>
      <c r="AK29" s="67"/>
    </row>
    <row r="30" spans="1:37" x14ac:dyDescent="0.35">
      <c r="A30" s="67"/>
      <c r="B30" s="67"/>
      <c r="C30" s="67"/>
      <c r="D30" s="67"/>
      <c r="E30" s="67"/>
      <c r="F30" s="162">
        <v>45546</v>
      </c>
      <c r="G30" s="163"/>
      <c r="H30" s="163"/>
      <c r="I30" s="163"/>
      <c r="J30" s="163"/>
      <c r="K30" s="163"/>
      <c r="L30" s="73"/>
      <c r="M30" s="50"/>
      <c r="N30" s="162" t="s">
        <v>485</v>
      </c>
      <c r="O30" s="163"/>
      <c r="P30" s="163"/>
      <c r="Q30" s="163"/>
      <c r="R30" s="163"/>
      <c r="S30" s="164"/>
      <c r="T30" s="50"/>
      <c r="U30" s="50"/>
      <c r="V30" s="67"/>
      <c r="W30" s="67"/>
      <c r="X30" s="67"/>
      <c r="Y30" s="67"/>
      <c r="Z30" s="67"/>
      <c r="AA30" s="67"/>
      <c r="AB30" s="67"/>
      <c r="AC30" s="67"/>
      <c r="AD30" s="67"/>
      <c r="AE30" s="67"/>
      <c r="AF30" s="67"/>
      <c r="AG30" s="67"/>
      <c r="AH30" s="67"/>
      <c r="AI30" s="67"/>
      <c r="AJ30" s="67"/>
      <c r="AK30" s="67"/>
    </row>
    <row r="31" spans="1:37" ht="15" customHeight="1" x14ac:dyDescent="0.35">
      <c r="A31" s="67"/>
      <c r="B31" s="67"/>
      <c r="C31" s="67"/>
      <c r="D31" s="67"/>
      <c r="E31" s="67"/>
      <c r="F31" s="145" t="s">
        <v>495</v>
      </c>
      <c r="G31" s="146"/>
      <c r="H31" s="146"/>
      <c r="I31" s="146"/>
      <c r="J31" s="146"/>
      <c r="K31" s="147"/>
      <c r="L31" s="73"/>
      <c r="M31" s="50"/>
      <c r="N31" s="145" t="s">
        <v>445</v>
      </c>
      <c r="O31" s="154"/>
      <c r="P31" s="154"/>
      <c r="Q31" s="154"/>
      <c r="R31" s="154"/>
      <c r="S31" s="155"/>
      <c r="T31" s="50"/>
      <c r="U31" s="50"/>
      <c r="V31" s="67"/>
      <c r="W31" s="67"/>
      <c r="X31" s="67"/>
      <c r="Y31" s="67"/>
      <c r="Z31" s="67"/>
      <c r="AA31" s="67"/>
      <c r="AB31" s="67"/>
      <c r="AC31" s="67"/>
      <c r="AD31" s="67"/>
      <c r="AE31" s="67"/>
      <c r="AF31" s="67"/>
      <c r="AG31" s="67"/>
      <c r="AH31" s="67"/>
      <c r="AI31" s="67"/>
      <c r="AJ31" s="67"/>
      <c r="AK31" s="67"/>
    </row>
    <row r="32" spans="1:37" x14ac:dyDescent="0.35">
      <c r="A32" s="67"/>
      <c r="B32" s="67"/>
      <c r="C32" s="67"/>
      <c r="D32" s="67"/>
      <c r="E32" s="67"/>
      <c r="F32" s="148"/>
      <c r="G32" s="149"/>
      <c r="H32" s="149"/>
      <c r="I32" s="149"/>
      <c r="J32" s="149"/>
      <c r="K32" s="150"/>
      <c r="L32" s="73"/>
      <c r="M32" s="50"/>
      <c r="N32" s="156"/>
      <c r="O32" s="157"/>
      <c r="P32" s="157"/>
      <c r="Q32" s="157"/>
      <c r="R32" s="157"/>
      <c r="S32" s="158"/>
      <c r="T32" s="50"/>
      <c r="U32" s="50"/>
      <c r="V32" s="67"/>
      <c r="W32" s="67"/>
      <c r="X32" s="67"/>
      <c r="Y32" s="67"/>
      <c r="Z32" s="67"/>
      <c r="AA32" s="67"/>
      <c r="AB32" s="67"/>
      <c r="AC32" s="67"/>
      <c r="AD32" s="67"/>
      <c r="AE32" s="67"/>
      <c r="AF32" s="67"/>
      <c r="AG32" s="67"/>
      <c r="AH32" s="67"/>
      <c r="AI32" s="67"/>
      <c r="AJ32" s="67"/>
      <c r="AK32" s="67"/>
    </row>
    <row r="33" spans="1:37" x14ac:dyDescent="0.35">
      <c r="A33" s="67"/>
      <c r="B33" s="67"/>
      <c r="C33" s="67"/>
      <c r="D33" s="67"/>
      <c r="E33" s="67"/>
      <c r="F33" s="148"/>
      <c r="G33" s="149"/>
      <c r="H33" s="149"/>
      <c r="I33" s="149"/>
      <c r="J33" s="149"/>
      <c r="K33" s="150"/>
      <c r="L33" s="73"/>
      <c r="M33" s="50"/>
      <c r="N33" s="156"/>
      <c r="O33" s="157"/>
      <c r="P33" s="157"/>
      <c r="Q33" s="157"/>
      <c r="R33" s="157"/>
      <c r="S33" s="158"/>
      <c r="T33" s="50"/>
      <c r="U33" s="50"/>
      <c r="V33" s="67"/>
      <c r="W33" s="67"/>
      <c r="X33" s="67"/>
      <c r="Y33" s="67"/>
      <c r="Z33" s="67"/>
      <c r="AA33" s="67"/>
      <c r="AB33" s="67"/>
      <c r="AC33" s="67"/>
      <c r="AD33" s="67"/>
      <c r="AE33" s="67"/>
      <c r="AF33" s="67"/>
      <c r="AG33" s="67"/>
      <c r="AH33" s="67"/>
      <c r="AI33" s="67"/>
      <c r="AJ33" s="67"/>
      <c r="AK33" s="67"/>
    </row>
    <row r="34" spans="1:37" x14ac:dyDescent="0.35">
      <c r="A34" s="67"/>
      <c r="B34" s="67"/>
      <c r="C34" s="67"/>
      <c r="D34" s="67"/>
      <c r="E34" s="67"/>
      <c r="F34" s="148"/>
      <c r="G34" s="149"/>
      <c r="H34" s="149"/>
      <c r="I34" s="149"/>
      <c r="J34" s="149"/>
      <c r="K34" s="150"/>
      <c r="L34" s="73"/>
      <c r="M34" s="50"/>
      <c r="N34" s="156"/>
      <c r="O34" s="157"/>
      <c r="P34" s="157"/>
      <c r="Q34" s="157"/>
      <c r="R34" s="157"/>
      <c r="S34" s="158"/>
      <c r="T34" s="50"/>
      <c r="U34" s="50"/>
      <c r="V34" s="67"/>
      <c r="W34" s="67"/>
      <c r="X34" s="67"/>
      <c r="Y34" s="67"/>
      <c r="Z34" s="67"/>
      <c r="AA34" s="67"/>
      <c r="AB34" s="67"/>
      <c r="AC34" s="67"/>
      <c r="AD34" s="67"/>
      <c r="AE34" s="67"/>
      <c r="AF34" s="67"/>
      <c r="AG34" s="67"/>
      <c r="AH34" s="67"/>
      <c r="AI34" s="67"/>
      <c r="AJ34" s="67"/>
      <c r="AK34" s="67"/>
    </row>
    <row r="35" spans="1:37" x14ac:dyDescent="0.35">
      <c r="A35" s="67"/>
      <c r="B35" s="67"/>
      <c r="C35" s="67"/>
      <c r="D35" s="67"/>
      <c r="E35" s="67"/>
      <c r="F35" s="151"/>
      <c r="G35" s="152"/>
      <c r="H35" s="152"/>
      <c r="I35" s="152"/>
      <c r="J35" s="152"/>
      <c r="K35" s="153"/>
      <c r="L35" s="73"/>
      <c r="M35" s="50"/>
      <c r="N35" s="159"/>
      <c r="O35" s="160"/>
      <c r="P35" s="160"/>
      <c r="Q35" s="160"/>
      <c r="R35" s="160"/>
      <c r="S35" s="161"/>
      <c r="T35" s="50"/>
      <c r="U35" s="50"/>
      <c r="V35" s="67"/>
      <c r="W35" s="67"/>
      <c r="X35" s="67"/>
      <c r="Y35" s="67"/>
      <c r="Z35" s="67"/>
      <c r="AA35" s="67"/>
      <c r="AB35" s="67"/>
      <c r="AC35" s="67"/>
      <c r="AD35" s="67"/>
      <c r="AE35" s="67"/>
      <c r="AF35" s="67"/>
      <c r="AG35" s="67"/>
      <c r="AH35" s="67"/>
      <c r="AI35" s="67"/>
      <c r="AJ35" s="67"/>
      <c r="AK35" s="67"/>
    </row>
    <row r="36" spans="1:37" ht="15" customHeight="1" x14ac:dyDescent="0.35">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row>
    <row r="37" spans="1:37" ht="15" customHeight="1" x14ac:dyDescent="0.35">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0"/>
  <sheetViews>
    <sheetView showGridLines="0" tabSelected="1" zoomScaleNormal="100" zoomScaleSheetLayoutView="50" workbookViewId="0">
      <pane ySplit="3" topLeftCell="A4" activePane="bottomLeft" state="frozen"/>
      <selection pane="bottomLeft"/>
    </sheetView>
  </sheetViews>
  <sheetFormatPr defaultColWidth="8.85546875" defaultRowHeight="15" x14ac:dyDescent="0.35"/>
  <cols>
    <col min="1" max="1" width="2.78515625" customWidth="1"/>
    <col min="2" max="2" width="3.78515625" bestFit="1" customWidth="1"/>
    <col min="3" max="3" width="10.5" bestFit="1" customWidth="1"/>
    <col min="4" max="4" width="11.35546875" style="5" bestFit="1" customWidth="1"/>
    <col min="5" max="5" width="24.42578125" style="99" bestFit="1" customWidth="1"/>
    <col min="6" max="7" width="12.140625" style="5" bestFit="1" customWidth="1"/>
    <col min="8" max="8" width="93.78515625" customWidth="1"/>
    <col min="9" max="9" width="59.140625" customWidth="1"/>
    <col min="10" max="10" width="9.140625" customWidth="1"/>
  </cols>
  <sheetData>
    <row r="1" spans="1:10" ht="19.5" x14ac:dyDescent="0.35">
      <c r="A1" s="8" t="s">
        <v>486</v>
      </c>
      <c r="E1" s="96"/>
    </row>
    <row r="2" spans="1:10" x14ac:dyDescent="0.35">
      <c r="E2" s="96"/>
      <c r="H2" s="7"/>
    </row>
    <row r="3" spans="1:10" x14ac:dyDescent="0.35">
      <c r="B3" s="6" t="s">
        <v>1</v>
      </c>
      <c r="C3" s="6" t="s">
        <v>3</v>
      </c>
      <c r="D3" s="51" t="s">
        <v>436</v>
      </c>
      <c r="E3" s="97" t="s">
        <v>4</v>
      </c>
      <c r="F3" s="51" t="s">
        <v>488</v>
      </c>
      <c r="G3" s="51" t="s">
        <v>489</v>
      </c>
      <c r="H3" s="6" t="s">
        <v>5</v>
      </c>
      <c r="I3" s="6" t="s">
        <v>6</v>
      </c>
    </row>
    <row r="4" spans="1:10" ht="45" x14ac:dyDescent="0.35">
      <c r="B4" s="60">
        <f t="shared" ref="B4:B7" si="0">ROW()-3</f>
        <v>1</v>
      </c>
      <c r="C4" s="60" t="s">
        <v>7</v>
      </c>
      <c r="D4" s="65" t="s">
        <v>437</v>
      </c>
      <c r="E4" s="142" t="s">
        <v>469</v>
      </c>
      <c r="F4" s="95"/>
      <c r="G4" s="143"/>
      <c r="H4" s="61" t="s">
        <v>513</v>
      </c>
      <c r="I4" s="61" t="s">
        <v>8</v>
      </c>
    </row>
    <row r="5" spans="1:10" x14ac:dyDescent="0.35">
      <c r="B5" s="60">
        <f t="shared" si="0"/>
        <v>2</v>
      </c>
      <c r="C5" s="60" t="s">
        <v>9</v>
      </c>
      <c r="D5" s="65" t="s">
        <v>437</v>
      </c>
      <c r="E5" s="61" t="s">
        <v>11</v>
      </c>
      <c r="F5" s="95"/>
      <c r="G5" s="95"/>
      <c r="H5" s="61" t="s">
        <v>490</v>
      </c>
      <c r="I5" s="61" t="s">
        <v>490</v>
      </c>
    </row>
    <row r="6" spans="1:10" x14ac:dyDescent="0.35">
      <c r="B6" s="60">
        <f t="shared" si="0"/>
        <v>3</v>
      </c>
      <c r="C6" s="60" t="s">
        <v>9</v>
      </c>
      <c r="D6" s="65" t="s">
        <v>437</v>
      </c>
      <c r="E6" s="61" t="s">
        <v>12</v>
      </c>
      <c r="F6" s="95"/>
      <c r="G6" s="95"/>
      <c r="H6" s="61" t="s">
        <v>490</v>
      </c>
      <c r="I6" s="61" t="s">
        <v>490</v>
      </c>
      <c r="J6" s="94"/>
    </row>
    <row r="7" spans="1:10" x14ac:dyDescent="0.35">
      <c r="B7" s="60">
        <f t="shared" si="0"/>
        <v>4</v>
      </c>
      <c r="C7" s="60" t="s">
        <v>9</v>
      </c>
      <c r="D7" s="65" t="s">
        <v>437</v>
      </c>
      <c r="E7" s="61" t="s">
        <v>13</v>
      </c>
      <c r="F7" s="95"/>
      <c r="G7" s="95"/>
      <c r="H7" s="61" t="s">
        <v>490</v>
      </c>
      <c r="I7" s="61" t="s">
        <v>490</v>
      </c>
      <c r="J7" s="94"/>
    </row>
    <row r="8" spans="1:10" x14ac:dyDescent="0.35">
      <c r="B8" s="62">
        <f t="shared" ref="B8:B20" si="1">ROW()-3</f>
        <v>5</v>
      </c>
      <c r="C8" s="62" t="s">
        <v>9</v>
      </c>
      <c r="D8" s="66" t="s">
        <v>437</v>
      </c>
      <c r="E8" s="63" t="s">
        <v>14</v>
      </c>
      <c r="F8" s="95"/>
      <c r="G8" s="95"/>
      <c r="H8" s="61" t="s">
        <v>490</v>
      </c>
      <c r="I8" s="61" t="s">
        <v>490</v>
      </c>
      <c r="J8" s="94"/>
    </row>
    <row r="9" spans="1:10" ht="60" x14ac:dyDescent="0.35">
      <c r="B9" s="60">
        <f t="shared" si="1"/>
        <v>6</v>
      </c>
      <c r="C9" s="60" t="s">
        <v>9</v>
      </c>
      <c r="D9" s="65" t="s">
        <v>437</v>
      </c>
      <c r="E9" s="142" t="s">
        <v>15</v>
      </c>
      <c r="F9" s="95"/>
      <c r="G9" s="95"/>
      <c r="H9" s="61" t="s">
        <v>514</v>
      </c>
      <c r="I9" s="61" t="s">
        <v>16</v>
      </c>
    </row>
    <row r="10" spans="1:10" ht="75" x14ac:dyDescent="0.35">
      <c r="B10" s="60">
        <f t="shared" si="1"/>
        <v>7</v>
      </c>
      <c r="C10" s="60" t="s">
        <v>9</v>
      </c>
      <c r="D10" s="65" t="s">
        <v>437</v>
      </c>
      <c r="E10" s="142" t="s">
        <v>17</v>
      </c>
      <c r="F10" s="95"/>
      <c r="G10" s="95"/>
      <c r="H10" s="61" t="s">
        <v>515</v>
      </c>
      <c r="I10" s="61" t="s">
        <v>18</v>
      </c>
    </row>
    <row r="11" spans="1:10" ht="45" x14ac:dyDescent="0.35">
      <c r="B11" s="10">
        <f t="shared" si="1"/>
        <v>8</v>
      </c>
      <c r="C11" s="10" t="s">
        <v>9</v>
      </c>
      <c r="D11" s="64" t="s">
        <v>439</v>
      </c>
      <c r="E11" s="98" t="s">
        <v>19</v>
      </c>
      <c r="F11" s="64"/>
      <c r="G11" s="64"/>
      <c r="H11" s="52" t="s">
        <v>493</v>
      </c>
      <c r="I11" s="52" t="s">
        <v>20</v>
      </c>
    </row>
    <row r="12" spans="1:10" ht="45" x14ac:dyDescent="0.35">
      <c r="B12" s="60">
        <f t="shared" si="1"/>
        <v>9</v>
      </c>
      <c r="C12" s="60" t="s">
        <v>9</v>
      </c>
      <c r="D12" s="65" t="s">
        <v>437</v>
      </c>
      <c r="E12" s="142" t="s">
        <v>21</v>
      </c>
      <c r="F12" s="95"/>
      <c r="G12" s="95"/>
      <c r="H12" s="61" t="s">
        <v>516</v>
      </c>
      <c r="I12" s="61" t="s">
        <v>22</v>
      </c>
    </row>
    <row r="13" spans="1:10" ht="30" x14ac:dyDescent="0.35">
      <c r="B13" s="60">
        <f t="shared" si="1"/>
        <v>10</v>
      </c>
      <c r="C13" s="60" t="s">
        <v>9</v>
      </c>
      <c r="D13" s="65" t="s">
        <v>437</v>
      </c>
      <c r="E13" s="142" t="s">
        <v>23</v>
      </c>
      <c r="F13" s="95"/>
      <c r="G13" s="95"/>
      <c r="H13" s="61" t="s">
        <v>517</v>
      </c>
      <c r="I13" s="61" t="s">
        <v>24</v>
      </c>
    </row>
    <row r="14" spans="1:10" ht="75" x14ac:dyDescent="0.35">
      <c r="B14" s="60">
        <f t="shared" si="1"/>
        <v>11</v>
      </c>
      <c r="C14" s="60" t="s">
        <v>9</v>
      </c>
      <c r="D14" s="65" t="s">
        <v>437</v>
      </c>
      <c r="E14" s="142" t="s">
        <v>25</v>
      </c>
      <c r="F14" s="95"/>
      <c r="G14" s="95"/>
      <c r="H14" s="61" t="s">
        <v>518</v>
      </c>
      <c r="I14" s="61" t="s">
        <v>26</v>
      </c>
    </row>
    <row r="15" spans="1:10" ht="45" x14ac:dyDescent="0.35">
      <c r="B15" s="60">
        <f t="shared" si="1"/>
        <v>12</v>
      </c>
      <c r="C15" s="60" t="s">
        <v>9</v>
      </c>
      <c r="D15" s="65" t="s">
        <v>437</v>
      </c>
      <c r="E15" s="142" t="s">
        <v>27</v>
      </c>
      <c r="F15" s="95"/>
      <c r="G15" s="95"/>
      <c r="H15" s="61" t="s">
        <v>519</v>
      </c>
      <c r="I15" s="61" t="s">
        <v>28</v>
      </c>
    </row>
    <row r="16" spans="1:10" ht="30" x14ac:dyDescent="0.35">
      <c r="B16" s="60">
        <f t="shared" si="1"/>
        <v>13</v>
      </c>
      <c r="C16" s="60" t="s">
        <v>9</v>
      </c>
      <c r="D16" s="65" t="s">
        <v>437</v>
      </c>
      <c r="E16" s="142" t="s">
        <v>29</v>
      </c>
      <c r="F16" s="95"/>
      <c r="G16" s="95"/>
      <c r="H16" s="61" t="s">
        <v>520</v>
      </c>
      <c r="I16" s="61" t="s">
        <v>30</v>
      </c>
    </row>
    <row r="17" spans="2:9" ht="45" x14ac:dyDescent="0.35">
      <c r="B17" s="60">
        <f t="shared" si="1"/>
        <v>14</v>
      </c>
      <c r="C17" s="60" t="s">
        <v>9</v>
      </c>
      <c r="D17" s="95" t="s">
        <v>437</v>
      </c>
      <c r="E17" s="142" t="s">
        <v>438</v>
      </c>
      <c r="F17" s="95"/>
      <c r="G17" s="95"/>
      <c r="H17" s="61" t="s">
        <v>521</v>
      </c>
      <c r="I17" s="61" t="s">
        <v>475</v>
      </c>
    </row>
    <row r="18" spans="2:9" ht="45" x14ac:dyDescent="0.35">
      <c r="B18" s="60">
        <f t="shared" si="1"/>
        <v>15</v>
      </c>
      <c r="C18" s="60" t="s">
        <v>9</v>
      </c>
      <c r="D18" s="65" t="s">
        <v>437</v>
      </c>
      <c r="E18" s="142" t="s">
        <v>31</v>
      </c>
      <c r="F18" s="95"/>
      <c r="G18" s="95"/>
      <c r="H18" s="61" t="s">
        <v>522</v>
      </c>
      <c r="I18" s="61" t="s">
        <v>32</v>
      </c>
    </row>
    <row r="19" spans="2:9" ht="30" x14ac:dyDescent="0.35">
      <c r="B19" s="60">
        <f t="shared" si="1"/>
        <v>16</v>
      </c>
      <c r="C19" s="60" t="s">
        <v>9</v>
      </c>
      <c r="D19" s="65" t="s">
        <v>437</v>
      </c>
      <c r="E19" s="144" t="s">
        <v>363</v>
      </c>
      <c r="F19" s="95"/>
      <c r="G19" s="95"/>
      <c r="H19" s="61" t="s">
        <v>523</v>
      </c>
      <c r="I19" s="61" t="s">
        <v>364</v>
      </c>
    </row>
    <row r="20" spans="2:9" ht="45" x14ac:dyDescent="0.35">
      <c r="B20" s="60">
        <f t="shared" si="1"/>
        <v>17</v>
      </c>
      <c r="C20" s="60" t="s">
        <v>9</v>
      </c>
      <c r="D20" s="95" t="s">
        <v>437</v>
      </c>
      <c r="E20" s="142" t="s">
        <v>440</v>
      </c>
      <c r="F20" s="95"/>
      <c r="G20" s="95"/>
      <c r="H20" s="61" t="s">
        <v>524</v>
      </c>
      <c r="I20" s="61" t="s">
        <v>441</v>
      </c>
    </row>
  </sheetData>
  <phoneticPr fontId="12"/>
  <dataValidations count="1">
    <dataValidation type="list" allowBlank="1" showInputMessage="1" showErrorMessage="1" sqref="D4:D20" xr:uid="{62FCF49C-5E14-42AB-BDF1-54FBDF0E4EDC}">
      <formula1>"共通,個別"</formula1>
    </dataValidation>
  </dataValidations>
  <hyperlinks>
    <hyperlink ref="E4" location="システムパラメータ!A1" display="システムパラメータ" xr:uid="{24F74562-DACE-4B94-9405-891C556B8244}"/>
    <hyperlink ref="E9" location="電子メールパラメーター!A1" display="電子メールパラメーター" xr:uid="{07F3EA49-576E-47B1-A051-A107D09DDB27}"/>
    <hyperlink ref="E10" location="システムの電子メールテンプレート!A1" display="システム電子メールのテンプレート" xr:uid="{2CEE27B0-E80F-4775-B0C8-C14A800F84E7}"/>
    <hyperlink ref="E11" location="電子メールディストリビュータバッチ!A1" display="電子メールディストリビュータバッチ" xr:uid="{B4B30873-6D9A-41CB-ACDB-4AA203843B8C}"/>
    <hyperlink ref="E12" location="AADアプリケーション!A1" display="Azure Active Directoryアプリケーション" xr:uid="{1FDB2A53-C0B0-4F20-9184-8DF71C56D9E1}"/>
    <hyperlink ref="E13" location="機能管理!A1" display="機能管理" xr:uid="{FBB69ED2-F1DA-4559-9732-38A890057DD7}"/>
    <hyperlink ref="E14" location="'ワークフロー IF コンフィグ'!A1" display="ワークフロー インフラストラクチャ コンフィギュレーション" xr:uid="{936F4E8D-882F-415A-9A50-FC178D969EB2}"/>
    <hyperlink ref="E15" location="'B2B 招待状のコンフィギュレーション'!A1" display="B2B 招待状のコンフィギュレーション" xr:uid="{B2D5481A-688B-4FC5-B219-440B3ED06153}"/>
    <hyperlink ref="E16" location="外部ロール!A1" display="外部ロール" xr:uid="{599180A3-173B-4C05-A5FA-DDF72AD3DD14}"/>
    <hyperlink ref="E18" location="ユーザーワークフロー!A1" display="ユーザーワークフロー" xr:uid="{00D1C817-B960-4A46-86CC-1D2CEB54D909}"/>
    <hyperlink ref="E19" location="バッチジョブ!A1" display="バッチジョブ" xr:uid="{F48AB8BB-0FE1-4509-AACE-87A0B9C2CACF}"/>
    <hyperlink ref="E17" location="ライセンスコンフィギュレーション!A1" display="ライセンスコンフィギュレーション" xr:uid="{4CCE98C1-1C06-47D1-B3E2-528A544FD0BC}"/>
    <hyperlink ref="E20" location="ユーザーワークフロー!A1" display="ユーザーワークフロー" xr:uid="{684BF098-83B0-4CEE-8840-746F35BD44A2}"/>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E98E-DD56-4BAB-9F4C-9F01CCB94094}">
  <sheetPr>
    <tabColor theme="0" tint="-0.499984740745262"/>
  </sheetPr>
  <dimension ref="A1:L37"/>
  <sheetViews>
    <sheetView showGridLines="0" zoomScaleNormal="100" zoomScaleSheetLayoutView="50" workbookViewId="0">
      <pane xSplit="6" ySplit="5" topLeftCell="H6" activePane="bottomRight" state="frozen"/>
      <selection activeCell="G6" sqref="G6:H6"/>
      <selection pane="topRight" activeCell="G6" sqref="G6:H6"/>
      <selection pane="bottomLeft" activeCell="G6" sqref="G6:H6"/>
      <selection pane="bottomRight" activeCell="G6" sqref="G6:H6"/>
    </sheetView>
  </sheetViews>
  <sheetFormatPr defaultColWidth="8.78515625" defaultRowHeight="13.5" x14ac:dyDescent="0.35"/>
  <cols>
    <col min="1" max="1" width="2.78515625" style="104" customWidth="1"/>
    <col min="2" max="2" width="3.35546875" style="104" bestFit="1" customWidth="1"/>
    <col min="3" max="3" width="10.35546875" style="104" customWidth="1"/>
    <col min="4" max="4" width="35.42578125" style="104" customWidth="1"/>
    <col min="5" max="5" width="15" style="104" customWidth="1"/>
    <col min="6" max="6" width="19.42578125" style="104" customWidth="1"/>
    <col min="7" max="7" width="37.42578125" style="104" customWidth="1"/>
    <col min="8" max="8" width="21.78515625" style="104" customWidth="1"/>
    <col min="9" max="9" width="14.35546875" style="105" customWidth="1"/>
    <col min="10" max="10" width="16.78515625" style="104" bestFit="1" customWidth="1"/>
    <col min="11" max="11" width="15" style="104" customWidth="1"/>
    <col min="12" max="12" width="13.2109375" style="104" customWidth="1"/>
    <col min="13" max="16384" width="8.78515625" style="104"/>
  </cols>
  <sheetData>
    <row r="1" spans="1:12" customFormat="1" ht="19.5" x14ac:dyDescent="0.35">
      <c r="A1" s="74" t="s">
        <v>469</v>
      </c>
      <c r="I1" s="9"/>
    </row>
    <row r="2" spans="1:12" customFormat="1" ht="19.5" x14ac:dyDescent="0.35">
      <c r="A2" s="74"/>
      <c r="B2" t="s">
        <v>467</v>
      </c>
      <c r="I2" s="9"/>
    </row>
    <row r="3" spans="1:12" customFormat="1" ht="15" x14ac:dyDescent="0.35">
      <c r="B3" t="s">
        <v>468</v>
      </c>
      <c r="I3" s="9"/>
    </row>
    <row r="4" spans="1:12" customFormat="1" ht="15" x14ac:dyDescent="0.35">
      <c r="A4" s="4" t="s">
        <v>487</v>
      </c>
      <c r="I4" s="9"/>
    </row>
    <row r="5" spans="1:12" x14ac:dyDescent="0.35">
      <c r="B5" s="11" t="s">
        <v>2</v>
      </c>
      <c r="C5" s="12" t="s">
        <v>33</v>
      </c>
      <c r="D5" s="12" t="s">
        <v>34</v>
      </c>
      <c r="E5" s="12" t="s">
        <v>35</v>
      </c>
      <c r="F5" s="13" t="s">
        <v>36</v>
      </c>
      <c r="G5" s="13" t="s">
        <v>37</v>
      </c>
      <c r="H5" s="12" t="s">
        <v>38</v>
      </c>
      <c r="I5" s="75" t="s">
        <v>39</v>
      </c>
      <c r="J5" s="11" t="s">
        <v>40</v>
      </c>
      <c r="K5" s="14" t="s">
        <v>41</v>
      </c>
      <c r="L5" s="14" t="s">
        <v>42</v>
      </c>
    </row>
    <row r="6" spans="1:12" x14ac:dyDescent="0.35">
      <c r="B6" s="15">
        <f>ROW() - 5</f>
        <v>1</v>
      </c>
      <c r="C6" s="16" t="s">
        <v>43</v>
      </c>
      <c r="D6" s="16" t="s">
        <v>44</v>
      </c>
      <c r="E6" s="17" t="s">
        <v>45</v>
      </c>
      <c r="F6" s="17" t="s">
        <v>45</v>
      </c>
      <c r="G6" s="17"/>
      <c r="H6" s="17" t="s">
        <v>46</v>
      </c>
      <c r="I6" s="102" t="s">
        <v>47</v>
      </c>
      <c r="J6" s="103" t="s">
        <v>491</v>
      </c>
      <c r="K6" s="3" t="s">
        <v>498</v>
      </c>
      <c r="L6" s="3"/>
    </row>
    <row r="7" spans="1:12" ht="54" x14ac:dyDescent="0.35">
      <c r="B7" s="15">
        <f t="shared" ref="B7:B37" si="0">ROW() - 5</f>
        <v>2</v>
      </c>
      <c r="C7" s="18"/>
      <c r="D7" s="18"/>
      <c r="E7" s="102" t="s">
        <v>48</v>
      </c>
      <c r="F7" s="17" t="s">
        <v>49</v>
      </c>
      <c r="G7" s="17" t="s">
        <v>50</v>
      </c>
      <c r="H7" s="17" t="s">
        <v>51</v>
      </c>
      <c r="I7" s="102">
        <v>1</v>
      </c>
      <c r="J7" s="102" t="s">
        <v>52</v>
      </c>
      <c r="K7" s="42">
        <v>0</v>
      </c>
      <c r="L7" s="2" t="s">
        <v>499</v>
      </c>
    </row>
    <row r="8" spans="1:12" x14ac:dyDescent="0.35">
      <c r="B8" s="15">
        <f t="shared" si="0"/>
        <v>3</v>
      </c>
      <c r="C8" s="18"/>
      <c r="D8" s="18"/>
      <c r="E8" s="16" t="s">
        <v>54</v>
      </c>
      <c r="F8" s="17" t="s">
        <v>55</v>
      </c>
      <c r="G8" s="17"/>
      <c r="H8" s="17" t="s">
        <v>477</v>
      </c>
      <c r="I8" s="102" t="s">
        <v>47</v>
      </c>
      <c r="J8" s="102"/>
      <c r="K8" s="3" t="s">
        <v>500</v>
      </c>
      <c r="L8" s="2"/>
    </row>
    <row r="9" spans="1:12" x14ac:dyDescent="0.35">
      <c r="B9" s="15">
        <f t="shared" si="0"/>
        <v>4</v>
      </c>
      <c r="C9" s="18"/>
      <c r="D9" s="18"/>
      <c r="E9" s="20"/>
      <c r="F9" s="17" t="s">
        <v>57</v>
      </c>
      <c r="G9" s="17" t="s">
        <v>58</v>
      </c>
      <c r="H9" s="17" t="s">
        <v>478</v>
      </c>
      <c r="I9" s="102" t="s">
        <v>47</v>
      </c>
      <c r="J9" s="102"/>
      <c r="K9" s="3" t="s">
        <v>183</v>
      </c>
      <c r="L9" s="2"/>
    </row>
    <row r="10" spans="1:12" ht="27" x14ac:dyDescent="0.35">
      <c r="B10" s="15">
        <f t="shared" si="0"/>
        <v>5</v>
      </c>
      <c r="C10" s="18"/>
      <c r="D10" s="18"/>
      <c r="E10" s="16" t="s">
        <v>59</v>
      </c>
      <c r="F10" s="17" t="s">
        <v>60</v>
      </c>
      <c r="G10" s="17" t="s">
        <v>61</v>
      </c>
      <c r="H10" s="17" t="s">
        <v>51</v>
      </c>
      <c r="I10" s="102">
        <v>0</v>
      </c>
      <c r="J10" s="102"/>
      <c r="K10" s="43">
        <v>0</v>
      </c>
      <c r="L10" s="2"/>
    </row>
    <row r="11" spans="1:12" ht="42.75" customHeight="1" x14ac:dyDescent="0.35">
      <c r="B11" s="15">
        <f t="shared" si="0"/>
        <v>6</v>
      </c>
      <c r="C11" s="18"/>
      <c r="D11" s="18"/>
      <c r="E11" s="18"/>
      <c r="F11" s="17" t="s">
        <v>62</v>
      </c>
      <c r="G11" s="181" t="s">
        <v>63</v>
      </c>
      <c r="H11" s="17" t="s">
        <v>51</v>
      </c>
      <c r="I11" s="102">
        <v>0</v>
      </c>
      <c r="J11" s="102"/>
      <c r="K11" s="43">
        <v>0</v>
      </c>
      <c r="L11" s="2"/>
    </row>
    <row r="12" spans="1:12" ht="42.75" customHeight="1" x14ac:dyDescent="0.35">
      <c r="B12" s="15">
        <f t="shared" si="0"/>
        <v>7</v>
      </c>
      <c r="C12" s="18"/>
      <c r="D12" s="18"/>
      <c r="E12" s="20"/>
      <c r="F12" s="17" t="s">
        <v>64</v>
      </c>
      <c r="G12" s="182"/>
      <c r="H12" s="17" t="s">
        <v>51</v>
      </c>
      <c r="I12" s="102">
        <v>0</v>
      </c>
      <c r="J12" s="17"/>
      <c r="K12" s="43">
        <v>0</v>
      </c>
      <c r="L12" s="2"/>
    </row>
    <row r="13" spans="1:12" ht="27" x14ac:dyDescent="0.35">
      <c r="B13" s="15">
        <f t="shared" si="0"/>
        <v>8</v>
      </c>
      <c r="C13" s="18"/>
      <c r="D13" s="18"/>
      <c r="E13" s="17" t="s">
        <v>65</v>
      </c>
      <c r="F13" s="17" t="s">
        <v>66</v>
      </c>
      <c r="G13" s="17"/>
      <c r="H13" s="17" t="s">
        <v>67</v>
      </c>
      <c r="I13" s="102" t="s">
        <v>68</v>
      </c>
      <c r="J13" s="17"/>
      <c r="K13" s="1" t="s">
        <v>68</v>
      </c>
      <c r="L13" s="2"/>
    </row>
    <row r="14" spans="1:12" ht="67.5" x14ac:dyDescent="0.35">
      <c r="B14" s="15">
        <f>ROW() - 5</f>
        <v>9</v>
      </c>
      <c r="C14" s="18"/>
      <c r="D14" s="18"/>
      <c r="E14" s="17" t="s">
        <v>69</v>
      </c>
      <c r="F14" s="17" t="s">
        <v>70</v>
      </c>
      <c r="G14" s="17" t="s">
        <v>71</v>
      </c>
      <c r="H14" s="17" t="s">
        <v>51</v>
      </c>
      <c r="I14" s="102">
        <v>30</v>
      </c>
      <c r="J14" s="17" t="s">
        <v>492</v>
      </c>
      <c r="K14" s="43">
        <v>30</v>
      </c>
      <c r="L14" s="2"/>
    </row>
    <row r="15" spans="1:12" ht="27" x14ac:dyDescent="0.35">
      <c r="A15" s="104" t="s">
        <v>506</v>
      </c>
      <c r="B15" s="15">
        <f>ROW() - 5</f>
        <v>10</v>
      </c>
      <c r="C15" s="18"/>
      <c r="D15" s="18"/>
      <c r="E15" s="20" t="s">
        <v>73</v>
      </c>
      <c r="F15" s="17" t="s">
        <v>74</v>
      </c>
      <c r="G15" s="17" t="s">
        <v>75</v>
      </c>
      <c r="H15" s="17" t="s">
        <v>51</v>
      </c>
      <c r="I15" s="76">
        <v>50</v>
      </c>
      <c r="J15" s="17"/>
      <c r="K15" s="43">
        <v>50</v>
      </c>
      <c r="L15" s="2"/>
    </row>
    <row r="16" spans="1:12" ht="27" x14ac:dyDescent="0.35">
      <c r="B16" s="15">
        <f t="shared" si="0"/>
        <v>11</v>
      </c>
      <c r="C16" s="18"/>
      <c r="D16" s="18"/>
      <c r="E16" s="16" t="s">
        <v>76</v>
      </c>
      <c r="F16" s="17" t="s">
        <v>77</v>
      </c>
      <c r="G16" s="17" t="s">
        <v>78</v>
      </c>
      <c r="H16" s="17" t="s">
        <v>67</v>
      </c>
      <c r="I16" s="102" t="s">
        <v>68</v>
      </c>
      <c r="J16" s="17"/>
      <c r="K16" s="1" t="s">
        <v>68</v>
      </c>
      <c r="L16" s="2"/>
    </row>
    <row r="17" spans="2:12" ht="27" x14ac:dyDescent="0.35">
      <c r="B17" s="15">
        <f t="shared" si="0"/>
        <v>12</v>
      </c>
      <c r="C17" s="18"/>
      <c r="D17" s="18"/>
      <c r="E17" s="20"/>
      <c r="F17" s="17" t="s">
        <v>79</v>
      </c>
      <c r="G17" s="17" t="s">
        <v>80</v>
      </c>
      <c r="H17" s="17" t="s">
        <v>67</v>
      </c>
      <c r="I17" s="102" t="s">
        <v>68</v>
      </c>
      <c r="J17" s="17"/>
      <c r="K17" s="1" t="s">
        <v>68</v>
      </c>
      <c r="L17" s="2"/>
    </row>
    <row r="18" spans="2:12" ht="27" x14ac:dyDescent="0.35">
      <c r="B18" s="15">
        <f t="shared" si="0"/>
        <v>13</v>
      </c>
      <c r="C18" s="20"/>
      <c r="D18" s="20"/>
      <c r="E18" s="17" t="s">
        <v>81</v>
      </c>
      <c r="F18" s="17" t="s">
        <v>82</v>
      </c>
      <c r="G18" s="17" t="s">
        <v>83</v>
      </c>
      <c r="H18" s="17" t="s">
        <v>67</v>
      </c>
      <c r="I18" s="102" t="s">
        <v>68</v>
      </c>
      <c r="J18" s="17"/>
      <c r="K18" s="1" t="s">
        <v>68</v>
      </c>
      <c r="L18" s="2"/>
    </row>
    <row r="19" spans="2:12" ht="24.75" customHeight="1" x14ac:dyDescent="0.35">
      <c r="B19" s="15">
        <f t="shared" si="0"/>
        <v>14</v>
      </c>
      <c r="C19" s="183" t="s">
        <v>84</v>
      </c>
      <c r="D19" s="183" t="s">
        <v>85</v>
      </c>
      <c r="E19" s="186"/>
      <c r="F19" s="17" t="s">
        <v>86</v>
      </c>
      <c r="G19" s="17"/>
      <c r="H19" s="17" t="s">
        <v>67</v>
      </c>
      <c r="I19" s="102" t="s">
        <v>68</v>
      </c>
      <c r="J19" s="17"/>
      <c r="K19" s="1" t="s">
        <v>68</v>
      </c>
      <c r="L19" s="2"/>
    </row>
    <row r="20" spans="2:12" ht="27" x14ac:dyDescent="0.35">
      <c r="B20" s="15">
        <f t="shared" si="0"/>
        <v>15</v>
      </c>
      <c r="C20" s="184"/>
      <c r="D20" s="184"/>
      <c r="E20" s="187"/>
      <c r="F20" s="17" t="s">
        <v>87</v>
      </c>
      <c r="G20" s="17" t="s">
        <v>88</v>
      </c>
      <c r="H20" s="17" t="s">
        <v>67</v>
      </c>
      <c r="I20" s="102" t="s">
        <v>68</v>
      </c>
      <c r="J20" s="17"/>
      <c r="K20" s="1" t="s">
        <v>68</v>
      </c>
      <c r="L20" s="2"/>
    </row>
    <row r="21" spans="2:12" x14ac:dyDescent="0.35">
      <c r="B21" s="15">
        <f t="shared" si="0"/>
        <v>16</v>
      </c>
      <c r="C21" s="184"/>
      <c r="D21" s="184"/>
      <c r="E21" s="186" t="s">
        <v>89</v>
      </c>
      <c r="F21" s="17" t="s">
        <v>90</v>
      </c>
      <c r="G21" s="17"/>
      <c r="H21" s="17" t="s">
        <v>91</v>
      </c>
      <c r="I21" s="102" t="s">
        <v>47</v>
      </c>
      <c r="J21" s="17"/>
      <c r="K21" s="1" t="s">
        <v>56</v>
      </c>
      <c r="L21" s="2"/>
    </row>
    <row r="22" spans="2:12" x14ac:dyDescent="0.35">
      <c r="B22" s="15">
        <f t="shared" si="0"/>
        <v>17</v>
      </c>
      <c r="C22" s="184"/>
      <c r="D22" s="184"/>
      <c r="E22" s="188"/>
      <c r="F22" s="17" t="s">
        <v>92</v>
      </c>
      <c r="G22" s="17"/>
      <c r="H22" s="17" t="s">
        <v>91</v>
      </c>
      <c r="I22" s="102" t="s">
        <v>47</v>
      </c>
      <c r="J22" s="17"/>
      <c r="K22" s="1" t="s">
        <v>56</v>
      </c>
      <c r="L22" s="2"/>
    </row>
    <row r="23" spans="2:12" x14ac:dyDescent="0.35">
      <c r="B23" s="15">
        <f t="shared" si="0"/>
        <v>18</v>
      </c>
      <c r="C23" s="184"/>
      <c r="D23" s="184"/>
      <c r="E23" s="188"/>
      <c r="F23" s="17" t="s">
        <v>93</v>
      </c>
      <c r="G23" s="17"/>
      <c r="H23" s="17" t="s">
        <v>91</v>
      </c>
      <c r="I23" s="102" t="s">
        <v>47</v>
      </c>
      <c r="J23" s="17"/>
      <c r="K23" s="1" t="s">
        <v>56</v>
      </c>
      <c r="L23" s="2"/>
    </row>
    <row r="24" spans="2:12" ht="46.5" customHeight="1" x14ac:dyDescent="0.35">
      <c r="B24" s="15">
        <f t="shared" si="0"/>
        <v>19</v>
      </c>
      <c r="C24" s="185"/>
      <c r="D24" s="185"/>
      <c r="E24" s="187"/>
      <c r="F24" s="17" t="s">
        <v>94</v>
      </c>
      <c r="G24" s="17"/>
      <c r="H24" s="17" t="s">
        <v>91</v>
      </c>
      <c r="I24" s="102" t="s">
        <v>47</v>
      </c>
      <c r="J24" s="17"/>
      <c r="K24" s="1" t="s">
        <v>56</v>
      </c>
      <c r="L24" s="2"/>
    </row>
    <row r="25" spans="2:12" ht="27" x14ac:dyDescent="0.35">
      <c r="B25" s="15">
        <f t="shared" si="0"/>
        <v>20</v>
      </c>
      <c r="C25" s="16" t="s">
        <v>95</v>
      </c>
      <c r="D25" s="16" t="s">
        <v>96</v>
      </c>
      <c r="E25" s="17" t="s">
        <v>97</v>
      </c>
      <c r="F25" s="17" t="s">
        <v>98</v>
      </c>
      <c r="G25" s="17"/>
      <c r="H25" s="17" t="s">
        <v>476</v>
      </c>
      <c r="I25" s="102">
        <v>0</v>
      </c>
      <c r="J25" s="17"/>
      <c r="K25" s="1">
        <v>0</v>
      </c>
      <c r="L25" s="2"/>
    </row>
    <row r="26" spans="2:12" x14ac:dyDescent="0.35">
      <c r="B26" s="15">
        <f t="shared" si="0"/>
        <v>21</v>
      </c>
      <c r="C26" s="18"/>
      <c r="D26" s="18"/>
      <c r="E26" s="16" t="s">
        <v>99</v>
      </c>
      <c r="F26" s="104" t="s">
        <v>100</v>
      </c>
      <c r="G26" s="17"/>
      <c r="H26" s="17"/>
      <c r="I26" s="102" t="s">
        <v>47</v>
      </c>
      <c r="J26" s="17"/>
      <c r="K26" s="1" t="s">
        <v>47</v>
      </c>
      <c r="L26" s="2"/>
    </row>
    <row r="27" spans="2:12" x14ac:dyDescent="0.35">
      <c r="B27" s="15">
        <f t="shared" si="0"/>
        <v>22</v>
      </c>
      <c r="C27" s="18"/>
      <c r="D27" s="18"/>
      <c r="E27" s="18"/>
      <c r="F27" s="17" t="s">
        <v>101</v>
      </c>
      <c r="G27" s="17"/>
      <c r="H27" s="17"/>
      <c r="I27" s="102" t="s">
        <v>47</v>
      </c>
      <c r="J27" s="17"/>
      <c r="K27" s="1" t="s">
        <v>47</v>
      </c>
      <c r="L27" s="2"/>
    </row>
    <row r="28" spans="2:12" x14ac:dyDescent="0.35">
      <c r="B28" s="15">
        <f t="shared" si="0"/>
        <v>23</v>
      </c>
      <c r="C28" s="18"/>
      <c r="D28" s="18"/>
      <c r="E28" s="18"/>
      <c r="F28" s="17" t="s">
        <v>99</v>
      </c>
      <c r="G28" s="17"/>
      <c r="H28" s="17"/>
      <c r="I28" s="102" t="s">
        <v>47</v>
      </c>
      <c r="J28" s="17"/>
      <c r="K28" s="1" t="s">
        <v>47</v>
      </c>
      <c r="L28" s="2"/>
    </row>
    <row r="29" spans="2:12" x14ac:dyDescent="0.35">
      <c r="B29" s="15">
        <f t="shared" si="0"/>
        <v>24</v>
      </c>
      <c r="C29" s="18"/>
      <c r="D29" s="18"/>
      <c r="E29" s="18"/>
      <c r="F29" s="17" t="s">
        <v>102</v>
      </c>
      <c r="G29" s="17"/>
      <c r="H29" s="17"/>
      <c r="I29" s="102" t="s">
        <v>47</v>
      </c>
      <c r="J29" s="17"/>
      <c r="K29" s="1" t="s">
        <v>47</v>
      </c>
      <c r="L29" s="2"/>
    </row>
    <row r="30" spans="2:12" x14ac:dyDescent="0.35">
      <c r="B30" s="15">
        <f t="shared" si="0"/>
        <v>25</v>
      </c>
      <c r="C30" s="18"/>
      <c r="D30" s="18"/>
      <c r="E30" s="20"/>
      <c r="F30" s="17" t="s">
        <v>103</v>
      </c>
      <c r="G30" s="17"/>
      <c r="H30" s="17"/>
      <c r="I30" s="102" t="s">
        <v>47</v>
      </c>
      <c r="J30" s="17"/>
      <c r="K30" s="1" t="s">
        <v>47</v>
      </c>
      <c r="L30" s="2"/>
    </row>
    <row r="31" spans="2:12" ht="40.5" x14ac:dyDescent="0.35">
      <c r="B31" s="15">
        <f t="shared" si="0"/>
        <v>26</v>
      </c>
      <c r="C31" s="20"/>
      <c r="D31" s="20"/>
      <c r="E31" s="17" t="s">
        <v>104</v>
      </c>
      <c r="F31" s="17" t="s">
        <v>105</v>
      </c>
      <c r="G31" s="17" t="s">
        <v>106</v>
      </c>
      <c r="H31" s="17" t="s">
        <v>476</v>
      </c>
      <c r="I31" s="102">
        <v>0</v>
      </c>
      <c r="J31" s="17"/>
      <c r="K31" s="1">
        <v>0</v>
      </c>
      <c r="L31" s="2"/>
    </row>
    <row r="32" spans="2:12" ht="28.5" customHeight="1" x14ac:dyDescent="0.35">
      <c r="B32" s="15">
        <f t="shared" si="0"/>
        <v>27</v>
      </c>
      <c r="C32" s="16" t="s">
        <v>107</v>
      </c>
      <c r="D32" s="16" t="s">
        <v>108</v>
      </c>
      <c r="E32" s="16"/>
      <c r="F32" s="17" t="s">
        <v>109</v>
      </c>
      <c r="G32" s="17"/>
      <c r="H32" s="17" t="s">
        <v>110</v>
      </c>
      <c r="I32" s="102" t="s">
        <v>47</v>
      </c>
      <c r="J32" s="17"/>
      <c r="K32" s="1" t="s">
        <v>47</v>
      </c>
      <c r="L32" s="2"/>
    </row>
    <row r="33" spans="1:12" x14ac:dyDescent="0.35">
      <c r="B33" s="15">
        <f t="shared" si="0"/>
        <v>28</v>
      </c>
      <c r="C33" s="20"/>
      <c r="D33" s="20"/>
      <c r="E33" s="20"/>
      <c r="F33" s="17" t="s">
        <v>111</v>
      </c>
      <c r="G33" s="17"/>
      <c r="H33" s="17" t="s">
        <v>110</v>
      </c>
      <c r="I33" s="102" t="s">
        <v>47</v>
      </c>
      <c r="J33" s="17"/>
      <c r="K33" s="1" t="s">
        <v>47</v>
      </c>
      <c r="L33" s="2"/>
    </row>
    <row r="34" spans="1:12" ht="40.5" x14ac:dyDescent="0.35">
      <c r="A34" s="104" t="s">
        <v>502</v>
      </c>
      <c r="B34" s="15">
        <f t="shared" si="0"/>
        <v>29</v>
      </c>
      <c r="C34" s="18" t="s">
        <v>501</v>
      </c>
      <c r="D34" s="18" t="s">
        <v>501</v>
      </c>
      <c r="E34" s="18"/>
      <c r="F34" s="17"/>
      <c r="G34" s="17"/>
      <c r="H34" s="17" t="s">
        <v>503</v>
      </c>
      <c r="I34" s="102" t="s">
        <v>504</v>
      </c>
      <c r="J34" s="17"/>
      <c r="K34" s="1" t="s">
        <v>505</v>
      </c>
      <c r="L34" s="2"/>
    </row>
    <row r="35" spans="1:12" ht="67.5" customHeight="1" x14ac:dyDescent="0.35">
      <c r="B35" s="47">
        <v>30</v>
      </c>
      <c r="C35" s="16" t="s">
        <v>446</v>
      </c>
      <c r="D35" s="16" t="s">
        <v>447</v>
      </c>
      <c r="E35" s="16"/>
      <c r="F35" s="17" t="s">
        <v>448</v>
      </c>
      <c r="G35" s="17" t="s">
        <v>449</v>
      </c>
      <c r="H35" s="17" t="s">
        <v>450</v>
      </c>
      <c r="I35" s="102" t="s">
        <v>451</v>
      </c>
      <c r="J35" s="17"/>
      <c r="K35" s="1" t="s">
        <v>451</v>
      </c>
      <c r="L35" s="2"/>
    </row>
    <row r="36" spans="1:12" ht="27" x14ac:dyDescent="0.35">
      <c r="B36" s="77"/>
      <c r="C36" s="20"/>
      <c r="D36" s="20"/>
      <c r="E36" s="20"/>
      <c r="F36" s="17" t="s">
        <v>452</v>
      </c>
      <c r="G36" s="17" t="s">
        <v>453</v>
      </c>
      <c r="H36" s="17" t="s">
        <v>51</v>
      </c>
      <c r="I36" s="102">
        <v>100</v>
      </c>
      <c r="J36" s="17"/>
      <c r="K36" s="1">
        <v>100</v>
      </c>
      <c r="L36" s="2"/>
    </row>
    <row r="37" spans="1:12" ht="121.5" x14ac:dyDescent="0.35">
      <c r="B37" s="15">
        <f t="shared" si="0"/>
        <v>32</v>
      </c>
      <c r="C37" s="20" t="s">
        <v>112</v>
      </c>
      <c r="D37" s="20" t="s">
        <v>113</v>
      </c>
      <c r="E37" s="20"/>
      <c r="F37" s="17" t="s">
        <v>114</v>
      </c>
      <c r="G37" s="17" t="s">
        <v>115</v>
      </c>
      <c r="H37" s="17" t="s">
        <v>479</v>
      </c>
      <c r="I37" s="102" t="s">
        <v>47</v>
      </c>
      <c r="J37" s="17"/>
      <c r="K37" s="1"/>
      <c r="L37" s="2"/>
    </row>
  </sheetData>
  <sheetProtection insertRows="0" deleteRows="0" sort="0" autoFilter="0"/>
  <mergeCells count="5">
    <mergeCell ref="G11:G12"/>
    <mergeCell ref="C19:C24"/>
    <mergeCell ref="D19:D24"/>
    <mergeCell ref="E19:E20"/>
    <mergeCell ref="E21:E24"/>
  </mergeCells>
  <phoneticPr fontId="12"/>
  <hyperlinks>
    <hyperlink ref="A4" location="パラメータ設定一覧!A1" display="パラメータ設定一覧へ" xr:uid="{F2F31BE2-BA3A-465E-AE91-0991D66C2C68}"/>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F112-2F90-446D-A06E-851EB1DE4F1D}">
  <sheetPr>
    <tabColor theme="0" tint="-0.499984740745262"/>
  </sheetPr>
  <dimension ref="A1:L22"/>
  <sheetViews>
    <sheetView showGridLines="0" zoomScaleNormal="100" zoomScaleSheetLayoutView="50" workbookViewId="0">
      <pane xSplit="6" ySplit="5" topLeftCell="G6" activePane="bottomRight" state="frozen"/>
      <selection activeCell="G6" sqref="G6:H6"/>
      <selection pane="topRight" activeCell="G6" sqref="G6:H6"/>
      <selection pane="bottomLeft" activeCell="G6" sqref="G6:H6"/>
      <selection pane="bottomRight" activeCell="G6" sqref="G6:H6"/>
    </sheetView>
  </sheetViews>
  <sheetFormatPr defaultColWidth="8.78515625" defaultRowHeight="13.5" x14ac:dyDescent="0.35"/>
  <cols>
    <col min="1" max="1" width="2.78515625" style="104" customWidth="1"/>
    <col min="2" max="2" width="3.35546875" style="104" bestFit="1" customWidth="1"/>
    <col min="3" max="3" width="13.42578125" style="104" customWidth="1"/>
    <col min="4" max="4" width="7" style="104" bestFit="1" customWidth="1"/>
    <col min="5" max="5" width="18.35546875" style="104" customWidth="1"/>
    <col min="6" max="6" width="23" style="104" customWidth="1"/>
    <col min="7" max="7" width="21.2109375" style="104" customWidth="1"/>
    <col min="8" max="8" width="24.78515625" style="104" customWidth="1"/>
    <col min="9" max="9" width="17.35546875" style="104" customWidth="1"/>
    <col min="10" max="10" width="7.78515625" style="104" customWidth="1"/>
    <col min="11" max="11" width="35.35546875" style="104" bestFit="1" customWidth="1"/>
    <col min="12" max="12" width="13.2109375" style="104" customWidth="1"/>
    <col min="13" max="16384" width="8.78515625" style="104"/>
  </cols>
  <sheetData>
    <row r="1" spans="1:12" customFormat="1" ht="19.5" x14ac:dyDescent="0.35">
      <c r="A1" s="78" t="s">
        <v>337</v>
      </c>
    </row>
    <row r="2" spans="1:12" customFormat="1" ht="19.5" x14ac:dyDescent="0.35">
      <c r="A2" s="78"/>
      <c r="B2" t="s">
        <v>127</v>
      </c>
    </row>
    <row r="3" spans="1:12" customFormat="1" ht="15" x14ac:dyDescent="0.35">
      <c r="B3" t="s">
        <v>128</v>
      </c>
    </row>
    <row r="4" spans="1:12" customFormat="1" ht="15" x14ac:dyDescent="0.35">
      <c r="A4" s="4" t="s">
        <v>487</v>
      </c>
    </row>
    <row r="5" spans="1:12" x14ac:dyDescent="0.35">
      <c r="B5" s="11" t="s">
        <v>2</v>
      </c>
      <c r="C5" s="12" t="s">
        <v>33</v>
      </c>
      <c r="D5" s="12" t="s">
        <v>34</v>
      </c>
      <c r="E5" s="12" t="s">
        <v>35</v>
      </c>
      <c r="F5" s="13" t="s">
        <v>36</v>
      </c>
      <c r="G5" s="13" t="s">
        <v>119</v>
      </c>
      <c r="H5" s="12" t="s">
        <v>38</v>
      </c>
      <c r="I5" s="12" t="s">
        <v>39</v>
      </c>
      <c r="J5" s="11" t="s">
        <v>40</v>
      </c>
      <c r="K5" s="14" t="s">
        <v>41</v>
      </c>
      <c r="L5" s="14" t="s">
        <v>42</v>
      </c>
    </row>
    <row r="6" spans="1:12" x14ac:dyDescent="0.35">
      <c r="B6" s="15">
        <f>ROW() - 5</f>
        <v>1</v>
      </c>
      <c r="C6" s="183" t="s">
        <v>129</v>
      </c>
      <c r="D6" s="183"/>
      <c r="E6" s="183" t="s">
        <v>43</v>
      </c>
      <c r="F6" s="17" t="s">
        <v>130</v>
      </c>
      <c r="G6" s="17"/>
      <c r="H6" s="17" t="s">
        <v>131</v>
      </c>
      <c r="I6" s="17" t="s">
        <v>56</v>
      </c>
      <c r="J6" s="102"/>
      <c r="K6" s="3" t="s">
        <v>338</v>
      </c>
      <c r="L6" s="2"/>
    </row>
    <row r="7" spans="1:12" x14ac:dyDescent="0.35">
      <c r="B7" s="15">
        <f t="shared" ref="B7:B22" si="0">ROW() - 5</f>
        <v>2</v>
      </c>
      <c r="C7" s="184"/>
      <c r="D7" s="184"/>
      <c r="E7" s="184"/>
      <c r="F7" s="17" t="s">
        <v>132</v>
      </c>
      <c r="G7" s="17"/>
      <c r="H7" s="17" t="s">
        <v>51</v>
      </c>
      <c r="I7" s="17" t="s">
        <v>56</v>
      </c>
      <c r="J7" s="102"/>
      <c r="K7" s="3" t="s">
        <v>338</v>
      </c>
      <c r="L7" s="2"/>
    </row>
    <row r="8" spans="1:12" ht="67.5" x14ac:dyDescent="0.35">
      <c r="B8" s="15">
        <f t="shared" si="0"/>
        <v>3</v>
      </c>
      <c r="C8" s="184"/>
      <c r="D8" s="184"/>
      <c r="E8" s="185"/>
      <c r="F8" s="17" t="s">
        <v>133</v>
      </c>
      <c r="G8" s="33" t="s">
        <v>134</v>
      </c>
      <c r="H8" s="17" t="s">
        <v>51</v>
      </c>
      <c r="I8" s="17">
        <v>0</v>
      </c>
      <c r="J8" s="102"/>
      <c r="K8" s="3" t="s">
        <v>338</v>
      </c>
      <c r="L8" s="2"/>
    </row>
    <row r="9" spans="1:12" ht="28.5" customHeight="1" x14ac:dyDescent="0.35">
      <c r="B9" s="15">
        <f t="shared" si="0"/>
        <v>4</v>
      </c>
      <c r="C9" s="184"/>
      <c r="D9" s="184"/>
      <c r="E9" s="183" t="s">
        <v>135</v>
      </c>
      <c r="F9" s="17" t="s">
        <v>136</v>
      </c>
      <c r="G9" s="17"/>
      <c r="H9" s="17" t="s">
        <v>131</v>
      </c>
      <c r="I9" s="17" t="s">
        <v>47</v>
      </c>
      <c r="J9" s="102"/>
      <c r="K9" s="3" t="s">
        <v>338</v>
      </c>
      <c r="L9" s="2"/>
    </row>
    <row r="10" spans="1:12" ht="15.75" customHeight="1" x14ac:dyDescent="0.35">
      <c r="B10" s="15">
        <f t="shared" si="0"/>
        <v>5</v>
      </c>
      <c r="C10" s="184"/>
      <c r="D10" s="184"/>
      <c r="E10" s="185"/>
      <c r="F10" s="17" t="s">
        <v>100</v>
      </c>
      <c r="G10" s="17"/>
      <c r="H10" s="17" t="s">
        <v>131</v>
      </c>
      <c r="I10" s="17" t="s">
        <v>56</v>
      </c>
      <c r="J10" s="102"/>
      <c r="K10" s="3" t="s">
        <v>338</v>
      </c>
      <c r="L10" s="2"/>
    </row>
    <row r="11" spans="1:12" ht="67.5" x14ac:dyDescent="0.35">
      <c r="B11" s="79">
        <f t="shared" si="0"/>
        <v>6</v>
      </c>
      <c r="C11" s="184"/>
      <c r="D11" s="184"/>
      <c r="E11" s="16" t="s">
        <v>137</v>
      </c>
      <c r="F11" s="17" t="s">
        <v>138</v>
      </c>
      <c r="G11" s="17" t="s">
        <v>139</v>
      </c>
      <c r="H11" s="17" t="s">
        <v>51</v>
      </c>
      <c r="I11" s="17">
        <v>0</v>
      </c>
      <c r="J11" s="102"/>
      <c r="K11" s="3" t="s">
        <v>338</v>
      </c>
      <c r="L11" s="2"/>
    </row>
    <row r="12" spans="1:12" x14ac:dyDescent="0.35">
      <c r="B12" s="80"/>
      <c r="C12" s="101"/>
      <c r="D12" s="101"/>
      <c r="E12" s="16" t="s">
        <v>454</v>
      </c>
      <c r="F12" s="17" t="s">
        <v>455</v>
      </c>
      <c r="G12" s="17"/>
      <c r="H12" s="17" t="s">
        <v>131</v>
      </c>
      <c r="I12" s="17" t="s">
        <v>56</v>
      </c>
      <c r="J12" s="102"/>
      <c r="K12" s="3" t="s">
        <v>338</v>
      </c>
      <c r="L12" s="2"/>
    </row>
    <row r="13" spans="1:12" ht="54" x14ac:dyDescent="0.35">
      <c r="B13" s="81"/>
      <c r="C13" s="101"/>
      <c r="D13" s="101"/>
      <c r="E13" s="18"/>
      <c r="F13" s="17" t="s">
        <v>456</v>
      </c>
      <c r="G13" s="17" t="s">
        <v>457</v>
      </c>
      <c r="H13" s="17" t="s">
        <v>51</v>
      </c>
      <c r="I13" s="17" t="s">
        <v>56</v>
      </c>
      <c r="J13" s="102"/>
      <c r="K13" s="3" t="s">
        <v>338</v>
      </c>
      <c r="L13" s="2"/>
    </row>
    <row r="14" spans="1:12" ht="67.5" x14ac:dyDescent="0.35">
      <c r="B14" s="15">
        <f t="shared" si="0"/>
        <v>9</v>
      </c>
      <c r="C14" s="183" t="s">
        <v>140</v>
      </c>
      <c r="D14" s="183"/>
      <c r="E14" s="16" t="s">
        <v>458</v>
      </c>
      <c r="F14" s="17" t="s">
        <v>459</v>
      </c>
      <c r="G14" s="17" t="s">
        <v>142</v>
      </c>
      <c r="H14" s="17" t="s">
        <v>110</v>
      </c>
      <c r="I14" s="19" t="s">
        <v>56</v>
      </c>
      <c r="J14" s="102"/>
      <c r="K14" s="3" t="s">
        <v>338</v>
      </c>
      <c r="L14" s="2"/>
    </row>
    <row r="15" spans="1:12" ht="81" x14ac:dyDescent="0.35">
      <c r="B15" s="15">
        <f t="shared" si="0"/>
        <v>10</v>
      </c>
      <c r="C15" s="184"/>
      <c r="D15" s="184"/>
      <c r="E15" s="18"/>
      <c r="F15" s="17" t="s">
        <v>460</v>
      </c>
      <c r="G15" s="17" t="s">
        <v>144</v>
      </c>
      <c r="H15" s="17" t="s">
        <v>51</v>
      </c>
      <c r="I15" s="19" t="s">
        <v>56</v>
      </c>
      <c r="J15" s="102"/>
      <c r="K15" s="3" t="s">
        <v>338</v>
      </c>
      <c r="L15" s="2"/>
    </row>
    <row r="16" spans="1:12" x14ac:dyDescent="0.35">
      <c r="B16" s="15">
        <f t="shared" si="0"/>
        <v>11</v>
      </c>
      <c r="C16" s="184"/>
      <c r="D16" s="184"/>
      <c r="E16" s="20"/>
      <c r="F16" s="17" t="s">
        <v>461</v>
      </c>
      <c r="G16" s="17"/>
      <c r="H16" s="17" t="s">
        <v>67</v>
      </c>
      <c r="I16" s="19" t="s">
        <v>124</v>
      </c>
      <c r="J16" s="102"/>
      <c r="K16" s="3" t="s">
        <v>338</v>
      </c>
      <c r="L16" s="2"/>
    </row>
    <row r="17" spans="2:12" x14ac:dyDescent="0.35">
      <c r="B17" s="15">
        <f t="shared" si="0"/>
        <v>12</v>
      </c>
      <c r="C17" s="184"/>
      <c r="D17" s="184"/>
      <c r="E17" s="18" t="s">
        <v>462</v>
      </c>
      <c r="F17" s="17" t="s">
        <v>463</v>
      </c>
      <c r="G17" s="17"/>
      <c r="H17" s="17" t="s">
        <v>67</v>
      </c>
      <c r="I17" s="19" t="s">
        <v>124</v>
      </c>
      <c r="J17" s="102"/>
      <c r="K17" s="3" t="s">
        <v>338</v>
      </c>
      <c r="L17" s="2"/>
    </row>
    <row r="18" spans="2:12" ht="40.5" x14ac:dyDescent="0.35">
      <c r="B18" s="15">
        <f t="shared" si="0"/>
        <v>13</v>
      </c>
      <c r="C18" s="184"/>
      <c r="D18" s="184"/>
      <c r="E18" s="18"/>
      <c r="F18" s="17" t="s">
        <v>122</v>
      </c>
      <c r="G18" s="17" t="s">
        <v>145</v>
      </c>
      <c r="H18" s="17" t="s">
        <v>110</v>
      </c>
      <c r="I18" s="19" t="s">
        <v>56</v>
      </c>
      <c r="J18" s="102"/>
      <c r="K18" s="3" t="s">
        <v>338</v>
      </c>
      <c r="L18" s="2"/>
    </row>
    <row r="19" spans="2:12" ht="81" x14ac:dyDescent="0.35">
      <c r="B19" s="15">
        <f t="shared" si="0"/>
        <v>14</v>
      </c>
      <c r="C19" s="184"/>
      <c r="D19" s="184"/>
      <c r="E19" s="20"/>
      <c r="F19" s="17" t="s">
        <v>146</v>
      </c>
      <c r="G19" s="17" t="s">
        <v>147</v>
      </c>
      <c r="H19" s="17" t="s">
        <v>110</v>
      </c>
      <c r="I19" s="19" t="s">
        <v>56</v>
      </c>
      <c r="J19" s="102"/>
      <c r="K19" s="3" t="s">
        <v>338</v>
      </c>
      <c r="L19" s="2"/>
    </row>
    <row r="20" spans="2:12" ht="28.5" customHeight="1" x14ac:dyDescent="0.35">
      <c r="B20" s="15">
        <f t="shared" si="0"/>
        <v>15</v>
      </c>
      <c r="C20" s="183" t="s">
        <v>148</v>
      </c>
      <c r="D20" s="183"/>
      <c r="E20" s="184"/>
      <c r="F20" s="17" t="s">
        <v>149</v>
      </c>
      <c r="G20" s="17"/>
      <c r="H20" s="17" t="s">
        <v>150</v>
      </c>
      <c r="I20" s="19" t="s">
        <v>56</v>
      </c>
      <c r="J20" s="102"/>
      <c r="K20" s="3" t="s">
        <v>338</v>
      </c>
      <c r="L20" s="2"/>
    </row>
    <row r="21" spans="2:12" x14ac:dyDescent="0.35">
      <c r="B21" s="15">
        <f t="shared" si="0"/>
        <v>16</v>
      </c>
      <c r="C21" s="184"/>
      <c r="D21" s="184"/>
      <c r="E21" s="184"/>
      <c r="F21" s="17" t="s">
        <v>151</v>
      </c>
      <c r="G21" s="17"/>
      <c r="H21" s="17" t="s">
        <v>110</v>
      </c>
      <c r="I21" s="19" t="s">
        <v>56</v>
      </c>
      <c r="J21" s="102"/>
      <c r="K21" s="3" t="s">
        <v>338</v>
      </c>
      <c r="L21" s="2"/>
    </row>
    <row r="22" spans="2:12" ht="27" x14ac:dyDescent="0.35">
      <c r="B22" s="15">
        <f t="shared" si="0"/>
        <v>17</v>
      </c>
      <c r="C22" s="185"/>
      <c r="D22" s="185"/>
      <c r="E22" s="185"/>
      <c r="F22" s="17" t="s">
        <v>152</v>
      </c>
      <c r="G22" s="17"/>
      <c r="H22" s="17" t="s">
        <v>110</v>
      </c>
      <c r="I22" s="17" t="s">
        <v>153</v>
      </c>
      <c r="J22" s="17"/>
      <c r="K22" s="3" t="s">
        <v>338</v>
      </c>
      <c r="L22" s="2"/>
    </row>
  </sheetData>
  <mergeCells count="9">
    <mergeCell ref="C20:C22"/>
    <mergeCell ref="D20:D22"/>
    <mergeCell ref="E20:E22"/>
    <mergeCell ref="C6:C11"/>
    <mergeCell ref="D6:D11"/>
    <mergeCell ref="E6:E8"/>
    <mergeCell ref="E9:E10"/>
    <mergeCell ref="C14:C19"/>
    <mergeCell ref="D14:D19"/>
  </mergeCells>
  <phoneticPr fontId="12"/>
  <hyperlinks>
    <hyperlink ref="A4" location="パラメータ設定一覧!A1" display="パラメータ設定一覧へ" xr:uid="{75299213-F620-4A13-A453-B4AFA90B2062}"/>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14F1-E825-4D1B-AA0A-598A17E02704}">
  <sheetPr>
    <tabColor theme="0" tint="-0.499984740745262"/>
  </sheetPr>
  <dimension ref="A1:O10"/>
  <sheetViews>
    <sheetView showGridLines="0" zoomScaleNormal="100" zoomScaleSheetLayoutView="50" workbookViewId="0">
      <pane xSplit="3" ySplit="7" topLeftCell="D8" activePane="bottomRight" state="frozen"/>
      <selection activeCell="G6" sqref="G6:H6"/>
      <selection pane="topRight" activeCell="G6" sqref="G6:H6"/>
      <selection pane="bottomLeft" activeCell="G6" sqref="G6:H6"/>
      <selection pane="bottomRight" activeCell="G6" sqref="G6:H6"/>
    </sheetView>
  </sheetViews>
  <sheetFormatPr defaultColWidth="8.78515625" defaultRowHeight="13.5" x14ac:dyDescent="0.35"/>
  <cols>
    <col min="1" max="1" width="2.78515625" style="104" customWidth="1"/>
    <col min="2" max="2" width="26.2109375" style="104" bestFit="1" customWidth="1"/>
    <col min="3" max="3" width="18.78515625" style="104" customWidth="1"/>
    <col min="4" max="4" width="20.2109375" style="104" customWidth="1"/>
    <col min="5" max="5" width="63.2109375" style="104" bestFit="1" customWidth="1"/>
    <col min="6" max="6" width="61.78515625" style="104" bestFit="1" customWidth="1"/>
    <col min="7" max="7" width="20.2109375" style="104" customWidth="1"/>
    <col min="8" max="8" width="25.28515625" style="104" bestFit="1" customWidth="1"/>
    <col min="9" max="13" width="20.2109375" style="104" customWidth="1"/>
    <col min="14" max="14" width="21.42578125" style="104" customWidth="1"/>
    <col min="15" max="15" width="20.2109375" style="104" customWidth="1"/>
    <col min="16" max="16384" width="8.78515625" style="104"/>
  </cols>
  <sheetData>
    <row r="1" spans="1:15" customFormat="1" ht="19.5" x14ac:dyDescent="0.35">
      <c r="A1" s="78" t="s">
        <v>339</v>
      </c>
    </row>
    <row r="2" spans="1:15" customFormat="1" ht="15" x14ac:dyDescent="0.35"/>
    <row r="3" spans="1:15" customFormat="1" ht="15" x14ac:dyDescent="0.35">
      <c r="A3" s="4" t="s">
        <v>487</v>
      </c>
    </row>
    <row r="4" spans="1:15" ht="15.75" customHeight="1" x14ac:dyDescent="0.35">
      <c r="B4" s="24" t="s">
        <v>129</v>
      </c>
      <c r="C4" s="112"/>
      <c r="D4" s="29"/>
      <c r="E4" s="29"/>
      <c r="F4" s="29"/>
      <c r="G4" s="29"/>
      <c r="H4" s="29"/>
      <c r="I4" s="29"/>
      <c r="J4" s="83" t="s">
        <v>140</v>
      </c>
      <c r="K4" s="29"/>
      <c r="L4" s="29"/>
      <c r="M4" s="29"/>
      <c r="N4" s="29"/>
      <c r="O4" s="82"/>
    </row>
    <row r="5" spans="1:15" x14ac:dyDescent="0.35">
      <c r="B5" s="21" t="s">
        <v>43</v>
      </c>
      <c r="C5" s="22"/>
      <c r="D5" s="22"/>
      <c r="E5" s="21" t="s">
        <v>135</v>
      </c>
      <c r="F5" s="111"/>
      <c r="G5" s="111" t="s">
        <v>137</v>
      </c>
      <c r="H5" s="21" t="s">
        <v>454</v>
      </c>
      <c r="I5" s="111"/>
      <c r="J5" s="21" t="s">
        <v>458</v>
      </c>
      <c r="K5" s="22"/>
      <c r="L5" s="22"/>
      <c r="M5" s="21" t="s">
        <v>462</v>
      </c>
      <c r="N5" s="22"/>
      <c r="O5" s="111"/>
    </row>
    <row r="6" spans="1:15" ht="32.25" customHeight="1" x14ac:dyDescent="0.35">
      <c r="B6" s="28" t="s">
        <v>154</v>
      </c>
      <c r="C6" s="110" t="s">
        <v>155</v>
      </c>
      <c r="D6" s="28" t="s">
        <v>156</v>
      </c>
      <c r="E6" s="28" t="s">
        <v>136</v>
      </c>
      <c r="F6" s="28" t="s">
        <v>100</v>
      </c>
      <c r="G6" s="23" t="s">
        <v>138</v>
      </c>
      <c r="H6" s="23" t="s">
        <v>464</v>
      </c>
      <c r="I6" s="23" t="s">
        <v>456</v>
      </c>
      <c r="J6" s="23" t="s">
        <v>141</v>
      </c>
      <c r="K6" s="23" t="s">
        <v>143</v>
      </c>
      <c r="L6" s="23" t="s">
        <v>465</v>
      </c>
      <c r="M6" s="23" t="s">
        <v>466</v>
      </c>
      <c r="N6" s="23" t="s">
        <v>122</v>
      </c>
      <c r="O6" s="28" t="s">
        <v>146</v>
      </c>
    </row>
    <row r="7" spans="1:15" ht="14.25" customHeight="1" x14ac:dyDescent="0.35">
      <c r="B7" s="25" t="s">
        <v>150</v>
      </c>
      <c r="C7" s="26" t="s">
        <v>157</v>
      </c>
      <c r="D7" s="25" t="s">
        <v>157</v>
      </c>
      <c r="E7" s="25" t="s">
        <v>158</v>
      </c>
      <c r="F7" s="25" t="s">
        <v>158</v>
      </c>
      <c r="G7" s="25" t="s">
        <v>157</v>
      </c>
      <c r="H7" s="25" t="s">
        <v>150</v>
      </c>
      <c r="I7" s="25" t="s">
        <v>51</v>
      </c>
      <c r="J7" s="25" t="s">
        <v>110</v>
      </c>
      <c r="K7" s="25" t="s">
        <v>157</v>
      </c>
      <c r="L7" s="25" t="s">
        <v>67</v>
      </c>
      <c r="M7" s="25" t="s">
        <v>67</v>
      </c>
      <c r="N7" s="25" t="s">
        <v>110</v>
      </c>
      <c r="O7" s="25" t="s">
        <v>110</v>
      </c>
    </row>
    <row r="8" spans="1:15" ht="16.5" customHeight="1" x14ac:dyDescent="0.3">
      <c r="B8" s="106"/>
      <c r="C8" s="106"/>
      <c r="D8" s="106"/>
      <c r="E8" s="107"/>
      <c r="F8" s="107"/>
      <c r="G8" s="106"/>
      <c r="H8" s="106"/>
      <c r="I8" s="106"/>
      <c r="J8" s="106"/>
      <c r="K8" s="106"/>
      <c r="L8" s="106"/>
      <c r="M8" s="106"/>
      <c r="N8" s="106"/>
      <c r="O8" s="106"/>
    </row>
    <row r="9" spans="1:15" ht="16.5" customHeight="1" x14ac:dyDescent="0.3">
      <c r="B9" s="108"/>
      <c r="C9" s="108"/>
      <c r="D9" s="108"/>
      <c r="E9" s="107"/>
      <c r="F9" s="107"/>
      <c r="G9" s="108"/>
      <c r="H9" s="108"/>
      <c r="I9" s="108"/>
      <c r="J9" s="108"/>
      <c r="K9" s="108"/>
      <c r="L9" s="108"/>
      <c r="M9" s="108"/>
      <c r="N9" s="108"/>
      <c r="O9" s="108"/>
    </row>
    <row r="10" spans="1:15" x14ac:dyDescent="0.3">
      <c r="B10" s="109"/>
      <c r="C10" s="109"/>
      <c r="D10" s="109"/>
      <c r="E10" s="109"/>
      <c r="F10" s="107"/>
      <c r="G10" s="109"/>
      <c r="H10" s="109"/>
      <c r="I10" s="109"/>
      <c r="J10" s="109"/>
      <c r="K10" s="109"/>
      <c r="L10" s="109"/>
      <c r="M10" s="109"/>
      <c r="N10" s="109"/>
      <c r="O10" s="109"/>
    </row>
  </sheetData>
  <sheetProtection insertRows="0" deleteRows="0" sort="0" autoFilter="0"/>
  <phoneticPr fontId="12"/>
  <conditionalFormatting sqref="E8">
    <cfRule type="expression" dxfId="7" priority="7">
      <formula>IF(#REF!="削除",TRUE,FALSE)</formula>
    </cfRule>
    <cfRule type="expression" dxfId="6" priority="8">
      <formula>AND(#REF!="更新", IF(E8="",FALSE,TRUE))</formula>
    </cfRule>
  </conditionalFormatting>
  <conditionalFormatting sqref="E9">
    <cfRule type="expression" dxfId="5" priority="5">
      <formula>IF(#REF!="削除",TRUE,FALSE)</formula>
    </cfRule>
    <cfRule type="expression" dxfId="4" priority="6">
      <formula>AND(#REF!="更新", IF(E9="",FALSE,TRUE))</formula>
    </cfRule>
  </conditionalFormatting>
  <conditionalFormatting sqref="F8:G8 I8:K8 N8:O8 F9:F10">
    <cfRule type="expression" dxfId="3" priority="9">
      <formula>IF(#REF!="削除",TRUE,FALSE)</formula>
    </cfRule>
    <cfRule type="expression" dxfId="2" priority="10">
      <formula>AND(#REF!="更新", IF(F8="",FALSE,TRUE))</formula>
    </cfRule>
  </conditionalFormatting>
  <conditionalFormatting sqref="L8:M8">
    <cfRule type="expression" dxfId="1" priority="1">
      <formula>IF(#REF!="削除",TRUE,FALSE)</formula>
    </cfRule>
    <cfRule type="expression" dxfId="0" priority="2">
      <formula>AND(#REF!="更新", IF(L8="",FALSE,TRUE))</formula>
    </cfRule>
  </conditionalFormatting>
  <hyperlinks>
    <hyperlink ref="A3" location="パラメータ設定一覧!A1" display="パラメータ設定一覧へ" xr:uid="{7406AF03-2170-4E64-AD22-AC0F6021D29F}"/>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84F3-2BEC-450F-A924-B655435DE86E}">
  <sheetPr>
    <tabColor theme="0" tint="-0.499984740745262"/>
  </sheetPr>
  <dimension ref="A1:L19"/>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340</v>
      </c>
      <c r="I1" s="9"/>
    </row>
    <row r="2" spans="1:12" customFormat="1" ht="15" x14ac:dyDescent="0.35">
      <c r="B2" t="s">
        <v>160</v>
      </c>
      <c r="I2" s="9"/>
    </row>
    <row r="3" spans="1:12" customFormat="1" ht="15" x14ac:dyDescent="0.35">
      <c r="B3" t="s">
        <v>161</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t="s">
        <v>116</v>
      </c>
      <c r="D6" s="16"/>
      <c r="E6" s="16"/>
      <c r="F6" s="17" t="s">
        <v>162</v>
      </c>
      <c r="G6" s="17"/>
      <c r="H6" s="17" t="s">
        <v>110</v>
      </c>
      <c r="I6" s="32" t="s">
        <v>47</v>
      </c>
      <c r="J6" s="17"/>
      <c r="K6" s="1" t="s">
        <v>341</v>
      </c>
      <c r="L6" s="2"/>
    </row>
    <row r="7" spans="1:12" ht="27" x14ac:dyDescent="0.35">
      <c r="B7" s="15">
        <f t="shared" ref="B7:B15" si="0">ROW() - 5</f>
        <v>2</v>
      </c>
      <c r="C7" s="18"/>
      <c r="D7" s="18"/>
      <c r="E7" s="18"/>
      <c r="F7" s="17" t="s">
        <v>163</v>
      </c>
      <c r="G7" s="17"/>
      <c r="H7" s="17" t="s">
        <v>110</v>
      </c>
      <c r="I7" s="32" t="s">
        <v>47</v>
      </c>
      <c r="J7" s="17"/>
      <c r="K7" s="1" t="s">
        <v>341</v>
      </c>
      <c r="L7" s="2"/>
    </row>
    <row r="8" spans="1:12" ht="27" x14ac:dyDescent="0.35">
      <c r="B8" s="15">
        <f t="shared" si="0"/>
        <v>3</v>
      </c>
      <c r="C8" s="18"/>
      <c r="D8" s="18"/>
      <c r="E8" s="18"/>
      <c r="F8" s="100" t="s">
        <v>164</v>
      </c>
      <c r="G8" s="100"/>
      <c r="H8" s="17" t="s">
        <v>110</v>
      </c>
      <c r="I8" s="32" t="s">
        <v>56</v>
      </c>
      <c r="J8" s="17"/>
      <c r="K8" s="1" t="s">
        <v>341</v>
      </c>
      <c r="L8" s="2"/>
    </row>
    <row r="9" spans="1:12" ht="27" x14ac:dyDescent="0.35">
      <c r="B9" s="15">
        <f>ROW() - 5</f>
        <v>4</v>
      </c>
      <c r="C9" s="20"/>
      <c r="D9" s="20"/>
      <c r="E9" s="18"/>
      <c r="F9" s="100" t="s">
        <v>165</v>
      </c>
      <c r="G9" s="100"/>
      <c r="H9" s="17" t="s">
        <v>110</v>
      </c>
      <c r="I9" s="32" t="s">
        <v>56</v>
      </c>
      <c r="J9" s="17"/>
      <c r="K9" s="1" t="s">
        <v>341</v>
      </c>
      <c r="L9" s="2"/>
    </row>
    <row r="10" spans="1:12" ht="27" x14ac:dyDescent="0.35">
      <c r="B10" s="15">
        <f t="shared" si="0"/>
        <v>5</v>
      </c>
      <c r="C10" s="18" t="s">
        <v>43</v>
      </c>
      <c r="D10" s="18"/>
      <c r="E10" s="16"/>
      <c r="F10" s="17" t="s">
        <v>166</v>
      </c>
      <c r="G10" s="17"/>
      <c r="H10" s="17" t="s">
        <v>480</v>
      </c>
      <c r="I10" s="32" t="s">
        <v>47</v>
      </c>
      <c r="J10" s="17"/>
      <c r="K10" s="1" t="s">
        <v>341</v>
      </c>
      <c r="L10" s="2"/>
    </row>
    <row r="11" spans="1:12" ht="27" x14ac:dyDescent="0.35">
      <c r="B11" s="15">
        <f t="shared" si="0"/>
        <v>6</v>
      </c>
      <c r="C11" s="18"/>
      <c r="D11" s="18"/>
      <c r="E11" s="18"/>
      <c r="F11" s="17" t="s">
        <v>167</v>
      </c>
      <c r="G11" s="17"/>
      <c r="H11" s="17" t="s">
        <v>168</v>
      </c>
      <c r="I11" s="32" t="s">
        <v>169</v>
      </c>
      <c r="J11" s="33"/>
      <c r="K11" s="1" t="s">
        <v>341</v>
      </c>
      <c r="L11" s="2"/>
    </row>
    <row r="12" spans="1:12" ht="27" x14ac:dyDescent="0.35">
      <c r="B12" s="15">
        <f t="shared" si="0"/>
        <v>7</v>
      </c>
      <c r="C12" s="20"/>
      <c r="D12" s="20"/>
      <c r="E12" s="20"/>
      <c r="F12" s="100" t="s">
        <v>170</v>
      </c>
      <c r="G12" s="17"/>
      <c r="H12" s="17" t="s">
        <v>481</v>
      </c>
      <c r="I12" s="32" t="s">
        <v>56</v>
      </c>
      <c r="J12" s="17"/>
      <c r="K12" s="1" t="s">
        <v>341</v>
      </c>
      <c r="L12" s="2"/>
    </row>
    <row r="13" spans="1:12" ht="27" x14ac:dyDescent="0.35">
      <c r="B13" s="15">
        <f>ROW() - 5</f>
        <v>8</v>
      </c>
      <c r="C13" s="16" t="s">
        <v>171</v>
      </c>
      <c r="D13" s="16"/>
      <c r="E13" s="183"/>
      <c r="F13" s="100" t="s">
        <v>172</v>
      </c>
      <c r="G13" s="17"/>
      <c r="H13" s="17" t="s">
        <v>480</v>
      </c>
      <c r="I13" s="32" t="s">
        <v>56</v>
      </c>
      <c r="J13" s="17"/>
      <c r="K13" s="1" t="s">
        <v>341</v>
      </c>
      <c r="L13" s="2"/>
    </row>
    <row r="14" spans="1:12" ht="27" x14ac:dyDescent="0.35">
      <c r="B14" s="15">
        <f>ROW() - 5</f>
        <v>9</v>
      </c>
      <c r="C14" s="18"/>
      <c r="D14" s="18"/>
      <c r="E14" s="184"/>
      <c r="F14" s="100" t="s">
        <v>173</v>
      </c>
      <c r="G14" s="17"/>
      <c r="H14" s="17" t="s">
        <v>110</v>
      </c>
      <c r="I14" s="32" t="s">
        <v>56</v>
      </c>
      <c r="J14" s="17"/>
      <c r="K14" s="1" t="s">
        <v>341</v>
      </c>
      <c r="L14" s="2"/>
    </row>
    <row r="15" spans="1:12" ht="27" x14ac:dyDescent="0.35">
      <c r="B15" s="15">
        <f t="shared" si="0"/>
        <v>10</v>
      </c>
      <c r="C15" s="20"/>
      <c r="D15" s="20"/>
      <c r="E15" s="185"/>
      <c r="F15" s="17" t="s">
        <v>174</v>
      </c>
      <c r="G15" s="17"/>
      <c r="H15" s="17" t="s">
        <v>175</v>
      </c>
      <c r="I15" s="32" t="s">
        <v>56</v>
      </c>
      <c r="J15" s="17"/>
      <c r="K15" s="1" t="s">
        <v>341</v>
      </c>
      <c r="L15" s="2"/>
    </row>
    <row r="19" spans="7:7" x14ac:dyDescent="0.35">
      <c r="G19" s="105"/>
    </row>
  </sheetData>
  <mergeCells count="1">
    <mergeCell ref="E13:E15"/>
  </mergeCells>
  <phoneticPr fontId="12"/>
  <hyperlinks>
    <hyperlink ref="A4" location="パラメータ設定一覧!A1" display="パラメータ設定一覧へ" xr:uid="{4A16CCBA-F7C8-4943-8E25-46EADF87282F}"/>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9D51-EDE0-4C95-B6EB-19317F926B44}">
  <sheetPr>
    <tabColor theme="0" tint="-0.499984740745262"/>
  </sheetPr>
  <dimension ref="A1:L55"/>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10.640625" style="104" customWidth="1"/>
    <col min="4" max="4" width="22.85546875" style="104" bestFit="1" customWidth="1"/>
    <col min="5" max="5" width="12.2109375" style="104" bestFit="1" customWidth="1"/>
    <col min="6" max="6" width="39.35546875" style="104" bestFit="1" customWidth="1"/>
    <col min="7" max="7" width="13.42578125" style="104" bestFit="1" customWidth="1"/>
    <col min="8" max="9" width="12.2109375" style="104" bestFit="1" customWidth="1"/>
    <col min="10" max="11" width="10.640625" style="104" customWidth="1"/>
    <col min="12" max="12" width="12.2109375" style="104" bestFit="1" customWidth="1"/>
    <col min="13" max="16384" width="8.85546875" style="104"/>
  </cols>
  <sheetData>
    <row r="1" spans="1:12" customFormat="1" ht="19.5" x14ac:dyDescent="0.35">
      <c r="A1" s="30" t="s">
        <v>342</v>
      </c>
    </row>
    <row r="2" spans="1:12" customFormat="1" ht="15" x14ac:dyDescent="0.35"/>
    <row r="3" spans="1:12" customFormat="1" ht="15" x14ac:dyDescent="0.35">
      <c r="A3" s="4" t="s">
        <v>487</v>
      </c>
    </row>
    <row r="4" spans="1:12" ht="15.75" customHeight="1" x14ac:dyDescent="0.35">
      <c r="B4" s="189" t="s">
        <v>2</v>
      </c>
      <c r="C4" s="38" t="s">
        <v>116</v>
      </c>
      <c r="D4" s="39"/>
      <c r="E4" s="39"/>
      <c r="F4" s="39"/>
      <c r="G4" s="38" t="s">
        <v>43</v>
      </c>
      <c r="H4" s="39"/>
      <c r="I4" s="39"/>
      <c r="J4" s="48" t="s">
        <v>176</v>
      </c>
      <c r="K4" s="49"/>
      <c r="L4" s="117"/>
    </row>
    <row r="5" spans="1:12" x14ac:dyDescent="0.35">
      <c r="B5" s="190"/>
      <c r="C5" s="116" t="s">
        <v>177</v>
      </c>
      <c r="D5" s="116" t="s">
        <v>163</v>
      </c>
      <c r="E5" s="116" t="s">
        <v>164</v>
      </c>
      <c r="F5" s="116" t="s">
        <v>165</v>
      </c>
      <c r="G5" s="116" t="s">
        <v>166</v>
      </c>
      <c r="H5" s="116" t="s">
        <v>167</v>
      </c>
      <c r="I5" s="116" t="s">
        <v>170</v>
      </c>
      <c r="J5" s="116" t="s">
        <v>172</v>
      </c>
      <c r="K5" s="116" t="s">
        <v>173</v>
      </c>
      <c r="L5" s="116" t="s">
        <v>174</v>
      </c>
    </row>
    <row r="6" spans="1:12" ht="27" x14ac:dyDescent="0.35">
      <c r="B6" s="190"/>
      <c r="C6" s="35" t="s">
        <v>110</v>
      </c>
      <c r="D6" s="35" t="s">
        <v>110</v>
      </c>
      <c r="E6" s="35" t="s">
        <v>110</v>
      </c>
      <c r="F6" s="35" t="s">
        <v>110</v>
      </c>
      <c r="G6" s="35" t="s">
        <v>480</v>
      </c>
      <c r="H6" s="35" t="s">
        <v>178</v>
      </c>
      <c r="I6" s="35" t="s">
        <v>481</v>
      </c>
      <c r="J6" s="35" t="s">
        <v>480</v>
      </c>
      <c r="K6" s="35" t="s">
        <v>179</v>
      </c>
      <c r="L6" s="35" t="s">
        <v>180</v>
      </c>
    </row>
    <row r="7" spans="1:12" x14ac:dyDescent="0.3">
      <c r="B7" s="107">
        <f>ROW() - 6</f>
        <v>1</v>
      </c>
      <c r="C7" s="114" t="s">
        <v>507</v>
      </c>
      <c r="D7" s="114" t="s">
        <v>508</v>
      </c>
      <c r="E7" s="114" t="s">
        <v>509</v>
      </c>
      <c r="F7" s="141" t="s">
        <v>510</v>
      </c>
      <c r="G7" s="114" t="s">
        <v>498</v>
      </c>
      <c r="H7" s="114" t="s">
        <v>169</v>
      </c>
      <c r="I7" s="114" t="s">
        <v>56</v>
      </c>
      <c r="J7" s="114" t="s">
        <v>498</v>
      </c>
      <c r="K7" s="114" t="s">
        <v>511</v>
      </c>
      <c r="L7" s="107" t="s">
        <v>512</v>
      </c>
    </row>
    <row r="8" spans="1:12" x14ac:dyDescent="0.3">
      <c r="B8" s="107">
        <f t="shared" ref="B8:B22" si="0">ROW() - 6</f>
        <v>2</v>
      </c>
      <c r="C8" s="114"/>
      <c r="D8" s="114"/>
      <c r="E8" s="114"/>
      <c r="F8" s="114"/>
      <c r="G8" s="114"/>
      <c r="H8" s="114"/>
      <c r="I8" s="114"/>
      <c r="J8" s="114"/>
      <c r="K8" s="114"/>
      <c r="L8" s="107"/>
    </row>
    <row r="9" spans="1:12" x14ac:dyDescent="0.3">
      <c r="B9" s="107">
        <f t="shared" si="0"/>
        <v>3</v>
      </c>
      <c r="C9" s="114"/>
      <c r="D9" s="114"/>
      <c r="E9" s="114"/>
      <c r="F9" s="114"/>
      <c r="G9" s="114"/>
      <c r="H9" s="114"/>
      <c r="I9" s="114"/>
      <c r="J9" s="114"/>
      <c r="K9" s="114"/>
      <c r="L9" s="107"/>
    </row>
    <row r="10" spans="1:12" x14ac:dyDescent="0.3">
      <c r="B10" s="107">
        <f t="shared" si="0"/>
        <v>4</v>
      </c>
      <c r="C10" s="114"/>
      <c r="D10" s="114"/>
      <c r="E10" s="114"/>
      <c r="F10" s="114"/>
      <c r="G10" s="114"/>
      <c r="H10" s="114"/>
      <c r="I10" s="114"/>
      <c r="J10" s="114"/>
      <c r="K10" s="114"/>
      <c r="L10" s="107"/>
    </row>
    <row r="11" spans="1:12" x14ac:dyDescent="0.3">
      <c r="B11" s="107">
        <f t="shared" si="0"/>
        <v>5</v>
      </c>
      <c r="C11" s="114"/>
      <c r="D11" s="114"/>
      <c r="E11" s="114"/>
      <c r="F11" s="114"/>
      <c r="G11" s="114"/>
      <c r="H11" s="114"/>
      <c r="I11" s="114"/>
      <c r="J11" s="114"/>
      <c r="K11" s="114"/>
      <c r="L11" s="107"/>
    </row>
    <row r="12" spans="1:12" x14ac:dyDescent="0.3">
      <c r="B12" s="107">
        <f t="shared" si="0"/>
        <v>6</v>
      </c>
      <c r="C12" s="114"/>
      <c r="D12" s="114"/>
      <c r="E12" s="114"/>
      <c r="F12" s="114"/>
      <c r="G12" s="114"/>
      <c r="H12" s="114"/>
      <c r="I12" s="114"/>
      <c r="J12" s="114"/>
      <c r="K12" s="114"/>
      <c r="L12" s="107"/>
    </row>
    <row r="13" spans="1:12" x14ac:dyDescent="0.3">
      <c r="B13" s="107">
        <f t="shared" si="0"/>
        <v>7</v>
      </c>
      <c r="C13" s="114"/>
      <c r="D13" s="114"/>
      <c r="E13" s="114"/>
      <c r="F13" s="114"/>
      <c r="G13" s="114"/>
      <c r="H13" s="114"/>
      <c r="I13" s="114"/>
      <c r="J13" s="114"/>
      <c r="K13" s="114"/>
      <c r="L13" s="107"/>
    </row>
    <row r="14" spans="1:12" x14ac:dyDescent="0.3">
      <c r="B14" s="107">
        <f t="shared" si="0"/>
        <v>8</v>
      </c>
      <c r="C14" s="114"/>
      <c r="D14" s="114"/>
      <c r="E14" s="114"/>
      <c r="F14" s="114"/>
      <c r="G14" s="114"/>
      <c r="H14" s="114"/>
      <c r="I14" s="114"/>
      <c r="J14" s="114"/>
      <c r="K14" s="114"/>
      <c r="L14" s="107"/>
    </row>
    <row r="15" spans="1:12" x14ac:dyDescent="0.3">
      <c r="B15" s="107">
        <f t="shared" si="0"/>
        <v>9</v>
      </c>
      <c r="C15" s="114"/>
      <c r="D15" s="114"/>
      <c r="E15" s="114"/>
      <c r="F15" s="114"/>
      <c r="G15" s="114"/>
      <c r="H15" s="114"/>
      <c r="I15" s="114"/>
      <c r="J15" s="114"/>
      <c r="K15" s="114"/>
      <c r="L15" s="107"/>
    </row>
    <row r="16" spans="1:12" x14ac:dyDescent="0.3">
      <c r="B16" s="107">
        <f t="shared" si="0"/>
        <v>10</v>
      </c>
      <c r="C16" s="114"/>
      <c r="D16" s="114"/>
      <c r="E16" s="114"/>
      <c r="F16" s="114"/>
      <c r="G16" s="114"/>
      <c r="H16" s="114"/>
      <c r="I16" s="114"/>
      <c r="J16" s="114"/>
      <c r="K16" s="114"/>
      <c r="L16" s="107"/>
    </row>
    <row r="17" spans="2:12" x14ac:dyDescent="0.3">
      <c r="B17" s="107">
        <f t="shared" si="0"/>
        <v>11</v>
      </c>
      <c r="C17" s="114"/>
      <c r="D17" s="114"/>
      <c r="E17" s="114"/>
      <c r="F17" s="114"/>
      <c r="G17" s="114"/>
      <c r="H17" s="114"/>
      <c r="I17" s="114"/>
      <c r="J17" s="114"/>
      <c r="K17" s="114"/>
      <c r="L17" s="107"/>
    </row>
    <row r="18" spans="2:12" x14ac:dyDescent="0.3">
      <c r="B18" s="107">
        <f t="shared" si="0"/>
        <v>12</v>
      </c>
      <c r="C18" s="114"/>
      <c r="D18" s="114"/>
      <c r="E18" s="114"/>
      <c r="F18" s="114"/>
      <c r="G18" s="114"/>
      <c r="H18" s="114"/>
      <c r="I18" s="114"/>
      <c r="J18" s="114"/>
      <c r="K18" s="114"/>
      <c r="L18" s="107"/>
    </row>
    <row r="19" spans="2:12" x14ac:dyDescent="0.3">
      <c r="B19" s="107">
        <f t="shared" si="0"/>
        <v>13</v>
      </c>
      <c r="C19" s="114"/>
      <c r="D19" s="114"/>
      <c r="E19" s="114"/>
      <c r="F19" s="114"/>
      <c r="G19" s="114"/>
      <c r="H19" s="114"/>
      <c r="I19" s="114"/>
      <c r="J19" s="114"/>
      <c r="K19" s="114"/>
      <c r="L19" s="107"/>
    </row>
    <row r="20" spans="2:12" x14ac:dyDescent="0.3">
      <c r="B20" s="107">
        <f t="shared" si="0"/>
        <v>14</v>
      </c>
      <c r="C20" s="114"/>
      <c r="D20" s="114"/>
      <c r="E20" s="114"/>
      <c r="F20" s="114"/>
      <c r="G20" s="114"/>
      <c r="H20" s="114"/>
      <c r="I20" s="114"/>
      <c r="J20" s="114"/>
      <c r="K20" s="114"/>
      <c r="L20" s="107"/>
    </row>
    <row r="21" spans="2:12" x14ac:dyDescent="0.3">
      <c r="B21" s="107">
        <f t="shared" si="0"/>
        <v>15</v>
      </c>
      <c r="C21" s="114"/>
      <c r="D21" s="114"/>
      <c r="E21" s="114"/>
      <c r="F21" s="114"/>
      <c r="G21" s="114"/>
      <c r="H21" s="114"/>
      <c r="I21" s="114"/>
      <c r="J21" s="114"/>
      <c r="K21" s="114"/>
      <c r="L21" s="107"/>
    </row>
    <row r="22" spans="2:12" x14ac:dyDescent="0.3">
      <c r="B22" s="107">
        <f t="shared" si="0"/>
        <v>16</v>
      </c>
      <c r="C22" s="114"/>
      <c r="D22" s="114"/>
      <c r="E22" s="114"/>
      <c r="F22" s="114"/>
      <c r="G22" s="114"/>
      <c r="H22" s="114"/>
      <c r="I22" s="114"/>
      <c r="J22" s="114"/>
      <c r="K22" s="114"/>
      <c r="L22" s="107"/>
    </row>
    <row r="23" spans="2:12" x14ac:dyDescent="0.3">
      <c r="B23" s="115"/>
      <c r="C23" s="115"/>
      <c r="D23" s="115"/>
      <c r="E23" s="115"/>
      <c r="F23" s="115"/>
      <c r="G23" s="115"/>
      <c r="H23" s="115"/>
      <c r="I23" s="115"/>
      <c r="J23" s="115"/>
      <c r="K23" s="115"/>
      <c r="L23" s="115"/>
    </row>
    <row r="24" spans="2:12" x14ac:dyDescent="0.3">
      <c r="B24" s="115"/>
      <c r="C24" s="115"/>
      <c r="D24" s="115"/>
      <c r="E24" s="115"/>
      <c r="F24" s="115"/>
      <c r="G24" s="115"/>
      <c r="H24" s="115"/>
      <c r="I24" s="115"/>
      <c r="J24" s="115"/>
      <c r="K24" s="115"/>
      <c r="L24" s="115"/>
    </row>
    <row r="25" spans="2:12" x14ac:dyDescent="0.3">
      <c r="B25" s="115"/>
      <c r="C25" s="115"/>
      <c r="D25" s="115"/>
      <c r="E25" s="115"/>
      <c r="F25" s="115"/>
      <c r="G25" s="115"/>
      <c r="H25" s="115"/>
      <c r="I25" s="115"/>
      <c r="J25" s="115"/>
      <c r="K25" s="115"/>
      <c r="L25" s="115"/>
    </row>
    <row r="26" spans="2:12" x14ac:dyDescent="0.3">
      <c r="B26" s="115"/>
      <c r="C26" s="115"/>
      <c r="D26" s="115"/>
      <c r="E26" s="115"/>
      <c r="F26" s="115"/>
      <c r="G26" s="115"/>
      <c r="H26" s="115"/>
      <c r="I26" s="115"/>
      <c r="J26" s="115"/>
      <c r="K26" s="115"/>
      <c r="L26" s="115"/>
    </row>
    <row r="27" spans="2:12" x14ac:dyDescent="0.3">
      <c r="B27" s="115"/>
      <c r="C27" s="115"/>
      <c r="D27" s="115"/>
      <c r="E27" s="115"/>
      <c r="F27" s="115"/>
      <c r="G27" s="115"/>
      <c r="H27" s="115"/>
      <c r="I27" s="115"/>
      <c r="J27" s="115"/>
      <c r="K27" s="115"/>
      <c r="L27" s="115"/>
    </row>
    <row r="28" spans="2:12" x14ac:dyDescent="0.3">
      <c r="B28" s="115"/>
      <c r="C28" s="115"/>
      <c r="D28" s="115"/>
      <c r="E28" s="115"/>
      <c r="F28" s="115"/>
      <c r="G28" s="115"/>
      <c r="H28" s="115"/>
      <c r="I28" s="115"/>
      <c r="J28" s="115"/>
      <c r="K28" s="115"/>
      <c r="L28" s="115"/>
    </row>
    <row r="29" spans="2:12" x14ac:dyDescent="0.3">
      <c r="B29" s="115"/>
      <c r="C29" s="115"/>
      <c r="D29" s="115"/>
      <c r="E29" s="115"/>
      <c r="F29" s="115"/>
      <c r="G29" s="115"/>
      <c r="H29" s="115"/>
      <c r="I29" s="115"/>
      <c r="J29" s="115"/>
      <c r="K29" s="115"/>
      <c r="L29" s="115"/>
    </row>
    <row r="30" spans="2:12" x14ac:dyDescent="0.3">
      <c r="B30" s="115"/>
      <c r="C30" s="115"/>
      <c r="D30" s="115"/>
      <c r="E30" s="115"/>
      <c r="F30" s="115"/>
      <c r="G30" s="115"/>
      <c r="H30" s="115"/>
      <c r="I30" s="115"/>
      <c r="J30" s="115"/>
      <c r="K30" s="115"/>
      <c r="L30" s="115"/>
    </row>
    <row r="31" spans="2:12" x14ac:dyDescent="0.3">
      <c r="B31" s="115"/>
      <c r="C31" s="115"/>
      <c r="D31" s="115"/>
      <c r="E31" s="115"/>
      <c r="F31" s="115"/>
      <c r="G31" s="115"/>
      <c r="H31" s="115"/>
      <c r="I31" s="115"/>
      <c r="J31" s="115"/>
      <c r="K31" s="115"/>
      <c r="L31" s="115"/>
    </row>
    <row r="32" spans="2:12" x14ac:dyDescent="0.3">
      <c r="B32" s="115"/>
      <c r="C32" s="115"/>
      <c r="D32" s="115"/>
      <c r="E32" s="115"/>
      <c r="F32" s="115"/>
      <c r="G32" s="115"/>
      <c r="H32" s="115"/>
      <c r="I32" s="115"/>
      <c r="J32" s="115"/>
      <c r="K32" s="115"/>
      <c r="L32" s="115"/>
    </row>
    <row r="33" spans="2:12" x14ac:dyDescent="0.3">
      <c r="B33" s="115"/>
      <c r="C33" s="115"/>
      <c r="D33" s="115"/>
      <c r="E33" s="115"/>
      <c r="F33" s="115"/>
      <c r="G33" s="115"/>
      <c r="H33" s="115"/>
      <c r="I33" s="115"/>
      <c r="J33" s="115"/>
      <c r="K33" s="115"/>
      <c r="L33" s="115"/>
    </row>
    <row r="34" spans="2:12" x14ac:dyDescent="0.3">
      <c r="B34" s="115"/>
      <c r="C34" s="115"/>
      <c r="D34" s="115"/>
      <c r="E34" s="115"/>
      <c r="F34" s="115"/>
      <c r="G34" s="115"/>
      <c r="H34" s="115"/>
      <c r="I34" s="115"/>
      <c r="J34" s="115"/>
      <c r="K34" s="115"/>
      <c r="L34" s="115"/>
    </row>
    <row r="35" spans="2:12" x14ac:dyDescent="0.3">
      <c r="B35" s="115"/>
      <c r="C35" s="115"/>
      <c r="D35" s="115"/>
      <c r="E35" s="115"/>
      <c r="F35" s="115"/>
      <c r="G35" s="115"/>
      <c r="H35" s="115"/>
      <c r="I35" s="115"/>
      <c r="J35" s="115"/>
      <c r="K35" s="115"/>
      <c r="L35" s="115"/>
    </row>
    <row r="36" spans="2:12" x14ac:dyDescent="0.3">
      <c r="B36" s="115"/>
      <c r="C36" s="115"/>
      <c r="D36" s="115"/>
      <c r="E36" s="115"/>
      <c r="F36" s="115"/>
      <c r="G36" s="115"/>
      <c r="H36" s="115"/>
      <c r="I36" s="115"/>
      <c r="J36" s="115"/>
      <c r="K36" s="115"/>
      <c r="L36" s="115"/>
    </row>
    <row r="37" spans="2:12" x14ac:dyDescent="0.3">
      <c r="B37" s="115"/>
      <c r="C37" s="115"/>
      <c r="D37" s="115"/>
      <c r="E37" s="115"/>
      <c r="F37" s="115"/>
      <c r="G37" s="115"/>
      <c r="H37" s="115"/>
      <c r="I37" s="115"/>
      <c r="J37" s="115"/>
      <c r="K37" s="115"/>
      <c r="L37" s="115"/>
    </row>
    <row r="38" spans="2:12" x14ac:dyDescent="0.3">
      <c r="B38" s="115"/>
      <c r="C38" s="115"/>
      <c r="D38" s="115"/>
      <c r="E38" s="115"/>
      <c r="F38" s="115"/>
      <c r="G38" s="115"/>
      <c r="H38" s="115"/>
      <c r="I38" s="115"/>
      <c r="J38" s="115"/>
      <c r="K38" s="115"/>
      <c r="L38" s="115"/>
    </row>
    <row r="39" spans="2:12" x14ac:dyDescent="0.3">
      <c r="B39" s="115"/>
      <c r="C39" s="115"/>
      <c r="D39" s="115"/>
      <c r="E39" s="115"/>
      <c r="F39" s="115"/>
      <c r="G39" s="115"/>
      <c r="H39" s="115"/>
      <c r="I39" s="115"/>
      <c r="J39" s="115"/>
      <c r="K39" s="115"/>
      <c r="L39" s="115"/>
    </row>
    <row r="40" spans="2:12" x14ac:dyDescent="0.3">
      <c r="B40" s="115"/>
      <c r="C40" s="115"/>
      <c r="D40" s="115"/>
      <c r="E40" s="115"/>
      <c r="F40" s="115"/>
      <c r="G40" s="115"/>
      <c r="H40" s="115"/>
      <c r="I40" s="115"/>
      <c r="J40" s="115"/>
      <c r="K40" s="115"/>
      <c r="L40" s="115"/>
    </row>
    <row r="41" spans="2:12" x14ac:dyDescent="0.3">
      <c r="B41" s="115"/>
      <c r="C41" s="115"/>
      <c r="D41" s="115"/>
      <c r="E41" s="115"/>
      <c r="F41" s="115"/>
      <c r="G41" s="115"/>
      <c r="H41" s="115"/>
      <c r="I41" s="115"/>
      <c r="J41" s="115"/>
      <c r="K41" s="115"/>
      <c r="L41" s="115"/>
    </row>
    <row r="42" spans="2:12" x14ac:dyDescent="0.3">
      <c r="B42" s="115"/>
      <c r="C42" s="115"/>
      <c r="D42" s="115"/>
      <c r="E42" s="115"/>
      <c r="F42" s="115"/>
      <c r="G42" s="115"/>
      <c r="H42" s="115"/>
      <c r="I42" s="115"/>
      <c r="J42" s="115"/>
      <c r="K42" s="115"/>
      <c r="L42" s="115"/>
    </row>
    <row r="43" spans="2:12" x14ac:dyDescent="0.3">
      <c r="B43" s="115"/>
      <c r="C43" s="115"/>
      <c r="D43" s="115"/>
      <c r="E43" s="115"/>
      <c r="F43" s="115"/>
      <c r="G43" s="115"/>
      <c r="H43" s="115"/>
      <c r="I43" s="115"/>
      <c r="J43" s="115"/>
      <c r="K43" s="115"/>
      <c r="L43" s="115"/>
    </row>
    <row r="44" spans="2:12" x14ac:dyDescent="0.3">
      <c r="B44" s="115"/>
      <c r="C44" s="115"/>
      <c r="D44" s="115"/>
      <c r="E44" s="115"/>
      <c r="F44" s="115"/>
      <c r="G44" s="115"/>
      <c r="H44" s="115"/>
      <c r="I44" s="115"/>
      <c r="J44" s="115"/>
      <c r="K44" s="115"/>
      <c r="L44" s="115"/>
    </row>
    <row r="45" spans="2:12" x14ac:dyDescent="0.3">
      <c r="B45" s="115"/>
      <c r="C45" s="115"/>
      <c r="D45" s="115"/>
      <c r="E45" s="115"/>
      <c r="F45" s="115"/>
      <c r="G45" s="115"/>
      <c r="H45" s="115"/>
      <c r="I45" s="115"/>
      <c r="J45" s="115"/>
      <c r="K45" s="115"/>
      <c r="L45" s="115"/>
    </row>
    <row r="46" spans="2:12" x14ac:dyDescent="0.3">
      <c r="B46" s="115"/>
      <c r="C46" s="115"/>
      <c r="D46" s="115"/>
      <c r="E46" s="115"/>
      <c r="F46" s="115"/>
      <c r="G46" s="115"/>
      <c r="H46" s="115"/>
      <c r="I46" s="115"/>
      <c r="J46" s="115"/>
      <c r="K46" s="115"/>
      <c r="L46" s="115"/>
    </row>
    <row r="47" spans="2:12" x14ac:dyDescent="0.3">
      <c r="B47" s="115"/>
      <c r="C47" s="115"/>
      <c r="D47" s="115"/>
      <c r="E47" s="115"/>
      <c r="F47" s="115"/>
      <c r="G47" s="115"/>
      <c r="H47" s="115"/>
      <c r="I47" s="115"/>
      <c r="J47" s="115"/>
      <c r="K47" s="115"/>
      <c r="L47" s="115"/>
    </row>
    <row r="48" spans="2:12" x14ac:dyDescent="0.3">
      <c r="B48" s="115"/>
      <c r="C48" s="115"/>
      <c r="D48" s="115"/>
      <c r="E48" s="115"/>
      <c r="F48" s="115"/>
      <c r="G48" s="115"/>
      <c r="H48" s="115"/>
      <c r="I48" s="115"/>
      <c r="J48" s="115"/>
      <c r="K48" s="115"/>
      <c r="L48" s="115"/>
    </row>
    <row r="49" spans="2:12" x14ac:dyDescent="0.3">
      <c r="B49" s="115"/>
      <c r="C49" s="115"/>
      <c r="D49" s="115"/>
      <c r="E49" s="115"/>
      <c r="F49" s="115"/>
      <c r="G49" s="115"/>
      <c r="H49" s="115"/>
      <c r="I49" s="115"/>
      <c r="J49" s="115"/>
      <c r="K49" s="115"/>
      <c r="L49" s="115"/>
    </row>
    <row r="50" spans="2:12" x14ac:dyDescent="0.3">
      <c r="B50" s="115"/>
      <c r="C50" s="115"/>
      <c r="D50" s="115"/>
      <c r="E50" s="115"/>
      <c r="F50" s="115"/>
      <c r="G50" s="115"/>
      <c r="H50" s="115"/>
      <c r="I50" s="115"/>
      <c r="J50" s="115"/>
      <c r="K50" s="115"/>
      <c r="L50" s="115"/>
    </row>
    <row r="51" spans="2:12" x14ac:dyDescent="0.3">
      <c r="B51" s="115"/>
      <c r="C51" s="115"/>
      <c r="D51" s="115"/>
      <c r="E51" s="115"/>
      <c r="F51" s="115"/>
      <c r="G51" s="115"/>
      <c r="H51" s="115"/>
      <c r="I51" s="115"/>
      <c r="J51" s="115"/>
      <c r="K51" s="115"/>
      <c r="L51" s="115"/>
    </row>
    <row r="52" spans="2:12" x14ac:dyDescent="0.3">
      <c r="B52" s="115"/>
      <c r="C52" s="115"/>
      <c r="D52" s="115"/>
      <c r="E52" s="115"/>
      <c r="F52" s="115"/>
      <c r="G52" s="115"/>
      <c r="H52" s="115"/>
      <c r="I52" s="115"/>
      <c r="J52" s="115"/>
      <c r="K52" s="115"/>
      <c r="L52" s="115"/>
    </row>
    <row r="53" spans="2:12" x14ac:dyDescent="0.3">
      <c r="B53" s="115"/>
      <c r="C53" s="115"/>
      <c r="D53" s="115"/>
      <c r="E53" s="115"/>
      <c r="F53" s="115"/>
      <c r="G53" s="115"/>
      <c r="H53" s="115"/>
      <c r="I53" s="115"/>
      <c r="J53" s="115"/>
      <c r="K53" s="115"/>
      <c r="L53" s="115"/>
    </row>
    <row r="54" spans="2:12" x14ac:dyDescent="0.3">
      <c r="B54" s="115"/>
      <c r="C54" s="115"/>
      <c r="D54" s="115"/>
      <c r="E54" s="115"/>
      <c r="F54" s="115"/>
      <c r="G54" s="115"/>
      <c r="H54" s="115"/>
      <c r="I54" s="115"/>
      <c r="J54" s="115"/>
      <c r="K54" s="115"/>
      <c r="L54" s="115"/>
    </row>
    <row r="55" spans="2:12" x14ac:dyDescent="0.3">
      <c r="B55" s="115"/>
      <c r="C55" s="115"/>
      <c r="D55" s="115"/>
      <c r="E55" s="115"/>
      <c r="F55" s="115"/>
      <c r="G55" s="115"/>
      <c r="H55" s="115"/>
      <c r="I55" s="115"/>
      <c r="J55" s="115"/>
      <c r="K55" s="115"/>
      <c r="L55" s="115"/>
    </row>
  </sheetData>
  <sheetProtection insertRows="0" deleteRows="0" sort="0" autoFilter="0"/>
  <mergeCells count="1">
    <mergeCell ref="B4:B6"/>
  </mergeCells>
  <phoneticPr fontId="12"/>
  <hyperlinks>
    <hyperlink ref="A3" location="パラメータ設定一覧!A1" display="パラメータ設定一覧へ" xr:uid="{9FDCD6C8-A783-4D3F-91B0-43A2628B0C33}"/>
    <hyperlink ref="F7" r:id="rId1" xr:uid="{857F5412-6AE5-4F3A-ABF9-E2133FC22ADE}"/>
  </hyperlinks>
  <pageMargins left="0.7" right="0.7" top="0.75" bottom="0.75" header="0.3" footer="0.3"/>
  <pageSetup paperSize="9" orientation="portrait"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E36-084F-484B-8368-F779FE8E1B06}">
  <dimension ref="A1:L44"/>
  <sheetViews>
    <sheetView showGridLines="0" zoomScaleNormal="100" zoomScaleSheetLayoutView="50" workbookViewId="0">
      <pane xSplit="6" ySplit="5" topLeftCell="G6" activePane="bottomRight" state="frozen"/>
      <selection pane="topRight"/>
      <selection pane="bottomLeft"/>
      <selection pane="bottomRight"/>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343</v>
      </c>
      <c r="I1" s="9"/>
    </row>
    <row r="2" spans="1:12" customFormat="1" ht="15" x14ac:dyDescent="0.35">
      <c r="B2" t="s">
        <v>181</v>
      </c>
      <c r="I2" s="9"/>
    </row>
    <row r="3" spans="1:12" customFormat="1" ht="15" x14ac:dyDescent="0.35">
      <c r="B3" t="s">
        <v>182</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t="s">
        <v>183</v>
      </c>
      <c r="D6" s="16"/>
      <c r="E6" s="47" t="s">
        <v>184</v>
      </c>
      <c r="F6" s="17" t="s">
        <v>185</v>
      </c>
      <c r="G6" s="17"/>
      <c r="H6" s="17" t="s">
        <v>67</v>
      </c>
      <c r="I6" s="32" t="s">
        <v>68</v>
      </c>
      <c r="J6" s="17"/>
      <c r="K6" s="1" t="s">
        <v>344</v>
      </c>
      <c r="L6" s="2"/>
    </row>
    <row r="7" spans="1:12" ht="27" x14ac:dyDescent="0.35">
      <c r="B7" s="15">
        <f t="shared" ref="B7:B44" si="0">ROW() - 5</f>
        <v>2</v>
      </c>
      <c r="C7" s="18"/>
      <c r="D7" s="18"/>
      <c r="E7" s="18"/>
      <c r="F7" s="17" t="s">
        <v>186</v>
      </c>
      <c r="G7" s="17"/>
      <c r="H7" s="17" t="s">
        <v>110</v>
      </c>
      <c r="I7" s="32" t="s">
        <v>187</v>
      </c>
      <c r="J7" s="17"/>
      <c r="K7" s="1" t="s">
        <v>344</v>
      </c>
      <c r="L7" s="2"/>
    </row>
    <row r="8" spans="1:12" ht="27" x14ac:dyDescent="0.35">
      <c r="B8" s="15">
        <f t="shared" si="0"/>
        <v>3</v>
      </c>
      <c r="C8" s="18"/>
      <c r="D8" s="18"/>
      <c r="E8" s="18"/>
      <c r="F8" s="100" t="s">
        <v>170</v>
      </c>
      <c r="G8" s="100"/>
      <c r="H8" s="17" t="s">
        <v>481</v>
      </c>
      <c r="I8" s="32" t="s">
        <v>56</v>
      </c>
      <c r="J8" s="17"/>
      <c r="K8" s="1" t="s">
        <v>344</v>
      </c>
      <c r="L8" s="2"/>
    </row>
    <row r="9" spans="1:12" ht="27" x14ac:dyDescent="0.35">
      <c r="B9" s="15">
        <f>ROW() - 5</f>
        <v>4</v>
      </c>
      <c r="C9" s="18"/>
      <c r="D9" s="18"/>
      <c r="E9" s="18"/>
      <c r="F9" s="100" t="s">
        <v>188</v>
      </c>
      <c r="G9" s="100"/>
      <c r="H9" s="17" t="s">
        <v>67</v>
      </c>
      <c r="I9" s="32" t="s">
        <v>68</v>
      </c>
      <c r="J9" s="17"/>
      <c r="K9" s="1" t="s">
        <v>344</v>
      </c>
      <c r="L9" s="2"/>
    </row>
    <row r="10" spans="1:12" ht="27" x14ac:dyDescent="0.35">
      <c r="B10" s="15">
        <f t="shared" si="0"/>
        <v>5</v>
      </c>
      <c r="C10" s="18"/>
      <c r="D10" s="18"/>
      <c r="E10" s="18"/>
      <c r="F10" s="17" t="s">
        <v>189</v>
      </c>
      <c r="G10" s="17"/>
      <c r="H10" s="17" t="s">
        <v>67</v>
      </c>
      <c r="I10" s="32" t="s">
        <v>68</v>
      </c>
      <c r="J10" s="17"/>
      <c r="K10" s="1" t="s">
        <v>344</v>
      </c>
      <c r="L10" s="2"/>
    </row>
    <row r="11" spans="1:12" ht="216" x14ac:dyDescent="0.35">
      <c r="B11" s="15">
        <f t="shared" si="0"/>
        <v>6</v>
      </c>
      <c r="C11" s="20"/>
      <c r="D11" s="20"/>
      <c r="E11" s="20"/>
      <c r="F11" s="17" t="s">
        <v>190</v>
      </c>
      <c r="G11" s="17"/>
      <c r="H11" s="17" t="s">
        <v>191</v>
      </c>
      <c r="I11" s="32" t="s">
        <v>56</v>
      </c>
      <c r="J11" s="17"/>
      <c r="K11" s="1" t="s">
        <v>344</v>
      </c>
      <c r="L11" s="2"/>
    </row>
    <row r="12" spans="1:12" ht="27" x14ac:dyDescent="0.35">
      <c r="B12" s="15">
        <f t="shared" si="0"/>
        <v>7</v>
      </c>
      <c r="C12" s="47" t="s">
        <v>192</v>
      </c>
      <c r="D12" s="118"/>
      <c r="E12" s="47" t="s">
        <v>193</v>
      </c>
      <c r="F12" s="17" t="s">
        <v>194</v>
      </c>
      <c r="G12" s="17" t="s">
        <v>195</v>
      </c>
      <c r="H12" s="17" t="s">
        <v>196</v>
      </c>
      <c r="I12" s="32" t="s">
        <v>197</v>
      </c>
      <c r="J12" s="17"/>
      <c r="K12" s="1" t="s">
        <v>344</v>
      </c>
      <c r="L12" s="2"/>
    </row>
    <row r="13" spans="1:12" ht="27" x14ac:dyDescent="0.35">
      <c r="B13" s="15">
        <f t="shared" si="0"/>
        <v>8</v>
      </c>
      <c r="C13" s="119"/>
      <c r="D13" s="120"/>
      <c r="E13" s="120"/>
      <c r="F13" s="17" t="s">
        <v>198</v>
      </c>
      <c r="G13" s="17" t="s">
        <v>199</v>
      </c>
      <c r="H13" s="17" t="s">
        <v>200</v>
      </c>
      <c r="I13" s="32" t="s">
        <v>201</v>
      </c>
      <c r="J13" s="17"/>
      <c r="K13" s="1" t="s">
        <v>344</v>
      </c>
      <c r="L13" s="2"/>
    </row>
    <row r="14" spans="1:12" ht="27" x14ac:dyDescent="0.35">
      <c r="B14" s="15">
        <f t="shared" si="0"/>
        <v>9</v>
      </c>
      <c r="C14" s="119"/>
      <c r="D14" s="120"/>
      <c r="E14" s="120"/>
      <c r="F14" s="17" t="s">
        <v>202</v>
      </c>
      <c r="G14" s="17" t="s">
        <v>203</v>
      </c>
      <c r="H14" s="17" t="s">
        <v>204</v>
      </c>
      <c r="I14" s="32" t="s">
        <v>205</v>
      </c>
      <c r="J14" s="17"/>
      <c r="K14" s="1" t="s">
        <v>344</v>
      </c>
      <c r="L14" s="2"/>
    </row>
    <row r="15" spans="1:12" ht="27" x14ac:dyDescent="0.35">
      <c r="B15" s="15">
        <f t="shared" si="0"/>
        <v>10</v>
      </c>
      <c r="C15" s="119"/>
      <c r="D15" s="120"/>
      <c r="E15" s="120"/>
      <c r="F15" s="17" t="s">
        <v>206</v>
      </c>
      <c r="G15" s="17"/>
      <c r="H15" s="17" t="s">
        <v>56</v>
      </c>
      <c r="I15" s="32" t="s">
        <v>68</v>
      </c>
      <c r="J15" s="17" t="s">
        <v>207</v>
      </c>
      <c r="K15" s="1" t="s">
        <v>344</v>
      </c>
      <c r="L15" s="2"/>
    </row>
    <row r="16" spans="1:12" ht="27" x14ac:dyDescent="0.35">
      <c r="B16" s="15">
        <f t="shared" si="0"/>
        <v>11</v>
      </c>
      <c r="C16" s="119"/>
      <c r="D16" s="120"/>
      <c r="E16" s="120"/>
      <c r="F16" s="17" t="s">
        <v>208</v>
      </c>
      <c r="G16" s="17"/>
      <c r="H16" s="17" t="s">
        <v>67</v>
      </c>
      <c r="I16" s="32" t="s">
        <v>124</v>
      </c>
      <c r="J16" s="17" t="s">
        <v>207</v>
      </c>
      <c r="K16" s="1" t="s">
        <v>344</v>
      </c>
      <c r="L16" s="2"/>
    </row>
    <row r="17" spans="2:12" ht="27" x14ac:dyDescent="0.35">
      <c r="B17" s="15">
        <f t="shared" si="0"/>
        <v>12</v>
      </c>
      <c r="C17" s="119"/>
      <c r="D17" s="120"/>
      <c r="E17" s="120"/>
      <c r="F17" s="17" t="s">
        <v>209</v>
      </c>
      <c r="G17" s="17"/>
      <c r="H17" s="45" t="s">
        <v>210</v>
      </c>
      <c r="I17" s="45" t="s">
        <v>53</v>
      </c>
      <c r="J17" s="17" t="s">
        <v>211</v>
      </c>
      <c r="K17" s="1" t="s">
        <v>344</v>
      </c>
      <c r="L17" s="2"/>
    </row>
    <row r="18" spans="2:12" ht="27" x14ac:dyDescent="0.35">
      <c r="B18" s="15">
        <f t="shared" si="0"/>
        <v>13</v>
      </c>
      <c r="C18" s="119"/>
      <c r="D18" s="120"/>
      <c r="E18" s="120"/>
      <c r="F18" s="17" t="s">
        <v>212</v>
      </c>
      <c r="G18" s="17"/>
      <c r="H18" s="17" t="s">
        <v>56</v>
      </c>
      <c r="I18" s="32" t="s">
        <v>68</v>
      </c>
      <c r="J18" s="17" t="s">
        <v>207</v>
      </c>
      <c r="K18" s="1" t="s">
        <v>344</v>
      </c>
      <c r="L18" s="2"/>
    </row>
    <row r="19" spans="2:12" ht="27" x14ac:dyDescent="0.35">
      <c r="B19" s="15">
        <f t="shared" si="0"/>
        <v>14</v>
      </c>
      <c r="C19" s="119"/>
      <c r="D19" s="120"/>
      <c r="E19" s="120"/>
      <c r="F19" s="17" t="s">
        <v>213</v>
      </c>
      <c r="G19" s="17"/>
      <c r="H19" s="17" t="s">
        <v>196</v>
      </c>
      <c r="I19" s="32" t="s">
        <v>197</v>
      </c>
      <c r="J19" s="17" t="s">
        <v>214</v>
      </c>
      <c r="K19" s="1" t="s">
        <v>344</v>
      </c>
      <c r="L19" s="2"/>
    </row>
    <row r="20" spans="2:12" ht="81" x14ac:dyDescent="0.35">
      <c r="B20" s="15">
        <f t="shared" si="0"/>
        <v>15</v>
      </c>
      <c r="C20" s="119"/>
      <c r="D20" s="120"/>
      <c r="E20" s="120"/>
      <c r="F20" s="17" t="s">
        <v>215</v>
      </c>
      <c r="G20" s="17"/>
      <c r="H20" s="17" t="s">
        <v>216</v>
      </c>
      <c r="I20" s="32" t="s">
        <v>217</v>
      </c>
      <c r="J20" s="17"/>
      <c r="K20" s="1" t="s">
        <v>344</v>
      </c>
      <c r="L20" s="2"/>
    </row>
    <row r="21" spans="2:12" ht="27" x14ac:dyDescent="0.35">
      <c r="B21" s="15">
        <f t="shared" si="0"/>
        <v>16</v>
      </c>
      <c r="C21" s="119"/>
      <c r="D21" s="120"/>
      <c r="E21" s="120"/>
      <c r="F21" s="17" t="s">
        <v>218</v>
      </c>
      <c r="G21" s="17" t="s">
        <v>219</v>
      </c>
      <c r="H21" s="17" t="s">
        <v>220</v>
      </c>
      <c r="I21" s="46" t="s">
        <v>159</v>
      </c>
      <c r="J21" s="17" t="s">
        <v>221</v>
      </c>
      <c r="K21" s="1" t="s">
        <v>344</v>
      </c>
      <c r="L21" s="2"/>
    </row>
    <row r="22" spans="2:12" ht="27" x14ac:dyDescent="0.35">
      <c r="B22" s="15">
        <f t="shared" si="0"/>
        <v>17</v>
      </c>
      <c r="C22" s="119"/>
      <c r="D22" s="120"/>
      <c r="E22" s="120"/>
      <c r="F22" s="17" t="s">
        <v>222</v>
      </c>
      <c r="G22" s="17" t="s">
        <v>223</v>
      </c>
      <c r="H22" s="17" t="s">
        <v>220</v>
      </c>
      <c r="I22" s="46" t="s">
        <v>224</v>
      </c>
      <c r="J22" s="17" t="s">
        <v>225</v>
      </c>
      <c r="K22" s="1" t="s">
        <v>344</v>
      </c>
      <c r="L22" s="2"/>
    </row>
    <row r="23" spans="2:12" ht="40.5" x14ac:dyDescent="0.35">
      <c r="B23" s="15">
        <f t="shared" si="0"/>
        <v>18</v>
      </c>
      <c r="C23" s="119"/>
      <c r="D23" s="120"/>
      <c r="E23" s="120"/>
      <c r="F23" s="17" t="s">
        <v>226</v>
      </c>
      <c r="G23" s="17"/>
      <c r="H23" s="17" t="s">
        <v>67</v>
      </c>
      <c r="I23" s="46" t="s">
        <v>124</v>
      </c>
      <c r="J23" s="17" t="s">
        <v>227</v>
      </c>
      <c r="K23" s="1" t="s">
        <v>344</v>
      </c>
      <c r="L23" s="2"/>
    </row>
    <row r="24" spans="2:12" ht="27" x14ac:dyDescent="0.35">
      <c r="B24" s="15">
        <f t="shared" si="0"/>
        <v>19</v>
      </c>
      <c r="C24" s="119"/>
      <c r="D24" s="120"/>
      <c r="E24" s="120"/>
      <c r="F24" s="17" t="s">
        <v>228</v>
      </c>
      <c r="G24" s="17"/>
      <c r="H24" s="17" t="s">
        <v>51</v>
      </c>
      <c r="I24" s="46" t="s">
        <v>53</v>
      </c>
      <c r="J24" s="17" t="s">
        <v>229</v>
      </c>
      <c r="K24" s="1" t="s">
        <v>344</v>
      </c>
      <c r="L24" s="2"/>
    </row>
    <row r="25" spans="2:12" ht="40.5" x14ac:dyDescent="0.35">
      <c r="B25" s="15">
        <f t="shared" si="0"/>
        <v>20</v>
      </c>
      <c r="C25" s="119"/>
      <c r="D25" s="120"/>
      <c r="E25" s="120"/>
      <c r="F25" s="17" t="s">
        <v>230</v>
      </c>
      <c r="G25" s="17"/>
      <c r="H25" s="17" t="s">
        <v>67</v>
      </c>
      <c r="I25" s="32" t="s">
        <v>68</v>
      </c>
      <c r="J25" s="17" t="s">
        <v>227</v>
      </c>
      <c r="K25" s="1" t="s">
        <v>344</v>
      </c>
      <c r="L25" s="2"/>
    </row>
    <row r="26" spans="2:12" ht="27" x14ac:dyDescent="0.35">
      <c r="B26" s="15">
        <f t="shared" si="0"/>
        <v>21</v>
      </c>
      <c r="C26" s="119"/>
      <c r="D26" s="120"/>
      <c r="E26" s="120"/>
      <c r="F26" s="17" t="s">
        <v>231</v>
      </c>
      <c r="G26" s="17"/>
      <c r="H26" s="17" t="s">
        <v>51</v>
      </c>
      <c r="I26" s="46" t="s">
        <v>53</v>
      </c>
      <c r="J26" s="17" t="s">
        <v>232</v>
      </c>
      <c r="K26" s="1" t="s">
        <v>344</v>
      </c>
      <c r="L26" s="2"/>
    </row>
    <row r="27" spans="2:12" ht="94.5" x14ac:dyDescent="0.35">
      <c r="B27" s="15">
        <f t="shared" si="0"/>
        <v>22</v>
      </c>
      <c r="C27" s="119"/>
      <c r="D27" s="120"/>
      <c r="E27" s="120"/>
      <c r="F27" s="17" t="s">
        <v>233</v>
      </c>
      <c r="G27" s="17"/>
      <c r="H27" s="17" t="s">
        <v>234</v>
      </c>
      <c r="I27" s="32" t="s">
        <v>235</v>
      </c>
      <c r="J27" s="17" t="s">
        <v>232</v>
      </c>
      <c r="K27" s="1" t="s">
        <v>344</v>
      </c>
      <c r="L27" s="2"/>
    </row>
    <row r="28" spans="2:12" ht="54" x14ac:dyDescent="0.35">
      <c r="B28" s="15">
        <f t="shared" si="0"/>
        <v>23</v>
      </c>
      <c r="C28" s="119"/>
      <c r="D28" s="120"/>
      <c r="E28" s="120"/>
      <c r="F28" s="17" t="s">
        <v>236</v>
      </c>
      <c r="G28" s="17"/>
      <c r="H28" s="17" t="s">
        <v>67</v>
      </c>
      <c r="I28" s="32" t="s">
        <v>124</v>
      </c>
      <c r="J28" s="17" t="s">
        <v>237</v>
      </c>
      <c r="K28" s="1" t="s">
        <v>344</v>
      </c>
      <c r="L28" s="2"/>
    </row>
    <row r="29" spans="2:12" ht="27" x14ac:dyDescent="0.35">
      <c r="B29" s="15">
        <f t="shared" si="0"/>
        <v>24</v>
      </c>
      <c r="C29" s="119"/>
      <c r="D29" s="120"/>
      <c r="E29" s="120"/>
      <c r="F29" s="17" t="s">
        <v>238</v>
      </c>
      <c r="G29" s="17"/>
      <c r="H29" s="17" t="s">
        <v>51</v>
      </c>
      <c r="I29" s="46" t="s">
        <v>239</v>
      </c>
      <c r="J29" s="17" t="s">
        <v>240</v>
      </c>
      <c r="K29" s="1" t="s">
        <v>344</v>
      </c>
      <c r="L29" s="2"/>
    </row>
    <row r="30" spans="2:12" ht="27" x14ac:dyDescent="0.35">
      <c r="B30" s="15">
        <f t="shared" si="0"/>
        <v>25</v>
      </c>
      <c r="C30" s="119"/>
      <c r="D30" s="120"/>
      <c r="E30" s="120"/>
      <c r="F30" s="17" t="s">
        <v>241</v>
      </c>
      <c r="G30" s="17"/>
      <c r="H30" s="17" t="s">
        <v>51</v>
      </c>
      <c r="I30" s="46" t="s">
        <v>53</v>
      </c>
      <c r="J30" s="17" t="s">
        <v>240</v>
      </c>
      <c r="K30" s="1" t="s">
        <v>344</v>
      </c>
      <c r="L30" s="2"/>
    </row>
    <row r="31" spans="2:12" ht="54" x14ac:dyDescent="0.35">
      <c r="B31" s="15">
        <f t="shared" si="0"/>
        <v>26</v>
      </c>
      <c r="C31" s="119"/>
      <c r="D31" s="120"/>
      <c r="E31" s="120"/>
      <c r="F31" s="17" t="s">
        <v>242</v>
      </c>
      <c r="G31" s="17"/>
      <c r="H31" s="17" t="s">
        <v>51</v>
      </c>
      <c r="I31" s="46" t="s">
        <v>53</v>
      </c>
      <c r="J31" s="17" t="s">
        <v>237</v>
      </c>
      <c r="K31" s="1" t="s">
        <v>344</v>
      </c>
      <c r="L31" s="2"/>
    </row>
    <row r="32" spans="2:12" ht="67.5" x14ac:dyDescent="0.35">
      <c r="B32" s="15">
        <f t="shared" si="0"/>
        <v>27</v>
      </c>
      <c r="C32" s="119"/>
      <c r="D32" s="120"/>
      <c r="E32" s="120"/>
      <c r="F32" s="17" t="s">
        <v>243</v>
      </c>
      <c r="G32" s="17"/>
      <c r="H32" s="17" t="s">
        <v>244</v>
      </c>
      <c r="I32" s="46" t="s">
        <v>245</v>
      </c>
      <c r="J32" s="17" t="s">
        <v>246</v>
      </c>
      <c r="K32" s="1" t="s">
        <v>344</v>
      </c>
      <c r="L32" s="2"/>
    </row>
    <row r="33" spans="2:12" ht="94.5" x14ac:dyDescent="0.35">
      <c r="B33" s="15">
        <f t="shared" si="0"/>
        <v>28</v>
      </c>
      <c r="C33" s="119"/>
      <c r="D33" s="120"/>
      <c r="E33" s="120"/>
      <c r="F33" s="17" t="s">
        <v>247</v>
      </c>
      <c r="G33" s="17"/>
      <c r="H33" s="17" t="s">
        <v>234</v>
      </c>
      <c r="I33" s="46" t="s">
        <v>248</v>
      </c>
      <c r="J33" s="17" t="s">
        <v>246</v>
      </c>
      <c r="K33" s="1" t="s">
        <v>344</v>
      </c>
      <c r="L33" s="2"/>
    </row>
    <row r="34" spans="2:12" ht="27" x14ac:dyDescent="0.35">
      <c r="B34" s="15">
        <f t="shared" si="0"/>
        <v>29</v>
      </c>
      <c r="C34" s="119"/>
      <c r="D34" s="120"/>
      <c r="E34" s="120"/>
      <c r="F34" s="17" t="s">
        <v>241</v>
      </c>
      <c r="G34" s="17"/>
      <c r="H34" s="17" t="s">
        <v>51</v>
      </c>
      <c r="I34" s="46" t="s">
        <v>53</v>
      </c>
      <c r="J34" s="17" t="s">
        <v>246</v>
      </c>
      <c r="K34" s="1" t="s">
        <v>344</v>
      </c>
      <c r="L34" s="2"/>
    </row>
    <row r="35" spans="2:12" ht="40.5" x14ac:dyDescent="0.35">
      <c r="B35" s="15">
        <f t="shared" si="0"/>
        <v>30</v>
      </c>
      <c r="C35" s="119"/>
      <c r="D35" s="120"/>
      <c r="E35" s="120"/>
      <c r="F35" s="17" t="s">
        <v>249</v>
      </c>
      <c r="G35" s="17"/>
      <c r="H35" s="17" t="s">
        <v>67</v>
      </c>
      <c r="I35" s="46" t="s">
        <v>124</v>
      </c>
      <c r="J35" s="17" t="s">
        <v>250</v>
      </c>
      <c r="K35" s="1" t="s">
        <v>344</v>
      </c>
      <c r="L35" s="2"/>
    </row>
    <row r="36" spans="2:12" ht="40.5" x14ac:dyDescent="0.35">
      <c r="B36" s="15">
        <f t="shared" si="0"/>
        <v>31</v>
      </c>
      <c r="C36" s="119"/>
      <c r="D36" s="120"/>
      <c r="E36" s="120"/>
      <c r="F36" s="17" t="s">
        <v>251</v>
      </c>
      <c r="G36" s="17"/>
      <c r="H36" s="17" t="s">
        <v>67</v>
      </c>
      <c r="I36" s="46" t="s">
        <v>68</v>
      </c>
      <c r="J36" s="17" t="s">
        <v>250</v>
      </c>
      <c r="K36" s="1" t="s">
        <v>344</v>
      </c>
      <c r="L36" s="2"/>
    </row>
    <row r="37" spans="2:12" ht="67.5" x14ac:dyDescent="0.35">
      <c r="B37" s="15">
        <f t="shared" si="0"/>
        <v>32</v>
      </c>
      <c r="C37" s="119"/>
      <c r="D37" s="120"/>
      <c r="E37" s="120"/>
      <c r="F37" s="17" t="s">
        <v>252</v>
      </c>
      <c r="G37" s="17"/>
      <c r="H37" s="17" t="s">
        <v>244</v>
      </c>
      <c r="I37" s="46" t="s">
        <v>245</v>
      </c>
      <c r="J37" s="17" t="s">
        <v>253</v>
      </c>
      <c r="K37" s="1" t="s">
        <v>344</v>
      </c>
      <c r="L37" s="2"/>
    </row>
    <row r="38" spans="2:12" ht="94.5" x14ac:dyDescent="0.35">
      <c r="B38" s="15">
        <f t="shared" si="0"/>
        <v>33</v>
      </c>
      <c r="C38" s="119"/>
      <c r="D38" s="120"/>
      <c r="E38" s="120"/>
      <c r="F38" s="17" t="s">
        <v>254</v>
      </c>
      <c r="G38" s="17"/>
      <c r="H38" s="17" t="s">
        <v>234</v>
      </c>
      <c r="I38" s="46" t="s">
        <v>248</v>
      </c>
      <c r="J38" s="17" t="s">
        <v>253</v>
      </c>
      <c r="K38" s="1" t="s">
        <v>344</v>
      </c>
      <c r="L38" s="2"/>
    </row>
    <row r="39" spans="2:12" ht="162" x14ac:dyDescent="0.35">
      <c r="B39" s="15">
        <f t="shared" si="0"/>
        <v>34</v>
      </c>
      <c r="C39" s="77"/>
      <c r="D39" s="121"/>
      <c r="E39" s="121"/>
      <c r="F39" s="17" t="s">
        <v>255</v>
      </c>
      <c r="G39" s="17"/>
      <c r="H39" s="17" t="s">
        <v>256</v>
      </c>
      <c r="I39" s="46" t="s">
        <v>257</v>
      </c>
      <c r="J39" s="17" t="s">
        <v>253</v>
      </c>
      <c r="K39" s="1" t="s">
        <v>344</v>
      </c>
      <c r="L39" s="2"/>
    </row>
    <row r="40" spans="2:12" ht="27" x14ac:dyDescent="0.35">
      <c r="B40" s="15">
        <f t="shared" si="0"/>
        <v>35</v>
      </c>
      <c r="C40" s="47" t="s">
        <v>258</v>
      </c>
      <c r="D40" s="47" t="s">
        <v>259</v>
      </c>
      <c r="E40" s="47" t="s">
        <v>183</v>
      </c>
      <c r="F40" s="17" t="s">
        <v>260</v>
      </c>
      <c r="G40" s="17"/>
      <c r="H40" s="17" t="s">
        <v>67</v>
      </c>
      <c r="I40" s="46" t="s">
        <v>124</v>
      </c>
      <c r="J40" s="17"/>
      <c r="K40" s="1" t="s">
        <v>344</v>
      </c>
      <c r="L40" s="2"/>
    </row>
    <row r="41" spans="2:12" ht="27" x14ac:dyDescent="0.35">
      <c r="B41" s="15">
        <f t="shared" si="0"/>
        <v>36</v>
      </c>
      <c r="C41" s="120"/>
      <c r="D41" s="120"/>
      <c r="E41" s="120"/>
      <c r="F41" s="17" t="s">
        <v>261</v>
      </c>
      <c r="G41" s="17"/>
      <c r="H41" s="17" t="s">
        <v>67</v>
      </c>
      <c r="I41" s="46" t="s">
        <v>124</v>
      </c>
      <c r="J41" s="17"/>
      <c r="K41" s="1" t="s">
        <v>344</v>
      </c>
      <c r="L41" s="2"/>
    </row>
    <row r="42" spans="2:12" ht="27" x14ac:dyDescent="0.35">
      <c r="B42" s="15">
        <f t="shared" si="0"/>
        <v>37</v>
      </c>
      <c r="C42" s="120"/>
      <c r="D42" s="120"/>
      <c r="E42" s="121"/>
      <c r="F42" s="17" t="s">
        <v>262</v>
      </c>
      <c r="G42" s="17"/>
      <c r="H42" s="17" t="s">
        <v>67</v>
      </c>
      <c r="I42" s="46" t="s">
        <v>124</v>
      </c>
      <c r="J42" s="17"/>
      <c r="K42" s="1" t="s">
        <v>344</v>
      </c>
      <c r="L42" s="2"/>
    </row>
    <row r="43" spans="2:12" ht="27" x14ac:dyDescent="0.35">
      <c r="B43" s="15">
        <f t="shared" si="0"/>
        <v>38</v>
      </c>
      <c r="C43" s="120"/>
      <c r="D43" s="120"/>
      <c r="E43" s="47" t="s">
        <v>263</v>
      </c>
      <c r="F43" s="17" t="s">
        <v>264</v>
      </c>
      <c r="G43" s="17"/>
      <c r="H43" s="17" t="s">
        <v>67</v>
      </c>
      <c r="I43" s="46" t="s">
        <v>68</v>
      </c>
      <c r="J43" s="17"/>
      <c r="K43" s="1" t="s">
        <v>344</v>
      </c>
      <c r="L43" s="2"/>
    </row>
    <row r="44" spans="2:12" ht="27" x14ac:dyDescent="0.35">
      <c r="B44" s="15">
        <f t="shared" si="0"/>
        <v>39</v>
      </c>
      <c r="C44" s="121"/>
      <c r="D44" s="121"/>
      <c r="E44" s="121"/>
      <c r="F44" s="17" t="s">
        <v>126</v>
      </c>
      <c r="G44" s="17"/>
      <c r="H44" s="17" t="s">
        <v>67</v>
      </c>
      <c r="I44" s="46" t="s">
        <v>68</v>
      </c>
      <c r="J44" s="17"/>
      <c r="K44" s="1" t="s">
        <v>344</v>
      </c>
      <c r="L44" s="2"/>
    </row>
  </sheetData>
  <phoneticPr fontId="12"/>
  <hyperlinks>
    <hyperlink ref="A4" location="パラメータ設定一覧!A1" display="パラメータ設定一覧へ" xr:uid="{03468624-6A87-47DA-9C81-EF9749AF8638}"/>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1943-23AB-4148-85E9-53F0A21CB80D}">
  <dimension ref="A1:AO41"/>
  <sheetViews>
    <sheetView showGridLines="0" zoomScaleNormal="100" zoomScaleSheetLayoutView="50" workbookViewId="0">
      <pane ySplit="9" topLeftCell="A10" activePane="bottomLeft" state="frozen"/>
      <selection pane="bottomLeft" activeCell="A10" sqref="A10"/>
    </sheetView>
  </sheetViews>
  <sheetFormatPr defaultColWidth="8.85546875" defaultRowHeight="13.5" x14ac:dyDescent="0.35"/>
  <cols>
    <col min="1" max="1" width="2.78515625" style="104" customWidth="1"/>
    <col min="2" max="2" width="3.42578125" style="104" bestFit="1" customWidth="1"/>
    <col min="3" max="3" width="10.640625" style="104" customWidth="1"/>
    <col min="4" max="4" width="26.78515625" style="104" bestFit="1" customWidth="1"/>
    <col min="5" max="5" width="12.2109375" style="104" bestFit="1" customWidth="1"/>
    <col min="6" max="6" width="11.640625" style="104" bestFit="1" customWidth="1"/>
    <col min="7" max="7" width="10.640625" style="104" customWidth="1"/>
    <col min="8" max="8" width="31.92578125" style="104" customWidth="1"/>
    <col min="9" max="10" width="21.2109375" style="104" bestFit="1" customWidth="1"/>
    <col min="11" max="11" width="34.2109375" style="104" bestFit="1" customWidth="1"/>
    <col min="12" max="12" width="11" style="104" bestFit="1" customWidth="1"/>
    <col min="13" max="13" width="14.2109375" style="104" customWidth="1"/>
    <col min="14" max="14" width="8.85546875" style="104"/>
    <col min="15" max="15" width="22.140625" style="104" bestFit="1" customWidth="1"/>
    <col min="16" max="16" width="17.640625" style="104" bestFit="1" customWidth="1"/>
    <col min="17" max="17" width="17.140625" style="104" bestFit="1" customWidth="1"/>
    <col min="18" max="19" width="8.85546875" style="104"/>
    <col min="20" max="20" width="20" style="104" bestFit="1" customWidth="1"/>
    <col min="21" max="22" width="8.85546875" style="104"/>
    <col min="23" max="23" width="17.2109375" style="104" bestFit="1" customWidth="1"/>
    <col min="24" max="24" width="8.85546875" style="104"/>
    <col min="25" max="25" width="26.85546875" style="104" bestFit="1" customWidth="1"/>
    <col min="26" max="27" width="8.85546875" style="104"/>
    <col min="28" max="28" width="28.5" style="104" bestFit="1" customWidth="1"/>
    <col min="29" max="31" width="8.85546875" style="104"/>
    <col min="32" max="32" width="12.85546875" style="104" bestFit="1" customWidth="1"/>
    <col min="33" max="33" width="21.42578125" style="104" bestFit="1" customWidth="1"/>
    <col min="34" max="39" width="8.85546875" style="104"/>
    <col min="40" max="40" width="11.5703125" style="104" bestFit="1" customWidth="1"/>
    <col min="41" max="16384" width="8.85546875" style="104"/>
  </cols>
  <sheetData>
    <row r="1" spans="1:41" customFormat="1" ht="19.5" x14ac:dyDescent="0.35">
      <c r="A1" s="30" t="s">
        <v>345</v>
      </c>
    </row>
    <row r="2" spans="1:41" customFormat="1" ht="19.5" x14ac:dyDescent="0.35">
      <c r="A2" s="30"/>
      <c r="B2" s="50" t="s">
        <v>335</v>
      </c>
    </row>
    <row r="3" spans="1:41" customFormat="1" ht="15" x14ac:dyDescent="0.35">
      <c r="B3" t="s">
        <v>333</v>
      </c>
    </row>
    <row r="4" spans="1:41" customFormat="1" ht="15" x14ac:dyDescent="0.35">
      <c r="B4" t="s">
        <v>334</v>
      </c>
    </row>
    <row r="5" spans="1:41" customFormat="1" ht="15" x14ac:dyDescent="0.35">
      <c r="A5" s="4" t="s">
        <v>487</v>
      </c>
    </row>
    <row r="6" spans="1:41" ht="15.75" customHeight="1" x14ac:dyDescent="0.35">
      <c r="B6" s="190" t="s">
        <v>2</v>
      </c>
      <c r="C6" s="48" t="s">
        <v>183</v>
      </c>
      <c r="D6" s="49"/>
      <c r="E6" s="49"/>
      <c r="F6" s="49"/>
      <c r="G6" s="49"/>
      <c r="H6" s="49"/>
      <c r="I6" s="48" t="s">
        <v>192</v>
      </c>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8" t="s">
        <v>258</v>
      </c>
      <c r="AL6" s="49"/>
      <c r="AM6" s="49"/>
      <c r="AN6" s="49"/>
      <c r="AO6" s="49"/>
    </row>
    <row r="7" spans="1:41" ht="15.75" customHeight="1" x14ac:dyDescent="0.35">
      <c r="B7" s="190"/>
      <c r="C7" s="48" t="s">
        <v>265</v>
      </c>
      <c r="D7" s="49"/>
      <c r="E7" s="49"/>
      <c r="F7" s="49"/>
      <c r="G7" s="49"/>
      <c r="H7" s="49"/>
      <c r="I7" s="48" t="s">
        <v>266</v>
      </c>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8" t="s">
        <v>267</v>
      </c>
      <c r="AL7" s="49"/>
      <c r="AM7" s="49"/>
      <c r="AN7" s="48" t="s">
        <v>268</v>
      </c>
      <c r="AO7" s="49"/>
    </row>
    <row r="8" spans="1:41" ht="27" x14ac:dyDescent="0.35">
      <c r="B8" s="190"/>
      <c r="C8" s="113" t="s">
        <v>185</v>
      </c>
      <c r="D8" s="113" t="s">
        <v>186</v>
      </c>
      <c r="E8" s="113" t="s">
        <v>10</v>
      </c>
      <c r="F8" s="113" t="s">
        <v>269</v>
      </c>
      <c r="G8" s="113" t="s">
        <v>189</v>
      </c>
      <c r="H8" s="113" t="s">
        <v>190</v>
      </c>
      <c r="I8" s="113" t="s">
        <v>194</v>
      </c>
      <c r="J8" s="113" t="s">
        <v>198</v>
      </c>
      <c r="K8" s="113" t="s">
        <v>270</v>
      </c>
      <c r="L8" s="113" t="s">
        <v>206</v>
      </c>
      <c r="M8" s="40" t="s">
        <v>208</v>
      </c>
      <c r="N8" s="113" t="s">
        <v>209</v>
      </c>
      <c r="O8" s="113" t="s">
        <v>212</v>
      </c>
      <c r="P8" s="113" t="s">
        <v>213</v>
      </c>
      <c r="Q8" s="113" t="s">
        <v>215</v>
      </c>
      <c r="R8" s="113" t="s">
        <v>218</v>
      </c>
      <c r="S8" s="113" t="s">
        <v>222</v>
      </c>
      <c r="T8" s="113" t="s">
        <v>226</v>
      </c>
      <c r="U8" s="113" t="s">
        <v>228</v>
      </c>
      <c r="V8" s="113" t="s">
        <v>230</v>
      </c>
      <c r="W8" s="113" t="s">
        <v>231</v>
      </c>
      <c r="X8" s="113" t="s">
        <v>233</v>
      </c>
      <c r="Y8" s="113" t="s">
        <v>236</v>
      </c>
      <c r="Z8" s="113" t="s">
        <v>238</v>
      </c>
      <c r="AA8" s="113" t="s">
        <v>241</v>
      </c>
      <c r="AB8" s="113" t="s">
        <v>242</v>
      </c>
      <c r="AC8" s="113" t="s">
        <v>243</v>
      </c>
      <c r="AD8" s="113" t="s">
        <v>247</v>
      </c>
      <c r="AE8" s="113" t="s">
        <v>241</v>
      </c>
      <c r="AF8" s="113" t="s">
        <v>249</v>
      </c>
      <c r="AG8" s="113" t="s">
        <v>251</v>
      </c>
      <c r="AH8" s="113" t="s">
        <v>252</v>
      </c>
      <c r="AI8" s="113" t="s">
        <v>254</v>
      </c>
      <c r="AJ8" s="113" t="s">
        <v>255</v>
      </c>
      <c r="AK8" s="113" t="s">
        <v>260</v>
      </c>
      <c r="AL8" s="113" t="s">
        <v>271</v>
      </c>
      <c r="AM8" s="113" t="s">
        <v>262</v>
      </c>
      <c r="AN8" s="113" t="s">
        <v>264</v>
      </c>
      <c r="AO8" s="113" t="s">
        <v>126</v>
      </c>
    </row>
    <row r="9" spans="1:41" ht="162" x14ac:dyDescent="0.35">
      <c r="B9" s="190"/>
      <c r="C9" s="35" t="s">
        <v>272</v>
      </c>
      <c r="D9" s="35" t="s">
        <v>110</v>
      </c>
      <c r="E9" s="35" t="s">
        <v>481</v>
      </c>
      <c r="F9" s="35" t="s">
        <v>272</v>
      </c>
      <c r="G9" s="35" t="s">
        <v>272</v>
      </c>
      <c r="H9" s="35" t="s">
        <v>191</v>
      </c>
      <c r="I9" s="35" t="s">
        <v>196</v>
      </c>
      <c r="J9" s="35" t="s">
        <v>200</v>
      </c>
      <c r="K9" s="35" t="s">
        <v>204</v>
      </c>
      <c r="L9" s="35" t="s">
        <v>56</v>
      </c>
      <c r="M9" s="35" t="s">
        <v>67</v>
      </c>
      <c r="N9" s="35" t="s">
        <v>210</v>
      </c>
      <c r="O9" s="35" t="s">
        <v>56</v>
      </c>
      <c r="P9" s="35" t="s">
        <v>196</v>
      </c>
      <c r="Q9" s="35" t="s">
        <v>216</v>
      </c>
      <c r="R9" s="35" t="s">
        <v>220</v>
      </c>
      <c r="S9" s="35" t="s">
        <v>220</v>
      </c>
      <c r="T9" s="35" t="s">
        <v>67</v>
      </c>
      <c r="U9" s="35" t="s">
        <v>51</v>
      </c>
      <c r="V9" s="35" t="s">
        <v>67</v>
      </c>
      <c r="W9" s="35" t="s">
        <v>51</v>
      </c>
      <c r="X9" s="35" t="s">
        <v>234</v>
      </c>
      <c r="Y9" s="35" t="s">
        <v>67</v>
      </c>
      <c r="Z9" s="35" t="s">
        <v>51</v>
      </c>
      <c r="AA9" s="35" t="s">
        <v>51</v>
      </c>
      <c r="AB9" s="35" t="s">
        <v>51</v>
      </c>
      <c r="AC9" s="35" t="s">
        <v>244</v>
      </c>
      <c r="AD9" s="35" t="s">
        <v>234</v>
      </c>
      <c r="AE9" s="35" t="s">
        <v>51</v>
      </c>
      <c r="AF9" s="35" t="s">
        <v>67</v>
      </c>
      <c r="AG9" s="35" t="s">
        <v>67</v>
      </c>
      <c r="AH9" s="35" t="s">
        <v>244</v>
      </c>
      <c r="AI9" s="35" t="s">
        <v>234</v>
      </c>
      <c r="AJ9" s="35" t="s">
        <v>484</v>
      </c>
      <c r="AK9" s="35" t="s">
        <v>67</v>
      </c>
      <c r="AL9" s="35" t="s">
        <v>67</v>
      </c>
      <c r="AM9" s="35" t="s">
        <v>67</v>
      </c>
      <c r="AN9" s="35" t="s">
        <v>67</v>
      </c>
      <c r="AO9" s="35" t="s">
        <v>67</v>
      </c>
    </row>
    <row r="10" spans="1:41" x14ac:dyDescent="0.3">
      <c r="B10" s="107">
        <f>ROW() - 9</f>
        <v>1</v>
      </c>
      <c r="C10" s="114" t="s">
        <v>124</v>
      </c>
      <c r="D10" s="114" t="s">
        <v>187</v>
      </c>
      <c r="E10" s="114" t="s">
        <v>56</v>
      </c>
      <c r="F10" s="114" t="s">
        <v>68</v>
      </c>
      <c r="G10" s="114" t="s">
        <v>68</v>
      </c>
      <c r="H10" s="107" t="s">
        <v>47</v>
      </c>
      <c r="I10" s="107" t="s">
        <v>356</v>
      </c>
      <c r="J10" s="107" t="s">
        <v>356</v>
      </c>
      <c r="K10" s="107" t="s">
        <v>273</v>
      </c>
      <c r="L10" s="122" t="s">
        <v>124</v>
      </c>
      <c r="M10" s="107" t="s">
        <v>56</v>
      </c>
      <c r="N10" s="107" t="s">
        <v>56</v>
      </c>
      <c r="O10" s="107" t="s">
        <v>56</v>
      </c>
      <c r="P10" s="107" t="s">
        <v>56</v>
      </c>
      <c r="Q10" s="123" t="s">
        <v>274</v>
      </c>
      <c r="R10" s="124" t="s">
        <v>53</v>
      </c>
      <c r="S10" s="107" t="s">
        <v>56</v>
      </c>
      <c r="T10" s="107" t="s">
        <v>56</v>
      </c>
      <c r="U10" s="107" t="s">
        <v>56</v>
      </c>
      <c r="V10" s="107" t="s">
        <v>56</v>
      </c>
      <c r="W10" s="107" t="s">
        <v>56</v>
      </c>
      <c r="X10" s="107" t="s">
        <v>47</v>
      </c>
      <c r="Y10" s="107" t="s">
        <v>56</v>
      </c>
      <c r="Z10" s="107" t="s">
        <v>56</v>
      </c>
      <c r="AA10" s="107" t="s">
        <v>56</v>
      </c>
      <c r="AB10" s="107" t="s">
        <v>56</v>
      </c>
      <c r="AC10" s="107" t="s">
        <v>56</v>
      </c>
      <c r="AD10" s="107" t="s">
        <v>47</v>
      </c>
      <c r="AE10" s="107" t="s">
        <v>56</v>
      </c>
      <c r="AF10" s="107" t="s">
        <v>56</v>
      </c>
      <c r="AG10" s="107" t="s">
        <v>56</v>
      </c>
      <c r="AH10" s="107" t="s">
        <v>56</v>
      </c>
      <c r="AI10" s="107" t="s">
        <v>56</v>
      </c>
      <c r="AJ10" s="107" t="s">
        <v>47</v>
      </c>
      <c r="AK10" s="107" t="s">
        <v>68</v>
      </c>
      <c r="AL10" s="107" t="s">
        <v>68</v>
      </c>
      <c r="AM10" s="107" t="s">
        <v>68</v>
      </c>
      <c r="AN10" s="107" t="s">
        <v>68</v>
      </c>
      <c r="AO10" s="107" t="s">
        <v>68</v>
      </c>
    </row>
    <row r="11" spans="1:41" x14ac:dyDescent="0.3">
      <c r="B11" s="115"/>
      <c r="C11" s="115"/>
      <c r="D11" s="115"/>
      <c r="E11" s="115"/>
      <c r="F11" s="115"/>
      <c r="G11" s="115"/>
      <c r="H11" s="115"/>
    </row>
    <row r="12" spans="1:41" x14ac:dyDescent="0.3">
      <c r="B12" s="115"/>
      <c r="C12" s="115"/>
      <c r="D12" s="115"/>
      <c r="E12" s="115"/>
      <c r="F12" s="115"/>
      <c r="G12" s="115"/>
      <c r="H12" s="115"/>
    </row>
    <row r="13" spans="1:41" x14ac:dyDescent="0.3">
      <c r="B13" s="115"/>
      <c r="C13" s="115"/>
      <c r="D13" s="115"/>
      <c r="E13" s="115"/>
      <c r="F13" s="115"/>
      <c r="G13" s="115"/>
      <c r="H13" s="115"/>
    </row>
    <row r="14" spans="1:41" x14ac:dyDescent="0.3">
      <c r="B14" s="115"/>
      <c r="C14" s="115"/>
      <c r="D14" s="115"/>
      <c r="E14" s="115"/>
      <c r="F14" s="115"/>
      <c r="G14" s="115"/>
      <c r="H14" s="115"/>
    </row>
    <row r="15" spans="1:41" x14ac:dyDescent="0.3">
      <c r="B15" s="115"/>
      <c r="C15" s="115"/>
      <c r="D15" s="115"/>
      <c r="E15" s="115"/>
      <c r="F15" s="115"/>
      <c r="G15" s="115"/>
      <c r="H15" s="115"/>
    </row>
    <row r="16" spans="1:41" x14ac:dyDescent="0.3">
      <c r="B16" s="115"/>
      <c r="C16" s="115"/>
      <c r="D16" s="115"/>
      <c r="E16" s="115"/>
      <c r="F16" s="115"/>
      <c r="G16" s="115"/>
      <c r="H16" s="115"/>
    </row>
    <row r="17" spans="2:8" x14ac:dyDescent="0.3">
      <c r="B17" s="115"/>
      <c r="C17" s="115"/>
      <c r="D17" s="115"/>
      <c r="E17" s="115"/>
      <c r="F17" s="115"/>
      <c r="G17" s="115"/>
      <c r="H17" s="115"/>
    </row>
    <row r="18" spans="2:8" x14ac:dyDescent="0.3">
      <c r="B18" s="115"/>
      <c r="C18" s="115"/>
      <c r="D18" s="115"/>
      <c r="E18" s="115"/>
      <c r="F18" s="115"/>
      <c r="G18" s="115"/>
      <c r="H18" s="115"/>
    </row>
    <row r="19" spans="2:8" x14ac:dyDescent="0.3">
      <c r="B19" s="115"/>
      <c r="C19" s="115"/>
      <c r="D19" s="115"/>
      <c r="E19" s="115"/>
      <c r="F19" s="115"/>
      <c r="G19" s="115"/>
      <c r="H19" s="115"/>
    </row>
    <row r="20" spans="2:8" x14ac:dyDescent="0.3">
      <c r="B20" s="115"/>
      <c r="C20" s="115"/>
      <c r="D20" s="115"/>
      <c r="E20" s="115"/>
      <c r="F20" s="115"/>
      <c r="G20" s="115"/>
      <c r="H20" s="115"/>
    </row>
    <row r="21" spans="2:8" x14ac:dyDescent="0.3">
      <c r="B21" s="115"/>
      <c r="C21" s="115"/>
      <c r="D21" s="115"/>
      <c r="E21" s="115"/>
      <c r="F21" s="115"/>
      <c r="G21" s="115"/>
      <c r="H21" s="115"/>
    </row>
    <row r="22" spans="2:8" x14ac:dyDescent="0.3">
      <c r="B22" s="115"/>
      <c r="C22" s="115"/>
      <c r="D22" s="115"/>
      <c r="E22" s="115"/>
      <c r="F22" s="115"/>
      <c r="G22" s="115"/>
      <c r="H22" s="115"/>
    </row>
    <row r="23" spans="2:8" x14ac:dyDescent="0.3">
      <c r="B23" s="115"/>
      <c r="C23" s="115"/>
      <c r="D23" s="115"/>
      <c r="E23" s="115"/>
      <c r="F23" s="115"/>
      <c r="G23" s="115"/>
      <c r="H23" s="115"/>
    </row>
    <row r="24" spans="2:8" x14ac:dyDescent="0.3">
      <c r="B24" s="115"/>
      <c r="C24" s="115"/>
      <c r="D24" s="115"/>
      <c r="E24" s="115"/>
      <c r="F24" s="115"/>
      <c r="G24" s="115"/>
      <c r="H24" s="115"/>
    </row>
    <row r="25" spans="2:8" x14ac:dyDescent="0.3">
      <c r="B25" s="115"/>
      <c r="C25" s="115"/>
      <c r="D25" s="115"/>
      <c r="E25" s="115"/>
      <c r="F25" s="115"/>
      <c r="G25" s="115"/>
      <c r="H25" s="115"/>
    </row>
    <row r="26" spans="2:8" x14ac:dyDescent="0.3">
      <c r="B26" s="115"/>
      <c r="C26" s="115"/>
      <c r="D26" s="115"/>
      <c r="E26" s="115"/>
      <c r="F26" s="115"/>
      <c r="G26" s="115"/>
      <c r="H26" s="115"/>
    </row>
    <row r="27" spans="2:8" x14ac:dyDescent="0.3">
      <c r="B27" s="115"/>
      <c r="C27" s="115"/>
      <c r="D27" s="115"/>
      <c r="E27" s="115"/>
      <c r="F27" s="115"/>
      <c r="G27" s="115"/>
      <c r="H27" s="115"/>
    </row>
    <row r="28" spans="2:8" x14ac:dyDescent="0.3">
      <c r="B28" s="115"/>
      <c r="C28" s="115"/>
      <c r="D28" s="115"/>
      <c r="E28" s="115"/>
      <c r="F28" s="115"/>
      <c r="G28" s="115"/>
      <c r="H28" s="115"/>
    </row>
    <row r="29" spans="2:8" x14ac:dyDescent="0.3">
      <c r="B29" s="115"/>
      <c r="C29" s="115"/>
      <c r="D29" s="115"/>
      <c r="E29" s="115"/>
      <c r="F29" s="115"/>
      <c r="G29" s="115"/>
      <c r="H29" s="115"/>
    </row>
    <row r="30" spans="2:8" x14ac:dyDescent="0.3">
      <c r="B30" s="115"/>
      <c r="C30" s="115"/>
      <c r="D30" s="115"/>
      <c r="E30" s="115"/>
      <c r="F30" s="115"/>
      <c r="G30" s="115"/>
      <c r="H30" s="115"/>
    </row>
    <row r="31" spans="2:8" x14ac:dyDescent="0.3">
      <c r="B31" s="115"/>
      <c r="C31" s="115"/>
      <c r="D31" s="115"/>
      <c r="E31" s="115"/>
      <c r="F31" s="115"/>
      <c r="G31" s="115"/>
      <c r="H31" s="115"/>
    </row>
    <row r="32" spans="2:8" x14ac:dyDescent="0.3">
      <c r="B32" s="115"/>
      <c r="C32" s="115"/>
      <c r="D32" s="115"/>
      <c r="E32" s="115"/>
      <c r="F32" s="115"/>
      <c r="G32" s="115"/>
      <c r="H32" s="115"/>
    </row>
    <row r="33" spans="2:8" x14ac:dyDescent="0.3">
      <c r="B33" s="115"/>
      <c r="C33" s="115"/>
      <c r="D33" s="115"/>
      <c r="E33" s="115"/>
      <c r="F33" s="115"/>
      <c r="G33" s="115"/>
      <c r="H33" s="115"/>
    </row>
    <row r="34" spans="2:8" x14ac:dyDescent="0.3">
      <c r="B34" s="115"/>
      <c r="C34" s="115"/>
      <c r="D34" s="115"/>
      <c r="E34" s="115"/>
      <c r="F34" s="115"/>
      <c r="G34" s="115"/>
      <c r="H34" s="115"/>
    </row>
    <row r="35" spans="2:8" x14ac:dyDescent="0.3">
      <c r="B35" s="115"/>
      <c r="C35" s="115"/>
      <c r="D35" s="115"/>
      <c r="E35" s="115"/>
      <c r="F35" s="115"/>
      <c r="G35" s="115"/>
      <c r="H35" s="115"/>
    </row>
    <row r="36" spans="2:8" x14ac:dyDescent="0.3">
      <c r="B36" s="115"/>
      <c r="C36" s="115"/>
      <c r="D36" s="115"/>
      <c r="E36" s="115"/>
      <c r="F36" s="115"/>
      <c r="G36" s="115"/>
      <c r="H36" s="115"/>
    </row>
    <row r="37" spans="2:8" x14ac:dyDescent="0.3">
      <c r="B37" s="115"/>
      <c r="C37" s="115"/>
      <c r="D37" s="115"/>
      <c r="E37" s="115"/>
      <c r="F37" s="115"/>
      <c r="G37" s="115"/>
      <c r="H37" s="115"/>
    </row>
    <row r="38" spans="2:8" x14ac:dyDescent="0.3">
      <c r="B38" s="115"/>
      <c r="C38" s="115"/>
      <c r="D38" s="115"/>
      <c r="E38" s="115"/>
      <c r="F38" s="115"/>
      <c r="G38" s="115"/>
      <c r="H38" s="115"/>
    </row>
    <row r="39" spans="2:8" x14ac:dyDescent="0.3">
      <c r="B39" s="115"/>
      <c r="C39" s="115"/>
      <c r="D39" s="115"/>
      <c r="E39" s="115"/>
      <c r="F39" s="115"/>
      <c r="G39" s="115"/>
      <c r="H39" s="115"/>
    </row>
    <row r="40" spans="2:8" x14ac:dyDescent="0.3">
      <c r="B40" s="115"/>
      <c r="C40" s="115"/>
      <c r="D40" s="115"/>
      <c r="E40" s="115"/>
      <c r="F40" s="115"/>
      <c r="G40" s="115"/>
      <c r="H40" s="115"/>
    </row>
    <row r="41" spans="2:8" x14ac:dyDescent="0.3">
      <c r="B41" s="115"/>
      <c r="C41" s="115"/>
      <c r="D41" s="115"/>
      <c r="E41" s="115"/>
      <c r="F41" s="115"/>
      <c r="G41" s="115"/>
      <c r="H41" s="115"/>
    </row>
  </sheetData>
  <sheetProtection insertRows="0" deleteRows="0" sort="0" autoFilter="0"/>
  <mergeCells count="1">
    <mergeCell ref="B6:B9"/>
  </mergeCells>
  <phoneticPr fontId="12"/>
  <hyperlinks>
    <hyperlink ref="A5" location="パラメータ設定一覧!A1" display="パラメータ設定一覧へ" xr:uid="{5C5B990D-26BA-4573-8AFE-AB73ED527082}"/>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768D-5E78-473A-9622-4E91BDC8BD94}">
  <sheetPr>
    <tabColor theme="0" tint="-0.499984740745262"/>
  </sheetPr>
  <dimension ref="A1:L12"/>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346</v>
      </c>
      <c r="I1" s="9"/>
    </row>
    <row r="2" spans="1:12" customFormat="1" ht="15" x14ac:dyDescent="0.35">
      <c r="B2" t="s">
        <v>275</v>
      </c>
      <c r="I2" s="9"/>
    </row>
    <row r="3" spans="1:12" customFormat="1" ht="15" x14ac:dyDescent="0.35">
      <c r="B3" t="s">
        <v>276</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c r="D6" s="16"/>
      <c r="E6" s="16"/>
      <c r="F6" s="17" t="s">
        <v>277</v>
      </c>
      <c r="G6" s="17"/>
      <c r="H6" s="17" t="s">
        <v>110</v>
      </c>
      <c r="I6" s="32" t="s">
        <v>47</v>
      </c>
      <c r="J6" s="17"/>
      <c r="K6" s="1" t="s">
        <v>347</v>
      </c>
      <c r="L6" s="2"/>
    </row>
    <row r="7" spans="1:12" ht="27" x14ac:dyDescent="0.35">
      <c r="B7" s="15">
        <f t="shared" ref="B7:B8" si="0">ROW() - 5</f>
        <v>2</v>
      </c>
      <c r="C7" s="18"/>
      <c r="D7" s="18"/>
      <c r="E7" s="18"/>
      <c r="F7" s="17" t="s">
        <v>123</v>
      </c>
      <c r="G7" s="17"/>
      <c r="H7" s="17" t="s">
        <v>110</v>
      </c>
      <c r="I7" s="32" t="s">
        <v>47</v>
      </c>
      <c r="J7" s="17"/>
      <c r="K7" s="1" t="s">
        <v>347</v>
      </c>
      <c r="L7" s="2"/>
    </row>
    <row r="8" spans="1:12" ht="27" x14ac:dyDescent="0.35">
      <c r="B8" s="15">
        <f t="shared" si="0"/>
        <v>3</v>
      </c>
      <c r="C8" s="20"/>
      <c r="D8" s="20"/>
      <c r="E8" s="20"/>
      <c r="F8" s="102" t="s">
        <v>121</v>
      </c>
      <c r="G8" s="102"/>
      <c r="H8" s="17" t="s">
        <v>479</v>
      </c>
      <c r="I8" s="32" t="s">
        <v>56</v>
      </c>
      <c r="J8" s="17"/>
      <c r="K8" s="1" t="s">
        <v>347</v>
      </c>
      <c r="L8" s="2"/>
    </row>
    <row r="12" spans="1:12" x14ac:dyDescent="0.35">
      <c r="G12" s="105"/>
    </row>
  </sheetData>
  <phoneticPr fontId="12"/>
  <hyperlinks>
    <hyperlink ref="A4" location="パラメータ設定一覧!A1" display="パラメータ設定一覧へ" xr:uid="{07252207-AC3D-427F-A791-52CCDF8AAF1E}"/>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1A07-7D06-4075-A121-9E152D8F5116}">
  <sheetPr>
    <tabColor theme="0" tint="-0.499984740745262"/>
  </sheetPr>
  <dimension ref="A1:E49"/>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38.78515625" style="104" bestFit="1" customWidth="1"/>
    <col min="4" max="4" width="23.640625" style="104" bestFit="1" customWidth="1"/>
    <col min="5" max="5" width="17.2109375" style="104" bestFit="1" customWidth="1"/>
    <col min="6" max="16384" width="8.85546875" style="104"/>
  </cols>
  <sheetData>
    <row r="1" spans="1:5" customFormat="1" ht="19.5" x14ac:dyDescent="0.35">
      <c r="A1" s="30" t="s">
        <v>348</v>
      </c>
    </row>
    <row r="2" spans="1:5" customFormat="1" ht="15" x14ac:dyDescent="0.35"/>
    <row r="3" spans="1:5" customFormat="1" ht="15" x14ac:dyDescent="0.35">
      <c r="A3" s="4" t="s">
        <v>487</v>
      </c>
    </row>
    <row r="4" spans="1:5" ht="15.75" customHeight="1" x14ac:dyDescent="0.35">
      <c r="B4" s="189" t="s">
        <v>2</v>
      </c>
      <c r="C4" s="38" t="s">
        <v>265</v>
      </c>
      <c r="D4" s="39"/>
      <c r="E4" s="59"/>
    </row>
    <row r="5" spans="1:5" x14ac:dyDescent="0.35">
      <c r="B5" s="190"/>
      <c r="C5" s="116" t="s">
        <v>278</v>
      </c>
      <c r="D5" s="116" t="s">
        <v>123</v>
      </c>
      <c r="E5" s="116" t="s">
        <v>125</v>
      </c>
    </row>
    <row r="6" spans="1:5" x14ac:dyDescent="0.35">
      <c r="B6" s="190"/>
      <c r="C6" s="35" t="s">
        <v>110</v>
      </c>
      <c r="D6" s="35" t="s">
        <v>110</v>
      </c>
      <c r="E6" s="35" t="s">
        <v>479</v>
      </c>
    </row>
    <row r="7" spans="1:5" x14ac:dyDescent="0.3">
      <c r="B7" s="107">
        <f>ROW() - 6</f>
        <v>1</v>
      </c>
      <c r="C7" s="125"/>
      <c r="D7" s="114"/>
      <c r="E7" s="107"/>
    </row>
    <row r="8" spans="1:5" x14ac:dyDescent="0.3">
      <c r="B8" s="107">
        <f t="shared" ref="B8:B16" si="0">ROW() - 6</f>
        <v>2</v>
      </c>
      <c r="C8" s="125"/>
      <c r="D8" s="114"/>
      <c r="E8" s="107"/>
    </row>
    <row r="9" spans="1:5" x14ac:dyDescent="0.3">
      <c r="B9" s="107">
        <f t="shared" si="0"/>
        <v>3</v>
      </c>
      <c r="C9" s="125"/>
      <c r="D9" s="114"/>
      <c r="E9" s="107"/>
    </row>
    <row r="10" spans="1:5" x14ac:dyDescent="0.3">
      <c r="B10" s="107">
        <f t="shared" si="0"/>
        <v>4</v>
      </c>
      <c r="C10" s="114"/>
      <c r="D10" s="114"/>
      <c r="E10" s="107"/>
    </row>
    <row r="11" spans="1:5" x14ac:dyDescent="0.3">
      <c r="B11" s="107">
        <f t="shared" si="0"/>
        <v>5</v>
      </c>
      <c r="C11" s="114"/>
      <c r="D11" s="114"/>
      <c r="E11" s="107"/>
    </row>
    <row r="12" spans="1:5" x14ac:dyDescent="0.3">
      <c r="B12" s="107">
        <f t="shared" si="0"/>
        <v>6</v>
      </c>
      <c r="C12" s="114"/>
      <c r="D12" s="114"/>
      <c r="E12" s="107"/>
    </row>
    <row r="13" spans="1:5" x14ac:dyDescent="0.3">
      <c r="B13" s="107">
        <f t="shared" si="0"/>
        <v>7</v>
      </c>
      <c r="C13" s="114"/>
      <c r="D13" s="114"/>
      <c r="E13" s="107"/>
    </row>
    <row r="14" spans="1:5" x14ac:dyDescent="0.3">
      <c r="B14" s="107">
        <f t="shared" si="0"/>
        <v>8</v>
      </c>
      <c r="C14" s="114"/>
      <c r="D14" s="114"/>
      <c r="E14" s="107"/>
    </row>
    <row r="15" spans="1:5" x14ac:dyDescent="0.3">
      <c r="B15" s="107">
        <f t="shared" si="0"/>
        <v>9</v>
      </c>
      <c r="C15" s="114"/>
      <c r="D15" s="114"/>
      <c r="E15" s="107"/>
    </row>
    <row r="16" spans="1:5" x14ac:dyDescent="0.3">
      <c r="B16" s="107">
        <f t="shared" si="0"/>
        <v>10</v>
      </c>
      <c r="C16" s="114"/>
      <c r="D16" s="114"/>
      <c r="E16" s="107"/>
    </row>
    <row r="17" spans="2:5" x14ac:dyDescent="0.3">
      <c r="B17" s="115"/>
      <c r="C17" s="115"/>
      <c r="D17" s="115"/>
      <c r="E17" s="115"/>
    </row>
    <row r="18" spans="2:5" x14ac:dyDescent="0.3">
      <c r="B18" s="115"/>
      <c r="C18" s="115"/>
      <c r="D18" s="115"/>
      <c r="E18" s="115"/>
    </row>
    <row r="19" spans="2:5" x14ac:dyDescent="0.3">
      <c r="B19" s="115"/>
      <c r="C19" s="115"/>
      <c r="D19" s="115"/>
      <c r="E19" s="115"/>
    </row>
    <row r="20" spans="2:5" x14ac:dyDescent="0.3">
      <c r="B20" s="115"/>
      <c r="C20" s="115"/>
      <c r="D20" s="115"/>
      <c r="E20" s="115"/>
    </row>
    <row r="21" spans="2:5" x14ac:dyDescent="0.3">
      <c r="B21" s="115"/>
      <c r="C21" s="115"/>
      <c r="D21" s="115"/>
      <c r="E21" s="115"/>
    </row>
    <row r="22" spans="2:5" x14ac:dyDescent="0.3">
      <c r="B22" s="115"/>
      <c r="C22" s="115"/>
      <c r="D22" s="115"/>
      <c r="E22" s="115"/>
    </row>
    <row r="23" spans="2:5" x14ac:dyDescent="0.3">
      <c r="B23" s="115"/>
      <c r="C23" s="115"/>
      <c r="D23" s="115"/>
      <c r="E23" s="115"/>
    </row>
    <row r="24" spans="2:5" x14ac:dyDescent="0.3">
      <c r="B24" s="115"/>
      <c r="C24" s="115"/>
      <c r="D24" s="115"/>
      <c r="E24" s="115"/>
    </row>
    <row r="25" spans="2:5" x14ac:dyDescent="0.3">
      <c r="B25" s="115"/>
      <c r="C25" s="115"/>
      <c r="D25" s="115"/>
      <c r="E25" s="115"/>
    </row>
    <row r="26" spans="2:5" x14ac:dyDescent="0.3">
      <c r="B26" s="115"/>
      <c r="C26" s="115"/>
      <c r="D26" s="115"/>
      <c r="E26" s="115"/>
    </row>
    <row r="27" spans="2:5" x14ac:dyDescent="0.3">
      <c r="B27" s="115"/>
      <c r="C27" s="115"/>
      <c r="D27" s="115"/>
      <c r="E27" s="115"/>
    </row>
    <row r="28" spans="2:5" x14ac:dyDescent="0.3">
      <c r="B28" s="115"/>
      <c r="C28" s="115"/>
      <c r="D28" s="115"/>
      <c r="E28" s="115"/>
    </row>
    <row r="29" spans="2:5" x14ac:dyDescent="0.3">
      <c r="B29" s="115"/>
      <c r="C29" s="115"/>
      <c r="D29" s="115"/>
      <c r="E29" s="115"/>
    </row>
    <row r="30" spans="2:5" x14ac:dyDescent="0.3">
      <c r="B30" s="115"/>
      <c r="C30" s="115"/>
      <c r="D30" s="115"/>
      <c r="E30" s="115"/>
    </row>
    <row r="31" spans="2:5" x14ac:dyDescent="0.3">
      <c r="B31" s="115"/>
      <c r="C31" s="115"/>
      <c r="D31" s="115"/>
      <c r="E31" s="115"/>
    </row>
    <row r="32" spans="2:5" x14ac:dyDescent="0.3">
      <c r="B32" s="115"/>
      <c r="C32" s="115"/>
      <c r="D32" s="115"/>
      <c r="E32" s="115"/>
    </row>
    <row r="33" spans="2:5" x14ac:dyDescent="0.3">
      <c r="B33" s="115"/>
      <c r="C33" s="115"/>
      <c r="D33" s="115"/>
      <c r="E33" s="115"/>
    </row>
    <row r="34" spans="2:5" x14ac:dyDescent="0.3">
      <c r="B34" s="115"/>
      <c r="C34" s="115"/>
      <c r="D34" s="115"/>
      <c r="E34" s="115"/>
    </row>
    <row r="35" spans="2:5" x14ac:dyDescent="0.3">
      <c r="B35" s="115"/>
      <c r="C35" s="115"/>
      <c r="D35" s="115"/>
      <c r="E35" s="115"/>
    </row>
    <row r="36" spans="2:5" x14ac:dyDescent="0.3">
      <c r="B36" s="115"/>
      <c r="C36" s="115"/>
      <c r="D36" s="115"/>
      <c r="E36" s="115"/>
    </row>
    <row r="37" spans="2:5" x14ac:dyDescent="0.3">
      <c r="B37" s="115"/>
      <c r="C37" s="115"/>
      <c r="D37" s="115"/>
      <c r="E37" s="115"/>
    </row>
    <row r="38" spans="2:5" x14ac:dyDescent="0.3">
      <c r="B38" s="115"/>
      <c r="C38" s="115"/>
      <c r="D38" s="115"/>
      <c r="E38" s="115"/>
    </row>
    <row r="39" spans="2:5" x14ac:dyDescent="0.3">
      <c r="B39" s="115"/>
      <c r="C39" s="115"/>
      <c r="D39" s="115"/>
      <c r="E39" s="115"/>
    </row>
    <row r="40" spans="2:5" x14ac:dyDescent="0.3">
      <c r="B40" s="115"/>
      <c r="C40" s="115"/>
      <c r="D40" s="115"/>
      <c r="E40" s="115"/>
    </row>
    <row r="41" spans="2:5" x14ac:dyDescent="0.3">
      <c r="B41" s="115"/>
      <c r="C41" s="115"/>
      <c r="D41" s="115"/>
      <c r="E41" s="115"/>
    </row>
    <row r="42" spans="2:5" x14ac:dyDescent="0.3">
      <c r="B42" s="115"/>
      <c r="C42" s="115"/>
      <c r="D42" s="115"/>
      <c r="E42" s="115"/>
    </row>
    <row r="43" spans="2:5" x14ac:dyDescent="0.3">
      <c r="B43" s="115"/>
      <c r="C43" s="115"/>
      <c r="D43" s="115"/>
      <c r="E43" s="115"/>
    </row>
    <row r="44" spans="2:5" x14ac:dyDescent="0.3">
      <c r="B44" s="115"/>
      <c r="C44" s="115"/>
      <c r="D44" s="115"/>
      <c r="E44" s="115"/>
    </row>
    <row r="45" spans="2:5" x14ac:dyDescent="0.3">
      <c r="B45" s="115"/>
      <c r="C45" s="115"/>
      <c r="D45" s="115"/>
      <c r="E45" s="115"/>
    </row>
    <row r="46" spans="2:5" x14ac:dyDescent="0.3">
      <c r="B46" s="115"/>
      <c r="C46" s="115"/>
      <c r="D46" s="115"/>
      <c r="E46" s="115"/>
    </row>
    <row r="47" spans="2:5" x14ac:dyDescent="0.3">
      <c r="B47" s="115"/>
      <c r="C47" s="115"/>
      <c r="D47" s="115"/>
      <c r="E47" s="115"/>
    </row>
    <row r="48" spans="2:5" x14ac:dyDescent="0.3">
      <c r="B48" s="115"/>
      <c r="C48" s="115"/>
      <c r="D48" s="115"/>
      <c r="E48" s="115"/>
    </row>
    <row r="49" spans="2:5" x14ac:dyDescent="0.3">
      <c r="B49" s="115"/>
      <c r="C49" s="115"/>
      <c r="D49" s="115"/>
      <c r="E49" s="115"/>
    </row>
  </sheetData>
  <sheetProtection insertRows="0" deleteRows="0" sort="0" autoFilter="0"/>
  <mergeCells count="1">
    <mergeCell ref="B4:B6"/>
  </mergeCells>
  <phoneticPr fontId="12"/>
  <hyperlinks>
    <hyperlink ref="A3" location="パラメータ設定一覧!A1" display="パラメータ設定一覧へ" xr:uid="{2D183E3C-2646-424C-A295-3C650D9AA4F9}"/>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600E-C5FF-4A46-9A65-75815C84BB47}">
  <sheetPr>
    <tabColor theme="0" tint="-0.499984740745262"/>
  </sheetPr>
  <dimension ref="A1:I42"/>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20.5703125" style="104" customWidth="1"/>
    <col min="4" max="4" width="32.140625" style="104" customWidth="1"/>
    <col min="5" max="5" width="12.2109375" style="104" bestFit="1" customWidth="1"/>
    <col min="6" max="6" width="13.35546875" style="104" bestFit="1" customWidth="1"/>
    <col min="7" max="7" width="15.85546875" style="104" bestFit="1" customWidth="1"/>
    <col min="8" max="8" width="12.2109375" style="104" bestFit="1" customWidth="1"/>
    <col min="9" max="9" width="11.140625" style="104" bestFit="1" customWidth="1"/>
    <col min="10" max="16384" width="8.85546875" style="104"/>
  </cols>
  <sheetData>
    <row r="1" spans="1:9" customFormat="1" ht="19.5" x14ac:dyDescent="0.35">
      <c r="A1" s="30" t="s">
        <v>349</v>
      </c>
    </row>
    <row r="2" spans="1:9" customFormat="1" ht="15" x14ac:dyDescent="0.35">
      <c r="B2" t="s">
        <v>280</v>
      </c>
    </row>
    <row r="3" spans="1:9" customFormat="1" ht="15" x14ac:dyDescent="0.35">
      <c r="B3" t="s">
        <v>281</v>
      </c>
    </row>
    <row r="4" spans="1:9" customFormat="1" ht="15" x14ac:dyDescent="0.35">
      <c r="A4" s="4" t="s">
        <v>487</v>
      </c>
      <c r="D4" s="94" t="s">
        <v>282</v>
      </c>
    </row>
    <row r="5" spans="1:9" ht="15.75" customHeight="1" x14ac:dyDescent="0.35">
      <c r="B5" s="189" t="s">
        <v>2</v>
      </c>
      <c r="C5" s="38" t="s">
        <v>265</v>
      </c>
      <c r="D5" s="39"/>
      <c r="E5" s="39"/>
      <c r="F5" s="39"/>
      <c r="G5" s="39"/>
      <c r="H5" s="39"/>
      <c r="I5" s="59"/>
    </row>
    <row r="6" spans="1:9" x14ac:dyDescent="0.35">
      <c r="B6" s="190"/>
      <c r="C6" s="116" t="s">
        <v>283</v>
      </c>
      <c r="D6" s="116" t="s">
        <v>284</v>
      </c>
      <c r="E6" s="116" t="s">
        <v>361</v>
      </c>
      <c r="F6" s="116" t="s">
        <v>285</v>
      </c>
      <c r="G6" s="116" t="s">
        <v>359</v>
      </c>
      <c r="H6" s="116" t="s">
        <v>360</v>
      </c>
      <c r="I6" s="116" t="s">
        <v>362</v>
      </c>
    </row>
    <row r="7" spans="1:9" x14ac:dyDescent="0.3">
      <c r="B7" s="107">
        <f>ROW() - 6</f>
        <v>1</v>
      </c>
      <c r="C7" s="17"/>
      <c r="D7" s="17"/>
      <c r="E7" s="17"/>
      <c r="F7" s="44"/>
      <c r="G7" s="44"/>
      <c r="H7" s="17"/>
      <c r="I7" s="17"/>
    </row>
    <row r="8" spans="1:9" x14ac:dyDescent="0.3">
      <c r="B8" s="107">
        <f t="shared" ref="B8:B10" si="0">ROW() - 6</f>
        <v>2</v>
      </c>
      <c r="C8" s="17"/>
      <c r="D8" s="17"/>
      <c r="E8" s="17"/>
      <c r="F8" s="44"/>
      <c r="G8" s="44"/>
      <c r="H8" s="17"/>
      <c r="I8" s="17"/>
    </row>
    <row r="9" spans="1:9" x14ac:dyDescent="0.3">
      <c r="B9" s="107">
        <f t="shared" si="0"/>
        <v>3</v>
      </c>
      <c r="C9" s="17"/>
      <c r="D9" s="17"/>
      <c r="E9" s="17"/>
      <c r="F9" s="44"/>
      <c r="G9" s="44"/>
      <c r="H9" s="17"/>
      <c r="I9" s="17"/>
    </row>
    <row r="10" spans="1:9" x14ac:dyDescent="0.3">
      <c r="B10" s="107">
        <f t="shared" si="0"/>
        <v>4</v>
      </c>
      <c r="C10" s="126"/>
      <c r="D10" s="126"/>
      <c r="E10" s="17"/>
      <c r="F10" s="17"/>
      <c r="G10" s="127"/>
      <c r="H10" s="17"/>
      <c r="I10" s="88"/>
    </row>
    <row r="11" spans="1:9" x14ac:dyDescent="0.3">
      <c r="B11" s="115"/>
      <c r="C11" s="115"/>
      <c r="D11" s="115"/>
      <c r="E11" s="115"/>
      <c r="F11" s="115"/>
      <c r="G11" s="115"/>
      <c r="H11" s="115"/>
    </row>
    <row r="12" spans="1:9" x14ac:dyDescent="0.3">
      <c r="B12" s="115"/>
      <c r="C12" s="115"/>
      <c r="D12" s="115"/>
      <c r="E12" s="115"/>
      <c r="F12" s="115"/>
      <c r="G12" s="115"/>
      <c r="H12" s="115"/>
    </row>
    <row r="13" spans="1:9" x14ac:dyDescent="0.3">
      <c r="B13" s="115"/>
      <c r="C13" s="115"/>
      <c r="D13" s="115"/>
      <c r="E13" s="115"/>
      <c r="F13" s="115"/>
      <c r="G13" s="115"/>
      <c r="H13" s="115"/>
    </row>
    <row r="14" spans="1:9" x14ac:dyDescent="0.3">
      <c r="B14" s="115"/>
      <c r="C14" s="115"/>
      <c r="D14" s="115"/>
      <c r="E14" s="115"/>
      <c r="F14" s="115"/>
      <c r="G14" s="115"/>
      <c r="H14" s="115"/>
    </row>
    <row r="15" spans="1:9" x14ac:dyDescent="0.3">
      <c r="B15" s="115"/>
      <c r="C15" s="115"/>
      <c r="D15" s="115"/>
      <c r="E15" s="115"/>
      <c r="F15" s="115"/>
      <c r="G15" s="115"/>
      <c r="H15" s="115"/>
    </row>
    <row r="16" spans="1:9" x14ac:dyDescent="0.3">
      <c r="B16" s="115"/>
      <c r="C16" s="115"/>
      <c r="D16" s="115"/>
      <c r="E16" s="115"/>
      <c r="F16" s="115"/>
      <c r="G16" s="115"/>
      <c r="H16" s="115"/>
    </row>
    <row r="17" spans="2:8" x14ac:dyDescent="0.3">
      <c r="B17" s="115"/>
      <c r="C17" s="115"/>
      <c r="D17" s="115"/>
      <c r="E17" s="115"/>
      <c r="F17" s="115"/>
      <c r="G17" s="115"/>
      <c r="H17" s="115"/>
    </row>
    <row r="18" spans="2:8" x14ac:dyDescent="0.3">
      <c r="B18" s="115"/>
      <c r="C18" s="115"/>
      <c r="D18" s="115"/>
      <c r="E18" s="115"/>
      <c r="F18" s="115"/>
      <c r="G18" s="115"/>
      <c r="H18" s="115"/>
    </row>
    <row r="19" spans="2:8" x14ac:dyDescent="0.3">
      <c r="B19" s="115"/>
      <c r="C19" s="115"/>
      <c r="D19" s="115"/>
      <c r="E19" s="115"/>
      <c r="F19" s="115"/>
      <c r="G19" s="115"/>
      <c r="H19" s="115"/>
    </row>
    <row r="20" spans="2:8" x14ac:dyDescent="0.3">
      <c r="B20" s="115"/>
      <c r="C20" s="115"/>
      <c r="D20" s="115"/>
      <c r="E20" s="115"/>
      <c r="F20" s="115"/>
      <c r="G20" s="115"/>
      <c r="H20" s="115"/>
    </row>
    <row r="21" spans="2:8" x14ac:dyDescent="0.3">
      <c r="B21" s="115"/>
      <c r="C21" s="115"/>
      <c r="D21" s="115"/>
      <c r="E21" s="115"/>
      <c r="F21" s="115"/>
      <c r="G21" s="115"/>
      <c r="H21" s="115"/>
    </row>
    <row r="22" spans="2:8" x14ac:dyDescent="0.3">
      <c r="B22" s="115"/>
      <c r="C22" s="115"/>
      <c r="D22" s="115"/>
      <c r="E22" s="115"/>
      <c r="F22" s="115"/>
      <c r="G22" s="115"/>
      <c r="H22" s="115"/>
    </row>
    <row r="23" spans="2:8" x14ac:dyDescent="0.3">
      <c r="B23" s="115"/>
      <c r="C23" s="115"/>
      <c r="D23" s="115"/>
      <c r="E23" s="115"/>
      <c r="F23" s="115"/>
      <c r="G23" s="115"/>
      <c r="H23" s="115"/>
    </row>
    <row r="24" spans="2:8" x14ac:dyDescent="0.3">
      <c r="B24" s="115"/>
      <c r="C24" s="115"/>
      <c r="D24" s="115"/>
      <c r="E24" s="115"/>
      <c r="F24" s="115"/>
      <c r="G24" s="115"/>
      <c r="H24" s="115"/>
    </row>
    <row r="25" spans="2:8" x14ac:dyDescent="0.3">
      <c r="B25" s="115"/>
      <c r="C25" s="115"/>
      <c r="D25" s="115"/>
      <c r="E25" s="115"/>
      <c r="F25" s="115"/>
      <c r="G25" s="115"/>
      <c r="H25" s="115"/>
    </row>
    <row r="26" spans="2:8" x14ac:dyDescent="0.3">
      <c r="B26" s="115"/>
      <c r="C26" s="115"/>
      <c r="D26" s="115"/>
      <c r="E26" s="115"/>
      <c r="F26" s="115"/>
      <c r="G26" s="115"/>
      <c r="H26" s="115"/>
    </row>
    <row r="27" spans="2:8" x14ac:dyDescent="0.3">
      <c r="B27" s="115"/>
      <c r="C27" s="115"/>
      <c r="D27" s="115"/>
      <c r="E27" s="115"/>
      <c r="F27" s="115"/>
      <c r="G27" s="115"/>
      <c r="H27" s="115"/>
    </row>
    <row r="28" spans="2:8" x14ac:dyDescent="0.3">
      <c r="B28" s="115"/>
      <c r="C28" s="115"/>
      <c r="D28" s="115"/>
      <c r="E28" s="115"/>
      <c r="F28" s="115"/>
      <c r="G28" s="115"/>
      <c r="H28" s="115"/>
    </row>
    <row r="29" spans="2:8" x14ac:dyDescent="0.3">
      <c r="B29" s="115"/>
      <c r="C29" s="115"/>
      <c r="D29" s="115"/>
      <c r="E29" s="115"/>
      <c r="F29" s="115"/>
      <c r="G29" s="115"/>
      <c r="H29" s="115"/>
    </row>
    <row r="30" spans="2:8" x14ac:dyDescent="0.3">
      <c r="B30" s="115"/>
      <c r="C30" s="115"/>
      <c r="D30" s="115"/>
      <c r="E30" s="115"/>
      <c r="F30" s="115"/>
      <c r="G30" s="115"/>
      <c r="H30" s="115"/>
    </row>
    <row r="31" spans="2:8" x14ac:dyDescent="0.3">
      <c r="B31" s="115"/>
      <c r="C31" s="115"/>
      <c r="D31" s="115"/>
      <c r="E31" s="115"/>
      <c r="F31" s="115"/>
      <c r="G31" s="115"/>
      <c r="H31" s="115"/>
    </row>
    <row r="32" spans="2:8" x14ac:dyDescent="0.3">
      <c r="B32" s="115"/>
      <c r="C32" s="115"/>
      <c r="D32" s="115"/>
      <c r="E32" s="115"/>
      <c r="F32" s="115"/>
      <c r="G32" s="115"/>
      <c r="H32" s="115"/>
    </row>
    <row r="33" spans="2:8" x14ac:dyDescent="0.3">
      <c r="B33" s="115"/>
      <c r="C33" s="115"/>
      <c r="D33" s="115"/>
      <c r="E33" s="115"/>
      <c r="F33" s="115"/>
      <c r="G33" s="115"/>
      <c r="H33" s="115"/>
    </row>
    <row r="34" spans="2:8" x14ac:dyDescent="0.3">
      <c r="B34" s="115"/>
      <c r="C34" s="115"/>
      <c r="D34" s="115"/>
      <c r="E34" s="115"/>
      <c r="F34" s="115"/>
      <c r="G34" s="115"/>
      <c r="H34" s="115"/>
    </row>
    <row r="35" spans="2:8" x14ac:dyDescent="0.3">
      <c r="B35" s="115"/>
      <c r="C35" s="115"/>
      <c r="D35" s="115"/>
      <c r="E35" s="115"/>
      <c r="F35" s="115"/>
      <c r="G35" s="115"/>
      <c r="H35" s="115"/>
    </row>
    <row r="36" spans="2:8" x14ac:dyDescent="0.3">
      <c r="B36" s="115"/>
      <c r="C36" s="115"/>
      <c r="D36" s="115"/>
      <c r="E36" s="115"/>
      <c r="F36" s="115"/>
      <c r="G36" s="115"/>
      <c r="H36" s="115"/>
    </row>
    <row r="37" spans="2:8" x14ac:dyDescent="0.3">
      <c r="B37" s="115"/>
      <c r="C37" s="115"/>
      <c r="D37" s="115"/>
      <c r="E37" s="115"/>
      <c r="F37" s="115"/>
      <c r="G37" s="115"/>
      <c r="H37" s="115"/>
    </row>
    <row r="38" spans="2:8" x14ac:dyDescent="0.3">
      <c r="B38" s="115"/>
      <c r="C38" s="115"/>
      <c r="D38" s="115"/>
      <c r="E38" s="115"/>
      <c r="F38" s="115"/>
      <c r="G38" s="115"/>
      <c r="H38" s="115"/>
    </row>
    <row r="39" spans="2:8" x14ac:dyDescent="0.3">
      <c r="B39" s="115"/>
      <c r="C39" s="115"/>
      <c r="D39" s="115"/>
      <c r="E39" s="115"/>
      <c r="F39" s="115"/>
      <c r="G39" s="115"/>
      <c r="H39" s="115"/>
    </row>
    <row r="40" spans="2:8" x14ac:dyDescent="0.3">
      <c r="B40" s="115"/>
      <c r="C40" s="115"/>
      <c r="D40" s="115"/>
      <c r="E40" s="115"/>
      <c r="F40" s="115"/>
      <c r="G40" s="115"/>
      <c r="H40" s="115"/>
    </row>
    <row r="41" spans="2:8" x14ac:dyDescent="0.3">
      <c r="B41" s="115"/>
      <c r="C41" s="115"/>
      <c r="D41" s="115"/>
      <c r="E41" s="115"/>
      <c r="F41" s="115"/>
      <c r="G41" s="115"/>
      <c r="H41" s="115"/>
    </row>
    <row r="42" spans="2:8" x14ac:dyDescent="0.3">
      <c r="B42" s="115"/>
      <c r="C42" s="115"/>
      <c r="D42" s="115"/>
      <c r="E42" s="115"/>
      <c r="F42" s="115"/>
      <c r="G42" s="115"/>
      <c r="H42" s="115"/>
    </row>
  </sheetData>
  <sheetProtection insertRows="0" deleteRows="0" sort="0" autoFilter="0"/>
  <mergeCells count="1">
    <mergeCell ref="B5:B6"/>
  </mergeCells>
  <phoneticPr fontId="12"/>
  <hyperlinks>
    <hyperlink ref="A4" location="パラメータ設定一覧!A1" display="パラメータ設定一覧へ" xr:uid="{675702C5-C8D3-4173-BD93-A4851A24E478}"/>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C5431-2954-4504-9D56-C6A4CA1B8D14}">
  <sheetPr>
    <tabColor theme="0" tint="-0.499984740745262"/>
  </sheetPr>
  <dimension ref="A1:L15"/>
  <sheetViews>
    <sheetView showGridLines="0" zoomScale="80" zoomScaleNormal="80" zoomScaleSheetLayoutView="50" workbookViewId="0">
      <pane xSplit="6" ySplit="5" topLeftCell="J6" activePane="bottomRight" state="frozen"/>
      <selection activeCell="G6" sqref="G6"/>
      <selection pane="topRight" activeCell="G6" sqref="G6"/>
      <selection pane="bottomLeft" activeCell="G6" sqref="G6"/>
      <selection pane="bottomRight" activeCell="J6" sqref="J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350</v>
      </c>
      <c r="I1" s="9"/>
    </row>
    <row r="2" spans="1:12" customFormat="1" ht="15" x14ac:dyDescent="0.35">
      <c r="B2" t="s">
        <v>286</v>
      </c>
      <c r="I2" s="9"/>
    </row>
    <row r="3" spans="1:12" customFormat="1" ht="15" x14ac:dyDescent="0.35">
      <c r="B3" t="s">
        <v>287</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40.5" x14ac:dyDescent="0.35">
      <c r="B6" s="15">
        <f>ROW() - 5</f>
        <v>1</v>
      </c>
      <c r="C6" s="16" t="s">
        <v>25</v>
      </c>
      <c r="D6" s="16"/>
      <c r="E6" s="16" t="s">
        <v>288</v>
      </c>
      <c r="F6" s="17" t="s">
        <v>288</v>
      </c>
      <c r="G6" s="17" t="s">
        <v>289</v>
      </c>
      <c r="H6" s="17" t="s">
        <v>479</v>
      </c>
      <c r="I6" s="32" t="s">
        <v>279</v>
      </c>
      <c r="J6" s="17"/>
      <c r="K6" s="1"/>
      <c r="L6" s="2"/>
    </row>
    <row r="7" spans="1:12" ht="67.5" x14ac:dyDescent="0.35">
      <c r="B7" s="15">
        <f t="shared" ref="B7:B11" si="0">ROW() - 5</f>
        <v>2</v>
      </c>
      <c r="C7" s="18"/>
      <c r="D7" s="18"/>
      <c r="E7" s="17" t="s">
        <v>290</v>
      </c>
      <c r="F7" s="17" t="s">
        <v>170</v>
      </c>
      <c r="G7" s="17" t="s">
        <v>291</v>
      </c>
      <c r="H7" s="17" t="s">
        <v>292</v>
      </c>
      <c r="I7" s="32" t="s">
        <v>47</v>
      </c>
      <c r="J7" s="17"/>
      <c r="K7" s="1"/>
      <c r="L7" s="2"/>
    </row>
    <row r="8" spans="1:12" ht="81" x14ac:dyDescent="0.35">
      <c r="B8" s="15">
        <f t="shared" si="0"/>
        <v>3</v>
      </c>
      <c r="C8" s="18"/>
      <c r="D8" s="18"/>
      <c r="E8" s="191" t="s">
        <v>293</v>
      </c>
      <c r="F8" s="17" t="s">
        <v>170</v>
      </c>
      <c r="G8" s="102" t="s">
        <v>294</v>
      </c>
      <c r="H8" s="17" t="s">
        <v>292</v>
      </c>
      <c r="I8" s="32" t="s">
        <v>56</v>
      </c>
      <c r="J8" s="17"/>
      <c r="K8" s="1"/>
      <c r="L8" s="2"/>
    </row>
    <row r="9" spans="1:12" x14ac:dyDescent="0.35">
      <c r="B9" s="15">
        <f t="shared" si="0"/>
        <v>4</v>
      </c>
      <c r="C9" s="18"/>
      <c r="D9" s="18"/>
      <c r="E9" s="191"/>
      <c r="F9" s="102" t="s">
        <v>295</v>
      </c>
      <c r="G9" s="102"/>
      <c r="H9" s="17" t="s">
        <v>51</v>
      </c>
      <c r="I9" s="46" t="s">
        <v>53</v>
      </c>
      <c r="J9" s="17"/>
      <c r="K9" s="43"/>
      <c r="L9" s="2"/>
    </row>
    <row r="10" spans="1:12" ht="81" x14ac:dyDescent="0.35">
      <c r="B10" s="15">
        <f t="shared" si="0"/>
        <v>5</v>
      </c>
      <c r="C10" s="18"/>
      <c r="D10" s="18"/>
      <c r="E10" s="183" t="s">
        <v>296</v>
      </c>
      <c r="F10" s="17" t="s">
        <v>170</v>
      </c>
      <c r="G10" s="102" t="s">
        <v>297</v>
      </c>
      <c r="H10" s="17" t="s">
        <v>292</v>
      </c>
      <c r="I10" s="32" t="s">
        <v>56</v>
      </c>
      <c r="J10" s="17"/>
      <c r="K10" s="1"/>
      <c r="L10" s="2"/>
    </row>
    <row r="11" spans="1:12" x14ac:dyDescent="0.35">
      <c r="B11" s="15">
        <f t="shared" si="0"/>
        <v>6</v>
      </c>
      <c r="C11" s="20"/>
      <c r="D11" s="20"/>
      <c r="E11" s="185"/>
      <c r="F11" s="102" t="s">
        <v>298</v>
      </c>
      <c r="G11" s="102"/>
      <c r="H11" s="17" t="s">
        <v>51</v>
      </c>
      <c r="I11" s="46" t="s">
        <v>72</v>
      </c>
      <c r="J11" s="17"/>
      <c r="K11" s="43"/>
      <c r="L11" s="2"/>
    </row>
    <row r="15" spans="1:12" x14ac:dyDescent="0.35">
      <c r="G15" s="105"/>
    </row>
  </sheetData>
  <mergeCells count="2">
    <mergeCell ref="E10:E11"/>
    <mergeCell ref="E8:E9"/>
  </mergeCells>
  <phoneticPr fontId="12"/>
  <hyperlinks>
    <hyperlink ref="A4" location="パラメータ設定一覧!A1" display="パラメータ設定一覧へ" xr:uid="{B07F11A3-A536-4319-AF68-586B62788F08}"/>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0560-5D7A-4F51-8F20-F6FAE9B06CEB}">
  <sheetPr>
    <tabColor theme="0" tint="-0.499984740745262"/>
  </sheetPr>
  <dimension ref="A1:L1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22.85546875" style="104" bestFit="1"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33" style="104" bestFit="1" customWidth="1"/>
    <col min="12" max="12" width="13.140625" style="104" customWidth="1"/>
    <col min="13" max="16384" width="8.85546875" style="104"/>
  </cols>
  <sheetData>
    <row r="1" spans="1:12" customFormat="1" ht="19.5" x14ac:dyDescent="0.35">
      <c r="A1" s="30" t="s">
        <v>301</v>
      </c>
      <c r="I1" s="9"/>
    </row>
    <row r="2" spans="1:12" customFormat="1" ht="15" x14ac:dyDescent="0.35">
      <c r="B2" t="s">
        <v>299</v>
      </c>
      <c r="I2" s="9"/>
    </row>
    <row r="3" spans="1:12" customFormat="1" ht="15" x14ac:dyDescent="0.35">
      <c r="B3" t="s">
        <v>300</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x14ac:dyDescent="0.35">
      <c r="B6" s="15">
        <f>ROW() - 5</f>
        <v>1</v>
      </c>
      <c r="C6" s="16" t="s">
        <v>301</v>
      </c>
      <c r="D6" s="16"/>
      <c r="E6" s="16"/>
      <c r="F6" s="17" t="s">
        <v>100</v>
      </c>
      <c r="G6" s="17"/>
      <c r="H6" s="17" t="s">
        <v>67</v>
      </c>
      <c r="I6" s="32" t="s">
        <v>68</v>
      </c>
      <c r="J6" s="17"/>
      <c r="K6" s="1"/>
      <c r="L6" s="2"/>
    </row>
    <row r="7" spans="1:12" x14ac:dyDescent="0.35">
      <c r="B7" s="15">
        <f t="shared" ref="B7:B13" si="0">ROW() - 5</f>
        <v>2</v>
      </c>
      <c r="C7" s="18"/>
      <c r="D7" s="18"/>
      <c r="E7" s="18"/>
      <c r="F7" s="17" t="s">
        <v>302</v>
      </c>
      <c r="G7" s="17"/>
      <c r="H7" s="17" t="s">
        <v>110</v>
      </c>
      <c r="I7" s="32" t="s">
        <v>292</v>
      </c>
      <c r="J7" s="17" t="s">
        <v>303</v>
      </c>
      <c r="K7" s="1"/>
      <c r="L7" s="2"/>
    </row>
    <row r="8" spans="1:12" x14ac:dyDescent="0.35">
      <c r="B8" s="15">
        <f t="shared" si="0"/>
        <v>3</v>
      </c>
      <c r="C8" s="18"/>
      <c r="D8" s="18"/>
      <c r="E8" s="18"/>
      <c r="F8" s="17" t="s">
        <v>277</v>
      </c>
      <c r="G8" s="17"/>
      <c r="H8" s="17" t="s">
        <v>110</v>
      </c>
      <c r="I8" s="32" t="s">
        <v>47</v>
      </c>
      <c r="J8" s="17" t="s">
        <v>470</v>
      </c>
      <c r="K8" s="1"/>
      <c r="L8" s="2"/>
    </row>
    <row r="9" spans="1:12" x14ac:dyDescent="0.35">
      <c r="B9" s="15">
        <f t="shared" si="0"/>
        <v>4</v>
      </c>
      <c r="C9" s="18"/>
      <c r="D9" s="18"/>
      <c r="E9" s="18"/>
      <c r="F9" s="17" t="s">
        <v>304</v>
      </c>
      <c r="G9" s="17"/>
      <c r="H9" s="17" t="s">
        <v>110</v>
      </c>
      <c r="I9" s="32" t="s">
        <v>47</v>
      </c>
      <c r="J9" s="17" t="s">
        <v>470</v>
      </c>
      <c r="K9" s="1"/>
      <c r="L9" s="2"/>
    </row>
    <row r="10" spans="1:12" ht="27" x14ac:dyDescent="0.35">
      <c r="B10" s="15">
        <f t="shared" si="0"/>
        <v>5</v>
      </c>
      <c r="C10" s="18"/>
      <c r="D10" s="18"/>
      <c r="E10" s="18"/>
      <c r="F10" s="17" t="s">
        <v>305</v>
      </c>
      <c r="G10" s="17"/>
      <c r="H10" s="17" t="s">
        <v>306</v>
      </c>
      <c r="I10" s="32" t="s">
        <v>292</v>
      </c>
      <c r="J10" s="17" t="s">
        <v>483</v>
      </c>
      <c r="K10" s="1"/>
      <c r="L10" s="2"/>
    </row>
    <row r="11" spans="1:12" x14ac:dyDescent="0.35">
      <c r="B11" s="15">
        <f t="shared" si="0"/>
        <v>6</v>
      </c>
      <c r="C11" s="18"/>
      <c r="D11" s="18"/>
      <c r="E11" s="18"/>
      <c r="F11" s="17" t="s">
        <v>307</v>
      </c>
      <c r="G11" s="17"/>
      <c r="H11" s="17" t="s">
        <v>306</v>
      </c>
      <c r="I11" s="32" t="s">
        <v>292</v>
      </c>
      <c r="J11" s="17" t="s">
        <v>303</v>
      </c>
      <c r="K11" s="1"/>
      <c r="L11" s="2"/>
    </row>
    <row r="12" spans="1:12" x14ac:dyDescent="0.35">
      <c r="B12" s="15">
        <f t="shared" si="0"/>
        <v>7</v>
      </c>
      <c r="C12" s="18"/>
      <c r="D12" s="18"/>
      <c r="E12" s="18"/>
      <c r="F12" s="17" t="s">
        <v>308</v>
      </c>
      <c r="G12" s="17"/>
      <c r="H12" s="17" t="s">
        <v>306</v>
      </c>
      <c r="I12" s="32" t="s">
        <v>292</v>
      </c>
      <c r="J12" s="17" t="s">
        <v>303</v>
      </c>
      <c r="K12" s="1"/>
      <c r="L12" s="2"/>
    </row>
    <row r="13" spans="1:12" x14ac:dyDescent="0.35">
      <c r="B13" s="15">
        <f t="shared" si="0"/>
        <v>8</v>
      </c>
      <c r="C13" s="20"/>
      <c r="D13" s="20"/>
      <c r="E13" s="20"/>
      <c r="F13" s="17" t="s">
        <v>309</v>
      </c>
      <c r="G13" s="17"/>
      <c r="H13" s="17" t="s">
        <v>306</v>
      </c>
      <c r="I13" s="32" t="s">
        <v>292</v>
      </c>
      <c r="J13" s="17" t="s">
        <v>303</v>
      </c>
      <c r="K13" s="1"/>
      <c r="L13" s="2"/>
    </row>
    <row r="14" spans="1:12" x14ac:dyDescent="0.35">
      <c r="G14" s="105"/>
    </row>
    <row r="15" spans="1:12" x14ac:dyDescent="0.35">
      <c r="I15" s="104"/>
    </row>
    <row r="16" spans="1:12" x14ac:dyDescent="0.35">
      <c r="I16" s="104"/>
    </row>
    <row r="17" spans="9:9" x14ac:dyDescent="0.35">
      <c r="I17" s="104"/>
    </row>
    <row r="18" spans="9:9" x14ac:dyDescent="0.35">
      <c r="I18" s="104"/>
    </row>
  </sheetData>
  <phoneticPr fontId="12"/>
  <hyperlinks>
    <hyperlink ref="A4" location="パラメータ設定一覧!A1" display="パラメータ設定一覧へ" xr:uid="{85C3DB8A-7F14-471F-942C-DABC4DD3E64E}"/>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2117-94AD-4C55-AB38-CA6AEDABCCB6}">
  <sheetPr>
    <tabColor theme="0" tint="-0.499984740745262"/>
  </sheetPr>
  <dimension ref="A1:L12"/>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351</v>
      </c>
      <c r="I1" s="9"/>
    </row>
    <row r="2" spans="1:12" customFormat="1" ht="15" x14ac:dyDescent="0.35">
      <c r="B2" t="s">
        <v>310</v>
      </c>
      <c r="I2" s="9"/>
    </row>
    <row r="3" spans="1:12" customFormat="1" ht="15" x14ac:dyDescent="0.35">
      <c r="B3" t="s">
        <v>311</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x14ac:dyDescent="0.35">
      <c r="B6" s="15">
        <f>ROW() - 5</f>
        <v>1</v>
      </c>
      <c r="C6" s="16" t="s">
        <v>29</v>
      </c>
      <c r="D6" s="16"/>
      <c r="E6" s="16"/>
      <c r="F6" s="17" t="s">
        <v>312</v>
      </c>
      <c r="G6" s="17" t="s">
        <v>313</v>
      </c>
      <c r="H6" s="17" t="s">
        <v>482</v>
      </c>
      <c r="I6" s="32" t="s">
        <v>47</v>
      </c>
      <c r="J6" s="17"/>
      <c r="K6" s="1" t="s">
        <v>352</v>
      </c>
      <c r="L6" s="2"/>
    </row>
    <row r="7" spans="1:12" x14ac:dyDescent="0.35">
      <c r="B7" s="15">
        <f t="shared" ref="B7:B8" si="0">ROW() - 5</f>
        <v>2</v>
      </c>
      <c r="C7" s="18"/>
      <c r="D7" s="18"/>
      <c r="E7" s="18"/>
      <c r="F7" s="17" t="s">
        <v>118</v>
      </c>
      <c r="G7" s="17" t="s">
        <v>314</v>
      </c>
      <c r="H7" s="17" t="s">
        <v>110</v>
      </c>
      <c r="I7" s="32" t="s">
        <v>47</v>
      </c>
      <c r="J7" s="17"/>
      <c r="K7" s="1" t="s">
        <v>352</v>
      </c>
      <c r="L7" s="2"/>
    </row>
    <row r="8" spans="1:12" ht="67.5" x14ac:dyDescent="0.35">
      <c r="B8" s="15">
        <f t="shared" si="0"/>
        <v>3</v>
      </c>
      <c r="C8" s="20"/>
      <c r="D8" s="20"/>
      <c r="E8" s="20"/>
      <c r="F8" s="17" t="s">
        <v>315</v>
      </c>
      <c r="G8" s="17"/>
      <c r="H8" s="17" t="s">
        <v>316</v>
      </c>
      <c r="I8" s="32" t="s">
        <v>317</v>
      </c>
      <c r="J8" s="17"/>
      <c r="K8" s="1" t="s">
        <v>352</v>
      </c>
      <c r="L8" s="2"/>
    </row>
    <row r="12" spans="1:12" x14ac:dyDescent="0.35">
      <c r="G12" s="105"/>
    </row>
  </sheetData>
  <phoneticPr fontId="12"/>
  <hyperlinks>
    <hyperlink ref="A4" location="パラメータ設定一覧!A1" display="パラメータ設定一覧へ" xr:uid="{750E30E7-6A76-460A-9FBA-40CF444E2287}"/>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C56B-8A3C-47E1-9D13-619D81EC1354}">
  <sheetPr>
    <tabColor theme="0" tint="-0.499984740745262"/>
  </sheetPr>
  <dimension ref="A1:E44"/>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19" style="104" bestFit="1" customWidth="1"/>
    <col min="4" max="4" width="54.5" style="104" customWidth="1"/>
    <col min="5" max="5" width="19.7109375" style="104" customWidth="1"/>
    <col min="6" max="16384" width="8.85546875" style="104"/>
  </cols>
  <sheetData>
    <row r="1" spans="1:5" customFormat="1" ht="19.5" x14ac:dyDescent="0.35">
      <c r="A1" s="30" t="s">
        <v>353</v>
      </c>
    </row>
    <row r="2" spans="1:5" customFormat="1" ht="15" x14ac:dyDescent="0.35"/>
    <row r="3" spans="1:5" customFormat="1" ht="15" x14ac:dyDescent="0.35">
      <c r="A3" s="4" t="s">
        <v>487</v>
      </c>
    </row>
    <row r="4" spans="1:5" ht="15.75" customHeight="1" x14ac:dyDescent="0.35">
      <c r="B4" s="190" t="s">
        <v>2</v>
      </c>
      <c r="C4" s="38" t="s">
        <v>288</v>
      </c>
      <c r="D4" s="40" t="s">
        <v>290</v>
      </c>
      <c r="E4" s="41" t="s">
        <v>318</v>
      </c>
    </row>
    <row r="5" spans="1:5" x14ac:dyDescent="0.35">
      <c r="B5" s="190"/>
      <c r="C5" s="113" t="s">
        <v>13</v>
      </c>
      <c r="D5" s="113" t="s">
        <v>5</v>
      </c>
      <c r="E5" s="113" t="s">
        <v>319</v>
      </c>
    </row>
    <row r="6" spans="1:5" ht="27" x14ac:dyDescent="0.35">
      <c r="B6" s="190"/>
      <c r="C6" s="35" t="s">
        <v>482</v>
      </c>
      <c r="D6" s="35" t="s">
        <v>358</v>
      </c>
      <c r="E6" s="35" t="s">
        <v>320</v>
      </c>
    </row>
    <row r="7" spans="1:5" x14ac:dyDescent="0.3">
      <c r="B7" s="107">
        <f>ROW() - 6</f>
        <v>1</v>
      </c>
      <c r="C7" s="114"/>
      <c r="D7" s="114"/>
      <c r="E7" s="107"/>
    </row>
    <row r="8" spans="1:5" x14ac:dyDescent="0.3">
      <c r="B8" s="107">
        <f t="shared" ref="B8:B11" si="0">ROW() - 6</f>
        <v>2</v>
      </c>
      <c r="C8" s="114"/>
      <c r="D8" s="114"/>
      <c r="E8" s="107"/>
    </row>
    <row r="9" spans="1:5" x14ac:dyDescent="0.3">
      <c r="B9" s="107">
        <f t="shared" si="0"/>
        <v>3</v>
      </c>
      <c r="C9" s="114"/>
      <c r="D9" s="114"/>
      <c r="E9" s="107"/>
    </row>
    <row r="10" spans="1:5" x14ac:dyDescent="0.3">
      <c r="B10" s="107">
        <f t="shared" si="0"/>
        <v>4</v>
      </c>
      <c r="C10" s="114"/>
      <c r="D10" s="114"/>
      <c r="E10" s="107"/>
    </row>
    <row r="11" spans="1:5" x14ac:dyDescent="0.3">
      <c r="B11" s="107">
        <f t="shared" si="0"/>
        <v>5</v>
      </c>
      <c r="C11" s="114"/>
      <c r="D11" s="114"/>
      <c r="E11" s="107"/>
    </row>
    <row r="12" spans="1:5" x14ac:dyDescent="0.3">
      <c r="B12" s="115"/>
      <c r="C12" s="115"/>
      <c r="D12" s="115"/>
      <c r="E12" s="115"/>
    </row>
    <row r="13" spans="1:5" x14ac:dyDescent="0.3">
      <c r="B13" s="115"/>
      <c r="C13" s="115"/>
      <c r="D13" s="115"/>
      <c r="E13" s="115"/>
    </row>
    <row r="14" spans="1:5" x14ac:dyDescent="0.3">
      <c r="B14" s="115"/>
      <c r="C14" s="115"/>
      <c r="D14" s="115"/>
      <c r="E14" s="115"/>
    </row>
    <row r="15" spans="1:5" x14ac:dyDescent="0.3">
      <c r="B15" s="115"/>
      <c r="C15" s="115"/>
      <c r="D15" s="115"/>
      <c r="E15" s="115"/>
    </row>
    <row r="16" spans="1:5" x14ac:dyDescent="0.3">
      <c r="B16" s="115"/>
      <c r="C16" s="115"/>
      <c r="D16" s="115"/>
      <c r="E16" s="115"/>
    </row>
    <row r="17" spans="2:5" x14ac:dyDescent="0.3">
      <c r="B17" s="115"/>
      <c r="C17" s="115"/>
      <c r="D17" s="115"/>
      <c r="E17" s="115"/>
    </row>
    <row r="18" spans="2:5" x14ac:dyDescent="0.3">
      <c r="B18" s="115"/>
      <c r="C18" s="115"/>
      <c r="D18" s="115"/>
      <c r="E18" s="115"/>
    </row>
    <row r="19" spans="2:5" x14ac:dyDescent="0.3">
      <c r="B19" s="115"/>
      <c r="C19" s="115"/>
      <c r="D19" s="115"/>
      <c r="E19" s="115"/>
    </row>
    <row r="20" spans="2:5" x14ac:dyDescent="0.3">
      <c r="B20" s="115"/>
      <c r="C20" s="115"/>
      <c r="D20" s="115"/>
      <c r="E20" s="115"/>
    </row>
    <row r="21" spans="2:5" x14ac:dyDescent="0.3">
      <c r="B21" s="115"/>
      <c r="C21" s="115"/>
      <c r="D21" s="115"/>
      <c r="E21" s="115"/>
    </row>
    <row r="22" spans="2:5" x14ac:dyDescent="0.3">
      <c r="B22" s="115"/>
      <c r="C22" s="115"/>
      <c r="D22" s="115"/>
      <c r="E22" s="115"/>
    </row>
    <row r="23" spans="2:5" x14ac:dyDescent="0.3">
      <c r="B23" s="115"/>
      <c r="C23" s="115"/>
      <c r="D23" s="115"/>
      <c r="E23" s="115"/>
    </row>
    <row r="24" spans="2:5" x14ac:dyDescent="0.3">
      <c r="B24" s="115"/>
      <c r="C24" s="115"/>
      <c r="D24" s="115"/>
      <c r="E24" s="115"/>
    </row>
    <row r="25" spans="2:5" x14ac:dyDescent="0.3">
      <c r="B25" s="115"/>
      <c r="C25" s="115"/>
      <c r="D25" s="115"/>
      <c r="E25" s="115"/>
    </row>
    <row r="26" spans="2:5" x14ac:dyDescent="0.3">
      <c r="B26" s="115"/>
      <c r="C26" s="115"/>
      <c r="D26" s="115"/>
      <c r="E26" s="115"/>
    </row>
    <row r="27" spans="2:5" x14ac:dyDescent="0.3">
      <c r="B27" s="115"/>
      <c r="C27" s="115"/>
      <c r="D27" s="115"/>
      <c r="E27" s="115"/>
    </row>
    <row r="28" spans="2:5" x14ac:dyDescent="0.3">
      <c r="B28" s="115"/>
      <c r="C28" s="115"/>
      <c r="D28" s="115"/>
      <c r="E28" s="115"/>
    </row>
    <row r="29" spans="2:5" x14ac:dyDescent="0.3">
      <c r="B29" s="115"/>
      <c r="C29" s="115"/>
      <c r="D29" s="115"/>
      <c r="E29" s="115"/>
    </row>
    <row r="30" spans="2:5" x14ac:dyDescent="0.3">
      <c r="B30" s="115"/>
      <c r="C30" s="115"/>
      <c r="D30" s="115"/>
      <c r="E30" s="115"/>
    </row>
    <row r="31" spans="2:5" x14ac:dyDescent="0.3">
      <c r="B31" s="115"/>
      <c r="C31" s="115"/>
      <c r="D31" s="115"/>
      <c r="E31" s="115"/>
    </row>
    <row r="32" spans="2:5" x14ac:dyDescent="0.3">
      <c r="B32" s="115"/>
      <c r="C32" s="115"/>
      <c r="D32" s="115"/>
      <c r="E32" s="115"/>
    </row>
    <row r="33" spans="2:5" x14ac:dyDescent="0.3">
      <c r="B33" s="115"/>
      <c r="C33" s="115"/>
      <c r="D33" s="115"/>
      <c r="E33" s="115"/>
    </row>
    <row r="34" spans="2:5" x14ac:dyDescent="0.3">
      <c r="B34" s="115"/>
      <c r="C34" s="115"/>
      <c r="D34" s="115"/>
      <c r="E34" s="115"/>
    </row>
    <row r="35" spans="2:5" x14ac:dyDescent="0.3">
      <c r="B35" s="115"/>
      <c r="C35" s="115"/>
      <c r="D35" s="115"/>
      <c r="E35" s="115"/>
    </row>
    <row r="36" spans="2:5" x14ac:dyDescent="0.3">
      <c r="B36" s="115"/>
      <c r="C36" s="115"/>
      <c r="D36" s="115"/>
      <c r="E36" s="115"/>
    </row>
    <row r="37" spans="2:5" x14ac:dyDescent="0.3">
      <c r="B37" s="115"/>
      <c r="C37" s="115"/>
      <c r="D37" s="115"/>
      <c r="E37" s="115"/>
    </row>
    <row r="38" spans="2:5" x14ac:dyDescent="0.3">
      <c r="B38" s="115"/>
      <c r="C38" s="115"/>
      <c r="D38" s="115"/>
      <c r="E38" s="115"/>
    </row>
    <row r="39" spans="2:5" x14ac:dyDescent="0.3">
      <c r="B39" s="115"/>
      <c r="C39" s="115"/>
      <c r="D39" s="115"/>
      <c r="E39" s="115"/>
    </row>
    <row r="40" spans="2:5" x14ac:dyDescent="0.3">
      <c r="B40" s="115"/>
      <c r="C40" s="115"/>
      <c r="D40" s="115"/>
      <c r="E40" s="115"/>
    </row>
    <row r="41" spans="2:5" x14ac:dyDescent="0.3">
      <c r="B41" s="115"/>
      <c r="C41" s="115"/>
      <c r="D41" s="115"/>
      <c r="E41" s="115"/>
    </row>
    <row r="42" spans="2:5" x14ac:dyDescent="0.3">
      <c r="B42" s="115"/>
      <c r="C42" s="115"/>
      <c r="D42" s="115"/>
      <c r="E42" s="115"/>
    </row>
    <row r="43" spans="2:5" x14ac:dyDescent="0.3">
      <c r="B43" s="115"/>
      <c r="C43" s="115"/>
      <c r="D43" s="115"/>
      <c r="E43" s="115"/>
    </row>
    <row r="44" spans="2:5" x14ac:dyDescent="0.3">
      <c r="B44" s="115"/>
      <c r="C44" s="115"/>
      <c r="D44" s="115"/>
      <c r="E44" s="115"/>
    </row>
  </sheetData>
  <sheetProtection insertRows="0" deleteRows="0" sort="0" autoFilter="0"/>
  <mergeCells count="1">
    <mergeCell ref="B4:B6"/>
  </mergeCells>
  <phoneticPr fontId="12"/>
  <hyperlinks>
    <hyperlink ref="A3" location="パラメータ設定一覧!A1" display="パラメータ設定一覧へ" xr:uid="{4F014496-62B2-4777-8521-BD0A2BE6355B}"/>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956F-5DE6-4ED9-893D-F3DEF9DC7557}">
  <sheetPr>
    <tabColor theme="0" tint="-0.499984740745262"/>
  </sheetPr>
  <dimension ref="A1:L9"/>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04" customWidth="1"/>
    <col min="2" max="2" width="4" style="104" bestFit="1" customWidth="1"/>
    <col min="3" max="3" width="16.78515625" style="104" customWidth="1"/>
    <col min="4" max="4" width="19.2109375" style="104" customWidth="1"/>
    <col min="5" max="5" width="8.78515625" style="104" bestFit="1" customWidth="1"/>
    <col min="6" max="6" width="21" style="104" customWidth="1"/>
    <col min="7" max="7" width="44.640625" style="104" customWidth="1"/>
    <col min="8" max="8" width="27.5703125" style="104" customWidth="1"/>
    <col min="9" max="9" width="17.42578125" style="104" customWidth="1"/>
    <col min="10" max="10" width="22.42578125" style="104" customWidth="1"/>
    <col min="11" max="11" width="18.2109375" style="128" customWidth="1"/>
    <col min="12" max="12" width="25.42578125" style="104" customWidth="1"/>
    <col min="13" max="16384" width="8.78515625" style="104"/>
  </cols>
  <sheetData>
    <row r="1" spans="1:12" customFormat="1" ht="19.5" x14ac:dyDescent="0.35">
      <c r="A1" s="84" t="s">
        <v>438</v>
      </c>
      <c r="K1" s="85"/>
    </row>
    <row r="2" spans="1:12" customFormat="1" ht="15" x14ac:dyDescent="0.35">
      <c r="B2" t="s">
        <v>471</v>
      </c>
      <c r="K2" s="85"/>
    </row>
    <row r="3" spans="1:12" customFormat="1" ht="15" x14ac:dyDescent="0.35">
      <c r="B3" t="s">
        <v>474</v>
      </c>
      <c r="K3" s="85"/>
      <c r="L3" s="85"/>
    </row>
    <row r="4" spans="1:12" customFormat="1" ht="15" x14ac:dyDescent="0.35">
      <c r="A4" s="4" t="s">
        <v>487</v>
      </c>
      <c r="K4" s="85"/>
      <c r="L4" s="85"/>
    </row>
    <row r="5" spans="1:12" x14ac:dyDescent="0.35">
      <c r="B5" s="11" t="s">
        <v>2</v>
      </c>
      <c r="C5" s="11" t="s">
        <v>472</v>
      </c>
      <c r="D5" s="11" t="s">
        <v>34</v>
      </c>
      <c r="E5" s="11" t="s">
        <v>35</v>
      </c>
      <c r="F5" s="86" t="s">
        <v>36</v>
      </c>
      <c r="G5" s="86" t="s">
        <v>119</v>
      </c>
      <c r="H5" s="11" t="s">
        <v>38</v>
      </c>
      <c r="I5" s="11" t="s">
        <v>39</v>
      </c>
      <c r="J5" s="11" t="s">
        <v>40</v>
      </c>
      <c r="K5" s="87" t="s">
        <v>41</v>
      </c>
      <c r="L5" s="14" t="s">
        <v>42</v>
      </c>
    </row>
    <row r="6" spans="1:12" x14ac:dyDescent="0.35">
      <c r="B6" s="88">
        <f>ROW() - 5</f>
        <v>1</v>
      </c>
      <c r="C6" s="16" t="s">
        <v>473</v>
      </c>
      <c r="D6" s="16"/>
      <c r="E6" s="89"/>
      <c r="F6" s="90"/>
      <c r="G6" s="90"/>
      <c r="H6" s="91"/>
      <c r="I6" s="90"/>
      <c r="J6" s="90"/>
      <c r="K6" s="92"/>
      <c r="L6" s="1"/>
    </row>
    <row r="7" spans="1:12" x14ac:dyDescent="0.35">
      <c r="B7" s="88">
        <f t="shared" ref="B7:B9" si="0">ROW() - 5</f>
        <v>2</v>
      </c>
      <c r="C7" s="18"/>
      <c r="D7" s="18"/>
      <c r="E7" s="89"/>
      <c r="F7" s="90"/>
      <c r="G7" s="90"/>
      <c r="H7" s="91"/>
      <c r="I7" s="90"/>
      <c r="J7" s="90"/>
      <c r="K7" s="92"/>
      <c r="L7" s="1"/>
    </row>
    <row r="8" spans="1:12" x14ac:dyDescent="0.35">
      <c r="B8" s="88">
        <f t="shared" si="0"/>
        <v>3</v>
      </c>
      <c r="C8" s="18"/>
      <c r="D8" s="18"/>
      <c r="E8" s="89"/>
      <c r="F8" s="90"/>
      <c r="G8" s="90"/>
      <c r="H8" s="91"/>
      <c r="I8" s="90"/>
      <c r="J8" s="90"/>
      <c r="K8" s="92"/>
      <c r="L8" s="1"/>
    </row>
    <row r="9" spans="1:12" x14ac:dyDescent="0.35">
      <c r="B9" s="88">
        <f t="shared" si="0"/>
        <v>4</v>
      </c>
      <c r="C9" s="20"/>
      <c r="D9" s="20"/>
      <c r="E9" s="93"/>
      <c r="F9" s="90"/>
      <c r="G9" s="90"/>
      <c r="H9" s="91"/>
      <c r="I9" s="90"/>
      <c r="J9" s="90"/>
      <c r="K9" s="92"/>
      <c r="L9" s="1"/>
    </row>
  </sheetData>
  <phoneticPr fontId="12"/>
  <hyperlinks>
    <hyperlink ref="A4" location="パラメータ設定一覧!A1" display="パラメータ設定一覧へ" xr:uid="{4B8EB397-1928-4666-8EF6-58EDF25F32BA}"/>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076-8F24-4129-9DBD-37FBA0AC5842}">
  <sheetPr>
    <tabColor theme="0" tint="-0.499984740745262"/>
  </sheetPr>
  <dimension ref="A1:L13"/>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7.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354</v>
      </c>
      <c r="I1" s="9"/>
    </row>
    <row r="2" spans="1:12" customFormat="1" ht="15" x14ac:dyDescent="0.35">
      <c r="B2" t="s">
        <v>321</v>
      </c>
      <c r="I2" s="9"/>
    </row>
    <row r="3" spans="1:12" customFormat="1" ht="15" x14ac:dyDescent="0.35">
      <c r="B3" t="s">
        <v>322</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 t="shared" ref="B6:B13" si="0">ROW() - 5</f>
        <v>1</v>
      </c>
      <c r="C6" s="16" t="s">
        <v>354</v>
      </c>
      <c r="D6" s="16"/>
      <c r="E6" s="16"/>
      <c r="F6" s="17" t="s">
        <v>361</v>
      </c>
      <c r="G6" s="17"/>
      <c r="H6" s="32" t="s">
        <v>56</v>
      </c>
      <c r="I6" s="32" t="s">
        <v>56</v>
      </c>
      <c r="J6" s="17"/>
      <c r="K6" s="1" t="s">
        <v>355</v>
      </c>
      <c r="L6" s="2"/>
    </row>
    <row r="7" spans="1:12" ht="27" x14ac:dyDescent="0.35">
      <c r="B7" s="15">
        <f t="shared" si="0"/>
        <v>2</v>
      </c>
      <c r="C7" s="18"/>
      <c r="D7" s="18"/>
      <c r="E7" s="18"/>
      <c r="F7" s="17" t="s">
        <v>183</v>
      </c>
      <c r="G7" s="17"/>
      <c r="H7" s="17" t="s">
        <v>180</v>
      </c>
      <c r="I7" s="32" t="s">
        <v>56</v>
      </c>
      <c r="J7" s="17"/>
      <c r="K7" s="1" t="s">
        <v>355</v>
      </c>
      <c r="L7" s="2"/>
    </row>
    <row r="8" spans="1:12" ht="27" x14ac:dyDescent="0.35">
      <c r="B8" s="15">
        <f t="shared" si="0"/>
        <v>3</v>
      </c>
      <c r="C8" s="18"/>
      <c r="D8" s="18"/>
      <c r="E8" s="18"/>
      <c r="F8" s="17" t="s">
        <v>120</v>
      </c>
      <c r="G8" s="17"/>
      <c r="H8" s="17" t="s">
        <v>110</v>
      </c>
      <c r="I8" s="32" t="s">
        <v>56</v>
      </c>
      <c r="J8" s="17" t="s">
        <v>336</v>
      </c>
      <c r="K8" s="1" t="s">
        <v>355</v>
      </c>
      <c r="L8" s="2"/>
    </row>
    <row r="9" spans="1:12" ht="27" x14ac:dyDescent="0.35">
      <c r="B9" s="15">
        <f t="shared" si="0"/>
        <v>4</v>
      </c>
      <c r="C9" s="18"/>
      <c r="D9" s="18"/>
      <c r="E9" s="18"/>
      <c r="F9" s="17" t="s">
        <v>123</v>
      </c>
      <c r="G9" s="17"/>
      <c r="H9" s="17" t="s">
        <v>110</v>
      </c>
      <c r="I9" s="32" t="s">
        <v>56</v>
      </c>
      <c r="K9" s="1" t="s">
        <v>355</v>
      </c>
      <c r="L9" s="2"/>
    </row>
    <row r="10" spans="1:12" ht="27" x14ac:dyDescent="0.35">
      <c r="B10" s="15">
        <f t="shared" si="0"/>
        <v>5</v>
      </c>
      <c r="C10" s="18"/>
      <c r="D10" s="18"/>
      <c r="E10" s="18"/>
      <c r="F10" s="17" t="s">
        <v>323</v>
      </c>
      <c r="G10" s="17"/>
      <c r="H10" s="17" t="s">
        <v>110</v>
      </c>
      <c r="I10" s="32" t="s">
        <v>56</v>
      </c>
      <c r="J10" s="17"/>
      <c r="K10" s="1" t="s">
        <v>355</v>
      </c>
      <c r="L10" s="2"/>
    </row>
    <row r="11" spans="1:12" ht="27" x14ac:dyDescent="0.35">
      <c r="B11" s="15">
        <f t="shared" si="0"/>
        <v>6</v>
      </c>
      <c r="C11" s="18"/>
      <c r="D11" s="18"/>
      <c r="E11" s="18"/>
      <c r="F11" s="17" t="s">
        <v>324</v>
      </c>
      <c r="G11" s="17" t="s">
        <v>325</v>
      </c>
      <c r="H11" s="17" t="s">
        <v>110</v>
      </c>
      <c r="I11" s="32" t="s">
        <v>56</v>
      </c>
      <c r="J11" s="17"/>
      <c r="K11" s="1" t="s">
        <v>355</v>
      </c>
      <c r="L11" s="2"/>
    </row>
    <row r="12" spans="1:12" ht="27" x14ac:dyDescent="0.35">
      <c r="B12" s="15">
        <f t="shared" si="0"/>
        <v>7</v>
      </c>
      <c r="C12" s="18"/>
      <c r="D12" s="18"/>
      <c r="E12" s="18"/>
      <c r="F12" s="17" t="s">
        <v>326</v>
      </c>
      <c r="G12" s="17"/>
      <c r="H12" s="17" t="s">
        <v>292</v>
      </c>
      <c r="I12" s="32" t="s">
        <v>56</v>
      </c>
      <c r="J12" s="17" t="s">
        <v>336</v>
      </c>
      <c r="K12" s="1" t="s">
        <v>355</v>
      </c>
      <c r="L12" s="2"/>
    </row>
    <row r="13" spans="1:12" ht="27" x14ac:dyDescent="0.35">
      <c r="B13" s="15">
        <f t="shared" si="0"/>
        <v>8</v>
      </c>
      <c r="C13" s="20"/>
      <c r="D13" s="20"/>
      <c r="E13" s="20"/>
      <c r="F13" s="17" t="s">
        <v>327</v>
      </c>
      <c r="G13" s="17"/>
      <c r="H13" s="17" t="s">
        <v>292</v>
      </c>
      <c r="I13" s="32" t="s">
        <v>56</v>
      </c>
      <c r="J13" s="17" t="s">
        <v>336</v>
      </c>
      <c r="K13" s="1" t="s">
        <v>355</v>
      </c>
      <c r="L13" s="2"/>
    </row>
  </sheetData>
  <phoneticPr fontId="12"/>
  <hyperlinks>
    <hyperlink ref="A4" location="パラメータ設定一覧!A1" display="パラメータ設定一覧へ" xr:uid="{40848544-3320-43C1-A95A-6B7314DEB3B3}"/>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17BE-B52C-4069-8F82-7D8267624625}">
  <sheetPr>
    <tabColor theme="0" tint="-0.499984740745262"/>
  </sheetPr>
  <dimension ref="A1:J43"/>
  <sheetViews>
    <sheetView showGridLines="0" zoomScaleNormal="100" zoomScaleSheetLayoutView="50" workbookViewId="0">
      <pane ySplit="5" topLeftCell="A6" activePane="bottomLeft" state="frozen"/>
      <selection activeCell="G6" sqref="G6"/>
      <selection pane="bottomLeft" activeCell="G6" sqref="G6"/>
    </sheetView>
  </sheetViews>
  <sheetFormatPr defaultColWidth="8.85546875" defaultRowHeight="15" x14ac:dyDescent="0.35"/>
  <cols>
    <col min="1" max="1" width="2.78515625" customWidth="1"/>
    <col min="2" max="2" width="3.42578125" bestFit="1" customWidth="1"/>
    <col min="3" max="3" width="4.7109375" bestFit="1" customWidth="1"/>
    <col min="4" max="5" width="12.2109375" bestFit="1" customWidth="1"/>
    <col min="6" max="6" width="34.2109375" bestFit="1" customWidth="1"/>
    <col min="7" max="7" width="12.2109375" bestFit="1" customWidth="1"/>
    <col min="8" max="8" width="36.5703125" bestFit="1" customWidth="1"/>
    <col min="9" max="9" width="12.2109375" bestFit="1" customWidth="1"/>
    <col min="10" max="10" width="14.2109375" bestFit="1" customWidth="1"/>
  </cols>
  <sheetData>
    <row r="1" spans="1:10" ht="19.5" x14ac:dyDescent="0.35">
      <c r="A1" s="30" t="s">
        <v>365</v>
      </c>
    </row>
    <row r="2" spans="1:10" x14ac:dyDescent="0.35">
      <c r="A2" t="s">
        <v>357</v>
      </c>
      <c r="B2" s="50"/>
      <c r="C2" s="50"/>
    </row>
    <row r="3" spans="1:10" x14ac:dyDescent="0.35">
      <c r="A3" s="4" t="s">
        <v>487</v>
      </c>
    </row>
    <row r="4" spans="1:10" ht="15.75" customHeight="1" x14ac:dyDescent="0.35">
      <c r="B4" s="192" t="s">
        <v>2</v>
      </c>
      <c r="C4" s="58" t="s">
        <v>361</v>
      </c>
      <c r="D4" s="34" t="s">
        <v>183</v>
      </c>
      <c r="E4" s="34" t="s">
        <v>120</v>
      </c>
      <c r="F4" s="34" t="s">
        <v>123</v>
      </c>
      <c r="G4" s="34" t="s">
        <v>323</v>
      </c>
      <c r="H4" s="34" t="s">
        <v>328</v>
      </c>
      <c r="I4" s="34" t="s">
        <v>329</v>
      </c>
      <c r="J4" s="34" t="s">
        <v>327</v>
      </c>
    </row>
    <row r="5" spans="1:10" x14ac:dyDescent="0.35">
      <c r="B5" s="193"/>
      <c r="C5" s="35" t="s">
        <v>117</v>
      </c>
      <c r="D5" s="35" t="s">
        <v>180</v>
      </c>
      <c r="E5" s="35" t="s">
        <v>110</v>
      </c>
      <c r="F5" s="35" t="s">
        <v>110</v>
      </c>
      <c r="G5" s="35" t="s">
        <v>110</v>
      </c>
      <c r="H5" s="35" t="s">
        <v>110</v>
      </c>
      <c r="I5" s="35" t="s">
        <v>292</v>
      </c>
      <c r="J5" s="35" t="s">
        <v>292</v>
      </c>
    </row>
    <row r="6" spans="1:10" x14ac:dyDescent="0.35">
      <c r="B6" s="27">
        <f>ROW() - 5</f>
        <v>1</v>
      </c>
      <c r="C6" s="36"/>
      <c r="D6" s="36"/>
      <c r="E6" s="54"/>
      <c r="F6" s="27"/>
      <c r="G6" s="27"/>
      <c r="H6" s="27"/>
      <c r="I6" s="53"/>
      <c r="J6" s="53"/>
    </row>
    <row r="7" spans="1:10" x14ac:dyDescent="0.35">
      <c r="B7" s="27">
        <f t="shared" ref="B7:B10" si="0">ROW() - 5</f>
        <v>2</v>
      </c>
      <c r="C7" s="36"/>
      <c r="D7" s="36"/>
      <c r="E7" s="54"/>
      <c r="F7" s="27"/>
      <c r="G7" s="27"/>
      <c r="H7" s="27"/>
      <c r="I7" s="53"/>
      <c r="J7" s="53"/>
    </row>
    <row r="8" spans="1:10" x14ac:dyDescent="0.35">
      <c r="B8" s="27">
        <f t="shared" si="0"/>
        <v>3</v>
      </c>
      <c r="C8" s="36"/>
      <c r="D8" s="36"/>
      <c r="E8" s="27"/>
      <c r="F8" s="27"/>
      <c r="G8" s="27"/>
      <c r="H8" s="27"/>
      <c r="I8" s="27"/>
      <c r="J8" s="27"/>
    </row>
    <row r="9" spans="1:10" x14ac:dyDescent="0.35">
      <c r="B9" s="27">
        <f t="shared" si="0"/>
        <v>4</v>
      </c>
      <c r="C9" s="36"/>
      <c r="D9" s="36"/>
      <c r="E9" s="27"/>
      <c r="F9" s="27"/>
      <c r="G9" s="27"/>
      <c r="H9" s="27"/>
      <c r="I9" s="27"/>
      <c r="J9" s="27"/>
    </row>
    <row r="10" spans="1:10" x14ac:dyDescent="0.35">
      <c r="B10" s="27">
        <f t="shared" si="0"/>
        <v>5</v>
      </c>
      <c r="C10" s="36"/>
      <c r="D10" s="36"/>
      <c r="E10" s="27"/>
      <c r="F10" s="27"/>
      <c r="G10" s="27"/>
      <c r="H10" s="27"/>
      <c r="I10" s="27"/>
      <c r="J10" s="27"/>
    </row>
    <row r="11" spans="1:10" x14ac:dyDescent="0.35">
      <c r="B11" s="37"/>
      <c r="C11" s="37"/>
      <c r="D11" s="37"/>
      <c r="E11" s="37"/>
      <c r="F11" s="37"/>
      <c r="G11" s="37"/>
      <c r="H11" s="37"/>
      <c r="I11" s="37"/>
      <c r="J11" s="37"/>
    </row>
    <row r="12" spans="1:10" x14ac:dyDescent="0.35">
      <c r="B12" s="37"/>
      <c r="C12" s="37"/>
      <c r="D12" s="37"/>
      <c r="E12" s="37"/>
      <c r="F12" s="37"/>
      <c r="G12" s="37"/>
      <c r="H12" s="37"/>
      <c r="I12" s="37"/>
      <c r="J12" s="37"/>
    </row>
    <row r="13" spans="1:10" x14ac:dyDescent="0.35">
      <c r="B13" s="37"/>
      <c r="C13" s="37"/>
      <c r="D13" s="37"/>
      <c r="E13" s="37"/>
      <c r="F13" s="37"/>
      <c r="G13" s="37"/>
      <c r="H13" s="37"/>
      <c r="I13" s="37"/>
      <c r="J13" s="37"/>
    </row>
    <row r="14" spans="1:10" x14ac:dyDescent="0.35">
      <c r="B14" s="37"/>
      <c r="C14" s="37"/>
      <c r="D14" s="37"/>
      <c r="E14" s="37"/>
      <c r="F14" s="37"/>
      <c r="G14" s="37"/>
      <c r="H14" s="37"/>
      <c r="I14" s="37"/>
      <c r="J14" s="37"/>
    </row>
    <row r="15" spans="1:10" x14ac:dyDescent="0.35">
      <c r="B15" s="37"/>
      <c r="C15" s="37"/>
      <c r="D15" s="37"/>
      <c r="E15" s="37"/>
      <c r="F15" s="37"/>
      <c r="G15" s="37"/>
      <c r="H15" s="37"/>
      <c r="I15" s="37"/>
      <c r="J15" s="37"/>
    </row>
    <row r="16" spans="1:10" x14ac:dyDescent="0.35">
      <c r="B16" s="37"/>
      <c r="C16" s="37"/>
      <c r="D16" s="37"/>
      <c r="E16" s="37"/>
      <c r="F16" s="37"/>
      <c r="G16" s="37"/>
      <c r="H16" s="37"/>
      <c r="I16" s="37"/>
      <c r="J16" s="37"/>
    </row>
    <row r="17" spans="2:10" x14ac:dyDescent="0.35">
      <c r="B17" s="37"/>
      <c r="C17" s="37"/>
      <c r="D17" s="37"/>
      <c r="E17" s="37"/>
      <c r="F17" s="37"/>
      <c r="G17" s="37"/>
      <c r="H17" s="37"/>
      <c r="I17" s="37"/>
      <c r="J17" s="37"/>
    </row>
    <row r="18" spans="2:10" x14ac:dyDescent="0.35">
      <c r="B18" s="37"/>
      <c r="C18" s="37"/>
      <c r="D18" s="37"/>
      <c r="E18" s="37"/>
      <c r="F18" s="37"/>
      <c r="G18" s="37"/>
      <c r="H18" s="37"/>
      <c r="I18" s="37"/>
      <c r="J18" s="37"/>
    </row>
    <row r="19" spans="2:10" x14ac:dyDescent="0.35">
      <c r="B19" s="37"/>
      <c r="C19" s="37"/>
      <c r="D19" s="37"/>
      <c r="E19" s="37"/>
      <c r="F19" s="37"/>
      <c r="G19" s="37"/>
      <c r="H19" s="37"/>
      <c r="I19" s="37"/>
      <c r="J19" s="37"/>
    </row>
    <row r="20" spans="2:10" x14ac:dyDescent="0.35">
      <c r="B20" s="37"/>
      <c r="C20" s="37"/>
      <c r="D20" s="37"/>
      <c r="E20" s="37"/>
      <c r="F20" s="37"/>
      <c r="G20" s="37"/>
      <c r="H20" s="37"/>
      <c r="I20" s="37"/>
      <c r="J20" s="37"/>
    </row>
    <row r="21" spans="2:10" x14ac:dyDescent="0.35">
      <c r="B21" s="37"/>
      <c r="C21" s="37"/>
      <c r="D21" s="37"/>
      <c r="E21" s="37"/>
      <c r="F21" s="37"/>
      <c r="G21" s="37"/>
      <c r="H21" s="37"/>
      <c r="I21" s="37"/>
      <c r="J21" s="37"/>
    </row>
    <row r="22" spans="2:10" x14ac:dyDescent="0.35">
      <c r="B22" s="37"/>
      <c r="C22" s="37"/>
      <c r="D22" s="37"/>
      <c r="E22" s="37"/>
      <c r="F22" s="37"/>
      <c r="G22" s="37"/>
      <c r="H22" s="37"/>
      <c r="I22" s="37"/>
      <c r="J22" s="37"/>
    </row>
    <row r="23" spans="2:10" x14ac:dyDescent="0.35">
      <c r="B23" s="37"/>
      <c r="C23" s="37"/>
      <c r="D23" s="37"/>
      <c r="E23" s="37"/>
      <c r="F23" s="37"/>
      <c r="G23" s="37"/>
      <c r="H23" s="37"/>
      <c r="I23" s="37"/>
      <c r="J23" s="37"/>
    </row>
    <row r="24" spans="2:10" x14ac:dyDescent="0.35">
      <c r="B24" s="37"/>
      <c r="C24" s="37"/>
      <c r="D24" s="37"/>
      <c r="E24" s="37"/>
      <c r="F24" s="37"/>
      <c r="G24" s="37"/>
      <c r="H24" s="37"/>
      <c r="I24" s="37"/>
      <c r="J24" s="37"/>
    </row>
    <row r="25" spans="2:10" x14ac:dyDescent="0.35">
      <c r="B25" s="37"/>
      <c r="C25" s="37"/>
      <c r="D25" s="37"/>
      <c r="E25" s="37"/>
      <c r="F25" s="37"/>
      <c r="G25" s="37"/>
      <c r="H25" s="37"/>
      <c r="I25" s="37"/>
      <c r="J25" s="37"/>
    </row>
    <row r="26" spans="2:10" x14ac:dyDescent="0.35">
      <c r="B26" s="37"/>
      <c r="C26" s="37"/>
      <c r="D26" s="37"/>
      <c r="E26" s="37"/>
      <c r="F26" s="37"/>
      <c r="G26" s="37"/>
      <c r="H26" s="37"/>
      <c r="I26" s="37"/>
      <c r="J26" s="37"/>
    </row>
    <row r="27" spans="2:10" x14ac:dyDescent="0.35">
      <c r="B27" s="37"/>
      <c r="C27" s="37"/>
      <c r="D27" s="37"/>
      <c r="E27" s="37"/>
      <c r="F27" s="37"/>
      <c r="G27" s="37"/>
      <c r="H27" s="37"/>
      <c r="I27" s="37"/>
      <c r="J27" s="37"/>
    </row>
    <row r="28" spans="2:10" x14ac:dyDescent="0.35">
      <c r="B28" s="37"/>
      <c r="C28" s="37"/>
      <c r="D28" s="37"/>
      <c r="E28" s="37"/>
      <c r="F28" s="37"/>
      <c r="G28" s="37"/>
      <c r="H28" s="37"/>
      <c r="I28" s="37"/>
      <c r="J28" s="37"/>
    </row>
    <row r="29" spans="2:10" x14ac:dyDescent="0.35">
      <c r="B29" s="37"/>
      <c r="C29" s="37"/>
      <c r="D29" s="37"/>
      <c r="E29" s="37"/>
      <c r="F29" s="37"/>
      <c r="G29" s="37"/>
      <c r="H29" s="37"/>
      <c r="I29" s="37"/>
      <c r="J29" s="37"/>
    </row>
    <row r="30" spans="2:10" x14ac:dyDescent="0.35">
      <c r="B30" s="37"/>
      <c r="C30" s="37"/>
      <c r="D30" s="37"/>
      <c r="E30" s="37"/>
      <c r="F30" s="37"/>
      <c r="G30" s="37"/>
      <c r="H30" s="37"/>
      <c r="I30" s="37"/>
      <c r="J30" s="37"/>
    </row>
    <row r="31" spans="2:10" x14ac:dyDescent="0.35">
      <c r="B31" s="37"/>
      <c r="C31" s="37"/>
      <c r="D31" s="37"/>
      <c r="E31" s="37"/>
      <c r="F31" s="37"/>
      <c r="G31" s="37"/>
      <c r="H31" s="37"/>
      <c r="I31" s="37"/>
      <c r="J31" s="37"/>
    </row>
    <row r="32" spans="2:10" x14ac:dyDescent="0.35">
      <c r="B32" s="37"/>
      <c r="C32" s="37"/>
      <c r="D32" s="37"/>
      <c r="E32" s="37"/>
      <c r="F32" s="37"/>
      <c r="G32" s="37"/>
      <c r="H32" s="37"/>
      <c r="I32" s="37"/>
      <c r="J32" s="37"/>
    </row>
    <row r="33" spans="2:10" x14ac:dyDescent="0.35">
      <c r="B33" s="37"/>
      <c r="C33" s="37"/>
      <c r="D33" s="37"/>
      <c r="E33" s="37"/>
      <c r="F33" s="37"/>
      <c r="G33" s="37"/>
      <c r="H33" s="37"/>
      <c r="I33" s="37"/>
      <c r="J33" s="37"/>
    </row>
    <row r="34" spans="2:10" x14ac:dyDescent="0.35">
      <c r="B34" s="37"/>
      <c r="C34" s="37"/>
      <c r="D34" s="37"/>
      <c r="E34" s="37"/>
      <c r="F34" s="37"/>
      <c r="G34" s="37"/>
      <c r="H34" s="37"/>
      <c r="I34" s="37"/>
      <c r="J34" s="37"/>
    </row>
    <row r="35" spans="2:10" x14ac:dyDescent="0.35">
      <c r="B35" s="37"/>
      <c r="C35" s="37"/>
      <c r="D35" s="37"/>
      <c r="E35" s="37"/>
      <c r="F35" s="37"/>
      <c r="G35" s="37"/>
      <c r="H35" s="37"/>
      <c r="I35" s="37"/>
      <c r="J35" s="37"/>
    </row>
    <row r="36" spans="2:10" x14ac:dyDescent="0.35">
      <c r="B36" s="37"/>
      <c r="C36" s="37"/>
      <c r="D36" s="37"/>
      <c r="E36" s="37"/>
      <c r="F36" s="37"/>
      <c r="G36" s="37"/>
      <c r="H36" s="37"/>
      <c r="I36" s="37"/>
      <c r="J36" s="37"/>
    </row>
    <row r="37" spans="2:10" x14ac:dyDescent="0.35">
      <c r="B37" s="37"/>
      <c r="C37" s="37"/>
      <c r="D37" s="37"/>
      <c r="E37" s="37"/>
      <c r="F37" s="37"/>
      <c r="G37" s="37"/>
      <c r="H37" s="37"/>
      <c r="I37" s="37"/>
      <c r="J37" s="37"/>
    </row>
    <row r="38" spans="2:10" x14ac:dyDescent="0.35">
      <c r="B38" s="37"/>
      <c r="C38" s="37"/>
      <c r="D38" s="37"/>
      <c r="E38" s="37"/>
      <c r="F38" s="37"/>
      <c r="G38" s="37"/>
      <c r="H38" s="37"/>
      <c r="I38" s="37"/>
      <c r="J38" s="37"/>
    </row>
    <row r="39" spans="2:10" x14ac:dyDescent="0.35">
      <c r="B39" s="37"/>
      <c r="C39" s="37"/>
      <c r="D39" s="37"/>
      <c r="E39" s="37"/>
      <c r="F39" s="37"/>
      <c r="G39" s="37"/>
      <c r="H39" s="37"/>
      <c r="I39" s="37"/>
      <c r="J39" s="37"/>
    </row>
    <row r="40" spans="2:10" x14ac:dyDescent="0.35">
      <c r="B40" s="37"/>
      <c r="C40" s="37"/>
      <c r="D40" s="37"/>
      <c r="E40" s="37"/>
      <c r="F40" s="37"/>
      <c r="G40" s="37"/>
      <c r="H40" s="37"/>
      <c r="I40" s="37"/>
      <c r="J40" s="37"/>
    </row>
    <row r="41" spans="2:10" x14ac:dyDescent="0.35">
      <c r="B41" s="37"/>
      <c r="C41" s="37"/>
      <c r="D41" s="37"/>
      <c r="E41" s="37"/>
      <c r="F41" s="37"/>
      <c r="G41" s="37"/>
      <c r="H41" s="37"/>
      <c r="I41" s="37"/>
      <c r="J41" s="37"/>
    </row>
    <row r="42" spans="2:10" x14ac:dyDescent="0.35">
      <c r="B42" s="37"/>
      <c r="C42" s="37"/>
      <c r="D42" s="37"/>
      <c r="E42" s="37"/>
      <c r="F42" s="37"/>
      <c r="G42" s="37"/>
      <c r="H42" s="37"/>
      <c r="I42" s="37"/>
      <c r="J42" s="37"/>
    </row>
    <row r="43" spans="2:10" x14ac:dyDescent="0.35">
      <c r="B43" s="37"/>
      <c r="C43" s="37"/>
      <c r="D43" s="37"/>
      <c r="E43" s="37"/>
      <c r="F43" s="37"/>
      <c r="G43" s="37"/>
      <c r="H43" s="37"/>
      <c r="I43" s="37"/>
      <c r="J43" s="37"/>
    </row>
  </sheetData>
  <sheetProtection insertRows="0" deleteRows="0" sort="0" autoFilter="0"/>
  <mergeCells count="1">
    <mergeCell ref="B4:B5"/>
  </mergeCells>
  <phoneticPr fontId="12"/>
  <hyperlinks>
    <hyperlink ref="A3" location="パラメータ設定一覧!A1" display="パラメータ設定一覧へ" xr:uid="{4309095B-0274-40D9-8406-ED5D4A1AA379}"/>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9F27-09AE-4683-A2DB-242417FC53E7}">
  <sheetPr>
    <tabColor theme="0" tint="-0.499984740745262"/>
  </sheetPr>
  <dimension ref="A1:L55"/>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7.85546875" style="104" customWidth="1"/>
    <col min="4" max="4" width="34.42578125" style="104" customWidth="1"/>
    <col min="5" max="5" width="19.42578125" style="104" customWidth="1"/>
    <col min="6" max="6" width="24.640625" style="104" customWidth="1"/>
    <col min="7" max="7" width="22.2109375" style="104" customWidth="1"/>
    <col min="8" max="8" width="18.070312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363</v>
      </c>
      <c r="I1" s="9"/>
    </row>
    <row r="2" spans="1:12" customFormat="1" ht="15" x14ac:dyDescent="0.35">
      <c r="B2" t="s">
        <v>366</v>
      </c>
      <c r="I2" s="9"/>
    </row>
    <row r="3" spans="1:12" customFormat="1" ht="15" x14ac:dyDescent="0.35">
      <c r="B3" t="s">
        <v>367</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 t="shared" ref="B6:B55" si="0">ROW() - 5</f>
        <v>1</v>
      </c>
      <c r="C6" s="16" t="s">
        <v>363</v>
      </c>
      <c r="D6" s="16" t="s">
        <v>411</v>
      </c>
      <c r="E6" s="16" t="s">
        <v>120</v>
      </c>
      <c r="F6" s="17" t="s">
        <v>368</v>
      </c>
      <c r="G6" s="17"/>
      <c r="H6" s="17" t="s">
        <v>110</v>
      </c>
      <c r="I6" s="32" t="s">
        <v>56</v>
      </c>
      <c r="J6" s="17"/>
      <c r="K6" s="1" t="s">
        <v>430</v>
      </c>
      <c r="L6" s="2"/>
    </row>
    <row r="7" spans="1:12" ht="27" x14ac:dyDescent="0.35">
      <c r="B7" s="15">
        <f t="shared" si="0"/>
        <v>2</v>
      </c>
      <c r="C7" s="18"/>
      <c r="D7" s="18"/>
      <c r="E7" s="20"/>
      <c r="F7" s="17" t="s">
        <v>331</v>
      </c>
      <c r="G7" s="17"/>
      <c r="H7" s="17" t="s">
        <v>414</v>
      </c>
      <c r="I7" s="32" t="s">
        <v>391</v>
      </c>
      <c r="J7" s="17" t="s">
        <v>425</v>
      </c>
      <c r="K7" s="1" t="s">
        <v>430</v>
      </c>
      <c r="L7" s="2"/>
    </row>
    <row r="8" spans="1:12" ht="27" x14ac:dyDescent="0.35">
      <c r="B8" s="15">
        <f t="shared" si="0"/>
        <v>3</v>
      </c>
      <c r="C8" s="18"/>
      <c r="D8" s="18"/>
      <c r="E8" s="18" t="s">
        <v>196</v>
      </c>
      <c r="F8" s="17" t="s">
        <v>370</v>
      </c>
      <c r="G8" s="17"/>
      <c r="H8" s="17" t="s">
        <v>292</v>
      </c>
      <c r="I8" s="32" t="s">
        <v>56</v>
      </c>
      <c r="K8" s="1" t="s">
        <v>430</v>
      </c>
      <c r="L8" s="2"/>
    </row>
    <row r="9" spans="1:12" ht="27" x14ac:dyDescent="0.35">
      <c r="B9" s="15">
        <f t="shared" si="0"/>
        <v>4</v>
      </c>
      <c r="C9" s="18"/>
      <c r="D9" s="18"/>
      <c r="E9" s="18"/>
      <c r="F9" s="17" t="s">
        <v>371</v>
      </c>
      <c r="G9" s="17"/>
      <c r="H9" s="17" t="s">
        <v>292</v>
      </c>
      <c r="I9" s="32" t="s">
        <v>56</v>
      </c>
      <c r="J9" s="17"/>
      <c r="K9" s="1" t="s">
        <v>430</v>
      </c>
      <c r="L9" s="2"/>
    </row>
    <row r="10" spans="1:12" ht="27" x14ac:dyDescent="0.35">
      <c r="B10" s="15">
        <f t="shared" si="0"/>
        <v>5</v>
      </c>
      <c r="C10" s="18"/>
      <c r="D10" s="18"/>
      <c r="E10" s="20"/>
      <c r="F10" s="17" t="s">
        <v>372</v>
      </c>
      <c r="G10" s="17"/>
      <c r="H10" s="17" t="s">
        <v>110</v>
      </c>
      <c r="I10" s="32" t="s">
        <v>56</v>
      </c>
      <c r="J10" s="17" t="s">
        <v>429</v>
      </c>
      <c r="K10" s="1" t="s">
        <v>430</v>
      </c>
      <c r="L10" s="2"/>
    </row>
    <row r="11" spans="1:12" ht="27" x14ac:dyDescent="0.35">
      <c r="B11" s="15">
        <f t="shared" si="0"/>
        <v>6</v>
      </c>
      <c r="C11" s="18"/>
      <c r="D11" s="18"/>
      <c r="E11" s="18" t="s">
        <v>374</v>
      </c>
      <c r="F11" s="17" t="s">
        <v>373</v>
      </c>
      <c r="G11" s="17"/>
      <c r="H11" s="17" t="s">
        <v>292</v>
      </c>
      <c r="I11" s="32" t="s">
        <v>56</v>
      </c>
      <c r="J11" s="17"/>
      <c r="K11" s="1" t="s">
        <v>430</v>
      </c>
      <c r="L11" s="2"/>
    </row>
    <row r="12" spans="1:12" ht="27" x14ac:dyDescent="0.35">
      <c r="B12" s="15">
        <f t="shared" si="0"/>
        <v>7</v>
      </c>
      <c r="C12" s="18"/>
      <c r="D12" s="18"/>
      <c r="E12" s="18"/>
      <c r="F12" s="17" t="s">
        <v>375</v>
      </c>
      <c r="G12" s="17" t="s">
        <v>121</v>
      </c>
      <c r="H12" s="17" t="s">
        <v>292</v>
      </c>
      <c r="I12" s="32" t="s">
        <v>415</v>
      </c>
      <c r="J12" s="17"/>
      <c r="K12" s="1" t="s">
        <v>430</v>
      </c>
      <c r="L12" s="2"/>
    </row>
    <row r="13" spans="1:12" ht="27" x14ac:dyDescent="0.35">
      <c r="B13" s="15">
        <f t="shared" si="0"/>
        <v>8</v>
      </c>
      <c r="C13" s="18"/>
      <c r="D13" s="18"/>
      <c r="E13" s="18"/>
      <c r="F13" s="17" t="s">
        <v>376</v>
      </c>
      <c r="G13" s="17" t="s">
        <v>413</v>
      </c>
      <c r="H13" s="17" t="s">
        <v>292</v>
      </c>
      <c r="I13" s="32" t="s">
        <v>56</v>
      </c>
      <c r="J13" s="17"/>
      <c r="K13" s="1" t="s">
        <v>430</v>
      </c>
      <c r="L13" s="2"/>
    </row>
    <row r="14" spans="1:12" ht="148.5" x14ac:dyDescent="0.35">
      <c r="B14" s="15">
        <f t="shared" si="0"/>
        <v>9</v>
      </c>
      <c r="C14" s="18"/>
      <c r="D14" s="18"/>
      <c r="E14" s="18"/>
      <c r="F14" s="17" t="s">
        <v>190</v>
      </c>
      <c r="G14" s="17"/>
      <c r="H14" s="17" t="s">
        <v>416</v>
      </c>
      <c r="I14" s="32" t="s">
        <v>56</v>
      </c>
      <c r="J14" s="17"/>
      <c r="K14" s="1" t="s">
        <v>430</v>
      </c>
      <c r="L14" s="2"/>
    </row>
    <row r="15" spans="1:12" ht="27" x14ac:dyDescent="0.35">
      <c r="B15" s="15">
        <f t="shared" si="0"/>
        <v>10</v>
      </c>
      <c r="C15" s="18"/>
      <c r="D15" s="18"/>
      <c r="E15" s="18"/>
      <c r="F15" s="17" t="s">
        <v>189</v>
      </c>
      <c r="G15" s="17"/>
      <c r="H15" s="17" t="s">
        <v>67</v>
      </c>
      <c r="I15" s="32" t="s">
        <v>68</v>
      </c>
      <c r="J15" s="17"/>
      <c r="K15" s="1" t="s">
        <v>430</v>
      </c>
      <c r="L15" s="2"/>
    </row>
    <row r="16" spans="1:12" ht="27" x14ac:dyDescent="0.35">
      <c r="B16" s="15">
        <f t="shared" si="0"/>
        <v>11</v>
      </c>
      <c r="C16" s="18"/>
      <c r="D16" s="18"/>
      <c r="E16" s="18"/>
      <c r="F16" s="17" t="s">
        <v>377</v>
      </c>
      <c r="G16" s="17"/>
      <c r="H16" s="17" t="s">
        <v>292</v>
      </c>
      <c r="I16" s="32" t="s">
        <v>68</v>
      </c>
      <c r="J16" s="17" t="s">
        <v>423</v>
      </c>
      <c r="K16" s="1" t="s">
        <v>430</v>
      </c>
      <c r="L16" s="2"/>
    </row>
    <row r="17" spans="2:12" ht="27" x14ac:dyDescent="0.35">
      <c r="B17" s="15">
        <f t="shared" si="0"/>
        <v>12</v>
      </c>
      <c r="C17" s="18"/>
      <c r="D17" s="18"/>
      <c r="E17" s="18"/>
      <c r="F17" s="17" t="s">
        <v>378</v>
      </c>
      <c r="G17" s="17"/>
      <c r="H17" s="17" t="s">
        <v>292</v>
      </c>
      <c r="I17" s="46" t="s">
        <v>417</v>
      </c>
      <c r="J17" s="17"/>
      <c r="K17" s="1" t="s">
        <v>430</v>
      </c>
      <c r="L17" s="2"/>
    </row>
    <row r="18" spans="2:12" ht="27" x14ac:dyDescent="0.35">
      <c r="B18" s="15">
        <f t="shared" si="0"/>
        <v>13</v>
      </c>
      <c r="C18" s="18"/>
      <c r="D18" s="18"/>
      <c r="E18" s="20"/>
      <c r="F18" s="17" t="s">
        <v>379</v>
      </c>
      <c r="G18" s="17"/>
      <c r="H18" s="17" t="s">
        <v>418</v>
      </c>
      <c r="I18" s="32" t="s">
        <v>332</v>
      </c>
      <c r="J18" s="17"/>
      <c r="K18" s="1" t="s">
        <v>430</v>
      </c>
      <c r="L18" s="2"/>
    </row>
    <row r="19" spans="2:12" ht="27" x14ac:dyDescent="0.35">
      <c r="B19" s="15">
        <f t="shared" si="0"/>
        <v>14</v>
      </c>
      <c r="C19" s="18"/>
      <c r="D19" s="18"/>
      <c r="E19" s="18" t="s">
        <v>380</v>
      </c>
      <c r="F19" s="17" t="s">
        <v>381</v>
      </c>
      <c r="G19" s="17"/>
      <c r="H19" s="17" t="s">
        <v>419</v>
      </c>
      <c r="I19" s="32" t="s">
        <v>56</v>
      </c>
      <c r="J19" s="17"/>
      <c r="K19" s="1" t="s">
        <v>430</v>
      </c>
      <c r="L19" s="2"/>
    </row>
    <row r="20" spans="2:12" ht="27" x14ac:dyDescent="0.35">
      <c r="B20" s="15">
        <f t="shared" si="0"/>
        <v>15</v>
      </c>
      <c r="C20" s="18"/>
      <c r="D20" s="18"/>
      <c r="E20" s="18"/>
      <c r="F20" s="17" t="s">
        <v>382</v>
      </c>
      <c r="G20" s="17"/>
      <c r="H20" s="17" t="s">
        <v>292</v>
      </c>
      <c r="I20" s="32" t="s">
        <v>56</v>
      </c>
      <c r="J20" s="17" t="s">
        <v>424</v>
      </c>
      <c r="K20" s="1" t="s">
        <v>430</v>
      </c>
      <c r="L20" s="2"/>
    </row>
    <row r="21" spans="2:12" ht="27" x14ac:dyDescent="0.35">
      <c r="B21" s="15">
        <f t="shared" si="0"/>
        <v>16</v>
      </c>
      <c r="C21" s="20"/>
      <c r="D21" s="20"/>
      <c r="E21" s="20"/>
      <c r="F21" s="17" t="s">
        <v>383</v>
      </c>
      <c r="G21" s="17"/>
      <c r="H21" s="17" t="s">
        <v>292</v>
      </c>
      <c r="I21" s="32" t="s">
        <v>56</v>
      </c>
      <c r="J21" s="17" t="s">
        <v>424</v>
      </c>
      <c r="K21" s="1" t="s">
        <v>430</v>
      </c>
      <c r="L21" s="2"/>
    </row>
    <row r="22" spans="2:12" ht="27" x14ac:dyDescent="0.35">
      <c r="B22" s="15">
        <f t="shared" si="0"/>
        <v>17</v>
      </c>
      <c r="C22" s="18" t="s">
        <v>384</v>
      </c>
      <c r="D22" s="18" t="s">
        <v>412</v>
      </c>
      <c r="E22" s="18"/>
      <c r="F22" s="17" t="s">
        <v>385</v>
      </c>
      <c r="G22" s="17"/>
      <c r="H22" s="17" t="s">
        <v>292</v>
      </c>
      <c r="I22" s="32">
        <v>0</v>
      </c>
      <c r="J22" s="17" t="s">
        <v>420</v>
      </c>
      <c r="K22" s="1" t="s">
        <v>431</v>
      </c>
      <c r="L22" s="2"/>
    </row>
    <row r="23" spans="2:12" ht="27" x14ac:dyDescent="0.35">
      <c r="B23" s="15">
        <f t="shared" si="0"/>
        <v>18</v>
      </c>
      <c r="C23" s="18"/>
      <c r="D23" s="18"/>
      <c r="E23" s="18"/>
      <c r="F23" s="17" t="s">
        <v>369</v>
      </c>
      <c r="G23" s="17"/>
      <c r="H23" s="17" t="s">
        <v>292</v>
      </c>
      <c r="I23" s="32" t="s">
        <v>391</v>
      </c>
      <c r="J23" s="17"/>
      <c r="K23" s="1" t="s">
        <v>431</v>
      </c>
      <c r="L23" s="2"/>
    </row>
    <row r="24" spans="2:12" ht="27" x14ac:dyDescent="0.35">
      <c r="B24" s="15">
        <f t="shared" si="0"/>
        <v>19</v>
      </c>
      <c r="C24" s="18"/>
      <c r="D24" s="18"/>
      <c r="E24" s="18"/>
      <c r="F24" s="17" t="s">
        <v>186</v>
      </c>
      <c r="G24" s="17"/>
      <c r="H24" s="17" t="s">
        <v>110</v>
      </c>
      <c r="I24" s="32" t="s">
        <v>56</v>
      </c>
      <c r="J24" s="17"/>
      <c r="K24" s="1" t="s">
        <v>431</v>
      </c>
      <c r="L24" s="2"/>
    </row>
    <row r="25" spans="2:12" ht="27" x14ac:dyDescent="0.35">
      <c r="B25" s="15">
        <f t="shared" si="0"/>
        <v>20</v>
      </c>
      <c r="C25" s="18"/>
      <c r="D25" s="18"/>
      <c r="E25" s="18"/>
      <c r="F25" s="17" t="s">
        <v>387</v>
      </c>
      <c r="G25" s="17"/>
      <c r="H25" s="17" t="s">
        <v>419</v>
      </c>
      <c r="I25" s="32" t="s">
        <v>56</v>
      </c>
      <c r="J25" s="17"/>
      <c r="K25" s="1" t="s">
        <v>431</v>
      </c>
      <c r="L25" s="2"/>
    </row>
    <row r="26" spans="2:12" ht="27" x14ac:dyDescent="0.35">
      <c r="B26" s="15">
        <f t="shared" si="0"/>
        <v>21</v>
      </c>
      <c r="C26" s="18"/>
      <c r="D26" s="18"/>
      <c r="E26" s="18"/>
      <c r="F26" s="17" t="s">
        <v>388</v>
      </c>
      <c r="G26" s="17"/>
      <c r="H26" s="17" t="s">
        <v>110</v>
      </c>
      <c r="I26" s="32" t="s">
        <v>56</v>
      </c>
      <c r="J26" s="17"/>
      <c r="K26" s="1" t="s">
        <v>431</v>
      </c>
      <c r="L26" s="2"/>
    </row>
    <row r="27" spans="2:12" ht="27" x14ac:dyDescent="0.35">
      <c r="B27" s="15">
        <f t="shared" si="0"/>
        <v>22</v>
      </c>
      <c r="C27" s="18"/>
      <c r="D27" s="18"/>
      <c r="E27" s="18"/>
      <c r="F27" s="17" t="s">
        <v>376</v>
      </c>
      <c r="G27" s="17"/>
      <c r="H27" s="17" t="s">
        <v>419</v>
      </c>
      <c r="I27" s="32" t="s">
        <v>56</v>
      </c>
      <c r="J27" s="17"/>
      <c r="K27" s="1" t="s">
        <v>431</v>
      </c>
      <c r="L27" s="2"/>
    </row>
    <row r="28" spans="2:12" ht="27" x14ac:dyDescent="0.35">
      <c r="B28" s="15">
        <f t="shared" si="0"/>
        <v>23</v>
      </c>
      <c r="C28" s="18"/>
      <c r="D28" s="18"/>
      <c r="E28" s="18"/>
      <c r="F28" s="17" t="s">
        <v>10</v>
      </c>
      <c r="G28" s="17"/>
      <c r="H28" s="17" t="s">
        <v>419</v>
      </c>
      <c r="I28" s="32" t="s">
        <v>56</v>
      </c>
      <c r="J28" s="17"/>
      <c r="K28" s="1" t="s">
        <v>431</v>
      </c>
      <c r="L28" s="2"/>
    </row>
    <row r="29" spans="2:12" ht="27" x14ac:dyDescent="0.35">
      <c r="B29" s="15">
        <f t="shared" si="0"/>
        <v>24</v>
      </c>
      <c r="C29" s="18"/>
      <c r="D29" s="18"/>
      <c r="E29" s="18"/>
      <c r="F29" s="17" t="s">
        <v>389</v>
      </c>
      <c r="G29" s="17"/>
      <c r="H29" s="17" t="s">
        <v>292</v>
      </c>
      <c r="I29" s="32" t="s">
        <v>68</v>
      </c>
      <c r="J29" s="17"/>
      <c r="K29" s="1" t="s">
        <v>431</v>
      </c>
      <c r="L29" s="2"/>
    </row>
    <row r="30" spans="2:12" ht="27" x14ac:dyDescent="0.35">
      <c r="B30" s="15">
        <f t="shared" si="0"/>
        <v>25</v>
      </c>
      <c r="C30" s="18"/>
      <c r="D30" s="18"/>
      <c r="E30" s="18"/>
      <c r="F30" s="17" t="s">
        <v>390</v>
      </c>
      <c r="G30" s="17"/>
      <c r="H30" s="17" t="s">
        <v>292</v>
      </c>
      <c r="I30" s="32" t="s">
        <v>56</v>
      </c>
      <c r="J30" s="17"/>
      <c r="K30" s="1" t="s">
        <v>431</v>
      </c>
      <c r="L30" s="2"/>
    </row>
    <row r="31" spans="2:12" ht="27" x14ac:dyDescent="0.35">
      <c r="B31" s="15">
        <f t="shared" si="0"/>
        <v>26</v>
      </c>
      <c r="C31" s="20"/>
      <c r="D31" s="20"/>
      <c r="E31" s="20"/>
      <c r="F31" s="17" t="s">
        <v>371</v>
      </c>
      <c r="G31" s="17"/>
      <c r="H31" s="17" t="s">
        <v>292</v>
      </c>
      <c r="I31" s="32" t="s">
        <v>56</v>
      </c>
      <c r="J31" s="17"/>
      <c r="K31" s="1" t="s">
        <v>431</v>
      </c>
      <c r="L31" s="2"/>
    </row>
    <row r="32" spans="2:12" ht="27" x14ac:dyDescent="0.35">
      <c r="B32" s="15">
        <f t="shared" si="0"/>
        <v>27</v>
      </c>
      <c r="C32" s="18" t="s">
        <v>392</v>
      </c>
      <c r="D32" s="18" t="s">
        <v>412</v>
      </c>
      <c r="E32" s="18" t="s">
        <v>393</v>
      </c>
      <c r="F32" s="17" t="s">
        <v>394</v>
      </c>
      <c r="G32" s="17"/>
      <c r="H32" s="17" t="s">
        <v>421</v>
      </c>
      <c r="I32" s="32" t="s">
        <v>330</v>
      </c>
      <c r="J32" s="17"/>
      <c r="K32" s="1" t="s">
        <v>431</v>
      </c>
      <c r="L32" s="2"/>
    </row>
    <row r="33" spans="2:12" ht="27" x14ac:dyDescent="0.35">
      <c r="B33" s="15">
        <f t="shared" si="0"/>
        <v>28</v>
      </c>
      <c r="C33" s="18"/>
      <c r="D33" s="18"/>
      <c r="E33" s="18"/>
      <c r="F33" s="17" t="s">
        <v>386</v>
      </c>
      <c r="G33" s="17"/>
      <c r="H33" s="17" t="s">
        <v>419</v>
      </c>
      <c r="I33" s="32">
        <v>0</v>
      </c>
      <c r="J33" s="17"/>
      <c r="K33" s="1" t="s">
        <v>431</v>
      </c>
      <c r="L33" s="2"/>
    </row>
    <row r="34" spans="2:12" ht="27" x14ac:dyDescent="0.35">
      <c r="B34" s="15">
        <f t="shared" si="0"/>
        <v>29</v>
      </c>
      <c r="C34" s="18"/>
      <c r="D34" s="18"/>
      <c r="E34" s="18"/>
      <c r="F34" s="17" t="s">
        <v>395</v>
      </c>
      <c r="G34" s="17"/>
      <c r="H34" s="17" t="s">
        <v>422</v>
      </c>
      <c r="I34" s="32" t="s">
        <v>260</v>
      </c>
      <c r="J34" s="17"/>
      <c r="K34" s="1" t="s">
        <v>431</v>
      </c>
      <c r="L34" s="2"/>
    </row>
    <row r="35" spans="2:12" ht="27" x14ac:dyDescent="0.35">
      <c r="B35" s="15">
        <f t="shared" si="0"/>
        <v>30</v>
      </c>
      <c r="C35" s="18"/>
      <c r="D35" s="18"/>
      <c r="E35" s="18"/>
      <c r="F35" s="17" t="s">
        <v>396</v>
      </c>
      <c r="G35" s="17"/>
      <c r="H35" s="17" t="s">
        <v>292</v>
      </c>
      <c r="I35" s="32" t="s">
        <v>391</v>
      </c>
      <c r="J35" s="17"/>
      <c r="K35" s="1" t="s">
        <v>431</v>
      </c>
      <c r="L35" s="2"/>
    </row>
    <row r="36" spans="2:12" ht="27" x14ac:dyDescent="0.35">
      <c r="B36" s="15">
        <f t="shared" si="0"/>
        <v>31</v>
      </c>
      <c r="C36" s="18"/>
      <c r="D36" s="18"/>
      <c r="E36" s="20"/>
      <c r="F36" s="17" t="s">
        <v>186</v>
      </c>
      <c r="G36" s="17"/>
      <c r="H36" s="17" t="s">
        <v>292</v>
      </c>
      <c r="I36" s="32" t="s">
        <v>56</v>
      </c>
      <c r="J36" s="17"/>
      <c r="K36" s="1" t="s">
        <v>431</v>
      </c>
      <c r="L36" s="2"/>
    </row>
    <row r="37" spans="2:12" ht="27" x14ac:dyDescent="0.35">
      <c r="B37" s="15">
        <f t="shared" si="0"/>
        <v>32</v>
      </c>
      <c r="C37" s="18"/>
      <c r="D37" s="18"/>
      <c r="E37" s="18" t="s">
        <v>397</v>
      </c>
      <c r="F37" s="17" t="s">
        <v>331</v>
      </c>
      <c r="G37" s="17"/>
      <c r="H37" s="17" t="s">
        <v>292</v>
      </c>
      <c r="I37" s="32" t="s">
        <v>391</v>
      </c>
      <c r="J37" s="17" t="s">
        <v>426</v>
      </c>
      <c r="K37" s="1" t="s">
        <v>431</v>
      </c>
      <c r="L37" s="2"/>
    </row>
    <row r="38" spans="2:12" ht="27" x14ac:dyDescent="0.35">
      <c r="B38" s="15">
        <f t="shared" si="0"/>
        <v>33</v>
      </c>
      <c r="C38" s="18"/>
      <c r="D38" s="18"/>
      <c r="E38" s="18"/>
      <c r="F38" s="17" t="s">
        <v>186</v>
      </c>
      <c r="G38" s="17"/>
      <c r="H38" s="17" t="s">
        <v>110</v>
      </c>
      <c r="I38" s="32" t="s">
        <v>56</v>
      </c>
      <c r="J38" s="17" t="s">
        <v>426</v>
      </c>
      <c r="K38" s="1" t="s">
        <v>431</v>
      </c>
      <c r="L38" s="2"/>
    </row>
    <row r="39" spans="2:12" ht="27" x14ac:dyDescent="0.35">
      <c r="B39" s="15">
        <f t="shared" si="0"/>
        <v>34</v>
      </c>
      <c r="C39" s="18"/>
      <c r="D39" s="18"/>
      <c r="E39" s="18"/>
      <c r="F39" s="17" t="s">
        <v>398</v>
      </c>
      <c r="G39" s="17"/>
      <c r="H39" s="17" t="s">
        <v>67</v>
      </c>
      <c r="I39" s="32" t="s">
        <v>68</v>
      </c>
      <c r="J39" s="17"/>
      <c r="K39" s="1" t="s">
        <v>431</v>
      </c>
      <c r="L39" s="2"/>
    </row>
    <row r="40" spans="2:12" ht="27" x14ac:dyDescent="0.35">
      <c r="B40" s="15">
        <f t="shared" si="0"/>
        <v>35</v>
      </c>
      <c r="C40" s="18"/>
      <c r="D40" s="18"/>
      <c r="E40" s="18"/>
      <c r="F40" s="17" t="s">
        <v>400</v>
      </c>
      <c r="G40" s="17"/>
      <c r="H40" s="17" t="s">
        <v>292</v>
      </c>
      <c r="I40" s="32" t="b">
        <v>0</v>
      </c>
      <c r="J40" s="17"/>
      <c r="K40" s="1" t="s">
        <v>431</v>
      </c>
      <c r="L40" s="2"/>
    </row>
    <row r="41" spans="2:12" ht="27" x14ac:dyDescent="0.35">
      <c r="B41" s="15">
        <f t="shared" si="0"/>
        <v>36</v>
      </c>
      <c r="C41" s="18"/>
      <c r="D41" s="18"/>
      <c r="E41" s="18"/>
      <c r="F41" s="17" t="s">
        <v>401</v>
      </c>
      <c r="G41" s="17"/>
      <c r="H41" s="17" t="s">
        <v>67</v>
      </c>
      <c r="I41" s="32" t="s">
        <v>68</v>
      </c>
      <c r="J41" s="17"/>
      <c r="K41" s="1" t="s">
        <v>431</v>
      </c>
      <c r="L41" s="2"/>
    </row>
    <row r="42" spans="2:12" ht="27" x14ac:dyDescent="0.35">
      <c r="B42" s="15">
        <f t="shared" si="0"/>
        <v>37</v>
      </c>
      <c r="C42" s="18"/>
      <c r="D42" s="18"/>
      <c r="E42" s="18"/>
      <c r="F42" s="17" t="s">
        <v>402</v>
      </c>
      <c r="G42" s="17"/>
      <c r="H42" s="17" t="s">
        <v>292</v>
      </c>
      <c r="I42" s="32">
        <v>0</v>
      </c>
      <c r="J42" s="17"/>
      <c r="K42" s="1" t="s">
        <v>431</v>
      </c>
      <c r="L42" s="2"/>
    </row>
    <row r="43" spans="2:12" ht="27" x14ac:dyDescent="0.35">
      <c r="B43" s="15">
        <f t="shared" si="0"/>
        <v>38</v>
      </c>
      <c r="C43" s="18"/>
      <c r="D43" s="18"/>
      <c r="E43" s="18"/>
      <c r="F43" s="17" t="s">
        <v>170</v>
      </c>
      <c r="G43" s="17"/>
      <c r="H43" s="17" t="s">
        <v>419</v>
      </c>
      <c r="I43" s="32" t="s">
        <v>56</v>
      </c>
      <c r="J43" s="17"/>
      <c r="K43" s="1" t="s">
        <v>431</v>
      </c>
      <c r="L43" s="2"/>
    </row>
    <row r="44" spans="2:12" ht="27" x14ac:dyDescent="0.35">
      <c r="B44" s="15">
        <f t="shared" si="0"/>
        <v>39</v>
      </c>
      <c r="C44" s="18"/>
      <c r="D44" s="18"/>
      <c r="E44" s="20"/>
      <c r="F44" s="17" t="s">
        <v>167</v>
      </c>
      <c r="G44" s="17"/>
      <c r="H44" s="17" t="s">
        <v>51</v>
      </c>
      <c r="I44" s="32">
        <v>0</v>
      </c>
      <c r="J44" s="17"/>
      <c r="K44" s="1" t="s">
        <v>431</v>
      </c>
      <c r="L44" s="2"/>
    </row>
    <row r="45" spans="2:12" ht="27" x14ac:dyDescent="0.35">
      <c r="B45" s="15">
        <f t="shared" si="0"/>
        <v>40</v>
      </c>
      <c r="C45" s="18"/>
      <c r="D45" s="18"/>
      <c r="E45" s="18" t="s">
        <v>403</v>
      </c>
      <c r="F45" s="17" t="s">
        <v>390</v>
      </c>
      <c r="G45" s="17"/>
      <c r="H45" s="17" t="s">
        <v>292</v>
      </c>
      <c r="I45" s="32" t="s">
        <v>56</v>
      </c>
      <c r="J45" s="17"/>
      <c r="K45" s="1" t="s">
        <v>431</v>
      </c>
      <c r="L45" s="2"/>
    </row>
    <row r="46" spans="2:12" ht="27" x14ac:dyDescent="0.35">
      <c r="B46" s="15">
        <f t="shared" si="0"/>
        <v>41</v>
      </c>
      <c r="C46" s="18"/>
      <c r="D46" s="18"/>
      <c r="E46" s="20"/>
      <c r="F46" s="17" t="s">
        <v>371</v>
      </c>
      <c r="G46" s="17"/>
      <c r="H46" s="17" t="s">
        <v>292</v>
      </c>
      <c r="I46" s="32" t="s">
        <v>56</v>
      </c>
      <c r="J46" s="17"/>
      <c r="K46" s="1" t="s">
        <v>431</v>
      </c>
      <c r="L46" s="2"/>
    </row>
    <row r="47" spans="2:12" ht="27" x14ac:dyDescent="0.35">
      <c r="B47" s="15">
        <f t="shared" si="0"/>
        <v>42</v>
      </c>
      <c r="C47" s="18"/>
      <c r="D47" s="18"/>
      <c r="E47" s="18" t="s">
        <v>404</v>
      </c>
      <c r="F47" s="17" t="s">
        <v>376</v>
      </c>
      <c r="G47" s="17"/>
      <c r="H47" s="17" t="s">
        <v>419</v>
      </c>
      <c r="I47" s="32" t="s">
        <v>56</v>
      </c>
      <c r="J47" s="17" t="s">
        <v>426</v>
      </c>
      <c r="K47" s="1" t="s">
        <v>431</v>
      </c>
      <c r="L47" s="2"/>
    </row>
    <row r="48" spans="2:12" ht="27" x14ac:dyDescent="0.35">
      <c r="B48" s="15">
        <f t="shared" si="0"/>
        <v>43</v>
      </c>
      <c r="C48" s="18"/>
      <c r="D48" s="18"/>
      <c r="E48" s="18"/>
      <c r="F48" s="17" t="s">
        <v>387</v>
      </c>
      <c r="G48" s="17"/>
      <c r="H48" s="17" t="s">
        <v>419</v>
      </c>
      <c r="I48" s="32" t="s">
        <v>56</v>
      </c>
      <c r="J48" s="17" t="s">
        <v>426</v>
      </c>
      <c r="K48" s="1" t="s">
        <v>431</v>
      </c>
      <c r="L48" s="2"/>
    </row>
    <row r="49" spans="2:12" ht="27" x14ac:dyDescent="0.35">
      <c r="B49" s="15">
        <f t="shared" si="0"/>
        <v>44</v>
      </c>
      <c r="C49" s="18"/>
      <c r="D49" s="18"/>
      <c r="E49" s="18"/>
      <c r="F49" s="17" t="s">
        <v>388</v>
      </c>
      <c r="G49" s="17"/>
      <c r="H49" s="17" t="s">
        <v>292</v>
      </c>
      <c r="I49" s="32" t="s">
        <v>56</v>
      </c>
      <c r="J49" s="17"/>
      <c r="K49" s="1" t="s">
        <v>431</v>
      </c>
      <c r="L49" s="2"/>
    </row>
    <row r="50" spans="2:12" ht="27" x14ac:dyDescent="0.35">
      <c r="B50" s="15">
        <f t="shared" si="0"/>
        <v>45</v>
      </c>
      <c r="C50" s="18"/>
      <c r="D50" s="18"/>
      <c r="E50" s="20"/>
      <c r="F50" s="17" t="s">
        <v>405</v>
      </c>
      <c r="G50" s="17"/>
      <c r="H50" s="17" t="s">
        <v>51</v>
      </c>
      <c r="I50" s="32">
        <v>5</v>
      </c>
      <c r="J50" s="17"/>
      <c r="K50" s="1" t="s">
        <v>431</v>
      </c>
      <c r="L50" s="2"/>
    </row>
    <row r="51" spans="2:12" ht="27" x14ac:dyDescent="0.35">
      <c r="B51" s="15">
        <f t="shared" si="0"/>
        <v>46</v>
      </c>
      <c r="C51" s="18"/>
      <c r="D51" s="18"/>
      <c r="E51" s="17" t="s">
        <v>406</v>
      </c>
      <c r="F51" s="17" t="s">
        <v>188</v>
      </c>
      <c r="G51" s="17"/>
      <c r="H51" s="17" t="s">
        <v>67</v>
      </c>
      <c r="I51" s="32" t="s">
        <v>68</v>
      </c>
      <c r="J51" s="17"/>
      <c r="K51" s="1" t="s">
        <v>431</v>
      </c>
      <c r="L51" s="2"/>
    </row>
    <row r="52" spans="2:12" ht="27" x14ac:dyDescent="0.35">
      <c r="B52" s="15">
        <f t="shared" si="0"/>
        <v>47</v>
      </c>
      <c r="C52" s="18"/>
      <c r="D52" s="18"/>
      <c r="E52" s="18" t="s">
        <v>407</v>
      </c>
      <c r="F52" s="17" t="s">
        <v>373</v>
      </c>
      <c r="G52" s="17"/>
      <c r="H52" s="17" t="s">
        <v>292</v>
      </c>
      <c r="I52" s="32" t="s">
        <v>56</v>
      </c>
      <c r="J52" s="17" t="s">
        <v>427</v>
      </c>
      <c r="K52" s="1" t="s">
        <v>431</v>
      </c>
      <c r="L52" s="2"/>
    </row>
    <row r="53" spans="2:12" ht="27" x14ac:dyDescent="0.35">
      <c r="B53" s="15">
        <f t="shared" si="0"/>
        <v>48</v>
      </c>
      <c r="C53" s="18"/>
      <c r="D53" s="18"/>
      <c r="E53" s="20"/>
      <c r="F53" s="17" t="s">
        <v>408</v>
      </c>
      <c r="G53" s="17"/>
      <c r="H53" s="17" t="s">
        <v>292</v>
      </c>
      <c r="I53" s="32" t="s">
        <v>56</v>
      </c>
      <c r="J53" s="17" t="s">
        <v>428</v>
      </c>
      <c r="K53" s="1" t="s">
        <v>431</v>
      </c>
      <c r="L53" s="2"/>
    </row>
    <row r="54" spans="2:12" ht="27" x14ac:dyDescent="0.35">
      <c r="B54" s="15">
        <f t="shared" si="0"/>
        <v>49</v>
      </c>
      <c r="C54" s="18"/>
      <c r="D54" s="18"/>
      <c r="E54" s="20" t="s">
        <v>409</v>
      </c>
      <c r="F54" s="17" t="s">
        <v>375</v>
      </c>
      <c r="G54" s="17"/>
      <c r="H54" s="17" t="s">
        <v>292</v>
      </c>
      <c r="I54" s="32" t="s">
        <v>56</v>
      </c>
      <c r="J54" s="17"/>
      <c r="K54" s="1" t="s">
        <v>431</v>
      </c>
      <c r="L54" s="2"/>
    </row>
    <row r="55" spans="2:12" ht="27" x14ac:dyDescent="0.35">
      <c r="B55" s="15">
        <f t="shared" si="0"/>
        <v>50</v>
      </c>
      <c r="C55" s="20"/>
      <c r="D55" s="20"/>
      <c r="E55" s="17" t="s">
        <v>434</v>
      </c>
      <c r="F55" s="17" t="s">
        <v>410</v>
      </c>
      <c r="G55" s="17"/>
      <c r="H55" s="17" t="s">
        <v>292</v>
      </c>
      <c r="I55" s="32" t="s">
        <v>56</v>
      </c>
      <c r="J55" s="17"/>
      <c r="K55" s="1" t="s">
        <v>431</v>
      </c>
      <c r="L55" s="2"/>
    </row>
  </sheetData>
  <phoneticPr fontId="12"/>
  <hyperlinks>
    <hyperlink ref="A4" location="パラメータ設定一覧!A1" display="パラメータ設定一覧へ" xr:uid="{2E957804-F232-4EE7-8208-210EADBC0071}"/>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10D2-76EA-47D4-BE4A-ECCA190CA0D3}">
  <sheetPr>
    <tabColor theme="0" tint="-0.499984740745262"/>
  </sheetPr>
  <dimension ref="A1:R44"/>
  <sheetViews>
    <sheetView showGridLines="0" zoomScaleNormal="100" zoomScaleSheetLayoutView="50" workbookViewId="0">
      <pane ySplit="7" topLeftCell="A8"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32.2109375" style="104" bestFit="1" customWidth="1"/>
    <col min="4" max="4" width="12.2109375" style="104" bestFit="1" customWidth="1"/>
    <col min="5" max="5" width="12" style="104" bestFit="1" customWidth="1"/>
    <col min="6" max="6" width="12.2109375" style="104" bestFit="1" customWidth="1"/>
    <col min="7" max="7" width="14" style="104" bestFit="1" customWidth="1"/>
    <col min="8" max="8" width="12.2109375" style="104" bestFit="1" customWidth="1"/>
    <col min="9" max="9" width="14.2109375" style="104" bestFit="1" customWidth="1"/>
    <col min="10" max="14" width="8.85546875" style="104"/>
    <col min="15" max="15" width="14.140625" style="104" bestFit="1" customWidth="1"/>
    <col min="16" max="17" width="8.85546875" style="104"/>
    <col min="18" max="18" width="36.640625" style="104" customWidth="1"/>
    <col min="19" max="16384" width="8.85546875" style="104"/>
  </cols>
  <sheetData>
    <row r="1" spans="1:18" customFormat="1" ht="19.5" x14ac:dyDescent="0.35">
      <c r="A1" s="30" t="s">
        <v>432</v>
      </c>
    </row>
    <row r="2" spans="1:18" customFormat="1" ht="15" x14ac:dyDescent="0.35">
      <c r="B2" s="50"/>
    </row>
    <row r="3" spans="1:18" customFormat="1" ht="15" x14ac:dyDescent="0.35">
      <c r="A3" s="4" t="s">
        <v>487</v>
      </c>
      <c r="D3" t="s">
        <v>494</v>
      </c>
    </row>
    <row r="4" spans="1:18" x14ac:dyDescent="0.35">
      <c r="B4" s="189" t="s">
        <v>2</v>
      </c>
      <c r="C4" s="38" t="s">
        <v>363</v>
      </c>
      <c r="D4" s="39"/>
      <c r="E4" s="39"/>
      <c r="F4" s="39"/>
      <c r="G4" s="39"/>
      <c r="H4" s="39"/>
      <c r="I4" s="39"/>
      <c r="J4" s="39"/>
      <c r="K4" s="39"/>
      <c r="L4" s="39"/>
      <c r="M4" s="39"/>
      <c r="N4" s="39"/>
      <c r="O4" s="39"/>
      <c r="P4" s="39"/>
      <c r="Q4" s="39"/>
      <c r="R4" s="39"/>
    </row>
    <row r="5" spans="1:18" x14ac:dyDescent="0.35">
      <c r="B5" s="190"/>
      <c r="C5" s="55" t="s">
        <v>120</v>
      </c>
      <c r="D5" s="56"/>
      <c r="E5" s="55" t="s">
        <v>196</v>
      </c>
      <c r="F5" s="56"/>
      <c r="G5" s="56"/>
      <c r="H5" s="55" t="s">
        <v>374</v>
      </c>
      <c r="I5" s="56"/>
      <c r="J5" s="56"/>
      <c r="K5" s="56"/>
      <c r="L5" s="56"/>
      <c r="M5" s="56"/>
      <c r="N5" s="56"/>
      <c r="O5" s="56"/>
      <c r="P5" s="55" t="s">
        <v>380</v>
      </c>
      <c r="Q5" s="56"/>
      <c r="R5" s="56"/>
    </row>
    <row r="6" spans="1:18" x14ac:dyDescent="0.35">
      <c r="B6" s="190"/>
      <c r="C6" s="113" t="s">
        <v>368</v>
      </c>
      <c r="D6" s="113" t="s">
        <v>369</v>
      </c>
      <c r="E6" s="113" t="s">
        <v>370</v>
      </c>
      <c r="F6" s="113" t="s">
        <v>371</v>
      </c>
      <c r="G6" s="113" t="s">
        <v>372</v>
      </c>
      <c r="H6" s="113" t="s">
        <v>373</v>
      </c>
      <c r="I6" s="113" t="s">
        <v>375</v>
      </c>
      <c r="J6" s="113" t="s">
        <v>376</v>
      </c>
      <c r="K6" s="113" t="s">
        <v>190</v>
      </c>
      <c r="L6" s="113" t="s">
        <v>189</v>
      </c>
      <c r="M6" s="113" t="s">
        <v>377</v>
      </c>
      <c r="N6" s="113" t="s">
        <v>378</v>
      </c>
      <c r="O6" s="113" t="s">
        <v>379</v>
      </c>
      <c r="P6" s="113" t="s">
        <v>381</v>
      </c>
      <c r="Q6" s="113" t="s">
        <v>382</v>
      </c>
      <c r="R6" s="113" t="s">
        <v>383</v>
      </c>
    </row>
    <row r="7" spans="1:18" ht="30" customHeight="1" x14ac:dyDescent="0.35">
      <c r="B7" s="190"/>
      <c r="C7" s="35" t="s">
        <v>110</v>
      </c>
      <c r="D7" s="35" t="s">
        <v>414</v>
      </c>
      <c r="E7" s="35" t="s">
        <v>292</v>
      </c>
      <c r="F7" s="35" t="s">
        <v>292</v>
      </c>
      <c r="G7" s="35" t="s">
        <v>110</v>
      </c>
      <c r="H7" s="35" t="s">
        <v>292</v>
      </c>
      <c r="I7" s="35" t="s">
        <v>292</v>
      </c>
      <c r="J7" s="35" t="s">
        <v>292</v>
      </c>
      <c r="K7" s="35" t="s">
        <v>416</v>
      </c>
      <c r="L7" s="35" t="s">
        <v>272</v>
      </c>
      <c r="M7" s="35" t="s">
        <v>292</v>
      </c>
      <c r="N7" s="35" t="s">
        <v>292</v>
      </c>
      <c r="O7" s="35" t="s">
        <v>418</v>
      </c>
      <c r="P7" s="35" t="s">
        <v>419</v>
      </c>
      <c r="Q7" s="35" t="s">
        <v>292</v>
      </c>
      <c r="R7" s="35" t="s">
        <v>292</v>
      </c>
    </row>
    <row r="8" spans="1:18" x14ac:dyDescent="0.3">
      <c r="B8" s="107">
        <f>ROW() - 7</f>
        <v>1</v>
      </c>
      <c r="C8" s="114"/>
      <c r="D8" s="124"/>
      <c r="E8" s="107"/>
      <c r="F8" s="107"/>
      <c r="G8" s="129"/>
      <c r="H8" s="123"/>
      <c r="I8" s="123"/>
      <c r="J8" s="123"/>
      <c r="K8" s="123"/>
      <c r="L8" s="123"/>
      <c r="M8" s="123"/>
      <c r="N8" s="124"/>
      <c r="O8" s="123"/>
      <c r="P8" s="123"/>
      <c r="Q8" s="123"/>
      <c r="R8" s="123"/>
    </row>
    <row r="9" spans="1:18" x14ac:dyDescent="0.3">
      <c r="B9" s="107">
        <f t="shared" ref="B9:B12" si="0">ROW() - 7</f>
        <v>2</v>
      </c>
      <c r="C9" s="114"/>
      <c r="D9" s="124"/>
      <c r="E9" s="107"/>
      <c r="F9" s="107"/>
      <c r="G9" s="129"/>
      <c r="H9" s="123"/>
      <c r="I9" s="123"/>
      <c r="J9" s="123"/>
      <c r="K9" s="123"/>
      <c r="L9" s="123"/>
      <c r="M9" s="123"/>
      <c r="N9" s="124"/>
      <c r="O9" s="123"/>
      <c r="P9" s="123"/>
      <c r="Q9" s="123"/>
      <c r="R9" s="123"/>
    </row>
    <row r="10" spans="1:18" x14ac:dyDescent="0.3">
      <c r="B10" s="107">
        <f t="shared" si="0"/>
        <v>3</v>
      </c>
      <c r="C10" s="114"/>
      <c r="D10" s="124"/>
      <c r="E10" s="107"/>
      <c r="F10" s="107"/>
      <c r="G10" s="129"/>
      <c r="H10" s="123"/>
      <c r="I10" s="123"/>
      <c r="J10" s="123"/>
      <c r="K10" s="123"/>
      <c r="L10" s="123"/>
      <c r="M10" s="123"/>
      <c r="N10" s="124"/>
      <c r="O10" s="123"/>
      <c r="P10" s="123"/>
      <c r="Q10" s="123"/>
      <c r="R10" s="123"/>
    </row>
    <row r="11" spans="1:18" x14ac:dyDescent="0.3">
      <c r="B11" s="107">
        <f t="shared" si="0"/>
        <v>4</v>
      </c>
      <c r="C11" s="114"/>
      <c r="D11" s="107"/>
      <c r="E11" s="107"/>
      <c r="F11" s="107"/>
      <c r="G11" s="107"/>
      <c r="H11" s="107"/>
      <c r="I11" s="107"/>
      <c r="J11" s="107"/>
      <c r="K11" s="107"/>
      <c r="L11" s="107"/>
      <c r="M11" s="107"/>
      <c r="N11" s="107"/>
      <c r="O11" s="107"/>
      <c r="P11" s="107"/>
      <c r="Q11" s="107"/>
      <c r="R11" s="107"/>
    </row>
    <row r="12" spans="1:18" x14ac:dyDescent="0.3">
      <c r="B12" s="107">
        <f t="shared" si="0"/>
        <v>5</v>
      </c>
      <c r="C12" s="114"/>
      <c r="D12" s="107"/>
      <c r="E12" s="107"/>
      <c r="F12" s="107"/>
      <c r="G12" s="107"/>
      <c r="H12" s="107"/>
      <c r="I12" s="107"/>
      <c r="J12" s="107"/>
      <c r="K12" s="107"/>
      <c r="L12" s="107"/>
      <c r="M12" s="107"/>
      <c r="N12" s="107"/>
      <c r="O12" s="107"/>
      <c r="P12" s="107"/>
      <c r="Q12" s="107"/>
      <c r="R12" s="107"/>
    </row>
    <row r="13" spans="1:18" x14ac:dyDescent="0.3">
      <c r="B13" s="115"/>
      <c r="C13" s="115"/>
      <c r="D13" s="115"/>
      <c r="E13" s="115"/>
      <c r="F13" s="115"/>
      <c r="G13" s="115"/>
      <c r="H13" s="115"/>
      <c r="I13" s="115"/>
    </row>
    <row r="14" spans="1:18" x14ac:dyDescent="0.3">
      <c r="B14" s="115"/>
      <c r="C14" s="115"/>
      <c r="D14" s="115"/>
      <c r="E14" s="115"/>
      <c r="F14" s="115"/>
      <c r="G14" s="115"/>
      <c r="H14" s="115"/>
      <c r="I14" s="115"/>
    </row>
    <row r="15" spans="1:18" x14ac:dyDescent="0.3">
      <c r="B15" s="115"/>
      <c r="C15" s="115"/>
      <c r="D15" s="115"/>
      <c r="E15" s="115"/>
      <c r="F15" s="115"/>
      <c r="G15" s="115"/>
      <c r="H15" s="115"/>
      <c r="I15" s="115"/>
    </row>
    <row r="16" spans="1:18" x14ac:dyDescent="0.3">
      <c r="B16" s="115"/>
      <c r="C16" s="115"/>
      <c r="D16" s="115"/>
      <c r="E16" s="115"/>
      <c r="F16" s="115"/>
      <c r="G16" s="115"/>
      <c r="H16" s="115"/>
      <c r="I16" s="115"/>
    </row>
    <row r="17" spans="2:9" x14ac:dyDescent="0.3">
      <c r="B17" s="115"/>
      <c r="C17" s="115"/>
      <c r="D17" s="115"/>
      <c r="E17" s="115"/>
      <c r="F17" s="115"/>
      <c r="G17" s="115"/>
      <c r="H17" s="115"/>
      <c r="I17" s="115"/>
    </row>
    <row r="18" spans="2:9" x14ac:dyDescent="0.3">
      <c r="B18" s="115"/>
      <c r="C18" s="115"/>
      <c r="D18" s="115"/>
      <c r="E18" s="115"/>
      <c r="F18" s="115"/>
      <c r="G18" s="115"/>
      <c r="H18" s="115"/>
      <c r="I18" s="115"/>
    </row>
    <row r="19" spans="2:9" x14ac:dyDescent="0.3">
      <c r="B19" s="115"/>
      <c r="C19" s="115"/>
      <c r="D19" s="115"/>
      <c r="E19" s="115"/>
      <c r="F19" s="115"/>
      <c r="G19" s="115"/>
      <c r="H19" s="115"/>
      <c r="I19" s="115"/>
    </row>
    <row r="20" spans="2:9" x14ac:dyDescent="0.3">
      <c r="B20" s="115"/>
      <c r="C20" s="115"/>
      <c r="D20" s="115"/>
      <c r="E20" s="115"/>
      <c r="F20" s="115"/>
      <c r="G20" s="115"/>
      <c r="H20" s="115"/>
      <c r="I20" s="115"/>
    </row>
    <row r="21" spans="2:9" x14ac:dyDescent="0.3">
      <c r="B21" s="115"/>
      <c r="C21" s="115"/>
      <c r="D21" s="115"/>
      <c r="E21" s="115"/>
      <c r="F21" s="115"/>
      <c r="G21" s="115"/>
      <c r="H21" s="115"/>
      <c r="I21" s="115"/>
    </row>
    <row r="22" spans="2:9" x14ac:dyDescent="0.3">
      <c r="B22" s="115"/>
      <c r="C22" s="115"/>
      <c r="D22" s="115"/>
      <c r="E22" s="115"/>
      <c r="F22" s="115"/>
      <c r="G22" s="115"/>
      <c r="H22" s="115"/>
      <c r="I22" s="115"/>
    </row>
    <row r="23" spans="2:9" x14ac:dyDescent="0.3">
      <c r="B23" s="115"/>
      <c r="C23" s="115"/>
      <c r="D23" s="115"/>
      <c r="E23" s="115"/>
      <c r="F23" s="115"/>
      <c r="G23" s="115"/>
      <c r="H23" s="115"/>
      <c r="I23" s="115"/>
    </row>
    <row r="24" spans="2:9" x14ac:dyDescent="0.3">
      <c r="B24" s="115"/>
      <c r="C24" s="115"/>
      <c r="D24" s="115"/>
      <c r="E24" s="115"/>
      <c r="F24" s="115"/>
      <c r="G24" s="115"/>
      <c r="H24" s="115"/>
      <c r="I24" s="115"/>
    </row>
    <row r="25" spans="2:9" x14ac:dyDescent="0.3">
      <c r="B25" s="115"/>
      <c r="C25" s="115"/>
      <c r="D25" s="115"/>
      <c r="E25" s="115"/>
      <c r="F25" s="115"/>
      <c r="G25" s="115"/>
      <c r="H25" s="115"/>
      <c r="I25" s="115"/>
    </row>
    <row r="26" spans="2:9" x14ac:dyDescent="0.3">
      <c r="B26" s="115"/>
      <c r="C26" s="115"/>
      <c r="D26" s="115"/>
      <c r="E26" s="115"/>
      <c r="F26" s="115"/>
      <c r="G26" s="115"/>
      <c r="H26" s="115"/>
      <c r="I26" s="115"/>
    </row>
    <row r="27" spans="2:9" x14ac:dyDescent="0.3">
      <c r="B27" s="115"/>
      <c r="C27" s="115"/>
      <c r="D27" s="115"/>
      <c r="E27" s="115"/>
      <c r="F27" s="115"/>
      <c r="G27" s="115"/>
      <c r="H27" s="115"/>
      <c r="I27" s="115"/>
    </row>
    <row r="28" spans="2:9" x14ac:dyDescent="0.3">
      <c r="B28" s="115"/>
      <c r="C28" s="115"/>
      <c r="D28" s="115"/>
      <c r="E28" s="115"/>
      <c r="F28" s="115"/>
      <c r="G28" s="115"/>
      <c r="H28" s="115"/>
      <c r="I28" s="115"/>
    </row>
    <row r="29" spans="2:9" x14ac:dyDescent="0.3">
      <c r="B29" s="115"/>
      <c r="C29" s="115"/>
      <c r="D29" s="115"/>
      <c r="E29" s="115"/>
      <c r="F29" s="115"/>
      <c r="G29" s="115"/>
      <c r="H29" s="115"/>
      <c r="I29" s="115"/>
    </row>
    <row r="30" spans="2:9" x14ac:dyDescent="0.3">
      <c r="B30" s="115"/>
      <c r="C30" s="115"/>
      <c r="D30" s="115"/>
      <c r="E30" s="115"/>
      <c r="F30" s="115"/>
      <c r="G30" s="115"/>
      <c r="H30" s="115"/>
      <c r="I30" s="115"/>
    </row>
    <row r="31" spans="2:9" x14ac:dyDescent="0.3">
      <c r="B31" s="115"/>
      <c r="C31" s="115"/>
      <c r="D31" s="115"/>
      <c r="E31" s="115"/>
      <c r="F31" s="115"/>
      <c r="G31" s="115"/>
      <c r="H31" s="115"/>
      <c r="I31" s="115"/>
    </row>
    <row r="32" spans="2:9" x14ac:dyDescent="0.3">
      <c r="B32" s="115"/>
      <c r="C32" s="115"/>
      <c r="D32" s="115"/>
      <c r="E32" s="115"/>
      <c r="F32" s="115"/>
      <c r="G32" s="115"/>
      <c r="H32" s="115"/>
      <c r="I32" s="115"/>
    </row>
    <row r="33" spans="2:9" x14ac:dyDescent="0.3">
      <c r="B33" s="115"/>
      <c r="C33" s="115"/>
      <c r="D33" s="115"/>
      <c r="E33" s="115"/>
      <c r="F33" s="115"/>
      <c r="G33" s="115"/>
      <c r="H33" s="115"/>
      <c r="I33" s="115"/>
    </row>
    <row r="34" spans="2:9" x14ac:dyDescent="0.3">
      <c r="B34" s="115"/>
      <c r="C34" s="115"/>
      <c r="D34" s="115"/>
      <c r="E34" s="115"/>
      <c r="F34" s="115"/>
      <c r="G34" s="115"/>
      <c r="H34" s="115"/>
      <c r="I34" s="115"/>
    </row>
    <row r="35" spans="2:9" x14ac:dyDescent="0.3">
      <c r="B35" s="115"/>
      <c r="C35" s="115"/>
      <c r="D35" s="115"/>
      <c r="E35" s="115"/>
      <c r="F35" s="115"/>
      <c r="G35" s="115"/>
      <c r="H35" s="115"/>
      <c r="I35" s="115"/>
    </row>
    <row r="36" spans="2:9" x14ac:dyDescent="0.3">
      <c r="B36" s="115"/>
      <c r="C36" s="115"/>
      <c r="D36" s="115"/>
      <c r="E36" s="115"/>
      <c r="F36" s="115"/>
      <c r="G36" s="115"/>
      <c r="H36" s="115"/>
      <c r="I36" s="115"/>
    </row>
    <row r="37" spans="2:9" x14ac:dyDescent="0.3">
      <c r="B37" s="115"/>
      <c r="C37" s="115"/>
      <c r="D37" s="115"/>
      <c r="E37" s="115"/>
      <c r="F37" s="115"/>
      <c r="G37" s="115"/>
      <c r="H37" s="115"/>
      <c r="I37" s="115"/>
    </row>
    <row r="38" spans="2:9" x14ac:dyDescent="0.3">
      <c r="B38" s="115"/>
      <c r="C38" s="115"/>
      <c r="D38" s="115"/>
      <c r="E38" s="115"/>
      <c r="F38" s="115"/>
      <c r="G38" s="115"/>
      <c r="H38" s="115"/>
      <c r="I38" s="115"/>
    </row>
    <row r="39" spans="2:9" x14ac:dyDescent="0.3">
      <c r="B39" s="115"/>
      <c r="C39" s="115"/>
      <c r="D39" s="115"/>
      <c r="E39" s="115"/>
      <c r="F39" s="115"/>
      <c r="G39" s="115"/>
      <c r="H39" s="115"/>
      <c r="I39" s="115"/>
    </row>
    <row r="40" spans="2:9" x14ac:dyDescent="0.3">
      <c r="B40" s="115"/>
      <c r="C40" s="115"/>
      <c r="D40" s="115"/>
      <c r="E40" s="115"/>
      <c r="F40" s="115"/>
      <c r="G40" s="115"/>
      <c r="H40" s="115"/>
      <c r="I40" s="115"/>
    </row>
    <row r="41" spans="2:9" x14ac:dyDescent="0.3">
      <c r="B41" s="115"/>
      <c r="C41" s="115"/>
      <c r="D41" s="115"/>
      <c r="E41" s="115"/>
      <c r="F41" s="115"/>
      <c r="G41" s="115"/>
      <c r="H41" s="115"/>
      <c r="I41" s="115"/>
    </row>
    <row r="42" spans="2:9" x14ac:dyDescent="0.3">
      <c r="B42" s="115"/>
      <c r="C42" s="115"/>
      <c r="D42" s="115"/>
      <c r="E42" s="115"/>
      <c r="F42" s="115"/>
      <c r="G42" s="115"/>
      <c r="H42" s="115"/>
      <c r="I42" s="115"/>
    </row>
    <row r="43" spans="2:9" x14ac:dyDescent="0.3">
      <c r="B43" s="115"/>
      <c r="C43" s="115"/>
      <c r="D43" s="115"/>
      <c r="E43" s="115"/>
      <c r="F43" s="115"/>
      <c r="G43" s="115"/>
      <c r="H43" s="115"/>
      <c r="I43" s="115"/>
    </row>
    <row r="44" spans="2:9" x14ac:dyDescent="0.3">
      <c r="B44" s="115"/>
      <c r="C44" s="115"/>
      <c r="D44" s="115"/>
      <c r="E44" s="115"/>
      <c r="F44" s="115"/>
      <c r="G44" s="115"/>
      <c r="H44" s="115"/>
      <c r="I44" s="115"/>
    </row>
  </sheetData>
  <sheetProtection insertRows="0" deleteRows="0" sort="0" autoFilter="0"/>
  <mergeCells count="1">
    <mergeCell ref="B4:B7"/>
  </mergeCells>
  <phoneticPr fontId="12"/>
  <hyperlinks>
    <hyperlink ref="A3" location="パラメータ設定一覧!A1" display="パラメータ設定一覧へ" xr:uid="{1E627199-7EBD-4D6C-8A95-EB0EACD6E3E9}"/>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7D6A-89DD-462C-AF1E-EB1CED1FF953}">
  <sheetPr>
    <tabColor theme="0" tint="-0.499984740745262"/>
  </sheetPr>
  <dimension ref="A1:AJ41"/>
  <sheetViews>
    <sheetView showGridLines="0" zoomScaleNormal="100" zoomScaleSheetLayoutView="50" workbookViewId="0">
      <pane ySplit="7" topLeftCell="A8"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4" width="12.2109375" style="104" bestFit="1" customWidth="1"/>
    <col min="5" max="5" width="34.2109375" style="104" bestFit="1" customWidth="1"/>
    <col min="6" max="6" width="34.28515625" style="104" bestFit="1" customWidth="1"/>
    <col min="7" max="7" width="36.5703125" style="104" bestFit="1" customWidth="1"/>
    <col min="8" max="8" width="12.2109375" style="104" bestFit="1" customWidth="1"/>
    <col min="9" max="9" width="14.2109375" style="104" bestFit="1" customWidth="1"/>
    <col min="10" max="14" width="8.85546875" style="104"/>
    <col min="15" max="16" width="10.7109375" style="104" bestFit="1" customWidth="1"/>
    <col min="17" max="18" width="8.85546875" style="104"/>
    <col min="19" max="19" width="32.2109375" style="104" bestFit="1" customWidth="1"/>
    <col min="20" max="20" width="16.78515625" style="104" bestFit="1" customWidth="1"/>
    <col min="21" max="21" width="10.7109375" style="104" bestFit="1" customWidth="1"/>
    <col min="22" max="22" width="11.5703125" style="104" bestFit="1" customWidth="1"/>
    <col min="23" max="28" width="8.85546875" style="104"/>
    <col min="29" max="29" width="34.28515625" style="104" bestFit="1" customWidth="1"/>
    <col min="30" max="30" width="8.85546875" style="104"/>
    <col min="31" max="31" width="11.140625" style="104" bestFit="1" customWidth="1"/>
    <col min="32" max="33" width="8.85546875" style="104"/>
    <col min="34" max="34" width="16.85546875" style="104" bestFit="1" customWidth="1"/>
    <col min="35" max="16384" width="8.85546875" style="104"/>
  </cols>
  <sheetData>
    <row r="1" spans="1:36" customFormat="1" ht="19.5" x14ac:dyDescent="0.35">
      <c r="A1" s="30" t="s">
        <v>433</v>
      </c>
    </row>
    <row r="2" spans="1:36" customFormat="1" ht="15" x14ac:dyDescent="0.35">
      <c r="B2" s="50"/>
    </row>
    <row r="3" spans="1:36" customFormat="1" ht="15" x14ac:dyDescent="0.35">
      <c r="A3" s="4" t="s">
        <v>487</v>
      </c>
      <c r="D3" t="s">
        <v>494</v>
      </c>
    </row>
    <row r="4" spans="1:36" x14ac:dyDescent="0.35">
      <c r="B4" s="189" t="s">
        <v>2</v>
      </c>
      <c r="C4" s="138" t="s">
        <v>384</v>
      </c>
      <c r="D4" s="57"/>
      <c r="E4" s="57"/>
      <c r="F4" s="57"/>
      <c r="G4" s="57"/>
      <c r="H4" s="57"/>
      <c r="I4" s="57"/>
      <c r="J4" s="57"/>
      <c r="K4" s="57"/>
      <c r="L4" s="139"/>
      <c r="M4" s="49" t="s">
        <v>392</v>
      </c>
      <c r="N4" s="49"/>
      <c r="O4" s="39"/>
      <c r="P4" s="39"/>
      <c r="Q4" s="39"/>
      <c r="R4" s="39"/>
      <c r="S4" s="39"/>
      <c r="T4" s="39"/>
      <c r="U4" s="39"/>
      <c r="V4" s="39"/>
      <c r="W4" s="39"/>
      <c r="X4" s="39"/>
      <c r="Y4" s="39"/>
      <c r="Z4" s="39"/>
      <c r="AA4" s="39"/>
      <c r="AB4" s="39"/>
      <c r="AC4" s="39"/>
      <c r="AD4" s="39"/>
      <c r="AE4" s="39"/>
      <c r="AF4" s="39"/>
      <c r="AG4" s="39"/>
      <c r="AH4" s="39"/>
      <c r="AI4" s="39"/>
      <c r="AJ4" s="39"/>
    </row>
    <row r="5" spans="1:36" ht="27" x14ac:dyDescent="0.35">
      <c r="B5" s="189"/>
      <c r="C5" s="55"/>
      <c r="D5" s="56"/>
      <c r="E5" s="56"/>
      <c r="F5" s="56"/>
      <c r="G5" s="56"/>
      <c r="H5" s="56"/>
      <c r="I5" s="56"/>
      <c r="J5" s="56"/>
      <c r="K5" s="56"/>
      <c r="L5" s="140"/>
      <c r="M5" s="56" t="s">
        <v>393</v>
      </c>
      <c r="N5" s="56"/>
      <c r="O5" s="56"/>
      <c r="P5" s="56"/>
      <c r="Q5" s="59"/>
      <c r="R5" s="56" t="s">
        <v>397</v>
      </c>
      <c r="S5" s="56"/>
      <c r="T5" s="56"/>
      <c r="U5" s="56"/>
      <c r="V5" s="56"/>
      <c r="W5" s="56"/>
      <c r="X5" s="56"/>
      <c r="Y5" s="59"/>
      <c r="Z5" s="56" t="s">
        <v>403</v>
      </c>
      <c r="AA5" s="59"/>
      <c r="AB5" s="56" t="s">
        <v>404</v>
      </c>
      <c r="AC5" s="56"/>
      <c r="AD5" s="56"/>
      <c r="AE5" s="59"/>
      <c r="AF5" s="59" t="s">
        <v>406</v>
      </c>
      <c r="AG5" s="56" t="s">
        <v>407</v>
      </c>
      <c r="AH5" s="56"/>
      <c r="AI5" s="40" t="s">
        <v>409</v>
      </c>
      <c r="AJ5" s="56" t="s">
        <v>434</v>
      </c>
    </row>
    <row r="6" spans="1:36" x14ac:dyDescent="0.35">
      <c r="B6" s="190"/>
      <c r="C6" s="116" t="s">
        <v>385</v>
      </c>
      <c r="D6" s="116" t="s">
        <v>369</v>
      </c>
      <c r="E6" s="116" t="s">
        <v>186</v>
      </c>
      <c r="F6" s="116" t="s">
        <v>387</v>
      </c>
      <c r="G6" s="116" t="s">
        <v>388</v>
      </c>
      <c r="H6" s="116" t="s">
        <v>376</v>
      </c>
      <c r="I6" s="116" t="s">
        <v>10</v>
      </c>
      <c r="J6" s="116" t="s">
        <v>389</v>
      </c>
      <c r="K6" s="116" t="s">
        <v>390</v>
      </c>
      <c r="L6" s="116" t="s">
        <v>371</v>
      </c>
      <c r="M6" s="113" t="s">
        <v>394</v>
      </c>
      <c r="N6" s="113" t="s">
        <v>385</v>
      </c>
      <c r="O6" s="113" t="s">
        <v>395</v>
      </c>
      <c r="P6" s="113" t="s">
        <v>396</v>
      </c>
      <c r="Q6" s="113" t="s">
        <v>186</v>
      </c>
      <c r="R6" s="113" t="s">
        <v>369</v>
      </c>
      <c r="S6" s="113" t="s">
        <v>186</v>
      </c>
      <c r="T6" s="113" t="s">
        <v>398</v>
      </c>
      <c r="U6" s="113" t="s">
        <v>399</v>
      </c>
      <c r="V6" s="113" t="s">
        <v>401</v>
      </c>
      <c r="W6" s="113" t="s">
        <v>402</v>
      </c>
      <c r="X6" s="113" t="s">
        <v>10</v>
      </c>
      <c r="Y6" s="113" t="s">
        <v>167</v>
      </c>
      <c r="Z6" s="113" t="s">
        <v>390</v>
      </c>
      <c r="AA6" s="113" t="s">
        <v>371</v>
      </c>
      <c r="AB6" s="113" t="s">
        <v>376</v>
      </c>
      <c r="AC6" s="113" t="s">
        <v>387</v>
      </c>
      <c r="AD6" s="113" t="s">
        <v>388</v>
      </c>
      <c r="AE6" s="113" t="s">
        <v>405</v>
      </c>
      <c r="AF6" s="113" t="s">
        <v>269</v>
      </c>
      <c r="AG6" s="113" t="s">
        <v>373</v>
      </c>
      <c r="AH6" s="113" t="s">
        <v>408</v>
      </c>
      <c r="AI6" s="113" t="s">
        <v>375</v>
      </c>
      <c r="AJ6" s="113" t="s">
        <v>410</v>
      </c>
    </row>
    <row r="7" spans="1:36" ht="30" customHeight="1" x14ac:dyDescent="0.35">
      <c r="B7" s="190"/>
      <c r="C7" s="35" t="s">
        <v>292</v>
      </c>
      <c r="D7" s="35" t="s">
        <v>292</v>
      </c>
      <c r="E7" s="35" t="s">
        <v>110</v>
      </c>
      <c r="F7" s="35" t="s">
        <v>419</v>
      </c>
      <c r="G7" s="35" t="s">
        <v>110</v>
      </c>
      <c r="H7" s="35" t="s">
        <v>419</v>
      </c>
      <c r="I7" s="35" t="s">
        <v>419</v>
      </c>
      <c r="J7" s="35" t="s">
        <v>292</v>
      </c>
      <c r="K7" s="35" t="s">
        <v>292</v>
      </c>
      <c r="L7" s="35" t="s">
        <v>292</v>
      </c>
      <c r="M7" s="35" t="s">
        <v>421</v>
      </c>
      <c r="N7" s="35" t="s">
        <v>419</v>
      </c>
      <c r="O7" s="35" t="s">
        <v>422</v>
      </c>
      <c r="P7" s="35" t="s">
        <v>292</v>
      </c>
      <c r="Q7" s="35" t="s">
        <v>292</v>
      </c>
      <c r="R7" s="35" t="s">
        <v>292</v>
      </c>
      <c r="S7" s="35" t="s">
        <v>110</v>
      </c>
      <c r="T7" s="35" t="s">
        <v>272</v>
      </c>
      <c r="U7" s="35" t="s">
        <v>292</v>
      </c>
      <c r="V7" s="35" t="s">
        <v>67</v>
      </c>
      <c r="W7" s="35" t="s">
        <v>292</v>
      </c>
      <c r="X7" s="35" t="s">
        <v>419</v>
      </c>
      <c r="Y7" s="35" t="s">
        <v>51</v>
      </c>
      <c r="Z7" s="35" t="s">
        <v>292</v>
      </c>
      <c r="AA7" s="35" t="s">
        <v>292</v>
      </c>
      <c r="AB7" s="35" t="s">
        <v>419</v>
      </c>
      <c r="AC7" s="35" t="s">
        <v>419</v>
      </c>
      <c r="AD7" s="35" t="s">
        <v>292</v>
      </c>
      <c r="AE7" s="35" t="s">
        <v>435</v>
      </c>
      <c r="AF7" s="35" t="s">
        <v>272</v>
      </c>
      <c r="AG7" s="35" t="s">
        <v>292</v>
      </c>
      <c r="AH7" s="35" t="s">
        <v>292</v>
      </c>
      <c r="AI7" s="35" t="s">
        <v>292</v>
      </c>
      <c r="AJ7" s="35" t="s">
        <v>292</v>
      </c>
    </row>
    <row r="8" spans="1:36" x14ac:dyDescent="0.3">
      <c r="B8" s="107">
        <f>ROW() - 7</f>
        <v>1</v>
      </c>
      <c r="C8" s="130"/>
      <c r="D8" s="124"/>
      <c r="E8" s="107"/>
      <c r="F8" s="107"/>
      <c r="G8" s="129"/>
      <c r="H8" s="123"/>
      <c r="I8" s="123"/>
      <c r="J8" s="123"/>
      <c r="K8" s="123"/>
      <c r="L8" s="123"/>
      <c r="M8" s="123"/>
      <c r="N8" s="124"/>
      <c r="O8" s="123"/>
      <c r="P8" s="123"/>
      <c r="Q8" s="123"/>
      <c r="R8" s="123"/>
      <c r="S8" s="123"/>
      <c r="T8" s="123"/>
      <c r="U8" s="123"/>
      <c r="V8" s="123"/>
      <c r="W8" s="124"/>
      <c r="X8" s="123"/>
      <c r="Y8" s="124"/>
      <c r="Z8" s="123"/>
      <c r="AA8" s="123"/>
      <c r="AB8" s="123"/>
      <c r="AC8" s="107"/>
      <c r="AD8" s="123"/>
      <c r="AE8" s="124"/>
      <c r="AF8" s="123"/>
      <c r="AG8" s="123"/>
      <c r="AH8" s="131"/>
      <c r="AI8" s="123"/>
      <c r="AJ8" s="123"/>
    </row>
    <row r="9" spans="1:36" x14ac:dyDescent="0.3">
      <c r="B9" s="107">
        <f t="shared" ref="B9:B12" si="0">ROW() - 7</f>
        <v>2</v>
      </c>
      <c r="C9" s="130"/>
      <c r="D9" s="124"/>
      <c r="E9" s="107"/>
      <c r="F9" s="107"/>
      <c r="G9" s="129"/>
      <c r="H9" s="123"/>
      <c r="I9" s="123"/>
      <c r="J9" s="123"/>
      <c r="K9" s="123"/>
      <c r="L9" s="123"/>
      <c r="M9" s="123"/>
      <c r="N9" s="124"/>
      <c r="O9" s="123"/>
      <c r="P9" s="123"/>
      <c r="Q9" s="123"/>
      <c r="R9" s="123"/>
      <c r="S9" s="107"/>
      <c r="T9" s="123"/>
      <c r="U9" s="123"/>
      <c r="V9" s="123"/>
      <c r="W9" s="124"/>
      <c r="X9" s="123"/>
      <c r="Y9" s="124"/>
      <c r="Z9" s="123"/>
      <c r="AA9" s="123"/>
      <c r="AB9" s="123"/>
      <c r="AC9" s="107"/>
      <c r="AD9" s="123"/>
      <c r="AE9" s="124"/>
      <c r="AF9" s="123"/>
      <c r="AG9" s="123"/>
      <c r="AH9" s="131"/>
      <c r="AI9" s="123"/>
      <c r="AJ9" s="123"/>
    </row>
    <row r="10" spans="1:36" s="132" customFormat="1" x14ac:dyDescent="0.35">
      <c r="B10" s="133">
        <f t="shared" si="0"/>
        <v>3</v>
      </c>
      <c r="C10" s="134"/>
      <c r="D10" s="135"/>
      <c r="E10" s="133"/>
      <c r="F10" s="133"/>
      <c r="G10" s="136"/>
      <c r="H10" s="137"/>
      <c r="I10" s="137"/>
      <c r="J10" s="137"/>
      <c r="K10" s="137"/>
      <c r="L10" s="137"/>
      <c r="M10" s="137"/>
      <c r="N10" s="135"/>
      <c r="O10" s="137"/>
      <c r="P10" s="137"/>
      <c r="Q10" s="137"/>
      <c r="R10" s="137"/>
      <c r="S10" s="133"/>
      <c r="T10" s="137"/>
      <c r="U10" s="137"/>
      <c r="V10" s="137"/>
      <c r="W10" s="135"/>
      <c r="X10" s="137"/>
      <c r="Y10" s="135"/>
      <c r="Z10" s="137"/>
      <c r="AA10" s="137"/>
      <c r="AB10" s="137"/>
      <c r="AC10" s="133"/>
      <c r="AD10" s="137"/>
      <c r="AE10" s="135"/>
      <c r="AF10" s="137"/>
      <c r="AG10" s="137"/>
      <c r="AH10" s="133"/>
      <c r="AI10" s="137"/>
      <c r="AJ10" s="137"/>
    </row>
    <row r="11" spans="1:36" x14ac:dyDescent="0.3">
      <c r="B11" s="107">
        <f t="shared" si="0"/>
        <v>4</v>
      </c>
      <c r="C11" s="114"/>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row>
    <row r="12" spans="1:36" x14ac:dyDescent="0.3">
      <c r="B12" s="107">
        <f t="shared" si="0"/>
        <v>5</v>
      </c>
      <c r="C12" s="114"/>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row>
    <row r="13" spans="1:36" x14ac:dyDescent="0.3">
      <c r="B13" s="115"/>
      <c r="C13" s="115"/>
      <c r="D13" s="115"/>
      <c r="E13" s="115"/>
      <c r="F13" s="115"/>
      <c r="G13" s="115"/>
      <c r="H13" s="115"/>
      <c r="I13" s="115"/>
    </row>
    <row r="14" spans="1:36" x14ac:dyDescent="0.3">
      <c r="B14" s="115"/>
      <c r="C14" s="115"/>
      <c r="D14" s="115"/>
      <c r="E14" s="115"/>
      <c r="F14" s="115"/>
      <c r="G14" s="115"/>
      <c r="H14" s="115"/>
      <c r="I14" s="115"/>
    </row>
    <row r="15" spans="1:36" x14ac:dyDescent="0.3">
      <c r="B15" s="115"/>
      <c r="C15" s="115"/>
      <c r="D15" s="115"/>
      <c r="E15" s="115"/>
      <c r="F15" s="115"/>
      <c r="G15" s="115"/>
      <c r="H15" s="115"/>
      <c r="I15" s="115"/>
    </row>
    <row r="16" spans="1:36" x14ac:dyDescent="0.3">
      <c r="B16" s="115"/>
      <c r="C16" s="115"/>
      <c r="D16" s="115"/>
      <c r="E16" s="115"/>
      <c r="F16" s="115"/>
      <c r="G16" s="115"/>
      <c r="H16" s="115"/>
      <c r="I16" s="115"/>
    </row>
    <row r="17" spans="2:9" x14ac:dyDescent="0.3">
      <c r="B17" s="115"/>
      <c r="C17" s="115"/>
      <c r="D17" s="115"/>
      <c r="E17" s="115"/>
      <c r="F17" s="115"/>
      <c r="G17" s="115"/>
      <c r="H17" s="115"/>
      <c r="I17" s="115"/>
    </row>
    <row r="18" spans="2:9" x14ac:dyDescent="0.3">
      <c r="B18" s="115"/>
      <c r="C18" s="115"/>
      <c r="D18" s="115"/>
      <c r="E18" s="115"/>
      <c r="F18" s="115"/>
      <c r="G18" s="115"/>
      <c r="H18" s="115"/>
      <c r="I18" s="115"/>
    </row>
    <row r="19" spans="2:9" x14ac:dyDescent="0.3">
      <c r="B19" s="115"/>
      <c r="C19" s="115"/>
      <c r="D19" s="115"/>
      <c r="E19" s="115"/>
      <c r="F19" s="115"/>
      <c r="G19" s="115"/>
      <c r="H19" s="115"/>
      <c r="I19" s="115"/>
    </row>
    <row r="20" spans="2:9" x14ac:dyDescent="0.3">
      <c r="B20" s="115"/>
      <c r="C20" s="115"/>
      <c r="D20" s="115"/>
      <c r="E20" s="115"/>
      <c r="F20" s="115"/>
      <c r="G20" s="115"/>
      <c r="H20" s="115"/>
      <c r="I20" s="115"/>
    </row>
    <row r="21" spans="2:9" x14ac:dyDescent="0.3">
      <c r="B21" s="115"/>
      <c r="C21" s="115"/>
      <c r="D21" s="115"/>
      <c r="E21" s="115"/>
      <c r="F21" s="115"/>
      <c r="G21" s="115"/>
      <c r="H21" s="115"/>
      <c r="I21" s="115"/>
    </row>
    <row r="22" spans="2:9" x14ac:dyDescent="0.3">
      <c r="B22" s="115"/>
      <c r="C22" s="115"/>
      <c r="D22" s="115"/>
      <c r="E22" s="115"/>
      <c r="F22" s="115"/>
      <c r="G22" s="115"/>
      <c r="H22" s="115"/>
      <c r="I22" s="115"/>
    </row>
    <row r="23" spans="2:9" x14ac:dyDescent="0.3">
      <c r="B23" s="115"/>
      <c r="C23" s="115"/>
      <c r="D23" s="115"/>
      <c r="E23" s="115"/>
      <c r="F23" s="115"/>
      <c r="G23" s="115"/>
      <c r="H23" s="115"/>
      <c r="I23" s="115"/>
    </row>
    <row r="24" spans="2:9" x14ac:dyDescent="0.3">
      <c r="B24" s="115"/>
      <c r="C24" s="115"/>
      <c r="D24" s="115"/>
      <c r="E24" s="115"/>
      <c r="F24" s="115"/>
      <c r="G24" s="115"/>
      <c r="H24" s="115"/>
      <c r="I24" s="115"/>
    </row>
    <row r="25" spans="2:9" x14ac:dyDescent="0.3">
      <c r="B25" s="115"/>
      <c r="C25" s="115"/>
      <c r="D25" s="115"/>
      <c r="E25" s="115"/>
      <c r="F25" s="115"/>
      <c r="G25" s="115"/>
      <c r="H25" s="115"/>
      <c r="I25" s="115"/>
    </row>
    <row r="26" spans="2:9" x14ac:dyDescent="0.3">
      <c r="B26" s="115"/>
      <c r="C26" s="115"/>
      <c r="D26" s="115"/>
      <c r="E26" s="115"/>
      <c r="F26" s="115"/>
      <c r="G26" s="115"/>
      <c r="H26" s="115"/>
      <c r="I26" s="115"/>
    </row>
    <row r="27" spans="2:9" x14ac:dyDescent="0.3">
      <c r="B27" s="115"/>
      <c r="C27" s="115"/>
      <c r="D27" s="115"/>
      <c r="E27" s="115"/>
      <c r="F27" s="115"/>
      <c r="G27" s="115"/>
      <c r="H27" s="115"/>
      <c r="I27" s="115"/>
    </row>
    <row r="28" spans="2:9" x14ac:dyDescent="0.3">
      <c r="B28" s="115"/>
      <c r="C28" s="115"/>
      <c r="D28" s="115"/>
      <c r="E28" s="115"/>
      <c r="F28" s="115"/>
      <c r="G28" s="115"/>
      <c r="H28" s="115"/>
      <c r="I28" s="115"/>
    </row>
    <row r="29" spans="2:9" x14ac:dyDescent="0.3">
      <c r="B29" s="115"/>
      <c r="C29" s="115"/>
      <c r="D29" s="115"/>
      <c r="E29" s="115"/>
      <c r="F29" s="115"/>
      <c r="G29" s="115"/>
      <c r="H29" s="115"/>
      <c r="I29" s="115"/>
    </row>
    <row r="30" spans="2:9" x14ac:dyDescent="0.3">
      <c r="B30" s="115"/>
      <c r="C30" s="115"/>
      <c r="D30" s="115"/>
      <c r="E30" s="115"/>
      <c r="F30" s="115"/>
      <c r="G30" s="115"/>
      <c r="H30" s="115"/>
      <c r="I30" s="115"/>
    </row>
    <row r="31" spans="2:9" x14ac:dyDescent="0.3">
      <c r="B31" s="115"/>
      <c r="C31" s="115"/>
      <c r="D31" s="115"/>
      <c r="E31" s="115"/>
      <c r="F31" s="115"/>
      <c r="G31" s="115"/>
      <c r="H31" s="115"/>
      <c r="I31" s="115"/>
    </row>
    <row r="32" spans="2:9" x14ac:dyDescent="0.3">
      <c r="B32" s="115"/>
      <c r="C32" s="115"/>
      <c r="D32" s="115"/>
      <c r="E32" s="115"/>
      <c r="F32" s="115"/>
      <c r="G32" s="115"/>
      <c r="H32" s="115"/>
      <c r="I32" s="115"/>
    </row>
    <row r="33" spans="2:9" x14ac:dyDescent="0.3">
      <c r="B33" s="115"/>
      <c r="C33" s="115"/>
      <c r="D33" s="115"/>
      <c r="E33" s="115"/>
      <c r="F33" s="115"/>
      <c r="G33" s="115"/>
      <c r="H33" s="115"/>
      <c r="I33" s="115"/>
    </row>
    <row r="34" spans="2:9" x14ac:dyDescent="0.3">
      <c r="B34" s="115"/>
      <c r="C34" s="115"/>
      <c r="D34" s="115"/>
      <c r="E34" s="115"/>
      <c r="F34" s="115"/>
      <c r="G34" s="115"/>
      <c r="H34" s="115"/>
      <c r="I34" s="115"/>
    </row>
    <row r="35" spans="2:9" x14ac:dyDescent="0.3">
      <c r="B35" s="115"/>
      <c r="C35" s="115"/>
      <c r="D35" s="115"/>
      <c r="E35" s="115"/>
      <c r="F35" s="115"/>
      <c r="G35" s="115"/>
      <c r="H35" s="115"/>
      <c r="I35" s="115"/>
    </row>
    <row r="36" spans="2:9" x14ac:dyDescent="0.3">
      <c r="B36" s="115"/>
      <c r="C36" s="115"/>
      <c r="D36" s="115"/>
      <c r="E36" s="115"/>
      <c r="F36" s="115"/>
      <c r="G36" s="115"/>
      <c r="H36" s="115"/>
      <c r="I36" s="115"/>
    </row>
    <row r="37" spans="2:9" x14ac:dyDescent="0.3">
      <c r="B37" s="115"/>
      <c r="C37" s="115"/>
      <c r="D37" s="115"/>
      <c r="E37" s="115"/>
      <c r="F37" s="115"/>
      <c r="G37" s="115"/>
      <c r="H37" s="115"/>
      <c r="I37" s="115"/>
    </row>
    <row r="38" spans="2:9" x14ac:dyDescent="0.3">
      <c r="B38" s="115"/>
      <c r="C38" s="115"/>
      <c r="D38" s="115"/>
      <c r="E38" s="115"/>
      <c r="F38" s="115"/>
      <c r="G38" s="115"/>
      <c r="H38" s="115"/>
      <c r="I38" s="115"/>
    </row>
    <row r="39" spans="2:9" x14ac:dyDescent="0.3">
      <c r="B39" s="115"/>
      <c r="C39" s="115"/>
      <c r="D39" s="115"/>
      <c r="E39" s="115"/>
      <c r="F39" s="115"/>
      <c r="G39" s="115"/>
      <c r="H39" s="115"/>
      <c r="I39" s="115"/>
    </row>
    <row r="40" spans="2:9" x14ac:dyDescent="0.3">
      <c r="B40" s="115"/>
      <c r="C40" s="115"/>
      <c r="D40" s="115"/>
      <c r="E40" s="115"/>
      <c r="F40" s="115"/>
      <c r="G40" s="115"/>
      <c r="H40" s="115"/>
      <c r="I40" s="115"/>
    </row>
    <row r="41" spans="2:9" x14ac:dyDescent="0.3">
      <c r="B41" s="115"/>
      <c r="C41" s="115"/>
      <c r="D41" s="115"/>
      <c r="E41" s="115"/>
      <c r="F41" s="115"/>
      <c r="G41" s="115"/>
      <c r="H41" s="115"/>
      <c r="I41" s="115"/>
    </row>
  </sheetData>
  <sheetProtection insertRows="0" deleteRows="0" sort="0" autoFilter="0"/>
  <mergeCells count="1">
    <mergeCell ref="B4:B7"/>
  </mergeCells>
  <phoneticPr fontId="12"/>
  <hyperlinks>
    <hyperlink ref="A3" location="パラメータ設定一覧!A1" display="パラメータ設定一覧へ" xr:uid="{42FBD52D-C338-4A72-9A4B-4333B158ABAC}"/>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purl.org/dc/elements/1.1/"/>
    <ds:schemaRef ds:uri="http://schemas.microsoft.com/office/2006/documentManagement/types"/>
    <ds:schemaRef ds:uri="http://schemas.microsoft.com/office/infopath/2007/PartnerControls"/>
    <ds:schemaRef ds:uri="http://purl.org/dc/dcmitype/"/>
    <ds:schemaRef ds:uri="1df7edc7-a6f5-4c90-ac32-5bbbd499fd6a"/>
    <ds:schemaRef ds:uri="http://www.w3.org/XML/1998/namespace"/>
    <ds:schemaRef ds:uri="http://schemas.microsoft.com/office/2006/metadata/properties"/>
    <ds:schemaRef ds:uri="http://schemas.openxmlformats.org/package/2006/metadata/core-properties"/>
    <ds:schemaRef ds:uri="1f1f8a3f-673e-4aee-b429-7a8185133956"/>
    <ds:schemaRef ds:uri="http://purl.org/dc/terms/"/>
  </ds:schemaRefs>
</ds:datastoreItem>
</file>

<file path=customXml/itemProps3.xml><?xml version="1.0" encoding="utf-8"?>
<ds:datastoreItem xmlns:ds="http://schemas.openxmlformats.org/officeDocument/2006/customXml" ds:itemID="{EE45B7E9-2609-456A-9306-1FBBABB064AD}"/>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22</vt:i4>
      </vt:variant>
      <vt:variant>
        <vt:lpstr>名前付き一覧</vt:lpstr>
      </vt:variant>
      <vt:variant>
        <vt:i4>1</vt:i4>
      </vt:variant>
    </vt:vector>
  </HeadingPairs>
  <TitlesOfParts>
    <vt:vector size="23" baseType="lpstr">
      <vt:lpstr>表紙</vt:lpstr>
      <vt:lpstr>パラメータ設定一覧</vt:lpstr>
      <vt:lpstr>システムパラメーター</vt:lpstr>
      <vt:lpstr>電子メールパラメーター</vt:lpstr>
      <vt:lpstr>電子メールパラメーター-設定値</vt:lpstr>
      <vt:lpstr>システムの電子メールテンプレート</vt:lpstr>
      <vt:lpstr>システムの電子メールテンプレート-設定値</vt:lpstr>
      <vt:lpstr>電子メールディストリビュータバッチ</vt:lpstr>
      <vt:lpstr>電子メールディストリビュータバッチ-設定値</vt:lpstr>
      <vt:lpstr>AADアプリケーション</vt:lpstr>
      <vt:lpstr>AADアプリケーション-設定値</vt:lpstr>
      <vt:lpstr>機能管理</vt:lpstr>
      <vt:lpstr>ワークフロー IF コンフィグ</vt:lpstr>
      <vt:lpstr>B2B 招待状のコンフィギュレーション</vt:lpstr>
      <vt:lpstr>外部ロール</vt:lpstr>
      <vt:lpstr>外部ロール-設定値 </vt:lpstr>
      <vt:lpstr>ライセンスコンフィギュレーション</vt:lpstr>
      <vt:lpstr>ユーザーワークフロー</vt:lpstr>
      <vt:lpstr>ユーザーワークフロー-設定値 </vt:lpstr>
      <vt:lpstr>バッチジョブ</vt:lpstr>
      <vt:lpstr>バッチジョブ（ヘッダー）-設定値</vt:lpstr>
      <vt:lpstr>バッチジョブ（明細行）-設定値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2024-12-04T07:07:37Z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