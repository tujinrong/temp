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msteams_358ee9/Shared Documents/General/05_設計/03_詳細設計書/01_テーブル定義書/"/>
    </mc:Choice>
  </mc:AlternateContent>
  <xr:revisionPtr revIDLastSave="142" documentId="13_ncr:1_{4A296147-C0F9-4DA7-978E-0CD65D48BC00}" xr6:coauthVersionLast="47" xr6:coauthVersionMax="47" xr10:uidLastSave="{98C48C2F-D9A4-4429-AEC4-9633FD4FCDC9}"/>
  <bookViews>
    <workbookView xWindow="30150" yWindow="225" windowWidth="26775" windowHeight="15810" activeTab="1" xr2:uid="{00000000-000D-0000-FFFF-FFFF00000000}"/>
  </bookViews>
  <sheets>
    <sheet name="変更履歴" sheetId="9" r:id="rId1"/>
    <sheet name="テーブル定義" sheetId="5" r:id="rId2"/>
    <sheet name="その他定義" sheetId="6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0">変更履歴!aaaaaa</definedName>
    <definedName name="aaaaaa">[0]!aaaaaa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0">変更履歴!SubMakeSQL</definedName>
    <definedName name="SubMakeSQL">[0]!SubMakeSQL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0">変更履歴!ｚｚｚｚ</definedName>
    <definedName name="ｚｚｚｚ">[0]!ｚｚｚｚ</definedName>
    <definedName name="あ" localSheetId="0">#REF!</definedName>
    <definedName name="あ">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9" l="1"/>
  <c r="B22" i="5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H3" i="5" l="1"/>
  <c r="AT2" i="9"/>
  <c r="H2" i="5" s="1"/>
  <c r="BA3" i="9"/>
  <c r="AT3" i="9" a="1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<sst xmlns="http://schemas.openxmlformats.org/spreadsheetml/2006/main" count="270" uniqueCount="158">
  <si>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</si>
  <si>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</si>
  <si>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</si>
  <si>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</si>
  <si>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</si>
  <si>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</si>
  <si>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</si>
  <si>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</si>
  <si>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</si>
  <si>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</si>
  <si>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</si>
  <si>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</si>
  <si>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</si>
  <si>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</si>
  <si>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</si>
  <si>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</si>
  <si>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</si>
  <si>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</si>
  <si>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</si>
  <si>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</si>
  <si>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</si>
  <si>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5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</si>
  <si>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</si>
  <si>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</si>
  <si>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</si>
  <si>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</si>
  <si>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</si>
  <si>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</si>
  <si>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</si>
  <si>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</si>
  <si>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Regular</t>
    <phoneticPr fontId="2"/>
  </si>
  <si>
    <t>アドオン</t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</si>
  <si>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</si>
  <si>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</si>
  <si>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</si>
  <si>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</si>
  <si>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</si>
  <si>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</si>
  <si>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</si>
  <si>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</si>
  <si>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指図コード</t>
    <rPh sb="0" eb="2">
      <t>サシズ</t>
    </rPh>
    <phoneticPr fontId="2"/>
  </si>
  <si>
    <t>OrderCode</t>
  </si>
  <si>
    <t>String</t>
    <phoneticPr fontId="2"/>
  </si>
  <si>
    <t>OrderText</t>
  </si>
  <si>
    <t>NO</t>
  </si>
  <si>
    <t>作成者</t>
  </si>
  <si>
    <t>-</t>
    <phoneticPr fontId="2"/>
  </si>
  <si>
    <t>CreatedBy</t>
  </si>
  <si>
    <t>System項目　CreatedBy:Yes</t>
  </si>
  <si>
    <t>作成日時</t>
  </si>
  <si>
    <t>CreatedDateTime</t>
  </si>
  <si>
    <t>UtcDateTime</t>
  </si>
  <si>
    <t>System項目　CreatedDateTime:Yes</t>
  </si>
  <si>
    <t>更新者</t>
  </si>
  <si>
    <t>ModifiedBy</t>
  </si>
  <si>
    <t>System項目　ModifiedBy:Yes</t>
  </si>
  <si>
    <t>更新日時</t>
  </si>
  <si>
    <t>ModifiedDateTime</t>
  </si>
  <si>
    <t>System項目　ModifiedDateTime:Yes</t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</si>
  <si>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</si>
  <si>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</si>
  <si>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</si>
  <si>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</si>
  <si>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</si>
  <si>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</si>
  <si>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</si>
  <si>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</si>
  <si>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SJ_OrderCodeIdx</t>
    <phoneticPr fontId="2"/>
  </si>
  <si>
    <t>No</t>
  </si>
  <si>
    <t>SJ_OrderCode</t>
    <phoneticPr fontId="2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</si>
  <si>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</si>
  <si>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</si>
  <si>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</si>
  <si>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</si>
  <si>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</si>
  <si>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</si>
  <si>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DefaultDimension</t>
    <phoneticPr fontId="2"/>
  </si>
  <si>
    <t>DimensionAttributeValueSet.RecId = SJ_OrderTable.DefaultDimension</t>
    <phoneticPr fontId="2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</si>
  <si>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</si>
  <si>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</si>
  <si>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</si>
  <si>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</si>
  <si>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</si>
  <si>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</si>
  <si>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</si>
  <si>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</si>
  <si>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</si>
  <si>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</si>
  <si>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SJ_DepreciationSimulationTmp</t>
    <phoneticPr fontId="2"/>
  </si>
  <si>
    <t>償却シミュレーション</t>
    <rPh sb="0" eb="2">
      <t>ショウキャク</t>
    </rPh>
    <phoneticPr fontId="2"/>
  </si>
  <si>
    <t>Temp</t>
    <phoneticPr fontId="2"/>
  </si>
  <si>
    <t>JBS大河原</t>
    <rPh sb="3" eb="6">
      <t>オオカワラ</t>
    </rPh>
    <phoneticPr fontId="2"/>
  </si>
  <si>
    <t>String</t>
  </si>
  <si>
    <t>Date</t>
  </si>
  <si>
    <t>Enum</t>
  </si>
  <si>
    <t>Real</t>
  </si>
  <si>
    <t>AssetGroupId</t>
  </si>
  <si>
    <t>AssetId</t>
  </si>
  <si>
    <t>AssetName</t>
  </si>
  <si>
    <t>AssetBookId</t>
  </si>
  <si>
    <t>AssetAcquisitionDate</t>
  </si>
  <si>
    <t>AssetServiceLife</t>
  </si>
  <si>
    <t>固定資産グループ</t>
    <phoneticPr fontId="2"/>
  </si>
  <si>
    <t>固定資産番号</t>
    <rPh sb="4" eb="6">
      <t>バンゴウ</t>
    </rPh>
    <phoneticPr fontId="2"/>
  </si>
  <si>
    <t>固定資産名前</t>
    <rPh sb="0" eb="2">
      <t>コテイ</t>
    </rPh>
    <rPh sb="2" eb="4">
      <t>シサン</t>
    </rPh>
    <rPh sb="4" eb="6">
      <t>ナマエ</t>
    </rPh>
    <phoneticPr fontId="2"/>
  </si>
  <si>
    <t>固定資産帳簿</t>
    <rPh sb="0" eb="4">
      <t>コテイシサン</t>
    </rPh>
    <rPh sb="4" eb="6">
      <t>チョウボ</t>
    </rPh>
    <phoneticPr fontId="2"/>
  </si>
  <si>
    <t>取得日付</t>
    <rPh sb="0" eb="4">
      <t>シュトクヒヅケ</t>
    </rPh>
    <phoneticPr fontId="2"/>
  </si>
  <si>
    <t>原価償却方法</t>
    <rPh sb="2" eb="4">
      <t>ショウキャク</t>
    </rPh>
    <rPh sb="4" eb="6">
      <t>ホウホウ</t>
    </rPh>
    <phoneticPr fontId="2"/>
  </si>
  <si>
    <t>耐用年数</t>
    <rPh sb="0" eb="4">
      <t>タイヨウネンスウ</t>
    </rPh>
    <phoneticPr fontId="2"/>
  </si>
  <si>
    <t>指図テキスト</t>
    <rPh sb="0" eb="2">
      <t>サシズ</t>
    </rPh>
    <phoneticPr fontId="2"/>
  </si>
  <si>
    <t>原価センタ</t>
    <phoneticPr fontId="2"/>
  </si>
  <si>
    <t>１月償却額</t>
    <phoneticPr fontId="2"/>
  </si>
  <si>
    <t>２月償却額</t>
  </si>
  <si>
    <t>３月償却額</t>
  </si>
  <si>
    <t>４月償却額</t>
  </si>
  <si>
    <t>５月償却額</t>
  </si>
  <si>
    <t>６月償却額</t>
  </si>
  <si>
    <t>７月償却額</t>
  </si>
  <si>
    <t>８月償却額</t>
  </si>
  <si>
    <t>９月償却額</t>
  </si>
  <si>
    <t>１０月償却額</t>
  </si>
  <si>
    <t>１１月償却額</t>
  </si>
  <si>
    <t>１２月償却額</t>
  </si>
  <si>
    <t>TmpNumerals01</t>
  </si>
  <si>
    <t>TmpNumerals02</t>
  </si>
  <si>
    <t>TmpNumerals03</t>
  </si>
  <si>
    <t>TmpNumerals04</t>
  </si>
  <si>
    <t>TmpNumerals05</t>
  </si>
  <si>
    <t>TmpNumerals06</t>
  </si>
  <si>
    <t>TmpNumerals07</t>
  </si>
  <si>
    <t>TmpNumerals08</t>
  </si>
  <si>
    <t>TmpNumerals09</t>
  </si>
  <si>
    <t>TmpNumerals10</t>
  </si>
  <si>
    <t>TmpNumerals11</t>
  </si>
  <si>
    <t>TmpNumerals12</t>
  </si>
  <si>
    <t>GroupId</t>
  </si>
  <si>
    <t>Name</t>
  </si>
  <si>
    <t>AcquisitionDate</t>
  </si>
  <si>
    <t>BookId</t>
  </si>
  <si>
    <t>DepreciationConvention</t>
  </si>
  <si>
    <t>AssetDepreciationConvention</t>
  </si>
  <si>
    <t>ServiceLife</t>
  </si>
  <si>
    <t>SJ_OrderCode</t>
    <phoneticPr fontId="18"/>
  </si>
  <si>
    <t>SJ_OrderText</t>
    <phoneticPr fontId="18"/>
  </si>
  <si>
    <t>SJ_Amount_1</t>
    <phoneticPr fontId="2"/>
  </si>
  <si>
    <t>SJ_Amount_2</t>
  </si>
  <si>
    <t>SJ_Amount_3</t>
  </si>
  <si>
    <t>SJ_Amount_4</t>
  </si>
  <si>
    <t>SJ_Amount_5</t>
  </si>
  <si>
    <t>SJ_Amount_6</t>
  </si>
  <si>
    <t>SJ_Amount_7</t>
  </si>
  <si>
    <t>SJ_Amount_8</t>
  </si>
  <si>
    <t>SJ_Amount_9</t>
  </si>
  <si>
    <t>SJ_Amount_10</t>
  </si>
  <si>
    <t>SJ_Amount_11</t>
  </si>
  <si>
    <t>SJ_Amount_12</t>
  </si>
  <si>
    <t>CostCenter</t>
    <phoneticPr fontId="2"/>
  </si>
  <si>
    <t>SJ_CostCenter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</si>
</sst>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yyyy/m/d;@"/>
    <numFmt numFmtId="182" formatCode="0_);[Red]\(0\)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8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49" fontId="8" fillId="0" borderId="3" xfId="2" quotePrefix="1" applyNumberFormat="1" applyFont="1" applyBorder="1" applyAlignment="1">
      <alignment horizontal="left" vertical="center"/>
    </xf>
    <xf numFmtId="0" fontId="10" fillId="0" borderId="37" xfId="0" applyFont="1" applyBorder="1"/>
    <xf numFmtId="0" fontId="23" fillId="0" borderId="38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23" fillId="0" borderId="37" xfId="0" applyFont="1" applyFill="1" applyBorder="1"/>
    <xf numFmtId="0" fontId="8" fillId="0" borderId="0" xfId="2" applyFont="1" applyFill="1">
      <alignment vertical="center"/>
    </xf>
    <xf numFmtId="49" fontId="8" fillId="0" borderId="3" xfId="2" applyNumberFormat="1" applyFont="1" applyFill="1" applyBorder="1">
      <alignment vertical="center"/>
    </xf>
    <xf numFmtId="49" fontId="10" fillId="0" borderId="3" xfId="2" applyNumberFormat="1" applyFont="1" applyFill="1" applyBorder="1">
      <alignment vertical="center"/>
    </xf>
    <xf numFmtId="0" fontId="23" fillId="0" borderId="3" xfId="0" applyFont="1" applyFill="1" applyBorder="1" applyAlignment="1">
      <alignment vertical="top"/>
    </xf>
    <xf numFmtId="49" fontId="8" fillId="0" borderId="3" xfId="2" applyNumberFormat="1" applyFont="1" applyFill="1" applyBorder="1" applyAlignment="1">
      <alignment horizontal="left" vertical="center"/>
    </xf>
    <xf numFmtId="182" fontId="23" fillId="0" borderId="37" xfId="0" applyNumberFormat="1" applyFont="1" applyFill="1" applyBorder="1"/>
    <xf numFmtId="182" fontId="23" fillId="0" borderId="37" xfId="0" quotePrefix="1" applyNumberFormat="1" applyFont="1" applyFill="1" applyBorder="1"/>
    <xf numFmtId="182" fontId="10" fillId="0" borderId="37" xfId="0" applyNumberFormat="1" applyFont="1" applyBorder="1"/>
    <xf numFmtId="0" fontId="10" fillId="0" borderId="37" xfId="0" applyFont="1" applyFill="1" applyBorder="1"/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AZ7" sqref="AZ7:BD7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46" t="s">
        <v>0</v>
      </c>
      <c r="B1" s="47"/>
      <c r="C1" s="47"/>
      <c r="D1" s="47"/>
      <c r="E1" s="48"/>
      <c r="F1" s="49" t="s">
        <v>1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  <c r="W1" s="52" t="s">
        <v>2</v>
      </c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4"/>
      <c r="AR1" s="52" t="s">
        <v>3</v>
      </c>
      <c r="AS1" s="53"/>
      <c r="AT1" s="53"/>
      <c r="AU1" s="53"/>
      <c r="AV1" s="53"/>
      <c r="AW1" s="53"/>
      <c r="AX1" s="53"/>
      <c r="AY1" s="53"/>
      <c r="AZ1" s="54"/>
      <c r="BA1" s="52" t="s">
        <v>4</v>
      </c>
      <c r="BB1" s="53"/>
      <c r="BC1" s="53"/>
      <c r="BD1" s="53"/>
      <c r="BE1" s="53"/>
      <c r="BF1" s="53"/>
      <c r="BG1" s="53"/>
      <c r="BH1" s="53"/>
      <c r="BI1" s="54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55" t="s">
        <v>5</v>
      </c>
      <c r="B2" s="56"/>
      <c r="C2" s="56"/>
      <c r="D2" s="56"/>
      <c r="E2" s="57"/>
      <c r="F2" s="61" t="s">
        <v>89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3"/>
      <c r="W2" s="67" t="s">
        <v>6</v>
      </c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9"/>
      <c r="AR2" s="73" t="s">
        <v>7</v>
      </c>
      <c r="AS2" s="74"/>
      <c r="AT2" s="75">
        <f>A6</f>
        <v>45524</v>
      </c>
      <c r="AU2" s="76"/>
      <c r="AV2" s="76"/>
      <c r="AW2" s="76"/>
      <c r="AX2" s="76"/>
      <c r="AY2" s="76"/>
      <c r="AZ2" s="77"/>
      <c r="BA2" s="78" t="str">
        <f>AZ6</f>
        <v>JBS大河原</v>
      </c>
      <c r="BB2" s="79"/>
      <c r="BC2" s="79"/>
      <c r="BD2" s="79"/>
      <c r="BE2" s="79"/>
      <c r="BF2" s="79"/>
      <c r="BG2" s="79"/>
      <c r="BH2" s="79"/>
      <c r="BI2" s="80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58"/>
      <c r="B3" s="59"/>
      <c r="C3" s="59"/>
      <c r="D3" s="59"/>
      <c r="E3" s="60"/>
      <c r="F3" s="64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70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2"/>
      <c r="AR3" s="81" t="s">
        <v>8</v>
      </c>
      <c r="AS3" s="82"/>
      <c r="AT3" s="83" cm="1">
        <f t="array" aca="1" ref="AT3" ca="1">IF(OR(COUNTA(A:E)=3),"",INDIRECT("A"&amp;COUNTA(A:E)+2))</f>
        <v>45524</v>
      </c>
      <c r="AU3" s="84"/>
      <c r="AV3" s="84"/>
      <c r="AW3" s="84"/>
      <c r="AX3" s="84"/>
      <c r="AY3" s="84"/>
      <c r="AZ3" s="85"/>
      <c r="BA3" s="86" t="str">
        <f ca="1">IF(COUNTA(AZ5:BD100000)=1,"",INDIRECT("変更履歴!AZ"&amp;COUNTA(AZ5:BD100000)+4))</f>
        <v>JBS大河原</v>
      </c>
      <c r="BB3" s="87"/>
      <c r="BC3" s="87"/>
      <c r="BD3" s="87"/>
      <c r="BE3" s="87"/>
      <c r="BF3" s="87"/>
      <c r="BG3" s="87"/>
      <c r="BH3" s="87"/>
      <c r="BI3" s="88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39" t="s">
        <v>9</v>
      </c>
      <c r="B5" s="39"/>
      <c r="C5" s="39"/>
      <c r="D5" s="39"/>
      <c r="E5" s="39"/>
      <c r="F5" s="39" t="s">
        <v>10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 t="s">
        <v>11</v>
      </c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 t="s">
        <v>12</v>
      </c>
      <c r="BA5" s="39"/>
      <c r="BB5" s="39"/>
      <c r="BC5" s="39"/>
      <c r="BD5" s="39"/>
      <c r="BE5" s="39" t="s">
        <v>13</v>
      </c>
      <c r="BF5" s="39"/>
      <c r="BG5" s="39"/>
      <c r="BH5" s="39"/>
      <c r="BI5" s="39"/>
    </row>
    <row r="6" spans="1:68" ht="13.5">
      <c r="A6" s="40">
        <v>45524</v>
      </c>
      <c r="B6" s="40"/>
      <c r="C6" s="40"/>
      <c r="D6" s="40"/>
      <c r="E6" s="40"/>
      <c r="F6" s="41" t="s">
        <v>14</v>
      </c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2" t="s">
        <v>14</v>
      </c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3" t="s">
        <v>91</v>
      </c>
      <c r="BA6" s="43"/>
      <c r="BB6" s="43"/>
      <c r="BC6" s="43"/>
      <c r="BD6" s="43"/>
      <c r="BE6" s="44" t="s">
        <v>15</v>
      </c>
      <c r="BF6" s="45"/>
      <c r="BG6" s="45"/>
      <c r="BH6" s="45"/>
      <c r="BI6" s="45"/>
    </row>
    <row r="7" spans="1:68" ht="13.5">
      <c r="A7" s="28"/>
      <c r="B7" s="28"/>
      <c r="C7" s="28"/>
      <c r="D7" s="28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38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1"/>
      <c r="BA7" s="31"/>
      <c r="BB7" s="31"/>
      <c r="BC7" s="31"/>
      <c r="BD7" s="31"/>
      <c r="BE7" s="32"/>
      <c r="BF7" s="32"/>
      <c r="BG7" s="32"/>
      <c r="BH7" s="32"/>
      <c r="BI7" s="32"/>
    </row>
    <row r="8" spans="1:68" ht="13.5">
      <c r="A8" s="28"/>
      <c r="B8" s="28"/>
      <c r="C8" s="28"/>
      <c r="D8" s="28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1"/>
      <c r="BA8" s="31"/>
      <c r="BB8" s="31"/>
      <c r="BC8" s="31"/>
      <c r="BD8" s="31"/>
      <c r="BE8" s="32"/>
      <c r="BF8" s="32"/>
      <c r="BG8" s="32"/>
      <c r="BH8" s="32"/>
      <c r="BI8" s="32"/>
    </row>
    <row r="9" spans="1:68" ht="13.5">
      <c r="A9" s="28"/>
      <c r="B9" s="28"/>
      <c r="C9" s="28"/>
      <c r="D9" s="28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8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1"/>
      <c r="BA9" s="31"/>
      <c r="BB9" s="31"/>
      <c r="BC9" s="31"/>
      <c r="BD9" s="31"/>
      <c r="BE9" s="32"/>
      <c r="BF9" s="32"/>
      <c r="BG9" s="32"/>
      <c r="BH9" s="32"/>
      <c r="BI9" s="32"/>
    </row>
    <row r="10" spans="1:68" ht="15" customHeight="1">
      <c r="A10" s="28"/>
      <c r="B10" s="28"/>
      <c r="C10" s="28"/>
      <c r="D10" s="28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1"/>
      <c r="BA10" s="31"/>
      <c r="BB10" s="31"/>
      <c r="BC10" s="31"/>
      <c r="BD10" s="31"/>
      <c r="BE10" s="32"/>
      <c r="BF10" s="32"/>
      <c r="BG10" s="32"/>
      <c r="BH10" s="32"/>
      <c r="BI10" s="32"/>
    </row>
    <row r="11" spans="1:68" ht="15" customHeight="1">
      <c r="A11" s="28"/>
      <c r="B11" s="28"/>
      <c r="C11" s="28"/>
      <c r="D11" s="28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1"/>
      <c r="BA11" s="31"/>
      <c r="BB11" s="31"/>
      <c r="BC11" s="31"/>
      <c r="BD11" s="31"/>
      <c r="BE11" s="32"/>
      <c r="BF11" s="32"/>
      <c r="BG11" s="32"/>
      <c r="BH11" s="32"/>
      <c r="BI11" s="32"/>
    </row>
    <row r="12" spans="1:68" ht="15" customHeight="1">
      <c r="A12" s="28"/>
      <c r="B12" s="28"/>
      <c r="C12" s="28"/>
      <c r="D12" s="28"/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1"/>
      <c r="BA12" s="31"/>
      <c r="BB12" s="31"/>
      <c r="BC12" s="31"/>
      <c r="BD12" s="31"/>
      <c r="BE12" s="32"/>
      <c r="BF12" s="32"/>
      <c r="BG12" s="32"/>
      <c r="BH12" s="32"/>
      <c r="BI12" s="32"/>
    </row>
    <row r="13" spans="1:68" ht="15" customHeight="1">
      <c r="A13" s="28"/>
      <c r="B13" s="28"/>
      <c r="C13" s="28"/>
      <c r="D13" s="28"/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1"/>
      <c r="BA13" s="31"/>
      <c r="BB13" s="31"/>
      <c r="BC13" s="31"/>
      <c r="BD13" s="31"/>
      <c r="BE13" s="32"/>
      <c r="BF13" s="32"/>
      <c r="BG13" s="32"/>
      <c r="BH13" s="32"/>
      <c r="BI13" s="32"/>
    </row>
    <row r="14" spans="1:68" ht="15" customHeight="1">
      <c r="A14" s="28"/>
      <c r="B14" s="28"/>
      <c r="C14" s="28"/>
      <c r="D14" s="28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1"/>
      <c r="BA14" s="31"/>
      <c r="BB14" s="31"/>
      <c r="BC14" s="31"/>
      <c r="BD14" s="31"/>
      <c r="BE14" s="32"/>
      <c r="BF14" s="32"/>
      <c r="BG14" s="32"/>
      <c r="BH14" s="32"/>
      <c r="BI14" s="32"/>
    </row>
    <row r="15" spans="1:68" ht="15" customHeight="1">
      <c r="A15" s="28"/>
      <c r="B15" s="28"/>
      <c r="C15" s="28"/>
      <c r="D15" s="28"/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1"/>
      <c r="BA15" s="31"/>
      <c r="BB15" s="31"/>
      <c r="BC15" s="31"/>
      <c r="BD15" s="31"/>
      <c r="BE15" s="32"/>
      <c r="BF15" s="32"/>
      <c r="BG15" s="32"/>
      <c r="BH15" s="32"/>
      <c r="BI15" s="32"/>
    </row>
    <row r="16" spans="1:68" ht="15" customHeight="1">
      <c r="A16" s="28"/>
      <c r="B16" s="28"/>
      <c r="C16" s="28"/>
      <c r="D16" s="28"/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1"/>
      <c r="BA16" s="31"/>
      <c r="BB16" s="31"/>
      <c r="BC16" s="31"/>
      <c r="BD16" s="31"/>
      <c r="BE16" s="32"/>
      <c r="BF16" s="32"/>
      <c r="BG16" s="32"/>
      <c r="BH16" s="32"/>
      <c r="BI16" s="32"/>
    </row>
    <row r="17" spans="1:61" ht="15" customHeight="1">
      <c r="A17" s="28"/>
      <c r="B17" s="28"/>
      <c r="C17" s="28"/>
      <c r="D17" s="28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1"/>
      <c r="BA17" s="31"/>
      <c r="BB17" s="31"/>
      <c r="BC17" s="31"/>
      <c r="BD17" s="31"/>
      <c r="BE17" s="32"/>
      <c r="BF17" s="32"/>
      <c r="BG17" s="32"/>
      <c r="BH17" s="32"/>
      <c r="BI17" s="32"/>
    </row>
    <row r="18" spans="1:61" ht="15" customHeight="1">
      <c r="A18" s="28"/>
      <c r="B18" s="28"/>
      <c r="C18" s="28"/>
      <c r="D18" s="28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1"/>
      <c r="BA18" s="31"/>
      <c r="BB18" s="31"/>
      <c r="BC18" s="31"/>
      <c r="BD18" s="31"/>
      <c r="BE18" s="32"/>
      <c r="BF18" s="32"/>
      <c r="BG18" s="32"/>
      <c r="BH18" s="32"/>
      <c r="BI18" s="32"/>
    </row>
    <row r="19" spans="1:61" ht="15" customHeight="1">
      <c r="A19" s="28"/>
      <c r="B19" s="28"/>
      <c r="C19" s="28"/>
      <c r="D19" s="28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1"/>
      <c r="BA19" s="31"/>
      <c r="BB19" s="31"/>
      <c r="BC19" s="31"/>
      <c r="BD19" s="31"/>
      <c r="BE19" s="32"/>
      <c r="BF19" s="32"/>
      <c r="BG19" s="32"/>
      <c r="BH19" s="32"/>
      <c r="BI19" s="32"/>
    </row>
    <row r="20" spans="1:61" ht="15" customHeight="1">
      <c r="A20" s="28"/>
      <c r="B20" s="28"/>
      <c r="C20" s="28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1"/>
      <c r="BA20" s="31"/>
      <c r="BB20" s="31"/>
      <c r="BC20" s="31"/>
      <c r="BD20" s="31"/>
      <c r="BE20" s="32"/>
      <c r="BF20" s="32"/>
      <c r="BG20" s="32"/>
      <c r="BH20" s="32"/>
      <c r="BI20" s="32"/>
    </row>
    <row r="21" spans="1:61" ht="15" customHeight="1">
      <c r="A21" s="28"/>
      <c r="B21" s="28"/>
      <c r="C21" s="28"/>
      <c r="D21" s="28"/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1"/>
      <c r="BA21" s="31"/>
      <c r="BB21" s="31"/>
      <c r="BC21" s="31"/>
      <c r="BD21" s="31"/>
      <c r="BE21" s="32"/>
      <c r="BF21" s="32"/>
      <c r="BG21" s="32"/>
      <c r="BH21" s="32"/>
      <c r="BI21" s="32"/>
    </row>
    <row r="22" spans="1:61" ht="15" customHeight="1" thickBot="1">
      <c r="A22" s="33"/>
      <c r="B22" s="33"/>
      <c r="C22" s="33"/>
      <c r="D22" s="33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6"/>
      <c r="BA22" s="36"/>
      <c r="BB22" s="36"/>
      <c r="BC22" s="36"/>
      <c r="BD22" s="36"/>
      <c r="BE22" s="37"/>
      <c r="BF22" s="37"/>
      <c r="BG22" s="37"/>
      <c r="BH22" s="37"/>
      <c r="BI22" s="37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T50"/>
  <sheetViews>
    <sheetView showGridLines="0" tabSelected="1" topLeftCell="A4" zoomScaleNormal="100" zoomScaleSheetLayoutView="89" workbookViewId="0">
      <selection activeCell="G28" sqref="G28"/>
    </sheetView>
  </sheetViews>
  <sheetFormatPr defaultColWidth="9" defaultRowHeight="12.5"/>
  <cols>
    <col min="1" max="1" width="0.83203125" style="18" customWidth="1"/>
    <col min="2" max="2" width="3.75" style="18" bestFit="1" customWidth="1"/>
    <col min="3" max="3" width="18.58203125" style="18" customWidth="1"/>
    <col min="4" max="4" width="14.08203125" style="18" bestFit="1" customWidth="1"/>
    <col min="5" max="5" width="28.25" style="18" customWidth="1"/>
    <col min="6" max="6" width="9.75" style="18" customWidth="1"/>
    <col min="7" max="7" width="22.33203125" style="18" customWidth="1"/>
    <col min="8" max="8" width="8.75" style="18" customWidth="1"/>
    <col min="9" max="10" width="5.5" style="18" customWidth="1"/>
    <col min="11" max="11" width="2.58203125" style="18" customWidth="1"/>
    <col min="12" max="12" width="17" style="18" customWidth="1"/>
    <col min="13" max="13" width="23.25" style="18" customWidth="1"/>
    <col min="14" max="14" width="0.83203125" style="18" customWidth="1"/>
    <col min="15" max="16384" width="9" style="18"/>
  </cols>
  <sheetData>
    <row r="1" spans="2:20" ht="5.15" customHeight="1"/>
    <row r="2" spans="2:20">
      <c r="B2" s="89" t="s">
        <v>16</v>
      </c>
      <c r="C2" s="89"/>
      <c r="D2" s="89"/>
      <c r="E2" s="89" t="s">
        <v>17</v>
      </c>
      <c r="F2" s="89"/>
      <c r="G2" s="19" t="s">
        <v>18</v>
      </c>
      <c r="H2" s="90">
        <f>変更履歴!AT2</f>
        <v>45524</v>
      </c>
      <c r="I2" s="91"/>
      <c r="J2" s="91"/>
      <c r="K2" s="92"/>
      <c r="L2" s="9" t="s">
        <v>19</v>
      </c>
      <c r="M2" s="5">
        <f ca="1">変更履歴!AT3</f>
        <v>45524</v>
      </c>
    </row>
    <row r="3" spans="2:20">
      <c r="B3" s="93" t="s">
        <v>20</v>
      </c>
      <c r="C3" s="93"/>
      <c r="D3" s="93"/>
      <c r="E3" s="93" t="s">
        <v>21</v>
      </c>
      <c r="F3" s="93"/>
      <c r="G3" s="19" t="s">
        <v>22</v>
      </c>
      <c r="H3" s="94" t="str">
        <f>変更履歴!BA2</f>
        <v>JBS大河原</v>
      </c>
      <c r="I3" s="95"/>
      <c r="J3" s="95"/>
      <c r="K3" s="96"/>
      <c r="L3" s="9" t="s">
        <v>23</v>
      </c>
      <c r="M3" s="2" t="str">
        <f ca="1">変更履歴!BA3</f>
        <v>JBS大河原</v>
      </c>
    </row>
    <row r="4" spans="2:20">
      <c r="B4" s="89" t="s">
        <v>24</v>
      </c>
      <c r="C4" s="89"/>
      <c r="D4" s="8" t="s">
        <v>25</v>
      </c>
      <c r="E4" s="100" t="s">
        <v>26</v>
      </c>
      <c r="F4" s="101"/>
      <c r="G4" s="19" t="s">
        <v>27</v>
      </c>
      <c r="H4" s="102" t="s">
        <v>28</v>
      </c>
      <c r="I4" s="103"/>
      <c r="J4" s="103"/>
      <c r="K4" s="104"/>
      <c r="L4" s="19" t="s">
        <v>29</v>
      </c>
      <c r="M4" s="10"/>
    </row>
    <row r="5" spans="2:20">
      <c r="B5" s="93" t="s">
        <v>89</v>
      </c>
      <c r="C5" s="93"/>
      <c r="D5" s="24" t="s">
        <v>46</v>
      </c>
      <c r="E5" s="97" t="s">
        <v>88</v>
      </c>
      <c r="F5" s="99"/>
      <c r="G5" s="20" t="s">
        <v>30</v>
      </c>
      <c r="H5" s="105" t="s">
        <v>90</v>
      </c>
      <c r="I5" s="106"/>
      <c r="J5" s="106"/>
      <c r="K5" s="107"/>
      <c r="L5" s="20" t="s">
        <v>31</v>
      </c>
      <c r="M5" s="21"/>
    </row>
    <row r="6" spans="2:20" ht="5.15" customHeight="1"/>
    <row r="7" spans="2:20" ht="13" thickBot="1">
      <c r="B7" s="7" t="s">
        <v>32</v>
      </c>
      <c r="C7" s="7" t="s">
        <v>33</v>
      </c>
      <c r="D7" s="7" t="s">
        <v>25</v>
      </c>
      <c r="E7" s="7" t="s">
        <v>34</v>
      </c>
      <c r="F7" s="7" t="s">
        <v>35</v>
      </c>
      <c r="G7" s="7" t="s">
        <v>36</v>
      </c>
      <c r="H7" s="7" t="s">
        <v>37</v>
      </c>
      <c r="I7" s="7" t="s">
        <v>38</v>
      </c>
      <c r="J7" s="7" t="s">
        <v>39</v>
      </c>
      <c r="K7" s="108"/>
      <c r="L7" s="108"/>
      <c r="M7" s="109"/>
    </row>
    <row r="8" spans="2:20">
      <c r="B8" s="2">
        <f t="shared" ref="B8:B50" si="0">ROW()-7</f>
        <v>1</v>
      </c>
      <c r="C8" s="26" t="s">
        <v>102</v>
      </c>
      <c r="D8" s="1" t="s">
        <v>46</v>
      </c>
      <c r="E8" s="138" t="s">
        <v>135</v>
      </c>
      <c r="F8" s="138" t="s">
        <v>92</v>
      </c>
      <c r="G8" s="138" t="s">
        <v>96</v>
      </c>
      <c r="H8" s="144">
        <v>10</v>
      </c>
      <c r="I8" s="2" t="s">
        <v>44</v>
      </c>
      <c r="J8" s="2" t="s">
        <v>44</v>
      </c>
      <c r="K8" s="97"/>
      <c r="L8" s="98"/>
      <c r="M8" s="99"/>
      <c r="T8" s="139"/>
    </row>
    <row r="9" spans="2:20">
      <c r="B9" s="2">
        <f t="shared" si="0"/>
        <v>2</v>
      </c>
      <c r="C9" s="27" t="s">
        <v>103</v>
      </c>
      <c r="D9" s="1" t="s">
        <v>46</v>
      </c>
      <c r="E9" s="138" t="s">
        <v>97</v>
      </c>
      <c r="F9" s="138" t="s">
        <v>92</v>
      </c>
      <c r="G9" s="138" t="s">
        <v>97</v>
      </c>
      <c r="H9" s="144">
        <v>20</v>
      </c>
      <c r="I9" s="2" t="s">
        <v>44</v>
      </c>
      <c r="J9" s="2" t="s">
        <v>44</v>
      </c>
      <c r="K9" s="97"/>
      <c r="L9" s="98"/>
      <c r="M9" s="99"/>
      <c r="T9" s="139"/>
    </row>
    <row r="10" spans="2:20">
      <c r="B10" s="2">
        <f t="shared" si="0"/>
        <v>3</v>
      </c>
      <c r="C10" s="27" t="s">
        <v>104</v>
      </c>
      <c r="D10" s="1" t="s">
        <v>46</v>
      </c>
      <c r="E10" s="138" t="s">
        <v>136</v>
      </c>
      <c r="F10" s="138" t="s">
        <v>92</v>
      </c>
      <c r="G10" s="138" t="s">
        <v>98</v>
      </c>
      <c r="H10" s="144">
        <v>150</v>
      </c>
      <c r="I10" s="2" t="s">
        <v>44</v>
      </c>
      <c r="J10" s="2" t="s">
        <v>44</v>
      </c>
      <c r="K10" s="97"/>
      <c r="L10" s="98"/>
      <c r="M10" s="99"/>
      <c r="T10" s="139"/>
    </row>
    <row r="11" spans="2:20">
      <c r="B11" s="2">
        <f t="shared" si="0"/>
        <v>4</v>
      </c>
      <c r="C11" s="27" t="s">
        <v>105</v>
      </c>
      <c r="D11" s="1" t="s">
        <v>46</v>
      </c>
      <c r="E11" s="138" t="s">
        <v>138</v>
      </c>
      <c r="F11" s="138" t="s">
        <v>92</v>
      </c>
      <c r="G11" s="138" t="s">
        <v>99</v>
      </c>
      <c r="H11" s="144">
        <v>10</v>
      </c>
      <c r="I11" s="2" t="s">
        <v>44</v>
      </c>
      <c r="J11" s="2" t="s">
        <v>44</v>
      </c>
      <c r="K11" s="97"/>
      <c r="L11" s="98"/>
      <c r="M11" s="99"/>
      <c r="T11" s="139"/>
    </row>
    <row r="12" spans="2:20">
      <c r="B12" s="2">
        <f t="shared" si="0"/>
        <v>5</v>
      </c>
      <c r="C12" s="27" t="s">
        <v>106</v>
      </c>
      <c r="D12" s="1" t="s">
        <v>46</v>
      </c>
      <c r="E12" s="138" t="s">
        <v>137</v>
      </c>
      <c r="F12" s="138" t="s">
        <v>93</v>
      </c>
      <c r="G12" s="138" t="s">
        <v>100</v>
      </c>
      <c r="H12" s="144">
        <v>0</v>
      </c>
      <c r="I12" s="2" t="s">
        <v>44</v>
      </c>
      <c r="J12" s="2" t="s">
        <v>44</v>
      </c>
      <c r="K12" s="97"/>
      <c r="L12" s="98"/>
      <c r="M12" s="99"/>
      <c r="T12" s="139"/>
    </row>
    <row r="13" spans="2:20">
      <c r="B13" s="2">
        <f t="shared" si="0"/>
        <v>6</v>
      </c>
      <c r="C13" s="27" t="s">
        <v>107</v>
      </c>
      <c r="D13" s="1" t="s">
        <v>46</v>
      </c>
      <c r="E13" s="138" t="s">
        <v>139</v>
      </c>
      <c r="F13" s="138" t="s">
        <v>94</v>
      </c>
      <c r="G13" s="138" t="s">
        <v>140</v>
      </c>
      <c r="H13" s="144">
        <v>0</v>
      </c>
      <c r="I13" s="2" t="s">
        <v>44</v>
      </c>
      <c r="J13" s="2" t="s">
        <v>44</v>
      </c>
      <c r="K13" s="97"/>
      <c r="L13" s="98"/>
      <c r="M13" s="99"/>
      <c r="T13" s="139"/>
    </row>
    <row r="14" spans="2:20">
      <c r="B14" s="2">
        <f t="shared" si="0"/>
        <v>7</v>
      </c>
      <c r="C14" s="27" t="s">
        <v>108</v>
      </c>
      <c r="D14" s="1" t="s">
        <v>46</v>
      </c>
      <c r="E14" s="138" t="s">
        <v>141</v>
      </c>
      <c r="F14" s="138" t="s">
        <v>95</v>
      </c>
      <c r="G14" s="138" t="s">
        <v>101</v>
      </c>
      <c r="H14" s="144">
        <v>0</v>
      </c>
      <c r="I14" s="2" t="s">
        <v>44</v>
      </c>
      <c r="J14" s="2" t="s">
        <v>44</v>
      </c>
      <c r="K14" s="97"/>
      <c r="L14" s="98"/>
      <c r="M14" s="99"/>
      <c r="T14" s="139"/>
    </row>
    <row r="15" spans="2:20" ht="12.65" customHeight="1">
      <c r="B15" s="2">
        <f t="shared" si="0"/>
        <v>8</v>
      </c>
      <c r="C15" s="27" t="s">
        <v>40</v>
      </c>
      <c r="D15" s="1" t="s">
        <v>46</v>
      </c>
      <c r="E15" s="140" t="s">
        <v>41</v>
      </c>
      <c r="F15" s="141" t="s">
        <v>42</v>
      </c>
      <c r="G15" s="142" t="s">
        <v>142</v>
      </c>
      <c r="H15" s="145">
        <v>12</v>
      </c>
      <c r="I15" s="2" t="s">
        <v>44</v>
      </c>
      <c r="J15" s="2" t="s">
        <v>44</v>
      </c>
      <c r="K15" s="97"/>
      <c r="L15" s="98"/>
      <c r="M15" s="99"/>
      <c r="T15" s="139"/>
    </row>
    <row r="16" spans="2:20" ht="12.65" customHeight="1">
      <c r="B16" s="2">
        <f t="shared" si="0"/>
        <v>9</v>
      </c>
      <c r="C16" s="27" t="s">
        <v>109</v>
      </c>
      <c r="D16" s="1" t="s">
        <v>46</v>
      </c>
      <c r="E16" s="140" t="s">
        <v>43</v>
      </c>
      <c r="F16" s="141" t="s">
        <v>42</v>
      </c>
      <c r="G16" s="142" t="s">
        <v>143</v>
      </c>
      <c r="H16" s="144">
        <v>40</v>
      </c>
      <c r="I16" s="2" t="s">
        <v>44</v>
      </c>
      <c r="J16" s="2" t="s">
        <v>44</v>
      </c>
      <c r="K16" s="97"/>
      <c r="L16" s="98"/>
      <c r="M16" s="99"/>
      <c r="T16" s="139"/>
    </row>
    <row r="17" spans="2:20" ht="12.65" customHeight="1">
      <c r="B17" s="2">
        <f t="shared" si="0"/>
        <v>10</v>
      </c>
      <c r="C17" s="27" t="s">
        <v>110</v>
      </c>
      <c r="D17" s="1" t="s">
        <v>46</v>
      </c>
      <c r="E17" s="143" t="s">
        <v>156</v>
      </c>
      <c r="F17" s="147" t="s">
        <v>92</v>
      </c>
      <c r="G17" s="147" t="s">
        <v>157</v>
      </c>
      <c r="H17" s="146">
        <v>30</v>
      </c>
      <c r="I17" s="2" t="s">
        <v>44</v>
      </c>
      <c r="J17" s="2" t="s">
        <v>44</v>
      </c>
      <c r="K17" s="97"/>
      <c r="L17" s="98"/>
      <c r="M17" s="99"/>
      <c r="P17" s="139"/>
      <c r="Q17" s="139"/>
      <c r="R17" s="139"/>
      <c r="S17" s="139"/>
      <c r="T17" s="139"/>
    </row>
    <row r="18" spans="2:20">
      <c r="B18" s="2">
        <f t="shared" si="0"/>
        <v>11</v>
      </c>
      <c r="C18" s="27" t="s">
        <v>111</v>
      </c>
      <c r="D18" s="1" t="s">
        <v>46</v>
      </c>
      <c r="E18" s="1" t="s">
        <v>123</v>
      </c>
      <c r="F18" s="25" t="s">
        <v>95</v>
      </c>
      <c r="G18" s="143" t="s">
        <v>144</v>
      </c>
      <c r="H18" s="146">
        <v>0</v>
      </c>
      <c r="I18" s="2" t="s">
        <v>44</v>
      </c>
      <c r="J18" s="2" t="s">
        <v>44</v>
      </c>
      <c r="K18" s="97"/>
      <c r="L18" s="98"/>
      <c r="M18" s="99"/>
    </row>
    <row r="19" spans="2:20">
      <c r="B19" s="2">
        <f t="shared" si="0"/>
        <v>12</v>
      </c>
      <c r="C19" s="27" t="s">
        <v>112</v>
      </c>
      <c r="D19" s="1" t="s">
        <v>46</v>
      </c>
      <c r="E19" s="1" t="s">
        <v>124</v>
      </c>
      <c r="F19" s="25" t="s">
        <v>95</v>
      </c>
      <c r="G19" s="143" t="s">
        <v>145</v>
      </c>
      <c r="H19" s="146">
        <v>0</v>
      </c>
      <c r="I19" s="2" t="s">
        <v>44</v>
      </c>
      <c r="J19" s="2" t="s">
        <v>44</v>
      </c>
      <c r="K19" s="97"/>
      <c r="L19" s="98"/>
      <c r="M19" s="99"/>
    </row>
    <row r="20" spans="2:20">
      <c r="B20" s="2">
        <f t="shared" si="0"/>
        <v>13</v>
      </c>
      <c r="C20" s="27" t="s">
        <v>113</v>
      </c>
      <c r="D20" s="1" t="s">
        <v>46</v>
      </c>
      <c r="E20" s="1" t="s">
        <v>125</v>
      </c>
      <c r="F20" s="25" t="s">
        <v>95</v>
      </c>
      <c r="G20" s="143" t="s">
        <v>146</v>
      </c>
      <c r="H20" s="146">
        <v>0</v>
      </c>
      <c r="I20" s="2" t="s">
        <v>44</v>
      </c>
      <c r="J20" s="2" t="s">
        <v>44</v>
      </c>
      <c r="K20" s="97"/>
      <c r="L20" s="98"/>
      <c r="M20" s="99"/>
    </row>
    <row r="21" spans="2:20">
      <c r="B21" s="2">
        <f t="shared" si="0"/>
        <v>14</v>
      </c>
      <c r="C21" s="27" t="s">
        <v>114</v>
      </c>
      <c r="D21" s="1" t="s">
        <v>46</v>
      </c>
      <c r="E21" s="1" t="s">
        <v>126</v>
      </c>
      <c r="F21" s="25" t="s">
        <v>95</v>
      </c>
      <c r="G21" s="143" t="s">
        <v>147</v>
      </c>
      <c r="H21" s="146">
        <v>0</v>
      </c>
      <c r="I21" s="2" t="s">
        <v>44</v>
      </c>
      <c r="J21" s="2" t="s">
        <v>44</v>
      </c>
      <c r="K21" s="97"/>
      <c r="L21" s="98"/>
      <c r="M21" s="99"/>
    </row>
    <row r="22" spans="2:20">
      <c r="B22" s="2">
        <f t="shared" si="0"/>
        <v>15</v>
      </c>
      <c r="C22" s="27" t="s">
        <v>115</v>
      </c>
      <c r="D22" s="1" t="s">
        <v>46</v>
      </c>
      <c r="E22" s="1" t="s">
        <v>127</v>
      </c>
      <c r="F22" s="25" t="s">
        <v>95</v>
      </c>
      <c r="G22" s="143" t="s">
        <v>148</v>
      </c>
      <c r="H22" s="146">
        <v>0</v>
      </c>
      <c r="I22" s="2" t="s">
        <v>44</v>
      </c>
      <c r="J22" s="2" t="s">
        <v>44</v>
      </c>
      <c r="K22" s="97"/>
      <c r="L22" s="98"/>
      <c r="M22" s="99"/>
    </row>
    <row r="23" spans="2:20">
      <c r="B23" s="2">
        <f t="shared" si="0"/>
        <v>16</v>
      </c>
      <c r="C23" s="27" t="s">
        <v>116</v>
      </c>
      <c r="D23" s="1" t="s">
        <v>46</v>
      </c>
      <c r="E23" s="1" t="s">
        <v>128</v>
      </c>
      <c r="F23" s="25" t="s">
        <v>95</v>
      </c>
      <c r="G23" s="143" t="s">
        <v>149</v>
      </c>
      <c r="H23" s="146">
        <v>0</v>
      </c>
      <c r="I23" s="2" t="s">
        <v>44</v>
      </c>
      <c r="J23" s="2" t="s">
        <v>44</v>
      </c>
      <c r="K23" s="97"/>
      <c r="L23" s="98"/>
      <c r="M23" s="99"/>
    </row>
    <row r="24" spans="2:20">
      <c r="B24" s="2">
        <f t="shared" si="0"/>
        <v>17</v>
      </c>
      <c r="C24" s="27" t="s">
        <v>117</v>
      </c>
      <c r="D24" s="1" t="s">
        <v>46</v>
      </c>
      <c r="E24" s="1" t="s">
        <v>129</v>
      </c>
      <c r="F24" s="25" t="s">
        <v>95</v>
      </c>
      <c r="G24" s="143" t="s">
        <v>150</v>
      </c>
      <c r="H24" s="146">
        <v>0</v>
      </c>
      <c r="I24" s="2" t="s">
        <v>44</v>
      </c>
      <c r="J24" s="2" t="s">
        <v>44</v>
      </c>
      <c r="K24" s="97"/>
      <c r="L24" s="98"/>
      <c r="M24" s="99"/>
    </row>
    <row r="25" spans="2:20">
      <c r="B25" s="2">
        <f t="shared" si="0"/>
        <v>18</v>
      </c>
      <c r="C25" s="27" t="s">
        <v>118</v>
      </c>
      <c r="D25" s="1" t="s">
        <v>46</v>
      </c>
      <c r="E25" s="1" t="s">
        <v>130</v>
      </c>
      <c r="F25" s="25" t="s">
        <v>95</v>
      </c>
      <c r="G25" s="143" t="s">
        <v>151</v>
      </c>
      <c r="H25" s="146">
        <v>0</v>
      </c>
      <c r="I25" s="2" t="s">
        <v>44</v>
      </c>
      <c r="J25" s="2" t="s">
        <v>44</v>
      </c>
      <c r="K25" s="97"/>
      <c r="L25" s="98"/>
      <c r="M25" s="99"/>
    </row>
    <row r="26" spans="2:20">
      <c r="B26" s="2">
        <f t="shared" si="0"/>
        <v>19</v>
      </c>
      <c r="C26" s="27" t="s">
        <v>119</v>
      </c>
      <c r="D26" s="1" t="s">
        <v>46</v>
      </c>
      <c r="E26" s="1" t="s">
        <v>131</v>
      </c>
      <c r="F26" s="25" t="s">
        <v>95</v>
      </c>
      <c r="G26" s="143" t="s">
        <v>152</v>
      </c>
      <c r="H26" s="146">
        <v>0</v>
      </c>
      <c r="I26" s="2" t="s">
        <v>44</v>
      </c>
      <c r="J26" s="2" t="s">
        <v>44</v>
      </c>
      <c r="K26" s="97"/>
      <c r="L26" s="98"/>
      <c r="M26" s="99"/>
    </row>
    <row r="27" spans="2:20">
      <c r="B27" s="2">
        <f t="shared" si="0"/>
        <v>20</v>
      </c>
      <c r="C27" s="27" t="s">
        <v>120</v>
      </c>
      <c r="D27" s="1" t="s">
        <v>46</v>
      </c>
      <c r="E27" s="1" t="s">
        <v>132</v>
      </c>
      <c r="F27" s="25" t="s">
        <v>95</v>
      </c>
      <c r="G27" s="143" t="s">
        <v>153</v>
      </c>
      <c r="H27" s="146">
        <v>0</v>
      </c>
      <c r="I27" s="2" t="s">
        <v>44</v>
      </c>
      <c r="J27" s="2" t="s">
        <v>44</v>
      </c>
      <c r="K27" s="97"/>
      <c r="L27" s="98"/>
      <c r="M27" s="99"/>
    </row>
    <row r="28" spans="2:20">
      <c r="B28" s="2">
        <f t="shared" si="0"/>
        <v>21</v>
      </c>
      <c r="C28" s="27" t="s">
        <v>121</v>
      </c>
      <c r="D28" s="1" t="s">
        <v>46</v>
      </c>
      <c r="E28" s="1" t="s">
        <v>133</v>
      </c>
      <c r="F28" s="25" t="s">
        <v>95</v>
      </c>
      <c r="G28" s="143" t="s">
        <v>154</v>
      </c>
      <c r="H28" s="146">
        <v>0</v>
      </c>
      <c r="I28" s="2" t="s">
        <v>44</v>
      </c>
      <c r="J28" s="2" t="s">
        <v>44</v>
      </c>
      <c r="K28" s="97"/>
      <c r="L28" s="98"/>
      <c r="M28" s="99"/>
    </row>
    <row r="29" spans="2:20">
      <c r="B29" s="2">
        <f t="shared" si="0"/>
        <v>22</v>
      </c>
      <c r="C29" s="27" t="s">
        <v>122</v>
      </c>
      <c r="D29" s="1" t="s">
        <v>46</v>
      </c>
      <c r="E29" s="1" t="s">
        <v>134</v>
      </c>
      <c r="F29" s="25" t="s">
        <v>95</v>
      </c>
      <c r="G29" s="143" t="s">
        <v>155</v>
      </c>
      <c r="H29" s="146">
        <v>0</v>
      </c>
      <c r="I29" s="2" t="s">
        <v>44</v>
      </c>
      <c r="J29" s="2" t="s">
        <v>44</v>
      </c>
      <c r="K29" s="97"/>
      <c r="L29" s="98"/>
      <c r="M29" s="99"/>
    </row>
    <row r="30" spans="2:20">
      <c r="B30" s="2">
        <f t="shared" si="0"/>
        <v>23</v>
      </c>
      <c r="C30" s="1" t="s">
        <v>45</v>
      </c>
      <c r="D30" s="1" t="s">
        <v>46</v>
      </c>
      <c r="E30" s="22" t="s">
        <v>47</v>
      </c>
      <c r="F30" s="23" t="s">
        <v>42</v>
      </c>
      <c r="G30" s="22" t="s">
        <v>47</v>
      </c>
      <c r="H30" s="146">
        <v>20</v>
      </c>
      <c r="I30" s="2" t="s">
        <v>44</v>
      </c>
      <c r="J30" s="2" t="s">
        <v>44</v>
      </c>
      <c r="K30" s="97" t="s">
        <v>48</v>
      </c>
      <c r="L30" s="98"/>
      <c r="M30" s="99"/>
    </row>
    <row r="31" spans="2:20">
      <c r="B31" s="2">
        <f t="shared" si="0"/>
        <v>24</v>
      </c>
      <c r="C31" s="1" t="s">
        <v>49</v>
      </c>
      <c r="D31" s="1" t="s">
        <v>46</v>
      </c>
      <c r="E31" s="22" t="s">
        <v>50</v>
      </c>
      <c r="F31" s="23" t="s">
        <v>51</v>
      </c>
      <c r="G31" s="22" t="s">
        <v>50</v>
      </c>
      <c r="H31" s="146">
        <v>0</v>
      </c>
      <c r="I31" s="2" t="s">
        <v>44</v>
      </c>
      <c r="J31" s="2" t="s">
        <v>44</v>
      </c>
      <c r="K31" s="97" t="s">
        <v>52</v>
      </c>
      <c r="L31" s="98"/>
      <c r="M31" s="99"/>
    </row>
    <row r="32" spans="2:20">
      <c r="B32" s="2">
        <f t="shared" si="0"/>
        <v>25</v>
      </c>
      <c r="C32" s="1" t="s">
        <v>53</v>
      </c>
      <c r="D32" s="1" t="s">
        <v>46</v>
      </c>
      <c r="E32" s="22" t="s">
        <v>54</v>
      </c>
      <c r="F32" s="23" t="s">
        <v>42</v>
      </c>
      <c r="G32" s="22" t="s">
        <v>54</v>
      </c>
      <c r="H32" s="146">
        <v>20</v>
      </c>
      <c r="I32" s="2" t="s">
        <v>44</v>
      </c>
      <c r="J32" s="2" t="s">
        <v>44</v>
      </c>
      <c r="K32" s="97" t="s">
        <v>55</v>
      </c>
      <c r="L32" s="98"/>
      <c r="M32" s="99"/>
    </row>
    <row r="33" spans="2:13">
      <c r="B33" s="2">
        <f t="shared" si="0"/>
        <v>26</v>
      </c>
      <c r="C33" s="22" t="s">
        <v>56</v>
      </c>
      <c r="D33" s="1" t="s">
        <v>46</v>
      </c>
      <c r="E33" s="1" t="s">
        <v>57</v>
      </c>
      <c r="F33" s="23" t="s">
        <v>51</v>
      </c>
      <c r="G33" s="1" t="s">
        <v>57</v>
      </c>
      <c r="H33" s="146">
        <v>0</v>
      </c>
      <c r="I33" s="2" t="s">
        <v>44</v>
      </c>
      <c r="J33" s="2" t="s">
        <v>44</v>
      </c>
      <c r="K33" s="97" t="s">
        <v>58</v>
      </c>
      <c r="L33" s="98"/>
      <c r="M33" s="99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97"/>
      <c r="L34" s="98"/>
      <c r="M34" s="99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97"/>
      <c r="L35" s="98"/>
      <c r="M35" s="99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97"/>
      <c r="L36" s="98"/>
      <c r="M36" s="99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97"/>
      <c r="L37" s="98"/>
      <c r="M37" s="99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97"/>
      <c r="L38" s="98"/>
      <c r="M38" s="99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97"/>
      <c r="L39" s="98"/>
      <c r="M39" s="99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97"/>
      <c r="L40" s="98"/>
      <c r="M40" s="99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97"/>
      <c r="L41" s="98"/>
      <c r="M41" s="99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97"/>
      <c r="L42" s="98"/>
      <c r="M42" s="99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97"/>
      <c r="L43" s="98"/>
      <c r="M43" s="99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97"/>
      <c r="L44" s="98"/>
      <c r="M44" s="99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97"/>
      <c r="L45" s="98"/>
      <c r="M45" s="99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97"/>
      <c r="L46" s="98"/>
      <c r="M46" s="99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97"/>
      <c r="L47" s="98"/>
      <c r="M47" s="99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97"/>
      <c r="L48" s="98"/>
      <c r="M48" s="99"/>
    </row>
    <row r="49" spans="2:13">
      <c r="B49" s="2">
        <f t="shared" si="0"/>
        <v>42</v>
      </c>
      <c r="C49" s="22"/>
      <c r="D49" s="1"/>
      <c r="E49" s="1"/>
      <c r="F49" s="23"/>
      <c r="G49" s="1"/>
      <c r="H49" s="3"/>
      <c r="I49" s="2"/>
      <c r="J49" s="2"/>
      <c r="K49" s="97"/>
      <c r="L49" s="98"/>
      <c r="M49" s="99"/>
    </row>
    <row r="50" spans="2:13">
      <c r="B50" s="2">
        <f t="shared" si="0"/>
        <v>43</v>
      </c>
      <c r="C50" s="22"/>
      <c r="D50" s="22"/>
      <c r="E50" s="22"/>
      <c r="F50" s="22"/>
      <c r="G50" s="4"/>
      <c r="H50" s="22"/>
      <c r="I50" s="22"/>
      <c r="J50" s="2"/>
      <c r="K50" s="98"/>
      <c r="L50" s="98"/>
      <c r="M50" s="99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conditionalFormatting sqref="G15:G16">
    <cfRule type="duplicateValues" dxfId="0" priority="1"/>
  </conditionalFormatting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="90" zoomScaleNormal="90" zoomScaleSheetLayoutView="100" workbookViewId="0">
      <selection activeCell="V32" sqref="V32"/>
    </sheetView>
  </sheetViews>
  <sheetFormatPr defaultColWidth="2.58203125" defaultRowHeight="16.5" customHeight="1"/>
  <cols>
    <col min="1" max="12" width="2.58203125" style="6"/>
    <col min="13" max="17" width="3.33203125" style="6" customWidth="1"/>
    <col min="18" max="22" width="2.58203125" style="6"/>
    <col min="23" max="27" width="3.58203125" style="6" customWidth="1"/>
    <col min="28" max="16384" width="2.58203125" style="6"/>
  </cols>
  <sheetData>
    <row r="1" spans="1:59" ht="11.25" customHeight="1">
      <c r="A1" s="110" t="s">
        <v>59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2"/>
    </row>
    <row r="2" spans="1:59" ht="11.25" customHeight="1">
      <c r="A2" s="113" t="s">
        <v>32</v>
      </c>
      <c r="B2" s="114"/>
      <c r="C2" s="113" t="s">
        <v>60</v>
      </c>
      <c r="D2" s="115"/>
      <c r="E2" s="115"/>
      <c r="F2" s="115"/>
      <c r="G2" s="115"/>
      <c r="H2" s="115"/>
      <c r="I2" s="115"/>
      <c r="J2" s="115"/>
      <c r="K2" s="115"/>
      <c r="L2" s="114"/>
      <c r="M2" s="113" t="s">
        <v>61</v>
      </c>
      <c r="N2" s="115"/>
      <c r="O2" s="115"/>
      <c r="P2" s="114"/>
      <c r="Q2" s="113" t="s">
        <v>62</v>
      </c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4"/>
      <c r="BB2" s="113" t="s">
        <v>63</v>
      </c>
      <c r="BC2" s="115"/>
      <c r="BD2" s="115"/>
      <c r="BE2" s="115"/>
      <c r="BF2" s="115"/>
      <c r="BG2" s="114"/>
    </row>
    <row r="3" spans="1:59" ht="11.25" customHeight="1">
      <c r="A3" s="116">
        <v>1</v>
      </c>
      <c r="B3" s="117"/>
      <c r="C3" s="118"/>
      <c r="D3" s="119"/>
      <c r="E3" s="119"/>
      <c r="F3" s="119"/>
      <c r="G3" s="119"/>
      <c r="H3" s="119"/>
      <c r="I3" s="119"/>
      <c r="J3" s="119"/>
      <c r="K3" s="119"/>
      <c r="L3" s="120"/>
      <c r="M3" s="121"/>
      <c r="N3" s="122"/>
      <c r="O3" s="122"/>
      <c r="P3" s="123"/>
      <c r="Q3" s="118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20"/>
      <c r="BB3" s="118"/>
      <c r="BC3" s="119"/>
      <c r="BD3" s="119"/>
      <c r="BE3" s="119"/>
      <c r="BF3" s="119"/>
      <c r="BG3" s="120"/>
    </row>
    <row r="4" spans="1:59" ht="11.25" customHeight="1">
      <c r="A4" s="116">
        <v>2</v>
      </c>
      <c r="B4" s="117"/>
      <c r="C4" s="118"/>
      <c r="D4" s="119"/>
      <c r="E4" s="119"/>
      <c r="F4" s="119"/>
      <c r="G4" s="119"/>
      <c r="H4" s="119"/>
      <c r="I4" s="119"/>
      <c r="J4" s="119"/>
      <c r="K4" s="119"/>
      <c r="L4" s="120"/>
      <c r="M4" s="121"/>
      <c r="N4" s="122"/>
      <c r="O4" s="122"/>
      <c r="P4" s="123"/>
      <c r="Q4" s="118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20"/>
      <c r="BB4" s="118"/>
      <c r="BC4" s="119"/>
      <c r="BD4" s="119"/>
      <c r="BE4" s="119"/>
      <c r="BF4" s="119"/>
      <c r="BG4" s="120"/>
    </row>
    <row r="5" spans="1:59" ht="11.25" customHeight="1">
      <c r="A5" s="116">
        <v>3</v>
      </c>
      <c r="B5" s="117"/>
      <c r="C5" s="118"/>
      <c r="D5" s="119"/>
      <c r="E5" s="119"/>
      <c r="F5" s="119"/>
      <c r="G5" s="119"/>
      <c r="H5" s="119"/>
      <c r="I5" s="119"/>
      <c r="J5" s="119"/>
      <c r="K5" s="119"/>
      <c r="L5" s="120"/>
      <c r="M5" s="121"/>
      <c r="N5" s="122"/>
      <c r="O5" s="122"/>
      <c r="P5" s="123"/>
      <c r="Q5" s="118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19"/>
      <c r="AW5" s="119"/>
      <c r="AX5" s="119"/>
      <c r="AY5" s="119"/>
      <c r="AZ5" s="119"/>
      <c r="BA5" s="120"/>
      <c r="BB5" s="118"/>
      <c r="BC5" s="119"/>
      <c r="BD5" s="119"/>
      <c r="BE5" s="119"/>
      <c r="BF5" s="119"/>
      <c r="BG5" s="120"/>
    </row>
    <row r="6" spans="1:59" ht="11.25" customHeight="1">
      <c r="A6" s="116">
        <v>4</v>
      </c>
      <c r="B6" s="117"/>
      <c r="C6" s="118"/>
      <c r="D6" s="119"/>
      <c r="E6" s="119"/>
      <c r="F6" s="119"/>
      <c r="G6" s="119"/>
      <c r="H6" s="119"/>
      <c r="I6" s="119"/>
      <c r="J6" s="119"/>
      <c r="K6" s="119"/>
      <c r="L6" s="120"/>
      <c r="M6" s="121"/>
      <c r="N6" s="122"/>
      <c r="O6" s="122"/>
      <c r="P6" s="123"/>
      <c r="Q6" s="118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  <c r="AP6" s="119"/>
      <c r="AQ6" s="119"/>
      <c r="AR6" s="119"/>
      <c r="AS6" s="119"/>
      <c r="AT6" s="119"/>
      <c r="AU6" s="119"/>
      <c r="AV6" s="119"/>
      <c r="AW6" s="119"/>
      <c r="AX6" s="119"/>
      <c r="AY6" s="119"/>
      <c r="AZ6" s="119"/>
      <c r="BA6" s="120"/>
      <c r="BB6" s="118"/>
      <c r="BC6" s="119"/>
      <c r="BD6" s="119"/>
      <c r="BE6" s="119"/>
      <c r="BF6" s="119"/>
      <c r="BG6" s="120"/>
    </row>
    <row r="7" spans="1:59" ht="11.25" customHeight="1">
      <c r="A7" s="116">
        <v>5</v>
      </c>
      <c r="B7" s="117"/>
      <c r="C7" s="118"/>
      <c r="D7" s="119"/>
      <c r="E7" s="119"/>
      <c r="F7" s="119"/>
      <c r="G7" s="119"/>
      <c r="H7" s="119"/>
      <c r="I7" s="119"/>
      <c r="J7" s="119"/>
      <c r="K7" s="119"/>
      <c r="L7" s="120"/>
      <c r="M7" s="121"/>
      <c r="N7" s="122"/>
      <c r="O7" s="122"/>
      <c r="P7" s="123"/>
      <c r="Q7" s="118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20"/>
      <c r="BB7" s="118"/>
      <c r="BC7" s="119"/>
      <c r="BD7" s="119"/>
      <c r="BE7" s="119"/>
      <c r="BF7" s="119"/>
      <c r="BG7" s="120"/>
    </row>
    <row r="8" spans="1:59" ht="11.25" customHeight="1">
      <c r="A8" s="110" t="s">
        <v>64</v>
      </c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</row>
    <row r="9" spans="1:59" ht="11.25" customHeight="1">
      <c r="A9" s="113" t="s">
        <v>32</v>
      </c>
      <c r="B9" s="114"/>
      <c r="C9" s="113" t="s">
        <v>65</v>
      </c>
      <c r="D9" s="115"/>
      <c r="E9" s="115"/>
      <c r="F9" s="115"/>
      <c r="G9" s="115"/>
      <c r="H9" s="115"/>
      <c r="I9" s="115"/>
      <c r="J9" s="115"/>
      <c r="K9" s="115"/>
      <c r="L9" s="114"/>
      <c r="M9" s="113" t="s">
        <v>66</v>
      </c>
      <c r="N9" s="115"/>
      <c r="O9" s="114"/>
      <c r="P9" s="113" t="s">
        <v>62</v>
      </c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4"/>
      <c r="AQ9" s="113" t="s">
        <v>63</v>
      </c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4"/>
    </row>
    <row r="10" spans="1:59" ht="11.25" customHeight="1">
      <c r="A10" s="116">
        <v>1</v>
      </c>
      <c r="B10" s="117"/>
      <c r="C10" s="118" t="s">
        <v>67</v>
      </c>
      <c r="D10" s="119"/>
      <c r="E10" s="119"/>
      <c r="F10" s="119"/>
      <c r="G10" s="119"/>
      <c r="H10" s="119"/>
      <c r="I10" s="119"/>
      <c r="J10" s="119"/>
      <c r="K10" s="119"/>
      <c r="L10" s="120"/>
      <c r="M10" s="124" t="s">
        <v>68</v>
      </c>
      <c r="N10" s="124"/>
      <c r="O10" s="124"/>
      <c r="P10" s="118" t="s">
        <v>69</v>
      </c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20"/>
      <c r="AQ10" s="118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19"/>
      <c r="BD10" s="119"/>
      <c r="BE10" s="119"/>
      <c r="BF10" s="119"/>
      <c r="BG10" s="120"/>
    </row>
    <row r="11" spans="1:59" ht="11.25" customHeight="1">
      <c r="A11" s="116">
        <v>2</v>
      </c>
      <c r="B11" s="117"/>
      <c r="C11" s="118"/>
      <c r="D11" s="119"/>
      <c r="E11" s="119"/>
      <c r="F11" s="119"/>
      <c r="G11" s="119"/>
      <c r="H11" s="119"/>
      <c r="I11" s="119"/>
      <c r="J11" s="119"/>
      <c r="K11" s="119"/>
      <c r="L11" s="120"/>
      <c r="M11" s="124"/>
      <c r="N11" s="124"/>
      <c r="O11" s="124"/>
      <c r="P11" s="118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20"/>
      <c r="AQ11" s="118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19"/>
      <c r="BD11" s="119"/>
      <c r="BE11" s="119"/>
      <c r="BF11" s="119"/>
      <c r="BG11" s="120"/>
    </row>
    <row r="12" spans="1:59" ht="11.25" customHeight="1">
      <c r="A12" s="116">
        <v>3</v>
      </c>
      <c r="B12" s="117"/>
      <c r="C12" s="118"/>
      <c r="D12" s="119"/>
      <c r="E12" s="119"/>
      <c r="F12" s="119"/>
      <c r="G12" s="119"/>
      <c r="H12" s="119"/>
      <c r="I12" s="119"/>
      <c r="J12" s="119"/>
      <c r="K12" s="119"/>
      <c r="L12" s="120"/>
      <c r="M12" s="124"/>
      <c r="N12" s="124"/>
      <c r="O12" s="124"/>
      <c r="P12" s="118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20"/>
      <c r="AQ12" s="118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19"/>
      <c r="BD12" s="119"/>
      <c r="BE12" s="119"/>
      <c r="BF12" s="119"/>
      <c r="BG12" s="120"/>
    </row>
    <row r="13" spans="1:59" ht="11.25" customHeight="1">
      <c r="A13" s="116">
        <v>4</v>
      </c>
      <c r="B13" s="117"/>
      <c r="C13" s="118"/>
      <c r="D13" s="119"/>
      <c r="E13" s="119"/>
      <c r="F13" s="119"/>
      <c r="G13" s="119"/>
      <c r="H13" s="119"/>
      <c r="I13" s="119"/>
      <c r="J13" s="119"/>
      <c r="K13" s="119"/>
      <c r="L13" s="120"/>
      <c r="M13" s="124"/>
      <c r="N13" s="124"/>
      <c r="O13" s="124"/>
      <c r="P13" s="118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20"/>
      <c r="AQ13" s="118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20"/>
    </row>
    <row r="14" spans="1:59" ht="11.25" customHeight="1">
      <c r="A14" s="116">
        <v>5</v>
      </c>
      <c r="B14" s="117"/>
      <c r="C14" s="118"/>
      <c r="D14" s="119"/>
      <c r="E14" s="119"/>
      <c r="F14" s="119"/>
      <c r="G14" s="119"/>
      <c r="H14" s="119"/>
      <c r="I14" s="119"/>
      <c r="J14" s="119"/>
      <c r="K14" s="119"/>
      <c r="L14" s="120"/>
      <c r="M14" s="124"/>
      <c r="N14" s="124"/>
      <c r="O14" s="124"/>
      <c r="P14" s="118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20"/>
      <c r="AQ14" s="118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20"/>
    </row>
    <row r="15" spans="1:59" ht="11.25" customHeight="1">
      <c r="A15" s="110" t="s">
        <v>70</v>
      </c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</row>
    <row r="16" spans="1:59" ht="11.25" customHeight="1">
      <c r="A16" s="113" t="s">
        <v>32</v>
      </c>
      <c r="B16" s="114"/>
      <c r="C16" s="113" t="s">
        <v>71</v>
      </c>
      <c r="D16" s="115"/>
      <c r="E16" s="115"/>
      <c r="F16" s="115"/>
      <c r="G16" s="115"/>
      <c r="H16" s="115"/>
      <c r="I16" s="115"/>
      <c r="J16" s="115"/>
      <c r="K16" s="115"/>
      <c r="L16" s="114"/>
      <c r="M16" s="113" t="s">
        <v>72</v>
      </c>
      <c r="N16" s="115"/>
      <c r="O16" s="115"/>
      <c r="P16" s="115"/>
      <c r="Q16" s="114"/>
      <c r="R16" s="113" t="s">
        <v>73</v>
      </c>
      <c r="S16" s="115"/>
      <c r="T16" s="115"/>
      <c r="U16" s="115"/>
      <c r="V16" s="114"/>
      <c r="W16" s="113" t="s">
        <v>74</v>
      </c>
      <c r="X16" s="115"/>
      <c r="Y16" s="115"/>
      <c r="Z16" s="115"/>
      <c r="AA16" s="114"/>
      <c r="AB16" s="113" t="s">
        <v>75</v>
      </c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 s="114"/>
    </row>
    <row r="17" spans="1:59" ht="11.25" customHeight="1">
      <c r="A17" s="116">
        <v>1</v>
      </c>
      <c r="B17" s="117"/>
      <c r="C17" s="118" t="s">
        <v>76</v>
      </c>
      <c r="D17" s="119"/>
      <c r="E17" s="119"/>
      <c r="F17" s="119"/>
      <c r="G17" s="119"/>
      <c r="H17" s="119"/>
      <c r="I17" s="119"/>
      <c r="J17" s="119"/>
      <c r="K17" s="119"/>
      <c r="L17" s="120"/>
      <c r="M17" s="116"/>
      <c r="N17" s="125"/>
      <c r="O17" s="125"/>
      <c r="P17" s="125"/>
      <c r="Q17" s="117"/>
      <c r="R17" s="116"/>
      <c r="S17" s="125"/>
      <c r="T17" s="125"/>
      <c r="U17" s="125"/>
      <c r="V17" s="117"/>
      <c r="W17" s="116"/>
      <c r="X17" s="125"/>
      <c r="Y17" s="125"/>
      <c r="Z17" s="125"/>
      <c r="AA17" s="117"/>
      <c r="AB17" s="118" t="s">
        <v>77</v>
      </c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20"/>
    </row>
    <row r="18" spans="1:59" ht="11.25" customHeight="1">
      <c r="A18" s="116">
        <v>2</v>
      </c>
      <c r="B18" s="117"/>
      <c r="C18" s="118"/>
      <c r="D18" s="119"/>
      <c r="E18" s="119"/>
      <c r="F18" s="119"/>
      <c r="G18" s="119"/>
      <c r="H18" s="119"/>
      <c r="I18" s="119"/>
      <c r="J18" s="119"/>
      <c r="K18" s="119"/>
      <c r="L18" s="120"/>
      <c r="M18" s="116"/>
      <c r="N18" s="125"/>
      <c r="O18" s="125"/>
      <c r="P18" s="125"/>
      <c r="Q18" s="117"/>
      <c r="R18" s="116"/>
      <c r="S18" s="125"/>
      <c r="T18" s="125"/>
      <c r="U18" s="125"/>
      <c r="V18" s="117"/>
      <c r="W18" s="116"/>
      <c r="X18" s="125"/>
      <c r="Y18" s="125"/>
      <c r="Z18" s="125"/>
      <c r="AA18" s="117"/>
      <c r="AB18" s="118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20"/>
    </row>
    <row r="19" spans="1:59" ht="11.25" customHeight="1">
      <c r="A19" s="116">
        <v>3</v>
      </c>
      <c r="B19" s="117"/>
      <c r="C19" s="118"/>
      <c r="D19" s="119"/>
      <c r="E19" s="119"/>
      <c r="F19" s="119"/>
      <c r="G19" s="119"/>
      <c r="H19" s="119"/>
      <c r="I19" s="119"/>
      <c r="J19" s="119"/>
      <c r="K19" s="119"/>
      <c r="L19" s="120"/>
      <c r="M19" s="116"/>
      <c r="N19" s="125"/>
      <c r="O19" s="125"/>
      <c r="P19" s="125"/>
      <c r="Q19" s="117"/>
      <c r="R19" s="116"/>
      <c r="S19" s="125"/>
      <c r="T19" s="125"/>
      <c r="U19" s="125"/>
      <c r="V19" s="117"/>
      <c r="W19" s="116"/>
      <c r="X19" s="125"/>
      <c r="Y19" s="125"/>
      <c r="Z19" s="125"/>
      <c r="AA19" s="117"/>
      <c r="AB19" s="126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19"/>
      <c r="BE19" s="119"/>
      <c r="BF19" s="119"/>
      <c r="BG19" s="120"/>
    </row>
    <row r="20" spans="1:59" ht="11.25" customHeight="1">
      <c r="A20" s="110" t="s">
        <v>78</v>
      </c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</row>
    <row r="21" spans="1:59" ht="11.25" customHeight="1">
      <c r="A21" s="113" t="s">
        <v>32</v>
      </c>
      <c r="B21" s="114"/>
      <c r="C21" s="113" t="s">
        <v>79</v>
      </c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4"/>
      <c r="R21" s="113" t="s">
        <v>80</v>
      </c>
      <c r="S21" s="115"/>
      <c r="T21" s="115"/>
      <c r="U21" s="115"/>
      <c r="V21" s="115"/>
      <c r="W21" s="115"/>
      <c r="X21" s="115"/>
      <c r="Y21" s="115"/>
      <c r="Z21" s="115"/>
      <c r="AA21" s="114"/>
      <c r="AB21" s="113" t="s">
        <v>81</v>
      </c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4"/>
      <c r="BB21" s="113" t="s">
        <v>63</v>
      </c>
      <c r="BC21" s="115"/>
      <c r="BD21" s="115"/>
      <c r="BE21" s="115"/>
      <c r="BF21" s="115"/>
      <c r="BG21" s="114"/>
    </row>
    <row r="22" spans="1:59" ht="11.25" customHeight="1">
      <c r="A22" s="116">
        <v>1</v>
      </c>
      <c r="B22" s="117"/>
      <c r="C22" s="118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20"/>
      <c r="R22" s="116"/>
      <c r="S22" s="125"/>
      <c r="T22" s="125"/>
      <c r="U22" s="125"/>
      <c r="V22" s="125"/>
      <c r="W22" s="125"/>
      <c r="X22" s="125"/>
      <c r="Y22" s="125"/>
      <c r="Z22" s="125"/>
      <c r="AA22" s="117"/>
      <c r="AB22" s="118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20"/>
      <c r="BB22" s="118"/>
      <c r="BC22" s="119"/>
      <c r="BD22" s="119"/>
      <c r="BE22" s="119"/>
      <c r="BF22" s="119"/>
      <c r="BG22" s="120"/>
    </row>
    <row r="23" spans="1:59" ht="11.25" customHeight="1">
      <c r="A23" s="116">
        <v>2</v>
      </c>
      <c r="B23" s="117"/>
      <c r="C23" s="118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20"/>
      <c r="R23" s="116"/>
      <c r="S23" s="125"/>
      <c r="T23" s="125"/>
      <c r="U23" s="125"/>
      <c r="V23" s="125"/>
      <c r="W23" s="125"/>
      <c r="X23" s="125"/>
      <c r="Y23" s="125"/>
      <c r="Z23" s="125"/>
      <c r="AA23" s="117"/>
      <c r="AB23" s="118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20"/>
      <c r="BB23" s="118"/>
      <c r="BC23" s="119"/>
      <c r="BD23" s="119"/>
      <c r="BE23" s="119"/>
      <c r="BF23" s="119"/>
      <c r="BG23" s="120"/>
    </row>
    <row r="24" spans="1:59" ht="11.25" customHeight="1">
      <c r="A24" s="116">
        <v>3</v>
      </c>
      <c r="B24" s="117"/>
      <c r="C24" s="118"/>
      <c r="D24" s="119"/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20"/>
      <c r="R24" s="116"/>
      <c r="S24" s="125"/>
      <c r="T24" s="125"/>
      <c r="U24" s="125"/>
      <c r="V24" s="125"/>
      <c r="W24" s="125"/>
      <c r="X24" s="125"/>
      <c r="Y24" s="125"/>
      <c r="Z24" s="125"/>
      <c r="AA24" s="117"/>
      <c r="AB24" s="118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20"/>
      <c r="BB24" s="118"/>
      <c r="BC24" s="119"/>
      <c r="BD24" s="119"/>
      <c r="BE24" s="119"/>
      <c r="BF24" s="119"/>
      <c r="BG24" s="120"/>
    </row>
    <row r="25" spans="1:59" ht="11.25" customHeight="1">
      <c r="A25" s="134" t="s">
        <v>82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5"/>
      <c r="BB25" s="135"/>
      <c r="BC25" s="135"/>
      <c r="BD25" s="135"/>
      <c r="BE25" s="135"/>
      <c r="BF25" s="135"/>
      <c r="BG25" s="136"/>
    </row>
    <row r="26" spans="1:59" ht="11.25" customHeight="1">
      <c r="A26" s="127" t="s">
        <v>83</v>
      </c>
      <c r="B26" s="137"/>
      <c r="C26" s="127" t="s">
        <v>84</v>
      </c>
      <c r="D26" s="128"/>
      <c r="E26" s="128"/>
      <c r="F26" s="128"/>
      <c r="G26" s="128"/>
      <c r="H26" s="128"/>
      <c r="I26" s="128"/>
      <c r="J26" s="128"/>
      <c r="K26" s="128"/>
      <c r="L26" s="137"/>
      <c r="M26" s="127" t="s">
        <v>85</v>
      </c>
      <c r="N26" s="128"/>
      <c r="O26" s="128"/>
      <c r="P26" s="128"/>
      <c r="Q26" s="128"/>
      <c r="R26" s="128"/>
      <c r="S26" s="128"/>
      <c r="T26" s="137"/>
      <c r="U26" s="127" t="s">
        <v>86</v>
      </c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37"/>
      <c r="AK26" s="127" t="s">
        <v>87</v>
      </c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</row>
    <row r="27" spans="1:59" ht="11.25" customHeight="1">
      <c r="A27" s="129">
        <v>1</v>
      </c>
      <c r="B27" s="130"/>
      <c r="C27" s="131"/>
      <c r="D27" s="132"/>
      <c r="E27" s="132"/>
      <c r="F27" s="132"/>
      <c r="G27" s="132"/>
      <c r="H27" s="132"/>
      <c r="I27" s="132"/>
      <c r="J27" s="132"/>
      <c r="K27" s="132"/>
      <c r="L27" s="133"/>
      <c r="M27" s="131"/>
      <c r="N27" s="132"/>
      <c r="O27" s="132"/>
      <c r="P27" s="132"/>
      <c r="Q27" s="132"/>
      <c r="R27" s="132"/>
      <c r="S27" s="132"/>
      <c r="T27" s="133"/>
      <c r="U27" s="131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2"/>
      <c r="AH27" s="132"/>
      <c r="AI27" s="132"/>
      <c r="AJ27" s="133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29">
        <v>2</v>
      </c>
      <c r="B28" s="130"/>
      <c r="C28" s="131"/>
      <c r="D28" s="132"/>
      <c r="E28" s="132"/>
      <c r="F28" s="132"/>
      <c r="G28" s="132"/>
      <c r="H28" s="132"/>
      <c r="I28" s="132"/>
      <c r="J28" s="132"/>
      <c r="K28" s="132"/>
      <c r="L28" s="133"/>
      <c r="M28" s="131"/>
      <c r="N28" s="132"/>
      <c r="O28" s="132"/>
      <c r="P28" s="132"/>
      <c r="Q28" s="132"/>
      <c r="R28" s="132"/>
      <c r="S28" s="132"/>
      <c r="T28" s="133"/>
      <c r="U28" s="131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3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29">
        <v>3</v>
      </c>
      <c r="B29" s="130"/>
      <c r="C29" s="131"/>
      <c r="D29" s="132"/>
      <c r="E29" s="132"/>
      <c r="F29" s="132"/>
      <c r="G29" s="132"/>
      <c r="H29" s="132"/>
      <c r="I29" s="132"/>
      <c r="J29" s="132"/>
      <c r="K29" s="132"/>
      <c r="L29" s="133"/>
      <c r="M29" s="131"/>
      <c r="N29" s="132"/>
      <c r="O29" s="132"/>
      <c r="P29" s="132"/>
      <c r="Q29" s="132"/>
      <c r="R29" s="132"/>
      <c r="S29" s="132"/>
      <c r="T29" s="133"/>
      <c r="U29" s="131"/>
      <c r="V29" s="132"/>
      <c r="W29" s="132"/>
      <c r="X29" s="132"/>
      <c r="Y29" s="132"/>
      <c r="Z29" s="132"/>
      <c r="AA29" s="132"/>
      <c r="AB29" s="132"/>
      <c r="AC29" s="132"/>
      <c r="AD29" s="132"/>
      <c r="AE29" s="132"/>
      <c r="AF29" s="132"/>
      <c r="AG29" s="132"/>
      <c r="AH29" s="132"/>
      <c r="AI29" s="132"/>
      <c r="AJ29" s="133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2F0C97-91E8-49BC-B667-30B8EA67FF87}"/>
</file>

<file path=customXml/itemProps2.xml><?xml version="1.0" encoding="utf-8"?>
<ds:datastoreItem xmlns:ds="http://schemas.openxmlformats.org/officeDocument/2006/customXml" ds:itemID="{0CD90A09-F9C1-4822-8BFB-245A099C4C80}">
  <ds:schemaRefs>
    <ds:schemaRef ds:uri="1df7edc7-a6f5-4c90-ac32-5bbbd499fd6a"/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1f1f8a3f-673e-4aee-b429-7a818513395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テーブル定義</vt:lpstr>
      <vt:lpstr>その他定義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Okawara, Seiji</cp:lastModifiedBy>
  <cp:revision/>
  <dcterms:created xsi:type="dcterms:W3CDTF">2015-06-05T18:19:34Z</dcterms:created>
  <dcterms:modified xsi:type="dcterms:W3CDTF">2024-08-23T00:00:37Z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